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66925"/>
  <mc:AlternateContent xmlns:mc="http://schemas.openxmlformats.org/markup-compatibility/2006">
    <mc:Choice Requires="x15">
      <x15ac:absPath xmlns:x15ac="http://schemas.microsoft.com/office/spreadsheetml/2010/11/ac" url="C:\Users\baileyma\Documents\GitHub\Elections2024\3_data\"/>
    </mc:Choice>
  </mc:AlternateContent>
  <xr:revisionPtr revIDLastSave="0" documentId="13_ncr:1_{134FB406-B2F3-45E6-9A74-9DDB7C711C98}" xr6:coauthVersionLast="36" xr6:coauthVersionMax="36" xr10:uidLastSave="{00000000-0000-0000-0000-000000000000}"/>
  <bookViews>
    <workbookView xWindow="0" yWindow="0" windowWidth="23040" windowHeight="8050" tabRatio="601" xr2:uid="{00000000-000D-0000-FFFF-FFFF00000000}"/>
  </bookViews>
  <sheets>
    <sheet name="Main_candidate_information" sheetId="1" r:id="rId1"/>
    <sheet name="Codebook" sheetId="2" r:id="rId2"/>
    <sheet name="Sheet1"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901" i="1" l="1"/>
  <c r="S2207" i="1" l="1"/>
  <c r="S185" i="1"/>
  <c r="S1738" i="1"/>
  <c r="S717" i="1"/>
  <c r="S385" i="1"/>
  <c r="U385" i="1"/>
  <c r="S527" i="1"/>
  <c r="U527" i="1"/>
  <c r="T562" i="1"/>
  <c r="S653" i="1"/>
  <c r="U653" i="1"/>
  <c r="S831" i="1"/>
  <c r="U831" i="1"/>
  <c r="T933" i="1"/>
  <c r="S2094" i="1"/>
  <c r="U2094" i="1"/>
  <c r="T960" i="1"/>
  <c r="S968" i="1"/>
  <c r="U968" i="1"/>
  <c r="T1068" i="1"/>
  <c r="S62" i="1"/>
  <c r="U62" i="1"/>
  <c r="S1160" i="1"/>
  <c r="U1160" i="1"/>
  <c r="S1200" i="1"/>
  <c r="U1200" i="1"/>
  <c r="U1954" i="1"/>
  <c r="I1118" i="1" l="1"/>
  <c r="I1119" i="1" l="1"/>
  <c r="I591" i="1" l="1"/>
  <c r="I562" i="1"/>
  <c r="I330" i="1"/>
  <c r="I315" i="1"/>
  <c r="I294" i="1"/>
  <c r="I179" i="1"/>
</calcChain>
</file>

<file path=xl/sharedStrings.xml><?xml version="1.0" encoding="utf-8"?>
<sst xmlns="http://schemas.openxmlformats.org/spreadsheetml/2006/main" count="82873" uniqueCount="12427">
  <si>
    <t>candidate</t>
  </si>
  <si>
    <t>chamber</t>
  </si>
  <si>
    <t>stateDist</t>
  </si>
  <si>
    <t>candStem</t>
  </si>
  <si>
    <t>party</t>
  </si>
  <si>
    <t>partyCode</t>
  </si>
  <si>
    <t>onPrimaryBallot</t>
  </si>
  <si>
    <t>primaryPct</t>
  </si>
  <si>
    <t>primaryRunoffPct</t>
  </si>
  <si>
    <t>specialGeneralElectionPct</t>
  </si>
  <si>
    <t>specialGeneralRunoffPct</t>
  </si>
  <si>
    <t>incumbent</t>
  </si>
  <si>
    <t>incumbentReElec</t>
  </si>
  <si>
    <t>incumbentDropDate</t>
  </si>
  <si>
    <t>generalElec</t>
  </si>
  <si>
    <t>generalElecJungle</t>
  </si>
  <si>
    <t>frosh117th</t>
  </si>
  <si>
    <t>screenName</t>
  </si>
  <si>
    <t>officialScreenName</t>
  </si>
  <si>
    <t>twitterCode</t>
  </si>
  <si>
    <t>icpsr</t>
  </si>
  <si>
    <t>birthYear</t>
  </si>
  <si>
    <t>congressionalProgressiveCaucus</t>
  </si>
  <si>
    <t>freedomCaucus</t>
  </si>
  <si>
    <t>newDemocratCoalition</t>
  </si>
  <si>
    <t>blueDogCoalition</t>
  </si>
  <si>
    <t>tuesdayGroup</t>
  </si>
  <si>
    <t>republicanMainStreetPartnership</t>
  </si>
  <si>
    <t>problemSolversCaucus</t>
  </si>
  <si>
    <t>squad</t>
  </si>
  <si>
    <t>rsc</t>
  </si>
  <si>
    <t>liberal</t>
  </si>
  <si>
    <t>moderateDem</t>
  </si>
  <si>
    <t>moderateRep</t>
  </si>
  <si>
    <t>conservative</t>
  </si>
  <si>
    <t>notes</t>
  </si>
  <si>
    <t>firstElected</t>
  </si>
  <si>
    <t>gender</t>
  </si>
  <si>
    <t>religion</t>
  </si>
  <si>
    <t>lgbt</t>
  </si>
  <si>
    <t>firstName</t>
  </si>
  <si>
    <t>lastName</t>
  </si>
  <si>
    <t>dateAdded</t>
  </si>
  <si>
    <t>nominate_dim1</t>
  </si>
  <si>
    <t>nominate_dim2</t>
  </si>
  <si>
    <t>House</t>
  </si>
  <si>
    <t>AK-00</t>
  </si>
  <si>
    <t>R</t>
  </si>
  <si>
    <t>NA</t>
  </si>
  <si>
    <t>Man</t>
  </si>
  <si>
    <t>Evans</t>
  </si>
  <si>
    <t>2021-10-20</t>
  </si>
  <si>
    <t>Julio</t>
  </si>
  <si>
    <t>Perez</t>
  </si>
  <si>
    <t>Randy</t>
  </si>
  <si>
    <t>Maxwell Sumner</t>
  </si>
  <si>
    <t>AK-00-sumner_maxwell-</t>
  </si>
  <si>
    <t>special election</t>
  </si>
  <si>
    <t>Maxwell</t>
  </si>
  <si>
    <t>Sumner</t>
  </si>
  <si>
    <t>2022-04-14</t>
  </si>
  <si>
    <t>Leigha Garner-Lopez</t>
  </si>
  <si>
    <t>FL-04</t>
  </si>
  <si>
    <t>Woman</t>
  </si>
  <si>
    <t>Lopez</t>
  </si>
  <si>
    <t>Ivy Surrea</t>
  </si>
  <si>
    <t>GA-04</t>
  </si>
  <si>
    <t>GA-04-surrea_ivy-</t>
  </si>
  <si>
    <t>Name is Surrea Ivy, listed on Ballotpedia as Ivy Surrea</t>
  </si>
  <si>
    <t>Ivy</t>
  </si>
  <si>
    <t>Surrea</t>
  </si>
  <si>
    <t>Steven Cody Reynolds</t>
  </si>
  <si>
    <t>OR-06</t>
  </si>
  <si>
    <t>OR-06-reynolds_steven-</t>
  </si>
  <si>
    <t>D</t>
  </si>
  <si>
    <t>@CodyForOregon</t>
  </si>
  <si>
    <t>Steven</t>
  </si>
  <si>
    <t>Cody</t>
  </si>
  <si>
    <t>2022-01-17</t>
  </si>
  <si>
    <t>TX-14</t>
  </si>
  <si>
    <t>Smith</t>
  </si>
  <si>
    <t>Al Gross</t>
  </si>
  <si>
    <t>AK-00-gross_al-</t>
  </si>
  <si>
    <t>I</t>
  </si>
  <si>
    <t>@DrAlGrossAK</t>
  </si>
  <si>
    <t>Al</t>
  </si>
  <si>
    <t>Gross</t>
  </si>
  <si>
    <t>Jo</t>
  </si>
  <si>
    <t>Mo Brooks</t>
  </si>
  <si>
    <t>AL-05</t>
  </si>
  <si>
    <t>@MoInTheHouse</t>
  </si>
  <si>
    <t>@RepMoBrooks</t>
  </si>
  <si>
    <t>Christian - Nondenominational Protestant</t>
  </si>
  <si>
    <t>No</t>
  </si>
  <si>
    <t>Mo</t>
  </si>
  <si>
    <t>Brooks</t>
  </si>
  <si>
    <t>Senate</t>
  </si>
  <si>
    <t>AL-Sen03</t>
  </si>
  <si>
    <t>AL-Sen03-brooks_mo-</t>
  </si>
  <si>
    <t>Ro Khanna</t>
  </si>
  <si>
    <t>CA-17</t>
  </si>
  <si>
    <t>CA-17-khanna_ro-</t>
  </si>
  <si>
    <t>@RoKhanna</t>
  </si>
  <si>
    <t>@RepRoKhanna</t>
  </si>
  <si>
    <t>Hindu</t>
  </si>
  <si>
    <t>Ro</t>
  </si>
  <si>
    <t>Khanna</t>
  </si>
  <si>
    <t>CA-21</t>
  </si>
  <si>
    <t>Hispanic</t>
  </si>
  <si>
    <t>Christian - Catholic</t>
  </si>
  <si>
    <t>CA-32</t>
  </si>
  <si>
    <t>CO-07</t>
  </si>
  <si>
    <t>Christian - Protestant</t>
  </si>
  <si>
    <t>Ed</t>
  </si>
  <si>
    <t>Robertson</t>
  </si>
  <si>
    <t>Al Lawson</t>
  </si>
  <si>
    <t>FL-05</t>
  </si>
  <si>
    <t>@AlLawsonJr</t>
  </si>
  <si>
    <t>@RepAlLawsonJr</t>
  </si>
  <si>
    <t>Christian - Episcopalian</t>
  </si>
  <si>
    <t>Lawson</t>
  </si>
  <si>
    <t>Al Krulick</t>
  </si>
  <si>
    <t>FL-07</t>
  </si>
  <si>
    <t>FL-07-krulick_al-</t>
  </si>
  <si>
    <t>Krulick</t>
  </si>
  <si>
    <t>2022-02-12</t>
  </si>
  <si>
    <t>FL-11</t>
  </si>
  <si>
    <t>Ed Case</t>
  </si>
  <si>
    <t>HI-01</t>
  </si>
  <si>
    <t>HI-01-case_ed-</t>
  </si>
  <si>
    <t>@EdCaseHawaii</t>
  </si>
  <si>
    <t>@RepEdCase</t>
  </si>
  <si>
    <t>2018, 2002-2006</t>
  </si>
  <si>
    <t>Case</t>
  </si>
  <si>
    <t>Ed Markey</t>
  </si>
  <si>
    <t>MA-Sen02</t>
  </si>
  <si>
    <t>MA-Sen02-markey_ed-</t>
  </si>
  <si>
    <t>@EdMarkey</t>
  </si>
  <si>
    <t>@SenMarkey</t>
  </si>
  <si>
    <t>2013 Special</t>
  </si>
  <si>
    <t>Christian - Roman Catholic</t>
  </si>
  <si>
    <t>Markey</t>
  </si>
  <si>
    <t>Ed Thelander</t>
  </si>
  <si>
    <t>ME-01</t>
  </si>
  <si>
    <t>ME-01-thelander_ed-</t>
  </si>
  <si>
    <t>Thelander</t>
  </si>
  <si>
    <t>MO-04</t>
  </si>
  <si>
    <t>MO-Sen03</t>
  </si>
  <si>
    <t>Muslim</t>
  </si>
  <si>
    <t>2022-01-04</t>
  </si>
  <si>
    <t>NC-01</t>
  </si>
  <si>
    <t>Christian - Baptist</t>
  </si>
  <si>
    <t>Bo Hines</t>
  </si>
  <si>
    <t>NC-13</t>
  </si>
  <si>
    <t>NC-13-hines_bo-</t>
  </si>
  <si>
    <t>@BoHines</t>
  </si>
  <si>
    <t>Bo</t>
  </si>
  <si>
    <t>Hines</t>
  </si>
  <si>
    <t>Bo Hess</t>
  </si>
  <si>
    <t>NC-11</t>
  </si>
  <si>
    <t>NC-11-hess_bo-</t>
  </si>
  <si>
    <t>@bohessforus</t>
  </si>
  <si>
    <t>Hess</t>
  </si>
  <si>
    <t>J.R. Majewski</t>
  </si>
  <si>
    <t>OH-09</t>
  </si>
  <si>
    <t>OH-09-majewski_jr-</t>
  </si>
  <si>
    <t>@JRMajewski</t>
  </si>
  <si>
    <t>Majewski</t>
  </si>
  <si>
    <t>Jo Glenn</t>
  </si>
  <si>
    <t>OK-Sen03</t>
  </si>
  <si>
    <t>OK-Sen03-glenn_jo-</t>
  </si>
  <si>
    <t>Glenn</t>
  </si>
  <si>
    <t>Jo Rae Perkins</t>
  </si>
  <si>
    <t>OR-Sen03</t>
  </si>
  <si>
    <t>OR-Sen03-perkins_jorae-</t>
  </si>
  <si>
    <t>@PerkinsForUSSen</t>
  </si>
  <si>
    <t>Perkins</t>
  </si>
  <si>
    <t>2021-11-16</t>
  </si>
  <si>
    <t>PA-Sen03</t>
  </si>
  <si>
    <t>Al Green</t>
  </si>
  <si>
    <t>TX-09</t>
  </si>
  <si>
    <t>TX-09-green_al-</t>
  </si>
  <si>
    <t>@RepAlGreenTX</t>
  </si>
  <si>
    <t>@RepAlGreen</t>
  </si>
  <si>
    <t>Christian - Southern Baptist</t>
  </si>
  <si>
    <t>Green</t>
  </si>
  <si>
    <t>Ed Cabrera</t>
  </si>
  <si>
    <t>TX-28</t>
  </si>
  <si>
    <t>TX-28-cabrera_ed-</t>
  </si>
  <si>
    <t>Cabrera</t>
  </si>
  <si>
    <t>2021-10-27</t>
  </si>
  <si>
    <t>Dennis</t>
  </si>
  <si>
    <t>Jay Armstrong</t>
  </si>
  <si>
    <t>Jay</t>
  </si>
  <si>
    <t>Armstrong</t>
  </si>
  <si>
    <t>Brian</t>
  </si>
  <si>
    <t>Tim Beck</t>
  </si>
  <si>
    <t>AK-00-beck_tim-</t>
  </si>
  <si>
    <t>Tim</t>
  </si>
  <si>
    <t>Beck</t>
  </si>
  <si>
    <t>Nicholas Begich</t>
  </si>
  <si>
    <t>AK-00-begich_nicholas-</t>
  </si>
  <si>
    <t>@Nbegich</t>
  </si>
  <si>
    <t>Nicholas</t>
  </si>
  <si>
    <t>Begich</t>
  </si>
  <si>
    <t>Gregg Brelsford</t>
  </si>
  <si>
    <t>AK-00-brelsford_gregg-</t>
  </si>
  <si>
    <t>@alaskans4gregg</t>
  </si>
  <si>
    <t>Gregg</t>
  </si>
  <si>
    <t>Brelsford</t>
  </si>
  <si>
    <t>Robert</t>
  </si>
  <si>
    <t>Brown</t>
  </si>
  <si>
    <t>Chris Bye</t>
  </si>
  <si>
    <t>AK-00-bye_chris-</t>
  </si>
  <si>
    <t>L</t>
  </si>
  <si>
    <t>@AkChris4U</t>
  </si>
  <si>
    <t>Chris</t>
  </si>
  <si>
    <t>Bye</t>
  </si>
  <si>
    <t>John Callahan</t>
  </si>
  <si>
    <t>AK-00-callahan_john-</t>
  </si>
  <si>
    <t>@CallahanAlaska</t>
  </si>
  <si>
    <t>John</t>
  </si>
  <si>
    <t>Callahan</t>
  </si>
  <si>
    <t>Arlene Carle</t>
  </si>
  <si>
    <t>AK-00-carle_arlene-</t>
  </si>
  <si>
    <t>Arlene</t>
  </si>
  <si>
    <t>Carle</t>
  </si>
  <si>
    <t>Santa Claus</t>
  </si>
  <si>
    <t>AK-00-claus_santa-</t>
  </si>
  <si>
    <t>@SantaClausforAK</t>
  </si>
  <si>
    <t>Santa</t>
  </si>
  <si>
    <t>Claus</t>
  </si>
  <si>
    <t>John Coghill</t>
  </si>
  <si>
    <t>AK-00-coghill_john-</t>
  </si>
  <si>
    <t>Coghill</t>
  </si>
  <si>
    <t>Christopher Constant</t>
  </si>
  <si>
    <t>AK-00-constant_christopher-</t>
  </si>
  <si>
    <t>Christopher</t>
  </si>
  <si>
    <t>Constant</t>
  </si>
  <si>
    <t>Lady Donna Dutchess</t>
  </si>
  <si>
    <t>AK-00-dutchess_lady-</t>
  </si>
  <si>
    <t>Donna</t>
  </si>
  <si>
    <t>Otto Florschutz</t>
  </si>
  <si>
    <t>AK-00-florschutz_otto-</t>
  </si>
  <si>
    <t>Otto</t>
  </si>
  <si>
    <t>Florschutz</t>
  </si>
  <si>
    <t>Laurel Foster</t>
  </si>
  <si>
    <t>AK-00-foster_laurel-</t>
  </si>
  <si>
    <t>@Laurel4Alaska</t>
  </si>
  <si>
    <t>Laurel</t>
  </si>
  <si>
    <t>Foster</t>
  </si>
  <si>
    <t>Thomas Gibbons</t>
  </si>
  <si>
    <t>AK-00-gibbons_thomas-</t>
  </si>
  <si>
    <t>Thomas</t>
  </si>
  <si>
    <t>Gibbons</t>
  </si>
  <si>
    <t>Griffin</t>
  </si>
  <si>
    <t>Andrew Halcro</t>
  </si>
  <si>
    <t>AK-00-halcro_andrew-</t>
  </si>
  <si>
    <t>@AndrewHalcro</t>
  </si>
  <si>
    <t>Andrew</t>
  </si>
  <si>
    <t>Halcro</t>
  </si>
  <si>
    <t>Ted</t>
  </si>
  <si>
    <t>William</t>
  </si>
  <si>
    <t>John Howe</t>
  </si>
  <si>
    <t>AK-00-howe_john-</t>
  </si>
  <si>
    <t>AKIP</t>
  </si>
  <si>
    <t>Christian</t>
  </si>
  <si>
    <t>Howe</t>
  </si>
  <si>
    <t>David</t>
  </si>
  <si>
    <t>Don</t>
  </si>
  <si>
    <t>Jeff Lowenfels</t>
  </si>
  <si>
    <t>AK-00-lowenfels_jeff-</t>
  </si>
  <si>
    <t>@gardenerjeff</t>
  </si>
  <si>
    <t>Jeff</t>
  </si>
  <si>
    <t>Lowenfels</t>
  </si>
  <si>
    <t>Robert Lyons</t>
  </si>
  <si>
    <t>AK-00-lyons_robert-</t>
  </si>
  <si>
    <t>Lyons</t>
  </si>
  <si>
    <t>Anna McCabe</t>
  </si>
  <si>
    <t>AK-00-mccabe_anna-</t>
  </si>
  <si>
    <t>Anna</t>
  </si>
  <si>
    <t>McCabe</t>
  </si>
  <si>
    <t>Sherry Mettler</t>
  </si>
  <si>
    <t>AK-00-mettler_sherry-</t>
  </si>
  <si>
    <t>Sherry</t>
  </si>
  <si>
    <t>Mettler</t>
  </si>
  <si>
    <t>Mike Mulligan</t>
  </si>
  <si>
    <t>AK-00-mulligan_mike-</t>
  </si>
  <si>
    <t>Mike</t>
  </si>
  <si>
    <t>Mulligan</t>
  </si>
  <si>
    <t>J.R. Myers</t>
  </si>
  <si>
    <t>AK-00-myers_jr-</t>
  </si>
  <si>
    <t>@JohricmyeJ</t>
  </si>
  <si>
    <t>J.R.</t>
  </si>
  <si>
    <t>Myers</t>
  </si>
  <si>
    <t>Emil Notti</t>
  </si>
  <si>
    <t>AK-00-notti_emil-</t>
  </si>
  <si>
    <t>Emil</t>
  </si>
  <si>
    <t>Notti</t>
  </si>
  <si>
    <t>Robert Ornelas</t>
  </si>
  <si>
    <t>AK-00-ornelas_robert-</t>
  </si>
  <si>
    <t>AIP</t>
  </si>
  <si>
    <t>Ornelas</t>
  </si>
  <si>
    <t>Sarah Palin</t>
  </si>
  <si>
    <t>AK-00-palin_sarah-</t>
  </si>
  <si>
    <t>@SarahPalinUSA</t>
  </si>
  <si>
    <t>Sarah</t>
  </si>
  <si>
    <t>Palin</t>
  </si>
  <si>
    <t>Mary Peltola</t>
  </si>
  <si>
    <t>AK-00-peltola_mary-</t>
  </si>
  <si>
    <t>@MaryPeltola</t>
  </si>
  <si>
    <t>Mary</t>
  </si>
  <si>
    <t>Peltola</t>
  </si>
  <si>
    <t>Josh Revak</t>
  </si>
  <si>
    <t>AK-00-revak_josh-</t>
  </si>
  <si>
    <t>@joshrevak</t>
  </si>
  <si>
    <t>Josh</t>
  </si>
  <si>
    <t>Revak</t>
  </si>
  <si>
    <t>Tara Sweeney</t>
  </si>
  <si>
    <t>AK-00-sweeney_tara-</t>
  </si>
  <si>
    <t>@tarasweeney907</t>
  </si>
  <si>
    <t>Tara</t>
  </si>
  <si>
    <t>Sweeney</t>
  </si>
  <si>
    <t>Ernest Thomas</t>
  </si>
  <si>
    <t>AK-00-thomas_ernest-</t>
  </si>
  <si>
    <t>Ernest</t>
  </si>
  <si>
    <t>Richard Trotter</t>
  </si>
  <si>
    <t>AK-00-trotter_richard-</t>
  </si>
  <si>
    <t>Richard</t>
  </si>
  <si>
    <t>Trotter</t>
  </si>
  <si>
    <t>Bradley</t>
  </si>
  <si>
    <t>Jason</t>
  </si>
  <si>
    <t>Williams</t>
  </si>
  <si>
    <t>Adam Wool</t>
  </si>
  <si>
    <t>AK-00-wool_adam-</t>
  </si>
  <si>
    <t>Adam</t>
  </si>
  <si>
    <t>Wool</t>
  </si>
  <si>
    <t>Stephen Wright</t>
  </si>
  <si>
    <t>AK-00-wright_stephen-</t>
  </si>
  <si>
    <t>Stephen</t>
  </si>
  <si>
    <t>Wright</t>
  </si>
  <si>
    <t>Young</t>
  </si>
  <si>
    <t>Dan Sullivan</t>
  </si>
  <si>
    <t>AK-Sen02</t>
  </si>
  <si>
    <t>AK-Sen02-sullivan_dan-</t>
  </si>
  <si>
    <t>@DanSullivan_AK</t>
  </si>
  <si>
    <t>@SenDanSullivan</t>
  </si>
  <si>
    <t>Dan</t>
  </si>
  <si>
    <t>Sullivan</t>
  </si>
  <si>
    <t>AK-Sen03</t>
  </si>
  <si>
    <t>Jackson</t>
  </si>
  <si>
    <t>Sam</t>
  </si>
  <si>
    <t>Lisa Murkowski</t>
  </si>
  <si>
    <t>AK-Sen03-murkowski_lisa-</t>
  </si>
  <si>
    <t>@lisamurkowski</t>
  </si>
  <si>
    <t>Lisa</t>
  </si>
  <si>
    <t>Murkowski</t>
  </si>
  <si>
    <t>Karl Speights</t>
  </si>
  <si>
    <t>AK-Sen03-speights_karl-</t>
  </si>
  <si>
    <t>Karl</t>
  </si>
  <si>
    <t>Speights</t>
  </si>
  <si>
    <t>Kelly Tshibaka</t>
  </si>
  <si>
    <t>AK-Sen03-tshibaka_kelly-</t>
  </si>
  <si>
    <t>@KellyForAlaska</t>
  </si>
  <si>
    <t>Kelly</t>
  </si>
  <si>
    <t>Tshibaka</t>
  </si>
  <si>
    <t>AL-01</t>
  </si>
  <si>
    <t>Peter</t>
  </si>
  <si>
    <t>Jerry Carl</t>
  </si>
  <si>
    <t>AL-01-carl_jerry-</t>
  </si>
  <si>
    <t>@CarlForAlabama</t>
  </si>
  <si>
    <t>@RepJerryCarl</t>
  </si>
  <si>
    <t>Jerry</t>
  </si>
  <si>
    <t>Carl</t>
  </si>
  <si>
    <t>AL-02</t>
  </si>
  <si>
    <t>Anderson</t>
  </si>
  <si>
    <t>Phyllis Harvey-Hall</t>
  </si>
  <si>
    <t>AL-02-harveyhall_phyllis-</t>
  </si>
  <si>
    <t>@PhyllisDHHAll</t>
  </si>
  <si>
    <t>Phyllis</t>
  </si>
  <si>
    <t>Harvey-Hall</t>
  </si>
  <si>
    <t>Barry Moore</t>
  </si>
  <si>
    <t>AL-02-moore_barry-</t>
  </si>
  <si>
    <t>@RepBarryMoore</t>
  </si>
  <si>
    <t>Barry</t>
  </si>
  <si>
    <t>Moore</t>
  </si>
  <si>
    <t>Vimal Patel</t>
  </si>
  <si>
    <t>AL-02-patel_vimal-</t>
  </si>
  <si>
    <t>Vimal</t>
  </si>
  <si>
    <t>Patel</t>
  </si>
  <si>
    <t>Jack</t>
  </si>
  <si>
    <t>Douglas Bell</t>
  </si>
  <si>
    <t>AL-03</t>
  </si>
  <si>
    <t>AL-03-bell_douglas-</t>
  </si>
  <si>
    <t>Douglas</t>
  </si>
  <si>
    <t>Bell</t>
  </si>
  <si>
    <t>Michael</t>
  </si>
  <si>
    <t>Mike Rogers</t>
  </si>
  <si>
    <t>AL-03-rogers_mike-</t>
  </si>
  <si>
    <t>@MikeRogersCamp</t>
  </si>
  <si>
    <t>@RepMikeRogersAL</t>
  </si>
  <si>
    <t>Rogers</t>
  </si>
  <si>
    <t>Lin Veasey</t>
  </si>
  <si>
    <t>AL-03-veasey_lin-</t>
  </si>
  <si>
    <t>Lin</t>
  </si>
  <si>
    <t>Veasey</t>
  </si>
  <si>
    <t>Robert Aderholt</t>
  </si>
  <si>
    <t>AL-04</t>
  </si>
  <si>
    <t>AL-04-aderholt_robert-</t>
  </si>
  <si>
    <t>@Robert_Aderholt</t>
  </si>
  <si>
    <t>Christian - Congregationalist</t>
  </si>
  <si>
    <t>Aderholt</t>
  </si>
  <si>
    <t>Joshua</t>
  </si>
  <si>
    <t>Gaddis</t>
  </si>
  <si>
    <t>Rhonda Gore</t>
  </si>
  <si>
    <t>AL-04-gore_rhonda-</t>
  </si>
  <si>
    <t>Rhonda</t>
  </si>
  <si>
    <t>Gore</t>
  </si>
  <si>
    <t>Rick Neighbors</t>
  </si>
  <si>
    <t>AL-04-neighbors_rick-</t>
  </si>
  <si>
    <t>@VoteNeighbors</t>
  </si>
  <si>
    <t>Rick</t>
  </si>
  <si>
    <t>Neighbors</t>
  </si>
  <si>
    <t>Kevin Andrew Blalock</t>
  </si>
  <si>
    <t>AL-05-blalock_kevin-andrew-</t>
  </si>
  <si>
    <t>@BlalockFor</t>
  </si>
  <si>
    <t>Gay</t>
  </si>
  <si>
    <t>Kevin</t>
  </si>
  <si>
    <t>Blalock</t>
  </si>
  <si>
    <t>Ben</t>
  </si>
  <si>
    <t>John Roberts</t>
  </si>
  <si>
    <t>AL-05-roberts_john-</t>
  </si>
  <si>
    <t>@JohnRobertsAL</t>
  </si>
  <si>
    <t>Roberts</t>
  </si>
  <si>
    <t>Paul Sanford</t>
  </si>
  <si>
    <t>AL-05-sanford_paul-</t>
  </si>
  <si>
    <t>@PaulSanfordAL05</t>
  </si>
  <si>
    <t>Paul</t>
  </si>
  <si>
    <t>Sanford</t>
  </si>
  <si>
    <t>Dale Strong</t>
  </si>
  <si>
    <t>AL-05-strong_dale-</t>
  </si>
  <si>
    <t>Dale</t>
  </si>
  <si>
    <t>Strong</t>
  </si>
  <si>
    <t>Charlie Thompson</t>
  </si>
  <si>
    <t>AL-05-thompson_charlie-</t>
  </si>
  <si>
    <t>@CharlieTruth</t>
  </si>
  <si>
    <t>Charlie</t>
  </si>
  <si>
    <t>Thompson</t>
  </si>
  <si>
    <t>Casey Wardynski</t>
  </si>
  <si>
    <t>AL-05-wardynski_casey-</t>
  </si>
  <si>
    <t>@FriendsOfCasey</t>
  </si>
  <si>
    <t>Casey</t>
  </si>
  <si>
    <t>Wardynski</t>
  </si>
  <si>
    <t>Kathy Warner-Stanton</t>
  </si>
  <si>
    <t>AL-05-warner_kathy-</t>
  </si>
  <si>
    <t>@Kathy_Congress</t>
  </si>
  <si>
    <t>Kathy</t>
  </si>
  <si>
    <t>Warner</t>
  </si>
  <si>
    <t>Harrison Wright</t>
  </si>
  <si>
    <t>AL-05-wright_harrison-</t>
  </si>
  <si>
    <t>Harrison</t>
  </si>
  <si>
    <t>Gary Palmer</t>
  </si>
  <si>
    <t>AL-06</t>
  </si>
  <si>
    <t>AL-06-palmer_gary-</t>
  </si>
  <si>
    <t>@Palmer4Alabama</t>
  </si>
  <si>
    <t>@USRepGaryPalmer</t>
  </si>
  <si>
    <t>Christian - Presbyterian</t>
  </si>
  <si>
    <t>Gary</t>
  </si>
  <si>
    <t>Palmer</t>
  </si>
  <si>
    <t>Beatrice Nichols</t>
  </si>
  <si>
    <t>AL-07</t>
  </si>
  <si>
    <t>AL-07-nichols_beatrice-</t>
  </si>
  <si>
    <t>@NicholsForCongress</t>
  </si>
  <si>
    <t>Beatrice</t>
  </si>
  <si>
    <t>Nichols</t>
  </si>
  <si>
    <t>Terri Sewell</t>
  </si>
  <si>
    <t>AL-07-sewell_terri-</t>
  </si>
  <si>
    <t>@Sewell4Congress</t>
  </si>
  <si>
    <t>@RepTerriSewell</t>
  </si>
  <si>
    <t>Christian - Methodist</t>
  </si>
  <si>
    <t>Terri</t>
  </si>
  <si>
    <t>Sewell</t>
  </si>
  <si>
    <t>Tommy Tuberville</t>
  </si>
  <si>
    <t>AL-Sen02</t>
  </si>
  <si>
    <t>AL-Sen02-tuberville_tommy-</t>
  </si>
  <si>
    <t>@TTuberville</t>
  </si>
  <si>
    <t>@SenTuberville</t>
  </si>
  <si>
    <t>Tommy</t>
  </si>
  <si>
    <t>Tuberville</t>
  </si>
  <si>
    <t>Lillie Boddie</t>
  </si>
  <si>
    <t>AL-Sen03-boddie_lillie-</t>
  </si>
  <si>
    <t>Lillie</t>
  </si>
  <si>
    <t>Boddie</t>
  </si>
  <si>
    <t>Will Boyd</t>
  </si>
  <si>
    <t>AL-Sen03-boyd_will-</t>
  </si>
  <si>
    <t>@willboydforAL</t>
  </si>
  <si>
    <t>Will</t>
  </si>
  <si>
    <t>Boyd</t>
  </si>
  <si>
    <t>Katie Britt</t>
  </si>
  <si>
    <t>AL-Sen03-britt_katie-</t>
  </si>
  <si>
    <t>@KatieBrittforAL</t>
  </si>
  <si>
    <t>Katie</t>
  </si>
  <si>
    <t>Britt</t>
  </si>
  <si>
    <t>Dean</t>
  </si>
  <si>
    <t>Dunn</t>
  </si>
  <si>
    <t>Karla DuPriest</t>
  </si>
  <si>
    <t>AL-Sen03-dupriest_karla-</t>
  </si>
  <si>
    <t>Karla</t>
  </si>
  <si>
    <t>DuPriest</t>
  </si>
  <si>
    <t>Michael Durant</t>
  </si>
  <si>
    <t>AL-Sen03-durant_michael-</t>
  </si>
  <si>
    <t>@MikeDurantAL</t>
  </si>
  <si>
    <t>Durant</t>
  </si>
  <si>
    <t>Lanny Jackson</t>
  </si>
  <si>
    <t>AL-Sen03-jackson_lanny-</t>
  </si>
  <si>
    <t>Lanny</t>
  </si>
  <si>
    <t>Jake Schafer</t>
  </si>
  <si>
    <t>AL-Sen03-schafer_jake-</t>
  </si>
  <si>
    <t>Jake</t>
  </si>
  <si>
    <t>Schafer</t>
  </si>
  <si>
    <t>Shelby</t>
  </si>
  <si>
    <t>Jessica</t>
  </si>
  <si>
    <t>Taylor</t>
  </si>
  <si>
    <t>Victor</t>
  </si>
  <si>
    <t>Rick Crawford</t>
  </si>
  <si>
    <t>AR-01</t>
  </si>
  <si>
    <t>AR-01-crawford_rick-</t>
  </si>
  <si>
    <t>@Crawford4Cong</t>
  </si>
  <si>
    <t>@RepRickCrawford</t>
  </si>
  <si>
    <t>Crawford</t>
  </si>
  <si>
    <t>Monte Hodges</t>
  </si>
  <si>
    <t>AR-01-hodges_monte-</t>
  </si>
  <si>
    <t>@MonteforAR</t>
  </si>
  <si>
    <t>Monte</t>
  </si>
  <si>
    <t>Hodges</t>
  </si>
  <si>
    <t>Brandt Smith</t>
  </si>
  <si>
    <t>AR-01-smith_brandt-</t>
  </si>
  <si>
    <t>@DrBrandtSmith1</t>
  </si>
  <si>
    <t>Brandt</t>
  </si>
  <si>
    <t>AR-02</t>
  </si>
  <si>
    <t>Cartwright</t>
  </si>
  <si>
    <t>Quintessa Hathaway</t>
  </si>
  <si>
    <t>AR-02-hathaway_quintessa-</t>
  </si>
  <si>
    <t>@DrQHathaway</t>
  </si>
  <si>
    <t>Quintessa</t>
  </si>
  <si>
    <t>Hathaway</t>
  </si>
  <si>
    <t>French Hill</t>
  </si>
  <si>
    <t>AR-02-hill_french-</t>
  </si>
  <si>
    <t>@ElectFrench</t>
  </si>
  <si>
    <t>@RepFrenchHill</t>
  </si>
  <si>
    <t>French</t>
  </si>
  <si>
    <t>Hill</t>
  </si>
  <si>
    <t>Conrad Reynolds</t>
  </si>
  <si>
    <t>AR-02-reynolds_conrad-</t>
  </si>
  <si>
    <t>@ColonelReynolds</t>
  </si>
  <si>
    <t>Conrad</t>
  </si>
  <si>
    <t>Reynolds</t>
  </si>
  <si>
    <t>Neil Kumar</t>
  </si>
  <si>
    <t>AR-03</t>
  </si>
  <si>
    <t>AR-03-kumar_neil-</t>
  </si>
  <si>
    <t>@ArkansasNeil</t>
  </si>
  <si>
    <t>Neil</t>
  </si>
  <si>
    <t>Kumar</t>
  </si>
  <si>
    <t>Lauren Mallett-Hays</t>
  </si>
  <si>
    <t>AR-03-mallett-hays_lauren-</t>
  </si>
  <si>
    <t>@Lauren4Arkansas</t>
  </si>
  <si>
    <t>Lauren</t>
  </si>
  <si>
    <t>Steve Womack</t>
  </si>
  <si>
    <t>AR-03-womack_steve-</t>
  </si>
  <si>
    <t>@womack4congress</t>
  </si>
  <si>
    <t>@rep_stevewomack</t>
  </si>
  <si>
    <t>Steve</t>
  </si>
  <si>
    <t>Womack</t>
  </si>
  <si>
    <t>Bruce Westerman</t>
  </si>
  <si>
    <t>AR-04</t>
  </si>
  <si>
    <t>AR-04-westerman_bruce-</t>
  </si>
  <si>
    <t>@WestermanAR</t>
  </si>
  <si>
    <t>@RepWesterman</t>
  </si>
  <si>
    <t>Bruce</t>
  </si>
  <si>
    <t>Westerman</t>
  </si>
  <si>
    <t>Tom Cotton</t>
  </si>
  <si>
    <t>AR-Sen02</t>
  </si>
  <si>
    <t>AR-Sen02-cotton_tom-</t>
  </si>
  <si>
    <t>@TomCottonAR</t>
  </si>
  <si>
    <t>@SenTomCotton</t>
  </si>
  <si>
    <t>Tom</t>
  </si>
  <si>
    <t>Cotton</t>
  </si>
  <si>
    <t>Jake Bequette</t>
  </si>
  <si>
    <t>AR-Sen03</t>
  </si>
  <si>
    <t>AR-Sen03-bequette_jake-</t>
  </si>
  <si>
    <t>@JakeBequette91</t>
  </si>
  <si>
    <t>Bequette</t>
  </si>
  <si>
    <t>John Boozman</t>
  </si>
  <si>
    <t>AR-Sen03-boozman_john-</t>
  </si>
  <si>
    <t>@JohnBoozman</t>
  </si>
  <si>
    <t>Boozman</t>
  </si>
  <si>
    <t>Jack Foster</t>
  </si>
  <si>
    <t>AR-Sen03-foster_jack-</t>
  </si>
  <si>
    <t>@JackDanielFost1</t>
  </si>
  <si>
    <t>Natalie James</t>
  </si>
  <si>
    <t>AR-Sen03-james_natalie-</t>
  </si>
  <si>
    <t>@JamesForAR</t>
  </si>
  <si>
    <t>Natalie</t>
  </si>
  <si>
    <t>James</t>
  </si>
  <si>
    <t>Heath Loftis</t>
  </si>
  <si>
    <t>AR-Sen03-loftis_heath-</t>
  </si>
  <si>
    <t>@pstrheathloftis</t>
  </si>
  <si>
    <t>Heath</t>
  </si>
  <si>
    <t>Loftis</t>
  </si>
  <si>
    <t>Jan Morgan</t>
  </si>
  <si>
    <t>AR-Sen03-morgan_jan-</t>
  </si>
  <si>
    <t>@janmorganmedia</t>
  </si>
  <si>
    <t>Jan</t>
  </si>
  <si>
    <t>Morgan</t>
  </si>
  <si>
    <t>Dan Whitfield</t>
  </si>
  <si>
    <t>AR-Sen03-whitfield_dan-</t>
  </si>
  <si>
    <t>@DanWhitCongress</t>
  </si>
  <si>
    <t>Whitfield</t>
  </si>
  <si>
    <t>Eli Crane</t>
  </si>
  <si>
    <t>AZ-02</t>
  </si>
  <si>
    <t>AZ-02-crane_eli-</t>
  </si>
  <si>
    <t>@EliCraneAZ</t>
  </si>
  <si>
    <t>Eli</t>
  </si>
  <si>
    <t>Crane</t>
  </si>
  <si>
    <t>AZ-01</t>
  </si>
  <si>
    <t>Jevin Hodge</t>
  </si>
  <si>
    <t>AZ-01-hodge_jevin-</t>
  </si>
  <si>
    <t>@JevinForAZ</t>
  </si>
  <si>
    <t>Jevin</t>
  </si>
  <si>
    <t>Hodge</t>
  </si>
  <si>
    <t>Adam Metzendorf</t>
  </si>
  <si>
    <t>AZ-01-metzendorf_adam-</t>
  </si>
  <si>
    <t>@metz4congress</t>
  </si>
  <si>
    <t>Jewish</t>
  </si>
  <si>
    <t>Metzendorf</t>
  </si>
  <si>
    <t>AZ-06</t>
  </si>
  <si>
    <t>Elijah Norton</t>
  </si>
  <si>
    <t>AZ-01-norton_elijah-</t>
  </si>
  <si>
    <t>@NortonforAZ</t>
  </si>
  <si>
    <t>Elijah</t>
  </si>
  <si>
    <t>Norton</t>
  </si>
  <si>
    <t>David Schweikert</t>
  </si>
  <si>
    <t>AZ-01-schweikert_david-</t>
  </si>
  <si>
    <t>@DavidSchweikert</t>
  </si>
  <si>
    <t>@RepDavid</t>
  </si>
  <si>
    <t>Schweikert</t>
  </si>
  <si>
    <t>Torres</t>
  </si>
  <si>
    <t>Walter Blackman</t>
  </si>
  <si>
    <t>AZ-02-blackman_walter-</t>
  </si>
  <si>
    <t>@BlackmanForAZ</t>
  </si>
  <si>
    <t>Member of the AZ State House (District 6)</t>
  </si>
  <si>
    <t>Walter</t>
  </si>
  <si>
    <t>Blackman</t>
  </si>
  <si>
    <t>Mark DeLuzio</t>
  </si>
  <si>
    <t>AZ-02-deluzio_mark-</t>
  </si>
  <si>
    <t>Mark</t>
  </si>
  <si>
    <t>DeLuzio</t>
  </si>
  <si>
    <t>Lucretia Free</t>
  </si>
  <si>
    <t>AZ-06-free_lucretia-</t>
  </si>
  <si>
    <t>Lucretia</t>
  </si>
  <si>
    <t>Free</t>
  </si>
  <si>
    <t>2021-11-11</t>
  </si>
  <si>
    <t>Katherine Gallant</t>
  </si>
  <si>
    <t>Katherine</t>
  </si>
  <si>
    <t>John Moore</t>
  </si>
  <si>
    <t>AZ-02-moore_john-</t>
  </si>
  <si>
    <t>@Moore4AZ</t>
  </si>
  <si>
    <t>Tom O'Halleran</t>
  </si>
  <si>
    <t>AZ-02-ohalleran_tom-</t>
  </si>
  <si>
    <t>@TomOHalleran</t>
  </si>
  <si>
    <t>@RepOHalleran</t>
  </si>
  <si>
    <t>Ron Watkins</t>
  </si>
  <si>
    <t>AZ-02-watkins_ron-</t>
  </si>
  <si>
    <t>Ron</t>
  </si>
  <si>
    <t>Watkins</t>
  </si>
  <si>
    <t>2021-11-01</t>
  </si>
  <si>
    <t>Kathleen Winn</t>
  </si>
  <si>
    <t>AZ-06-winn_kathleen-</t>
  </si>
  <si>
    <t>@WinnForCongress</t>
  </si>
  <si>
    <t>Kathleen</t>
  </si>
  <si>
    <t>Winn</t>
  </si>
  <si>
    <t>Andy Yates</t>
  </si>
  <si>
    <t>AZ-02-yates_andy-</t>
  </si>
  <si>
    <t>@andyjyates</t>
  </si>
  <si>
    <t>Andy</t>
  </si>
  <si>
    <t>Yates</t>
  </si>
  <si>
    <t>Nina Becker</t>
  </si>
  <si>
    <t>AZ-07</t>
  </si>
  <si>
    <t>AZ-07-becker_nina-</t>
  </si>
  <si>
    <t>Searching for this candidate on Twitter suggests that this campaign is fake.</t>
  </si>
  <si>
    <t>Nina</t>
  </si>
  <si>
    <t>Becker</t>
  </si>
  <si>
    <t>Ruben Gallego</t>
  </si>
  <si>
    <t>AZ-03</t>
  </si>
  <si>
    <t>@RubenGallego</t>
  </si>
  <si>
    <t>@RepRubenGallego</t>
  </si>
  <si>
    <t>Ruben</t>
  </si>
  <si>
    <t>Gallego</t>
  </si>
  <si>
    <t>Jeffrey Zink</t>
  </si>
  <si>
    <t>AZ-03-zink_jeffrey-</t>
  </si>
  <si>
    <t>@realJeffZink</t>
  </si>
  <si>
    <t>Jeffrey</t>
  </si>
  <si>
    <t>Zink</t>
  </si>
  <si>
    <t>AZ-04</t>
  </si>
  <si>
    <t>Matthew</t>
  </si>
  <si>
    <t>Daniel</t>
  </si>
  <si>
    <t>Jerone Davison</t>
  </si>
  <si>
    <t>AZ-04-davison_jerone-</t>
  </si>
  <si>
    <t>@PastorJeroneTv</t>
  </si>
  <si>
    <t>Jerone</t>
  </si>
  <si>
    <t>Davison</t>
  </si>
  <si>
    <t>Dave Giles</t>
  </si>
  <si>
    <t>AZ-04-giles_dave-</t>
  </si>
  <si>
    <t>@votegiles</t>
  </si>
  <si>
    <t>Dave</t>
  </si>
  <si>
    <t>Giles</t>
  </si>
  <si>
    <t>2021-11-09</t>
  </si>
  <si>
    <t>AZ-09</t>
  </si>
  <si>
    <t>Johnson</t>
  </si>
  <si>
    <t>Rene Lopez</t>
  </si>
  <si>
    <t>AZ-04-lopez_rene-</t>
  </si>
  <si>
    <t>@jrlopezrep</t>
  </si>
  <si>
    <t>Rene</t>
  </si>
  <si>
    <t>Rodriguez</t>
  </si>
  <si>
    <t>Judy</t>
  </si>
  <si>
    <t>Greg Stanton</t>
  </si>
  <si>
    <t>AZ-04-stanton_greg-</t>
  </si>
  <si>
    <t>@gregstantonaz</t>
  </si>
  <si>
    <t>@RepGregStanton</t>
  </si>
  <si>
    <t>Greg</t>
  </si>
  <si>
    <t>Stanton</t>
  </si>
  <si>
    <t>Alex</t>
  </si>
  <si>
    <t>Tanya Wheeless</t>
  </si>
  <si>
    <t>AZ-04-wheeless_tanya-</t>
  </si>
  <si>
    <t>@tanyaforarizona</t>
  </si>
  <si>
    <t>Tanya</t>
  </si>
  <si>
    <t>Wheeless</t>
  </si>
  <si>
    <t>Andy Biggs</t>
  </si>
  <si>
    <t>AZ-05</t>
  </si>
  <si>
    <t>AZ-05-biggs_andy-</t>
  </si>
  <si>
    <t>@andybiggs4az</t>
  </si>
  <si>
    <t>@RepAndyBiggsAZ</t>
  </si>
  <si>
    <t>Christian - Mormon</t>
  </si>
  <si>
    <t>Biggs</t>
  </si>
  <si>
    <t>Benjamin</t>
  </si>
  <si>
    <t>Travis Lindberg</t>
  </si>
  <si>
    <t>AZ-05-lindberg_travis-</t>
  </si>
  <si>
    <t>Travis</t>
  </si>
  <si>
    <t>Lindberg</t>
  </si>
  <si>
    <t>Josh Barnett</t>
  </si>
  <si>
    <t>AZ-01-barnett_josh-</t>
  </si>
  <si>
    <t>@BarnettForAZ</t>
  </si>
  <si>
    <t>Barnett</t>
  </si>
  <si>
    <t>Juan Ciscomani</t>
  </si>
  <si>
    <t>AZ-06-ciscomani_juan-</t>
  </si>
  <si>
    <t>@juanciscomani</t>
  </si>
  <si>
    <t>Juan</t>
  </si>
  <si>
    <t>Ciscomani</t>
  </si>
  <si>
    <t>Kirsten Engel</t>
  </si>
  <si>
    <t>AZ-06-engel_kirsten-</t>
  </si>
  <si>
    <t>@EngelForArizona</t>
  </si>
  <si>
    <t>Kirsten</t>
  </si>
  <si>
    <t>Engel</t>
  </si>
  <si>
    <t>Daniel Hernandez</t>
  </si>
  <si>
    <t>AZ-06-hernandez_daniel-</t>
  </si>
  <si>
    <t>@danielforaz</t>
  </si>
  <si>
    <t>Hernandez</t>
  </si>
  <si>
    <t>Ann</t>
  </si>
  <si>
    <t>Brandon Martin</t>
  </si>
  <si>
    <t>AZ-06-martin_brandon-</t>
  </si>
  <si>
    <t>@PathForFreedom</t>
  </si>
  <si>
    <t>Brandon</t>
  </si>
  <si>
    <t>Martin</t>
  </si>
  <si>
    <t>Young Mayberry</t>
  </si>
  <si>
    <t>AZ-06-mayberry_young-</t>
  </si>
  <si>
    <t>Mayberry</t>
  </si>
  <si>
    <t>Marissa</t>
  </si>
  <si>
    <t>Mitchell</t>
  </si>
  <si>
    <t>Raul Grijalva</t>
  </si>
  <si>
    <t>@standwithraul</t>
  </si>
  <si>
    <t>@RepRaulGrijalva</t>
  </si>
  <si>
    <t>Raul</t>
  </si>
  <si>
    <t>Grijalva</t>
  </si>
  <si>
    <t>Luis Pozzolo</t>
  </si>
  <si>
    <t>AZ-07-pozzolo_luis-</t>
  </si>
  <si>
    <t>@Luis4Congress</t>
  </si>
  <si>
    <t>Luis</t>
  </si>
  <si>
    <t>Pozzolo</t>
  </si>
  <si>
    <t>AZ-08</t>
  </si>
  <si>
    <t>Holmes</t>
  </si>
  <si>
    <t>Debbie Lesko</t>
  </si>
  <si>
    <t>AZ-08-lesko_debbie-</t>
  </si>
  <si>
    <t>@DebbieLesko</t>
  </si>
  <si>
    <t>@RepDLesko</t>
  </si>
  <si>
    <t>2018 Special</t>
  </si>
  <si>
    <t>Debbie</t>
  </si>
  <si>
    <t>Lesko</t>
  </si>
  <si>
    <t>Kelly Cooper</t>
  </si>
  <si>
    <t>AZ-04-cooper_kelly-</t>
  </si>
  <si>
    <t>@KellyCooperAZ</t>
  </si>
  <si>
    <t>Cooper</t>
  </si>
  <si>
    <t>Paul Gosar</t>
  </si>
  <si>
    <t>AZ-09-gosar_paul-</t>
  </si>
  <si>
    <t>@DrPaulGosar</t>
  </si>
  <si>
    <t>@RepGosar</t>
  </si>
  <si>
    <t>Gosar</t>
  </si>
  <si>
    <t>Adam Morgan</t>
  </si>
  <si>
    <t>AZ-09-morgan_adam-</t>
  </si>
  <si>
    <t>@Morgan4AZ</t>
  </si>
  <si>
    <t>Kyrsten Sinema</t>
  </si>
  <si>
    <t>AZ-Sen01</t>
  </si>
  <si>
    <t>AZ-Sen01-sinema_kyrsten-</t>
  </si>
  <si>
    <t>@SenatorSinema</t>
  </si>
  <si>
    <t>Bisexual</t>
  </si>
  <si>
    <t>Kyrsten</t>
  </si>
  <si>
    <t>Sinema</t>
  </si>
  <si>
    <t>AZ-Sen03</t>
  </si>
  <si>
    <t>Frank</t>
  </si>
  <si>
    <t>Craig</t>
  </si>
  <si>
    <t>Mark Brnovich</t>
  </si>
  <si>
    <t>AZ-Sen03-brnovich_mark-</t>
  </si>
  <si>
    <t>Brnovich</t>
  </si>
  <si>
    <t>Mark Kelly</t>
  </si>
  <si>
    <t>AZ-Sen03-kelly_mark-</t>
  </si>
  <si>
    <t>@CaptMarkKelly</t>
  </si>
  <si>
    <t>@SenMarkKelly</t>
  </si>
  <si>
    <t>Jim Lamon</t>
  </si>
  <si>
    <t>AZ-Sen03-lamon_jim-</t>
  </si>
  <si>
    <t>@jim_lamon</t>
  </si>
  <si>
    <t>Jim</t>
  </si>
  <si>
    <t>Lamon</t>
  </si>
  <si>
    <t>Blake Masters</t>
  </si>
  <si>
    <t>AZ-Sen03-masters_blake-</t>
  </si>
  <si>
    <t>@bgmasters</t>
  </si>
  <si>
    <t>Blake</t>
  </si>
  <si>
    <t>Masters</t>
  </si>
  <si>
    <t>Michael McGuire</t>
  </si>
  <si>
    <t>AZ-Sen03-mcguire_michael-</t>
  </si>
  <si>
    <t>@GeneralMcGuire</t>
  </si>
  <si>
    <t>McGuire</t>
  </si>
  <si>
    <t>Justin Olson</t>
  </si>
  <si>
    <t>AZ-Sen03-olson_justin-</t>
  </si>
  <si>
    <t>@_JustinOlson</t>
  </si>
  <si>
    <t>Justin</t>
  </si>
  <si>
    <t>Olson</t>
  </si>
  <si>
    <t>Timothy Geist</t>
  </si>
  <si>
    <t>CA-01</t>
  </si>
  <si>
    <t>CA-01-geist_timothy-</t>
  </si>
  <si>
    <t>@TimothyGeist</t>
  </si>
  <si>
    <t>Timothy</t>
  </si>
  <si>
    <t>Geist</t>
  </si>
  <si>
    <t>Brian Hawkins</t>
  </si>
  <si>
    <t>@realpastorbrian</t>
  </si>
  <si>
    <t>Hawkins</t>
  </si>
  <si>
    <t>Doug LaMalfa</t>
  </si>
  <si>
    <t>CA-01-lamalfa_doug-</t>
  </si>
  <si>
    <t>@DougLaMalfa</t>
  </si>
  <si>
    <t>@RepLaMalfa</t>
  </si>
  <si>
    <t>Doug</t>
  </si>
  <si>
    <t>LaMalfa</t>
  </si>
  <si>
    <t>David Peterson</t>
  </si>
  <si>
    <t>Peterson</t>
  </si>
  <si>
    <t>Max Steiner</t>
  </si>
  <si>
    <t>CA-01-steiner_max-</t>
  </si>
  <si>
    <t>@MaxSteinerCA</t>
  </si>
  <si>
    <t>Max</t>
  </si>
  <si>
    <t>Steiner</t>
  </si>
  <si>
    <t>Beth Hampson</t>
  </si>
  <si>
    <t>CA-02</t>
  </si>
  <si>
    <t>CA-02-hampson_beth-</t>
  </si>
  <si>
    <t>Beth</t>
  </si>
  <si>
    <t>Hampson</t>
  </si>
  <si>
    <t>Jared Huffman</t>
  </si>
  <si>
    <t>CA-02-huffman_jared-</t>
  </si>
  <si>
    <t>@JaredHuffman</t>
  </si>
  <si>
    <t>@RepHuffman</t>
  </si>
  <si>
    <t>Unknown/Refused</t>
  </si>
  <si>
    <t>Jared</t>
  </si>
  <si>
    <t>Huffman</t>
  </si>
  <si>
    <t>Aaron</t>
  </si>
  <si>
    <t>CA-03</t>
  </si>
  <si>
    <t>2022-01-25</t>
  </si>
  <si>
    <t>Scott Jones</t>
  </si>
  <si>
    <t>CA-03-jones_scott-</t>
  </si>
  <si>
    <t>@SheriffSJones</t>
  </si>
  <si>
    <t>Scott</t>
  </si>
  <si>
    <t>Jones</t>
  </si>
  <si>
    <t>Kevin Kiley</t>
  </si>
  <si>
    <t>CA-03-kiley_kevin-</t>
  </si>
  <si>
    <t>@KevinKileyCA</t>
  </si>
  <si>
    <t>Kiley</t>
  </si>
  <si>
    <t>Kermit Jones</t>
  </si>
  <si>
    <t>CA-04</t>
  </si>
  <si>
    <t>Kermit</t>
  </si>
  <si>
    <t>Tom McClintock</t>
  </si>
  <si>
    <t>@tommcclintock</t>
  </si>
  <si>
    <t>@RepMcClintock</t>
  </si>
  <si>
    <t>McClintock</t>
  </si>
  <si>
    <t>Seth</t>
  </si>
  <si>
    <t>Newman</t>
  </si>
  <si>
    <t>Mike Barkley</t>
  </si>
  <si>
    <t>CA-05</t>
  </si>
  <si>
    <t>CA-05-barkley_mike-</t>
  </si>
  <si>
    <t>@mjbarkl</t>
  </si>
  <si>
    <t>Barkley</t>
  </si>
  <si>
    <t>David Main</t>
  </si>
  <si>
    <t>CA-05-main_david-</t>
  </si>
  <si>
    <t>Main</t>
  </si>
  <si>
    <t>Kelsten Obert</t>
  </si>
  <si>
    <t>CA-05-obert_kelsten-</t>
  </si>
  <si>
    <t>@KelstenO</t>
  </si>
  <si>
    <t>Kelsten</t>
  </si>
  <si>
    <t>Obert</t>
  </si>
  <si>
    <t>Mike Thompson</t>
  </si>
  <si>
    <t>@Mike_CA05</t>
  </si>
  <si>
    <t>@RepThompson</t>
  </si>
  <si>
    <t>David Langford</t>
  </si>
  <si>
    <t>CA-06</t>
  </si>
  <si>
    <t>CA-06-langford_david-</t>
  </si>
  <si>
    <t>Langford</t>
  </si>
  <si>
    <t>Doris Matsui</t>
  </si>
  <si>
    <t>@Matsui4Congress</t>
  </si>
  <si>
    <t>@DorisMatsui</t>
  </si>
  <si>
    <t>2005 Special</t>
  </si>
  <si>
    <t>Doris</t>
  </si>
  <si>
    <t>Matsui</t>
  </si>
  <si>
    <t>Ami Bera</t>
  </si>
  <si>
    <t>CA-07</t>
  </si>
  <si>
    <t>@BeraForCongress</t>
  </si>
  <si>
    <t>@RepBera</t>
  </si>
  <si>
    <t>Unitarian Universalist</t>
  </si>
  <si>
    <t>Ami</t>
  </si>
  <si>
    <t>Bera</t>
  </si>
  <si>
    <t>Bret Daniels</t>
  </si>
  <si>
    <t>Bret</t>
  </si>
  <si>
    <t>Daniels</t>
  </si>
  <si>
    <t>Max Semenenko</t>
  </si>
  <si>
    <t>CA-07-semenenko_max-</t>
  </si>
  <si>
    <t>Semenenko</t>
  </si>
  <si>
    <t>John Garamendi</t>
  </si>
  <si>
    <t>CA-08</t>
  </si>
  <si>
    <t>@JohnGaramendi</t>
  </si>
  <si>
    <t>@RepGaramendi</t>
  </si>
  <si>
    <t>2009 Special</t>
  </si>
  <si>
    <t>Garamendi</t>
  </si>
  <si>
    <t>Blanca Gomez</t>
  </si>
  <si>
    <t>@gomblan1</t>
  </si>
  <si>
    <t>Blanca</t>
  </si>
  <si>
    <t>Gomez</t>
  </si>
  <si>
    <t>Derek Marshall</t>
  </si>
  <si>
    <t>Christian - United Church of Christ</t>
  </si>
  <si>
    <t>Yes</t>
  </si>
  <si>
    <t>Derek</t>
  </si>
  <si>
    <t>Marshall</t>
  </si>
  <si>
    <t>Jay Obernolte</t>
  </si>
  <si>
    <t>@TeamObernolte</t>
  </si>
  <si>
    <t>@JayObernolte</t>
  </si>
  <si>
    <t>Obernolte</t>
  </si>
  <si>
    <t>Edwin Rutsch</t>
  </si>
  <si>
    <t>CA-08-rutsch_edwin-</t>
  </si>
  <si>
    <t>@EdwinRutsch</t>
  </si>
  <si>
    <t>Edwin</t>
  </si>
  <si>
    <t>Rutsch</t>
  </si>
  <si>
    <t>Cheryl Sudduth</t>
  </si>
  <si>
    <t>CA-08-sudduth_cheryl-</t>
  </si>
  <si>
    <t>@CBSudduth</t>
  </si>
  <si>
    <t>Cheryl</t>
  </si>
  <si>
    <t>Sudduth</t>
  </si>
  <si>
    <t>Harpreet Chima</t>
  </si>
  <si>
    <t>CA-09</t>
  </si>
  <si>
    <t>CA-09-chima_harpreet-</t>
  </si>
  <si>
    <t>@harpreetchima</t>
  </si>
  <si>
    <t>Harpreet</t>
  </si>
  <si>
    <t>Chima</t>
  </si>
  <si>
    <t>Karena Feng</t>
  </si>
  <si>
    <t>CA-09-feng_karena-</t>
  </si>
  <si>
    <t>@applefeng</t>
  </si>
  <si>
    <t>Asian</t>
  </si>
  <si>
    <t>Karena</t>
  </si>
  <si>
    <t>Feng</t>
  </si>
  <si>
    <t>Jonathan Madison</t>
  </si>
  <si>
    <t>CA-09-madison_jonathan-</t>
  </si>
  <si>
    <t>Jonathan</t>
  </si>
  <si>
    <t>Madison</t>
  </si>
  <si>
    <t>Tom Patti</t>
  </si>
  <si>
    <t>CA-09-patti_tom-</t>
  </si>
  <si>
    <t>Patti</t>
  </si>
  <si>
    <t>CA-10</t>
  </si>
  <si>
    <t>Christian - Eastern Orthodox</t>
  </si>
  <si>
    <t>Josh Harder</t>
  </si>
  <si>
    <t>@JoshHarder</t>
  </si>
  <si>
    <t>@RepJoshHarder</t>
  </si>
  <si>
    <t>Harder</t>
  </si>
  <si>
    <t>Sean</t>
  </si>
  <si>
    <t>Eugene</t>
  </si>
  <si>
    <t>Mark DeSaulnier</t>
  </si>
  <si>
    <t>CA-11</t>
  </si>
  <si>
    <t>@MarkDeSaulnier</t>
  </si>
  <si>
    <t>@RepDeSaulnier</t>
  </si>
  <si>
    <t>DeSaulnier</t>
  </si>
  <si>
    <t>Shahid Buttar</t>
  </si>
  <si>
    <t>CA-12</t>
  </si>
  <si>
    <t>@ShahidForChange</t>
  </si>
  <si>
    <t>Shahid</t>
  </si>
  <si>
    <t>Buttar</t>
  </si>
  <si>
    <t>Eric</t>
  </si>
  <si>
    <t>Curry</t>
  </si>
  <si>
    <t>Eve Del Castello</t>
  </si>
  <si>
    <t>Eve</t>
  </si>
  <si>
    <t>John Dennis</t>
  </si>
  <si>
    <t>@RealJohnDennis</t>
  </si>
  <si>
    <t>Nancy Pelosi</t>
  </si>
  <si>
    <t>@TeamPelosi</t>
  </si>
  <si>
    <t>@SpeakerPelosi</t>
  </si>
  <si>
    <t>1987 Special</t>
  </si>
  <si>
    <t>Nancy</t>
  </si>
  <si>
    <t>Pelosi</t>
  </si>
  <si>
    <t>Jeffrey Phillips</t>
  </si>
  <si>
    <t>@12thJeff</t>
  </si>
  <si>
    <t>Phillips</t>
  </si>
  <si>
    <t>Bianca Von Krieg</t>
  </si>
  <si>
    <t>Trans Woman</t>
  </si>
  <si>
    <t>Trans</t>
  </si>
  <si>
    <t>Bianca</t>
  </si>
  <si>
    <t>Adam Gray</t>
  </si>
  <si>
    <t>CA-13</t>
  </si>
  <si>
    <t>CA-13-gray_adam-</t>
  </si>
  <si>
    <t>@AdamGrayCA</t>
  </si>
  <si>
    <t>Gray</t>
  </si>
  <si>
    <t>Barbara Lee</t>
  </si>
  <si>
    <t>@BLeeForCongress</t>
  </si>
  <si>
    <t>@RepBarbaraLee</t>
  </si>
  <si>
    <t>1998 Special</t>
  </si>
  <si>
    <t>Barbara</t>
  </si>
  <si>
    <t>Lee</t>
  </si>
  <si>
    <t>Emily Beach</t>
  </si>
  <si>
    <t>CA-14</t>
  </si>
  <si>
    <t>@EmilyBeach650</t>
  </si>
  <si>
    <t>Emily</t>
  </si>
  <si>
    <t>Beach</t>
  </si>
  <si>
    <t>David Canepa</t>
  </si>
  <si>
    <t>@davidcanepa</t>
  </si>
  <si>
    <t>Canepa</t>
  </si>
  <si>
    <t>Steve Iyer</t>
  </si>
  <si>
    <t>CA-14-iyer_steve-</t>
  </si>
  <si>
    <t>Iyer</t>
  </si>
  <si>
    <t>Gus Mattammal</t>
  </si>
  <si>
    <t>Gus</t>
  </si>
  <si>
    <t>Mattammal</t>
  </si>
  <si>
    <t>Kevin Mullin</t>
  </si>
  <si>
    <t>@kevinmullin</t>
  </si>
  <si>
    <t>Mullin</t>
  </si>
  <si>
    <t>James Peters</t>
  </si>
  <si>
    <t>CA-14-peters_james-</t>
  </si>
  <si>
    <t>Peters</t>
  </si>
  <si>
    <t>2008 Special</t>
  </si>
  <si>
    <t>Jackie</t>
  </si>
  <si>
    <t>Andrew Watters</t>
  </si>
  <si>
    <t>@raellic</t>
  </si>
  <si>
    <t>Watters</t>
  </si>
  <si>
    <t>CA-15</t>
  </si>
  <si>
    <t>Alison Hayden</t>
  </si>
  <si>
    <t>@Alison4Congress</t>
  </si>
  <si>
    <t>Alison</t>
  </si>
  <si>
    <t>Hayden</t>
  </si>
  <si>
    <t>Eric Swalwell</t>
  </si>
  <si>
    <t>@ericswalwell</t>
  </si>
  <si>
    <t>@RepSwalwell</t>
  </si>
  <si>
    <t>Swalwell</t>
  </si>
  <si>
    <t>CA-16</t>
  </si>
  <si>
    <t>Nathan</t>
  </si>
  <si>
    <t>Jim Costa</t>
  </si>
  <si>
    <t>@RepJimCosta</t>
  </si>
  <si>
    <t>Costa</t>
  </si>
  <si>
    <t>Richard Fox</t>
  </si>
  <si>
    <t>CA-16-fox_richard-</t>
  </si>
  <si>
    <t>Fox</t>
  </si>
  <si>
    <t>David Giglio</t>
  </si>
  <si>
    <t>@DavidGiglioCA</t>
  </si>
  <si>
    <t>Giglio</t>
  </si>
  <si>
    <t>Anna Eshoo</t>
  </si>
  <si>
    <t>CA-18</t>
  </si>
  <si>
    <t>@Eshoo4Congress</t>
  </si>
  <si>
    <t>@RepAnnaEshoo</t>
  </si>
  <si>
    <t>Christian - Chaldean Catholic</t>
  </si>
  <si>
    <t>Eshoo</t>
  </si>
  <si>
    <t>Rishi Kumar</t>
  </si>
  <si>
    <t>@rishikumar1</t>
  </si>
  <si>
    <t>Rishi</t>
  </si>
  <si>
    <t>Peter Ohtaki</t>
  </si>
  <si>
    <t>@pohtaki</t>
  </si>
  <si>
    <t>Ohtaki</t>
  </si>
  <si>
    <t>Ajwang Rading</t>
  </si>
  <si>
    <t>@AjwangRading</t>
  </si>
  <si>
    <t>Ajwang</t>
  </si>
  <si>
    <t>Rading</t>
  </si>
  <si>
    <t>Benjamin Solomon</t>
  </si>
  <si>
    <t>Solomon</t>
  </si>
  <si>
    <t>Greg Tanaka</t>
  </si>
  <si>
    <t>@GregTanaka</t>
  </si>
  <si>
    <t>Tanaka</t>
  </si>
  <si>
    <t>Zoe Lofgren</t>
  </si>
  <si>
    <t>CA-19</t>
  </si>
  <si>
    <t>@ZoeLofgren</t>
  </si>
  <si>
    <t>@RepZoeLofgren</t>
  </si>
  <si>
    <t>Christian - Lutheran</t>
  </si>
  <si>
    <t>Zoe</t>
  </si>
  <si>
    <t>Lofgren</t>
  </si>
  <si>
    <t>Ben Dewell</t>
  </si>
  <si>
    <t>CA-20</t>
  </si>
  <si>
    <t>CA-20-dewell_ben-</t>
  </si>
  <si>
    <t>Dewell</t>
  </si>
  <si>
    <t>Dalila Epperson</t>
  </si>
  <si>
    <t>Dalila</t>
  </si>
  <si>
    <t>Epperson</t>
  </si>
  <si>
    <t>Jimmy Panetta</t>
  </si>
  <si>
    <t>@JimmyPanetta</t>
  </si>
  <si>
    <t>@RepJimmyPanetta</t>
  </si>
  <si>
    <t>Jimmy</t>
  </si>
  <si>
    <t>Panetta</t>
  </si>
  <si>
    <t>Angel</t>
  </si>
  <si>
    <t>Chris Mathys</t>
  </si>
  <si>
    <t>@ChrisMathysCA21</t>
  </si>
  <si>
    <t>Mathys</t>
  </si>
  <si>
    <t>Bryan</t>
  </si>
  <si>
    <t>Nicole</t>
  </si>
  <si>
    <t>Rudy Salas</t>
  </si>
  <si>
    <t>Rudy</t>
  </si>
  <si>
    <t>Salas</t>
  </si>
  <si>
    <t>David Valadao</t>
  </si>
  <si>
    <t>@dgvaladao</t>
  </si>
  <si>
    <t>@RepDavidValadao</t>
  </si>
  <si>
    <t>2020, 2014-2018</t>
  </si>
  <si>
    <t>Valadao</t>
  </si>
  <si>
    <t>Phil Arballo</t>
  </si>
  <si>
    <t>CA-22</t>
  </si>
  <si>
    <t>Phil</t>
  </si>
  <si>
    <t>Arballo</t>
  </si>
  <si>
    <t>Eric Garcia</t>
  </si>
  <si>
    <t>@EricG1247</t>
  </si>
  <si>
    <t>Garcia</t>
  </si>
  <si>
    <t>Hubbard</t>
  </si>
  <si>
    <t>Nathan Magsig</t>
  </si>
  <si>
    <t>@NathanMagsigCA</t>
  </si>
  <si>
    <t>Magsig</t>
  </si>
  <si>
    <t>Michael Maher</t>
  </si>
  <si>
    <t>Maher</t>
  </si>
  <si>
    <t>CA-23</t>
  </si>
  <si>
    <t>Louis</t>
  </si>
  <si>
    <t>Kevin McCarthy</t>
  </si>
  <si>
    <t>@kevinomccarthy</t>
  </si>
  <si>
    <t>@GOPLeader</t>
  </si>
  <si>
    <t>McCarthy</t>
  </si>
  <si>
    <t>Marisa Wood</t>
  </si>
  <si>
    <t>@MarisaWoodCA</t>
  </si>
  <si>
    <t>Marisa</t>
  </si>
  <si>
    <t>Wood</t>
  </si>
  <si>
    <t>Salud Carbajal</t>
  </si>
  <si>
    <t>CA-24</t>
  </si>
  <si>
    <t>CA-24-carbajal_salud-</t>
  </si>
  <si>
    <t>@carbajalsalud</t>
  </si>
  <si>
    <t>@RepCarbajal</t>
  </si>
  <si>
    <t>Salud</t>
  </si>
  <si>
    <t>Carbajal</t>
  </si>
  <si>
    <t>CA-25</t>
  </si>
  <si>
    <t>nA</t>
  </si>
  <si>
    <t>Mike Garcia</t>
  </si>
  <si>
    <t>@RepMikeGarcia</t>
  </si>
  <si>
    <t>2020 Special</t>
  </si>
  <si>
    <t>Ruth Luevanos</t>
  </si>
  <si>
    <t>@RuthLuevanos</t>
  </si>
  <si>
    <t>Member, Simi Valley City Council @RuthSimiValley</t>
  </si>
  <si>
    <t>Ruth</t>
  </si>
  <si>
    <t>Luevanos</t>
  </si>
  <si>
    <t>Christy Smith</t>
  </si>
  <si>
    <t>Ran for this seat in 2020</t>
  </si>
  <si>
    <t>Christy</t>
  </si>
  <si>
    <t>Brian Tyson</t>
  </si>
  <si>
    <t>CA-25-tyson_brian-</t>
  </si>
  <si>
    <t>Tyson</t>
  </si>
  <si>
    <t>Ronda Baldwin-Kennedy</t>
  </si>
  <si>
    <t>CA-26</t>
  </si>
  <si>
    <t>Ronda</t>
  </si>
  <si>
    <t>Baldwin-Kennedy</t>
  </si>
  <si>
    <t>Julia Brownley</t>
  </si>
  <si>
    <t>CA-26-brownley_julia-</t>
  </si>
  <si>
    <t>@JuliaBrownley</t>
  </si>
  <si>
    <t>@RepBrownley</t>
  </si>
  <si>
    <t>Julia</t>
  </si>
  <si>
    <t>Brownley</t>
  </si>
  <si>
    <t>Matt Jacobs</t>
  </si>
  <si>
    <t>CA-26-jacobs_matt-</t>
  </si>
  <si>
    <t>@mattjacobsca</t>
  </si>
  <si>
    <t>Matt</t>
  </si>
  <si>
    <t>Jacobs</t>
  </si>
  <si>
    <t>Fadde Mikhail</t>
  </si>
  <si>
    <t>CA-26-mikhail_fadde-</t>
  </si>
  <si>
    <t>@fadde</t>
  </si>
  <si>
    <t>Christian - Coptic</t>
  </si>
  <si>
    <t>Fadde</t>
  </si>
  <si>
    <t>Mikhail</t>
  </si>
  <si>
    <t>Wilson</t>
  </si>
  <si>
    <t>Judy Chu</t>
  </si>
  <si>
    <t>CA-27</t>
  </si>
  <si>
    <t>@JudyChuCampaign</t>
  </si>
  <si>
    <t>@RepJudyChu</t>
  </si>
  <si>
    <t>Chu</t>
  </si>
  <si>
    <t>Crystal</t>
  </si>
  <si>
    <t>CA-28</t>
  </si>
  <si>
    <t>Braun</t>
  </si>
  <si>
    <t>Daniel Bocic Martinez</t>
  </si>
  <si>
    <t>Martinez</t>
  </si>
  <si>
    <t>Adam Schiff</t>
  </si>
  <si>
    <t>@AdamSchiff</t>
  </si>
  <si>
    <t>@RepAdamSchiff</t>
  </si>
  <si>
    <t>Correction: was coded as non-incumbent earlier with icpsr = 712810008</t>
  </si>
  <si>
    <t>Schiff</t>
  </si>
  <si>
    <t>CA-29</t>
  </si>
  <si>
    <t>CA-29-cardenas_tony-</t>
  </si>
  <si>
    <t>@Tcardenas</t>
  </si>
  <si>
    <t>@RepCardenas</t>
  </si>
  <si>
    <t>Correction: was coded as non-incumbent earlier with icpsr = 712910001</t>
  </si>
  <si>
    <t>Tony</t>
  </si>
  <si>
    <t>Cardenas</t>
  </si>
  <si>
    <t>Angelica Duenas</t>
  </si>
  <si>
    <t>CA-29-duenas_angelica-</t>
  </si>
  <si>
    <t>@Angelica4CA</t>
  </si>
  <si>
    <t>The "n" in Duenas has a tilde over it.</t>
  </si>
  <si>
    <t>Angelica</t>
  </si>
  <si>
    <t>Duenas</t>
  </si>
  <si>
    <t>Shervin Aazami</t>
  </si>
  <si>
    <t>CA-30</t>
  </si>
  <si>
    <t>@AazamiShervin</t>
  </si>
  <si>
    <t>Shervin</t>
  </si>
  <si>
    <t>Aazami</t>
  </si>
  <si>
    <t>Patrick Gipson</t>
  </si>
  <si>
    <t>CA-30-gipson_patrick-</t>
  </si>
  <si>
    <t>Patrick</t>
  </si>
  <si>
    <t>Gipson</t>
  </si>
  <si>
    <t>Susan</t>
  </si>
  <si>
    <t>Murphy</t>
  </si>
  <si>
    <t>Jason Potell</t>
  </si>
  <si>
    <t>Potell</t>
  </si>
  <si>
    <t>Raji Rab</t>
  </si>
  <si>
    <t>@RajiRab2020</t>
  </si>
  <si>
    <t>Raji</t>
  </si>
  <si>
    <t>Rab</t>
  </si>
  <si>
    <t>Aarika Rhodes</t>
  </si>
  <si>
    <t>Aarika</t>
  </si>
  <si>
    <t>Rhodes</t>
  </si>
  <si>
    <t>Brad Sherman</t>
  </si>
  <si>
    <t>@BradSherman</t>
  </si>
  <si>
    <t>Brad</t>
  </si>
  <si>
    <t>Sherman</t>
  </si>
  <si>
    <t>Lucie Volotzky</t>
  </si>
  <si>
    <t>@lvolotzky</t>
  </si>
  <si>
    <t>Lucie</t>
  </si>
  <si>
    <t>Volotzky</t>
  </si>
  <si>
    <t>Pete Aguilar</t>
  </si>
  <si>
    <t>CA-31</t>
  </si>
  <si>
    <t>@aguilarpete</t>
  </si>
  <si>
    <t>@RepPeteAguilar</t>
  </si>
  <si>
    <t>Pete</t>
  </si>
  <si>
    <t>Aguilar</t>
  </si>
  <si>
    <t>Carolyn</t>
  </si>
  <si>
    <t>Grace Napolitano</t>
  </si>
  <si>
    <t>@grace4congress</t>
  </si>
  <si>
    <t>@gracenapolitano</t>
  </si>
  <si>
    <t>Grace</t>
  </si>
  <si>
    <t>Napolitano</t>
  </si>
  <si>
    <t>Derrick Gates</t>
  </si>
  <si>
    <t>CA-33</t>
  </si>
  <si>
    <t>Derrick</t>
  </si>
  <si>
    <t>Gates</t>
  </si>
  <si>
    <t>Ted Lieu</t>
  </si>
  <si>
    <t>@tedlieu</t>
  </si>
  <si>
    <t>@RepTedLieu</t>
  </si>
  <si>
    <t>Correction: earlier versions had many blank cells for him</t>
  </si>
  <si>
    <t>Lieu</t>
  </si>
  <si>
    <t>Raphael</t>
  </si>
  <si>
    <t>Paloma Zuniga</t>
  </si>
  <si>
    <t>Paloma</t>
  </si>
  <si>
    <t>Zuniga</t>
  </si>
  <si>
    <t>Jimmy Gomez</t>
  </si>
  <si>
    <t>CA-34</t>
  </si>
  <si>
    <t>CA-34-gomez_jimmy-</t>
  </si>
  <si>
    <t>@JimmyGomezCA</t>
  </si>
  <si>
    <t>@RepJimmyGomez</t>
  </si>
  <si>
    <t>2017 Special</t>
  </si>
  <si>
    <t>David Kim</t>
  </si>
  <si>
    <t>CA-34-kim_david-</t>
  </si>
  <si>
    <t>@davidkimforca</t>
  </si>
  <si>
    <t>Kim</t>
  </si>
  <si>
    <t>Rafael Carcamo</t>
  </si>
  <si>
    <t>CA-35</t>
  </si>
  <si>
    <t>CA-35-carcamo_rafael-</t>
  </si>
  <si>
    <t>@DRRAFAEL17</t>
  </si>
  <si>
    <t>Rafael</t>
  </si>
  <si>
    <t>Carcamo</t>
  </si>
  <si>
    <t>James Francis Gibson</t>
  </si>
  <si>
    <t>Gibson</t>
  </si>
  <si>
    <t>Norma Torres</t>
  </si>
  <si>
    <t>CA-35-torres_norma-</t>
  </si>
  <si>
    <t>@Norma4Congress</t>
  </si>
  <si>
    <t>@NormaJTorres</t>
  </si>
  <si>
    <t>Correction: was coded as non-incumbent earlier with icpsr = 713510002</t>
  </si>
  <si>
    <t>Norma</t>
  </si>
  <si>
    <t>CA-36</t>
  </si>
  <si>
    <t>Jenkins</t>
  </si>
  <si>
    <t>Jonathan Reiss</t>
  </si>
  <si>
    <t>Reiss</t>
  </si>
  <si>
    <t>Raul Ruiz</t>
  </si>
  <si>
    <t>@Dr_RaulRuiz</t>
  </si>
  <si>
    <t>@RepRaulRuizMD</t>
  </si>
  <si>
    <t>Christian - Seventh-Day Adventist</t>
  </si>
  <si>
    <t>Ruiz</t>
  </si>
  <si>
    <t>CA-37</t>
  </si>
  <si>
    <t>Karen</t>
  </si>
  <si>
    <t>Baltazar Fedalizo</t>
  </si>
  <si>
    <t>CA-37-fedalizo_baltazar-</t>
  </si>
  <si>
    <t>@bong4congress</t>
  </si>
  <si>
    <t>Baltazar</t>
  </si>
  <si>
    <t>Fedalizo</t>
  </si>
  <si>
    <t>Jamaal</t>
  </si>
  <si>
    <t>Sydney Kamlager</t>
  </si>
  <si>
    <t>CA-37-kamlager_sydney-</t>
  </si>
  <si>
    <t>@sydneykamlager</t>
  </si>
  <si>
    <t>Sydney</t>
  </si>
  <si>
    <t>Kamlager</t>
  </si>
  <si>
    <t>Daniel Lee</t>
  </si>
  <si>
    <t>CA-37-lee_daniel-</t>
  </si>
  <si>
    <t>@danielwaynelee0</t>
  </si>
  <si>
    <t>Jan Perry</t>
  </si>
  <si>
    <t>CA-37-perry_jan-</t>
  </si>
  <si>
    <t>@JanPerry</t>
  </si>
  <si>
    <t>Perry</t>
  </si>
  <si>
    <t>CA-38</t>
  </si>
  <si>
    <t>Mitch</t>
  </si>
  <si>
    <t>Elizabeth</t>
  </si>
  <si>
    <t>Linda Sanchez</t>
  </si>
  <si>
    <t>CA-38-sanchez_linda-</t>
  </si>
  <si>
    <t>@LindaTSanchez</t>
  </si>
  <si>
    <t>@RepLindaSanchez</t>
  </si>
  <si>
    <t>Linda</t>
  </si>
  <si>
    <t>Sanchez</t>
  </si>
  <si>
    <t>Jay Chen</t>
  </si>
  <si>
    <t>CA-39</t>
  </si>
  <si>
    <t>@jfchen</t>
  </si>
  <si>
    <t>Chen</t>
  </si>
  <si>
    <t>Eric Ching</t>
  </si>
  <si>
    <t>@EricChi95677803</t>
  </si>
  <si>
    <t>Ching</t>
  </si>
  <si>
    <t>Young Kim</t>
  </si>
  <si>
    <t>@YoungKimCA</t>
  </si>
  <si>
    <t>@RepYoungKim</t>
  </si>
  <si>
    <t>Nicole Lopez</t>
  </si>
  <si>
    <t>CA-40</t>
  </si>
  <si>
    <t>@lopez4congress</t>
  </si>
  <si>
    <t>Asif Mahmood</t>
  </si>
  <si>
    <t>CA-40-mahmood_asif-</t>
  </si>
  <si>
    <t>@AsifMahmood90</t>
  </si>
  <si>
    <t>Asif</t>
  </si>
  <si>
    <t>Mahmood</t>
  </si>
  <si>
    <t>Greg Raths</t>
  </si>
  <si>
    <t>CA-40-raths_greg-</t>
  </si>
  <si>
    <t>Raths</t>
  </si>
  <si>
    <t>Shrina Kurani</t>
  </si>
  <si>
    <t>CA-41</t>
  </si>
  <si>
    <t>CA-41-kurani_shrina-</t>
  </si>
  <si>
    <t>@shrinakurina</t>
  </si>
  <si>
    <t>Shrina</t>
  </si>
  <si>
    <t>Kurani</t>
  </si>
  <si>
    <t>Mark Takano</t>
  </si>
  <si>
    <t>@MarkTakano</t>
  </si>
  <si>
    <t>@RepMarkTakano</t>
  </si>
  <si>
    <t>Takano</t>
  </si>
  <si>
    <t>Ken Calvert</t>
  </si>
  <si>
    <t>CA-42</t>
  </si>
  <si>
    <t>@TeamCalvert</t>
  </si>
  <si>
    <t>@KenCalvert</t>
  </si>
  <si>
    <t>Ken</t>
  </si>
  <si>
    <t>Calvert</t>
  </si>
  <si>
    <t>Castillo</t>
  </si>
  <si>
    <t>Cristina Garcia</t>
  </si>
  <si>
    <t>CA-42-garcia_cristina-</t>
  </si>
  <si>
    <t>@Cgarcia_CA</t>
  </si>
  <si>
    <t>Cristina</t>
  </si>
  <si>
    <t>Peter Mathews</t>
  </si>
  <si>
    <t>CA-42-mathews_peter-</t>
  </si>
  <si>
    <t>@Epetermathews</t>
  </si>
  <si>
    <t>Mathews</t>
  </si>
  <si>
    <t>Rios</t>
  </si>
  <si>
    <t>Will Rollins</t>
  </si>
  <si>
    <t>@WillRollinsCA</t>
  </si>
  <si>
    <t>Rollins</t>
  </si>
  <si>
    <t>William Summerville</t>
  </si>
  <si>
    <t>CA-42-summerville_william-</t>
  </si>
  <si>
    <t>@Wmsforthepeople</t>
  </si>
  <si>
    <t>Summerville</t>
  </si>
  <si>
    <t>Joe Collins</t>
  </si>
  <si>
    <t>CA-43</t>
  </si>
  <si>
    <t>@joeecollins3</t>
  </si>
  <si>
    <t>Joe</t>
  </si>
  <si>
    <t>Collins</t>
  </si>
  <si>
    <t>Omar Navarro</t>
  </si>
  <si>
    <t>CA-43-navarro_omar-</t>
  </si>
  <si>
    <t>@RealOmarNavarro</t>
  </si>
  <si>
    <t>Omar</t>
  </si>
  <si>
    <t>Navarro</t>
  </si>
  <si>
    <t>Allison Pratt</t>
  </si>
  <si>
    <t>CA-43-pratt_allison-</t>
  </si>
  <si>
    <t>Allison</t>
  </si>
  <si>
    <t>Pratt</t>
  </si>
  <si>
    <t>Maxine Waters</t>
  </si>
  <si>
    <t>CA-43-waters_maxine-</t>
  </si>
  <si>
    <t>@RepMaxineWaters</t>
  </si>
  <si>
    <t>Maxine</t>
  </si>
  <si>
    <t>Waters</t>
  </si>
  <si>
    <t>Nanette Diaz Barragan</t>
  </si>
  <si>
    <t>CA-44</t>
  </si>
  <si>
    <t>CA-44-barragan_nanettediaz-</t>
  </si>
  <si>
    <t>@Nanette4CA</t>
  </si>
  <si>
    <t>@RepBarragan</t>
  </si>
  <si>
    <t>Nanette</t>
  </si>
  <si>
    <t>Barragan</t>
  </si>
  <si>
    <t>Brian Burley</t>
  </si>
  <si>
    <t>CA-45</t>
  </si>
  <si>
    <t>@Burley4Congress</t>
  </si>
  <si>
    <t>Burley</t>
  </si>
  <si>
    <t>Terry</t>
  </si>
  <si>
    <t>Christopher Gonzales</t>
  </si>
  <si>
    <t>@gonzalesforCA45</t>
  </si>
  <si>
    <t>Gonzales</t>
  </si>
  <si>
    <t>Long Pham</t>
  </si>
  <si>
    <t>CA-45-pham_long-</t>
  </si>
  <si>
    <t>Long</t>
  </si>
  <si>
    <t>Pham</t>
  </si>
  <si>
    <t>Amy Phan West</t>
  </si>
  <si>
    <t>@amyphanwest</t>
  </si>
  <si>
    <t>Amy</t>
  </si>
  <si>
    <t>West</t>
  </si>
  <si>
    <t>Katie Porter</t>
  </si>
  <si>
    <t>@katieporteroc</t>
  </si>
  <si>
    <t>@RepKatiePorter</t>
  </si>
  <si>
    <t>Porter</t>
  </si>
  <si>
    <t>Jennifer</t>
  </si>
  <si>
    <t>Lou Correa</t>
  </si>
  <si>
    <t>CA-46</t>
  </si>
  <si>
    <t>CA-46-correa_lou-</t>
  </si>
  <si>
    <t>@voteloucorrea</t>
  </si>
  <si>
    <t>@RepLouCorrea</t>
  </si>
  <si>
    <t>Lou</t>
  </si>
  <si>
    <t>Correa</t>
  </si>
  <si>
    <t>Michael Ortega</t>
  </si>
  <si>
    <t>CA-46-ortega_michael-</t>
  </si>
  <si>
    <t>@ortega4congress</t>
  </si>
  <si>
    <t>Ortega</t>
  </si>
  <si>
    <t>Ceci Truman</t>
  </si>
  <si>
    <t>Ceci</t>
  </si>
  <si>
    <t>Truman</t>
  </si>
  <si>
    <t>Scott Baugh</t>
  </si>
  <si>
    <t>CA-47</t>
  </si>
  <si>
    <t>CA-47-baugh_scott-</t>
  </si>
  <si>
    <t>@ScottBaughCA47</t>
  </si>
  <si>
    <t>Baugh</t>
  </si>
  <si>
    <t>Robert Garcia</t>
  </si>
  <si>
    <t>@RobertGarcia</t>
  </si>
  <si>
    <t>Griffith</t>
  </si>
  <si>
    <t>Alan</t>
  </si>
  <si>
    <t>Michelle</t>
  </si>
  <si>
    <t>Errol Webber</t>
  </si>
  <si>
    <t>CA-47-webber_errol-</t>
  </si>
  <si>
    <t>@ErrolWeber</t>
  </si>
  <si>
    <t>Errol</t>
  </si>
  <si>
    <t>Webber</t>
  </si>
  <si>
    <t>CA-48</t>
  </si>
  <si>
    <t>Michelle Steel</t>
  </si>
  <si>
    <t>@MichelleSteelCA</t>
  </si>
  <si>
    <t>@RepSteel</t>
  </si>
  <si>
    <t>Steel</t>
  </si>
  <si>
    <t>Lisa Bartlett</t>
  </si>
  <si>
    <t>CA-49</t>
  </si>
  <si>
    <t>CA-49-bartlett_lisa-</t>
  </si>
  <si>
    <t>Bartlett</t>
  </si>
  <si>
    <t>Mike Levin</t>
  </si>
  <si>
    <t>CA-49-levin_mike-</t>
  </si>
  <si>
    <t>@MikeLevin</t>
  </si>
  <si>
    <t>@RepMikeLevin</t>
  </si>
  <si>
    <t>Levin</t>
  </si>
  <si>
    <t>Brian Maryott</t>
  </si>
  <si>
    <t>CA-49-maryott_brian-</t>
  </si>
  <si>
    <t>@brianlmaryott</t>
  </si>
  <si>
    <t>Maryott</t>
  </si>
  <si>
    <t>Christopher Rodriguez</t>
  </si>
  <si>
    <t>CA-49-rodriguez_christopher-</t>
  </si>
  <si>
    <t>@Vote4CRod</t>
  </si>
  <si>
    <t>CA-50</t>
  </si>
  <si>
    <t>Stephen Houlahan</t>
  </si>
  <si>
    <t>@electhoulahan</t>
  </si>
  <si>
    <t>Houlahan</t>
  </si>
  <si>
    <t>Darrell Issa</t>
  </si>
  <si>
    <t>@TeamIssa</t>
  </si>
  <si>
    <t>@repdarrellissa</t>
  </si>
  <si>
    <t>Darrell</t>
  </si>
  <si>
    <t>Issa</t>
  </si>
  <si>
    <t>Joseph</t>
  </si>
  <si>
    <t>Adam Schindler</t>
  </si>
  <si>
    <t>CA-50-schindler_adam-</t>
  </si>
  <si>
    <t>@adam4congress50</t>
  </si>
  <si>
    <t>Schindler</t>
  </si>
  <si>
    <t>Stan Caplan</t>
  </si>
  <si>
    <t>CA-51</t>
  </si>
  <si>
    <t>CA-51-caplan_stan-</t>
  </si>
  <si>
    <t>Stan</t>
  </si>
  <si>
    <t>Caplan</t>
  </si>
  <si>
    <t>Barrett</t>
  </si>
  <si>
    <t>Juan Vargas</t>
  </si>
  <si>
    <t>@RepJuanVargas</t>
  </si>
  <si>
    <t>Vargas</t>
  </si>
  <si>
    <t>CA-52</t>
  </si>
  <si>
    <t>Bailey</t>
  </si>
  <si>
    <t>Scott Peters</t>
  </si>
  <si>
    <t>@ScottPetersSD</t>
  </si>
  <si>
    <t>@RepScottPeters</t>
  </si>
  <si>
    <t>Joaquin Vazquez</t>
  </si>
  <si>
    <t>CA-52-vazquez_joaquin-</t>
  </si>
  <si>
    <t>Joaquin</t>
  </si>
  <si>
    <t>Vazquez</t>
  </si>
  <si>
    <t>Charles</t>
  </si>
  <si>
    <t>Sara Jacobs</t>
  </si>
  <si>
    <t>@SaraJacobsCA</t>
  </si>
  <si>
    <t>@RepSaraJacobs</t>
  </si>
  <si>
    <t>Sara</t>
  </si>
  <si>
    <t>Dianne Feinstein</t>
  </si>
  <si>
    <t>CA-Sen01</t>
  </si>
  <si>
    <t>CA-Sen01-feinstein_dianne-</t>
  </si>
  <si>
    <t>@SenFeinstein</t>
  </si>
  <si>
    <t>Dianne</t>
  </si>
  <si>
    <t>Feinstein</t>
  </si>
  <si>
    <t>Akinyemi Agbede</t>
  </si>
  <si>
    <t>CA-Sen03</t>
  </si>
  <si>
    <t>CA-Sen03-agbede_akinyemi-</t>
  </si>
  <si>
    <t>Akinyemi</t>
  </si>
  <si>
    <t>Agbede</t>
  </si>
  <si>
    <t>Marie</t>
  </si>
  <si>
    <t>Arnold</t>
  </si>
  <si>
    <t>James Bradley</t>
  </si>
  <si>
    <t>CA-Sen03-bradley_james-</t>
  </si>
  <si>
    <t>@jamesbradleyca</t>
  </si>
  <si>
    <t>Listed on Ballotpedia as James P. Bradley</t>
  </si>
  <si>
    <t>Danny</t>
  </si>
  <si>
    <t>Sarah Sun Liew</t>
  </si>
  <si>
    <t>CA-Sen03-liew_sarahsun-</t>
  </si>
  <si>
    <t>@DrSarahSunLiew1</t>
  </si>
  <si>
    <t>Liew</t>
  </si>
  <si>
    <t>Robert Lucero</t>
  </si>
  <si>
    <t>CA-Sen03-lucero_robert-</t>
  </si>
  <si>
    <t>Lucero</t>
  </si>
  <si>
    <t>Mark Meuser</t>
  </si>
  <si>
    <t>CA-Sen03-meuser_mark-</t>
  </si>
  <si>
    <t>@markmeuser</t>
  </si>
  <si>
    <t>Listed on Ballotpedia as Mark P. Meuser</t>
  </si>
  <si>
    <t>Meuser</t>
  </si>
  <si>
    <t>Alex Padilla</t>
  </si>
  <si>
    <t>CA-Sen03-padilla_alex-</t>
  </si>
  <si>
    <t>@AlexPadilla4CA</t>
  </si>
  <si>
    <t>@SenAlexPadilla</t>
  </si>
  <si>
    <t>Padilla</t>
  </si>
  <si>
    <t>Douglas Howard Pierce</t>
  </si>
  <si>
    <t>CA-Sen03-pierce_douglashoward-</t>
  </si>
  <si>
    <t>@pierceussenate</t>
  </si>
  <si>
    <t>Pierce</t>
  </si>
  <si>
    <t>Obaidul Huq Pirjada</t>
  </si>
  <si>
    <t>CA-Sen03-pirjada_obaidalhuq-</t>
  </si>
  <si>
    <t>Pirjada</t>
  </si>
  <si>
    <t>Chuck Smith</t>
  </si>
  <si>
    <t>CA-Sen03-smith_chuck-</t>
  </si>
  <si>
    <t>Chuck</t>
  </si>
  <si>
    <t>Erik</t>
  </si>
  <si>
    <t>Cordie Williams</t>
  </si>
  <si>
    <t>CA-Sen03-williams_cordie-</t>
  </si>
  <si>
    <t>@drcordiew</t>
  </si>
  <si>
    <t>Cordie</t>
  </si>
  <si>
    <t>Lily</t>
  </si>
  <si>
    <t>Diana DeGette</t>
  </si>
  <si>
    <t>CO-01</t>
  </si>
  <si>
    <t>CO-01-degette_diana-</t>
  </si>
  <si>
    <t>@DeGette5280</t>
  </si>
  <si>
    <t>@RepDianaDeGette</t>
  </si>
  <si>
    <t>Diana</t>
  </si>
  <si>
    <t>DeGette</t>
  </si>
  <si>
    <t>Neal Walia</t>
  </si>
  <si>
    <t>CO-01-walia_neal-</t>
  </si>
  <si>
    <t>@NealForCD1</t>
  </si>
  <si>
    <t>Neal</t>
  </si>
  <si>
    <t>Walia</t>
  </si>
  <si>
    <t>Joe Neguse</t>
  </si>
  <si>
    <t>CO-02</t>
  </si>
  <si>
    <t>CO-02-neguse_joe-</t>
  </si>
  <si>
    <t>@JoeNeguse</t>
  </si>
  <si>
    <t>@RepJoeNeguse</t>
  </si>
  <si>
    <t>Neguse</t>
  </si>
  <si>
    <t>Lauren Boebert</t>
  </si>
  <si>
    <t>CO-03</t>
  </si>
  <si>
    <t>CO-03-boebert_lauren-</t>
  </si>
  <si>
    <t>@laurenboebert</t>
  </si>
  <si>
    <t>@RepBoebert</t>
  </si>
  <si>
    <t>Boebert</t>
  </si>
  <si>
    <t>Colin</t>
  </si>
  <si>
    <t>Don Coram</t>
  </si>
  <si>
    <t>CO-03-coram_don-</t>
  </si>
  <si>
    <t>Coram</t>
  </si>
  <si>
    <t>Sol Sandoval</t>
  </si>
  <si>
    <t>CO-03-sandoval_sol-</t>
  </si>
  <si>
    <t>@SolforCO</t>
  </si>
  <si>
    <t>Sol</t>
  </si>
  <si>
    <t>Sandoval</t>
  </si>
  <si>
    <t>Donald</t>
  </si>
  <si>
    <t>Zimmerman</t>
  </si>
  <si>
    <t>Ken Buck</t>
  </si>
  <si>
    <t>CO-04</t>
  </si>
  <si>
    <t>CO-04-buck_ken-</t>
  </si>
  <si>
    <t>@BuckForColorado</t>
  </si>
  <si>
    <t>@RepKenBuck</t>
  </si>
  <si>
    <t>Buck</t>
  </si>
  <si>
    <t>Isaac McCorkle</t>
  </si>
  <si>
    <t>CO-04-mccorkle_isaac-</t>
  </si>
  <si>
    <t>@Ike4CO</t>
  </si>
  <si>
    <t>Isaac</t>
  </si>
  <si>
    <t>McCorkle</t>
  </si>
  <si>
    <t>CO-05</t>
  </si>
  <si>
    <t>Michael Colombe</t>
  </si>
  <si>
    <t>CO-05-colombe_michael-</t>
  </si>
  <si>
    <t>@ColoradoCD5</t>
  </si>
  <si>
    <t>Colombe</t>
  </si>
  <si>
    <t>Jeremy</t>
  </si>
  <si>
    <t>Dowell</t>
  </si>
  <si>
    <t>Alax Jones</t>
  </si>
  <si>
    <t>CO-05-jones_alax-</t>
  </si>
  <si>
    <t>Alax</t>
  </si>
  <si>
    <t>Rebecca Keltie</t>
  </si>
  <si>
    <t>CO-05-keltie_rebecca-</t>
  </si>
  <si>
    <t>@Keltie4Congress</t>
  </si>
  <si>
    <t>Rebecca</t>
  </si>
  <si>
    <t>Keltie</t>
  </si>
  <si>
    <t>Doug Lamborn</t>
  </si>
  <si>
    <t>CO-05-lamborn_doug-</t>
  </si>
  <si>
    <t>@RepDLamborn</t>
  </si>
  <si>
    <t>Lamborn</t>
  </si>
  <si>
    <t>Ryan Thompson</t>
  </si>
  <si>
    <t>CO-05-thompson_ryan-</t>
  </si>
  <si>
    <t>U</t>
  </si>
  <si>
    <t>Ryan</t>
  </si>
  <si>
    <t>Dave Williams</t>
  </si>
  <si>
    <t>CO-05-williams_david-</t>
  </si>
  <si>
    <t>@RepDaveWilliams</t>
  </si>
  <si>
    <t>Jason Crow</t>
  </si>
  <si>
    <t>CO-06</t>
  </si>
  <si>
    <t>CO-06-crow_jason-</t>
  </si>
  <si>
    <t>@JasonCrowCO6</t>
  </si>
  <si>
    <t>@RepJasonCrow</t>
  </si>
  <si>
    <t>Crow</t>
  </si>
  <si>
    <t>Eric Mulder</t>
  </si>
  <si>
    <t>CO-06-mulder_eric-</t>
  </si>
  <si>
    <t>@MulderForCO</t>
  </si>
  <si>
    <t>Mulder</t>
  </si>
  <si>
    <t>Kyle</t>
  </si>
  <si>
    <t>Laurel Imer</t>
  </si>
  <si>
    <t>CO-07-imer_laurel-</t>
  </si>
  <si>
    <t>@ImerForColorado</t>
  </si>
  <si>
    <t>Imer</t>
  </si>
  <si>
    <t>Brittany Pettersen</t>
  </si>
  <si>
    <t>CO-07-pettersen_brittany-</t>
  </si>
  <si>
    <t>@pettersen4co</t>
  </si>
  <si>
    <t>Brittany</t>
  </si>
  <si>
    <t>Pettersen</t>
  </si>
  <si>
    <t>Tim Reichert</t>
  </si>
  <si>
    <t>CO-07-reichert_tim-</t>
  </si>
  <si>
    <t>Reichert</t>
  </si>
  <si>
    <t>Tyler Allcorn</t>
  </si>
  <si>
    <t>CO-08</t>
  </si>
  <si>
    <t>CO-08-allcorn_tyler-</t>
  </si>
  <si>
    <t>@allcorn4co</t>
  </si>
  <si>
    <t>CO-08 is new this cycle, so there is no incumbent</t>
  </si>
  <si>
    <t>Tyler</t>
  </si>
  <si>
    <t>Allcorn</t>
  </si>
  <si>
    <t>Yadira Caraveo</t>
  </si>
  <si>
    <t>CO-08-caraveo_yadira-</t>
  </si>
  <si>
    <t>@YadiraCaraveo</t>
  </si>
  <si>
    <t>Yadira</t>
  </si>
  <si>
    <t>Caraveo</t>
  </si>
  <si>
    <t>Gonzalez</t>
  </si>
  <si>
    <t>Johnny</t>
  </si>
  <si>
    <t>Barbara Kirkmeyer</t>
  </si>
  <si>
    <t>CO-08-kirkmeyer_barbara-</t>
  </si>
  <si>
    <t>@Kirkmeyer4CO</t>
  </si>
  <si>
    <t>Kirkmeyer</t>
  </si>
  <si>
    <t>Jan Kulmann</t>
  </si>
  <si>
    <t>CO-08-kulmann_jan-</t>
  </si>
  <si>
    <t>@JanKulmann</t>
  </si>
  <si>
    <t>Kulmann</t>
  </si>
  <si>
    <t>Lori Saine</t>
  </si>
  <si>
    <t>CO-08-saine_lori-</t>
  </si>
  <si>
    <t>@lorisaine</t>
  </si>
  <si>
    <t>Lori</t>
  </si>
  <si>
    <t>Saine</t>
  </si>
  <si>
    <t>John Hickenlooper</t>
  </si>
  <si>
    <t>CO-Sen02</t>
  </si>
  <si>
    <t>CO-Sen02-hickenlooper_john-</t>
  </si>
  <si>
    <t>@Hickenlooper</t>
  </si>
  <si>
    <t>@SenatorHick</t>
  </si>
  <si>
    <t>Hickenlooper</t>
  </si>
  <si>
    <t>Erik Aadland</t>
  </si>
  <si>
    <t>CO-Sen03</t>
  </si>
  <si>
    <t>@AadlandforCO</t>
  </si>
  <si>
    <t>Aadland</t>
  </si>
  <si>
    <t>Michael Bennet</t>
  </si>
  <si>
    <t>CO-Sen03-bennet_michael-</t>
  </si>
  <si>
    <t>@SenatorBennet</t>
  </si>
  <si>
    <t>Bennet</t>
  </si>
  <si>
    <t>Deborah</t>
  </si>
  <si>
    <t>Flora</t>
  </si>
  <si>
    <t>Ron Hanks</t>
  </si>
  <si>
    <t>CO-Sen03-hanks_ron-</t>
  </si>
  <si>
    <t>Hanks</t>
  </si>
  <si>
    <t>Henry</t>
  </si>
  <si>
    <t>Gregory</t>
  </si>
  <si>
    <t>Joe O'Dea</t>
  </si>
  <si>
    <t>CO-Sen03-odea_joe-</t>
  </si>
  <si>
    <t>@odeaforcolorado</t>
  </si>
  <si>
    <t>Yu</t>
  </si>
  <si>
    <t>CT-01</t>
  </si>
  <si>
    <t>John Larson</t>
  </si>
  <si>
    <t>CT-01-larson_john-</t>
  </si>
  <si>
    <t>@JohnLarsonCT</t>
  </si>
  <si>
    <t>@RepJohnLarson</t>
  </si>
  <si>
    <t>Larson</t>
  </si>
  <si>
    <t>Larry Lazor</t>
  </si>
  <si>
    <t>CT-01-lazor_larry-</t>
  </si>
  <si>
    <t>@LarryLazor</t>
  </si>
  <si>
    <t>Larry</t>
  </si>
  <si>
    <t>Lazor</t>
  </si>
  <si>
    <t>Joe Courtney</t>
  </si>
  <si>
    <t>CT-02</t>
  </si>
  <si>
    <t>CT-02-courtney_joe-</t>
  </si>
  <si>
    <t>@JoeCourtneyCT</t>
  </si>
  <si>
    <t>@RepJoeCourtney</t>
  </si>
  <si>
    <t>Courtney</t>
  </si>
  <si>
    <t>Anthony</t>
  </si>
  <si>
    <t>Mike France</t>
  </si>
  <si>
    <t>CT-02-france_mike-</t>
  </si>
  <si>
    <t>@MikeFranceCT2</t>
  </si>
  <si>
    <t>France</t>
  </si>
  <si>
    <t>Rosa DeLauro</t>
  </si>
  <si>
    <t>CT-03</t>
  </si>
  <si>
    <t>CT-03-delauro_rosa-</t>
  </si>
  <si>
    <t>@Rosa_DeLauro</t>
  </si>
  <si>
    <t>@rosadelauro</t>
  </si>
  <si>
    <t>Rosa</t>
  </si>
  <si>
    <t>DeLauro</t>
  </si>
  <si>
    <t>Lesley DeNardis</t>
  </si>
  <si>
    <t>CT-03-denardis_lesley-</t>
  </si>
  <si>
    <t>Lesley</t>
  </si>
  <si>
    <t>DeNardis</t>
  </si>
  <si>
    <t>Michael Goldstein</t>
  </si>
  <si>
    <t>CT-04</t>
  </si>
  <si>
    <t>CT-04-goldstein_michael-</t>
  </si>
  <si>
    <t>@DrMGoldstein</t>
  </si>
  <si>
    <t>Goldstein</t>
  </si>
  <si>
    <t>Jim Himes</t>
  </si>
  <si>
    <t>CT-04-himes_jim-</t>
  </si>
  <si>
    <t>@jahimes</t>
  </si>
  <si>
    <t>Himes</t>
  </si>
  <si>
    <t>CT-05</t>
  </si>
  <si>
    <t>Jahana Hayes</t>
  </si>
  <si>
    <t>CT-05-hayes_jahana-</t>
  </si>
  <si>
    <t>@JahanaHayesCT</t>
  </si>
  <si>
    <t>@RepJahanaHayes</t>
  </si>
  <si>
    <t>Jahana</t>
  </si>
  <si>
    <t>Hayes</t>
  </si>
  <si>
    <t>George Logan</t>
  </si>
  <si>
    <t>CT-05-logan_george-</t>
  </si>
  <si>
    <t>@GSLoganCT</t>
  </si>
  <si>
    <t>George</t>
  </si>
  <si>
    <t>Logan</t>
  </si>
  <si>
    <t>Christopher Murphy</t>
  </si>
  <si>
    <t>CT-Sen01</t>
  </si>
  <si>
    <t>CT-Sen01-murphy_christopher-</t>
  </si>
  <si>
    <t>@SenMurphyOffice</t>
  </si>
  <si>
    <t>Richard Blumenthal</t>
  </si>
  <si>
    <t>CT-Sen03</t>
  </si>
  <si>
    <t>CT-Sen03-blumenthal_richard-</t>
  </si>
  <si>
    <t>@SenBlumenthal</t>
  </si>
  <si>
    <t>Blumenthal</t>
  </si>
  <si>
    <t>Flynn</t>
  </si>
  <si>
    <t>Hyde</t>
  </si>
  <si>
    <t>Themis Klarides</t>
  </si>
  <si>
    <t>CT-Sen03-klarides_themis-</t>
  </si>
  <si>
    <t>@RepTKlarides</t>
  </si>
  <si>
    <t>Themis</t>
  </si>
  <si>
    <t>Klarides</t>
  </si>
  <si>
    <t>Leora Levy</t>
  </si>
  <si>
    <t>CT-Sen03-levy_leora-</t>
  </si>
  <si>
    <t>@LeoraLevyCT</t>
  </si>
  <si>
    <t>Leora</t>
  </si>
  <si>
    <t>Levy</t>
  </si>
  <si>
    <t>Peter Lumaj</t>
  </si>
  <si>
    <t>CT-Sen03-lumaj_peter-</t>
  </si>
  <si>
    <t>@PeterLumaj</t>
  </si>
  <si>
    <t>Lumaj</t>
  </si>
  <si>
    <t>Lisa Blunt Rochester</t>
  </si>
  <si>
    <t>DE-00</t>
  </si>
  <si>
    <t>DE-00-bluntrochester_lisa-</t>
  </si>
  <si>
    <t>@LisaBRochester</t>
  </si>
  <si>
    <t>@RepLBR</t>
  </si>
  <si>
    <t>Thomas Carper</t>
  </si>
  <si>
    <t>DE-Sen01</t>
  </si>
  <si>
    <t>DE-Sen01-carper_thomas-</t>
  </si>
  <si>
    <t>@SenatorCarper</t>
  </si>
  <si>
    <t>Carper</t>
  </si>
  <si>
    <t>Chris Coons</t>
  </si>
  <si>
    <t>DE-Sen02</t>
  </si>
  <si>
    <t>DE-Sen02-coons_chris-</t>
  </si>
  <si>
    <t>@ChrisCoonsforDE</t>
  </si>
  <si>
    <t>@ChrisCoons</t>
  </si>
  <si>
    <t>Coons</t>
  </si>
  <si>
    <t>Matt Gaetz</t>
  </si>
  <si>
    <t>FL-01</t>
  </si>
  <si>
    <t>FL-01-gaetz_matt-</t>
  </si>
  <si>
    <t>@mattgaetz</t>
  </si>
  <si>
    <t>@RepMattGaetz</t>
  </si>
  <si>
    <t>Gaetz</t>
  </si>
  <si>
    <t>Rebekah Jones</t>
  </si>
  <si>
    <t>FL-01-jones_rebekah-</t>
  </si>
  <si>
    <t>Rebekah</t>
  </si>
  <si>
    <t>Margaret Schiller</t>
  </si>
  <si>
    <t>FL-01-schiller_margaret-</t>
  </si>
  <si>
    <t>Margaret</t>
  </si>
  <si>
    <t>Schiller</t>
  </si>
  <si>
    <t>FL-02</t>
  </si>
  <si>
    <t>Neal Dunn</t>
  </si>
  <si>
    <t>FL-02-dunn_neal-</t>
  </si>
  <si>
    <t>@DunnCampaign</t>
  </si>
  <si>
    <t>@DrNealDunnFL2</t>
  </si>
  <si>
    <t>There was no Democratic primary or candidate in general</t>
  </si>
  <si>
    <t>FL-03</t>
  </si>
  <si>
    <t>Kat Cammack</t>
  </si>
  <si>
    <t>FL-03-cammack_kat-</t>
  </si>
  <si>
    <t>@Kat_Cammack</t>
  </si>
  <si>
    <t>@RepKatCammack</t>
  </si>
  <si>
    <t>Kat</t>
  </si>
  <si>
    <t>Cammack</t>
  </si>
  <si>
    <t>Danielle Hawk</t>
  </si>
  <si>
    <t>FL-03-hawk_danielle-</t>
  </si>
  <si>
    <t>@hawkforcongress</t>
  </si>
  <si>
    <t>Danielle</t>
  </si>
  <si>
    <t>Hawk</t>
  </si>
  <si>
    <t>Justin Waters</t>
  </si>
  <si>
    <t>FL-03-waters_justin-</t>
  </si>
  <si>
    <t>@justinwaterslaw</t>
  </si>
  <si>
    <t>Erick Aguilar</t>
  </si>
  <si>
    <t>FL-04-aguilar_erick-</t>
  </si>
  <si>
    <t>@ErickAguilarJAX</t>
  </si>
  <si>
    <t>Erick</t>
  </si>
  <si>
    <t>John Rutherford</t>
  </si>
  <si>
    <t>@RepRutherfordFL</t>
  </si>
  <si>
    <t>Jon Chuba</t>
  </si>
  <si>
    <t>Jon</t>
  </si>
  <si>
    <t>Marc</t>
  </si>
  <si>
    <t>Michael Waltz</t>
  </si>
  <si>
    <t>FL-06</t>
  </si>
  <si>
    <t>FL-06-waltz_michael-</t>
  </si>
  <si>
    <t>@michaelgwaltz</t>
  </si>
  <si>
    <t>@RepWaltzPress</t>
  </si>
  <si>
    <t>Waltz</t>
  </si>
  <si>
    <t>Erika Benfield</t>
  </si>
  <si>
    <t>FL-07-benfield_erika-</t>
  </si>
  <si>
    <t>@Erika_Benfield</t>
  </si>
  <si>
    <t>Erika</t>
  </si>
  <si>
    <t>Benfield</t>
  </si>
  <si>
    <t>Brady Duke</t>
  </si>
  <si>
    <t>FL-07-duke_brady-</t>
  </si>
  <si>
    <t>@bradydukefl</t>
  </si>
  <si>
    <t>Brady</t>
  </si>
  <si>
    <t>Duke</t>
  </si>
  <si>
    <t>Kevin McGovern</t>
  </si>
  <si>
    <t>McGovern</t>
  </si>
  <si>
    <t>Cory Mills</t>
  </si>
  <si>
    <t>FL-07-mills_cory-</t>
  </si>
  <si>
    <t>@CoryMillsFL</t>
  </si>
  <si>
    <t>Cory</t>
  </si>
  <si>
    <t>Mills</t>
  </si>
  <si>
    <t>Stephanie Murphy</t>
  </si>
  <si>
    <t>FL-07-murphy_stephanie-</t>
  </si>
  <si>
    <t>@SMurphyCongress</t>
  </si>
  <si>
    <t>@RepStephMurphy</t>
  </si>
  <si>
    <t>Stephanie</t>
  </si>
  <si>
    <t>Anthony Sabatini</t>
  </si>
  <si>
    <t>FL-07-sabatini_anthony-</t>
  </si>
  <si>
    <t>@AnthonySabatini</t>
  </si>
  <si>
    <t>Sabatini</t>
  </si>
  <si>
    <t>Scott Sturgill</t>
  </si>
  <si>
    <t>FL-07-sturgill_scott-</t>
  </si>
  <si>
    <t>@Scott_Sturgill</t>
  </si>
  <si>
    <t>Sturgill</t>
  </si>
  <si>
    <t>Danelle Dodge</t>
  </si>
  <si>
    <t>FL-08</t>
  </si>
  <si>
    <t>FL-08-dodge_danelle-</t>
  </si>
  <si>
    <t>@VoteDodge</t>
  </si>
  <si>
    <t>Danelle</t>
  </si>
  <si>
    <t>Dodge</t>
  </si>
  <si>
    <t>Bill Posey</t>
  </si>
  <si>
    <t>FL-08-posey_bill-</t>
  </si>
  <si>
    <t>@PoseyCampaign</t>
  </si>
  <si>
    <t>@congbillposey</t>
  </si>
  <si>
    <t>Bill</t>
  </si>
  <si>
    <t>Posey</t>
  </si>
  <si>
    <t>Joanne Terry</t>
  </si>
  <si>
    <t>FL-08-terry_joanne-</t>
  </si>
  <si>
    <t>Joanne</t>
  </si>
  <si>
    <t>FL-09</t>
  </si>
  <si>
    <t>Jose Castillo</t>
  </si>
  <si>
    <t>FL-09-castillo_jose-</t>
  </si>
  <si>
    <t>@JoseForFlorida</t>
  </si>
  <si>
    <t>Kenneth Hartpence</t>
  </si>
  <si>
    <t>Kenneth</t>
  </si>
  <si>
    <t>Becky</t>
  </si>
  <si>
    <t>Scotty Moore</t>
  </si>
  <si>
    <t>FL-09-moore_scotty-</t>
  </si>
  <si>
    <t>Scotty</t>
  </si>
  <si>
    <t>Sergio Ortiz</t>
  </si>
  <si>
    <t>FL-09-ortiz_sergio-</t>
  </si>
  <si>
    <t>@fl9congress</t>
  </si>
  <si>
    <t>Sergio</t>
  </si>
  <si>
    <t>Ortiz</t>
  </si>
  <si>
    <t>Darren Soto</t>
  </si>
  <si>
    <t>FL-09-soto_darren-</t>
  </si>
  <si>
    <t>@DarrenSoto</t>
  </si>
  <si>
    <t>@RepDarrenSoto</t>
  </si>
  <si>
    <t>Darren</t>
  </si>
  <si>
    <t>Soto</t>
  </si>
  <si>
    <t>Jack Achenbach</t>
  </si>
  <si>
    <t>FL-10</t>
  </si>
  <si>
    <t>FL-10-achenbach_jack-</t>
  </si>
  <si>
    <t>@JackAchenbach</t>
  </si>
  <si>
    <t>Achenbach</t>
  </si>
  <si>
    <t>Jeff Boone</t>
  </si>
  <si>
    <t>FL-10-boone_jeff-</t>
  </si>
  <si>
    <t>@CongressBoone</t>
  </si>
  <si>
    <t>Boone</t>
  </si>
  <si>
    <t>Randolph Bracy</t>
  </si>
  <si>
    <t>FL-10-bracy_randolph-</t>
  </si>
  <si>
    <t>@RandolphBracy</t>
  </si>
  <si>
    <t>Randolph Bracy III</t>
  </si>
  <si>
    <t>Randolph</t>
  </si>
  <si>
    <t>Bracy</t>
  </si>
  <si>
    <t>Val</t>
  </si>
  <si>
    <t>Maxwell Frost</t>
  </si>
  <si>
    <t>FL-10-frost_maxwell-</t>
  </si>
  <si>
    <t>@MaxwellFrostFL</t>
  </si>
  <si>
    <t>Frost</t>
  </si>
  <si>
    <t>Terence Gray</t>
  </si>
  <si>
    <t>FL-10-gray_terence-</t>
  </si>
  <si>
    <t>@TerenceGray4FL</t>
  </si>
  <si>
    <t>Terence</t>
  </si>
  <si>
    <t>Natalie Jackson</t>
  </si>
  <si>
    <t>FL-10-jackson_natalie-</t>
  </si>
  <si>
    <t>@NatJacksonFL10</t>
  </si>
  <si>
    <t>King</t>
  </si>
  <si>
    <t>Willie Montague</t>
  </si>
  <si>
    <t>FL-10-montague_willie-</t>
  </si>
  <si>
    <t>@repmontague</t>
  </si>
  <si>
    <t>Willie</t>
  </si>
  <si>
    <t>Montague</t>
  </si>
  <si>
    <t>Carter</t>
  </si>
  <si>
    <t>Troy</t>
  </si>
  <si>
    <t>Teresa Tachon</t>
  </si>
  <si>
    <t>FL-10-tachon_teresa-</t>
  </si>
  <si>
    <t>@TeresaTachon</t>
  </si>
  <si>
    <t>Teresa</t>
  </si>
  <si>
    <t>Tachon</t>
  </si>
  <si>
    <t>Angela</t>
  </si>
  <si>
    <t>Peter Weed</t>
  </si>
  <si>
    <t>FL-10-weed_peter-</t>
  </si>
  <si>
    <t>Weed</t>
  </si>
  <si>
    <t>Calvin Wimbish</t>
  </si>
  <si>
    <t>FL-10-wimbish_calvin-</t>
  </si>
  <si>
    <t>Calvin</t>
  </si>
  <si>
    <t>Wimbish</t>
  </si>
  <si>
    <t>Jack Martin</t>
  </si>
  <si>
    <t>Antonio</t>
  </si>
  <si>
    <t>Daniel Webster</t>
  </si>
  <si>
    <t>FL-11-webster_daniel-</t>
  </si>
  <si>
    <t>@WebsterCongress</t>
  </si>
  <si>
    <t>@RepWebster</t>
  </si>
  <si>
    <t>Webster</t>
  </si>
  <si>
    <t>Gus Bilirakis</t>
  </si>
  <si>
    <t>FL-12</t>
  </si>
  <si>
    <t>FL-12-bilirakis_gus-</t>
  </si>
  <si>
    <t>@Bilirakis</t>
  </si>
  <si>
    <t>@RepGusBilirakis</t>
  </si>
  <si>
    <t>Bilirakis</t>
  </si>
  <si>
    <t>Brian Perras</t>
  </si>
  <si>
    <t>FL-12-perras_brian-</t>
  </si>
  <si>
    <t>@bperras12</t>
  </si>
  <si>
    <t>Perras</t>
  </si>
  <si>
    <t>Sid Preskitt</t>
  </si>
  <si>
    <t>FL-12-preskitt_sid-</t>
  </si>
  <si>
    <t>Sid</t>
  </si>
  <si>
    <t>Preskitt</t>
  </si>
  <si>
    <t>Jeannette</t>
  </si>
  <si>
    <t>FL-13</t>
  </si>
  <si>
    <t>Charlie Crist</t>
  </si>
  <si>
    <t>FL-13-crist_charlie-</t>
  </si>
  <si>
    <t>@CharlieCrist</t>
  </si>
  <si>
    <t>@RepCharlieCrist</t>
  </si>
  <si>
    <t>Crist</t>
  </si>
  <si>
    <t>Kevin Hayslett</t>
  </si>
  <si>
    <t>FL-13-hayslett_kevin-</t>
  </si>
  <si>
    <t>@KevinHayslett</t>
  </si>
  <si>
    <t>Hayslett</t>
  </si>
  <si>
    <t>Audrey</t>
  </si>
  <si>
    <t>Moneer Kheireddine</t>
  </si>
  <si>
    <t>FL-13-kheireddine_moneer-</t>
  </si>
  <si>
    <t>Moneer</t>
  </si>
  <si>
    <t>Kheireddine</t>
  </si>
  <si>
    <t>Anna Paulina Luna</t>
  </si>
  <si>
    <t>FL-13-luna_anna-paulina-</t>
  </si>
  <si>
    <t>@VoteAPL</t>
  </si>
  <si>
    <t>Eric Lynn</t>
  </si>
  <si>
    <t>FL-13-lynn_eric-</t>
  </si>
  <si>
    <t>@EricLynnFL</t>
  </si>
  <si>
    <t>Lynn</t>
  </si>
  <si>
    <t>Amanda Makki</t>
  </si>
  <si>
    <t>FL-13-makki_amanda-</t>
  </si>
  <si>
    <t>@amandamakki</t>
  </si>
  <si>
    <t>Amanda</t>
  </si>
  <si>
    <t>Makki</t>
  </si>
  <si>
    <t>Christine Quinn</t>
  </si>
  <si>
    <t>FL-13-quinn_christine-</t>
  </si>
  <si>
    <t>@ElectQuinn</t>
  </si>
  <si>
    <t>Christine</t>
  </si>
  <si>
    <t>Quinn</t>
  </si>
  <si>
    <t>Lesbian</t>
  </si>
  <si>
    <t>Michele</t>
  </si>
  <si>
    <t>Christopher Bradley</t>
  </si>
  <si>
    <t>FL-14</t>
  </si>
  <si>
    <t>FL-14-bradley_christopher-</t>
  </si>
  <si>
    <t>Kathy Castor</t>
  </si>
  <si>
    <t>FL-14-castor_kathy-</t>
  </si>
  <si>
    <t>@KathyCastorFL</t>
  </si>
  <si>
    <t>@USRepKCastor</t>
  </si>
  <si>
    <t>Castor</t>
  </si>
  <si>
    <t>Scott Franklin</t>
  </si>
  <si>
    <t>FL-15</t>
  </si>
  <si>
    <t>Eddie Geller</t>
  </si>
  <si>
    <t>FL-15-geller_eddie-</t>
  </si>
  <si>
    <t>@gellered</t>
  </si>
  <si>
    <t>Eddie</t>
  </si>
  <si>
    <t>Geller</t>
  </si>
  <si>
    <t>Jesse</t>
  </si>
  <si>
    <t>Vern Buchanan</t>
  </si>
  <si>
    <t>FL-16</t>
  </si>
  <si>
    <t>FL-16-buchanan_vern-</t>
  </si>
  <si>
    <t>@Vern2014</t>
  </si>
  <si>
    <t>@VernBuchanan</t>
  </si>
  <si>
    <t>Vern</t>
  </si>
  <si>
    <t>Buchanan</t>
  </si>
  <si>
    <t>Martin Hyde</t>
  </si>
  <si>
    <t>FL-16-hyde_martin-</t>
  </si>
  <si>
    <t>FL-17</t>
  </si>
  <si>
    <t>Greg Steube</t>
  </si>
  <si>
    <t>FL-17-steube_greg-</t>
  </si>
  <si>
    <t>@gregsteube</t>
  </si>
  <si>
    <t>@RepGregSteube</t>
  </si>
  <si>
    <t>Steube</t>
  </si>
  <si>
    <t>Melissa Martz</t>
  </si>
  <si>
    <t>FL-18</t>
  </si>
  <si>
    <t>Brian Mast</t>
  </si>
  <si>
    <t>@BrianMastFL</t>
  </si>
  <si>
    <t>@RepBrianMast</t>
  </si>
  <si>
    <t>Cindy Banyai</t>
  </si>
  <si>
    <t>FL-19</t>
  </si>
  <si>
    <t>FL-19-banyai_cindy-</t>
  </si>
  <si>
    <t>@Cindy_Banyai_FL</t>
  </si>
  <si>
    <t>Cindy</t>
  </si>
  <si>
    <t>Banyai</t>
  </si>
  <si>
    <t>Byron Donalds</t>
  </si>
  <si>
    <t>FL-19-donalds_byron-</t>
  </si>
  <si>
    <t>@ByronDonalds</t>
  </si>
  <si>
    <t>@RepDonaldsPress</t>
  </si>
  <si>
    <t>Byron</t>
  </si>
  <si>
    <t>Donalds</t>
  </si>
  <si>
    <t>FL-20</t>
  </si>
  <si>
    <t>Christian - African Methodist Episcopal</t>
  </si>
  <si>
    <t>Dale Holness</t>
  </si>
  <si>
    <t>FL-20-holness_dale-</t>
  </si>
  <si>
    <t>@HolnessforFL</t>
  </si>
  <si>
    <t>Holness</t>
  </si>
  <si>
    <t>Lateresa Jones</t>
  </si>
  <si>
    <t>Leonard</t>
  </si>
  <si>
    <t>Deborah Adeimy</t>
  </si>
  <si>
    <t>FL-21</t>
  </si>
  <si>
    <t>Peter Arianas</t>
  </si>
  <si>
    <t>Jeffrey Buongiorno</t>
  </si>
  <si>
    <t>FL-21-buongiorno_jeffrey-</t>
  </si>
  <si>
    <t>@JBforFL</t>
  </si>
  <si>
    <t>Buongiorno</t>
  </si>
  <si>
    <t>Rod Dorilas</t>
  </si>
  <si>
    <t>Rod</t>
  </si>
  <si>
    <t>Keith</t>
  </si>
  <si>
    <t>Lois Frankel</t>
  </si>
  <si>
    <t>Dan Franzese</t>
  </si>
  <si>
    <t>Laura Loomer</t>
  </si>
  <si>
    <t>Laura</t>
  </si>
  <si>
    <t>Christy McLaughlin</t>
  </si>
  <si>
    <t>Ljubo Skrbic</t>
  </si>
  <si>
    <t>FL-21-skrbic_ljubo-</t>
  </si>
  <si>
    <t>@LjuboSkrbic</t>
  </si>
  <si>
    <t>Ljubo</t>
  </si>
  <si>
    <t>Skrbic</t>
  </si>
  <si>
    <t>FL-22</t>
  </si>
  <si>
    <t>Ted Deutch</t>
  </si>
  <si>
    <t>FL-22-deutch_ted-</t>
  </si>
  <si>
    <t>@TedDeutch</t>
  </si>
  <si>
    <t>@RepTedDeutch</t>
  </si>
  <si>
    <t>2010 Special</t>
  </si>
  <si>
    <t>Deutch</t>
  </si>
  <si>
    <t>James Pruden</t>
  </si>
  <si>
    <t>Darlene Swaffar</t>
  </si>
  <si>
    <t>FL-23</t>
  </si>
  <si>
    <t>Carla Spalding</t>
  </si>
  <si>
    <t>Carla</t>
  </si>
  <si>
    <t>Debbie Wasserman Schultz</t>
  </si>
  <si>
    <t>@DWStweets</t>
  </si>
  <si>
    <t>@RepDWStweets</t>
  </si>
  <si>
    <t>Rubin Young</t>
  </si>
  <si>
    <t>FL-24</t>
  </si>
  <si>
    <t>Kevin Harris</t>
  </si>
  <si>
    <t>FL-24-harris_kevin-</t>
  </si>
  <si>
    <t>Harris</t>
  </si>
  <si>
    <t>Christine Alexandria Olivo</t>
  </si>
  <si>
    <t>Frederica Wilson</t>
  </si>
  <si>
    <t>FL-24-wilson_frederica-</t>
  </si>
  <si>
    <t>@FSWInTheHouse</t>
  </si>
  <si>
    <t>@RepWilson</t>
  </si>
  <si>
    <t>Frederica</t>
  </si>
  <si>
    <t>Darren Dione Aquino</t>
  </si>
  <si>
    <t>FL-25</t>
  </si>
  <si>
    <t>Drew-Montez Clark</t>
  </si>
  <si>
    <t>Clark</t>
  </si>
  <si>
    <t>Mario Diaz-Balart</t>
  </si>
  <si>
    <t>@MarioDBCamp</t>
  </si>
  <si>
    <t>@MarioDB</t>
  </si>
  <si>
    <t>Mario</t>
  </si>
  <si>
    <t>Carlos Gimenez</t>
  </si>
  <si>
    <t>FL-26</t>
  </si>
  <si>
    <t>@CarlosGimenezFL</t>
  </si>
  <si>
    <t>@RepCarlos</t>
  </si>
  <si>
    <t>Carlos</t>
  </si>
  <si>
    <t>Juan Paredes</t>
  </si>
  <si>
    <t>Jeremiah</t>
  </si>
  <si>
    <t>FL-27</t>
  </si>
  <si>
    <t>Angel Montalvo</t>
  </si>
  <si>
    <t>FL-27-montalvo_angel-</t>
  </si>
  <si>
    <t>@MontalvoFL27</t>
  </si>
  <si>
    <t>Montalvo</t>
  </si>
  <si>
    <t>Frank Polo</t>
  </si>
  <si>
    <t>FL-27-polo_frank-</t>
  </si>
  <si>
    <t>@Polo4Congress</t>
  </si>
  <si>
    <t>Polo</t>
  </si>
  <si>
    <t>Maria Elvira Salazar</t>
  </si>
  <si>
    <t>FL-27-salazar_mariaelvira-</t>
  </si>
  <si>
    <t>@MaElviraSalazar</t>
  </si>
  <si>
    <t>@RepMariaSalazar</t>
  </si>
  <si>
    <t>Maria</t>
  </si>
  <si>
    <t>Salazar</t>
  </si>
  <si>
    <t>Rick Scott</t>
  </si>
  <si>
    <t>FL-Sen01</t>
  </si>
  <si>
    <t>FL-Sen01-scott_rick-</t>
  </si>
  <si>
    <t>@SenRickScott</t>
  </si>
  <si>
    <t>FL-Sen03</t>
  </si>
  <si>
    <t>Allen Ellison</t>
  </si>
  <si>
    <t>Allen</t>
  </si>
  <si>
    <t>Alan Grayson</t>
  </si>
  <si>
    <t>Miller</t>
  </si>
  <si>
    <t>Allek Pastrana</t>
  </si>
  <si>
    <t>Marco Rubio</t>
  </si>
  <si>
    <t>FL-Sen03-rubio_marco-</t>
  </si>
  <si>
    <t>@SenRubioPress</t>
  </si>
  <si>
    <t>Marco</t>
  </si>
  <si>
    <t>Rubio</t>
  </si>
  <si>
    <t>Ken Russell</t>
  </si>
  <si>
    <t>Russell</t>
  </si>
  <si>
    <t>William Sanchez</t>
  </si>
  <si>
    <t>FL-Sen03-sanchez_william-</t>
  </si>
  <si>
    <t>@SanchezForSen</t>
  </si>
  <si>
    <t>Watson</t>
  </si>
  <si>
    <t>Buddy Carter</t>
  </si>
  <si>
    <t>GA-01</t>
  </si>
  <si>
    <t>GA-01-carter_buddy-</t>
  </si>
  <si>
    <t>@Buddy_Carter</t>
  </si>
  <si>
    <t>@RepBuddyCarter</t>
  </si>
  <si>
    <t>Buddy</t>
  </si>
  <si>
    <t>Wade Herring</t>
  </si>
  <si>
    <t>GA-01-herring_wade-</t>
  </si>
  <si>
    <t>@wadeherringga1</t>
  </si>
  <si>
    <t>Wade</t>
  </si>
  <si>
    <t>Herring</t>
  </si>
  <si>
    <t>Michelle Munroe</t>
  </si>
  <si>
    <t>GA-01-munroe_michelle-</t>
  </si>
  <si>
    <t>Munroe</t>
  </si>
  <si>
    <t>GA-02</t>
  </si>
  <si>
    <t>Sanford Bishop</t>
  </si>
  <si>
    <t>GA-02-bishop_sanford-</t>
  </si>
  <si>
    <t>@SanfordBishop</t>
  </si>
  <si>
    <t>Bishop</t>
  </si>
  <si>
    <t>Vivian Childs</t>
  </si>
  <si>
    <t>GA-02-childs_vivian-</t>
  </si>
  <si>
    <t>@VivianChilds</t>
  </si>
  <si>
    <t>Vivian</t>
  </si>
  <si>
    <t>Childs</t>
  </si>
  <si>
    <t>Jeremy Hunt</t>
  </si>
  <si>
    <t>GA-02-hunt_jeremy-</t>
  </si>
  <si>
    <t>@thejeremyhunt</t>
  </si>
  <si>
    <t>Hunt</t>
  </si>
  <si>
    <t>Wayne Johnson</t>
  </si>
  <si>
    <t>GA-02-johnson_wayne-</t>
  </si>
  <si>
    <t>@WayneJohnson4GA</t>
  </si>
  <si>
    <t>Wayne</t>
  </si>
  <si>
    <t>Joseph O'Hara</t>
  </si>
  <si>
    <t>GA-02-ohara_joseph-</t>
  </si>
  <si>
    <t>Richard Robertson</t>
  </si>
  <si>
    <t>GA-02-robertson_richard-</t>
  </si>
  <si>
    <t>Chris West</t>
  </si>
  <si>
    <t>GA-02-west_chris-</t>
  </si>
  <si>
    <t>@ChrisWestGA</t>
  </si>
  <si>
    <t>Val Almonord</t>
  </si>
  <si>
    <t>GA-03</t>
  </si>
  <si>
    <t>GA-03-almonord_val-</t>
  </si>
  <si>
    <t>@valforcongress3</t>
  </si>
  <si>
    <t>Almonord</t>
  </si>
  <si>
    <t>Drew Ferguson</t>
  </si>
  <si>
    <t>GA-03-ferguson_drew-</t>
  </si>
  <si>
    <t>@DrewFergusonGA</t>
  </si>
  <si>
    <t>@RepDrewFerguson</t>
  </si>
  <si>
    <t>Christian - Nondenominational</t>
  </si>
  <si>
    <t>Drew</t>
  </si>
  <si>
    <t>Ferguson</t>
  </si>
  <si>
    <t>Rodney</t>
  </si>
  <si>
    <t>Simpson</t>
  </si>
  <si>
    <t>Hank Johnson</t>
  </si>
  <si>
    <t>GA-04-johnson_hank-</t>
  </si>
  <si>
    <t>@ReElectHank</t>
  </si>
  <si>
    <t>@RepHankJohnson</t>
  </si>
  <si>
    <t>Buddhist - Soka Gakkai</t>
  </si>
  <si>
    <t>Hank</t>
  </si>
  <si>
    <t>GA-05</t>
  </si>
  <si>
    <t>Nikema Williams</t>
  </si>
  <si>
    <t>GA-05-williams_nikema-</t>
  </si>
  <si>
    <t>@NikemaWilliams</t>
  </si>
  <si>
    <t>@RepNikema</t>
  </si>
  <si>
    <t>Nikema</t>
  </si>
  <si>
    <t>Christian Zimm</t>
  </si>
  <si>
    <t>GA-05-zimm_christian-</t>
  </si>
  <si>
    <t>Zimm</t>
  </si>
  <si>
    <t>Jonathan Chavez</t>
  </si>
  <si>
    <t>GA-06</t>
  </si>
  <si>
    <t>Chavez</t>
  </si>
  <si>
    <t>Jake Evans</t>
  </si>
  <si>
    <t>GA-06-evans_jake-</t>
  </si>
  <si>
    <t>@JakeEvansGA</t>
  </si>
  <si>
    <t>Byron Gatewood</t>
  </si>
  <si>
    <t>GA-06-gatewood_byron-</t>
  </si>
  <si>
    <t>@GatewoodforGA</t>
  </si>
  <si>
    <t>Gatewood</t>
  </si>
  <si>
    <t>Meagan Hanson</t>
  </si>
  <si>
    <t>GA-06-hanson_meagan-</t>
  </si>
  <si>
    <t>@HansonforHouse</t>
  </si>
  <si>
    <t>Meagan</t>
  </si>
  <si>
    <t>Hanson</t>
  </si>
  <si>
    <t>Blake Harbin</t>
  </si>
  <si>
    <t>GA-06-harbin_blake-</t>
  </si>
  <si>
    <t>@BlakeHarbinGA</t>
  </si>
  <si>
    <t>Harbin</t>
  </si>
  <si>
    <t>Rich McCormick</t>
  </si>
  <si>
    <t>GA-06-mccormick_rick-</t>
  </si>
  <si>
    <t>@RichforGA</t>
  </si>
  <si>
    <t>McCormick</t>
  </si>
  <si>
    <t>Mallory Staples</t>
  </si>
  <si>
    <t>GA-06-staples_mallory-</t>
  </si>
  <si>
    <t>Mallory</t>
  </si>
  <si>
    <t>Staples</t>
  </si>
  <si>
    <t>Suzi Voyles</t>
  </si>
  <si>
    <t>GA-06-voyles_suzi-</t>
  </si>
  <si>
    <t>@SuziVoyles</t>
  </si>
  <si>
    <t>Suzi</t>
  </si>
  <si>
    <t>Voyles</t>
  </si>
  <si>
    <t>Eugene Yu</t>
  </si>
  <si>
    <t>GA-06-yu_eugene-</t>
  </si>
  <si>
    <t>@yuforcongress</t>
  </si>
  <si>
    <t>Carolyn Bourdeaux</t>
  </si>
  <si>
    <t>GA-07</t>
  </si>
  <si>
    <t>GA-07-bourdeaux_carolyn-</t>
  </si>
  <si>
    <t>@Carolyn4GA7</t>
  </si>
  <si>
    <t>@RepBourdeaux</t>
  </si>
  <si>
    <t>Bourdeaux</t>
  </si>
  <si>
    <t>Michael Corbin</t>
  </si>
  <si>
    <t>GA-07-corbin_michael-</t>
  </si>
  <si>
    <t>@Corbin4Congress</t>
  </si>
  <si>
    <t>Corbin</t>
  </si>
  <si>
    <t>Mark Gonsalves</t>
  </si>
  <si>
    <t>GA-07-gonsalves_mark-</t>
  </si>
  <si>
    <t>@MarkCongressGA7</t>
  </si>
  <si>
    <t>Gonsalves</t>
  </si>
  <si>
    <t>Lucy McBath</t>
  </si>
  <si>
    <t>@lucymcbath</t>
  </si>
  <si>
    <t>@RepLucyMcBath</t>
  </si>
  <si>
    <t>Lucy</t>
  </si>
  <si>
    <t>McBath</t>
  </si>
  <si>
    <t>Donna McLeod</t>
  </si>
  <si>
    <t>GA-07-mcleod_donna-</t>
  </si>
  <si>
    <t>@RepDonnaMcLeod</t>
  </si>
  <si>
    <t>McLeod</t>
  </si>
  <si>
    <t>Darrius Butler</t>
  </si>
  <si>
    <t>GA-08</t>
  </si>
  <si>
    <t>GA-08-butler_darrius-</t>
  </si>
  <si>
    <t>@RevDButler</t>
  </si>
  <si>
    <t>Darrius</t>
  </si>
  <si>
    <t>Butler</t>
  </si>
  <si>
    <t>Austin Scott</t>
  </si>
  <si>
    <t>GA-08-scott_austin-</t>
  </si>
  <si>
    <t>@AustinScott4GA</t>
  </si>
  <si>
    <t>@AustinScottGA08</t>
  </si>
  <si>
    <t>Austin</t>
  </si>
  <si>
    <t>Andrew Clyde</t>
  </si>
  <si>
    <t>GA-09</t>
  </si>
  <si>
    <t>GA-09-clyde_andrew-</t>
  </si>
  <si>
    <t>Clyde</t>
  </si>
  <si>
    <t>Michael Ford</t>
  </si>
  <si>
    <t>GA-09-ford_michael-</t>
  </si>
  <si>
    <t>Ford</t>
  </si>
  <si>
    <t>Benjamin Souther</t>
  </si>
  <si>
    <t>GA-09-souther_benjamin-</t>
  </si>
  <si>
    <t>@ben_souther</t>
  </si>
  <si>
    <t>Souther</t>
  </si>
  <si>
    <t>Paul Walton</t>
  </si>
  <si>
    <t>Walton</t>
  </si>
  <si>
    <t>GA-10</t>
  </si>
  <si>
    <t>Timothy Barr</t>
  </si>
  <si>
    <t>GA-10-barr_timothy-</t>
  </si>
  <si>
    <t>@patriotbarr</t>
  </si>
  <si>
    <t>Barr</t>
  </si>
  <si>
    <t>Paul Broun</t>
  </si>
  <si>
    <t>GA-10-broun_paul-</t>
  </si>
  <si>
    <t>@PaulBrounforGA</t>
  </si>
  <si>
    <t>Broun</t>
  </si>
  <si>
    <t>Mike Collins</t>
  </si>
  <si>
    <t>GA-10-collins_mike-</t>
  </si>
  <si>
    <t>@mikecollinsga</t>
  </si>
  <si>
    <t>David Curry</t>
  </si>
  <si>
    <t>GA-10-curry_david-</t>
  </si>
  <si>
    <t>@DavidCurryGA</t>
  </si>
  <si>
    <t>Jessica Fore</t>
  </si>
  <si>
    <t>GA-10-fore_jessica-</t>
  </si>
  <si>
    <t>@JessicaForeGA</t>
  </si>
  <si>
    <t>Fore</t>
  </si>
  <si>
    <t>Phyllis Hatcher</t>
  </si>
  <si>
    <t>GA-10-hatcher_phyllis-</t>
  </si>
  <si>
    <t>@hatcherford10</t>
  </si>
  <si>
    <t>Hatcher</t>
  </si>
  <si>
    <t>Todd</t>
  </si>
  <si>
    <t>Vernon Jones</t>
  </si>
  <si>
    <t>GA-10-jones_vernon-</t>
  </si>
  <si>
    <t>@RepVernonJones</t>
  </si>
  <si>
    <t>Vernon</t>
  </si>
  <si>
    <t>Marc McMain</t>
  </si>
  <si>
    <t>GA-10-mcmain_marc-</t>
  </si>
  <si>
    <t>McMain</t>
  </si>
  <si>
    <t>Richards</t>
  </si>
  <si>
    <t>Alan Sims</t>
  </si>
  <si>
    <t>GA-10-sims_alan-</t>
  </si>
  <si>
    <t>@alansimsga</t>
  </si>
  <si>
    <t>Sims</t>
  </si>
  <si>
    <t>Mitchell Swan</t>
  </si>
  <si>
    <t>GA-10-swan_mitchell-</t>
  </si>
  <si>
    <t>@swan4congress</t>
  </si>
  <si>
    <t>Swan</t>
  </si>
  <si>
    <t>Mary West</t>
  </si>
  <si>
    <t>GA-11</t>
  </si>
  <si>
    <t>Cannon</t>
  </si>
  <si>
    <t>Antonio Daza-Fernandez</t>
  </si>
  <si>
    <t>GA-11-daza_antonio-</t>
  </si>
  <si>
    <t>@VoteDaza2022</t>
  </si>
  <si>
    <t>Heather</t>
  </si>
  <si>
    <t>Barry Loudermilk</t>
  </si>
  <si>
    <t>GA-11-loudermilk_barry-</t>
  </si>
  <si>
    <t>@standwithbarry</t>
  </si>
  <si>
    <t>@RepLoudermilk</t>
  </si>
  <si>
    <t>Loudermilk</t>
  </si>
  <si>
    <t>Rick Allen</t>
  </si>
  <si>
    <t>GA-12</t>
  </si>
  <si>
    <t>GA-12-allen_rick-</t>
  </si>
  <si>
    <t>@rickallen</t>
  </si>
  <si>
    <t>@RepRickAllen</t>
  </si>
  <si>
    <t>Liz Johnson</t>
  </si>
  <si>
    <t>GA-12-johnson_liz-</t>
  </si>
  <si>
    <t>@lizjohnsonforus</t>
  </si>
  <si>
    <t>Liz</t>
  </si>
  <si>
    <t>Mark Baker</t>
  </si>
  <si>
    <t>GA-13</t>
  </si>
  <si>
    <t>GA-13-baker_mark-</t>
  </si>
  <si>
    <t>Baker</t>
  </si>
  <si>
    <t>Vincent Fort</t>
  </si>
  <si>
    <t>GA-13-fort_vincent-</t>
  </si>
  <si>
    <t>@fortforatlanta</t>
  </si>
  <si>
    <t>Vincent</t>
  </si>
  <si>
    <t>Fort</t>
  </si>
  <si>
    <t>Calina Plotky</t>
  </si>
  <si>
    <t>GA-13-plotky_calina-</t>
  </si>
  <si>
    <t>@CalinaPlotky</t>
  </si>
  <si>
    <t>Calina</t>
  </si>
  <si>
    <t>Plotky</t>
  </si>
  <si>
    <t>David Scott</t>
  </si>
  <si>
    <t>GA-13-scott_david-</t>
  </si>
  <si>
    <t>@electdavidscott</t>
  </si>
  <si>
    <t>@repdavidscott</t>
  </si>
  <si>
    <t>GA-14</t>
  </si>
  <si>
    <t>Clay</t>
  </si>
  <si>
    <t>Eric Cunningham</t>
  </si>
  <si>
    <t>GA-14-cunningham_eric-</t>
  </si>
  <si>
    <t>@EricBCunningham</t>
  </si>
  <si>
    <t>Cunningham</t>
  </si>
  <si>
    <t>Wendy Davis</t>
  </si>
  <si>
    <t>GA-14-davis_wendy-</t>
  </si>
  <si>
    <t>@wendyforus</t>
  </si>
  <si>
    <t>Wendy</t>
  </si>
  <si>
    <t>Davis</t>
  </si>
  <si>
    <t>Marcus Flowers</t>
  </si>
  <si>
    <t>GA-14-flowers_marcus-</t>
  </si>
  <si>
    <t>@Marcus4Georgia</t>
  </si>
  <si>
    <t>Marcus</t>
  </si>
  <si>
    <t>Flowers</t>
  </si>
  <si>
    <t>Marjorie Taylor Greene</t>
  </si>
  <si>
    <t>GA-14-greene_marjorietaylor-</t>
  </si>
  <si>
    <t>@mtgreenee</t>
  </si>
  <si>
    <t>@RepMTG</t>
  </si>
  <si>
    <t>Marjorie</t>
  </si>
  <si>
    <t>Greene</t>
  </si>
  <si>
    <t>Charles Lutin</t>
  </si>
  <si>
    <t>GA-14-lutin_charles-</t>
  </si>
  <si>
    <t>@CharlesLutin</t>
  </si>
  <si>
    <t>Lutin</t>
  </si>
  <si>
    <t>Holly McCormack</t>
  </si>
  <si>
    <t>GA-14-mccormack_holly-</t>
  </si>
  <si>
    <t>@Holly_4Congress</t>
  </si>
  <si>
    <t>Holly</t>
  </si>
  <si>
    <t>McCormack</t>
  </si>
  <si>
    <t>Jennifer Strahan</t>
  </si>
  <si>
    <t>GA-14-strahan_jennifer-</t>
  </si>
  <si>
    <t>Strahan</t>
  </si>
  <si>
    <t>Jon Ossoff</t>
  </si>
  <si>
    <t>GA-Sen02</t>
  </si>
  <si>
    <t>GA-Sen02-ossoff_jon-</t>
  </si>
  <si>
    <t>@ossoff</t>
  </si>
  <si>
    <t>@SenOssoff</t>
  </si>
  <si>
    <t>Ossoff</t>
  </si>
  <si>
    <t>Gary Black</t>
  </si>
  <si>
    <t>GA-Sen03</t>
  </si>
  <si>
    <t>GA-Sen03-black_gary-</t>
  </si>
  <si>
    <t>@garyblackforga</t>
  </si>
  <si>
    <t>Black</t>
  </si>
  <si>
    <t>Josh Clark</t>
  </si>
  <si>
    <t>GA-Sen03-clark_josh-</t>
  </si>
  <si>
    <t>@JoshClarkGA</t>
  </si>
  <si>
    <t>Jared Craig</t>
  </si>
  <si>
    <t>Kelvin King</t>
  </si>
  <si>
    <t>GA-Sen03-king_kelvin-</t>
  </si>
  <si>
    <t>@kelvinking4ga</t>
  </si>
  <si>
    <t>Kelvin</t>
  </si>
  <si>
    <t>Jonathan McColumn</t>
  </si>
  <si>
    <t>GA-Sen03-mccolumn_jonathan-</t>
  </si>
  <si>
    <t>McColumn</t>
  </si>
  <si>
    <t>Latham Saddler</t>
  </si>
  <si>
    <t>GA-Sen03-saddler_latham-</t>
  </si>
  <si>
    <t>@LathamSaddler</t>
  </si>
  <si>
    <t>Latham</t>
  </si>
  <si>
    <t>Saddler</t>
  </si>
  <si>
    <t>Herschel Walker</t>
  </si>
  <si>
    <t>GA-Sen03-walker_herschel-</t>
  </si>
  <si>
    <t>@HerschelWalker</t>
  </si>
  <si>
    <t>Herschel</t>
  </si>
  <si>
    <t>Walker</t>
  </si>
  <si>
    <t>Raphael Warnock</t>
  </si>
  <si>
    <t>GA-Sen03-warnock_raphael-</t>
  </si>
  <si>
    <t>@ReverendWarnock</t>
  </si>
  <si>
    <t>@SenatorWarnock</t>
  </si>
  <si>
    <t>Warnock</t>
  </si>
  <si>
    <t>Sergio Alcubilla</t>
  </si>
  <si>
    <t>HI-01-alcubilla_sergio-</t>
  </si>
  <si>
    <t>@sergio4hawaii</t>
  </si>
  <si>
    <t>Alcubilla</t>
  </si>
  <si>
    <t>HI-02</t>
  </si>
  <si>
    <t>Conrad Kress</t>
  </si>
  <si>
    <t>Mazie Hirono</t>
  </si>
  <si>
    <t>HI-Sen01</t>
  </si>
  <si>
    <t>HI-Sen01-hirono_mazie-</t>
  </si>
  <si>
    <t>@maziehirono</t>
  </si>
  <si>
    <t>Mazie</t>
  </si>
  <si>
    <t>Hirono</t>
  </si>
  <si>
    <t>Bob McDermott</t>
  </si>
  <si>
    <t>HI-Sen03</t>
  </si>
  <si>
    <t>HI-Sen03-mcdermott_bob-</t>
  </si>
  <si>
    <t>Bob</t>
  </si>
  <si>
    <t>McDermott</t>
  </si>
  <si>
    <t>Brian Schatz</t>
  </si>
  <si>
    <t>HI-Sen03-schatz_brian-</t>
  </si>
  <si>
    <t>@SenBrianSchatz</t>
  </si>
  <si>
    <t>Schatz</t>
  </si>
  <si>
    <t>Ashley Hinson</t>
  </si>
  <si>
    <t>IA-01</t>
  </si>
  <si>
    <t>@hinsonashley</t>
  </si>
  <si>
    <t>@RepAshleyHinson</t>
  </si>
  <si>
    <t>Ashley</t>
  </si>
  <si>
    <t>Hinson</t>
  </si>
  <si>
    <t>Liz Mathis</t>
  </si>
  <si>
    <t>@LizMathis1</t>
  </si>
  <si>
    <t>Mathis</t>
  </si>
  <si>
    <t>Christina Bohannan</t>
  </si>
  <si>
    <t>IA-02</t>
  </si>
  <si>
    <t>@BohannonIowa</t>
  </si>
  <si>
    <t>Christina</t>
  </si>
  <si>
    <t>Bohannan</t>
  </si>
  <si>
    <t>Kerner</t>
  </si>
  <si>
    <t>Mariannette Miller-Meeks</t>
  </si>
  <si>
    <t>@millermeeks</t>
  </si>
  <si>
    <t>@RepMMM</t>
  </si>
  <si>
    <t>Mariannette</t>
  </si>
  <si>
    <t>Miller-Meeks</t>
  </si>
  <si>
    <t>Cindy Axne</t>
  </si>
  <si>
    <t>IA-03</t>
  </si>
  <si>
    <t>IA-03-axne_cindy-</t>
  </si>
  <si>
    <t>@Axne4Congress</t>
  </si>
  <si>
    <t>@RepCindyAxne</t>
  </si>
  <si>
    <t>Axne</t>
  </si>
  <si>
    <t>Nicole Hasso</t>
  </si>
  <si>
    <t>IA-03-hasso_nicole-</t>
  </si>
  <si>
    <t>@nicolehasso</t>
  </si>
  <si>
    <t>Hasso</t>
  </si>
  <si>
    <t>Gary Leffler</t>
  </si>
  <si>
    <t>IA-03-leffler_gary-</t>
  </si>
  <si>
    <t>Leffler</t>
  </si>
  <si>
    <t>Zach Nunn</t>
  </si>
  <si>
    <t>IA-03-nunn_zach-</t>
  </si>
  <si>
    <t>@nunnforcongress</t>
  </si>
  <si>
    <t>Zach</t>
  </si>
  <si>
    <t>Nunn</t>
  </si>
  <si>
    <t>Randy Feenstra</t>
  </si>
  <si>
    <t>IA-04</t>
  </si>
  <si>
    <t>IA-04-feenstra_randy-</t>
  </si>
  <si>
    <t>@RandyFeenstra</t>
  </si>
  <si>
    <t>@RepFeenstra</t>
  </si>
  <si>
    <t>Feenstra</t>
  </si>
  <si>
    <t>IA-04-melton_ryan-</t>
  </si>
  <si>
    <t>Melton</t>
  </si>
  <si>
    <t>Joni Ernst</t>
  </si>
  <si>
    <t>IA-Sen02</t>
  </si>
  <si>
    <t>IA-Sen02-ernst_joni-</t>
  </si>
  <si>
    <t>@joniernst</t>
  </si>
  <si>
    <t>@SenJoniErnst</t>
  </si>
  <si>
    <t>Joni</t>
  </si>
  <si>
    <t>Ernst</t>
  </si>
  <si>
    <t>Jim Carlin</t>
  </si>
  <si>
    <t>IA-Sen03</t>
  </si>
  <si>
    <t>IA-Sen03-carlin_jim-</t>
  </si>
  <si>
    <t>@carlinforsenate</t>
  </si>
  <si>
    <t>other handle: @carlinussenate</t>
  </si>
  <si>
    <t>Carlin</t>
  </si>
  <si>
    <t>Abby Finkenauer</t>
  </si>
  <si>
    <t>IA-Sen03-finkenauer_abby-</t>
  </si>
  <si>
    <t>@Abby4Iowa</t>
  </si>
  <si>
    <t>Abby</t>
  </si>
  <si>
    <t>Finkenauer</t>
  </si>
  <si>
    <t>Michael Franken</t>
  </si>
  <si>
    <t>IA-Sen03-franken_michael-</t>
  </si>
  <si>
    <t>@FrankenForIowa</t>
  </si>
  <si>
    <t>Franken</t>
  </si>
  <si>
    <t>Chuck Grassley</t>
  </si>
  <si>
    <t>IA-Sen03-grassley_chuck-</t>
  </si>
  <si>
    <t>@ChuckGrassley</t>
  </si>
  <si>
    <t>Grassley</t>
  </si>
  <si>
    <t>Glenn Hurst</t>
  </si>
  <si>
    <t>IA-Sen03-hurst_glenn-</t>
  </si>
  <si>
    <t>@DrGlennHurst</t>
  </si>
  <si>
    <t>Hurst</t>
  </si>
  <si>
    <t>ID-01</t>
  </si>
  <si>
    <t>Russ Fulcher</t>
  </si>
  <si>
    <t>ID-01-fulcher_russ-</t>
  </si>
  <si>
    <t>@RussFulcher</t>
  </si>
  <si>
    <t>@RepRussFulcher</t>
  </si>
  <si>
    <t>Russ</t>
  </si>
  <si>
    <t>Fulcher</t>
  </si>
  <si>
    <t>Mike Simpson</t>
  </si>
  <si>
    <t>ID-02</t>
  </si>
  <si>
    <t>ID-02-simpson_mike-</t>
  </si>
  <si>
    <t>@MikeSimpson4ID</t>
  </si>
  <si>
    <t>@CongMikeSimpson</t>
  </si>
  <si>
    <t>Bryan Smith</t>
  </si>
  <si>
    <t>ID-02-smith_bryan-</t>
  </si>
  <si>
    <t>Jim Risch</t>
  </si>
  <si>
    <t>ID-Sen02</t>
  </si>
  <si>
    <t>ID-Sen02-risch_jim-</t>
  </si>
  <si>
    <t>@Risch4Idaho</t>
  </si>
  <si>
    <t>@SenatorRisch</t>
  </si>
  <si>
    <t>Risch</t>
  </si>
  <si>
    <t>Brenda Bourn</t>
  </si>
  <si>
    <t>ID-Sen03</t>
  </si>
  <si>
    <t>ID-Sen03-bourn_brenda-</t>
  </si>
  <si>
    <t>Brenda</t>
  </si>
  <si>
    <t>Bourn</t>
  </si>
  <si>
    <t>Mike Crapo</t>
  </si>
  <si>
    <t>ID-Sen03-crapo_mike-</t>
  </si>
  <si>
    <t>@MikeCrapo</t>
  </si>
  <si>
    <t>Crapo</t>
  </si>
  <si>
    <t>Gilbert</t>
  </si>
  <si>
    <t>Scott Trotter</t>
  </si>
  <si>
    <t>ID-Sen03-trotter_scott-</t>
  </si>
  <si>
    <t>Kirby Birgans</t>
  </si>
  <si>
    <t>IL-01</t>
  </si>
  <si>
    <t>IL-01-birgans_kirby-</t>
  </si>
  <si>
    <t>@birganskirby</t>
  </si>
  <si>
    <t>Kirby</t>
  </si>
  <si>
    <t>Birgans</t>
  </si>
  <si>
    <t>Chris Butler</t>
  </si>
  <si>
    <t>IL-01-butler_chris-</t>
  </si>
  <si>
    <t>@christhecitizen</t>
  </si>
  <si>
    <t>Eric Carlson</t>
  </si>
  <si>
    <t>IL-01-carlson_eric-</t>
  </si>
  <si>
    <t>@EricCarlsonIL01</t>
  </si>
  <si>
    <t>Carlson</t>
  </si>
  <si>
    <t>Jahmal Cole</t>
  </si>
  <si>
    <t>IL-01-cole_jahmal-</t>
  </si>
  <si>
    <t>@JahmalCole2022</t>
  </si>
  <si>
    <t>Jahmal</t>
  </si>
  <si>
    <t>Cole</t>
  </si>
  <si>
    <t>Jacqueline Collins</t>
  </si>
  <si>
    <t>IL-01-collins_jacqueline-</t>
  </si>
  <si>
    <t>Jacqueline</t>
  </si>
  <si>
    <t>Pat Dowell</t>
  </si>
  <si>
    <t>IL-01-dowell_pat-</t>
  </si>
  <si>
    <t>@ILforDowell</t>
  </si>
  <si>
    <t>Pat</t>
  </si>
  <si>
    <t>Cassandra Goodrum</t>
  </si>
  <si>
    <t>IL-01-goodrum_cassandra-</t>
  </si>
  <si>
    <t>Cassandra</t>
  </si>
  <si>
    <t>Goodrum</t>
  </si>
  <si>
    <t>Jonathan Jackson</t>
  </si>
  <si>
    <t>IL-01-jackson_jonathan-</t>
  </si>
  <si>
    <t>Marcus Lewis</t>
  </si>
  <si>
    <t>IL-01-lewis_marcus-</t>
  </si>
  <si>
    <t>Lewis</t>
  </si>
  <si>
    <t>Nykea Pippion McGriff</t>
  </si>
  <si>
    <t>IL-01-mcgriff_nykea-</t>
  </si>
  <si>
    <t>Nykea</t>
  </si>
  <si>
    <t>Karin Norington-Reaves</t>
  </si>
  <si>
    <t>IL-01-norington_karin-</t>
  </si>
  <si>
    <t>@votekarin</t>
  </si>
  <si>
    <t>Karin</t>
  </si>
  <si>
    <t>Norington-Reaves</t>
  </si>
  <si>
    <t>Payne</t>
  </si>
  <si>
    <t>Bobby</t>
  </si>
  <si>
    <t>Rush</t>
  </si>
  <si>
    <t>Jonathan Swain</t>
  </si>
  <si>
    <t>IL-01-swain_jonathan-</t>
  </si>
  <si>
    <t>@swain4us</t>
  </si>
  <si>
    <t>Swain</t>
  </si>
  <si>
    <t>Michael Thompson</t>
  </si>
  <si>
    <t>IL-01-thompson_michael-</t>
  </si>
  <si>
    <t>@mathompson_jr</t>
  </si>
  <si>
    <t>Christian - Pentecostal</t>
  </si>
  <si>
    <t>Charise Williams</t>
  </si>
  <si>
    <t>IL-01-williams_charise-</t>
  </si>
  <si>
    <t>Charise</t>
  </si>
  <si>
    <t>Robin Kelly</t>
  </si>
  <si>
    <t>IL-02</t>
  </si>
  <si>
    <t>IL-02-kelly_robin-</t>
  </si>
  <si>
    <t>@RobinLynneKelly</t>
  </si>
  <si>
    <t>@RepRobinKelly</t>
  </si>
  <si>
    <t>Robin</t>
  </si>
  <si>
    <t>Ashley Ramos</t>
  </si>
  <si>
    <t>IL-02-ramos_ashley-</t>
  </si>
  <si>
    <t>Ramos</t>
  </si>
  <si>
    <t>Iymen Chehade</t>
  </si>
  <si>
    <t>IL-03</t>
  </si>
  <si>
    <t>IL-03-chehade_iymen-</t>
  </si>
  <si>
    <t>@iymen4congress</t>
  </si>
  <si>
    <t>Iymen</t>
  </si>
  <si>
    <t>Chehade</t>
  </si>
  <si>
    <t>Rob</t>
  </si>
  <si>
    <t>Cruz</t>
  </si>
  <si>
    <t>Marie Newman</t>
  </si>
  <si>
    <t>@Marie4Congress</t>
  </si>
  <si>
    <t>@RepMarieNewman</t>
  </si>
  <si>
    <t>Delia Ramirez</t>
  </si>
  <si>
    <t>IL-03-ramirez_delia-</t>
  </si>
  <si>
    <t>@Delia4Congress</t>
  </si>
  <si>
    <t>Delia</t>
  </si>
  <si>
    <t>Ramirez</t>
  </si>
  <si>
    <t>Gilbert Villegas</t>
  </si>
  <si>
    <t>IL-03-villegas_gilbert-</t>
  </si>
  <si>
    <t>Villegas</t>
  </si>
  <si>
    <t>Chuy Garcia</t>
  </si>
  <si>
    <t>IL-04</t>
  </si>
  <si>
    <t>IL-04-garcia_chuy-</t>
  </si>
  <si>
    <t>@ChuyForCongress</t>
  </si>
  <si>
    <t>@RepChuyGarcia</t>
  </si>
  <si>
    <t>Chuy</t>
  </si>
  <si>
    <t>IL-05</t>
  </si>
  <si>
    <t>Bowman</t>
  </si>
  <si>
    <t>Mike Quigley</t>
  </si>
  <si>
    <t>IL-05-quigley_mike-</t>
  </si>
  <si>
    <t>@QuigleyCampaign</t>
  </si>
  <si>
    <t>@RepMikeQuigley</t>
  </si>
  <si>
    <t>Quigley</t>
  </si>
  <si>
    <t>Justin Burau</t>
  </si>
  <si>
    <t>IL-06</t>
  </si>
  <si>
    <t>Burau</t>
  </si>
  <si>
    <t>Sean Casten</t>
  </si>
  <si>
    <t>IL-06-casten_sean-</t>
  </si>
  <si>
    <t>@SeanCasten</t>
  </si>
  <si>
    <t>@RepCasten</t>
  </si>
  <si>
    <t>Casten</t>
  </si>
  <si>
    <t>Niki Conforti</t>
  </si>
  <si>
    <t>IL-06-conforti_niki-</t>
  </si>
  <si>
    <t>@Niki_Conforti</t>
  </si>
  <si>
    <t>Niki</t>
  </si>
  <si>
    <t>Conforti</t>
  </si>
  <si>
    <t>Gary Grasso</t>
  </si>
  <si>
    <t>IL-06-grasso_gary-</t>
  </si>
  <si>
    <t>Grasso</t>
  </si>
  <si>
    <t>Scott Kaspar</t>
  </si>
  <si>
    <t>IL-06-kaspar_scott-</t>
  </si>
  <si>
    <t>@Kaspar4Congress</t>
  </si>
  <si>
    <t>Kaspar</t>
  </si>
  <si>
    <t>Keith Pekau</t>
  </si>
  <si>
    <t>IL-06-pekau_keith-</t>
  </si>
  <si>
    <t>@KeithPekau</t>
  </si>
  <si>
    <t>Pekau</t>
  </si>
  <si>
    <t>Kina Collins</t>
  </si>
  <si>
    <t>IL-07</t>
  </si>
  <si>
    <t>IL-07-collins_kina-</t>
  </si>
  <si>
    <t>@kinacollinsIL</t>
  </si>
  <si>
    <t>Kina</t>
  </si>
  <si>
    <t>Danny Davis</t>
  </si>
  <si>
    <t>IL-07-davis_danny-</t>
  </si>
  <si>
    <t>@DannyKDavis7th</t>
  </si>
  <si>
    <t>@RepDannyDavis</t>
  </si>
  <si>
    <t>Junaid Ahmed</t>
  </si>
  <si>
    <t>IL-08</t>
  </si>
  <si>
    <t>IL-08-ahmed_junaid-</t>
  </si>
  <si>
    <t>@JunaidForUs</t>
  </si>
  <si>
    <t>Junaid</t>
  </si>
  <si>
    <t>Ahmed</t>
  </si>
  <si>
    <t>Karen Kolodziej</t>
  </si>
  <si>
    <t>IL-08-kolodziej_karen-</t>
  </si>
  <si>
    <t>Kolodziej</t>
  </si>
  <si>
    <t>Peter Kopsaftis</t>
  </si>
  <si>
    <t>IL-08-kopsaftis_peter-</t>
  </si>
  <si>
    <t>Kopsaftis</t>
  </si>
  <si>
    <t>Raja Krishnamoorthi</t>
  </si>
  <si>
    <t>IL-08-krishnamoorthi_raja-</t>
  </si>
  <si>
    <t>@RajaForCongress</t>
  </si>
  <si>
    <t>@CongressmanRaja</t>
  </si>
  <si>
    <t>Raja</t>
  </si>
  <si>
    <t>Krishnamoorthi</t>
  </si>
  <si>
    <t>IL-09</t>
  </si>
  <si>
    <t>Jan Schakowsky</t>
  </si>
  <si>
    <t>IL-09-schakowsky_jan-</t>
  </si>
  <si>
    <t>@janschakowsky</t>
  </si>
  <si>
    <t>@RepSchakowsky</t>
  </si>
  <si>
    <t>Schakowsky</t>
  </si>
  <si>
    <t>IL-10</t>
  </si>
  <si>
    <t>Brad Schneider</t>
  </si>
  <si>
    <t>IL-10-schneider_brad-</t>
  </si>
  <si>
    <t>@Schneider4IL10</t>
  </si>
  <si>
    <t>@RepSchneider</t>
  </si>
  <si>
    <t>Schneider</t>
  </si>
  <si>
    <t>Jerry Evans</t>
  </si>
  <si>
    <t>IL-11</t>
  </si>
  <si>
    <t>IL-11-evans_jerry-</t>
  </si>
  <si>
    <t>@JerryEvans2020</t>
  </si>
  <si>
    <t>Bill Foster</t>
  </si>
  <si>
    <t>IL-11-foster_bill-</t>
  </si>
  <si>
    <t>@Foster4Congress</t>
  </si>
  <si>
    <t>@RepBillFoster</t>
  </si>
  <si>
    <t>2012, 2008 Special-2010</t>
  </si>
  <si>
    <t>Andrea Heeg</t>
  </si>
  <si>
    <t>IL-11-heeg_andrea-</t>
  </si>
  <si>
    <t>@andreaheeg</t>
  </si>
  <si>
    <t>Andrea</t>
  </si>
  <si>
    <t>Heeg</t>
  </si>
  <si>
    <t>Cassandra Miller</t>
  </si>
  <si>
    <t>IL-11-miller_cassandra-</t>
  </si>
  <si>
    <t>@Cassandra_IL11</t>
  </si>
  <si>
    <t>Mike Bost</t>
  </si>
  <si>
    <t>IL-12</t>
  </si>
  <si>
    <t>IL-12-bost_mike-</t>
  </si>
  <si>
    <t>@BostForCongress</t>
  </si>
  <si>
    <t>@RepBost</t>
  </si>
  <si>
    <t>Bost</t>
  </si>
  <si>
    <t>Richardson</t>
  </si>
  <si>
    <t>Nikki Budzinski</t>
  </si>
  <si>
    <t>IL-13</t>
  </si>
  <si>
    <t>IL-13-budzinski_nikki-</t>
  </si>
  <si>
    <t>@Nikki4Congress</t>
  </si>
  <si>
    <t>Nikki</t>
  </si>
  <si>
    <t>Budzinski</t>
  </si>
  <si>
    <t>Rodney Davis</t>
  </si>
  <si>
    <t>@ElectRodney</t>
  </si>
  <si>
    <t>@RodneyDavis</t>
  </si>
  <si>
    <t>Regan Deering</t>
  </si>
  <si>
    <t>IL-13-deering_regan-</t>
  </si>
  <si>
    <t>@Regan4Congress</t>
  </si>
  <si>
    <t>Regan</t>
  </si>
  <si>
    <t>Deering</t>
  </si>
  <si>
    <t>Matt Hausman</t>
  </si>
  <si>
    <t>IL-13-hausman_matt-</t>
  </si>
  <si>
    <t>Hausman</t>
  </si>
  <si>
    <t>David Palmer</t>
  </si>
  <si>
    <t>IL-13-palmer_david-</t>
  </si>
  <si>
    <t>@PalmerforIL</t>
  </si>
  <si>
    <t>Jesse Reising</t>
  </si>
  <si>
    <t>IL-13-reising_jesse-</t>
  </si>
  <si>
    <t>@JesseReisingIL</t>
  </si>
  <si>
    <t>Reising</t>
  </si>
  <si>
    <t>Ellis</t>
  </si>
  <si>
    <t>Scott Gryder</t>
  </si>
  <si>
    <t>IL-14</t>
  </si>
  <si>
    <t>IL-14-gryder_scott-</t>
  </si>
  <si>
    <t>Gryder</t>
  </si>
  <si>
    <t>Michael Koolidge</t>
  </si>
  <si>
    <t>IL-14-koolidge_michael-</t>
  </si>
  <si>
    <t>@koolidge</t>
  </si>
  <si>
    <t>Koolidge</t>
  </si>
  <si>
    <t>James Marter</t>
  </si>
  <si>
    <t>IL-14-marter_james-</t>
  </si>
  <si>
    <t>@marter4congress</t>
  </si>
  <si>
    <t>Marter</t>
  </si>
  <si>
    <t>Lauren Underwood</t>
  </si>
  <si>
    <t>IL-14-underwood_lauren-</t>
  </si>
  <si>
    <t>@LaurenUnderwood</t>
  </si>
  <si>
    <t>@RepUnderwood</t>
  </si>
  <si>
    <t>Underwood</t>
  </si>
  <si>
    <t>Mary Miller</t>
  </si>
  <si>
    <t>IL-15</t>
  </si>
  <si>
    <t>IL-15-miller_mary-</t>
  </si>
  <si>
    <t>@Miller_Congress</t>
  </si>
  <si>
    <t>@RepMaryMiller</t>
  </si>
  <si>
    <t>IL-16</t>
  </si>
  <si>
    <t>Catalina Lauf</t>
  </si>
  <si>
    <t>@catalinalauf</t>
  </si>
  <si>
    <t>Catalina</t>
  </si>
  <si>
    <t>Lauf</t>
  </si>
  <si>
    <t>Jack Lombardi</t>
  </si>
  <si>
    <t>@JackLombardi</t>
  </si>
  <si>
    <t>Lombardi</t>
  </si>
  <si>
    <t>Pfaff</t>
  </si>
  <si>
    <t>Michael Rebresh</t>
  </si>
  <si>
    <t>IL-16-rebresh_michael-</t>
  </si>
  <si>
    <t>Rebresh</t>
  </si>
  <si>
    <t>Marsha Williams</t>
  </si>
  <si>
    <t>@CongressMarsha</t>
  </si>
  <si>
    <t>Marsha</t>
  </si>
  <si>
    <t>Geno Young</t>
  </si>
  <si>
    <t>Geno</t>
  </si>
  <si>
    <t>IL-17</t>
  </si>
  <si>
    <t>Cheri</t>
  </si>
  <si>
    <t>Charlie Helmick</t>
  </si>
  <si>
    <t>IL-17-helmick_charlie-</t>
  </si>
  <si>
    <t>Helmick</t>
  </si>
  <si>
    <t>Esther Joy King</t>
  </si>
  <si>
    <t>IL-17-king_esther-</t>
  </si>
  <si>
    <t>@esther4congress</t>
  </si>
  <si>
    <t>Esther</t>
  </si>
  <si>
    <t>Jonathan Logemann</t>
  </si>
  <si>
    <t>IL-17-logemann_jonathan-</t>
  </si>
  <si>
    <t>@MrLogemann</t>
  </si>
  <si>
    <t>Logemann</t>
  </si>
  <si>
    <t>Jacqueline McGowan</t>
  </si>
  <si>
    <t>IL-17-mcgowan_jacqueline-</t>
  </si>
  <si>
    <t>McGowan</t>
  </si>
  <si>
    <t>Morris</t>
  </si>
  <si>
    <t>Angie Normoyle</t>
  </si>
  <si>
    <t>IL-17-normoyle_angie-</t>
  </si>
  <si>
    <t>@AngieNormoyle</t>
  </si>
  <si>
    <t>Angie</t>
  </si>
  <si>
    <t>Normoyle</t>
  </si>
  <si>
    <t>Eric Sorensen</t>
  </si>
  <si>
    <t>IL-17-sorensen_eric-</t>
  </si>
  <si>
    <t>@ERICSORENSEN</t>
  </si>
  <si>
    <t>Sorensen</t>
  </si>
  <si>
    <t>Litesa Wallace</t>
  </si>
  <si>
    <t>IL-17-wallace_litesa-</t>
  </si>
  <si>
    <t>@litesawallace</t>
  </si>
  <si>
    <t>Litesa</t>
  </si>
  <si>
    <t>Wallace</t>
  </si>
  <si>
    <t>Darin LaHood</t>
  </si>
  <si>
    <t>@ElectLaHood</t>
  </si>
  <si>
    <t>@RepLaHood</t>
  </si>
  <si>
    <t>2015 Special</t>
  </si>
  <si>
    <t>Darin</t>
  </si>
  <si>
    <t>LaHood</t>
  </si>
  <si>
    <t>Dick Durbin</t>
  </si>
  <si>
    <t>IL-Sen02</t>
  </si>
  <si>
    <t>IL-Sen02-durbin_dick-</t>
  </si>
  <si>
    <t>@DickDurbin</t>
  </si>
  <si>
    <t>@SenatorDurbin</t>
  </si>
  <si>
    <t>Dick</t>
  </si>
  <si>
    <t>Durbin</t>
  </si>
  <si>
    <t>IL-Sen03</t>
  </si>
  <si>
    <t>Casey Chlebek</t>
  </si>
  <si>
    <t>IL-Sen03-chlebek_casey-</t>
  </si>
  <si>
    <t>@CaseySenate</t>
  </si>
  <si>
    <t>Chlebek</t>
  </si>
  <si>
    <t>Tammy Duckworth</t>
  </si>
  <si>
    <t>IL-Sen03-duckworth_tammy-</t>
  </si>
  <si>
    <t>@SenDuckworth</t>
  </si>
  <si>
    <t>Tammy</t>
  </si>
  <si>
    <t>Duckworth</t>
  </si>
  <si>
    <t>Peggy Hubbard</t>
  </si>
  <si>
    <t>IL-Sen03-hubbard_peggy-</t>
  </si>
  <si>
    <t>@peggyhubbardil</t>
  </si>
  <si>
    <t>Peggy</t>
  </si>
  <si>
    <t>Hudson</t>
  </si>
  <si>
    <t>Bobby Piton</t>
  </si>
  <si>
    <t>IL-Sen03-piton_bobby-</t>
  </si>
  <si>
    <t>Piton</t>
  </si>
  <si>
    <t>Salinas</t>
  </si>
  <si>
    <t>Jimmy Lee Tillman</t>
  </si>
  <si>
    <t>IL-Sen03-tillman_jimmylee-</t>
  </si>
  <si>
    <t>Tillman</t>
  </si>
  <si>
    <t>Richard Fantin</t>
  </si>
  <si>
    <t>IN-01</t>
  </si>
  <si>
    <t>IN-01-fantin_richard-</t>
  </si>
  <si>
    <t>Fantin</t>
  </si>
  <si>
    <t>Jennifer-Ruth Green</t>
  </si>
  <si>
    <t>IN-01-green_jennifer-</t>
  </si>
  <si>
    <t>@jenruthgreen</t>
  </si>
  <si>
    <t>Mark Leyva</t>
  </si>
  <si>
    <t>IN-01-leyva_mark-</t>
  </si>
  <si>
    <t>Leyva</t>
  </si>
  <si>
    <t>Martin Lucas</t>
  </si>
  <si>
    <t>IN-01-lucas_martin-</t>
  </si>
  <si>
    <t>@votelucas2022</t>
  </si>
  <si>
    <t>Lucas</t>
  </si>
  <si>
    <t>Blair Milo</t>
  </si>
  <si>
    <t>IN-01-milo_blair-</t>
  </si>
  <si>
    <t>Blair</t>
  </si>
  <si>
    <t>Milo</t>
  </si>
  <si>
    <t>Frank Mrvan</t>
  </si>
  <si>
    <t>IN-01-mrvan_frank-</t>
  </si>
  <si>
    <t>@mrvan4congress</t>
  </si>
  <si>
    <t>@RepMrvan</t>
  </si>
  <si>
    <t>Mrvan</t>
  </si>
  <si>
    <t>Nicholas Pappas</t>
  </si>
  <si>
    <t>IN-01-pappas_nicholas-</t>
  </si>
  <si>
    <t>Pappas</t>
  </si>
  <si>
    <t>David Ruiz</t>
  </si>
  <si>
    <t>IN-01-ruiz_david-</t>
  </si>
  <si>
    <t>Aaron Storer</t>
  </si>
  <si>
    <t>IN-01-storer_aaron-</t>
  </si>
  <si>
    <t>Storer</t>
  </si>
  <si>
    <t>IN-02</t>
  </si>
  <si>
    <t>Paul Steury</t>
  </si>
  <si>
    <t>IN-02-steury_paul-</t>
  </si>
  <si>
    <t>Steury</t>
  </si>
  <si>
    <t>Jackie Walorski</t>
  </si>
  <si>
    <t>IN-02-walorski_jackie-</t>
  </si>
  <si>
    <t>@jackiewalorski</t>
  </si>
  <si>
    <t>@RepWalorski</t>
  </si>
  <si>
    <t>Christian - Evangelical Protestant</t>
  </si>
  <si>
    <t>Walorski</t>
  </si>
  <si>
    <t>Jim Banks</t>
  </si>
  <si>
    <t>IN-03</t>
  </si>
  <si>
    <t>IN-03-banks_jim-</t>
  </si>
  <si>
    <t>@Jim_Banks</t>
  </si>
  <si>
    <t>@RepJimBanks</t>
  </si>
  <si>
    <t>Banks</t>
  </si>
  <si>
    <t>Phillip Beachy</t>
  </si>
  <si>
    <t>IN-03-beachy_phillip-</t>
  </si>
  <si>
    <t>Phillip</t>
  </si>
  <si>
    <t>Beachy</t>
  </si>
  <si>
    <t>Aaron Calkins</t>
  </si>
  <si>
    <t>IN-03-calkins_aaron-</t>
  </si>
  <si>
    <t>Calkins</t>
  </si>
  <si>
    <t>Schrader</t>
  </si>
  <si>
    <t>Gary Snyder</t>
  </si>
  <si>
    <t>IN-03-snyder_gary-</t>
  </si>
  <si>
    <t>@SnyderforIN03</t>
  </si>
  <si>
    <t>Snyder</t>
  </si>
  <si>
    <t>Jim Baird</t>
  </si>
  <si>
    <t>IN-04</t>
  </si>
  <si>
    <t>IN-04-baird_jim-</t>
  </si>
  <si>
    <t>@ElectJimBaird</t>
  </si>
  <si>
    <t>@RepJimBaird</t>
  </si>
  <si>
    <t>Baird</t>
  </si>
  <si>
    <t>Roger Day</t>
  </si>
  <si>
    <t>IN-04-day_roger-</t>
  </si>
  <si>
    <t>@DayForCongress</t>
  </si>
  <si>
    <t>Roger</t>
  </si>
  <si>
    <t>Day</t>
  </si>
  <si>
    <t>Howard Pollchik</t>
  </si>
  <si>
    <t>IN-04-pollchik_howard-</t>
  </si>
  <si>
    <t>Howard</t>
  </si>
  <si>
    <t>Pollchik</t>
  </si>
  <si>
    <t>Matt Hall</t>
  </si>
  <si>
    <t>IN-05</t>
  </si>
  <si>
    <t>IN-05-hall_matt-</t>
  </si>
  <si>
    <t>Hall</t>
  </si>
  <si>
    <t>Jeannine Lee Lake</t>
  </si>
  <si>
    <t>IN-05-lake_jeannine-</t>
  </si>
  <si>
    <t>@JeannineLeeLake</t>
  </si>
  <si>
    <t>Jeannine</t>
  </si>
  <si>
    <t>Victoria Spartz</t>
  </si>
  <si>
    <t>IN-05-spartz_victoria-</t>
  </si>
  <si>
    <t>@Victoria_Spartz</t>
  </si>
  <si>
    <t>@RepSpartz</t>
  </si>
  <si>
    <t>Victoria</t>
  </si>
  <si>
    <t>Spartz</t>
  </si>
  <si>
    <t>James Dean Alspach</t>
  </si>
  <si>
    <t>IN-06</t>
  </si>
  <si>
    <t>IN-06-alspach_james-</t>
  </si>
  <si>
    <t>@james_alspach</t>
  </si>
  <si>
    <t>Alspach</t>
  </si>
  <si>
    <t>Benson</t>
  </si>
  <si>
    <t>George Holland</t>
  </si>
  <si>
    <t>IN-06-holland_george-</t>
  </si>
  <si>
    <t>Holland</t>
  </si>
  <si>
    <t>Greg Pence</t>
  </si>
  <si>
    <t>IN-06-pence_greg-</t>
  </si>
  <si>
    <t>@GregPenceIN</t>
  </si>
  <si>
    <t>@RepGregPence</t>
  </si>
  <si>
    <t>Pence</t>
  </si>
  <si>
    <t>Barton</t>
  </si>
  <si>
    <t>Cynthia Wirth</t>
  </si>
  <si>
    <t>IN-06-wirth_cynthia-</t>
  </si>
  <si>
    <t>Cynthia</t>
  </si>
  <si>
    <t>Wirth</t>
  </si>
  <si>
    <t>Bill Allen</t>
  </si>
  <si>
    <t>IN-07</t>
  </si>
  <si>
    <t>IN-07-allen_bill-</t>
  </si>
  <si>
    <t>Andre Carson</t>
  </si>
  <si>
    <t>IN-07-carson_andre-</t>
  </si>
  <si>
    <t>@Andre4Congress</t>
  </si>
  <si>
    <t>@RepAndreCarson</t>
  </si>
  <si>
    <t>Islam</t>
  </si>
  <si>
    <t>Andre</t>
  </si>
  <si>
    <t>Carson</t>
  </si>
  <si>
    <t>Curtis Godfrey</t>
  </si>
  <si>
    <t>IN-07-godfrey_curtis-</t>
  </si>
  <si>
    <t>Curtis</t>
  </si>
  <si>
    <t>Godfrey</t>
  </si>
  <si>
    <t>Angela Grabovsky</t>
  </si>
  <si>
    <t>IN-07-grabovsky_angela-</t>
  </si>
  <si>
    <t>@angelaforIN7</t>
  </si>
  <si>
    <t>Grabovsky</t>
  </si>
  <si>
    <t>Rusty Johnson</t>
  </si>
  <si>
    <t>IN-07-johnson_rusty-</t>
  </si>
  <si>
    <t>Rusty</t>
  </si>
  <si>
    <t>Jennifer Pace</t>
  </si>
  <si>
    <t>IN-07-pace_jennifer-</t>
  </si>
  <si>
    <t>Pace</t>
  </si>
  <si>
    <t>Pierre Pullins</t>
  </si>
  <si>
    <t>IN-07-pullins_pierre-</t>
  </si>
  <si>
    <t>Pierre</t>
  </si>
  <si>
    <t>Pullins</t>
  </si>
  <si>
    <t>Gerald Walters</t>
  </si>
  <si>
    <t>IN-07-walters_gerald-</t>
  </si>
  <si>
    <t>Gerald</t>
  </si>
  <si>
    <t>Walters</t>
  </si>
  <si>
    <t>Larry Bucshon</t>
  </si>
  <si>
    <t>IN-08</t>
  </si>
  <si>
    <t>IN-08-bucshon_larry-</t>
  </si>
  <si>
    <t>@DrLarryBucshon</t>
  </si>
  <si>
    <t>@RepLarryBucshon</t>
  </si>
  <si>
    <t>Bucshon</t>
  </si>
  <si>
    <t>Adnan Dhahir</t>
  </si>
  <si>
    <t>IN-08-dhahir_adnan-</t>
  </si>
  <si>
    <t>@adnan_dhahir</t>
  </si>
  <si>
    <t>Adnan</t>
  </si>
  <si>
    <t>Ray McCormick</t>
  </si>
  <si>
    <t>IN-08-mccormick_ray-</t>
  </si>
  <si>
    <t>Ray</t>
  </si>
  <si>
    <t>Peter Priest</t>
  </si>
  <si>
    <t>IN-08-priest_peter-</t>
  </si>
  <si>
    <t>Priest</t>
  </si>
  <si>
    <t>Gabriel</t>
  </si>
  <si>
    <t>Isak Nti Asare</t>
  </si>
  <si>
    <t>IN-09</t>
  </si>
  <si>
    <t>IN-09-asare_isak-</t>
  </si>
  <si>
    <t>@IsakforCongress</t>
  </si>
  <si>
    <t>Isak</t>
  </si>
  <si>
    <t>Jim Baker</t>
  </si>
  <si>
    <t>IN-09-baker_jim-</t>
  </si>
  <si>
    <t>Michael Davisson</t>
  </si>
  <si>
    <t>IN-09-davisson_michael-</t>
  </si>
  <si>
    <t>@JDavissonIN</t>
  </si>
  <si>
    <t>Davisson</t>
  </si>
  <si>
    <t>Liam Dorris</t>
  </si>
  <si>
    <t>IN-09-dorris_liam-</t>
  </si>
  <si>
    <t>@dliamdorris</t>
  </si>
  <si>
    <t>Listed on ballotpedia as D. Liam Dorris</t>
  </si>
  <si>
    <t>Liam</t>
  </si>
  <si>
    <t>Dorris</t>
  </si>
  <si>
    <t>Matthew Fyfe</t>
  </si>
  <si>
    <t>IN-09-fyfe_matthew-</t>
  </si>
  <si>
    <t>@Hoosiers4Fyfe</t>
  </si>
  <si>
    <t>Fyfe</t>
  </si>
  <si>
    <t>Dan Heiwig</t>
  </si>
  <si>
    <t>IN-09-heiwig_dan-</t>
  </si>
  <si>
    <t>@Heiwig4Congress</t>
  </si>
  <si>
    <t>Heiwig</t>
  </si>
  <si>
    <t>Trey</t>
  </si>
  <si>
    <t>Erin Houchin</t>
  </si>
  <si>
    <t>IN-09-houchin_erin-</t>
  </si>
  <si>
    <t>@Erin_Houchin</t>
  </si>
  <si>
    <t>Erin</t>
  </si>
  <si>
    <t>Houchin</t>
  </si>
  <si>
    <t>Stu Barnes-Israel</t>
  </si>
  <si>
    <t>IN-09-israel_stu-</t>
  </si>
  <si>
    <t>@stuforindiana</t>
  </si>
  <si>
    <t>Stu</t>
  </si>
  <si>
    <t>Barnes-Israel</t>
  </si>
  <si>
    <t>Eric Schansberg</t>
  </si>
  <si>
    <t>IN-09-schansberg_eric-</t>
  </si>
  <si>
    <t>Schansberg</t>
  </si>
  <si>
    <t>Mike Sodrel</t>
  </si>
  <si>
    <t>IN-09-sodrel_mike-</t>
  </si>
  <si>
    <t>@SodrelMike</t>
  </si>
  <si>
    <t>Sodrel</t>
  </si>
  <si>
    <t>Bill Thomas</t>
  </si>
  <si>
    <t>IN-09-thomas_bill-</t>
  </si>
  <si>
    <t>Brian Tibbs</t>
  </si>
  <si>
    <t>IN-09-tibbs_brian-</t>
  </si>
  <si>
    <t>@BrianETibbs</t>
  </si>
  <si>
    <t>Tibbs</t>
  </si>
  <si>
    <t>Mike Braun</t>
  </si>
  <si>
    <t>IN-Sen01</t>
  </si>
  <si>
    <t>IN-Sen01-braun_mike-</t>
  </si>
  <si>
    <t>@SenatorBraun</t>
  </si>
  <si>
    <t>IN-Sen03</t>
  </si>
  <si>
    <t>Valerie</t>
  </si>
  <si>
    <t>Thomas McDermott</t>
  </si>
  <si>
    <t>IN-Sen03-mcdermott_thomas-</t>
  </si>
  <si>
    <t>@gomcdermott</t>
  </si>
  <si>
    <t>Todd Young</t>
  </si>
  <si>
    <t>IN-Sen03-young_todd-</t>
  </si>
  <si>
    <t>@SenToddYoung</t>
  </si>
  <si>
    <t>Tracey Mann</t>
  </si>
  <si>
    <t>KS-01</t>
  </si>
  <si>
    <t>KS-01-mann_tracey-</t>
  </si>
  <si>
    <t>@TraceyMannKS</t>
  </si>
  <si>
    <t>@RepMann</t>
  </si>
  <si>
    <t>Tracey</t>
  </si>
  <si>
    <t>Mann</t>
  </si>
  <si>
    <t>KS-02</t>
  </si>
  <si>
    <t>Jake LaTurner</t>
  </si>
  <si>
    <t>KS-02-laturner_jake-</t>
  </si>
  <si>
    <t>@JakeLaTurner</t>
  </si>
  <si>
    <t>@RepLaTurner</t>
  </si>
  <si>
    <t>LaTurner</t>
  </si>
  <si>
    <t>Patrick Schmidt</t>
  </si>
  <si>
    <t>KS-02-schmidt_patrick-</t>
  </si>
  <si>
    <t>@PatrickforKS</t>
  </si>
  <si>
    <t>Schmidt</t>
  </si>
  <si>
    <t>Amanda Adkins</t>
  </si>
  <si>
    <t>KS-03</t>
  </si>
  <si>
    <t>KS-03-adkins_amanda-</t>
  </si>
  <si>
    <t>@amanda_adkins</t>
  </si>
  <si>
    <t>Adkins</t>
  </si>
  <si>
    <t>Sharice Davids</t>
  </si>
  <si>
    <t>KS-03-davids_sharice-</t>
  </si>
  <si>
    <t>@sharicedavids</t>
  </si>
  <si>
    <t>@RepDavids</t>
  </si>
  <si>
    <t>Sharice</t>
  </si>
  <si>
    <t>Davids</t>
  </si>
  <si>
    <t>John McCaughrean</t>
  </si>
  <si>
    <t>KS-03-mccaughrean_john-</t>
  </si>
  <si>
    <t>McCaughrean</t>
  </si>
  <si>
    <t>Ron Estes</t>
  </si>
  <si>
    <t>KS-04</t>
  </si>
  <si>
    <t>KS-04-estes_ron-</t>
  </si>
  <si>
    <t>@RonEstesKS</t>
  </si>
  <si>
    <t>@RepRonEstes</t>
  </si>
  <si>
    <t>Estes</t>
  </si>
  <si>
    <t>Roger Marshall</t>
  </si>
  <si>
    <t>KS-Sen02</t>
  </si>
  <si>
    <t>KS-Sen02-marshall_roger-</t>
  </si>
  <si>
    <t>@RogerMarshallMD</t>
  </si>
  <si>
    <t>@RepMarshall</t>
  </si>
  <si>
    <t>Joan Farr</t>
  </si>
  <si>
    <t>KS-Sen03</t>
  </si>
  <si>
    <t>KS-Sen03-farr_joan-</t>
  </si>
  <si>
    <t>@JoanEFarr</t>
  </si>
  <si>
    <t>Joan</t>
  </si>
  <si>
    <t>Farr</t>
  </si>
  <si>
    <t>Mark Holland</t>
  </si>
  <si>
    <t>KS-Sen03-holland_mark-</t>
  </si>
  <si>
    <t>@Holland4Kansas</t>
  </si>
  <si>
    <t>Robert Klingenberg</t>
  </si>
  <si>
    <t>KS-Sen03-klingenberg_robert-</t>
  </si>
  <si>
    <t>Klingenberg</t>
  </si>
  <si>
    <t>Jerry Moran</t>
  </si>
  <si>
    <t>KS-Sen03-moran_jerry-</t>
  </si>
  <si>
    <t>@JerryMoran</t>
  </si>
  <si>
    <t>Moran</t>
  </si>
  <si>
    <t>Michael Soetaert</t>
  </si>
  <si>
    <t>KS-Sen03-soetaert_michael-</t>
  </si>
  <si>
    <t>@SoetartMichael</t>
  </si>
  <si>
    <t>Soetaert</t>
  </si>
  <si>
    <t>Jimmy Ausbrooks</t>
  </si>
  <si>
    <t>KY-01</t>
  </si>
  <si>
    <t>KY-01-ausbrooks_jimmy-</t>
  </si>
  <si>
    <t>@jimmy4congress</t>
  </si>
  <si>
    <t>Ausbrooks</t>
  </si>
  <si>
    <t>James Comer</t>
  </si>
  <si>
    <t>KY-01-comer_james-</t>
  </si>
  <si>
    <t>@JamesComer</t>
  </si>
  <si>
    <t>@RepJamesComer</t>
  </si>
  <si>
    <t>Comer</t>
  </si>
  <si>
    <t>William Compton</t>
  </si>
  <si>
    <t>KY-02</t>
  </si>
  <si>
    <t>KY-02-compton_william-</t>
  </si>
  <si>
    <t>@Compton4KY2022</t>
  </si>
  <si>
    <t>Compton</t>
  </si>
  <si>
    <t>Brent Feher</t>
  </si>
  <si>
    <t>KY-02-feher_brent-</t>
  </si>
  <si>
    <t>@BrentFeher</t>
  </si>
  <si>
    <t>Brent</t>
  </si>
  <si>
    <t>Feher</t>
  </si>
  <si>
    <t>Brett Guthrie</t>
  </si>
  <si>
    <t>KY-02-guthrie_brett-</t>
  </si>
  <si>
    <t>@brettguthrie</t>
  </si>
  <si>
    <t>@RepGuthrie</t>
  </si>
  <si>
    <t>Christian - Restorationist</t>
  </si>
  <si>
    <t>Brett</t>
  </si>
  <si>
    <t>Guthrie</t>
  </si>
  <si>
    <t>Hank Linderman</t>
  </si>
  <si>
    <t>KY-02-linderman_hank-</t>
  </si>
  <si>
    <t>@hank4ky</t>
  </si>
  <si>
    <t>Linderman</t>
  </si>
  <si>
    <t>Lee Watts</t>
  </si>
  <si>
    <t>KY-02-watts_lee-</t>
  </si>
  <si>
    <t>@LeeWatts1776</t>
  </si>
  <si>
    <t>Watts</t>
  </si>
  <si>
    <t>KY-03</t>
  </si>
  <si>
    <t>Darien</t>
  </si>
  <si>
    <t>Daniel Cobble</t>
  </si>
  <si>
    <t>KY-03-cobble_daniel-</t>
  </si>
  <si>
    <t>Cobble</t>
  </si>
  <si>
    <t>Mike Craven</t>
  </si>
  <si>
    <t>KY-03-craven_mike-</t>
  </si>
  <si>
    <t>Craven</t>
  </si>
  <si>
    <t>Justin Gregory</t>
  </si>
  <si>
    <t>KY-03-gregory_justin-</t>
  </si>
  <si>
    <t>Morgan McGarvey</t>
  </si>
  <si>
    <t>KY-03-mcgarvey_morgan-</t>
  </si>
  <si>
    <t>@MorganMcGarvey</t>
  </si>
  <si>
    <t>McGarvey</t>
  </si>
  <si>
    <t>Rhonda Palazzo</t>
  </si>
  <si>
    <t>KY-03-palazzo_rhonda-</t>
  </si>
  <si>
    <t>Palazzo</t>
  </si>
  <si>
    <t>Gregory Puccetti</t>
  </si>
  <si>
    <t>KY-03-puccetti_gregory-</t>
  </si>
  <si>
    <t>@puccettig</t>
  </si>
  <si>
    <t>Puccetti</t>
  </si>
  <si>
    <t>Stuart Ray</t>
  </si>
  <si>
    <t>KY-03-ray_stuart-</t>
  </si>
  <si>
    <t>Stuart</t>
  </si>
  <si>
    <t>Attica Scott</t>
  </si>
  <si>
    <t>KY-03-scott_attica-</t>
  </si>
  <si>
    <t>@atticaforky</t>
  </si>
  <si>
    <t>Attica</t>
  </si>
  <si>
    <t>Matthew Lehman</t>
  </si>
  <si>
    <t>KY-04</t>
  </si>
  <si>
    <t>KY-04-lehman_matthew-</t>
  </si>
  <si>
    <t>@lehman4kentucky</t>
  </si>
  <si>
    <t>Lehman</t>
  </si>
  <si>
    <t>Thomas Massie</t>
  </si>
  <si>
    <t>KY-04-massie_thomas-</t>
  </si>
  <si>
    <t>@MassieforKY</t>
  </si>
  <si>
    <t>@RepThomasMassie</t>
  </si>
  <si>
    <t>2012 Special</t>
  </si>
  <si>
    <t>Massie</t>
  </si>
  <si>
    <t>Alyssa McDowell</t>
  </si>
  <si>
    <t>KY-04-mcdowell_alyssa-</t>
  </si>
  <si>
    <t>@dara_mcdowell</t>
  </si>
  <si>
    <t>Alyssa</t>
  </si>
  <si>
    <t>McDowell</t>
  </si>
  <si>
    <t>George Washington</t>
  </si>
  <si>
    <t>KY-04-washington_george-</t>
  </si>
  <si>
    <t>@FokingGeorge</t>
  </si>
  <si>
    <t>Washington</t>
  </si>
  <si>
    <t>Claire Wirth</t>
  </si>
  <si>
    <t>KY-04-wirth_claire-</t>
  </si>
  <si>
    <t>@BuilderClaireKY</t>
  </si>
  <si>
    <t>Claire</t>
  </si>
  <si>
    <t>Jeannette Andrews</t>
  </si>
  <si>
    <t>KY-05</t>
  </si>
  <si>
    <t>KY-05-andrews_jeannette-</t>
  </si>
  <si>
    <t>Andrews</t>
  </si>
  <si>
    <t>Conor Halbleib</t>
  </si>
  <si>
    <t>KY-05-halbleib_conor-</t>
  </si>
  <si>
    <t>@conor_halbleib</t>
  </si>
  <si>
    <t>Conor</t>
  </si>
  <si>
    <t>Halbleib</t>
  </si>
  <si>
    <t>Brandon Monhollen</t>
  </si>
  <si>
    <t>KY-05-monhollen_brandon-</t>
  </si>
  <si>
    <t>Monhollen</t>
  </si>
  <si>
    <t>Hal Rogers</t>
  </si>
  <si>
    <t>KY-05-rogers_hal-</t>
  </si>
  <si>
    <t>@HalRogersKY5</t>
  </si>
  <si>
    <t>@RepHalRogers</t>
  </si>
  <si>
    <t>Hal</t>
  </si>
  <si>
    <t>Gerardo Serrano</t>
  </si>
  <si>
    <t>KY-05-serrano_gerardo-</t>
  </si>
  <si>
    <t>@AssetForfeiture</t>
  </si>
  <si>
    <t>Gerardo</t>
  </si>
  <si>
    <t>Serrano</t>
  </si>
  <si>
    <t>Richard Van Dam</t>
  </si>
  <si>
    <t>KY-05-vandam_richard-</t>
  </si>
  <si>
    <t>Andy Barr</t>
  </si>
  <si>
    <t>KY-06</t>
  </si>
  <si>
    <t>KY-06-barr_andy-</t>
  </si>
  <si>
    <t>@barrforcongress</t>
  </si>
  <si>
    <t>@RepAndyBarr</t>
  </si>
  <si>
    <t>Derek Petteys</t>
  </si>
  <si>
    <t>KY-06-petteys_derek-</t>
  </si>
  <si>
    <t>Petteys</t>
  </si>
  <si>
    <t>Christopher Preece</t>
  </si>
  <si>
    <t>KY-06-preece_christopher-</t>
  </si>
  <si>
    <t>@ForPreece</t>
  </si>
  <si>
    <t>Preece</t>
  </si>
  <si>
    <t>Geoff Young</t>
  </si>
  <si>
    <t>KY-06-young_geoff-</t>
  </si>
  <si>
    <t>Geoff</t>
  </si>
  <si>
    <t>Mitch McConnell</t>
  </si>
  <si>
    <t>KY-Sen02</t>
  </si>
  <si>
    <t>KY-Sen02-mcconnell_mitch-</t>
  </si>
  <si>
    <t>@Team_Mitch</t>
  </si>
  <si>
    <t>@McConnellPress</t>
  </si>
  <si>
    <t>McConnell</t>
  </si>
  <si>
    <t>Arnold Blankenship</t>
  </si>
  <si>
    <t>KY-Sen03</t>
  </si>
  <si>
    <t>KY-Sen03-blankenship_arnold-</t>
  </si>
  <si>
    <t>Blankenship</t>
  </si>
  <si>
    <t>Joshua Blanton</t>
  </si>
  <si>
    <t>KY-Sen03-blanton_joshua-</t>
  </si>
  <si>
    <t>@JoshuaBlantonSr</t>
  </si>
  <si>
    <t>Blanton</t>
  </si>
  <si>
    <t>Charles Booker</t>
  </si>
  <si>
    <t>KY-Sen03-booker_charles-</t>
  </si>
  <si>
    <t>@Booker4KY</t>
  </si>
  <si>
    <t>Booker</t>
  </si>
  <si>
    <t>Val Fredrick</t>
  </si>
  <si>
    <t>KY-Sen03-fredrick_val-</t>
  </si>
  <si>
    <t>Fredrick</t>
  </si>
  <si>
    <t>Ruth Gao</t>
  </si>
  <si>
    <t>KY-Sen03-gao_ruth-</t>
  </si>
  <si>
    <t>@ruthgao4ky</t>
  </si>
  <si>
    <t>Gao</t>
  </si>
  <si>
    <t>Paul Hamilton</t>
  </si>
  <si>
    <t>KY-Sen03-hamilton_paul-</t>
  </si>
  <si>
    <t>Hamilton</t>
  </si>
  <si>
    <t>John Merrill</t>
  </si>
  <si>
    <t>KY-Sen03-merrill_john-</t>
  </si>
  <si>
    <t>@John_W_Merrill</t>
  </si>
  <si>
    <t>Merrill</t>
  </si>
  <si>
    <t>Rand Paul</t>
  </si>
  <si>
    <t>KY-Sen03-paul_rand-</t>
  </si>
  <si>
    <t>@RandPaul</t>
  </si>
  <si>
    <t>Rand</t>
  </si>
  <si>
    <t>John Schiess</t>
  </si>
  <si>
    <t>KY-Sen03-schiess_john-</t>
  </si>
  <si>
    <t>Schiess</t>
  </si>
  <si>
    <t>Tami Stainfield</t>
  </si>
  <si>
    <t>KY-Sen03-stainfield_tami-</t>
  </si>
  <si>
    <t>Tami</t>
  </si>
  <si>
    <t>Stainfield</t>
  </si>
  <si>
    <t>Steve Scalise</t>
  </si>
  <si>
    <t>LA-01</t>
  </si>
  <si>
    <t>LA-01-scalise_steve-</t>
  </si>
  <si>
    <t>@SteveScaliseGOP</t>
  </si>
  <si>
    <t>@SteveScalise</t>
  </si>
  <si>
    <t>Scalise</t>
  </si>
  <si>
    <t>Troy Carter</t>
  </si>
  <si>
    <t>LA-02</t>
  </si>
  <si>
    <t>LA-02-carter_troy-</t>
  </si>
  <si>
    <t>@troyc4Congress</t>
  </si>
  <si>
    <t>@RepTroyCarter</t>
  </si>
  <si>
    <t>2021 Special</t>
  </si>
  <si>
    <t>Clay Higgins</t>
  </si>
  <si>
    <t>LA-03</t>
  </si>
  <si>
    <t>LA-03-higgins_clay-</t>
  </si>
  <si>
    <t>@CaptClayHiggins</t>
  </si>
  <si>
    <t>@RepClayHiggins</t>
  </si>
  <si>
    <t>Higgins</t>
  </si>
  <si>
    <t>Jake Shaheen</t>
  </si>
  <si>
    <t>LA-03-shaheen_jake-</t>
  </si>
  <si>
    <t>Shaheen</t>
  </si>
  <si>
    <t>Mike Johnson</t>
  </si>
  <si>
    <t>LA-04</t>
  </si>
  <si>
    <t>LA-04-johnson_mike-</t>
  </si>
  <si>
    <t>@MikeJohnson</t>
  </si>
  <si>
    <t>@RepMikeJohnson</t>
  </si>
  <si>
    <t>Julia Letlow</t>
  </si>
  <si>
    <t>LA-05</t>
  </si>
  <si>
    <t>LA-05-letlow_julia-</t>
  </si>
  <si>
    <t>@jbletlow</t>
  </si>
  <si>
    <t>@repjulialetlow</t>
  </si>
  <si>
    <t>Letlow</t>
  </si>
  <si>
    <t>Luke</t>
  </si>
  <si>
    <t>Jaqueline Blaney</t>
  </si>
  <si>
    <t>LA-06</t>
  </si>
  <si>
    <t>LA-06-blaney_jaqueline-</t>
  </si>
  <si>
    <t>Jaqueline</t>
  </si>
  <si>
    <t>Blaney</t>
  </si>
  <si>
    <t>Garret Graves</t>
  </si>
  <si>
    <t>LA-06-graves_garret-</t>
  </si>
  <si>
    <t>@garretgraves</t>
  </si>
  <si>
    <t>@RepGarretGraves</t>
  </si>
  <si>
    <t>Garret</t>
  </si>
  <si>
    <t>Graves</t>
  </si>
  <si>
    <t>Bill Cassidy</t>
  </si>
  <si>
    <t>LA-Sen02</t>
  </si>
  <si>
    <t>LA-Sen02-cassidy_bill-</t>
  </si>
  <si>
    <t>@BillCassidy</t>
  </si>
  <si>
    <t>@SenBillCassidy</t>
  </si>
  <si>
    <t>Cassidy</t>
  </si>
  <si>
    <t>Gary Chambers</t>
  </si>
  <si>
    <t>LA-Sen03</t>
  </si>
  <si>
    <t>LA-Sen03-chambers_gary-</t>
  </si>
  <si>
    <t>@GaryChambersJr</t>
  </si>
  <si>
    <t>Chambers</t>
  </si>
  <si>
    <t>John Kennedy</t>
  </si>
  <si>
    <t>LA-Sen03-kennedy_john-</t>
  </si>
  <si>
    <t>@SenJohnKennedy</t>
  </si>
  <si>
    <t>Kennedy</t>
  </si>
  <si>
    <t>Luke Mixon</t>
  </si>
  <si>
    <t>LA-Sen03-mixon_luke-</t>
  </si>
  <si>
    <t>@LukeMixonLA</t>
  </si>
  <si>
    <t>Mixon</t>
  </si>
  <si>
    <t>Syrita Steib</t>
  </si>
  <si>
    <t>LA-Sen03-steib_syrita-</t>
  </si>
  <si>
    <t>@SupportSyrita</t>
  </si>
  <si>
    <t>Syrita</t>
  </si>
  <si>
    <t>Steib</t>
  </si>
  <si>
    <t>Louis Marino</t>
  </si>
  <si>
    <t>MA-01</t>
  </si>
  <si>
    <t>MA-01-marino_louis-</t>
  </si>
  <si>
    <t>Marino</t>
  </si>
  <si>
    <t>Richard Neal</t>
  </si>
  <si>
    <t>MA-01-neal_richard-</t>
  </si>
  <si>
    <t>@NealForCongress</t>
  </si>
  <si>
    <t>@RepRichardNeal</t>
  </si>
  <si>
    <t>Nicholas Barassi</t>
  </si>
  <si>
    <t>MA-02</t>
  </si>
  <si>
    <t>MA-02-barassi_nicholas-</t>
  </si>
  <si>
    <t>Barassi</t>
  </si>
  <si>
    <t>Jim McGovern</t>
  </si>
  <si>
    <t>MA-02-mcgovern_jim-</t>
  </si>
  <si>
    <t>@McGovernMA</t>
  </si>
  <si>
    <t>@RepMcGovern</t>
  </si>
  <si>
    <t>Jeffrey Sossa-Paquette</t>
  </si>
  <si>
    <t>MA-02-sossa_jeffrey-</t>
  </si>
  <si>
    <t>@JeffreyCongress</t>
  </si>
  <si>
    <t>Miranda Tozier-Robbins</t>
  </si>
  <si>
    <t>MA-03</t>
  </si>
  <si>
    <t>MA-03-robbins_miranda-</t>
  </si>
  <si>
    <t>@ShortyTheEditor</t>
  </si>
  <si>
    <t>Miranda</t>
  </si>
  <si>
    <t>Robbins</t>
  </si>
  <si>
    <t>Lori Trahan</t>
  </si>
  <si>
    <t>MA-03-trahan_lori-</t>
  </si>
  <si>
    <t>@LoriTrahanMA</t>
  </si>
  <si>
    <t>@RepLoriTrahan</t>
  </si>
  <si>
    <t>Trahan</t>
  </si>
  <si>
    <t>Dean Tran</t>
  </si>
  <si>
    <t>MA-03-tran_dean-</t>
  </si>
  <si>
    <t>Tran</t>
  </si>
  <si>
    <t>Jake Auchincloss</t>
  </si>
  <si>
    <t>MA-04</t>
  </si>
  <si>
    <t>MA-04-auchincloss_jake-</t>
  </si>
  <si>
    <t>@JakeAuch</t>
  </si>
  <si>
    <t>@RepAuchincloss</t>
  </si>
  <si>
    <t>Auchincloss</t>
  </si>
  <si>
    <t>Emily Burns</t>
  </si>
  <si>
    <t>MA-04-burns_emily-</t>
  </si>
  <si>
    <t>@Emily_Burns_V</t>
  </si>
  <si>
    <t>Burns</t>
  </si>
  <si>
    <t>Julie Hall</t>
  </si>
  <si>
    <t>MA-04-hall_julie-</t>
  </si>
  <si>
    <t>@Hall4CongressMA</t>
  </si>
  <si>
    <t>Julie</t>
  </si>
  <si>
    <t>Katherine Clark</t>
  </si>
  <si>
    <t>MA-05</t>
  </si>
  <si>
    <t>MA-05-clark_katherine-</t>
  </si>
  <si>
    <t>@KatherineClark</t>
  </si>
  <si>
    <t>@RepKClark</t>
  </si>
  <si>
    <t>Robert May</t>
  </si>
  <si>
    <t>MA-06</t>
  </si>
  <si>
    <t>MA-06-may_robert-</t>
  </si>
  <si>
    <t>May</t>
  </si>
  <si>
    <t>Seth Moulton</t>
  </si>
  <si>
    <t>MA-06-moulton_seth-</t>
  </si>
  <si>
    <t>@sethmoulton</t>
  </si>
  <si>
    <t>@teammoulton</t>
  </si>
  <si>
    <t>Moulton</t>
  </si>
  <si>
    <t>Ayanna Pressley</t>
  </si>
  <si>
    <t>MA-07</t>
  </si>
  <si>
    <t>MA-07-pressley_ayanna-</t>
  </si>
  <si>
    <t>@AyannaPressley</t>
  </si>
  <si>
    <t>@RepPressley</t>
  </si>
  <si>
    <t>Ayanna</t>
  </si>
  <si>
    <t>Pressley</t>
  </si>
  <si>
    <t>Stephen Lynch</t>
  </si>
  <si>
    <t>MA-08</t>
  </si>
  <si>
    <t>MA-08-lynch_stephen-</t>
  </si>
  <si>
    <t>@RepLynch</t>
  </si>
  <si>
    <t>@RepStephenLynch</t>
  </si>
  <si>
    <t>2001 Special</t>
  </si>
  <si>
    <t>Lynch</t>
  </si>
  <si>
    <t>Michael Ruiz</t>
  </si>
  <si>
    <t>MA-08-ruiz_michael-</t>
  </si>
  <si>
    <t>@Mike4_Congress</t>
  </si>
  <si>
    <t>Jesse Brown</t>
  </si>
  <si>
    <t>MA-09</t>
  </si>
  <si>
    <t>MA-09-brown_jesse-</t>
  </si>
  <si>
    <t>@jessebrownma</t>
  </si>
  <si>
    <t>Bill Keating</t>
  </si>
  <si>
    <t>MA-09-keating_bill-</t>
  </si>
  <si>
    <t>@WilliamKeating</t>
  </si>
  <si>
    <t>@USRepKeating</t>
  </si>
  <si>
    <t>Keating</t>
  </si>
  <si>
    <t>Mark Littles</t>
  </si>
  <si>
    <t>MA-09-littles_mark-</t>
  </si>
  <si>
    <t>@Littles4C</t>
  </si>
  <si>
    <t>Littles</t>
  </si>
  <si>
    <t>Grant Smith Ellis</t>
  </si>
  <si>
    <t>MA-09-smithellis_grant-</t>
  </si>
  <si>
    <t>Grant</t>
  </si>
  <si>
    <t>Dave Harden</t>
  </si>
  <si>
    <t>MD-01</t>
  </si>
  <si>
    <t>MD-01-harden_dave-</t>
  </si>
  <si>
    <t>@Dave_Harden</t>
  </si>
  <si>
    <t>Harden</t>
  </si>
  <si>
    <t>Andy Harris</t>
  </si>
  <si>
    <t>MD-01-harris_andy-</t>
  </si>
  <si>
    <t>@Harris4Congress</t>
  </si>
  <si>
    <t>@RepAndyHarrisMD</t>
  </si>
  <si>
    <t>Mason</t>
  </si>
  <si>
    <t>Heather Mizeur</t>
  </si>
  <si>
    <t>MD-01-mizeur_heather-</t>
  </si>
  <si>
    <t>@heathermizeur</t>
  </si>
  <si>
    <t>Mizeur</t>
  </si>
  <si>
    <t>Marques Dent</t>
  </si>
  <si>
    <t>MD-02</t>
  </si>
  <si>
    <t>MD-02-dent_marques-</t>
  </si>
  <si>
    <t>@Team_DENT</t>
  </si>
  <si>
    <t>Marques</t>
  </si>
  <si>
    <t>Dent</t>
  </si>
  <si>
    <t>Bernard Flowers</t>
  </si>
  <si>
    <t>MD-02-flowers_bernard-</t>
  </si>
  <si>
    <t>Bernard</t>
  </si>
  <si>
    <t>Joe Kelley</t>
  </si>
  <si>
    <t>@JoeKelleyHoR2022</t>
  </si>
  <si>
    <t>Kelley</t>
  </si>
  <si>
    <t>Yurizpy Morgan</t>
  </si>
  <si>
    <t>Yurizpy</t>
  </si>
  <si>
    <t>Dutch Ruppersberger</t>
  </si>
  <si>
    <t>MD-02-ruppersberger_dutch-</t>
  </si>
  <si>
    <t>@GoDutchForMD</t>
  </si>
  <si>
    <t>@Call_Me_Dutch</t>
  </si>
  <si>
    <t>Dutch</t>
  </si>
  <si>
    <t>Ruppersberger</t>
  </si>
  <si>
    <t>MD-03</t>
  </si>
  <si>
    <t>Malcolm</t>
  </si>
  <si>
    <t>George Croom</t>
  </si>
  <si>
    <t>Croom</t>
  </si>
  <si>
    <t>Lance Griffin</t>
  </si>
  <si>
    <t>Lance</t>
  </si>
  <si>
    <t>Antonio Pitocco</t>
  </si>
  <si>
    <t>MD-03-pitocco_antonio-</t>
  </si>
  <si>
    <t>@antoniopitocco1</t>
  </si>
  <si>
    <t>Pitocco</t>
  </si>
  <si>
    <t>John Sarbanes</t>
  </si>
  <si>
    <t>MD-03-sarbanes_john-</t>
  </si>
  <si>
    <t>@JohnSarbanes</t>
  </si>
  <si>
    <t>@RepSarbanes</t>
  </si>
  <si>
    <t>Sarbanes</t>
  </si>
  <si>
    <t>Amal Torres</t>
  </si>
  <si>
    <t>MD-03-torres_amal-</t>
  </si>
  <si>
    <t>Amal</t>
  </si>
  <si>
    <t>Angela Angel</t>
  </si>
  <si>
    <t>MD-04</t>
  </si>
  <si>
    <t>MD-04-angel_angela-</t>
  </si>
  <si>
    <t>James Curtis</t>
  </si>
  <si>
    <t>MD-04-curtis_james-</t>
  </si>
  <si>
    <t>Donna Edwards</t>
  </si>
  <si>
    <t>MD-04-edwards_donna-</t>
  </si>
  <si>
    <t>@DonnaFEdwards</t>
  </si>
  <si>
    <t>Edwards</t>
  </si>
  <si>
    <t>Glenn Ivey</t>
  </si>
  <si>
    <t>MD-04-ivey_glenn-</t>
  </si>
  <si>
    <t>Ivey</t>
  </si>
  <si>
    <t>Jeff Warner</t>
  </si>
  <si>
    <t>MD-04-warner_jeff-</t>
  </si>
  <si>
    <t>MD-05</t>
  </si>
  <si>
    <t>Elaine</t>
  </si>
  <si>
    <t>Steny Hoyer</t>
  </si>
  <si>
    <t>MD-05-hoyer_steny-</t>
  </si>
  <si>
    <t>@StenyHoyer</t>
  </si>
  <si>
    <t>@LeaderHoyer</t>
  </si>
  <si>
    <t>1981 Special</t>
  </si>
  <si>
    <t>Steny</t>
  </si>
  <si>
    <t>Hoyer</t>
  </si>
  <si>
    <t>Tannis Villanova</t>
  </si>
  <si>
    <t>MD-05-villanova_tannis-</t>
  </si>
  <si>
    <t>Tannis</t>
  </si>
  <si>
    <t>Villanova</t>
  </si>
  <si>
    <t>Mckayla Wilkes</t>
  </si>
  <si>
    <t>MD-05-wilkes_mckayla-</t>
  </si>
  <si>
    <t>@MeetMcKayla</t>
  </si>
  <si>
    <t>Mckayla</t>
  </si>
  <si>
    <t>Wilkes</t>
  </si>
  <si>
    <t>Jonathan Jenkins</t>
  </si>
  <si>
    <t>MD-06</t>
  </si>
  <si>
    <t>MD-06-jenkins_jonathan-</t>
  </si>
  <si>
    <t>@JenkinsCongress</t>
  </si>
  <si>
    <t>Neil Parrott</t>
  </si>
  <si>
    <t>MD-06-parrott_neil-</t>
  </si>
  <si>
    <t>@neilparrott</t>
  </si>
  <si>
    <t>Parrott</t>
  </si>
  <si>
    <t>Robert Poissonnier</t>
  </si>
  <si>
    <t>MD-06-poissonnier_robert-</t>
  </si>
  <si>
    <t>Poissonnier</t>
  </si>
  <si>
    <t>Ben Smilowitz</t>
  </si>
  <si>
    <t>MD-06-smilowitz_ben-</t>
  </si>
  <si>
    <t>@ben_smilowitz</t>
  </si>
  <si>
    <t>Smilowitz</t>
  </si>
  <si>
    <t>David Trone</t>
  </si>
  <si>
    <t>MD-06-trone_david-</t>
  </si>
  <si>
    <t>@davidjtrone</t>
  </si>
  <si>
    <t>@RepDavidTrone</t>
  </si>
  <si>
    <t>Trone</t>
  </si>
  <si>
    <t>Dave Wallace</t>
  </si>
  <si>
    <t>Kweisi Mfume</t>
  </si>
  <si>
    <t>MD-07</t>
  </si>
  <si>
    <t>MD-07-mfume_kweisi-</t>
  </si>
  <si>
    <t>@Mfume4Congress</t>
  </si>
  <si>
    <t>@RepKweisiMfume</t>
  </si>
  <si>
    <t>2020 Special, 1986-1996</t>
  </si>
  <si>
    <t>Kweisi</t>
  </si>
  <si>
    <t>Mfume</t>
  </si>
  <si>
    <t>Colt Black</t>
  </si>
  <si>
    <t>MD-08</t>
  </si>
  <si>
    <t>Colt</t>
  </si>
  <si>
    <t>Andalib Odulate</t>
  </si>
  <si>
    <t>MD-08-odulate_andalib-</t>
  </si>
  <si>
    <t>Andalib</t>
  </si>
  <si>
    <t>Odulate</t>
  </si>
  <si>
    <t>Jamie Raskin</t>
  </si>
  <si>
    <t>MD-08-raskin_jamie-</t>
  </si>
  <si>
    <t>@jamie_raskin</t>
  </si>
  <si>
    <t>@RepRaskin</t>
  </si>
  <si>
    <t>Jamie</t>
  </si>
  <si>
    <t>Raskin</t>
  </si>
  <si>
    <t>Mariela Roca</t>
  </si>
  <si>
    <t>@rocaforcongress</t>
  </si>
  <si>
    <t>Mariela</t>
  </si>
  <si>
    <t>Roca</t>
  </si>
  <si>
    <t>Benjamin Cardin</t>
  </si>
  <si>
    <t>MD-Sen01</t>
  </si>
  <si>
    <t>MD-Sen01-cardin_benjamin-</t>
  </si>
  <si>
    <t>@SenatorCardin</t>
  </si>
  <si>
    <t>Cardin</t>
  </si>
  <si>
    <t>Nnabu Eze</t>
  </si>
  <si>
    <t>MD-Sen03</t>
  </si>
  <si>
    <t>MD-Sen03-eze_nnabu-</t>
  </si>
  <si>
    <t>@eze4senate</t>
  </si>
  <si>
    <t>Nnabu</t>
  </si>
  <si>
    <t>Eze</t>
  </si>
  <si>
    <t>Reba Hawkins</t>
  </si>
  <si>
    <t>MD-Sen03-hawkins_reba-</t>
  </si>
  <si>
    <t>Reba</t>
  </si>
  <si>
    <t>Jon McGreevey</t>
  </si>
  <si>
    <t>MD-Sen03-mcgreevey_jon-</t>
  </si>
  <si>
    <t>McGreevey</t>
  </si>
  <si>
    <t>Michelle Smith</t>
  </si>
  <si>
    <t>MD-Sen03-smith_michelle-</t>
  </si>
  <si>
    <t>@MichelleSenate</t>
  </si>
  <si>
    <t>James Tarantin</t>
  </si>
  <si>
    <t>MD-Sen03-tarantin_james-</t>
  </si>
  <si>
    <t>@JamesTarantin</t>
  </si>
  <si>
    <t>Tarantin</t>
  </si>
  <si>
    <t>Chris Van Hollen</t>
  </si>
  <si>
    <t>MD-Sen03-vanhollen_chris-</t>
  </si>
  <si>
    <t>@ChrisVanHollen</t>
  </si>
  <si>
    <t>Chellie Pingree</t>
  </si>
  <si>
    <t>ME-01-pingree_chellie-</t>
  </si>
  <si>
    <t>@chelliepingree</t>
  </si>
  <si>
    <t>Chellie</t>
  </si>
  <si>
    <t>Pingree</t>
  </si>
  <si>
    <t>Elizabeth Caruso</t>
  </si>
  <si>
    <t>ME-02</t>
  </si>
  <si>
    <t>ME-02-caruso_elizabeth-</t>
  </si>
  <si>
    <t>@LizForMaine</t>
  </si>
  <si>
    <t>Caruso</t>
  </si>
  <si>
    <t>Jared Golden</t>
  </si>
  <si>
    <t>ME-02-golden_jared-</t>
  </si>
  <si>
    <t>@golden4congress</t>
  </si>
  <si>
    <t>@RepGolden</t>
  </si>
  <si>
    <t>Golden</t>
  </si>
  <si>
    <t>Bruce Poliquin</t>
  </si>
  <si>
    <t>ME-02-poliquin_bruce-</t>
  </si>
  <si>
    <t>@BrucePoliquin</t>
  </si>
  <si>
    <t>Poliquin</t>
  </si>
  <si>
    <t>Angus King</t>
  </si>
  <si>
    <t>ME-Sen01</t>
  </si>
  <si>
    <t>ME-Sen01-king_angus-</t>
  </si>
  <si>
    <t>@SenAngusKing</t>
  </si>
  <si>
    <t>Angus</t>
  </si>
  <si>
    <t>Susan Collins</t>
  </si>
  <si>
    <t>ME-Sen02</t>
  </si>
  <si>
    <t>ME-Sen02-collins_susan-</t>
  </si>
  <si>
    <t>@SenSusanCollins</t>
  </si>
  <si>
    <t>@SenatorCollins</t>
  </si>
  <si>
    <t>Jack Bergman</t>
  </si>
  <si>
    <t>MI-01</t>
  </si>
  <si>
    <t>MI-01-bergman_jack-</t>
  </si>
  <si>
    <t>@JackBergman_MI1</t>
  </si>
  <si>
    <t>@RepJackBergman</t>
  </si>
  <si>
    <t>Bergman</t>
  </si>
  <si>
    <t>Robert Lorinser</t>
  </si>
  <si>
    <t>MI-01-lorinser_robert-</t>
  </si>
  <si>
    <t>Lorinser</t>
  </si>
  <si>
    <t>MI-02</t>
  </si>
  <si>
    <t>Bill Huizenga</t>
  </si>
  <si>
    <t>@billhuizenga</t>
  </si>
  <si>
    <t>@RepHuizenga</t>
  </si>
  <si>
    <t>Christian - Reformed (Calvinist)</t>
  </si>
  <si>
    <t>Huizenga</t>
  </si>
  <si>
    <t>John Gibbs</t>
  </si>
  <si>
    <t>MI-03</t>
  </si>
  <si>
    <t>MI-03-gibbs_john-</t>
  </si>
  <si>
    <t>@votejohngibbs</t>
  </si>
  <si>
    <t>Gibbs</t>
  </si>
  <si>
    <t>Peter Meijer</t>
  </si>
  <si>
    <t>MI-03-meijer_peter-</t>
  </si>
  <si>
    <t>@VoteMeijer</t>
  </si>
  <si>
    <t>@RepMeijer</t>
  </si>
  <si>
    <t>Meijer</t>
  </si>
  <si>
    <t>@ForNorton</t>
  </si>
  <si>
    <t>Hillary Scholten</t>
  </si>
  <si>
    <t>MI-03-scholten_hillary-</t>
  </si>
  <si>
    <t>@HillaryScholten</t>
  </si>
  <si>
    <t>n</t>
  </si>
  <si>
    <t>Hillary</t>
  </si>
  <si>
    <t>Scholten</t>
  </si>
  <si>
    <t>MI-04</t>
  </si>
  <si>
    <t>John Moolenaar</t>
  </si>
  <si>
    <t>@JohnMoolenaar</t>
  </si>
  <si>
    <t>@RepMoolenaar</t>
  </si>
  <si>
    <t>Moolenaar</t>
  </si>
  <si>
    <t>Dan Kildee</t>
  </si>
  <si>
    <t>MI-05</t>
  </si>
  <si>
    <t>@dankildee</t>
  </si>
  <si>
    <t>@RepDanKildee</t>
  </si>
  <si>
    <t>Kildee</t>
  </si>
  <si>
    <t>MI-06</t>
  </si>
  <si>
    <t>Sherry O'Donnell</t>
  </si>
  <si>
    <t>Fred</t>
  </si>
  <si>
    <t>Tom Barrett</t>
  </si>
  <si>
    <t>MI-07</t>
  </si>
  <si>
    <t>MI-07-barrett_tom-</t>
  </si>
  <si>
    <t>@barrettbrigade1</t>
  </si>
  <si>
    <t>Adrian</t>
  </si>
  <si>
    <t>Tim Walberg</t>
  </si>
  <si>
    <t>@TimWalberg</t>
  </si>
  <si>
    <t>@RepWalberg</t>
  </si>
  <si>
    <t>2010, 2006-2008</t>
  </si>
  <si>
    <t>Christian - United Brethren</t>
  </si>
  <si>
    <t>Walberg</t>
  </si>
  <si>
    <t>MI-08</t>
  </si>
  <si>
    <t>Lott</t>
  </si>
  <si>
    <t>Elissa Slotkin</t>
  </si>
  <si>
    <t>@ElissaSlotkin</t>
  </si>
  <si>
    <t>@RepSlotkin</t>
  </si>
  <si>
    <t>Elissa</t>
  </si>
  <si>
    <t>Slotkin</t>
  </si>
  <si>
    <t>Andy Levin</t>
  </si>
  <si>
    <t>MI-09</t>
  </si>
  <si>
    <t>@Andy_Levin</t>
  </si>
  <si>
    <t>@RepAndyLevin</t>
  </si>
  <si>
    <t>Huwaida Arraf</t>
  </si>
  <si>
    <t>MI-10</t>
  </si>
  <si>
    <t>MI-10-arraf_huwaida-</t>
  </si>
  <si>
    <t>@huwaida4mi</t>
  </si>
  <si>
    <t>Huwaida</t>
  </si>
  <si>
    <t>Arraf</t>
  </si>
  <si>
    <t>John James</t>
  </si>
  <si>
    <t>MI-10-james_john-</t>
  </si>
  <si>
    <t>@JohnJamesMI</t>
  </si>
  <si>
    <t>Brian Jaye</t>
  </si>
  <si>
    <t>@JayeForMI</t>
  </si>
  <si>
    <t>Jaye</t>
  </si>
  <si>
    <t>Tony Marcinkewciz</t>
  </si>
  <si>
    <t>MI-10-marcinkewciz_tony-</t>
  </si>
  <si>
    <t>Marcinkewciz</t>
  </si>
  <si>
    <t>Lisa McClain</t>
  </si>
  <si>
    <t>@LisaForCongress</t>
  </si>
  <si>
    <t>@RepLisaMcClain</t>
  </si>
  <si>
    <t>McClain</t>
  </si>
  <si>
    <t>Angela Rogensues</t>
  </si>
  <si>
    <t>MI-10-rogensues_angela-</t>
  </si>
  <si>
    <t>@AngelaRogensues</t>
  </si>
  <si>
    <t>Rogensues</t>
  </si>
  <si>
    <t>Matthew DenOtter</t>
  </si>
  <si>
    <t>MI-11</t>
  </si>
  <si>
    <t>MI-11-denotter_matthew-</t>
  </si>
  <si>
    <t>@DenOtterForMi</t>
  </si>
  <si>
    <t>DenOtter</t>
  </si>
  <si>
    <t>Haley Stevens</t>
  </si>
  <si>
    <t>MI-11-stevens_haley-</t>
  </si>
  <si>
    <t>@HaleyLive</t>
  </si>
  <si>
    <t>@RepHaleyStevens</t>
  </si>
  <si>
    <t>Haley</t>
  </si>
  <si>
    <t>Stevens</t>
  </si>
  <si>
    <t>Debbie Dingell</t>
  </si>
  <si>
    <t>MI-12</t>
  </si>
  <si>
    <t>@DebDingell</t>
  </si>
  <si>
    <t>@RepDebDingell</t>
  </si>
  <si>
    <t>Dingell</t>
  </si>
  <si>
    <t>Shanelle Jackson</t>
  </si>
  <si>
    <t>MI-12-jackson_shanelle-</t>
  </si>
  <si>
    <t>@ElectShanelle</t>
  </si>
  <si>
    <t>Shanelle</t>
  </si>
  <si>
    <t>Janice Winfrey</t>
  </si>
  <si>
    <t>MI-12-winfrey_janice-</t>
  </si>
  <si>
    <t>Janice</t>
  </si>
  <si>
    <t>Winfrey</t>
  </si>
  <si>
    <t>MI-13</t>
  </si>
  <si>
    <t>John Conyers</t>
  </si>
  <si>
    <t>MI-13-conyers_john-</t>
  </si>
  <si>
    <t>John Conyers III, not John Conyers Jr.</t>
  </si>
  <si>
    <t>Conyers</t>
  </si>
  <si>
    <t>Sherry Gay-Dagnogo</t>
  </si>
  <si>
    <t>MI-13-gaydagnogo_sherry-</t>
  </si>
  <si>
    <t>@Sherry4Congress</t>
  </si>
  <si>
    <t>Gay-Dagnogo</t>
  </si>
  <si>
    <t>Ralph</t>
  </si>
  <si>
    <t>Michael Griffie</t>
  </si>
  <si>
    <t>MI-13-griffie_michael-</t>
  </si>
  <si>
    <t>Griffie</t>
  </si>
  <si>
    <t>Adam Hollier</t>
  </si>
  <si>
    <t>MI-13-hollier_adam-</t>
  </si>
  <si>
    <t>@Adamant4Detroit</t>
  </si>
  <si>
    <t>Hollier</t>
  </si>
  <si>
    <t>Lorrie Rutledge</t>
  </si>
  <si>
    <t>MI-13-rutledge_lorrie-</t>
  </si>
  <si>
    <t>Lorrie</t>
  </si>
  <si>
    <t>Rutledge</t>
  </si>
  <si>
    <t>Shri Thanedar</t>
  </si>
  <si>
    <t>MI-13-thanedar_shri-</t>
  </si>
  <si>
    <t>Shri</t>
  </si>
  <si>
    <t>Thanedar</t>
  </si>
  <si>
    <t>Rashida Tlaib</t>
  </si>
  <si>
    <t>@RashidaTlaib</t>
  </si>
  <si>
    <t>@RepRashida</t>
  </si>
  <si>
    <t>Rashida</t>
  </si>
  <si>
    <t>Tlaib</t>
  </si>
  <si>
    <t>Brenda Lawrence</t>
  </si>
  <si>
    <t>MI-14</t>
  </si>
  <si>
    <t>MI-14-lawrence_brenda-</t>
  </si>
  <si>
    <t>@BrendaLLawrence</t>
  </si>
  <si>
    <t>@RepLawrence</t>
  </si>
  <si>
    <t>Lawrence</t>
  </si>
  <si>
    <t>Debbie Stabenow</t>
  </si>
  <si>
    <t>MI-Sen01</t>
  </si>
  <si>
    <t>MI-Sen01-stabenow_debbie-</t>
  </si>
  <si>
    <t>@SenStabenow</t>
  </si>
  <si>
    <t>Stabenow</t>
  </si>
  <si>
    <t>Gary Peters</t>
  </si>
  <si>
    <t>MI-Sen02</t>
  </si>
  <si>
    <t>MI-Sen02-peters_gary-</t>
  </si>
  <si>
    <t>@GaryPeters</t>
  </si>
  <si>
    <t>@SenGaryPeters</t>
  </si>
  <si>
    <t>Jim Hagedorn</t>
  </si>
  <si>
    <t>MN-01</t>
  </si>
  <si>
    <t>MN-01-hagedorn_jim-</t>
  </si>
  <si>
    <t>@JimHagedornMN</t>
  </si>
  <si>
    <t>@RepHagedorn</t>
  </si>
  <si>
    <t>Hagedorn</t>
  </si>
  <si>
    <t>Angie Craig</t>
  </si>
  <si>
    <t>MN-02</t>
  </si>
  <si>
    <t>MN-02-craig_angie-</t>
  </si>
  <si>
    <t>@AngieCraigMN</t>
  </si>
  <si>
    <t>@RepAngieCraig</t>
  </si>
  <si>
    <t>Tyler Kistner</t>
  </si>
  <si>
    <t>MN-02-kistner_tyler-</t>
  </si>
  <si>
    <t>@KistnerCongress</t>
  </si>
  <si>
    <t>Kistner</t>
  </si>
  <si>
    <t>MN-03</t>
  </si>
  <si>
    <t>Dean Phillips</t>
  </si>
  <si>
    <t>MN-03-phillips_dean-</t>
  </si>
  <si>
    <t>@deanbphillips</t>
  </si>
  <si>
    <t>@RepDeanPhillips</t>
  </si>
  <si>
    <t>Tom Weiler</t>
  </si>
  <si>
    <t>MN-03-weiler_tom-</t>
  </si>
  <si>
    <t>Weiler</t>
  </si>
  <si>
    <t>Amane Badhasso</t>
  </si>
  <si>
    <t>MN-04</t>
  </si>
  <si>
    <t>MN-04-badhasso_amane-</t>
  </si>
  <si>
    <t>@amane4congress</t>
  </si>
  <si>
    <t>Amane</t>
  </si>
  <si>
    <t>Badhasso</t>
  </si>
  <si>
    <t>Betty McCollum</t>
  </si>
  <si>
    <t>MN-04-mccollum_betty-</t>
  </si>
  <si>
    <t>@VoteBetty</t>
  </si>
  <si>
    <t>@BettyMcCollum04</t>
  </si>
  <si>
    <t>Betty</t>
  </si>
  <si>
    <t>McCollum</t>
  </si>
  <si>
    <t>Murray</t>
  </si>
  <si>
    <t>MN-05</t>
  </si>
  <si>
    <t>Cicely Davis</t>
  </si>
  <si>
    <t>MN-05-davis_cicely-</t>
  </si>
  <si>
    <t>@CicelyDavisMN</t>
  </si>
  <si>
    <t>Cicely</t>
  </si>
  <si>
    <t>Ilhan Omar</t>
  </si>
  <si>
    <t>MN-05-omar_ilhan-</t>
  </si>
  <si>
    <t>@IlhanMN</t>
  </si>
  <si>
    <t>@Ilhan</t>
  </si>
  <si>
    <t>Ilhan</t>
  </si>
  <si>
    <t>Tom Emmer</t>
  </si>
  <si>
    <t>MN-06</t>
  </si>
  <si>
    <t>MN-06-emmer_tom-</t>
  </si>
  <si>
    <t>@tomemmer</t>
  </si>
  <si>
    <t>@RepTomEmmer</t>
  </si>
  <si>
    <t>Emmer</t>
  </si>
  <si>
    <t>Jeanne Hendricks</t>
  </si>
  <si>
    <t>MN-06-hendricks_jeanne-</t>
  </si>
  <si>
    <t>@JeanneH76486336</t>
  </si>
  <si>
    <t>Jeanne</t>
  </si>
  <si>
    <t>Hendricks</t>
  </si>
  <si>
    <t>Michelle Fischbach</t>
  </si>
  <si>
    <t>MN-07</t>
  </si>
  <si>
    <t>MN-07-fischbach_michelle-</t>
  </si>
  <si>
    <t>@FischbachMN7</t>
  </si>
  <si>
    <t>@RepFischbach</t>
  </si>
  <si>
    <t>Fischbach</t>
  </si>
  <si>
    <t>Reed</t>
  </si>
  <si>
    <t>Pete Stauber</t>
  </si>
  <si>
    <t>MN-08</t>
  </si>
  <si>
    <t>MN-08-stauber_pete-</t>
  </si>
  <si>
    <t>@PeteStauber</t>
  </si>
  <si>
    <t>@RepPeteStauber</t>
  </si>
  <si>
    <t>Stauber</t>
  </si>
  <si>
    <t>Amy Klobuchar</t>
  </si>
  <si>
    <t>MN-Sen01</t>
  </si>
  <si>
    <t>MN-Sen01-klobuchar_amy-</t>
  </si>
  <si>
    <t>@SenAmyKlobuchar</t>
  </si>
  <si>
    <t>Klobuchar</t>
  </si>
  <si>
    <t>Tina Smith</t>
  </si>
  <si>
    <t>MN-Sen02</t>
  </si>
  <si>
    <t>MN-Sen02-smith_tina-</t>
  </si>
  <si>
    <t>@TinaSmithMN</t>
  </si>
  <si>
    <t>@SenTinaSmith</t>
  </si>
  <si>
    <t>2018 Appointment</t>
  </si>
  <si>
    <t>Tina</t>
  </si>
  <si>
    <t>Cori Bush</t>
  </si>
  <si>
    <t>MO-01</t>
  </si>
  <si>
    <t>MO-01-bush_cori-</t>
  </si>
  <si>
    <t>@CoriBush</t>
  </si>
  <si>
    <t>@RepCori</t>
  </si>
  <si>
    <t>Cori</t>
  </si>
  <si>
    <t>Bush</t>
  </si>
  <si>
    <t>Michael Daniels</t>
  </si>
  <si>
    <t>MO-01-daniels_michael-</t>
  </si>
  <si>
    <t>Ronald Harshaw</t>
  </si>
  <si>
    <t>MO-01-harshaw_ronald-</t>
  </si>
  <si>
    <t>@HarshawForMO1</t>
  </si>
  <si>
    <t>Ronald</t>
  </si>
  <si>
    <t>Harshaw</t>
  </si>
  <si>
    <t>Andrew Jones</t>
  </si>
  <si>
    <t>MO-01-jones_andrew-</t>
  </si>
  <si>
    <t>@ajones4congress</t>
  </si>
  <si>
    <t>MO-02</t>
  </si>
  <si>
    <t>Paul Berry</t>
  </si>
  <si>
    <t>MO-02-berry_paul-</t>
  </si>
  <si>
    <t>@PBIII4USA</t>
  </si>
  <si>
    <t>Berry</t>
  </si>
  <si>
    <t>Trish Gunby</t>
  </si>
  <si>
    <t>MO-02-gunby_trish-</t>
  </si>
  <si>
    <t>@TrishForMO</t>
  </si>
  <si>
    <t>Trish</t>
  </si>
  <si>
    <t>Gunby</t>
  </si>
  <si>
    <t>Raymond Reed</t>
  </si>
  <si>
    <t>MO-02-reed_raymond-</t>
  </si>
  <si>
    <t>Raymond</t>
  </si>
  <si>
    <t>Ann Wagner</t>
  </si>
  <si>
    <t>MO-02-wagner_ann-</t>
  </si>
  <si>
    <t>@AnnLWagner</t>
  </si>
  <si>
    <t>@RepAnnWagner</t>
  </si>
  <si>
    <t>Wagner</t>
  </si>
  <si>
    <t>Mark Alford</t>
  </si>
  <si>
    <t>MO-03</t>
  </si>
  <si>
    <t>@markalfordkc</t>
  </si>
  <si>
    <t>Alford</t>
  </si>
  <si>
    <t>Jon Karlen</t>
  </si>
  <si>
    <t>MO-03-karlen_jon-</t>
  </si>
  <si>
    <t>Karlen</t>
  </si>
  <si>
    <t>Blaine Luetkemeyer</t>
  </si>
  <si>
    <t>MO-03-luetkemeyer_blaine-</t>
  </si>
  <si>
    <t>@LuetkemeyerB</t>
  </si>
  <si>
    <t>@RepBlaine</t>
  </si>
  <si>
    <t>Blaine</t>
  </si>
  <si>
    <t>Luetkemeyer</t>
  </si>
  <si>
    <t>Brandon Wilkinson</t>
  </si>
  <si>
    <t>MO-03-wilkinson_brandon-</t>
  </si>
  <si>
    <t>@brawil86</t>
  </si>
  <si>
    <t>Wilkinson</t>
  </si>
  <si>
    <t>Rick Brattin</t>
  </si>
  <si>
    <t>MO-04-brattin_rick-</t>
  </si>
  <si>
    <t>Brattin</t>
  </si>
  <si>
    <t>Kalena Bruce</t>
  </si>
  <si>
    <t>MO-04-bruce_kalena-</t>
  </si>
  <si>
    <t>@KalenaBruce</t>
  </si>
  <si>
    <t>Kalena</t>
  </si>
  <si>
    <t>Taylor Burks</t>
  </si>
  <si>
    <t>MO-04-burks_taylor-</t>
  </si>
  <si>
    <t>@taylorwburks</t>
  </si>
  <si>
    <t>Burks</t>
  </si>
  <si>
    <t>Vicky Hartzler</t>
  </si>
  <si>
    <t>Vicky</t>
  </si>
  <si>
    <t>Hartzler</t>
  </si>
  <si>
    <t>William Irwin</t>
  </si>
  <si>
    <t>MO-04-irwin_william-</t>
  </si>
  <si>
    <t>Irwin</t>
  </si>
  <si>
    <t>Kyle LaBrue</t>
  </si>
  <si>
    <t>MO-04-labrue_kyle-</t>
  </si>
  <si>
    <t>@KyleLaBrue</t>
  </si>
  <si>
    <t>LaBrue</t>
  </si>
  <si>
    <t>Emanuel Cleaver</t>
  </si>
  <si>
    <t>MO-05</t>
  </si>
  <si>
    <t>MO-05-cleaver_emanuel-</t>
  </si>
  <si>
    <t>@Vote4Cleaver</t>
  </si>
  <si>
    <t>@repcleaver</t>
  </si>
  <si>
    <t>Emanuel</t>
  </si>
  <si>
    <t>Cleaver</t>
  </si>
  <si>
    <t>Sam Graves</t>
  </si>
  <si>
    <t>MO-06</t>
  </si>
  <si>
    <t>MO-06-graves_sam-</t>
  </si>
  <si>
    <t>@RepSamGraves</t>
  </si>
  <si>
    <t>Henry Martin</t>
  </si>
  <si>
    <t>MO-06-martin_henry-</t>
  </si>
  <si>
    <t>@hmforcongress</t>
  </si>
  <si>
    <t>Dakota Shultz</t>
  </si>
  <si>
    <t>MO-06-shultz_dakota-</t>
  </si>
  <si>
    <t>@repshultz</t>
  </si>
  <si>
    <t>Dakota</t>
  </si>
  <si>
    <t>Shultz</t>
  </si>
  <si>
    <t>Charles West</t>
  </si>
  <si>
    <t>MO-06-west_charles-</t>
  </si>
  <si>
    <t>@CharlesWestfor1</t>
  </si>
  <si>
    <t>Sam Alexander</t>
  </si>
  <si>
    <t>MO-07</t>
  </si>
  <si>
    <t>MO-07-alexander_sam-</t>
  </si>
  <si>
    <t>Alexander</t>
  </si>
  <si>
    <t>Eric Burlison</t>
  </si>
  <si>
    <t>MO-07-burlison_eric-</t>
  </si>
  <si>
    <t>@EricBurlison</t>
  </si>
  <si>
    <t>Burlison</t>
  </si>
  <si>
    <t>Billy Long</t>
  </si>
  <si>
    <t>@auctnr1</t>
  </si>
  <si>
    <t>@USRepLong</t>
  </si>
  <si>
    <t>Billy</t>
  </si>
  <si>
    <t>Mike Moon</t>
  </si>
  <si>
    <t>MO-07-moon_mike-</t>
  </si>
  <si>
    <t>@realmikemoon</t>
  </si>
  <si>
    <t>Moon</t>
  </si>
  <si>
    <t>Audrey Richards</t>
  </si>
  <si>
    <t>MO-07-richards_audrey-</t>
  </si>
  <si>
    <t>@Audrey4Congress</t>
  </si>
  <si>
    <t>Paul Walker</t>
  </si>
  <si>
    <t>MO-07-walker_paul-</t>
  </si>
  <si>
    <t>Jay Wasson</t>
  </si>
  <si>
    <t>MO-07-wasson_jay-</t>
  </si>
  <si>
    <t>@jaywasson</t>
  </si>
  <si>
    <t>Wasson</t>
  </si>
  <si>
    <t>MO-08</t>
  </si>
  <si>
    <t>Jason Smith</t>
  </si>
  <si>
    <t>MO-08-smith_jason-</t>
  </si>
  <si>
    <t>@JasonSmithMO</t>
  </si>
  <si>
    <t>@RepJasonSmith</t>
  </si>
  <si>
    <t>Josh Hawley</t>
  </si>
  <si>
    <t>MO-Sen01</t>
  </si>
  <si>
    <t>MO-Sen01-hawley_josh-</t>
  </si>
  <si>
    <t>@SenHawleyPress</t>
  </si>
  <si>
    <t>Hawley</t>
  </si>
  <si>
    <t>Roy Blunt</t>
  </si>
  <si>
    <t>MO-Sen03-blunt_roy-</t>
  </si>
  <si>
    <t>@RoyBlunt</t>
  </si>
  <si>
    <t>Roy</t>
  </si>
  <si>
    <t>Blunt</t>
  </si>
  <si>
    <t>Eric Greitens</t>
  </si>
  <si>
    <t>MO-Sen03-greitens_eric-</t>
  </si>
  <si>
    <t>@EricGreitens</t>
  </si>
  <si>
    <t>Greitens</t>
  </si>
  <si>
    <t>MO-Sen03-hartzler_vicky-</t>
  </si>
  <si>
    <t>@VickyHartzlerMO</t>
  </si>
  <si>
    <t>Jewel Kelly</t>
  </si>
  <si>
    <t>MO-Sen03-kelly_jewel-</t>
  </si>
  <si>
    <t>@JewelCommittee</t>
  </si>
  <si>
    <t>Jewel</t>
  </si>
  <si>
    <t>Lucas Kunce</t>
  </si>
  <si>
    <t>MO-Sen03-kunce_lucas-</t>
  </si>
  <si>
    <t>@lucaskuncemo</t>
  </si>
  <si>
    <t>Kunce</t>
  </si>
  <si>
    <t>MO-Sen03-long_billy-</t>
  </si>
  <si>
    <t>Mark McCloskey</t>
  </si>
  <si>
    <t>MO-Sen03-mccloskey_mark-</t>
  </si>
  <si>
    <t>@mccloskeyusa</t>
  </si>
  <si>
    <t>McCloskey</t>
  </si>
  <si>
    <t>Deshon Porter</t>
  </si>
  <si>
    <t>MO-Sen03-porter_deshon-</t>
  </si>
  <si>
    <t>@bigdzone</t>
  </si>
  <si>
    <t>Deshon</t>
  </si>
  <si>
    <t>Lewis Rolen</t>
  </si>
  <si>
    <t>MO-Sen03-rolen_lewis-</t>
  </si>
  <si>
    <t>Rolen</t>
  </si>
  <si>
    <t>Gena Ross</t>
  </si>
  <si>
    <t>MO-Sen03-ross_gena-</t>
  </si>
  <si>
    <t>@GenaRossforMO6</t>
  </si>
  <si>
    <t>Gena</t>
  </si>
  <si>
    <t>Ross</t>
  </si>
  <si>
    <t>Dave Schatz</t>
  </si>
  <si>
    <t>MO-Sen03-schatz_dave-</t>
  </si>
  <si>
    <t>@DaveSchatzMO</t>
  </si>
  <si>
    <t>Eric Schmitt</t>
  </si>
  <si>
    <t>MO-Sen03-schmitt_eric-</t>
  </si>
  <si>
    <t>@Eric_Schmitt</t>
  </si>
  <si>
    <t>Schmitt</t>
  </si>
  <si>
    <t>Dave Sims</t>
  </si>
  <si>
    <t>MO-Sen03-sims_dave-</t>
  </si>
  <si>
    <t>Spencer Toder</t>
  </si>
  <si>
    <t>MO-Sen03-toder_spencer-</t>
  </si>
  <si>
    <t>@SpencerToder</t>
  </si>
  <si>
    <t>Spencer</t>
  </si>
  <si>
    <t>Toder</t>
  </si>
  <si>
    <t>Hunter Avery</t>
  </si>
  <si>
    <t>MS-01</t>
  </si>
  <si>
    <t>MS-01-avery_hunter-</t>
  </si>
  <si>
    <t>Hunter</t>
  </si>
  <si>
    <t>Avery</t>
  </si>
  <si>
    <t>Trent Kelly</t>
  </si>
  <si>
    <t>MS-01-kelly_trent-</t>
  </si>
  <si>
    <t>@RepTrentKelly</t>
  </si>
  <si>
    <t>Trent</t>
  </si>
  <si>
    <t>Gerald Kerner</t>
  </si>
  <si>
    <t>MS-02</t>
  </si>
  <si>
    <t>MS-02-kerner_gerald-</t>
  </si>
  <si>
    <t>Bennie Thompson</t>
  </si>
  <si>
    <t>MS-02-thompson_bennie-</t>
  </si>
  <si>
    <t>@BGThompsonMS</t>
  </si>
  <si>
    <t>@BennieGThompson</t>
  </si>
  <si>
    <t>1993 Special</t>
  </si>
  <si>
    <t>Bennie</t>
  </si>
  <si>
    <t>Michael Guest</t>
  </si>
  <si>
    <t>MS-03</t>
  </si>
  <si>
    <t>MS-03-guest_michael-</t>
  </si>
  <si>
    <t>@GuestCongress</t>
  </si>
  <si>
    <t>@RepMichaelGuest</t>
  </si>
  <si>
    <t>Guest</t>
  </si>
  <si>
    <t>Shuwaski Young</t>
  </si>
  <si>
    <t>MS-03-young_shuwaski-</t>
  </si>
  <si>
    <t>@shuwaskiyoung</t>
  </si>
  <si>
    <t>Shuwaski</t>
  </si>
  <si>
    <t>Carl Boyanton</t>
  </si>
  <si>
    <t>MS-04</t>
  </si>
  <si>
    <t>MS-04-boyanton_carl-</t>
  </si>
  <si>
    <t>@Carl4congressms</t>
  </si>
  <si>
    <t>Boyanton</t>
  </si>
  <si>
    <t>Raymond Brooks</t>
  </si>
  <si>
    <t>MS-04-brooks_raymond-</t>
  </si>
  <si>
    <t>@RaymondNBrooks1</t>
  </si>
  <si>
    <t>Johnny DuPree</t>
  </si>
  <si>
    <t>MS-04-dupree_johnny-</t>
  </si>
  <si>
    <t>DuPree</t>
  </si>
  <si>
    <t>Mike Ezell</t>
  </si>
  <si>
    <t>MS-04-ezell_mike-</t>
  </si>
  <si>
    <t>@MikeEzell11</t>
  </si>
  <si>
    <t>Ezell</t>
  </si>
  <si>
    <t>Steven Palazzo</t>
  </si>
  <si>
    <t>MS-04-palazzo_steven-</t>
  </si>
  <si>
    <t>@StevenPalazzo</t>
  </si>
  <si>
    <t>@CongPalazzo</t>
  </si>
  <si>
    <t>David Sellers</t>
  </si>
  <si>
    <t>MS-04-sellers_david-</t>
  </si>
  <si>
    <t>Sellers</t>
  </si>
  <si>
    <t>Clay Wagner</t>
  </si>
  <si>
    <t>MS-04-wagner_clay-</t>
  </si>
  <si>
    <t>Brice Wiggins</t>
  </si>
  <si>
    <t>MS-04-wiggins_brice-</t>
  </si>
  <si>
    <t>@bricewigginsMS</t>
  </si>
  <si>
    <t>Brice</t>
  </si>
  <si>
    <t>Wiggins</t>
  </si>
  <si>
    <t>Roger Wicker</t>
  </si>
  <si>
    <t>MS-Sen01</t>
  </si>
  <si>
    <t>MS-Sen01-wicker_roger-</t>
  </si>
  <si>
    <t>@SenatorWicker</t>
  </si>
  <si>
    <t>Wicker</t>
  </si>
  <si>
    <t>Cindy Hyde-Smith</t>
  </si>
  <si>
    <t>MS-Sen02</t>
  </si>
  <si>
    <t>MS-Sen02-hyde-smith_cindy-</t>
  </si>
  <si>
    <t>@cindyhydesmith</t>
  </si>
  <si>
    <t>@SenHydeSmith</t>
  </si>
  <si>
    <t>Hyde-Smith</t>
  </si>
  <si>
    <t>MT-01</t>
  </si>
  <si>
    <t>Matt Jette</t>
  </si>
  <si>
    <t>MT-01-jette_matt-</t>
  </si>
  <si>
    <t>Jette</t>
  </si>
  <si>
    <t>MT-02</t>
  </si>
  <si>
    <t>James Boyette</t>
  </si>
  <si>
    <t>MT-02-boyette_james-</t>
  </si>
  <si>
    <t>Boyette</t>
  </si>
  <si>
    <t>Cora Neumann</t>
  </si>
  <si>
    <t>Cora</t>
  </si>
  <si>
    <t>Neumann</t>
  </si>
  <si>
    <t>Penny Ronning</t>
  </si>
  <si>
    <t>MT-02-ronning_penny-</t>
  </si>
  <si>
    <t>Penny</t>
  </si>
  <si>
    <t>Ronning</t>
  </si>
  <si>
    <t>Matt Rosendale</t>
  </si>
  <si>
    <t>MT-02-rosendale_matt-</t>
  </si>
  <si>
    <t>@MattForMontana</t>
  </si>
  <si>
    <t>@RepRosendale</t>
  </si>
  <si>
    <t>Rosendale</t>
  </si>
  <si>
    <t>Mark Sweeney</t>
  </si>
  <si>
    <t>MT-02-sweeney_mark-</t>
  </si>
  <si>
    <t>Mary Todd</t>
  </si>
  <si>
    <t>@MaryToddForMT</t>
  </si>
  <si>
    <t>Monica Tranel</t>
  </si>
  <si>
    <t>@MonicaTranel</t>
  </si>
  <si>
    <t>Monica</t>
  </si>
  <si>
    <t>Tranel</t>
  </si>
  <si>
    <t>Skylar Williams</t>
  </si>
  <si>
    <t>MT-02-williams_skylar-</t>
  </si>
  <si>
    <t>@Skylar4Montana</t>
  </si>
  <si>
    <t>Skylar</t>
  </si>
  <si>
    <t>Tom Winter</t>
  </si>
  <si>
    <t>Winter</t>
  </si>
  <si>
    <t>Ryan Zinke</t>
  </si>
  <si>
    <t>@RyanZinke</t>
  </si>
  <si>
    <t>Zinke</t>
  </si>
  <si>
    <t>Jon Tester</t>
  </si>
  <si>
    <t>MT-Sen01</t>
  </si>
  <si>
    <t>MT-Sen01-tester_jon-</t>
  </si>
  <si>
    <t>@SenatorTester</t>
  </si>
  <si>
    <t>Tester</t>
  </si>
  <si>
    <t>Steve Daines</t>
  </si>
  <si>
    <t>MT-Sen02</t>
  </si>
  <si>
    <t>MT-Sen02-daines_steve-</t>
  </si>
  <si>
    <t>@DainesforMT</t>
  </si>
  <si>
    <t>@SteveDaines</t>
  </si>
  <si>
    <t>Daines</t>
  </si>
  <si>
    <t>NC-02</t>
  </si>
  <si>
    <t>Brad Murphy</t>
  </si>
  <si>
    <t>NC-01-murphy_brad-</t>
  </si>
  <si>
    <t>@BradMurphyNC</t>
  </si>
  <si>
    <t>Roberson</t>
  </si>
  <si>
    <t>Sandy Roberson</t>
  </si>
  <si>
    <t>NC-01-roberson_sandy-</t>
  </si>
  <si>
    <t>@SandyRobersonNC</t>
  </si>
  <si>
    <t>Sandy</t>
  </si>
  <si>
    <t>Adina Safta</t>
  </si>
  <si>
    <t>NC-02-safta_adina-</t>
  </si>
  <si>
    <t>@adina4congress</t>
  </si>
  <si>
    <t>Adina</t>
  </si>
  <si>
    <t>Safta</t>
  </si>
  <si>
    <t>Sandy Smith</t>
  </si>
  <si>
    <t>NC-01-smith_sandy-</t>
  </si>
  <si>
    <t>@SandySmithNC</t>
  </si>
  <si>
    <t>Billy Strickland</t>
  </si>
  <si>
    <t>NC-01-strickland_billy-</t>
  </si>
  <si>
    <t>Strickland</t>
  </si>
  <si>
    <t>Brian Friend</t>
  </si>
  <si>
    <t>NC-03</t>
  </si>
  <si>
    <t>NC-03-friend_brian-</t>
  </si>
  <si>
    <t>@BrianFriend2022</t>
  </si>
  <si>
    <t>Friend</t>
  </si>
  <si>
    <t>Greg Murphy</t>
  </si>
  <si>
    <t>NC-03-murphy_greg-</t>
  </si>
  <si>
    <t>@GregMurphyMD</t>
  </si>
  <si>
    <t>@RepGregMurphy</t>
  </si>
  <si>
    <t>2019 Special</t>
  </si>
  <si>
    <t>DeVan Barbour</t>
  </si>
  <si>
    <t>NC-04</t>
  </si>
  <si>
    <t>DeVan</t>
  </si>
  <si>
    <t>Barbour</t>
  </si>
  <si>
    <t>Tony Cowden</t>
  </si>
  <si>
    <t>@TonyCowdenNC</t>
  </si>
  <si>
    <t>Cowden</t>
  </si>
  <si>
    <t>Renee Ellmers</t>
  </si>
  <si>
    <t>@RepReneeEllmers</t>
  </si>
  <si>
    <t>Renee</t>
  </si>
  <si>
    <t>Ellmers</t>
  </si>
  <si>
    <t>Michael Ackerman</t>
  </si>
  <si>
    <t>NC-05</t>
  </si>
  <si>
    <t>NC-05-ackerman_michael-</t>
  </si>
  <si>
    <t>Ackerman</t>
  </si>
  <si>
    <t>Virginia Foxx</t>
  </si>
  <si>
    <t>NC-05-foxx_virginia-</t>
  </si>
  <si>
    <t>@foxxforcongress</t>
  </si>
  <si>
    <t>@virginiafoxx</t>
  </si>
  <si>
    <t>Virginia</t>
  </si>
  <si>
    <t>Foxx</t>
  </si>
  <si>
    <t>Gerry Austin</t>
  </si>
  <si>
    <t>NC-06</t>
  </si>
  <si>
    <t>NC-06-austin_gerry-</t>
  </si>
  <si>
    <t>@ElectAustin</t>
  </si>
  <si>
    <t>Gerry</t>
  </si>
  <si>
    <t>Mahesh Ganorkar</t>
  </si>
  <si>
    <t>@MaxCongress</t>
  </si>
  <si>
    <t>Mahesh</t>
  </si>
  <si>
    <t>Ganorkar</t>
  </si>
  <si>
    <t>Max Beckwith</t>
  </si>
  <si>
    <t>NC-07</t>
  </si>
  <si>
    <t>NC-07-beckwith_max-</t>
  </si>
  <si>
    <t>@Max4congress1</t>
  </si>
  <si>
    <t>Beckwith</t>
  </si>
  <si>
    <t>Marvin Boguslawski</t>
  </si>
  <si>
    <t>Marvin</t>
  </si>
  <si>
    <t>Boguslawski</t>
  </si>
  <si>
    <t>Christian Castelli</t>
  </si>
  <si>
    <t>Castelli</t>
  </si>
  <si>
    <t>@1Haywood</t>
  </si>
  <si>
    <t>David Rouzer</t>
  </si>
  <si>
    <t>NC-07-rouzer_david-</t>
  </si>
  <si>
    <t>@DavidRouzer</t>
  </si>
  <si>
    <t>@RepDavidRouzer</t>
  </si>
  <si>
    <t>Rouzer</t>
  </si>
  <si>
    <t>Chad Slotta</t>
  </si>
  <si>
    <t>@ChadSlotta</t>
  </si>
  <si>
    <t>Chad</t>
  </si>
  <si>
    <t>Slotta</t>
  </si>
  <si>
    <t>Richard Hudson</t>
  </si>
  <si>
    <t>NC-08</t>
  </si>
  <si>
    <t>@RichHudson</t>
  </si>
  <si>
    <t>@RepRichHudson</t>
  </si>
  <si>
    <t>Christine Villaverde</t>
  </si>
  <si>
    <t>Villaverde</t>
  </si>
  <si>
    <t>Dan Bishop</t>
  </si>
  <si>
    <t>NC-09</t>
  </si>
  <si>
    <t>@jdanbishop</t>
  </si>
  <si>
    <t>@RepDanBishop</t>
  </si>
  <si>
    <t>Patrick McHenry</t>
  </si>
  <si>
    <t>NC-10</t>
  </si>
  <si>
    <t>NC-10-mchenry_patrick-</t>
  </si>
  <si>
    <t>@McHenryCampaign</t>
  </si>
  <si>
    <t>@PatrickMcHenry</t>
  </si>
  <si>
    <t>McHenry</t>
  </si>
  <si>
    <t>Batchelor</t>
  </si>
  <si>
    <t>Madison Cawthorn</t>
  </si>
  <si>
    <t>NC-11-cawthorn_madison-</t>
  </si>
  <si>
    <t>@CawthornforNC</t>
  </si>
  <si>
    <t>@RepCawthorn</t>
  </si>
  <si>
    <t>Cawthorn</t>
  </si>
  <si>
    <t>Rod Honeycutt</t>
  </si>
  <si>
    <t>NC-11-honeycutt_rod-</t>
  </si>
  <si>
    <t>Honeycutt</t>
  </si>
  <si>
    <t>Wendy Nevarez</t>
  </si>
  <si>
    <t>NC-11-nevarez_wendy-</t>
  </si>
  <si>
    <t>@WendyforWNC</t>
  </si>
  <si>
    <t>Nevarez</t>
  </si>
  <si>
    <t>Bruce O'Connell</t>
  </si>
  <si>
    <t>NC-11-oconnell_bruce-</t>
  </si>
  <si>
    <t>@Bruce_OConnell</t>
  </si>
  <si>
    <t>NC-12</t>
  </si>
  <si>
    <t>Tyler Lee</t>
  </si>
  <si>
    <t>NC-12-lee_tyler-</t>
  </si>
  <si>
    <t>Francisco Rios</t>
  </si>
  <si>
    <t>@RiosVote</t>
  </si>
  <si>
    <t>Francisco</t>
  </si>
  <si>
    <t>Ted Budd</t>
  </si>
  <si>
    <t>@RepTedBudd</t>
  </si>
  <si>
    <t>Budd</t>
  </si>
  <si>
    <t>Courtney Geels</t>
  </si>
  <si>
    <t>Geels</t>
  </si>
  <si>
    <t>Pat Harrigan</t>
  </si>
  <si>
    <t>@PatHarriganNC</t>
  </si>
  <si>
    <t>Harrigan</t>
  </si>
  <si>
    <t>Scott Huffman</t>
  </si>
  <si>
    <t>@HuffmanForNC</t>
  </si>
  <si>
    <t>Kent Keirsey</t>
  </si>
  <si>
    <t>NC-13-keirsey_kent-</t>
  </si>
  <si>
    <t>@KentKeirseyNC</t>
  </si>
  <si>
    <t>Kent</t>
  </si>
  <si>
    <t>Keirsey</t>
  </si>
  <si>
    <t>Richard Speer</t>
  </si>
  <si>
    <t>Speer</t>
  </si>
  <si>
    <t>Matthew Burril</t>
  </si>
  <si>
    <t>NC-14</t>
  </si>
  <si>
    <t>@burril4congress</t>
  </si>
  <si>
    <t>Burril</t>
  </si>
  <si>
    <t>Chuck Edwards</t>
  </si>
  <si>
    <t>Michele Woodhouse</t>
  </si>
  <si>
    <t>@NC14Woodhouse</t>
  </si>
  <si>
    <t>Woodhouse</t>
  </si>
  <si>
    <t>Thom Tillis</t>
  </si>
  <si>
    <t>NC-Sen02</t>
  </si>
  <si>
    <t>NC-Sen02-tillis_thom-</t>
  </si>
  <si>
    <t>@ThomTillis</t>
  </si>
  <si>
    <t>@SenThomTillis</t>
  </si>
  <si>
    <t>Thom</t>
  </si>
  <si>
    <t>Tillis</t>
  </si>
  <si>
    <t>Jennifer Banwart</t>
  </si>
  <si>
    <t>NC-Sen03</t>
  </si>
  <si>
    <t>NC-Sen03-banwart_jennifer-</t>
  </si>
  <si>
    <t>@Jen4SenNC</t>
  </si>
  <si>
    <t>Banwart</t>
  </si>
  <si>
    <t>Lee Brian</t>
  </si>
  <si>
    <t>NC-Sen03-brian_lee-</t>
  </si>
  <si>
    <t>Leonard Bryant</t>
  </si>
  <si>
    <t>NC-Sen03-bryant_leonard-</t>
  </si>
  <si>
    <t>@BryantSenate</t>
  </si>
  <si>
    <t>Bryant</t>
  </si>
  <si>
    <t>NC-Sen03-budd_ted-</t>
  </si>
  <si>
    <t>@TedBuddNC</t>
  </si>
  <si>
    <t>Drew Bulecza</t>
  </si>
  <si>
    <t>NC-Sen03-bulecza_drew-</t>
  </si>
  <si>
    <t>Bulecza</t>
  </si>
  <si>
    <t>Marjorie Eastman</t>
  </si>
  <si>
    <t>NC-Sen03-eastman_marjorie-</t>
  </si>
  <si>
    <t>@marjoriekeastman</t>
  </si>
  <si>
    <t>Eastman</t>
  </si>
  <si>
    <t>Benjamin Griffiths</t>
  </si>
  <si>
    <t>NC-Sen03-griffiths_benjamin-</t>
  </si>
  <si>
    <t>Griffiths</t>
  </si>
  <si>
    <t>Kenneth Harper</t>
  </si>
  <si>
    <t>NC-Sen03-harper_kenneth-</t>
  </si>
  <si>
    <t>Harper</t>
  </si>
  <si>
    <t>Pat McCrory</t>
  </si>
  <si>
    <t>NC-Sen03-mccrory_pat-</t>
  </si>
  <si>
    <t>@PatMcCroryNC</t>
  </si>
  <si>
    <t>McCrory</t>
  </si>
  <si>
    <t>Lichia Sibhatu</t>
  </si>
  <si>
    <t>NC-Sen03-sibhatu_lichia-</t>
  </si>
  <si>
    <t>Lichia</t>
  </si>
  <si>
    <t>Sibhatu</t>
  </si>
  <si>
    <t>Mark Walker</t>
  </si>
  <si>
    <t>NC-Sen03-walker_mark-</t>
  </si>
  <si>
    <t>@Walker4NC</t>
  </si>
  <si>
    <t>Warren</t>
  </si>
  <si>
    <t>@DonDavisNC</t>
  </si>
  <si>
    <t>Deborah Ross</t>
  </si>
  <si>
    <t>NC-02-ross_deborah-</t>
  </si>
  <si>
    <t>@DeborahRossNC</t>
  </si>
  <si>
    <t>@RepDeborahRoss</t>
  </si>
  <si>
    <t>Jason Spriggs</t>
  </si>
  <si>
    <t>@JasonSpriggs4NC</t>
  </si>
  <si>
    <t>Spriggs</t>
  </si>
  <si>
    <t>Barbara Gaskins</t>
  </si>
  <si>
    <t>NC-03-gaskins_barbara-</t>
  </si>
  <si>
    <t>Gaskins</t>
  </si>
  <si>
    <t>Yushonda Midgette</t>
  </si>
  <si>
    <t>Yushonda</t>
  </si>
  <si>
    <t>Midgette</t>
  </si>
  <si>
    <t>Crystal Cavalier</t>
  </si>
  <si>
    <t>NC-04-cavalier_crystal-</t>
  </si>
  <si>
    <t>@CrystalforNC</t>
  </si>
  <si>
    <t>Cavalier</t>
  </si>
  <si>
    <t>Ben Clark</t>
  </si>
  <si>
    <t>@BenClarkNC</t>
  </si>
  <si>
    <t>Matt Grooms</t>
  </si>
  <si>
    <t>NC-04-grooms_matt-</t>
  </si>
  <si>
    <t>@matthew_grooms</t>
  </si>
  <si>
    <t>Grooms</t>
  </si>
  <si>
    <t>Ashley Ward</t>
  </si>
  <si>
    <t>NC-04-ward_ashley-</t>
  </si>
  <si>
    <t>Ballotpedia lists as running for NC-04, candidate website lists as running for NC-06, unsure which is correct</t>
  </si>
  <si>
    <t>Ward</t>
  </si>
  <si>
    <t>Clay Aiken</t>
  </si>
  <si>
    <t>@clayaiken</t>
  </si>
  <si>
    <t>Aiken</t>
  </si>
  <si>
    <t>Nida Allam</t>
  </si>
  <si>
    <t>@NidaAllam</t>
  </si>
  <si>
    <t>Nida</t>
  </si>
  <si>
    <t>Allam</t>
  </si>
  <si>
    <t>Valerie Foushee</t>
  </si>
  <si>
    <t>@FousheeforNC</t>
  </si>
  <si>
    <t>Foushee</t>
  </si>
  <si>
    <t>Kathy Manning</t>
  </si>
  <si>
    <t>NC-06-manning_kathy-</t>
  </si>
  <si>
    <t>@KathyManningNC</t>
  </si>
  <si>
    <t>@RepKManning</t>
  </si>
  <si>
    <t>Manning</t>
  </si>
  <si>
    <t>Richard Watkins</t>
  </si>
  <si>
    <t>Denton Lee</t>
  </si>
  <si>
    <t>@DentonLeeNC</t>
  </si>
  <si>
    <t>Denton</t>
  </si>
  <si>
    <t>Steve Miller</t>
  </si>
  <si>
    <t>NC-07-miller_steve-</t>
  </si>
  <si>
    <t>@SteveMillerNC</t>
  </si>
  <si>
    <t>Kyle Parrish</t>
  </si>
  <si>
    <t>Parrish</t>
  </si>
  <si>
    <t>Charles Graham</t>
  </si>
  <si>
    <t>@CharlesGrahamNC</t>
  </si>
  <si>
    <t>Graham</t>
  </si>
  <si>
    <t>Ramin Mammadov</t>
  </si>
  <si>
    <t>@ram4congress</t>
  </si>
  <si>
    <t>Ramin</t>
  </si>
  <si>
    <t>Mammadov</t>
  </si>
  <si>
    <t>Jasmine Beach-Ferrara</t>
  </si>
  <si>
    <t>NC-11-beachferrara_jasmine-</t>
  </si>
  <si>
    <t>@JBeachFerrara</t>
  </si>
  <si>
    <t>Jasmine</t>
  </si>
  <si>
    <t>Beach-Ferrara</t>
  </si>
  <si>
    <t>Jay Carey</t>
  </si>
  <si>
    <t>NC-11-carey_jay-</t>
  </si>
  <si>
    <t>Carey</t>
  </si>
  <si>
    <t>Katie Dean</t>
  </si>
  <si>
    <t>NC-11-dean_katie-</t>
  </si>
  <si>
    <t>White</t>
  </si>
  <si>
    <t>Alma Adams</t>
  </si>
  <si>
    <t>NC-12-adams_alma-</t>
  </si>
  <si>
    <t>@AlmaforCongress</t>
  </si>
  <si>
    <t>@RepAdams</t>
  </si>
  <si>
    <t>2014 Special</t>
  </si>
  <si>
    <t>Alma</t>
  </si>
  <si>
    <t>Adams</t>
  </si>
  <si>
    <t>John Sharkey</t>
  </si>
  <si>
    <t>NC-12-sharkey_john-</t>
  </si>
  <si>
    <t>Sharkey</t>
  </si>
  <si>
    <t>Nathan Click</t>
  </si>
  <si>
    <t>@NayteClick</t>
  </si>
  <si>
    <t>Click</t>
  </si>
  <si>
    <t>Wiley Nickel</t>
  </si>
  <si>
    <t>@wileynickel</t>
  </si>
  <si>
    <t>Wiley</t>
  </si>
  <si>
    <t>Nickel</t>
  </si>
  <si>
    <t>Cheri Beasley</t>
  </si>
  <si>
    <t>NC-Sen03-beasley_cheri-</t>
  </si>
  <si>
    <t>@CheriBeasleyNC</t>
  </si>
  <si>
    <t>Beasley</t>
  </si>
  <si>
    <t>Chrelle Booker</t>
  </si>
  <si>
    <t>NC-Sen03-booker_chrelle-</t>
  </si>
  <si>
    <t>@ChrelleBooker</t>
  </si>
  <si>
    <t>Chrelle</t>
  </si>
  <si>
    <t>James Carr</t>
  </si>
  <si>
    <t>NC-Sen03-carr_james-</t>
  </si>
  <si>
    <t>@carrjr4senate</t>
  </si>
  <si>
    <t>Carr</t>
  </si>
  <si>
    <t>Jeff Jackson</t>
  </si>
  <si>
    <t>@JeffJacksonNC</t>
  </si>
  <si>
    <t>Constance Johnson</t>
  </si>
  <si>
    <t>NC-Sen03-johnson_constance-</t>
  </si>
  <si>
    <t>Constance</t>
  </si>
  <si>
    <t>Tobias LaGrone</t>
  </si>
  <si>
    <t>NC-Sen03-lagrone_tobias-</t>
  </si>
  <si>
    <t>@tobias_lagrone</t>
  </si>
  <si>
    <t>Tobias</t>
  </si>
  <si>
    <t>LaGrone</t>
  </si>
  <si>
    <t>Everette Newton</t>
  </si>
  <si>
    <t>NC-Sen03-newton_everette-</t>
  </si>
  <si>
    <t>@rettnewton</t>
  </si>
  <si>
    <t>Everette</t>
  </si>
  <si>
    <t>Newton</t>
  </si>
  <si>
    <t>Erica Smith</t>
  </si>
  <si>
    <t>Erica</t>
  </si>
  <si>
    <t>Kelly Armstrong</t>
  </si>
  <si>
    <t>ND-00</t>
  </si>
  <si>
    <t>ND-00-armstrong_kelly-</t>
  </si>
  <si>
    <t>@Armstrong_ND</t>
  </si>
  <si>
    <t>@RepArmstrongND</t>
  </si>
  <si>
    <t>Kevin Cramer</t>
  </si>
  <si>
    <t>ND-Sen01</t>
  </si>
  <si>
    <t>ND-Sen01-cramer_kevin-</t>
  </si>
  <si>
    <t>@SenKevinCramer</t>
  </si>
  <si>
    <t>Cramer</t>
  </si>
  <si>
    <t>ND-Sen03</t>
  </si>
  <si>
    <t>John Hoeven</t>
  </si>
  <si>
    <t>ND-Sen03-hoeven_john-</t>
  </si>
  <si>
    <t>@SenJohnHoeven</t>
  </si>
  <si>
    <t>Hoeven</t>
  </si>
  <si>
    <t>Michael Steele</t>
  </si>
  <si>
    <t>ND-Sen03-steele_michael-</t>
  </si>
  <si>
    <t>@j_senate</t>
  </si>
  <si>
    <t>Steele</t>
  </si>
  <si>
    <t>Patty Pansing Brooks</t>
  </si>
  <si>
    <t>NE-01</t>
  </si>
  <si>
    <t>NE-01-brooks_patty-</t>
  </si>
  <si>
    <t>@Patty4Nebraska</t>
  </si>
  <si>
    <t>Patty</t>
  </si>
  <si>
    <t>Mike Flood</t>
  </si>
  <si>
    <t>NE-01-flood_mike-</t>
  </si>
  <si>
    <t>@Flood4Nebraska</t>
  </si>
  <si>
    <t>Flood</t>
  </si>
  <si>
    <t>Jeff Fortenberry</t>
  </si>
  <si>
    <t>NE-01-fortenberry_jeff-</t>
  </si>
  <si>
    <t>@supportfortNE</t>
  </si>
  <si>
    <t>@JeffFortenberry</t>
  </si>
  <si>
    <t>Fortenberry</t>
  </si>
  <si>
    <t>John Weaver</t>
  </si>
  <si>
    <t>NE-01-weaver_john-</t>
  </si>
  <si>
    <t>@realjohnglen</t>
  </si>
  <si>
    <t>Weaver</t>
  </si>
  <si>
    <t>Joseph Zakaria</t>
  </si>
  <si>
    <t>NE-01-zakaria_joseph-</t>
  </si>
  <si>
    <t>@JazariKual</t>
  </si>
  <si>
    <t>Zakaria</t>
  </si>
  <si>
    <t>Don Bacon</t>
  </si>
  <si>
    <t>NE-02</t>
  </si>
  <si>
    <t>NE-02-bacon_don-</t>
  </si>
  <si>
    <t>@DonJBacon</t>
  </si>
  <si>
    <t>@RepDonBacon</t>
  </si>
  <si>
    <t>Bacon</t>
  </si>
  <si>
    <t>Alisha Shelton</t>
  </si>
  <si>
    <t>NE-02-shelton_alisha-</t>
  </si>
  <si>
    <t>@AlishaKShelton</t>
  </si>
  <si>
    <t>Alisha</t>
  </si>
  <si>
    <t>Shelton</t>
  </si>
  <si>
    <t>Tony Vargas</t>
  </si>
  <si>
    <t>NE-02-vargas_tony-</t>
  </si>
  <si>
    <t>@TonyVargas</t>
  </si>
  <si>
    <t>Adrian Smith</t>
  </si>
  <si>
    <t>NE-03</t>
  </si>
  <si>
    <t>NE-03-smith_adrian-</t>
  </si>
  <si>
    <t>@RepAdrianSmith</t>
  </si>
  <si>
    <t>Christian - Evangelical Free Church</t>
  </si>
  <si>
    <t>Deb Fischer</t>
  </si>
  <si>
    <t>NE-Sen01</t>
  </si>
  <si>
    <t>NE-Sen01-fischer_deb-</t>
  </si>
  <si>
    <t>@SenatorFischer</t>
  </si>
  <si>
    <t>Deb</t>
  </si>
  <si>
    <t>Fischer</t>
  </si>
  <si>
    <t>Ben Sasse</t>
  </si>
  <si>
    <t>NE-Sen02</t>
  </si>
  <si>
    <t>NE-Sen02-sasse_ben-</t>
  </si>
  <si>
    <t>@BenSasse</t>
  </si>
  <si>
    <t>@SenSasse</t>
  </si>
  <si>
    <t>Sasse</t>
  </si>
  <si>
    <t>Julian Acciard</t>
  </si>
  <si>
    <t>NH-01</t>
  </si>
  <si>
    <t>NH-01-acciard_julian-</t>
  </si>
  <si>
    <t>@acciard2022</t>
  </si>
  <si>
    <t>Julian</t>
  </si>
  <si>
    <t>Acciard</t>
  </si>
  <si>
    <t>Tim Baxter</t>
  </si>
  <si>
    <t>NH-01-baxter_tim-</t>
  </si>
  <si>
    <t>@TimBaxterNH</t>
  </si>
  <si>
    <t>Baxter</t>
  </si>
  <si>
    <t>Scott Black</t>
  </si>
  <si>
    <t>Gail Huff Brown</t>
  </si>
  <si>
    <t>NH-01-huffbrown_gail-</t>
  </si>
  <si>
    <t>Gail</t>
  </si>
  <si>
    <t>Mark Kilbane</t>
  </si>
  <si>
    <t>NH-01-kilbane_mark-</t>
  </si>
  <si>
    <t>Kilbane</t>
  </si>
  <si>
    <t>Karoline Leavitt</t>
  </si>
  <si>
    <t>NH-01-leavitt_karoline-</t>
  </si>
  <si>
    <t>@kleavittnh</t>
  </si>
  <si>
    <t>Karoline</t>
  </si>
  <si>
    <t>Leavitt</t>
  </si>
  <si>
    <t>Matt Mowers</t>
  </si>
  <si>
    <t>NH-01-mowers_matt-</t>
  </si>
  <si>
    <t>@mowers</t>
  </si>
  <si>
    <t>Mowers</t>
  </si>
  <si>
    <t>Chris Pappas</t>
  </si>
  <si>
    <t>NH-01-pappas_chris-</t>
  </si>
  <si>
    <t>@ChrisPappasNH</t>
  </si>
  <si>
    <t>@RepChrisPappas</t>
  </si>
  <si>
    <t>Gilead Towne</t>
  </si>
  <si>
    <t>NH-01-towne_gilead-</t>
  </si>
  <si>
    <t>@GileadTowne</t>
  </si>
  <si>
    <t>Gilead</t>
  </si>
  <si>
    <t>Towne</t>
  </si>
  <si>
    <t>Bob Burns</t>
  </si>
  <si>
    <t>NH-02</t>
  </si>
  <si>
    <t>NH-02-burns_bob-</t>
  </si>
  <si>
    <t>@BurnsForNH</t>
  </si>
  <si>
    <t>Jeff Cozzens</t>
  </si>
  <si>
    <t>NH-02-cozzens_jeff-</t>
  </si>
  <si>
    <t>@jeffreybcozzens</t>
  </si>
  <si>
    <t>Cozzens</t>
  </si>
  <si>
    <t>Jeffrey Greeson</t>
  </si>
  <si>
    <t>NH-02-greeson_jeffrey-</t>
  </si>
  <si>
    <t>Greeson</t>
  </si>
  <si>
    <t>Ann Kuster</t>
  </si>
  <si>
    <t>NH-02-kuster_ann-</t>
  </si>
  <si>
    <t>@AnnMcLaneKuster</t>
  </si>
  <si>
    <t>@RepAnnieKuster</t>
  </si>
  <si>
    <t>Kuster</t>
  </si>
  <si>
    <t>Dean Poirier</t>
  </si>
  <si>
    <t>NH-02-poirier_dean-</t>
  </si>
  <si>
    <t>Poirier</t>
  </si>
  <si>
    <t>Jason Riddle</t>
  </si>
  <si>
    <t>NH-02-riddle_jason-</t>
  </si>
  <si>
    <t>Riddle</t>
  </si>
  <si>
    <t>Lily Williams</t>
  </si>
  <si>
    <t>NH-02-williams_lily-</t>
  </si>
  <si>
    <t>@Lily4Liberty</t>
  </si>
  <si>
    <t>Jeanne Shaheen</t>
  </si>
  <si>
    <t>NH-Sen02</t>
  </si>
  <si>
    <t>NH-Sen02-shaheen_jeanne-</t>
  </si>
  <si>
    <t>@JeanneShaheen</t>
  </si>
  <si>
    <t>@SenatorShaheen</t>
  </si>
  <si>
    <t>Margaret Hassan</t>
  </si>
  <si>
    <t>NH-Sen03</t>
  </si>
  <si>
    <t>NH-Sen03-hassan_margaret-</t>
  </si>
  <si>
    <t>@SenatorHassan</t>
  </si>
  <si>
    <t>Hassan</t>
  </si>
  <si>
    <t>Dennis Lamare</t>
  </si>
  <si>
    <t>NH-Sen03-lamare_dennis-</t>
  </si>
  <si>
    <t>Lamare</t>
  </si>
  <si>
    <t>Edmond Laplante</t>
  </si>
  <si>
    <t>NH-Sen03-laplante_edmond-</t>
  </si>
  <si>
    <t>Edmond</t>
  </si>
  <si>
    <t>Laplante</t>
  </si>
  <si>
    <t>Chuck Morse</t>
  </si>
  <si>
    <t>NH-Sen03-morse_chuck-</t>
  </si>
  <si>
    <t>@Morse4Senate</t>
  </si>
  <si>
    <t>Morse</t>
  </si>
  <si>
    <t>Tejasinha Sivalingam</t>
  </si>
  <si>
    <t>NH-Sen03-sivalingam_tejasinha-</t>
  </si>
  <si>
    <t>Tejasinha</t>
  </si>
  <si>
    <t>Sivalingam</t>
  </si>
  <si>
    <t>Kevin Smith</t>
  </si>
  <si>
    <t>NH-Sen03-smith_kevin-</t>
  </si>
  <si>
    <t>@Smith4USSSenate</t>
  </si>
  <si>
    <t>NJ-01</t>
  </si>
  <si>
    <t>Mario DeSantis</t>
  </si>
  <si>
    <t>NJ-01-desantis_mario-</t>
  </si>
  <si>
    <t>DeSantis</t>
  </si>
  <si>
    <t>Donald Norcross</t>
  </si>
  <si>
    <t>NJ-01-norcross_donald-</t>
  </si>
  <si>
    <t>@DonNorcross4NJ</t>
  </si>
  <si>
    <t>@DonaldNorcross</t>
  </si>
  <si>
    <t>Norcross</t>
  </si>
  <si>
    <t>Timothy Alexander</t>
  </si>
  <si>
    <t>NJ-02</t>
  </si>
  <si>
    <t>NJ-02-alexander_timothy-</t>
  </si>
  <si>
    <t>@talexander_NJ02</t>
  </si>
  <si>
    <t>John Barker</t>
  </si>
  <si>
    <t>NJ-02-barker_john-</t>
  </si>
  <si>
    <t>@Donate2Barker</t>
  </si>
  <si>
    <t>Barker</t>
  </si>
  <si>
    <t>Carolyn Rush</t>
  </si>
  <si>
    <t>NJ-02-rush_carolyn-</t>
  </si>
  <si>
    <t>@carolynrush31</t>
  </si>
  <si>
    <t>Jeff Van Drew</t>
  </si>
  <si>
    <t>NJ-02-vandrew_jeff-</t>
  </si>
  <si>
    <t>@VanDrewForNJ</t>
  </si>
  <si>
    <t>@CongressmanJVD</t>
  </si>
  <si>
    <t>NJ-03</t>
  </si>
  <si>
    <t>Robert Healey</t>
  </si>
  <si>
    <t>NJ-03-healey_robert-</t>
  </si>
  <si>
    <t>Healey</t>
  </si>
  <si>
    <t>Andy Kim</t>
  </si>
  <si>
    <t>NJ-03-kim_andy-</t>
  </si>
  <si>
    <t>@AndyKimNJ</t>
  </si>
  <si>
    <t>@RepAndyKimNJ</t>
  </si>
  <si>
    <t>Mike Blasi</t>
  </si>
  <si>
    <t>NJ-04</t>
  </si>
  <si>
    <t>NJ-04-blasi_mike-</t>
  </si>
  <si>
    <t>@Blasi4Congress</t>
  </si>
  <si>
    <t>Blasi</t>
  </si>
  <si>
    <t>Mike Crispi</t>
  </si>
  <si>
    <t>NJ-04-crispi_mike-</t>
  </si>
  <si>
    <t>@MikeCrispiNJ</t>
  </si>
  <si>
    <t>Crispi</t>
  </si>
  <si>
    <t>Matthew Jenkins</t>
  </si>
  <si>
    <t>NJ-04-jenkins_matthew-</t>
  </si>
  <si>
    <t>Chris Smith</t>
  </si>
  <si>
    <t>NJ-04-smith_chris-</t>
  </si>
  <si>
    <t>@RepChrisSmith</t>
  </si>
  <si>
    <t>NJ-05</t>
  </si>
  <si>
    <t>Nicholas De Gregorio</t>
  </si>
  <si>
    <t>NJ-05-degregorio_nicholas-</t>
  </si>
  <si>
    <t>Josh Gottheimer</t>
  </si>
  <si>
    <t>NJ-05-gottheimer_josh-</t>
  </si>
  <si>
    <t>@JoshGottheimer</t>
  </si>
  <si>
    <t>@RepJoshG</t>
  </si>
  <si>
    <t>Gottheimer</t>
  </si>
  <si>
    <t>Frank Pallotta</t>
  </si>
  <si>
    <t>NJ-05-pallotta_frank-</t>
  </si>
  <si>
    <t>@FrankPallottaNJ</t>
  </si>
  <si>
    <t>Pallotta</t>
  </si>
  <si>
    <t>NJ-06</t>
  </si>
  <si>
    <t>Susan Kiley</t>
  </si>
  <si>
    <t>NJ-06-kiley_susan-</t>
  </si>
  <si>
    <t>Frank Pallone</t>
  </si>
  <si>
    <t>NJ-06-pallone_frank-</t>
  </si>
  <si>
    <t>@pallonefornj</t>
  </si>
  <si>
    <t>@FrankPallone</t>
  </si>
  <si>
    <t>Pallone</t>
  </si>
  <si>
    <t>Kevin Dorlon</t>
  </si>
  <si>
    <t>NJ-07</t>
  </si>
  <si>
    <t>NJ-07-dorlon_kevin-</t>
  </si>
  <si>
    <t>Dorlon</t>
  </si>
  <si>
    <t>John Flora</t>
  </si>
  <si>
    <t>NJ-07-flora_john-</t>
  </si>
  <si>
    <t>@JohnFlora4cd7</t>
  </si>
  <si>
    <t>John Isemann</t>
  </si>
  <si>
    <t>NJ-07-isemann_john-</t>
  </si>
  <si>
    <t>@johnisemann3</t>
  </si>
  <si>
    <t>Isemann</t>
  </si>
  <si>
    <t>Thomas Kean</t>
  </si>
  <si>
    <t>NJ-07-kean_thomas-</t>
  </si>
  <si>
    <t>@KeanForCongress</t>
  </si>
  <si>
    <t>Kean</t>
  </si>
  <si>
    <t>Tom Malinowski</t>
  </si>
  <si>
    <t>NJ-07-malinowski_tom-</t>
  </si>
  <si>
    <t>@Malinowski</t>
  </si>
  <si>
    <t>@RepMalinowski</t>
  </si>
  <si>
    <t>Malinowski</t>
  </si>
  <si>
    <t>Rik Mehta</t>
  </si>
  <si>
    <t>@RikMehta_NJ</t>
  </si>
  <si>
    <t>Rik</t>
  </si>
  <si>
    <t>Mehta</t>
  </si>
  <si>
    <t>Erik Peterson</t>
  </si>
  <si>
    <t>NJ-07-peterson_erik-</t>
  </si>
  <si>
    <t>David Ocampo Grajales</t>
  </si>
  <si>
    <t>NJ-08</t>
  </si>
  <si>
    <t>NJ-08-grajales_david-</t>
  </si>
  <si>
    <t>Ricardo</t>
  </si>
  <si>
    <t>Bill Pascrell</t>
  </si>
  <si>
    <t>NJ-09</t>
  </si>
  <si>
    <t>NJ-09-pascrell_bill-</t>
  </si>
  <si>
    <t>@PascrellforNJ</t>
  </si>
  <si>
    <t>@BillPascrell</t>
  </si>
  <si>
    <t>Pascrell</t>
  </si>
  <si>
    <t>Akil Khalfani</t>
  </si>
  <si>
    <t>NJ-10</t>
  </si>
  <si>
    <t>NJ-10-khalfani_akil-</t>
  </si>
  <si>
    <t>@DrK4Congress</t>
  </si>
  <si>
    <t>Akil</t>
  </si>
  <si>
    <t>Khalfani</t>
  </si>
  <si>
    <t>Imani Oakley</t>
  </si>
  <si>
    <t>NJ-10-oakley_imani-</t>
  </si>
  <si>
    <t>@ImaniOakleyNJ10</t>
  </si>
  <si>
    <t>Imani</t>
  </si>
  <si>
    <t>Oakley</t>
  </si>
  <si>
    <t>@RepDonaldPayne</t>
  </si>
  <si>
    <t>Toby Anderson</t>
  </si>
  <si>
    <t>NJ-11</t>
  </si>
  <si>
    <t>NJ-11-anderson_toby-</t>
  </si>
  <si>
    <t>@TobyAndersonNJ</t>
  </si>
  <si>
    <t>Toby</t>
  </si>
  <si>
    <t>Paul DeGroot</t>
  </si>
  <si>
    <t>NJ-11-degroot_paul-</t>
  </si>
  <si>
    <t>DeGroot</t>
  </si>
  <si>
    <t>Philip Rizzo</t>
  </si>
  <si>
    <t>@JerseyRizzo</t>
  </si>
  <si>
    <t>Philip</t>
  </si>
  <si>
    <t>Rizzo</t>
  </si>
  <si>
    <t>Tayfun Selen</t>
  </si>
  <si>
    <t>NJ-11-selen_tayfun-</t>
  </si>
  <si>
    <t>@tayfun_selen</t>
  </si>
  <si>
    <t>Tayfun</t>
  </si>
  <si>
    <t>Selen</t>
  </si>
  <si>
    <t>Mikie Sherrill</t>
  </si>
  <si>
    <t>NJ-11-sherrill_mikie-</t>
  </si>
  <si>
    <t>@MikieSherrill</t>
  </si>
  <si>
    <t>@RepSherrill</t>
  </si>
  <si>
    <t>Mikie</t>
  </si>
  <si>
    <t>Sherrill</t>
  </si>
  <si>
    <t>NJ-12</t>
  </si>
  <si>
    <t>Bonnie Watson Coleman</t>
  </si>
  <si>
    <t>NJ-12-watsoncoleman_bonnie-</t>
  </si>
  <si>
    <t>@Bonnie4Congress</t>
  </si>
  <si>
    <t>@RepBonnie</t>
  </si>
  <si>
    <t>Bonnie</t>
  </si>
  <si>
    <t>Robert Menendez</t>
  </si>
  <si>
    <t>NJ-Sen01</t>
  </si>
  <si>
    <t>NJ-Sen01-menendez_robert-</t>
  </si>
  <si>
    <t>@SenatorMenendez</t>
  </si>
  <si>
    <t>Menendez</t>
  </si>
  <si>
    <t>Cory Booker</t>
  </si>
  <si>
    <t>NJ-Sen02</t>
  </si>
  <si>
    <t>NJ-Sen02-booker_cory-</t>
  </si>
  <si>
    <t>@CoryBooker</t>
  </si>
  <si>
    <t>@SenBooker</t>
  </si>
  <si>
    <t>NM-01</t>
  </si>
  <si>
    <t>Michelle Garcia Holmes</t>
  </si>
  <si>
    <t>NM-01-holmes_michelle-</t>
  </si>
  <si>
    <t>@GarciaHolmes4NM</t>
  </si>
  <si>
    <t>Melanie Stansbury</t>
  </si>
  <si>
    <t>NM-01-stansbury_melanie-</t>
  </si>
  <si>
    <t>@MelanieforNM</t>
  </si>
  <si>
    <t>@Rep_Stansbury</t>
  </si>
  <si>
    <t>Melanie</t>
  </si>
  <si>
    <t>Stansbury</t>
  </si>
  <si>
    <t>Yvette Herrell</t>
  </si>
  <si>
    <t>NM-02</t>
  </si>
  <si>
    <t>NM-02-herrell_yvette-</t>
  </si>
  <si>
    <t>@Yvette4congress</t>
  </si>
  <si>
    <t>@RepHerrell</t>
  </si>
  <si>
    <t>Yvette</t>
  </si>
  <si>
    <t>Herrell</t>
  </si>
  <si>
    <t>Darshan Patel</t>
  </si>
  <si>
    <t>NM-02-patel_darshan-</t>
  </si>
  <si>
    <t>Darshan</t>
  </si>
  <si>
    <t>Gabriel Vasquez</t>
  </si>
  <si>
    <t>NM-02-vasquez_gabriel-</t>
  </si>
  <si>
    <t>@Gabe_NM</t>
  </si>
  <si>
    <t>Vasquez</t>
  </si>
  <si>
    <t>Teresa Leger Fernandez</t>
  </si>
  <si>
    <t>NM-03</t>
  </si>
  <si>
    <t>NM-03-fernandez_teresaleger-</t>
  </si>
  <si>
    <t>@TeresaForNM</t>
  </si>
  <si>
    <t>@RepTeresaLF</t>
  </si>
  <si>
    <t>Martin Heinrich</t>
  </si>
  <si>
    <t>NM-Sen01</t>
  </si>
  <si>
    <t>NM-Sen01-heinrich_martin-</t>
  </si>
  <si>
    <t>@MartinHeinrich</t>
  </si>
  <si>
    <t>Heinrich</t>
  </si>
  <si>
    <t>Ben Ray Lujan</t>
  </si>
  <si>
    <t>NM-Sen02</t>
  </si>
  <si>
    <t>NM-Sen02-lujan_benray-</t>
  </si>
  <si>
    <t>@benraylujan</t>
  </si>
  <si>
    <t>@SenatorLujan</t>
  </si>
  <si>
    <t>Lujan</t>
  </si>
  <si>
    <t>David Brog</t>
  </si>
  <si>
    <t>NV-01</t>
  </si>
  <si>
    <t>NV-01-brog_david-</t>
  </si>
  <si>
    <t>@BrogForNevada</t>
  </si>
  <si>
    <t>Brog</t>
  </si>
  <si>
    <t>Morgun Sholty</t>
  </si>
  <si>
    <t>NV-01-sholty_morgun-</t>
  </si>
  <si>
    <t>@SholtyforNV</t>
  </si>
  <si>
    <t>Morgun</t>
  </si>
  <si>
    <t>Sholty</t>
  </si>
  <si>
    <t>Dina Titus</t>
  </si>
  <si>
    <t>NV-01-titus_dina-</t>
  </si>
  <si>
    <t>@dinatitus</t>
  </si>
  <si>
    <t>@repdinatitus</t>
  </si>
  <si>
    <t>2012, 2008-2010</t>
  </si>
  <si>
    <t>Dina</t>
  </si>
  <si>
    <t>Titus</t>
  </si>
  <si>
    <t>Amy Vilela</t>
  </si>
  <si>
    <t>NV-01-vilela_amy-</t>
  </si>
  <si>
    <t>@amy4thepeople</t>
  </si>
  <si>
    <t>Vilela</t>
  </si>
  <si>
    <t>Mark Amodei</t>
  </si>
  <si>
    <t>NV-02</t>
  </si>
  <si>
    <t>NV-02-amodei_mark-</t>
  </si>
  <si>
    <t>@AmodeiForNevada</t>
  </si>
  <si>
    <t>@MarkAmodeiNV2</t>
  </si>
  <si>
    <t>2011 Special</t>
  </si>
  <si>
    <t>Amodei</t>
  </si>
  <si>
    <t>Michael Doucette</t>
  </si>
  <si>
    <t>NV-02-doucette_michael-</t>
  </si>
  <si>
    <t>Doucette</t>
  </si>
  <si>
    <t>Timothy Hanifan</t>
  </si>
  <si>
    <t>NV-02-hanifan_timothy-</t>
  </si>
  <si>
    <t>@TimHanifan</t>
  </si>
  <si>
    <t>Hanifan</t>
  </si>
  <si>
    <t>April Becker</t>
  </si>
  <si>
    <t>NV-03</t>
  </si>
  <si>
    <t>NV-03-becker_april-</t>
  </si>
  <si>
    <t>@VoteAprilBecker</t>
  </si>
  <si>
    <t>April</t>
  </si>
  <si>
    <t>Clark Bossert</t>
  </si>
  <si>
    <t>NV-03-bossert_clark-</t>
  </si>
  <si>
    <t>@Clark_Bossert</t>
  </si>
  <si>
    <t>Bossert</t>
  </si>
  <si>
    <t>Randell Hynes</t>
  </si>
  <si>
    <t>NV-03-hynes_randell-</t>
  </si>
  <si>
    <t>@HynesForNevada</t>
  </si>
  <si>
    <t>Randell</t>
  </si>
  <si>
    <t>Hynes</t>
  </si>
  <si>
    <t>John Kovacs</t>
  </si>
  <si>
    <t>NV-03-kovacs_john-</t>
  </si>
  <si>
    <t>@KovacsForNV3</t>
  </si>
  <si>
    <t>Kovacs</t>
  </si>
  <si>
    <t>Susie Lee</t>
  </si>
  <si>
    <t>NV-03-lee_susie-</t>
  </si>
  <si>
    <t>@SusieLeeNV</t>
  </si>
  <si>
    <t>@RepSusieLee</t>
  </si>
  <si>
    <t>Susie</t>
  </si>
  <si>
    <t>Noah Malgeri</t>
  </si>
  <si>
    <t>NV-03-malgeri_noah-</t>
  </si>
  <si>
    <t>@Noah4NV</t>
  </si>
  <si>
    <t>Noah</t>
  </si>
  <si>
    <t>Malgeri</t>
  </si>
  <si>
    <t>Mark Robertson</t>
  </si>
  <si>
    <t>Annie Black</t>
  </si>
  <si>
    <t>NV-04</t>
  </si>
  <si>
    <t>NV-04-black_annie-</t>
  </si>
  <si>
    <t>@RealAnnieBlack</t>
  </si>
  <si>
    <t>Annie</t>
  </si>
  <si>
    <t>Chance Bonaventura</t>
  </si>
  <si>
    <t>NV-04-bonaventura_chance-</t>
  </si>
  <si>
    <t>Chance</t>
  </si>
  <si>
    <t>Bonaventura</t>
  </si>
  <si>
    <t>Steven Horsford</t>
  </si>
  <si>
    <t>NV-04-horsford_steven-</t>
  </si>
  <si>
    <t>@StevenHorsford</t>
  </si>
  <si>
    <t>@RepHorsford</t>
  </si>
  <si>
    <t>2018, 2012-2014</t>
  </si>
  <si>
    <t>Horsford</t>
  </si>
  <si>
    <t>Sam Peters</t>
  </si>
  <si>
    <t>NV-04-peters_sam-</t>
  </si>
  <si>
    <t>@SamPetersNevada</t>
  </si>
  <si>
    <t>Carolina Serrano</t>
  </si>
  <si>
    <t>@Carolina4NV</t>
  </si>
  <si>
    <t>Carolina</t>
  </si>
  <si>
    <t>Jacky Rosen</t>
  </si>
  <si>
    <t>NV-Sen01</t>
  </si>
  <si>
    <t>NV-Sen01-rosen_jacky-</t>
  </si>
  <si>
    <t>@SenJackyRosen</t>
  </si>
  <si>
    <t>Jacky</t>
  </si>
  <si>
    <t>Rosen</t>
  </si>
  <si>
    <t>Sam Brown</t>
  </si>
  <si>
    <t>NV-Sen03</t>
  </si>
  <si>
    <t>NV-Sen03-brown_sam-</t>
  </si>
  <si>
    <t>@captainsambrown</t>
  </si>
  <si>
    <t>William Hockstedler</t>
  </si>
  <si>
    <t>NV-Sen03-hockstedler_william-</t>
  </si>
  <si>
    <t>Hockstedler</t>
  </si>
  <si>
    <t>Adam Laxalt</t>
  </si>
  <si>
    <t>NV-Sen03-laxalt_adam-</t>
  </si>
  <si>
    <t>@AdamLaxalt</t>
  </si>
  <si>
    <t>Laxalt</t>
  </si>
  <si>
    <t>Catherine Cortez Masto</t>
  </si>
  <si>
    <t>NV-Sen03-masto_catherine-</t>
  </si>
  <si>
    <t>@SenCortezMasto</t>
  </si>
  <si>
    <t>Catherine</t>
  </si>
  <si>
    <t>Sharelle Mendenhall</t>
  </si>
  <si>
    <t>NV-Sen03-mendenhall_sharelle-</t>
  </si>
  <si>
    <t>@Sharelle4Senate</t>
  </si>
  <si>
    <t>Sharelle</t>
  </si>
  <si>
    <t>Mendenhall</t>
  </si>
  <si>
    <t>NY-01</t>
  </si>
  <si>
    <t>Robert Cornicelli</t>
  </si>
  <si>
    <t>Anthony Figliola</t>
  </si>
  <si>
    <t>NY-01-figliola_anthony-</t>
  </si>
  <si>
    <t>@TeamFIG_NY</t>
  </si>
  <si>
    <t>Figliola</t>
  </si>
  <si>
    <t>Bridget Fleming</t>
  </si>
  <si>
    <t>NY-01-fleming_bridget-</t>
  </si>
  <si>
    <t>@bridgetmfleming</t>
  </si>
  <si>
    <t>Bridget</t>
  </si>
  <si>
    <t>Fleming</t>
  </si>
  <si>
    <t>Jackie Gordon</t>
  </si>
  <si>
    <t>Yan Xiong</t>
  </si>
  <si>
    <t>Lee Zeldin</t>
  </si>
  <si>
    <t>NY-01-zeldin_lee-</t>
  </si>
  <si>
    <t>@leezeldin</t>
  </si>
  <si>
    <t>@RepLeeZeldin</t>
  </si>
  <si>
    <t>Zeldin</t>
  </si>
  <si>
    <t>NY-02</t>
  </si>
  <si>
    <t>Andrew Garbarino</t>
  </si>
  <si>
    <t>NY-02-garbarino_andrew-</t>
  </si>
  <si>
    <t>@GarbarinoforNY</t>
  </si>
  <si>
    <t>@RepGarbarino</t>
  </si>
  <si>
    <t>Garbarino</t>
  </si>
  <si>
    <t>Muzib Huq</t>
  </si>
  <si>
    <t>Mike Rakebrandt</t>
  </si>
  <si>
    <t>NY-02-rakebrandt_mike-</t>
  </si>
  <si>
    <t>@mike4congress2</t>
  </si>
  <si>
    <t>Rakebrandt</t>
  </si>
  <si>
    <t>Alessandra Biaggi</t>
  </si>
  <si>
    <t>NY-03</t>
  </si>
  <si>
    <t>Melanie D'Arrigo</t>
  </si>
  <si>
    <t>NY-03-darrigo_melanie-</t>
  </si>
  <si>
    <t>@DarrigoMelanie</t>
  </si>
  <si>
    <t>Jon Kaiman</t>
  </si>
  <si>
    <t>NY-03-kaiman_jon-</t>
  </si>
  <si>
    <t>@Kaiman4Congress</t>
  </si>
  <si>
    <t>Kaiman</t>
  </si>
  <si>
    <t>Joshua Lafazan</t>
  </si>
  <si>
    <t>NY-03-lafazan_joshua-</t>
  </si>
  <si>
    <t>@JoshLafazan</t>
  </si>
  <si>
    <t>Lafazan</t>
  </si>
  <si>
    <t>Reema Rasool</t>
  </si>
  <si>
    <t>NY-03-rasool_reema-</t>
  </si>
  <si>
    <t>@reemarasool</t>
  </si>
  <si>
    <t>Reema</t>
  </si>
  <si>
    <t>Rasool</t>
  </si>
  <si>
    <t>George Santos</t>
  </si>
  <si>
    <t>NY-03-santos_george-</t>
  </si>
  <si>
    <t>@Santos4Congress</t>
  </si>
  <si>
    <t>Santos</t>
  </si>
  <si>
    <t>Tom Suozzi</t>
  </si>
  <si>
    <t>NY-03-suozzi_tom-</t>
  </si>
  <si>
    <t>@Tom_Suozzi</t>
  </si>
  <si>
    <t>@RepTomSuozzi</t>
  </si>
  <si>
    <t>Suozzi</t>
  </si>
  <si>
    <t>Robert Zimmerman</t>
  </si>
  <si>
    <t>NY-03-zimmerman_robert-</t>
  </si>
  <si>
    <t>NY-04</t>
  </si>
  <si>
    <t>Kathleen Rice</t>
  </si>
  <si>
    <t>NY-04-rice_kathleen-</t>
  </si>
  <si>
    <t>@KathleenRice</t>
  </si>
  <si>
    <t>@RepKathleenRice</t>
  </si>
  <si>
    <t>Rice</t>
  </si>
  <si>
    <t>Paul King</t>
  </si>
  <si>
    <t>NY-05</t>
  </si>
  <si>
    <t>NY-05-king_paul-</t>
  </si>
  <si>
    <t>Gregory Meeks</t>
  </si>
  <si>
    <t>NY-05-meeks_gregory-</t>
  </si>
  <si>
    <t>@GregMeeksNYC</t>
  </si>
  <si>
    <t>@RepGregoryMeeks</t>
  </si>
  <si>
    <t>Meeks</t>
  </si>
  <si>
    <t>NY-06</t>
  </si>
  <si>
    <t>Grace Meng</t>
  </si>
  <si>
    <t>NY-06-meng_grace-</t>
  </si>
  <si>
    <t>@Grace4NY</t>
  </si>
  <si>
    <t>@RepGraceMeng</t>
  </si>
  <si>
    <t>Meng</t>
  </si>
  <si>
    <t>Nydia Velazquez</t>
  </si>
  <si>
    <t>NY-07</t>
  </si>
  <si>
    <t>NY-07-velazquez_nydia-</t>
  </si>
  <si>
    <t>@ReElectNydia</t>
  </si>
  <si>
    <t>@NydiaVelazquez</t>
  </si>
  <si>
    <t>Nydia</t>
  </si>
  <si>
    <t>Velazquez</t>
  </si>
  <si>
    <t>Hakeem Jeffries</t>
  </si>
  <si>
    <t>NY-08</t>
  </si>
  <si>
    <t>NY-08-jeffries_hakeem-</t>
  </si>
  <si>
    <t>@hakeem_jeffries</t>
  </si>
  <si>
    <t>@RepJeffries</t>
  </si>
  <si>
    <t>Hakeem</t>
  </si>
  <si>
    <t>Jeffries</t>
  </si>
  <si>
    <t>Queen Johnson</t>
  </si>
  <si>
    <t>NY-08-johnson_queen-</t>
  </si>
  <si>
    <t>@QueenJohnson_</t>
  </si>
  <si>
    <t>Queen</t>
  </si>
  <si>
    <t>Yvette Clarke</t>
  </si>
  <si>
    <t>NY-09</t>
  </si>
  <si>
    <t>NY-09-clarke_yvette-</t>
  </si>
  <si>
    <t>@VoteYvette</t>
  </si>
  <si>
    <t>@RepYvetteClarke</t>
  </si>
  <si>
    <t>Clarke</t>
  </si>
  <si>
    <t>NY-10</t>
  </si>
  <si>
    <t>Benine Hamdan</t>
  </si>
  <si>
    <t>NY-10-hamdan_benine-</t>
  </si>
  <si>
    <t>@najimbenine</t>
  </si>
  <si>
    <t>Benine</t>
  </si>
  <si>
    <t>Hamdan</t>
  </si>
  <si>
    <t>Jerrold Nadler</t>
  </si>
  <si>
    <t>@JerryNadler</t>
  </si>
  <si>
    <t>@RepJerryNadler</t>
  </si>
  <si>
    <t>Brian Robinson</t>
  </si>
  <si>
    <t>NY-10-robinson_brian-</t>
  </si>
  <si>
    <t>Robinson</t>
  </si>
  <si>
    <t>Ashmi Sheth</t>
  </si>
  <si>
    <t>@ashmisheth1</t>
  </si>
  <si>
    <t>NY-11</t>
  </si>
  <si>
    <t>Komi Agoda-Koussema</t>
  </si>
  <si>
    <t>NY-11-koussema_komi-</t>
  </si>
  <si>
    <t>Komi</t>
  </si>
  <si>
    <t>Nicole Malliotakis</t>
  </si>
  <si>
    <t>NY-11-malliotakis_nicole-</t>
  </si>
  <si>
    <t>@NMalliotakis</t>
  </si>
  <si>
    <t>@RepMalliotakis</t>
  </si>
  <si>
    <t>Christian - Greek Orthodox</t>
  </si>
  <si>
    <t>Malliotakis</t>
  </si>
  <si>
    <t>John Matland</t>
  </si>
  <si>
    <t>NY-11-matland_john-</t>
  </si>
  <si>
    <t>Matland</t>
  </si>
  <si>
    <t>Brittany Ramos Debarros</t>
  </si>
  <si>
    <t>NY-11-ramosdebarros_brittany-</t>
  </si>
  <si>
    <t>@Britt4Congress</t>
  </si>
  <si>
    <t>Max Rose</t>
  </si>
  <si>
    <t>NY-11-rose_max-</t>
  </si>
  <si>
    <t>@MaxRose4NY</t>
  </si>
  <si>
    <t>Rose</t>
  </si>
  <si>
    <t>NY-12</t>
  </si>
  <si>
    <t>Egyptian</t>
  </si>
  <si>
    <t>Fitzgerald</t>
  </si>
  <si>
    <t>Carolyn Maloney</t>
  </si>
  <si>
    <t>NY-12-maloney_carolyn-</t>
  </si>
  <si>
    <t>@CarolynBMaloney</t>
  </si>
  <si>
    <t>@RepMaloney</t>
  </si>
  <si>
    <t>Maloney</t>
  </si>
  <si>
    <t>Suraj Patel</t>
  </si>
  <si>
    <t>NY-12-patel_suraj-</t>
  </si>
  <si>
    <t>@surajpatelnyc</t>
  </si>
  <si>
    <t>Suraj</t>
  </si>
  <si>
    <t>Mike Zumbluskas</t>
  </si>
  <si>
    <t>NY-12-zumbluskas_mike-</t>
  </si>
  <si>
    <t>Zumbluskas</t>
  </si>
  <si>
    <t>Adriano Espaillat</t>
  </si>
  <si>
    <t>NY-13</t>
  </si>
  <si>
    <t>NY-13-espaillat_adriano-</t>
  </si>
  <si>
    <t>@EspaillatNY</t>
  </si>
  <si>
    <t>@RepEspaillat</t>
  </si>
  <si>
    <t>Adriano</t>
  </si>
  <si>
    <t>Espaillat</t>
  </si>
  <si>
    <t>Lindsey</t>
  </si>
  <si>
    <t>NY-14</t>
  </si>
  <si>
    <t>Desi Cuellar</t>
  </si>
  <si>
    <t>NY-14-cuellar_desi-</t>
  </si>
  <si>
    <t>@DesiJCuellar</t>
  </si>
  <si>
    <t>Desi</t>
  </si>
  <si>
    <t>Cuellar</t>
  </si>
  <si>
    <t>Tina Forte</t>
  </si>
  <si>
    <t>NY-14-forte_tina-</t>
  </si>
  <si>
    <t>@Tina4congress</t>
  </si>
  <si>
    <t>Forte</t>
  </si>
  <si>
    <t>Alexandria Ocasio-Cortez</t>
  </si>
  <si>
    <t>NY-14-ocasio-cortez_alexandria-</t>
  </si>
  <si>
    <t>@AOC</t>
  </si>
  <si>
    <t>@RepAOC</t>
  </si>
  <si>
    <t>Alexandria</t>
  </si>
  <si>
    <t>Ocasio-Cortez</t>
  </si>
  <si>
    <t>Ritchie Torres</t>
  </si>
  <si>
    <t>NY-15</t>
  </si>
  <si>
    <t>NY-15-torres_ritchie-</t>
  </si>
  <si>
    <t>@RitchieTorres</t>
  </si>
  <si>
    <t>@RepRitchie</t>
  </si>
  <si>
    <t>Ritchie</t>
  </si>
  <si>
    <t>Jamaal Bowman</t>
  </si>
  <si>
    <t>NY-16</t>
  </si>
  <si>
    <t>NY-16-bowman_jamaal-</t>
  </si>
  <si>
    <t>@JamaalBowmanNY</t>
  </si>
  <si>
    <t>@RepBowman</t>
  </si>
  <si>
    <t>Vedat Gashi</t>
  </si>
  <si>
    <t>NY-16-gashi_vedat-</t>
  </si>
  <si>
    <t>@LegislatorGashi</t>
  </si>
  <si>
    <t>Vedat</t>
  </si>
  <si>
    <t>Gashi</t>
  </si>
  <si>
    <t>Mondaire Jones</t>
  </si>
  <si>
    <t>NY-17</t>
  </si>
  <si>
    <t>@MondaireJones</t>
  </si>
  <si>
    <t>@RepMondaire</t>
  </si>
  <si>
    <t>Mondaire</t>
  </si>
  <si>
    <t>NY-18</t>
  </si>
  <si>
    <t>Sean Patrick Maloney</t>
  </si>
  <si>
    <t>@spmaloney</t>
  </si>
  <si>
    <t>@RepSeanMaloney</t>
  </si>
  <si>
    <t>Colin Schmitt</t>
  </si>
  <si>
    <t>NY-18-schmitt_colin-</t>
  </si>
  <si>
    <t>@colinschmitt</t>
  </si>
  <si>
    <t>NY-19</t>
  </si>
  <si>
    <t>Antonio Delgado</t>
  </si>
  <si>
    <t>NY-19-delgado_antonio-</t>
  </si>
  <si>
    <t>@DelgadoforNY19</t>
  </si>
  <si>
    <t>@repdelgado</t>
  </si>
  <si>
    <t>Delgado</t>
  </si>
  <si>
    <t>Marcus Molinaro</t>
  </si>
  <si>
    <t>NY-19-molinaro_marcus-</t>
  </si>
  <si>
    <t>@marcmolinaro</t>
  </si>
  <si>
    <t>Molinaro</t>
  </si>
  <si>
    <t>NY-20</t>
  </si>
  <si>
    <t>Matthews</t>
  </si>
  <si>
    <t>Rostislav Rar</t>
  </si>
  <si>
    <t>NY-20-rar_rostislav-</t>
  </si>
  <si>
    <t>@RarRostislav</t>
  </si>
  <si>
    <t>Rostislav</t>
  </si>
  <si>
    <t>Rar</t>
  </si>
  <si>
    <t>Paul Tonko</t>
  </si>
  <si>
    <t>NY-20-tonko_paul-</t>
  </si>
  <si>
    <t>@PaulTonko</t>
  </si>
  <si>
    <t>@RepPaulTonko</t>
  </si>
  <si>
    <t>Tonko</t>
  </si>
  <si>
    <t>Matt Castelli</t>
  </si>
  <si>
    <t>NY-21</t>
  </si>
  <si>
    <t>NY-21-castelli_matt-</t>
  </si>
  <si>
    <t>@CastelliMatt</t>
  </si>
  <si>
    <t>Matthew Putorti</t>
  </si>
  <si>
    <t>NY-21-putorti_matthew-</t>
  </si>
  <si>
    <t>@MattPutorti</t>
  </si>
  <si>
    <t>Putorti</t>
  </si>
  <si>
    <t>Elise Stefanik</t>
  </si>
  <si>
    <t>NY-21-stefanik_elise-</t>
  </si>
  <si>
    <t>@EliseStefanik</t>
  </si>
  <si>
    <t>@RepStefanik</t>
  </si>
  <si>
    <t>Elise</t>
  </si>
  <si>
    <t>Stefanik</t>
  </si>
  <si>
    <t>NY-22</t>
  </si>
  <si>
    <t>Josh Riley</t>
  </si>
  <si>
    <t>Sam Roberts</t>
  </si>
  <si>
    <t>NY-22-roberts_sam-</t>
  </si>
  <si>
    <t>Claudia Tenney</t>
  </si>
  <si>
    <t>@claudiatenney</t>
  </si>
  <si>
    <t>Claudia</t>
  </si>
  <si>
    <t>Vanessa</t>
  </si>
  <si>
    <t>Turner</t>
  </si>
  <si>
    <t>NY-23</t>
  </si>
  <si>
    <t>Mario Fratto</t>
  </si>
  <si>
    <t>Tom Reed</t>
  </si>
  <si>
    <t>NY-23-reed_tom-</t>
  </si>
  <si>
    <t>@TomReedCongress</t>
  </si>
  <si>
    <t>@RepTomReed</t>
  </si>
  <si>
    <t>Francis Conole</t>
  </si>
  <si>
    <t>NY-24</t>
  </si>
  <si>
    <t>Steven Holden</t>
  </si>
  <si>
    <t>NY-24-holden_steven-</t>
  </si>
  <si>
    <t>@believein_steve</t>
  </si>
  <si>
    <t>Holden</t>
  </si>
  <si>
    <t>@SarahKleeHoodNY</t>
  </si>
  <si>
    <t>John Katko</t>
  </si>
  <si>
    <t>NY-24-katko_john-</t>
  </si>
  <si>
    <t>@RepJohnKatko</t>
  </si>
  <si>
    <t>Katko</t>
  </si>
  <si>
    <t>Chol-Awan Majok</t>
  </si>
  <si>
    <t>@Chol_4Congress</t>
  </si>
  <si>
    <t>Joseph Morelle</t>
  </si>
  <si>
    <t>NY-25</t>
  </si>
  <si>
    <t>NY-25-morelle_joseph-</t>
  </si>
  <si>
    <t>@votemorelle</t>
  </si>
  <si>
    <t>@RepJoeMorelle</t>
  </si>
  <si>
    <t>Morelle</t>
  </si>
  <si>
    <t>La'Ron Singletary</t>
  </si>
  <si>
    <t>NY-25-singletary_laron-</t>
  </si>
  <si>
    <t>@LaRonSingletary</t>
  </si>
  <si>
    <t>La'Ron</t>
  </si>
  <si>
    <t>Singletary</t>
  </si>
  <si>
    <t>Brian Higgins</t>
  </si>
  <si>
    <t>NY-26</t>
  </si>
  <si>
    <t>NY-26-higgins_brian-</t>
  </si>
  <si>
    <t>@Higgins4WNY</t>
  </si>
  <si>
    <t>@RepBrianHiggins</t>
  </si>
  <si>
    <t>Steven Sams</t>
  </si>
  <si>
    <t>NY-26-sams_steven-</t>
  </si>
  <si>
    <t>Sams</t>
  </si>
  <si>
    <t>Chris Jacobs</t>
  </si>
  <si>
    <t>NY-27</t>
  </si>
  <si>
    <t>NY-27-jacobs_chris-</t>
  </si>
  <si>
    <t>@JacobsNY27</t>
  </si>
  <si>
    <t>@RepJacobs</t>
  </si>
  <si>
    <t>Kirsten Gillibrand</t>
  </si>
  <si>
    <t>NY-Sen01</t>
  </si>
  <si>
    <t>NY-Sen01-gillibrand_kirsten-</t>
  </si>
  <si>
    <t>@gillibrandny</t>
  </si>
  <si>
    <t>Gillibrand</t>
  </si>
  <si>
    <t>NY-Sen03</t>
  </si>
  <si>
    <t>Joe Pinion</t>
  </si>
  <si>
    <t>NY-Sen03-pinion_joe-</t>
  </si>
  <si>
    <t>@JosephPinion</t>
  </si>
  <si>
    <t>Pinion</t>
  </si>
  <si>
    <t>Charles Schumer</t>
  </si>
  <si>
    <t>NY-Sen03-schumer_charles-</t>
  </si>
  <si>
    <t>@SenSchumer</t>
  </si>
  <si>
    <t>Schumer</t>
  </si>
  <si>
    <t>Steve Chabot</t>
  </si>
  <si>
    <t>OH-01</t>
  </si>
  <si>
    <t>OH-01-chabot_steve-</t>
  </si>
  <si>
    <t>@SteveChabot</t>
  </si>
  <si>
    <t>@RepSteveChabot</t>
  </si>
  <si>
    <t>2010, 1994-2008</t>
  </si>
  <si>
    <t>Chabot</t>
  </si>
  <si>
    <t>Greg Landsman</t>
  </si>
  <si>
    <t>OH-01-landsman_greg-</t>
  </si>
  <si>
    <t>Landsman</t>
  </si>
  <si>
    <t>Alan Darnowsky</t>
  </si>
  <si>
    <t>OH-02</t>
  </si>
  <si>
    <t>OH-02-darnowsky_alan-</t>
  </si>
  <si>
    <t>@AlanState</t>
  </si>
  <si>
    <t>Darnowsky</t>
  </si>
  <si>
    <t>Samantha Meadows</t>
  </si>
  <si>
    <t>OH-02-meadows_samantha-</t>
  </si>
  <si>
    <t>Samantha</t>
  </si>
  <si>
    <t>Meadows</t>
  </si>
  <si>
    <t>Brad Wenstrup</t>
  </si>
  <si>
    <t>OH-02-wenstrup_brad-</t>
  </si>
  <si>
    <t>@bradwenstrup</t>
  </si>
  <si>
    <t>@RepBradWenstrup</t>
  </si>
  <si>
    <t>Wenstrup</t>
  </si>
  <si>
    <t>Joyce Beatty</t>
  </si>
  <si>
    <t>OH-03</t>
  </si>
  <si>
    <t>OH-03-beatty_joyce-</t>
  </si>
  <si>
    <t>@JoyceBeatty</t>
  </si>
  <si>
    <t>@RepBeatty</t>
  </si>
  <si>
    <t>Joyce</t>
  </si>
  <si>
    <t>Beatty</t>
  </si>
  <si>
    <t>Jim Jordan</t>
  </si>
  <si>
    <t>OH-04</t>
  </si>
  <si>
    <t>OH-04-jordan_jim-</t>
  </si>
  <si>
    <t>@Votejimjordan</t>
  </si>
  <si>
    <t>@Jim_Jordan</t>
  </si>
  <si>
    <t>Jordan</t>
  </si>
  <si>
    <t>Jeffrey Sites</t>
  </si>
  <si>
    <t>OH-04-sites_jeffrey-</t>
  </si>
  <si>
    <t>@Sites4Congress</t>
  </si>
  <si>
    <t>Sites</t>
  </si>
  <si>
    <t>OH-05</t>
  </si>
  <si>
    <t>Bob Latta</t>
  </si>
  <si>
    <t>OH-05-latta_bob-</t>
  </si>
  <si>
    <t>@latta4congress</t>
  </si>
  <si>
    <t>@boblatta</t>
  </si>
  <si>
    <t>2007 Special</t>
  </si>
  <si>
    <t>Latta</t>
  </si>
  <si>
    <t>Bill Johnson</t>
  </si>
  <si>
    <t>OH-06</t>
  </si>
  <si>
    <t>OH-06-johnson_bill-</t>
  </si>
  <si>
    <t>@JohnsonLeads</t>
  </si>
  <si>
    <t>@RepBillJohnson</t>
  </si>
  <si>
    <t>Michael Morgenstern</t>
  </si>
  <si>
    <t>OH-06-morgenstern_michael-</t>
  </si>
  <si>
    <t>Morgenstern</t>
  </si>
  <si>
    <t>Craig Swartz</t>
  </si>
  <si>
    <t>@ForSwartz</t>
  </si>
  <si>
    <t>Swartz</t>
  </si>
  <si>
    <t>OH-07</t>
  </si>
  <si>
    <t>Dante Sabatucci</t>
  </si>
  <si>
    <t>@dsabatucci</t>
  </si>
  <si>
    <t>Dante</t>
  </si>
  <si>
    <t>Sabatucci</t>
  </si>
  <si>
    <t>Ryan Saylor</t>
  </si>
  <si>
    <t>Saylor</t>
  </si>
  <si>
    <t>Warren Davidson</t>
  </si>
  <si>
    <t>OH-08</t>
  </si>
  <si>
    <t>OH-08-davidson_warren-</t>
  </si>
  <si>
    <t>@Vote_Davidson</t>
  </si>
  <si>
    <t>@WarrenDavidson</t>
  </si>
  <si>
    <t>2016 Special</t>
  </si>
  <si>
    <t>Davidson</t>
  </si>
  <si>
    <t>Madison Gesiotto Gilbert</t>
  </si>
  <si>
    <t>OH-13</t>
  </si>
  <si>
    <t>OH-13-gilbert_madison-</t>
  </si>
  <si>
    <t>@madisongesiotto</t>
  </si>
  <si>
    <t>Marcy Kaptur</t>
  </si>
  <si>
    <t>OH-09-kaptur_marcy-</t>
  </si>
  <si>
    <t>@Marcy_Kaptur</t>
  </si>
  <si>
    <t>@RepMarcyKaptur</t>
  </si>
  <si>
    <t>Marcy</t>
  </si>
  <si>
    <t>Kaptur</t>
  </si>
  <si>
    <t>Craig Riedel</t>
  </si>
  <si>
    <t>OH-09-riedel_craig-</t>
  </si>
  <si>
    <t>@craig_riedel</t>
  </si>
  <si>
    <t>Riedel</t>
  </si>
  <si>
    <t>Kirk Benjamin</t>
  </si>
  <si>
    <t>OH-10</t>
  </si>
  <si>
    <t>OH-10-benjamin_kirk-</t>
  </si>
  <si>
    <t>Kirk</t>
  </si>
  <si>
    <t>Baxter Stapelton</t>
  </si>
  <si>
    <t>OH-10-stapelton_baxter-</t>
  </si>
  <si>
    <t>@baxterstapleton</t>
  </si>
  <si>
    <t>Stapelton</t>
  </si>
  <si>
    <t>Mike Turner</t>
  </si>
  <si>
    <t>OH-10-turner_mike-</t>
  </si>
  <si>
    <t>@MikeTurnerOH</t>
  </si>
  <si>
    <t>@RepMikeTurner</t>
  </si>
  <si>
    <t>Shontel Brown</t>
  </si>
  <si>
    <t>OH-11</t>
  </si>
  <si>
    <t>OH-11-brown_shontel-</t>
  </si>
  <si>
    <t>@ShontelMBrown</t>
  </si>
  <si>
    <t>Shontel</t>
  </si>
  <si>
    <t>James Hemphill</t>
  </si>
  <si>
    <t>OH-11-hemphill_james-</t>
  </si>
  <si>
    <t>@HemphillOh</t>
  </si>
  <si>
    <t>Hemphill</t>
  </si>
  <si>
    <t>Nina Turner</t>
  </si>
  <si>
    <t>OH-11-turner_nina-</t>
  </si>
  <si>
    <t>@ninaturner</t>
  </si>
  <si>
    <t>Troy Balderson</t>
  </si>
  <si>
    <t>OH-12</t>
  </si>
  <si>
    <t>OH-12-balderson_troy-</t>
  </si>
  <si>
    <t>@Troy_Balderson</t>
  </si>
  <si>
    <t>@RepBalderson</t>
  </si>
  <si>
    <t>Balderson</t>
  </si>
  <si>
    <t>Tamie Wilson</t>
  </si>
  <si>
    <t>OH-04-wilson_tamie-</t>
  </si>
  <si>
    <t>@Tamie_Wilson_</t>
  </si>
  <si>
    <t>Tamie</t>
  </si>
  <si>
    <t>Charlie Gaddis</t>
  </si>
  <si>
    <t>Shay Hawkins</t>
  </si>
  <si>
    <t>OH-13-hawkins_shay-</t>
  </si>
  <si>
    <t>@Shay_Hawkins_OH</t>
  </si>
  <si>
    <t>Shay</t>
  </si>
  <si>
    <t>Janet Folger Porter</t>
  </si>
  <si>
    <t>OH-13-porter_janet-</t>
  </si>
  <si>
    <t>Janet</t>
  </si>
  <si>
    <t>Tim Ryan</t>
  </si>
  <si>
    <t>@TimRyan</t>
  </si>
  <si>
    <t>Jonah Schulz</t>
  </si>
  <si>
    <t>@JonahSchulzOH</t>
  </si>
  <si>
    <t>Jonah</t>
  </si>
  <si>
    <t>Schulz</t>
  </si>
  <si>
    <t>Emilia Sykes</t>
  </si>
  <si>
    <t>OH-13-sykes_emilia-</t>
  </si>
  <si>
    <t>@EmiliaSykesOH</t>
  </si>
  <si>
    <t>Emilia</t>
  </si>
  <si>
    <t>Sykes</t>
  </si>
  <si>
    <t>Gregory Wheeler</t>
  </si>
  <si>
    <t>OH-13-wheeler_gregory-</t>
  </si>
  <si>
    <t>@Greg4Ohio</t>
  </si>
  <si>
    <t>Wheeler</t>
  </si>
  <si>
    <t>Patrick Awtrey</t>
  </si>
  <si>
    <t>OH-14</t>
  </si>
  <si>
    <t>OH-14-awtrey_patrick-</t>
  </si>
  <si>
    <t>@PatrickAwtrey</t>
  </si>
  <si>
    <t>Awtrey</t>
  </si>
  <si>
    <t>David Joyce</t>
  </si>
  <si>
    <t>OH-14-joyce_david-</t>
  </si>
  <si>
    <t>@DaveJoyceOH14</t>
  </si>
  <si>
    <t>@RepDaveJoyce</t>
  </si>
  <si>
    <t>Matt Kilboy</t>
  </si>
  <si>
    <t>OH-14-kilboy_matt-</t>
  </si>
  <si>
    <t>@mattkilboy</t>
  </si>
  <si>
    <t>Kilboy</t>
  </si>
  <si>
    <t>OH-15</t>
  </si>
  <si>
    <t>Anthony Gonzalez</t>
  </si>
  <si>
    <t>OH-16</t>
  </si>
  <si>
    <t>OH-16-gonzalez_anthony-</t>
  </si>
  <si>
    <t>@anthonygonzalez</t>
  </si>
  <si>
    <t>@RepAGonzalez</t>
  </si>
  <si>
    <t>Max Miller</t>
  </si>
  <si>
    <t>OH-07-miller_max-</t>
  </si>
  <si>
    <t>@MaxMillerOH</t>
  </si>
  <si>
    <t>Sherrod Brown</t>
  </si>
  <si>
    <t>OH-Sen01</t>
  </si>
  <si>
    <t>OH-Sen01-brown_sherrod-</t>
  </si>
  <si>
    <t>@SenSherrodBrown</t>
  </si>
  <si>
    <t>Sherrod</t>
  </si>
  <si>
    <t>OH-Sen03</t>
  </si>
  <si>
    <t>Matt Dolan</t>
  </si>
  <si>
    <t>OH-Sen03-dolan_matt-</t>
  </si>
  <si>
    <t>@dolan4ohio</t>
  </si>
  <si>
    <t>Dolan</t>
  </si>
  <si>
    <t>Mike Gibbons</t>
  </si>
  <si>
    <t>OH-Sen03-gibbons_mike-</t>
  </si>
  <si>
    <t>@MikeGibbonsOH</t>
  </si>
  <si>
    <t>Morgan Harper</t>
  </si>
  <si>
    <t>OH-Sen03-harper_morgan-</t>
  </si>
  <si>
    <t>@mh4oh</t>
  </si>
  <si>
    <t>Traci Johnson</t>
  </si>
  <si>
    <t>OH-Sen03-johnson_traci-</t>
  </si>
  <si>
    <t>@Traci_TJJohnson</t>
  </si>
  <si>
    <t>Traci</t>
  </si>
  <si>
    <t>Josh Mandel</t>
  </si>
  <si>
    <t>OH-Sen03-mandel_josh-</t>
  </si>
  <si>
    <t>@JoshMandelOhio</t>
  </si>
  <si>
    <t>Mandel</t>
  </si>
  <si>
    <t>Bernie</t>
  </si>
  <si>
    <t>Neil Patel</t>
  </si>
  <si>
    <t>OH-Sen03-patel_neil-</t>
  </si>
  <si>
    <t>Mark Pukita</t>
  </si>
  <si>
    <t>OH-Sen03-pukita_mark-</t>
  </si>
  <si>
    <t>@mpukita</t>
  </si>
  <si>
    <t>Pukita</t>
  </si>
  <si>
    <t>OH-Sen03-ryan_tim-</t>
  </si>
  <si>
    <t>Jane Timken</t>
  </si>
  <si>
    <t>OH-Sen03-timken_jane-</t>
  </si>
  <si>
    <t>@JaneTimkenOH</t>
  </si>
  <si>
    <t>Jane</t>
  </si>
  <si>
    <t>Timken</t>
  </si>
  <si>
    <t>J.D. Vance</t>
  </si>
  <si>
    <t>OH-Sen03-vance_jd-</t>
  </si>
  <si>
    <t>@JDVance1</t>
  </si>
  <si>
    <t>J.D.</t>
  </si>
  <si>
    <t>Vance</t>
  </si>
  <si>
    <t>Kevin Hern</t>
  </si>
  <si>
    <t>OK-01</t>
  </si>
  <si>
    <t>OK-01-hern_kevin-</t>
  </si>
  <si>
    <t>@krhern</t>
  </si>
  <si>
    <t>@repkevinhern</t>
  </si>
  <si>
    <t>Hern</t>
  </si>
  <si>
    <t>Adam Martin</t>
  </si>
  <si>
    <t>OK-01-martin_adam-</t>
  </si>
  <si>
    <t>Markwayne Mullin</t>
  </si>
  <si>
    <t>OK-02</t>
  </si>
  <si>
    <t>@MarkwayneMullin</t>
  </si>
  <si>
    <t>@RepMullin</t>
  </si>
  <si>
    <t>Markwayne</t>
  </si>
  <si>
    <t>William Burleson</t>
  </si>
  <si>
    <t>OK-03</t>
  </si>
  <si>
    <t>OK-03-burleson_william-</t>
  </si>
  <si>
    <t>Also known as Wade Burleson</t>
  </si>
  <si>
    <t>Burleson</t>
  </si>
  <si>
    <t>Frank Lucas</t>
  </si>
  <si>
    <t>OK-03-lucas_frank-</t>
  </si>
  <si>
    <t>@FrankDLucas</t>
  </si>
  <si>
    <t>@RepFrankLucas</t>
  </si>
  <si>
    <t>1994 Special</t>
  </si>
  <si>
    <t>Tom Cole</t>
  </si>
  <si>
    <t>OK-04</t>
  </si>
  <si>
    <t>OK-04-cole_tom-</t>
  </si>
  <si>
    <t>@TomColeOK04</t>
  </si>
  <si>
    <t>Stephanie Bice</t>
  </si>
  <si>
    <t>OK-05</t>
  </si>
  <si>
    <t>OK-05-bice_stephanie-</t>
  </si>
  <si>
    <t>@stephaniebice</t>
  </si>
  <si>
    <t>@RepBice</t>
  </si>
  <si>
    <t>Bice</t>
  </si>
  <si>
    <t>Jim Inhofe</t>
  </si>
  <si>
    <t>OK-Sen02</t>
  </si>
  <si>
    <t>OK-Sen02-inhofe_jim-</t>
  </si>
  <si>
    <t>@inhofeforsenate</t>
  </si>
  <si>
    <t>@JimInhofe</t>
  </si>
  <si>
    <t>Inhofe</t>
  </si>
  <si>
    <t>Jason Bollinger</t>
  </si>
  <si>
    <t>OK-Sen03-bollinger_jason-</t>
  </si>
  <si>
    <t>@Jason_Bollinger</t>
  </si>
  <si>
    <t>Bollinger</t>
  </si>
  <si>
    <t>Nathan Dahm</t>
  </si>
  <si>
    <t>@NathanDahm</t>
  </si>
  <si>
    <t>Dahm</t>
  </si>
  <si>
    <t>OK-Sen03-farr_joan-</t>
  </si>
  <si>
    <t>@FarrForUs</t>
  </si>
  <si>
    <t>Jessica Garrison</t>
  </si>
  <si>
    <t>Garrison</t>
  </si>
  <si>
    <t>Madison Horn</t>
  </si>
  <si>
    <t>OK-Sen03-horn_madison-</t>
  </si>
  <si>
    <t>@madisonhornok</t>
  </si>
  <si>
    <t>Horn</t>
  </si>
  <si>
    <t>Jackson Lahmeyer</t>
  </si>
  <si>
    <t>OK-Sen03-lahmeyer_jackson-</t>
  </si>
  <si>
    <t>@JacksonLahmeyer</t>
  </si>
  <si>
    <t>Lahmeyer</t>
  </si>
  <si>
    <t>James Lankford</t>
  </si>
  <si>
    <t>OK-Sen03-lankford_james-</t>
  </si>
  <si>
    <t>@SenatorLankford</t>
  </si>
  <si>
    <t>Lankford</t>
  </si>
  <si>
    <t>Suzanne Bonamici</t>
  </si>
  <si>
    <t>OR-01</t>
  </si>
  <si>
    <t>OR-01-bonamici_suzanne-</t>
  </si>
  <si>
    <t>@RepBonamici</t>
  </si>
  <si>
    <t>Suzanne</t>
  </si>
  <si>
    <t>Bonamici</t>
  </si>
  <si>
    <t>Chris Mann</t>
  </si>
  <si>
    <t>OR-01-mann_chris-</t>
  </si>
  <si>
    <t>David Russ</t>
  </si>
  <si>
    <t>Cliff Bentz</t>
  </si>
  <si>
    <t>OR-02</t>
  </si>
  <si>
    <t>OR-02-bentz_cliff-</t>
  </si>
  <si>
    <t>@CliffBentz</t>
  </si>
  <si>
    <t>@RepBentz</t>
  </si>
  <si>
    <t>Cliff</t>
  </si>
  <si>
    <t>Bentz</t>
  </si>
  <si>
    <t>Earl Blumenauer</t>
  </si>
  <si>
    <t>OR-03</t>
  </si>
  <si>
    <t>OR-03-blumenauer_earl-</t>
  </si>
  <si>
    <t>@repblumenauer</t>
  </si>
  <si>
    <t>1996 Special</t>
  </si>
  <si>
    <t>Earl</t>
  </si>
  <si>
    <t>Blumenauer</t>
  </si>
  <si>
    <t>Jonathan Polhemus</t>
  </si>
  <si>
    <t>OR-03-polhemus_jonathan-</t>
  </si>
  <si>
    <t>Polhemus</t>
  </si>
  <si>
    <t>Sami Al-AbdRabbuh</t>
  </si>
  <si>
    <t>OR-04</t>
  </si>
  <si>
    <t>OR-04-alabdrabbuh_sami-</t>
  </si>
  <si>
    <t>@SamiOregon</t>
  </si>
  <si>
    <t>Sami</t>
  </si>
  <si>
    <t>Al-AbdRabbuh</t>
  </si>
  <si>
    <t>Doyle Canning</t>
  </si>
  <si>
    <t>OR-04-canning_doyle-</t>
  </si>
  <si>
    <t>@Canning4Oregon</t>
  </si>
  <si>
    <t>Doyle</t>
  </si>
  <si>
    <t>Canning</t>
  </si>
  <si>
    <t>Garrett</t>
  </si>
  <si>
    <t>Val Hoyle</t>
  </si>
  <si>
    <t>OR-04-hoyle_val-</t>
  </si>
  <si>
    <t>@ValHoyle</t>
  </si>
  <si>
    <t>Hoyle</t>
  </si>
  <si>
    <t>Andrew Kalloch</t>
  </si>
  <si>
    <t>OR-04-kalloch_andrew-</t>
  </si>
  <si>
    <t>@AndrewKalloch</t>
  </si>
  <si>
    <t>Kalloch</t>
  </si>
  <si>
    <t>John Selker</t>
  </si>
  <si>
    <t>OR-04-selker_john-</t>
  </si>
  <si>
    <t>@JohnSelker</t>
  </si>
  <si>
    <t>Christian - Quaker</t>
  </si>
  <si>
    <t>Selker</t>
  </si>
  <si>
    <t>Alek Skarlatos</t>
  </si>
  <si>
    <t>OR-04-skarlatos_alek-</t>
  </si>
  <si>
    <t>@alekskarlatos</t>
  </si>
  <si>
    <t>Alek</t>
  </si>
  <si>
    <t>Skarlatos</t>
  </si>
  <si>
    <t>Lori Chavez-DeRemer</t>
  </si>
  <si>
    <t>OR-05</t>
  </si>
  <si>
    <t>OR-05-chavezderemer_lori-</t>
  </si>
  <si>
    <t>@Lchavezderemer</t>
  </si>
  <si>
    <t>Chavez-DeRemer</t>
  </si>
  <si>
    <t>Jimmy Crumpacker</t>
  </si>
  <si>
    <t>OR-05-crumpacker_jimmy-</t>
  </si>
  <si>
    <t>@VoteCrumpacker</t>
  </si>
  <si>
    <t>Crumpacker</t>
  </si>
  <si>
    <t>Amy Ryan Courser</t>
  </si>
  <si>
    <t>@BBGoddess13</t>
  </si>
  <si>
    <t>Nate Sandvig</t>
  </si>
  <si>
    <t>@sandvig_nate</t>
  </si>
  <si>
    <t>Nate</t>
  </si>
  <si>
    <t>Sandvig</t>
  </si>
  <si>
    <t>Kurt Schrader</t>
  </si>
  <si>
    <t>OR-05-schrader_kurt-</t>
  </si>
  <si>
    <t>@VoteSchrader</t>
  </si>
  <si>
    <t>@RepSchrader</t>
  </si>
  <si>
    <t>Kurt</t>
  </si>
  <si>
    <t>Jamie McLeod-Skinner</t>
  </si>
  <si>
    <t>OR-05-skinner_jamie-</t>
  </si>
  <si>
    <t>@jamiefororegon</t>
  </si>
  <si>
    <t>Carrick Flynn</t>
  </si>
  <si>
    <t>OR-06-flynn_carrick-</t>
  </si>
  <si>
    <t>@CarrickFlynnOR</t>
  </si>
  <si>
    <t>Carrick</t>
  </si>
  <si>
    <t>Kathleen Harder</t>
  </si>
  <si>
    <t>OR-06-harder_kathleen-</t>
  </si>
  <si>
    <t>@DrHarderOR</t>
  </si>
  <si>
    <t>Teresa Alonso Leon</t>
  </si>
  <si>
    <t>OR-06-leon_teresa-</t>
  </si>
  <si>
    <t>@Teresa4Oregon</t>
  </si>
  <si>
    <t>Leon</t>
  </si>
  <si>
    <t>Ron Noble</t>
  </si>
  <si>
    <t>OR-06-noble_ron-</t>
  </si>
  <si>
    <t>@NobleForOregon</t>
  </si>
  <si>
    <t>Noble</t>
  </si>
  <si>
    <t>Angela Plowhead</t>
  </si>
  <si>
    <t>OR-06-plowhead_angela-</t>
  </si>
  <si>
    <t>@angelafororegon</t>
  </si>
  <si>
    <t>Plowhead</t>
  </si>
  <si>
    <t>Andrea Salinas</t>
  </si>
  <si>
    <t>OR-06-salinas_andrea-</t>
  </si>
  <si>
    <t>@AndreaRSalinas</t>
  </si>
  <si>
    <t>Loretta Smith</t>
  </si>
  <si>
    <t>OR-06-smith_loretta-</t>
  </si>
  <si>
    <t>@LorettaSmithOR</t>
  </si>
  <si>
    <t>Loretta</t>
  </si>
  <si>
    <t>Matt West</t>
  </si>
  <si>
    <t>OR-06-west_matt-</t>
  </si>
  <si>
    <t>@mattdwest</t>
  </si>
  <si>
    <t>William Barlow</t>
  </si>
  <si>
    <t>OR-Sen03-barlow_william-</t>
  </si>
  <si>
    <t>@WmBarlowIII</t>
  </si>
  <si>
    <t>Barlow</t>
  </si>
  <si>
    <t>Jason Beebe</t>
  </si>
  <si>
    <t>OR-Sen03-beebe_jason-</t>
  </si>
  <si>
    <t>@BeebeForOregon</t>
  </si>
  <si>
    <t>Beebe</t>
  </si>
  <si>
    <t>Robert Fleming</t>
  </si>
  <si>
    <t>OR-Sen03-fleming_robert-</t>
  </si>
  <si>
    <t>Darin Harbick</t>
  </si>
  <si>
    <t>OR-Sen03-harbick_darin-</t>
  </si>
  <si>
    <t>@darinharbickore</t>
  </si>
  <si>
    <t>Harbick</t>
  </si>
  <si>
    <t>Samuel Palmer</t>
  </si>
  <si>
    <t>OR-Sen03-palmer_samuel-</t>
  </si>
  <si>
    <t>Samuel</t>
  </si>
  <si>
    <t>Ibrahim Taher</t>
  </si>
  <si>
    <t>OR-Sen03-taher_ibrahim-</t>
  </si>
  <si>
    <t>@Ibra_Taher</t>
  </si>
  <si>
    <t>Ibrahim</t>
  </si>
  <si>
    <t>Taher</t>
  </si>
  <si>
    <t>Ron Wyden</t>
  </si>
  <si>
    <t>OR-Sen03-wyden_ron-</t>
  </si>
  <si>
    <t>@RonWyden</t>
  </si>
  <si>
    <t>Wyden</t>
  </si>
  <si>
    <t>PA-01</t>
  </si>
  <si>
    <t>Ashley Ehasz</t>
  </si>
  <si>
    <t>PA-01-ehasz_ashley-</t>
  </si>
  <si>
    <t>@ashley_ehasz</t>
  </si>
  <si>
    <t>Ehasz</t>
  </si>
  <si>
    <t>Alex Entin</t>
  </si>
  <si>
    <t>PA-01-entin_alex-</t>
  </si>
  <si>
    <t>@ElectEntinforPA</t>
  </si>
  <si>
    <t>Entin</t>
  </si>
  <si>
    <t>Brian Fitzpatrick</t>
  </si>
  <si>
    <t>PA-01-fitzpatrick_brian-</t>
  </si>
  <si>
    <t>@BrianFitzUSA</t>
  </si>
  <si>
    <t>@RepBrianFitz</t>
  </si>
  <si>
    <t>Fitzpatrick</t>
  </si>
  <si>
    <t>Brendan Boyle</t>
  </si>
  <si>
    <t>PA-02</t>
  </si>
  <si>
    <t>PA-02-boyle_brendan-</t>
  </si>
  <si>
    <t>@CongBoyle</t>
  </si>
  <si>
    <t>@RepBrendanBoyle</t>
  </si>
  <si>
    <t>Brendan</t>
  </si>
  <si>
    <t>Boyle</t>
  </si>
  <si>
    <t>Michael Cogbill</t>
  </si>
  <si>
    <t>PA-03</t>
  </si>
  <si>
    <t>PA-03-cogbill_michael-</t>
  </si>
  <si>
    <t>@MichaelforPA</t>
  </si>
  <si>
    <t>Cogbill</t>
  </si>
  <si>
    <t>Dwight Evans</t>
  </si>
  <si>
    <t>PA-03-evans_dwight-</t>
  </si>
  <si>
    <t>@DwightEvansPA</t>
  </si>
  <si>
    <t>@RepDwightEvans</t>
  </si>
  <si>
    <t>Dwight</t>
  </si>
  <si>
    <t>Alexandra Hunt</t>
  </si>
  <si>
    <t>PA-03-hunt_alexandra-</t>
  </si>
  <si>
    <t>@ahunt4congress</t>
  </si>
  <si>
    <t>Alexandra</t>
  </si>
  <si>
    <t>Madeleine Dean</t>
  </si>
  <si>
    <t>PA-04</t>
  </si>
  <si>
    <t>PA-04-dean_madeleine-</t>
  </si>
  <si>
    <t>@MadeleineDean</t>
  </si>
  <si>
    <t>@RepDean</t>
  </si>
  <si>
    <t>Madeleine</t>
  </si>
  <si>
    <t>Christian Nascimento</t>
  </si>
  <si>
    <t>PA-04-nascimento_christian-</t>
  </si>
  <si>
    <t>@CN4PA4</t>
  </si>
  <si>
    <t>Nascimento</t>
  </si>
  <si>
    <t>David Galluch</t>
  </si>
  <si>
    <t>PA-05</t>
  </si>
  <si>
    <t>PA-05-galluch_david-</t>
  </si>
  <si>
    <t>@DaveGalluchPA</t>
  </si>
  <si>
    <t>Galluch</t>
  </si>
  <si>
    <t>Mary Gay Scanlon</t>
  </si>
  <si>
    <t>PA-05-scanlon_marygay-</t>
  </si>
  <si>
    <t>@marygayscanlon</t>
  </si>
  <si>
    <t>@RepMGS</t>
  </si>
  <si>
    <t>Scanlon</t>
  </si>
  <si>
    <t>Steve Fanelli</t>
  </si>
  <si>
    <t>PA-06</t>
  </si>
  <si>
    <t>PA-06-fanelli_steve-</t>
  </si>
  <si>
    <t>Fanelli</t>
  </si>
  <si>
    <t>Chrissy Houlahan</t>
  </si>
  <si>
    <t>PA-06-houlahan_chrissy-</t>
  </si>
  <si>
    <t>@HoulahanForPa</t>
  </si>
  <si>
    <t>@RepHoulahan</t>
  </si>
  <si>
    <t>Chrissy</t>
  </si>
  <si>
    <t>Regina Mauro</t>
  </si>
  <si>
    <t>PA-06-mauro_regina-</t>
  </si>
  <si>
    <t>@ReginaMMauro</t>
  </si>
  <si>
    <t>Regina</t>
  </si>
  <si>
    <t>Mauro</t>
  </si>
  <si>
    <t>Ron Vogel</t>
  </si>
  <si>
    <t>PA-06-vogel_ron-</t>
  </si>
  <si>
    <t>@ForVogel</t>
  </si>
  <si>
    <t>Vogel</t>
  </si>
  <si>
    <t>Kevin Dellicker</t>
  </si>
  <si>
    <t>PA-07</t>
  </si>
  <si>
    <t>PA-07-dellicker_kevin-</t>
  </si>
  <si>
    <t>@KevinDellicker</t>
  </si>
  <si>
    <t>Dellicker</t>
  </si>
  <si>
    <t>Lisa Scheller</t>
  </si>
  <si>
    <t>PA-07-scheller_lisa-</t>
  </si>
  <si>
    <t>@SchellerforPA</t>
  </si>
  <si>
    <t>Scheller</t>
  </si>
  <si>
    <t>Susan Wild</t>
  </si>
  <si>
    <t>PA-07-wild_susan-</t>
  </si>
  <si>
    <t>@wildforcongress</t>
  </si>
  <si>
    <t>@RepSusanWild</t>
  </si>
  <si>
    <t>Wild</t>
  </si>
  <si>
    <t>Jim Bognet</t>
  </si>
  <si>
    <t>PA-08</t>
  </si>
  <si>
    <t>PA-08-bognet_jim-</t>
  </si>
  <si>
    <t>@Bognet4congress</t>
  </si>
  <si>
    <t>Bognet</t>
  </si>
  <si>
    <t>Matt Cartwright</t>
  </si>
  <si>
    <t>PA-08-cartwright_matt-</t>
  </si>
  <si>
    <t>@CartwrightPA</t>
  </si>
  <si>
    <t>@RepCartwright</t>
  </si>
  <si>
    <t>Dan Meuser</t>
  </si>
  <si>
    <t>PA-09</t>
  </si>
  <si>
    <t>PA-09-meuser_dan-</t>
  </si>
  <si>
    <t>@Meuser4Congress</t>
  </si>
  <si>
    <t>@RepMeuser</t>
  </si>
  <si>
    <t>PA-10</t>
  </si>
  <si>
    <t>Scott Perry</t>
  </si>
  <si>
    <t>PA-10-perry_scott-</t>
  </si>
  <si>
    <t>@PatriotsPerry</t>
  </si>
  <si>
    <t>@RepScottPerry</t>
  </si>
  <si>
    <t>Robert Hollister</t>
  </si>
  <si>
    <t>PA-11</t>
  </si>
  <si>
    <t>PA-11-hollister_robert-</t>
  </si>
  <si>
    <t>Hollister</t>
  </si>
  <si>
    <t>Lloyd Smucker</t>
  </si>
  <si>
    <t>PA-11-smucker_lloyd-</t>
  </si>
  <si>
    <t>@LloydSmuckerPA</t>
  </si>
  <si>
    <t>@RepSmucker</t>
  </si>
  <si>
    <t>Lloyd</t>
  </si>
  <si>
    <t>Smucker</t>
  </si>
  <si>
    <t>Fred Keller</t>
  </si>
  <si>
    <t>PA-12</t>
  </si>
  <si>
    <t>PA-12-keller_fred-</t>
  </si>
  <si>
    <t>@VoteFredKeller</t>
  </si>
  <si>
    <t>@RepFredKeller</t>
  </si>
  <si>
    <t>Keller</t>
  </si>
  <si>
    <t>John Joyce</t>
  </si>
  <si>
    <t>PA-13</t>
  </si>
  <si>
    <t>PA-13-joyce_john-</t>
  </si>
  <si>
    <t>@JohnJoyceForPA</t>
  </si>
  <si>
    <t>@RepJohnJoyce</t>
  </si>
  <si>
    <t>Guy Reschenthaler</t>
  </si>
  <si>
    <t>PA-14</t>
  </si>
  <si>
    <t>PA-14-reschenthaler_guy-</t>
  </si>
  <si>
    <t>@reschenthaler</t>
  </si>
  <si>
    <t>@GReschenthaler</t>
  </si>
  <si>
    <t>Guy</t>
  </si>
  <si>
    <t>Reschenthaler</t>
  </si>
  <si>
    <t>PA-15</t>
  </si>
  <si>
    <t>Glenn Thompson</t>
  </si>
  <si>
    <t>PA-15-thompson_glenn-</t>
  </si>
  <si>
    <t>@GT_TeamGT</t>
  </si>
  <si>
    <t>@CongressmanGT</t>
  </si>
  <si>
    <t>Mike Kelly</t>
  </si>
  <si>
    <t>PA-16</t>
  </si>
  <si>
    <t>PA-16-kelly_mike-</t>
  </si>
  <si>
    <t>@MikeKellyforPA</t>
  </si>
  <si>
    <t>@MikeKellyPA</t>
  </si>
  <si>
    <t>Dan Pastore</t>
  </si>
  <si>
    <t>PA-16-pastore_dan-</t>
  </si>
  <si>
    <t>Pastore</t>
  </si>
  <si>
    <t>Rick Telesz</t>
  </si>
  <si>
    <t>PA-16-telesz_rick-</t>
  </si>
  <si>
    <t>@rick_telesz</t>
  </si>
  <si>
    <t>Telesz</t>
  </si>
  <si>
    <t>PA-17</t>
  </si>
  <si>
    <t>Christopher Deluzio</t>
  </si>
  <si>
    <t>PA-17-deluzio_christopher-</t>
  </si>
  <si>
    <t>Deluzio</t>
  </si>
  <si>
    <t>Jason Killmeyer</t>
  </si>
  <si>
    <t>PA-17-killmeyer_jason-</t>
  </si>
  <si>
    <t>@JasonKillmeyer</t>
  </si>
  <si>
    <t>Killmeyer</t>
  </si>
  <si>
    <t>@ConorLambPA</t>
  </si>
  <si>
    <t>Sean Meloy</t>
  </si>
  <si>
    <t>PA-17-meloy_sean-</t>
  </si>
  <si>
    <t>@MeloySM</t>
  </si>
  <si>
    <t>Meloy</t>
  </si>
  <si>
    <t>Jeremy Shaffer</t>
  </si>
  <si>
    <t>PA-17-shaffer_jeremy-</t>
  </si>
  <si>
    <t>@JeremyShafferPA</t>
  </si>
  <si>
    <t>Shaffer</t>
  </si>
  <si>
    <t>Mike Doyle</t>
  </si>
  <si>
    <t>PA-18</t>
  </si>
  <si>
    <t>PA-18-doyle_mike-</t>
  </si>
  <si>
    <t>@rep_doyle</t>
  </si>
  <si>
    <t>@USRepMikeDoyle</t>
  </si>
  <si>
    <t>Summer Lee</t>
  </si>
  <si>
    <t>@SummerForPA</t>
  </si>
  <si>
    <t>Summer</t>
  </si>
  <si>
    <t>Robert Casey</t>
  </si>
  <si>
    <t>PA-Sen01</t>
  </si>
  <si>
    <t>PA-Sen01-casey_robert-</t>
  </si>
  <si>
    <t>@SenBobCasey</t>
  </si>
  <si>
    <t>Kathy Barnette</t>
  </si>
  <si>
    <t>PA-Sen03-barnette_kathy-</t>
  </si>
  <si>
    <t>@Kathy4Truth</t>
  </si>
  <si>
    <t>Barnette</t>
  </si>
  <si>
    <t>Jeff Bartos</t>
  </si>
  <si>
    <t>PA-Sen03-bartos_jeff-</t>
  </si>
  <si>
    <t>@jeff_bartos</t>
  </si>
  <si>
    <t>Bartos</t>
  </si>
  <si>
    <t>George Bochetto</t>
  </si>
  <si>
    <t>PA-Sen03-bochetto_george-</t>
  </si>
  <si>
    <t>John Fetterman</t>
  </si>
  <si>
    <t>PA-Sen03-fetterman_john-</t>
  </si>
  <si>
    <t>@JohnFetterman</t>
  </si>
  <si>
    <t>Fetterman</t>
  </si>
  <si>
    <t>Sean Gale</t>
  </si>
  <si>
    <t>PA-Sen03-gale_sean-</t>
  </si>
  <si>
    <t>Gale</t>
  </si>
  <si>
    <t>Malcolm Kenyatta</t>
  </si>
  <si>
    <t>PA-Sen03-kenyatta_malcolm-</t>
  </si>
  <si>
    <t>@malcolmkenyatta</t>
  </si>
  <si>
    <t>Kenyatta</t>
  </si>
  <si>
    <t>Alexandria Khalil</t>
  </si>
  <si>
    <t>PA-Sen03-khalil_alexandria-</t>
  </si>
  <si>
    <t>@Alex4USSenate</t>
  </si>
  <si>
    <t>Khalil</t>
  </si>
  <si>
    <t>PA-Sen03-lamb_conor-</t>
  </si>
  <si>
    <t>David McCormick</t>
  </si>
  <si>
    <t>PA-Sen03-mccormick_david-</t>
  </si>
  <si>
    <t>@DaveMcCormickPA</t>
  </si>
  <si>
    <t>Mehmet Oz</t>
  </si>
  <si>
    <t>PA-Sen03-oz_mehmet-</t>
  </si>
  <si>
    <t>@DrOz</t>
  </si>
  <si>
    <t>Mehmet</t>
  </si>
  <si>
    <t>Oz</t>
  </si>
  <si>
    <t>Carla Sands</t>
  </si>
  <si>
    <t>PA-Sen03-sands_carla-</t>
  </si>
  <si>
    <t>@CarlaHSands</t>
  </si>
  <si>
    <t>Sands</t>
  </si>
  <si>
    <t>David Cicilline</t>
  </si>
  <si>
    <t>RI-01</t>
  </si>
  <si>
    <t>RI-01-cicilline_david-</t>
  </si>
  <si>
    <t>@davidcicilline</t>
  </si>
  <si>
    <t>@RepCicilline</t>
  </si>
  <si>
    <t>Cicilline</t>
  </si>
  <si>
    <t>Allen Waters</t>
  </si>
  <si>
    <t>RI-01-waters_allen-</t>
  </si>
  <si>
    <t>@AllenRWaters</t>
  </si>
  <si>
    <t>Omar Bah</t>
  </si>
  <si>
    <t>RI-02</t>
  </si>
  <si>
    <t>RI-02-bah_omar-</t>
  </si>
  <si>
    <t>@bah_omar</t>
  </si>
  <si>
    <t>Bah</t>
  </si>
  <si>
    <t>Jessica de la Cruz</t>
  </si>
  <si>
    <t>RI-02-delacruz_jessica-</t>
  </si>
  <si>
    <t>de la Cruz</t>
  </si>
  <si>
    <t>Joy Fox</t>
  </si>
  <si>
    <t>RI-02-fox_joy-</t>
  </si>
  <si>
    <t>@JoyFoxRI</t>
  </si>
  <si>
    <t>Joy</t>
  </si>
  <si>
    <t>Allan Fung</t>
  </si>
  <si>
    <t>RI-02-fung_allan-</t>
  </si>
  <si>
    <t>Allan</t>
  </si>
  <si>
    <t>Fung</t>
  </si>
  <si>
    <t>Robert Lancia</t>
  </si>
  <si>
    <t>RI-02-lancia_robert-</t>
  </si>
  <si>
    <t>@BobLancia</t>
  </si>
  <si>
    <t>Lancia</t>
  </si>
  <si>
    <t>Jim Langevin</t>
  </si>
  <si>
    <t>RI-02-langevin_jim-</t>
  </si>
  <si>
    <t>@LangevinForRI</t>
  </si>
  <si>
    <t>@JimLangevin</t>
  </si>
  <si>
    <t>Langevin</t>
  </si>
  <si>
    <t>Seth Magaziner</t>
  </si>
  <si>
    <t>RI-02-magaziner_seth-</t>
  </si>
  <si>
    <t>@SethMagaziner</t>
  </si>
  <si>
    <t>Magaziner</t>
  </si>
  <si>
    <t>Cameron Moquin</t>
  </si>
  <si>
    <t>RI-02-moquin_cameron-</t>
  </si>
  <si>
    <t>Cameron</t>
  </si>
  <si>
    <t>Moquin</t>
  </si>
  <si>
    <t>Michael Neary</t>
  </si>
  <si>
    <t>RI-02-neary_michael-</t>
  </si>
  <si>
    <t>@MichaelNearyRI</t>
  </si>
  <si>
    <t>Neary</t>
  </si>
  <si>
    <t>Edwin Pacheco</t>
  </si>
  <si>
    <t>RI-02-pacheco_edwin-</t>
  </si>
  <si>
    <t>@EdwinPacheco</t>
  </si>
  <si>
    <t>Pacheco</t>
  </si>
  <si>
    <t>Sheldon Whitehouse</t>
  </si>
  <si>
    <t>RI-Sen01</t>
  </si>
  <si>
    <t>RI-Sen01-whitehouse_sheldon-</t>
  </si>
  <si>
    <t>@SenWhitehouse</t>
  </si>
  <si>
    <t>Sheldon</t>
  </si>
  <si>
    <t>Whitehouse</t>
  </si>
  <si>
    <t>Jack Reed</t>
  </si>
  <si>
    <t>RI-Sen02</t>
  </si>
  <si>
    <t>RI-Sen02-reed_jack-</t>
  </si>
  <si>
    <t>@jackreed2020</t>
  </si>
  <si>
    <t>@SenJackReed</t>
  </si>
  <si>
    <t>SC-01</t>
  </si>
  <si>
    <t>Annie Andrews</t>
  </si>
  <si>
    <t>SC-01-andrews_annie-</t>
  </si>
  <si>
    <t>@annieandrewsmd</t>
  </si>
  <si>
    <t>Katie Arrington</t>
  </si>
  <si>
    <t>SC-01-arrington_katie-</t>
  </si>
  <si>
    <t>@karringtonsc</t>
  </si>
  <si>
    <t>Arrington</t>
  </si>
  <si>
    <t>Nancy Mace</t>
  </si>
  <si>
    <t>SC-01-mace_nancy-</t>
  </si>
  <si>
    <t>@NancyMace</t>
  </si>
  <si>
    <t>@RepNancyMace</t>
  </si>
  <si>
    <t>Mace</t>
  </si>
  <si>
    <t>Lynz Piper-Loomis</t>
  </si>
  <si>
    <t>SC-01-piperloomis_lynz-</t>
  </si>
  <si>
    <t>@LynzPiperLoomis</t>
  </si>
  <si>
    <t>Lynz</t>
  </si>
  <si>
    <t>Piper-Loomis</t>
  </si>
  <si>
    <t>SC-02</t>
  </si>
  <si>
    <t>Judd Larkins</t>
  </si>
  <si>
    <t>SC-02-larkins_judd-</t>
  </si>
  <si>
    <t>@JuddLarkins</t>
  </si>
  <si>
    <t>Judd</t>
  </si>
  <si>
    <t>Larkins</t>
  </si>
  <si>
    <t>Joe Wilson</t>
  </si>
  <si>
    <t>SC-02-wilson_joe-</t>
  </si>
  <si>
    <t>@TeamJoeWilson</t>
  </si>
  <si>
    <t>@RepJoeWilson</t>
  </si>
  <si>
    <t>Jeff Duncan</t>
  </si>
  <si>
    <t>SC-03</t>
  </si>
  <si>
    <t>SC-03-duncan_jeff-</t>
  </si>
  <si>
    <t>@Duncan4Congress</t>
  </si>
  <si>
    <t>@RepJeffDuncan</t>
  </si>
  <si>
    <t>Duncan</t>
  </si>
  <si>
    <t>George Abuzeid</t>
  </si>
  <si>
    <t>SC-04</t>
  </si>
  <si>
    <t>SC-04-abuzeid_george-</t>
  </si>
  <si>
    <t>Abuzeid</t>
  </si>
  <si>
    <t>Mark Burns</t>
  </si>
  <si>
    <t>SC-04-burns_mark-</t>
  </si>
  <si>
    <t>@pastormarkburns</t>
  </si>
  <si>
    <t>Michael LaPierre</t>
  </si>
  <si>
    <t>SC-04-lapierre_michael-</t>
  </si>
  <si>
    <t>LaPierre</t>
  </si>
  <si>
    <t>William Timmons</t>
  </si>
  <si>
    <t>SC-04-timmons_william-</t>
  </si>
  <si>
    <t>@VoteTimmons</t>
  </si>
  <si>
    <t>@RepTimmons</t>
  </si>
  <si>
    <t>Timmons</t>
  </si>
  <si>
    <t>SC-05</t>
  </si>
  <si>
    <t>SC-05-eckert_kevin-</t>
  </si>
  <si>
    <t>@KevinCongressSC</t>
  </si>
  <si>
    <t>Eckert</t>
  </si>
  <si>
    <t>Ralph Norman</t>
  </si>
  <si>
    <t>SC-05-norman_ralph-</t>
  </si>
  <si>
    <t>@RalphNorman</t>
  </si>
  <si>
    <t>@RepRalphNorman</t>
  </si>
  <si>
    <t>Norman</t>
  </si>
  <si>
    <t>Michael Addison</t>
  </si>
  <si>
    <t>SC-06</t>
  </si>
  <si>
    <t>SC-06-addison_michael-</t>
  </si>
  <si>
    <t>Addison</t>
  </si>
  <si>
    <t>Duke Buckner</t>
  </si>
  <si>
    <t>SC-06-buckner_duke-</t>
  </si>
  <si>
    <t>Buckner</t>
  </si>
  <si>
    <t>Jim Clyburn</t>
  </si>
  <si>
    <t>SC-06-clyburn_jim-</t>
  </si>
  <si>
    <t>@ClyburnSC06</t>
  </si>
  <si>
    <t>@WhipClyburn</t>
  </si>
  <si>
    <t>Clyburn</t>
  </si>
  <si>
    <t>Gregg Dixon</t>
  </si>
  <si>
    <t>SC-06-dixon_gregg-</t>
  </si>
  <si>
    <t>Dixon</t>
  </si>
  <si>
    <t>SC-07</t>
  </si>
  <si>
    <t>Barbara Arthur</t>
  </si>
  <si>
    <t>SC-07-arthur_barbara-</t>
  </si>
  <si>
    <t>Arthur</t>
  </si>
  <si>
    <t>Garrett Barton</t>
  </si>
  <si>
    <t>SC-07-barton_garrett-</t>
  </si>
  <si>
    <t>@GarrettBartonSC</t>
  </si>
  <si>
    <t>Russell Fry</t>
  </si>
  <si>
    <t>SC-07-fry_russell-</t>
  </si>
  <si>
    <t>@RussellWFry</t>
  </si>
  <si>
    <t>Fry</t>
  </si>
  <si>
    <t>Mark McBride</t>
  </si>
  <si>
    <t>SC-07-mcbride_mark-</t>
  </si>
  <si>
    <t>McBride</t>
  </si>
  <si>
    <t>Spencer Morris</t>
  </si>
  <si>
    <t>SC-07-morris_spencer-</t>
  </si>
  <si>
    <t>Tom Rice</t>
  </si>
  <si>
    <t>SC-07-rice_tom-</t>
  </si>
  <si>
    <t>@TomRiceSC7</t>
  </si>
  <si>
    <t>@RepTomRice</t>
  </si>
  <si>
    <t>Ken Richardson</t>
  </si>
  <si>
    <t>SC-07-richardson_ken-</t>
  </si>
  <si>
    <t>Catherine Fleming Bruce</t>
  </si>
  <si>
    <t>SC-Sen03</t>
  </si>
  <si>
    <t>SC-Sen03-bruce_catherine-</t>
  </si>
  <si>
    <t>@tnovsa</t>
  </si>
  <si>
    <t>Angela Geter</t>
  </si>
  <si>
    <t>SC-Sen03-geter_angela-</t>
  </si>
  <si>
    <t>@geterforsenate</t>
  </si>
  <si>
    <t>Geter</t>
  </si>
  <si>
    <t>Krystle Matthews</t>
  </si>
  <si>
    <t>SC-Sen03-matthews_krystle-</t>
  </si>
  <si>
    <t>@kmforsenate</t>
  </si>
  <si>
    <t>Krystle</t>
  </si>
  <si>
    <t>Tim Scott</t>
  </si>
  <si>
    <t>SC-Sen03-scott_tim-</t>
  </si>
  <si>
    <t>@SenatorTimScott</t>
  </si>
  <si>
    <t>Dusty Johnson</t>
  </si>
  <si>
    <t>SD-00</t>
  </si>
  <si>
    <t>SD-00-johnson_dusty-</t>
  </si>
  <si>
    <t>@DustyJohnson</t>
  </si>
  <si>
    <t>@RepDustyJohnson</t>
  </si>
  <si>
    <t>Dusty</t>
  </si>
  <si>
    <t>Mike Rounds</t>
  </si>
  <si>
    <t>SD-Sen02</t>
  </si>
  <si>
    <t>SD-Sen02-rounds_mike-</t>
  </si>
  <si>
    <t>@RoundsforSenate</t>
  </si>
  <si>
    <t>@SenatorRounds</t>
  </si>
  <si>
    <t>Rounds</t>
  </si>
  <si>
    <t>Brian Bengs</t>
  </si>
  <si>
    <t>SD-Sen03</t>
  </si>
  <si>
    <t>SD-Sen03-bengs_brian-</t>
  </si>
  <si>
    <t>@BrianBengs</t>
  </si>
  <si>
    <t>Bengs</t>
  </si>
  <si>
    <t>Mark Mowry</t>
  </si>
  <si>
    <t>SD-Sen03-mowry_mark-</t>
  </si>
  <si>
    <t>Mowry</t>
  </si>
  <si>
    <t>John Thune</t>
  </si>
  <si>
    <t>SD-Sen03-thune_john-</t>
  </si>
  <si>
    <t>@SenJohnThune</t>
  </si>
  <si>
    <t>Thune</t>
  </si>
  <si>
    <t>Bruce Whalen</t>
  </si>
  <si>
    <t>SD-Sen03-whalen_bruce-</t>
  </si>
  <si>
    <t>@Whalen4USSenate</t>
  </si>
  <si>
    <t>Whalen</t>
  </si>
  <si>
    <t>Diana Harshbarger</t>
  </si>
  <si>
    <t>TN-01</t>
  </si>
  <si>
    <t>TN-01-harshbarger_diana-</t>
  </si>
  <si>
    <t>@DHarshbargerTN1</t>
  </si>
  <si>
    <t>@RepHarshbarger</t>
  </si>
  <si>
    <t>Harshbarger</t>
  </si>
  <si>
    <t>Cameron Parsons</t>
  </si>
  <si>
    <t>TN-01-parsons_cameron-</t>
  </si>
  <si>
    <t>Parsons</t>
  </si>
  <si>
    <t>Tim Burchett</t>
  </si>
  <si>
    <t>TN-02</t>
  </si>
  <si>
    <t>TN-02-burchett_tim-</t>
  </si>
  <si>
    <t>@timburchett</t>
  </si>
  <si>
    <t>@RepTimBurchett</t>
  </si>
  <si>
    <t>Burchett</t>
  </si>
  <si>
    <t>Mark Harmon</t>
  </si>
  <si>
    <t>TN-02-harmon_mark-</t>
  </si>
  <si>
    <t>Harmon</t>
  </si>
  <si>
    <t>TN-03</t>
  </si>
  <si>
    <t>Sandy Casey</t>
  </si>
  <si>
    <t>TN-03-casey_sandy-</t>
  </si>
  <si>
    <t>Nathaniel</t>
  </si>
  <si>
    <t>Chuck Fleischmann</t>
  </si>
  <si>
    <t>TN-03-fleischmann_chuck-</t>
  </si>
  <si>
    <t>@chuck4congress</t>
  </si>
  <si>
    <t>@RepChuck</t>
  </si>
  <si>
    <t>Fleischmann</t>
  </si>
  <si>
    <t>Meg Gorman</t>
  </si>
  <si>
    <t>TN-03-gorman_meg-</t>
  </si>
  <si>
    <t>@Meg4Congress</t>
  </si>
  <si>
    <t>Meg</t>
  </si>
  <si>
    <t>Gorman</t>
  </si>
  <si>
    <t>TN-04</t>
  </si>
  <si>
    <t>Scott DesJarlais</t>
  </si>
  <si>
    <t>TN-04-desjarlais_scott-</t>
  </si>
  <si>
    <t>@tndesjarlais</t>
  </si>
  <si>
    <t>@DesJarlaisTN04</t>
  </si>
  <si>
    <t>DesJarlais</t>
  </si>
  <si>
    <t>Geni Batchelor</t>
  </si>
  <si>
    <t>TN-05</t>
  </si>
  <si>
    <t>TN-05-batchelor_geni-</t>
  </si>
  <si>
    <t>Geni</t>
  </si>
  <si>
    <t>Natisha Brooks</t>
  </si>
  <si>
    <t>TN-05-brooks_natisha-</t>
  </si>
  <si>
    <t>@Brooks4House</t>
  </si>
  <si>
    <t>Natisha</t>
  </si>
  <si>
    <t>Jim Cooper</t>
  </si>
  <si>
    <t>TN-05-cooper_jim-</t>
  </si>
  <si>
    <t>@CoopForCongress</t>
  </si>
  <si>
    <t>@repjimcooper</t>
  </si>
  <si>
    <t>2002, 1982-1994</t>
  </si>
  <si>
    <t>Odessa Kelly</t>
  </si>
  <si>
    <t>@OdessaKellyTN</t>
  </si>
  <si>
    <t>Kurt Winstead</t>
  </si>
  <si>
    <t>TN-05-winstead_kurt-</t>
  </si>
  <si>
    <t>Winstead</t>
  </si>
  <si>
    <t>John Rose</t>
  </si>
  <si>
    <t>TN-06</t>
  </si>
  <si>
    <t>TN-06-rose_john-</t>
  </si>
  <si>
    <t>@JohnRoseforTN</t>
  </si>
  <si>
    <t>@RepJohnRose</t>
  </si>
  <si>
    <t>Mark Green</t>
  </si>
  <si>
    <t>TN-07</t>
  </si>
  <si>
    <t>TN-07-green_mark-</t>
  </si>
  <si>
    <t>@DrMarkGreen4TN</t>
  </si>
  <si>
    <t>@RepMarkGreen</t>
  </si>
  <si>
    <t>TN-08</t>
  </si>
  <si>
    <t>Clouse</t>
  </si>
  <si>
    <t>Bob Hendry</t>
  </si>
  <si>
    <t>TN-08-hendry_bob-</t>
  </si>
  <si>
    <t>@RINO_Hunter_Bob</t>
  </si>
  <si>
    <t>Hendry</t>
  </si>
  <si>
    <t>David Kustoff</t>
  </si>
  <si>
    <t>TN-08-kustoff_david-</t>
  </si>
  <si>
    <t>@DavidKustoff</t>
  </si>
  <si>
    <t>@RepDavidKustoff</t>
  </si>
  <si>
    <t>Kustoff</t>
  </si>
  <si>
    <t>Steve Cohen</t>
  </si>
  <si>
    <t>TN-09</t>
  </si>
  <si>
    <t>TN-09-cohen_steve-</t>
  </si>
  <si>
    <t>@ReElectCohen</t>
  </si>
  <si>
    <t>@RepCohen</t>
  </si>
  <si>
    <t>Cohen</t>
  </si>
  <si>
    <t>Dudley</t>
  </si>
  <si>
    <t>Marsha Blackburn</t>
  </si>
  <si>
    <t>TN-Sen01</t>
  </si>
  <si>
    <t>TN-Sen01-blackburn_marsha-</t>
  </si>
  <si>
    <t>@MarshaBlackburn</t>
  </si>
  <si>
    <t>Blackburn</t>
  </si>
  <si>
    <t>Bill Hagerty</t>
  </si>
  <si>
    <t>TN-Sen02</t>
  </si>
  <si>
    <t>TN-Sen02-hagerty_bill-</t>
  </si>
  <si>
    <t>@BillHagertyTN</t>
  </si>
  <si>
    <t>@SenatorHagerty</t>
  </si>
  <si>
    <t>Hagerty</t>
  </si>
  <si>
    <t>Aditya Atholi</t>
  </si>
  <si>
    <t>TX-01</t>
  </si>
  <si>
    <t>TX-01-atholi_aditya-</t>
  </si>
  <si>
    <t>@Atholi4Congress</t>
  </si>
  <si>
    <t>Aditya</t>
  </si>
  <si>
    <t>Atholi</t>
  </si>
  <si>
    <t>Gavin Dass</t>
  </si>
  <si>
    <t>TX-01-dass_gavin-</t>
  </si>
  <si>
    <t>Gavin</t>
  </si>
  <si>
    <t>Dass</t>
  </si>
  <si>
    <t>Victor Dunn</t>
  </si>
  <si>
    <t>TX-01-dunn_victor-</t>
  </si>
  <si>
    <t>@dunn4congress</t>
  </si>
  <si>
    <t>Louie Gohmert</t>
  </si>
  <si>
    <t>TX-01-gohmert_louie-</t>
  </si>
  <si>
    <t>@LouieGohmertTX1</t>
  </si>
  <si>
    <t>@replouiegohmert</t>
  </si>
  <si>
    <t>Louie</t>
  </si>
  <si>
    <t>Gohmert</t>
  </si>
  <si>
    <t>Jrmar Jefferson</t>
  </si>
  <si>
    <t>TX-01-jefferson_jrmar-</t>
  </si>
  <si>
    <t>Jrmar</t>
  </si>
  <si>
    <t>Jefferson</t>
  </si>
  <si>
    <t>Stephen Kocen</t>
  </si>
  <si>
    <t>TX-01-kocen_stephen-</t>
  </si>
  <si>
    <t>@Kocen4Congress</t>
  </si>
  <si>
    <t>Kocen</t>
  </si>
  <si>
    <t>Joe McDaniel</t>
  </si>
  <si>
    <t>TX-01-mcdaniel_joe-</t>
  </si>
  <si>
    <t>@joemcd2</t>
  </si>
  <si>
    <t>McDaniel</t>
  </si>
  <si>
    <t>Nathaniel Moran</t>
  </si>
  <si>
    <t>TX-01-moran_nathaniel-</t>
  </si>
  <si>
    <t>@moran4congress</t>
  </si>
  <si>
    <t>John Porro</t>
  </si>
  <si>
    <t>TX-01-porro_john-</t>
  </si>
  <si>
    <t>@JohnPorro4TX</t>
  </si>
  <si>
    <t>Porro</t>
  </si>
  <si>
    <t>TX-02</t>
  </si>
  <si>
    <t>Dan Crenshaw</t>
  </si>
  <si>
    <t>TX-02-crenshaw_dan-</t>
  </si>
  <si>
    <t>@DanCrenshawTX</t>
  </si>
  <si>
    <t>@RepDanCrenshaw</t>
  </si>
  <si>
    <t>Crenshaw</t>
  </si>
  <si>
    <t>Jameson Ellis</t>
  </si>
  <si>
    <t>TX-02-ellis_jameson-</t>
  </si>
  <si>
    <t>@thejamesonellis</t>
  </si>
  <si>
    <t>Jameson</t>
  </si>
  <si>
    <t>Martin Etwop</t>
  </si>
  <si>
    <t>TX-02-etwop_martin-</t>
  </si>
  <si>
    <t>Etwop</t>
  </si>
  <si>
    <t>Robin Fulford</t>
  </si>
  <si>
    <t>TX-02-fulford_robin-</t>
  </si>
  <si>
    <t>@RobinDFulford</t>
  </si>
  <si>
    <t>Fulford</t>
  </si>
  <si>
    <t>2021-01-04</t>
  </si>
  <si>
    <t>Milam Langella</t>
  </si>
  <si>
    <t>TX-02-langella_milam-</t>
  </si>
  <si>
    <t>@Milam2022</t>
  </si>
  <si>
    <t>Milam</t>
  </si>
  <si>
    <t>Langella</t>
  </si>
  <si>
    <t>Suzanne Harp</t>
  </si>
  <si>
    <t>TX-03</t>
  </si>
  <si>
    <t>TX-03-harp_suzanne-</t>
  </si>
  <si>
    <t>@RealSuzanneHarp</t>
  </si>
  <si>
    <t>Harp</t>
  </si>
  <si>
    <t>Jeremy Ivanovskis</t>
  </si>
  <si>
    <t>TX-03-ivanovskis_jeremy-</t>
  </si>
  <si>
    <t>Ivanovskis</t>
  </si>
  <si>
    <t>Keith Self</t>
  </si>
  <si>
    <t>TX-03-self_keith-</t>
  </si>
  <si>
    <t>@selfforcongress</t>
  </si>
  <si>
    <t>Self</t>
  </si>
  <si>
    <t>Doc Shelby</t>
  </si>
  <si>
    <t>TX-03-shelby_doc-</t>
  </si>
  <si>
    <t>@docshelby2022</t>
  </si>
  <si>
    <t>Doc</t>
  </si>
  <si>
    <t>Sandeep Srivastava</t>
  </si>
  <si>
    <t>TX-03-srivastava_sandeep-</t>
  </si>
  <si>
    <t>Sandeep</t>
  </si>
  <si>
    <t>Srivastava</t>
  </si>
  <si>
    <t>Van Taylor</t>
  </si>
  <si>
    <t>TX-03-taylor_van-</t>
  </si>
  <si>
    <t>@VanTaylorTX</t>
  </si>
  <si>
    <t>@RepVanTaylor</t>
  </si>
  <si>
    <t>Van</t>
  </si>
  <si>
    <t>Rickey Williams</t>
  </si>
  <si>
    <t>TX-03-williams_rickey-</t>
  </si>
  <si>
    <t>Rickey</t>
  </si>
  <si>
    <t>TX-04</t>
  </si>
  <si>
    <t>Pat Fallon</t>
  </si>
  <si>
    <t>TX-04-fallon_pat-</t>
  </si>
  <si>
    <t>@FallonForTexas</t>
  </si>
  <si>
    <t>@RepPatFallon</t>
  </si>
  <si>
    <t>Won delegate contest to succeed Ratcliffe's nomination (Did not run in original R primary)</t>
  </si>
  <si>
    <t>Fallon</t>
  </si>
  <si>
    <t>John Harper</t>
  </si>
  <si>
    <t>TX-04-harper_john-</t>
  </si>
  <si>
    <t>Iroghama Omere</t>
  </si>
  <si>
    <t>TX-04-omere_iroghama-</t>
  </si>
  <si>
    <t>@IroghamaTX</t>
  </si>
  <si>
    <t>Iroghama</t>
  </si>
  <si>
    <t>Omere</t>
  </si>
  <si>
    <t>Dan Thomas</t>
  </si>
  <si>
    <t>TX-04-thomas_dan-</t>
  </si>
  <si>
    <t>@DanNewsMan</t>
  </si>
  <si>
    <t>Kathleen Bailey</t>
  </si>
  <si>
    <t>TX-05</t>
  </si>
  <si>
    <t>TX-05-bailey_kathleen-</t>
  </si>
  <si>
    <t>@KCBailey2022</t>
  </si>
  <si>
    <t>Lance Gooden</t>
  </si>
  <si>
    <t>TX-05-gooden_lance-</t>
  </si>
  <si>
    <t>@Lancegooden</t>
  </si>
  <si>
    <t>Gooden</t>
  </si>
  <si>
    <t>Tartisha Hill</t>
  </si>
  <si>
    <t>TX-05-hill_tartisha-</t>
  </si>
  <si>
    <t>@TartishaHill</t>
  </si>
  <si>
    <t>Tartisha</t>
  </si>
  <si>
    <t>James Buford</t>
  </si>
  <si>
    <t>TX-06</t>
  </si>
  <si>
    <t>TX-06-buford_james-</t>
  </si>
  <si>
    <t>Buford</t>
  </si>
  <si>
    <t>Jake Ellzey</t>
  </si>
  <si>
    <t>TX-06-ellzey_jake-</t>
  </si>
  <si>
    <t>@JakeEllzey</t>
  </si>
  <si>
    <t>Ellzey</t>
  </si>
  <si>
    <t>Bill Payne</t>
  </si>
  <si>
    <t>TX-06-payne_bill-</t>
  </si>
  <si>
    <t>Rudy Atencio</t>
  </si>
  <si>
    <t>TX-07</t>
  </si>
  <si>
    <t>TX-07-atencio_rudy-</t>
  </si>
  <si>
    <t>@rudy_atencio</t>
  </si>
  <si>
    <t>Atencio</t>
  </si>
  <si>
    <t>Tina Blum Cohen</t>
  </si>
  <si>
    <t>TX-07-cohen_tina-</t>
  </si>
  <si>
    <t>Lizzie Fletcher</t>
  </si>
  <si>
    <t>TX-07-fletcher_lizzie-</t>
  </si>
  <si>
    <t>@Lizzie4Congress</t>
  </si>
  <si>
    <t>@RepFletcher</t>
  </si>
  <si>
    <t>Lizzie</t>
  </si>
  <si>
    <t>Fletcher</t>
  </si>
  <si>
    <t>Benson Gitau</t>
  </si>
  <si>
    <t>TX-07-gitau_benson-</t>
  </si>
  <si>
    <t>@ibensongitau</t>
  </si>
  <si>
    <t>Gitau</t>
  </si>
  <si>
    <t>Laique Rehman</t>
  </si>
  <si>
    <t>TX-07-rehman_laique-</t>
  </si>
  <si>
    <t>@LaiqueRehman1</t>
  </si>
  <si>
    <t>Laique</t>
  </si>
  <si>
    <t>Rehman</t>
  </si>
  <si>
    <t>Lance Stewart</t>
  </si>
  <si>
    <t>TX-07-stewart_lance-</t>
  </si>
  <si>
    <t>@Lance4TX</t>
  </si>
  <si>
    <t>Stewart</t>
  </si>
  <si>
    <t>Tim Stroud</t>
  </si>
  <si>
    <t>TX-07-stroud_tim-</t>
  </si>
  <si>
    <t>@timthearmymedic</t>
  </si>
  <si>
    <t>Stroud</t>
  </si>
  <si>
    <t>Johnny Teague</t>
  </si>
  <si>
    <t>TX-07-teague_johnny-</t>
  </si>
  <si>
    <t>@for_teague</t>
  </si>
  <si>
    <t>Teague</t>
  </si>
  <si>
    <t>Betsy Bates</t>
  </si>
  <si>
    <t>TX-08</t>
  </si>
  <si>
    <t>TX-08-bates_betsy-</t>
  </si>
  <si>
    <t>@MAGABetsy</t>
  </si>
  <si>
    <t>Betsy</t>
  </si>
  <si>
    <t>Bates</t>
  </si>
  <si>
    <t>Kevin Brady</t>
  </si>
  <si>
    <t>TX-08-brady_kevin-</t>
  </si>
  <si>
    <t>@bradyfortexas</t>
  </si>
  <si>
    <t>@RepKevinBrady</t>
  </si>
  <si>
    <t>Candice Burrows</t>
  </si>
  <si>
    <t>TX-08-burrows_candice-</t>
  </si>
  <si>
    <t>Candice</t>
  </si>
  <si>
    <t>Burrows</t>
  </si>
  <si>
    <t>Christian Collins</t>
  </si>
  <si>
    <t>TX-08-collins_christian-</t>
  </si>
  <si>
    <t>@CollinsforTX</t>
  </si>
  <si>
    <t>Jonathan Hullihan</t>
  </si>
  <si>
    <t>TX-08-hullihan_jonathan-</t>
  </si>
  <si>
    <t>@JHullihanTX</t>
  </si>
  <si>
    <t>Hullihan</t>
  </si>
  <si>
    <t>Laura Jones</t>
  </si>
  <si>
    <t>TX-08-jones_laura-</t>
  </si>
  <si>
    <t>@CongressLaura</t>
  </si>
  <si>
    <t>Morgan Luttrell</t>
  </si>
  <si>
    <t>TX-08-luttrell_morgan-</t>
  </si>
  <si>
    <t>@MLuttrellTX</t>
  </si>
  <si>
    <t>Luttrell</t>
  </si>
  <si>
    <t>Dan McKaughan</t>
  </si>
  <si>
    <t>TX-08-mckaughan_dan-</t>
  </si>
  <si>
    <t>@DanMcKaughanTX</t>
  </si>
  <si>
    <t>McKaughan</t>
  </si>
  <si>
    <t>Jonathan Mitchell</t>
  </si>
  <si>
    <t>TX-08-mitchell_jonathan-</t>
  </si>
  <si>
    <t>Chuck Montgomery</t>
  </si>
  <si>
    <t>TX-08-montgomery_chuck-</t>
  </si>
  <si>
    <t>Montgomery</t>
  </si>
  <si>
    <t>Mike Philips</t>
  </si>
  <si>
    <t>TX-08-philips_mike-</t>
  </si>
  <si>
    <t>Philips</t>
  </si>
  <si>
    <t>Jessica Wellington</t>
  </si>
  <si>
    <t>TX-08-wellington_jessica-</t>
  </si>
  <si>
    <t>@jwellingtontx</t>
  </si>
  <si>
    <t>Wellington</t>
  </si>
  <si>
    <t>Taylor Whichard</t>
  </si>
  <si>
    <t>TX-08-whichard_taylor-</t>
  </si>
  <si>
    <t>@WhichardIv</t>
  </si>
  <si>
    <t>Whichard</t>
  </si>
  <si>
    <t>Jimmy Leon</t>
  </si>
  <si>
    <t>TX-09-leon_jimmy-</t>
  </si>
  <si>
    <t>Michael McCaul</t>
  </si>
  <si>
    <t>TX-10</t>
  </si>
  <si>
    <t>TX-10-mccaul_michael-</t>
  </si>
  <si>
    <t>@McCaulforTexas</t>
  </si>
  <si>
    <t>@RepMcCaul</t>
  </si>
  <si>
    <t>McCaul</t>
  </si>
  <si>
    <t>Linda Nuno</t>
  </si>
  <si>
    <t>TX-10-nuno_linda-</t>
  </si>
  <si>
    <t>@LNCongressTX_10</t>
  </si>
  <si>
    <t>Nuno</t>
  </si>
  <si>
    <t>August Pfluger</t>
  </si>
  <si>
    <t>TX-11</t>
  </si>
  <si>
    <t>TX-11-pfluger_august-</t>
  </si>
  <si>
    <t>@AugustPfluger</t>
  </si>
  <si>
    <t>@RepPfluger</t>
  </si>
  <si>
    <t>August</t>
  </si>
  <si>
    <t>Pfluger</t>
  </si>
  <si>
    <t>Ryan Catala</t>
  </si>
  <si>
    <t>TX-12</t>
  </si>
  <si>
    <t>TX-12-catala_ryan-</t>
  </si>
  <si>
    <t>@Catala4Congress</t>
  </si>
  <si>
    <t>Catala</t>
  </si>
  <si>
    <t>Kay Granger</t>
  </si>
  <si>
    <t>TX-12-granger_kay-</t>
  </si>
  <si>
    <t>@GrangerCampaign</t>
  </si>
  <si>
    <t>@RepKayGranger</t>
  </si>
  <si>
    <t>Kay</t>
  </si>
  <si>
    <t>Granger</t>
  </si>
  <si>
    <t>Trey Hunt</t>
  </si>
  <si>
    <t>TX-12-hunt_trey-</t>
  </si>
  <si>
    <t>@VoteHunt2022</t>
  </si>
  <si>
    <t>Alysia Rieg</t>
  </si>
  <si>
    <t>TX-12-rieg_alysia-</t>
  </si>
  <si>
    <t>@alysiarieg</t>
  </si>
  <si>
    <t>Alysia</t>
  </si>
  <si>
    <t>Rieg</t>
  </si>
  <si>
    <t>Kathleen Brown</t>
  </si>
  <si>
    <t>TX-13</t>
  </si>
  <si>
    <t>TX-13-brown_kathleen-</t>
  </si>
  <si>
    <t>@Kat4District13</t>
  </si>
  <si>
    <t>Ronny Jackson</t>
  </si>
  <si>
    <t>TX-13-jackson_ronny-</t>
  </si>
  <si>
    <t>@RonnyJackson4TX</t>
  </si>
  <si>
    <t>@RepRonnyJackson</t>
  </si>
  <si>
    <t>Ronny</t>
  </si>
  <si>
    <t>Keith Casey</t>
  </si>
  <si>
    <t>TX-14-casey_keith-</t>
  </si>
  <si>
    <t>Ruben Landon Dante</t>
  </si>
  <si>
    <t>TX-14-dante_rubenlandon-</t>
  </si>
  <si>
    <t>@RubenLDante</t>
  </si>
  <si>
    <t>Eugene Howard</t>
  </si>
  <si>
    <t>TX-14-howard_eugene-</t>
  </si>
  <si>
    <t>@visionaryhoward</t>
  </si>
  <si>
    <t>Randy Weber</t>
  </si>
  <si>
    <t>TX-14-weber_randy-</t>
  </si>
  <si>
    <t>@WeberforTexas</t>
  </si>
  <si>
    <t>@TXRandy14</t>
  </si>
  <si>
    <t>Weber</t>
  </si>
  <si>
    <t>Mikal Williams</t>
  </si>
  <si>
    <t>TX-14-williams_mikal-</t>
  </si>
  <si>
    <t>@MikalDWilliams</t>
  </si>
  <si>
    <t>Mikal</t>
  </si>
  <si>
    <t>Eliza Alvarado</t>
  </si>
  <si>
    <t>TX-15</t>
  </si>
  <si>
    <t>TX-15-alvardo_eliza-</t>
  </si>
  <si>
    <t>Eliza</t>
  </si>
  <si>
    <t>Alvarado</t>
  </si>
  <si>
    <t>Sara Canady</t>
  </si>
  <si>
    <t>TX-15-canady_sara-</t>
  </si>
  <si>
    <t>@Canady4Congress</t>
  </si>
  <si>
    <t>Canady</t>
  </si>
  <si>
    <t>Jose Cavazos</t>
  </si>
  <si>
    <t>TX-15-cavazos_jose-</t>
  </si>
  <si>
    <t>Jose</t>
  </si>
  <si>
    <t>Cavazos</t>
  </si>
  <si>
    <t>Vangela Churchill</t>
  </si>
  <si>
    <t>TX-15-churchill_vangela-</t>
  </si>
  <si>
    <t>Vangela</t>
  </si>
  <si>
    <t>Churchill</t>
  </si>
  <si>
    <t>Monica De La Cruz Hernandez</t>
  </si>
  <si>
    <t>TX-15-delacruzhernandez_monica-</t>
  </si>
  <si>
    <t>@monica4congress</t>
  </si>
  <si>
    <t>Julio Garza</t>
  </si>
  <si>
    <t>TX-15-garza_julio-</t>
  </si>
  <si>
    <t>@Garzafor15</t>
  </si>
  <si>
    <t>Garza</t>
  </si>
  <si>
    <t>Mauro Garza</t>
  </si>
  <si>
    <t>TX-15-garza_mauro-</t>
  </si>
  <si>
    <t>Angela Juarez</t>
  </si>
  <si>
    <t>TX-15-juarez_angela-</t>
  </si>
  <si>
    <t>Juarez</t>
  </si>
  <si>
    <t>Ryan Krause</t>
  </si>
  <si>
    <t>TX-15-krause_ryan-</t>
  </si>
  <si>
    <t>Krause</t>
  </si>
  <si>
    <t>John Lerma</t>
  </si>
  <si>
    <t>TX-15-lerma_john-</t>
  </si>
  <si>
    <t>Lerma</t>
  </si>
  <si>
    <t>Ruben Ramirez</t>
  </si>
  <si>
    <t>TX-15-ramirez_ruben-</t>
  </si>
  <si>
    <t>John Villarreal Rigney</t>
  </si>
  <si>
    <t>TX-15-rigney_john-</t>
  </si>
  <si>
    <t>Steve Schmuker</t>
  </si>
  <si>
    <t>TX-15-schmuker_steve-</t>
  </si>
  <si>
    <t>Schmuker</t>
  </si>
  <si>
    <t>Vanessa Tijerina</t>
  </si>
  <si>
    <t>TX-15-tijerina_vanessa-</t>
  </si>
  <si>
    <t>Tijerina</t>
  </si>
  <si>
    <t>Michelle Vallejo</t>
  </si>
  <si>
    <t>TX-15-vallejo_michelle-</t>
  </si>
  <si>
    <t>@MichelleVforTX</t>
  </si>
  <si>
    <t>Vallejo</t>
  </si>
  <si>
    <t>Irene Armendariz-Jackson</t>
  </si>
  <si>
    <t>TX-16</t>
  </si>
  <si>
    <t>TX-16-armendarizjackson_irene-</t>
  </si>
  <si>
    <t>@ArmendarizDis16</t>
  </si>
  <si>
    <t>Irene</t>
  </si>
  <si>
    <t>Armendariz-Jackson</t>
  </si>
  <si>
    <t>Veronica Escobar</t>
  </si>
  <si>
    <t>TX-16-escobar_veronica-</t>
  </si>
  <si>
    <t>@vgescobar</t>
  </si>
  <si>
    <t>@RepEscobar</t>
  </si>
  <si>
    <t>Veronica</t>
  </si>
  <si>
    <t>Escobar</t>
  </si>
  <si>
    <t>Deliris Montanez Berrios</t>
  </si>
  <si>
    <t>TX-16-montanez_deliris-</t>
  </si>
  <si>
    <t>@DmbFor</t>
  </si>
  <si>
    <t>Deliris</t>
  </si>
  <si>
    <t>Paulette Carson</t>
  </si>
  <si>
    <t>TX-17</t>
  </si>
  <si>
    <t>TX-17-carson_paulette-</t>
  </si>
  <si>
    <t>@Carson4Tx</t>
  </si>
  <si>
    <t>Paulette</t>
  </si>
  <si>
    <t>Jason Nelson</t>
  </si>
  <si>
    <t>TX-17-nelson_jason-</t>
  </si>
  <si>
    <t>@Storm4Congress</t>
  </si>
  <si>
    <t>Nelson</t>
  </si>
  <si>
    <t>Robert Rosenberger</t>
  </si>
  <si>
    <t>TX-17-rosenberger_robert-</t>
  </si>
  <si>
    <t>Rosenberger</t>
  </si>
  <si>
    <t>Pete Sessions</t>
  </si>
  <si>
    <t>TX-17-sessions_pete-</t>
  </si>
  <si>
    <t>@SessionsTX17</t>
  </si>
  <si>
    <t>@PeteSessions</t>
  </si>
  <si>
    <t>2020, 1996-2018</t>
  </si>
  <si>
    <t>Sessions</t>
  </si>
  <si>
    <t>Mary Jo Woods</t>
  </si>
  <si>
    <t>TX-17-woods_maryjo-</t>
  </si>
  <si>
    <t>@Mary_Woods_TX17</t>
  </si>
  <si>
    <t>Woods</t>
  </si>
  <si>
    <t>TX-18</t>
  </si>
  <si>
    <t>Sheila Jackson Lee</t>
  </si>
  <si>
    <t>TX-18-jacksonlee_sheila-</t>
  </si>
  <si>
    <t>@sjl4hrc</t>
  </si>
  <si>
    <t>@JacksonLeeTX18</t>
  </si>
  <si>
    <t>Sheila</t>
  </si>
  <si>
    <t>Carmen Maria Montiel</t>
  </si>
  <si>
    <t>TX-18-montiel_carmen-</t>
  </si>
  <si>
    <t>@CarmenMaMontiel</t>
  </si>
  <si>
    <t>Carmen</t>
  </si>
  <si>
    <t>Montiel</t>
  </si>
  <si>
    <t>Jodey Arrington</t>
  </si>
  <si>
    <t>TX-19</t>
  </si>
  <si>
    <t>TX-19-arrington_jodey-</t>
  </si>
  <si>
    <t>@JodeyArrington</t>
  </si>
  <si>
    <t>@RepArrington</t>
  </si>
  <si>
    <t>Jodey</t>
  </si>
  <si>
    <t>Joaquin Castro</t>
  </si>
  <si>
    <t>TX-20</t>
  </si>
  <si>
    <t>TX-20-castro_joaquin-</t>
  </si>
  <si>
    <t>@Castro4Congress</t>
  </si>
  <si>
    <t>@JoaquinCastrotx</t>
  </si>
  <si>
    <t>Castro</t>
  </si>
  <si>
    <t>Kyle Sinclair</t>
  </si>
  <si>
    <t>TX-20-sinclair_kyle-</t>
  </si>
  <si>
    <t>@Kylefor20</t>
  </si>
  <si>
    <t>Sinclair</t>
  </si>
  <si>
    <t>David Anderson</t>
  </si>
  <si>
    <t>TX-21</t>
  </si>
  <si>
    <t>TX-21-anderson_david-</t>
  </si>
  <si>
    <t>@DLAndersonJrTX</t>
  </si>
  <si>
    <t>Coy Branscum</t>
  </si>
  <si>
    <t>TX-21-branscum_coy-</t>
  </si>
  <si>
    <t>@coybranscum</t>
  </si>
  <si>
    <t>Coy</t>
  </si>
  <si>
    <t>Branscum</t>
  </si>
  <si>
    <t>Michael French</t>
  </si>
  <si>
    <t>TX-21-french_michael-</t>
  </si>
  <si>
    <t>Cherif Gacis</t>
  </si>
  <si>
    <t>TX-21-gacis_cherif-</t>
  </si>
  <si>
    <t>@cherif4congress</t>
  </si>
  <si>
    <t>Cherif</t>
  </si>
  <si>
    <t>Gacis</t>
  </si>
  <si>
    <t>Robert Lowry</t>
  </si>
  <si>
    <t>TX-21-lowry_robert-</t>
  </si>
  <si>
    <t>Lowry</t>
  </si>
  <si>
    <t>Chip Roy</t>
  </si>
  <si>
    <t>TX-21-roy_chip-</t>
  </si>
  <si>
    <t>@chiproytx</t>
  </si>
  <si>
    <t>@RepChipRoy</t>
  </si>
  <si>
    <t>Chip</t>
  </si>
  <si>
    <t>Scott Sturm</t>
  </si>
  <si>
    <t>TX-21-sturm_scott-</t>
  </si>
  <si>
    <t>@SturmNextTerm</t>
  </si>
  <si>
    <t>Sturm</t>
  </si>
  <si>
    <t>Ricardo Villarreal</t>
  </si>
  <si>
    <t>TX-21-villarreal_ricardo-</t>
  </si>
  <si>
    <t>@RVillarealTX21</t>
  </si>
  <si>
    <t>Villarreal</t>
  </si>
  <si>
    <t>Claudia Zapata</t>
  </si>
  <si>
    <t>TX-21-zapata_claudia-</t>
  </si>
  <si>
    <t>@PoderConClaudia</t>
  </si>
  <si>
    <t>Zapata</t>
  </si>
  <si>
    <t>Dana Zavorka</t>
  </si>
  <si>
    <t>TX-21-zavorka_dana-</t>
  </si>
  <si>
    <t>Dana</t>
  </si>
  <si>
    <t>Zavorka</t>
  </si>
  <si>
    <t>TX-22</t>
  </si>
  <si>
    <t>Jamie Jordan</t>
  </si>
  <si>
    <t>TX-22-jordan_jamie-</t>
  </si>
  <si>
    <t>Troy Nehls</t>
  </si>
  <si>
    <t>TX-22-nehls_troy-</t>
  </si>
  <si>
    <t>@SheriffTNehls</t>
  </si>
  <si>
    <t>@RepTroyNehls</t>
  </si>
  <si>
    <t>Nehls</t>
  </si>
  <si>
    <t>Gregory Thorne</t>
  </si>
  <si>
    <t>TX-22-thorne_gregory-</t>
  </si>
  <si>
    <t>@gjt2022</t>
  </si>
  <si>
    <t>Thorne</t>
  </si>
  <si>
    <t>Vega</t>
  </si>
  <si>
    <t>Alma Arredondo-Lynch</t>
  </si>
  <si>
    <t>TX-23</t>
  </si>
  <si>
    <t>TX-23-arredondolynch_alma-</t>
  </si>
  <si>
    <t>Priscilla Golden</t>
  </si>
  <si>
    <t>TX-23-golden_priscilla-</t>
  </si>
  <si>
    <t>Priscilla</t>
  </si>
  <si>
    <t>Tony Gonzales</t>
  </si>
  <si>
    <t>TX-23-gonzales_tony-</t>
  </si>
  <si>
    <t>@TonyGonzales4TX</t>
  </si>
  <si>
    <t>@RepTonyGonzales</t>
  </si>
  <si>
    <t>John Lira</t>
  </si>
  <si>
    <t>TX-23-lira_john-</t>
  </si>
  <si>
    <t>@LiraForCongress</t>
  </si>
  <si>
    <t>Lira</t>
  </si>
  <si>
    <t>Alia Garcia-Ureste</t>
  </si>
  <si>
    <t>TX-23-ureste_alia-</t>
  </si>
  <si>
    <t>@Alia4USCongress</t>
  </si>
  <si>
    <t>Alia</t>
  </si>
  <si>
    <t>TX-24</t>
  </si>
  <si>
    <t>Kathy Fragnoli</t>
  </si>
  <si>
    <t>TX-24-fragnoli_kathy-</t>
  </si>
  <si>
    <t>@Kathy4Congress</t>
  </si>
  <si>
    <t>Fragnoli</t>
  </si>
  <si>
    <t>Derrik Gay</t>
  </si>
  <si>
    <t>TX-24-gay_derrik-</t>
  </si>
  <si>
    <t>@derrikgay</t>
  </si>
  <si>
    <t>Derrik</t>
  </si>
  <si>
    <t>Jan McDowell</t>
  </si>
  <si>
    <t>TX-24-mcdowell_jan-</t>
  </si>
  <si>
    <t>Beth Van Duyne</t>
  </si>
  <si>
    <t>TX-24-vanduyne_beth-</t>
  </si>
  <si>
    <t>@Bethvanduyne</t>
  </si>
  <si>
    <t>@RepBethVanDuyne</t>
  </si>
  <si>
    <t>Nate Weymouth</t>
  </si>
  <si>
    <t>TX-24-weymouth_nate-</t>
  </si>
  <si>
    <t>Weymouth</t>
  </si>
  <si>
    <t>TX-25</t>
  </si>
  <si>
    <t>Roger Williams</t>
  </si>
  <si>
    <t>TX-25-williams_roger-</t>
  </si>
  <si>
    <t>@RogerWilliamsTX</t>
  </si>
  <si>
    <t>@RepRWilliams</t>
  </si>
  <si>
    <t>Christian - Disciples of Christ</t>
  </si>
  <si>
    <t>Brian Brazeal</t>
  </si>
  <si>
    <t>TX-26</t>
  </si>
  <si>
    <t>TX-26-brazeal_brian-</t>
  </si>
  <si>
    <t>@BrazealforTexas</t>
  </si>
  <si>
    <t>Brazeal</t>
  </si>
  <si>
    <t>Michael Burgess</t>
  </si>
  <si>
    <t>TX-26-burgess_michael-</t>
  </si>
  <si>
    <t>@DrBurgessTX</t>
  </si>
  <si>
    <t>@michaelcburgess</t>
  </si>
  <si>
    <t>Burgess</t>
  </si>
  <si>
    <t>Vincent Gallo</t>
  </si>
  <si>
    <t>TX-26-gallo_vincent-</t>
  </si>
  <si>
    <t>Gallo</t>
  </si>
  <si>
    <t>Raven Harrison</t>
  </si>
  <si>
    <t>TX-26-harrison_raven-</t>
  </si>
  <si>
    <t>@raven4congress</t>
  </si>
  <si>
    <t>Raven</t>
  </si>
  <si>
    <t>Isaac Smith</t>
  </si>
  <si>
    <t>TX-26-smith_isaac-</t>
  </si>
  <si>
    <t>Andrew Alvarez</t>
  </si>
  <si>
    <t>TX-27</t>
  </si>
  <si>
    <t>TX-27-alvarez_andrew-</t>
  </si>
  <si>
    <t>@andrewalvareztx</t>
  </si>
  <si>
    <t>Alvarez</t>
  </si>
  <si>
    <t>Michael Cloud</t>
  </si>
  <si>
    <t>TX-27-cloud_michael-</t>
  </si>
  <si>
    <t>@MichaelJCloud</t>
  </si>
  <si>
    <t>@RepCloudTX</t>
  </si>
  <si>
    <t>Cloud</t>
  </si>
  <si>
    <t>A.J. Louderback</t>
  </si>
  <si>
    <t>TX-27-louderback_aj-</t>
  </si>
  <si>
    <t>@LouderbackAj</t>
  </si>
  <si>
    <t>A.J.</t>
  </si>
  <si>
    <t>Louderback</t>
  </si>
  <si>
    <t>Chris Mapp</t>
  </si>
  <si>
    <t>TX-27-mapp_chris-</t>
  </si>
  <si>
    <t>@ckmapp</t>
  </si>
  <si>
    <t>Mapp</t>
  </si>
  <si>
    <t>Victor Melgoza</t>
  </si>
  <si>
    <t>TX-27-melgoza_victor-</t>
  </si>
  <si>
    <t>Melgoza</t>
  </si>
  <si>
    <t>Eric Mireles</t>
  </si>
  <si>
    <t>TX-27-mireles_eric-</t>
  </si>
  <si>
    <t>Mireles</t>
  </si>
  <si>
    <t>Maclovio Perez</t>
  </si>
  <si>
    <t>TX-27-perez_maclovio-</t>
  </si>
  <si>
    <t>Maclovio</t>
  </si>
  <si>
    <t>Anthony Tristan</t>
  </si>
  <si>
    <t>TX-27-tristan_anthony-</t>
  </si>
  <si>
    <t>@anthonyjtristan</t>
  </si>
  <si>
    <t>Tristan</t>
  </si>
  <si>
    <t>Tannya Benavides</t>
  </si>
  <si>
    <t>TX-28-benavides_tannya-</t>
  </si>
  <si>
    <t>@tannyafortexas</t>
  </si>
  <si>
    <t>Tannya</t>
  </si>
  <si>
    <t>Benavides</t>
  </si>
  <si>
    <t>Jessica Cisneros</t>
  </si>
  <si>
    <t>TX-28-cisneros_jessica-</t>
  </si>
  <si>
    <t>Cisneros</t>
  </si>
  <si>
    <t>Henry Cuellar</t>
  </si>
  <si>
    <t>TX-28-cuellar_henry-</t>
  </si>
  <si>
    <t>@CuellarCampaign</t>
  </si>
  <si>
    <t>@RepCuellar</t>
  </si>
  <si>
    <t>Steven Fowler</t>
  </si>
  <si>
    <t>TX-28-fowler_steven-</t>
  </si>
  <si>
    <t>@fightlikehelltx</t>
  </si>
  <si>
    <t>Fowler</t>
  </si>
  <si>
    <t>Cassy Garcia</t>
  </si>
  <si>
    <t>TX-28-garcia_cassy-</t>
  </si>
  <si>
    <t>@CassandraLGarcia</t>
  </si>
  <si>
    <t>Cassy</t>
  </si>
  <si>
    <t>Eric Hohman</t>
  </si>
  <si>
    <t>TX-28-hohman_eric-</t>
  </si>
  <si>
    <t>@Eric4Congress</t>
  </si>
  <si>
    <t>Hohman</t>
  </si>
  <si>
    <t>Willie Vasquez Ng</t>
  </si>
  <si>
    <t>TX-28-ng_willie-</t>
  </si>
  <si>
    <t>@WillieForTexas</t>
  </si>
  <si>
    <t>Ng</t>
  </si>
  <si>
    <t>Rolando Rodriguez</t>
  </si>
  <si>
    <t>TX-28-rodriguez_rolando-</t>
  </si>
  <si>
    <t>@Rolando4USD28</t>
  </si>
  <si>
    <t>Rolando</t>
  </si>
  <si>
    <t>Sandra Whitten</t>
  </si>
  <si>
    <t>TX-28-whitten_sandra-</t>
  </si>
  <si>
    <t>@texas_sandra</t>
  </si>
  <si>
    <t>Sandra</t>
  </si>
  <si>
    <t>Whitten</t>
  </si>
  <si>
    <t>Jaimy Blanco</t>
  </si>
  <si>
    <t>TX-29</t>
  </si>
  <si>
    <t>TX-29-blanco_jaimy-</t>
  </si>
  <si>
    <t>@JaimyBlanco</t>
  </si>
  <si>
    <t>Jaimy</t>
  </si>
  <si>
    <t>Blanco</t>
  </si>
  <si>
    <t>Lulite Ejigu</t>
  </si>
  <si>
    <t>TX-29-ejigu_lulite-</t>
  </si>
  <si>
    <t>Lulite</t>
  </si>
  <si>
    <t>Ejigu</t>
  </si>
  <si>
    <t>Sylvia Garcia</t>
  </si>
  <si>
    <t>TX-29-garcia_sylvia-</t>
  </si>
  <si>
    <t>@LaCongresista</t>
  </si>
  <si>
    <t>@RepSylviaGarcia</t>
  </si>
  <si>
    <t>Sylvia</t>
  </si>
  <si>
    <t>TX-29-garza_julio-</t>
  </si>
  <si>
    <t>@JulioforTexas29</t>
  </si>
  <si>
    <t>Robert Schafranek</t>
  </si>
  <si>
    <t>TX-29-schafranek_robert-</t>
  </si>
  <si>
    <t>Schafranek</t>
  </si>
  <si>
    <t>Barbara Mallory Caraway</t>
  </si>
  <si>
    <t>TX-30</t>
  </si>
  <si>
    <t>TX-30-caraway_barbara-</t>
  </si>
  <si>
    <t>@BMalloryCaraway</t>
  </si>
  <si>
    <t>Caraway</t>
  </si>
  <si>
    <t>Kelvin Goodwin Castillo</t>
  </si>
  <si>
    <t>TX-30-castillo_kelvin-</t>
  </si>
  <si>
    <t>@GoodwinCastillo</t>
  </si>
  <si>
    <t>Jasmine Crockett</t>
  </si>
  <si>
    <t>TX-30-crockett_jasmine-</t>
  </si>
  <si>
    <t>@JasmineForUS</t>
  </si>
  <si>
    <t>Crockett</t>
  </si>
  <si>
    <t>Lizbeth Diaz</t>
  </si>
  <si>
    <t>TX-30-diaz_lizbeth-</t>
  </si>
  <si>
    <t>Lizbeth</t>
  </si>
  <si>
    <t>Diaz</t>
  </si>
  <si>
    <t>Arthur Dixon</t>
  </si>
  <si>
    <t>TX-30-dixon_arthur-</t>
  </si>
  <si>
    <t>@ArthurDixonTX</t>
  </si>
  <si>
    <t>Jane Hamilton</t>
  </si>
  <si>
    <t>TX-30-hamilton_jane-</t>
  </si>
  <si>
    <t>@JaneHopeTx</t>
  </si>
  <si>
    <t>James Harris</t>
  </si>
  <si>
    <t>TX-30-harris_james-</t>
  </si>
  <si>
    <t>Vonciel Jones Hill</t>
  </si>
  <si>
    <t>TX-30-hill_vonciel-</t>
  </si>
  <si>
    <t>@HillVonciel</t>
  </si>
  <si>
    <t>Vonciel</t>
  </si>
  <si>
    <t>Dakinya Jefferson</t>
  </si>
  <si>
    <t>TX-30-jefferson_dakinya-</t>
  </si>
  <si>
    <t>Dakinya</t>
  </si>
  <si>
    <t>Eddie Bernice Johnson</t>
  </si>
  <si>
    <t>TX-30-johnson_eddiebernice-</t>
  </si>
  <si>
    <t>@RepEBJ</t>
  </si>
  <si>
    <t>Keisha Lankford</t>
  </si>
  <si>
    <t>TX-30-lankford_keisha-</t>
  </si>
  <si>
    <t>@KeishaWLankford</t>
  </si>
  <si>
    <t>Keisha</t>
  </si>
  <si>
    <t>Jessica Mason</t>
  </si>
  <si>
    <t>TX-30-mason_jessica-</t>
  </si>
  <si>
    <t>@JessicaMasonTX</t>
  </si>
  <si>
    <t>Abel Mulugheta</t>
  </si>
  <si>
    <t>TX-30-mulugheta_abel-</t>
  </si>
  <si>
    <t>@abelfortexas</t>
  </si>
  <si>
    <t>Abel</t>
  </si>
  <si>
    <t>Mulugheta</t>
  </si>
  <si>
    <t>Angeigh Roc'ellerpitts</t>
  </si>
  <si>
    <t>TX-30-rocellerpitts_angeigh-</t>
  </si>
  <si>
    <t>Angeigh</t>
  </si>
  <si>
    <t>James Rodgers</t>
  </si>
  <si>
    <t>TX-30-rodgers_james-</t>
  </si>
  <si>
    <t>Rodgers</t>
  </si>
  <si>
    <t>Roy Williams</t>
  </si>
  <si>
    <t>TX-30-williams_roy-</t>
  </si>
  <si>
    <t>@RoyWmsJr</t>
  </si>
  <si>
    <t>John Carter</t>
  </si>
  <si>
    <t>TX-31</t>
  </si>
  <si>
    <t>TX-31-carter_john-</t>
  </si>
  <si>
    <t>@JudgeJohnCarter</t>
  </si>
  <si>
    <t>@JudgeCarter</t>
  </si>
  <si>
    <t>Abhiram Garapati</t>
  </si>
  <si>
    <t>TX-31-garapati_abhiram-</t>
  </si>
  <si>
    <t>@garapati4congress</t>
  </si>
  <si>
    <t>Abhiram</t>
  </si>
  <si>
    <t>Garapati</t>
  </si>
  <si>
    <t>Mike Williams</t>
  </si>
  <si>
    <t>TX-31-williams_mike-</t>
  </si>
  <si>
    <t>Colin Allred</t>
  </si>
  <si>
    <t>TX-32</t>
  </si>
  <si>
    <t>TX-32-allred_colin-</t>
  </si>
  <si>
    <t>@ColinAllredTX</t>
  </si>
  <si>
    <t>@RepColinAllred</t>
  </si>
  <si>
    <t>Allred</t>
  </si>
  <si>
    <t>Nathan Davis</t>
  </si>
  <si>
    <t>TX-32-davis_nathan-</t>
  </si>
  <si>
    <t>@NathanDavisTX</t>
  </si>
  <si>
    <t>Darrell Day</t>
  </si>
  <si>
    <t>TX-32-day_darrell-</t>
  </si>
  <si>
    <t>Bardia Namdarkhan</t>
  </si>
  <si>
    <t>TX-32-namdarkhan_bardia-</t>
  </si>
  <si>
    <t>@BradNamdar</t>
  </si>
  <si>
    <t>Bardia</t>
  </si>
  <si>
    <t>Namdarkhan</t>
  </si>
  <si>
    <t>Ejike Okpa</t>
  </si>
  <si>
    <t>TX-32-okpa_ejike-</t>
  </si>
  <si>
    <t>@okpaforcongress</t>
  </si>
  <si>
    <t>Ejike</t>
  </si>
  <si>
    <t>Okpa</t>
  </si>
  <si>
    <t>Antonio Swad</t>
  </si>
  <si>
    <t>TX-32-swad_antonio-</t>
  </si>
  <si>
    <t>@SwadforCongress</t>
  </si>
  <si>
    <t>Swad</t>
  </si>
  <si>
    <t>Justin Webb</t>
  </si>
  <si>
    <t>TX-32-webb_justin-</t>
  </si>
  <si>
    <t>Webb</t>
  </si>
  <si>
    <t>Patrick Gillespie</t>
  </si>
  <si>
    <t>TX-33</t>
  </si>
  <si>
    <t>TX-33-gillespie_patrick-</t>
  </si>
  <si>
    <t>Gillespie</t>
  </si>
  <si>
    <t>Robert MacGlaflin</t>
  </si>
  <si>
    <t>TX-33-macglaflin_robert-</t>
  </si>
  <si>
    <t>MacGlaflin</t>
  </si>
  <si>
    <t>Carlos Quintanilla</t>
  </si>
  <si>
    <t>TX-33-quintanilla_carlos-</t>
  </si>
  <si>
    <t>@accionamerica</t>
  </si>
  <si>
    <t>Quintanilla</t>
  </si>
  <si>
    <t>Marc Veasey</t>
  </si>
  <si>
    <t>TX-33-veasey_marc-</t>
  </si>
  <si>
    <t>@MarcVeasey</t>
  </si>
  <si>
    <t>@RepVeasey</t>
  </si>
  <si>
    <t>Juana Cantu-Cabrera</t>
  </si>
  <si>
    <t>TX-34</t>
  </si>
  <si>
    <t>TX-34-cabrera_juana-</t>
  </si>
  <si>
    <t>Juana</t>
  </si>
  <si>
    <t>Laura Cisneros</t>
  </si>
  <si>
    <t>TX-34-cisneros_laura-</t>
  </si>
  <si>
    <t>@DrLauraCisnero</t>
  </si>
  <si>
    <t>Mayra Flores</t>
  </si>
  <si>
    <t>TX-34-flores_mayra-</t>
  </si>
  <si>
    <t>@MayraFlores2022</t>
  </si>
  <si>
    <t>Mayra</t>
  </si>
  <si>
    <t>Flores</t>
  </si>
  <si>
    <t>Vicente Gonzalez</t>
  </si>
  <si>
    <t>@VoteVicente</t>
  </si>
  <si>
    <t>@RepGonzalez</t>
  </si>
  <si>
    <t>Osbert Haro</t>
  </si>
  <si>
    <t>TX-34-haro_osbert-</t>
  </si>
  <si>
    <t>Osbert</t>
  </si>
  <si>
    <t>Haro</t>
  </si>
  <si>
    <t>Gregory Kunkle</t>
  </si>
  <si>
    <t>TX-34-kunkle_gregory-</t>
  </si>
  <si>
    <t>@GregoryKunkleJr</t>
  </si>
  <si>
    <t>Kunkle</t>
  </si>
  <si>
    <t>Frank McCaffrey</t>
  </si>
  <si>
    <t>TX-34-mccaffrey_frank-</t>
  </si>
  <si>
    <t>@FrankCongress</t>
  </si>
  <si>
    <t>McCaffrey</t>
  </si>
  <si>
    <t>Filemon Meza</t>
  </si>
  <si>
    <t>TX-34-meza_filemon-</t>
  </si>
  <si>
    <t>Filemon</t>
  </si>
  <si>
    <t>Meza</t>
  </si>
  <si>
    <t>Beatriz Reynoso</t>
  </si>
  <si>
    <t>TX-34-reynoso_beatriz-</t>
  </si>
  <si>
    <t>@VoteBeatrizTX34</t>
  </si>
  <si>
    <t>Beatriz</t>
  </si>
  <si>
    <t>Reynoso</t>
  </si>
  <si>
    <t>Jaime</t>
  </si>
  <si>
    <t>William Thompson</t>
  </si>
  <si>
    <t>TX-34-thompson_william-</t>
  </si>
  <si>
    <t>Diego Zavala</t>
  </si>
  <si>
    <t>TX-34-zavala_diego-</t>
  </si>
  <si>
    <t>Diego</t>
  </si>
  <si>
    <t>Zavala</t>
  </si>
  <si>
    <t>Jenai Aragona-Hales</t>
  </si>
  <si>
    <t>TX-35</t>
  </si>
  <si>
    <t>TX-35-aragona_jenai-</t>
  </si>
  <si>
    <t>Jenai</t>
  </si>
  <si>
    <t>Greg Casar</t>
  </si>
  <si>
    <t>TX-35-casar_greg-</t>
  </si>
  <si>
    <t>@GregCasar</t>
  </si>
  <si>
    <t>Casar</t>
  </si>
  <si>
    <t>Bill Condict</t>
  </si>
  <si>
    <t>TX-35-condict_bill-</t>
  </si>
  <si>
    <t>@Condict4Congress</t>
  </si>
  <si>
    <t>Condict</t>
  </si>
  <si>
    <t>Marilyn Jackson</t>
  </si>
  <si>
    <t>TX-35-jackson_marilyn-</t>
  </si>
  <si>
    <t>Marilyn</t>
  </si>
  <si>
    <t>Alejandro Ledezma</t>
  </si>
  <si>
    <t>TX-35-ledezma_alejandro-</t>
  </si>
  <si>
    <t>@AlejaLedezmaTX</t>
  </si>
  <si>
    <t>Alejandro</t>
  </si>
  <si>
    <t>Ledezma</t>
  </si>
  <si>
    <t>Dan McQueen</t>
  </si>
  <si>
    <t>TX-35-mcqueen_dan-</t>
  </si>
  <si>
    <t>McQueen</t>
  </si>
  <si>
    <t>Sam Montoya</t>
  </si>
  <si>
    <t>TX-35-montoya_sam-</t>
  </si>
  <si>
    <t>Montoya</t>
  </si>
  <si>
    <t>Asa Palagi</t>
  </si>
  <si>
    <t>TX-35-palagi_asa-</t>
  </si>
  <si>
    <t>Asa</t>
  </si>
  <si>
    <t>Palagi</t>
  </si>
  <si>
    <t>Eduardo Rodriguez</t>
  </si>
  <si>
    <t>TX-35-rodriguez_eduardo-</t>
  </si>
  <si>
    <t>@EddieforTexas</t>
  </si>
  <si>
    <t>Ballotpedia lists as a Republican, but candidate's website and twitter claim candidate is a progressive democrat. Likely an error on ballotpedia.</t>
  </si>
  <si>
    <t>Eduardo</t>
  </si>
  <si>
    <t>Michael Rodriguez</t>
  </si>
  <si>
    <t>TX-35-rodriguez_michael-</t>
  </si>
  <si>
    <t>Dan Sawatzki</t>
  </si>
  <si>
    <t>TX-35-sawatzki_dan-</t>
  </si>
  <si>
    <t>Sawatzki</t>
  </si>
  <si>
    <t>Carla-Joy Sisco</t>
  </si>
  <si>
    <t>TX-35-sisco_carlajoy-</t>
  </si>
  <si>
    <t>Sisco</t>
  </si>
  <si>
    <t>Jennifer Sundt</t>
  </si>
  <si>
    <t>TX-35-sundt_jennifer-</t>
  </si>
  <si>
    <t>Sundt</t>
  </si>
  <si>
    <t>Rebecca Viagran</t>
  </si>
  <si>
    <t>TX-35-viagran_rebecca-</t>
  </si>
  <si>
    <t>@ViagranCongress</t>
  </si>
  <si>
    <t>Viagran</t>
  </si>
  <si>
    <t>Brian Babin</t>
  </si>
  <si>
    <t>TX-36</t>
  </si>
  <si>
    <t>TX-36-babin_brian-</t>
  </si>
  <si>
    <t>@Babin4Congress</t>
  </si>
  <si>
    <t>@RepBrianBabin</t>
  </si>
  <si>
    <t>Babin</t>
  </si>
  <si>
    <t>Jon Haire</t>
  </si>
  <si>
    <t>TX-36-haire_jon-</t>
  </si>
  <si>
    <t>@jonhaire_36</t>
  </si>
  <si>
    <t>Haire</t>
  </si>
  <si>
    <t>Quinton Beaubouef</t>
  </si>
  <si>
    <t>TX-37</t>
  </si>
  <si>
    <t>TX-37-beaubouef_quinton-</t>
  </si>
  <si>
    <t>Quinton</t>
  </si>
  <si>
    <t>Beaubouef</t>
  </si>
  <si>
    <t>Jeremiah Diacogiannis</t>
  </si>
  <si>
    <t>TX-37-diacogiannis_jeremiah-</t>
  </si>
  <si>
    <t>@JD4TX</t>
  </si>
  <si>
    <t>Diacogiannis</t>
  </si>
  <si>
    <t>Lloyd Doggett</t>
  </si>
  <si>
    <t>@LloydDoggettTX</t>
  </si>
  <si>
    <t>@RepLloydDoggett</t>
  </si>
  <si>
    <t>Incumbent is switching districts to TX-37</t>
  </si>
  <si>
    <t>Doggett</t>
  </si>
  <si>
    <t>Jenny Garcia Sharon</t>
  </si>
  <si>
    <t>TX-37-garcia_jenny-</t>
  </si>
  <si>
    <t>@jenny4congress</t>
  </si>
  <si>
    <t>Jenny</t>
  </si>
  <si>
    <t>Donna Imam</t>
  </si>
  <si>
    <t>TX-37-imam_donna-</t>
  </si>
  <si>
    <t>@donnaimamTX</t>
  </si>
  <si>
    <t>Imam</t>
  </si>
  <si>
    <t>Christopher Jones</t>
  </si>
  <si>
    <t>TX-37-jones_christopher-</t>
  </si>
  <si>
    <t>Rod Lingsch</t>
  </si>
  <si>
    <t>TX-37-lingsch_rod-</t>
  </si>
  <si>
    <t>Lingsch</t>
  </si>
  <si>
    <t>Philip Covarrubias</t>
  </si>
  <si>
    <t>TX-38</t>
  </si>
  <si>
    <t>TX-38-covarrubias_philip-</t>
  </si>
  <si>
    <t>@PhilipACovarru2</t>
  </si>
  <si>
    <t>Covarrubias</t>
  </si>
  <si>
    <t>Alex Cross</t>
  </si>
  <si>
    <t>TX-38-cross_alex-</t>
  </si>
  <si>
    <t>Cross</t>
  </si>
  <si>
    <t>Jerry Ford</t>
  </si>
  <si>
    <t>TX-38-ford_jerry-</t>
  </si>
  <si>
    <t>@JerryFordSr</t>
  </si>
  <si>
    <t>Brett Guillory</t>
  </si>
  <si>
    <t>TX-38-guillory_brett-</t>
  </si>
  <si>
    <t>Guillory</t>
  </si>
  <si>
    <t>David Hogan</t>
  </si>
  <si>
    <t>TX-38-hogan_david-</t>
  </si>
  <si>
    <t>Hogan</t>
  </si>
  <si>
    <t>Wesley Hunt</t>
  </si>
  <si>
    <t>TX-38-hunt_wesley-</t>
  </si>
  <si>
    <t>@WesleyHuntTX</t>
  </si>
  <si>
    <t>Wesley</t>
  </si>
  <si>
    <t>Duncan Klussmann</t>
  </si>
  <si>
    <t>TX-38-klussmann_duncan-</t>
  </si>
  <si>
    <t>Klussmann</t>
  </si>
  <si>
    <t>Roland Lopez</t>
  </si>
  <si>
    <t>TX-38-lopez_roland-</t>
  </si>
  <si>
    <t>@TexansForLopez</t>
  </si>
  <si>
    <t>Roland</t>
  </si>
  <si>
    <t>Diana Martinez Alexander</t>
  </si>
  <si>
    <t>TX-38-martinez_diana-</t>
  </si>
  <si>
    <t>@DianaforTexas</t>
  </si>
  <si>
    <t>Damien Mockus</t>
  </si>
  <si>
    <t>TX-38-mockus_damien-</t>
  </si>
  <si>
    <t>@VoteMockus</t>
  </si>
  <si>
    <t>Damien</t>
  </si>
  <si>
    <t>Mockus</t>
  </si>
  <si>
    <t>Mark Ramsey</t>
  </si>
  <si>
    <t>TX-38-ramsey_mark-</t>
  </si>
  <si>
    <t>@RAMSEYforTXCD38</t>
  </si>
  <si>
    <t>Ramsey</t>
  </si>
  <si>
    <t>Centrell Reed</t>
  </si>
  <si>
    <t>TX-38-reed_centrell-</t>
  </si>
  <si>
    <t>@thecentrell</t>
  </si>
  <si>
    <t>Centrell</t>
  </si>
  <si>
    <t>Richard Welch</t>
  </si>
  <si>
    <t>TX-38-welch_richard-</t>
  </si>
  <si>
    <t>@WelchForTX07</t>
  </si>
  <si>
    <t>Welch</t>
  </si>
  <si>
    <t>Ted Cruz</t>
  </si>
  <si>
    <t>TX-Sen01</t>
  </si>
  <si>
    <t>TX-Sen01-cruz_ted-</t>
  </si>
  <si>
    <t>@SenTedCruz</t>
  </si>
  <si>
    <t>John Cornyn</t>
  </si>
  <si>
    <t>TX-Sen02</t>
  </si>
  <si>
    <t>TX-Sen02-cornyn_john-</t>
  </si>
  <si>
    <t>@TeamCornyn</t>
  </si>
  <si>
    <t>@JohnCornyn</t>
  </si>
  <si>
    <t>Cornyn</t>
  </si>
  <si>
    <t>Andrew Badger</t>
  </si>
  <si>
    <t>UT-01</t>
  </si>
  <si>
    <t>UT-01-badger_andrew-</t>
  </si>
  <si>
    <t>Badger</t>
  </si>
  <si>
    <t>Tina Cannon</t>
  </si>
  <si>
    <t>UT-01-cannon_tina-</t>
  </si>
  <si>
    <t>@TinaCannonUtah</t>
  </si>
  <si>
    <t>Blake Moore</t>
  </si>
  <si>
    <t>UT-01-moore_blake-</t>
  </si>
  <si>
    <t>@ElectBlakeMoore</t>
  </si>
  <si>
    <t>@RepBlakeMoore</t>
  </si>
  <si>
    <t>Erin Rider</t>
  </si>
  <si>
    <t>UT-02</t>
  </si>
  <si>
    <t>UT-02-rider_erin-</t>
  </si>
  <si>
    <t>@erinriderut</t>
  </si>
  <si>
    <t>Rider</t>
  </si>
  <si>
    <t>Chris Stewart</t>
  </si>
  <si>
    <t>UT-02-stewart_chris-</t>
  </si>
  <si>
    <t>@StewartforUtah</t>
  </si>
  <si>
    <t>@RepChrisStewart</t>
  </si>
  <si>
    <t>UT-03</t>
  </si>
  <si>
    <t>John Curtis</t>
  </si>
  <si>
    <t>UT-03-curtis_john-</t>
  </si>
  <si>
    <t>@CurtisUT</t>
  </si>
  <si>
    <t>@RepJohnCurtis</t>
  </si>
  <si>
    <t>UT-04</t>
  </si>
  <si>
    <t>Jake Hunsaker</t>
  </si>
  <si>
    <t>UT-04-hunsaker_jake-</t>
  </si>
  <si>
    <t>@JakeHunsaker</t>
  </si>
  <si>
    <t>Hunsaker</t>
  </si>
  <si>
    <t>Burgess Owens</t>
  </si>
  <si>
    <t>UT-04-owens_burgess-</t>
  </si>
  <si>
    <t>@BurgessOwens</t>
  </si>
  <si>
    <t>@RepBurgessOwens</t>
  </si>
  <si>
    <t>Owens</t>
  </si>
  <si>
    <t>Mitt Romney</t>
  </si>
  <si>
    <t>UT-Sen01</t>
  </si>
  <si>
    <t>UT-Sen01-romney_mitt-</t>
  </si>
  <si>
    <t>@SenatorRomney</t>
  </si>
  <si>
    <t>Mitt</t>
  </si>
  <si>
    <t>Romney</t>
  </si>
  <si>
    <t>UT-Sen03</t>
  </si>
  <si>
    <t>Becky Edwards</t>
  </si>
  <si>
    <t>UT-Sen03-edwards_becky-</t>
  </si>
  <si>
    <t>@beckyforutah</t>
  </si>
  <si>
    <t>Ally Isom</t>
  </si>
  <si>
    <t>UT-Sen03-isom_ally-</t>
  </si>
  <si>
    <t>@allyforutah</t>
  </si>
  <si>
    <t>Ally</t>
  </si>
  <si>
    <t>Isom</t>
  </si>
  <si>
    <t>Jensen</t>
  </si>
  <si>
    <t>Mike Lee</t>
  </si>
  <si>
    <t>UT-Sen03-lee_mike-</t>
  </si>
  <si>
    <t>@SenMikeLee</t>
  </si>
  <si>
    <t>VA-01</t>
  </si>
  <si>
    <t>Rob Wittman</t>
  </si>
  <si>
    <t>VA-01-wittman_rob-</t>
  </si>
  <si>
    <t>@ReElectWittman</t>
  </si>
  <si>
    <t>@RobWittman</t>
  </si>
  <si>
    <t>Wittman</t>
  </si>
  <si>
    <t>Tommy Altman</t>
  </si>
  <si>
    <t>VA-02</t>
  </si>
  <si>
    <t>VA-02-altman_tommy-</t>
  </si>
  <si>
    <t>@TommyAltman</t>
  </si>
  <si>
    <t>Altman</t>
  </si>
  <si>
    <t>Andy Baan</t>
  </si>
  <si>
    <t>VA-02-baan_andy-</t>
  </si>
  <si>
    <t>@andybaan</t>
  </si>
  <si>
    <t>Baan</t>
  </si>
  <si>
    <t>Jarome Bell</t>
  </si>
  <si>
    <t>VA-02-bell_jarome-</t>
  </si>
  <si>
    <t>Jarome</t>
  </si>
  <si>
    <t>Jennifer Kiggans</t>
  </si>
  <si>
    <t>VA-02-kiggans_jennifer-</t>
  </si>
  <si>
    <t>@JenKiggans</t>
  </si>
  <si>
    <t>Kiggans</t>
  </si>
  <si>
    <t>Elaine Luria</t>
  </si>
  <si>
    <t>VA-02-luria_elaine-</t>
  </si>
  <si>
    <t>@ElaineLuriaVA</t>
  </si>
  <si>
    <t>@RepElaineLuria</t>
  </si>
  <si>
    <t>Luria</t>
  </si>
  <si>
    <t>Terry Namkung</t>
  </si>
  <si>
    <t>VA-03</t>
  </si>
  <si>
    <t>VA-03-namkung_terry-</t>
  </si>
  <si>
    <t>@TerryNamkung</t>
  </si>
  <si>
    <t>Namkung</t>
  </si>
  <si>
    <t>Bobby Scott</t>
  </si>
  <si>
    <t>VA-03-scott_bobby-</t>
  </si>
  <si>
    <t>@BobbyScott4VA3</t>
  </si>
  <si>
    <t>@BobbyScott</t>
  </si>
  <si>
    <t>James Taylor</t>
  </si>
  <si>
    <t>VA-04</t>
  </si>
  <si>
    <t>Donald McEachin</t>
  </si>
  <si>
    <t>VA-04-mceachin_donald-</t>
  </si>
  <si>
    <t>@Donald_McEachin</t>
  </si>
  <si>
    <t>@RepMcEachin</t>
  </si>
  <si>
    <t>McEachin</t>
  </si>
  <si>
    <t>VA-05</t>
  </si>
  <si>
    <t>Bob Good</t>
  </si>
  <si>
    <t>VA-05-good_bob-</t>
  </si>
  <si>
    <t>@GoodForCongress</t>
  </si>
  <si>
    <t>@RepBobGood</t>
  </si>
  <si>
    <t>Christian -  Evangelical</t>
  </si>
  <si>
    <t>Good</t>
  </si>
  <si>
    <t>Dan Moy</t>
  </si>
  <si>
    <t>VA-05-moy_dan-</t>
  </si>
  <si>
    <t>@votedanmoy</t>
  </si>
  <si>
    <t>Moy</t>
  </si>
  <si>
    <t>Joshua Throneburg</t>
  </si>
  <si>
    <t>VA-05-throneburg_joshua-</t>
  </si>
  <si>
    <t>@jthroneburg</t>
  </si>
  <si>
    <t>Throneburg</t>
  </si>
  <si>
    <t>Ben Cline</t>
  </si>
  <si>
    <t>VA-06</t>
  </si>
  <si>
    <t>VA-06-cline_ben-</t>
  </si>
  <si>
    <t>@Cline4Virginia</t>
  </si>
  <si>
    <t>@RepBenCline</t>
  </si>
  <si>
    <t>Cline</t>
  </si>
  <si>
    <t>Merritt Hale</t>
  </si>
  <si>
    <t>VA-06-hale_merritt-</t>
  </si>
  <si>
    <t>@MerrittHale</t>
  </si>
  <si>
    <t>Merritt</t>
  </si>
  <si>
    <t>Hale</t>
  </si>
  <si>
    <t>Jennifer Lewis</t>
  </si>
  <si>
    <t>VA-06-lewis_jennifer-</t>
  </si>
  <si>
    <t>@JenniferForVA</t>
  </si>
  <si>
    <t>VA-07</t>
  </si>
  <si>
    <t>Derrick Anderson</t>
  </si>
  <si>
    <t>VA-07-anderson_derrick-</t>
  </si>
  <si>
    <t>@DerrickforVA</t>
  </si>
  <si>
    <t>John Castorani</t>
  </si>
  <si>
    <t>VA-07-castorani_john-</t>
  </si>
  <si>
    <t>@JohnCastorani</t>
  </si>
  <si>
    <t>Castorani</t>
  </si>
  <si>
    <t>Bryce Reeves</t>
  </si>
  <si>
    <t>VA-07-reeves_bryce-</t>
  </si>
  <si>
    <t>@ReevesVA</t>
  </si>
  <si>
    <t>Bryce</t>
  </si>
  <si>
    <t>Reeves</t>
  </si>
  <si>
    <t>David Ross</t>
  </si>
  <si>
    <t>VA-07-ross_david-</t>
  </si>
  <si>
    <t>@Ross4Liberty</t>
  </si>
  <si>
    <t>Abigail Spanberger</t>
  </si>
  <si>
    <t>VA-07-spanberger_abigail-</t>
  </si>
  <si>
    <t>@SpanbergerVA07</t>
  </si>
  <si>
    <t>@RepSpanberger</t>
  </si>
  <si>
    <t>Abigail</t>
  </si>
  <si>
    <t>Spanberger</t>
  </si>
  <si>
    <t>Crystal Vanuch</t>
  </si>
  <si>
    <t>VA-07-vanuch_crystal-</t>
  </si>
  <si>
    <t>Vanuch</t>
  </si>
  <si>
    <t>Yesli Vega</t>
  </si>
  <si>
    <t>VA-07-vega_yesli-</t>
  </si>
  <si>
    <t>@yestoyesli</t>
  </si>
  <si>
    <t>Yesli</t>
  </si>
  <si>
    <t>Don Beyer</t>
  </si>
  <si>
    <t>VA-08</t>
  </si>
  <si>
    <t>VA-08-beyer_don-</t>
  </si>
  <si>
    <t>@DonBeyerVA</t>
  </si>
  <si>
    <t>@RepDonBeyer</t>
  </si>
  <si>
    <t>Beyer</t>
  </si>
  <si>
    <t>Heerak Christian Kim</t>
  </si>
  <si>
    <t>VA-08-kim_heerakchristian-</t>
  </si>
  <si>
    <t>@heerak4congress</t>
  </si>
  <si>
    <t>Heerak</t>
  </si>
  <si>
    <t>Karina Lipsman</t>
  </si>
  <si>
    <t>VA-08-lipsman_karina-</t>
  </si>
  <si>
    <t>@KarinaCongress</t>
  </si>
  <si>
    <t>Karina</t>
  </si>
  <si>
    <t>Lipsman</t>
  </si>
  <si>
    <t>Victoria Virasingh</t>
  </si>
  <si>
    <t>VA-08-virasingh_victoria-</t>
  </si>
  <si>
    <t>@vvirasingh</t>
  </si>
  <si>
    <t>Virasingh</t>
  </si>
  <si>
    <t>Morgan Griffith</t>
  </si>
  <si>
    <t>VA-09</t>
  </si>
  <si>
    <t>VA-09-griffith_morgan-</t>
  </si>
  <si>
    <t>@MorganGriffith</t>
  </si>
  <si>
    <t>@RepMGriffith</t>
  </si>
  <si>
    <t>John Beatty</t>
  </si>
  <si>
    <t>VA-10</t>
  </si>
  <si>
    <t>VA-10-beatty_john-</t>
  </si>
  <si>
    <t>@jb4va</t>
  </si>
  <si>
    <t>Dave Beckwith</t>
  </si>
  <si>
    <t>VA-10-beckwith_dave-</t>
  </si>
  <si>
    <t>@DaveB4congress</t>
  </si>
  <si>
    <t>Hung Cao</t>
  </si>
  <si>
    <t>VA-10-cao_hung-</t>
  </si>
  <si>
    <t>@HungCaoCongress</t>
  </si>
  <si>
    <t>Hung</t>
  </si>
  <si>
    <t>Cao</t>
  </si>
  <si>
    <t>Monica Carpio</t>
  </si>
  <si>
    <t>@MonCarpioVA</t>
  </si>
  <si>
    <t>Carpio</t>
  </si>
  <si>
    <t>Theresa Coates Ellis</t>
  </si>
  <si>
    <t>VA-10-coatesellis_theresa-</t>
  </si>
  <si>
    <t>@TCoatesEllis</t>
  </si>
  <si>
    <t>Theresa</t>
  </si>
  <si>
    <t>Coates Ellis</t>
  </si>
  <si>
    <t>John Henley</t>
  </si>
  <si>
    <t>VA-10-henley_john-</t>
  </si>
  <si>
    <t>@JohnHenleyVA</t>
  </si>
  <si>
    <t>Henley</t>
  </si>
  <si>
    <t>Jeanine Lawson</t>
  </si>
  <si>
    <t>VA-10-lawson_jeanine-</t>
  </si>
  <si>
    <t>@JeanineLawsonVA</t>
  </si>
  <si>
    <t>Jeanine</t>
  </si>
  <si>
    <t>Paul Lott</t>
  </si>
  <si>
    <t>VA-10-lott_paul-</t>
  </si>
  <si>
    <t>@PaulLott</t>
  </si>
  <si>
    <t>Caleb Max</t>
  </si>
  <si>
    <t>VA-10-max_caleb-</t>
  </si>
  <si>
    <t>Caleb</t>
  </si>
  <si>
    <t>Brandon Michon</t>
  </si>
  <si>
    <t>VA-10-michon_brandon-</t>
  </si>
  <si>
    <t>@BrandonMichon</t>
  </si>
  <si>
    <t>Michon</t>
  </si>
  <si>
    <t>Clay Percle</t>
  </si>
  <si>
    <t>VA-10-percle_clay-</t>
  </si>
  <si>
    <t>@ClayPercle</t>
  </si>
  <si>
    <t>Percle</t>
  </si>
  <si>
    <t>Brooke Taylor</t>
  </si>
  <si>
    <t>VA-10-taylor_brooke-</t>
  </si>
  <si>
    <t>@Brooke4Congress</t>
  </si>
  <si>
    <t>Brooke</t>
  </si>
  <si>
    <t>Jennifer Wexton</t>
  </si>
  <si>
    <t>VA-10-wexton_jennifer-</t>
  </si>
  <si>
    <t>@JenniferWexton</t>
  </si>
  <si>
    <t>@RepWexton</t>
  </si>
  <si>
    <t>Wexton</t>
  </si>
  <si>
    <t>Manga Anantatmula</t>
  </si>
  <si>
    <t>VA-11</t>
  </si>
  <si>
    <t>VA-11-anantatmula_manga-</t>
  </si>
  <si>
    <t>@Manga4Congress</t>
  </si>
  <si>
    <t>Manga</t>
  </si>
  <si>
    <t>Anantatmula</t>
  </si>
  <si>
    <t>Joe Babb</t>
  </si>
  <si>
    <t>VA-11-babb_joe-</t>
  </si>
  <si>
    <t>@babbforcongress</t>
  </si>
  <si>
    <t>Babb</t>
  </si>
  <si>
    <t>Matthew Chappell</t>
  </si>
  <si>
    <t>VA-11-chappell_matthew-</t>
  </si>
  <si>
    <t>Chappell</t>
  </si>
  <si>
    <t>Gerry Connolly</t>
  </si>
  <si>
    <t>VA-11-connolly_gerry-</t>
  </si>
  <si>
    <t>@ElectConnolly</t>
  </si>
  <si>
    <t>@GerryConnolly</t>
  </si>
  <si>
    <t>Connolly</t>
  </si>
  <si>
    <t>James Myles</t>
  </si>
  <si>
    <t>VA-11-myles_james-</t>
  </si>
  <si>
    <t>Myles</t>
  </si>
  <si>
    <t>Tim Kaine</t>
  </si>
  <si>
    <t>VA-Sen01</t>
  </si>
  <si>
    <t>VA-Sen01-kaine_tim-</t>
  </si>
  <si>
    <t>@timkaine</t>
  </si>
  <si>
    <t>Kaine</t>
  </si>
  <si>
    <t>Mark Warner</t>
  </si>
  <si>
    <t>VA-Sen02</t>
  </si>
  <si>
    <t>VA-Sen02-warner_mark-</t>
  </si>
  <si>
    <t>@MarkWarnerVA</t>
  </si>
  <si>
    <t>@MarkWarner</t>
  </si>
  <si>
    <t>Peter Welch</t>
  </si>
  <si>
    <t>VT-00</t>
  </si>
  <si>
    <t>@WelchForVT</t>
  </si>
  <si>
    <t>@PeterWelch</t>
  </si>
  <si>
    <t>Patrick Leahy</t>
  </si>
  <si>
    <t>VT-Sen03</t>
  </si>
  <si>
    <t>VT-Sen03-leahy_patrick-</t>
  </si>
  <si>
    <t>@SenatorLeahy</t>
  </si>
  <si>
    <t>Leahy</t>
  </si>
  <si>
    <t>Christina Nolan</t>
  </si>
  <si>
    <t>VT-Sen03-nolan_christina-</t>
  </si>
  <si>
    <t>Nolan</t>
  </si>
  <si>
    <t>Niki Thran</t>
  </si>
  <si>
    <t>VT-Sen03-thran_niki-</t>
  </si>
  <si>
    <t>Thran</t>
  </si>
  <si>
    <t>Vincent Cavaleri</t>
  </si>
  <si>
    <t>WA-01</t>
  </si>
  <si>
    <t>WA-01-cavaleri_vincent-</t>
  </si>
  <si>
    <t>@cavalerifor</t>
  </si>
  <si>
    <t>Cavaleri</t>
  </si>
  <si>
    <t>Suzan DelBene</t>
  </si>
  <si>
    <t>WA-01-delbene_suzan-</t>
  </si>
  <si>
    <t>@SuzanDelBene</t>
  </si>
  <si>
    <t>@RepDelBene</t>
  </si>
  <si>
    <t>Suzan</t>
  </si>
  <si>
    <t>DelBene</t>
  </si>
  <si>
    <t>Jason Call</t>
  </si>
  <si>
    <t>WA-02</t>
  </si>
  <si>
    <t>WA-02-call_jason-</t>
  </si>
  <si>
    <t>@CallForCongress</t>
  </si>
  <si>
    <t>Call</t>
  </si>
  <si>
    <t>Carrie Kennedy</t>
  </si>
  <si>
    <t>WA-02-kennedy_carrie-</t>
  </si>
  <si>
    <t>Carrie</t>
  </si>
  <si>
    <t>Rick Larsen</t>
  </si>
  <si>
    <t>WA-02-larsen_rick-</t>
  </si>
  <si>
    <t>@larsenrick</t>
  </si>
  <si>
    <t>@RepRickLarsen</t>
  </si>
  <si>
    <t>Larsen</t>
  </si>
  <si>
    <t>Jon Welch</t>
  </si>
  <si>
    <t>WA-02-welch_jon-</t>
  </si>
  <si>
    <t>Leslie French</t>
  </si>
  <si>
    <t>WA-03</t>
  </si>
  <si>
    <t>WA-03-french_leslie-</t>
  </si>
  <si>
    <t>Leslie</t>
  </si>
  <si>
    <t>Jaime Herrera Beutler</t>
  </si>
  <si>
    <t>WA-03-herrerabeutler_jaime-</t>
  </si>
  <si>
    <t>@JaimeForUSRep</t>
  </si>
  <si>
    <t>@HerreraBeutler</t>
  </si>
  <si>
    <t>Joe Kent</t>
  </si>
  <si>
    <t>WA-03-kent_joe-</t>
  </si>
  <si>
    <t>@joekent16jan19</t>
  </si>
  <si>
    <t>Vicki Kraft</t>
  </si>
  <si>
    <t>WA-03-kraft_vicki-</t>
  </si>
  <si>
    <t>@VickiKraft</t>
  </si>
  <si>
    <t>Vicki</t>
  </si>
  <si>
    <t>Kraft</t>
  </si>
  <si>
    <t>Davy Ray</t>
  </si>
  <si>
    <t>WA-03-ray_davy-</t>
  </si>
  <si>
    <t>@DavyForCongress</t>
  </si>
  <si>
    <t>Davy</t>
  </si>
  <si>
    <t>Heidi St. John</t>
  </si>
  <si>
    <t>WA-03-stjohn_heidi-</t>
  </si>
  <si>
    <t>@HSJForCongress</t>
  </si>
  <si>
    <t>Heidi</t>
  </si>
  <si>
    <t>Loren Culp</t>
  </si>
  <si>
    <t>WA-04</t>
  </si>
  <si>
    <t>WA-04-culp_loren-</t>
  </si>
  <si>
    <t>@LorenCulp</t>
  </si>
  <si>
    <t>Loren</t>
  </si>
  <si>
    <t>Culp</t>
  </si>
  <si>
    <t>Benancio Garcia</t>
  </si>
  <si>
    <t>WA-04-garcia_benancio-</t>
  </si>
  <si>
    <t>Benancio</t>
  </si>
  <si>
    <t>Corey Gibson</t>
  </si>
  <si>
    <t>WA-04-gibson_corey-</t>
  </si>
  <si>
    <t>@CoreyGibson</t>
  </si>
  <si>
    <t>Corey</t>
  </si>
  <si>
    <t>Brad Klippert</t>
  </si>
  <si>
    <t>WA-04-klippert_brad-</t>
  </si>
  <si>
    <t>@Brad_Klippert</t>
  </si>
  <si>
    <t>Klippert</t>
  </si>
  <si>
    <t>Dan Newhouse</t>
  </si>
  <si>
    <t>WA-04-newhouse_dan-</t>
  </si>
  <si>
    <t>@Newhouse4Rep</t>
  </si>
  <si>
    <t>@RepNewhouse</t>
  </si>
  <si>
    <t>Newhouse</t>
  </si>
  <si>
    <t>Jerrod Sessler</t>
  </si>
  <si>
    <t>WA-04-sessler_jerrod-</t>
  </si>
  <si>
    <t>@Sessler</t>
  </si>
  <si>
    <t>Jerrod</t>
  </si>
  <si>
    <t>Sessler</t>
  </si>
  <si>
    <t>Doug White</t>
  </si>
  <si>
    <t>WA-04-white_doug-</t>
  </si>
  <si>
    <t>@DouglasWhite</t>
  </si>
  <si>
    <t>Ann Marie Danimus</t>
  </si>
  <si>
    <t>WA-05</t>
  </si>
  <si>
    <t>WA-05-danimus_annmarie-</t>
  </si>
  <si>
    <t>@Vote4AnnMarie</t>
  </si>
  <si>
    <t>Danimus</t>
  </si>
  <si>
    <t>Natasha Hill</t>
  </si>
  <si>
    <t>WA-05-hill_natasha-</t>
  </si>
  <si>
    <t>@VoteNatashaHill</t>
  </si>
  <si>
    <t>Natasha</t>
  </si>
  <si>
    <t>Cathy McMorris Rodgers</t>
  </si>
  <si>
    <t>WA-05-mcmorrisrodgers_cathy-</t>
  </si>
  <si>
    <t>@TeamCMR</t>
  </si>
  <si>
    <t>@cathymcmorris</t>
  </si>
  <si>
    <t>Cathy</t>
  </si>
  <si>
    <t>Derek Kilmer</t>
  </si>
  <si>
    <t>WA-06</t>
  </si>
  <si>
    <t>WA-06-kilmer_derek-</t>
  </si>
  <si>
    <t>@DerekKilmer</t>
  </si>
  <si>
    <t>@RepDerekKilmer</t>
  </si>
  <si>
    <t>Kilmer</t>
  </si>
  <si>
    <t>Rebecca Parson</t>
  </si>
  <si>
    <t>WA-06-parson_rebecca-</t>
  </si>
  <si>
    <t>@RebeccaforWA</t>
  </si>
  <si>
    <t>Parson</t>
  </si>
  <si>
    <t>Paul Glumaz</t>
  </si>
  <si>
    <t>WA-07</t>
  </si>
  <si>
    <t>WA-07-glumaz_paul-</t>
  </si>
  <si>
    <t>Glumaz</t>
  </si>
  <si>
    <t>Pramila Jayapal</t>
  </si>
  <si>
    <t>WA-07-jayapal_pramila-</t>
  </si>
  <si>
    <t>@PramilaJayapal</t>
  </si>
  <si>
    <t>@RepJayapal</t>
  </si>
  <si>
    <t>Pramila</t>
  </si>
  <si>
    <t>Jayapal</t>
  </si>
  <si>
    <t>Reagan Dunn</t>
  </si>
  <si>
    <t>WA-08</t>
  </si>
  <si>
    <t>WA-08-dunn_reagan-</t>
  </si>
  <si>
    <t>@reagandunn</t>
  </si>
  <si>
    <t>Reagan</t>
  </si>
  <si>
    <t>Jesse Jensen</t>
  </si>
  <si>
    <t>WA-08-jensen_jesse-</t>
  </si>
  <si>
    <t>@JesseJensenWA</t>
  </si>
  <si>
    <t>Matt Larkin</t>
  </si>
  <si>
    <t>WA-08-larkin_matt-</t>
  </si>
  <si>
    <t>@MattLarkin4WA</t>
  </si>
  <si>
    <t>Larkin</t>
  </si>
  <si>
    <t>Kim Schrier</t>
  </si>
  <si>
    <t>WA-08-schrier_kim-</t>
  </si>
  <si>
    <t>@DrKimSchrier</t>
  </si>
  <si>
    <t>@RepKimSchrier</t>
  </si>
  <si>
    <t>Schrier</t>
  </si>
  <si>
    <t>Sea Chan</t>
  </si>
  <si>
    <t>WA-09</t>
  </si>
  <si>
    <t>WA-09-chan_sea-</t>
  </si>
  <si>
    <t>@sea_liberty</t>
  </si>
  <si>
    <t>Sea</t>
  </si>
  <si>
    <t>Chan</t>
  </si>
  <si>
    <t>Stephanie Gallardo</t>
  </si>
  <si>
    <t>WA-09-gallardo_stephanie-</t>
  </si>
  <si>
    <t>@ElectGallardo</t>
  </si>
  <si>
    <t>Gallardo</t>
  </si>
  <si>
    <t>Adam Smith</t>
  </si>
  <si>
    <t>WA-09-smith_adam-</t>
  </si>
  <si>
    <t>@electadamsmith</t>
  </si>
  <si>
    <t>@RepAdamSmith</t>
  </si>
  <si>
    <t>WA-10</t>
  </si>
  <si>
    <t>Marilyn Strickland</t>
  </si>
  <si>
    <t>WA-10-strickland_marilyn-</t>
  </si>
  <si>
    <t>@StricklandforWA</t>
  </si>
  <si>
    <t>@RepStricklandWA</t>
  </si>
  <si>
    <t>Maria Cantwell</t>
  </si>
  <si>
    <t>WA-Sen01</t>
  </si>
  <si>
    <t>WA-Sen01-cantwell_maria-</t>
  </si>
  <si>
    <t>@MariaCantwell</t>
  </si>
  <si>
    <t>@SenatorCantwell</t>
  </si>
  <si>
    <t>Cantwell</t>
  </si>
  <si>
    <t>WA-Sen03</t>
  </si>
  <si>
    <t>Patty Murray</t>
  </si>
  <si>
    <t>WA-Sen03-murray_patty-</t>
  </si>
  <si>
    <t>@PattyMurray</t>
  </si>
  <si>
    <t>Ravin Pierre</t>
  </si>
  <si>
    <t>WA-Sen03-pierre_ravin-</t>
  </si>
  <si>
    <t>Ravin</t>
  </si>
  <si>
    <t>Tiffany Smiley</t>
  </si>
  <si>
    <t>WA-Sen03-smiley_tiffany-</t>
  </si>
  <si>
    <t>Tiffany</t>
  </si>
  <si>
    <t>Smiley</t>
  </si>
  <si>
    <t>WI-01</t>
  </si>
  <si>
    <t>Ann Roe</t>
  </si>
  <si>
    <t>WI-01-roe_ann-</t>
  </si>
  <si>
    <t>@annsroe</t>
  </si>
  <si>
    <t>Roe</t>
  </si>
  <si>
    <t>Bryan Steil</t>
  </si>
  <si>
    <t>WI-01-steil_bryan-</t>
  </si>
  <si>
    <t>@BryanSteil</t>
  </si>
  <si>
    <t>@RepBryanSteil</t>
  </si>
  <si>
    <t>Steil</t>
  </si>
  <si>
    <t>Charity Barry</t>
  </si>
  <si>
    <t>WI-02</t>
  </si>
  <si>
    <t>WI-02-barry_charity-</t>
  </si>
  <si>
    <t>@BarryCongress</t>
  </si>
  <si>
    <t>Charity</t>
  </si>
  <si>
    <t>Mark Pocan</t>
  </si>
  <si>
    <t>WI-02-pocan_mark-</t>
  </si>
  <si>
    <t>@MarkPocan</t>
  </si>
  <si>
    <t>@repmarkpocan</t>
  </si>
  <si>
    <t>Pocan</t>
  </si>
  <si>
    <t>Rebecca Cooke</t>
  </si>
  <si>
    <t>WI-03</t>
  </si>
  <si>
    <t>WI-03-cooke_rebecca-</t>
  </si>
  <si>
    <t>@RebeccaForWI</t>
  </si>
  <si>
    <t>Cooke</t>
  </si>
  <si>
    <t>Ron Kind</t>
  </si>
  <si>
    <t>WI-03-kind_ron-</t>
  </si>
  <si>
    <t>@KindforCongress</t>
  </si>
  <si>
    <t>@RepRonKind</t>
  </si>
  <si>
    <t>Kind</t>
  </si>
  <si>
    <t>Deb McGrath</t>
  </si>
  <si>
    <t>Wi-03-mcgrath_deb-</t>
  </si>
  <si>
    <t>@DebMcGrathWI</t>
  </si>
  <si>
    <t>McGrath</t>
  </si>
  <si>
    <t>Mark Neumann</t>
  </si>
  <si>
    <t>WI-03-neumann_mark-</t>
  </si>
  <si>
    <t>@DrMark_3rdCD_WI</t>
  </si>
  <si>
    <t>Brad Pfaff</t>
  </si>
  <si>
    <t>WI-03-pfaff_brad-</t>
  </si>
  <si>
    <t>@pfaff4congres</t>
  </si>
  <si>
    <t>Derrick Van Orden</t>
  </si>
  <si>
    <t>WI-03-vanorden_derrick-</t>
  </si>
  <si>
    <t>Gwen Moore</t>
  </si>
  <si>
    <t>WI-04</t>
  </si>
  <si>
    <t>WI-04-moore_gwen-</t>
  </si>
  <si>
    <t>@Gwen4Congress</t>
  </si>
  <si>
    <t>@RepGwenMoore</t>
  </si>
  <si>
    <t>Gwen</t>
  </si>
  <si>
    <t>Scott Fitzgerald</t>
  </si>
  <si>
    <t>WI-05</t>
  </si>
  <si>
    <t>WI-05-fitzgerald_scott-</t>
  </si>
  <si>
    <t>@FitzgeraldForWI</t>
  </si>
  <si>
    <t>@RepFitzgerald</t>
  </si>
  <si>
    <t>Mike Van Someren</t>
  </si>
  <si>
    <t>WI-05-vansomeren_mike-</t>
  </si>
  <si>
    <t>@mvsforwi</t>
  </si>
  <si>
    <t>Glenn Grothman</t>
  </si>
  <si>
    <t>WI-06</t>
  </si>
  <si>
    <t>WI-06-grothman_glenn-</t>
  </si>
  <si>
    <t>@GrothmanforWI</t>
  </si>
  <si>
    <t>@RepGrothman</t>
  </si>
  <si>
    <t>Grothman</t>
  </si>
  <si>
    <t>Douglas Mullenix</t>
  </si>
  <si>
    <t>WI-06-mullenix_douglas-</t>
  </si>
  <si>
    <t>@douglasforwi</t>
  </si>
  <si>
    <t>Mullenix</t>
  </si>
  <si>
    <t>WI-07</t>
  </si>
  <si>
    <t>Tom Tiffany</t>
  </si>
  <si>
    <t>WI-07-tiffany_tom-</t>
  </si>
  <si>
    <t>@TomTiffanyWI</t>
  </si>
  <si>
    <t>@RepTiffany</t>
  </si>
  <si>
    <t>Mike Gallagher</t>
  </si>
  <si>
    <t>WI-08</t>
  </si>
  <si>
    <t>WI-08-gallagher_mike-</t>
  </si>
  <si>
    <t>@MikeforWI</t>
  </si>
  <si>
    <t>@RepGallagher</t>
  </si>
  <si>
    <t>Gallagher</t>
  </si>
  <si>
    <t>Tammy Baldwin</t>
  </si>
  <si>
    <t>WI-Sen01</t>
  </si>
  <si>
    <t>WI-Sen01-baldwin_tammy-</t>
  </si>
  <si>
    <t>@TammyBaldwin</t>
  </si>
  <si>
    <t>@SenatorBaldwin</t>
  </si>
  <si>
    <t>Baldwin</t>
  </si>
  <si>
    <t>Mandela Barnes</t>
  </si>
  <si>
    <t>WI-Sen03</t>
  </si>
  <si>
    <t>WI-Sen03-barnes_mandela-</t>
  </si>
  <si>
    <t>@TheOtherMandela</t>
  </si>
  <si>
    <t>Mandela</t>
  </si>
  <si>
    <t>Barnes</t>
  </si>
  <si>
    <t>Sarah Godlewski</t>
  </si>
  <si>
    <t>WI-Sen03-godlewski_sarah-</t>
  </si>
  <si>
    <t>@SarahforWI</t>
  </si>
  <si>
    <t>Godlewski</t>
  </si>
  <si>
    <t>Ron Johnson</t>
  </si>
  <si>
    <t>WI-Sen03-johnson_ron-</t>
  </si>
  <si>
    <t>@RonJohnsonWI</t>
  </si>
  <si>
    <t>@SenRonJohnson</t>
  </si>
  <si>
    <t>Alex Lasry</t>
  </si>
  <si>
    <t>WI-Sen03-lasry_alex-</t>
  </si>
  <si>
    <t>@AlexLasryWI</t>
  </si>
  <si>
    <t>Lasry</t>
  </si>
  <si>
    <t>Kou Lee</t>
  </si>
  <si>
    <t>WI-Sen03-lee_kou-</t>
  </si>
  <si>
    <t>Kou</t>
  </si>
  <si>
    <t>Tom Nelson</t>
  </si>
  <si>
    <t>WI-Sen03-nelson_tom-</t>
  </si>
  <si>
    <t>@NelsonforWI</t>
  </si>
  <si>
    <t>Steven Olikara</t>
  </si>
  <si>
    <t>WI-Sen03-olikara_steven-</t>
  </si>
  <si>
    <t>@StevenOlikara</t>
  </si>
  <si>
    <t>Olikara</t>
  </si>
  <si>
    <t>Peter Peckarsky</t>
  </si>
  <si>
    <t>WI-Sen03-peckarsky_peter-</t>
  </si>
  <si>
    <t>@PeckarskyforWI</t>
  </si>
  <si>
    <t>Peckarsky</t>
  </si>
  <si>
    <t>Darrell Williams</t>
  </si>
  <si>
    <t>WI-Sen03-williams_darrell-</t>
  </si>
  <si>
    <t>WV-01</t>
  </si>
  <si>
    <t>Angela Dwyer</t>
  </si>
  <si>
    <t>@ballotangelajd1</t>
  </si>
  <si>
    <t>Dwyer</t>
  </si>
  <si>
    <t>Scott Fuller</t>
  </si>
  <si>
    <t>WV-01-fuller_scott-</t>
  </si>
  <si>
    <t>Fuller</t>
  </si>
  <si>
    <t>James Houser</t>
  </si>
  <si>
    <t>WV-01-houser_james-</t>
  </si>
  <si>
    <t>Houser</t>
  </si>
  <si>
    <t>Zane Lawhorn</t>
  </si>
  <si>
    <t>WV-01-lawhorn_zane-</t>
  </si>
  <si>
    <t>Zane</t>
  </si>
  <si>
    <t>Lawhorn</t>
  </si>
  <si>
    <t>David McKinley</t>
  </si>
  <si>
    <t>@McKinleyforWV</t>
  </si>
  <si>
    <t>@RepMcKinley</t>
  </si>
  <si>
    <t>McKinley</t>
  </si>
  <si>
    <t>Kent Stevens</t>
  </si>
  <si>
    <t>WV-01-stevens_kent-</t>
  </si>
  <si>
    <t>@votelacy</t>
  </si>
  <si>
    <t>Susan Buchser-Lochocki</t>
  </si>
  <si>
    <t>WV-02</t>
  </si>
  <si>
    <t>WV-02-buchser_susan-</t>
  </si>
  <si>
    <t>@BuchserSusan</t>
  </si>
  <si>
    <t>Rhonda Hercules</t>
  </si>
  <si>
    <t>WV-02-hercules_rhonda-</t>
  </si>
  <si>
    <t>@RhondaHercules</t>
  </si>
  <si>
    <t>Hercules</t>
  </si>
  <si>
    <t>Alex Mooney</t>
  </si>
  <si>
    <t>WV-02-mooney_alex-</t>
  </si>
  <si>
    <t>@MooneyforWV</t>
  </si>
  <si>
    <t>@RepAlexMooney</t>
  </si>
  <si>
    <t>Mooney</t>
  </si>
  <si>
    <t>Mike Seckman</t>
  </si>
  <si>
    <t>WV-02-seckman_mike-</t>
  </si>
  <si>
    <t>@MikeSeckman</t>
  </si>
  <si>
    <t>Seckman</t>
  </si>
  <si>
    <t>Barry Wendell</t>
  </si>
  <si>
    <t>WV-02-wendell_barry-</t>
  </si>
  <si>
    <t>@VoteforBarry</t>
  </si>
  <si>
    <t>Wendell</t>
  </si>
  <si>
    <t>Carol Miller</t>
  </si>
  <si>
    <t>@CarolMillerWV</t>
  </si>
  <si>
    <t>@RepCarolMiller</t>
  </si>
  <si>
    <t>Carol</t>
  </si>
  <si>
    <t>Joe Manchin</t>
  </si>
  <si>
    <t>WV-Sen01</t>
  </si>
  <si>
    <t>WV-Sen01-manchin_joe-</t>
  </si>
  <si>
    <t>@JoeManchinWV</t>
  </si>
  <si>
    <t>@Sen_JoeManchin</t>
  </si>
  <si>
    <t>Manchin</t>
  </si>
  <si>
    <t>Shelley Moore Capito</t>
  </si>
  <si>
    <t>WV-Sen02</t>
  </si>
  <si>
    <t>WV-Sen02-capito_shelleymoore-</t>
  </si>
  <si>
    <t>@CapitoforWV</t>
  </si>
  <si>
    <t>@SenCapito</t>
  </si>
  <si>
    <t>Shelley</t>
  </si>
  <si>
    <t>Capito</t>
  </si>
  <si>
    <t>Robyn Belinskey</t>
  </si>
  <si>
    <t>WY-00</t>
  </si>
  <si>
    <t>WY-00-belinskey_robyn-</t>
  </si>
  <si>
    <t>Robyn</t>
  </si>
  <si>
    <t>Belinskey</t>
  </si>
  <si>
    <t>Anthony Bouchard</t>
  </si>
  <si>
    <t>WY-00-bouchard_anthony-</t>
  </si>
  <si>
    <t>@AnthonyBouchard</t>
  </si>
  <si>
    <t>Bouchard</t>
  </si>
  <si>
    <t>Liz Cheney</t>
  </si>
  <si>
    <t>WY-00-cheney_liz-</t>
  </si>
  <si>
    <t>@Liz_Cheney</t>
  </si>
  <si>
    <t>@RepLizCheney</t>
  </si>
  <si>
    <t>Cheney</t>
  </si>
  <si>
    <t>Denton Knapp</t>
  </si>
  <si>
    <t>WY-00-knapp_denton-</t>
  </si>
  <si>
    <t>@knapp_wy</t>
  </si>
  <si>
    <t>Knapp</t>
  </si>
  <si>
    <t>Marissa Selvig</t>
  </si>
  <si>
    <t>WY-00-selvig_marissa-</t>
  </si>
  <si>
    <t>@MarissaSelvig</t>
  </si>
  <si>
    <t>Selvig</t>
  </si>
  <si>
    <t>John Barrasso</t>
  </si>
  <si>
    <t>WY-Sen01</t>
  </si>
  <si>
    <t>WY-Sen01-barrasso_john-</t>
  </si>
  <si>
    <t>@SenJohnBarrasso</t>
  </si>
  <si>
    <t>Barrasso</t>
  </si>
  <si>
    <t>Cynthia Lummis</t>
  </si>
  <si>
    <t>WY-Sen02</t>
  </si>
  <si>
    <t>WY-Sen02-lummis_cynthia-</t>
  </si>
  <si>
    <t>@CynthiaMLummis</t>
  </si>
  <si>
    <t>@SenLummis</t>
  </si>
  <si>
    <t>Lummis</t>
  </si>
  <si>
    <t>scrapeProblem</t>
  </si>
  <si>
    <t>scrapeNotes</t>
  </si>
  <si>
    <t>Variable Name</t>
  </si>
  <si>
    <t>Description</t>
  </si>
  <si>
    <t>Nominal/Quantitative</t>
  </si>
  <si>
    <t>Allowed Values</t>
  </si>
  <si>
    <t>Example</t>
  </si>
  <si>
    <t>Notes</t>
  </si>
  <si>
    <t>Distribution (number = 1)</t>
  </si>
  <si>
    <t>Name: avoid middle initials and jr/"iii" etc unless necessary (e.g. Donald Trump, Jr). Include initials at start of name (e.g., J. Glenn Smith).  Use hyphenated names with dash unless clear that candidate does not use dash.  Spanish letters - conv</t>
  </si>
  <si>
    <t>Nominal</t>
  </si>
  <si>
    <t>ICPSR code for incuments; NA for non-incumbents (previously was 2 digit state icpsr code (https://legacy.voteview.com/state_codes_icpsr.htm) then 2 digit district)</t>
  </si>
  <si>
    <t>Is the candidate in the general election?</t>
  </si>
  <si>
    <t>Dummy</t>
  </si>
  <si>
    <t>For Georgia Senate: only those polling more than 5%</t>
  </si>
  <si>
    <t>Dummy for jungle primary "2nd+" candidate from dominant party</t>
  </si>
  <si>
    <t>Example: CA-12 had 2 Democrats in general (Pelosi and Buttar).  Jungle = 1 for Buttar who was 2nd place Democrat in jungle general</t>
  </si>
  <si>
    <t>Did this candidate qualify for the primary election for this seat?</t>
  </si>
  <si>
    <t>0 = No, 1 = Yes</t>
  </si>
  <si>
    <t>Check and compare across Ballotpedia (https://ballotpedia.org/United_States_House_of_Representatives_elections,_2022) and Wikipedia (https://en.wikipedia.org/wiki/2022_United_States_House_of_Representatives_elections)</t>
  </si>
  <si>
    <t>Is the incumbent for this seat running for re-election in 2022?</t>
  </si>
  <si>
    <t>This includes candidates who are retiring from congress, as well as those running for Senate, governor, or another elected position, and those who died in office.</t>
  </si>
  <si>
    <t>If the incumbent is not running for this seat in 2022, on what date did they announce that?</t>
  </si>
  <si>
    <t>Date</t>
  </si>
  <si>
    <t>This includes Alcee Hastings (D-FL20), who died in office in April 2021. It does not include Ron Wright (R-TX06), who died while in office and whose seat has already been filled in a special election.</t>
  </si>
  <si>
    <t>bioname</t>
  </si>
  <si>
    <t>bioguideId</t>
  </si>
  <si>
    <t>nominateAdj</t>
  </si>
  <si>
    <t>Nominate but with the Squad set to maximally liberal.  Nominate scores are off for "the Squad" (AOC, Omar, Pressley and Tlaib) b/c they vote w/ Republicans a fair bit (but on grounds that Pelosi's legislation is not liberal enough).</t>
  </si>
  <si>
    <t>See “Ends Against the Middle: Scaling Votes When Ideological Opposites Behave the Same for Antithetical Reasons.” Jacob Montgomerty and JBrandon Duck-Mayr.</t>
  </si>
  <si>
    <t>nominateDim1</t>
  </si>
  <si>
    <t>nominateDim2</t>
  </si>
  <si>
    <t>nominateNumberOfVotes</t>
  </si>
  <si>
    <t>senateClass</t>
  </si>
  <si>
    <t>The campaign twitter account</t>
  </si>
  <si>
    <t>If incumbent, the official congressional account</t>
  </si>
  <si>
    <t>Identifies if candidate is member of CPC</t>
  </si>
  <si>
    <t>0= No, 1=Yes</t>
  </si>
  <si>
    <t>https://cpc-grijalva.house.gov/caucus-members/</t>
  </si>
  <si>
    <t>4 members in "the squad"</t>
  </si>
  <si>
    <t>AOC, Pressley, Tlaib, Omar</t>
  </si>
  <si>
    <t>Identifies if candidate is member of freedom caucus</t>
  </si>
  <si>
    <t>https://en.wikipedia.org/wiki/Freedom_Caucus#Membership</t>
  </si>
  <si>
    <t>Identifies if candidate is member of new democrat coalition</t>
  </si>
  <si>
    <t>https://newdemocratcoalition.house.gov/members</t>
  </si>
  <si>
    <t>Identifies if candidate is member of blue dog coalition</t>
  </si>
  <si>
    <t>https://bluedogcaucus-costa.house.gov/</t>
  </si>
  <si>
    <t>Identifies if candidate is member of Tuesday group</t>
  </si>
  <si>
    <t>https://en.wikipedia.org/wiki/Tuesday_Group#Membership</t>
  </si>
  <si>
    <t>Identifies if candidate is member of republican main street partnership</t>
  </si>
  <si>
    <t>https://en.wikipedia.org/wiki/Republican_Main_Street_Partnership#Current_members</t>
  </si>
  <si>
    <t>Identifies if candidate is member of problem solvers caucus</t>
  </si>
  <si>
    <t>https://problemsolverscaucus-gottheimer.house.gov/members</t>
  </si>
  <si>
    <t>Identifies if candidate is member of Republican Study Committee</t>
  </si>
  <si>
    <t>https://rsc-johnson.house.gov/about/membership</t>
  </si>
  <si>
    <t>1 if either in("squad", Ed Markey or Cory Booker) OR in [progressives/ (not in blue dogs/new dem)/in liberal 1/3 of Nominate for Democrats].  Issue is that squad is not liberal in Nominate, but clear error.  For non-squad, want them in progressive caucus, with liberal voting record and not in moderate group.  Incumbents only.</t>
  </si>
  <si>
    <t>Democratic moderates: 1 if in (blue dogs OR new dem OR "Doug Jones/Mark Warner") and not in progressive caucus and in conservative 1/3 of Nominate for Democrats.  Incumbents only.</t>
  </si>
  <si>
    <t>Republican moderates: 1 if in (Tuesday, Problem Solvers, Main Street) and not in Freedom caucus and in moderate portion of Nominate for Republicans. Incumbents only.</t>
  </si>
  <si>
    <t>Conservatives: 1 if [in Freedom Caucus/Republican Study Committee and not in (Tuesday Group, Main Street and Problem Solvers) and in conservative end of Nominate for Republicans] plus Jim Inhofe and Tom Cotton (to get Senators).  Incumbents only.</t>
  </si>
  <si>
    <t>primaryVotePct</t>
  </si>
  <si>
    <t>Percent of the vote earned by a candidate in their party's primary race nominating contest</t>
  </si>
  <si>
    <t>Quantitative</t>
  </si>
  <si>
    <t>0-100, Candidates with 100 are for those in uncontested primary elections. 0 for candidates who withdrew or non D/R candidates</t>
  </si>
  <si>
    <t>https://www.politico.com/2020-election/results/house/</t>
  </si>
  <si>
    <t>Percent of the vote earned by a candidate in their party's primary race RUNOFF contest, if there was one</t>
  </si>
  <si>
    <t>0-100, Candidates with 100 are for those in uncontested primary elections.</t>
  </si>
  <si>
    <t>https://ballotpedia.org/United_States_House_Democratic_Party_primaries,_2020</t>
  </si>
  <si>
    <t>Codes for reasons that scrape is not complete/context</t>
  </si>
  <si>
    <t>1: mainly video; 2: not scrapable; 3: campaign website points to official congressional site; 4: site no longer up; 5 only Facebook; 6 only Twitter; 7 other (see scrapeNotes); 8 no site found; 99 went thru "needScrape" process but no code entered</t>
  </si>
  <si>
    <t>Explanations for scraping issue</t>
  </si>
  <si>
    <t>Text</t>
  </si>
  <si>
    <t>links</t>
  </si>
  <si>
    <t>The list of links used to scrape the candidate's website</t>
  </si>
  <si>
    <t xml:space="preserve">Either one or more links that start with 'http'  OR one of several categories that starts with '(' that explain why there are no links list </t>
  </si>
  <si>
    <t>99 means no website found yet</t>
  </si>
  <si>
    <t>hasScrapedText</t>
  </si>
  <si>
    <t>Indicates that we have at least one website scrape</t>
  </si>
  <si>
    <t>0,1</t>
  </si>
  <si>
    <t>path</t>
  </si>
  <si>
    <t>the complete path for most recent scrape</t>
  </si>
  <si>
    <t>Ryan Melton</t>
  </si>
  <si>
    <t>AK-00-armstrong_jay-</t>
  </si>
  <si>
    <t>PA-12-lee_summer-</t>
  </si>
  <si>
    <t>PA-12-irwin_steve-</t>
  </si>
  <si>
    <t>Steve Irwin</t>
  </si>
  <si>
    <t>PA-12-dickinson_jerry-</t>
  </si>
  <si>
    <t>PA-10-daniels_shamaine-</t>
  </si>
  <si>
    <t>Shamaine Daniels</t>
  </si>
  <si>
    <t>PA-10-coplem_rick-</t>
  </si>
  <si>
    <t>Rick Coplen</t>
  </si>
  <si>
    <t>PA-09-waldman_amanda-</t>
  </si>
  <si>
    <t>Amanda Waldman</t>
  </si>
  <si>
    <t>PA-02-bashir_aaron-</t>
  </si>
  <si>
    <t>Aaron Bashir</t>
  </si>
  <si>
    <t>OR-03-harbour_joanna-</t>
  </si>
  <si>
    <t>Joanna Harbour</t>
  </si>
  <si>
    <t>OR-02-yetter_joe-</t>
  </si>
  <si>
    <t>Joe Yetter</t>
  </si>
  <si>
    <t>OR-02-prine_adam-</t>
  </si>
  <si>
    <t>Adam Prine</t>
  </si>
  <si>
    <t>NE-03-else_david-</t>
  </si>
  <si>
    <t>David Else</t>
  </si>
  <si>
    <t>AR-04-white_john-</t>
  </si>
  <si>
    <t>John White</t>
  </si>
  <si>
    <t>NE-03-wik_daniel-</t>
  </si>
  <si>
    <t>Daniel Wik</t>
  </si>
  <si>
    <t>WV-01-miller_carol-</t>
  </si>
  <si>
    <t>PA-17-coder_kathy-</t>
  </si>
  <si>
    <t>Kathy Coder</t>
  </si>
  <si>
    <t>PA-08-marsicano_mike-</t>
  </si>
  <si>
    <t>Mike Marsicano</t>
  </si>
  <si>
    <t>PA-06-ciarrochi_guy-</t>
  </si>
  <si>
    <t>Guy Ciarrochi</t>
  </si>
  <si>
    <t>PA-04-burton_daniel-</t>
  </si>
  <si>
    <t>Daniel Burton</t>
  </si>
  <si>
    <t>OR-Sen03-christensen_christopher-</t>
  </si>
  <si>
    <t>Christopher Christensen</t>
  </si>
  <si>
    <t>OR-Sen03-thompson_brent-</t>
  </si>
  <si>
    <t>Brent Thompson</t>
  </si>
  <si>
    <t>OR-06-erickson_mike-</t>
  </si>
  <si>
    <t>Mike Erickson</t>
  </si>
  <si>
    <t>OR-05-dipaola_john-</t>
  </si>
  <si>
    <t>John Di Paola</t>
  </si>
  <si>
    <t>OR-02-cavener_mark-</t>
  </si>
  <si>
    <t>Mark Cavener</t>
  </si>
  <si>
    <t>OR-02-gallant_katherine-</t>
  </si>
  <si>
    <t>OR-01-phillips_scott-</t>
  </si>
  <si>
    <t>Scott Phillips</t>
  </si>
  <si>
    <t>OR-01-robertson_christian-</t>
  </si>
  <si>
    <t>Christian Robertson</t>
  </si>
  <si>
    <t>NE-03-calhoun_mike-</t>
  </si>
  <si>
    <t>Mike Calhoun</t>
  </si>
  <si>
    <t>NE-02-kuehl_steve-</t>
  </si>
  <si>
    <t>Steve Kuehl</t>
  </si>
  <si>
    <t>ID-Sen03-turnbull_ramont-</t>
  </si>
  <si>
    <t>Ramont Turnbull</t>
  </si>
  <si>
    <t>ID-Sen03-fleming_natalie-</t>
  </si>
  <si>
    <t>Natalie Fleming</t>
  </si>
  <si>
    <t>ID-Sen03-roth_david-</t>
  </si>
  <si>
    <t>David Roth</t>
  </si>
  <si>
    <t>ID-Sen03-pursley_ben-</t>
  </si>
  <si>
    <t>Ben Pursley</t>
  </si>
  <si>
    <t>ID-02-norman_wendy-</t>
  </si>
  <si>
    <t>Wendy Norman</t>
  </si>
  <si>
    <t>ID-02-christensen_flint-</t>
  </si>
  <si>
    <t>Flint Christensen</t>
  </si>
  <si>
    <t>ID-02-levy_daniel-</t>
  </si>
  <si>
    <t>Daniel Levy</t>
  </si>
  <si>
    <t>ID-02-porter_chris-</t>
  </si>
  <si>
    <t>Chris Porter</t>
  </si>
  <si>
    <t>ID-01-peterson_kaylee-</t>
  </si>
  <si>
    <t>Kaylee Peterson</t>
  </si>
  <si>
    <t>AR-01-shackelford_jody-</t>
  </si>
  <si>
    <t>Jody Shackelford</t>
  </si>
  <si>
    <t>OR-06_ryancourser_amy-</t>
  </si>
  <si>
    <t>Darien Moreno</t>
  </si>
  <si>
    <t>KY-03-moreno_darien-</t>
  </si>
  <si>
    <t>Joyce Griggs</t>
  </si>
  <si>
    <t>GA-01-griggs_joyce-</t>
  </si>
  <si>
    <t>Paul Whitehead</t>
  </si>
  <si>
    <t>GA-02-whitehead_paul-</t>
  </si>
  <si>
    <t>GA-03-craig_jared-</t>
  </si>
  <si>
    <t>Charlotte Macbagito</t>
  </si>
  <si>
    <t>GA-05-macbagito_charlotte-</t>
  </si>
  <si>
    <t>Valencia Stovall</t>
  </si>
  <si>
    <t>GA-05-stovall_valencia-</t>
  </si>
  <si>
    <t>Bob Christian</t>
  </si>
  <si>
    <t>GA-06-christian_bob-</t>
  </si>
  <si>
    <t>Paulette Smith</t>
  </si>
  <si>
    <t>GA-06-smith_paulette-</t>
  </si>
  <si>
    <t>Wayne White</t>
  </si>
  <si>
    <t>GA-06-white_wayne-</t>
  </si>
  <si>
    <t>Michael Boggus</t>
  </si>
  <si>
    <t>GA-09-boggus_michael-</t>
  </si>
  <si>
    <t>Femi Oduwole</t>
  </si>
  <si>
    <t>GA-10-oduwole_phyllis-</t>
  </si>
  <si>
    <t>GA-10-walton_paul-</t>
  </si>
  <si>
    <t>Tabitha Johnson Green</t>
  </si>
  <si>
    <t>GA-10-johnson-green_tabitha-</t>
  </si>
  <si>
    <t>Caesar Gonzales</t>
  </si>
  <si>
    <t>GA-13-gonzales_caesar-</t>
  </si>
  <si>
    <t>Dominika Hawkins</t>
  </si>
  <si>
    <t>GA-13-hawkins_dominika-</t>
  </si>
  <si>
    <t>Shastity Driscoll</t>
  </si>
  <si>
    <t>GA-13-driscoll_shastity-</t>
  </si>
  <si>
    <t>James Haygood</t>
  </si>
  <si>
    <t>GA-14-haygood_james-</t>
  </si>
  <si>
    <t>Seth Synstelien</t>
  </si>
  <si>
    <t>GA-14-synstelien_seth-</t>
  </si>
  <si>
    <t>Tamara Johnson Shealey</t>
  </si>
  <si>
    <t>GA-Sen03-johnson-shealey_tamara-</t>
  </si>
  <si>
    <t>WV-02-dwyer_angela-</t>
  </si>
  <si>
    <t>CA-03-jones_kermit-</t>
  </si>
  <si>
    <t>CA-03-peterson_david-</t>
  </si>
  <si>
    <t>Andrew David Engdahl</t>
  </si>
  <si>
    <t>CA-04-engdahl_andrewdavid-</t>
  </si>
  <si>
    <t>CA-04-thompson_mike-</t>
  </si>
  <si>
    <t>CA-06-bera_ami-</t>
  </si>
  <si>
    <t>Mark Gorman</t>
  </si>
  <si>
    <t>CA-06-gorman_mark-</t>
  </si>
  <si>
    <t>Jimmy Fremgen</t>
  </si>
  <si>
    <t>CA-07-fremgen_jimmy-</t>
  </si>
  <si>
    <t>CA-07-matsui_doris-</t>
  </si>
  <si>
    <t>Christopher Riley</t>
  </si>
  <si>
    <t>CA-08-riley_christopher-</t>
  </si>
  <si>
    <t>CA-09-harder_josh-</t>
  </si>
  <si>
    <t>Khalid Jafri</t>
  </si>
  <si>
    <t>CA-09-jafri_khalid-</t>
  </si>
  <si>
    <t>CA-10-desaulnier_mark-</t>
  </si>
  <si>
    <t>CA-11-buttar_shahid-</t>
  </si>
  <si>
    <t>CA-11-pelosi_nancy-</t>
  </si>
  <si>
    <t>CA-11-phillips_jeffrey-</t>
  </si>
  <si>
    <t>CA-11-von-krieg_bianca-</t>
  </si>
  <si>
    <t>CA-12-lee_barbara-</t>
  </si>
  <si>
    <t>Eric Wilson</t>
  </si>
  <si>
    <t>CA-12-wilson_eric-</t>
  </si>
  <si>
    <t>CA-13-arballo_phil-</t>
  </si>
  <si>
    <t>CA-14-swalwell_eric-</t>
  </si>
  <si>
    <t>CA-15-beach_emily-</t>
  </si>
  <si>
    <t>CA-15-canepa_david-</t>
  </si>
  <si>
    <t>CA-15-mullin_kevin-</t>
  </si>
  <si>
    <t>CA-15-watters_andrew-</t>
  </si>
  <si>
    <t>CA-16-eshoo_anna-</t>
  </si>
  <si>
    <t>CA-16-kumar_rishi-</t>
  </si>
  <si>
    <t>CA-16-rading_ajwang-</t>
  </si>
  <si>
    <t>CA-16-tanaka_greg-</t>
  </si>
  <si>
    <t>Stephen Forbes</t>
  </si>
  <si>
    <t>CA-17-forbes_stephen-</t>
  </si>
  <si>
    <t>Rao Ravul</t>
  </si>
  <si>
    <t>CA-17-ravul_rao-</t>
  </si>
  <si>
    <t>Luis Acevdedo-Arreguin</t>
  </si>
  <si>
    <t>CA-18-lofgren_zoe-</t>
  </si>
  <si>
    <t>Douglas Deitch</t>
  </si>
  <si>
    <t>CA-19-deitch_douglas-</t>
  </si>
  <si>
    <t>CA-19-panetta_jimmy-</t>
  </si>
  <si>
    <t>CA-20-wood_marisa-</t>
  </si>
  <si>
    <t>CA-21-costa_jim-</t>
  </si>
  <si>
    <t>CA-21-garcia_eric-</t>
  </si>
  <si>
    <t>CA-22-salas_rudy-</t>
  </si>
  <si>
    <t>CA-23-gomez_blanca-</t>
  </si>
  <si>
    <t>CA-23-marshall_derek-</t>
  </si>
  <si>
    <t>CA-25-ruiz_raul-</t>
  </si>
  <si>
    <t>CA-27-luevanos_ruth-</t>
  </si>
  <si>
    <t>Quaye Quartey</t>
  </si>
  <si>
    <t>CA-27-quartey_quaye-</t>
  </si>
  <si>
    <t>CA-27-smith_christy-</t>
  </si>
  <si>
    <t>Dorothy Caronna</t>
  </si>
  <si>
    <t>CA-28-caronna_dorothy-</t>
  </si>
  <si>
    <t>CA-28-chu_judy-</t>
  </si>
  <si>
    <t>Sal Genovese</t>
  </si>
  <si>
    <t>CA-30-genovese_sal-</t>
  </si>
  <si>
    <t>G. Pudlo</t>
  </si>
  <si>
    <t>CA-30-pudlo_g-</t>
  </si>
  <si>
    <t>CA-30-schiff_adam-</t>
  </si>
  <si>
    <t>Rocco De Luca</t>
  </si>
  <si>
    <t>CA-31-deluca_rocco-</t>
  </si>
  <si>
    <t>CA-31-napolitano_grace-</t>
  </si>
  <si>
    <t>CA-32-aazami_shervin-</t>
  </si>
  <si>
    <t>CA-32-potell_jason-</t>
  </si>
  <si>
    <t>CA-32-rab_raji-</t>
  </si>
  <si>
    <t>CA-32-rhodes_aarika-</t>
  </si>
  <si>
    <t>CA-32-sherman_brad-</t>
  </si>
  <si>
    <t>CA-33-aguilar_pete-</t>
  </si>
  <si>
    <t>Lloyd Stevens</t>
  </si>
  <si>
    <t>CA-35-stevens_lloyd-</t>
  </si>
  <si>
    <t>CA-36-lieu_ted-</t>
  </si>
  <si>
    <t>Colin Obrien</t>
  </si>
  <si>
    <t>CA-36-obrien_colin-</t>
  </si>
  <si>
    <t>Sandra Mendoza</t>
  </si>
  <si>
    <t>CA-37-mendoza_sandra-</t>
  </si>
  <si>
    <t>Michael Shure</t>
  </si>
  <si>
    <t>CA-37-shure_michael-</t>
  </si>
  <si>
    <t>CA-39-takano_mark-</t>
  </si>
  <si>
    <t>CA-41-rollins_will-</t>
  </si>
  <si>
    <t>Joaquin Beltran</t>
  </si>
  <si>
    <t>CA-42-beltran_joaquin-</t>
  </si>
  <si>
    <t>CA-42-garcia_robert-</t>
  </si>
  <si>
    <t>CA-42-lopez_nicole-</t>
  </si>
  <si>
    <t>Jean Monestime</t>
  </si>
  <si>
    <t>CA-43-monestime_jean-</t>
  </si>
  <si>
    <t>Morris Griffin</t>
  </si>
  <si>
    <t>CA-44-griffin_morris-</t>
  </si>
  <si>
    <t>CA-45-chen_jay-</t>
  </si>
  <si>
    <t>CA-47-porter_katie-</t>
  </si>
  <si>
    <t>CA-48-houlahan_stephen-</t>
  </si>
  <si>
    <t>Matthew Rascon</t>
  </si>
  <si>
    <t>CA-48-rascon_matthew-</t>
  </si>
  <si>
    <t>Nadia Smalley</t>
  </si>
  <si>
    <t>CA-49-smalley_nadia-</t>
  </si>
  <si>
    <t>CA-50-peters_scott-</t>
  </si>
  <si>
    <t>Kylie Taitano</t>
  </si>
  <si>
    <t>CA-50-taitano_kylie-</t>
  </si>
  <si>
    <t>CA-51-jacobs_sara-</t>
  </si>
  <si>
    <t>CA-52-vargas_juan-</t>
  </si>
  <si>
    <t>Dan O'Dowd</t>
  </si>
  <si>
    <t>CA-Sen03-odowd_dan-</t>
  </si>
  <si>
    <t>Dianne Black</t>
  </si>
  <si>
    <t>MS-01-black_dianne-</t>
  </si>
  <si>
    <t>MT-01-tranel_monica-</t>
  </si>
  <si>
    <t>MT-01-neumann_cora-</t>
  </si>
  <si>
    <t>MT-01-winter_tom-</t>
  </si>
  <si>
    <t>Katrina Christiansen</t>
  </si>
  <si>
    <t>ND-Sen03-christiansen_katrina-</t>
  </si>
  <si>
    <t>Reuven Hendler</t>
  </si>
  <si>
    <t>Roger Bacon</t>
  </si>
  <si>
    <t>NJ-07-bacon_roger-</t>
  </si>
  <si>
    <t>Ane Roseborough-Eberhard</t>
  </si>
  <si>
    <t>Elizabeth Krause</t>
  </si>
  <si>
    <t>NV-02-krause_elizabeth-</t>
  </si>
  <si>
    <t>Corey Reid</t>
  </si>
  <si>
    <t>NV-Sen03-reid_corey-</t>
  </si>
  <si>
    <t>Ken Hill</t>
  </si>
  <si>
    <t>SC-04-hill_ken-</t>
  </si>
  <si>
    <t>Evangeline Hundley</t>
  </si>
  <si>
    <t>SC-05-hundley_evangeline-</t>
  </si>
  <si>
    <t>Daryl Scott</t>
  </si>
  <si>
    <t>SC-07-scott_daryl-</t>
  </si>
  <si>
    <t>Rose Penelope Yee</t>
  </si>
  <si>
    <t>CA-01-yee_peneloperose-</t>
  </si>
  <si>
    <t>Jason Kishineff</t>
  </si>
  <si>
    <t>Steve Wozniak</t>
  </si>
  <si>
    <t>CA-05-wozniak_steve-</t>
  </si>
  <si>
    <t>Glenn Kaplan</t>
  </si>
  <si>
    <t>Major Singh</t>
  </si>
  <si>
    <t>CA-14-singh_major-</t>
  </si>
  <si>
    <t>Jim Garrity</t>
  </si>
  <si>
    <t>CA-15-garrity_jim-</t>
  </si>
  <si>
    <t>John Fredrich</t>
  </si>
  <si>
    <t>CA-16-fredrich_john-</t>
  </si>
  <si>
    <t>Jeff Frankenfield</t>
  </si>
  <si>
    <t>CA-24-frankenfield_jeff-</t>
  </si>
  <si>
    <t>Michele Weslander Quaid</t>
  </si>
  <si>
    <t>Dave Goodman</t>
  </si>
  <si>
    <t>CA-26-goodman_dave-</t>
  </si>
  <si>
    <t>Guiliano Depaolis</t>
  </si>
  <si>
    <t>CA-28-depaolis_giuliano-</t>
  </si>
  <si>
    <t>William Meurer</t>
  </si>
  <si>
    <t>CA-30-meurer_william-</t>
  </si>
  <si>
    <t>Anna Nevenic</t>
  </si>
  <si>
    <t>CA-41-nevenic_anna-</t>
  </si>
  <si>
    <t>Julio Flores</t>
  </si>
  <si>
    <t>CA-42-flores_julio-</t>
  </si>
  <si>
    <t>Ed Rushman</t>
  </si>
  <si>
    <t>CA-46-rushman_ed-</t>
  </si>
  <si>
    <t>CA-48-jahn_lucinda-</t>
  </si>
  <si>
    <t>Jose Cortes</t>
  </si>
  <si>
    <t>CA-51-cortes_jose-</t>
  </si>
  <si>
    <t>John Thompson Parker</t>
  </si>
  <si>
    <t>CA-Sen03-thompson-parker_john-</t>
  </si>
  <si>
    <t>Douglas Brower</t>
  </si>
  <si>
    <t>CA-02-brower_douglas-</t>
  </si>
  <si>
    <t>Chris Coulombe</t>
  </si>
  <si>
    <t>CA-02-coulombe_chris-</t>
  </si>
  <si>
    <t>Darian Elizondo</t>
  </si>
  <si>
    <t>CA-02-elizondo_darian-</t>
  </si>
  <si>
    <t>Archimedes Ramirez</t>
  </si>
  <si>
    <t>CA-02-ramirez_archimedes-</t>
  </si>
  <si>
    <t>Scott Giblin</t>
  </si>
  <si>
    <t>CA-04-giblin_scott-</t>
  </si>
  <si>
    <t>Matt Brock</t>
  </si>
  <si>
    <t>CA-04-brock_matt-</t>
  </si>
  <si>
    <t>Jimih Jones</t>
  </si>
  <si>
    <t>CA-04-jones_jimih-</t>
  </si>
  <si>
    <t>CA-05-mcclintock_tom-</t>
  </si>
  <si>
    <t>CA-05-magsig_nathan-</t>
  </si>
  <si>
    <t>Christine Bish</t>
  </si>
  <si>
    <t>CA-06-bish_christine-</t>
  </si>
  <si>
    <t>Karla Black</t>
  </si>
  <si>
    <t>CA-06-black_karla-</t>
  </si>
  <si>
    <t>CA-06-daniels_bret-</t>
  </si>
  <si>
    <t>Tamika Hamilton</t>
  </si>
  <si>
    <t>CA-06-hamilton_tamika-</t>
  </si>
  <si>
    <t>Rudy Recile</t>
  </si>
  <si>
    <t>CA-08-recile_rudy-</t>
  </si>
  <si>
    <t>Michael Kerr</t>
  </si>
  <si>
    <t>CA-10-kerr_michael-</t>
  </si>
  <si>
    <t>CA-11-delcastello_eve-</t>
  </si>
  <si>
    <t>CA-11-dennis_john-</t>
  </si>
  <si>
    <t>Ned Nuerge</t>
  </si>
  <si>
    <t>CA-12-nuerge_ned-</t>
  </si>
  <si>
    <t>Stephen Slauson</t>
  </si>
  <si>
    <t>CA-12-slauson_stephen-</t>
  </si>
  <si>
    <t>John Duarte</t>
  </si>
  <si>
    <t>CA-13-duarte_john-</t>
  </si>
  <si>
    <t>CA-13-giglio_david-</t>
  </si>
  <si>
    <t>Diego Martinez</t>
  </si>
  <si>
    <t>CA-13-martinez_diego-</t>
  </si>
  <si>
    <t>CA-14-hayden_alison-</t>
  </si>
  <si>
    <t>Tom Wong</t>
  </si>
  <si>
    <t>CA-14-wong_tom-</t>
  </si>
  <si>
    <t>CA-15-mattammal_gus-</t>
  </si>
  <si>
    <t>CA-16-ohtaki_peter-</t>
  </si>
  <si>
    <t>CA-16-solomon_benjamin-</t>
  </si>
  <si>
    <t>Ritesh Tandon</t>
  </si>
  <si>
    <t>CA-17-tandon_ritesh-</t>
  </si>
  <si>
    <t>Joe Dehn</t>
  </si>
  <si>
    <t>CA-17-dehn_joe-</t>
  </si>
  <si>
    <t>Peter Hernandez</t>
  </si>
  <si>
    <t>CA-18-hernandez_peter-</t>
  </si>
  <si>
    <t>CA-19-epperson_dalila-</t>
  </si>
  <si>
    <t>Jeff Gorman</t>
  </si>
  <si>
    <t>CA-19-gorman_jeff-</t>
  </si>
  <si>
    <t>James Davis</t>
  </si>
  <si>
    <t>CA-20-davis_james-</t>
  </si>
  <si>
    <t>James Macauley</t>
  </si>
  <si>
    <t>CA-20-macauley_james-</t>
  </si>
  <si>
    <t>CA-20-mccarthy_kevin-</t>
  </si>
  <si>
    <t>CA-21-maher_michael-</t>
  </si>
  <si>
    <t>Matt Stoll</t>
  </si>
  <si>
    <t>CA-21-stoll_matt-</t>
  </si>
  <si>
    <t>CA-22-mathy_chris-</t>
  </si>
  <si>
    <t>Adam Medeiros</t>
  </si>
  <si>
    <t>CA-22-mederiso_adam-</t>
  </si>
  <si>
    <t>CA-22-valadao_david-</t>
  </si>
  <si>
    <t>CA-23-obernolte_jay-</t>
  </si>
  <si>
    <t>Brad Allen</t>
  </si>
  <si>
    <t>CA-24-allen_brad-</t>
  </si>
  <si>
    <t>CA-25-gibson_jamesfrancis-</t>
  </si>
  <si>
    <t>CA-25-reiss_jonathan-</t>
  </si>
  <si>
    <t>CA-25-truman_ceci-</t>
  </si>
  <si>
    <t>CA-25-hawkins_brian-</t>
  </si>
  <si>
    <t>Burt Thakur</t>
  </si>
  <si>
    <t>CA-25-thakur_burt-</t>
  </si>
  <si>
    <t>Paul Taylor</t>
  </si>
  <si>
    <t>CA-26-paul_taylor-</t>
  </si>
  <si>
    <t>CA-27-garcia_mike-</t>
  </si>
  <si>
    <t>Mark Pierce</t>
  </si>
  <si>
    <t>CA-27-pierce_mark-</t>
  </si>
  <si>
    <t>David Rudnick</t>
  </si>
  <si>
    <t>CA-27-rudnick_david-</t>
  </si>
  <si>
    <t>Wes Hallman</t>
  </si>
  <si>
    <t>CA-28-hallman_wes-</t>
  </si>
  <si>
    <t>Margarita Maria Carranza</t>
  </si>
  <si>
    <t>CA-29-carranza_margaritamaria-</t>
  </si>
  <si>
    <t>Rudy Melendez</t>
  </si>
  <si>
    <t>CA-29-melendez_rudy-</t>
  </si>
  <si>
    <t>Andy Miranda</t>
  </si>
  <si>
    <t>CA-29-miranda_andy-</t>
  </si>
  <si>
    <t>CA-30-baldwin-kennedy_ronda-</t>
  </si>
  <si>
    <t>Johnny Nalbandian</t>
  </si>
  <si>
    <t>CA-30-nalbandian_johnny-</t>
  </si>
  <si>
    <t>CA-30-zuniga_paloma-</t>
  </si>
  <si>
    <t>CA-31-bocic-martinez_daniel-</t>
  </si>
  <si>
    <t>CA-32-volotzky_lucie-</t>
  </si>
  <si>
    <t>Melissa Toomim</t>
  </si>
  <si>
    <t>CA-32-toomim_melissa-</t>
  </si>
  <si>
    <t>Rex Gutierrez</t>
  </si>
  <si>
    <t>CA-33-gutierrez_rex-</t>
  </si>
  <si>
    <t>John Porter</t>
  </si>
  <si>
    <t>CA-33-porter_john-</t>
  </si>
  <si>
    <t>Ernest Richter</t>
  </si>
  <si>
    <t>CA-33-richter_ernest-</t>
  </si>
  <si>
    <t>Clifton VonBuck</t>
  </si>
  <si>
    <t>CA-34-vonbuck_clifton-</t>
  </si>
  <si>
    <t>Mike Cargile</t>
  </si>
  <si>
    <t>CA-35-cargile_mike-</t>
  </si>
  <si>
    <t>Bob Erbst</t>
  </si>
  <si>
    <t>CA-35-erbst_bob-</t>
  </si>
  <si>
    <t>CA-36-collins_joe-</t>
  </si>
  <si>
    <t>CA-36-gates_derrick-</t>
  </si>
  <si>
    <t>Ariana Hakami</t>
  </si>
  <si>
    <t>CA-36-hakami_ariana-</t>
  </si>
  <si>
    <t>Claire Ragge</t>
  </si>
  <si>
    <t>CA-36-ragge_claire-</t>
  </si>
  <si>
    <t>Chris Champion</t>
  </si>
  <si>
    <t>CA-37-champion_chris-</t>
  </si>
  <si>
    <t>CA-38-ching_eric-</t>
  </si>
  <si>
    <t>John Sarega</t>
  </si>
  <si>
    <t>CA-38-sarega_john-</t>
  </si>
  <si>
    <t>John Minnella</t>
  </si>
  <si>
    <t>CA-39-minnella_john-</t>
  </si>
  <si>
    <t>Tony Moreno</t>
  </si>
  <si>
    <t>CA-39-moreno_tony-</t>
  </si>
  <si>
    <t>Art Peterson</t>
  </si>
  <si>
    <t>CA-39-peterson_art-</t>
  </si>
  <si>
    <t>Aja Smith</t>
  </si>
  <si>
    <t>CA-39-smith_aja-</t>
  </si>
  <si>
    <t>CA-39-spinney_bill-</t>
  </si>
  <si>
    <t>Emmanuel Suarez</t>
  </si>
  <si>
    <t>CA-39-suarez_emmanuel-</t>
  </si>
  <si>
    <t>CA-40-kim_young-</t>
  </si>
  <si>
    <t>Nick Taurus</t>
  </si>
  <si>
    <t>CA-40-taurus_nick-</t>
  </si>
  <si>
    <t>CA-41-calvert_ken-</t>
  </si>
  <si>
    <t>John Lucio</t>
  </si>
  <si>
    <t>CA-41-lucio_michael-</t>
  </si>
  <si>
    <t>John Briscoe</t>
  </si>
  <si>
    <t>CA-42-briscoe_john-</t>
  </si>
  <si>
    <t>Paul Jones</t>
  </si>
  <si>
    <t>CA-44-jones_paul-</t>
  </si>
  <si>
    <t>CA-45-steel_michelle-</t>
  </si>
  <si>
    <t>CA-46-gonzales_christopher-</t>
  </si>
  <si>
    <t>Mike Nguyen</t>
  </si>
  <si>
    <t>CA-46-nguyen_mike-</t>
  </si>
  <si>
    <t>Felix Rocha</t>
  </si>
  <si>
    <t>CA-46-rocha_felix-</t>
  </si>
  <si>
    <t>CA-47-burley_brian-</t>
  </si>
  <si>
    <t>CA-47-phan-west_amy-</t>
  </si>
  <si>
    <t>CA-48-issa_darrell-</t>
  </si>
  <si>
    <t>Renee Taylor</t>
  </si>
  <si>
    <t>David Chiddick</t>
  </si>
  <si>
    <t>CA-50-chiddick_david-</t>
  </si>
  <si>
    <t>Corey Gustafson</t>
  </si>
  <si>
    <t>CA-50-gustafson_corey-</t>
  </si>
  <si>
    <t>Tyler Geffeney</t>
  </si>
  <si>
    <t>CA-52-geffeney_tyler-</t>
  </si>
  <si>
    <t>Jon Elist</t>
  </si>
  <si>
    <t>CA-Sen03-elist_jon-</t>
  </si>
  <si>
    <t>Mark Strauss</t>
  </si>
  <si>
    <t>MS-01-strauss_mark-</t>
  </si>
  <si>
    <t>Brian Flowers</t>
  </si>
  <si>
    <t>MS-02-flowers_brian-</t>
  </si>
  <si>
    <t>Ronald Eller</t>
  </si>
  <si>
    <t>Michael Carson</t>
  </si>
  <si>
    <t>MS-02-carson_michael-</t>
  </si>
  <si>
    <t>Stanford Johnson</t>
  </si>
  <si>
    <t>MS-02-johnson_stanford-</t>
  </si>
  <si>
    <t>Michael Cassidy</t>
  </si>
  <si>
    <t>MS-03-cassidy_michael-</t>
  </si>
  <si>
    <t>Thomas Griffin</t>
  </si>
  <si>
    <t>MS-03-griffin_thomas-</t>
  </si>
  <si>
    <t>MT-01-zinke_ryan-</t>
  </si>
  <si>
    <t>Al Olszewski</t>
  </si>
  <si>
    <t>MT-01-olszewski_al-</t>
  </si>
  <si>
    <t>MT-01-todd_mary-</t>
  </si>
  <si>
    <t>Kyle Austin</t>
  </si>
  <si>
    <t>MT-02-austin_kyle-</t>
  </si>
  <si>
    <t>Charles Walkingchild</t>
  </si>
  <si>
    <t>MT-02-walkingchild_charles-</t>
  </si>
  <si>
    <t>Riley Kuntz</t>
  </si>
  <si>
    <t>ND-Sen03-kuntz_riley-</t>
  </si>
  <si>
    <t>Claire Gustafson</t>
  </si>
  <si>
    <t>NJ-01-gustafson_claire-</t>
  </si>
  <si>
    <t>Damon Galdo</t>
  </si>
  <si>
    <t>NJ-01-galdo_damon-</t>
  </si>
  <si>
    <t>Sean Pignatelli</t>
  </si>
  <si>
    <t>NJ-02-pignatelli_sean-</t>
  </si>
  <si>
    <t>Ian Smith</t>
  </si>
  <si>
    <t>NJ-03-smith_ian-</t>
  </si>
  <si>
    <t>Nicholas Ferrara</t>
  </si>
  <si>
    <t>NJ-03-ferrara_nicholas-</t>
  </si>
  <si>
    <t>Steve Gray</t>
  </si>
  <si>
    <t>NJ-04-gray_steve-</t>
  </si>
  <si>
    <t>Sab Skenderi</t>
  </si>
  <si>
    <t>NJ-05-skenderi_sab-</t>
  </si>
  <si>
    <t>Fred Schneiderman</t>
  </si>
  <si>
    <t>NJ-05-schneiderman_fred-</t>
  </si>
  <si>
    <t>NJ-06-mehta_rik-</t>
  </si>
  <si>
    <t>Thomas Toomey</t>
  </si>
  <si>
    <t>NJ-06-toomey_thomas-</t>
  </si>
  <si>
    <t>NJ-07-rizzo_philip-</t>
  </si>
  <si>
    <t>Garth Stewart</t>
  </si>
  <si>
    <t>NJ-10-stewart_garth-</t>
  </si>
  <si>
    <t>Ruth McAndrew</t>
  </si>
  <si>
    <t>NJ-11-mcandrew_ruth-</t>
  </si>
  <si>
    <t>Alexander Halter</t>
  </si>
  <si>
    <t>NJ-11-halter_alexander-</t>
  </si>
  <si>
    <t>Darius Mayfield</t>
  </si>
  <si>
    <t>NJ-12-mayfield_darius-</t>
  </si>
  <si>
    <t>Louie Sanchez</t>
  </si>
  <si>
    <t>NM-01-sanchez_louie-</t>
  </si>
  <si>
    <t>NV-01-robertson_mark-</t>
  </si>
  <si>
    <t>NV-01-serrano_carolina-</t>
  </si>
  <si>
    <t>Cresent Hardy</t>
  </si>
  <si>
    <t>NV-01-hardy_cresent-</t>
  </si>
  <si>
    <t>Cynthia Steel</t>
  </si>
  <si>
    <t>NV-01-steel_cynthia-</t>
  </si>
  <si>
    <t>Jane Adams</t>
  </si>
  <si>
    <t>NV-01-adams_jane-</t>
  </si>
  <si>
    <t>Jessie Turner</t>
  </si>
  <si>
    <t>NV-01-turner_jessie-</t>
  </si>
  <si>
    <t>Danny Tarkanian</t>
  </si>
  <si>
    <t>NV-02-tarkanian_danny-</t>
  </si>
  <si>
    <t>Joel Beck</t>
  </si>
  <si>
    <t>NV-02-beck_joel-</t>
  </si>
  <si>
    <t>Catherine Sampson</t>
  </si>
  <si>
    <t>NV-02-sampson_catherine-</t>
  </si>
  <si>
    <t>Brian Nadell</t>
  </si>
  <si>
    <t>NV-02-nadell_brian-</t>
  </si>
  <si>
    <t>Albert Goldberg</t>
  </si>
  <si>
    <t>NV-03-goldberg_albert-</t>
  </si>
  <si>
    <t>William Conrad</t>
  </si>
  <si>
    <t>NV-Sen03-conrad_william-</t>
  </si>
  <si>
    <t>Sonia Morris</t>
  </si>
  <si>
    <t>SC-06-morris_sonia-</t>
  </si>
  <si>
    <t>Taffy Howard</t>
  </si>
  <si>
    <t>SD-00-howard_taffy-</t>
  </si>
  <si>
    <t>Timothy Ursich</t>
  </si>
  <si>
    <t>CA-Sen03-ursich_timothy-</t>
  </si>
  <si>
    <t>Liam Simard</t>
  </si>
  <si>
    <t>CA-14-simard_liam-</t>
  </si>
  <si>
    <t>Ferenc Pataki</t>
  </si>
  <si>
    <t>CA-15-pataki_ferenc-</t>
  </si>
  <si>
    <t>Tony Rodriguez</t>
  </si>
  <si>
    <t>CA-30-rodriguez_tony-</t>
  </si>
  <si>
    <t>Matthew Jesuele</t>
  </si>
  <si>
    <t>CA-36-jesuele_matthew-</t>
  </si>
  <si>
    <t>Steve Williams</t>
  </si>
  <si>
    <t>CA-36-williams_steve-</t>
  </si>
  <si>
    <t>James Conn</t>
  </si>
  <si>
    <t>CA-Sen03-conn_james-</t>
  </si>
  <si>
    <t>Pamela Elizondo</t>
  </si>
  <si>
    <t>CA-sen03-elizondo_pamela-</t>
  </si>
  <si>
    <t>Daphne Bradford</t>
  </si>
  <si>
    <t>CA-Sen03-bradford_daphne-</t>
  </si>
  <si>
    <t>Eleanor Garcia</t>
  </si>
  <si>
    <t>CA-Sen03-garcia_eleanor-</t>
  </si>
  <si>
    <t>Myron Hall</t>
  </si>
  <si>
    <t>CA-Sen03-hall_myron-</t>
  </si>
  <si>
    <t>Enrique Petris</t>
  </si>
  <si>
    <t>CA-Sen03-petris_enrique-</t>
  </si>
  <si>
    <t>Carlos Tapia</t>
  </si>
  <si>
    <t>CA-Sen03-tapia_carlos-</t>
  </si>
  <si>
    <t>Mark Haugen</t>
  </si>
  <si>
    <t>ND-00-haugen_mark-</t>
  </si>
  <si>
    <t>Marcos Arroyo</t>
  </si>
  <si>
    <t>NJ-08-arroyo_marcos-</t>
  </si>
  <si>
    <t>Billy Prempeh</t>
  </si>
  <si>
    <t>NJ-09-prempeh_billy-</t>
  </si>
  <si>
    <t>David Pinckney</t>
  </si>
  <si>
    <t>NJ-10-pinckney_david-</t>
  </si>
  <si>
    <t>Martinez Johnson</t>
  </si>
  <si>
    <t>NM-03-johnson_martinez-</t>
  </si>
  <si>
    <t>Va-04-benjamin_leon-</t>
  </si>
  <si>
    <t>Leon Benjamin</t>
  </si>
  <si>
    <t>VA-03-engquist_ted-</t>
  </si>
  <si>
    <t>Ted Engquist</t>
  </si>
  <si>
    <t>VA-01-jones_herb-</t>
  </si>
  <si>
    <t>Herb Jones</t>
  </si>
  <si>
    <t>Bernie Sanders</t>
  </si>
  <si>
    <t>VT-Sen01</t>
  </si>
  <si>
    <t>VT-Sen01-sanders_bernie-</t>
  </si>
  <si>
    <t>@BernieSanders</t>
  </si>
  <si>
    <t>@SenSanders</t>
  </si>
  <si>
    <t>Sanders</t>
  </si>
  <si>
    <t>S000033</t>
  </si>
  <si>
    <t>Elizabeth Warren</t>
  </si>
  <si>
    <t>MA-Sen01</t>
  </si>
  <si>
    <t>MA-Sen01-warren_elizabeth-</t>
  </si>
  <si>
    <t>@ewarren</t>
  </si>
  <si>
    <t>@SenWarren</t>
  </si>
  <si>
    <t>W000817</t>
  </si>
  <si>
    <t>Jeff Merkley</t>
  </si>
  <si>
    <t>OR-Sen02</t>
  </si>
  <si>
    <t>OR-Sen02-merkley_jeff-</t>
  </si>
  <si>
    <t>@JeffMerkley</t>
  </si>
  <si>
    <t>@SenJeffMerkley</t>
  </si>
  <si>
    <t>Merkley</t>
  </si>
  <si>
    <t>M001176</t>
  </si>
  <si>
    <t>Lindsey Graham</t>
  </si>
  <si>
    <t>SC-Sen02</t>
  </si>
  <si>
    <t>SC-Sen02-graham_lindsey-</t>
  </si>
  <si>
    <t>@LindseyGrahamSC</t>
  </si>
  <si>
    <t>G000359</t>
  </si>
  <si>
    <t>bioguide_id</t>
  </si>
  <si>
    <t>MURKOWSKI, Lisa</t>
  </si>
  <si>
    <t>M001153</t>
  </si>
  <si>
    <t>SULLIVAN, Daniel Scott</t>
  </si>
  <si>
    <t>S001198</t>
  </si>
  <si>
    <t>TUBERVILLE, Thomas Hawley (Tommy)</t>
  </si>
  <si>
    <t>T000278</t>
  </si>
  <si>
    <t>BOOZMAN, John</t>
  </si>
  <si>
    <t>B001236</t>
  </si>
  <si>
    <t>COTTON, Tom</t>
  </si>
  <si>
    <t>C001095</t>
  </si>
  <si>
    <t>SINEMA, Kyrsten</t>
  </si>
  <si>
    <t>S001191</t>
  </si>
  <si>
    <t>KELLY, Mark Edward</t>
  </si>
  <si>
    <t>K000377</t>
  </si>
  <si>
    <t>PADILLA, Alejandro (Alex)</t>
  </si>
  <si>
    <t>P000145</t>
  </si>
  <si>
    <t>FEINSTEIN, Dianne</t>
  </si>
  <si>
    <t>F000062</t>
  </si>
  <si>
    <t>BENNET, Michael F.</t>
  </si>
  <si>
    <t>B001267</t>
  </si>
  <si>
    <t>HICKENLOOPER, John Wright</t>
  </si>
  <si>
    <t>H000273</t>
  </si>
  <si>
    <t>MURPHY, Christopher</t>
  </si>
  <si>
    <t>M001169</t>
  </si>
  <si>
    <t>BLUMENTHAL, Richard</t>
  </si>
  <si>
    <t>B001277</t>
  </si>
  <si>
    <t>CARPER, Thomas Richard</t>
  </si>
  <si>
    <t>C000174</t>
  </si>
  <si>
    <t>COONS, Christopher A.</t>
  </si>
  <si>
    <t>C001088</t>
  </si>
  <si>
    <t>RUBIO, Marco</t>
  </si>
  <si>
    <t>R000595</t>
  </si>
  <si>
    <t>SCOTT, Richard Lynn (Rick)</t>
  </si>
  <si>
    <t>S001217</t>
  </si>
  <si>
    <t>OSSOFF, Thomas Jonathan (Jon)</t>
  </si>
  <si>
    <t>O000174</t>
  </si>
  <si>
    <t>WARNOCK, Raphael Gamaliel</t>
  </si>
  <si>
    <t>W000790</t>
  </si>
  <si>
    <t>HIRONO, Mazie</t>
  </si>
  <si>
    <t>H001042</t>
  </si>
  <si>
    <t>SCHATZ, Brian Emanuel</t>
  </si>
  <si>
    <t>S001194</t>
  </si>
  <si>
    <t>GRASSLEY, Charles Ernest</t>
  </si>
  <si>
    <t>G000386</t>
  </si>
  <si>
    <t>ERNST, Joni</t>
  </si>
  <si>
    <t>E000295</t>
  </si>
  <si>
    <t>CRAPO, Michael Dean</t>
  </si>
  <si>
    <t>C000880</t>
  </si>
  <si>
    <t>RISCH, James</t>
  </si>
  <si>
    <t>R000584</t>
  </si>
  <si>
    <t>DURBIN, Richard Joseph</t>
  </si>
  <si>
    <t>D000563</t>
  </si>
  <si>
    <t>DUCKWORTH, Tammy</t>
  </si>
  <si>
    <t>D000622</t>
  </si>
  <si>
    <t>YOUNG, Todd</t>
  </si>
  <si>
    <t>Y000064</t>
  </si>
  <si>
    <t>BRAUN, Michael</t>
  </si>
  <si>
    <t>B001310</t>
  </si>
  <si>
    <t>MARSHALL, Roger Wayne</t>
  </si>
  <si>
    <t>M001198</t>
  </si>
  <si>
    <t>MORAN, Jerry</t>
  </si>
  <si>
    <t>M000934</t>
  </si>
  <si>
    <t>McCONNELL, Addison Mitchell (Mitch)</t>
  </si>
  <si>
    <t>M000355</t>
  </si>
  <si>
    <t>PAUL, Rand</t>
  </si>
  <si>
    <t>P000603</t>
  </si>
  <si>
    <t>CASSIDY, Bill</t>
  </si>
  <si>
    <t>C001075</t>
  </si>
  <si>
    <t>KENNEDY, John Neely</t>
  </si>
  <si>
    <t>K000393</t>
  </si>
  <si>
    <t>MARKEY, Edward John</t>
  </si>
  <si>
    <t>M000133</t>
  </si>
  <si>
    <t>WARREN, Elizabeth</t>
  </si>
  <si>
    <t>CARDIN, Benjamin Louis</t>
  </si>
  <si>
    <t>C000141</t>
  </si>
  <si>
    <t>VAN HOLLEN, Christopher</t>
  </si>
  <si>
    <t>V000128</t>
  </si>
  <si>
    <t>KING, Angus Stanley, Jr.</t>
  </si>
  <si>
    <t>K000383</t>
  </si>
  <si>
    <t>COLLINS, Susan Margaret</t>
  </si>
  <si>
    <t>C001035</t>
  </si>
  <si>
    <t>PETERS, Gary C.</t>
  </si>
  <si>
    <t>P000595</t>
  </si>
  <si>
    <t>STABENOW, Deborah Ann</t>
  </si>
  <si>
    <t>S000770</t>
  </si>
  <si>
    <t>KLOBUCHAR, Amy</t>
  </si>
  <si>
    <t>K000367</t>
  </si>
  <si>
    <t>SMITH, Tina</t>
  </si>
  <si>
    <t>S001203</t>
  </si>
  <si>
    <t>BLUNT, Roy</t>
  </si>
  <si>
    <t>B000575</t>
  </si>
  <si>
    <t>HAWLEY, Joshua David</t>
  </si>
  <si>
    <t>H001089</t>
  </si>
  <si>
    <t>WICKER, Roger F.</t>
  </si>
  <si>
    <t>W000437</t>
  </si>
  <si>
    <t>HYDE-SMITH, Cindy</t>
  </si>
  <si>
    <t>H001079</t>
  </si>
  <si>
    <t>DAINES, Steve</t>
  </si>
  <si>
    <t>D000618</t>
  </si>
  <si>
    <t>TESTER, Jon</t>
  </si>
  <si>
    <t>T000464</t>
  </si>
  <si>
    <t>TILLIS, Thomas Roland (Thom)</t>
  </si>
  <si>
    <t>T000476</t>
  </si>
  <si>
    <t>CRAMER, Kevin</t>
  </si>
  <si>
    <t>C001096</t>
  </si>
  <si>
    <t>HOEVEN, John</t>
  </si>
  <si>
    <t>H001061</t>
  </si>
  <si>
    <t>FISCHER, Debra (Deb)</t>
  </si>
  <si>
    <t>F000463</t>
  </si>
  <si>
    <t>SASSE, Benjamin Eric</t>
  </si>
  <si>
    <t>S001197</t>
  </si>
  <si>
    <t>SHAHEEN, Jeanne</t>
  </si>
  <si>
    <t>S001181</t>
  </si>
  <si>
    <t>HASSAN, Margaret (Maggie)</t>
  </si>
  <si>
    <t>H001076</t>
  </si>
  <si>
    <t>MENENDEZ, Robert</t>
  </si>
  <si>
    <t>M000639</t>
  </si>
  <si>
    <t>BOOKER, Cory Anthony</t>
  </si>
  <si>
    <t>B001288</t>
  </si>
  <si>
    <t>HEINRICH, Martin</t>
  </si>
  <si>
    <t>H001046</t>
  </si>
  <si>
    <t>LUJÃN, Ben Ray</t>
  </si>
  <si>
    <t>L000570</t>
  </si>
  <si>
    <t>ROSEN, Jacklyn Sheryl</t>
  </si>
  <si>
    <t>R000608</t>
  </si>
  <si>
    <t>CORTEZ MASTO, Catherine Marie</t>
  </si>
  <si>
    <t>C001113</t>
  </si>
  <si>
    <t>SCHUMER, Charles Ellis (Chuck)</t>
  </si>
  <si>
    <t>S000148</t>
  </si>
  <si>
    <t>GILLIBRAND, Kirsten</t>
  </si>
  <si>
    <t>G000555</t>
  </si>
  <si>
    <t>BROWN, Sherrod</t>
  </si>
  <si>
    <t>B000944</t>
  </si>
  <si>
    <t>INHOFE, James Mountain</t>
  </si>
  <si>
    <t>I000024</t>
  </si>
  <si>
    <t>LANKFORD, James</t>
  </si>
  <si>
    <t>L000575</t>
  </si>
  <si>
    <t>WYDEN, Ronald Lee</t>
  </si>
  <si>
    <t>W000779</t>
  </si>
  <si>
    <t>MERKLEY, Jeff</t>
  </si>
  <si>
    <t>CASEY, Robert (Bob), Jr.</t>
  </si>
  <si>
    <t>C001070</t>
  </si>
  <si>
    <t>REED, John F. (Jack)</t>
  </si>
  <si>
    <t>R000122</t>
  </si>
  <si>
    <t>WHITEHOUSE, Sheldon</t>
  </si>
  <si>
    <t>W000802</t>
  </si>
  <si>
    <t>SCOTT, Tim</t>
  </si>
  <si>
    <t>S001184</t>
  </si>
  <si>
    <t>GRAHAM, Lindsey O.</t>
  </si>
  <si>
    <t>THUNE, John</t>
  </si>
  <si>
    <t>T000250</t>
  </si>
  <si>
    <t>ROUNDS, Marion Michael (Mike)</t>
  </si>
  <si>
    <t>R000605</t>
  </si>
  <si>
    <t>BLACKBURN, Marsha</t>
  </si>
  <si>
    <t>B001243</t>
  </si>
  <si>
    <t>HAGERTY, William Francis (Bill)</t>
  </si>
  <si>
    <t>H000601</t>
  </si>
  <si>
    <t>CORNYN, John</t>
  </si>
  <si>
    <t>C001056</t>
  </si>
  <si>
    <t>CRUZ, Rafael Edward (Ted)</t>
  </si>
  <si>
    <t>C001098</t>
  </si>
  <si>
    <t>LEE, Mike</t>
  </si>
  <si>
    <t>L000577</t>
  </si>
  <si>
    <t>ROMNEY, Willard Mitt (Mitt)</t>
  </si>
  <si>
    <t>R000615</t>
  </si>
  <si>
    <t>WARNER, Mark</t>
  </si>
  <si>
    <t>W000805</t>
  </si>
  <si>
    <t>KAINE, Timothy Michael (Tim)</t>
  </si>
  <si>
    <t>K000384</t>
  </si>
  <si>
    <t>LEAHY, Patrick Joseph</t>
  </si>
  <si>
    <t>L000174</t>
  </si>
  <si>
    <t>SANDERS, Bernard</t>
  </si>
  <si>
    <t>CANTWELL, Maria E.</t>
  </si>
  <si>
    <t>C000127</t>
  </si>
  <si>
    <t>MURRAY, Patty</t>
  </si>
  <si>
    <t>M001111</t>
  </si>
  <si>
    <t>BALDWIN, Tammy</t>
  </si>
  <si>
    <t>B001230</t>
  </si>
  <si>
    <t>JOHNSON, Ron</t>
  </si>
  <si>
    <t>J000293</t>
  </si>
  <si>
    <t>CAPITO, Shelley Moore</t>
  </si>
  <si>
    <t>C001047</t>
  </si>
  <si>
    <t>MANCHIN, Joe, III</t>
  </si>
  <si>
    <t>M001183</t>
  </si>
  <si>
    <t>LUMMIS, Cynthia M.</t>
  </si>
  <si>
    <t>L000571</t>
  </si>
  <si>
    <t>BARRASSO, John A.</t>
  </si>
  <si>
    <t>B001261</t>
  </si>
  <si>
    <t>CARL, Jerry L.</t>
  </si>
  <si>
    <t>C001054</t>
  </si>
  <si>
    <t>MOORE, Barry</t>
  </si>
  <si>
    <t>M001212</t>
  </si>
  <si>
    <t>ROGERS, Mike Dennis</t>
  </si>
  <si>
    <t>R000575</t>
  </si>
  <si>
    <t>ADERHOLT, Robert</t>
  </si>
  <si>
    <t>A000055</t>
  </si>
  <si>
    <t>BROOKS, Mo</t>
  </si>
  <si>
    <t>B001274</t>
  </si>
  <si>
    <t>PALMER, Gary James</t>
  </si>
  <si>
    <t>P000609</t>
  </si>
  <si>
    <t>SEWELL, Terri</t>
  </si>
  <si>
    <t>S001185</t>
  </si>
  <si>
    <t>CRAWFORD, Rick</t>
  </si>
  <si>
    <t>C001087</t>
  </si>
  <si>
    <t>HILL, French</t>
  </si>
  <si>
    <t>H001072</t>
  </si>
  <si>
    <t>WOMACK, Steve</t>
  </si>
  <si>
    <t>W000809</t>
  </si>
  <si>
    <t>WESTERMAN, Bruce Eugene</t>
  </si>
  <si>
    <t>W000821</t>
  </si>
  <si>
    <t>O'HALLERAN, Thomas C.</t>
  </si>
  <si>
    <t>O000171</t>
  </si>
  <si>
    <t>GRIJALVA, RaÃºl M.</t>
  </si>
  <si>
    <t>G000551</t>
  </si>
  <si>
    <t>GOSAR, Paul</t>
  </si>
  <si>
    <t>G000565</t>
  </si>
  <si>
    <t>BIGGS, Andrew S.</t>
  </si>
  <si>
    <t>B001302</t>
  </si>
  <si>
    <t>SCHWEIKERT, David</t>
  </si>
  <si>
    <t>S001183</t>
  </si>
  <si>
    <t>GALLEGO, Ruben</t>
  </si>
  <si>
    <t>G000574</t>
  </si>
  <si>
    <t>LESKO, Debbie</t>
  </si>
  <si>
    <t>L000589</t>
  </si>
  <si>
    <t>STANTON, Greg</t>
  </si>
  <si>
    <t>S001211</t>
  </si>
  <si>
    <t>LaMALFA, Doug</t>
  </si>
  <si>
    <t>L000578</t>
  </si>
  <si>
    <t>HUFFMAN, Jared</t>
  </si>
  <si>
    <t>H001068</t>
  </si>
  <si>
    <t>GARAMENDI, John</t>
  </si>
  <si>
    <t>G000559</t>
  </si>
  <si>
    <t>McCLINTOCK, Tom</t>
  </si>
  <si>
    <t>M001177</t>
  </si>
  <si>
    <t>THOMPSON, Michael</t>
  </si>
  <si>
    <t>T000460</t>
  </si>
  <si>
    <t>MATSUI, Doris</t>
  </si>
  <si>
    <t>M001163</t>
  </si>
  <si>
    <t>BERA, Ami</t>
  </si>
  <si>
    <t>B001287</t>
  </si>
  <si>
    <t>OBERNOLTE, Jay</t>
  </si>
  <si>
    <t>O000019</t>
  </si>
  <si>
    <t>HARDER, Josh</t>
  </si>
  <si>
    <t>H001090</t>
  </si>
  <si>
    <t>DESAULNIER, Mark James</t>
  </si>
  <si>
    <t>D000623</t>
  </si>
  <si>
    <t>PELOSI, Nancy</t>
  </si>
  <si>
    <t>P000197</t>
  </si>
  <si>
    <t>LEE, Barbara</t>
  </si>
  <si>
    <t>L000551</t>
  </si>
  <si>
    <t>SWALWELL, Eric</t>
  </si>
  <si>
    <t>S001193</t>
  </si>
  <si>
    <t>COSTA, Jim</t>
  </si>
  <si>
    <t>C001059</t>
  </si>
  <si>
    <t>KHANNA, Rohit</t>
  </si>
  <si>
    <t>K000389</t>
  </si>
  <si>
    <t>ESHOO, Anna Georges</t>
  </si>
  <si>
    <t>E000215</t>
  </si>
  <si>
    <t>LOFGREN, Zoe</t>
  </si>
  <si>
    <t>L000397</t>
  </si>
  <si>
    <t>PANETTA, James Varni</t>
  </si>
  <si>
    <t>P000613</t>
  </si>
  <si>
    <t>VALADAO, David G.</t>
  </si>
  <si>
    <t>V000129</t>
  </si>
  <si>
    <t>MCCARTHY, Kevin</t>
  </si>
  <si>
    <t>M001165</t>
  </si>
  <si>
    <t>CARBAJAL, Salud</t>
  </si>
  <si>
    <t>C001112</t>
  </si>
  <si>
    <t>GARCIA, Mike</t>
  </si>
  <si>
    <t>G000061</t>
  </si>
  <si>
    <t>BROWNLEY, Julia</t>
  </si>
  <si>
    <t>B001285</t>
  </si>
  <si>
    <t>CHU, Judy</t>
  </si>
  <si>
    <t>C001080</t>
  </si>
  <si>
    <t>SCHIFF, Adam</t>
  </si>
  <si>
    <t>S001150</t>
  </si>
  <si>
    <t>CÃRDENAS, Tony</t>
  </si>
  <si>
    <t>C001097</t>
  </si>
  <si>
    <t>SHERMAN, Brad</t>
  </si>
  <si>
    <t>S000344</t>
  </si>
  <si>
    <t>AGUILAR, Peter Rey</t>
  </si>
  <si>
    <t>A000371</t>
  </si>
  <si>
    <t>NAPOLITANO, Grace Flores</t>
  </si>
  <si>
    <t>N000179</t>
  </si>
  <si>
    <t>LIEU, Ted</t>
  </si>
  <si>
    <t>L000582</t>
  </si>
  <si>
    <t>GOMEZ, Jimmy</t>
  </si>
  <si>
    <t>G000585</t>
  </si>
  <si>
    <t>TORRES, Norma Judith</t>
  </si>
  <si>
    <t>T000474</t>
  </si>
  <si>
    <t>RUIZ, Raul</t>
  </si>
  <si>
    <t>R000599</t>
  </si>
  <si>
    <t>SÃNCHEZ, Linda T.</t>
  </si>
  <si>
    <t>S001156</t>
  </si>
  <si>
    <t>KIM, Young</t>
  </si>
  <si>
    <t>K000397</t>
  </si>
  <si>
    <t>TAKANO, Mark</t>
  </si>
  <si>
    <t>T000472</t>
  </si>
  <si>
    <t>CALVERT, Ken</t>
  </si>
  <si>
    <t>C000059</t>
  </si>
  <si>
    <t>WATERS, Maxine</t>
  </si>
  <si>
    <t>W000187</t>
  </si>
  <si>
    <t>BARRAGÃN, Nanette Diaz</t>
  </si>
  <si>
    <t>B001300</t>
  </si>
  <si>
    <t>PORTER, Katie</t>
  </si>
  <si>
    <t>P000618</t>
  </si>
  <si>
    <t>CORREA, Jose Luis</t>
  </si>
  <si>
    <t>C001110</t>
  </si>
  <si>
    <t>STEEL, Michelle</t>
  </si>
  <si>
    <t>S001135</t>
  </si>
  <si>
    <t>LEVIN, Mike</t>
  </si>
  <si>
    <t>L000593</t>
  </si>
  <si>
    <t>ISSA, Darrell</t>
  </si>
  <si>
    <t>I000056</t>
  </si>
  <si>
    <t>VARGAS, Juan</t>
  </si>
  <si>
    <t>V000130</t>
  </si>
  <si>
    <t>PETERS, Scott</t>
  </si>
  <si>
    <t>P000608</t>
  </si>
  <si>
    <t>JACOBS, Sara</t>
  </si>
  <si>
    <t>J000305</t>
  </si>
  <si>
    <t>DeGETTE, Diana</t>
  </si>
  <si>
    <t>D000197</t>
  </si>
  <si>
    <t>NEGUSE, Joseph</t>
  </si>
  <si>
    <t>N000191</t>
  </si>
  <si>
    <t>BOEBERT, Lauren</t>
  </si>
  <si>
    <t>B000825</t>
  </si>
  <si>
    <t>BUCK, Kenneth Robert</t>
  </si>
  <si>
    <t>B001297</t>
  </si>
  <si>
    <t>LAMBORN, Doug</t>
  </si>
  <si>
    <t>L000564</t>
  </si>
  <si>
    <t>CROW, Jason</t>
  </si>
  <si>
    <t>C001121</t>
  </si>
  <si>
    <t>LARSON, John B.</t>
  </si>
  <si>
    <t>L000557</t>
  </si>
  <si>
    <t>COURTNEY, Joe</t>
  </si>
  <si>
    <t>C001069</t>
  </si>
  <si>
    <t>DeLAURO, Rosa L.</t>
  </si>
  <si>
    <t>D000216</t>
  </si>
  <si>
    <t>HIMES, James A.</t>
  </si>
  <si>
    <t>H001047</t>
  </si>
  <si>
    <t>HAYES, Jahana</t>
  </si>
  <si>
    <t>H001081</t>
  </si>
  <si>
    <t>BLUNT ROCHESTER, Lisa</t>
  </si>
  <si>
    <t>B001303</t>
  </si>
  <si>
    <t>GAETZ, Matthew L. II</t>
  </si>
  <si>
    <t>G000578</t>
  </si>
  <si>
    <t>DUNN, Neal Patrick</t>
  </si>
  <si>
    <t>D000628</t>
  </si>
  <si>
    <t>CAMMACK, Kat</t>
  </si>
  <si>
    <t>C001039</t>
  </si>
  <si>
    <t>WALTZ, Michael</t>
  </si>
  <si>
    <t>W000823</t>
  </si>
  <si>
    <t>MURPHY, Stephanie</t>
  </si>
  <si>
    <t>M001202</t>
  </si>
  <si>
    <t>POSEY, Bill</t>
  </si>
  <si>
    <t>P000599</t>
  </si>
  <si>
    <t>SOTO, Darren Michael</t>
  </si>
  <si>
    <t>S001200</t>
  </si>
  <si>
    <t>WEBSTER, Daniel A.</t>
  </si>
  <si>
    <t>W000806</t>
  </si>
  <si>
    <t>BILIRAKIS, Gus</t>
  </si>
  <si>
    <t>B001257</t>
  </si>
  <si>
    <t>CRIST, Charlie Joseph Jr.</t>
  </si>
  <si>
    <t>C001111</t>
  </si>
  <si>
    <t>CASTOR, Kathy</t>
  </si>
  <si>
    <t>C001066</t>
  </si>
  <si>
    <t>BUCHANAN, Vernon G.</t>
  </si>
  <si>
    <t>B001260</t>
  </si>
  <si>
    <t>STEUBE, William</t>
  </si>
  <si>
    <t>S001214</t>
  </si>
  <si>
    <t>DONALDS, Byron</t>
  </si>
  <si>
    <t>D000032</t>
  </si>
  <si>
    <t>CHERFILUS-MCCORMICK, Sheila</t>
  </si>
  <si>
    <t>C001127</t>
  </si>
  <si>
    <t>DEUTCH, Theodore E. (Ted)</t>
  </si>
  <si>
    <t>D000610</t>
  </si>
  <si>
    <t>WILSON, Frederica</t>
  </si>
  <si>
    <t>W000808</t>
  </si>
  <si>
    <t>SALAZAR, Maria Elvira</t>
  </si>
  <si>
    <t>S000168</t>
  </si>
  <si>
    <t>CARTER, Buddy</t>
  </si>
  <si>
    <t>C001103</t>
  </si>
  <si>
    <t>BISHOP, Sanford Dixon, Jr.</t>
  </si>
  <si>
    <t>B000490</t>
  </si>
  <si>
    <t>FERGUSON, Anderson Drew IV</t>
  </si>
  <si>
    <t>F000465</t>
  </si>
  <si>
    <t>JOHNSON, Hank</t>
  </si>
  <si>
    <t>J000288</t>
  </si>
  <si>
    <t>WILLIAMS, Nikema</t>
  </si>
  <si>
    <t>W000788</t>
  </si>
  <si>
    <t>McBATH, Lucy</t>
  </si>
  <si>
    <t>M001208</t>
  </si>
  <si>
    <t>BOURDEAUX, Carolyn</t>
  </si>
  <si>
    <t>B001312</t>
  </si>
  <si>
    <t>SCOTT, Austin</t>
  </si>
  <si>
    <t>S001189</t>
  </si>
  <si>
    <t>CLYDE, Andrew S.</t>
  </si>
  <si>
    <t>C001116</t>
  </si>
  <si>
    <t>LOUDERMILK, Barry D.</t>
  </si>
  <si>
    <t>L000583</t>
  </si>
  <si>
    <t>ALLEN, Rick W.</t>
  </si>
  <si>
    <t>A000372</t>
  </si>
  <si>
    <t>SCOTT, David</t>
  </si>
  <si>
    <t>S001157</t>
  </si>
  <si>
    <t>GREENE, Marjorie Taylor</t>
  </si>
  <si>
    <t>G000596</t>
  </si>
  <si>
    <t>CASE, Ed</t>
  </si>
  <si>
    <t>C001055</t>
  </si>
  <si>
    <t>HINSON, Ashley</t>
  </si>
  <si>
    <t>H001091</t>
  </si>
  <si>
    <t>MILLER-MEEKS, Mariannette</t>
  </si>
  <si>
    <t>M001215</t>
  </si>
  <si>
    <t>AXNE, Cynthia</t>
  </si>
  <si>
    <t>A000378</t>
  </si>
  <si>
    <t>FEENSTRA, Randy</t>
  </si>
  <si>
    <t>F000446</t>
  </si>
  <si>
    <t>FULCHER, Russell</t>
  </si>
  <si>
    <t>F000469</t>
  </si>
  <si>
    <t>SIMPSON, Michael K.</t>
  </si>
  <si>
    <t>S001148</t>
  </si>
  <si>
    <t>KELLY, Robin L.</t>
  </si>
  <si>
    <t>K000385</t>
  </si>
  <si>
    <t>NEWMAN, Marie</t>
  </si>
  <si>
    <t>N000192</t>
  </si>
  <si>
    <t>GARCÃA, JesÃºs</t>
  </si>
  <si>
    <t>G000586</t>
  </si>
  <si>
    <t>QUIGLEY, Mike</t>
  </si>
  <si>
    <t>Q000023</t>
  </si>
  <si>
    <t>CASTEN, Sean</t>
  </si>
  <si>
    <t>C001117</t>
  </si>
  <si>
    <t>DAVIS, Danny K.</t>
  </si>
  <si>
    <t>D000096</t>
  </si>
  <si>
    <t>KRISHNAMOORTHI, S. Raja</t>
  </si>
  <si>
    <t>K000391</t>
  </si>
  <si>
    <t>SCHAKOWSKY, Janice D.</t>
  </si>
  <si>
    <t>S001145</t>
  </si>
  <si>
    <t>SCHNEIDER, Brad</t>
  </si>
  <si>
    <t>S001190</t>
  </si>
  <si>
    <t>FOSTER, Bill</t>
  </si>
  <si>
    <t>F000454</t>
  </si>
  <si>
    <t>BOST, Mike</t>
  </si>
  <si>
    <t>B001295</t>
  </si>
  <si>
    <t>DAVIS, Rodney</t>
  </si>
  <si>
    <t>D000619</t>
  </si>
  <si>
    <t>UNDERWOOD, Lauren</t>
  </si>
  <si>
    <t>U000040</t>
  </si>
  <si>
    <t>MILLER, Mary E.</t>
  </si>
  <si>
    <t>M001211</t>
  </si>
  <si>
    <t>LaHOOD, Darin</t>
  </si>
  <si>
    <t>L000585</t>
  </si>
  <si>
    <t>MRVAN, Frank J.</t>
  </si>
  <si>
    <t>M001214</t>
  </si>
  <si>
    <t>WALORSKI, Jackie</t>
  </si>
  <si>
    <t>W000813</t>
  </si>
  <si>
    <t>BANKS, James E.</t>
  </si>
  <si>
    <t>B001299</t>
  </si>
  <si>
    <t>BAIRD, James</t>
  </si>
  <si>
    <t>B001307</t>
  </si>
  <si>
    <t>SPARTZ, Victoria</t>
  </si>
  <si>
    <t>S000929</t>
  </si>
  <si>
    <t>PENCE, Gregory</t>
  </si>
  <si>
    <t>P000615</t>
  </si>
  <si>
    <t>CARSON, AndrÃ©</t>
  </si>
  <si>
    <t>C001072</t>
  </si>
  <si>
    <t>BUCSHON, Larry</t>
  </si>
  <si>
    <t>B001275</t>
  </si>
  <si>
    <t>MANN, Tracey</t>
  </si>
  <si>
    <t>M000871</t>
  </si>
  <si>
    <t>LATURNER, Jake</t>
  </si>
  <si>
    <t>L000266</t>
  </si>
  <si>
    <t>DAVIDS, Sharice</t>
  </si>
  <si>
    <t>D000629</t>
  </si>
  <si>
    <t>ESTES, Ron</t>
  </si>
  <si>
    <t>E000298</t>
  </si>
  <si>
    <t>COMER, James</t>
  </si>
  <si>
    <t>C001108</t>
  </si>
  <si>
    <t>GUTHRIE, Brett</t>
  </si>
  <si>
    <t>G000558</t>
  </si>
  <si>
    <t>MASSIE, Thomas</t>
  </si>
  <si>
    <t>M001184</t>
  </si>
  <si>
    <t>ROGERS, Harold Dallas (Hal)</t>
  </si>
  <si>
    <t>R000395</t>
  </si>
  <si>
    <t>BARR, Garland H. (Andy) IV</t>
  </si>
  <si>
    <t>B001282</t>
  </si>
  <si>
    <t>SCALISE, Steve</t>
  </si>
  <si>
    <t>S001176</t>
  </si>
  <si>
    <t>CARTER, Troy</t>
  </si>
  <si>
    <t>C001125</t>
  </si>
  <si>
    <t>HIGGINS, Clay</t>
  </si>
  <si>
    <t>H001077</t>
  </si>
  <si>
    <t>JOHNSON, Mike</t>
  </si>
  <si>
    <t>J000299</t>
  </si>
  <si>
    <t>LETLOW, Julia</t>
  </si>
  <si>
    <t>L000595</t>
  </si>
  <si>
    <t>GRAVES, Garret</t>
  </si>
  <si>
    <t>G000577</t>
  </si>
  <si>
    <t>NEAL, Richard Edmund</t>
  </si>
  <si>
    <t>N000015</t>
  </si>
  <si>
    <t>McGOVERN, James P.</t>
  </si>
  <si>
    <t>M000312</t>
  </si>
  <si>
    <t>TRAHAN, Lori</t>
  </si>
  <si>
    <t>T000482</t>
  </si>
  <si>
    <t>AUCHINCLOSS, Jake</t>
  </si>
  <si>
    <t>A000148</t>
  </si>
  <si>
    <t>CLARK, Katherine M.</t>
  </si>
  <si>
    <t>C001101</t>
  </si>
  <si>
    <t>MOULTON, Seth</t>
  </si>
  <si>
    <t>M001196</t>
  </si>
  <si>
    <t>PRESSLEY, Ayanna</t>
  </si>
  <si>
    <t>P000617</t>
  </si>
  <si>
    <t>LYNCH, Stephen F.</t>
  </si>
  <si>
    <t>L000562</t>
  </si>
  <si>
    <t>KEATING, William R.</t>
  </si>
  <si>
    <t>K000375</t>
  </si>
  <si>
    <t>HARRIS, Andy</t>
  </si>
  <si>
    <t>H001052</t>
  </si>
  <si>
    <t>RUPPERSBERGER, C. A. (Dutch)</t>
  </si>
  <si>
    <t>R000576</t>
  </si>
  <si>
    <t>SARBANES, John</t>
  </si>
  <si>
    <t>S001168</t>
  </si>
  <si>
    <t>HOYER, Steny Hamilton</t>
  </si>
  <si>
    <t>H000874</t>
  </si>
  <si>
    <t>TRONE, David</t>
  </si>
  <si>
    <t>T000483</t>
  </si>
  <si>
    <t>MFUME, Kweisi</t>
  </si>
  <si>
    <t>M000687</t>
  </si>
  <si>
    <t>RASKIN, Jamie Ben</t>
  </si>
  <si>
    <t>R000606</t>
  </si>
  <si>
    <t>PINGREE, Chellie</t>
  </si>
  <si>
    <t>P000597</t>
  </si>
  <si>
    <t>GOLDEN, Jared</t>
  </si>
  <si>
    <t>G000592</t>
  </si>
  <si>
    <t>BERGMAN, John</t>
  </si>
  <si>
    <t>B001301</t>
  </si>
  <si>
    <t>HUIZENGA, Bill</t>
  </si>
  <si>
    <t>H001058</t>
  </si>
  <si>
    <t>MEIJER, Peter</t>
  </si>
  <si>
    <t>M001186</t>
  </si>
  <si>
    <t>MOOLENAAR, John</t>
  </si>
  <si>
    <t>M001194</t>
  </si>
  <si>
    <t>KILDEE, Dan</t>
  </si>
  <si>
    <t>K000380</t>
  </si>
  <si>
    <t>WALBERG, Tim</t>
  </si>
  <si>
    <t>W000798</t>
  </si>
  <si>
    <t>SLOTKIN, Elissa</t>
  </si>
  <si>
    <t>S001208</t>
  </si>
  <si>
    <t>LEVIN, Andy</t>
  </si>
  <si>
    <t>L000592</t>
  </si>
  <si>
    <t>MCCLAIN, Lisa C.</t>
  </si>
  <si>
    <t>M001136</t>
  </si>
  <si>
    <t>STEVENS, Haley</t>
  </si>
  <si>
    <t>S001215</t>
  </si>
  <si>
    <t>DINGELL, Debbie</t>
  </si>
  <si>
    <t>D000624</t>
  </si>
  <si>
    <t>TLAIB, Rashida</t>
  </si>
  <si>
    <t>T000481</t>
  </si>
  <si>
    <t>LAWRENCE, Brenda L</t>
  </si>
  <si>
    <t>L000581</t>
  </si>
  <si>
    <t>HAGEDORN, Jim</t>
  </si>
  <si>
    <t>H001088</t>
  </si>
  <si>
    <t>CRAIG, Angela</t>
  </si>
  <si>
    <t>C001119</t>
  </si>
  <si>
    <t>PHILLIPS, Dean</t>
  </si>
  <si>
    <t>P000616</t>
  </si>
  <si>
    <t>McCOLLUM, Betty</t>
  </si>
  <si>
    <t>M001143</t>
  </si>
  <si>
    <t>OMAR, Ilhan</t>
  </si>
  <si>
    <t>O000173</t>
  </si>
  <si>
    <t>EMMER, Thomas Earl II</t>
  </si>
  <si>
    <t>E000294</t>
  </si>
  <si>
    <t>FISCHBACH, Michelle</t>
  </si>
  <si>
    <t>F000470</t>
  </si>
  <si>
    <t>STAUBER, Peter</t>
  </si>
  <si>
    <t>S001212</t>
  </si>
  <si>
    <t>BUSH, Cori</t>
  </si>
  <si>
    <t>B001224</t>
  </si>
  <si>
    <t>WAGNER, Ann</t>
  </si>
  <si>
    <t>W000812</t>
  </si>
  <si>
    <t>LUETKEMEYER, Blaine</t>
  </si>
  <si>
    <t>L000569</t>
  </si>
  <si>
    <t>CLEAVER, Emanuel, II</t>
  </si>
  <si>
    <t>C001061</t>
  </si>
  <si>
    <t>GRAVES, Samuel</t>
  </si>
  <si>
    <t>G000546</t>
  </si>
  <si>
    <t>LONG, Billy</t>
  </si>
  <si>
    <t>L000576</t>
  </si>
  <si>
    <t>SMITH, Jason</t>
  </si>
  <si>
    <t>S001195</t>
  </si>
  <si>
    <t>KELLY, Trent</t>
  </si>
  <si>
    <t>K000388</t>
  </si>
  <si>
    <t>THOMPSON, Bennie</t>
  </si>
  <si>
    <t>T000193</t>
  </si>
  <si>
    <t>GUEST, Michael</t>
  </si>
  <si>
    <t>G000591</t>
  </si>
  <si>
    <t>PALAZZO, Steven</t>
  </si>
  <si>
    <t>P000601</t>
  </si>
  <si>
    <t>ROSENDALE, Matthew M., Sr.</t>
  </si>
  <si>
    <t>R000103</t>
  </si>
  <si>
    <t>ROSS, Deborah K.</t>
  </si>
  <si>
    <t>R000305</t>
  </si>
  <si>
    <t>MURPHY, Gregory Francis</t>
  </si>
  <si>
    <t>M001210</t>
  </si>
  <si>
    <t>FOXX, Virginia Ann</t>
  </si>
  <si>
    <t>F000450</t>
  </si>
  <si>
    <t>MANNING, Kathy E.</t>
  </si>
  <si>
    <t>M001135</t>
  </si>
  <si>
    <t>ROUZER, David</t>
  </si>
  <si>
    <t>R000603</t>
  </si>
  <si>
    <t>HUDSON, Richard</t>
  </si>
  <si>
    <t>H001067</t>
  </si>
  <si>
    <t>BISHOP, Dan</t>
  </si>
  <si>
    <t>B001311</t>
  </si>
  <si>
    <t>McHENRY, Patrick T.</t>
  </si>
  <si>
    <t>M001156</t>
  </si>
  <si>
    <t>CAWTHORN, Madison</t>
  </si>
  <si>
    <t>C001104</t>
  </si>
  <si>
    <t>ADAMS, Alma</t>
  </si>
  <si>
    <t>A000370</t>
  </si>
  <si>
    <t>BUDD, Theodore Paul</t>
  </si>
  <si>
    <t>B001305</t>
  </si>
  <si>
    <t>ARMSTRONG, Kelly</t>
  </si>
  <si>
    <t>A000377</t>
  </si>
  <si>
    <t>FORTENBERRY, Jeff</t>
  </si>
  <si>
    <t>F000449</t>
  </si>
  <si>
    <t>BACON, Donald J.</t>
  </si>
  <si>
    <t>B001298</t>
  </si>
  <si>
    <t>SMITH, Adrian</t>
  </si>
  <si>
    <t>S001172</t>
  </si>
  <si>
    <t>PAPPAS, Chris</t>
  </si>
  <si>
    <t>P000614</t>
  </si>
  <si>
    <t>KUSTER, Ann McLane</t>
  </si>
  <si>
    <t>K000382</t>
  </si>
  <si>
    <t>NORCROSS, Donald</t>
  </si>
  <si>
    <t>N000188</t>
  </si>
  <si>
    <t>VAN DREW, Jefferson</t>
  </si>
  <si>
    <t>V000133</t>
  </si>
  <si>
    <t>KIM, Andy</t>
  </si>
  <si>
    <t>K000394</t>
  </si>
  <si>
    <t>SMITH, Christopher Henry</t>
  </si>
  <si>
    <t>S000522</t>
  </si>
  <si>
    <t>GOTTHEIMER, Josh S.</t>
  </si>
  <si>
    <t>G000583</t>
  </si>
  <si>
    <t>PALLONE, Frank, Jr.</t>
  </si>
  <si>
    <t>P000034</t>
  </si>
  <si>
    <t>MALINOWSKI, Tomaz</t>
  </si>
  <si>
    <t>M001203</t>
  </si>
  <si>
    <t>PASCRELL, William J., Jr.</t>
  </si>
  <si>
    <t>P000096</t>
  </si>
  <si>
    <t>PAYNE, Donald, Jr.</t>
  </si>
  <si>
    <t>P000604</t>
  </si>
  <si>
    <t>SHERRILL, Mikie</t>
  </si>
  <si>
    <t>S001207</t>
  </si>
  <si>
    <t>WATSON COLEMAN, Bonnie</t>
  </si>
  <si>
    <t>W000822</t>
  </si>
  <si>
    <t>STANSBURY, Melanie Ann</t>
  </si>
  <si>
    <t>S001218</t>
  </si>
  <si>
    <t>HERRELL, Yvette</t>
  </si>
  <si>
    <t>H001084</t>
  </si>
  <si>
    <t>LEGER FERNANDEZ, Teresa</t>
  </si>
  <si>
    <t>L000273</t>
  </si>
  <si>
    <t>TITUS, Alice (Dina)</t>
  </si>
  <si>
    <t>T000468</t>
  </si>
  <si>
    <t>AMODEI, Mark E.</t>
  </si>
  <si>
    <t>A000369</t>
  </si>
  <si>
    <t>LEE, Susie</t>
  </si>
  <si>
    <t>L000590</t>
  </si>
  <si>
    <t>HORSFORD, Steven</t>
  </si>
  <si>
    <t>H001066</t>
  </si>
  <si>
    <t>ZELDIN, Lee M</t>
  </si>
  <si>
    <t>Z000017</t>
  </si>
  <si>
    <t>GARBARINO, Andrew R.</t>
  </si>
  <si>
    <t>G000597</t>
  </si>
  <si>
    <t>SUOZZI, Thomas</t>
  </si>
  <si>
    <t>S001201</t>
  </si>
  <si>
    <t>RICE, Kathleen Maura</t>
  </si>
  <si>
    <t>R000602</t>
  </si>
  <si>
    <t>MEEKS, Gregory W.</t>
  </si>
  <si>
    <t>M001137</t>
  </si>
  <si>
    <t>MENG, Grace</t>
  </si>
  <si>
    <t>M001188</t>
  </si>
  <si>
    <t>VELÃZQUEZ, Nydia M.</t>
  </si>
  <si>
    <t>V000081</t>
  </si>
  <si>
    <t>JEFFRIES, Hakeem</t>
  </si>
  <si>
    <t>J000294</t>
  </si>
  <si>
    <t>CLARKE, Yvette Diane</t>
  </si>
  <si>
    <t>C001067</t>
  </si>
  <si>
    <t>MALLIOTAKIS, Nicole</t>
  </si>
  <si>
    <t>M000317</t>
  </si>
  <si>
    <t>MALONEY, Carolyn Bosher</t>
  </si>
  <si>
    <t>M000087</t>
  </si>
  <si>
    <t>ESPAILLAT, Adriano J.</t>
  </si>
  <si>
    <t>E000297</t>
  </si>
  <si>
    <t>OCASIO-CORTEZ, Alexandria</t>
  </si>
  <si>
    <t>O000172</t>
  </si>
  <si>
    <t>TORRES, Ritchie</t>
  </si>
  <si>
    <t>T000486</t>
  </si>
  <si>
    <t>BOWMAN, Jamaal</t>
  </si>
  <si>
    <t>B001223</t>
  </si>
  <si>
    <t>JONES, Mondaire</t>
  </si>
  <si>
    <t>J000306</t>
  </si>
  <si>
    <t>DELGADO, Antonio</t>
  </si>
  <si>
    <t>D000630</t>
  </si>
  <si>
    <t>TONKO, Paul</t>
  </si>
  <si>
    <t>T000469</t>
  </si>
  <si>
    <t>STEFANIK, Elise M</t>
  </si>
  <si>
    <t>S001196</t>
  </si>
  <si>
    <t>REED, Thomas W. II</t>
  </si>
  <si>
    <t>R000585</t>
  </si>
  <si>
    <t>KATKO, John</t>
  </si>
  <si>
    <t>K000386</t>
  </si>
  <si>
    <t>MORELLE, Joseph D.</t>
  </si>
  <si>
    <t>M001206</t>
  </si>
  <si>
    <t>HIGGINS, Brian</t>
  </si>
  <si>
    <t>H001038</t>
  </si>
  <si>
    <t>JACOBS, Chris</t>
  </si>
  <si>
    <t>J000020</t>
  </si>
  <si>
    <t>CHABOT, Steve</t>
  </si>
  <si>
    <t>C000266</t>
  </si>
  <si>
    <t>WENSTRUP, Brad</t>
  </si>
  <si>
    <t>W000815</t>
  </si>
  <si>
    <t>BEATTY, Joyce</t>
  </si>
  <si>
    <t>B001281</t>
  </si>
  <si>
    <t>JORDAN, Jim</t>
  </si>
  <si>
    <t>J000289</t>
  </si>
  <si>
    <t>LATTA, Robert E.</t>
  </si>
  <si>
    <t>L000566</t>
  </si>
  <si>
    <t>JOHNSON, Bill</t>
  </si>
  <si>
    <t>J000292</t>
  </si>
  <si>
    <t>DAVIDSON, Warren</t>
  </si>
  <si>
    <t>D000626</t>
  </si>
  <si>
    <t>KAPTUR, Marcia Carolyn (Marcy)</t>
  </si>
  <si>
    <t>K000009</t>
  </si>
  <si>
    <t>TURNER, Michael R.</t>
  </si>
  <si>
    <t>T000463</t>
  </si>
  <si>
    <t>BROWN, Shontel  M.</t>
  </si>
  <si>
    <t>B001313</t>
  </si>
  <si>
    <t>BALDERSON, Troy</t>
  </si>
  <si>
    <t>B001306</t>
  </si>
  <si>
    <t>JOYCE, David</t>
  </si>
  <si>
    <t>J000295</t>
  </si>
  <si>
    <t>CAREY, Mike</t>
  </si>
  <si>
    <t>C001126</t>
  </si>
  <si>
    <t>GONZALEZ, Anthony</t>
  </si>
  <si>
    <t>G000588</t>
  </si>
  <si>
    <t>HERN, Kevin</t>
  </si>
  <si>
    <t>H001082</t>
  </si>
  <si>
    <t>MULLIN, Markwayne</t>
  </si>
  <si>
    <t>M001190</t>
  </si>
  <si>
    <t>LUCAS, Frank D.</t>
  </si>
  <si>
    <t>L000491</t>
  </si>
  <si>
    <t>COLE, Tom</t>
  </si>
  <si>
    <t>C001053</t>
  </si>
  <si>
    <t>BICE, Stephanie I.</t>
  </si>
  <si>
    <t>B000740</t>
  </si>
  <si>
    <t>BONAMICI, Suzanne</t>
  </si>
  <si>
    <t>B001278</t>
  </si>
  <si>
    <t>BENTZ, Cliff</t>
  </si>
  <si>
    <t>B000668</t>
  </si>
  <si>
    <t>BLUMENAUER, Earl</t>
  </si>
  <si>
    <t>B000574</t>
  </si>
  <si>
    <t>SCHRADER, Kurt</t>
  </si>
  <si>
    <t>S001180</t>
  </si>
  <si>
    <t>FITZPATRICK, Brian K.</t>
  </si>
  <si>
    <t>F000466</t>
  </si>
  <si>
    <t>BOYLE, Brendan Francis</t>
  </si>
  <si>
    <t>B001296</t>
  </si>
  <si>
    <t>EVANS, Dwight</t>
  </si>
  <si>
    <t>E000296</t>
  </si>
  <si>
    <t>DEAN, Madeleine</t>
  </si>
  <si>
    <t>D000631</t>
  </si>
  <si>
    <t>SCANLON, Mary Gay</t>
  </si>
  <si>
    <t>S001205</t>
  </si>
  <si>
    <t>HOULAHAN, Christina</t>
  </si>
  <si>
    <t>H001085</t>
  </si>
  <si>
    <t>WILD, Susan</t>
  </si>
  <si>
    <t>W000826</t>
  </si>
  <si>
    <t>CARTWRIGHT, Matt</t>
  </si>
  <si>
    <t>C001090</t>
  </si>
  <si>
    <t>MEUSER, Dan</t>
  </si>
  <si>
    <t>M001204</t>
  </si>
  <si>
    <t>PERRY, Scott</t>
  </si>
  <si>
    <t>P000605</t>
  </si>
  <si>
    <t>SMUCKER, Lloyd K.</t>
  </si>
  <si>
    <t>S001199</t>
  </si>
  <si>
    <t>KELLER, Fred</t>
  </si>
  <si>
    <t>K000395</t>
  </si>
  <si>
    <t>JOYCE, John</t>
  </si>
  <si>
    <t>J000302</t>
  </si>
  <si>
    <t>RESCHENTHALER, Guy</t>
  </si>
  <si>
    <t>R000610</t>
  </si>
  <si>
    <t>THOMPSON, Glenn</t>
  </si>
  <si>
    <t>T000467</t>
  </si>
  <si>
    <t>KELLY, Mike</t>
  </si>
  <si>
    <t>K000376</t>
  </si>
  <si>
    <t>DOYLE, Michael F.</t>
  </si>
  <si>
    <t>D000482</t>
  </si>
  <si>
    <t>CICILLINE, David N.</t>
  </si>
  <si>
    <t>C001084</t>
  </si>
  <si>
    <t>LANGEVIN, James</t>
  </si>
  <si>
    <t>L000559</t>
  </si>
  <si>
    <t>MACE, Nancy</t>
  </si>
  <si>
    <t>M000194</t>
  </si>
  <si>
    <t>WILSON, Addison Graves (Joe)</t>
  </si>
  <si>
    <t>W000795</t>
  </si>
  <si>
    <t>DUNCAN, Jeff</t>
  </si>
  <si>
    <t>D000615</t>
  </si>
  <si>
    <t>TIMMONS, William</t>
  </si>
  <si>
    <t>T000480</t>
  </si>
  <si>
    <t>NORMAN, Ralph</t>
  </si>
  <si>
    <t>N000190</t>
  </si>
  <si>
    <t>CLYBURN, James Enos</t>
  </si>
  <si>
    <t>C000537</t>
  </si>
  <si>
    <t>RICE, Tom</t>
  </si>
  <si>
    <t>R000597</t>
  </si>
  <si>
    <t>JOHNSON, Dustin</t>
  </si>
  <si>
    <t>J000301</t>
  </si>
  <si>
    <t>HARSHBARGER, Diana</t>
  </si>
  <si>
    <t>H001086</t>
  </si>
  <si>
    <t>BURCHETT, Timothy</t>
  </si>
  <si>
    <t>B001309</t>
  </si>
  <si>
    <t>FLEISCHMANN, Chuck</t>
  </si>
  <si>
    <t>F000459</t>
  </si>
  <si>
    <t>DESJARLAIS, Scott</t>
  </si>
  <si>
    <t>D000616</t>
  </si>
  <si>
    <t>COOPER, James Hayes Shofner</t>
  </si>
  <si>
    <t>C000754</t>
  </si>
  <si>
    <t>ROSE, John</t>
  </si>
  <si>
    <t>R000612</t>
  </si>
  <si>
    <t>GREEN, Mark</t>
  </si>
  <si>
    <t>G000590</t>
  </si>
  <si>
    <t>KUSTOFF, David</t>
  </si>
  <si>
    <t>K000392</t>
  </si>
  <si>
    <t>COHEN, Stephen</t>
  </si>
  <si>
    <t>C001068</t>
  </si>
  <si>
    <t>GOHMERT, Louie</t>
  </si>
  <si>
    <t>G000552</t>
  </si>
  <si>
    <t>CRENSHAW, Daniel</t>
  </si>
  <si>
    <t>C001120</t>
  </si>
  <si>
    <t>TAYLOR, Nicholas</t>
  </si>
  <si>
    <t>T000479</t>
  </si>
  <si>
    <t>FALLON, Pat</t>
  </si>
  <si>
    <t>F000246</t>
  </si>
  <si>
    <t>GOODEN, Lance</t>
  </si>
  <si>
    <t>G000589</t>
  </si>
  <si>
    <t>ELLZEY, Jake</t>
  </si>
  <si>
    <t>E000071</t>
  </si>
  <si>
    <t>FLETCHER, Elizabeth</t>
  </si>
  <si>
    <t>F000468</t>
  </si>
  <si>
    <t>BRADY, Kevin Patrick</t>
  </si>
  <si>
    <t>B000755</t>
  </si>
  <si>
    <t>GREEN, Al</t>
  </si>
  <si>
    <t>G000553</t>
  </si>
  <si>
    <t>McCAUL, Michael T.</t>
  </si>
  <si>
    <t>M001157</t>
  </si>
  <si>
    <t>PFLUGER, August</t>
  </si>
  <si>
    <t>P000048</t>
  </si>
  <si>
    <t>GRANGER, Kay</t>
  </si>
  <si>
    <t>G000377</t>
  </si>
  <si>
    <t>JACKSON, Ronny</t>
  </si>
  <si>
    <t>J000304</t>
  </si>
  <si>
    <t>WEBER, Randy</t>
  </si>
  <si>
    <t>W000814</t>
  </si>
  <si>
    <t>GONZALEZ, Vicente Jr.</t>
  </si>
  <si>
    <t>G000581</t>
  </si>
  <si>
    <t>ESCOBAR, Veronica</t>
  </si>
  <si>
    <t>E000299</t>
  </si>
  <si>
    <t>SESSIONS, Pete</t>
  </si>
  <si>
    <t>S000250</t>
  </si>
  <si>
    <t>JACKSON LEE, Sheila</t>
  </si>
  <si>
    <t>J000032</t>
  </si>
  <si>
    <t>ARRINGTON, Jodey Cook</t>
  </si>
  <si>
    <t>A000375</t>
  </si>
  <si>
    <t>CASTRO, Joaquin</t>
  </si>
  <si>
    <t>C001091</t>
  </si>
  <si>
    <t>ROY, Charles</t>
  </si>
  <si>
    <t>R000614</t>
  </si>
  <si>
    <t>NEHLS, Troy E.</t>
  </si>
  <si>
    <t>N000026</t>
  </si>
  <si>
    <t>GONZALES, Tony</t>
  </si>
  <si>
    <t>G000594</t>
  </si>
  <si>
    <t>VAN DUYNE, Beth</t>
  </si>
  <si>
    <t>V000134</t>
  </si>
  <si>
    <t>WILLIAMS, Roger</t>
  </si>
  <si>
    <t>W000816</t>
  </si>
  <si>
    <t>BURGESS, Michael C.</t>
  </si>
  <si>
    <t>B001248</t>
  </si>
  <si>
    <t>CLOUD, Michael</t>
  </si>
  <si>
    <t>C001115</t>
  </si>
  <si>
    <t>CUELLAR, Henry</t>
  </si>
  <si>
    <t>C001063</t>
  </si>
  <si>
    <t>GARCIA, Sylvia</t>
  </si>
  <si>
    <t>G000587</t>
  </si>
  <si>
    <t>JOHNSON, Eddie Bernice</t>
  </si>
  <si>
    <t>J000126</t>
  </si>
  <si>
    <t>CARTER, John R.</t>
  </si>
  <si>
    <t>C001051</t>
  </si>
  <si>
    <t>ALLRED, Colin</t>
  </si>
  <si>
    <t>A000376</t>
  </si>
  <si>
    <t>VEASEY, Marc</t>
  </si>
  <si>
    <t>V000131</t>
  </si>
  <si>
    <t>FLORES, Mayra</t>
  </si>
  <si>
    <t>F000473</t>
  </si>
  <si>
    <t>DOGGETT, Lloyd Alton, II</t>
  </si>
  <si>
    <t>D000399</t>
  </si>
  <si>
    <t>BABIN, Brian</t>
  </si>
  <si>
    <t>B001291</t>
  </si>
  <si>
    <t>MOORE, Blake D.</t>
  </si>
  <si>
    <t>M001213</t>
  </si>
  <si>
    <t>STEWART, Chris</t>
  </si>
  <si>
    <t>S001192</t>
  </si>
  <si>
    <t>CURTIS, John R.</t>
  </si>
  <si>
    <t>C001114</t>
  </si>
  <si>
    <t>OWENS, Burgess</t>
  </si>
  <si>
    <t>O000086</t>
  </si>
  <si>
    <t>WITTMAN, Robert J.</t>
  </si>
  <si>
    <t>W000804</t>
  </si>
  <si>
    <t>LURIA, Elaine</t>
  </si>
  <si>
    <t>L000591</t>
  </si>
  <si>
    <t>SCOTT, Robert C.</t>
  </si>
  <si>
    <t>S000185</t>
  </si>
  <si>
    <t>MCEACHIN, Aston Donald</t>
  </si>
  <si>
    <t>M001200</t>
  </si>
  <si>
    <t>GOOD, Bob</t>
  </si>
  <si>
    <t>G000595</t>
  </si>
  <si>
    <t>CLINE, Benjamin</t>
  </si>
  <si>
    <t>C001118</t>
  </si>
  <si>
    <t>SPANBERGER, Abigail</t>
  </si>
  <si>
    <t>S001209</t>
  </si>
  <si>
    <t>BEYER, Donald Sternoff Jr.</t>
  </si>
  <si>
    <t>B001292</t>
  </si>
  <si>
    <t>GRIFFITH, H. Morgan</t>
  </si>
  <si>
    <t>G000568</t>
  </si>
  <si>
    <t>WEXTON, Jennifer</t>
  </si>
  <si>
    <t>W000825</t>
  </si>
  <si>
    <t>CONNOLLY, Gerald E. (Gerry)</t>
  </si>
  <si>
    <t>C001078</t>
  </si>
  <si>
    <t>DelBENE, Suzan K.</t>
  </si>
  <si>
    <t>D000617</t>
  </si>
  <si>
    <t>LARSEN, Richard Ray (Rick)</t>
  </si>
  <si>
    <t>L000560</t>
  </si>
  <si>
    <t>HERRERA BEUTLER, Jaime</t>
  </si>
  <si>
    <t>H001056</t>
  </si>
  <si>
    <t>NEWHOUSE, Daniel Milton</t>
  </si>
  <si>
    <t>N000189</t>
  </si>
  <si>
    <t>McMORRIS RODGERS, Cathy</t>
  </si>
  <si>
    <t>M001159</t>
  </si>
  <si>
    <t>KILMER, Derek</t>
  </si>
  <si>
    <t>K000381</t>
  </si>
  <si>
    <t>JAYAPAL, Pramila</t>
  </si>
  <si>
    <t>J000298</t>
  </si>
  <si>
    <t>SCHRIER, Kim</t>
  </si>
  <si>
    <t>S001216</t>
  </si>
  <si>
    <t>SMITH, Adam</t>
  </si>
  <si>
    <t>S000510</t>
  </si>
  <si>
    <t>STRICKLAND, Marilyn</t>
  </si>
  <si>
    <t>S001159</t>
  </si>
  <si>
    <t>STEIL, Bryan</t>
  </si>
  <si>
    <t>S001213</t>
  </si>
  <si>
    <t>POCAN, Mark</t>
  </si>
  <si>
    <t>P000607</t>
  </si>
  <si>
    <t>KIND, Ron</t>
  </si>
  <si>
    <t>K000188</t>
  </si>
  <si>
    <t>MOORE, Gwendolynne S. (Gwen)</t>
  </si>
  <si>
    <t>M001160</t>
  </si>
  <si>
    <t>FITZGERALD, Scott</t>
  </si>
  <si>
    <t>F000471</t>
  </si>
  <si>
    <t>GROTHMAN, Glenn</t>
  </si>
  <si>
    <t>G000576</t>
  </si>
  <si>
    <t>TIFFANY, Thomas P.</t>
  </si>
  <si>
    <t>T000165</t>
  </si>
  <si>
    <t>GALLAGHER, Michael</t>
  </si>
  <si>
    <t>G000579</t>
  </si>
  <si>
    <t>McKINLEY, David</t>
  </si>
  <si>
    <t>M001180</t>
  </si>
  <si>
    <t>MOONEY, Alex X.</t>
  </si>
  <si>
    <t>M001195</t>
  </si>
  <si>
    <t>MILLER, Carol</t>
  </si>
  <si>
    <t>M001205</t>
  </si>
  <si>
    <t>CHENEY, Liz</t>
  </si>
  <si>
    <t>C001109</t>
  </si>
  <si>
    <t>Sheila Cherfilus-McCormick</t>
  </si>
  <si>
    <t>Mike Carey</t>
  </si>
  <si>
    <t>OH-15-carey_mike-</t>
  </si>
  <si>
    <t>Cherfilus-McCormick</t>
  </si>
  <si>
    <t>Adam Frisch</t>
  </si>
  <si>
    <t>CO-03-frisch_adam-</t>
  </si>
  <si>
    <t>Alex Walker</t>
  </si>
  <si>
    <t>CO-03-walker_alex-</t>
  </si>
  <si>
    <t>Robert Lewis</t>
  </si>
  <si>
    <t>CO-04-lewis_robert-</t>
  </si>
  <si>
    <t>Andrew Heaton</t>
  </si>
  <si>
    <t>CO-05-heaton_andrew-</t>
  </si>
  <si>
    <t>David Torres</t>
  </si>
  <si>
    <t>CO-05-torres_david-</t>
  </si>
  <si>
    <t>Steven Monahan</t>
  </si>
  <si>
    <t>CO-06-monahan_steven-</t>
  </si>
  <si>
    <t>CO-07-aadland_erik-</t>
  </si>
  <si>
    <t>Lisa McCoy</t>
  </si>
  <si>
    <t>GA-07-mccoy_lisa-</t>
  </si>
  <si>
    <t>GA-07-west_mary-</t>
  </si>
  <si>
    <t>Yg Nyghtstorm</t>
  </si>
  <si>
    <t>GA-07-nyghtstorm_yg-</t>
  </si>
  <si>
    <t>Gregory Howard</t>
  </si>
  <si>
    <t>John London</t>
  </si>
  <si>
    <t>GA-09-london_john-</t>
  </si>
  <si>
    <t>IA-01-bohannan_christina-</t>
  </si>
  <si>
    <t>IA-01-miller-meeks_mariannette-</t>
  </si>
  <si>
    <t>IA-02-hinson_ashley-</t>
  </si>
  <si>
    <t>Ameena Matthews</t>
  </si>
  <si>
    <t>IL-01-matthews_ameena-</t>
  </si>
  <si>
    <t>IL-01-young_geno-</t>
  </si>
  <si>
    <t>Jeffery Regnier</t>
  </si>
  <si>
    <t>IL-01-regnier_jeffery-</t>
  </si>
  <si>
    <t>Philanese White</t>
  </si>
  <si>
    <t>IL-01-white_philanise-</t>
  </si>
  <si>
    <t>Robert Palmer</t>
  </si>
  <si>
    <t>IL-01-palmer_robert-</t>
  </si>
  <si>
    <t>Terre Rosner</t>
  </si>
  <si>
    <t>IL-01-rosner_terre-</t>
  </si>
  <si>
    <t>Shane Cultra</t>
  </si>
  <si>
    <t>IL-02-cultra_shane-</t>
  </si>
  <si>
    <t>Thomas Lynch</t>
  </si>
  <si>
    <t>IL-02-lynch_thomas-</t>
  </si>
  <si>
    <t>Juan Aguirre</t>
  </si>
  <si>
    <t>IL-03-aguirre_juan-</t>
  </si>
  <si>
    <t>IL-03-burau_justin-</t>
  </si>
  <si>
    <t>James Falakos</t>
  </si>
  <si>
    <t>IL-04-falakos_james-</t>
  </si>
  <si>
    <t>Malgorzata McGonigal</t>
  </si>
  <si>
    <t>IL-05-mcgonigal_malgorzata-</t>
  </si>
  <si>
    <t>Tommy Hanson</t>
  </si>
  <si>
    <t>IL-05-hanson_tommy-</t>
  </si>
  <si>
    <t>Catherine O'Shea</t>
  </si>
  <si>
    <t>IL-06-oshea_catherine-</t>
  </si>
  <si>
    <t>Charles Hughes</t>
  </si>
  <si>
    <t>IL-06-hughes_charles-</t>
  </si>
  <si>
    <t>IL-06-newman_marie-</t>
  </si>
  <si>
    <t>Robert Cruz</t>
  </si>
  <si>
    <t>IL-06-cruz_robert-</t>
  </si>
  <si>
    <t>Denarvis Mendenhall</t>
  </si>
  <si>
    <t>IL-07-mendenhall_denarvis-</t>
  </si>
  <si>
    <t>Chad Koppie</t>
  </si>
  <si>
    <t>IL-08-koppie_chad-</t>
  </si>
  <si>
    <t>Chris Dargis</t>
  </si>
  <si>
    <t>IL-08-dargis_chris-</t>
  </si>
  <si>
    <t>Phillip Wood</t>
  </si>
  <si>
    <t>IL-08-wood_phillip-</t>
  </si>
  <si>
    <t>Maxwell Rice</t>
  </si>
  <si>
    <t>IL-09-rice_maxwell-</t>
  </si>
  <si>
    <t>Joseph Severino</t>
  </si>
  <si>
    <t>IL-10-severino_joseph-</t>
  </si>
  <si>
    <t>IL-11-lauf_catalina-</t>
  </si>
  <si>
    <t>Mark Carroll</t>
  </si>
  <si>
    <t>IL-11-carroll_mark-</t>
  </si>
  <si>
    <t>Susan Hathaway-Altman</t>
  </si>
  <si>
    <t>IL-11-hathaway-altman_susan-</t>
  </si>
  <si>
    <t>Homer Markel</t>
  </si>
  <si>
    <t>IL-12-markel_homer-</t>
  </si>
  <si>
    <t>Joshua Qualls</t>
  </si>
  <si>
    <t>IL-12-qualls_joshua-</t>
  </si>
  <si>
    <t>Terry Martin</t>
  </si>
  <si>
    <t>IL-13-martin_terry-</t>
  </si>
  <si>
    <t>IL-14-lombardi_jack-</t>
  </si>
  <si>
    <t>Jaime Milton</t>
  </si>
  <si>
    <t>IL-14-milton_jaime-</t>
  </si>
  <si>
    <t>Paul Lange</t>
  </si>
  <si>
    <t>IL-15-lange_paul-</t>
  </si>
  <si>
    <t>IL-15-davis_rodney-</t>
  </si>
  <si>
    <t>IL-16-lahood_darin-</t>
  </si>
  <si>
    <t>JoAnne Guillemette</t>
  </si>
  <si>
    <t>IL-16-guillemette_joanne-</t>
  </si>
  <si>
    <t>Walt Peters</t>
  </si>
  <si>
    <t>IL-16-peters_walt-</t>
  </si>
  <si>
    <t>IL-17-williams_marsha-</t>
  </si>
  <si>
    <t>Anthony Williams</t>
  </si>
  <si>
    <t>IL-Sen03-williams_anthony-</t>
  </si>
  <si>
    <t>Kathy Salvi</t>
  </si>
  <si>
    <t>IL-Sen03-salvi_kathy-</t>
  </si>
  <si>
    <t>Matt Dubiel</t>
  </si>
  <si>
    <t>IL-Sen03-dubiel_matt-</t>
  </si>
  <si>
    <t>Kidron Peterson</t>
  </si>
  <si>
    <t>MS-04-peterson_kidron-</t>
  </si>
  <si>
    <t>Mitch Heuer</t>
  </si>
  <si>
    <t>MT-01-heuer_mitch-</t>
  </si>
  <si>
    <t>Brent Roberson</t>
  </si>
  <si>
    <t>NC-01-roberson_brent-</t>
  </si>
  <si>
    <t>Don Davis</t>
  </si>
  <si>
    <t>NC-01-davis_don-</t>
  </si>
  <si>
    <t>NC-01-smith_erica-</t>
  </si>
  <si>
    <t>Ernest Reeves</t>
  </si>
  <si>
    <t>NC-01-reeves_ernest-</t>
  </si>
  <si>
    <t>NC-01-spriggs_jason-</t>
  </si>
  <si>
    <t>Jullian Bishop</t>
  </si>
  <si>
    <t>NC-01-bishop_jullian-</t>
  </si>
  <si>
    <t>Will Aiken</t>
  </si>
  <si>
    <t>NC-01-aiken_will-</t>
  </si>
  <si>
    <t>NC-02-villaverde_christine-</t>
  </si>
  <si>
    <t>NC-02-ganorkar_mahest-</t>
  </si>
  <si>
    <t>George Papastrat</t>
  </si>
  <si>
    <t>Joe Swartz</t>
  </si>
  <si>
    <t>NC-03-swartz_joe-</t>
  </si>
  <si>
    <t>NC-03-cowden_tony-</t>
  </si>
  <si>
    <t>NC-04-aiken_clay-</t>
  </si>
  <si>
    <t>NC-04-geels_courtney-</t>
  </si>
  <si>
    <t>NC-04-allam_nida-</t>
  </si>
  <si>
    <t>NC-04-watkins_richard-</t>
  </si>
  <si>
    <t>Robert Thomas</t>
  </si>
  <si>
    <t>NC-04-thomas_robert-</t>
  </si>
  <si>
    <t>NC-04-foushee_valerie-</t>
  </si>
  <si>
    <t>NC-05-parrish_kyle-</t>
  </si>
  <si>
    <t>NC-06-castelli_christian-</t>
  </si>
  <si>
    <t>Laura Pichardo</t>
  </si>
  <si>
    <t>NC-06-pichardo_laura-</t>
  </si>
  <si>
    <t>Lee Haywood</t>
  </si>
  <si>
    <t>NC-06-haywood_lee-</t>
  </si>
  <si>
    <t>NC-06-boguslawski_marvin-</t>
  </si>
  <si>
    <t>Mary Contogiannis</t>
  </si>
  <si>
    <t>NC-06-contogiannis_mary-</t>
  </si>
  <si>
    <t>William Schuch</t>
  </si>
  <si>
    <t>NC-06-schuch_william-</t>
  </si>
  <si>
    <t>Charles Evans</t>
  </si>
  <si>
    <t>NC-07-evans_charles-</t>
  </si>
  <si>
    <t>NC-07-graham_charles-</t>
  </si>
  <si>
    <t>NC-07-midgette_yushonda-</t>
  </si>
  <si>
    <t>NC-08-bishop_dan-</t>
  </si>
  <si>
    <t>NC-08-huffman_scott-</t>
  </si>
  <si>
    <t>NC-09-clark_ben-</t>
  </si>
  <si>
    <t>NC-09-rios_francisco-</t>
  </si>
  <si>
    <t>Jen Bucardo</t>
  </si>
  <si>
    <t>NC-09-bucardo_jen-</t>
  </si>
  <si>
    <t>Mike Andriani</t>
  </si>
  <si>
    <t>NC-09-andriani_mike-</t>
  </si>
  <si>
    <t>NC-09-hudson_richard-</t>
  </si>
  <si>
    <t>Gary Robinson</t>
  </si>
  <si>
    <t>NC-10-robinson_gary-</t>
  </si>
  <si>
    <t>Jeff Gregory</t>
  </si>
  <si>
    <t>NC-10-gregory_jeff-</t>
  </si>
  <si>
    <t>Michael Felder</t>
  </si>
  <si>
    <t>NC-10-felder_michael-</t>
  </si>
  <si>
    <t>Michael Magnotta</t>
  </si>
  <si>
    <t>NC-10-magnotta_michael-</t>
  </si>
  <si>
    <t>Pam Genant</t>
  </si>
  <si>
    <t>NC-10-genant_pam-</t>
  </si>
  <si>
    <t>NC-10-speer_richard-</t>
  </si>
  <si>
    <t>Bynum Lunsford</t>
  </si>
  <si>
    <t>NC-11-lunsford_bynum-</t>
  </si>
  <si>
    <t>NC-11-edwards_chuck-</t>
  </si>
  <si>
    <t>Kristie Sluder</t>
  </si>
  <si>
    <t>NC-11-sluder_kristie-</t>
  </si>
  <si>
    <t>Marco Gutierrez</t>
  </si>
  <si>
    <t>NC-11-gutierrez_marco-</t>
  </si>
  <si>
    <t>NC-11-burril_matthew-</t>
  </si>
  <si>
    <t>NC-11-woodhouse_michele-</t>
  </si>
  <si>
    <t>Andrew Huffman</t>
  </si>
  <si>
    <t>NC-12-huffman_andrew-</t>
  </si>
  <si>
    <t>Nalini Joseph</t>
  </si>
  <si>
    <t>NC-12-nalini_joseph-</t>
  </si>
  <si>
    <t>NC-13-slotta_chad-</t>
  </si>
  <si>
    <t>NC-13-lee_denton-</t>
  </si>
  <si>
    <t>Jamie Bowles</t>
  </si>
  <si>
    <t>NC-13-bowles_jamie-</t>
  </si>
  <si>
    <t>Jessica Morel</t>
  </si>
  <si>
    <t>NC-13-morel_jessica-</t>
  </si>
  <si>
    <t>Kelly Daughtry</t>
  </si>
  <si>
    <t>NC-13-daughtry_kelly-</t>
  </si>
  <si>
    <t>NC-13-click_nathan-</t>
  </si>
  <si>
    <t>Sam Searcy</t>
  </si>
  <si>
    <t>NC-13-searcy_sam-</t>
  </si>
  <si>
    <t>NC-13-nickel_wiley-</t>
  </si>
  <si>
    <t>NC-14-jackson_jeff-</t>
  </si>
  <si>
    <t>Jonathan Simpson</t>
  </si>
  <si>
    <t>NC-14-simpson_jonathan-</t>
  </si>
  <si>
    <t>NC-14-harrigan_pat-</t>
  </si>
  <si>
    <t>NC-14-mammadov_ramin-</t>
  </si>
  <si>
    <t>Alyssia Hammond</t>
  </si>
  <si>
    <t>NC-Sen03-hammond_alyssia-</t>
  </si>
  <si>
    <t>BK Maginnis</t>
  </si>
  <si>
    <t>NC-Sen03-maginnis_bk-</t>
  </si>
  <si>
    <t>Marcus Williams</t>
  </si>
  <si>
    <t>NC-Sen03-williams_marcus-</t>
  </si>
  <si>
    <t>Robert Colon</t>
  </si>
  <si>
    <t>NC-Sen03-colon_robert-</t>
  </si>
  <si>
    <t>Curtis Huffman</t>
  </si>
  <si>
    <t>NE-01-huffman_curtis-</t>
  </si>
  <si>
    <t>Thireena Connely</t>
  </si>
  <si>
    <t>NE-01-connely_thireena-</t>
  </si>
  <si>
    <t>NJ-03-hendler_reuven-</t>
  </si>
  <si>
    <t>Brian Hansen</t>
  </si>
  <si>
    <t>NV-02-hansen_brian-</t>
  </si>
  <si>
    <t>Gerold Gorman</t>
  </si>
  <si>
    <t>NV-02-gorman_gerold-</t>
  </si>
  <si>
    <t>Joseph Afzal</t>
  </si>
  <si>
    <t>NV-02-afzal_joseph-</t>
  </si>
  <si>
    <t>Rahul Joshi</t>
  </si>
  <si>
    <t>NV-02-joshi_rahul-</t>
  </si>
  <si>
    <t>Allen Rheinhart</t>
  </si>
  <si>
    <t>Stephanie Kasheta</t>
  </si>
  <si>
    <t>NV-Sen03-kasheta_stephanie-</t>
  </si>
  <si>
    <t>David Windisch</t>
  </si>
  <si>
    <t>OH-02-windisch_david-</t>
  </si>
  <si>
    <t>James Condit</t>
  </si>
  <si>
    <t>OH-02-condit_james-</t>
  </si>
  <si>
    <t>Martin Heberling</t>
  </si>
  <si>
    <t>OH-05-heberling_martin-</t>
  </si>
  <si>
    <t>Gregory Zelenitz</t>
  </si>
  <si>
    <t>OH-06-zelenitz_gregory-</t>
  </si>
  <si>
    <t>John Anderson</t>
  </si>
  <si>
    <t>OH-06-anderson_john-</t>
  </si>
  <si>
    <t>Anthony Alexander</t>
  </si>
  <si>
    <t>OH-07-alexander_anthony-</t>
  </si>
  <si>
    <t>OH-07-gaddis_charlie-</t>
  </si>
  <si>
    <t>OH-07-schulz_jonah-</t>
  </si>
  <si>
    <t>Phil Heimlich</t>
  </si>
  <si>
    <t>OH-08-heimlich_phil-</t>
  </si>
  <si>
    <t>Vanessa Enoch</t>
  </si>
  <si>
    <t>OH-08-enoch_vanessa-</t>
  </si>
  <si>
    <t>Beth Deck</t>
  </si>
  <si>
    <t>OH-09-deck_beth-</t>
  </si>
  <si>
    <t>Theresa Gavarone</t>
  </si>
  <si>
    <t>OH-09-gavarone_theresa-</t>
  </si>
  <si>
    <t>David Esrati</t>
  </si>
  <si>
    <t>OH-10-esrati_david-</t>
  </si>
  <si>
    <t>Jeff Hardenbrook</t>
  </si>
  <si>
    <t>OH-10-hardenbrook_jeff-</t>
  </si>
  <si>
    <t>Eric Brewer</t>
  </si>
  <si>
    <t>OH-11-brewer_eric-</t>
  </si>
  <si>
    <t>Brandon Lape</t>
  </si>
  <si>
    <t>OH-12-lape_brandon-</t>
  </si>
  <si>
    <t>OH-13-sabatucci_dante-</t>
  </si>
  <si>
    <t>OH-13-saylor_ryan-</t>
  </si>
  <si>
    <t>Santana King</t>
  </si>
  <si>
    <t>OH-13-king_santana-</t>
  </si>
  <si>
    <t>Bevin Cormack</t>
  </si>
  <si>
    <t>OH-14-cormack_bevin-</t>
  </si>
  <si>
    <t>Avery Frix</t>
  </si>
  <si>
    <t>OK-02-frix_avery-</t>
  </si>
  <si>
    <t>Chris Schiller</t>
  </si>
  <si>
    <t>OK-02-schiller_chris-</t>
  </si>
  <si>
    <t>Clint Johnson</t>
  </si>
  <si>
    <t>OK-02-johnson_clint-</t>
  </si>
  <si>
    <t>David Derby</t>
  </si>
  <si>
    <t>OK-02-derby_david-</t>
  </si>
  <si>
    <t>Dustin Roberts</t>
  </si>
  <si>
    <t>OK-02-roberts_dustin-</t>
  </si>
  <si>
    <t>Guy Barker</t>
  </si>
  <si>
    <t>OK-02-barker_guy-</t>
  </si>
  <si>
    <t>John Bennett</t>
  </si>
  <si>
    <t>OK-02-bennett_john-</t>
  </si>
  <si>
    <t>Johnny Teehee</t>
  </si>
  <si>
    <t>OK-02-teehee_johnny-</t>
  </si>
  <si>
    <t>Josh Brecheen</t>
  </si>
  <si>
    <t>OK-02-brecheen_josh-</t>
  </si>
  <si>
    <t>Marty Quinn</t>
  </si>
  <si>
    <t>OK-02-quinn_marty-</t>
  </si>
  <si>
    <t>Naomi Andrews</t>
  </si>
  <si>
    <t>OK-02-andrews_naomi-</t>
  </si>
  <si>
    <t>Pamela Gordon</t>
  </si>
  <si>
    <t>OK-02-gordon_pamela-</t>
  </si>
  <si>
    <t>Rhonda Hopkins</t>
  </si>
  <si>
    <t>OK-02-hopkins_rhonda-</t>
  </si>
  <si>
    <t>Wes Nofire</t>
  </si>
  <si>
    <t>OK-02-nofire_wes-</t>
  </si>
  <si>
    <t>Jeremiah Ross</t>
  </si>
  <si>
    <t>OK-03-ross_jeremiah-</t>
  </si>
  <si>
    <t>Stephen Butler</t>
  </si>
  <si>
    <t>OK-03-butler_stephen-</t>
  </si>
  <si>
    <t>Frank Blacke</t>
  </si>
  <si>
    <t>OK-04-blacke_frank-</t>
  </si>
  <si>
    <t>OK-04-taylor_james-</t>
  </si>
  <si>
    <t>Mary Brannon</t>
  </si>
  <si>
    <t>OK-04-brannon_mary-</t>
  </si>
  <si>
    <t>Joshua Harris-Till</t>
  </si>
  <si>
    <t>OK-05-harris-till_joshua-</t>
  </si>
  <si>
    <t>Subrina Banks</t>
  </si>
  <si>
    <t>OK-05-banks_subrina-</t>
  </si>
  <si>
    <t>OK-Sen02-garrison_jessica-</t>
  </si>
  <si>
    <t>Kendra Horn</t>
  </si>
  <si>
    <t>OK-Sen02-horn_kendra-</t>
  </si>
  <si>
    <t>Laura Moreno</t>
  </si>
  <si>
    <t>OK-Sen02-moreno_laura-</t>
  </si>
  <si>
    <t>Luke Holland</t>
  </si>
  <si>
    <t>OK-Sen02-holland_luke-</t>
  </si>
  <si>
    <t>OK-Sen02-dahm_nathan-</t>
  </si>
  <si>
    <t>Randy Grellner</t>
  </si>
  <si>
    <t>OK-Sen02-grellner_randy-</t>
  </si>
  <si>
    <t>Scott Pruitt</t>
  </si>
  <si>
    <t>T.W. Shannon</t>
  </si>
  <si>
    <t>Arya Azma</t>
  </si>
  <si>
    <t>OK-Sen03-azma_arya-</t>
  </si>
  <si>
    <t>Brandon Wade</t>
  </si>
  <si>
    <t>OK-Sen03-wade_brandon-</t>
  </si>
  <si>
    <t>Dennis Baker</t>
  </si>
  <si>
    <t>OK-Sen03-baker_dennis-</t>
  </si>
  <si>
    <t>Tommy Smith</t>
  </si>
  <si>
    <t>OR-04-smith_tommy-</t>
  </si>
  <si>
    <t>Laurel Roses</t>
  </si>
  <si>
    <t>OR-05-roses_laurel-</t>
  </si>
  <si>
    <t>Madison Oatman</t>
  </si>
  <si>
    <t>OR-05-oatman_madison-</t>
  </si>
  <si>
    <t>OR-06-russ_david-</t>
  </si>
  <si>
    <t>Jim Bunn</t>
  </si>
  <si>
    <t>OR-06-bunn_jim-</t>
  </si>
  <si>
    <t>OR-06-sandvig_nate-</t>
  </si>
  <si>
    <t>Jeff Woodard</t>
  </si>
  <si>
    <t>PA-12-woodard_jeff-</t>
  </si>
  <si>
    <t>William Parker</t>
  </si>
  <si>
    <t>PA-12-parker_william-</t>
  </si>
  <si>
    <t>Rick Jones</t>
  </si>
  <si>
    <t>UT-01-jones_rick-</t>
  </si>
  <si>
    <t>Nick Mitchell</t>
  </si>
  <si>
    <t>UT-02-mitchell_nick-</t>
  </si>
  <si>
    <t>Christopher Herrod</t>
  </si>
  <si>
    <t>UT-03-herrod_christopher-</t>
  </si>
  <si>
    <t>Glenn Wright</t>
  </si>
  <si>
    <t>UT-03-wright_glenn-</t>
  </si>
  <si>
    <t>Darlene McDonald</t>
  </si>
  <si>
    <t>UT-04-mcdonald_darlene-</t>
  </si>
  <si>
    <t>Evan McMullin</t>
  </si>
  <si>
    <t>UT-Sen03-mcmullin_evan-</t>
  </si>
  <si>
    <t>WV-02-mckinley_david-</t>
  </si>
  <si>
    <t>Jennifer Qualteri</t>
  </si>
  <si>
    <t>CO-01-qualteri_jennifer-</t>
  </si>
  <si>
    <t>Marshall Dawson</t>
  </si>
  <si>
    <t>CO-02-dawson_marshall-</t>
  </si>
  <si>
    <t>AZ-03-gallego_ruben-</t>
  </si>
  <si>
    <t>AZ-07-grijalva_raul-</t>
  </si>
  <si>
    <t>CA-08-garamendi_john-</t>
  </si>
  <si>
    <t>GA-07-mcbath_lucy-</t>
  </si>
  <si>
    <t>IA-02-mathis_liz-</t>
  </si>
  <si>
    <t>TX-34-gonzalez_vicente-</t>
  </si>
  <si>
    <t>TX-37-doggett_lloyd-</t>
  </si>
  <si>
    <t>freedomFund</t>
  </si>
  <si>
    <t>trumpEndorsedNonInc</t>
  </si>
  <si>
    <t>Harriet Hageman</t>
  </si>
  <si>
    <t>WY-00-hageman_harriet-</t>
  </si>
  <si>
    <t>turningPointAction</t>
  </si>
  <si>
    <t>His first twitter account was suspended (@JaromeBellVA) so he added a 2. I have put the first one in officialScreenName - but be careful</t>
  </si>
  <si>
    <t>@derrickvanorden</t>
  </si>
  <si>
    <t>renewAmerica</t>
  </si>
  <si>
    <t>Clint Smith</t>
  </si>
  <si>
    <t>AZ-05-smith_clint-</t>
  </si>
  <si>
    <t>justiceDems</t>
  </si>
  <si>
    <t>progChangeDems</t>
  </si>
  <si>
    <t>indivisible</t>
  </si>
  <si>
    <t>brandNewCongress</t>
  </si>
  <si>
    <t>Randi McCallian</t>
  </si>
  <si>
    <t>MO-08-mccallian_randi-</t>
  </si>
  <si>
    <t>Jerry Dickinson</t>
  </si>
  <si>
    <t>Becca Balint</t>
  </si>
  <si>
    <t>VT-00-balint_becca-</t>
  </si>
  <si>
    <t>Javier Ramos</t>
  </si>
  <si>
    <t>AZ-05-ramos_javier-</t>
  </si>
  <si>
    <t>Avery Anderson</t>
  </si>
  <si>
    <t>AZ-06-anderson_avery-</t>
  </si>
  <si>
    <t>James Beard</t>
  </si>
  <si>
    <t>KS-01-beard_james-</t>
  </si>
  <si>
    <t>Bob Hernandez</t>
  </si>
  <si>
    <t>KS-04-hernandez_bob-</t>
  </si>
  <si>
    <t>Paul Buskirk</t>
  </si>
  <si>
    <t>KS-Sen03-buskirk_paul-</t>
  </si>
  <si>
    <t>Patrick Wiesner</t>
  </si>
  <si>
    <t>KS-Sen03-wiesner_patrick-</t>
  </si>
  <si>
    <t>Mike Andra</t>
  </si>
  <si>
    <t>Jerry Hilliard</t>
  </si>
  <si>
    <t>MI-02-hilliard_jerry-</t>
  </si>
  <si>
    <t>Bart Goldberg</t>
  </si>
  <si>
    <t>MI-05-goldberg_bart-</t>
  </si>
  <si>
    <t>MI-06-dingell_debbie-</t>
  </si>
  <si>
    <t>MI-07-slotkin_elissa-</t>
  </si>
  <si>
    <t>MI-08-kildee_dan-</t>
  </si>
  <si>
    <t>MI-09-jaye_brian-</t>
  </si>
  <si>
    <t>Carl Marlinga</t>
  </si>
  <si>
    <t>MI-10-marlinga_carl-</t>
  </si>
  <si>
    <t>Rhonda Powell</t>
  </si>
  <si>
    <t>MI-10-powell_rhonda-</t>
  </si>
  <si>
    <t>Henry Yanez</t>
  </si>
  <si>
    <t>MI-10-yanez_henry-</t>
  </si>
  <si>
    <t>MI-11-levin_andy-</t>
  </si>
  <si>
    <t>MI-12-tlaib_rashinda-</t>
  </si>
  <si>
    <t>Kelly Garrett</t>
  </si>
  <si>
    <t>MI-12-garrett_kelly-</t>
  </si>
  <si>
    <t>Portia Roberson</t>
  </si>
  <si>
    <t>MI-13-roberson_portia-</t>
  </si>
  <si>
    <t>Sharon McPhail</t>
  </si>
  <si>
    <t>MI-13-mcphail_sharon-</t>
  </si>
  <si>
    <t>Sam Riddle</t>
  </si>
  <si>
    <t>MI-13-riddle_sam-</t>
  </si>
  <si>
    <t>Steve Roberts</t>
  </si>
  <si>
    <t>MO-01-roberts_steve-</t>
  </si>
  <si>
    <t>Earl Childress</t>
  </si>
  <si>
    <t>MO-01-childress_earl-</t>
  </si>
  <si>
    <t>Bethany Mann</t>
  </si>
  <si>
    <t>MO-03-mann_bethany-</t>
  </si>
  <si>
    <t>Andrew Daly</t>
  </si>
  <si>
    <t>MO-03-daly_andrew-</t>
  </si>
  <si>
    <t>Dylan Durrwachter</t>
  </si>
  <si>
    <t>MO-03-durrwachter_dylan-</t>
  </si>
  <si>
    <t>Jack Truman</t>
  </si>
  <si>
    <t>MO-04-truman_jack-</t>
  </si>
  <si>
    <t>Maite Salazar</t>
  </si>
  <si>
    <t>MO-05-salazar_maite-</t>
  </si>
  <si>
    <t>Michael Howard</t>
  </si>
  <si>
    <t>MO-06-howard_michael-</t>
  </si>
  <si>
    <t>Kristen Radaker-Sheafer</t>
  </si>
  <si>
    <t>MO-07-radaker-sheafer_kristen-</t>
  </si>
  <si>
    <t>John Woodman</t>
  </si>
  <si>
    <t>MO-07-woodman_john-</t>
  </si>
  <si>
    <t>Bryce Lockwood</t>
  </si>
  <si>
    <t>MO-07-lockwood_bryce-</t>
  </si>
  <si>
    <t>Trudy Busch Valentine</t>
  </si>
  <si>
    <t>MO-Sen03-busch-valentine_trudy-</t>
  </si>
  <si>
    <t>Carla Wright</t>
  </si>
  <si>
    <t>MO-Sen03-wright_carla-</t>
  </si>
  <si>
    <t>Pat Kelly</t>
  </si>
  <si>
    <t>MO-Sen03-kelly_pat-</t>
  </si>
  <si>
    <t>Ronald Harris</t>
  </si>
  <si>
    <t>MO-Sen03-harris_ronald-</t>
  </si>
  <si>
    <t>Marie Perez</t>
  </si>
  <si>
    <t>WA-03-perez_marie-</t>
  </si>
  <si>
    <t>Eric Mahaffy</t>
  </si>
  <si>
    <t>WA-10-mahaffy_eric-</t>
  </si>
  <si>
    <t>Tom Spears</t>
  </si>
  <si>
    <t>Chris Byrd</t>
  </si>
  <si>
    <t>WA-03-byrd_chris-</t>
  </si>
  <si>
    <t>Tom Triggs</t>
  </si>
  <si>
    <t>WA-06-triggs_tom-</t>
  </si>
  <si>
    <t>Jesse James</t>
  </si>
  <si>
    <t>WA-07-james_jesse-</t>
  </si>
  <si>
    <t>WA-09-anderson_david-</t>
  </si>
  <si>
    <t>Steven Krystofiak</t>
  </si>
  <si>
    <t>AZ-02-krystofiak_steven-</t>
  </si>
  <si>
    <t>Randy Kutz</t>
  </si>
  <si>
    <t>AZ-09-kutz_randy-</t>
  </si>
  <si>
    <t>Sandra Dowling</t>
  </si>
  <si>
    <t>AZ-09-dowling_sandra-</t>
  </si>
  <si>
    <t>MI-02-moolenaar_john-</t>
  </si>
  <si>
    <t>Thomas Norton</t>
  </si>
  <si>
    <t>MI-02-norton_thomas-</t>
  </si>
  <si>
    <t>MI-04-huizenga_bill-</t>
  </si>
  <si>
    <t>MI-05-walberg_tim-</t>
  </si>
  <si>
    <t>MI-05-odonnell_sherry-</t>
  </si>
  <si>
    <t>Whittney Williams</t>
  </si>
  <si>
    <t>MI-06-williams_whittney-</t>
  </si>
  <si>
    <t>Hima Kolanagireddy</t>
  </si>
  <si>
    <t>MI-06-kolanagireddy_hima-</t>
  </si>
  <si>
    <t>Paul Junge</t>
  </si>
  <si>
    <t>MI-08-junge_paul-</t>
  </si>
  <si>
    <t>Matthew Seely</t>
  </si>
  <si>
    <t>MI-08-seely_matthew-</t>
  </si>
  <si>
    <t>Candice Miller</t>
  </si>
  <si>
    <t>MI-08-miller_candice-</t>
  </si>
  <si>
    <t>MI-09-mcclain_lisa-</t>
  </si>
  <si>
    <t>Michelle Donovan</t>
  </si>
  <si>
    <t>MI-09-donovan_michelle-</t>
  </si>
  <si>
    <t>Mark Ambrose</t>
  </si>
  <si>
    <t>MI-11-ambrose_mark-</t>
  </si>
  <si>
    <t>Steven Elliot</t>
  </si>
  <si>
    <t>James Hooper</t>
  </si>
  <si>
    <t>MI-12-hooper_james-</t>
  </si>
  <si>
    <t>Hassan Nehme</t>
  </si>
  <si>
    <t>MI-12-nehme_hassan-</t>
  </si>
  <si>
    <t>Martell Bivings</t>
  </si>
  <si>
    <t>MI-13-bivings_martell-</t>
  </si>
  <si>
    <t>Steven Jordan</t>
  </si>
  <si>
    <t>MO-01-jordan_steven-</t>
  </si>
  <si>
    <t>Laura Mitchell-Riley</t>
  </si>
  <si>
    <t>MO-01-mitchell-riley_laura-</t>
  </si>
  <si>
    <t>Tony Salvatore</t>
  </si>
  <si>
    <t>MO-02-salvatore_tony-</t>
  </si>
  <si>
    <t>Wesley Smith</t>
  </si>
  <si>
    <t>MO-02-smith_wesley-</t>
  </si>
  <si>
    <t>Dustin Hill</t>
  </si>
  <si>
    <t>MO-03-hill_dustin-</t>
  </si>
  <si>
    <t>Richard Skwira</t>
  </si>
  <si>
    <t>MO-03-skwira_richard-</t>
  </si>
  <si>
    <t>MO-04-alford_mark-</t>
  </si>
  <si>
    <t>Jim Campbell</t>
  </si>
  <si>
    <t>MO-04-campbell_jim-</t>
  </si>
  <si>
    <t>Jacob Turk</t>
  </si>
  <si>
    <t>MO-05-turk_jacob-</t>
  </si>
  <si>
    <t>Jerry Barham</t>
  </si>
  <si>
    <t>MO-05-barham_jerry-</t>
  </si>
  <si>
    <t>Herschel Young</t>
  </si>
  <si>
    <t>MO-05-young_herschel-</t>
  </si>
  <si>
    <t>Christopher Ryan</t>
  </si>
  <si>
    <t>MO-06-ryan_christopher-</t>
  </si>
  <si>
    <t>Brandon Kleinmeyer</t>
  </si>
  <si>
    <t>MO-06-kleinmeyer_brandon-</t>
  </si>
  <si>
    <t>John Dady</t>
  </si>
  <si>
    <t>Alex Bryant</t>
  </si>
  <si>
    <t>MO-07-bryant_alex-</t>
  </si>
  <si>
    <t>Camille Lombardi-Olive-</t>
  </si>
  <si>
    <t>MO-07-lombardi-olive_camille-</t>
  </si>
  <si>
    <t>Jacob Turner</t>
  </si>
  <si>
    <t>MO-08-turner_jacob-</t>
  </si>
  <si>
    <t>Matthew Heines</t>
  </si>
  <si>
    <t>WA-01-heines_matthew-</t>
  </si>
  <si>
    <t>Derek Chartrand</t>
  </si>
  <si>
    <t>WA-01-chartrand_derek-</t>
  </si>
  <si>
    <t>Dan Matthews</t>
  </si>
  <si>
    <t>WA-02-matthews_dan-</t>
  </si>
  <si>
    <t>Cody Hart</t>
  </si>
  <si>
    <t>WA-02-hart_cody-</t>
  </si>
  <si>
    <t>Bill Wheeler</t>
  </si>
  <si>
    <t>WA-02-wheeler_bill-</t>
  </si>
  <si>
    <t>Leif Johnson</t>
  </si>
  <si>
    <t>WA-02-johnson_leif-</t>
  </si>
  <si>
    <t>Sean Clynch</t>
  </si>
  <si>
    <t>WA-05-clynch_sean-</t>
  </si>
  <si>
    <t>Elizabeth Kreiselmaier</t>
  </si>
  <si>
    <t>WA-06-kreiselmaier_elizabeth-</t>
  </si>
  <si>
    <t>Todd Bloom</t>
  </si>
  <si>
    <t>WA-06-bloom_todd-</t>
  </si>
  <si>
    <t>Chris Binns</t>
  </si>
  <si>
    <t>WA-06-binns_chris-</t>
  </si>
  <si>
    <t>Cliff Moon</t>
  </si>
  <si>
    <t>WA-07-moon_cliff-</t>
  </si>
  <si>
    <t>Scott Stephenson</t>
  </si>
  <si>
    <t>WA-08-stephenson_scott-</t>
  </si>
  <si>
    <t>Doug Basler</t>
  </si>
  <si>
    <t>WA-09-besler_doug-</t>
  </si>
  <si>
    <t>Seth Pedersen</t>
  </si>
  <si>
    <t>WA-09-pedersen_seth-</t>
  </si>
  <si>
    <t>Keith Swank</t>
  </si>
  <si>
    <t>WA-10-swank_keith-</t>
  </si>
  <si>
    <t>Dan Gordon</t>
  </si>
  <si>
    <t>WA-10-gordon_dan-</t>
  </si>
  <si>
    <t>Leon Lawson</t>
  </si>
  <si>
    <t>WA-Sen03-lawson_leon-</t>
  </si>
  <si>
    <t>John Guenther</t>
  </si>
  <si>
    <t>WA-Sen03-guenther_john-</t>
  </si>
  <si>
    <t>Dave Saulibio</t>
  </si>
  <si>
    <t>WA-Sen03-saulibio_dave-</t>
  </si>
  <si>
    <t xml:space="preserve">deleted personal twitter after controversy </t>
  </si>
  <si>
    <t>Twitter account suspended</t>
  </si>
  <si>
    <t xml:space="preserve"> @BerneyFlowers</t>
  </si>
  <si>
    <t xml:space="preserve"> @Johnheretohelp</t>
  </si>
  <si>
    <t>Lucinda Jahn</t>
  </si>
  <si>
    <t xml:space="preserve"> @lucindakwhjahn</t>
  </si>
  <si>
    <t>@adamwool2</t>
  </si>
  <si>
    <t>@constant4alaska</t>
  </si>
  <si>
    <t>@maccochairman</t>
  </si>
  <si>
    <t>@JodyShackelford</t>
  </si>
  <si>
    <t>@Boozman4AR</t>
  </si>
  <si>
    <t>@RamosAZ5</t>
  </si>
  <si>
    <t>@brnoforaz</t>
  </si>
  <si>
    <t>@BethHampsonCA</t>
  </si>
  <si>
    <t>@ChrisToCongress</t>
  </si>
  <si>
    <t>@DARIAN5</t>
  </si>
  <si>
    <t>@PetersonforCA</t>
  </si>
  <si>
    <t>@DrKermitJones</t>
  </si>
  <si>
    <t>@kishineff</t>
  </si>
  <si>
    <t>@WozForCali</t>
  </si>
  <si>
    <t>@MarkGorman4CA06</t>
  </si>
  <si>
    <t>@DKLJcongress</t>
  </si>
  <si>
    <t>@Black4Congress</t>
  </si>
  <si>
    <t>@TamikaGHamilton</t>
  </si>
  <si>
    <t>@Jimmy_Fremgen</t>
  </si>
  <si>
    <t>@RileyforCA8</t>
  </si>
  <si>
    <t>@Rudy4USCongress</t>
  </si>
  <si>
    <t>@JEMadison</t>
  </si>
  <si>
    <t>@SupeTomPatti</t>
  </si>
  <si>
    <t>@TheRealBaroness</t>
  </si>
  <si>
    <t>@11thJeff</t>
  </si>
  <si>
    <t>@Glenn4congress</t>
  </si>
  <si>
    <t>@PhilArballo</t>
  </si>
  <si>
    <t>@Peters2022ffof</t>
  </si>
  <si>
    <t>@Iyer4Congress</t>
  </si>
  <si>
    <t>@Wong_4_Congress</t>
  </si>
  <si>
    <t>@1FerencPataki</t>
  </si>
  <si>
    <t>@TheOneTrueGus</t>
  </si>
  <si>
    <t>@tandon4congress</t>
  </si>
  <si>
    <t>@DouglasDeitch</t>
  </si>
  <si>
    <t>@JeffGormanMRY</t>
  </si>
  <si>
    <t>@ca20th</t>
  </si>
  <si>
    <t>@MacauleyJim</t>
  </si>
  <si>
    <t>@electmattstoll</t>
  </si>
  <si>
    <t>@Maher4Congress</t>
  </si>
  <si>
    <t>@RudySalasCA</t>
  </si>
  <si>
    <t>@DerekMarshallCA</t>
  </si>
  <si>
    <t>@MWeslanderQuiad</t>
  </si>
  <si>
    <t>@BurtForCongress</t>
  </si>
  <si>
    <t>@Jonathan_Reiss</t>
  </si>
  <si>
    <t>@ChristySmithCA</t>
  </si>
  <si>
    <t>@VoteRudnickCA25</t>
  </si>
  <si>
    <t>@ElectMikeGarcia</t>
  </si>
  <si>
    <t>@AndyforCa29</t>
  </si>
  <si>
    <t>@ForRodriguezd28</t>
  </si>
  <si>
    <t>@Johnny_Congress</t>
  </si>
  <si>
    <t>@Paloma Zuniga</t>
  </si>
  <si>
    <t>@Ronda4Congress</t>
  </si>
  <si>
    <t>@AarikaRhodes</t>
  </si>
  <si>
    <t>@BranSherman4SFV</t>
  </si>
  <si>
    <t>@JasonPotell</t>
  </si>
  <si>
    <t>@MToomim</t>
  </si>
  <si>
    <t>@CargileForCA35</t>
  </si>
  <si>
    <t>@mvjfyi</t>
  </si>
  <si>
    <t>@steve4congress1</t>
  </si>
  <si>
    <t>@Derrick_R_Gates</t>
  </si>
  <si>
    <t>@michaelshure</t>
  </si>
  <si>
    <t>@AjaforCongress</t>
  </si>
  <si>
    <t>@GregRaths</t>
  </si>
  <si>
    <t>@annactnow</t>
  </si>
  <si>
    <t>@joaquinlife</t>
  </si>
  <si>
    <t>@johnfbriscoe</t>
  </si>
  <si>
    <t>@RushTheHouse</t>
  </si>
  <si>
    <t>@MatthewRascon1</t>
  </si>
  <si>
    <t>@BartlessForCA</t>
  </si>
  <si>
    <t>@SoCal_Reborn</t>
  </si>
  <si>
    <t>@KylieTaitano</t>
  </si>
  <si>
    <t>@CoreyCA50</t>
  </si>
  <si>
    <t>@cortes4congress</t>
  </si>
  <si>
    <t>@Vazquez4CA52</t>
  </si>
  <si>
    <t>@JuanVargas4CA</t>
  </si>
  <si>
    <t>@RealDanODowd</t>
  </si>
  <si>
    <t>@Lucero4CA</t>
  </si>
  <si>
    <t>@Ursichforsenate</t>
  </si>
  <si>
    <t>@Henk4Senate</t>
  </si>
  <si>
    <t>@DrHallForSenate</t>
  </si>
  <si>
    <t>@coramforco</t>
  </si>
  <si>
    <t>@TimReichertCO</t>
  </si>
  <si>
    <t>@HanksUSSenate</t>
  </si>
  <si>
    <t>@JoyceGriggs2022</t>
  </si>
  <si>
    <t>@thatwhitehead</t>
  </si>
  <si>
    <t>@ChristianZimm_</t>
  </si>
  <si>
    <t>@StaplesCongress</t>
  </si>
  <si>
    <t>@Rep_Clyde</t>
  </si>
  <si>
    <t>@FemiOduwole1</t>
  </si>
  <si>
    <t>@walton4congress</t>
  </si>
  <si>
    <t>@Tabitha57363624</t>
  </si>
  <si>
    <t>@StrahanJennifer</t>
  </si>
  <si>
    <t>@SethSynstelien</t>
  </si>
  <si>
    <t>@LefflerCongress</t>
  </si>
  <si>
    <t>@melton4iowa</t>
  </si>
  <si>
    <t>@rothforIdaho</t>
  </si>
  <si>
    <t>@natalie4_senate</t>
  </si>
  <si>
    <t>@RamontTurnbull</t>
  </si>
  <si>
    <t>@putyou1st</t>
  </si>
  <si>
    <t>@senatorjacqui</t>
  </si>
  <si>
    <t>@CongressJackson</t>
  </si>
  <si>
    <t>@Nykea4Congress</t>
  </si>
  <si>
    <t>@GilforCongress</t>
  </si>
  <si>
    <t>@GrassoNew6th</t>
  </si>
  <si>
    <t>@MattHausman13</t>
  </si>
  <si>
    <t>@Gryder4Congress</t>
  </si>
  <si>
    <t>@jackieforcongr1</t>
  </si>
  <si>
    <t>@CharlieHelmick</t>
  </si>
  <si>
    <t>@UAmerica333</t>
  </si>
  <si>
    <t>@BlairMiloLP</t>
  </si>
  <si>
    <t>@paulforall22</t>
  </si>
  <si>
    <t>@matthallcd5</t>
  </si>
  <si>
    <t>@cwirth4congress</t>
  </si>
  <si>
    <t>@pierrepullins</t>
  </si>
  <si>
    <t>@jimbakercre</t>
  </si>
  <si>
    <t>@JohnForKansas3</t>
  </si>
  <si>
    <t>@RobertforKansas</t>
  </si>
  <si>
    <t>@PaulBuskirk</t>
  </si>
  <si>
    <t>@moranforkansas</t>
  </si>
  <si>
    <t>@Darien4congress</t>
  </si>
  <si>
    <t>@Brandon4_KY_5th</t>
  </si>
  <si>
    <t>@JAndrews1stGen</t>
  </si>
  <si>
    <t>@Hamilton4S</t>
  </si>
  <si>
    <t>MD-02-croom_george-</t>
  </si>
  <si>
    <t>@GeorgeCroom</t>
  </si>
  <si>
    <t>Liri Fusha</t>
  </si>
  <si>
    <t>MD-02-fusha_liri-</t>
  </si>
  <si>
    <t>@lirifusha</t>
  </si>
  <si>
    <t>Nicolee Ambrose</t>
  </si>
  <si>
    <t>MD-02-ambrose_nicolee-</t>
  </si>
  <si>
    <t>@NicoleeAmbrose</t>
  </si>
  <si>
    <t>MD-02-wallace_dave-</t>
  </si>
  <si>
    <t>@DaveWallaceUS</t>
  </si>
  <si>
    <t>Michael Geppi</t>
  </si>
  <si>
    <t>MD-02-geppi_michael-</t>
  </si>
  <si>
    <t>Ellen McNulty</t>
  </si>
  <si>
    <t>MD-02-mcnulty_ellen-</t>
  </si>
  <si>
    <t>@EJ4Congress</t>
  </si>
  <si>
    <t>MD-02-griffin_lance-</t>
  </si>
  <si>
    <t>Ben Beardsley</t>
  </si>
  <si>
    <t>MD-03-beardsley_ben-</t>
  </si>
  <si>
    <t>@ben4congress26</t>
  </si>
  <si>
    <t>Jake Pretot</t>
  </si>
  <si>
    <t>MD-03-pretot_jake-</t>
  </si>
  <si>
    <t>@jake_pretot</t>
  </si>
  <si>
    <t>@Amal4Congress</t>
  </si>
  <si>
    <t>MD-03-morgan_yuripzy-</t>
  </si>
  <si>
    <t>@YMforcongress</t>
  </si>
  <si>
    <t>MD-03-kelley_joe-</t>
  </si>
  <si>
    <t>Thomas Harris</t>
  </si>
  <si>
    <t>MD-03-harris_thomas-</t>
  </si>
  <si>
    <t>@Angel4Dist25</t>
  </si>
  <si>
    <t>@Curtis4change</t>
  </si>
  <si>
    <t>Tammy Allison</t>
  </si>
  <si>
    <t>MD-04-allison_tammy-</t>
  </si>
  <si>
    <t>Kim Shelton</t>
  </si>
  <si>
    <t>MD-04-shelton_kim-</t>
  </si>
  <si>
    <t>Gregory Holmes</t>
  </si>
  <si>
    <t>MD-04-holmes_gregory-</t>
  </si>
  <si>
    <t>George McDermott</t>
  </si>
  <si>
    <t>MD-04-mcdermott_george-</t>
  </si>
  <si>
    <t>Eric Loeb</t>
  </si>
  <si>
    <t>MD-04-loeb_eric-</t>
  </si>
  <si>
    <t>Keith Washington</t>
  </si>
  <si>
    <t>MD-05-washington_keith-</t>
  </si>
  <si>
    <t>Chris Palombi</t>
  </si>
  <si>
    <t>MD-05-palombi_chris-</t>
  </si>
  <si>
    <t>@ChrisPalombi</t>
  </si>
  <si>
    <t>Vanessa Hoffman</t>
  </si>
  <si>
    <t>MD-05-hoffman_vanessa-</t>
  </si>
  <si>
    <t>Michael Lemon</t>
  </si>
  <si>
    <t>MD-05-lemon_michael-</t>
  </si>
  <si>
    <t>Toni Jarboe-Duley</t>
  </si>
  <si>
    <t>MD-05-jarboe-duley_toni-</t>
  </si>
  <si>
    <t>@Vanessa23607546</t>
  </si>
  <si>
    <t>Patrick Stevens</t>
  </si>
  <si>
    <t>MD-05-stevens_patrick-</t>
  </si>
  <si>
    <t>DuVal Cubero</t>
  </si>
  <si>
    <t>MD-05-cubero_duval-</t>
  </si>
  <si>
    <t>George Gluck</t>
  </si>
  <si>
    <t>MD-06-gluck_george-</t>
  </si>
  <si>
    <t>@Gluck4Congress</t>
  </si>
  <si>
    <t>@bobpoissonier</t>
  </si>
  <si>
    <t>Matthew Foldi</t>
  </si>
  <si>
    <t>MD-06-foldi_matthew-</t>
  </si>
  <si>
    <t>@MatthewFoldi</t>
  </si>
  <si>
    <t>MD-06-black_colt-</t>
  </si>
  <si>
    <t>MD-06-roca_mariela-</t>
  </si>
  <si>
    <t>Tashi Davis</t>
  </si>
  <si>
    <t>MD-07-davis_tashi-</t>
  </si>
  <si>
    <t>@tashi_davis</t>
  </si>
  <si>
    <t>Wayne McNeal</t>
  </si>
  <si>
    <t>MD-07-mcneal_wayne-</t>
  </si>
  <si>
    <t>Elihu El</t>
  </si>
  <si>
    <t>MD-07-el_elihu-</t>
  </si>
  <si>
    <t>Scott Collier</t>
  </si>
  <si>
    <t>MD-07-collier_scott-</t>
  </si>
  <si>
    <t>Lorrie Sigley</t>
  </si>
  <si>
    <t>MD-07-sigley_lorrie-</t>
  </si>
  <si>
    <t>Michael Pearson</t>
  </si>
  <si>
    <t>MD-07-pearson_michael-</t>
  </si>
  <si>
    <t>Ray Bly</t>
  </si>
  <si>
    <t>MD-07-bly_ray-</t>
  </si>
  <si>
    <t>Gregory Coll</t>
  </si>
  <si>
    <t>MD-08-coll_gregory-</t>
  </si>
  <si>
    <t>@CollforCongress</t>
  </si>
  <si>
    <t>Michael Yadeta</t>
  </si>
  <si>
    <t>MD-08-yadeta_michael-</t>
  </si>
  <si>
    <t>Chris Chaffee</t>
  </si>
  <si>
    <t>MD-Sen03-chaffee_chris-</t>
  </si>
  <si>
    <t>Lorie Friend</t>
  </si>
  <si>
    <t>MD-Sen03-friend_lorie-</t>
  </si>
  <si>
    <t>@LorieFriendGOP</t>
  </si>
  <si>
    <t>John Thormann</t>
  </si>
  <si>
    <t>MD-Sen03-thormann_john-</t>
  </si>
  <si>
    <t>@thormann4senate</t>
  </si>
  <si>
    <t>Joseph Perez</t>
  </si>
  <si>
    <t>MD-Sen03-perez_joseph-</t>
  </si>
  <si>
    <t>@perez4ussenate</t>
  </si>
  <si>
    <t>George Davis</t>
  </si>
  <si>
    <t>MD-Sen03-davis_george-</t>
  </si>
  <si>
    <t>Todd Puglisi</t>
  </si>
  <si>
    <t>MD-Sen03-puglisi_todd-</t>
  </si>
  <si>
    <t>@PingreeforME</t>
  </si>
  <si>
    <t>@EdForMaine</t>
  </si>
  <si>
    <t>@DrLorinser</t>
  </si>
  <si>
    <t>@bartgoldbergmi5</t>
  </si>
  <si>
    <t>@SherryCongress</t>
  </si>
  <si>
    <t>@Whittney2022</t>
  </si>
  <si>
    <t>@HimaForCongress</t>
  </si>
  <si>
    <t>@VotePaulJunge</t>
  </si>
  <si>
    <t>@Seely4Congress</t>
  </si>
  <si>
    <t>@Michelle4MI</t>
  </si>
  <si>
    <t>@MarlingaForMI10</t>
  </si>
  <si>
    <t>@RhondaPowellMI</t>
  </si>
  <si>
    <t>@CitizenYanez</t>
  </si>
  <si>
    <t>@Tmarcinkewciz</t>
  </si>
  <si>
    <t>@VoteMarkAmbrose</t>
  </si>
  <si>
    <t>@winfrey_janice</t>
  </si>
  <si>
    <t>@LathrupKelly</t>
  </si>
  <si>
    <t>@StevenElliotMI</t>
  </si>
  <si>
    <t>@WeRAmericans1st</t>
  </si>
  <si>
    <t>@HassanHNehme</t>
  </si>
  <si>
    <t>@LorrieforMI13</t>
  </si>
  <si>
    <t>@MichaelRGriffie</t>
  </si>
  <si>
    <t>@ShriThanedar</t>
  </si>
  <si>
    <t>@portiaforcong13</t>
  </si>
  <si>
    <t>@samriddle</t>
  </si>
  <si>
    <t>@BivingsCongress</t>
  </si>
  <si>
    <t>@DanielsForUSRep</t>
  </si>
  <si>
    <t>@RobertsforSTL</t>
  </si>
  <si>
    <t>@EarlChildress</t>
  </si>
  <si>
    <t>@RayReedMO</t>
  </si>
  <si>
    <t>@Mann4Congress</t>
  </si>
  <si>
    <t>@thatjacktruman</t>
  </si>
  <si>
    <t>@RickBrattin</t>
  </si>
  <si>
    <t>@IrwinCongress</t>
  </si>
  <si>
    <t>@JacobTurk</t>
  </si>
  <si>
    <t>@Dady6th</t>
  </si>
  <si>
    <t>@KristenRSheafer</t>
  </si>
  <si>
    <t>@JohnMWoodman</t>
  </si>
  <si>
    <t>@ColPaulDWalker</t>
  </si>
  <si>
    <t>@BryantCongress</t>
  </si>
  <si>
    <t>@RandiMcCallian</t>
  </si>
  <si>
    <t>@rolenlewis1</t>
  </si>
  <si>
    <t>@buschvalentine</t>
  </si>
  <si>
    <t>@patkelly4senate</t>
  </si>
  <si>
    <t>@Dianne4Congress</t>
  </si>
  <si>
    <t>@HunterKyleAver1</t>
  </si>
  <si>
    <t>@KellyforMS01</t>
  </si>
  <si>
    <t>@VoteRon</t>
  </si>
  <si>
    <t>@VoteCassidy</t>
  </si>
  <si>
    <t>@DavidSellersMS</t>
  </si>
  <si>
    <t>@johnnyldupree</t>
  </si>
  <si>
    <t>@CongressClay</t>
  </si>
  <si>
    <t>@WinterForMT</t>
  </si>
  <si>
    <t>@alformontana</t>
  </si>
  <si>
    <t>@Jette2022</t>
  </si>
  <si>
    <t>@penny4congress</t>
  </si>
  <si>
    <t>@EricaforUS</t>
  </si>
  <si>
    <t>@Villaverde4NC</t>
  </si>
  <si>
    <t>@Barbara4NC</t>
  </si>
  <si>
    <t>@JoeSwartzNC</t>
  </si>
  <si>
    <t>@gpapstrat</t>
  </si>
  <si>
    <t>@Ward4NC</t>
  </si>
  <si>
    <t>@RLWatkinsNC</t>
  </si>
  <si>
    <t>@CourtneyGeels</t>
  </si>
  <si>
    <t>@robertthomasnc1</t>
  </si>
  <si>
    <t>@KP4NC</t>
  </si>
  <si>
    <t>@AckermanForNC</t>
  </si>
  <si>
    <t>@Castelli4NC</t>
  </si>
  <si>
    <t>@LauraPichardoNC</t>
  </si>
  <si>
    <t>@MarvinBoguslaw</t>
  </si>
  <si>
    <t>@Mcontogiannis</t>
  </si>
  <si>
    <t>@jenforcongress</t>
  </si>
  <si>
    <t>@VoteAndriani</t>
  </si>
  <si>
    <t>@PamGenant</t>
  </si>
  <si>
    <t>@ElectKatieDean</t>
  </si>
  <si>
    <t>@KristieSluder1</t>
  </si>
  <si>
    <t>@NC11_Woodhouse</t>
  </si>
  <si>
    <t>@CuttForCongress</t>
  </si>
  <si>
    <t>@johnsharkey2022</t>
  </si>
  <si>
    <t>@ForNalini</t>
  </si>
  <si>
    <t>@votetylerlee</t>
  </si>
  <si>
    <t>@jcb4nc</t>
  </si>
  <si>
    <t>@ElectSamSearcy</t>
  </si>
  <si>
    <t>@KellyDaughtryNC</t>
  </si>
  <si>
    <t>@realjdsimpson</t>
  </si>
  <si>
    <t>@Alyssia_Hammond</t>
  </si>
  <si>
    <t>@bkmaginnis</t>
  </si>
  <si>
    <t>@Marc7Marcus</t>
  </si>
  <si>
    <t>@ncvoteharper</t>
  </si>
  <si>
    <t>@Lichia4ussenate</t>
  </si>
  <si>
    <t>@HaughenforHouse</t>
  </si>
  <si>
    <t>@katrina_senate</t>
  </si>
  <si>
    <t>@hoeven4senate</t>
  </si>
  <si>
    <t>@thireena</t>
  </si>
  <si>
    <t>@RepStevenKeuhl</t>
  </si>
  <si>
    <t>@DeSantisforD1</t>
  </si>
  <si>
    <t>@ClaireGForNJRep</t>
  </si>
  <si>
    <t>@sean_pignatelli</t>
  </si>
  <si>
    <t>@Reuvenhendler</t>
  </si>
  <si>
    <t>@iansmithfitness</t>
  </si>
  <si>
    <t>@BobHealey4NJ</t>
  </si>
  <si>
    <t>@SteveGrayNJ4</t>
  </si>
  <si>
    <t>@Fred4NJ5</t>
  </si>
  <si>
    <t>@NickDGNJ</t>
  </si>
  <si>
    <t>@SueKileyNJ6</t>
  </si>
  <si>
    <t>@TomToomeyNj</t>
  </si>
  <si>
    <t>@Bacon4congres</t>
  </si>
  <si>
    <t>@ErikPetersonD7</t>
  </si>
  <si>
    <t>@kevin7dorlon</t>
  </si>
  <si>
    <t>@ane_eberhard</t>
  </si>
  <si>
    <t>@DavidOcampoNJ</t>
  </si>
  <si>
    <t>@RobMenendez4NJ</t>
  </si>
  <si>
    <t>@BillyPrempeh</t>
  </si>
  <si>
    <t>@DonaldPayneJr</t>
  </si>
  <si>
    <t>@DeGrootCongress</t>
  </si>
  <si>
    <t>@Darius4America</t>
  </si>
  <si>
    <t>@BobMenendezNJ</t>
  </si>
  <si>
    <t>@PatelforNM</t>
  </si>
  <si>
    <t>@alexisjohnsonnm</t>
  </si>
  <si>
    <t>@iLoveJaneAdams</t>
  </si>
  <si>
    <t>@JessieT4NVDis1</t>
  </si>
  <si>
    <t>@RobertsonNV</t>
  </si>
  <si>
    <t>@mercedes4nevada</t>
  </si>
  <si>
    <t>@JoeyAfzal</t>
  </si>
  <si>
    <t>@JoshiForNV2</t>
  </si>
  <si>
    <t>@nadell4nevada</t>
  </si>
  <si>
    <t>@DannyTarkanian</t>
  </si>
  <si>
    <t>@JBeck4Congress</t>
  </si>
  <si>
    <t>@Chancefornv</t>
  </si>
  <si>
    <t>@CortezMasto</t>
  </si>
  <si>
    <t>@Reid4Senate22</t>
  </si>
  <si>
    <t>@billconradus</t>
  </si>
  <si>
    <t>@billhockstedler</t>
  </si>
  <si>
    <t>@VoteLandsman</t>
  </si>
  <si>
    <t>@SMeadows4OH2</t>
  </si>
  <si>
    <t>@Anthony4congress</t>
  </si>
  <si>
    <t>@CharlieCongress</t>
  </si>
  <si>
    <t>@philheimlich</t>
  </si>
  <si>
    <t>@theresagavarone</t>
  </si>
  <si>
    <t>@baxterstapelton</t>
  </si>
  <si>
    <t>@EricJBrewerCle</t>
  </si>
  <si>
    <t>@LapeforOhio</t>
  </si>
  <si>
    <t>@Santanafking</t>
  </si>
  <si>
    <t>@AdamMartin4OK</t>
  </si>
  <si>
    <t>@NaomiForOK</t>
  </si>
  <si>
    <t>@averyfrix</t>
  </si>
  <si>
    <t>@SchillerforOK</t>
  </si>
  <si>
    <t>@ClintJok</t>
  </si>
  <si>
    <t>@dustinrobertsOK</t>
  </si>
  <si>
    <t>@GuySBarker</t>
  </si>
  <si>
    <t>@TeeheeJohnny</t>
  </si>
  <si>
    <t>@Brecheen4OK</t>
  </si>
  <si>
    <t>@VotePamGordon</t>
  </si>
  <si>
    <t>@Nofireboxing</t>
  </si>
  <si>
    <t>@Burleson4USRep</t>
  </si>
  <si>
    <t>@ElectBrannon</t>
  </si>
  <si>
    <t>@subrinaBanks</t>
  </si>
  <si>
    <t>@VoteKendraOK</t>
  </si>
  <si>
    <t>@LukeHollandOK</t>
  </si>
  <si>
    <t>@TWShannon</t>
  </si>
  <si>
    <t>@Wake4SenateOk22</t>
  </si>
  <si>
    <t>@DennisLBaker</t>
  </si>
  <si>
    <t>@glennforsenate</t>
  </si>
  <si>
    <t>@jameslankford</t>
  </si>
  <si>
    <t>@JaromeBellVA</t>
  </si>
  <si>
    <t>@Heinessight</t>
  </si>
  <si>
    <t>@ChartrandFor</t>
  </si>
  <si>
    <t>@WHEELERFORWA</t>
  </si>
  <si>
    <t>@Leif4Congress</t>
  </si>
  <si>
    <t>@MGPforCongress</t>
  </si>
  <si>
    <t>@chrisbyrd22</t>
  </si>
  <si>
    <t>@FrenchCongress</t>
  </si>
  <si>
    <t>@BenGarciaWA4</t>
  </si>
  <si>
    <t>@cleanupthehouse</t>
  </si>
  <si>
    <t>@Elect_ToddBloom</t>
  </si>
  <si>
    <t>@chrisforthe6th</t>
  </si>
  <si>
    <t>@JesseAlexJames</t>
  </si>
  <si>
    <t>@Scott4WA8</t>
  </si>
  <si>
    <t>@dougbasler</t>
  </si>
  <si>
    <t>@SethDPedersen</t>
  </si>
  <si>
    <t>@Swank4America</t>
  </si>
  <si>
    <t>@MurrayCampaign</t>
  </si>
  <si>
    <t>@PIERREProgress</t>
  </si>
  <si>
    <t>@JohnGuenther4s</t>
  </si>
  <si>
    <t>MO-06-dady_john-</t>
  </si>
  <si>
    <t>@JaromeBellVA2</t>
  </si>
  <si>
    <t>Gab: @Sunflowers67</t>
  </si>
  <si>
    <t>See note for Robert Cooper @MikeGarcia2020</t>
  </si>
  <si>
    <t>FL-20-chefilus-mccormick_sheila-</t>
  </si>
  <si>
    <t>onspecialGeneralElectionBallot</t>
  </si>
  <si>
    <t>Patricia Chesbro</t>
  </si>
  <si>
    <t>AK-Sen03-chesbro_patricia-</t>
  </si>
  <si>
    <t xml:space="preserve"> @ChooseChesbro</t>
  </si>
  <si>
    <t>Edgar Blatchford</t>
  </si>
  <si>
    <t>AK-Sen03-blatchford_edgar-</t>
  </si>
  <si>
    <t xml:space="preserve"> @EdgarUSSenate</t>
  </si>
  <si>
    <t>Ivan Taylor</t>
  </si>
  <si>
    <t>AK-Sen03-taylor_ivan-</t>
  </si>
  <si>
    <t xml:space="preserve"> @IvanTaylor907</t>
  </si>
  <si>
    <t>Buzz Kelley</t>
  </si>
  <si>
    <t>AK-Sen03-kelley_buzz-</t>
  </si>
  <si>
    <t>Pat Nolin</t>
  </si>
  <si>
    <t>AK-Sen03-nolin_pat-</t>
  </si>
  <si>
    <t>Jayme Stevenson</t>
  </si>
  <si>
    <t>CT-04-stevenson_jayme-</t>
  </si>
  <si>
    <t xml:space="preserve"> @JaymeStevenson</t>
  </si>
  <si>
    <t>Mark Lombardo</t>
  </si>
  <si>
    <t>FL-01-lombardo_mark-</t>
  </si>
  <si>
    <t>Greg Merk</t>
  </si>
  <si>
    <t>FL-01-merk_greg-</t>
  </si>
  <si>
    <t xml:space="preserve"> @MerkGregory</t>
  </si>
  <si>
    <t>FL-02-lawson_al-</t>
  </si>
  <si>
    <t>Tom Wells</t>
  </si>
  <si>
    <t>FL-03-wells_tom-</t>
  </si>
  <si>
    <t xml:space="preserve"> @TomWells2022</t>
  </si>
  <si>
    <t>LaShonda Holloway</t>
  </si>
  <si>
    <t>FL-04-holloway_lashonda-</t>
  </si>
  <si>
    <t xml:space="preserve"> @Lj4CONGRESS</t>
  </si>
  <si>
    <t>Anthony Hill</t>
  </si>
  <si>
    <t>FL-04-hill_anthony-</t>
  </si>
  <si>
    <t>Aaron Bean</t>
  </si>
  <si>
    <t>FL-04-bean_aaron-</t>
  </si>
  <si>
    <t xml:space="preserve"> @AaronBean</t>
  </si>
  <si>
    <t>FL-04-chuba_jon-</t>
  </si>
  <si>
    <t xml:space="preserve"> @jontchuba</t>
  </si>
  <si>
    <t>FL-05-rutherford_john-</t>
  </si>
  <si>
    <t xml:space="preserve"> @JRutherfordFL</t>
  </si>
  <si>
    <t>Mara Macie</t>
  </si>
  <si>
    <t>FL-05-macie_mara-</t>
  </si>
  <si>
    <t xml:space="preserve"> @MaraMacie</t>
  </si>
  <si>
    <t>FL-05-gamer-lopez_leigha-</t>
  </si>
  <si>
    <t xml:space="preserve"> @RealLunaLopez</t>
  </si>
  <si>
    <t>Charles Davis</t>
  </si>
  <si>
    <t>FL-06-davis_charles-</t>
  </si>
  <si>
    <t>Karen Green</t>
  </si>
  <si>
    <t>FL-07-green_karen-</t>
  </si>
  <si>
    <t xml:space="preserve"> @drkarengreen</t>
  </si>
  <si>
    <t>Hilsia Fernandez</t>
  </si>
  <si>
    <t>FL-07-fernandez_hilsia-</t>
  </si>
  <si>
    <t>FL-07-pastrana_allek-</t>
  </si>
  <si>
    <t xml:space="preserve"> @allekpastrana</t>
  </si>
  <si>
    <t>Ted Edwards</t>
  </si>
  <si>
    <t>FL-07-edwards_ted-</t>
  </si>
  <si>
    <t>Rusty Roberts</t>
  </si>
  <si>
    <t>FL-07-roberts_rusty-</t>
  </si>
  <si>
    <t xml:space="preserve"> @RustyRobertsFL</t>
  </si>
  <si>
    <t>Armando Santos</t>
  </si>
  <si>
    <t>FL-07-santos_armando-</t>
  </si>
  <si>
    <t xml:space="preserve"> @ALSantosFL</t>
  </si>
  <si>
    <t>Adianis Morales</t>
  </si>
  <si>
    <t>FL-09-morales_adianis-</t>
  </si>
  <si>
    <t>FL-10-grayson_alan-</t>
  </si>
  <si>
    <t xml:space="preserve"> @AlanGrayson</t>
  </si>
  <si>
    <t>Corrine Brown</t>
  </si>
  <si>
    <t>FL-10-brown_corrine-</t>
  </si>
  <si>
    <t>Khalid Muneer</t>
  </si>
  <si>
    <t>FL-10-muneer_khalid-</t>
  </si>
  <si>
    <t xml:space="preserve"> @MuneerCongress</t>
  </si>
  <si>
    <t>Tuan Le</t>
  </si>
  <si>
    <t>FL-10-le_tuan-</t>
  </si>
  <si>
    <t xml:space="preserve"> @TuanLeUSA</t>
  </si>
  <si>
    <t>Thuy Lowe</t>
  </si>
  <si>
    <t>FL-10-lowe_thuy-</t>
  </si>
  <si>
    <t xml:space="preserve"> @thuy_lowe</t>
  </si>
  <si>
    <t>FL-10-jones_lateresa-</t>
  </si>
  <si>
    <t xml:space="preserve"> @lateresajones</t>
  </si>
  <si>
    <t>Shante Munns</t>
  </si>
  <si>
    <t>FL-11-munns_shante-</t>
  </si>
  <si>
    <t xml:space="preserve"> @MunnsShante</t>
  </si>
  <si>
    <t>FL-11-loomer_laura-</t>
  </si>
  <si>
    <t>Gavriel Soriano</t>
  </si>
  <si>
    <t>FL-11-soriano_gavriel-</t>
  </si>
  <si>
    <t xml:space="preserve"> @gavsoriano</t>
  </si>
  <si>
    <t>Kimberly Walker</t>
  </si>
  <si>
    <t>FL-12-walker_kimberly-</t>
  </si>
  <si>
    <t xml:space="preserve"> @kw4congress</t>
  </si>
  <si>
    <t>FL-12-martin_jack-</t>
  </si>
  <si>
    <t xml:space="preserve"> @Jack4CongressFl</t>
  </si>
  <si>
    <t>Chris Leiser</t>
  </si>
  <si>
    <t>FL-12-leiser_chris-</t>
  </si>
  <si>
    <t xml:space="preserve"> @ChrisLeiser2022</t>
  </si>
  <si>
    <t>James Judge</t>
  </si>
  <si>
    <t>FL-14-judge_james-</t>
  </si>
  <si>
    <t xml:space="preserve"> @jamespjudge</t>
  </si>
  <si>
    <t>Jerry Torres</t>
  </si>
  <si>
    <t>FL-14-torres_jerry-</t>
  </si>
  <si>
    <t>Samar Nashagh</t>
  </si>
  <si>
    <t>FL-14-nashagh_samar-</t>
  </si>
  <si>
    <t xml:space="preserve"> @Sam4Florida</t>
  </si>
  <si>
    <t>Alan Cohn</t>
  </si>
  <si>
    <t>FL-15-cohn_alan-</t>
  </si>
  <si>
    <t xml:space="preserve"> @AlanMCohn</t>
  </si>
  <si>
    <t>Gavin Brown</t>
  </si>
  <si>
    <t>FL-15-brown_gavin-</t>
  </si>
  <si>
    <t>Cesar Ramirez</t>
  </si>
  <si>
    <t>FL-15-ramirez_cesar-</t>
  </si>
  <si>
    <t xml:space="preserve"> @CesarForFlorida</t>
  </si>
  <si>
    <t>William VanHorn</t>
  </si>
  <si>
    <t>FL-15-vanhorn_william-</t>
  </si>
  <si>
    <t>Laurel Lee</t>
  </si>
  <si>
    <t>FL-15-lee_laurel-</t>
  </si>
  <si>
    <t xml:space="preserve"> @Vote_Laurel</t>
  </si>
  <si>
    <t>Kelli Stargel</t>
  </si>
  <si>
    <t>FL-15-stargel_kelli-</t>
  </si>
  <si>
    <t xml:space="preserve"> @kellistargel</t>
  </si>
  <si>
    <t>Jackie Toledo</t>
  </si>
  <si>
    <t>FL-15-toledo_jackie-</t>
  </si>
  <si>
    <t>Demetries Grimes</t>
  </si>
  <si>
    <t>FL-15-grimes_demetries-</t>
  </si>
  <si>
    <t xml:space="preserve"> @CDR_GRIMES</t>
  </si>
  <si>
    <t>FL-15-mcgovern_kevin-</t>
  </si>
  <si>
    <t xml:space="preserve"> @McGovern4FL</t>
  </si>
  <si>
    <t>Jan Schneider</t>
  </si>
  <si>
    <t>FL-16-schneider_jan-</t>
  </si>
  <si>
    <t>Andrea Kale</t>
  </si>
  <si>
    <t>FL-17-kale_andrea-</t>
  </si>
  <si>
    <t>FL-18-franklin_scott-</t>
  </si>
  <si>
    <t xml:space="preserve"> @ScottFranklinFL</t>
  </si>
  <si>
    <t xml:space="preserve"> @RepFranklin</t>
  </si>
  <si>
    <t>Jennifer Raybon</t>
  </si>
  <si>
    <t>FL-18-raybon_jennifer-</t>
  </si>
  <si>
    <t>Wendy Schmeling</t>
  </si>
  <si>
    <t>FL-18-schmeling_wendy-</t>
  </si>
  <si>
    <t xml:space="preserve"> @wendy_schmeling</t>
  </si>
  <si>
    <t>FL-18-hartpence_kenneth-</t>
  </si>
  <si>
    <t xml:space="preserve"> @KennyHartpence</t>
  </si>
  <si>
    <t>Eduardo Tarazona</t>
  </si>
  <si>
    <t>FL-18-tarazona_eduardo-</t>
  </si>
  <si>
    <t xml:space="preserve"> @EddieTarazonaFL</t>
  </si>
  <si>
    <t>Jim Huff</t>
  </si>
  <si>
    <t>FL-19-huff_jim-</t>
  </si>
  <si>
    <t xml:space="preserve"> @JimHuff_</t>
  </si>
  <si>
    <t>Anika Omphroy</t>
  </si>
  <si>
    <t>FL-20-omphroy_anika-</t>
  </si>
  <si>
    <t>FL-20-clark_drew-montez-</t>
  </si>
  <si>
    <t xml:space="preserve"> @drewmontezclark</t>
  </si>
  <si>
    <t>FL-21-mast_brian-</t>
  </si>
  <si>
    <t>FL-21-martz_melissa-</t>
  </si>
  <si>
    <t xml:space="preserve"> @martz4congress</t>
  </si>
  <si>
    <t>FL-22-frankel_lois-</t>
  </si>
  <si>
    <t xml:space="preserve"> @LoisFrankel</t>
  </si>
  <si>
    <t xml:space="preserve"> @RepLoisFrankel</t>
  </si>
  <si>
    <t>FL-22-franzese_dan-</t>
  </si>
  <si>
    <t xml:space="preserve"> @danforfl</t>
  </si>
  <si>
    <t>FL-22-adeimy_deborah-</t>
  </si>
  <si>
    <t xml:space="preserve"> @DebAdeimy</t>
  </si>
  <si>
    <t>FL-22-dorilas_rod-</t>
  </si>
  <si>
    <t xml:space="preserve"> @roddorilas</t>
  </si>
  <si>
    <t>FL-22-arianas_peter-</t>
  </si>
  <si>
    <t xml:space="preserve"> @peter_arianas</t>
  </si>
  <si>
    <t>Carrie Lawlor</t>
  </si>
  <si>
    <t>FL-22-lawlor_carrie-</t>
  </si>
  <si>
    <t>Jared Moskowitz</t>
  </si>
  <si>
    <t>FL-23-moskowitz_jared-</t>
  </si>
  <si>
    <t xml:space="preserve"> @JaredEMoskowitz</t>
  </si>
  <si>
    <t>Ben Sorensen</t>
  </si>
  <si>
    <t>FL-23-sorensen_ben-</t>
  </si>
  <si>
    <t xml:space="preserve"> @BenSorensen</t>
  </si>
  <si>
    <t>Hava Holzhauer</t>
  </si>
  <si>
    <t>FL-23-holzhauer_hava-</t>
  </si>
  <si>
    <t xml:space="preserve"> @HavaHolzhauer</t>
  </si>
  <si>
    <t>FL-23-ellison_allen-</t>
  </si>
  <si>
    <t xml:space="preserve"> @AllenLEllison</t>
  </si>
  <si>
    <t>Michael Trout</t>
  </si>
  <si>
    <t>FL-23-trout-michael-</t>
  </si>
  <si>
    <t xml:space="preserve"> @wmichaeltrout</t>
  </si>
  <si>
    <t>Michaelangelo Hamilton</t>
  </si>
  <si>
    <t>FL-23-hamilton_michaelangelo-</t>
  </si>
  <si>
    <t xml:space="preserve"> @Hamilton4FL</t>
  </si>
  <si>
    <t>Joe Budd</t>
  </si>
  <si>
    <t>FL-23-budd_joe-</t>
  </si>
  <si>
    <t xml:space="preserve"> @VoteJoeBudd</t>
  </si>
  <si>
    <t>FL-23-pruden_james-</t>
  </si>
  <si>
    <t xml:space="preserve"> @JAMESPRUDEN13</t>
  </si>
  <si>
    <t>FL-23-swaffar_darlene-</t>
  </si>
  <si>
    <t xml:space="preserve"> @swaffarcongress</t>
  </si>
  <si>
    <t>FL-23-mclaughlin_christy-</t>
  </si>
  <si>
    <t xml:space="preserve"> @ChristyMarieMc</t>
  </si>
  <si>
    <t>Steven Chess</t>
  </si>
  <si>
    <t>FL-23-chess_steven-</t>
  </si>
  <si>
    <t xml:space="preserve"> @Chess4Congress</t>
  </si>
  <si>
    <t>Ira Weinstein</t>
  </si>
  <si>
    <t>FL-23-weinstein_ira-</t>
  </si>
  <si>
    <t xml:space="preserve"> @Weinstein2022</t>
  </si>
  <si>
    <t>Myles Perrone</t>
  </si>
  <si>
    <t>FL-23-perrone_myles-</t>
  </si>
  <si>
    <t>Jesus Navarro</t>
  </si>
  <si>
    <t>FL-24-navarro_jesus-</t>
  </si>
  <si>
    <t xml:space="preserve"> @Jesus_G_Navarro</t>
  </si>
  <si>
    <t>Lavern Spicer</t>
  </si>
  <si>
    <t>FL-24-spicer_lavern-</t>
  </si>
  <si>
    <t xml:space="preserve"> @lavern_spicer</t>
  </si>
  <si>
    <t>FL-25-wassermanschultz_debbie-</t>
  </si>
  <si>
    <t>Robert Millwee</t>
  </si>
  <si>
    <t>FL-25-millwee_robert-</t>
  </si>
  <si>
    <t xml:space="preserve"> @MillweeRobert</t>
  </si>
  <si>
    <t>FL-25-spalding_carla-</t>
  </si>
  <si>
    <t xml:space="preserve"> @CarlaSpaldingFL</t>
  </si>
  <si>
    <t>FL-25-young_rubin-</t>
  </si>
  <si>
    <t xml:space="preserve"> @rubin2022</t>
  </si>
  <si>
    <t>FL-26-olivo_christine-</t>
  </si>
  <si>
    <t xml:space="preserve"> @Christinefor24</t>
  </si>
  <si>
    <t>FL-26-diaz-balart_mario-</t>
  </si>
  <si>
    <t>FL-26-aquino_darren-</t>
  </si>
  <si>
    <t xml:space="preserve"> @aquino4congress</t>
  </si>
  <si>
    <t>Annette Taddeo</t>
  </si>
  <si>
    <t>FL-27-taddeo_annette-</t>
  </si>
  <si>
    <t xml:space="preserve"> @Annette_Taddeo</t>
  </si>
  <si>
    <t>FL-27-russell_ken-</t>
  </si>
  <si>
    <t xml:space="preserve"> @kenforflorida</t>
  </si>
  <si>
    <t>Val Demings</t>
  </si>
  <si>
    <t>FL-Sen03-demings_val-</t>
  </si>
  <si>
    <t xml:space="preserve"> @valdemings</t>
  </si>
  <si>
    <t xml:space="preserve"> @RepValDemings</t>
  </si>
  <si>
    <t>Brian Rush</t>
  </si>
  <si>
    <t>FL-Sen03-rush_brian-</t>
  </si>
  <si>
    <t xml:space="preserve"> @Vote_BrianRush</t>
  </si>
  <si>
    <t>Ricardo De La Fuente</t>
  </si>
  <si>
    <t>FL-Sen03-de-la-fuente_ricardo-</t>
  </si>
  <si>
    <t xml:space="preserve"> @Ricky4Congress</t>
  </si>
  <si>
    <t>HI-01-kress_conrad-</t>
  </si>
  <si>
    <t xml:space="preserve"> @conradkressHI01</t>
  </si>
  <si>
    <t>Arturo Reyes</t>
  </si>
  <si>
    <t>HI-01-reyes_arturo-</t>
  </si>
  <si>
    <t>Patrick Largey</t>
  </si>
  <si>
    <t>HI-01-largey_patrick-</t>
  </si>
  <si>
    <t>Jill Tokuda</t>
  </si>
  <si>
    <t>HI-02-tokuda_jill-</t>
  </si>
  <si>
    <t xml:space="preserve"> @tokudaforhawaii</t>
  </si>
  <si>
    <t>Patrick Branco</t>
  </si>
  <si>
    <t>HI-02-branco_patrick-</t>
  </si>
  <si>
    <t xml:space="preserve"> @VoteBrancoHI</t>
  </si>
  <si>
    <t>Kyle Yoshida</t>
  </si>
  <si>
    <t>HI-02-yoshida_kyle-</t>
  </si>
  <si>
    <t>Joe Akana</t>
  </si>
  <si>
    <t>HI-02-akana_joe-</t>
  </si>
  <si>
    <t xml:space="preserve"> @Joe_Akana</t>
  </si>
  <si>
    <t>Joseph Webster</t>
  </si>
  <si>
    <t>HI-02-webster_joseph-</t>
  </si>
  <si>
    <t xml:space="preserve"> @centristjoeHI</t>
  </si>
  <si>
    <t>Steve Tatali</t>
  </si>
  <si>
    <t>HI-Sen03-tatali_steve-</t>
  </si>
  <si>
    <t>Timothy Dalhouse</t>
  </si>
  <si>
    <t>HI-Sen03-dalhouse_timothy-</t>
  </si>
  <si>
    <t xml:space="preserve"> @dalhouse4senate</t>
  </si>
  <si>
    <t>Wallyn Christian</t>
  </si>
  <si>
    <t>HI-Sen03-christian_wallyn-</t>
  </si>
  <si>
    <t>Steven Bond</t>
  </si>
  <si>
    <t>HI-Sen03-bond_steven-</t>
  </si>
  <si>
    <t>Asia Lavonne</t>
  </si>
  <si>
    <t>HI-Sen03-lavonne_asia-</t>
  </si>
  <si>
    <t xml:space="preserve"> @AsiaLaVonne</t>
  </si>
  <si>
    <t>Jeff Ettinger</t>
  </si>
  <si>
    <t>MN-01-ettinger_jeff-</t>
  </si>
  <si>
    <t xml:space="preserve"> @SouthernMN4Jeff</t>
  </si>
  <si>
    <t>James Rainwater</t>
  </si>
  <si>
    <t>MN-01-rainwater_james-</t>
  </si>
  <si>
    <t>George Kalberer</t>
  </si>
  <si>
    <t>MN-01-kalberer_george-</t>
  </si>
  <si>
    <t>Brad Finstad</t>
  </si>
  <si>
    <t>MN-01-finstad_brad-</t>
  </si>
  <si>
    <t xml:space="preserve"> @BradFinstad</t>
  </si>
  <si>
    <t>Jeremy Munson</t>
  </si>
  <si>
    <t>MN-01-munson_jeremy-</t>
  </si>
  <si>
    <t xml:space="preserve"> @jeremymunson</t>
  </si>
  <si>
    <t>Fasil Moghul</t>
  </si>
  <si>
    <t>MN-04-moghul_fasil-</t>
  </si>
  <si>
    <t xml:space="preserve"> @FasilMoghul</t>
  </si>
  <si>
    <t>May Lor Xiong</t>
  </si>
  <si>
    <t>MN-04-lor-xiong_may-</t>
  </si>
  <si>
    <t xml:space="preserve"> @XiongMay</t>
  </si>
  <si>
    <t>Jerry Silver</t>
  </si>
  <si>
    <t>MN-04-silver_jerry-</t>
  </si>
  <si>
    <t>Gene Rechtzigel</t>
  </si>
  <si>
    <t>MN-04-rechtzigel_gene-</t>
  </si>
  <si>
    <t>Don Samuels</t>
  </si>
  <si>
    <t>MN-05-samuels_don-</t>
  </si>
  <si>
    <t xml:space="preserve"> @DonSamuelsMN</t>
  </si>
  <si>
    <t>Royce White</t>
  </si>
  <si>
    <t>MN-05-white_royce-</t>
  </si>
  <si>
    <t xml:space="preserve"> @RoyceWhiteUS</t>
  </si>
  <si>
    <t>Guy Gaskin</t>
  </si>
  <si>
    <t>MN-05-gaskin_guy-</t>
  </si>
  <si>
    <t>Jill Abahsain</t>
  </si>
  <si>
    <t>MN-07-abahsain_jill-</t>
  </si>
  <si>
    <t xml:space="preserve"> @jillforcd7</t>
  </si>
  <si>
    <t>Alycia Grunhagen</t>
  </si>
  <si>
    <t>MN-07-gruenhagen_alycia-</t>
  </si>
  <si>
    <t>Jen Schultz</t>
  </si>
  <si>
    <t>MN-08-schultz_jen-</t>
  </si>
  <si>
    <t xml:space="preserve"> @RepJenSchultz</t>
  </si>
  <si>
    <t>John Munter</t>
  </si>
  <si>
    <t>MN-08-munter_john-</t>
  </si>
  <si>
    <t>Harry Welty</t>
  </si>
  <si>
    <t>MN-08-welty_harry-</t>
  </si>
  <si>
    <t>Nicholas LaLota</t>
  </si>
  <si>
    <t>NY-01-lalota_nicholas-</t>
  </si>
  <si>
    <t xml:space="preserve"> @nicklalota</t>
  </si>
  <si>
    <t>Michelle Bond</t>
  </si>
  <si>
    <t>NY-01-bond_michelle-</t>
  </si>
  <si>
    <t xml:space="preserve"> @michellebondny1</t>
  </si>
  <si>
    <t>NY-02-gordon_jackie-</t>
  </si>
  <si>
    <t xml:space="preserve"> @VoteJackie4NY</t>
  </si>
  <si>
    <t>NY-02-cornicelli_robert-</t>
  </si>
  <si>
    <t xml:space="preserve"> @cornicelliny</t>
  </si>
  <si>
    <t>Laura Gillen</t>
  </si>
  <si>
    <t>NY-04-gillen_laura-</t>
  </si>
  <si>
    <t xml:space="preserve"> @LauraAGillen</t>
  </si>
  <si>
    <t>Carrie Solages</t>
  </si>
  <si>
    <t>NY-04-solages_carrie-</t>
  </si>
  <si>
    <t xml:space="preserve"> @CarrieSolages</t>
  </si>
  <si>
    <t>Keith Corbett</t>
  </si>
  <si>
    <t>NY-04-corbett_keith-</t>
  </si>
  <si>
    <t xml:space="preserve"> @Keith4Congress</t>
  </si>
  <si>
    <t>NY-04-huq_muzib-</t>
  </si>
  <si>
    <t xml:space="preserve"> @MuzibulDr</t>
  </si>
  <si>
    <t>Anthony D'Esposito</t>
  </si>
  <si>
    <t>NY-04-desposito_anthony-</t>
  </si>
  <si>
    <t xml:space="preserve"> @ANTHONYDESPO</t>
  </si>
  <si>
    <t>Thomas Zmich</t>
  </si>
  <si>
    <t>NY-06-zmich_thomas-</t>
  </si>
  <si>
    <t xml:space="preserve"> @tom_zmich</t>
  </si>
  <si>
    <t>Paperboy Prince</t>
  </si>
  <si>
    <t>NY-07-prince_paperboy-</t>
  </si>
  <si>
    <t>Juan Pagan</t>
  </si>
  <si>
    <t>NY-07-pagan_juan-</t>
  </si>
  <si>
    <t>Yuri Dashevsky</t>
  </si>
  <si>
    <t>NY-08-dashevsky_yuri-</t>
  </si>
  <si>
    <t xml:space="preserve"> @yura4us</t>
  </si>
  <si>
    <t>Dan Goldman</t>
  </si>
  <si>
    <t>NY-10-goldman_dan-</t>
  </si>
  <si>
    <t xml:space="preserve"> @danielsgoldman</t>
  </si>
  <si>
    <t>Yuh-Line Niou</t>
  </si>
  <si>
    <t>NY-10-niou_yuh-line-</t>
  </si>
  <si>
    <t xml:space="preserve"> @yuhline</t>
  </si>
  <si>
    <t>NY-10-jones_mondaire-</t>
  </si>
  <si>
    <t>Carlina Rivera</t>
  </si>
  <si>
    <t>NY-10-rivera_carlina-</t>
  </si>
  <si>
    <t xml:space="preserve"> @CarlinaRivera</t>
  </si>
  <si>
    <t>Jo Anne Simon</t>
  </si>
  <si>
    <t>NY-10-simon_joanne-</t>
  </si>
  <si>
    <t xml:space="preserve"> @JoAnneSimonBK52</t>
  </si>
  <si>
    <t>Elizabeth Holtzman</t>
  </si>
  <si>
    <t>NY-10-holtzman_elizabeth-</t>
  </si>
  <si>
    <t xml:space="preserve"> @RepHotzman</t>
  </si>
  <si>
    <t>Jimmy Li</t>
  </si>
  <si>
    <t>NY-10-li_jimmy-</t>
  </si>
  <si>
    <t>NY-10-xiong_yan-</t>
  </si>
  <si>
    <t xml:space="preserve"> @YanForNYC</t>
  </si>
  <si>
    <t>NY-12-nadler_jerrold-</t>
  </si>
  <si>
    <t>NY-12-sheth_ashmi-</t>
  </si>
  <si>
    <t>Michael Hano</t>
  </si>
  <si>
    <t>NY-13-hano_michael-</t>
  </si>
  <si>
    <t>Francisco Spies</t>
  </si>
  <si>
    <t>NY-13-spies_francisco-</t>
  </si>
  <si>
    <t>Stylo Sapaskis</t>
  </si>
  <si>
    <t>NY-15-stylo_sapaskis-</t>
  </si>
  <si>
    <t>Catherine Parker</t>
  </si>
  <si>
    <t>NY-16-parker_catherine-</t>
  </si>
  <si>
    <t xml:space="preserve"> @catherineNY16</t>
  </si>
  <si>
    <t>Mark Jaffe</t>
  </si>
  <si>
    <t>NY-16-jaffe_mark-</t>
  </si>
  <si>
    <t xml:space="preserve"> @jaffe4ny</t>
  </si>
  <si>
    <t>John Ciampoli</t>
  </si>
  <si>
    <t>NY-16-ciampoli_john-</t>
  </si>
  <si>
    <t>NY-17-maloney_seanpatrick-</t>
  </si>
  <si>
    <t>NY-17-biaggi_alessandra-</t>
  </si>
  <si>
    <t xml:space="preserve"> @Biaggi4NY</t>
  </si>
  <si>
    <t>Michael Lawler</t>
  </si>
  <si>
    <t>NY-17-lawler_michael-</t>
  </si>
  <si>
    <t xml:space="preserve"> @lawler4ny</t>
  </si>
  <si>
    <t>William Faulkner</t>
  </si>
  <si>
    <t>NY-17-faulkner_william-</t>
  </si>
  <si>
    <t xml:space="preserve"> @faulkner4cong</t>
  </si>
  <si>
    <t>Charles Falciglia</t>
  </si>
  <si>
    <t>NY-17-falciglia_charles-</t>
  </si>
  <si>
    <t>Pat Ryan</t>
  </si>
  <si>
    <t>NY-18-ryan_pat-</t>
  </si>
  <si>
    <t xml:space="preserve"> @PatRyanUC</t>
  </si>
  <si>
    <t>Aisha Mills</t>
  </si>
  <si>
    <t>NY-18-mills_aisha-</t>
  </si>
  <si>
    <t xml:space="preserve"> @AishaforNy18</t>
  </si>
  <si>
    <t>Moses Mugulusi</t>
  </si>
  <si>
    <t>NY-18-mugulusi_moses-</t>
  </si>
  <si>
    <t xml:space="preserve"> @Mugulusi4Senate</t>
  </si>
  <si>
    <t>NY-19-riley_josh-</t>
  </si>
  <si>
    <t xml:space="preserve"> @JoshuaUE99</t>
  </si>
  <si>
    <t>Jamie Cheney</t>
  </si>
  <si>
    <t>NY-19-cheney_jamie-</t>
  </si>
  <si>
    <t>Elizabeth Joy</t>
  </si>
  <si>
    <t>NY-20-joy_elizabeth-</t>
  </si>
  <si>
    <t xml:space="preserve"> @LizLemeryJoy</t>
  </si>
  <si>
    <t>NY-22-conole_francis-</t>
  </si>
  <si>
    <t xml:space="preserve"> @FDConole</t>
  </si>
  <si>
    <t>Sarah Hood</t>
  </si>
  <si>
    <t>NY-22-hood_sarah-</t>
  </si>
  <si>
    <t>NY-22-majok_chol-</t>
  </si>
  <si>
    <t>Brandon Williams</t>
  </si>
  <si>
    <t>NY-22-williams_brandon-</t>
  </si>
  <si>
    <t xml:space="preserve"> @Brandon4ny22</t>
  </si>
  <si>
    <t>Steve Wells</t>
  </si>
  <si>
    <t>NY-22-wells_steve-</t>
  </si>
  <si>
    <t xml:space="preserve"> @SteveWellsForNY</t>
  </si>
  <si>
    <t>Max Della Pia</t>
  </si>
  <si>
    <t>NY-23-della-pia_max-</t>
  </si>
  <si>
    <t xml:space="preserve"> @DellaPiaForNY23</t>
  </si>
  <si>
    <t>Nick Langworthy</t>
  </si>
  <si>
    <t>NY-23-langworthy_nick-</t>
  </si>
  <si>
    <t xml:space="preserve"> @NickLangworthy</t>
  </si>
  <si>
    <t>Carl Paladino</t>
  </si>
  <si>
    <t>NY-23-paladino_carl-</t>
  </si>
  <si>
    <t xml:space="preserve"> @CarlPaladinoNY</t>
  </si>
  <si>
    <t>NY-24-tenney_claudia-</t>
  </si>
  <si>
    <t>NY-24-fratto_mario-</t>
  </si>
  <si>
    <t xml:space="preserve"> @MarioFratto</t>
  </si>
  <si>
    <t>George Phillips</t>
  </si>
  <si>
    <t>NY-24-phillips_george-</t>
  </si>
  <si>
    <t>Emin Egriu</t>
  </si>
  <si>
    <t>NY-26-egriu_emin-</t>
  </si>
  <si>
    <t>Wayne Steele</t>
  </si>
  <si>
    <t>TN-04-steele_wayne-</t>
  </si>
  <si>
    <t>Arnold White</t>
  </si>
  <si>
    <t>TN-04-white_arnold-</t>
  </si>
  <si>
    <t>Heidi Campbell</t>
  </si>
  <si>
    <t>TN-05-campbell_heidi-</t>
  </si>
  <si>
    <t>Andy Ogles</t>
  </si>
  <si>
    <t>TN-05-ogles_andy-</t>
  </si>
  <si>
    <t xml:space="preserve"> @AndyOgles</t>
  </si>
  <si>
    <t>Beth Harwell</t>
  </si>
  <si>
    <t>TN-05-harwell_beth-</t>
  </si>
  <si>
    <t xml:space="preserve"> @BethHarwellTN</t>
  </si>
  <si>
    <t>Jeff Beierlein</t>
  </si>
  <si>
    <t>TN-05-beierlein_jeff-</t>
  </si>
  <si>
    <t>Randal Cooper</t>
  </si>
  <si>
    <t>TN-06-cooper_randal-</t>
  </si>
  <si>
    <t xml:space="preserve"> @CooperforTN6</t>
  </si>
  <si>
    <t>Clay Faircloth</t>
  </si>
  <si>
    <t>TN-06-faircloth_clay-</t>
  </si>
  <si>
    <t xml:space="preserve"> @ClayFaircloth</t>
  </si>
  <si>
    <t>TN-07-kelly_odessa-</t>
  </si>
  <si>
    <t>Lynnette Williams</t>
  </si>
  <si>
    <t>TN-08-williams_lynnette-</t>
  </si>
  <si>
    <t>Tim McDonald</t>
  </si>
  <si>
    <t>TN-08-mcdonald_tim-</t>
  </si>
  <si>
    <t>Danny Bridger</t>
  </si>
  <si>
    <t>TN-08-bridger_danny-</t>
  </si>
  <si>
    <t>Latroy Alexandria-Williams</t>
  </si>
  <si>
    <t>TN-09-alexandra-williams_latroy-</t>
  </si>
  <si>
    <t>Charlote Bergmann</t>
  </si>
  <si>
    <t>TN-09-bergmann_charlotte-</t>
  </si>
  <si>
    <t xml:space="preserve"> @ElectBergmann</t>
  </si>
  <si>
    <t>Leo AwGoWhat</t>
  </si>
  <si>
    <t>TN-09-awgowhat_leo-</t>
  </si>
  <si>
    <t>Molly Gray</t>
  </si>
  <si>
    <t>VT-00-gray_molly-</t>
  </si>
  <si>
    <t xml:space="preserve"> @mollyforvermont</t>
  </si>
  <si>
    <t>Liam Madden</t>
  </si>
  <si>
    <t>VT-00-madden_liam-</t>
  </si>
  <si>
    <t xml:space="preserve"> @Liam Awakening</t>
  </si>
  <si>
    <t>Ericka Redic</t>
  </si>
  <si>
    <t>VT-00-redic_ericka-</t>
  </si>
  <si>
    <t xml:space="preserve"> @ErickaRedic</t>
  </si>
  <si>
    <t>Anya Tynio</t>
  </si>
  <si>
    <t>VT-00-tynio_anya-</t>
  </si>
  <si>
    <t>VT-Sen03-welch_peter-</t>
  </si>
  <si>
    <t>Isaac Evans-Frantz</t>
  </si>
  <si>
    <t>VT-Sen03-evans-frantz_isaac-</t>
  </si>
  <si>
    <t xml:space="preserve"> @IsaacForVT</t>
  </si>
  <si>
    <t>Gerald Malloy</t>
  </si>
  <si>
    <t>VT-Sen03-malloy_gerald-</t>
  </si>
  <si>
    <t xml:space="preserve"> @GeraldMalloyVT</t>
  </si>
  <si>
    <t>Myers Mermel</t>
  </si>
  <si>
    <t>VT-Sen03-mermel_myers-</t>
  </si>
  <si>
    <t xml:space="preserve"> @MyersMermel</t>
  </si>
  <si>
    <t>Erik Olsen</t>
  </si>
  <si>
    <t>WI-02-olsen_erik-</t>
  </si>
  <si>
    <t>Tim Rogers</t>
  </si>
  <si>
    <t>WI-04-rogers_tim-</t>
  </si>
  <si>
    <t>Travis Clark</t>
  </si>
  <si>
    <t>WI-04-clark_travis-</t>
  </si>
  <si>
    <t>Richard Ausman</t>
  </si>
  <si>
    <t>WI-07-ausman_richard-</t>
  </si>
  <si>
    <t>David Kunelius</t>
  </si>
  <si>
    <t>WI-07-kunelius_david-</t>
  </si>
  <si>
    <t xml:space="preserve"> @DaveKunelius</t>
  </si>
  <si>
    <t>Shaun Clarmont</t>
  </si>
  <si>
    <t>WI-08-clarmont_shaun-</t>
  </si>
  <si>
    <t>David Schroeder</t>
  </si>
  <si>
    <t>WI-Sen03-schroeder_david-</t>
  </si>
  <si>
    <t>Robert Asencio</t>
  </si>
  <si>
    <t>FL-28</t>
  </si>
  <si>
    <t>FL-28-asencio_robert-</t>
  </si>
  <si>
    <t xml:space="preserve"> @RepAsenccio</t>
  </si>
  <si>
    <t>FL-28-paredes_juan-</t>
  </si>
  <si>
    <t xml:space="preserve"> @Juan4Congress</t>
  </si>
  <si>
    <t>FL-28-gimenez_carlos-</t>
  </si>
  <si>
    <t>Carlos Garin</t>
  </si>
  <si>
    <t>FL-28-garin_carlos-</t>
  </si>
  <si>
    <t xml:space="preserve"> @carlosgarin</t>
  </si>
  <si>
    <t>Karl Miller</t>
  </si>
  <si>
    <t>FL-28-miller_karl-</t>
  </si>
  <si>
    <t>twitter account suspended</t>
  </si>
  <si>
    <t>Corinna Balderramos Robinson</t>
  </si>
  <si>
    <t>FL-21-balderramos-robinson_corinna-</t>
  </si>
  <si>
    <t>Gary Clouse</t>
  </si>
  <si>
    <t>TN-08-clouse_gary-</t>
  </si>
  <si>
    <t xml:space="preserve"> @karl4senate</t>
  </si>
  <si>
    <t xml:space="preserve"> @LisaForSenate</t>
  </si>
  <si>
    <t xml:space="preserve"> @lesleyforct</t>
  </si>
  <si>
    <t xml:space="preserve"> @DickBlumenthal</t>
  </si>
  <si>
    <t xml:space="preserve"> @peggyforFL1</t>
  </si>
  <si>
    <t xml:space="preserve"> @AlKrulick</t>
  </si>
  <si>
    <t xml:space="preserve"> @Joanne4Congress</t>
  </si>
  <si>
    <t xml:space="preserve"> @ScottyMoore4FL</t>
  </si>
  <si>
    <t xml:space="preserve"> @cbwimbish</t>
  </si>
  <si>
    <t xml:space="preserve"> @votemoneer</t>
  </si>
  <si>
    <t xml:space="preserve"> @CBradleyFL</t>
  </si>
  <si>
    <t>Describe twitter issues</t>
  </si>
  <si>
    <t>99 = suspended</t>
  </si>
  <si>
    <t>No primary election b/c only one candidate</t>
  </si>
  <si>
    <t>Member of House running for Senate</t>
  </si>
  <si>
    <t>Unofficially withdrew but was on primary ballot.  Convicted of lying about foreign campaign contributions.</t>
  </si>
  <si>
    <t>Percent in primary</t>
  </si>
  <si>
    <t>100 for unopposed</t>
  </si>
  <si>
    <t>Lynnette Grey Bull</t>
  </si>
  <si>
    <t>Meghan Jensen</t>
  </si>
  <si>
    <t>Steven Helling</t>
  </si>
  <si>
    <t>WY-00-greybull_lynnette-</t>
  </si>
  <si>
    <t>WY-00-jensen_meghan-</t>
  </si>
  <si>
    <t>WY-00-helling_steven-</t>
  </si>
  <si>
    <t>CP</t>
  </si>
  <si>
    <t>Using convention percent for primary</t>
  </si>
  <si>
    <t>Used 1st round for primary (was RCV)</t>
  </si>
  <si>
    <t>Barbara Banks</t>
  </si>
  <si>
    <t>VA-11-banks_barbara-</t>
  </si>
  <si>
    <t>Afrircan American</t>
  </si>
  <si>
    <t>special election; advanced from primary for november election but withdrew, putting Chris Bye in the general election</t>
  </si>
  <si>
    <t>Brandaun Dean</t>
  </si>
  <si>
    <t>AL-Sen03-dean_brandaun-</t>
  </si>
  <si>
    <t>Michael Doyle</t>
  </si>
  <si>
    <t>PA-12-doyle_michael-</t>
  </si>
  <si>
    <t>Currently only have final round of RCV</t>
  </si>
  <si>
    <t>David Lucier</t>
  </si>
  <si>
    <t>AZ-09-lucier_david-</t>
  </si>
  <si>
    <t xml:space="preserve"> @davidflucier</t>
  </si>
  <si>
    <t>Gene Scharer</t>
  </si>
  <si>
    <t>AZ-09-scharer_gene-</t>
  </si>
  <si>
    <t>James Shoemaker</t>
  </si>
  <si>
    <t>CA-09-shoemaker_james-</t>
  </si>
  <si>
    <t>JosiahO'Neil</t>
  </si>
  <si>
    <t>CA-49-oneil_josiah-</t>
  </si>
  <si>
    <t xml:space="preserve"> @JosiahONeilCA</t>
  </si>
  <si>
    <t>Lee Murphy</t>
  </si>
  <si>
    <t>DE-00-murphy_lee-</t>
  </si>
  <si>
    <t xml:space="preserve"> @goMurph2020</t>
  </si>
  <si>
    <t>Dean Martilli</t>
  </si>
  <si>
    <t>MA-01-martilli_dean-</t>
  </si>
  <si>
    <t xml:space="preserve"> @MartilliforRep</t>
  </si>
  <si>
    <t>Caroline Colarusso</t>
  </si>
  <si>
    <t>MA-05-colarusso_caroline-</t>
  </si>
  <si>
    <t xml:space="preserve"> @CarolineforMA5</t>
  </si>
  <si>
    <t>Donnie Palmer</t>
  </si>
  <si>
    <t>MA-07-palmer_donnie-</t>
  </si>
  <si>
    <t xml:space="preserve"> @Donnieplmr</t>
  </si>
  <si>
    <t>Hamilton Rodrigues</t>
  </si>
  <si>
    <t>MA-08-rodrigues_hamilton-</t>
  </si>
  <si>
    <t>Robert Burke</t>
  </si>
  <si>
    <t>MA-08-burke_robert-</t>
  </si>
  <si>
    <t xml:space="preserve"> @BurkcoEyes</t>
  </si>
  <si>
    <t>MA-09-sullivan_dan-</t>
  </si>
  <si>
    <t xml:space="preserve"> @VoteNurseDan</t>
  </si>
  <si>
    <t>Matthew Fogg</t>
  </si>
  <si>
    <t xml:space="preserve"> @MarshalFogg</t>
  </si>
  <si>
    <t>Eric Earhart</t>
  </si>
  <si>
    <t>NC-03-earhart_eric-</t>
  </si>
  <si>
    <t xml:space="preserve"> @EricJEarhart</t>
  </si>
  <si>
    <t>Stephen Valentine</t>
  </si>
  <si>
    <t>NC-04-valentine_stephen-</t>
  </si>
  <si>
    <t>Charles Moss</t>
  </si>
  <si>
    <t>NC-Sen03-moss_charles-</t>
  </si>
  <si>
    <t>Debora Tshiovo</t>
  </si>
  <si>
    <t>NC-Sen03-tshiovo_debora-</t>
  </si>
  <si>
    <t xml:space="preserve"> @DTshiovoM</t>
  </si>
  <si>
    <t>Mary Maxwell</t>
  </si>
  <si>
    <t>NH-01-maxwell_mary-</t>
  </si>
  <si>
    <t>George Hansel</t>
  </si>
  <si>
    <t>NH-02-hansel_george-</t>
  </si>
  <si>
    <t xml:space="preserve"> @HanselForNH</t>
  </si>
  <si>
    <t>Michael Callis</t>
  </si>
  <si>
    <t>NH-02-callis_michael-</t>
  </si>
  <si>
    <t>Bruce Fenton</t>
  </si>
  <si>
    <t>NH-Sen03-fenton_bruce-</t>
  </si>
  <si>
    <t xml:space="preserve"> @brucefenton</t>
  </si>
  <si>
    <t>Donald Bolduc</t>
  </si>
  <si>
    <t>NH-Sen03-bolduc_donald-</t>
  </si>
  <si>
    <t xml:space="preserve"> @GenDonBolduc</t>
  </si>
  <si>
    <t>John Riggieri</t>
  </si>
  <si>
    <t>NH-Sen03-riggieri_john-</t>
  </si>
  <si>
    <t>Paul Krautmann</t>
  </si>
  <si>
    <t>NH-Sen03-krautmann_paul-</t>
  </si>
  <si>
    <t>Vikram Mansharamani</t>
  </si>
  <si>
    <t>NH-Sen03-mansharamani_vikram-</t>
  </si>
  <si>
    <t xml:space="preserve"> @Vikram4NH</t>
  </si>
  <si>
    <t>Adam Holley</t>
  </si>
  <si>
    <t>OK-Sen02-holley_adam-</t>
  </si>
  <si>
    <t xml:space="preserve"> @AdamforOklahoma</t>
  </si>
  <si>
    <t>Alex Gray</t>
  </si>
  <si>
    <t>OK-Sen02-gray_alex-</t>
  </si>
  <si>
    <t>John Tompkins</t>
  </si>
  <si>
    <t>OK-Sen02-tompkins_john-</t>
  </si>
  <si>
    <t>David Segal</t>
  </si>
  <si>
    <t>RI-02-segal_david-</t>
  </si>
  <si>
    <t xml:space="preserve"> @DavidSegalRI</t>
  </si>
  <si>
    <t>Sarah Morgenthau</t>
  </si>
  <si>
    <t>RI-02-morgenthau_sarah-</t>
  </si>
  <si>
    <t xml:space="preserve"> @SarahForRI</t>
  </si>
  <si>
    <t>Spencer Dickinson</t>
  </si>
  <si>
    <t>Jeff Jordan</t>
  </si>
  <si>
    <t>VA-08-jordan_jeff-</t>
  </si>
  <si>
    <t xml:space="preserve"> @JeffJordan2022</t>
  </si>
  <si>
    <t>Kezia Tunnell</t>
  </si>
  <si>
    <t>VA-08-tunnell_kezia-</t>
  </si>
  <si>
    <t xml:space="preserve"> @kezia_tunnell</t>
  </si>
  <si>
    <t>NH-02-black_scott-</t>
  </si>
  <si>
    <t>VA-08-carpio_monica-</t>
  </si>
  <si>
    <t>hispanic</t>
  </si>
  <si>
    <t>race</t>
  </si>
  <si>
    <t>race notes</t>
  </si>
  <si>
    <t xml:space="preserve">No </t>
  </si>
  <si>
    <t>Other</t>
  </si>
  <si>
    <t>Indigenous</t>
  </si>
  <si>
    <t>Indian</t>
  </si>
  <si>
    <t>Mexican</t>
  </si>
  <si>
    <t>Mexican/Colombian</t>
  </si>
  <si>
    <t>Japanese</t>
  </si>
  <si>
    <t>Filipino</t>
  </si>
  <si>
    <t>Pakastani</t>
  </si>
  <si>
    <t>Malaysian</t>
  </si>
  <si>
    <t>Portuguese</t>
  </si>
  <si>
    <t>African American</t>
  </si>
  <si>
    <t>Chinese</t>
  </si>
  <si>
    <t>Cuban</t>
  </si>
  <si>
    <t>Non-binary</t>
  </si>
  <si>
    <t>Chilean</t>
  </si>
  <si>
    <t>Iranian</t>
  </si>
  <si>
    <t>Korean</t>
  </si>
  <si>
    <t>Guatemalan</t>
  </si>
  <si>
    <t>Nicaraguan</t>
  </si>
  <si>
    <t>Indigenous/Filipino</t>
  </si>
  <si>
    <t>Peruvian</t>
  </si>
  <si>
    <t>Vietnamese</t>
  </si>
  <si>
    <t>Indigenous/Hispanic</t>
  </si>
  <si>
    <t>Puerto Rican</t>
  </si>
  <si>
    <t>Jamaican</t>
  </si>
  <si>
    <t>Lebanese</t>
  </si>
  <si>
    <t>Nigerian</t>
  </si>
  <si>
    <t>Bangladeshi</t>
  </si>
  <si>
    <t>Eritrean</t>
  </si>
  <si>
    <t>Honduran</t>
  </si>
  <si>
    <t>Black/Asian</t>
  </si>
  <si>
    <t>woman</t>
  </si>
  <si>
    <t>Palestinian</t>
  </si>
  <si>
    <t>Lebanese/German</t>
  </si>
  <si>
    <t>Thai</t>
  </si>
  <si>
    <t>Indigenous - Ho-Chunk</t>
  </si>
  <si>
    <t>Palestianian</t>
  </si>
  <si>
    <t>Ethiopian</t>
  </si>
  <si>
    <t>Somali</t>
  </si>
  <si>
    <t>Indigenous - Saponi</t>
  </si>
  <si>
    <t>Turkish</t>
  </si>
  <si>
    <t>Indigenous - Cherokee</t>
  </si>
  <si>
    <t>Colombian</t>
  </si>
  <si>
    <t>African American &amp; Trinidadian</t>
  </si>
  <si>
    <t>Taiwanese</t>
  </si>
  <si>
    <t>African American/Puerto Rican</t>
  </si>
  <si>
    <t>Dominican</t>
  </si>
  <si>
    <t>African American &amp; Puerto Rican</t>
  </si>
  <si>
    <t>Indigenous - Chickasaw</t>
  </si>
  <si>
    <t>Gambian</t>
  </si>
  <si>
    <t>Ugandan</t>
  </si>
  <si>
    <t>Kenyan</t>
  </si>
  <si>
    <t>Venezuelan</t>
  </si>
  <si>
    <t>African American &amp; Filipino</t>
  </si>
  <si>
    <t>Ecuadorian</t>
  </si>
  <si>
    <t xml:space="preserve">Man </t>
  </si>
  <si>
    <t>Hmong</t>
  </si>
  <si>
    <t>@TheRadicalSanta</t>
  </si>
  <si>
    <t>special election; also tweets under@TheRadicalSanta which is in officialScreenName for now</t>
  </si>
  <si>
    <t>forwardParty</t>
  </si>
  <si>
    <t>Matthew Diemer</t>
  </si>
  <si>
    <t>Forward</t>
  </si>
  <si>
    <t>https://diemerforcongress.com/</t>
  </si>
  <si>
    <t>Her first name (politically at least) is mercedes.</t>
  </si>
  <si>
    <t>Jay McFarland</t>
  </si>
  <si>
    <t>https://www.jaymacforutah.com/</t>
  </si>
  <si>
    <t>@JayMcfarland</t>
  </si>
  <si>
    <t>@MatthewDiemer</t>
  </si>
  <si>
    <t>January Walker</t>
  </si>
  <si>
    <t>https://januaryforutah.com/</t>
  </si>
  <si>
    <t>@UtahPolitician</t>
  </si>
  <si>
    <t>OH-07-diemer_matthew-</t>
  </si>
  <si>
    <t>UT-02-mcfarland_jay-</t>
  </si>
  <si>
    <t>UT-04-walker_january-</t>
  </si>
  <si>
    <t>Diemer</t>
  </si>
  <si>
    <t>McFarland</t>
  </si>
  <si>
    <t>January</t>
  </si>
  <si>
    <t>Kevin Eckert</t>
  </si>
  <si>
    <t>MD-04-fogg_matthew-</t>
  </si>
  <si>
    <t>Dem vs Green candidates</t>
  </si>
  <si>
    <t>David Cannata</t>
  </si>
  <si>
    <t>Odd: won primary but not only general (was write-in only in primary and perhaps did not hit a minimum threshhold)</t>
  </si>
  <si>
    <t>Dan Lux</t>
  </si>
  <si>
    <t>No opponent in primary/general</t>
  </si>
  <si>
    <t>Oscar Dantzler</t>
  </si>
  <si>
    <t>MA-04-cannata_david-</t>
  </si>
  <si>
    <t>LA-01-darling_katie-</t>
  </si>
  <si>
    <t>LA-02-lux_dan-</t>
  </si>
  <si>
    <t>LA-03-leblanc_lessie-</t>
  </si>
  <si>
    <t>LA-05-dantzler_ocsar-</t>
  </si>
  <si>
    <t>missingTwitter</t>
  </si>
  <si>
    <t>Christian - Roman Catholic/Jewish</t>
  </si>
  <si>
    <t>Syrian</t>
  </si>
  <si>
    <t xml:space="preserve">Other </t>
  </si>
  <si>
    <t>Haitian</t>
  </si>
  <si>
    <t>Greek</t>
  </si>
  <si>
    <t>Polish</t>
  </si>
  <si>
    <t>Russian</t>
  </si>
  <si>
    <t>Whtie</t>
  </si>
  <si>
    <t>Romanian</t>
  </si>
  <si>
    <t>Azerbaijani</t>
  </si>
  <si>
    <t xml:space="preserve"> </t>
  </si>
  <si>
    <t>Brazilian</t>
  </si>
  <si>
    <t>Uzbekistani</t>
  </si>
  <si>
    <t>Bagan</t>
  </si>
  <si>
    <t>https://www.washingtonpost.com/nation/2022/10/06/elections-deniers-midterm-elections-2022/</t>
  </si>
  <si>
    <t>ElectionDenier</t>
  </si>
  <si>
    <t>Coded by Washington Post as denying election of 2020</t>
  </si>
  <si>
    <t>Brendan Schultz</t>
  </si>
  <si>
    <t>NEW</t>
  </si>
  <si>
    <t>HI-02-schultz_brendan-</t>
  </si>
  <si>
    <t>Nicole Gi</t>
  </si>
  <si>
    <t>HI-02-gi_nicole-</t>
  </si>
  <si>
    <t>Steven Sparks</t>
  </si>
  <si>
    <t>HI-02-sparks_steven-</t>
  </si>
  <si>
    <t>https://twitter.com/NicoleGiHawaii</t>
  </si>
  <si>
    <t>Does not exist</t>
  </si>
  <si>
    <t>Russell Prescott</t>
  </si>
  <si>
    <t>NH-01-prescott_russell-</t>
  </si>
  <si>
    <t>Jay Mercer</t>
  </si>
  <si>
    <t>NH-02-mercer_jay-</t>
  </si>
  <si>
    <t>John Berman</t>
  </si>
  <si>
    <t>NH-Sen03-berman_john-</t>
  </si>
  <si>
    <t>Shoshana David</t>
  </si>
  <si>
    <t>NY-17-shoshana_david-</t>
  </si>
  <si>
    <t>Timothy Lee</t>
  </si>
  <si>
    <t>TN-05-lee_timothy-</t>
  </si>
  <si>
    <t>Louis Meyers</t>
  </si>
  <si>
    <t>VT-00-meyers_louis-</t>
  </si>
  <si>
    <t>Elizabeth Haderlein</t>
  </si>
  <si>
    <t>IL-16-haderlein_elizabeth-</t>
  </si>
  <si>
    <t>no longer exists - wayback?</t>
  </si>
  <si>
    <t>Joseph Alfonso</t>
  </si>
  <si>
    <t>MI-04-alfonso_joseph-</t>
  </si>
  <si>
    <t>@AlfonsoforMI4</t>
  </si>
  <si>
    <t>Cara Mund</t>
  </si>
  <si>
    <t>@CaraMund</t>
  </si>
  <si>
    <t>ND-00-mund_cara-</t>
  </si>
  <si>
    <t>did not run in general election</t>
  </si>
  <si>
    <t>Shawna Roberts</t>
  </si>
  <si>
    <t>Lou Lyras</t>
  </si>
  <si>
    <t>Eric Jones</t>
  </si>
  <si>
    <t>Martin Alexander</t>
  </si>
  <si>
    <t>OH-06-lyras_lou-</t>
  </si>
  <si>
    <t>OH-06-jones_eric-</t>
  </si>
  <si>
    <t>OH-06-roberts_shawna-</t>
  </si>
  <si>
    <t>OH-06-alexander_martin-</t>
  </si>
  <si>
    <t>@OhioEricJones</t>
  </si>
  <si>
    <t>Tristan Rader</t>
  </si>
  <si>
    <t>OH-07-rader_tristan-</t>
  </si>
  <si>
    <t>@TWRader</t>
  </si>
  <si>
    <t>Amy Rippel-Elton</t>
  </si>
  <si>
    <t>OH-12-rippel-elton_amy-</t>
  </si>
  <si>
    <t>Michael Fletcher</t>
  </si>
  <si>
    <t>OH-12-fletcher_michael-</t>
  </si>
  <si>
    <t>OH-15-josephson_gary-</t>
  </si>
  <si>
    <t>Gary Josephson</t>
  </si>
  <si>
    <t>@josephson4rep</t>
  </si>
  <si>
    <t>Michael Molesevich</t>
  </si>
  <si>
    <t>Other write-ins got 67.1% in primary</t>
  </si>
  <si>
    <t>PA-15-molesevich_michael-</t>
  </si>
  <si>
    <t>Won primary but withdrew from general election</t>
  </si>
  <si>
    <t>Lee Turner</t>
  </si>
  <si>
    <t>SC-04-turner_lee-</t>
  </si>
  <si>
    <t>@VoteLeeTurner</t>
  </si>
  <si>
    <t>Taysha DeVaughan</t>
  </si>
  <si>
    <t>VA-09-devaughan_taysha-</t>
  </si>
  <si>
    <t>@DeV4Congress</t>
  </si>
  <si>
    <t>@DavidCannataJr</t>
  </si>
  <si>
    <t>Lee Stahley</t>
  </si>
  <si>
    <t>OH-03-stahley_lee-</t>
  </si>
  <si>
    <t>@LeeStahley</t>
  </si>
  <si>
    <t>OH-05-swartz_craig-</t>
  </si>
  <si>
    <t>MS-02-eller_ronald-</t>
  </si>
  <si>
    <t>NC-03-papastrat_george-</t>
  </si>
  <si>
    <t>There was a first round won by Frix and he lost a run-off</t>
  </si>
  <si>
    <t>Donald Payne</t>
  </si>
  <si>
    <t>NJ-08-menendez_robert-</t>
  </si>
  <si>
    <t>NJ-10-payne_donald-</t>
  </si>
  <si>
    <t>lost runoff</t>
  </si>
  <si>
    <t>Died August 2, 2022</t>
  </si>
  <si>
    <t>Rudy Yakym</t>
  </si>
  <si>
    <t>IN-02-yakym_rudy-</t>
  </si>
  <si>
    <t>Incumbent died and he made it to general election ballot</t>
  </si>
  <si>
    <t>@RudyYakym</t>
  </si>
  <si>
    <t>Withdrew</t>
  </si>
  <si>
    <t>On ballot after primary</t>
  </si>
  <si>
    <t>NY-16-levitt-flisser_miriam-</t>
  </si>
  <si>
    <t>Miriam Levitt Flisser</t>
  </si>
  <si>
    <t>Made it to general after Van Taylor withdrew</t>
  </si>
  <si>
    <t>@AllanFungRI</t>
  </si>
  <si>
    <t>CUT</t>
  </si>
  <si>
    <t>Holden Hoggatt</t>
  </si>
  <si>
    <t>@HoldenHoggatt</t>
  </si>
  <si>
    <t>Tia LeBrun</t>
  </si>
  <si>
    <t>@LeBrun4LA</t>
  </si>
  <si>
    <t>Thomas Payne</t>
  </si>
  <si>
    <t>LA-03-hoggatt_holden-</t>
  </si>
  <si>
    <t>LA-03-lebrun_tia-</t>
  </si>
  <si>
    <t>LA-03-payne_thomas-</t>
  </si>
  <si>
    <t>Walter Huff</t>
  </si>
  <si>
    <t>Allen Guillory</t>
  </si>
  <si>
    <t>Hunter Pullen</t>
  </si>
  <si>
    <t>LA-05-huff_walter-</t>
  </si>
  <si>
    <t>LA-05-guillory_allen-</t>
  </si>
  <si>
    <t>LA-05-pullen_hunter-</t>
  </si>
  <si>
    <t>Rufus Craig</t>
  </si>
  <si>
    <t>Brian Belzer</t>
  </si>
  <si>
    <t>LA-06-craig_rufus-</t>
  </si>
  <si>
    <t>LA-06-belzer_brian-</t>
  </si>
  <si>
    <t>@BelzerForChange</t>
  </si>
  <si>
    <t>@AdamForColorado</t>
  </si>
  <si>
    <t>@Cd5Torres</t>
  </si>
  <si>
    <t>Confirmed missing</t>
  </si>
  <si>
    <t>@AndreaDoriaKale</t>
  </si>
  <si>
    <t>@CorinnaRobinson</t>
  </si>
  <si>
    <t>@ChristianForGA6</t>
  </si>
  <si>
    <t>@Mike4Georgia</t>
  </si>
  <si>
    <t>@katie4louisiana</t>
  </si>
  <si>
    <t>@LessieO</t>
  </si>
  <si>
    <t>@JHTforCongress</t>
  </si>
  <si>
    <t>@JoeForOregon</t>
  </si>
  <si>
    <t>@Waldman4PA</t>
  </si>
  <si>
    <t>@ShamaineDaniels</t>
  </si>
  <si>
    <t>@Hollister4PA</t>
  </si>
  <si>
    <t>@DanPastorePA</t>
  </si>
  <si>
    <t>@ChrisForPA</t>
  </si>
  <si>
    <t>@district5eva</t>
  </si>
  <si>
    <t>@CParsonsTN1</t>
  </si>
  <si>
    <t>@Harmon4Congress</t>
  </si>
  <si>
    <t>@Campbell4TN</t>
  </si>
  <si>
    <t>@JrmarJefferson</t>
  </si>
  <si>
    <t>@sandeepfortexas</t>
  </si>
  <si>
    <t>@JanForCongress</t>
  </si>
  <si>
    <t>@Mac4Congress</t>
  </si>
  <si>
    <t>@Nick4utah</t>
  </si>
  <si>
    <t>@VoteDarlene</t>
  </si>
  <si>
    <t>@herb4virginia</t>
  </si>
  <si>
    <t>NC-13-barbour_devan-</t>
  </si>
  <si>
    <t>MI-12-elliott_steven-</t>
  </si>
  <si>
    <t>@Congress2020J</t>
  </si>
  <si>
    <t>@JQualteri</t>
  </si>
  <si>
    <t>@StevenMonahanCO</t>
  </si>
  <si>
    <t>@chavez4congress</t>
  </si>
  <si>
    <t>@Mechracer74</t>
  </si>
  <si>
    <t>@JustinBurau</t>
  </si>
  <si>
    <t>@checkrice</t>
  </si>
  <si>
    <t>@Joe_Severino</t>
  </si>
  <si>
    <t>@votedlux</t>
  </si>
  <si>
    <t>@DeanTranMA3</t>
  </si>
  <si>
    <t>@may4congress</t>
  </si>
  <si>
    <t>@oneunitedvoice</t>
  </si>
  <si>
    <t>@TomWeilerMN</t>
  </si>
  <si>
    <t>@Paul4USCongress</t>
  </si>
  <si>
    <t>@MikeZumbluskas</t>
  </si>
  <si>
    <t>@StevenLSamsII</t>
  </si>
  <si>
    <t>@joanna4oregon</t>
  </si>
  <si>
    <t>@aaron_bashir</t>
  </si>
  <si>
    <t>@guyciarrocchi</t>
  </si>
  <si>
    <t>@VoteMikeDoyle</t>
  </si>
  <si>
    <t>@Leon4Congress</t>
  </si>
  <si>
    <t>@Myles11CD</t>
  </si>
  <si>
    <t>@Dan2Congress</t>
  </si>
  <si>
    <t>@repbobmcdermott</t>
  </si>
  <si>
    <t>@salviforsenate</t>
  </si>
  <si>
    <t>@SmileyForWA</t>
  </si>
  <si>
    <t>correct screen name, but doesn't exist anymore</t>
  </si>
  <si>
    <t>correct account, but only approved followers can see tweets</t>
  </si>
  <si>
    <t>account suspended</t>
  </si>
  <si>
    <t>correct screen name, but doesn't exist</t>
  </si>
  <si>
    <t>oldScreenName</t>
  </si>
  <si>
    <t>@afigliola1</t>
  </si>
  <si>
    <t>@AllenWatersRI</t>
  </si>
  <si>
    <t>@ashmi4congress</t>
  </si>
  <si>
    <t>@BartlettForCA</t>
  </si>
  <si>
    <t>@bob_hendry_4TN</t>
  </si>
  <si>
    <t>@BohannanIowa</t>
  </si>
  <si>
    <t>@BradSherman4SFV</t>
  </si>
  <si>
    <t>@carlinussenate</t>
  </si>
  <si>
    <t>@CasandraLGarcia</t>
  </si>
  <si>
    <t>@chrisbyrd222</t>
  </si>
  <si>
    <t>@ChrisMurphyCT</t>
  </si>
  <si>
    <t>@ChristineforFL</t>
  </si>
  <si>
    <t>@Congressman_JVD</t>
  </si>
  <si>
    <t>@DarinLaHoodIL</t>
  </si>
  <si>
    <t>@DarrellIssa</t>
  </si>
  <si>
    <t>@DelgadoforNY</t>
  </si>
  <si>
    <t>@devanbarbour</t>
  </si>
  <si>
    <t>@Donna4Congress</t>
  </si>
  <si>
    <t>@DougCongress</t>
  </si>
  <si>
    <t>@DrMahmood40</t>
  </si>
  <si>
    <t>@EricChing4CD38</t>
  </si>
  <si>
    <t>@ErrolWebber</t>
  </si>
  <si>
    <t>@esrati</t>
  </si>
  <si>
    <t>@fortforcongress</t>
  </si>
  <si>
    <t>@garapati4texas</t>
  </si>
  <si>
    <t>@gonzalesforCA46</t>
  </si>
  <si>
    <t>@gpapastrat</t>
  </si>
  <si>
    <t>@hakeemjeffries</t>
  </si>
  <si>
    <t>@HaugenforHouse</t>
  </si>
  <si>
    <t>@Heiwig2022</t>
  </si>
  <si>
    <t>@hendricks2022</t>
  </si>
  <si>
    <t>@JasonCrowCO</t>
  </si>
  <si>
    <t>@Jeff4CongressMA</t>
  </si>
  <si>
    <t>@JeffBuongiorno</t>
  </si>
  <si>
    <t>@JessieT4NVDist1</t>
  </si>
  <si>
    <t>@JuddForCongress</t>
  </si>
  <si>
    <t>@KevinHayslettFL</t>
  </si>
  <si>
    <t>@kirby4the6th</t>
  </si>
  <si>
    <t>@LiamAwakening</t>
  </si>
  <si>
    <t>@MaryJo_TX17</t>
  </si>
  <si>
    <t>@MoBrooks</t>
  </si>
  <si>
    <t>@MorgunSholtyNV</t>
  </si>
  <si>
    <t>@MurphyforNC</t>
  </si>
  <si>
    <t>@MWeslanderQuaid</t>
  </si>
  <si>
    <t>deactivated</t>
  </si>
  <si>
    <t>@RickforPa10</t>
  </si>
  <si>
    <t>@JCisnerosTX</t>
  </si>
  <si>
    <t>@Heberling3</t>
  </si>
  <si>
    <t>Not active?</t>
  </si>
  <si>
    <t>@McGonigal5th</t>
  </si>
  <si>
    <t>@WayneToday</t>
  </si>
  <si>
    <t>@TeamBrownDudley</t>
  </si>
  <si>
    <t>Brown Dudley</t>
  </si>
  <si>
    <t>TN-09-dudley_brown-</t>
  </si>
  <si>
    <t>@GovernorLouie</t>
  </si>
  <si>
    <t>@SteveIrwinPA</t>
  </si>
  <si>
    <t>@taffy_howard</t>
  </si>
  <si>
    <t>neW</t>
  </si>
  <si>
    <t>@TedEngquist</t>
  </si>
  <si>
    <t>@RegnierCongress</t>
  </si>
  <si>
    <t>@nolanforsenate</t>
  </si>
  <si>
    <t>@DuncanForTX</t>
  </si>
  <si>
    <t>Army Murray</t>
  </si>
  <si>
    <t>OR-01-murray_army-</t>
  </si>
  <si>
    <t>@JerryW_Torres</t>
  </si>
  <si>
    <t>@PrineTime</t>
  </si>
  <si>
    <t>@HavaHolzhauer</t>
  </si>
  <si>
    <t>@EdgarUSSenate</t>
  </si>
  <si>
    <t>@Hamilton4FL</t>
  </si>
  <si>
    <t>@ALSantosFL</t>
  </si>
  <si>
    <t>@martz4congress</t>
  </si>
  <si>
    <t>@rubin2022</t>
  </si>
  <si>
    <t>@BerneyFlowers</t>
  </si>
  <si>
    <t>@michellebondny1</t>
  </si>
  <si>
    <t>@faulkner4cong</t>
  </si>
  <si>
    <t>@AishaforNy18</t>
  </si>
  <si>
    <t>@ClayFaircloth</t>
  </si>
  <si>
    <t>@IvanTaylor907</t>
  </si>
  <si>
    <t>@ChooseChesbro</t>
  </si>
  <si>
    <t>@karl4senate</t>
  </si>
  <si>
    <t>@LisaForSenate</t>
  </si>
  <si>
    <t>@davidflucier</t>
  </si>
  <si>
    <t>@lucindakwhjahn</t>
  </si>
  <si>
    <t>@JosiahONeilCA</t>
  </si>
  <si>
    <t>@JaymeStevenson</t>
  </si>
  <si>
    <t>@DickBlumenthal</t>
  </si>
  <si>
    <t>@goMurph2020</t>
  </si>
  <si>
    <t>@peggyforFL1</t>
  </si>
  <si>
    <t>@MerkGregory</t>
  </si>
  <si>
    <t>@TomWells2022</t>
  </si>
  <si>
    <t>@Lj4CONGRESS</t>
  </si>
  <si>
    <t>@AaronBean</t>
  </si>
  <si>
    <t>@jontchuba</t>
  </si>
  <si>
    <t>@JRutherfordFL</t>
  </si>
  <si>
    <t>@RealLunaLopez</t>
  </si>
  <si>
    <t>@MaraMacie</t>
  </si>
  <si>
    <t>@AlKrulick</t>
  </si>
  <si>
    <t>@allekpastrana</t>
  </si>
  <si>
    <t>@drkarengreen</t>
  </si>
  <si>
    <t>@RustyRobertsFL</t>
  </si>
  <si>
    <t>@Joanne4Congress</t>
  </si>
  <si>
    <t>@ScottyMoore4FL</t>
  </si>
  <si>
    <t>@AlanGrayson</t>
  </si>
  <si>
    <t>@MuneerCongress</t>
  </si>
  <si>
    <t>@cbwimbish</t>
  </si>
  <si>
    <t>@lateresajones</t>
  </si>
  <si>
    <t>@thuy_lowe</t>
  </si>
  <si>
    <t>@TuanLeUSA</t>
  </si>
  <si>
    <t>@MunnsShante</t>
  </si>
  <si>
    <t>@gavsoriano</t>
  </si>
  <si>
    <t>@kw4congress</t>
  </si>
  <si>
    <t>@ChrisLeiser2022</t>
  </si>
  <si>
    <t>@Jack4CongressFl</t>
  </si>
  <si>
    <t>@votemoneer</t>
  </si>
  <si>
    <t>@CBradleyFL</t>
  </si>
  <si>
    <t>@jamespjudge</t>
  </si>
  <si>
    <t>@Sam4Florida</t>
  </si>
  <si>
    <t>@AlanMCohn</t>
  </si>
  <si>
    <t>@CesarForFlorida</t>
  </si>
  <si>
    <t>@CDR_GRIMES</t>
  </si>
  <si>
    <t>@kellistargel</t>
  </si>
  <si>
    <t>@McGovern4FL</t>
  </si>
  <si>
    <t>@Vote_Laurel</t>
  </si>
  <si>
    <t>@EddieTarazonaFL</t>
  </si>
  <si>
    <t>@KennyHartpence</t>
  </si>
  <si>
    <t>@ScottFranklinFL</t>
  </si>
  <si>
    <t>@wendy_schmeling</t>
  </si>
  <si>
    <t>@JimHuff_</t>
  </si>
  <si>
    <t>@drewmontezclark</t>
  </si>
  <si>
    <t>@LoisFrankel</t>
  </si>
  <si>
    <t>@danforfl</t>
  </si>
  <si>
    <t>@DebAdeimy</t>
  </si>
  <si>
    <t>@peter_arianas</t>
  </si>
  <si>
    <t>@roddorilas</t>
  </si>
  <si>
    <t>@AllenLEllison</t>
  </si>
  <si>
    <t>@BenSorensen</t>
  </si>
  <si>
    <t>@JaredEMoskowitz</t>
  </si>
  <si>
    <t>@wmichaeltrout</t>
  </si>
  <si>
    <t>@ChristyMarieMc</t>
  </si>
  <si>
    <t>@swaffarcongress</t>
  </si>
  <si>
    <t>@Weinstein2022</t>
  </si>
  <si>
    <t>@JAMESPRUDEN13</t>
  </si>
  <si>
    <t>@VoteJoeBudd</t>
  </si>
  <si>
    <t>@Chess4Congress</t>
  </si>
  <si>
    <t>@Jesus_G_Navarro</t>
  </si>
  <si>
    <t>@lavern_spicer</t>
  </si>
  <si>
    <t>@MillweeRobert</t>
  </si>
  <si>
    <t>@CarlaSpaldingFL</t>
  </si>
  <si>
    <t>@aquino4congress</t>
  </si>
  <si>
    <t>@Annette_Taddeo</t>
  </si>
  <si>
    <t>@kenforflorida</t>
  </si>
  <si>
    <t>@Juan4Congress</t>
  </si>
  <si>
    <t>@RepAsenccio</t>
  </si>
  <si>
    <t>@carlosgarin</t>
  </si>
  <si>
    <t>@Vote_BrianRush</t>
  </si>
  <si>
    <t>@Ricky4Congress</t>
  </si>
  <si>
    <t>@valdemings</t>
  </si>
  <si>
    <t>@conradkressHI01</t>
  </si>
  <si>
    <t>@tokudaforhawaii</t>
  </si>
  <si>
    <t>@VoteBrancoHI</t>
  </si>
  <si>
    <t>@Joe_Akana</t>
  </si>
  <si>
    <t>@centristjoeHI</t>
  </si>
  <si>
    <t>@AsiaLaVonne</t>
  </si>
  <si>
    <t>@dalhouse4senate</t>
  </si>
  <si>
    <t>@MartilliforRep</t>
  </si>
  <si>
    <t>@CarolineforMA5</t>
  </si>
  <si>
    <t>@Donnieplmr</t>
  </si>
  <si>
    <t>@MarshalFogg</t>
  </si>
  <si>
    <t>@SouthernMN4Jeff</t>
  </si>
  <si>
    <t>@BradFinstad</t>
  </si>
  <si>
    <t>@jeremymunson</t>
  </si>
  <si>
    <t>@FasilMoghul</t>
  </si>
  <si>
    <t>@XiongMay</t>
  </si>
  <si>
    <t>@DonSamuelsMN</t>
  </si>
  <si>
    <t>@RoyceWhiteUS</t>
  </si>
  <si>
    <t>@jillforcd7</t>
  </si>
  <si>
    <t>@RepJenSchultz</t>
  </si>
  <si>
    <t>@EricJEarhart</t>
  </si>
  <si>
    <t>@DTshiovoM</t>
  </si>
  <si>
    <t>@HanselForNH</t>
  </si>
  <si>
    <t>@brucefenton</t>
  </si>
  <si>
    <t>@GenDonBolduc</t>
  </si>
  <si>
    <t>@Vikram4NH</t>
  </si>
  <si>
    <t>@nicklalota</t>
  </si>
  <si>
    <t>@VoteJackie4NY</t>
  </si>
  <si>
    <t>@cornicelliny</t>
  </si>
  <si>
    <t>@CarrieSolages</t>
  </si>
  <si>
    <t>@Keith4Congress</t>
  </si>
  <si>
    <t>@LauraAGillen</t>
  </si>
  <si>
    <t>@MuzibulDr</t>
  </si>
  <si>
    <t>@ANTHONYDESPO</t>
  </si>
  <si>
    <t>@tom_zmich</t>
  </si>
  <si>
    <t>@yura4us</t>
  </si>
  <si>
    <t>@CarlinaRivera</t>
  </si>
  <si>
    <t>@danielsgoldman</t>
  </si>
  <si>
    <t>@RepHotzman</t>
  </si>
  <si>
    <t>@JoAnneSimonBK52</t>
  </si>
  <si>
    <t>@YanForNYC</t>
  </si>
  <si>
    <t>@yuhline</t>
  </si>
  <si>
    <t>@catherineNY16</t>
  </si>
  <si>
    <t>@jaffe4ny</t>
  </si>
  <si>
    <t>@Biaggi4NY</t>
  </si>
  <si>
    <t>@lawler4ny</t>
  </si>
  <si>
    <t>@Mugulusi4Senate</t>
  </si>
  <si>
    <t>@PatRyanUC</t>
  </si>
  <si>
    <t>@JoshuaUE99</t>
  </si>
  <si>
    <t>@LizLemeryJoy</t>
  </si>
  <si>
    <t>@FDConole</t>
  </si>
  <si>
    <t>@Brandon4ny22</t>
  </si>
  <si>
    <t>@SteveWellsForNY</t>
  </si>
  <si>
    <t>@DellaPiaForNY23</t>
  </si>
  <si>
    <t>@CarlPaladinoNY</t>
  </si>
  <si>
    <t>@NickLangworthy</t>
  </si>
  <si>
    <t>@MarioFratto</t>
  </si>
  <si>
    <t>@AdamforOklahoma</t>
  </si>
  <si>
    <t>@DavidSegalRI</t>
  </si>
  <si>
    <t>@SarahForRI</t>
  </si>
  <si>
    <t>@AndyOgles</t>
  </si>
  <si>
    <t>@BethHarwellTN</t>
  </si>
  <si>
    <t>@CooperforTN6</t>
  </si>
  <si>
    <t>@ElectBergmann</t>
  </si>
  <si>
    <t>@JeffJordan2022</t>
  </si>
  <si>
    <t>@kezia_tunnell</t>
  </si>
  <si>
    <t>@mollyforvermont</t>
  </si>
  <si>
    <t>@ErickaRedic</t>
  </si>
  <si>
    <t>@IsaacForVT</t>
  </si>
  <si>
    <t>@GeraldMalloyVT</t>
  </si>
  <si>
    <t>@MyersMermel</t>
  </si>
  <si>
    <t>@DaveKunelius</t>
  </si>
  <si>
    <t>@lesleyforct</t>
  </si>
  <si>
    <t>New_noSpace</t>
  </si>
  <si>
    <t>@PALOMAFORTRUMP</t>
  </si>
  <si>
    <t>@BadgerforUtah</t>
  </si>
  <si>
    <t>@CoraforMT</t>
  </si>
  <si>
    <t>@MeghanRJensen</t>
  </si>
  <si>
    <t>CA-12-kaplan_glenn-</t>
  </si>
  <si>
    <t>CA-18-acevedo-arreguin_luis-</t>
  </si>
  <si>
    <t>CA-24-weslander-quaid_michele-</t>
  </si>
  <si>
    <t>CA-49-taylor_renee-</t>
  </si>
  <si>
    <t>GA-04-chavez_jonathan-</t>
  </si>
  <si>
    <t>GA-09-howard_gregory-</t>
  </si>
  <si>
    <t>KS-Sen03-andra_mike-</t>
  </si>
  <si>
    <t>NC-13-ellmers_renee-</t>
  </si>
  <si>
    <t>NJ-08-roseborough-eberhard_ane-</t>
  </si>
  <si>
    <t>NV-Sen03-rheinhart_allen-</t>
  </si>
  <si>
    <t>OK-Sen02-mullin_markwayne-</t>
  </si>
  <si>
    <t>OK-Sen02-pruitt_scott-</t>
  </si>
  <si>
    <t>OK-Sen02-shannon_tw-</t>
  </si>
  <si>
    <t>WA-01-spears_tom-</t>
  </si>
  <si>
    <t>Conor LambSenate</t>
  </si>
  <si>
    <t>conservPundit</t>
  </si>
  <si>
    <t>libPundit</t>
  </si>
  <si>
    <t>electionDenier</t>
  </si>
  <si>
    <t>Was in 17th before</t>
  </si>
  <si>
    <t>Michael Joiner</t>
  </si>
  <si>
    <t>AL-03-joiner_michael-</t>
  </si>
  <si>
    <t>modPundit</t>
  </si>
  <si>
    <t>Bill Spinney</t>
  </si>
  <si>
    <t>Lacy Watson</t>
  </si>
  <si>
    <t>WV-01-watson_lacy-</t>
  </si>
  <si>
    <t>Also known as Lacy or Eugene; was typo ("Lucy" in candStem and candidate name) until May 2023; have fixed in Twitter and web</t>
  </si>
  <si>
    <t>RI-02-dickinson_spencer-</t>
  </si>
  <si>
    <t>Typo in candStem (dickenson) until June 2023</t>
  </si>
  <si>
    <t>CA-04-kishineff_jason-</t>
  </si>
  <si>
    <t>Typo oi candStem until June 2022 (kishineff)</t>
  </si>
  <si>
    <t>@ScottforFlorida</t>
  </si>
  <si>
    <t>add</t>
  </si>
  <si>
    <t>His cand stem is missing s in last name as of June 2023 (will fix)</t>
  </si>
  <si>
    <t>Rutherford</t>
  </si>
  <si>
    <t>Chesbro</t>
  </si>
  <si>
    <t>Patricia</t>
  </si>
  <si>
    <t>Blatchford</t>
  </si>
  <si>
    <t>Edgar</t>
  </si>
  <si>
    <t>Warner-Stanton</t>
  </si>
  <si>
    <t>McMorris-Rodgers</t>
  </si>
  <si>
    <t>Dutchess</t>
  </si>
  <si>
    <t>LadyDonna</t>
  </si>
  <si>
    <t>Buzz</t>
  </si>
  <si>
    <t>Nolin</t>
  </si>
  <si>
    <t>Ivan</t>
  </si>
  <si>
    <t>Joiner</t>
  </si>
  <si>
    <t>Brandaun</t>
  </si>
  <si>
    <t>Shackelford</t>
  </si>
  <si>
    <t>Jody</t>
  </si>
  <si>
    <t>Krystofiak</t>
  </si>
  <si>
    <t>Javier</t>
  </si>
  <si>
    <t>Clint</t>
  </si>
  <si>
    <t>Dowling</t>
  </si>
  <si>
    <t>Kutz</t>
  </si>
  <si>
    <t>Lucier</t>
  </si>
  <si>
    <t>Scharer</t>
  </si>
  <si>
    <t>Gene</t>
  </si>
  <si>
    <t>Yee</t>
  </si>
  <si>
    <t>Brower</t>
  </si>
  <si>
    <t>Coulombe</t>
  </si>
  <si>
    <t>Elizondo</t>
  </si>
  <si>
    <t>Darian</t>
  </si>
  <si>
    <t>Archimedes</t>
  </si>
  <si>
    <t>Brock</t>
  </si>
  <si>
    <t>Engdahl</t>
  </si>
  <si>
    <t>Giblin</t>
  </si>
  <si>
    <t>Jimih</t>
  </si>
  <si>
    <t>Kishineff</t>
  </si>
  <si>
    <t>Wozniak</t>
  </si>
  <si>
    <t>Bish</t>
  </si>
  <si>
    <t>Tamika</t>
  </si>
  <si>
    <t>Fremgen</t>
  </si>
  <si>
    <t>Recile</t>
  </si>
  <si>
    <t>Riley</t>
  </si>
  <si>
    <t>Jafri</t>
  </si>
  <si>
    <t>Khalid</t>
  </si>
  <si>
    <t>Shoemaker</t>
  </si>
  <si>
    <t>Kerr</t>
  </si>
  <si>
    <t>delCastillo</t>
  </si>
  <si>
    <t>VonKrieg</t>
  </si>
  <si>
    <t>Kaplan</t>
  </si>
  <si>
    <t>Nuerge</t>
  </si>
  <si>
    <t>Ned</t>
  </si>
  <si>
    <t>Slauson</t>
  </si>
  <si>
    <t>Duarte</t>
  </si>
  <si>
    <t>Simard</t>
  </si>
  <si>
    <t>Singh</t>
  </si>
  <si>
    <t>Major</t>
  </si>
  <si>
    <t>Wong</t>
  </si>
  <si>
    <t>Garrity</t>
  </si>
  <si>
    <t>Pataki</t>
  </si>
  <si>
    <t>Ferenc</t>
  </si>
  <si>
    <t>Fredrich</t>
  </si>
  <si>
    <t>Dehn</t>
  </si>
  <si>
    <t>Forbes</t>
  </si>
  <si>
    <t>Ravul</t>
  </si>
  <si>
    <t>Rao</t>
  </si>
  <si>
    <t>Tandon</t>
  </si>
  <si>
    <t>Ritesh</t>
  </si>
  <si>
    <t>Acevdedo-Arreguin</t>
  </si>
  <si>
    <t>Deitch</t>
  </si>
  <si>
    <t>Macauley</t>
  </si>
  <si>
    <t>Stoll</t>
  </si>
  <si>
    <t>Medeiros</t>
  </si>
  <si>
    <t>Frankenfield</t>
  </si>
  <si>
    <t>Weslander-Quaid</t>
  </si>
  <si>
    <t>Thakur</t>
  </si>
  <si>
    <t>Burt</t>
  </si>
  <si>
    <t>Goodman</t>
  </si>
  <si>
    <t>Quartey</t>
  </si>
  <si>
    <t>Quaye</t>
  </si>
  <si>
    <t>Rudnick</t>
  </si>
  <si>
    <t>Caronna</t>
  </si>
  <si>
    <t>Dorothy</t>
  </si>
  <si>
    <t>Depaolis</t>
  </si>
  <si>
    <t>Guiliano</t>
  </si>
  <si>
    <t>Hallman</t>
  </si>
  <si>
    <t>Wes</t>
  </si>
  <si>
    <t>Carranza</t>
  </si>
  <si>
    <t>Margarita</t>
  </si>
  <si>
    <t>Melendez</t>
  </si>
  <si>
    <t>Genovese</t>
  </si>
  <si>
    <t>Sal</t>
  </si>
  <si>
    <t>Meurer</t>
  </si>
  <si>
    <t>Nalbandian</t>
  </si>
  <si>
    <t>Pudlo</t>
  </si>
  <si>
    <t>G.</t>
  </si>
  <si>
    <t>deLuca</t>
  </si>
  <si>
    <t>Rocco</t>
  </si>
  <si>
    <t>Toomim</t>
  </si>
  <si>
    <t>Melissa</t>
  </si>
  <si>
    <t>Gutierrez</t>
  </si>
  <si>
    <t>Rex</t>
  </si>
  <si>
    <t>Richter</t>
  </si>
  <si>
    <t>VonBuck</t>
  </si>
  <si>
    <t>Clifton</t>
  </si>
  <si>
    <t>Cargile</t>
  </si>
  <si>
    <t>Erbst</t>
  </si>
  <si>
    <t>Hakami</t>
  </si>
  <si>
    <t>Ariana</t>
  </si>
  <si>
    <t>Jesuele</t>
  </si>
  <si>
    <t>Obrien</t>
  </si>
  <si>
    <t>Ragge</t>
  </si>
  <si>
    <t>Champion</t>
  </si>
  <si>
    <t>Mendoza</t>
  </si>
  <si>
    <t>Shure</t>
  </si>
  <si>
    <t>Sarega</t>
  </si>
  <si>
    <t>Minnella</t>
  </si>
  <si>
    <t>Moreno</t>
  </si>
  <si>
    <t>Art</t>
  </si>
  <si>
    <t>Aja</t>
  </si>
  <si>
    <t>Spinney</t>
  </si>
  <si>
    <t>Suarez</t>
  </si>
  <si>
    <t>Emmanuel</t>
  </si>
  <si>
    <t>Taurus</t>
  </si>
  <si>
    <t>Nick</t>
  </si>
  <si>
    <t>Lucio</t>
  </si>
  <si>
    <t>Nevenic</t>
  </si>
  <si>
    <t>Beltran</t>
  </si>
  <si>
    <t>Briscoe</t>
  </si>
  <si>
    <t>Monestime</t>
  </si>
  <si>
    <t>Jean</t>
  </si>
  <si>
    <t>Nguyen</t>
  </si>
  <si>
    <t>Rocha</t>
  </si>
  <si>
    <t>Felix</t>
  </si>
  <si>
    <t>Rushman</t>
  </si>
  <si>
    <t>Jahn</t>
  </si>
  <si>
    <t>Lucinda</t>
  </si>
  <si>
    <t>Rascon</t>
  </si>
  <si>
    <t>Smalley</t>
  </si>
  <si>
    <t>Nadia</t>
  </si>
  <si>
    <t>Chiddick</t>
  </si>
  <si>
    <t>Gustafson</t>
  </si>
  <si>
    <t>Taitano</t>
  </si>
  <si>
    <t>Kylie</t>
  </si>
  <si>
    <t>Cortes</t>
  </si>
  <si>
    <t>Geffeney</t>
  </si>
  <si>
    <t>Bradford</t>
  </si>
  <si>
    <t>Daphne</t>
  </si>
  <si>
    <t>Conn</t>
  </si>
  <si>
    <t>Elist</t>
  </si>
  <si>
    <t>Pamela</t>
  </si>
  <si>
    <t>Eleanor</t>
  </si>
  <si>
    <t>Myron</t>
  </si>
  <si>
    <t>Petris</t>
  </si>
  <si>
    <t>Enrique</t>
  </si>
  <si>
    <t>Obaidul</t>
  </si>
  <si>
    <t>Tapia</t>
  </si>
  <si>
    <t>Thompson-Parker</t>
  </si>
  <si>
    <t>Ursich</t>
  </si>
  <si>
    <t>Qualteri</t>
  </si>
  <si>
    <t>Dawson</t>
  </si>
  <si>
    <t>Frisch</t>
  </si>
  <si>
    <t>Heaton</t>
  </si>
  <si>
    <t>Monahan</t>
  </si>
  <si>
    <t>Stevenson</t>
  </si>
  <si>
    <t>Jayme</t>
  </si>
  <si>
    <t>Blunt-Rochester</t>
  </si>
  <si>
    <t>Lombardo</t>
  </si>
  <si>
    <t>Merk</t>
  </si>
  <si>
    <t>Wells</t>
  </si>
  <si>
    <t>Bean</t>
  </si>
  <si>
    <t>Chuba</t>
  </si>
  <si>
    <t>Holloway</t>
  </si>
  <si>
    <t>LaShonda</t>
  </si>
  <si>
    <t>Garner-Lopez</t>
  </si>
  <si>
    <t>Leigha</t>
  </si>
  <si>
    <t>Macie</t>
  </si>
  <si>
    <t>Mara</t>
  </si>
  <si>
    <t>Fernandez</t>
  </si>
  <si>
    <t>Hilsia</t>
  </si>
  <si>
    <t>Pastrana</t>
  </si>
  <si>
    <t>Allek</t>
  </si>
  <si>
    <t>Armando</t>
  </si>
  <si>
    <t>Morales</t>
  </si>
  <si>
    <t>Adianis</t>
  </si>
  <si>
    <t>Corrine</t>
  </si>
  <si>
    <t>Grayson</t>
  </si>
  <si>
    <t>Lateresa</t>
  </si>
  <si>
    <t>Le</t>
  </si>
  <si>
    <t>Tuan</t>
  </si>
  <si>
    <t>Lowe</t>
  </si>
  <si>
    <t>Thuy</t>
  </si>
  <si>
    <t>Muneer</t>
  </si>
  <si>
    <t>Loomer</t>
  </si>
  <si>
    <t>Munns</t>
  </si>
  <si>
    <t>Shante</t>
  </si>
  <si>
    <t>Soriano</t>
  </si>
  <si>
    <t>Gavriel</t>
  </si>
  <si>
    <t>Leiser</t>
  </si>
  <si>
    <t>Kimberly</t>
  </si>
  <si>
    <t>Paulina-Luna</t>
  </si>
  <si>
    <t>Judge</t>
  </si>
  <si>
    <t>Nashagh</t>
  </si>
  <si>
    <t>Samar</t>
  </si>
  <si>
    <t>Cohn</t>
  </si>
  <si>
    <t>Grimes</t>
  </si>
  <si>
    <t>Demetries</t>
  </si>
  <si>
    <t>Cesar</t>
  </si>
  <si>
    <t>Stargel</t>
  </si>
  <si>
    <t>Kelli</t>
  </si>
  <si>
    <t>Toledo</t>
  </si>
  <si>
    <t>VanHorn</t>
  </si>
  <si>
    <t>Kale</t>
  </si>
  <si>
    <t>Franklin</t>
  </si>
  <si>
    <t>Hartpence</t>
  </si>
  <si>
    <t>Raybon</t>
  </si>
  <si>
    <t>Schmeling</t>
  </si>
  <si>
    <t>Tarazona</t>
  </si>
  <si>
    <t>Huff</t>
  </si>
  <si>
    <t>Drew-Montez</t>
  </si>
  <si>
    <t>Omphroy</t>
  </si>
  <si>
    <t>Anika</t>
  </si>
  <si>
    <t>Balderramos-Robinson</t>
  </si>
  <si>
    <t>Corinna</t>
  </si>
  <si>
    <t>Martz</t>
  </si>
  <si>
    <t>Mast</t>
  </si>
  <si>
    <t>Adeimy</t>
  </si>
  <si>
    <t>Arianas</t>
  </si>
  <si>
    <t>Dorilas</t>
  </si>
  <si>
    <t>Frankel</t>
  </si>
  <si>
    <t>Lois</t>
  </si>
  <si>
    <t>Franzese</t>
  </si>
  <si>
    <t>Lawlor</t>
  </si>
  <si>
    <t>Chess</t>
  </si>
  <si>
    <t>Ellison</t>
  </si>
  <si>
    <t>Michaelangelo</t>
  </si>
  <si>
    <t>Holzhauer</t>
  </si>
  <si>
    <t>Hava</t>
  </si>
  <si>
    <t>McLaughlin</t>
  </si>
  <si>
    <t>Moskowitz</t>
  </si>
  <si>
    <t>Perrone</t>
  </si>
  <si>
    <t>Pruden</t>
  </si>
  <si>
    <t>Swaffar</t>
  </si>
  <si>
    <t>Darlene</t>
  </si>
  <si>
    <t>Trout</t>
  </si>
  <si>
    <t>Weinstein</t>
  </si>
  <si>
    <t>Ira</t>
  </si>
  <si>
    <t>Jesus</t>
  </si>
  <si>
    <t>Spicer</t>
  </si>
  <si>
    <t>Lavern</t>
  </si>
  <si>
    <t>Millwee</t>
  </si>
  <si>
    <t>Spalding</t>
  </si>
  <si>
    <t>Wasserman-Schultz</t>
  </si>
  <si>
    <t>Rubin</t>
  </si>
  <si>
    <t>Aquino</t>
  </si>
  <si>
    <t>Diaz-Balart</t>
  </si>
  <si>
    <t>Olivo</t>
  </si>
  <si>
    <t>Taddeo</t>
  </si>
  <si>
    <t>Annette</t>
  </si>
  <si>
    <t>Asencio</t>
  </si>
  <si>
    <t>Garin</t>
  </si>
  <si>
    <t>Gimenez</t>
  </si>
  <si>
    <t>Paredes</t>
  </si>
  <si>
    <t>deLaFuente</t>
  </si>
  <si>
    <t>Demings</t>
  </si>
  <si>
    <t>Griggs</t>
  </si>
  <si>
    <t>Whitehead</t>
  </si>
  <si>
    <t>Macbagito</t>
  </si>
  <si>
    <t>Charlotte</t>
  </si>
  <si>
    <t>Stovall</t>
  </si>
  <si>
    <t>Valencia</t>
  </si>
  <si>
    <t>Rich</t>
  </si>
  <si>
    <t>McCoy</t>
  </si>
  <si>
    <t>Nyghtstorm</t>
  </si>
  <si>
    <t>Yg</t>
  </si>
  <si>
    <t>Boggus</t>
  </si>
  <si>
    <t>London</t>
  </si>
  <si>
    <t>Johnson-Green</t>
  </si>
  <si>
    <t>Tabitha</t>
  </si>
  <si>
    <t>Oduwole</t>
  </si>
  <si>
    <t>Femi</t>
  </si>
  <si>
    <t>Daza-Fernandez</t>
  </si>
  <si>
    <t>Driscoll</t>
  </si>
  <si>
    <t>Shastity</t>
  </si>
  <si>
    <t>Caesar</t>
  </si>
  <si>
    <t>Dominika</t>
  </si>
  <si>
    <t>Haygood</t>
  </si>
  <si>
    <t>Synstelien</t>
  </si>
  <si>
    <t>Johnson-Shealey</t>
  </si>
  <si>
    <t>Tamara</t>
  </si>
  <si>
    <t>Kress</t>
  </si>
  <si>
    <t>Largey</t>
  </si>
  <si>
    <t>Reyes</t>
  </si>
  <si>
    <t>Arturo</t>
  </si>
  <si>
    <t>Akana</t>
  </si>
  <si>
    <t>Branco</t>
  </si>
  <si>
    <t>Gi</t>
  </si>
  <si>
    <t>Schultz</t>
  </si>
  <si>
    <t>Sparks</t>
  </si>
  <si>
    <t>Tokuda</t>
  </si>
  <si>
    <t>Jill</t>
  </si>
  <si>
    <t>Yoshida</t>
  </si>
  <si>
    <t>Bond</t>
  </si>
  <si>
    <t>Wallyn</t>
  </si>
  <si>
    <t>Dalhouse</t>
  </si>
  <si>
    <t>Lavonne</t>
  </si>
  <si>
    <t>Asia</t>
  </si>
  <si>
    <t>Tatali</t>
  </si>
  <si>
    <t>Kaylee</t>
  </si>
  <si>
    <t>Christensen</t>
  </si>
  <si>
    <t>Flint</t>
  </si>
  <si>
    <t>Pursley</t>
  </si>
  <si>
    <t>Roth</t>
  </si>
  <si>
    <t>Turnbull</t>
  </si>
  <si>
    <t>Ramont</t>
  </si>
  <si>
    <t>Ameena</t>
  </si>
  <si>
    <t>Pippion-McGriff</t>
  </si>
  <si>
    <t>Regnier</t>
  </si>
  <si>
    <t>Jeffery</t>
  </si>
  <si>
    <t>Rosner</t>
  </si>
  <si>
    <t>Terre</t>
  </si>
  <si>
    <t>Philanese</t>
  </si>
  <si>
    <t>Cultra</t>
  </si>
  <si>
    <t>Shane</t>
  </si>
  <si>
    <t>Aguirre</t>
  </si>
  <si>
    <t>Falakos</t>
  </si>
  <si>
    <t>McGonigal</t>
  </si>
  <si>
    <t>Malgorzata</t>
  </si>
  <si>
    <t>Hughes</t>
  </si>
  <si>
    <t>Denarvis</t>
  </si>
  <si>
    <t>Dargis</t>
  </si>
  <si>
    <t>Koppie</t>
  </si>
  <si>
    <t>Severino</t>
  </si>
  <si>
    <t>Carroll</t>
  </si>
  <si>
    <t>Hathaway-Altman</t>
  </si>
  <si>
    <t>Markel</t>
  </si>
  <si>
    <t>Homer</t>
  </si>
  <si>
    <t>Qualls</t>
  </si>
  <si>
    <t>Milton</t>
  </si>
  <si>
    <t>Lange</t>
  </si>
  <si>
    <t>Guillemette</t>
  </si>
  <si>
    <t>JoAnne</t>
  </si>
  <si>
    <t>Haderlein</t>
  </si>
  <si>
    <t>Walt</t>
  </si>
  <si>
    <t>Dubiel</t>
  </si>
  <si>
    <t>Salvi</t>
  </si>
  <si>
    <t>Jennifer-Ruth</t>
  </si>
  <si>
    <t>Yakym</t>
  </si>
  <si>
    <t>Lee-Lake</t>
  </si>
  <si>
    <t>Dhahir</t>
  </si>
  <si>
    <t>Nti-Asare</t>
  </si>
  <si>
    <t>Beard</t>
  </si>
  <si>
    <t>Andra</t>
  </si>
  <si>
    <t>Buskirk</t>
  </si>
  <si>
    <t>Wiesner</t>
  </si>
  <si>
    <t>vanDam</t>
  </si>
  <si>
    <t>Darling</t>
  </si>
  <si>
    <t>Lux</t>
  </si>
  <si>
    <t>Hoggatt</t>
  </si>
  <si>
    <t>LeBlanc</t>
  </si>
  <si>
    <t>Lessie</t>
  </si>
  <si>
    <t>LeBrun</t>
  </si>
  <si>
    <t>Tia</t>
  </si>
  <si>
    <t>Dantzler</t>
  </si>
  <si>
    <t>Oscar</t>
  </si>
  <si>
    <t>Pullen</t>
  </si>
  <si>
    <t>Belzer</t>
  </si>
  <si>
    <t>Rufus</t>
  </si>
  <si>
    <t>Martilli</t>
  </si>
  <si>
    <t>Sossa-Paquette</t>
  </si>
  <si>
    <t>Cannata</t>
  </si>
  <si>
    <t>Colarusso</t>
  </si>
  <si>
    <t>Caroline</t>
  </si>
  <si>
    <t>Donnie</t>
  </si>
  <si>
    <t>Burke</t>
  </si>
  <si>
    <t>Rodrigues</t>
  </si>
  <si>
    <t>Ambrose</t>
  </si>
  <si>
    <t>Nicolee</t>
  </si>
  <si>
    <t>Fusha</t>
  </si>
  <si>
    <t>Liri</t>
  </si>
  <si>
    <t>Geppi</t>
  </si>
  <si>
    <t>McNulty</t>
  </si>
  <si>
    <t>Ellen</t>
  </si>
  <si>
    <t>Beardsley</t>
  </si>
  <si>
    <t>Pretot</t>
  </si>
  <si>
    <t>Fogg</t>
  </si>
  <si>
    <t>Loeb</t>
  </si>
  <si>
    <t>Cubero</t>
  </si>
  <si>
    <t>DuVal</t>
  </si>
  <si>
    <t>Hoffman</t>
  </si>
  <si>
    <t>Jarboe-Duley</t>
  </si>
  <si>
    <t>Toni</t>
  </si>
  <si>
    <t>Lemon</t>
  </si>
  <si>
    <t>Palombi</t>
  </si>
  <si>
    <t>Foldi</t>
  </si>
  <si>
    <t>Gluck</t>
  </si>
  <si>
    <t>Bly</t>
  </si>
  <si>
    <t>Collier</t>
  </si>
  <si>
    <t>Tashi</t>
  </si>
  <si>
    <t>El</t>
  </si>
  <si>
    <t>Elihu</t>
  </si>
  <si>
    <t>McNeal</t>
  </si>
  <si>
    <t>Pearson</t>
  </si>
  <si>
    <t>Sigley</t>
  </si>
  <si>
    <t>Coll</t>
  </si>
  <si>
    <t>Yadeta</t>
  </si>
  <si>
    <t>Chaffee</t>
  </si>
  <si>
    <t>Lorie</t>
  </si>
  <si>
    <t>Puglisi</t>
  </si>
  <si>
    <t>Thormann</t>
  </si>
  <si>
    <t>vanHollen</t>
  </si>
  <si>
    <t>Hilliard</t>
  </si>
  <si>
    <t>Alfonso</t>
  </si>
  <si>
    <t>Goldberg</t>
  </si>
  <si>
    <t>Bart</t>
  </si>
  <si>
    <t>Kolanagireddy</t>
  </si>
  <si>
    <t>Hima</t>
  </si>
  <si>
    <t>Whittney</t>
  </si>
  <si>
    <t>Junge</t>
  </si>
  <si>
    <t>Seely</t>
  </si>
  <si>
    <t>Donovan</t>
  </si>
  <si>
    <t>Marlinga</t>
  </si>
  <si>
    <t>Powell</t>
  </si>
  <si>
    <t>Yanez</t>
  </si>
  <si>
    <t>Hooper</t>
  </si>
  <si>
    <t>Nehme</t>
  </si>
  <si>
    <t>Bivings</t>
  </si>
  <si>
    <t>Martell</t>
  </si>
  <si>
    <t>McPhail</t>
  </si>
  <si>
    <t>Sharon</t>
  </si>
  <si>
    <t>Portia</t>
  </si>
  <si>
    <t>Ettinger</t>
  </si>
  <si>
    <t>Finstad</t>
  </si>
  <si>
    <t>Kalberer</t>
  </si>
  <si>
    <t>Munson</t>
  </si>
  <si>
    <t>Rainwater</t>
  </si>
  <si>
    <t>Lor-Xiong</t>
  </si>
  <si>
    <t>Moghul</t>
  </si>
  <si>
    <t>Fasil</t>
  </si>
  <si>
    <t>Rechtzigel</t>
  </si>
  <si>
    <t>Silver</t>
  </si>
  <si>
    <t>Gaskin</t>
  </si>
  <si>
    <t>Samuels</t>
  </si>
  <si>
    <t>Royce</t>
  </si>
  <si>
    <t>Abahsain</t>
  </si>
  <si>
    <t>Grunhagen</t>
  </si>
  <si>
    <t>Alycia</t>
  </si>
  <si>
    <t>Munter</t>
  </si>
  <si>
    <t>Jen</t>
  </si>
  <si>
    <t>Welty</t>
  </si>
  <si>
    <t>Harry</t>
  </si>
  <si>
    <t>Childress</t>
  </si>
  <si>
    <t>Mitchell-Riley</t>
  </si>
  <si>
    <t>Salvatore</t>
  </si>
  <si>
    <t>Daly</t>
  </si>
  <si>
    <t>Durrwachter</t>
  </si>
  <si>
    <t>Dylan</t>
  </si>
  <si>
    <t>Dustin</t>
  </si>
  <si>
    <t>Bethany</t>
  </si>
  <si>
    <t>Skwira</t>
  </si>
  <si>
    <t>Campbell</t>
  </si>
  <si>
    <t>Barham</t>
  </si>
  <si>
    <t>Maite</t>
  </si>
  <si>
    <t>Turk</t>
  </si>
  <si>
    <t>Jacob</t>
  </si>
  <si>
    <t>Dady</t>
  </si>
  <si>
    <t>Kleinmeyer</t>
  </si>
  <si>
    <t>Lockwood</t>
  </si>
  <si>
    <t>Lombardi-Olive-</t>
  </si>
  <si>
    <t>Camille</t>
  </si>
  <si>
    <t>Radaker-Sheafer</t>
  </si>
  <si>
    <t>Kristen</t>
  </si>
  <si>
    <t>Woodman</t>
  </si>
  <si>
    <t>McCallian</t>
  </si>
  <si>
    <t>Randi</t>
  </si>
  <si>
    <t>Busch-Valentine</t>
  </si>
  <si>
    <t>Trudy</t>
  </si>
  <si>
    <t>Strauss</t>
  </si>
  <si>
    <t>Eller</t>
  </si>
  <si>
    <t>Stanford</t>
  </si>
  <si>
    <t>Kidron</t>
  </si>
  <si>
    <t>Heuer</t>
  </si>
  <si>
    <t>Olszewski</t>
  </si>
  <si>
    <t>Walkingchild</t>
  </si>
  <si>
    <t>Jullian</t>
  </si>
  <si>
    <t>Earhart</t>
  </si>
  <si>
    <t>Papastrat</t>
  </si>
  <si>
    <t>Valentine</t>
  </si>
  <si>
    <t>Contogiannis</t>
  </si>
  <si>
    <t>Haywood</t>
  </si>
  <si>
    <t>Pichardo</t>
  </si>
  <si>
    <t>Schuch</t>
  </si>
  <si>
    <t>Andriani</t>
  </si>
  <si>
    <t>Bucardo</t>
  </si>
  <si>
    <t>Felder</t>
  </si>
  <si>
    <t>Genant</t>
  </si>
  <si>
    <t>Pam</t>
  </si>
  <si>
    <t>Magnotta</t>
  </si>
  <si>
    <t>Lunsford</t>
  </si>
  <si>
    <t>Bynum</t>
  </si>
  <si>
    <t>Sluder</t>
  </si>
  <si>
    <t>Kristie</t>
  </si>
  <si>
    <t>Nalini</t>
  </si>
  <si>
    <t>Bowles</t>
  </si>
  <si>
    <t>Daughtry</t>
  </si>
  <si>
    <t>Morel</t>
  </si>
  <si>
    <t>Searcy</t>
  </si>
  <si>
    <t>Colon</t>
  </si>
  <si>
    <t>Hammond</t>
  </si>
  <si>
    <t>Alyssia</t>
  </si>
  <si>
    <t>Maginnis</t>
  </si>
  <si>
    <t>BK</t>
  </si>
  <si>
    <t>Moss</t>
  </si>
  <si>
    <t>Tshiovo</t>
  </si>
  <si>
    <t>Debora</t>
  </si>
  <si>
    <t>Haugen</t>
  </si>
  <si>
    <t>Mund</t>
  </si>
  <si>
    <t>Cara</t>
  </si>
  <si>
    <t>Christiansen</t>
  </si>
  <si>
    <t>Katrina</t>
  </si>
  <si>
    <t>Kuntz</t>
  </si>
  <si>
    <t>Pansing-Brooks</t>
  </si>
  <si>
    <t>Connely</t>
  </si>
  <si>
    <t>Thireena</t>
  </si>
  <si>
    <t>Kuehl</t>
  </si>
  <si>
    <t>Calhoun</t>
  </si>
  <si>
    <t>Else</t>
  </si>
  <si>
    <t>Wik</t>
  </si>
  <si>
    <t>Huff-Brown</t>
  </si>
  <si>
    <t>Prescott</t>
  </si>
  <si>
    <t>Callis</t>
  </si>
  <si>
    <t>Hansel</t>
  </si>
  <si>
    <t>Mercer</t>
  </si>
  <si>
    <t>Berman</t>
  </si>
  <si>
    <t>Bolduc</t>
  </si>
  <si>
    <t>Fenton</t>
  </si>
  <si>
    <t>Krautmann</t>
  </si>
  <si>
    <t>Mansharamani</t>
  </si>
  <si>
    <t>Vikram</t>
  </si>
  <si>
    <t>Riggieri</t>
  </si>
  <si>
    <t>Galdo</t>
  </si>
  <si>
    <t>Damon</t>
  </si>
  <si>
    <t>Pignatelli</t>
  </si>
  <si>
    <t>vanDrew</t>
  </si>
  <si>
    <t>Ferrara</t>
  </si>
  <si>
    <t>Hendler</t>
  </si>
  <si>
    <t>Reuven</t>
  </si>
  <si>
    <t>Ian</t>
  </si>
  <si>
    <t>deGregorio</t>
  </si>
  <si>
    <t>Schneiderman</t>
  </si>
  <si>
    <t>Skenderi</t>
  </si>
  <si>
    <t>Sab</t>
  </si>
  <si>
    <t>Toomey</t>
  </si>
  <si>
    <t>Arroyo</t>
  </si>
  <si>
    <t>Marcos</t>
  </si>
  <si>
    <t>Ocampo-Grajales</t>
  </si>
  <si>
    <t>Roseborough-Eberhard</t>
  </si>
  <si>
    <t>Ane</t>
  </si>
  <si>
    <t>Prempeh</t>
  </si>
  <si>
    <t>Pinckney</t>
  </si>
  <si>
    <t>Garth</t>
  </si>
  <si>
    <t>Halter</t>
  </si>
  <si>
    <t>McAndrew</t>
  </si>
  <si>
    <t>Mayfield</t>
  </si>
  <si>
    <t>Darius</t>
  </si>
  <si>
    <t>Coleman</t>
  </si>
  <si>
    <t>Garcia-Holmes</t>
  </si>
  <si>
    <t>Leger-Fernandez</t>
  </si>
  <si>
    <t>Hardy</t>
  </si>
  <si>
    <t>Cresent</t>
  </si>
  <si>
    <t>Jessie</t>
  </si>
  <si>
    <t>Afzal</t>
  </si>
  <si>
    <t>Joel</t>
  </si>
  <si>
    <t>Gerold</t>
  </si>
  <si>
    <t>Hansen</t>
  </si>
  <si>
    <t>Joshi</t>
  </si>
  <si>
    <t>Rahul</t>
  </si>
  <si>
    <t>Nadell</t>
  </si>
  <si>
    <t>Sampson</t>
  </si>
  <si>
    <t>Tarkanian</t>
  </si>
  <si>
    <t>Albert</t>
  </si>
  <si>
    <t>Kasheta</t>
  </si>
  <si>
    <t>Masto</t>
  </si>
  <si>
    <t>Reid</t>
  </si>
  <si>
    <t>Rheinhart</t>
  </si>
  <si>
    <t>LaLota</t>
  </si>
  <si>
    <t>Cornicelli</t>
  </si>
  <si>
    <t>Gordon</t>
  </si>
  <si>
    <t>Corbett</t>
  </si>
  <si>
    <t>Gillen</t>
  </si>
  <si>
    <t>Huq</t>
  </si>
  <si>
    <t>Muzib</t>
  </si>
  <si>
    <t>Solages</t>
  </si>
  <si>
    <t>Zmich</t>
  </si>
  <si>
    <t>Pagan</t>
  </si>
  <si>
    <t>Prince</t>
  </si>
  <si>
    <t>Paperboy</t>
  </si>
  <si>
    <t>Dashevsky</t>
  </si>
  <si>
    <t>Yuri</t>
  </si>
  <si>
    <t>Goldman</t>
  </si>
  <si>
    <t>Holtzman</t>
  </si>
  <si>
    <t>Li</t>
  </si>
  <si>
    <t>Niou</t>
  </si>
  <si>
    <t>Yuh-Line</t>
  </si>
  <si>
    <t>Rivera</t>
  </si>
  <si>
    <t>Carlina</t>
  </si>
  <si>
    <t>Simon</t>
  </si>
  <si>
    <t>Xiong</t>
  </si>
  <si>
    <t>Yan</t>
  </si>
  <si>
    <t>Agoda-Koussema</t>
  </si>
  <si>
    <t>Ramos-Debarros</t>
  </si>
  <si>
    <t>Nadler</t>
  </si>
  <si>
    <t>Jerrold</t>
  </si>
  <si>
    <t>Sheth</t>
  </si>
  <si>
    <t>Ashmi</t>
  </si>
  <si>
    <t>Hano</t>
  </si>
  <si>
    <t>Spies</t>
  </si>
  <si>
    <t>Sapaskis</t>
  </si>
  <si>
    <t>Stylo</t>
  </si>
  <si>
    <t>Ciampoli</t>
  </si>
  <si>
    <t>Jaffe</t>
  </si>
  <si>
    <t>Levitt-Flisser</t>
  </si>
  <si>
    <t>Miriam</t>
  </si>
  <si>
    <t>Parker</t>
  </si>
  <si>
    <t>Biaggi</t>
  </si>
  <si>
    <t>Alessandra</t>
  </si>
  <si>
    <t>Falciglia</t>
  </si>
  <si>
    <t>Faulkner</t>
  </si>
  <si>
    <t>Lawler</t>
  </si>
  <si>
    <t>Shoshana</t>
  </si>
  <si>
    <t>Aisha</t>
  </si>
  <si>
    <t>Mugulusi</t>
  </si>
  <si>
    <t>Moses</t>
  </si>
  <si>
    <t>Conole</t>
  </si>
  <si>
    <t>Francis</t>
  </si>
  <si>
    <t>Hood</t>
  </si>
  <si>
    <t>Majok</t>
  </si>
  <si>
    <t>Chol-Awan</t>
  </si>
  <si>
    <t>Della-Pia</t>
  </si>
  <si>
    <t>Langworthy</t>
  </si>
  <si>
    <t>Paladino</t>
  </si>
  <si>
    <t>Fratto</t>
  </si>
  <si>
    <t>Tenney</t>
  </si>
  <si>
    <t>Egriu</t>
  </si>
  <si>
    <t>Emin</t>
  </si>
  <si>
    <t>Condit</t>
  </si>
  <si>
    <t>Windisch</t>
  </si>
  <si>
    <t>Stahley</t>
  </si>
  <si>
    <t>Heberling</t>
  </si>
  <si>
    <t>Lyras</t>
  </si>
  <si>
    <t>Shawna</t>
  </si>
  <si>
    <t>Zelenitz</t>
  </si>
  <si>
    <t>Rader</t>
  </si>
  <si>
    <t>Enoch</t>
  </si>
  <si>
    <t>Heimlich</t>
  </si>
  <si>
    <t>Deck</t>
  </si>
  <si>
    <t>Gavarone</t>
  </si>
  <si>
    <t>Esrati</t>
  </si>
  <si>
    <t>Hardenbrook</t>
  </si>
  <si>
    <t>Brewer</t>
  </si>
  <si>
    <t>Lape</t>
  </si>
  <si>
    <t>Rippel-Elton</t>
  </si>
  <si>
    <t>Santana</t>
  </si>
  <si>
    <t>Folger-Porter</t>
  </si>
  <si>
    <t>Cormack</t>
  </si>
  <si>
    <t>Bevin</t>
  </si>
  <si>
    <t>Josephson</t>
  </si>
  <si>
    <t>Naomi</t>
  </si>
  <si>
    <t>Bennett</t>
  </si>
  <si>
    <t>Brecheen</t>
  </si>
  <si>
    <t>Derby</t>
  </si>
  <si>
    <t>Frix</t>
  </si>
  <si>
    <t>Hopkins</t>
  </si>
  <si>
    <t>Nofire</t>
  </si>
  <si>
    <t>Marty</t>
  </si>
  <si>
    <t>Teehee</t>
  </si>
  <si>
    <t>Blacke</t>
  </si>
  <si>
    <t>Brannon</t>
  </si>
  <si>
    <t>Subrina</t>
  </si>
  <si>
    <t>Harris-Till</t>
  </si>
  <si>
    <t>Grellner</t>
  </si>
  <si>
    <t>Holley</t>
  </si>
  <si>
    <t>Kendra</t>
  </si>
  <si>
    <t>Pruitt</t>
  </si>
  <si>
    <t>Shannon</t>
  </si>
  <si>
    <t>T.W.</t>
  </si>
  <si>
    <t>Tompkins</t>
  </si>
  <si>
    <t>Azma</t>
  </si>
  <si>
    <t>Arya</t>
  </si>
  <si>
    <t>Army</t>
  </si>
  <si>
    <t>Cavener</t>
  </si>
  <si>
    <t>Gallant</t>
  </si>
  <si>
    <t>Prine</t>
  </si>
  <si>
    <t>Yetter</t>
  </si>
  <si>
    <t>Harbour</t>
  </si>
  <si>
    <t>Joanna</t>
  </si>
  <si>
    <t>diPaola</t>
  </si>
  <si>
    <t>Oatman</t>
  </si>
  <si>
    <t>Roses</t>
  </si>
  <si>
    <t>McLeod-Skinner</t>
  </si>
  <si>
    <t>Courser</t>
  </si>
  <si>
    <t>Bunn</t>
  </si>
  <si>
    <t>Erickson</t>
  </si>
  <si>
    <t>Alonso-Leon</t>
  </si>
  <si>
    <t>Bashir</t>
  </si>
  <si>
    <t>Burton</t>
  </si>
  <si>
    <t>Marsicano</t>
  </si>
  <si>
    <t>Waldman</t>
  </si>
  <si>
    <t>Coplen</t>
  </si>
  <si>
    <t>Shamaine</t>
  </si>
  <si>
    <t>Dickinson</t>
  </si>
  <si>
    <t>Woodard</t>
  </si>
  <si>
    <t>Molesevich</t>
  </si>
  <si>
    <t>Coder</t>
  </si>
  <si>
    <t>Bochetto</t>
  </si>
  <si>
    <t>LambSenate</t>
  </si>
  <si>
    <t>Morgenthau</t>
  </si>
  <si>
    <t>Segal</t>
  </si>
  <si>
    <t>Hundley</t>
  </si>
  <si>
    <t>Evangeline</t>
  </si>
  <si>
    <t>Sonia</t>
  </si>
  <si>
    <t>Daryl</t>
  </si>
  <si>
    <t>Taffy</t>
  </si>
  <si>
    <t>Beierlein</t>
  </si>
  <si>
    <t>Harwell</t>
  </si>
  <si>
    <t>Ogles</t>
  </si>
  <si>
    <t>Randal</t>
  </si>
  <si>
    <t>Faircloth</t>
  </si>
  <si>
    <t>Odessa</t>
  </si>
  <si>
    <t>Bridger</t>
  </si>
  <si>
    <t>McDonald</t>
  </si>
  <si>
    <t>Lynnette</t>
  </si>
  <si>
    <t>Alexandria-Williams</t>
  </si>
  <si>
    <t>Latroy</t>
  </si>
  <si>
    <t>AwGoWhat</t>
  </si>
  <si>
    <t>Leo</t>
  </si>
  <si>
    <t>Bergmann</t>
  </si>
  <si>
    <t>Charlote</t>
  </si>
  <si>
    <t>Villarreal-Rigney</t>
  </si>
  <si>
    <t>Montanez-Berrios</t>
  </si>
  <si>
    <t>CHECK</t>
  </si>
  <si>
    <t>Arredondo-Lynch</t>
  </si>
  <si>
    <t>Garcia-Ureste</t>
  </si>
  <si>
    <t>vanDuyne</t>
  </si>
  <si>
    <t>Goodwin</t>
  </si>
  <si>
    <t>Cantu-Cabrera</t>
  </si>
  <si>
    <t>Vicente</t>
  </si>
  <si>
    <t>Aragona-Hales</t>
  </si>
  <si>
    <t>Carla-Joy</t>
  </si>
  <si>
    <t>Martinez-Alexander</t>
  </si>
  <si>
    <t>Herrod</t>
  </si>
  <si>
    <t>McMullin</t>
  </si>
  <si>
    <t>Evan</t>
  </si>
  <si>
    <t>Herb</t>
  </si>
  <si>
    <t>Engquist</t>
  </si>
  <si>
    <t>Tunnell</t>
  </si>
  <si>
    <t>Kezia</t>
  </si>
  <si>
    <t>DeVaughan</t>
  </si>
  <si>
    <t>Taysha</t>
  </si>
  <si>
    <t>Balint</t>
  </si>
  <si>
    <t>Becca</t>
  </si>
  <si>
    <t>Molly</t>
  </si>
  <si>
    <t>Madden</t>
  </si>
  <si>
    <t>Meyers</t>
  </si>
  <si>
    <t>Redic</t>
  </si>
  <si>
    <t>Ericka</t>
  </si>
  <si>
    <t>Tynio</t>
  </si>
  <si>
    <t>Anya</t>
  </si>
  <si>
    <t>Evans-Frantz</t>
  </si>
  <si>
    <t>Malloy</t>
  </si>
  <si>
    <t>Mermel</t>
  </si>
  <si>
    <t>Chartrand</t>
  </si>
  <si>
    <t>Heines</t>
  </si>
  <si>
    <t>Spears</t>
  </si>
  <si>
    <t>Hart</t>
  </si>
  <si>
    <t>Leif</t>
  </si>
  <si>
    <t>Byrd</t>
  </si>
  <si>
    <t xml:space="preserve">Herrera-Beutler </t>
  </si>
  <si>
    <t>St-John</t>
  </si>
  <si>
    <t>Clynch</t>
  </si>
  <si>
    <t>Binns</t>
  </si>
  <si>
    <t>Bloom</t>
  </si>
  <si>
    <t>Kreiselmaier</t>
  </si>
  <si>
    <t>Triggs</t>
  </si>
  <si>
    <t>Stephenson</t>
  </si>
  <si>
    <t>Basler</t>
  </si>
  <si>
    <t>Pedersen</t>
  </si>
  <si>
    <t>Mahaffy</t>
  </si>
  <si>
    <t>Swank</t>
  </si>
  <si>
    <t>Guenther</t>
  </si>
  <si>
    <t>Saulibio</t>
  </si>
  <si>
    <t>Olsen</t>
  </si>
  <si>
    <t>vanOrden</t>
  </si>
  <si>
    <t>vanSomeren</t>
  </si>
  <si>
    <t>Ausman</t>
  </si>
  <si>
    <t>Kunelius</t>
  </si>
  <si>
    <t>Clarmont</t>
  </si>
  <si>
    <t>Shaun</t>
  </si>
  <si>
    <t>Schroeder</t>
  </si>
  <si>
    <t>Lacy</t>
  </si>
  <si>
    <t>Buchser-Lochocki</t>
  </si>
  <si>
    <t>Hageman</t>
  </si>
  <si>
    <t>Harriet</t>
  </si>
  <si>
    <t>Helling</t>
  </si>
  <si>
    <t>Meghan</t>
  </si>
  <si>
    <t>Edits</t>
  </si>
  <si>
    <t>GreyBull</t>
  </si>
  <si>
    <t>Gluesenkamp-Perez</t>
  </si>
  <si>
    <t>Martinez-Johnson</t>
  </si>
  <si>
    <t>Alexis Martinez-Johnson</t>
  </si>
  <si>
    <t>Ciarrocchi</t>
  </si>
  <si>
    <t>Guy Ciarrocchi</t>
  </si>
  <si>
    <t>Elliott</t>
  </si>
  <si>
    <t>Steven Elliott</t>
  </si>
  <si>
    <t>Hays</t>
  </si>
  <si>
    <t>OHalleran</t>
  </si>
  <si>
    <t>ODowd</t>
  </si>
  <si>
    <t>ODea</t>
  </si>
  <si>
    <t>OHara</t>
  </si>
  <si>
    <t>OShea</t>
  </si>
  <si>
    <t>ODonnell</t>
  </si>
  <si>
    <t>OConnell</t>
  </si>
  <si>
    <t>DArrigo</t>
  </si>
  <si>
    <t>DEsposito</t>
  </si>
  <si>
    <t>Rocellerpitts</t>
  </si>
  <si>
    <t>Tony Cardenas</t>
  </si>
  <si>
    <t>goenaga torres, santiago david in FEC</t>
  </si>
  <si>
    <t>Devolder-Santos</t>
  </si>
  <si>
    <t>deLa-Cruz</t>
  </si>
  <si>
    <t>Matched to Bonica's last names when possible</t>
  </si>
  <si>
    <t>followersCampaign</t>
  </si>
  <si>
    <t>followersOfficial</t>
  </si>
  <si>
    <t>Should be Mathys - change candStem?</t>
  </si>
  <si>
    <t>Katie Darling</t>
  </si>
  <si>
    <t>Lessie LeBlanc</t>
  </si>
  <si>
    <t>modDem</t>
  </si>
  <si>
    <t>modRep</t>
  </si>
  <si>
    <t>partyLeader</t>
  </si>
  <si>
    <t>OK-Sen02_2022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</si>
</sst>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color theme="1"/>
      <name val="Arial"/>
      <family val="2"/>
    </font>
    <font>
      <sz val="11"/>
      <color theme="1"/>
      <name val="Calibri"/>
      <family val="2"/>
    </font>
    <font>
      <u/>
      <sz val="11"/>
      <color theme="10"/>
      <name val="Arial"/>
      <family val="2"/>
    </font>
    <font>
      <u/>
      <sz val="11"/>
      <color theme="10"/>
      <name val="Calibri"/>
      <family val="2"/>
    </font>
    <font>
      <b/>
      <sz val="9"/>
      <color theme="1"/>
      <name val="Calibri"/>
      <family val="2"/>
      <scheme val="minor"/>
    </font>
    <font>
      <sz val="9"/>
      <color theme="1"/>
      <name val="Calibri"/>
      <family val="2"/>
      <scheme val="minor"/>
    </font>
    <font>
      <sz val="11"/>
      <color rgb="FF000000"/>
      <name val="Calibri"/>
      <family val="2"/>
      <scheme val="minor"/>
    </font>
    <font>
      <b/>
      <sz val="11"/>
      <color theme="1"/>
      <name val="Calibri"/>
      <family val="2"/>
    </font>
    <font>
      <b/>
      <sz val="8"/>
      <color theme="1"/>
      <name val="Calibri"/>
      <family val="2"/>
      <scheme val="minor"/>
    </font>
    <font>
      <sz val="10"/>
      <color theme="1"/>
      <name val="Calibri"/>
      <family val="2"/>
      <scheme val="minor"/>
    </font>
    <font>
      <b/>
      <sz val="10"/>
      <color theme="1"/>
      <name val="Calibri"/>
      <family val="2"/>
      <scheme val="minor"/>
    </font>
    <font>
      <sz val="9"/>
      <color rgb="FF536471"/>
      <name val="Segoe UI"/>
      <family val="2"/>
    </font>
    <font>
      <u/>
      <sz val="11"/>
      <color theme="10"/>
      <name val="Calibri"/>
      <family val="2"/>
      <scheme val="minor"/>
    </font>
    <font>
      <b/>
      <sz val="12"/>
      <color rgb="FF0F1419"/>
      <name val="Segoe UI"/>
      <family val="2"/>
    </font>
    <font>
      <sz val="12"/>
      <color rgb="FF0F1419"/>
      <name val="Segoe UI"/>
      <family val="2"/>
    </font>
    <font>
      <b/>
      <sz val="12"/>
      <color rgb="FF0F1419"/>
      <name val="Segoe UI"/>
      <family val="2"/>
    </font>
    <font>
      <sz val="7"/>
      <color rgb="FF000000"/>
      <name val="Lucida Console"/>
      <family val="3"/>
    </font>
    <font>
      <b/>
      <sz val="10"/>
      <color theme="1"/>
      <name val="Calibri"/>
      <family val="2"/>
    </font>
  </fonts>
  <fills count="21">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EB311D"/>
        <bgColor theme="4"/>
      </patternFill>
    </fill>
    <fill>
      <patternFill patternType="solid">
        <fgColor rgb="FFC75441"/>
        <bgColor theme="4"/>
      </patternFill>
    </fill>
    <fill>
      <patternFill patternType="solid">
        <fgColor rgb="FFA76B61"/>
        <bgColor theme="4"/>
      </patternFill>
    </fill>
    <fill>
      <patternFill patternType="solid">
        <fgColor theme="0"/>
        <bgColor indexed="64"/>
      </patternFill>
    </fill>
    <fill>
      <patternFill patternType="solid">
        <fgColor theme="9" tint="0.39997558519241921"/>
        <bgColor indexed="64"/>
      </patternFill>
    </fill>
    <fill>
      <patternFill patternType="solid">
        <fgColor theme="5" tint="0.39997558519241921"/>
        <bgColor theme="4"/>
      </patternFill>
    </fill>
    <fill>
      <patternFill patternType="solid">
        <fgColor rgb="FFFFFF00"/>
        <bgColor indexed="64"/>
      </patternFill>
    </fill>
    <fill>
      <patternFill patternType="solid">
        <fgColor theme="4"/>
        <bgColor theme="4"/>
      </patternFill>
    </fill>
    <fill>
      <patternFill patternType="solid">
        <fgColor theme="7" tint="0.59999389629810485"/>
        <bgColor theme="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2" fillId="0" borderId="0"/>
    <xf numFmtId="0" fontId="14" fillId="0" borderId="0" applyNumberFormat="0" applyFill="0" applyBorder="0" applyAlignment="0" applyProtection="0"/>
  </cellStyleXfs>
  <cellXfs count="77">
    <xf numFmtId="0" fontId="0" fillId="0" borderId="0" xfId="0"/>
    <xf numFmtId="0" fontId="3" fillId="0" borderId="1" xfId="1" applyFont="1" applyBorder="1"/>
    <xf numFmtId="0" fontId="3" fillId="0" borderId="1" xfId="1" applyFont="1" applyBorder="1" applyAlignment="1">
      <alignment wrapText="1"/>
    </xf>
    <xf numFmtId="0" fontId="3" fillId="0" borderId="2" xfId="1" applyFont="1" applyBorder="1"/>
    <xf numFmtId="0" fontId="2" fillId="0" borderId="0" xfId="1" applyFont="1" applyAlignment="1"/>
    <xf numFmtId="0" fontId="3" fillId="0" borderId="3" xfId="1" applyFont="1" applyBorder="1"/>
    <xf numFmtId="0" fontId="3" fillId="0" borderId="0" xfId="1" applyFont="1" applyAlignment="1">
      <alignment wrapText="1"/>
    </xf>
    <xf numFmtId="0" fontId="3" fillId="0" borderId="0" xfId="1" applyFont="1"/>
    <xf numFmtId="0" fontId="3" fillId="0" borderId="4" xfId="1" applyFont="1" applyBorder="1"/>
    <xf numFmtId="0" fontId="3" fillId="0" borderId="5" xfId="1" applyFont="1" applyBorder="1"/>
    <xf numFmtId="0" fontId="3" fillId="0" borderId="6" xfId="1" applyFont="1" applyBorder="1" applyAlignment="1">
      <alignment wrapText="1"/>
    </xf>
    <xf numFmtId="0" fontId="3" fillId="0" borderId="6" xfId="1" applyFont="1" applyBorder="1"/>
    <xf numFmtId="0" fontId="3" fillId="0" borderId="7" xfId="1" applyFont="1" applyBorder="1"/>
    <xf numFmtId="0" fontId="3" fillId="0" borderId="8" xfId="1" applyFont="1" applyBorder="1"/>
    <xf numFmtId="0" fontId="3" fillId="0" borderId="9" xfId="1" applyFont="1" applyBorder="1" applyAlignment="1">
      <alignment wrapText="1"/>
    </xf>
    <xf numFmtId="0" fontId="3" fillId="0" borderId="9" xfId="1" applyFont="1" applyBorder="1"/>
    <xf numFmtId="0" fontId="3" fillId="0" borderId="10" xfId="1" applyFont="1" applyBorder="1"/>
    <xf numFmtId="0" fontId="4" fillId="0" borderId="10" xfId="1" applyFont="1" applyBorder="1" applyAlignment="1">
      <alignment wrapText="1"/>
    </xf>
    <xf numFmtId="0" fontId="5" fillId="0" borderId="10" xfId="1" applyFont="1" applyBorder="1" applyAlignment="1">
      <alignment wrapText="1"/>
    </xf>
    <xf numFmtId="0" fontId="3" fillId="0" borderId="11" xfId="1" applyFont="1" applyBorder="1"/>
    <xf numFmtId="0" fontId="3" fillId="0" borderId="12" xfId="1" applyFont="1" applyBorder="1" applyAlignment="1">
      <alignment wrapText="1"/>
    </xf>
    <xf numFmtId="0" fontId="3" fillId="2" borderId="12" xfId="1" applyFont="1" applyFill="1" applyBorder="1"/>
    <xf numFmtId="0" fontId="3" fillId="0" borderId="12" xfId="1" applyFont="1" applyBorder="1"/>
    <xf numFmtId="0" fontId="5" fillId="0" borderId="13" xfId="1" applyFont="1" applyBorder="1" applyAlignment="1">
      <alignment wrapText="1"/>
    </xf>
    <xf numFmtId="0" fontId="5" fillId="0" borderId="14" xfId="1" applyFont="1" applyBorder="1" applyAlignment="1">
      <alignment wrapText="1"/>
    </xf>
    <xf numFmtId="0" fontId="3" fillId="0" borderId="15" xfId="1" applyFont="1" applyBorder="1" applyAlignment="1">
      <alignment vertical="center"/>
    </xf>
    <xf numFmtId="0" fontId="3" fillId="0" borderId="16" xfId="1" applyFont="1" applyBorder="1"/>
    <xf numFmtId="0" fontId="3" fillId="3" borderId="9" xfId="1" applyFont="1" applyFill="1" applyBorder="1" applyAlignment="1">
      <alignment horizontal="center"/>
    </xf>
    <xf numFmtId="0" fontId="3" fillId="0" borderId="17" xfId="1" applyFont="1" applyBorder="1" applyAlignment="1">
      <alignment wrapText="1"/>
    </xf>
    <xf numFmtId="0" fontId="4" fillId="0" borderId="9" xfId="1" applyFont="1" applyBorder="1" applyAlignment="1">
      <alignment wrapText="1"/>
    </xf>
    <xf numFmtId="0" fontId="5" fillId="0" borderId="9" xfId="1" applyFont="1" applyBorder="1" applyAlignment="1">
      <alignment wrapText="1"/>
    </xf>
    <xf numFmtId="0" fontId="3" fillId="0" borderId="17" xfId="1" applyFont="1" applyBorder="1"/>
    <xf numFmtId="0" fontId="0" fillId="0" borderId="0" xfId="0" applyAlignment="1">
      <alignment vertical="top" wrapText="1"/>
    </xf>
    <xf numFmtId="0" fontId="7" fillId="0" borderId="0" xfId="0" applyFont="1"/>
    <xf numFmtId="0" fontId="1" fillId="6" borderId="18" xfId="0" applyFont="1" applyFill="1" applyBorder="1" applyAlignment="1">
      <alignment vertical="top" wrapText="1"/>
    </xf>
    <xf numFmtId="0" fontId="1" fillId="6" borderId="19" xfId="0" applyFont="1" applyFill="1" applyBorder="1" applyAlignment="1">
      <alignment vertical="top" wrapText="1"/>
    </xf>
    <xf numFmtId="0" fontId="1" fillId="7" borderId="19" xfId="0" applyFont="1" applyFill="1" applyBorder="1" applyAlignment="1">
      <alignment vertical="top" wrapText="1"/>
    </xf>
    <xf numFmtId="0" fontId="1" fillId="4" borderId="19" xfId="0" applyFont="1" applyFill="1" applyBorder="1" applyAlignment="1">
      <alignment vertical="top" wrapText="1"/>
    </xf>
    <xf numFmtId="0" fontId="1" fillId="5" borderId="19" xfId="0" applyFont="1" applyFill="1" applyBorder="1" applyAlignment="1">
      <alignment vertical="top" wrapText="1"/>
    </xf>
    <xf numFmtId="0" fontId="1" fillId="0" borderId="0" xfId="0" applyFont="1"/>
    <xf numFmtId="0" fontId="8" fillId="0" borderId="0" xfId="0" applyFont="1"/>
    <xf numFmtId="0" fontId="0" fillId="10" borderId="0" xfId="0" applyFill="1"/>
    <xf numFmtId="0" fontId="1" fillId="11" borderId="19" xfId="0" applyFont="1" applyFill="1" applyBorder="1" applyAlignment="1">
      <alignment vertical="top" wrapText="1"/>
    </xf>
    <xf numFmtId="0" fontId="0" fillId="15" borderId="0" xfId="0" applyFill="1"/>
    <xf numFmtId="0" fontId="0" fillId="0" borderId="0" xfId="0" applyFont="1"/>
    <xf numFmtId="0" fontId="10" fillId="6" borderId="19" xfId="0" applyFont="1" applyFill="1" applyBorder="1" applyAlignment="1">
      <alignment vertical="top" wrapText="1"/>
    </xf>
    <xf numFmtId="0" fontId="0" fillId="0" borderId="0" xfId="0" applyAlignment="1">
      <alignment horizontal="center"/>
    </xf>
    <xf numFmtId="0" fontId="7" fillId="0" borderId="0" xfId="0" applyFont="1" applyAlignment="1">
      <alignment horizontal="center"/>
    </xf>
    <xf numFmtId="0" fontId="6" fillId="16" borderId="0" xfId="0" applyFont="1" applyFill="1" applyAlignment="1">
      <alignment horizontal="center" vertical="top" wrapText="1"/>
    </xf>
    <xf numFmtId="0" fontId="1" fillId="7" borderId="19" xfId="0" applyFont="1" applyFill="1" applyBorder="1" applyAlignment="1">
      <alignment horizontal="center" vertical="top" wrapText="1"/>
    </xf>
    <xf numFmtId="0" fontId="6" fillId="9" borderId="19" xfId="0" applyFont="1" applyFill="1" applyBorder="1" applyAlignment="1">
      <alignment horizontal="center" vertical="top" wrapText="1"/>
    </xf>
    <xf numFmtId="0" fontId="0" fillId="10" borderId="0" xfId="0" applyFill="1" applyAlignment="1">
      <alignment horizontal="center"/>
    </xf>
    <xf numFmtId="0" fontId="1" fillId="8" borderId="19" xfId="0" applyFont="1" applyFill="1" applyBorder="1" applyAlignment="1">
      <alignment horizontal="center" vertical="top" wrapText="1"/>
    </xf>
    <xf numFmtId="0" fontId="11" fillId="0" borderId="0" xfId="0" applyFont="1"/>
    <xf numFmtId="0" fontId="0" fillId="0" borderId="0" xfId="0" quotePrefix="1"/>
    <xf numFmtId="0" fontId="13" fillId="0" borderId="0" xfId="0" applyFont="1"/>
    <xf numFmtId="1" fontId="0" fillId="0" borderId="0" xfId="0" applyNumberFormat="1"/>
    <xf numFmtId="0" fontId="12" fillId="8" borderId="19" xfId="0" applyFont="1" applyFill="1" applyBorder="1" applyAlignment="1">
      <alignment horizontal="center" vertical="top" wrapText="1"/>
    </xf>
    <xf numFmtId="0" fontId="14" fillId="0" borderId="0" xfId="2"/>
    <xf numFmtId="0" fontId="12" fillId="6" borderId="19" xfId="0" applyFont="1" applyFill="1" applyBorder="1" applyAlignment="1">
      <alignment horizontal="center" vertical="top" wrapText="1"/>
    </xf>
    <xf numFmtId="0" fontId="11" fillId="0" borderId="0" xfId="0" applyFont="1" applyAlignment="1">
      <alignment horizontal="center"/>
    </xf>
    <xf numFmtId="14" fontId="11" fillId="0" borderId="0" xfId="0" applyNumberFormat="1" applyFont="1" applyAlignment="1">
      <alignment horizontal="center"/>
    </xf>
    <xf numFmtId="17" fontId="11" fillId="0" borderId="0" xfId="0" applyNumberFormat="1" applyFont="1" applyAlignment="1">
      <alignment horizontal="center"/>
    </xf>
    <xf numFmtId="0" fontId="15" fillId="0" borderId="0" xfId="0" applyFont="1"/>
    <xf numFmtId="0" fontId="16" fillId="0" borderId="0" xfId="0" applyFont="1"/>
    <xf numFmtId="0" fontId="1" fillId="4" borderId="0" xfId="0" applyFont="1" applyFill="1" applyBorder="1" applyAlignment="1">
      <alignment vertical="top" wrapText="1"/>
    </xf>
    <xf numFmtId="0" fontId="17" fillId="0" borderId="0" xfId="0" applyFont="1"/>
    <xf numFmtId="0" fontId="9" fillId="12" borderId="19" xfId="0" applyFont="1" applyFill="1" applyBorder="1" applyAlignment="1">
      <alignment horizontal="center" vertical="top" wrapText="1"/>
    </xf>
    <xf numFmtId="0" fontId="9" fillId="13" borderId="19" xfId="0" applyFont="1" applyFill="1" applyBorder="1" applyAlignment="1">
      <alignment horizontal="center" vertical="top" wrapText="1"/>
    </xf>
    <xf numFmtId="0" fontId="9" fillId="14" borderId="19" xfId="0" applyFont="1" applyFill="1" applyBorder="1" applyAlignment="1">
      <alignment horizontal="center" vertical="top" wrapText="1"/>
    </xf>
    <xf numFmtId="0" fontId="9" fillId="17" borderId="19" xfId="0" applyFont="1" applyFill="1" applyBorder="1" applyAlignment="1">
      <alignment horizontal="center" vertical="top" wrapText="1"/>
    </xf>
    <xf numFmtId="0" fontId="0" fillId="18" borderId="0" xfId="0" applyFill="1"/>
    <xf numFmtId="0" fontId="14" fillId="0" borderId="0" xfId="2" applyAlignment="1">
      <alignment vertical="center"/>
    </xf>
    <xf numFmtId="0" fontId="18" fillId="0" borderId="0" xfId="0" applyFont="1" applyAlignment="1">
      <alignment vertical="center"/>
    </xf>
    <xf numFmtId="164" fontId="9" fillId="19" borderId="19" xfId="0" applyNumberFormat="1" applyFont="1" applyFill="1" applyBorder="1" applyAlignment="1">
      <alignment horizontal="center" vertical="top" wrapText="1"/>
    </xf>
    <xf numFmtId="164" fontId="19" fillId="19" borderId="19" xfId="0" applyNumberFormat="1" applyFont="1" applyFill="1" applyBorder="1" applyAlignment="1">
      <alignment horizontal="center" vertical="top" wrapText="1"/>
    </xf>
    <xf numFmtId="0" fontId="19" fillId="20" borderId="0" xfId="0" applyFont="1" applyFill="1" applyBorder="1" applyAlignment="1">
      <alignment horizontal="center"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colors>
    <mruColors>
      <color rgb="FFA76B61"/>
      <color rgb="FF8D7C7B"/>
      <color rgb="FFC75441"/>
      <color rgb="FFEB31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witter.com/ScottforFlorid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politico.com/2020-election/results/house/" TargetMode="External"/><Relationship Id="rId3" Type="http://schemas.openxmlformats.org/officeDocument/2006/relationships/hyperlink" Target="https://newdemocratcoalition.house.gov/members" TargetMode="External"/><Relationship Id="rId7" Type="http://schemas.openxmlformats.org/officeDocument/2006/relationships/hyperlink" Target="https://problemsolverscaucus-gottheimer.house.gov/members" TargetMode="External"/><Relationship Id="rId2" Type="http://schemas.openxmlformats.org/officeDocument/2006/relationships/hyperlink" Target="https://en.wikipedia.org/wiki/Freedom_Caucus" TargetMode="External"/><Relationship Id="rId1" Type="http://schemas.openxmlformats.org/officeDocument/2006/relationships/hyperlink" Target="https://cpc-grijalva.house.gov/caucus-members/" TargetMode="External"/><Relationship Id="rId6" Type="http://schemas.openxmlformats.org/officeDocument/2006/relationships/hyperlink" Target="https://en.wikipedia.org/wiki/Republican_Main_Street_Partnership" TargetMode="External"/><Relationship Id="rId5" Type="http://schemas.openxmlformats.org/officeDocument/2006/relationships/hyperlink" Target="https://en.wikipedia.org/wiki/Tuesday_Group" TargetMode="External"/><Relationship Id="rId4" Type="http://schemas.openxmlformats.org/officeDocument/2006/relationships/hyperlink" Target="https://bluedogcaucus-costa.house.gov/" TargetMode="External"/><Relationship Id="rId9" Type="http://schemas.openxmlformats.org/officeDocument/2006/relationships/hyperlink" Target="https://www.washingtonpost.com/nation/2022/10/06/elections-deniers-midterm-elections-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477"/>
  <sheetViews>
    <sheetView tabSelected="1" zoomScale="80" zoomScaleNormal="80" workbookViewId="0">
      <pane xSplit="1" ySplit="1" topLeftCell="B2" activePane="bottomRight" state="frozen"/>
      <selection activeCell="F21" sqref="F21"/>
      <selection pane="topRight" activeCell="F21" sqref="F21"/>
      <selection pane="bottomLeft" activeCell="F21" sqref="F21"/>
      <selection pane="bottomRight" activeCell="F18" sqref="F18"/>
    </sheetView>
  </sheetViews>
  <sheetFormatPr defaultRowHeight="14.5" x14ac:dyDescent="0.35"/>
  <cols>
    <col min="1" max="1" width="27.90625" bestFit="1" customWidth="1"/>
    <col min="2" max="2" width="21.36328125" bestFit="1" customWidth="1"/>
    <col min="3" max="3" width="19.453125" bestFit="1" customWidth="1"/>
    <col min="4" max="4" width="12.90625" bestFit="1" customWidth="1"/>
    <col min="5" max="5" width="37.453125" style="46" customWidth="1"/>
    <col min="6" max="6" width="14.26953125" bestFit="1" customWidth="1"/>
    <col min="7" max="8" width="5.81640625" customWidth="1"/>
    <col min="9" max="9" width="12.90625" style="60" customWidth="1"/>
    <col min="10" max="10" width="5.54296875" style="46" customWidth="1"/>
    <col min="12" max="12" width="10.90625" style="46" customWidth="1"/>
    <col min="13" max="13" width="9.90625" style="53" customWidth="1"/>
    <col min="14" max="14" width="9.6328125" style="46" customWidth="1"/>
    <col min="15" max="15" width="11" customWidth="1"/>
    <col min="16" max="16" width="10.08984375" bestFit="1" customWidth="1"/>
    <col min="17" max="17" width="8.453125" style="47" bestFit="1" customWidth="1"/>
    <col min="19" max="19" width="32.453125" bestFit="1" customWidth="1"/>
    <col min="20" max="21" width="12.1796875" customWidth="1"/>
    <col min="22" max="22" width="13.36328125" customWidth="1"/>
    <col min="23" max="23" width="11.1796875" customWidth="1"/>
    <col min="24" max="24" width="9.7265625" customWidth="1"/>
    <col min="26" max="26" width="11.54296875" customWidth="1"/>
    <col min="27" max="27" width="23.6328125" customWidth="1"/>
    <col min="32" max="32" width="16.36328125" customWidth="1"/>
    <col min="35" max="36" width="8.90625" customWidth="1"/>
    <col min="37" max="37" width="12.81640625" customWidth="1"/>
    <col min="38" max="38" width="13.36328125" customWidth="1"/>
    <col min="39" max="39" width="7.90625" customWidth="1"/>
    <col min="40" max="40" width="13" customWidth="1"/>
    <col min="41" max="41" width="7.6328125" customWidth="1"/>
    <col min="42" max="42" width="9.90625" style="46" customWidth="1"/>
    <col min="43" max="43" width="14.81640625" style="46" customWidth="1"/>
    <col min="44" max="44" width="8.90625" style="46" customWidth="1"/>
    <col min="45" max="45" width="14.36328125" style="46" customWidth="1"/>
    <col min="46" max="46" width="8.36328125" style="46" customWidth="1"/>
    <col min="47" max="47" width="7" style="46" customWidth="1"/>
    <col min="48" max="58" width="8.90625" style="46" customWidth="1"/>
    <col min="59" max="61" width="8.90625" style="46"/>
  </cols>
  <sheetData>
    <row r="1" spans="1:66" s="32" customFormat="1" ht="58.5" thickBot="1" x14ac:dyDescent="0.4">
      <c r="A1" s="34" t="s">
        <v>0</v>
      </c>
      <c r="B1" s="35" t="s">
        <v>12393</v>
      </c>
      <c r="C1" s="38" t="s">
        <v>41</v>
      </c>
      <c r="D1" s="38" t="s">
        <v>40</v>
      </c>
      <c r="E1" s="35" t="s">
        <v>3</v>
      </c>
      <c r="F1" s="35" t="s">
        <v>2</v>
      </c>
      <c r="G1" s="35" t="s">
        <v>4</v>
      </c>
      <c r="H1" s="35" t="s">
        <v>12425</v>
      </c>
      <c r="I1" s="59" t="s">
        <v>42</v>
      </c>
      <c r="J1" s="45" t="s">
        <v>1</v>
      </c>
      <c r="K1" s="50" t="s">
        <v>11</v>
      </c>
      <c r="L1" s="75" t="s">
        <v>7</v>
      </c>
      <c r="M1" s="74" t="s">
        <v>8</v>
      </c>
      <c r="N1" s="57" t="s">
        <v>14</v>
      </c>
      <c r="O1" s="52" t="s">
        <v>15</v>
      </c>
      <c r="P1" s="49" t="s">
        <v>10411</v>
      </c>
      <c r="Q1" s="36" t="s">
        <v>9</v>
      </c>
      <c r="R1" s="36" t="s">
        <v>10</v>
      </c>
      <c r="S1" s="37" t="s">
        <v>17</v>
      </c>
      <c r="T1" s="37" t="s">
        <v>18</v>
      </c>
      <c r="U1" s="65" t="s">
        <v>11321</v>
      </c>
      <c r="V1" s="48" t="s">
        <v>11141</v>
      </c>
      <c r="W1" s="37" t="s">
        <v>19</v>
      </c>
      <c r="X1" s="38" t="s">
        <v>12418</v>
      </c>
      <c r="Y1" s="38" t="s">
        <v>12419</v>
      </c>
      <c r="Z1" s="38" t="s">
        <v>16</v>
      </c>
      <c r="AA1" s="38" t="s">
        <v>35</v>
      </c>
      <c r="AB1" s="38" t="s">
        <v>36</v>
      </c>
      <c r="AC1" s="38" t="s">
        <v>37</v>
      </c>
      <c r="AD1" s="38" t="s">
        <v>11047</v>
      </c>
      <c r="AE1" s="38" t="s">
        <v>11048</v>
      </c>
      <c r="AF1" s="38" t="s">
        <v>11049</v>
      </c>
      <c r="AG1" s="38" t="s">
        <v>38</v>
      </c>
      <c r="AH1" s="38" t="s">
        <v>39</v>
      </c>
      <c r="AI1" s="42" t="s">
        <v>20</v>
      </c>
      <c r="AJ1" s="42" t="s">
        <v>21</v>
      </c>
      <c r="AK1" s="42" t="s">
        <v>7830</v>
      </c>
      <c r="AL1" s="42" t="s">
        <v>8459</v>
      </c>
      <c r="AM1" s="42" t="s">
        <v>43</v>
      </c>
      <c r="AN1" s="42" t="s">
        <v>44</v>
      </c>
      <c r="AO1" s="42" t="s">
        <v>7832</v>
      </c>
      <c r="AP1" s="67" t="s">
        <v>9801</v>
      </c>
      <c r="AQ1" s="67" t="s">
        <v>9802</v>
      </c>
      <c r="AR1" s="67" t="s">
        <v>9803</v>
      </c>
      <c r="AS1" s="67" t="s">
        <v>9804</v>
      </c>
      <c r="AT1" s="67" t="s">
        <v>22</v>
      </c>
      <c r="AU1" s="68" t="s">
        <v>24</v>
      </c>
      <c r="AV1" s="68" t="s">
        <v>25</v>
      </c>
      <c r="AW1" s="68" t="s">
        <v>11110</v>
      </c>
      <c r="AX1" s="68" t="s">
        <v>9798</v>
      </c>
      <c r="AY1" s="68" t="s">
        <v>26</v>
      </c>
      <c r="AZ1" s="68" t="s">
        <v>27</v>
      </c>
      <c r="BA1" s="68" t="s">
        <v>28</v>
      </c>
      <c r="BB1" s="69" t="s">
        <v>30</v>
      </c>
      <c r="BC1" s="69" t="s">
        <v>9792</v>
      </c>
      <c r="BD1" s="69" t="s">
        <v>9791</v>
      </c>
      <c r="BE1" s="69" t="s">
        <v>9795</v>
      </c>
      <c r="BF1" s="69" t="s">
        <v>23</v>
      </c>
      <c r="BG1" s="69" t="s">
        <v>11574</v>
      </c>
      <c r="BH1" s="70" t="s">
        <v>11572</v>
      </c>
      <c r="BI1" s="70" t="s">
        <v>11573</v>
      </c>
      <c r="BJ1" s="70" t="s">
        <v>11578</v>
      </c>
      <c r="BK1" s="76" t="s">
        <v>31</v>
      </c>
      <c r="BL1" s="76" t="s">
        <v>12423</v>
      </c>
      <c r="BM1" s="76" t="s">
        <v>12424</v>
      </c>
      <c r="BN1" s="76" t="s">
        <v>34</v>
      </c>
    </row>
    <row r="2" spans="1:66" x14ac:dyDescent="0.35">
      <c r="A2" t="s">
        <v>361</v>
      </c>
      <c r="B2" s="44" t="s">
        <v>48</v>
      </c>
      <c r="C2" t="s">
        <v>365</v>
      </c>
      <c r="D2" t="s">
        <v>364</v>
      </c>
      <c r="E2" t="s">
        <v>362</v>
      </c>
      <c r="F2" t="s">
        <v>349</v>
      </c>
      <c r="G2" t="s">
        <v>47</v>
      </c>
      <c r="H2">
        <v>0</v>
      </c>
      <c r="I2" s="60" t="s">
        <v>51</v>
      </c>
      <c r="J2" s="33" t="s">
        <v>96</v>
      </c>
      <c r="K2" s="46">
        <v>0</v>
      </c>
      <c r="L2">
        <v>39.299999999999997</v>
      </c>
      <c r="M2" t="s">
        <v>48</v>
      </c>
      <c r="N2" s="46">
        <v>1</v>
      </c>
      <c r="O2" s="46">
        <v>1</v>
      </c>
      <c r="P2" s="46">
        <v>0</v>
      </c>
      <c r="Q2" t="s">
        <v>48</v>
      </c>
      <c r="R2" t="s">
        <v>48</v>
      </c>
      <c r="S2" t="s">
        <v>363</v>
      </c>
      <c r="T2" t="s">
        <v>48</v>
      </c>
      <c r="U2" t="s">
        <v>363</v>
      </c>
      <c r="V2" s="47">
        <v>0</v>
      </c>
      <c r="W2" t="s">
        <v>48</v>
      </c>
      <c r="X2" t="s">
        <v>48</v>
      </c>
      <c r="Y2" t="s">
        <v>48</v>
      </c>
      <c r="Z2">
        <v>0</v>
      </c>
      <c r="AA2" t="s">
        <v>48</v>
      </c>
      <c r="AB2" t="s">
        <v>48</v>
      </c>
      <c r="AC2" t="s">
        <v>63</v>
      </c>
      <c r="AD2" t="s">
        <v>93</v>
      </c>
      <c r="AE2" t="s">
        <v>4532</v>
      </c>
      <c r="AF2" t="s">
        <v>48</v>
      </c>
      <c r="AG2" t="s">
        <v>48</v>
      </c>
      <c r="AH2" t="s">
        <v>48</v>
      </c>
      <c r="AI2" t="s">
        <v>48</v>
      </c>
      <c r="AJ2" t="s">
        <v>48</v>
      </c>
      <c r="AK2" t="s">
        <v>48</v>
      </c>
      <c r="AL2" t="s">
        <v>48</v>
      </c>
      <c r="AM2" t="s">
        <v>48</v>
      </c>
      <c r="AN2" t="s">
        <v>48</v>
      </c>
      <c r="AO2" t="s">
        <v>48</v>
      </c>
      <c r="AP2" s="46">
        <v>0</v>
      </c>
      <c r="AQ2" s="46">
        <v>0</v>
      </c>
      <c r="AR2" s="46">
        <v>0</v>
      </c>
      <c r="AS2" s="46">
        <v>0</v>
      </c>
      <c r="AT2" s="46">
        <v>0</v>
      </c>
      <c r="AU2" s="46">
        <v>0</v>
      </c>
      <c r="AV2" s="46">
        <v>0</v>
      </c>
      <c r="AW2" s="46">
        <v>0</v>
      </c>
      <c r="AX2" s="46">
        <v>0</v>
      </c>
      <c r="AY2" s="46">
        <v>0</v>
      </c>
      <c r="AZ2" s="46">
        <v>0</v>
      </c>
      <c r="BA2" s="46">
        <v>0</v>
      </c>
      <c r="BB2" s="46">
        <v>0</v>
      </c>
      <c r="BC2" s="46">
        <v>1</v>
      </c>
      <c r="BD2" s="46">
        <v>0</v>
      </c>
      <c r="BE2" s="46">
        <v>1</v>
      </c>
      <c r="BF2" s="46">
        <v>0</v>
      </c>
      <c r="BG2" s="46">
        <v>1</v>
      </c>
      <c r="BH2" s="46">
        <v>0</v>
      </c>
      <c r="BI2" s="46">
        <v>0</v>
      </c>
      <c r="BJ2" s="46">
        <v>0</v>
      </c>
      <c r="BK2" s="46">
        <v>0</v>
      </c>
      <c r="BL2" s="46">
        <v>0</v>
      </c>
      <c r="BM2" s="46">
        <v>0</v>
      </c>
      <c r="BN2" s="46">
        <v>1</v>
      </c>
    </row>
    <row r="3" spans="1:66" x14ac:dyDescent="0.35">
      <c r="A3" t="s">
        <v>352</v>
      </c>
      <c r="B3" t="s">
        <v>48</v>
      </c>
      <c r="C3" t="s">
        <v>356</v>
      </c>
      <c r="D3" t="s">
        <v>355</v>
      </c>
      <c r="E3" t="s">
        <v>353</v>
      </c>
      <c r="F3" t="s">
        <v>349</v>
      </c>
      <c r="G3" t="s">
        <v>47</v>
      </c>
      <c r="H3">
        <v>0</v>
      </c>
      <c r="I3" s="60" t="s">
        <v>11552</v>
      </c>
      <c r="J3" s="33" t="s">
        <v>96</v>
      </c>
      <c r="K3" s="46">
        <v>1</v>
      </c>
      <c r="L3">
        <v>44.6</v>
      </c>
      <c r="M3" t="s">
        <v>48</v>
      </c>
      <c r="N3" s="46">
        <v>1</v>
      </c>
      <c r="O3" s="46">
        <v>1</v>
      </c>
      <c r="P3" s="46">
        <v>0</v>
      </c>
      <c r="Q3" t="s">
        <v>48</v>
      </c>
      <c r="R3" t="s">
        <v>48</v>
      </c>
      <c r="S3" t="s">
        <v>11402</v>
      </c>
      <c r="T3" t="s">
        <v>354</v>
      </c>
      <c r="U3" t="s">
        <v>10929</v>
      </c>
      <c r="V3" s="47">
        <v>0</v>
      </c>
      <c r="W3" t="s">
        <v>48</v>
      </c>
      <c r="X3" t="s">
        <v>48</v>
      </c>
      <c r="Y3" t="s">
        <v>48</v>
      </c>
      <c r="Z3">
        <v>0</v>
      </c>
      <c r="AA3" t="s">
        <v>48</v>
      </c>
      <c r="AB3" t="s">
        <v>48</v>
      </c>
      <c r="AC3" t="s">
        <v>63</v>
      </c>
      <c r="AD3" t="s">
        <v>93</v>
      </c>
      <c r="AE3" t="s">
        <v>4532</v>
      </c>
      <c r="AF3" t="s">
        <v>48</v>
      </c>
      <c r="AG3" t="s">
        <v>48</v>
      </c>
      <c r="AH3" t="s">
        <v>48</v>
      </c>
      <c r="AI3">
        <v>40300</v>
      </c>
      <c r="AJ3">
        <v>1957</v>
      </c>
      <c r="AK3" t="s">
        <v>8460</v>
      </c>
      <c r="AL3" t="s">
        <v>8461</v>
      </c>
      <c r="AM3">
        <v>0.21</v>
      </c>
      <c r="AN3">
        <v>-0.30399999999999999</v>
      </c>
      <c r="AO3">
        <v>0.21</v>
      </c>
      <c r="AP3" s="46">
        <v>0</v>
      </c>
      <c r="AQ3" s="46">
        <v>0</v>
      </c>
      <c r="AR3" s="46">
        <v>0</v>
      </c>
      <c r="AS3" s="46">
        <v>0</v>
      </c>
      <c r="AT3" s="46">
        <v>0</v>
      </c>
      <c r="AU3" s="46">
        <v>0</v>
      </c>
      <c r="AV3" s="46">
        <v>0</v>
      </c>
      <c r="AW3" s="46">
        <v>1</v>
      </c>
      <c r="AX3" s="46">
        <v>1</v>
      </c>
      <c r="AY3" s="46">
        <v>0</v>
      </c>
      <c r="AZ3" s="46">
        <v>0</v>
      </c>
      <c r="BA3" s="46">
        <v>0</v>
      </c>
      <c r="BB3" s="46">
        <v>0</v>
      </c>
      <c r="BC3" s="46">
        <v>0</v>
      </c>
      <c r="BD3" s="46">
        <v>0</v>
      </c>
      <c r="BE3" s="46">
        <v>0</v>
      </c>
      <c r="BF3" s="46">
        <v>0</v>
      </c>
      <c r="BG3" s="46" t="s">
        <v>48</v>
      </c>
      <c r="BH3" s="46">
        <v>0</v>
      </c>
      <c r="BI3" s="46">
        <v>0</v>
      </c>
      <c r="BJ3" s="46">
        <v>0</v>
      </c>
      <c r="BK3" s="46">
        <v>0</v>
      </c>
      <c r="BL3" s="46">
        <v>0</v>
      </c>
      <c r="BM3" s="46">
        <v>1</v>
      </c>
      <c r="BN3" s="46">
        <v>0</v>
      </c>
    </row>
    <row r="4" spans="1:66" x14ac:dyDescent="0.35">
      <c r="A4" t="s">
        <v>498</v>
      </c>
      <c r="B4" s="44" t="s">
        <v>48</v>
      </c>
      <c r="C4" t="s">
        <v>502</v>
      </c>
      <c r="D4" t="s">
        <v>501</v>
      </c>
      <c r="E4" t="s">
        <v>499</v>
      </c>
      <c r="F4" t="s">
        <v>97</v>
      </c>
      <c r="G4" t="s">
        <v>47</v>
      </c>
      <c r="H4">
        <v>0</v>
      </c>
      <c r="I4" s="60" t="s">
        <v>51</v>
      </c>
      <c r="J4" s="33" t="s">
        <v>96</v>
      </c>
      <c r="K4" s="46">
        <v>0</v>
      </c>
      <c r="L4">
        <v>44.7</v>
      </c>
      <c r="M4">
        <v>63</v>
      </c>
      <c r="N4" s="46">
        <v>1</v>
      </c>
      <c r="O4" s="46">
        <v>0</v>
      </c>
      <c r="P4" s="46">
        <v>0</v>
      </c>
      <c r="Q4" t="s">
        <v>48</v>
      </c>
      <c r="R4" t="s">
        <v>48</v>
      </c>
      <c r="S4" t="s">
        <v>500</v>
      </c>
      <c r="T4" t="s">
        <v>48</v>
      </c>
      <c r="U4" t="s">
        <v>500</v>
      </c>
      <c r="V4" s="47">
        <v>0</v>
      </c>
      <c r="W4" t="s">
        <v>48</v>
      </c>
      <c r="X4" t="s">
        <v>48</v>
      </c>
      <c r="Y4" t="s">
        <v>48</v>
      </c>
      <c r="Z4">
        <v>0</v>
      </c>
      <c r="AA4" t="s">
        <v>48</v>
      </c>
      <c r="AB4" t="s">
        <v>48</v>
      </c>
      <c r="AC4" t="s">
        <v>63</v>
      </c>
      <c r="AD4" t="s">
        <v>93</v>
      </c>
      <c r="AE4" t="s">
        <v>4532</v>
      </c>
      <c r="AF4" t="s">
        <v>48</v>
      </c>
      <c r="AG4" t="s">
        <v>48</v>
      </c>
      <c r="AH4" t="s">
        <v>93</v>
      </c>
      <c r="AI4" t="s">
        <v>48</v>
      </c>
      <c r="AJ4" t="s">
        <v>48</v>
      </c>
      <c r="AK4" t="s">
        <v>48</v>
      </c>
      <c r="AL4" t="s">
        <v>48</v>
      </c>
      <c r="AM4" t="s">
        <v>48</v>
      </c>
      <c r="AN4" t="s">
        <v>48</v>
      </c>
      <c r="AO4" t="s">
        <v>48</v>
      </c>
      <c r="AP4" s="46">
        <v>0</v>
      </c>
      <c r="AQ4" s="46">
        <v>0</v>
      </c>
      <c r="AR4" s="46">
        <v>0</v>
      </c>
      <c r="AS4" s="46">
        <v>0</v>
      </c>
      <c r="AT4" s="46">
        <v>0</v>
      </c>
      <c r="AU4" s="46">
        <v>0</v>
      </c>
      <c r="AV4" s="46">
        <v>0</v>
      </c>
      <c r="AW4" s="46">
        <v>0</v>
      </c>
      <c r="AX4" s="46">
        <v>0</v>
      </c>
      <c r="AY4" s="46">
        <v>0</v>
      </c>
      <c r="AZ4" s="46">
        <v>0</v>
      </c>
      <c r="BA4" s="46">
        <v>0</v>
      </c>
      <c r="BB4" s="46">
        <v>0</v>
      </c>
      <c r="BC4" s="46">
        <v>1</v>
      </c>
      <c r="BD4" s="46">
        <v>0</v>
      </c>
      <c r="BE4" s="46">
        <v>0</v>
      </c>
      <c r="BF4" s="46">
        <v>0</v>
      </c>
      <c r="BG4" s="46">
        <v>1</v>
      </c>
      <c r="BH4" s="46">
        <v>0</v>
      </c>
      <c r="BI4" s="46">
        <v>0</v>
      </c>
      <c r="BJ4" s="46">
        <v>0</v>
      </c>
      <c r="BK4" s="46">
        <v>0</v>
      </c>
      <c r="BL4" s="46">
        <v>0</v>
      </c>
      <c r="BM4" s="46">
        <v>0</v>
      </c>
      <c r="BN4" s="46">
        <v>0</v>
      </c>
    </row>
    <row r="5" spans="1:66" x14ac:dyDescent="0.35">
      <c r="A5" t="s">
        <v>493</v>
      </c>
      <c r="B5" s="44" t="s">
        <v>48</v>
      </c>
      <c r="C5" t="s">
        <v>497</v>
      </c>
      <c r="D5" t="s">
        <v>496</v>
      </c>
      <c r="E5" t="s">
        <v>494</v>
      </c>
      <c r="F5" t="s">
        <v>97</v>
      </c>
      <c r="G5" t="s">
        <v>74</v>
      </c>
      <c r="H5">
        <v>0</v>
      </c>
      <c r="I5" s="60" t="s">
        <v>125</v>
      </c>
      <c r="J5" s="33" t="s">
        <v>96</v>
      </c>
      <c r="K5" s="46">
        <v>0</v>
      </c>
      <c r="L5">
        <v>63.7</v>
      </c>
      <c r="M5" t="s">
        <v>48</v>
      </c>
      <c r="N5" s="46">
        <v>1</v>
      </c>
      <c r="O5" s="46">
        <v>0</v>
      </c>
      <c r="P5" s="46">
        <v>0</v>
      </c>
      <c r="Q5" t="s">
        <v>48</v>
      </c>
      <c r="R5" t="s">
        <v>48</v>
      </c>
      <c r="S5" t="s">
        <v>495</v>
      </c>
      <c r="T5" t="s">
        <v>48</v>
      </c>
      <c r="U5" t="s">
        <v>495</v>
      </c>
      <c r="V5" s="47">
        <v>0</v>
      </c>
      <c r="W5" t="s">
        <v>48</v>
      </c>
      <c r="X5" t="s">
        <v>48</v>
      </c>
      <c r="Y5" t="s">
        <v>48</v>
      </c>
      <c r="Z5">
        <v>0</v>
      </c>
      <c r="AA5" t="s">
        <v>48</v>
      </c>
      <c r="AB5" t="s">
        <v>48</v>
      </c>
      <c r="AC5" t="s">
        <v>49</v>
      </c>
      <c r="AD5" t="s">
        <v>93</v>
      </c>
      <c r="AE5" t="s">
        <v>2471</v>
      </c>
      <c r="AF5" t="s">
        <v>48</v>
      </c>
      <c r="AG5" t="s">
        <v>48</v>
      </c>
      <c r="AH5" t="s">
        <v>48</v>
      </c>
      <c r="AI5" t="s">
        <v>48</v>
      </c>
      <c r="AJ5" t="s">
        <v>48</v>
      </c>
      <c r="AK5" t="s">
        <v>48</v>
      </c>
      <c r="AL5" t="s">
        <v>48</v>
      </c>
      <c r="AM5" t="s">
        <v>48</v>
      </c>
      <c r="AN5" t="s">
        <v>48</v>
      </c>
      <c r="AO5" t="s">
        <v>48</v>
      </c>
      <c r="AP5" s="46">
        <v>0</v>
      </c>
      <c r="AQ5" s="46">
        <v>0</v>
      </c>
      <c r="AR5" s="46">
        <v>0</v>
      </c>
      <c r="AS5" s="46">
        <v>0</v>
      </c>
      <c r="AT5" s="46">
        <v>0</v>
      </c>
      <c r="AU5" s="46">
        <v>0</v>
      </c>
      <c r="AV5" s="46">
        <v>0</v>
      </c>
      <c r="AW5" s="46">
        <v>0</v>
      </c>
      <c r="AX5" s="46">
        <v>0</v>
      </c>
      <c r="AY5" s="46">
        <v>0</v>
      </c>
      <c r="AZ5" s="46">
        <v>0</v>
      </c>
      <c r="BA5" s="46">
        <v>0</v>
      </c>
      <c r="BB5" s="46">
        <v>0</v>
      </c>
      <c r="BC5" s="46">
        <v>0</v>
      </c>
      <c r="BD5" s="46">
        <v>0</v>
      </c>
      <c r="BE5" s="46">
        <v>0</v>
      </c>
      <c r="BF5" s="46">
        <v>0</v>
      </c>
      <c r="BG5" s="46" t="s">
        <v>48</v>
      </c>
      <c r="BH5" s="46">
        <v>0</v>
      </c>
      <c r="BI5" s="46">
        <v>0</v>
      </c>
      <c r="BJ5" s="46">
        <v>0</v>
      </c>
      <c r="BK5" s="46">
        <v>0</v>
      </c>
      <c r="BL5" s="46">
        <v>0</v>
      </c>
      <c r="BM5" s="46">
        <v>0</v>
      </c>
      <c r="BN5" s="46">
        <v>0</v>
      </c>
    </row>
    <row r="6" spans="1:66" x14ac:dyDescent="0.35">
      <c r="A6" t="s">
        <v>592</v>
      </c>
      <c r="B6" s="44" t="s">
        <v>48</v>
      </c>
      <c r="C6" t="s">
        <v>595</v>
      </c>
      <c r="D6" t="s">
        <v>221</v>
      </c>
      <c r="E6" t="s">
        <v>593</v>
      </c>
      <c r="F6" t="s">
        <v>588</v>
      </c>
      <c r="G6" t="s">
        <v>47</v>
      </c>
      <c r="H6">
        <v>0</v>
      </c>
      <c r="I6" s="60" t="s">
        <v>51</v>
      </c>
      <c r="J6" s="33" t="s">
        <v>96</v>
      </c>
      <c r="K6" s="46">
        <v>1</v>
      </c>
      <c r="L6">
        <v>58</v>
      </c>
      <c r="M6" t="s">
        <v>48</v>
      </c>
      <c r="N6" s="46">
        <v>1</v>
      </c>
      <c r="O6" s="46">
        <v>0</v>
      </c>
      <c r="P6" s="46">
        <v>0</v>
      </c>
      <c r="Q6" t="s">
        <v>48</v>
      </c>
      <c r="R6" t="s">
        <v>48</v>
      </c>
      <c r="S6" t="s">
        <v>10003</v>
      </c>
      <c r="T6" t="s">
        <v>594</v>
      </c>
      <c r="U6" t="s">
        <v>10003</v>
      </c>
      <c r="V6" s="47">
        <v>0</v>
      </c>
      <c r="W6" t="s">
        <v>48</v>
      </c>
      <c r="X6" t="s">
        <v>48</v>
      </c>
      <c r="Y6" t="s">
        <v>48</v>
      </c>
      <c r="Z6">
        <v>0</v>
      </c>
      <c r="AA6" t="s">
        <v>48</v>
      </c>
      <c r="AB6" t="s">
        <v>48</v>
      </c>
      <c r="AC6" t="s">
        <v>49</v>
      </c>
      <c r="AD6" t="s">
        <v>93</v>
      </c>
      <c r="AE6" t="s">
        <v>4532</v>
      </c>
      <c r="AF6" t="s">
        <v>48</v>
      </c>
      <c r="AG6" t="s">
        <v>48</v>
      </c>
      <c r="AH6" t="s">
        <v>48</v>
      </c>
      <c r="AI6">
        <v>20101</v>
      </c>
      <c r="AJ6">
        <v>1950</v>
      </c>
      <c r="AK6" t="s">
        <v>8466</v>
      </c>
      <c r="AL6" t="s">
        <v>8467</v>
      </c>
      <c r="AM6">
        <v>0.42499999999999999</v>
      </c>
      <c r="AN6">
        <v>0.313</v>
      </c>
      <c r="AO6">
        <v>0.42499999999999999</v>
      </c>
      <c r="AP6" s="46">
        <v>0</v>
      </c>
      <c r="AQ6" s="46">
        <v>0</v>
      </c>
      <c r="AR6" s="46">
        <v>0</v>
      </c>
      <c r="AS6" s="46">
        <v>0</v>
      </c>
      <c r="AT6" s="46">
        <v>0</v>
      </c>
      <c r="AU6" s="46">
        <v>0</v>
      </c>
      <c r="AV6" s="46">
        <v>0</v>
      </c>
      <c r="AW6" s="46">
        <v>0</v>
      </c>
      <c r="AX6" s="46">
        <v>0</v>
      </c>
      <c r="AY6" s="46">
        <v>0</v>
      </c>
      <c r="AZ6" s="46">
        <v>0</v>
      </c>
      <c r="BA6" s="46">
        <v>0</v>
      </c>
      <c r="BB6" s="46">
        <v>0</v>
      </c>
      <c r="BC6" s="46">
        <v>0</v>
      </c>
      <c r="BD6" s="46">
        <v>0</v>
      </c>
      <c r="BE6" s="46">
        <v>0</v>
      </c>
      <c r="BF6" s="46">
        <v>0</v>
      </c>
      <c r="BG6" s="46" t="s">
        <v>48</v>
      </c>
      <c r="BH6" s="46">
        <v>0</v>
      </c>
      <c r="BI6" s="46">
        <v>0</v>
      </c>
      <c r="BJ6" s="46">
        <v>0</v>
      </c>
      <c r="BK6" s="46">
        <v>0</v>
      </c>
      <c r="BL6" s="46">
        <v>0</v>
      </c>
      <c r="BM6" s="46">
        <v>0</v>
      </c>
      <c r="BN6" s="46">
        <v>0</v>
      </c>
    </row>
    <row r="7" spans="1:66" x14ac:dyDescent="0.35">
      <c r="A7" t="s">
        <v>599</v>
      </c>
      <c r="B7" s="44" t="s">
        <v>48</v>
      </c>
      <c r="C7" t="s">
        <v>603</v>
      </c>
      <c r="D7" t="s">
        <v>602</v>
      </c>
      <c r="E7" t="s">
        <v>600</v>
      </c>
      <c r="F7" t="s">
        <v>588</v>
      </c>
      <c r="G7" t="s">
        <v>74</v>
      </c>
      <c r="H7">
        <v>0</v>
      </c>
      <c r="I7" s="60" t="s">
        <v>51</v>
      </c>
      <c r="J7" s="33" t="s">
        <v>96</v>
      </c>
      <c r="K7" s="46">
        <v>0</v>
      </c>
      <c r="L7">
        <v>54.1</v>
      </c>
      <c r="M7" t="s">
        <v>48</v>
      </c>
      <c r="N7" s="46">
        <v>1</v>
      </c>
      <c r="O7" s="46">
        <v>0</v>
      </c>
      <c r="P7" s="46">
        <v>0</v>
      </c>
      <c r="Q7" t="s">
        <v>48</v>
      </c>
      <c r="R7" t="s">
        <v>48</v>
      </c>
      <c r="S7" t="s">
        <v>601</v>
      </c>
      <c r="T7" t="s">
        <v>48</v>
      </c>
      <c r="U7" t="s">
        <v>601</v>
      </c>
      <c r="V7" s="47">
        <v>0</v>
      </c>
      <c r="W7" t="s">
        <v>48</v>
      </c>
      <c r="X7" t="s">
        <v>48</v>
      </c>
      <c r="Y7" t="s">
        <v>48</v>
      </c>
      <c r="Z7">
        <v>0</v>
      </c>
      <c r="AA7" t="s">
        <v>48</v>
      </c>
      <c r="AB7" t="s">
        <v>48</v>
      </c>
      <c r="AC7" t="s">
        <v>63</v>
      </c>
      <c r="AD7" t="s">
        <v>93</v>
      </c>
      <c r="AE7" t="s">
        <v>2471</v>
      </c>
      <c r="AF7" t="s">
        <v>48</v>
      </c>
      <c r="AG7" t="s">
        <v>48</v>
      </c>
      <c r="AH7" t="s">
        <v>48</v>
      </c>
      <c r="AI7" t="s">
        <v>48</v>
      </c>
      <c r="AJ7" t="s">
        <v>48</v>
      </c>
      <c r="AK7" t="s">
        <v>48</v>
      </c>
      <c r="AL7" t="s">
        <v>48</v>
      </c>
      <c r="AM7" t="s">
        <v>48</v>
      </c>
      <c r="AN7" t="s">
        <v>48</v>
      </c>
      <c r="AO7" t="s">
        <v>48</v>
      </c>
      <c r="AP7" s="46">
        <v>0</v>
      </c>
      <c r="AQ7" s="46">
        <v>0</v>
      </c>
      <c r="AR7" s="46">
        <v>0</v>
      </c>
      <c r="AS7" s="46">
        <v>0</v>
      </c>
      <c r="AT7" s="46">
        <v>0</v>
      </c>
      <c r="AU7" s="46">
        <v>0</v>
      </c>
      <c r="AV7" s="46">
        <v>0</v>
      </c>
      <c r="AW7" s="46">
        <v>0</v>
      </c>
      <c r="AX7" s="46">
        <v>0</v>
      </c>
      <c r="AY7" s="46">
        <v>0</v>
      </c>
      <c r="AZ7" s="46">
        <v>0</v>
      </c>
      <c r="BA7" s="46">
        <v>0</v>
      </c>
      <c r="BB7" s="46">
        <v>0</v>
      </c>
      <c r="BC7" s="46">
        <v>0</v>
      </c>
      <c r="BD7" s="46">
        <v>0</v>
      </c>
      <c r="BE7" s="46">
        <v>0</v>
      </c>
      <c r="BF7" s="46">
        <v>0</v>
      </c>
      <c r="BG7" s="46" t="s">
        <v>48</v>
      </c>
      <c r="BH7" s="46">
        <v>0</v>
      </c>
      <c r="BI7" s="46">
        <v>0</v>
      </c>
      <c r="BJ7" s="46">
        <v>0</v>
      </c>
      <c r="BK7" s="46">
        <v>0</v>
      </c>
      <c r="BL7" s="46">
        <v>0</v>
      </c>
      <c r="BM7" s="46">
        <v>0</v>
      </c>
      <c r="BN7" s="46">
        <v>0</v>
      </c>
    </row>
    <row r="8" spans="1:66" x14ac:dyDescent="0.35">
      <c r="A8" t="s">
        <v>831</v>
      </c>
      <c r="B8" s="44" t="s">
        <v>48</v>
      </c>
      <c r="C8" t="s">
        <v>835</v>
      </c>
      <c r="D8" t="s">
        <v>834</v>
      </c>
      <c r="E8" t="s">
        <v>832</v>
      </c>
      <c r="F8" t="s">
        <v>816</v>
      </c>
      <c r="G8" t="s">
        <v>47</v>
      </c>
      <c r="H8">
        <v>0</v>
      </c>
      <c r="I8" s="60" t="s">
        <v>51</v>
      </c>
      <c r="J8" s="33" t="s">
        <v>96</v>
      </c>
      <c r="K8" s="46">
        <v>0</v>
      </c>
      <c r="L8">
        <v>39.4</v>
      </c>
      <c r="M8" t="s">
        <v>48</v>
      </c>
      <c r="N8" s="46">
        <v>1</v>
      </c>
      <c r="O8" s="46">
        <v>0</v>
      </c>
      <c r="P8" s="46">
        <v>0</v>
      </c>
      <c r="Q8" t="s">
        <v>48</v>
      </c>
      <c r="R8" t="s">
        <v>48</v>
      </c>
      <c r="S8" t="s">
        <v>833</v>
      </c>
      <c r="T8" t="s">
        <v>48</v>
      </c>
      <c r="U8" t="s">
        <v>833</v>
      </c>
      <c r="V8" s="47">
        <v>0</v>
      </c>
      <c r="W8" t="s">
        <v>48</v>
      </c>
      <c r="X8" t="s">
        <v>48</v>
      </c>
      <c r="Y8" t="s">
        <v>48</v>
      </c>
      <c r="Z8">
        <v>0</v>
      </c>
      <c r="AA8" t="s">
        <v>48</v>
      </c>
      <c r="AB8" t="s">
        <v>48</v>
      </c>
      <c r="AC8" t="s">
        <v>49</v>
      </c>
      <c r="AD8" t="s">
        <v>93</v>
      </c>
      <c r="AE8" t="s">
        <v>4532</v>
      </c>
      <c r="AF8" t="s">
        <v>48</v>
      </c>
      <c r="AG8" t="s">
        <v>48</v>
      </c>
      <c r="AH8" t="s">
        <v>93</v>
      </c>
      <c r="AI8" t="s">
        <v>48</v>
      </c>
      <c r="AJ8">
        <v>1986</v>
      </c>
      <c r="AK8" t="s">
        <v>48</v>
      </c>
      <c r="AL8" t="s">
        <v>48</v>
      </c>
      <c r="AM8" t="s">
        <v>48</v>
      </c>
      <c r="AN8" t="s">
        <v>48</v>
      </c>
      <c r="AO8" t="s">
        <v>48</v>
      </c>
      <c r="AP8" s="46">
        <v>0</v>
      </c>
      <c r="AQ8" s="46">
        <v>0</v>
      </c>
      <c r="AR8" s="46">
        <v>0</v>
      </c>
      <c r="AS8" s="46">
        <v>0</v>
      </c>
      <c r="AT8" s="46">
        <v>0</v>
      </c>
      <c r="AU8" s="46">
        <v>0</v>
      </c>
      <c r="AV8" s="46">
        <v>0</v>
      </c>
      <c r="AW8" s="46">
        <v>0</v>
      </c>
      <c r="AX8" s="46">
        <v>0</v>
      </c>
      <c r="AY8" s="46">
        <v>0</v>
      </c>
      <c r="AZ8" s="46">
        <v>0</v>
      </c>
      <c r="BA8" s="46">
        <v>0</v>
      </c>
      <c r="BB8" s="46">
        <v>0</v>
      </c>
      <c r="BC8" s="46">
        <v>1</v>
      </c>
      <c r="BD8" s="46">
        <v>0</v>
      </c>
      <c r="BE8" s="46">
        <v>0</v>
      </c>
      <c r="BF8" s="46">
        <v>0</v>
      </c>
      <c r="BG8" s="46">
        <v>1</v>
      </c>
      <c r="BH8" s="46">
        <v>0</v>
      </c>
      <c r="BI8" s="46">
        <v>0</v>
      </c>
      <c r="BJ8" s="46">
        <v>0</v>
      </c>
      <c r="BK8" s="46">
        <v>0</v>
      </c>
      <c r="BL8" s="46">
        <v>0</v>
      </c>
      <c r="BM8" s="46">
        <v>0</v>
      </c>
      <c r="BN8" s="46">
        <v>0</v>
      </c>
    </row>
    <row r="9" spans="1:66" x14ac:dyDescent="0.35">
      <c r="A9" t="s">
        <v>822</v>
      </c>
      <c r="B9" t="s">
        <v>48</v>
      </c>
      <c r="C9" t="s">
        <v>364</v>
      </c>
      <c r="D9" t="s">
        <v>655</v>
      </c>
      <c r="E9" t="s">
        <v>823</v>
      </c>
      <c r="F9" t="s">
        <v>816</v>
      </c>
      <c r="G9" t="s">
        <v>74</v>
      </c>
      <c r="H9">
        <v>0</v>
      </c>
      <c r="I9" s="60" t="s">
        <v>51</v>
      </c>
      <c r="J9" s="33" t="s">
        <v>96</v>
      </c>
      <c r="K9" s="46">
        <v>1</v>
      </c>
      <c r="L9">
        <v>100</v>
      </c>
      <c r="M9" t="s">
        <v>48</v>
      </c>
      <c r="N9" s="46">
        <v>1</v>
      </c>
      <c r="O9" s="46">
        <v>0</v>
      </c>
      <c r="P9" s="46">
        <v>0</v>
      </c>
      <c r="Q9" t="s">
        <v>48</v>
      </c>
      <c r="R9" t="s">
        <v>48</v>
      </c>
      <c r="S9" t="s">
        <v>824</v>
      </c>
      <c r="T9" t="s">
        <v>825</v>
      </c>
      <c r="U9" t="s">
        <v>824</v>
      </c>
      <c r="V9" s="47">
        <v>0</v>
      </c>
      <c r="W9" t="s">
        <v>48</v>
      </c>
      <c r="X9" t="s">
        <v>48</v>
      </c>
      <c r="Y9" t="s">
        <v>48</v>
      </c>
      <c r="Z9">
        <v>1</v>
      </c>
      <c r="AA9" t="s">
        <v>48</v>
      </c>
      <c r="AB9">
        <v>2020</v>
      </c>
      <c r="AC9" t="s">
        <v>49</v>
      </c>
      <c r="AD9" t="s">
        <v>93</v>
      </c>
      <c r="AE9" t="s">
        <v>4532</v>
      </c>
      <c r="AF9" t="s">
        <v>48</v>
      </c>
      <c r="AG9" t="s">
        <v>48</v>
      </c>
      <c r="AH9" t="s">
        <v>93</v>
      </c>
      <c r="AI9">
        <v>41905</v>
      </c>
      <c r="AJ9">
        <v>1964</v>
      </c>
      <c r="AK9" t="s">
        <v>8472</v>
      </c>
      <c r="AL9" t="s">
        <v>8473</v>
      </c>
      <c r="AM9">
        <v>-0.18</v>
      </c>
      <c r="AN9">
        <v>0.40699999999999997</v>
      </c>
      <c r="AO9">
        <v>-0.18</v>
      </c>
      <c r="AP9" s="46">
        <v>0</v>
      </c>
      <c r="AQ9" s="46">
        <v>0</v>
      </c>
      <c r="AR9" s="46">
        <v>0</v>
      </c>
      <c r="AS9" s="46">
        <v>0</v>
      </c>
      <c r="AT9" s="46">
        <v>0</v>
      </c>
      <c r="AU9" s="46">
        <v>0</v>
      </c>
      <c r="AV9" s="46">
        <v>0</v>
      </c>
      <c r="AW9" s="46">
        <v>1</v>
      </c>
      <c r="AX9" s="46">
        <v>1</v>
      </c>
      <c r="AY9" s="46">
        <v>0</v>
      </c>
      <c r="AZ9" s="46">
        <v>0</v>
      </c>
      <c r="BA9" s="46">
        <v>0</v>
      </c>
      <c r="BB9" s="46">
        <v>0</v>
      </c>
      <c r="BC9" s="46">
        <v>0</v>
      </c>
      <c r="BD9" s="46">
        <v>0</v>
      </c>
      <c r="BE9" s="46">
        <v>0</v>
      </c>
      <c r="BF9" s="46">
        <v>0</v>
      </c>
      <c r="BG9" s="46" t="s">
        <v>48</v>
      </c>
      <c r="BH9" s="46">
        <v>0</v>
      </c>
      <c r="BI9" s="46">
        <v>0</v>
      </c>
      <c r="BJ9" s="46">
        <v>0</v>
      </c>
      <c r="BK9" s="46">
        <v>0</v>
      </c>
      <c r="BL9" s="46">
        <v>1</v>
      </c>
      <c r="BM9" s="46">
        <v>0</v>
      </c>
      <c r="BN9" s="46">
        <v>0</v>
      </c>
    </row>
    <row r="10" spans="1:66" x14ac:dyDescent="0.35">
      <c r="A10" t="s">
        <v>1563</v>
      </c>
      <c r="B10" s="44" t="s">
        <v>48</v>
      </c>
      <c r="C10" t="s">
        <v>1567</v>
      </c>
      <c r="D10" t="s">
        <v>731</v>
      </c>
      <c r="E10" t="s">
        <v>1564</v>
      </c>
      <c r="F10" t="s">
        <v>1540</v>
      </c>
      <c r="G10" t="s">
        <v>74</v>
      </c>
      <c r="H10">
        <v>0</v>
      </c>
      <c r="I10" s="60" t="s">
        <v>51</v>
      </c>
      <c r="J10" s="33" t="s">
        <v>96</v>
      </c>
      <c r="K10" s="46">
        <v>1</v>
      </c>
      <c r="L10">
        <v>54.1</v>
      </c>
      <c r="M10" t="s">
        <v>48</v>
      </c>
      <c r="N10" s="46">
        <v>1</v>
      </c>
      <c r="O10" s="46">
        <v>0</v>
      </c>
      <c r="P10" s="46">
        <v>0</v>
      </c>
      <c r="Q10" t="s">
        <v>48</v>
      </c>
      <c r="R10" t="s">
        <v>48</v>
      </c>
      <c r="S10" t="s">
        <v>1565</v>
      </c>
      <c r="T10" t="s">
        <v>1566</v>
      </c>
      <c r="U10" t="s">
        <v>1565</v>
      </c>
      <c r="V10" s="47">
        <v>0</v>
      </c>
      <c r="W10" t="s">
        <v>48</v>
      </c>
      <c r="X10" t="s">
        <v>48</v>
      </c>
      <c r="Y10" t="s">
        <v>48</v>
      </c>
      <c r="Z10">
        <v>1</v>
      </c>
      <c r="AA10" t="s">
        <v>48</v>
      </c>
      <c r="AB10" t="s">
        <v>48</v>
      </c>
      <c r="AC10" t="s">
        <v>49</v>
      </c>
      <c r="AD10" t="s">
        <v>951</v>
      </c>
      <c r="AE10" t="s">
        <v>11051</v>
      </c>
      <c r="AF10" t="s">
        <v>11054</v>
      </c>
      <c r="AG10" t="s">
        <v>48</v>
      </c>
      <c r="AH10" t="s">
        <v>48</v>
      </c>
      <c r="AI10">
        <v>42104</v>
      </c>
      <c r="AJ10">
        <v>1973</v>
      </c>
      <c r="AK10" t="s">
        <v>8474</v>
      </c>
      <c r="AL10" t="s">
        <v>8475</v>
      </c>
      <c r="AM10">
        <v>-0.42299999999999999</v>
      </c>
      <c r="AN10">
        <v>-0.40899999999999997</v>
      </c>
      <c r="AO10">
        <v>-0.42299999999999999</v>
      </c>
      <c r="AP10" s="46">
        <v>0</v>
      </c>
      <c r="AQ10" s="46">
        <v>0</v>
      </c>
      <c r="AR10" s="46">
        <v>0</v>
      </c>
      <c r="AS10" s="46">
        <v>0</v>
      </c>
      <c r="AT10" s="46">
        <v>0</v>
      </c>
      <c r="AU10" s="46">
        <v>0</v>
      </c>
      <c r="AV10" s="46">
        <v>0</v>
      </c>
      <c r="AW10" s="46">
        <v>0</v>
      </c>
      <c r="AX10" s="46">
        <v>0</v>
      </c>
      <c r="AY10" s="46">
        <v>0</v>
      </c>
      <c r="AZ10" s="46">
        <v>0</v>
      </c>
      <c r="BA10" s="46">
        <v>0</v>
      </c>
      <c r="BB10" s="46">
        <v>0</v>
      </c>
      <c r="BC10" s="46">
        <v>0</v>
      </c>
      <c r="BD10" s="46">
        <v>0</v>
      </c>
      <c r="BE10" s="46">
        <v>0</v>
      </c>
      <c r="BF10" s="46">
        <v>0</v>
      </c>
      <c r="BG10" s="46" t="s">
        <v>48</v>
      </c>
      <c r="BH10" s="46">
        <v>0</v>
      </c>
      <c r="BI10" s="46">
        <v>0</v>
      </c>
      <c r="BJ10" s="46">
        <v>0</v>
      </c>
      <c r="BK10" s="46">
        <v>0</v>
      </c>
      <c r="BL10" s="46">
        <v>0</v>
      </c>
      <c r="BM10" s="46">
        <v>0</v>
      </c>
      <c r="BN10" s="46">
        <v>0</v>
      </c>
    </row>
    <row r="11" spans="1:66" x14ac:dyDescent="0.35">
      <c r="A11" t="s">
        <v>1558</v>
      </c>
      <c r="B11" s="44" t="s">
        <v>48</v>
      </c>
      <c r="C11" t="s">
        <v>1562</v>
      </c>
      <c r="D11" t="s">
        <v>655</v>
      </c>
      <c r="E11" t="s">
        <v>1559</v>
      </c>
      <c r="F11" t="s">
        <v>1540</v>
      </c>
      <c r="G11" t="s">
        <v>47</v>
      </c>
      <c r="H11">
        <v>0</v>
      </c>
      <c r="I11" s="60" t="s">
        <v>51</v>
      </c>
      <c r="J11" s="33" t="s">
        <v>96</v>
      </c>
      <c r="K11" s="46">
        <v>0</v>
      </c>
      <c r="L11">
        <v>14.9</v>
      </c>
      <c r="M11" t="s">
        <v>48</v>
      </c>
      <c r="N11" s="46">
        <v>1</v>
      </c>
      <c r="O11" s="46">
        <v>0</v>
      </c>
      <c r="P11" s="46">
        <v>0</v>
      </c>
      <c r="Q11" t="s">
        <v>48</v>
      </c>
      <c r="R11" t="s">
        <v>48</v>
      </c>
      <c r="S11" t="s">
        <v>1560</v>
      </c>
      <c r="T11" t="s">
        <v>48</v>
      </c>
      <c r="U11" t="s">
        <v>1560</v>
      </c>
      <c r="V11" s="47">
        <v>0</v>
      </c>
      <c r="W11" t="s">
        <v>48</v>
      </c>
      <c r="X11" t="s">
        <v>48</v>
      </c>
      <c r="Y11" t="s">
        <v>48</v>
      </c>
      <c r="Z11">
        <v>0</v>
      </c>
      <c r="AA11" t="s">
        <v>1561</v>
      </c>
      <c r="AB11" t="s">
        <v>48</v>
      </c>
      <c r="AC11" t="s">
        <v>49</v>
      </c>
      <c r="AD11" t="s">
        <v>93</v>
      </c>
      <c r="AE11" t="s">
        <v>4532</v>
      </c>
      <c r="AF11" t="s">
        <v>48</v>
      </c>
      <c r="AG11" t="s">
        <v>48</v>
      </c>
      <c r="AH11" t="s">
        <v>48</v>
      </c>
      <c r="AI11" t="s">
        <v>48</v>
      </c>
      <c r="AJ11" t="s">
        <v>48</v>
      </c>
      <c r="AK11" t="s">
        <v>48</v>
      </c>
      <c r="AL11" t="s">
        <v>48</v>
      </c>
      <c r="AM11" t="s">
        <v>48</v>
      </c>
      <c r="AN11" t="s">
        <v>48</v>
      </c>
      <c r="AO11" t="s">
        <v>48</v>
      </c>
      <c r="AP11" s="46">
        <v>0</v>
      </c>
      <c r="AQ11" s="46">
        <v>0</v>
      </c>
      <c r="AR11" s="46">
        <v>0</v>
      </c>
      <c r="AS11" s="46">
        <v>0</v>
      </c>
      <c r="AT11" s="46">
        <v>0</v>
      </c>
      <c r="AU11" s="46">
        <v>0</v>
      </c>
      <c r="AV11" s="46">
        <v>0</v>
      </c>
      <c r="AW11" s="46">
        <v>0</v>
      </c>
      <c r="AX11" s="46">
        <v>0</v>
      </c>
      <c r="AY11" s="46">
        <v>0</v>
      </c>
      <c r="AZ11" s="46">
        <v>0</v>
      </c>
      <c r="BA11" s="46">
        <v>0</v>
      </c>
      <c r="BB11" s="46">
        <v>0</v>
      </c>
      <c r="BC11" s="46">
        <v>0</v>
      </c>
      <c r="BD11" s="46">
        <v>0</v>
      </c>
      <c r="BE11" s="46">
        <v>0</v>
      </c>
      <c r="BF11" s="46">
        <v>0</v>
      </c>
      <c r="BG11" s="46" t="s">
        <v>48</v>
      </c>
      <c r="BH11" s="46">
        <v>0</v>
      </c>
      <c r="BI11" s="46">
        <v>0</v>
      </c>
      <c r="BJ11" s="46">
        <v>0</v>
      </c>
      <c r="BK11" s="46">
        <v>0</v>
      </c>
      <c r="BL11" s="46">
        <v>0</v>
      </c>
      <c r="BM11" s="46">
        <v>0</v>
      </c>
      <c r="BN11" s="46">
        <v>0</v>
      </c>
    </row>
    <row r="12" spans="1:66" x14ac:dyDescent="0.35">
      <c r="A12" t="s">
        <v>1727</v>
      </c>
      <c r="B12" s="44" t="s">
        <v>48</v>
      </c>
      <c r="C12" t="s">
        <v>12405</v>
      </c>
      <c r="D12" t="s">
        <v>1402</v>
      </c>
      <c r="E12" t="s">
        <v>1728</v>
      </c>
      <c r="F12" t="s">
        <v>1713</v>
      </c>
      <c r="G12" t="s">
        <v>47</v>
      </c>
      <c r="H12">
        <v>0</v>
      </c>
      <c r="I12" s="60" t="s">
        <v>177</v>
      </c>
      <c r="J12" s="33" t="s">
        <v>96</v>
      </c>
      <c r="K12" s="46">
        <v>0</v>
      </c>
      <c r="L12">
        <v>54.5</v>
      </c>
      <c r="M12" t="s">
        <v>48</v>
      </c>
      <c r="N12" s="46">
        <v>1</v>
      </c>
      <c r="O12" s="46">
        <v>0</v>
      </c>
      <c r="P12" s="46">
        <v>0</v>
      </c>
      <c r="Q12" t="s">
        <v>48</v>
      </c>
      <c r="R12" t="s">
        <v>48</v>
      </c>
      <c r="S12" t="s">
        <v>1729</v>
      </c>
      <c r="T12" t="s">
        <v>48</v>
      </c>
      <c r="U12" t="s">
        <v>1729</v>
      </c>
      <c r="V12" s="47">
        <v>0</v>
      </c>
      <c r="W12" t="s">
        <v>48</v>
      </c>
      <c r="X12" t="s">
        <v>48</v>
      </c>
      <c r="Y12" t="s">
        <v>48</v>
      </c>
      <c r="Z12">
        <v>0</v>
      </c>
      <c r="AA12" t="s">
        <v>48</v>
      </c>
      <c r="AB12" t="s">
        <v>48</v>
      </c>
      <c r="AC12" t="s">
        <v>49</v>
      </c>
      <c r="AD12" t="s">
        <v>93</v>
      </c>
      <c r="AE12" t="s">
        <v>4532</v>
      </c>
      <c r="AF12" t="s">
        <v>48</v>
      </c>
      <c r="AG12" t="s">
        <v>48</v>
      </c>
      <c r="AH12" t="s">
        <v>48</v>
      </c>
      <c r="AI12" t="s">
        <v>48</v>
      </c>
      <c r="AJ12" t="s">
        <v>48</v>
      </c>
      <c r="AK12" t="s">
        <v>48</v>
      </c>
      <c r="AL12" t="s">
        <v>48</v>
      </c>
      <c r="AM12" t="s">
        <v>48</v>
      </c>
      <c r="AN12" t="s">
        <v>48</v>
      </c>
      <c r="AO12" t="s">
        <v>48</v>
      </c>
      <c r="AP12" s="46">
        <v>0</v>
      </c>
      <c r="AQ12" s="46">
        <v>0</v>
      </c>
      <c r="AR12" s="46">
        <v>0</v>
      </c>
      <c r="AS12" s="46">
        <v>0</v>
      </c>
      <c r="AT12" s="46">
        <v>0</v>
      </c>
      <c r="AU12" s="46">
        <v>0</v>
      </c>
      <c r="AV12" s="46">
        <v>0</v>
      </c>
      <c r="AW12" s="46">
        <v>0</v>
      </c>
      <c r="AX12" s="46">
        <v>0</v>
      </c>
      <c r="AY12" s="46">
        <v>0</v>
      </c>
      <c r="AZ12" s="46">
        <v>0</v>
      </c>
      <c r="BA12" s="46">
        <v>0</v>
      </c>
      <c r="BB12" s="46">
        <v>0</v>
      </c>
      <c r="BC12" s="46">
        <v>0</v>
      </c>
      <c r="BD12" s="46">
        <v>0</v>
      </c>
      <c r="BE12" s="46">
        <v>0</v>
      </c>
      <c r="BF12" s="46">
        <v>0</v>
      </c>
      <c r="BG12" s="46" t="s">
        <v>48</v>
      </c>
      <c r="BH12" s="46">
        <v>0</v>
      </c>
      <c r="BI12" s="46">
        <v>0</v>
      </c>
      <c r="BJ12" s="46">
        <v>0</v>
      </c>
      <c r="BK12" s="46">
        <v>0</v>
      </c>
      <c r="BL12" s="46">
        <v>0</v>
      </c>
      <c r="BM12" s="46">
        <v>0</v>
      </c>
      <c r="BN12" s="46">
        <v>0</v>
      </c>
    </row>
    <row r="13" spans="1:66" x14ac:dyDescent="0.35">
      <c r="A13" t="s">
        <v>1716</v>
      </c>
      <c r="B13" s="44" t="s">
        <v>48</v>
      </c>
      <c r="C13" t="s">
        <v>1719</v>
      </c>
      <c r="D13" t="s">
        <v>396</v>
      </c>
      <c r="E13" t="s">
        <v>1717</v>
      </c>
      <c r="F13" t="s">
        <v>1713</v>
      </c>
      <c r="G13" t="s">
        <v>74</v>
      </c>
      <c r="H13">
        <v>0</v>
      </c>
      <c r="I13" s="60" t="s">
        <v>51</v>
      </c>
      <c r="J13" s="33" t="s">
        <v>96</v>
      </c>
      <c r="K13" s="46">
        <v>1</v>
      </c>
      <c r="L13">
        <v>100</v>
      </c>
      <c r="M13" t="s">
        <v>48</v>
      </c>
      <c r="N13" s="46">
        <v>1</v>
      </c>
      <c r="O13" s="46">
        <v>0</v>
      </c>
      <c r="P13" s="46">
        <v>0</v>
      </c>
      <c r="Q13" t="s">
        <v>48</v>
      </c>
      <c r="R13" t="s">
        <v>48</v>
      </c>
      <c r="S13" t="s">
        <v>48</v>
      </c>
      <c r="T13" t="s">
        <v>1718</v>
      </c>
      <c r="U13" t="s">
        <v>48</v>
      </c>
      <c r="V13" s="47">
        <v>0</v>
      </c>
      <c r="W13" t="s">
        <v>48</v>
      </c>
      <c r="X13" t="s">
        <v>48</v>
      </c>
      <c r="Y13" t="s">
        <v>48</v>
      </c>
      <c r="Z13">
        <v>0</v>
      </c>
      <c r="AA13" t="s">
        <v>48</v>
      </c>
      <c r="AB13" t="s">
        <v>48</v>
      </c>
      <c r="AC13" t="s">
        <v>49</v>
      </c>
      <c r="AD13" t="s">
        <v>93</v>
      </c>
      <c r="AE13" t="s">
        <v>4532</v>
      </c>
      <c r="AF13" t="s">
        <v>48</v>
      </c>
      <c r="AG13" t="s">
        <v>48</v>
      </c>
      <c r="AH13" t="s">
        <v>48</v>
      </c>
      <c r="AI13">
        <v>40910</v>
      </c>
      <c r="AJ13">
        <v>1964</v>
      </c>
      <c r="AK13" t="s">
        <v>8478</v>
      </c>
      <c r="AL13" t="s">
        <v>8479</v>
      </c>
      <c r="AM13">
        <v>-0.22900000000000001</v>
      </c>
      <c r="AN13">
        <v>-0.17299999999999999</v>
      </c>
      <c r="AO13">
        <v>-0.22900000000000001</v>
      </c>
      <c r="AP13" s="46">
        <v>0</v>
      </c>
      <c r="AQ13" s="46">
        <v>0</v>
      </c>
      <c r="AR13" s="46">
        <v>0</v>
      </c>
      <c r="AS13" s="46">
        <v>0</v>
      </c>
      <c r="AT13" s="46">
        <v>0</v>
      </c>
      <c r="AU13" s="46">
        <v>0</v>
      </c>
      <c r="AV13" s="46">
        <v>0</v>
      </c>
      <c r="AW13" s="46">
        <v>0</v>
      </c>
      <c r="AX13" s="46">
        <v>0</v>
      </c>
      <c r="AY13" s="46">
        <v>0</v>
      </c>
      <c r="AZ13" s="46">
        <v>0</v>
      </c>
      <c r="BA13" s="46">
        <v>0</v>
      </c>
      <c r="BB13" s="46">
        <v>0</v>
      </c>
      <c r="BC13" s="46">
        <v>0</v>
      </c>
      <c r="BD13" s="46">
        <v>0</v>
      </c>
      <c r="BE13" s="46">
        <v>0</v>
      </c>
      <c r="BF13" s="46">
        <v>0</v>
      </c>
      <c r="BG13" s="46" t="s">
        <v>48</v>
      </c>
      <c r="BH13" s="46">
        <v>0</v>
      </c>
      <c r="BI13" s="46">
        <v>0</v>
      </c>
      <c r="BJ13" s="46">
        <v>0</v>
      </c>
      <c r="BK13" s="46">
        <v>0</v>
      </c>
      <c r="BL13" s="46">
        <v>1</v>
      </c>
      <c r="BM13" s="46">
        <v>0</v>
      </c>
      <c r="BN13" s="46">
        <v>0</v>
      </c>
    </row>
    <row r="14" spans="1:66" x14ac:dyDescent="0.35">
      <c r="A14" t="s">
        <v>1801</v>
      </c>
      <c r="B14" s="44" t="s">
        <v>48</v>
      </c>
      <c r="C14" t="s">
        <v>1805</v>
      </c>
      <c r="D14" t="s">
        <v>1804</v>
      </c>
      <c r="E14" t="s">
        <v>1802</v>
      </c>
      <c r="F14" t="s">
        <v>1790</v>
      </c>
      <c r="G14" t="s">
        <v>47</v>
      </c>
      <c r="H14">
        <v>0</v>
      </c>
      <c r="I14" s="60" t="s">
        <v>125</v>
      </c>
      <c r="J14" s="33" t="s">
        <v>96</v>
      </c>
      <c r="K14" s="46">
        <v>0</v>
      </c>
      <c r="L14">
        <v>50.6</v>
      </c>
      <c r="M14" t="s">
        <v>48</v>
      </c>
      <c r="N14" s="46">
        <v>1</v>
      </c>
      <c r="O14" s="46">
        <v>0</v>
      </c>
      <c r="P14" s="46">
        <v>0</v>
      </c>
      <c r="Q14" t="s">
        <v>48</v>
      </c>
      <c r="R14" t="s">
        <v>48</v>
      </c>
      <c r="S14" t="s">
        <v>1803</v>
      </c>
      <c r="T14" t="s">
        <v>48</v>
      </c>
      <c r="U14" t="s">
        <v>1803</v>
      </c>
      <c r="V14" s="47">
        <v>0</v>
      </c>
      <c r="W14" t="s">
        <v>48</v>
      </c>
      <c r="X14" t="s">
        <v>48</v>
      </c>
      <c r="Y14" t="s">
        <v>48</v>
      </c>
      <c r="Z14">
        <v>0</v>
      </c>
      <c r="AA14" t="s">
        <v>48</v>
      </c>
      <c r="AB14" t="s">
        <v>48</v>
      </c>
      <c r="AC14" t="s">
        <v>63</v>
      </c>
      <c r="AD14" t="s">
        <v>93</v>
      </c>
      <c r="AE14" t="s">
        <v>4532</v>
      </c>
      <c r="AF14" t="s">
        <v>48</v>
      </c>
      <c r="AG14" t="s">
        <v>48</v>
      </c>
      <c r="AH14" t="s">
        <v>48</v>
      </c>
      <c r="AI14" t="s">
        <v>48</v>
      </c>
      <c r="AJ14" t="s">
        <v>48</v>
      </c>
      <c r="AK14" t="s">
        <v>48</v>
      </c>
      <c r="AL14" t="s">
        <v>48</v>
      </c>
      <c r="AM14" t="s">
        <v>48</v>
      </c>
      <c r="AN14" t="s">
        <v>48</v>
      </c>
      <c r="AO14" t="s">
        <v>48</v>
      </c>
      <c r="AP14" s="46">
        <v>0</v>
      </c>
      <c r="AQ14" s="46">
        <v>0</v>
      </c>
      <c r="AR14" s="46">
        <v>0</v>
      </c>
      <c r="AS14" s="46">
        <v>0</v>
      </c>
      <c r="AT14" s="46">
        <v>0</v>
      </c>
      <c r="AU14" s="46">
        <v>0</v>
      </c>
      <c r="AV14" s="46">
        <v>0</v>
      </c>
      <c r="AW14" s="46">
        <v>0</v>
      </c>
      <c r="AX14" s="46">
        <v>0</v>
      </c>
      <c r="AY14" s="46">
        <v>0</v>
      </c>
      <c r="AZ14" s="46">
        <v>0</v>
      </c>
      <c r="BA14" s="46">
        <v>0</v>
      </c>
      <c r="BB14" s="46">
        <v>0</v>
      </c>
      <c r="BC14" s="46">
        <v>0</v>
      </c>
      <c r="BD14" s="46">
        <v>0</v>
      </c>
      <c r="BE14" s="46">
        <v>0</v>
      </c>
      <c r="BF14" s="46">
        <v>0</v>
      </c>
      <c r="BG14" s="46" t="s">
        <v>48</v>
      </c>
      <c r="BH14" s="46">
        <v>0</v>
      </c>
      <c r="BI14" s="46">
        <v>0</v>
      </c>
      <c r="BJ14" s="46">
        <v>0</v>
      </c>
      <c r="BK14" s="46">
        <v>0</v>
      </c>
      <c r="BL14" s="46">
        <v>0</v>
      </c>
      <c r="BM14" s="46">
        <v>0</v>
      </c>
      <c r="BN14" s="46">
        <v>0</v>
      </c>
    </row>
    <row r="15" spans="1:66" x14ac:dyDescent="0.35">
      <c r="A15" t="s">
        <v>1789</v>
      </c>
      <c r="B15" s="44" t="s">
        <v>48</v>
      </c>
      <c r="C15" t="s">
        <v>1793</v>
      </c>
      <c r="D15" t="s">
        <v>328</v>
      </c>
      <c r="E15" t="s">
        <v>1791</v>
      </c>
      <c r="F15" t="s">
        <v>1790</v>
      </c>
      <c r="G15" t="s">
        <v>74</v>
      </c>
      <c r="H15">
        <v>0</v>
      </c>
      <c r="I15" s="60" t="s">
        <v>11552</v>
      </c>
      <c r="J15" s="33" t="s">
        <v>96</v>
      </c>
      <c r="K15" s="46">
        <v>1</v>
      </c>
      <c r="L15">
        <v>100</v>
      </c>
      <c r="M15" t="s">
        <v>48</v>
      </c>
      <c r="N15" s="46">
        <v>1</v>
      </c>
      <c r="O15" s="46">
        <v>0</v>
      </c>
      <c r="P15" s="46">
        <v>0</v>
      </c>
      <c r="Q15" t="s">
        <v>48</v>
      </c>
      <c r="R15" t="s">
        <v>48</v>
      </c>
      <c r="S15" t="s">
        <v>11407</v>
      </c>
      <c r="T15" t="s">
        <v>1792</v>
      </c>
      <c r="U15" t="s">
        <v>10931</v>
      </c>
      <c r="V15" s="47">
        <v>0</v>
      </c>
      <c r="W15" t="s">
        <v>48</v>
      </c>
      <c r="X15" t="s">
        <v>48</v>
      </c>
      <c r="Y15" t="s">
        <v>48</v>
      </c>
      <c r="Z15">
        <v>0</v>
      </c>
      <c r="AA15" t="s">
        <v>48</v>
      </c>
      <c r="AB15" t="s">
        <v>48</v>
      </c>
      <c r="AC15" t="s">
        <v>49</v>
      </c>
      <c r="AD15" t="s">
        <v>93</v>
      </c>
      <c r="AE15" t="s">
        <v>4532</v>
      </c>
      <c r="AF15" t="s">
        <v>48</v>
      </c>
      <c r="AG15" t="s">
        <v>48</v>
      </c>
      <c r="AH15" t="s">
        <v>48</v>
      </c>
      <c r="AI15">
        <v>41101</v>
      </c>
      <c r="AJ15">
        <v>1946</v>
      </c>
      <c r="AK15" t="s">
        <v>8484</v>
      </c>
      <c r="AL15" t="s">
        <v>8485</v>
      </c>
      <c r="AM15">
        <v>-0.436</v>
      </c>
      <c r="AN15">
        <v>-0.16700000000000001</v>
      </c>
      <c r="AO15">
        <v>-0.436</v>
      </c>
      <c r="AP15" s="46">
        <v>0</v>
      </c>
      <c r="AQ15" s="46">
        <v>0</v>
      </c>
      <c r="AR15" s="46">
        <v>0</v>
      </c>
      <c r="AS15" s="46">
        <v>0</v>
      </c>
      <c r="AT15" s="46">
        <v>0</v>
      </c>
      <c r="AU15" s="46">
        <v>0</v>
      </c>
      <c r="AV15" s="46">
        <v>0</v>
      </c>
      <c r="AW15" s="46">
        <v>0</v>
      </c>
      <c r="AX15" s="46">
        <v>0</v>
      </c>
      <c r="AY15" s="46">
        <v>0</v>
      </c>
      <c r="AZ15" s="46">
        <v>0</v>
      </c>
      <c r="BA15" s="46">
        <v>0</v>
      </c>
      <c r="BB15" s="46">
        <v>0</v>
      </c>
      <c r="BC15" s="46">
        <v>0</v>
      </c>
      <c r="BD15" s="46">
        <v>0</v>
      </c>
      <c r="BE15" s="46">
        <v>0</v>
      </c>
      <c r="BF15" s="46">
        <v>0</v>
      </c>
      <c r="BG15" s="46" t="s">
        <v>48</v>
      </c>
      <c r="BH15" s="46">
        <v>0</v>
      </c>
      <c r="BI15" s="46">
        <v>0</v>
      </c>
      <c r="BJ15" s="46">
        <v>0</v>
      </c>
      <c r="BK15" s="46">
        <v>0</v>
      </c>
      <c r="BL15" s="46">
        <v>0</v>
      </c>
      <c r="BM15" s="46">
        <v>0</v>
      </c>
      <c r="BN15" s="46">
        <v>0</v>
      </c>
    </row>
    <row r="16" spans="1:66" x14ac:dyDescent="0.35">
      <c r="A16" t="s">
        <v>2187</v>
      </c>
      <c r="B16" s="44" t="s">
        <v>48</v>
      </c>
      <c r="C16" t="s">
        <v>2191</v>
      </c>
      <c r="D16" t="s">
        <v>2190</v>
      </c>
      <c r="E16" t="s">
        <v>2188</v>
      </c>
      <c r="F16" t="s">
        <v>2181</v>
      </c>
      <c r="G16" t="s">
        <v>47</v>
      </c>
      <c r="H16">
        <v>0</v>
      </c>
      <c r="I16" s="60" t="s">
        <v>51</v>
      </c>
      <c r="J16" s="33" t="s">
        <v>96</v>
      </c>
      <c r="K16" s="46">
        <v>1</v>
      </c>
      <c r="L16">
        <v>100</v>
      </c>
      <c r="M16" t="s">
        <v>48</v>
      </c>
      <c r="N16" s="46">
        <v>1</v>
      </c>
      <c r="O16" s="46">
        <v>0</v>
      </c>
      <c r="P16" s="46">
        <v>0</v>
      </c>
      <c r="Q16" t="s">
        <v>48</v>
      </c>
      <c r="R16" t="s">
        <v>48</v>
      </c>
      <c r="S16" t="s">
        <v>48</v>
      </c>
      <c r="T16" t="s">
        <v>2189</v>
      </c>
      <c r="U16" t="s">
        <v>48</v>
      </c>
      <c r="V16" s="47">
        <v>0</v>
      </c>
      <c r="W16" t="s">
        <v>48</v>
      </c>
      <c r="X16" t="s">
        <v>48</v>
      </c>
      <c r="Y16" t="s">
        <v>48</v>
      </c>
      <c r="Z16">
        <v>0</v>
      </c>
      <c r="AA16" t="s">
        <v>48</v>
      </c>
      <c r="AB16" t="s">
        <v>48</v>
      </c>
      <c r="AC16" t="s">
        <v>49</v>
      </c>
      <c r="AD16" t="s">
        <v>951</v>
      </c>
      <c r="AE16" t="s">
        <v>11051</v>
      </c>
      <c r="AF16" t="s">
        <v>11063</v>
      </c>
      <c r="AG16" t="s">
        <v>48</v>
      </c>
      <c r="AH16" t="s">
        <v>48</v>
      </c>
      <c r="AI16">
        <v>41102</v>
      </c>
      <c r="AJ16">
        <v>1971</v>
      </c>
      <c r="AK16" t="s">
        <v>8490</v>
      </c>
      <c r="AL16" t="s">
        <v>8491</v>
      </c>
      <c r="AM16">
        <v>0.60399999999999998</v>
      </c>
      <c r="AN16">
        <v>-0.20100000000000001</v>
      </c>
      <c r="AO16">
        <v>0.60399999999999998</v>
      </c>
      <c r="AP16" s="46">
        <v>0</v>
      </c>
      <c r="AQ16" s="46">
        <v>0</v>
      </c>
      <c r="AR16" s="46">
        <v>0</v>
      </c>
      <c r="AS16" s="46">
        <v>0</v>
      </c>
      <c r="AT16" s="46">
        <v>0</v>
      </c>
      <c r="AU16" s="46">
        <v>0</v>
      </c>
      <c r="AV16" s="46">
        <v>0</v>
      </c>
      <c r="AW16" s="46">
        <v>0</v>
      </c>
      <c r="AX16" s="46">
        <v>0</v>
      </c>
      <c r="AY16" s="46">
        <v>0</v>
      </c>
      <c r="AZ16" s="46">
        <v>0</v>
      </c>
      <c r="BA16" s="46">
        <v>0</v>
      </c>
      <c r="BB16" s="46">
        <v>0</v>
      </c>
      <c r="BC16" s="46">
        <v>0</v>
      </c>
      <c r="BD16" s="46">
        <v>0</v>
      </c>
      <c r="BE16" s="46">
        <v>0</v>
      </c>
      <c r="BF16" s="46">
        <v>0</v>
      </c>
      <c r="BG16" s="46" t="s">
        <v>48</v>
      </c>
      <c r="BH16" s="46">
        <v>0</v>
      </c>
      <c r="BI16" s="46">
        <v>0</v>
      </c>
      <c r="BJ16" s="46">
        <v>0</v>
      </c>
      <c r="BK16" s="46">
        <v>0</v>
      </c>
      <c r="BL16" s="46">
        <v>0</v>
      </c>
      <c r="BM16" s="46">
        <v>0</v>
      </c>
      <c r="BN16" s="46">
        <v>0</v>
      </c>
    </row>
    <row r="17" spans="1:66" x14ac:dyDescent="0.35">
      <c r="A17" t="s">
        <v>10632</v>
      </c>
      <c r="B17" s="44" t="s">
        <v>48</v>
      </c>
      <c r="C17" t="s">
        <v>11852</v>
      </c>
      <c r="D17" t="s">
        <v>1956</v>
      </c>
      <c r="E17" t="s">
        <v>10633</v>
      </c>
      <c r="F17" t="s">
        <v>2181</v>
      </c>
      <c r="G17" t="s">
        <v>74</v>
      </c>
      <c r="H17">
        <v>0</v>
      </c>
      <c r="I17" s="60" t="s">
        <v>11552</v>
      </c>
      <c r="J17" s="33" t="s">
        <v>96</v>
      </c>
      <c r="K17" s="46">
        <v>0</v>
      </c>
      <c r="L17">
        <v>84.3</v>
      </c>
      <c r="M17" t="s">
        <v>48</v>
      </c>
      <c r="N17" s="46">
        <v>1</v>
      </c>
      <c r="O17" s="46">
        <v>0</v>
      </c>
      <c r="P17" s="46">
        <v>0</v>
      </c>
      <c r="Q17" t="s">
        <v>48</v>
      </c>
      <c r="R17" t="s">
        <v>48</v>
      </c>
      <c r="S17" t="s">
        <v>11478</v>
      </c>
      <c r="T17" t="s">
        <v>10635</v>
      </c>
      <c r="U17" t="s">
        <v>10634</v>
      </c>
      <c r="V17" s="47">
        <v>0</v>
      </c>
      <c r="W17" t="s">
        <v>48</v>
      </c>
      <c r="X17" t="s">
        <v>48</v>
      </c>
      <c r="Y17" t="s">
        <v>48</v>
      </c>
      <c r="Z17">
        <v>0</v>
      </c>
      <c r="AA17" t="s">
        <v>48</v>
      </c>
      <c r="AB17" t="s">
        <v>48</v>
      </c>
      <c r="AC17" t="s">
        <v>63</v>
      </c>
      <c r="AD17" t="s">
        <v>93</v>
      </c>
      <c r="AE17" t="s">
        <v>2471</v>
      </c>
      <c r="AF17" t="s">
        <v>48</v>
      </c>
      <c r="AG17" t="s">
        <v>48</v>
      </c>
      <c r="AH17" t="s">
        <v>48</v>
      </c>
      <c r="AI17" t="s">
        <v>48</v>
      </c>
      <c r="AJ17" t="s">
        <v>48</v>
      </c>
      <c r="AK17" t="s">
        <v>48</v>
      </c>
      <c r="AL17" t="s">
        <v>48</v>
      </c>
      <c r="AM17" t="s">
        <v>48</v>
      </c>
      <c r="AN17" t="s">
        <v>48</v>
      </c>
      <c r="AO17" t="s">
        <v>48</v>
      </c>
      <c r="AP17" s="46">
        <v>0</v>
      </c>
      <c r="AQ17" s="46">
        <v>0</v>
      </c>
      <c r="AR17" s="46">
        <v>0</v>
      </c>
      <c r="AS17" s="46">
        <v>0</v>
      </c>
      <c r="AT17" s="46">
        <v>0</v>
      </c>
      <c r="AU17" s="46">
        <v>0</v>
      </c>
      <c r="AV17" s="46">
        <v>0</v>
      </c>
      <c r="AW17" s="46">
        <v>0</v>
      </c>
      <c r="AX17" s="46">
        <v>0</v>
      </c>
      <c r="AY17" s="46">
        <v>0</v>
      </c>
      <c r="AZ17" s="46">
        <v>0</v>
      </c>
      <c r="BA17" s="46">
        <v>0</v>
      </c>
      <c r="BB17" s="46">
        <v>0</v>
      </c>
      <c r="BC17" s="46">
        <v>0</v>
      </c>
      <c r="BD17" s="46">
        <v>0</v>
      </c>
      <c r="BE17" s="46">
        <v>0</v>
      </c>
      <c r="BF17" s="46">
        <v>0</v>
      </c>
      <c r="BG17" s="46" t="s">
        <v>48</v>
      </c>
      <c r="BH17" s="46">
        <v>0</v>
      </c>
      <c r="BI17" s="46">
        <v>0</v>
      </c>
      <c r="BJ17" s="46">
        <v>0</v>
      </c>
      <c r="BK17" s="46">
        <v>0</v>
      </c>
      <c r="BL17" s="46">
        <v>0</v>
      </c>
      <c r="BM17" s="46">
        <v>0</v>
      </c>
      <c r="BN17" s="46">
        <v>0</v>
      </c>
    </row>
    <row r="18" spans="1:66" x14ac:dyDescent="0.35">
      <c r="A18" t="s">
        <v>2488</v>
      </c>
      <c r="B18" s="44" t="s">
        <v>48</v>
      </c>
      <c r="C18" t="s">
        <v>2492</v>
      </c>
      <c r="D18" t="s">
        <v>2491</v>
      </c>
      <c r="E18" t="s">
        <v>2489</v>
      </c>
      <c r="F18" t="s">
        <v>2468</v>
      </c>
      <c r="G18" t="s">
        <v>47</v>
      </c>
      <c r="H18">
        <v>0</v>
      </c>
      <c r="I18" s="60" t="s">
        <v>51</v>
      </c>
      <c r="J18" s="33" t="s">
        <v>96</v>
      </c>
      <c r="K18" s="46">
        <v>0</v>
      </c>
      <c r="L18">
        <v>68.2</v>
      </c>
      <c r="M18" t="s">
        <v>48</v>
      </c>
      <c r="N18" s="46">
        <v>1</v>
      </c>
      <c r="O18" s="46">
        <v>0</v>
      </c>
      <c r="P18" s="46">
        <v>0</v>
      </c>
      <c r="Q18" t="s">
        <v>48</v>
      </c>
      <c r="R18" t="s">
        <v>48</v>
      </c>
      <c r="S18" t="s">
        <v>2490</v>
      </c>
      <c r="T18" t="s">
        <v>48</v>
      </c>
      <c r="U18" t="s">
        <v>2490</v>
      </c>
      <c r="V18" s="47">
        <v>0</v>
      </c>
      <c r="W18" t="s">
        <v>48</v>
      </c>
      <c r="X18" t="s">
        <v>48</v>
      </c>
      <c r="Y18" t="s">
        <v>48</v>
      </c>
      <c r="Z18">
        <v>0</v>
      </c>
      <c r="AA18" t="s">
        <v>48</v>
      </c>
      <c r="AB18" t="s">
        <v>48</v>
      </c>
      <c r="AC18" t="s">
        <v>49</v>
      </c>
      <c r="AD18" t="s">
        <v>93</v>
      </c>
      <c r="AE18" s="40" t="s">
        <v>2471</v>
      </c>
      <c r="AF18" t="s">
        <v>11061</v>
      </c>
      <c r="AG18" t="s">
        <v>48</v>
      </c>
      <c r="AH18" t="s">
        <v>48</v>
      </c>
      <c r="AI18" t="s">
        <v>48</v>
      </c>
      <c r="AJ18" t="s">
        <v>48</v>
      </c>
      <c r="AK18" t="s">
        <v>48</v>
      </c>
      <c r="AL18" t="s">
        <v>48</v>
      </c>
      <c r="AM18" t="s">
        <v>48</v>
      </c>
      <c r="AN18" t="s">
        <v>48</v>
      </c>
      <c r="AO18" t="s">
        <v>48</v>
      </c>
      <c r="AP18" s="46">
        <v>0</v>
      </c>
      <c r="AQ18" s="46">
        <v>0</v>
      </c>
      <c r="AR18" s="46">
        <v>0</v>
      </c>
      <c r="AS18" s="46">
        <v>0</v>
      </c>
      <c r="AT18" s="46">
        <v>0</v>
      </c>
      <c r="AU18" s="46">
        <v>0</v>
      </c>
      <c r="AV18" s="46">
        <v>0</v>
      </c>
      <c r="AW18" s="46">
        <v>0</v>
      </c>
      <c r="AX18" s="46">
        <v>0</v>
      </c>
      <c r="AY18" s="46">
        <v>0</v>
      </c>
      <c r="AZ18" s="46">
        <v>0</v>
      </c>
      <c r="BA18" s="46">
        <v>0</v>
      </c>
      <c r="BB18" s="46">
        <v>0</v>
      </c>
      <c r="BC18" s="46">
        <v>1</v>
      </c>
      <c r="BD18" s="46">
        <v>0</v>
      </c>
      <c r="BE18" s="46">
        <v>1</v>
      </c>
      <c r="BF18" s="46">
        <v>0</v>
      </c>
      <c r="BG18" s="46">
        <v>1</v>
      </c>
      <c r="BH18" s="46">
        <v>0</v>
      </c>
      <c r="BI18" s="46">
        <v>0</v>
      </c>
      <c r="BJ18" s="46">
        <v>0</v>
      </c>
      <c r="BK18" s="46">
        <v>0</v>
      </c>
      <c r="BL18" s="46">
        <v>0</v>
      </c>
      <c r="BM18" s="46">
        <v>0</v>
      </c>
      <c r="BN18" s="46">
        <v>1</v>
      </c>
    </row>
    <row r="19" spans="1:66" x14ac:dyDescent="0.35">
      <c r="A19" t="s">
        <v>2493</v>
      </c>
      <c r="B19" s="44" t="s">
        <v>48</v>
      </c>
      <c r="C19" t="s">
        <v>2497</v>
      </c>
      <c r="D19" t="s">
        <v>1279</v>
      </c>
      <c r="E19" t="s">
        <v>2494</v>
      </c>
      <c r="F19" t="s">
        <v>2468</v>
      </c>
      <c r="G19" t="s">
        <v>74</v>
      </c>
      <c r="H19">
        <v>0</v>
      </c>
      <c r="I19" s="60" t="s">
        <v>51</v>
      </c>
      <c r="J19" s="33" t="s">
        <v>96</v>
      </c>
      <c r="K19" s="46">
        <v>1</v>
      </c>
      <c r="L19">
        <v>96</v>
      </c>
      <c r="M19" t="s">
        <v>48</v>
      </c>
      <c r="N19" s="46">
        <v>1</v>
      </c>
      <c r="O19" s="46">
        <v>0</v>
      </c>
      <c r="P19" s="46">
        <v>0</v>
      </c>
      <c r="Q19" t="s">
        <v>48</v>
      </c>
      <c r="R19" t="s">
        <v>48</v>
      </c>
      <c r="S19" t="s">
        <v>2495</v>
      </c>
      <c r="T19" t="s">
        <v>2496</v>
      </c>
      <c r="U19" t="s">
        <v>2495</v>
      </c>
      <c r="V19" s="47">
        <v>0</v>
      </c>
      <c r="W19" t="s">
        <v>48</v>
      </c>
      <c r="X19" t="s">
        <v>48</v>
      </c>
      <c r="Y19" t="s">
        <v>48</v>
      </c>
      <c r="Z19">
        <v>1</v>
      </c>
      <c r="AA19" t="s">
        <v>48</v>
      </c>
      <c r="AB19">
        <v>2020</v>
      </c>
      <c r="AC19" t="s">
        <v>49</v>
      </c>
      <c r="AD19" t="s">
        <v>93</v>
      </c>
      <c r="AE19" t="s">
        <v>2471</v>
      </c>
      <c r="AF19" t="s">
        <v>48</v>
      </c>
      <c r="AG19" t="s">
        <v>48</v>
      </c>
      <c r="AH19" t="s">
        <v>48</v>
      </c>
      <c r="AI19">
        <v>42105</v>
      </c>
      <c r="AJ19">
        <v>1969</v>
      </c>
      <c r="AK19" t="s">
        <v>8496</v>
      </c>
      <c r="AL19" t="s">
        <v>8497</v>
      </c>
      <c r="AM19">
        <v>-0.38900000000000001</v>
      </c>
      <c r="AN19">
        <v>0.37</v>
      </c>
      <c r="AO19">
        <v>-0.38900000000000001</v>
      </c>
      <c r="AP19" s="46">
        <v>0</v>
      </c>
      <c r="AQ19" s="46">
        <v>0</v>
      </c>
      <c r="AR19" s="46">
        <v>0</v>
      </c>
      <c r="AS19" s="46">
        <v>0</v>
      </c>
      <c r="AT19" s="46">
        <v>0</v>
      </c>
      <c r="AU19" s="46">
        <v>0</v>
      </c>
      <c r="AV19" s="46">
        <v>0</v>
      </c>
      <c r="AW19" s="46">
        <v>0</v>
      </c>
      <c r="AX19" s="46">
        <v>0</v>
      </c>
      <c r="AY19" s="46">
        <v>0</v>
      </c>
      <c r="AZ19" s="46">
        <v>0</v>
      </c>
      <c r="BA19" s="46">
        <v>0</v>
      </c>
      <c r="BB19" s="46">
        <v>0</v>
      </c>
      <c r="BC19" s="46">
        <v>0</v>
      </c>
      <c r="BD19" s="46">
        <v>0</v>
      </c>
      <c r="BE19" s="46">
        <v>0</v>
      </c>
      <c r="BF19" s="46">
        <v>0</v>
      </c>
      <c r="BG19" s="46" t="s">
        <v>48</v>
      </c>
      <c r="BH19" s="46">
        <v>0</v>
      </c>
      <c r="BI19" s="46">
        <v>0</v>
      </c>
      <c r="BJ19" s="46">
        <v>0</v>
      </c>
      <c r="BK19" s="46">
        <v>0</v>
      </c>
      <c r="BL19" s="46">
        <v>0</v>
      </c>
      <c r="BM19" s="46">
        <v>0</v>
      </c>
      <c r="BN19" s="46">
        <v>0</v>
      </c>
    </row>
    <row r="20" spans="1:66" ht="15" x14ac:dyDescent="0.4">
      <c r="A20" t="s">
        <v>2510</v>
      </c>
      <c r="B20" s="44" t="s">
        <v>48</v>
      </c>
      <c r="C20" t="s">
        <v>2514</v>
      </c>
      <c r="D20" t="s">
        <v>2513</v>
      </c>
      <c r="E20" t="s">
        <v>2512</v>
      </c>
      <c r="F20" t="s">
        <v>2511</v>
      </c>
      <c r="G20" t="s">
        <v>47</v>
      </c>
      <c r="H20">
        <v>0</v>
      </c>
      <c r="I20" s="60" t="s">
        <v>11160</v>
      </c>
      <c r="J20" s="33" t="s">
        <v>96</v>
      </c>
      <c r="K20" s="46">
        <v>0</v>
      </c>
      <c r="L20">
        <v>39.6</v>
      </c>
      <c r="M20" t="s">
        <v>48</v>
      </c>
      <c r="N20" s="46">
        <v>1</v>
      </c>
      <c r="O20" s="46">
        <v>0</v>
      </c>
      <c r="P20" s="46">
        <v>0</v>
      </c>
      <c r="Q20" t="s">
        <v>48</v>
      </c>
      <c r="R20" t="s">
        <v>48</v>
      </c>
      <c r="S20" s="55" t="s">
        <v>11314</v>
      </c>
      <c r="T20" t="s">
        <v>48</v>
      </c>
      <c r="U20" s="55" t="s">
        <v>11314</v>
      </c>
      <c r="V20" s="47">
        <v>1</v>
      </c>
      <c r="W20" t="s">
        <v>48</v>
      </c>
      <c r="X20" t="s">
        <v>48</v>
      </c>
      <c r="Y20" t="s">
        <v>48</v>
      </c>
      <c r="Z20">
        <v>0</v>
      </c>
      <c r="AA20" t="s">
        <v>1165</v>
      </c>
      <c r="AB20" t="s">
        <v>48</v>
      </c>
      <c r="AC20" t="s">
        <v>49</v>
      </c>
      <c r="AD20" t="s">
        <v>93</v>
      </c>
      <c r="AE20" t="s">
        <v>4532</v>
      </c>
      <c r="AF20" t="s">
        <v>48</v>
      </c>
      <c r="AG20" t="s">
        <v>48</v>
      </c>
      <c r="AH20" t="s">
        <v>48</v>
      </c>
      <c r="AI20" t="s">
        <v>48</v>
      </c>
      <c r="AJ20" t="s">
        <v>48</v>
      </c>
      <c r="AK20" t="s">
        <v>48</v>
      </c>
      <c r="AL20" t="s">
        <v>48</v>
      </c>
      <c r="AM20" t="s">
        <v>48</v>
      </c>
      <c r="AN20" t="s">
        <v>48</v>
      </c>
      <c r="AO20" t="s">
        <v>48</v>
      </c>
      <c r="AP20" s="46">
        <v>0</v>
      </c>
      <c r="AQ20" s="46">
        <v>0</v>
      </c>
      <c r="AR20" s="46">
        <v>0</v>
      </c>
      <c r="AS20" s="46">
        <v>0</v>
      </c>
      <c r="AT20" s="46">
        <v>0</v>
      </c>
      <c r="AU20" s="46">
        <v>0</v>
      </c>
      <c r="AV20" s="46">
        <v>0</v>
      </c>
      <c r="AW20" s="46">
        <v>0</v>
      </c>
      <c r="AX20" s="46">
        <v>0</v>
      </c>
      <c r="AY20" s="46">
        <v>0</v>
      </c>
      <c r="AZ20" s="46">
        <v>0</v>
      </c>
      <c r="BA20" s="46">
        <v>0</v>
      </c>
      <c r="BB20" s="46">
        <v>0</v>
      </c>
      <c r="BC20" s="46">
        <v>0</v>
      </c>
      <c r="BD20" s="46">
        <v>0</v>
      </c>
      <c r="BE20" s="46">
        <v>0</v>
      </c>
      <c r="BF20" s="46">
        <v>0</v>
      </c>
      <c r="BG20" s="46" t="s">
        <v>48</v>
      </c>
      <c r="BH20" s="46">
        <v>0</v>
      </c>
      <c r="BI20" s="46">
        <v>0</v>
      </c>
      <c r="BJ20" s="46">
        <v>0</v>
      </c>
      <c r="BK20" s="46">
        <v>0</v>
      </c>
      <c r="BL20" s="46">
        <v>0</v>
      </c>
      <c r="BM20" s="46">
        <v>0</v>
      </c>
      <c r="BN20" s="46">
        <v>0</v>
      </c>
    </row>
    <row r="21" spans="1:66" x14ac:dyDescent="0.35">
      <c r="A21" t="s">
        <v>2515</v>
      </c>
      <c r="B21" s="44" t="s">
        <v>48</v>
      </c>
      <c r="C21" t="s">
        <v>2518</v>
      </c>
      <c r="D21" t="s">
        <v>195</v>
      </c>
      <c r="E21" t="s">
        <v>2516</v>
      </c>
      <c r="F21" t="s">
        <v>2511</v>
      </c>
      <c r="G21" t="s">
        <v>74</v>
      </c>
      <c r="H21">
        <v>0</v>
      </c>
      <c r="I21" s="60" t="s">
        <v>51</v>
      </c>
      <c r="J21" s="33" t="s">
        <v>96</v>
      </c>
      <c r="K21" s="46">
        <v>1</v>
      </c>
      <c r="L21">
        <v>93.6</v>
      </c>
      <c r="M21" t="s">
        <v>48</v>
      </c>
      <c r="N21" s="46">
        <v>1</v>
      </c>
      <c r="O21" s="46">
        <v>0</v>
      </c>
      <c r="P21" s="46">
        <v>0</v>
      </c>
      <c r="Q21" t="s">
        <v>48</v>
      </c>
      <c r="R21" t="s">
        <v>48</v>
      </c>
      <c r="S21" t="s">
        <v>48</v>
      </c>
      <c r="T21" t="s">
        <v>2517</v>
      </c>
      <c r="U21" t="s">
        <v>48</v>
      </c>
      <c r="V21" s="47">
        <v>0</v>
      </c>
      <c r="W21" t="s">
        <v>48</v>
      </c>
      <c r="X21" t="s">
        <v>48</v>
      </c>
      <c r="Y21" t="s">
        <v>48</v>
      </c>
      <c r="Z21">
        <v>0</v>
      </c>
      <c r="AA21" t="s">
        <v>48</v>
      </c>
      <c r="AB21" t="s">
        <v>48</v>
      </c>
      <c r="AC21" t="s">
        <v>49</v>
      </c>
      <c r="AD21" t="s">
        <v>93</v>
      </c>
      <c r="AE21" t="s">
        <v>4532</v>
      </c>
      <c r="AF21" t="s">
        <v>48</v>
      </c>
      <c r="AG21" t="s">
        <v>48</v>
      </c>
      <c r="AH21" t="s">
        <v>48</v>
      </c>
      <c r="AI21">
        <v>41112</v>
      </c>
      <c r="AJ21">
        <v>1972</v>
      </c>
      <c r="AK21" t="s">
        <v>8500</v>
      </c>
      <c r="AL21" t="s">
        <v>8501</v>
      </c>
      <c r="AM21">
        <v>-0.44500000000000001</v>
      </c>
      <c r="AN21">
        <v>-0.10199999999999999</v>
      </c>
      <c r="AO21">
        <v>-0.44500000000000001</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t="s">
        <v>48</v>
      </c>
      <c r="BH21" s="46">
        <v>0</v>
      </c>
      <c r="BI21" s="46">
        <v>0</v>
      </c>
      <c r="BJ21" s="46">
        <v>0</v>
      </c>
      <c r="BK21" s="46">
        <v>0</v>
      </c>
      <c r="BL21" s="46">
        <v>0</v>
      </c>
      <c r="BM21" s="46">
        <v>0</v>
      </c>
      <c r="BN21" s="46">
        <v>0</v>
      </c>
    </row>
    <row r="22" spans="1:66" x14ac:dyDescent="0.35">
      <c r="A22" t="s">
        <v>2587</v>
      </c>
      <c r="B22" s="44" t="s">
        <v>48</v>
      </c>
      <c r="C22" t="s">
        <v>2590</v>
      </c>
      <c r="D22" t="s">
        <v>1577</v>
      </c>
      <c r="E22" t="s">
        <v>2588</v>
      </c>
      <c r="F22" t="s">
        <v>2573</v>
      </c>
      <c r="G22" t="s">
        <v>47</v>
      </c>
      <c r="H22">
        <v>0</v>
      </c>
      <c r="I22" s="60" t="s">
        <v>51</v>
      </c>
      <c r="J22" s="33" t="s">
        <v>96</v>
      </c>
      <c r="K22" s="46">
        <v>1</v>
      </c>
      <c r="L22">
        <v>73.5</v>
      </c>
      <c r="M22" t="s">
        <v>48</v>
      </c>
      <c r="N22" s="46">
        <v>1</v>
      </c>
      <c r="O22" s="46">
        <v>0</v>
      </c>
      <c r="P22" s="46">
        <v>0</v>
      </c>
      <c r="Q22" t="s">
        <v>48</v>
      </c>
      <c r="R22" t="s">
        <v>48</v>
      </c>
      <c r="S22" t="s">
        <v>48</v>
      </c>
      <c r="T22" t="s">
        <v>2589</v>
      </c>
      <c r="U22" t="s">
        <v>48</v>
      </c>
      <c r="V22" s="47">
        <v>0</v>
      </c>
      <c r="W22" t="s">
        <v>48</v>
      </c>
      <c r="X22" t="s">
        <v>48</v>
      </c>
      <c r="Y22" t="s">
        <v>48</v>
      </c>
      <c r="Z22">
        <v>0</v>
      </c>
      <c r="AA22" t="s">
        <v>48</v>
      </c>
      <c r="AB22" t="s">
        <v>48</v>
      </c>
      <c r="AC22" t="s">
        <v>49</v>
      </c>
      <c r="AD22" t="s">
        <v>93</v>
      </c>
      <c r="AE22" t="s">
        <v>4532</v>
      </c>
      <c r="AF22" t="s">
        <v>48</v>
      </c>
      <c r="AG22" t="s">
        <v>48</v>
      </c>
      <c r="AH22" t="s">
        <v>48</v>
      </c>
      <c r="AI22">
        <v>14226</v>
      </c>
      <c r="AJ22">
        <v>1933</v>
      </c>
      <c r="AK22" t="s">
        <v>8502</v>
      </c>
      <c r="AL22" t="s">
        <v>8503</v>
      </c>
      <c r="AM22">
        <v>0.35299999999999998</v>
      </c>
      <c r="AN22">
        <v>-5.3999999999999999E-2</v>
      </c>
      <c r="AO22">
        <v>0.35299999999999998</v>
      </c>
      <c r="AP22" s="46">
        <v>0</v>
      </c>
      <c r="AQ22" s="46">
        <v>0</v>
      </c>
      <c r="AR22" s="46">
        <v>0</v>
      </c>
      <c r="AS22" s="46">
        <v>0</v>
      </c>
      <c r="AT22" s="46">
        <v>0</v>
      </c>
      <c r="AU22" s="46">
        <v>0</v>
      </c>
      <c r="AV22" s="46">
        <v>0</v>
      </c>
      <c r="AW22" s="46">
        <v>0</v>
      </c>
      <c r="AX22" s="46">
        <v>0</v>
      </c>
      <c r="AY22" s="46">
        <v>0</v>
      </c>
      <c r="AZ22" s="46">
        <v>0</v>
      </c>
      <c r="BA22" s="46">
        <v>0</v>
      </c>
      <c r="BB22" s="46">
        <v>0</v>
      </c>
      <c r="BC22" s="46">
        <v>0</v>
      </c>
      <c r="BD22" s="46">
        <v>0</v>
      </c>
      <c r="BE22" s="46">
        <v>0</v>
      </c>
      <c r="BF22" s="46">
        <v>0</v>
      </c>
      <c r="BG22" s="46" t="s">
        <v>48</v>
      </c>
      <c r="BH22" s="46">
        <v>0</v>
      </c>
      <c r="BI22" s="46">
        <v>0</v>
      </c>
      <c r="BJ22" s="46">
        <v>0</v>
      </c>
      <c r="BK22" s="46">
        <v>0</v>
      </c>
      <c r="BL22" s="46">
        <v>0</v>
      </c>
      <c r="BM22" s="46">
        <v>1</v>
      </c>
      <c r="BN22" s="46">
        <v>0</v>
      </c>
    </row>
    <row r="23" spans="1:66" x14ac:dyDescent="0.35">
      <c r="A23" t="s">
        <v>2583</v>
      </c>
      <c r="B23" s="44" t="s">
        <v>48</v>
      </c>
      <c r="C23" t="s">
        <v>2586</v>
      </c>
      <c r="D23" t="s">
        <v>396</v>
      </c>
      <c r="E23" t="s">
        <v>2584</v>
      </c>
      <c r="F23" t="s">
        <v>2573</v>
      </c>
      <c r="G23" t="s">
        <v>74</v>
      </c>
      <c r="H23">
        <v>0</v>
      </c>
      <c r="I23" s="60" t="s">
        <v>177</v>
      </c>
      <c r="J23" s="33" t="s">
        <v>96</v>
      </c>
      <c r="K23" s="46">
        <v>0</v>
      </c>
      <c r="L23">
        <v>55.2</v>
      </c>
      <c r="M23" t="s">
        <v>48</v>
      </c>
      <c r="N23" s="46">
        <v>1</v>
      </c>
      <c r="O23" s="46">
        <v>0</v>
      </c>
      <c r="P23" s="46">
        <v>0</v>
      </c>
      <c r="Q23" t="s">
        <v>48</v>
      </c>
      <c r="R23" t="s">
        <v>48</v>
      </c>
      <c r="S23" t="s">
        <v>2585</v>
      </c>
      <c r="T23" t="s">
        <v>48</v>
      </c>
      <c r="U23" t="s">
        <v>2585</v>
      </c>
      <c r="V23" s="47">
        <v>1</v>
      </c>
      <c r="W23" t="s">
        <v>48</v>
      </c>
      <c r="X23" t="s">
        <v>48</v>
      </c>
      <c r="Y23" t="s">
        <v>48</v>
      </c>
      <c r="Z23">
        <v>0</v>
      </c>
      <c r="AA23" t="s">
        <v>48</v>
      </c>
      <c r="AB23" t="s">
        <v>48</v>
      </c>
      <c r="AC23" t="s">
        <v>49</v>
      </c>
      <c r="AD23" t="s">
        <v>93</v>
      </c>
      <c r="AE23" t="s">
        <v>4532</v>
      </c>
      <c r="AF23" t="s">
        <v>48</v>
      </c>
      <c r="AG23" t="s">
        <v>48</v>
      </c>
      <c r="AH23" t="s">
        <v>48</v>
      </c>
      <c r="AI23" t="s">
        <v>48</v>
      </c>
      <c r="AJ23" t="s">
        <v>48</v>
      </c>
      <c r="AK23" t="s">
        <v>48</v>
      </c>
      <c r="AL23" t="s">
        <v>48</v>
      </c>
      <c r="AM23" t="s">
        <v>48</v>
      </c>
      <c r="AN23" t="s">
        <v>48</v>
      </c>
      <c r="AO23" t="s">
        <v>48</v>
      </c>
      <c r="AP23" s="46">
        <v>0</v>
      </c>
      <c r="AQ23" s="46">
        <v>0</v>
      </c>
      <c r="AR23" s="46">
        <v>0</v>
      </c>
      <c r="AS23" s="46">
        <v>0</v>
      </c>
      <c r="AT23" s="46">
        <v>0</v>
      </c>
      <c r="AU23" s="46">
        <v>0</v>
      </c>
      <c r="AV23" s="46">
        <v>0</v>
      </c>
      <c r="AW23" s="46">
        <v>0</v>
      </c>
      <c r="AX23" s="46">
        <v>0</v>
      </c>
      <c r="AY23" s="46">
        <v>0</v>
      </c>
      <c r="AZ23" s="46">
        <v>0</v>
      </c>
      <c r="BA23" s="46">
        <v>0</v>
      </c>
      <c r="BB23" s="46">
        <v>0</v>
      </c>
      <c r="BC23" s="46">
        <v>0</v>
      </c>
      <c r="BD23" s="46">
        <v>0</v>
      </c>
      <c r="BE23" s="46">
        <v>0</v>
      </c>
      <c r="BF23" s="46">
        <v>0</v>
      </c>
      <c r="BG23" s="46" t="s">
        <v>48</v>
      </c>
      <c r="BH23" s="46">
        <v>0</v>
      </c>
      <c r="BI23" s="46">
        <v>0</v>
      </c>
      <c r="BJ23" s="46">
        <v>0</v>
      </c>
      <c r="BK23" s="46">
        <v>0</v>
      </c>
      <c r="BL23" s="46">
        <v>0</v>
      </c>
      <c r="BM23" s="46">
        <v>0</v>
      </c>
      <c r="BN23" s="46">
        <v>0</v>
      </c>
    </row>
    <row r="24" spans="1:66" x14ac:dyDescent="0.35">
      <c r="A24" t="s">
        <v>7944</v>
      </c>
      <c r="B24" s="44" t="s">
        <v>48</v>
      </c>
      <c r="C24" t="s">
        <v>11900</v>
      </c>
      <c r="D24" t="s">
        <v>268</v>
      </c>
      <c r="E24" t="s">
        <v>7943</v>
      </c>
      <c r="F24" t="s">
        <v>2616</v>
      </c>
      <c r="G24" t="s">
        <v>74</v>
      </c>
      <c r="H24">
        <v>0</v>
      </c>
      <c r="I24" s="61">
        <v>44720</v>
      </c>
      <c r="J24" s="33" t="s">
        <v>96</v>
      </c>
      <c r="K24" s="46">
        <v>0</v>
      </c>
      <c r="L24">
        <v>57.8</v>
      </c>
      <c r="M24" t="s">
        <v>48</v>
      </c>
      <c r="N24" s="46">
        <v>1</v>
      </c>
      <c r="O24" s="46">
        <v>0</v>
      </c>
      <c r="P24" s="46">
        <v>0</v>
      </c>
      <c r="Q24" t="s">
        <v>48</v>
      </c>
      <c r="R24" t="s">
        <v>48</v>
      </c>
      <c r="S24" t="s">
        <v>10094</v>
      </c>
      <c r="T24" t="s">
        <v>48</v>
      </c>
      <c r="U24" t="s">
        <v>10094</v>
      </c>
      <c r="V24" s="47">
        <v>1</v>
      </c>
      <c r="W24" t="s">
        <v>48</v>
      </c>
      <c r="X24" t="s">
        <v>48</v>
      </c>
      <c r="Y24" t="s">
        <v>48</v>
      </c>
      <c r="Z24" t="s">
        <v>48</v>
      </c>
      <c r="AA24" t="s">
        <v>48</v>
      </c>
      <c r="AB24" t="s">
        <v>48</v>
      </c>
      <c r="AC24" t="s">
        <v>49</v>
      </c>
      <c r="AD24" t="s">
        <v>48</v>
      </c>
      <c r="AE24" t="s">
        <v>48</v>
      </c>
      <c r="AF24" t="s">
        <v>48</v>
      </c>
      <c r="AG24" t="s">
        <v>48</v>
      </c>
      <c r="AH24" t="s">
        <v>48</v>
      </c>
      <c r="AI24" t="s">
        <v>48</v>
      </c>
      <c r="AJ24" t="s">
        <v>48</v>
      </c>
      <c r="AK24" t="s">
        <v>48</v>
      </c>
      <c r="AL24" t="s">
        <v>48</v>
      </c>
      <c r="AM24" t="s">
        <v>48</v>
      </c>
      <c r="AN24" t="s">
        <v>48</v>
      </c>
      <c r="AO24" t="s">
        <v>48</v>
      </c>
      <c r="AP24" s="46">
        <v>0</v>
      </c>
      <c r="AQ24" s="46">
        <v>0</v>
      </c>
      <c r="AR24" s="46">
        <v>0</v>
      </c>
      <c r="AS24" s="46">
        <v>0</v>
      </c>
      <c r="AT24" s="46">
        <v>0</v>
      </c>
      <c r="AU24" s="46">
        <v>0</v>
      </c>
      <c r="AV24" s="46">
        <v>0</v>
      </c>
      <c r="AW24" s="46">
        <v>0</v>
      </c>
      <c r="AX24" s="46">
        <v>0</v>
      </c>
      <c r="AY24" s="46">
        <v>0</v>
      </c>
      <c r="AZ24" s="46">
        <v>0</v>
      </c>
      <c r="BA24" s="46">
        <v>0</v>
      </c>
      <c r="BB24" s="46">
        <v>0</v>
      </c>
      <c r="BC24" s="46">
        <v>0</v>
      </c>
      <c r="BD24" s="46">
        <v>0</v>
      </c>
      <c r="BE24" s="46">
        <v>0</v>
      </c>
      <c r="BF24" s="46">
        <v>0</v>
      </c>
      <c r="BG24" s="46" t="s">
        <v>48</v>
      </c>
      <c r="BH24" s="46">
        <v>0</v>
      </c>
      <c r="BI24" s="46">
        <v>0</v>
      </c>
      <c r="BJ24" s="46">
        <v>0</v>
      </c>
      <c r="BK24" s="46">
        <v>0</v>
      </c>
      <c r="BL24" s="46">
        <v>0</v>
      </c>
      <c r="BM24" s="46">
        <v>0</v>
      </c>
      <c r="BN24" s="46">
        <v>0</v>
      </c>
    </row>
    <row r="25" spans="1:66" x14ac:dyDescent="0.35">
      <c r="A25" t="s">
        <v>2620</v>
      </c>
      <c r="B25" s="44" t="s">
        <v>48</v>
      </c>
      <c r="C25" t="s">
        <v>2623</v>
      </c>
      <c r="D25" t="s">
        <v>288</v>
      </c>
      <c r="E25" t="s">
        <v>2621</v>
      </c>
      <c r="F25" t="s">
        <v>2616</v>
      </c>
      <c r="G25" t="s">
        <v>47</v>
      </c>
      <c r="H25">
        <v>0</v>
      </c>
      <c r="I25" s="60" t="s">
        <v>51</v>
      </c>
      <c r="J25" s="33" t="s">
        <v>96</v>
      </c>
      <c r="K25" s="46">
        <v>1</v>
      </c>
      <c r="L25">
        <v>67.099999999999994</v>
      </c>
      <c r="M25" t="s">
        <v>48</v>
      </c>
      <c r="N25" s="46">
        <v>1</v>
      </c>
      <c r="O25" s="46">
        <v>0</v>
      </c>
      <c r="P25" s="46">
        <v>0</v>
      </c>
      <c r="Q25" t="s">
        <v>48</v>
      </c>
      <c r="R25" t="s">
        <v>48</v>
      </c>
      <c r="S25" t="s">
        <v>48</v>
      </c>
      <c r="T25" t="s">
        <v>2622</v>
      </c>
      <c r="U25" t="s">
        <v>48</v>
      </c>
      <c r="V25" s="47">
        <v>0</v>
      </c>
      <c r="W25" t="s">
        <v>48</v>
      </c>
      <c r="X25" t="s">
        <v>48</v>
      </c>
      <c r="Y25" t="s">
        <v>48</v>
      </c>
      <c r="Z25">
        <v>0</v>
      </c>
      <c r="AA25" t="s">
        <v>48</v>
      </c>
      <c r="AB25" t="s">
        <v>48</v>
      </c>
      <c r="AC25" t="s">
        <v>49</v>
      </c>
      <c r="AD25" t="s">
        <v>93</v>
      </c>
      <c r="AE25" t="s">
        <v>4532</v>
      </c>
      <c r="AF25" t="s">
        <v>48</v>
      </c>
      <c r="AG25" t="s">
        <v>48</v>
      </c>
      <c r="AH25" t="s">
        <v>48</v>
      </c>
      <c r="AI25">
        <v>29345</v>
      </c>
      <c r="AJ25">
        <v>1951</v>
      </c>
      <c r="AK25" t="s">
        <v>8506</v>
      </c>
      <c r="AL25" t="s">
        <v>8507</v>
      </c>
      <c r="AM25">
        <v>0.498</v>
      </c>
      <c r="AN25">
        <v>0.27600000000000002</v>
      </c>
      <c r="AO25">
        <v>0.498</v>
      </c>
      <c r="AP25" s="46">
        <v>0</v>
      </c>
      <c r="AQ25" s="46">
        <v>0</v>
      </c>
      <c r="AR25" s="46">
        <v>0</v>
      </c>
      <c r="AS25" s="46">
        <v>0</v>
      </c>
      <c r="AT25" s="46">
        <v>0</v>
      </c>
      <c r="AU25" s="46">
        <v>0</v>
      </c>
      <c r="AV25" s="46">
        <v>0</v>
      </c>
      <c r="AW25" s="46">
        <v>0</v>
      </c>
      <c r="AX25" s="46">
        <v>0</v>
      </c>
      <c r="AY25" s="46">
        <v>0</v>
      </c>
      <c r="AZ25" s="46">
        <v>0</v>
      </c>
      <c r="BA25" s="46">
        <v>0</v>
      </c>
      <c r="BB25" s="46">
        <v>0</v>
      </c>
      <c r="BC25" s="46">
        <v>0</v>
      </c>
      <c r="BD25" s="46">
        <v>0</v>
      </c>
      <c r="BE25" s="46">
        <v>0</v>
      </c>
      <c r="BF25" s="46">
        <v>0</v>
      </c>
      <c r="BG25" s="46" t="s">
        <v>48</v>
      </c>
      <c r="BH25" s="46">
        <v>0</v>
      </c>
      <c r="BI25" s="46">
        <v>0</v>
      </c>
      <c r="BJ25" s="46">
        <v>0</v>
      </c>
      <c r="BK25" s="46">
        <v>0</v>
      </c>
      <c r="BL25" s="46">
        <v>0</v>
      </c>
      <c r="BM25" s="46">
        <v>0</v>
      </c>
      <c r="BN25" s="46">
        <v>0</v>
      </c>
    </row>
    <row r="26" spans="1:66" ht="15" x14ac:dyDescent="0.4">
      <c r="A26" t="s">
        <v>9536</v>
      </c>
      <c r="B26" s="44" t="s">
        <v>48</v>
      </c>
      <c r="C26" t="s">
        <v>11933</v>
      </c>
      <c r="D26" t="s">
        <v>456</v>
      </c>
      <c r="E26" t="s">
        <v>9537</v>
      </c>
      <c r="F26" t="s">
        <v>2919</v>
      </c>
      <c r="G26" t="s">
        <v>47</v>
      </c>
      <c r="H26">
        <v>0</v>
      </c>
      <c r="I26" s="61" t="s">
        <v>11160</v>
      </c>
      <c r="J26" s="33" t="s">
        <v>96</v>
      </c>
      <c r="K26" s="46">
        <v>0</v>
      </c>
      <c r="L26">
        <v>30.2</v>
      </c>
      <c r="M26" t="s">
        <v>48</v>
      </c>
      <c r="N26" s="46">
        <v>1</v>
      </c>
      <c r="O26" s="46">
        <v>0</v>
      </c>
      <c r="P26" s="46">
        <v>0</v>
      </c>
      <c r="Q26" t="s">
        <v>48</v>
      </c>
      <c r="R26" t="s">
        <v>48</v>
      </c>
      <c r="S26" s="55" t="s">
        <v>11315</v>
      </c>
      <c r="T26" t="s">
        <v>48</v>
      </c>
      <c r="U26" s="55" t="s">
        <v>11315</v>
      </c>
      <c r="V26" s="47">
        <v>1</v>
      </c>
      <c r="W26" t="s">
        <v>48</v>
      </c>
      <c r="X26" t="s">
        <v>48</v>
      </c>
      <c r="Y26" t="s">
        <v>48</v>
      </c>
      <c r="Z26" t="s">
        <v>48</v>
      </c>
      <c r="AA26" t="s">
        <v>48</v>
      </c>
      <c r="AB26" t="s">
        <v>48</v>
      </c>
      <c r="AC26" t="s">
        <v>63</v>
      </c>
      <c r="AD26" t="s">
        <v>93</v>
      </c>
      <c r="AE26" t="s">
        <v>4532</v>
      </c>
      <c r="AF26" t="s">
        <v>48</v>
      </c>
      <c r="AG26" t="s">
        <v>48</v>
      </c>
      <c r="AH26" t="s">
        <v>48</v>
      </c>
      <c r="AI26" t="s">
        <v>48</v>
      </c>
      <c r="AJ26" t="s">
        <v>48</v>
      </c>
      <c r="AK26" t="s">
        <v>48</v>
      </c>
      <c r="AL26" t="s">
        <v>48</v>
      </c>
      <c r="AM26" t="s">
        <v>48</v>
      </c>
      <c r="AN26" t="s">
        <v>48</v>
      </c>
      <c r="AO26" t="s">
        <v>48</v>
      </c>
      <c r="AP26" s="46">
        <v>0</v>
      </c>
      <c r="AQ26" s="46">
        <v>0</v>
      </c>
      <c r="AR26" s="46">
        <v>0</v>
      </c>
      <c r="AS26" s="46">
        <v>0</v>
      </c>
      <c r="AT26" s="46">
        <v>0</v>
      </c>
      <c r="AU26" s="46">
        <v>0</v>
      </c>
      <c r="AV26" s="46">
        <v>0</v>
      </c>
      <c r="AW26" s="46">
        <v>0</v>
      </c>
      <c r="AX26" s="46">
        <v>0</v>
      </c>
      <c r="AY26" s="46">
        <v>0</v>
      </c>
      <c r="AZ26" s="46">
        <v>0</v>
      </c>
      <c r="BA26" s="46">
        <v>0</v>
      </c>
      <c r="BB26" s="46">
        <v>0</v>
      </c>
      <c r="BC26" s="46">
        <v>0</v>
      </c>
      <c r="BD26" s="46">
        <v>0</v>
      </c>
      <c r="BE26" s="46">
        <v>0</v>
      </c>
      <c r="BF26" s="46">
        <v>0</v>
      </c>
      <c r="BG26" s="46" t="s">
        <v>48</v>
      </c>
      <c r="BH26" s="46">
        <v>0</v>
      </c>
      <c r="BI26" s="46">
        <v>0</v>
      </c>
      <c r="BJ26" s="46">
        <v>0</v>
      </c>
      <c r="BK26" s="46">
        <v>0</v>
      </c>
      <c r="BL26" s="46">
        <v>0</v>
      </c>
      <c r="BM26" s="46">
        <v>0</v>
      </c>
      <c r="BN26" s="46">
        <v>0</v>
      </c>
    </row>
    <row r="27" spans="1:66" x14ac:dyDescent="0.35">
      <c r="A27" t="s">
        <v>2924</v>
      </c>
      <c r="B27" s="44" t="s">
        <v>48</v>
      </c>
      <c r="C27" t="s">
        <v>2928</v>
      </c>
      <c r="D27" t="s">
        <v>2927</v>
      </c>
      <c r="E27" t="s">
        <v>2925</v>
      </c>
      <c r="F27" t="s">
        <v>2919</v>
      </c>
      <c r="G27" t="s">
        <v>74</v>
      </c>
      <c r="H27">
        <v>0</v>
      </c>
      <c r="I27" s="60" t="s">
        <v>51</v>
      </c>
      <c r="J27" s="33" t="s">
        <v>96</v>
      </c>
      <c r="K27" s="46">
        <v>1</v>
      </c>
      <c r="L27">
        <v>100</v>
      </c>
      <c r="M27" t="s">
        <v>48</v>
      </c>
      <c r="N27" s="46">
        <v>1</v>
      </c>
      <c r="O27" s="46">
        <v>0</v>
      </c>
      <c r="P27" s="46">
        <v>0</v>
      </c>
      <c r="Q27" t="s">
        <v>48</v>
      </c>
      <c r="R27" t="s">
        <v>48</v>
      </c>
      <c r="S27" t="s">
        <v>48</v>
      </c>
      <c r="T27" t="s">
        <v>2926</v>
      </c>
      <c r="U27" t="s">
        <v>48</v>
      </c>
      <c r="V27" s="47">
        <v>0</v>
      </c>
      <c r="W27" t="s">
        <v>48</v>
      </c>
      <c r="X27" t="s">
        <v>48</v>
      </c>
      <c r="Y27" t="s">
        <v>48</v>
      </c>
      <c r="Z27">
        <v>0</v>
      </c>
      <c r="AA27" t="s">
        <v>48</v>
      </c>
      <c r="AB27" t="s">
        <v>48</v>
      </c>
      <c r="AC27" t="s">
        <v>63</v>
      </c>
      <c r="AD27" t="s">
        <v>93</v>
      </c>
      <c r="AE27" t="s">
        <v>977</v>
      </c>
      <c r="AF27" t="s">
        <v>11085</v>
      </c>
      <c r="AG27" t="s">
        <v>48</v>
      </c>
      <c r="AH27" t="s">
        <v>48</v>
      </c>
      <c r="AI27">
        <v>21325</v>
      </c>
      <c r="AJ27">
        <v>1968</v>
      </c>
      <c r="AK27" t="s">
        <v>8512</v>
      </c>
      <c r="AL27" t="s">
        <v>8513</v>
      </c>
      <c r="AM27">
        <v>-0.33500000000000002</v>
      </c>
      <c r="AN27">
        <v>0.1</v>
      </c>
      <c r="AO27">
        <v>-0.33500000000000002</v>
      </c>
      <c r="AP27" s="46">
        <v>0</v>
      </c>
      <c r="AQ27" s="46">
        <v>0</v>
      </c>
      <c r="AR27" s="46">
        <v>0</v>
      </c>
      <c r="AS27" s="46">
        <v>0</v>
      </c>
      <c r="AT27" s="46">
        <v>0</v>
      </c>
      <c r="AU27" s="46">
        <v>0</v>
      </c>
      <c r="AV27" s="46">
        <v>0</v>
      </c>
      <c r="AW27" s="46">
        <v>0</v>
      </c>
      <c r="AX27" s="46">
        <v>0</v>
      </c>
      <c r="AY27" s="46">
        <v>0</v>
      </c>
      <c r="AZ27" s="46">
        <v>0</v>
      </c>
      <c r="BA27" s="46">
        <v>0</v>
      </c>
      <c r="BB27" s="46">
        <v>0</v>
      </c>
      <c r="BC27" s="46">
        <v>0</v>
      </c>
      <c r="BD27" s="46">
        <v>0</v>
      </c>
      <c r="BE27" s="46">
        <v>0</v>
      </c>
      <c r="BF27" s="46">
        <v>0</v>
      </c>
      <c r="BG27" s="46" t="s">
        <v>48</v>
      </c>
      <c r="BH27" s="46">
        <v>0</v>
      </c>
      <c r="BI27" s="46">
        <v>0</v>
      </c>
      <c r="BJ27" s="46">
        <v>0</v>
      </c>
      <c r="BK27" s="46">
        <v>0</v>
      </c>
      <c r="BL27" s="46">
        <v>0</v>
      </c>
      <c r="BM27" s="46">
        <v>0</v>
      </c>
      <c r="BN27" s="46">
        <v>0</v>
      </c>
    </row>
    <row r="28" spans="1:66" x14ac:dyDescent="0.35">
      <c r="A28" t="s">
        <v>3152</v>
      </c>
      <c r="B28" s="44" t="s">
        <v>48</v>
      </c>
      <c r="C28" t="s">
        <v>2514</v>
      </c>
      <c r="D28" t="s">
        <v>253</v>
      </c>
      <c r="E28" t="s">
        <v>3153</v>
      </c>
      <c r="F28" t="s">
        <v>3150</v>
      </c>
      <c r="G28" t="s">
        <v>74</v>
      </c>
      <c r="H28">
        <v>0</v>
      </c>
      <c r="I28" s="60" t="s">
        <v>177</v>
      </c>
      <c r="J28" s="33" t="s">
        <v>96</v>
      </c>
      <c r="K28" s="46">
        <v>0</v>
      </c>
      <c r="L28">
        <v>100</v>
      </c>
      <c r="M28" t="s">
        <v>48</v>
      </c>
      <c r="N28" s="46">
        <v>1</v>
      </c>
      <c r="O28" s="46">
        <v>0</v>
      </c>
      <c r="P28" s="46">
        <v>0</v>
      </c>
      <c r="Q28" t="s">
        <v>48</v>
      </c>
      <c r="R28" t="s">
        <v>48</v>
      </c>
      <c r="S28" t="s">
        <v>3154</v>
      </c>
      <c r="T28" t="s">
        <v>48</v>
      </c>
      <c r="U28" t="s">
        <v>3154</v>
      </c>
      <c r="V28" s="47">
        <v>1</v>
      </c>
      <c r="W28" t="s">
        <v>48</v>
      </c>
      <c r="X28" t="s">
        <v>48</v>
      </c>
      <c r="Y28" t="s">
        <v>48</v>
      </c>
      <c r="Z28">
        <v>0</v>
      </c>
      <c r="AA28" t="s">
        <v>48</v>
      </c>
      <c r="AB28" t="s">
        <v>48</v>
      </c>
      <c r="AC28" t="s">
        <v>49</v>
      </c>
      <c r="AD28" t="s">
        <v>93</v>
      </c>
      <c r="AE28" t="s">
        <v>4532</v>
      </c>
      <c r="AF28" t="s">
        <v>48</v>
      </c>
      <c r="AG28" t="s">
        <v>48</v>
      </c>
      <c r="AH28" t="s">
        <v>48</v>
      </c>
      <c r="AI28" t="s">
        <v>48</v>
      </c>
      <c r="AJ28" t="s">
        <v>48</v>
      </c>
      <c r="AK28" t="s">
        <v>48</v>
      </c>
      <c r="AL28" t="s">
        <v>48</v>
      </c>
      <c r="AM28" t="s">
        <v>48</v>
      </c>
      <c r="AN28" t="s">
        <v>48</v>
      </c>
      <c r="AO28" t="s">
        <v>48</v>
      </c>
      <c r="AP28" s="46">
        <v>0</v>
      </c>
      <c r="AQ28" s="46">
        <v>0</v>
      </c>
      <c r="AR28" s="46">
        <v>0</v>
      </c>
      <c r="AS28" s="46">
        <v>0</v>
      </c>
      <c r="AT28" s="46">
        <v>0</v>
      </c>
      <c r="AU28" s="46">
        <v>0</v>
      </c>
      <c r="AV28" s="46">
        <v>0</v>
      </c>
      <c r="AW28" s="46">
        <v>0</v>
      </c>
      <c r="AX28" s="46">
        <v>0</v>
      </c>
      <c r="AY28" s="46">
        <v>0</v>
      </c>
      <c r="AZ28" s="46">
        <v>0</v>
      </c>
      <c r="BA28" s="46">
        <v>0</v>
      </c>
      <c r="BB28" s="46">
        <v>0</v>
      </c>
      <c r="BC28" s="46">
        <v>0</v>
      </c>
      <c r="BD28" s="46">
        <v>0</v>
      </c>
      <c r="BE28" s="46">
        <v>0</v>
      </c>
      <c r="BF28" s="46">
        <v>0</v>
      </c>
      <c r="BG28" s="46" t="s">
        <v>48</v>
      </c>
      <c r="BH28" s="46">
        <v>0</v>
      </c>
      <c r="BI28" s="46">
        <v>0</v>
      </c>
      <c r="BJ28" s="46">
        <v>0</v>
      </c>
      <c r="BK28" s="46">
        <v>0</v>
      </c>
      <c r="BL28" s="46">
        <v>0</v>
      </c>
      <c r="BM28" s="46">
        <v>0</v>
      </c>
      <c r="BN28" s="46">
        <v>0</v>
      </c>
    </row>
    <row r="29" spans="1:66" x14ac:dyDescent="0.35">
      <c r="A29" t="s">
        <v>3155</v>
      </c>
      <c r="B29" t="s">
        <v>48</v>
      </c>
      <c r="C29" t="s">
        <v>341</v>
      </c>
      <c r="D29" t="s">
        <v>2371</v>
      </c>
      <c r="E29" t="s">
        <v>3156</v>
      </c>
      <c r="F29" t="s">
        <v>3150</v>
      </c>
      <c r="G29" t="s">
        <v>47</v>
      </c>
      <c r="H29">
        <v>0</v>
      </c>
      <c r="I29" s="60" t="s">
        <v>51</v>
      </c>
      <c r="J29" s="33" t="s">
        <v>96</v>
      </c>
      <c r="K29" s="46">
        <v>1</v>
      </c>
      <c r="L29">
        <v>100</v>
      </c>
      <c r="M29" t="s">
        <v>48</v>
      </c>
      <c r="N29" s="46">
        <v>1</v>
      </c>
      <c r="O29" s="46">
        <v>0</v>
      </c>
      <c r="P29" s="46">
        <v>0</v>
      </c>
      <c r="Q29" t="s">
        <v>48</v>
      </c>
      <c r="R29" t="s">
        <v>48</v>
      </c>
      <c r="S29" t="s">
        <v>48</v>
      </c>
      <c r="T29" t="s">
        <v>3157</v>
      </c>
      <c r="U29" t="s">
        <v>48</v>
      </c>
      <c r="V29" s="47">
        <v>0</v>
      </c>
      <c r="W29" t="s">
        <v>48</v>
      </c>
      <c r="X29" t="s">
        <v>48</v>
      </c>
      <c r="Y29" t="s">
        <v>48</v>
      </c>
      <c r="Z29">
        <v>0</v>
      </c>
      <c r="AA29" t="s">
        <v>48</v>
      </c>
      <c r="AB29" t="s">
        <v>48</v>
      </c>
      <c r="AC29" t="s">
        <v>49</v>
      </c>
      <c r="AD29" t="s">
        <v>93</v>
      </c>
      <c r="AE29" t="s">
        <v>4532</v>
      </c>
      <c r="AF29" t="s">
        <v>48</v>
      </c>
      <c r="AG29" t="s">
        <v>48</v>
      </c>
      <c r="AH29" t="s">
        <v>48</v>
      </c>
      <c r="AI29">
        <v>21133</v>
      </c>
      <c r="AJ29">
        <v>1972</v>
      </c>
      <c r="AK29" t="s">
        <v>8514</v>
      </c>
      <c r="AL29" t="s">
        <v>8515</v>
      </c>
      <c r="AM29">
        <v>0.45900000000000002</v>
      </c>
      <c r="AN29">
        <v>-3.6999999999999998E-2</v>
      </c>
      <c r="AO29">
        <v>0.45900000000000002</v>
      </c>
      <c r="AP29" s="46">
        <v>0</v>
      </c>
      <c r="AQ29" s="46">
        <v>0</v>
      </c>
      <c r="AR29" s="46">
        <v>0</v>
      </c>
      <c r="AS29" s="46">
        <v>0</v>
      </c>
      <c r="AT29" s="46">
        <v>0</v>
      </c>
      <c r="AU29" s="46">
        <v>0</v>
      </c>
      <c r="AV29" s="46">
        <v>0</v>
      </c>
      <c r="AW29" s="46">
        <v>0</v>
      </c>
      <c r="AX29" s="46">
        <v>0</v>
      </c>
      <c r="AY29" s="46">
        <v>0</v>
      </c>
      <c r="AZ29" s="46">
        <v>1</v>
      </c>
      <c r="BA29" s="46">
        <v>0</v>
      </c>
      <c r="BB29" s="46">
        <v>0</v>
      </c>
      <c r="BC29" s="46">
        <v>0</v>
      </c>
      <c r="BD29" s="46">
        <v>0</v>
      </c>
      <c r="BE29" s="46">
        <v>0</v>
      </c>
      <c r="BF29" s="46">
        <v>0</v>
      </c>
      <c r="BG29" s="46" t="s">
        <v>48</v>
      </c>
      <c r="BH29" s="46">
        <v>0</v>
      </c>
      <c r="BI29" s="46">
        <v>0</v>
      </c>
      <c r="BJ29" s="46">
        <v>0</v>
      </c>
      <c r="BK29" s="46">
        <v>0</v>
      </c>
      <c r="BL29" s="46">
        <v>0</v>
      </c>
      <c r="BM29" s="46">
        <v>0</v>
      </c>
      <c r="BN29" s="46">
        <v>0</v>
      </c>
    </row>
    <row r="30" spans="1:66" x14ac:dyDescent="0.35">
      <c r="A30" t="s">
        <v>3212</v>
      </c>
      <c r="B30" s="44" t="s">
        <v>48</v>
      </c>
      <c r="C30" t="s">
        <v>3215</v>
      </c>
      <c r="D30" t="s">
        <v>372</v>
      </c>
      <c r="E30" t="s">
        <v>3213</v>
      </c>
      <c r="F30" t="s">
        <v>3201</v>
      </c>
      <c r="G30" t="s">
        <v>47</v>
      </c>
      <c r="H30">
        <v>0</v>
      </c>
      <c r="I30" s="60" t="s">
        <v>51</v>
      </c>
      <c r="J30" s="33" t="s">
        <v>96</v>
      </c>
      <c r="K30" s="46">
        <v>1</v>
      </c>
      <c r="L30">
        <v>80.599999999999994</v>
      </c>
      <c r="M30" t="s">
        <v>48</v>
      </c>
      <c r="N30" s="46">
        <v>1</v>
      </c>
      <c r="O30" s="46">
        <v>0</v>
      </c>
      <c r="P30" s="46">
        <v>0</v>
      </c>
      <c r="Q30" t="s">
        <v>48</v>
      </c>
      <c r="R30" t="s">
        <v>48</v>
      </c>
      <c r="S30" t="s">
        <v>10117</v>
      </c>
      <c r="T30" t="s">
        <v>3214</v>
      </c>
      <c r="U30" t="s">
        <v>10117</v>
      </c>
      <c r="V30" s="47">
        <v>0</v>
      </c>
      <c r="W30" t="s">
        <v>48</v>
      </c>
      <c r="X30" t="s">
        <v>48</v>
      </c>
      <c r="Y30" t="s">
        <v>48</v>
      </c>
      <c r="Z30">
        <v>0</v>
      </c>
      <c r="AA30" t="s">
        <v>48</v>
      </c>
      <c r="AB30" t="s">
        <v>48</v>
      </c>
      <c r="AC30" t="s">
        <v>49</v>
      </c>
      <c r="AD30" t="s">
        <v>93</v>
      </c>
      <c r="AE30" t="s">
        <v>4532</v>
      </c>
      <c r="AF30" t="s">
        <v>48</v>
      </c>
      <c r="AG30" t="s">
        <v>48</v>
      </c>
      <c r="AH30" t="s">
        <v>48</v>
      </c>
      <c r="AI30">
        <v>29722</v>
      </c>
      <c r="AJ30">
        <v>1954</v>
      </c>
      <c r="AK30" t="s">
        <v>8520</v>
      </c>
      <c r="AL30" t="s">
        <v>8521</v>
      </c>
      <c r="AM30">
        <v>0.41799999999999998</v>
      </c>
      <c r="AN30">
        <v>0.23</v>
      </c>
      <c r="AO30">
        <v>0.41799999999999998</v>
      </c>
      <c r="AP30" s="46">
        <v>0</v>
      </c>
      <c r="AQ30" s="46">
        <v>0</v>
      </c>
      <c r="AR30" s="46">
        <v>0</v>
      </c>
      <c r="AS30" s="46">
        <v>0</v>
      </c>
      <c r="AT30" s="46">
        <v>0</v>
      </c>
      <c r="AU30" s="46">
        <v>0</v>
      </c>
      <c r="AV30" s="46">
        <v>0</v>
      </c>
      <c r="AW30" s="46">
        <v>0</v>
      </c>
      <c r="AX30" s="46">
        <v>0</v>
      </c>
      <c r="AY30" s="46">
        <v>0</v>
      </c>
      <c r="AZ30" s="46">
        <v>0</v>
      </c>
      <c r="BA30" s="46">
        <v>0</v>
      </c>
      <c r="BB30" s="46">
        <v>0</v>
      </c>
      <c r="BC30" s="46">
        <v>0</v>
      </c>
      <c r="BD30" s="46">
        <v>0</v>
      </c>
      <c r="BE30" s="46">
        <v>0</v>
      </c>
      <c r="BF30" s="46">
        <v>0</v>
      </c>
      <c r="BG30" s="46" t="s">
        <v>48</v>
      </c>
      <c r="BH30" s="46">
        <v>0</v>
      </c>
      <c r="BI30" s="46">
        <v>0</v>
      </c>
      <c r="BJ30" s="46">
        <v>0</v>
      </c>
      <c r="BK30" s="46">
        <v>0</v>
      </c>
      <c r="BL30" s="46">
        <v>0</v>
      </c>
      <c r="BM30" s="46">
        <v>0</v>
      </c>
      <c r="BN30" s="46">
        <v>0</v>
      </c>
    </row>
    <row r="31" spans="1:66" x14ac:dyDescent="0.35">
      <c r="A31" t="s">
        <v>3206</v>
      </c>
      <c r="B31" s="44" t="s">
        <v>48</v>
      </c>
      <c r="C31" t="s">
        <v>3037</v>
      </c>
      <c r="D31" t="s">
        <v>655</v>
      </c>
      <c r="E31" t="s">
        <v>3207</v>
      </c>
      <c r="F31" t="s">
        <v>3201</v>
      </c>
      <c r="G31" t="s">
        <v>74</v>
      </c>
      <c r="H31">
        <v>0</v>
      </c>
      <c r="I31" s="60" t="s">
        <v>177</v>
      </c>
      <c r="J31" s="33" t="s">
        <v>96</v>
      </c>
      <c r="K31" s="46">
        <v>0</v>
      </c>
      <c r="L31">
        <v>38.1</v>
      </c>
      <c r="M31" t="s">
        <v>48</v>
      </c>
      <c r="N31" s="46">
        <v>1</v>
      </c>
      <c r="O31" s="46">
        <v>0</v>
      </c>
      <c r="P31" s="46">
        <v>0</v>
      </c>
      <c r="Q31" t="s">
        <v>48</v>
      </c>
      <c r="R31" t="s">
        <v>48</v>
      </c>
      <c r="S31" t="s">
        <v>3208</v>
      </c>
      <c r="T31" t="s">
        <v>48</v>
      </c>
      <c r="U31" t="s">
        <v>3208</v>
      </c>
      <c r="V31" s="47">
        <v>0</v>
      </c>
      <c r="W31" t="s">
        <v>48</v>
      </c>
      <c r="X31" t="s">
        <v>48</v>
      </c>
      <c r="Y31" t="s">
        <v>48</v>
      </c>
      <c r="Z31">
        <v>0</v>
      </c>
      <c r="AA31" t="s">
        <v>48</v>
      </c>
      <c r="AB31" t="s">
        <v>48</v>
      </c>
      <c r="AC31" t="s">
        <v>49</v>
      </c>
      <c r="AD31" t="s">
        <v>93</v>
      </c>
      <c r="AE31" t="s">
        <v>4532</v>
      </c>
      <c r="AF31" t="s">
        <v>48</v>
      </c>
      <c r="AG31" t="s">
        <v>479</v>
      </c>
      <c r="AH31" t="s">
        <v>48</v>
      </c>
      <c r="AI31" t="s">
        <v>48</v>
      </c>
      <c r="AJ31" t="s">
        <v>48</v>
      </c>
      <c r="AK31" t="s">
        <v>48</v>
      </c>
      <c r="AL31" t="s">
        <v>48</v>
      </c>
      <c r="AM31" t="s">
        <v>48</v>
      </c>
      <c r="AN31" t="s">
        <v>48</v>
      </c>
      <c r="AO31" t="s">
        <v>48</v>
      </c>
      <c r="AP31" s="46">
        <v>0</v>
      </c>
      <c r="AQ31" s="46">
        <v>0</v>
      </c>
      <c r="AR31" s="46">
        <v>0</v>
      </c>
      <c r="AS31" s="46">
        <v>0</v>
      </c>
      <c r="AT31" s="46">
        <v>0</v>
      </c>
      <c r="AU31" s="46">
        <v>0</v>
      </c>
      <c r="AV31" s="46">
        <v>0</v>
      </c>
      <c r="AW31" s="46">
        <v>0</v>
      </c>
      <c r="AX31" s="46">
        <v>0</v>
      </c>
      <c r="AY31" s="46">
        <v>0</v>
      </c>
      <c r="AZ31" s="46">
        <v>0</v>
      </c>
      <c r="BA31" s="46">
        <v>0</v>
      </c>
      <c r="BB31" s="46">
        <v>0</v>
      </c>
      <c r="BC31" s="46">
        <v>0</v>
      </c>
      <c r="BD31" s="46">
        <v>0</v>
      </c>
      <c r="BE31" s="46">
        <v>0</v>
      </c>
      <c r="BF31" s="46">
        <v>0</v>
      </c>
      <c r="BG31" s="46" t="s">
        <v>48</v>
      </c>
      <c r="BH31" s="46">
        <v>0</v>
      </c>
      <c r="BI31" s="46">
        <v>0</v>
      </c>
      <c r="BJ31" s="46">
        <v>0</v>
      </c>
      <c r="BK31" s="46">
        <v>0</v>
      </c>
      <c r="BL31" s="46">
        <v>0</v>
      </c>
      <c r="BM31" s="46">
        <v>0</v>
      </c>
      <c r="BN31" s="46">
        <v>0</v>
      </c>
    </row>
    <row r="32" spans="1:66" x14ac:dyDescent="0.35">
      <c r="A32" t="s">
        <v>3360</v>
      </c>
      <c r="B32" s="44" t="s">
        <v>48</v>
      </c>
      <c r="C32" t="s">
        <v>3363</v>
      </c>
      <c r="D32" t="s">
        <v>1528</v>
      </c>
      <c r="E32" t="s">
        <v>3361</v>
      </c>
      <c r="F32" t="s">
        <v>3353</v>
      </c>
      <c r="G32" t="s">
        <v>74</v>
      </c>
      <c r="H32">
        <v>0</v>
      </c>
      <c r="I32" s="60" t="s">
        <v>177</v>
      </c>
      <c r="J32" s="33" t="s">
        <v>96</v>
      </c>
      <c r="K32" s="46">
        <v>0</v>
      </c>
      <c r="L32">
        <v>73.2</v>
      </c>
      <c r="M32" t="s">
        <v>48</v>
      </c>
      <c r="N32" s="46">
        <v>1</v>
      </c>
      <c r="O32" s="46">
        <v>0</v>
      </c>
      <c r="P32" s="46">
        <v>0</v>
      </c>
      <c r="Q32" t="s">
        <v>48</v>
      </c>
      <c r="R32" t="s">
        <v>48</v>
      </c>
      <c r="S32" t="s">
        <v>3362</v>
      </c>
      <c r="T32" t="s">
        <v>48</v>
      </c>
      <c r="U32" t="s">
        <v>3362</v>
      </c>
      <c r="V32" s="47">
        <v>0</v>
      </c>
      <c r="W32" t="s">
        <v>48</v>
      </c>
      <c r="X32" t="s">
        <v>48</v>
      </c>
      <c r="Y32" t="s">
        <v>48</v>
      </c>
      <c r="Z32">
        <v>0</v>
      </c>
      <c r="AA32" t="s">
        <v>48</v>
      </c>
      <c r="AB32" t="s">
        <v>48</v>
      </c>
      <c r="AC32" t="s">
        <v>49</v>
      </c>
      <c r="AD32" t="s">
        <v>93</v>
      </c>
      <c r="AE32" s="40" t="s">
        <v>2471</v>
      </c>
      <c r="AF32" t="s">
        <v>11061</v>
      </c>
      <c r="AG32" t="s">
        <v>48</v>
      </c>
      <c r="AH32" t="s">
        <v>48</v>
      </c>
      <c r="AI32" t="s">
        <v>48</v>
      </c>
      <c r="AJ32" t="s">
        <v>48</v>
      </c>
      <c r="AK32" t="s">
        <v>48</v>
      </c>
      <c r="AL32" t="s">
        <v>48</v>
      </c>
      <c r="AM32" t="s">
        <v>48</v>
      </c>
      <c r="AN32" t="s">
        <v>48</v>
      </c>
      <c r="AO32" t="s">
        <v>48</v>
      </c>
      <c r="AP32" s="46">
        <v>0</v>
      </c>
      <c r="AQ32" s="46">
        <v>1</v>
      </c>
      <c r="AR32" s="46">
        <v>1</v>
      </c>
      <c r="AS32" s="46">
        <v>1</v>
      </c>
      <c r="AT32" s="46">
        <v>0</v>
      </c>
      <c r="AU32" s="46">
        <v>0</v>
      </c>
      <c r="AV32" s="46">
        <v>0</v>
      </c>
      <c r="AW32" s="46">
        <v>0</v>
      </c>
      <c r="AX32" s="46">
        <v>0</v>
      </c>
      <c r="AY32" s="46">
        <v>0</v>
      </c>
      <c r="AZ32" s="46">
        <v>0</v>
      </c>
      <c r="BA32" s="46">
        <v>0</v>
      </c>
      <c r="BB32" s="46">
        <v>0</v>
      </c>
      <c r="BC32" s="46">
        <v>0</v>
      </c>
      <c r="BD32" s="46">
        <v>0</v>
      </c>
      <c r="BE32" s="46">
        <v>0</v>
      </c>
      <c r="BF32" s="46">
        <v>0</v>
      </c>
      <c r="BG32" s="46" t="s">
        <v>48</v>
      </c>
      <c r="BH32" s="46">
        <v>0</v>
      </c>
      <c r="BI32" s="46">
        <v>0</v>
      </c>
      <c r="BJ32" s="46">
        <v>0</v>
      </c>
      <c r="BK32" s="46">
        <v>1</v>
      </c>
      <c r="BL32" s="46">
        <v>0</v>
      </c>
      <c r="BM32" s="46">
        <v>0</v>
      </c>
      <c r="BN32" s="46">
        <v>0</v>
      </c>
    </row>
    <row r="33" spans="1:66" x14ac:dyDescent="0.35">
      <c r="A33" t="s">
        <v>3378</v>
      </c>
      <c r="B33" s="44" t="s">
        <v>48</v>
      </c>
      <c r="C33" t="s">
        <v>437</v>
      </c>
      <c r="D33" t="s">
        <v>3381</v>
      </c>
      <c r="E33" t="s">
        <v>3379</v>
      </c>
      <c r="F33" t="s">
        <v>3353</v>
      </c>
      <c r="G33" t="s">
        <v>47</v>
      </c>
      <c r="H33">
        <v>0</v>
      </c>
      <c r="I33" s="60" t="s">
        <v>51</v>
      </c>
      <c r="J33" s="33" t="s">
        <v>96</v>
      </c>
      <c r="K33" s="46">
        <v>1</v>
      </c>
      <c r="L33">
        <v>86.3</v>
      </c>
      <c r="M33" t="s">
        <v>48</v>
      </c>
      <c r="N33" s="46">
        <v>1</v>
      </c>
      <c r="O33" s="46">
        <v>0</v>
      </c>
      <c r="P33" s="46">
        <v>0</v>
      </c>
      <c r="Q33" t="s">
        <v>48</v>
      </c>
      <c r="R33" t="s">
        <v>48</v>
      </c>
      <c r="S33" t="s">
        <v>48</v>
      </c>
      <c r="T33" t="s">
        <v>3380</v>
      </c>
      <c r="U33" t="s">
        <v>48</v>
      </c>
      <c r="V33" s="47">
        <v>0</v>
      </c>
      <c r="W33" t="s">
        <v>48</v>
      </c>
      <c r="X33" t="s">
        <v>48</v>
      </c>
      <c r="Y33" t="s">
        <v>48</v>
      </c>
      <c r="Z33">
        <v>0</v>
      </c>
      <c r="AA33" t="s">
        <v>48</v>
      </c>
      <c r="AB33" t="s">
        <v>48</v>
      </c>
      <c r="AC33" t="s">
        <v>49</v>
      </c>
      <c r="AD33" t="s">
        <v>93</v>
      </c>
      <c r="AE33" t="s">
        <v>4532</v>
      </c>
      <c r="AF33" t="s">
        <v>48</v>
      </c>
      <c r="AG33" t="s">
        <v>48</v>
      </c>
      <c r="AH33" t="s">
        <v>48</v>
      </c>
      <c r="AI33">
        <v>41104</v>
      </c>
      <c r="AJ33">
        <v>1963</v>
      </c>
      <c r="AK33" t="s">
        <v>8524</v>
      </c>
      <c r="AL33" t="s">
        <v>8525</v>
      </c>
      <c r="AM33">
        <v>0.88100000000000001</v>
      </c>
      <c r="AN33">
        <v>-0.47299999999999998</v>
      </c>
      <c r="AO33">
        <v>0.88100000000000001</v>
      </c>
      <c r="AP33" s="46">
        <v>0</v>
      </c>
      <c r="AQ33" s="46">
        <v>0</v>
      </c>
      <c r="AR33" s="46">
        <v>0</v>
      </c>
      <c r="AS33" s="46">
        <v>0</v>
      </c>
      <c r="AT33" s="46">
        <v>0</v>
      </c>
      <c r="AU33" s="46">
        <v>0</v>
      </c>
      <c r="AV33" s="46">
        <v>0</v>
      </c>
      <c r="AW33" s="46">
        <v>0</v>
      </c>
      <c r="AX33" s="46">
        <v>0</v>
      </c>
      <c r="AY33" s="46">
        <v>0</v>
      </c>
      <c r="AZ33" s="46">
        <v>0</v>
      </c>
      <c r="BA33" s="46">
        <v>0</v>
      </c>
      <c r="BB33" s="46">
        <v>0</v>
      </c>
      <c r="BC33" s="46">
        <v>0</v>
      </c>
      <c r="BD33" s="46">
        <v>0</v>
      </c>
      <c r="BE33" s="46">
        <v>1</v>
      </c>
      <c r="BF33" s="46">
        <v>0</v>
      </c>
      <c r="BG33" s="46">
        <v>1</v>
      </c>
      <c r="BH33" s="46">
        <v>0</v>
      </c>
      <c r="BI33" s="46">
        <v>0</v>
      </c>
      <c r="BJ33" s="46">
        <v>0</v>
      </c>
      <c r="BK33" s="46">
        <v>0</v>
      </c>
      <c r="BL33" s="46">
        <v>0</v>
      </c>
      <c r="BM33" s="46">
        <v>0</v>
      </c>
      <c r="BN33" s="46">
        <v>1</v>
      </c>
    </row>
    <row r="34" spans="1:66" x14ac:dyDescent="0.35">
      <c r="A34" t="s">
        <v>10207</v>
      </c>
      <c r="B34" s="44" t="s">
        <v>48</v>
      </c>
      <c r="C34" t="s">
        <v>11994</v>
      </c>
      <c r="D34" t="s">
        <v>216</v>
      </c>
      <c r="E34" t="s">
        <v>10208</v>
      </c>
      <c r="F34" t="s">
        <v>3687</v>
      </c>
      <c r="G34" t="s">
        <v>47</v>
      </c>
      <c r="H34">
        <v>0</v>
      </c>
      <c r="I34" s="61">
        <v>44783</v>
      </c>
      <c r="J34" s="33" t="s">
        <v>96</v>
      </c>
      <c r="K34" s="46">
        <v>0</v>
      </c>
      <c r="L34">
        <v>21.3</v>
      </c>
      <c r="M34" t="s">
        <v>48</v>
      </c>
      <c r="N34" s="46">
        <v>1</v>
      </c>
      <c r="O34" s="46">
        <v>0</v>
      </c>
      <c r="P34" s="46">
        <v>0</v>
      </c>
      <c r="Q34" t="s">
        <v>48</v>
      </c>
      <c r="R34" t="s">
        <v>48</v>
      </c>
      <c r="S34" t="s">
        <v>48</v>
      </c>
      <c r="T34" t="s">
        <v>48</v>
      </c>
      <c r="U34" t="s">
        <v>48</v>
      </c>
      <c r="V34" s="47">
        <v>1</v>
      </c>
      <c r="W34" t="s">
        <v>11264</v>
      </c>
      <c r="X34" t="s">
        <v>48</v>
      </c>
      <c r="Y34" t="s">
        <v>48</v>
      </c>
      <c r="Z34" t="s">
        <v>48</v>
      </c>
      <c r="AA34" t="s">
        <v>48</v>
      </c>
      <c r="AB34" t="s">
        <v>48</v>
      </c>
      <c r="AC34" t="s">
        <v>49</v>
      </c>
      <c r="AD34" t="s">
        <v>93</v>
      </c>
      <c r="AE34" t="s">
        <v>4532</v>
      </c>
      <c r="AF34" t="s">
        <v>48</v>
      </c>
      <c r="AG34" t="s">
        <v>48</v>
      </c>
      <c r="AH34" t="s">
        <v>48</v>
      </c>
      <c r="AI34" t="s">
        <v>48</v>
      </c>
      <c r="AJ34" t="s">
        <v>48</v>
      </c>
      <c r="AK34" t="s">
        <v>48</v>
      </c>
      <c r="AL34" t="s">
        <v>48</v>
      </c>
      <c r="AM34" t="s">
        <v>48</v>
      </c>
      <c r="AN34" t="s">
        <v>48</v>
      </c>
      <c r="AO34" t="s">
        <v>48</v>
      </c>
      <c r="AP34" s="46">
        <v>0</v>
      </c>
      <c r="AQ34" s="46">
        <v>0</v>
      </c>
      <c r="AR34" s="46">
        <v>0</v>
      </c>
      <c r="AS34" s="46">
        <v>0</v>
      </c>
      <c r="AT34" s="46">
        <v>0</v>
      </c>
      <c r="AU34" s="46">
        <v>0</v>
      </c>
      <c r="AV34" s="46">
        <v>0</v>
      </c>
      <c r="AW34" s="46">
        <v>0</v>
      </c>
      <c r="AX34" s="46">
        <v>0</v>
      </c>
      <c r="AY34" s="46">
        <v>0</v>
      </c>
      <c r="AZ34" s="46">
        <v>0</v>
      </c>
      <c r="BA34" s="46">
        <v>0</v>
      </c>
      <c r="BB34" s="46">
        <v>0</v>
      </c>
      <c r="BC34" s="46">
        <v>0</v>
      </c>
      <c r="BD34" s="46">
        <v>0</v>
      </c>
      <c r="BE34" s="46">
        <v>0</v>
      </c>
      <c r="BF34" s="46">
        <v>0</v>
      </c>
      <c r="BG34" s="46">
        <v>1</v>
      </c>
      <c r="BH34" s="46">
        <v>0</v>
      </c>
      <c r="BI34" s="46">
        <v>0</v>
      </c>
      <c r="BJ34" s="46">
        <v>0</v>
      </c>
      <c r="BK34" s="46">
        <v>0</v>
      </c>
      <c r="BL34" s="46">
        <v>0</v>
      </c>
      <c r="BM34" s="46">
        <v>0</v>
      </c>
      <c r="BN34" s="46">
        <v>0</v>
      </c>
    </row>
    <row r="35" spans="1:66" x14ac:dyDescent="0.35">
      <c r="A35" t="s">
        <v>3705</v>
      </c>
      <c r="B35" s="44" t="s">
        <v>48</v>
      </c>
      <c r="C35" t="s">
        <v>11998</v>
      </c>
      <c r="D35" t="s">
        <v>216</v>
      </c>
      <c r="E35" t="s">
        <v>3706</v>
      </c>
      <c r="F35" t="s">
        <v>3687</v>
      </c>
      <c r="G35" t="s">
        <v>74</v>
      </c>
      <c r="H35">
        <v>0</v>
      </c>
      <c r="I35" s="60" t="s">
        <v>51</v>
      </c>
      <c r="J35" s="33" t="s">
        <v>96</v>
      </c>
      <c r="K35" s="46">
        <v>1</v>
      </c>
      <c r="L35">
        <v>80.3</v>
      </c>
      <c r="M35" t="s">
        <v>48</v>
      </c>
      <c r="N35" s="46">
        <v>1</v>
      </c>
      <c r="O35" s="46">
        <v>0</v>
      </c>
      <c r="P35" s="46">
        <v>0</v>
      </c>
      <c r="Q35" t="s">
        <v>48</v>
      </c>
      <c r="R35" t="s">
        <v>48</v>
      </c>
      <c r="S35" t="s">
        <v>48</v>
      </c>
      <c r="T35" t="s">
        <v>3707</v>
      </c>
      <c r="U35" t="s">
        <v>48</v>
      </c>
      <c r="V35" s="47">
        <v>0</v>
      </c>
      <c r="W35" t="s">
        <v>48</v>
      </c>
      <c r="X35" t="s">
        <v>48</v>
      </c>
      <c r="Y35" t="s">
        <v>48</v>
      </c>
      <c r="Z35">
        <v>0</v>
      </c>
      <c r="AA35" t="s">
        <v>48</v>
      </c>
      <c r="AB35" t="s">
        <v>48</v>
      </c>
      <c r="AC35" t="s">
        <v>49</v>
      </c>
      <c r="AD35" t="s">
        <v>93</v>
      </c>
      <c r="AE35" t="s">
        <v>4532</v>
      </c>
      <c r="AF35" t="s">
        <v>48</v>
      </c>
      <c r="AG35" t="s">
        <v>48</v>
      </c>
      <c r="AH35" t="s">
        <v>48</v>
      </c>
      <c r="AI35">
        <v>20330</v>
      </c>
      <c r="AJ35">
        <v>1959</v>
      </c>
      <c r="AK35" t="s">
        <v>8535</v>
      </c>
      <c r="AL35" t="s">
        <v>8536</v>
      </c>
      <c r="AM35">
        <v>-0.39100000000000001</v>
      </c>
      <c r="AN35">
        <v>-0.20699999999999999</v>
      </c>
      <c r="AO35">
        <v>-0.39100000000000001</v>
      </c>
      <c r="AP35" s="46">
        <v>0</v>
      </c>
      <c r="AQ35" s="46">
        <v>0</v>
      </c>
      <c r="AR35" s="46">
        <v>0</v>
      </c>
      <c r="AS35" s="46">
        <v>0</v>
      </c>
      <c r="AT35" s="46">
        <v>0</v>
      </c>
      <c r="AU35" s="46">
        <v>0</v>
      </c>
      <c r="AV35" s="46">
        <v>0</v>
      </c>
      <c r="AW35" s="46">
        <v>0</v>
      </c>
      <c r="AX35" s="46">
        <v>0</v>
      </c>
      <c r="AY35" s="46">
        <v>0</v>
      </c>
      <c r="AZ35" s="46">
        <v>0</v>
      </c>
      <c r="BA35" s="46">
        <v>0</v>
      </c>
      <c r="BB35" s="46">
        <v>0</v>
      </c>
      <c r="BC35" s="46">
        <v>0</v>
      </c>
      <c r="BD35" s="46">
        <v>0</v>
      </c>
      <c r="BE35" s="46">
        <v>0</v>
      </c>
      <c r="BF35" s="46">
        <v>0</v>
      </c>
      <c r="BG35" s="46" t="s">
        <v>48</v>
      </c>
      <c r="BH35" s="46">
        <v>0</v>
      </c>
      <c r="BI35" s="46">
        <v>0</v>
      </c>
      <c r="BJ35" s="46">
        <v>0</v>
      </c>
      <c r="BK35" s="46">
        <v>0</v>
      </c>
      <c r="BL35" s="46">
        <v>0</v>
      </c>
      <c r="BM35" s="46">
        <v>0</v>
      </c>
      <c r="BN35" s="46">
        <v>0</v>
      </c>
    </row>
    <row r="36" spans="1:66" x14ac:dyDescent="0.35">
      <c r="A36" t="s">
        <v>4148</v>
      </c>
      <c r="B36" s="44" t="s">
        <v>48</v>
      </c>
      <c r="C36" t="s">
        <v>4151</v>
      </c>
      <c r="D36" t="s">
        <v>1005</v>
      </c>
      <c r="E36" t="s">
        <v>4149</v>
      </c>
      <c r="F36" t="s">
        <v>147</v>
      </c>
      <c r="G36" t="s">
        <v>47</v>
      </c>
      <c r="H36">
        <v>0</v>
      </c>
      <c r="I36" s="60" t="s">
        <v>177</v>
      </c>
      <c r="J36" s="33" t="s">
        <v>96</v>
      </c>
      <c r="K36" s="46">
        <v>0</v>
      </c>
      <c r="L36">
        <v>45.7</v>
      </c>
      <c r="M36" t="s">
        <v>48</v>
      </c>
      <c r="N36" s="46">
        <v>1</v>
      </c>
      <c r="O36" s="46">
        <v>0</v>
      </c>
      <c r="P36" s="46">
        <v>0</v>
      </c>
      <c r="Q36" t="s">
        <v>48</v>
      </c>
      <c r="R36" t="s">
        <v>48</v>
      </c>
      <c r="S36" t="s">
        <v>4150</v>
      </c>
      <c r="T36" t="s">
        <v>48</v>
      </c>
      <c r="U36" t="s">
        <v>4150</v>
      </c>
      <c r="V36" s="47">
        <v>0</v>
      </c>
      <c r="W36" t="s">
        <v>48</v>
      </c>
      <c r="X36" t="s">
        <v>48</v>
      </c>
      <c r="Y36" t="s">
        <v>48</v>
      </c>
      <c r="Z36">
        <v>0</v>
      </c>
      <c r="AA36" t="s">
        <v>48</v>
      </c>
      <c r="AB36" t="s">
        <v>48</v>
      </c>
      <c r="AC36" t="s">
        <v>49</v>
      </c>
      <c r="AD36" t="s">
        <v>93</v>
      </c>
      <c r="AE36" t="s">
        <v>4532</v>
      </c>
      <c r="AF36" t="s">
        <v>48</v>
      </c>
      <c r="AG36" t="s">
        <v>48</v>
      </c>
      <c r="AH36" t="s">
        <v>48</v>
      </c>
      <c r="AI36" t="s">
        <v>48</v>
      </c>
      <c r="AJ36" t="s">
        <v>48</v>
      </c>
      <c r="AK36" t="s">
        <v>48</v>
      </c>
      <c r="AL36" t="s">
        <v>48</v>
      </c>
      <c r="AM36" t="s">
        <v>48</v>
      </c>
      <c r="AN36" t="s">
        <v>48</v>
      </c>
      <c r="AO36" t="s">
        <v>48</v>
      </c>
      <c r="AP36" s="46">
        <v>0</v>
      </c>
      <c r="AQ36" s="46">
        <v>0</v>
      </c>
      <c r="AR36" s="46">
        <v>0</v>
      </c>
      <c r="AS36" s="46">
        <v>0</v>
      </c>
      <c r="AT36" s="46">
        <v>0</v>
      </c>
      <c r="AU36" s="46">
        <v>0</v>
      </c>
      <c r="AV36" s="46">
        <v>0</v>
      </c>
      <c r="AW36" s="46">
        <v>0</v>
      </c>
      <c r="AX36" s="46">
        <v>0</v>
      </c>
      <c r="AY36" s="46">
        <v>0</v>
      </c>
      <c r="AZ36" s="46">
        <v>0</v>
      </c>
      <c r="BA36" s="46">
        <v>0</v>
      </c>
      <c r="BB36" s="46">
        <v>0</v>
      </c>
      <c r="BC36" s="46">
        <v>0</v>
      </c>
      <c r="BD36" s="46">
        <v>0</v>
      </c>
      <c r="BE36" s="46">
        <v>0</v>
      </c>
      <c r="BF36" s="46">
        <v>0</v>
      </c>
      <c r="BG36" s="46">
        <v>1</v>
      </c>
      <c r="BH36" s="46">
        <v>0</v>
      </c>
      <c r="BI36" s="46">
        <v>0</v>
      </c>
      <c r="BJ36" s="46">
        <v>0</v>
      </c>
      <c r="BK36" s="46">
        <v>0</v>
      </c>
      <c r="BL36" s="46">
        <v>0</v>
      </c>
      <c r="BM36" s="46">
        <v>0</v>
      </c>
      <c r="BN36" s="46">
        <v>0</v>
      </c>
    </row>
    <row r="37" spans="1:66" x14ac:dyDescent="0.35">
      <c r="A37" t="s">
        <v>9869</v>
      </c>
      <c r="B37" s="44" t="s">
        <v>48</v>
      </c>
      <c r="C37" t="s">
        <v>12063</v>
      </c>
      <c r="D37" t="s">
        <v>12064</v>
      </c>
      <c r="E37" t="s">
        <v>9870</v>
      </c>
      <c r="F37" t="s">
        <v>147</v>
      </c>
      <c r="G37" t="s">
        <v>74</v>
      </c>
      <c r="H37">
        <v>0</v>
      </c>
      <c r="I37" s="61">
        <v>44782</v>
      </c>
      <c r="J37" s="33" t="s">
        <v>96</v>
      </c>
      <c r="K37" s="46">
        <v>0</v>
      </c>
      <c r="L37">
        <v>43.2</v>
      </c>
      <c r="M37" t="s">
        <v>48</v>
      </c>
      <c r="N37" s="46">
        <v>1</v>
      </c>
      <c r="O37" s="46">
        <v>0</v>
      </c>
      <c r="P37" s="46">
        <v>0</v>
      </c>
      <c r="Q37" t="s">
        <v>48</v>
      </c>
      <c r="R37" t="s">
        <v>48</v>
      </c>
      <c r="S37" s="43" t="s">
        <v>10264</v>
      </c>
      <c r="T37" s="43" t="s">
        <v>48</v>
      </c>
      <c r="U37" s="43" t="s">
        <v>10264</v>
      </c>
      <c r="V37" s="47">
        <v>0</v>
      </c>
      <c r="W37" t="s">
        <v>48</v>
      </c>
      <c r="X37" t="s">
        <v>48</v>
      </c>
      <c r="Y37" t="s">
        <v>48</v>
      </c>
      <c r="Z37" t="s">
        <v>48</v>
      </c>
      <c r="AA37" t="s">
        <v>48</v>
      </c>
      <c r="AB37" t="s">
        <v>48</v>
      </c>
      <c r="AC37" t="s">
        <v>63</v>
      </c>
      <c r="AD37" t="s">
        <v>93</v>
      </c>
      <c r="AE37" s="40" t="s">
        <v>4532</v>
      </c>
      <c r="AF37" t="s">
        <v>48</v>
      </c>
      <c r="AG37" t="s">
        <v>48</v>
      </c>
      <c r="AH37" t="s">
        <v>48</v>
      </c>
      <c r="AI37" t="s">
        <v>48</v>
      </c>
      <c r="AJ37" t="s">
        <v>48</v>
      </c>
      <c r="AK37" t="s">
        <v>48</v>
      </c>
      <c r="AL37" t="s">
        <v>48</v>
      </c>
      <c r="AM37" t="s">
        <v>48</v>
      </c>
      <c r="AN37" t="s">
        <v>48</v>
      </c>
      <c r="AO37" t="s">
        <v>48</v>
      </c>
      <c r="AP37" s="46">
        <v>0</v>
      </c>
      <c r="AQ37" s="46">
        <v>0</v>
      </c>
      <c r="AR37" s="46">
        <v>0</v>
      </c>
      <c r="AS37" s="46">
        <v>0</v>
      </c>
      <c r="AT37" s="46">
        <v>0</v>
      </c>
      <c r="AU37" s="46">
        <v>0</v>
      </c>
      <c r="AV37" s="46">
        <v>0</v>
      </c>
      <c r="AW37" s="46">
        <v>0</v>
      </c>
      <c r="AX37" s="46">
        <v>0</v>
      </c>
      <c r="AY37" s="46">
        <v>0</v>
      </c>
      <c r="AZ37" s="46">
        <v>0</v>
      </c>
      <c r="BA37" s="46">
        <v>0</v>
      </c>
      <c r="BB37" s="46">
        <v>0</v>
      </c>
      <c r="BC37" s="46">
        <v>0</v>
      </c>
      <c r="BD37" s="46">
        <v>0</v>
      </c>
      <c r="BE37" s="46">
        <v>0</v>
      </c>
      <c r="BF37" s="46">
        <v>0</v>
      </c>
      <c r="BG37" s="46" t="s">
        <v>48</v>
      </c>
      <c r="BH37" s="46">
        <v>0</v>
      </c>
      <c r="BI37" s="46">
        <v>0</v>
      </c>
      <c r="BJ37" s="46">
        <v>0</v>
      </c>
      <c r="BK37" s="46">
        <v>0</v>
      </c>
      <c r="BL37" s="46">
        <v>0</v>
      </c>
      <c r="BM37" s="46">
        <v>0</v>
      </c>
      <c r="BN37" s="46">
        <v>0</v>
      </c>
    </row>
    <row r="38" spans="1:66" x14ac:dyDescent="0.35">
      <c r="A38" t="s">
        <v>4550</v>
      </c>
      <c r="B38" s="44" t="s">
        <v>48</v>
      </c>
      <c r="C38" t="s">
        <v>4553</v>
      </c>
      <c r="D38" t="s">
        <v>2876</v>
      </c>
      <c r="E38" t="s">
        <v>4551</v>
      </c>
      <c r="F38" t="s">
        <v>4426</v>
      </c>
      <c r="G38" t="s">
        <v>74</v>
      </c>
      <c r="H38">
        <v>0</v>
      </c>
      <c r="I38" s="60" t="s">
        <v>51</v>
      </c>
      <c r="J38" s="33" t="s">
        <v>96</v>
      </c>
      <c r="K38" s="46">
        <v>0</v>
      </c>
      <c r="L38">
        <v>81.099999999999994</v>
      </c>
      <c r="M38" t="s">
        <v>48</v>
      </c>
      <c r="N38" s="46">
        <v>1</v>
      </c>
      <c r="O38" s="46">
        <v>0</v>
      </c>
      <c r="P38" s="46">
        <v>0</v>
      </c>
      <c r="Q38" t="s">
        <v>48</v>
      </c>
      <c r="R38" t="s">
        <v>48</v>
      </c>
      <c r="S38" t="s">
        <v>4552</v>
      </c>
      <c r="T38" t="s">
        <v>48</v>
      </c>
      <c r="U38" t="s">
        <v>4552</v>
      </c>
      <c r="V38" s="47">
        <v>0</v>
      </c>
      <c r="W38" t="s">
        <v>48</v>
      </c>
      <c r="X38" t="s">
        <v>48</v>
      </c>
      <c r="Y38" t="s">
        <v>48</v>
      </c>
      <c r="Z38">
        <v>0</v>
      </c>
      <c r="AA38" t="s">
        <v>48</v>
      </c>
      <c r="AB38" t="s">
        <v>48</v>
      </c>
      <c r="AC38" t="s">
        <v>63</v>
      </c>
      <c r="AD38" t="s">
        <v>93</v>
      </c>
      <c r="AE38" s="40" t="s">
        <v>2471</v>
      </c>
      <c r="AF38" t="s">
        <v>11061</v>
      </c>
      <c r="AG38" t="s">
        <v>48</v>
      </c>
      <c r="AH38" t="s">
        <v>93</v>
      </c>
      <c r="AI38" t="s">
        <v>48</v>
      </c>
      <c r="AJ38">
        <v>1966</v>
      </c>
      <c r="AK38" t="s">
        <v>48</v>
      </c>
      <c r="AL38" t="s">
        <v>48</v>
      </c>
      <c r="AM38" t="s">
        <v>48</v>
      </c>
      <c r="AN38" t="s">
        <v>48</v>
      </c>
      <c r="AO38" t="s">
        <v>48</v>
      </c>
      <c r="AP38" s="46">
        <v>0</v>
      </c>
      <c r="AQ38" s="46">
        <v>0</v>
      </c>
      <c r="AR38" s="46">
        <v>0</v>
      </c>
      <c r="AS38" s="46">
        <v>0</v>
      </c>
      <c r="AT38" s="46">
        <v>0</v>
      </c>
      <c r="AU38" s="46">
        <v>0</v>
      </c>
      <c r="AV38" s="46">
        <v>0</v>
      </c>
      <c r="AW38" s="46">
        <v>0</v>
      </c>
      <c r="AX38" s="46">
        <v>0</v>
      </c>
      <c r="AY38" s="46">
        <v>0</v>
      </c>
      <c r="AZ38" s="46">
        <v>0</v>
      </c>
      <c r="BA38" s="46">
        <v>0</v>
      </c>
      <c r="BB38" s="46">
        <v>0</v>
      </c>
      <c r="BC38" s="46">
        <v>0</v>
      </c>
      <c r="BD38" s="46">
        <v>0</v>
      </c>
      <c r="BE38" s="46">
        <v>0</v>
      </c>
      <c r="BF38" s="46">
        <v>0</v>
      </c>
      <c r="BG38" s="46" t="s">
        <v>48</v>
      </c>
      <c r="BH38" s="46">
        <v>0</v>
      </c>
      <c r="BI38" s="46">
        <v>0</v>
      </c>
      <c r="BJ38" s="46">
        <v>0</v>
      </c>
      <c r="BK38" s="46">
        <v>0</v>
      </c>
      <c r="BL38" s="46">
        <v>0</v>
      </c>
      <c r="BM38" s="46">
        <v>0</v>
      </c>
      <c r="BN38" s="46">
        <v>0</v>
      </c>
    </row>
    <row r="39" spans="1:66" x14ac:dyDescent="0.35">
      <c r="A39" t="s">
        <v>4393</v>
      </c>
      <c r="B39" s="44" t="s">
        <v>48</v>
      </c>
      <c r="C39" t="s">
        <v>4395</v>
      </c>
      <c r="D39" t="s">
        <v>261</v>
      </c>
      <c r="E39" t="s">
        <v>4436</v>
      </c>
      <c r="F39" t="s">
        <v>4426</v>
      </c>
      <c r="G39" t="s">
        <v>47</v>
      </c>
      <c r="H39">
        <v>0</v>
      </c>
      <c r="I39" s="60" t="s">
        <v>51</v>
      </c>
      <c r="J39" s="33" t="s">
        <v>96</v>
      </c>
      <c r="K39" s="46">
        <v>1</v>
      </c>
      <c r="L39">
        <v>58.6</v>
      </c>
      <c r="M39" t="s">
        <v>48</v>
      </c>
      <c r="N39" s="46">
        <v>1</v>
      </c>
      <c r="O39" s="46">
        <v>0</v>
      </c>
      <c r="P39" s="46">
        <v>0</v>
      </c>
      <c r="Q39" t="s">
        <v>48</v>
      </c>
      <c r="R39" t="s">
        <v>48</v>
      </c>
      <c r="S39" t="s">
        <v>4437</v>
      </c>
      <c r="T39" t="s">
        <v>4394</v>
      </c>
      <c r="U39" t="s">
        <v>4437</v>
      </c>
      <c r="V39" s="47">
        <v>0</v>
      </c>
      <c r="W39" t="s">
        <v>48</v>
      </c>
      <c r="X39" t="s">
        <v>48</v>
      </c>
      <c r="Y39" t="s">
        <v>48</v>
      </c>
      <c r="Z39">
        <v>0</v>
      </c>
      <c r="AA39" t="s">
        <v>48</v>
      </c>
      <c r="AB39">
        <v>2016</v>
      </c>
      <c r="AC39" t="s">
        <v>49</v>
      </c>
      <c r="AD39" t="s">
        <v>93</v>
      </c>
      <c r="AE39" t="s">
        <v>4532</v>
      </c>
      <c r="AF39" t="s">
        <v>48</v>
      </c>
      <c r="AG39" t="s">
        <v>92</v>
      </c>
      <c r="AH39" t="s">
        <v>93</v>
      </c>
      <c r="AI39">
        <v>21708</v>
      </c>
      <c r="AJ39">
        <v>1971</v>
      </c>
      <c r="AK39" t="s">
        <v>9078</v>
      </c>
      <c r="AL39" t="s">
        <v>9079</v>
      </c>
      <c r="AM39">
        <v>0.65400000000000003</v>
      </c>
      <c r="AN39">
        <v>-9.8000000000000004E-2</v>
      </c>
      <c r="AO39">
        <v>0.65400000000000003</v>
      </c>
      <c r="AP39" s="46">
        <v>0</v>
      </c>
      <c r="AQ39" s="46">
        <v>0</v>
      </c>
      <c r="AR39" s="46">
        <v>0</v>
      </c>
      <c r="AS39" s="46">
        <v>0</v>
      </c>
      <c r="AT39" s="46">
        <v>0</v>
      </c>
      <c r="AU39" s="46">
        <v>0</v>
      </c>
      <c r="AV39" s="46">
        <v>0</v>
      </c>
      <c r="AW39" s="46">
        <v>0</v>
      </c>
      <c r="AX39" s="46">
        <v>0</v>
      </c>
      <c r="AY39" s="46">
        <v>0</v>
      </c>
      <c r="AZ39" s="46">
        <v>0</v>
      </c>
      <c r="BA39" s="46">
        <v>0</v>
      </c>
      <c r="BB39" s="46">
        <v>1</v>
      </c>
      <c r="BC39" s="46">
        <v>1</v>
      </c>
      <c r="BD39" s="46">
        <v>0</v>
      </c>
      <c r="BE39" s="46">
        <v>0</v>
      </c>
      <c r="BF39" s="46">
        <v>1</v>
      </c>
      <c r="BG39" s="46">
        <v>1</v>
      </c>
      <c r="BH39" s="46">
        <v>0</v>
      </c>
      <c r="BI39" s="46">
        <v>0</v>
      </c>
      <c r="BJ39" s="46">
        <v>0</v>
      </c>
      <c r="BK39" s="46">
        <v>0</v>
      </c>
      <c r="BL39" s="46">
        <v>0</v>
      </c>
      <c r="BM39" s="46">
        <v>0</v>
      </c>
      <c r="BN39" s="46">
        <v>1</v>
      </c>
    </row>
    <row r="40" spans="1:66" x14ac:dyDescent="0.35">
      <c r="A40" t="s">
        <v>4590</v>
      </c>
      <c r="B40" s="44" t="s">
        <v>48</v>
      </c>
      <c r="C40" t="s">
        <v>4593</v>
      </c>
      <c r="D40" t="s">
        <v>221</v>
      </c>
      <c r="E40" t="s">
        <v>4591</v>
      </c>
      <c r="F40" t="s">
        <v>4589</v>
      </c>
      <c r="G40" t="s">
        <v>47</v>
      </c>
      <c r="H40">
        <v>0</v>
      </c>
      <c r="I40" s="60" t="s">
        <v>51</v>
      </c>
      <c r="J40" s="33" t="s">
        <v>96</v>
      </c>
      <c r="K40" s="46">
        <v>1</v>
      </c>
      <c r="L40">
        <v>78.400000000000006</v>
      </c>
      <c r="M40" t="s">
        <v>48</v>
      </c>
      <c r="N40" s="46">
        <v>1</v>
      </c>
      <c r="O40" s="46">
        <v>0</v>
      </c>
      <c r="P40" s="46">
        <v>0</v>
      </c>
      <c r="Q40" t="s">
        <v>48</v>
      </c>
      <c r="R40" t="s">
        <v>48</v>
      </c>
      <c r="S40" t="s">
        <v>10314</v>
      </c>
      <c r="T40" t="s">
        <v>4592</v>
      </c>
      <c r="U40" t="s">
        <v>10314</v>
      </c>
      <c r="V40" s="47">
        <v>0</v>
      </c>
      <c r="W40" t="s">
        <v>48</v>
      </c>
      <c r="X40" t="s">
        <v>48</v>
      </c>
      <c r="Y40" t="s">
        <v>48</v>
      </c>
      <c r="Z40">
        <v>0</v>
      </c>
      <c r="AA40" t="s">
        <v>48</v>
      </c>
      <c r="AB40" t="s">
        <v>48</v>
      </c>
      <c r="AC40" t="s">
        <v>49</v>
      </c>
      <c r="AD40" t="s">
        <v>93</v>
      </c>
      <c r="AE40" t="s">
        <v>4532</v>
      </c>
      <c r="AF40" t="s">
        <v>48</v>
      </c>
      <c r="AG40" t="s">
        <v>48</v>
      </c>
      <c r="AH40" t="s">
        <v>48</v>
      </c>
      <c r="AI40">
        <v>41107</v>
      </c>
      <c r="AJ40">
        <v>1957</v>
      </c>
      <c r="AK40" t="s">
        <v>8565</v>
      </c>
      <c r="AL40" t="s">
        <v>8566</v>
      </c>
      <c r="AM40">
        <v>0.374</v>
      </c>
      <c r="AN40">
        <v>0.40899999999999997</v>
      </c>
      <c r="AO40">
        <v>0.374</v>
      </c>
      <c r="AP40" s="46">
        <v>0</v>
      </c>
      <c r="AQ40" s="46">
        <v>0</v>
      </c>
      <c r="AR40" s="46">
        <v>0</v>
      </c>
      <c r="AS40" s="46">
        <v>0</v>
      </c>
      <c r="AT40" s="46">
        <v>0</v>
      </c>
      <c r="AU40" s="46">
        <v>0</v>
      </c>
      <c r="AV40" s="46">
        <v>0</v>
      </c>
      <c r="AW40" s="46">
        <v>0</v>
      </c>
      <c r="AX40" s="46">
        <v>0</v>
      </c>
      <c r="AY40" s="46">
        <v>0</v>
      </c>
      <c r="AZ40" s="46">
        <v>0</v>
      </c>
      <c r="BA40" s="46">
        <v>0</v>
      </c>
      <c r="BB40" s="46">
        <v>0</v>
      </c>
      <c r="BC40" s="46">
        <v>0</v>
      </c>
      <c r="BD40" s="46">
        <v>0</v>
      </c>
      <c r="BE40" s="46">
        <v>0</v>
      </c>
      <c r="BF40" s="46">
        <v>0</v>
      </c>
      <c r="BG40" s="46" t="s">
        <v>48</v>
      </c>
      <c r="BH40" s="46">
        <v>0</v>
      </c>
      <c r="BI40" s="46">
        <v>0</v>
      </c>
      <c r="BJ40" s="46">
        <v>0</v>
      </c>
      <c r="BK40" s="46">
        <v>0</v>
      </c>
      <c r="BL40" s="46">
        <v>0</v>
      </c>
      <c r="BM40" s="46">
        <v>0</v>
      </c>
      <c r="BN40" s="46">
        <v>0</v>
      </c>
    </row>
    <row r="41" spans="1:66" x14ac:dyDescent="0.35">
      <c r="A41" t="s">
        <v>8106</v>
      </c>
      <c r="B41" s="44" t="s">
        <v>48</v>
      </c>
      <c r="C41" t="s">
        <v>12106</v>
      </c>
      <c r="D41" t="s">
        <v>12107</v>
      </c>
      <c r="E41" t="s">
        <v>8107</v>
      </c>
      <c r="F41" t="s">
        <v>4589</v>
      </c>
      <c r="G41" t="s">
        <v>74</v>
      </c>
      <c r="H41">
        <v>0</v>
      </c>
      <c r="I41" s="61">
        <v>44733</v>
      </c>
      <c r="J41" s="33" t="s">
        <v>96</v>
      </c>
      <c r="K41" s="46">
        <v>0</v>
      </c>
      <c r="L41">
        <v>76.8</v>
      </c>
      <c r="M41" t="s">
        <v>48</v>
      </c>
      <c r="N41" s="46">
        <v>1</v>
      </c>
      <c r="O41" s="46">
        <v>0</v>
      </c>
      <c r="P41" s="46">
        <v>0</v>
      </c>
      <c r="Q41" t="s">
        <v>48</v>
      </c>
      <c r="R41" t="s">
        <v>48</v>
      </c>
      <c r="S41" t="s">
        <v>10313</v>
      </c>
      <c r="T41" t="s">
        <v>48</v>
      </c>
      <c r="U41" t="s">
        <v>10313</v>
      </c>
      <c r="V41" s="47">
        <v>0</v>
      </c>
      <c r="W41" t="s">
        <v>48</v>
      </c>
      <c r="X41" t="s">
        <v>48</v>
      </c>
      <c r="Y41" t="s">
        <v>48</v>
      </c>
      <c r="Z41" t="s">
        <v>48</v>
      </c>
      <c r="AA41" t="s">
        <v>48</v>
      </c>
      <c r="AB41" t="s">
        <v>48</v>
      </c>
      <c r="AC41" t="s">
        <v>63</v>
      </c>
      <c r="AD41" t="s">
        <v>93</v>
      </c>
      <c r="AE41" t="s">
        <v>4532</v>
      </c>
      <c r="AF41" t="s">
        <v>48</v>
      </c>
      <c r="AG41" t="s">
        <v>48</v>
      </c>
      <c r="AH41" t="s">
        <v>48</v>
      </c>
      <c r="AI41" t="s">
        <v>48</v>
      </c>
      <c r="AJ41" t="s">
        <v>48</v>
      </c>
      <c r="AK41" t="s">
        <v>48</v>
      </c>
      <c r="AL41" t="s">
        <v>48</v>
      </c>
      <c r="AM41" t="s">
        <v>48</v>
      </c>
      <c r="AN41" t="s">
        <v>48</v>
      </c>
      <c r="AO41" t="s">
        <v>48</v>
      </c>
      <c r="AP41" s="46">
        <v>0</v>
      </c>
      <c r="AQ41" s="46">
        <v>0</v>
      </c>
      <c r="AR41" s="46">
        <v>0</v>
      </c>
      <c r="AS41" s="46">
        <v>0</v>
      </c>
      <c r="AT41" s="46">
        <v>0</v>
      </c>
      <c r="AU41" s="46">
        <v>0</v>
      </c>
      <c r="AV41" s="46">
        <v>0</v>
      </c>
      <c r="AW41" s="46">
        <v>0</v>
      </c>
      <c r="AX41" s="46">
        <v>0</v>
      </c>
      <c r="AY41" s="46">
        <v>0</v>
      </c>
      <c r="AZ41" s="46">
        <v>0</v>
      </c>
      <c r="BA41" s="46">
        <v>0</v>
      </c>
      <c r="BB41" s="46">
        <v>0</v>
      </c>
      <c r="BC41" s="46">
        <v>0</v>
      </c>
      <c r="BD41" s="46">
        <v>0</v>
      </c>
      <c r="BE41" s="46">
        <v>0</v>
      </c>
      <c r="BF41" s="46">
        <v>0</v>
      </c>
      <c r="BG41" s="46" t="s">
        <v>48</v>
      </c>
      <c r="BH41" s="46">
        <v>0</v>
      </c>
      <c r="BI41" s="46">
        <v>0</v>
      </c>
      <c r="BJ41" s="46">
        <v>0</v>
      </c>
      <c r="BK41" s="46">
        <v>0</v>
      </c>
      <c r="BL41" s="46">
        <v>0</v>
      </c>
      <c r="BM41" s="46">
        <v>0</v>
      </c>
      <c r="BN41" s="46">
        <v>0</v>
      </c>
    </row>
    <row r="42" spans="1:66" x14ac:dyDescent="0.35">
      <c r="A42" t="s">
        <v>11015</v>
      </c>
      <c r="B42" s="44" t="s">
        <v>48</v>
      </c>
      <c r="C42" t="s">
        <v>12122</v>
      </c>
      <c r="D42" t="s">
        <v>1617</v>
      </c>
      <c r="E42" t="s">
        <v>11016</v>
      </c>
      <c r="F42" t="s">
        <v>4717</v>
      </c>
      <c r="G42" t="s">
        <v>47</v>
      </c>
      <c r="H42">
        <v>0</v>
      </c>
      <c r="I42" s="60" t="s">
        <v>11552</v>
      </c>
      <c r="J42" s="33" t="s">
        <v>96</v>
      </c>
      <c r="K42" s="46">
        <v>0</v>
      </c>
      <c r="L42">
        <v>37.1</v>
      </c>
      <c r="M42" t="s">
        <v>48</v>
      </c>
      <c r="N42" s="46">
        <v>1</v>
      </c>
      <c r="O42" s="46">
        <v>0</v>
      </c>
      <c r="P42" s="46">
        <v>0</v>
      </c>
      <c r="Q42" t="s">
        <v>48</v>
      </c>
      <c r="R42" t="s">
        <v>48</v>
      </c>
      <c r="S42" t="s">
        <v>11503</v>
      </c>
      <c r="T42" t="s">
        <v>48</v>
      </c>
      <c r="U42" t="s">
        <v>11017</v>
      </c>
      <c r="V42" s="47">
        <v>0</v>
      </c>
      <c r="W42" t="s">
        <v>48</v>
      </c>
      <c r="X42" t="s">
        <v>48</v>
      </c>
      <c r="Y42" t="s">
        <v>48</v>
      </c>
      <c r="Z42" t="s">
        <v>48</v>
      </c>
      <c r="AA42" t="s">
        <v>48</v>
      </c>
      <c r="AB42" t="s">
        <v>48</v>
      </c>
      <c r="AC42" t="s">
        <v>49</v>
      </c>
      <c r="AD42" t="s">
        <v>93</v>
      </c>
      <c r="AE42" t="s">
        <v>4532</v>
      </c>
      <c r="AF42" t="s">
        <v>48</v>
      </c>
      <c r="AG42" t="s">
        <v>48</v>
      </c>
      <c r="AH42" t="s">
        <v>48</v>
      </c>
      <c r="AI42" t="s">
        <v>48</v>
      </c>
      <c r="AJ42" t="s">
        <v>48</v>
      </c>
      <c r="AK42" t="s">
        <v>48</v>
      </c>
      <c r="AL42" t="s">
        <v>48</v>
      </c>
      <c r="AM42" t="s">
        <v>48</v>
      </c>
      <c r="AN42" t="s">
        <v>48</v>
      </c>
      <c r="AO42" t="s">
        <v>48</v>
      </c>
      <c r="AP42" s="46">
        <v>0</v>
      </c>
      <c r="AQ42" s="46">
        <v>0</v>
      </c>
      <c r="AR42" s="46">
        <v>0</v>
      </c>
      <c r="AS42" s="46">
        <v>0</v>
      </c>
      <c r="AT42" s="46">
        <v>0</v>
      </c>
      <c r="AU42" s="46">
        <v>0</v>
      </c>
      <c r="AV42" s="46">
        <v>0</v>
      </c>
      <c r="AW42" s="46">
        <v>0</v>
      </c>
      <c r="AX42" s="46">
        <v>0</v>
      </c>
      <c r="AY42" s="46">
        <v>0</v>
      </c>
      <c r="AZ42" s="46">
        <v>0</v>
      </c>
      <c r="BA42" s="46">
        <v>0</v>
      </c>
      <c r="BB42" s="46">
        <v>0</v>
      </c>
      <c r="BC42" s="46">
        <v>0</v>
      </c>
      <c r="BD42" s="46">
        <v>0</v>
      </c>
      <c r="BE42" s="46">
        <v>0</v>
      </c>
      <c r="BF42" s="46">
        <v>0</v>
      </c>
      <c r="BG42" s="46">
        <v>1</v>
      </c>
      <c r="BH42" s="46">
        <v>0</v>
      </c>
      <c r="BI42" s="46">
        <v>0</v>
      </c>
      <c r="BJ42" s="46">
        <v>0</v>
      </c>
      <c r="BK42" s="46">
        <v>0</v>
      </c>
      <c r="BL42" s="46">
        <v>0</v>
      </c>
      <c r="BM42" s="46">
        <v>0</v>
      </c>
      <c r="BN42" s="46">
        <v>0</v>
      </c>
    </row>
    <row r="43" spans="1:66" x14ac:dyDescent="0.35">
      <c r="A43" t="s">
        <v>4716</v>
      </c>
      <c r="B43" s="44" t="s">
        <v>48</v>
      </c>
      <c r="C43" t="s">
        <v>4720</v>
      </c>
      <c r="D43" t="s">
        <v>1837</v>
      </c>
      <c r="E43" t="s">
        <v>4718</v>
      </c>
      <c r="F43" t="s">
        <v>4717</v>
      </c>
      <c r="G43" t="s">
        <v>74</v>
      </c>
      <c r="H43">
        <v>0</v>
      </c>
      <c r="I43" s="60" t="s">
        <v>51</v>
      </c>
      <c r="J43" s="33" t="s">
        <v>96</v>
      </c>
      <c r="K43" s="46">
        <v>1</v>
      </c>
      <c r="L43">
        <v>93.4</v>
      </c>
      <c r="M43" t="s">
        <v>48</v>
      </c>
      <c r="N43" s="46">
        <v>1</v>
      </c>
      <c r="O43" s="46">
        <v>0</v>
      </c>
      <c r="P43" s="46">
        <v>0</v>
      </c>
      <c r="Q43" t="s">
        <v>48</v>
      </c>
      <c r="R43" t="s">
        <v>48</v>
      </c>
      <c r="S43" t="s">
        <v>48</v>
      </c>
      <c r="T43" t="s">
        <v>4719</v>
      </c>
      <c r="U43" t="s">
        <v>48</v>
      </c>
      <c r="V43" s="47">
        <v>0</v>
      </c>
      <c r="W43" t="s">
        <v>48</v>
      </c>
      <c r="X43" t="s">
        <v>48</v>
      </c>
      <c r="Y43" t="s">
        <v>48</v>
      </c>
      <c r="Z43">
        <v>0</v>
      </c>
      <c r="AA43" t="s">
        <v>48</v>
      </c>
      <c r="AB43" t="s">
        <v>48</v>
      </c>
      <c r="AC43" t="s">
        <v>63</v>
      </c>
      <c r="AD43" t="s">
        <v>93</v>
      </c>
      <c r="AE43" t="s">
        <v>4532</v>
      </c>
      <c r="AF43" t="s">
        <v>48</v>
      </c>
      <c r="AG43" t="s">
        <v>48</v>
      </c>
      <c r="AH43" t="s">
        <v>48</v>
      </c>
      <c r="AI43">
        <v>41702</v>
      </c>
      <c r="AJ43">
        <v>1958</v>
      </c>
      <c r="AK43" t="s">
        <v>8573</v>
      </c>
      <c r="AL43" t="s">
        <v>8574</v>
      </c>
      <c r="AM43">
        <v>-0.23100000000000001</v>
      </c>
      <c r="AN43">
        <v>-5.0000000000000001E-3</v>
      </c>
      <c r="AO43">
        <v>-0.23100000000000001</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t="s">
        <v>48</v>
      </c>
      <c r="BH43" s="46">
        <v>0</v>
      </c>
      <c r="BI43" s="46">
        <v>0</v>
      </c>
      <c r="BJ43" s="46">
        <v>0</v>
      </c>
      <c r="BK43" s="46">
        <v>0</v>
      </c>
      <c r="BL43" s="46">
        <v>1</v>
      </c>
      <c r="BM43" s="46">
        <v>0</v>
      </c>
      <c r="BN43" s="46">
        <v>0</v>
      </c>
    </row>
    <row r="44" spans="1:66" x14ac:dyDescent="0.35">
      <c r="A44" t="s">
        <v>5030</v>
      </c>
      <c r="B44" s="44" t="s">
        <v>48</v>
      </c>
      <c r="C44" t="s">
        <v>5033</v>
      </c>
      <c r="D44" t="s">
        <v>335</v>
      </c>
      <c r="E44" t="s">
        <v>5031</v>
      </c>
      <c r="F44" t="s">
        <v>5024</v>
      </c>
      <c r="G44" t="s">
        <v>47</v>
      </c>
      <c r="H44">
        <v>0</v>
      </c>
      <c r="I44" s="60" t="s">
        <v>177</v>
      </c>
      <c r="J44" s="33" t="s">
        <v>96</v>
      </c>
      <c r="K44" s="46">
        <v>0</v>
      </c>
      <c r="L44">
        <v>56.1</v>
      </c>
      <c r="M44" t="s">
        <v>48</v>
      </c>
      <c r="N44" s="46">
        <v>1</v>
      </c>
      <c r="O44" s="46">
        <v>0</v>
      </c>
      <c r="P44" s="46">
        <v>0</v>
      </c>
      <c r="Q44" t="s">
        <v>48</v>
      </c>
      <c r="R44" t="s">
        <v>48</v>
      </c>
      <c r="S44" t="s">
        <v>5032</v>
      </c>
      <c r="T44" t="s">
        <v>48</v>
      </c>
      <c r="U44" t="s">
        <v>5032</v>
      </c>
      <c r="V44" s="47">
        <v>1</v>
      </c>
      <c r="W44" t="s">
        <v>48</v>
      </c>
      <c r="X44" t="s">
        <v>48</v>
      </c>
      <c r="Y44" t="s">
        <v>48</v>
      </c>
      <c r="Z44">
        <v>0</v>
      </c>
      <c r="AA44" t="s">
        <v>48</v>
      </c>
      <c r="AB44" t="s">
        <v>48</v>
      </c>
      <c r="AC44" t="s">
        <v>49</v>
      </c>
      <c r="AD44" t="s">
        <v>93</v>
      </c>
      <c r="AE44" t="s">
        <v>4532</v>
      </c>
      <c r="AF44" t="s">
        <v>48</v>
      </c>
      <c r="AG44" t="s">
        <v>48</v>
      </c>
      <c r="AH44" t="s">
        <v>48</v>
      </c>
      <c r="AI44" t="s">
        <v>48</v>
      </c>
      <c r="AJ44" t="s">
        <v>48</v>
      </c>
      <c r="AK44" t="s">
        <v>48</v>
      </c>
      <c r="AL44" t="s">
        <v>48</v>
      </c>
      <c r="AM44" t="s">
        <v>48</v>
      </c>
      <c r="AN44" t="s">
        <v>48</v>
      </c>
      <c r="AO44" t="s">
        <v>48</v>
      </c>
      <c r="AP44" s="46">
        <v>0</v>
      </c>
      <c r="AQ44" s="46">
        <v>0</v>
      </c>
      <c r="AR44" s="46">
        <v>0</v>
      </c>
      <c r="AS44" s="46">
        <v>0</v>
      </c>
      <c r="AT44" s="46">
        <v>0</v>
      </c>
      <c r="AU44" s="46">
        <v>0</v>
      </c>
      <c r="AV44" s="46">
        <v>0</v>
      </c>
      <c r="AW44" s="46">
        <v>0</v>
      </c>
      <c r="AX44" s="46">
        <v>0</v>
      </c>
      <c r="AY44" s="46">
        <v>0</v>
      </c>
      <c r="AZ44" s="46">
        <v>0</v>
      </c>
      <c r="BA44" s="46">
        <v>0</v>
      </c>
      <c r="BB44" s="46">
        <v>0</v>
      </c>
      <c r="BC44" s="46">
        <v>1</v>
      </c>
      <c r="BD44" s="46">
        <v>0</v>
      </c>
      <c r="BE44" s="46">
        <v>0</v>
      </c>
      <c r="BF44" s="46">
        <v>0</v>
      </c>
      <c r="BG44" s="46">
        <v>1</v>
      </c>
      <c r="BH44" s="46">
        <v>0</v>
      </c>
      <c r="BI44" s="46">
        <v>0</v>
      </c>
      <c r="BJ44" s="46">
        <v>0</v>
      </c>
      <c r="BK44" s="46">
        <v>0</v>
      </c>
      <c r="BL44" s="46">
        <v>0</v>
      </c>
      <c r="BM44" s="46">
        <v>0</v>
      </c>
      <c r="BN44" s="46">
        <v>0</v>
      </c>
    </row>
    <row r="45" spans="1:66" x14ac:dyDescent="0.35">
      <c r="A45" t="s">
        <v>5034</v>
      </c>
      <c r="B45" s="44" t="s">
        <v>48</v>
      </c>
      <c r="C45" t="s">
        <v>12170</v>
      </c>
      <c r="D45" t="s">
        <v>5037</v>
      </c>
      <c r="E45" t="s">
        <v>5035</v>
      </c>
      <c r="F45" t="s">
        <v>5024</v>
      </c>
      <c r="G45" t="s">
        <v>74</v>
      </c>
      <c r="H45">
        <v>0</v>
      </c>
      <c r="I45" s="60" t="s">
        <v>51</v>
      </c>
      <c r="J45" s="33" t="s">
        <v>96</v>
      </c>
      <c r="K45" s="46">
        <v>1</v>
      </c>
      <c r="L45">
        <v>90.3</v>
      </c>
      <c r="M45" t="s">
        <v>48</v>
      </c>
      <c r="N45" s="46">
        <v>1</v>
      </c>
      <c r="O45" s="46">
        <v>0</v>
      </c>
      <c r="P45" s="46">
        <v>0</v>
      </c>
      <c r="Q45" t="s">
        <v>48</v>
      </c>
      <c r="R45" t="s">
        <v>48</v>
      </c>
      <c r="S45" t="s">
        <v>10351</v>
      </c>
      <c r="T45" t="s">
        <v>5036</v>
      </c>
      <c r="U45" t="s">
        <v>10351</v>
      </c>
      <c r="V45" s="47">
        <v>0</v>
      </c>
      <c r="W45" t="s">
        <v>48</v>
      </c>
      <c r="X45" t="s">
        <v>48</v>
      </c>
      <c r="Y45" t="s">
        <v>48</v>
      </c>
      <c r="Z45">
        <v>0</v>
      </c>
      <c r="AA45" t="s">
        <v>48</v>
      </c>
      <c r="AB45" t="s">
        <v>48</v>
      </c>
      <c r="AC45" t="s">
        <v>63</v>
      </c>
      <c r="AD45" t="s">
        <v>951</v>
      </c>
      <c r="AE45" t="s">
        <v>11051</v>
      </c>
      <c r="AF45" t="s">
        <v>11054</v>
      </c>
      <c r="AG45" t="s">
        <v>48</v>
      </c>
      <c r="AH45" t="s">
        <v>48</v>
      </c>
      <c r="AI45">
        <v>41700</v>
      </c>
      <c r="AJ45">
        <v>1964</v>
      </c>
      <c r="AK45" t="s">
        <v>8585</v>
      </c>
      <c r="AL45" t="s">
        <v>8586</v>
      </c>
      <c r="AM45">
        <v>-0.36499999999999999</v>
      </c>
      <c r="AN45">
        <v>0.33900000000000002</v>
      </c>
      <c r="AO45">
        <v>-0.36499999999999999</v>
      </c>
      <c r="AP45" s="46">
        <v>0</v>
      </c>
      <c r="AQ45" s="46">
        <v>0</v>
      </c>
      <c r="AR45" s="46">
        <v>0</v>
      </c>
      <c r="AS45" s="46">
        <v>0</v>
      </c>
      <c r="AT45" s="46">
        <v>0</v>
      </c>
      <c r="AU45" s="46">
        <v>0</v>
      </c>
      <c r="AV45" s="46">
        <v>0</v>
      </c>
      <c r="AW45" s="46">
        <v>0</v>
      </c>
      <c r="AX45" s="46">
        <v>0</v>
      </c>
      <c r="AY45" s="46">
        <v>0</v>
      </c>
      <c r="AZ45" s="46">
        <v>0</v>
      </c>
      <c r="BA45" s="46">
        <v>0</v>
      </c>
      <c r="BB45" s="46">
        <v>0</v>
      </c>
      <c r="BC45" s="46">
        <v>0</v>
      </c>
      <c r="BD45" s="46">
        <v>0</v>
      </c>
      <c r="BE45" s="46">
        <v>0</v>
      </c>
      <c r="BF45" s="46">
        <v>0</v>
      </c>
      <c r="BG45" s="46" t="s">
        <v>48</v>
      </c>
      <c r="BH45" s="46">
        <v>0</v>
      </c>
      <c r="BI45" s="46">
        <v>0</v>
      </c>
      <c r="BJ45" s="46">
        <v>0</v>
      </c>
      <c r="BK45" s="46">
        <v>0</v>
      </c>
      <c r="BL45" s="46">
        <v>0</v>
      </c>
      <c r="BM45" s="46">
        <v>0</v>
      </c>
      <c r="BN45" s="46">
        <v>0</v>
      </c>
    </row>
    <row r="46" spans="1:66" x14ac:dyDescent="0.35">
      <c r="A46" t="s">
        <v>5344</v>
      </c>
      <c r="B46" s="44" t="s">
        <v>48</v>
      </c>
      <c r="C46" t="s">
        <v>5347</v>
      </c>
      <c r="D46" t="s">
        <v>1528</v>
      </c>
      <c r="E46" t="s">
        <v>5345</v>
      </c>
      <c r="F46" t="s">
        <v>5339</v>
      </c>
      <c r="G46" t="s">
        <v>74</v>
      </c>
      <c r="H46">
        <v>0</v>
      </c>
      <c r="I46" s="60" t="s">
        <v>51</v>
      </c>
      <c r="J46" s="33" t="s">
        <v>96</v>
      </c>
      <c r="K46" s="46">
        <v>1</v>
      </c>
      <c r="L46">
        <v>100</v>
      </c>
      <c r="M46" t="s">
        <v>48</v>
      </c>
      <c r="N46" s="46">
        <v>1</v>
      </c>
      <c r="O46" s="46">
        <v>0</v>
      </c>
      <c r="P46" s="46">
        <v>0</v>
      </c>
      <c r="Q46" t="s">
        <v>48</v>
      </c>
      <c r="R46" t="s">
        <v>48</v>
      </c>
      <c r="S46" t="s">
        <v>48</v>
      </c>
      <c r="T46" t="s">
        <v>5346</v>
      </c>
      <c r="U46" t="s">
        <v>48</v>
      </c>
      <c r="V46" s="47">
        <v>0</v>
      </c>
      <c r="W46" t="s">
        <v>48</v>
      </c>
      <c r="X46" t="s">
        <v>48</v>
      </c>
      <c r="Y46" t="s">
        <v>48</v>
      </c>
      <c r="Z46">
        <v>0</v>
      </c>
      <c r="AA46" t="s">
        <v>48</v>
      </c>
      <c r="AB46" t="s">
        <v>48</v>
      </c>
      <c r="AC46" t="s">
        <v>49</v>
      </c>
      <c r="AD46" t="s">
        <v>93</v>
      </c>
      <c r="AE46" t="s">
        <v>4532</v>
      </c>
      <c r="AF46" t="s">
        <v>48</v>
      </c>
      <c r="AG46" t="s">
        <v>633</v>
      </c>
      <c r="AH46" t="s">
        <v>48</v>
      </c>
      <c r="AI46">
        <v>14858</v>
      </c>
      <c r="AJ46">
        <v>1950</v>
      </c>
      <c r="AK46" t="s">
        <v>8587</v>
      </c>
      <c r="AL46" t="s">
        <v>8588</v>
      </c>
      <c r="AM46">
        <v>-0.35699999999999998</v>
      </c>
      <c r="AN46">
        <v>-0.41599999999999998</v>
      </c>
      <c r="AO46">
        <v>-0.35699999999999998</v>
      </c>
      <c r="AP46" s="46">
        <v>0</v>
      </c>
      <c r="AQ46" s="46">
        <v>0</v>
      </c>
      <c r="AR46" s="46">
        <v>0</v>
      </c>
      <c r="AS46" s="46">
        <v>0</v>
      </c>
      <c r="AT46" s="46">
        <v>0</v>
      </c>
      <c r="AU46" s="46">
        <v>0</v>
      </c>
      <c r="AV46" s="46">
        <v>0</v>
      </c>
      <c r="AW46" s="46">
        <v>0</v>
      </c>
      <c r="AX46" s="46">
        <v>0</v>
      </c>
      <c r="AY46" s="46">
        <v>0</v>
      </c>
      <c r="AZ46" s="46">
        <v>0</v>
      </c>
      <c r="BA46" s="46">
        <v>0</v>
      </c>
      <c r="BB46" s="46">
        <v>0</v>
      </c>
      <c r="BC46" s="46">
        <v>0</v>
      </c>
      <c r="BD46" s="46">
        <v>0</v>
      </c>
      <c r="BE46" s="46">
        <v>0</v>
      </c>
      <c r="BF46" s="46">
        <v>0</v>
      </c>
      <c r="BG46" s="46" t="s">
        <v>48</v>
      </c>
      <c r="BH46" s="46">
        <v>0</v>
      </c>
      <c r="BI46" s="46">
        <v>0</v>
      </c>
      <c r="BJ46" s="46">
        <v>0</v>
      </c>
      <c r="BK46" s="46">
        <v>0</v>
      </c>
      <c r="BL46" s="46">
        <v>0</v>
      </c>
      <c r="BM46" s="46">
        <v>0</v>
      </c>
      <c r="BN46" s="46">
        <v>0</v>
      </c>
    </row>
    <row r="47" spans="1:66" x14ac:dyDescent="0.35">
      <c r="A47" t="s">
        <v>5340</v>
      </c>
      <c r="B47" t="s">
        <v>48</v>
      </c>
      <c r="C47" t="s">
        <v>5343</v>
      </c>
      <c r="D47" t="s">
        <v>1402</v>
      </c>
      <c r="E47" t="s">
        <v>5341</v>
      </c>
      <c r="F47" t="s">
        <v>5339</v>
      </c>
      <c r="G47" t="s">
        <v>47</v>
      </c>
      <c r="H47">
        <v>0</v>
      </c>
      <c r="I47" s="60" t="s">
        <v>881</v>
      </c>
      <c r="J47" s="33" t="s">
        <v>96</v>
      </c>
      <c r="K47" s="46">
        <v>0</v>
      </c>
      <c r="L47">
        <v>100</v>
      </c>
      <c r="M47" t="s">
        <v>48</v>
      </c>
      <c r="N47" s="46">
        <v>1</v>
      </c>
      <c r="O47" s="46">
        <v>0</v>
      </c>
      <c r="P47" s="46">
        <v>0</v>
      </c>
      <c r="Q47" t="s">
        <v>48</v>
      </c>
      <c r="R47" t="s">
        <v>48</v>
      </c>
      <c r="S47" t="s">
        <v>5342</v>
      </c>
      <c r="T47" t="s">
        <v>48</v>
      </c>
      <c r="U47" t="s">
        <v>5342</v>
      </c>
      <c r="V47" s="47">
        <v>0</v>
      </c>
      <c r="W47" t="s">
        <v>48</v>
      </c>
      <c r="X47" t="s">
        <v>48</v>
      </c>
      <c r="Y47" t="s">
        <v>48</v>
      </c>
      <c r="Z47">
        <v>0</v>
      </c>
      <c r="AA47" t="s">
        <v>48</v>
      </c>
      <c r="AB47" t="s">
        <v>48</v>
      </c>
      <c r="AC47" t="s">
        <v>49</v>
      </c>
      <c r="AD47" t="s">
        <v>93</v>
      </c>
      <c r="AE47" s="40" t="s">
        <v>2471</v>
      </c>
      <c r="AF47" t="s">
        <v>11061</v>
      </c>
      <c r="AG47" t="s">
        <v>48</v>
      </c>
      <c r="AH47" t="s">
        <v>48</v>
      </c>
      <c r="AI47" t="s">
        <v>48</v>
      </c>
      <c r="AJ47" t="s">
        <v>48</v>
      </c>
      <c r="AK47" t="s">
        <v>48</v>
      </c>
      <c r="AL47" t="s">
        <v>48</v>
      </c>
      <c r="AM47" t="s">
        <v>48</v>
      </c>
      <c r="AN47" t="s">
        <v>48</v>
      </c>
      <c r="AO47" t="s">
        <v>48</v>
      </c>
      <c r="AP47" s="46">
        <v>0</v>
      </c>
      <c r="AQ47" s="46">
        <v>0</v>
      </c>
      <c r="AR47" s="46">
        <v>0</v>
      </c>
      <c r="AS47" s="46">
        <v>0</v>
      </c>
      <c r="AT47" s="46">
        <v>0</v>
      </c>
      <c r="AU47" s="46">
        <v>0</v>
      </c>
      <c r="AV47" s="46">
        <v>0</v>
      </c>
      <c r="AW47" s="46">
        <v>0</v>
      </c>
      <c r="AX47" s="46">
        <v>0</v>
      </c>
      <c r="AY47" s="46">
        <v>0</v>
      </c>
      <c r="AZ47" s="46">
        <v>0</v>
      </c>
      <c r="BA47" s="46">
        <v>0</v>
      </c>
      <c r="BB47" s="46">
        <v>0</v>
      </c>
      <c r="BC47" s="46">
        <v>0</v>
      </c>
      <c r="BD47" s="46">
        <v>0</v>
      </c>
      <c r="BE47" s="46">
        <v>0</v>
      </c>
      <c r="BF47" s="46">
        <v>0</v>
      </c>
      <c r="BG47" s="46" t="s">
        <v>48</v>
      </c>
      <c r="BH47" s="46">
        <v>0</v>
      </c>
      <c r="BI47" s="46">
        <v>0</v>
      </c>
      <c r="BJ47" s="46">
        <v>0</v>
      </c>
      <c r="BK47" s="46">
        <v>0</v>
      </c>
      <c r="BL47" s="46">
        <v>0</v>
      </c>
      <c r="BM47" s="46">
        <v>0</v>
      </c>
      <c r="BN47" s="46">
        <v>0</v>
      </c>
    </row>
    <row r="48" spans="1:66" x14ac:dyDescent="0.35">
      <c r="A48" t="s">
        <v>5551</v>
      </c>
      <c r="B48" s="44" t="s">
        <v>48</v>
      </c>
      <c r="C48" t="s">
        <v>5555</v>
      </c>
      <c r="D48" t="s">
        <v>5554</v>
      </c>
      <c r="E48" t="s">
        <v>5552</v>
      </c>
      <c r="F48" t="s">
        <v>5519</v>
      </c>
      <c r="G48" t="s">
        <v>47</v>
      </c>
      <c r="H48">
        <v>0</v>
      </c>
      <c r="I48" s="60" t="s">
        <v>51</v>
      </c>
      <c r="J48" s="33" t="s">
        <v>96</v>
      </c>
      <c r="K48" s="46">
        <v>0</v>
      </c>
      <c r="L48">
        <v>31.3</v>
      </c>
      <c r="M48" t="s">
        <v>48</v>
      </c>
      <c r="N48" s="46">
        <v>1</v>
      </c>
      <c r="O48" s="46">
        <v>0</v>
      </c>
      <c r="P48" s="46">
        <v>0</v>
      </c>
      <c r="Q48" t="s">
        <v>48</v>
      </c>
      <c r="R48" t="s">
        <v>48</v>
      </c>
      <c r="S48" t="s">
        <v>5553</v>
      </c>
      <c r="T48" t="s">
        <v>48</v>
      </c>
      <c r="U48" t="s">
        <v>5553</v>
      </c>
      <c r="V48" s="47">
        <v>0</v>
      </c>
      <c r="W48" t="s">
        <v>48</v>
      </c>
      <c r="X48" t="s">
        <v>48</v>
      </c>
      <c r="Y48" t="s">
        <v>48</v>
      </c>
      <c r="Z48">
        <v>0</v>
      </c>
      <c r="AA48" t="s">
        <v>48</v>
      </c>
      <c r="AB48" t="s">
        <v>48</v>
      </c>
      <c r="AC48" t="s">
        <v>49</v>
      </c>
      <c r="AD48" t="s">
        <v>93</v>
      </c>
      <c r="AE48" t="s">
        <v>4532</v>
      </c>
      <c r="AF48" t="s">
        <v>48</v>
      </c>
      <c r="AG48" t="s">
        <v>48</v>
      </c>
      <c r="AH48" t="s">
        <v>48</v>
      </c>
      <c r="AI48" t="s">
        <v>48</v>
      </c>
      <c r="AJ48">
        <v>1984</v>
      </c>
      <c r="AK48" t="s">
        <v>48</v>
      </c>
      <c r="AL48" t="s">
        <v>48</v>
      </c>
      <c r="AM48" t="s">
        <v>48</v>
      </c>
      <c r="AN48" t="s">
        <v>48</v>
      </c>
      <c r="AO48" t="s">
        <v>48</v>
      </c>
      <c r="AP48" s="46">
        <v>0</v>
      </c>
      <c r="AQ48" s="46">
        <v>0</v>
      </c>
      <c r="AR48" s="46">
        <v>0</v>
      </c>
      <c r="AS48" s="46">
        <v>0</v>
      </c>
      <c r="AT48" s="46">
        <v>0</v>
      </c>
      <c r="AU48" s="46">
        <v>0</v>
      </c>
      <c r="AV48" s="46">
        <v>0</v>
      </c>
      <c r="AW48" s="46">
        <v>0</v>
      </c>
      <c r="AX48" s="46">
        <v>0</v>
      </c>
      <c r="AY48" s="46">
        <v>0</v>
      </c>
      <c r="AZ48" s="46">
        <v>0</v>
      </c>
      <c r="BA48" s="46">
        <v>0</v>
      </c>
      <c r="BB48" s="46">
        <v>0</v>
      </c>
      <c r="BC48" s="46">
        <v>1</v>
      </c>
      <c r="BD48" s="46">
        <v>0</v>
      </c>
      <c r="BE48" s="46">
        <v>1</v>
      </c>
      <c r="BF48" s="46">
        <v>0</v>
      </c>
      <c r="BG48" s="46">
        <v>1</v>
      </c>
      <c r="BH48" s="46">
        <v>0</v>
      </c>
      <c r="BI48" s="46">
        <v>0</v>
      </c>
      <c r="BJ48" s="46">
        <v>0</v>
      </c>
      <c r="BK48" s="46">
        <v>0</v>
      </c>
      <c r="BL48" s="46">
        <v>0</v>
      </c>
      <c r="BM48" s="46">
        <v>0</v>
      </c>
      <c r="BN48" s="46">
        <v>1</v>
      </c>
    </row>
    <row r="49" spans="1:66" x14ac:dyDescent="0.35">
      <c r="A49" t="s">
        <v>5477</v>
      </c>
      <c r="B49" s="44" t="s">
        <v>48</v>
      </c>
      <c r="C49" t="s">
        <v>1652</v>
      </c>
      <c r="D49" t="s">
        <v>198</v>
      </c>
      <c r="E49" t="s">
        <v>5545</v>
      </c>
      <c r="F49" t="s">
        <v>5519</v>
      </c>
      <c r="G49" t="s">
        <v>74</v>
      </c>
      <c r="H49">
        <v>0</v>
      </c>
      <c r="I49" s="60" t="s">
        <v>51</v>
      </c>
      <c r="J49" s="33" t="s">
        <v>96</v>
      </c>
      <c r="K49" s="46">
        <v>0</v>
      </c>
      <c r="L49">
        <v>73.2</v>
      </c>
      <c r="M49" t="s">
        <v>48</v>
      </c>
      <c r="N49" s="46">
        <v>1</v>
      </c>
      <c r="O49" s="46">
        <v>0</v>
      </c>
      <c r="P49" s="46">
        <v>0</v>
      </c>
      <c r="Q49" t="s">
        <v>48</v>
      </c>
      <c r="R49" t="s">
        <v>48</v>
      </c>
      <c r="S49" t="s">
        <v>5478</v>
      </c>
      <c r="T49" t="s">
        <v>48</v>
      </c>
      <c r="U49" t="s">
        <v>5478</v>
      </c>
      <c r="V49" s="47">
        <v>0</v>
      </c>
      <c r="W49" t="s">
        <v>48</v>
      </c>
      <c r="X49" t="s">
        <v>48</v>
      </c>
      <c r="Y49" t="s">
        <v>48</v>
      </c>
      <c r="Z49">
        <v>0</v>
      </c>
      <c r="AA49" t="s">
        <v>48</v>
      </c>
      <c r="AB49" t="s">
        <v>48</v>
      </c>
      <c r="AC49" t="s">
        <v>49</v>
      </c>
      <c r="AD49" t="s">
        <v>93</v>
      </c>
      <c r="AE49" t="s">
        <v>4532</v>
      </c>
      <c r="AF49" t="s">
        <v>48</v>
      </c>
      <c r="AG49" t="s">
        <v>48</v>
      </c>
      <c r="AH49" t="s">
        <v>48</v>
      </c>
      <c r="AI49" t="s">
        <v>48</v>
      </c>
      <c r="AJ49">
        <v>1973</v>
      </c>
      <c r="AK49" t="s">
        <v>48</v>
      </c>
      <c r="AL49" t="s">
        <v>48</v>
      </c>
      <c r="AM49" t="s">
        <v>48</v>
      </c>
      <c r="AN49" t="s">
        <v>48</v>
      </c>
      <c r="AO49" t="s">
        <v>48</v>
      </c>
      <c r="AP49" s="46">
        <v>0</v>
      </c>
      <c r="AQ49" s="46">
        <v>0</v>
      </c>
      <c r="AR49" s="46">
        <v>0</v>
      </c>
      <c r="AS49" s="46">
        <v>0</v>
      </c>
      <c r="AT49" s="46">
        <v>0</v>
      </c>
      <c r="AU49" s="46">
        <v>0</v>
      </c>
      <c r="AV49" s="46">
        <v>0</v>
      </c>
      <c r="AW49" s="46">
        <v>0</v>
      </c>
      <c r="AX49" s="46">
        <v>0</v>
      </c>
      <c r="AY49" s="46">
        <v>0</v>
      </c>
      <c r="AZ49" s="46">
        <v>0</v>
      </c>
      <c r="BA49" s="46">
        <v>0</v>
      </c>
      <c r="BB49" s="46">
        <v>0</v>
      </c>
      <c r="BC49" s="46">
        <v>0</v>
      </c>
      <c r="BD49" s="46">
        <v>0</v>
      </c>
      <c r="BE49" s="46">
        <v>0</v>
      </c>
      <c r="BF49" s="46">
        <v>0</v>
      </c>
      <c r="BG49" s="46" t="s">
        <v>48</v>
      </c>
      <c r="BH49" s="46">
        <v>0</v>
      </c>
      <c r="BI49" s="46">
        <v>0</v>
      </c>
      <c r="BJ49" s="46">
        <v>0</v>
      </c>
      <c r="BK49" s="46">
        <v>0</v>
      </c>
      <c r="BL49" s="46">
        <v>0</v>
      </c>
      <c r="BM49" s="46">
        <v>0</v>
      </c>
      <c r="BN49" s="46">
        <v>0</v>
      </c>
    </row>
    <row r="50" spans="1:66" x14ac:dyDescent="0.35">
      <c r="A50" t="s">
        <v>9736</v>
      </c>
      <c r="B50" s="44" t="s">
        <v>48</v>
      </c>
      <c r="C50" t="s">
        <v>5609</v>
      </c>
      <c r="D50" t="s">
        <v>12270</v>
      </c>
      <c r="E50" t="s">
        <v>9737</v>
      </c>
      <c r="F50" s="71" t="s">
        <v>12426</v>
      </c>
      <c r="G50" t="s">
        <v>74</v>
      </c>
      <c r="H50">
        <v>0</v>
      </c>
      <c r="I50" s="61">
        <v>44749</v>
      </c>
      <c r="J50" s="33" t="s">
        <v>96</v>
      </c>
      <c r="K50" s="46">
        <v>0</v>
      </c>
      <c r="L50">
        <v>100</v>
      </c>
      <c r="M50" t="s">
        <v>48</v>
      </c>
      <c r="N50" s="46">
        <v>1</v>
      </c>
      <c r="O50" s="46">
        <v>0</v>
      </c>
      <c r="P50" s="46">
        <v>0</v>
      </c>
      <c r="Q50" t="s">
        <v>48</v>
      </c>
      <c r="R50" t="s">
        <v>48</v>
      </c>
      <c r="S50" t="s">
        <v>10379</v>
      </c>
      <c r="T50" t="s">
        <v>48</v>
      </c>
      <c r="U50" t="s">
        <v>10379</v>
      </c>
      <c r="V50" s="47">
        <v>1</v>
      </c>
      <c r="W50" t="s">
        <v>48</v>
      </c>
      <c r="X50" t="s">
        <v>48</v>
      </c>
      <c r="Y50" t="s">
        <v>48</v>
      </c>
      <c r="Z50" t="s">
        <v>48</v>
      </c>
      <c r="AA50" t="s">
        <v>48</v>
      </c>
      <c r="AB50" t="s">
        <v>48</v>
      </c>
      <c r="AC50" t="s">
        <v>63</v>
      </c>
      <c r="AD50" t="s">
        <v>93</v>
      </c>
      <c r="AE50" t="s">
        <v>4532</v>
      </c>
      <c r="AF50" t="s">
        <v>48</v>
      </c>
      <c r="AG50" t="s">
        <v>48</v>
      </c>
      <c r="AH50" t="s">
        <v>48</v>
      </c>
      <c r="AI50" t="s">
        <v>48</v>
      </c>
      <c r="AJ50" t="s">
        <v>48</v>
      </c>
      <c r="AK50" t="s">
        <v>48</v>
      </c>
      <c r="AL50" t="s">
        <v>48</v>
      </c>
      <c r="AM50" t="s">
        <v>48</v>
      </c>
      <c r="AN50" t="s">
        <v>48</v>
      </c>
      <c r="AO50" t="s">
        <v>48</v>
      </c>
      <c r="AP50" s="46">
        <v>0</v>
      </c>
      <c r="AQ50" s="46">
        <v>0</v>
      </c>
      <c r="AR50" s="46">
        <v>0</v>
      </c>
      <c r="AS50" s="46">
        <v>0</v>
      </c>
      <c r="AT50" s="46">
        <v>0</v>
      </c>
      <c r="AU50" s="46">
        <v>0</v>
      </c>
      <c r="AV50" s="46">
        <v>0</v>
      </c>
      <c r="AW50" s="46">
        <v>0</v>
      </c>
      <c r="AX50" s="46">
        <v>0</v>
      </c>
      <c r="AY50" s="46">
        <v>0</v>
      </c>
      <c r="AZ50" s="46">
        <v>0</v>
      </c>
      <c r="BA50" s="46">
        <v>0</v>
      </c>
      <c r="BB50" s="46">
        <v>0</v>
      </c>
      <c r="BC50" s="46">
        <v>0</v>
      </c>
      <c r="BD50" s="46">
        <v>0</v>
      </c>
      <c r="BE50" s="46">
        <v>0</v>
      </c>
      <c r="BF50" s="46">
        <v>0</v>
      </c>
      <c r="BG50" s="46" t="s">
        <v>48</v>
      </c>
      <c r="BH50" s="46">
        <v>0</v>
      </c>
      <c r="BI50" s="46">
        <v>0</v>
      </c>
      <c r="BJ50" s="46">
        <v>0</v>
      </c>
      <c r="BK50" s="46">
        <v>0</v>
      </c>
      <c r="BL50" s="46">
        <v>0</v>
      </c>
      <c r="BM50" s="46">
        <v>0</v>
      </c>
      <c r="BN50" s="46">
        <v>0</v>
      </c>
    </row>
    <row r="51" spans="1:66" x14ac:dyDescent="0.35">
      <c r="A51" t="s">
        <v>5564</v>
      </c>
      <c r="B51" s="44" t="s">
        <v>48</v>
      </c>
      <c r="C51" t="s">
        <v>1051</v>
      </c>
      <c r="D51" t="s">
        <v>5568</v>
      </c>
      <c r="E51" t="s">
        <v>11567</v>
      </c>
      <c r="F51" s="71" t="s">
        <v>12426</v>
      </c>
      <c r="G51" t="s">
        <v>47</v>
      </c>
      <c r="H51">
        <v>0</v>
      </c>
      <c r="I51" s="61">
        <v>44749</v>
      </c>
      <c r="J51" s="33" t="s">
        <v>96</v>
      </c>
      <c r="K51" s="46">
        <v>1</v>
      </c>
      <c r="L51">
        <v>43.6</v>
      </c>
      <c r="M51">
        <v>65.099999999999994</v>
      </c>
      <c r="N51" s="46">
        <v>1</v>
      </c>
      <c r="O51" s="46">
        <v>0</v>
      </c>
      <c r="P51" s="46">
        <v>0</v>
      </c>
      <c r="Q51" t="s">
        <v>48</v>
      </c>
      <c r="R51" t="s">
        <v>48</v>
      </c>
      <c r="S51" t="s">
        <v>5566</v>
      </c>
      <c r="T51" t="s">
        <v>5567</v>
      </c>
      <c r="U51" t="s">
        <v>5566</v>
      </c>
      <c r="V51" s="47">
        <v>0</v>
      </c>
      <c r="W51" t="s">
        <v>48</v>
      </c>
      <c r="X51" t="s">
        <v>48</v>
      </c>
      <c r="Y51" t="s">
        <v>48</v>
      </c>
      <c r="Z51">
        <v>0</v>
      </c>
      <c r="AA51" t="s">
        <v>48</v>
      </c>
      <c r="AB51">
        <v>2012</v>
      </c>
      <c r="AC51" t="s">
        <v>49</v>
      </c>
      <c r="AD51" t="s">
        <v>93</v>
      </c>
      <c r="AE51" t="s">
        <v>11051</v>
      </c>
      <c r="AF51" t="s">
        <v>11092</v>
      </c>
      <c r="AG51" t="s">
        <v>2679</v>
      </c>
      <c r="AH51" t="s">
        <v>93</v>
      </c>
      <c r="AI51">
        <v>21355</v>
      </c>
      <c r="AJ51">
        <v>1977</v>
      </c>
      <c r="AK51" t="s">
        <v>9206</v>
      </c>
      <c r="AL51" t="s">
        <v>9207</v>
      </c>
      <c r="AM51">
        <v>0.53300000000000003</v>
      </c>
      <c r="AN51">
        <v>0.252</v>
      </c>
      <c r="AO51">
        <v>0.53300000000000003</v>
      </c>
      <c r="AP51" s="46">
        <v>0</v>
      </c>
      <c r="AQ51" s="46">
        <v>0</v>
      </c>
      <c r="AR51" s="46">
        <v>0</v>
      </c>
      <c r="AS51" s="46">
        <v>0</v>
      </c>
      <c r="AT51" s="46">
        <v>0</v>
      </c>
      <c r="AU51" s="46">
        <v>0</v>
      </c>
      <c r="AV51" s="46">
        <v>0</v>
      </c>
      <c r="AW51" s="46">
        <v>0</v>
      </c>
      <c r="AX51" s="46">
        <v>0</v>
      </c>
      <c r="AY51" s="46">
        <v>0</v>
      </c>
      <c r="AZ51" s="46">
        <v>0</v>
      </c>
      <c r="BA51" s="46">
        <v>0</v>
      </c>
      <c r="BB51" s="46">
        <v>1</v>
      </c>
      <c r="BC51" s="46">
        <v>0</v>
      </c>
      <c r="BD51" s="46">
        <v>0</v>
      </c>
      <c r="BE51" s="46">
        <v>0</v>
      </c>
      <c r="BF51" s="46">
        <v>0</v>
      </c>
      <c r="BG51" s="46">
        <v>1</v>
      </c>
      <c r="BH51" s="46">
        <v>0</v>
      </c>
      <c r="BI51" s="46">
        <v>0</v>
      </c>
      <c r="BJ51" s="46">
        <v>0</v>
      </c>
      <c r="BK51" s="46">
        <v>0</v>
      </c>
      <c r="BL51" s="46">
        <v>0</v>
      </c>
      <c r="BM51" s="46">
        <v>0</v>
      </c>
      <c r="BN51" s="46">
        <v>0</v>
      </c>
    </row>
    <row r="52" spans="1:66" x14ac:dyDescent="0.35">
      <c r="A52" t="s">
        <v>5614</v>
      </c>
      <c r="B52" s="44" t="s">
        <v>48</v>
      </c>
      <c r="C52" t="s">
        <v>5617</v>
      </c>
      <c r="D52" t="s">
        <v>603</v>
      </c>
      <c r="E52" t="s">
        <v>5615</v>
      </c>
      <c r="F52" t="s">
        <v>169</v>
      </c>
      <c r="G52" t="s">
        <v>47</v>
      </c>
      <c r="H52">
        <v>0</v>
      </c>
      <c r="I52" s="60" t="s">
        <v>51</v>
      </c>
      <c r="J52" s="33" t="s">
        <v>96</v>
      </c>
      <c r="K52" s="46">
        <v>1</v>
      </c>
      <c r="L52">
        <v>67.8</v>
      </c>
      <c r="M52" t="s">
        <v>48</v>
      </c>
      <c r="N52" s="46">
        <v>1</v>
      </c>
      <c r="O52" s="46">
        <v>0</v>
      </c>
      <c r="P52" s="46">
        <v>0</v>
      </c>
      <c r="Q52" t="s">
        <v>48</v>
      </c>
      <c r="R52" t="s">
        <v>48</v>
      </c>
      <c r="S52" t="s">
        <v>10385</v>
      </c>
      <c r="T52" t="s">
        <v>5616</v>
      </c>
      <c r="U52" t="s">
        <v>10385</v>
      </c>
      <c r="V52" s="47">
        <v>0</v>
      </c>
      <c r="W52" t="s">
        <v>48</v>
      </c>
      <c r="X52" t="s">
        <v>48</v>
      </c>
      <c r="Y52" t="s">
        <v>48</v>
      </c>
      <c r="Z52">
        <v>0</v>
      </c>
      <c r="AA52" t="s">
        <v>48</v>
      </c>
      <c r="AB52" t="s">
        <v>48</v>
      </c>
      <c r="AC52" t="s">
        <v>49</v>
      </c>
      <c r="AD52" t="s">
        <v>93</v>
      </c>
      <c r="AE52" t="s">
        <v>4532</v>
      </c>
      <c r="AF52" t="s">
        <v>48</v>
      </c>
      <c r="AG52" t="s">
        <v>48</v>
      </c>
      <c r="AH52" t="s">
        <v>48</v>
      </c>
      <c r="AI52">
        <v>21166</v>
      </c>
      <c r="AJ52">
        <v>1968</v>
      </c>
      <c r="AK52" t="s">
        <v>8595</v>
      </c>
      <c r="AL52" t="s">
        <v>8596</v>
      </c>
      <c r="AM52">
        <v>0.60499999999999998</v>
      </c>
      <c r="AN52">
        <v>0.159</v>
      </c>
      <c r="AO52">
        <v>0.60499999999999998</v>
      </c>
      <c r="AP52" s="46">
        <v>0</v>
      </c>
      <c r="AQ52" s="46">
        <v>0</v>
      </c>
      <c r="AR52" s="46">
        <v>0</v>
      </c>
      <c r="AS52" s="46">
        <v>0</v>
      </c>
      <c r="AT52" s="46">
        <v>0</v>
      </c>
      <c r="AU52" s="46">
        <v>0</v>
      </c>
      <c r="AV52" s="46">
        <v>0</v>
      </c>
      <c r="AW52" s="46">
        <v>0</v>
      </c>
      <c r="AX52" s="46">
        <v>0</v>
      </c>
      <c r="AY52" s="46">
        <v>0</v>
      </c>
      <c r="AZ52" s="46">
        <v>0</v>
      </c>
      <c r="BA52" s="46">
        <v>0</v>
      </c>
      <c r="BB52" s="46">
        <v>0</v>
      </c>
      <c r="BC52" s="46">
        <v>0</v>
      </c>
      <c r="BD52" s="46">
        <v>0</v>
      </c>
      <c r="BE52" s="46">
        <v>0</v>
      </c>
      <c r="BF52" s="46">
        <v>0</v>
      </c>
      <c r="BG52" s="46" t="s">
        <v>48</v>
      </c>
      <c r="BH52" s="46">
        <v>0</v>
      </c>
      <c r="BI52" s="46">
        <v>0</v>
      </c>
      <c r="BJ52" s="46">
        <v>0</v>
      </c>
      <c r="BK52" s="46">
        <v>0</v>
      </c>
      <c r="BL52" s="46">
        <v>0</v>
      </c>
      <c r="BM52" s="46">
        <v>0</v>
      </c>
      <c r="BN52" s="46">
        <v>0</v>
      </c>
    </row>
    <row r="53" spans="1:66" x14ac:dyDescent="0.35">
      <c r="A53" t="s">
        <v>5606</v>
      </c>
      <c r="B53" s="44" t="s">
        <v>48</v>
      </c>
      <c r="C53" t="s">
        <v>5609</v>
      </c>
      <c r="D53" t="s">
        <v>983</v>
      </c>
      <c r="E53" t="s">
        <v>5607</v>
      </c>
      <c r="F53" t="s">
        <v>169</v>
      </c>
      <c r="G53" t="s">
        <v>74</v>
      </c>
      <c r="H53">
        <v>0</v>
      </c>
      <c r="I53" s="60" t="s">
        <v>177</v>
      </c>
      <c r="J53" s="33" t="s">
        <v>96</v>
      </c>
      <c r="K53" s="46">
        <v>0</v>
      </c>
      <c r="L53">
        <v>37.200000000000003</v>
      </c>
      <c r="M53">
        <v>65.5</v>
      </c>
      <c r="N53" s="46">
        <v>1</v>
      </c>
      <c r="O53" s="46">
        <v>0</v>
      </c>
      <c r="P53" s="46">
        <v>0</v>
      </c>
      <c r="Q53" t="s">
        <v>48</v>
      </c>
      <c r="R53" t="s">
        <v>48</v>
      </c>
      <c r="S53" t="s">
        <v>5608</v>
      </c>
      <c r="T53" t="s">
        <v>48</v>
      </c>
      <c r="U53" t="s">
        <v>5608</v>
      </c>
      <c r="V53" s="47">
        <v>1</v>
      </c>
      <c r="W53" t="s">
        <v>48</v>
      </c>
      <c r="X53" t="s">
        <v>48</v>
      </c>
      <c r="Y53" t="s">
        <v>48</v>
      </c>
      <c r="Z53">
        <v>0</v>
      </c>
      <c r="AA53" t="s">
        <v>48</v>
      </c>
      <c r="AB53" t="s">
        <v>48</v>
      </c>
      <c r="AC53" t="s">
        <v>63</v>
      </c>
      <c r="AD53" t="s">
        <v>93</v>
      </c>
      <c r="AE53" t="s">
        <v>4532</v>
      </c>
      <c r="AF53" t="s">
        <v>48</v>
      </c>
      <c r="AG53" t="s">
        <v>48</v>
      </c>
      <c r="AH53" t="s">
        <v>48</v>
      </c>
      <c r="AI53" t="s">
        <v>48</v>
      </c>
      <c r="AJ53" t="s">
        <v>48</v>
      </c>
      <c r="AK53" t="s">
        <v>48</v>
      </c>
      <c r="AL53" t="s">
        <v>48</v>
      </c>
      <c r="AM53" t="s">
        <v>48</v>
      </c>
      <c r="AN53" t="s">
        <v>48</v>
      </c>
      <c r="AO53" t="s">
        <v>48</v>
      </c>
      <c r="AP53" s="46">
        <v>0</v>
      </c>
      <c r="AQ53" s="46">
        <v>0</v>
      </c>
      <c r="AR53" s="46">
        <v>0</v>
      </c>
      <c r="AS53" s="46">
        <v>0</v>
      </c>
      <c r="AT53" s="46">
        <v>0</v>
      </c>
      <c r="AU53" s="46">
        <v>0</v>
      </c>
      <c r="AV53" s="46">
        <v>0</v>
      </c>
      <c r="AW53" s="46">
        <v>0</v>
      </c>
      <c r="AX53" s="46">
        <v>0</v>
      </c>
      <c r="AY53" s="46">
        <v>0</v>
      </c>
      <c r="AZ53" s="46">
        <v>0</v>
      </c>
      <c r="BA53" s="46">
        <v>0</v>
      </c>
      <c r="BB53" s="46">
        <v>0</v>
      </c>
      <c r="BC53" s="46">
        <v>0</v>
      </c>
      <c r="BD53" s="46">
        <v>0</v>
      </c>
      <c r="BE53" s="46">
        <v>0</v>
      </c>
      <c r="BF53" s="46">
        <v>0</v>
      </c>
      <c r="BG53" s="46" t="s">
        <v>48</v>
      </c>
      <c r="BH53" s="46">
        <v>0</v>
      </c>
      <c r="BI53" s="46">
        <v>0</v>
      </c>
      <c r="BJ53" s="46">
        <v>0</v>
      </c>
      <c r="BK53" s="46">
        <v>0</v>
      </c>
      <c r="BL53" s="46">
        <v>0</v>
      </c>
      <c r="BM53" s="46">
        <v>0</v>
      </c>
      <c r="BN53" s="46">
        <v>0</v>
      </c>
    </row>
    <row r="54" spans="1:66" x14ac:dyDescent="0.35">
      <c r="A54" t="s">
        <v>172</v>
      </c>
      <c r="B54" t="s">
        <v>48</v>
      </c>
      <c r="C54" t="s">
        <v>176</v>
      </c>
      <c r="D54" t="s">
        <v>87</v>
      </c>
      <c r="E54" t="s">
        <v>174</v>
      </c>
      <c r="F54" t="s">
        <v>173</v>
      </c>
      <c r="G54" t="s">
        <v>47</v>
      </c>
      <c r="H54">
        <v>0</v>
      </c>
      <c r="I54" s="60" t="s">
        <v>177</v>
      </c>
      <c r="J54" s="33" t="s">
        <v>96</v>
      </c>
      <c r="K54" s="46">
        <v>0</v>
      </c>
      <c r="L54">
        <v>33.299999999999997</v>
      </c>
      <c r="M54" t="s">
        <v>48</v>
      </c>
      <c r="N54" s="46">
        <v>1</v>
      </c>
      <c r="O54" s="46">
        <v>0</v>
      </c>
      <c r="P54" s="46">
        <v>0</v>
      </c>
      <c r="Q54" t="s">
        <v>48</v>
      </c>
      <c r="R54" t="s">
        <v>48</v>
      </c>
      <c r="S54" t="s">
        <v>175</v>
      </c>
      <c r="T54" t="s">
        <v>48</v>
      </c>
      <c r="U54" t="s">
        <v>175</v>
      </c>
      <c r="V54" s="47">
        <v>0</v>
      </c>
      <c r="W54" t="s">
        <v>48</v>
      </c>
      <c r="X54" t="s">
        <v>48</v>
      </c>
      <c r="Y54" t="s">
        <v>48</v>
      </c>
      <c r="Z54">
        <v>0</v>
      </c>
      <c r="AA54" t="s">
        <v>48</v>
      </c>
      <c r="AB54" t="s">
        <v>48</v>
      </c>
      <c r="AC54" t="s">
        <v>63</v>
      </c>
      <c r="AD54" t="s">
        <v>93</v>
      </c>
      <c r="AE54" t="s">
        <v>4532</v>
      </c>
      <c r="AF54" t="s">
        <v>48</v>
      </c>
      <c r="AG54" t="s">
        <v>48</v>
      </c>
      <c r="AH54" t="s">
        <v>48</v>
      </c>
      <c r="AI54" t="s">
        <v>48</v>
      </c>
      <c r="AJ54" t="s">
        <v>48</v>
      </c>
      <c r="AK54" t="s">
        <v>48</v>
      </c>
      <c r="AL54" t="s">
        <v>48</v>
      </c>
      <c r="AM54" t="s">
        <v>48</v>
      </c>
      <c r="AN54" t="s">
        <v>48</v>
      </c>
      <c r="AO54" t="s">
        <v>48</v>
      </c>
      <c r="AP54" s="46">
        <v>0</v>
      </c>
      <c r="AQ54" s="46">
        <v>0</v>
      </c>
      <c r="AR54" s="46">
        <v>0</v>
      </c>
      <c r="AS54" s="46">
        <v>0</v>
      </c>
      <c r="AT54" s="46">
        <v>0</v>
      </c>
      <c r="AU54" s="46">
        <v>0</v>
      </c>
      <c r="AV54" s="46">
        <v>0</v>
      </c>
      <c r="AW54" s="46">
        <v>0</v>
      </c>
      <c r="AX54" s="46">
        <v>0</v>
      </c>
      <c r="AY54" s="46">
        <v>0</v>
      </c>
      <c r="AZ54" s="46">
        <v>0</v>
      </c>
      <c r="BA54" s="46">
        <v>0</v>
      </c>
      <c r="BB54" s="46">
        <v>0</v>
      </c>
      <c r="BC54" s="46">
        <v>0</v>
      </c>
      <c r="BD54" s="46">
        <v>0</v>
      </c>
      <c r="BE54" s="46">
        <v>0</v>
      </c>
      <c r="BF54" s="46">
        <v>0</v>
      </c>
      <c r="BG54" s="46">
        <v>1</v>
      </c>
      <c r="BH54" s="46">
        <v>0</v>
      </c>
      <c r="BI54" s="46">
        <v>0</v>
      </c>
      <c r="BJ54" s="46">
        <v>0</v>
      </c>
      <c r="BK54" s="46">
        <v>0</v>
      </c>
      <c r="BL54" s="46">
        <v>0</v>
      </c>
      <c r="BM54" s="46">
        <v>0</v>
      </c>
      <c r="BN54" s="46">
        <v>0</v>
      </c>
    </row>
    <row r="55" spans="1:66" x14ac:dyDescent="0.35">
      <c r="A55" t="s">
        <v>5748</v>
      </c>
      <c r="B55" s="44" t="s">
        <v>48</v>
      </c>
      <c r="C55" t="s">
        <v>5751</v>
      </c>
      <c r="D55" t="s">
        <v>673</v>
      </c>
      <c r="E55" t="s">
        <v>5749</v>
      </c>
      <c r="F55" t="s">
        <v>173</v>
      </c>
      <c r="G55" t="s">
        <v>74</v>
      </c>
      <c r="H55">
        <v>0</v>
      </c>
      <c r="I55" s="60" t="s">
        <v>51</v>
      </c>
      <c r="J55" s="33" t="s">
        <v>96</v>
      </c>
      <c r="K55" s="46">
        <v>1</v>
      </c>
      <c r="L55">
        <v>89.5</v>
      </c>
      <c r="M55" t="s">
        <v>48</v>
      </c>
      <c r="N55" s="46">
        <v>1</v>
      </c>
      <c r="O55" s="46">
        <v>0</v>
      </c>
      <c r="P55" s="46">
        <v>0</v>
      </c>
      <c r="Q55" t="s">
        <v>48</v>
      </c>
      <c r="R55" t="s">
        <v>48</v>
      </c>
      <c r="S55" t="s">
        <v>48</v>
      </c>
      <c r="T55" t="s">
        <v>5750</v>
      </c>
      <c r="U55" t="s">
        <v>48</v>
      </c>
      <c r="V55" s="47">
        <v>0</v>
      </c>
      <c r="W55" t="s">
        <v>48</v>
      </c>
      <c r="X55" t="s">
        <v>48</v>
      </c>
      <c r="Y55" t="s">
        <v>48</v>
      </c>
      <c r="Z55">
        <v>0</v>
      </c>
      <c r="AA55" t="s">
        <v>48</v>
      </c>
      <c r="AB55" t="s">
        <v>48</v>
      </c>
      <c r="AC55" t="s">
        <v>49</v>
      </c>
      <c r="AD55" t="s">
        <v>93</v>
      </c>
      <c r="AE55" t="s">
        <v>4532</v>
      </c>
      <c r="AF55" t="s">
        <v>48</v>
      </c>
      <c r="AG55" t="s">
        <v>48</v>
      </c>
      <c r="AH55" t="s">
        <v>48</v>
      </c>
      <c r="AI55">
        <v>14871</v>
      </c>
      <c r="AJ55">
        <v>1949</v>
      </c>
      <c r="AK55" t="s">
        <v>8597</v>
      </c>
      <c r="AL55" t="s">
        <v>8598</v>
      </c>
      <c r="AM55">
        <v>-0.33</v>
      </c>
      <c r="AN55">
        <v>-0.47699999999999998</v>
      </c>
      <c r="AO55">
        <v>-0.33</v>
      </c>
      <c r="AP55" s="46">
        <v>0</v>
      </c>
      <c r="AQ55" s="46">
        <v>0</v>
      </c>
      <c r="AR55" s="46">
        <v>0</v>
      </c>
      <c r="AS55" s="46">
        <v>0</v>
      </c>
      <c r="AT55" s="46">
        <v>0</v>
      </c>
      <c r="AU55" s="46">
        <v>0</v>
      </c>
      <c r="AV55" s="46">
        <v>0</v>
      </c>
      <c r="AW55" s="46">
        <v>0</v>
      </c>
      <c r="AX55" s="46">
        <v>0</v>
      </c>
      <c r="AY55" s="46">
        <v>0</v>
      </c>
      <c r="AZ55" s="46">
        <v>0</v>
      </c>
      <c r="BA55" s="46">
        <v>0</v>
      </c>
      <c r="BB55" s="46">
        <v>0</v>
      </c>
      <c r="BC55" s="46">
        <v>0</v>
      </c>
      <c r="BD55" s="46">
        <v>0</v>
      </c>
      <c r="BE55" s="46">
        <v>0</v>
      </c>
      <c r="BF55" s="46">
        <v>0</v>
      </c>
      <c r="BG55" s="46" t="s">
        <v>48</v>
      </c>
      <c r="BH55" s="46">
        <v>0</v>
      </c>
      <c r="BI55" s="46">
        <v>0</v>
      </c>
      <c r="BJ55" s="46">
        <v>0</v>
      </c>
      <c r="BK55" s="46">
        <v>0</v>
      </c>
      <c r="BL55" s="46">
        <v>0</v>
      </c>
      <c r="BM55" s="46">
        <v>0</v>
      </c>
      <c r="BN55" s="46">
        <v>0</v>
      </c>
    </row>
    <row r="56" spans="1:66" x14ac:dyDescent="0.35">
      <c r="A56" t="s">
        <v>5942</v>
      </c>
      <c r="B56" s="44" t="s">
        <v>48</v>
      </c>
      <c r="C56" t="s">
        <v>5945</v>
      </c>
      <c r="D56" t="s">
        <v>221</v>
      </c>
      <c r="E56" t="s">
        <v>5943</v>
      </c>
      <c r="F56" t="s">
        <v>178</v>
      </c>
      <c r="G56" t="s">
        <v>74</v>
      </c>
      <c r="H56">
        <v>0</v>
      </c>
      <c r="I56" s="60" t="s">
        <v>51</v>
      </c>
      <c r="J56" s="33" t="s">
        <v>96</v>
      </c>
      <c r="K56" s="46">
        <v>0</v>
      </c>
      <c r="L56">
        <v>58.94</v>
      </c>
      <c r="M56" t="s">
        <v>48</v>
      </c>
      <c r="N56" s="46">
        <v>1</v>
      </c>
      <c r="O56" s="46">
        <v>0</v>
      </c>
      <c r="P56" s="46">
        <v>0</v>
      </c>
      <c r="Q56" t="s">
        <v>48</v>
      </c>
      <c r="R56" t="s">
        <v>48</v>
      </c>
      <c r="S56" t="s">
        <v>5944</v>
      </c>
      <c r="T56" t="s">
        <v>48</v>
      </c>
      <c r="U56" t="s">
        <v>5944</v>
      </c>
      <c r="V56" s="47">
        <v>0</v>
      </c>
      <c r="W56" t="s">
        <v>48</v>
      </c>
      <c r="X56" t="s">
        <v>48</v>
      </c>
      <c r="Y56" t="s">
        <v>48</v>
      </c>
      <c r="Z56">
        <v>0</v>
      </c>
      <c r="AA56" t="s">
        <v>48</v>
      </c>
      <c r="AB56" t="s">
        <v>48</v>
      </c>
      <c r="AC56" t="s">
        <v>49</v>
      </c>
      <c r="AD56" t="s">
        <v>93</v>
      </c>
      <c r="AE56" t="s">
        <v>4532</v>
      </c>
      <c r="AF56" t="s">
        <v>48</v>
      </c>
      <c r="AG56" t="s">
        <v>48</v>
      </c>
      <c r="AH56" t="s">
        <v>93</v>
      </c>
      <c r="AI56" t="s">
        <v>48</v>
      </c>
      <c r="AJ56">
        <v>1969</v>
      </c>
      <c r="AK56" t="s">
        <v>48</v>
      </c>
      <c r="AL56" t="s">
        <v>48</v>
      </c>
      <c r="AM56" t="s">
        <v>48</v>
      </c>
      <c r="AN56" t="s">
        <v>48</v>
      </c>
      <c r="AO56" t="s">
        <v>48</v>
      </c>
      <c r="AP56" s="46">
        <v>0</v>
      </c>
      <c r="AQ56" s="46">
        <v>0</v>
      </c>
      <c r="AR56" s="46">
        <v>1</v>
      </c>
      <c r="AS56" s="46">
        <v>0</v>
      </c>
      <c r="AT56" s="46">
        <v>0</v>
      </c>
      <c r="AU56" s="46">
        <v>0</v>
      </c>
      <c r="AV56" s="46">
        <v>0</v>
      </c>
      <c r="AW56" s="46">
        <v>0</v>
      </c>
      <c r="AX56" s="46">
        <v>0</v>
      </c>
      <c r="AY56" s="46">
        <v>0</v>
      </c>
      <c r="AZ56" s="46">
        <v>0</v>
      </c>
      <c r="BA56" s="46">
        <v>0</v>
      </c>
      <c r="BB56" s="46">
        <v>0</v>
      </c>
      <c r="BC56" s="46">
        <v>0</v>
      </c>
      <c r="BD56" s="46">
        <v>0</v>
      </c>
      <c r="BE56" s="46">
        <v>0</v>
      </c>
      <c r="BF56" s="46">
        <v>0</v>
      </c>
      <c r="BG56" s="46" t="s">
        <v>48</v>
      </c>
      <c r="BH56" s="46">
        <v>0</v>
      </c>
      <c r="BI56" s="46">
        <v>0</v>
      </c>
      <c r="BJ56" s="46">
        <v>0</v>
      </c>
      <c r="BK56" s="46">
        <v>1</v>
      </c>
      <c r="BL56" s="46">
        <v>0</v>
      </c>
      <c r="BM56" s="46">
        <v>0</v>
      </c>
      <c r="BN56" s="46">
        <v>0</v>
      </c>
    </row>
    <row r="57" spans="1:66" x14ac:dyDescent="0.35">
      <c r="A57" t="s">
        <v>5961</v>
      </c>
      <c r="B57" s="44" t="s">
        <v>48</v>
      </c>
      <c r="C57" t="s">
        <v>5965</v>
      </c>
      <c r="D57" t="s">
        <v>5964</v>
      </c>
      <c r="E57" t="s">
        <v>5962</v>
      </c>
      <c r="F57" t="s">
        <v>178</v>
      </c>
      <c r="G57" t="s">
        <v>47</v>
      </c>
      <c r="H57">
        <v>0</v>
      </c>
      <c r="I57" s="60" t="s">
        <v>149</v>
      </c>
      <c r="J57" s="33" t="s">
        <v>96</v>
      </c>
      <c r="K57" s="46">
        <v>0</v>
      </c>
      <c r="L57">
        <v>31.2</v>
      </c>
      <c r="M57" t="s">
        <v>48</v>
      </c>
      <c r="N57" s="46">
        <v>1</v>
      </c>
      <c r="O57" s="46">
        <v>0</v>
      </c>
      <c r="P57" s="46">
        <v>0</v>
      </c>
      <c r="Q57" t="s">
        <v>48</v>
      </c>
      <c r="R57" t="s">
        <v>48</v>
      </c>
      <c r="S57" t="s">
        <v>5963</v>
      </c>
      <c r="T57" t="s">
        <v>48</v>
      </c>
      <c r="U57" t="s">
        <v>5963</v>
      </c>
      <c r="V57" s="47">
        <v>0</v>
      </c>
      <c r="W57" t="s">
        <v>48</v>
      </c>
      <c r="X57" t="s">
        <v>48</v>
      </c>
      <c r="Y57" t="s">
        <v>48</v>
      </c>
      <c r="Z57">
        <v>0</v>
      </c>
      <c r="AA57" t="s">
        <v>48</v>
      </c>
      <c r="AB57" t="s">
        <v>48</v>
      </c>
      <c r="AC57" t="s">
        <v>49</v>
      </c>
      <c r="AD57" t="s">
        <v>93</v>
      </c>
      <c r="AE57" t="s">
        <v>11051</v>
      </c>
      <c r="AF57" t="s">
        <v>11091</v>
      </c>
      <c r="AG57" t="s">
        <v>48</v>
      </c>
      <c r="AH57" t="s">
        <v>48</v>
      </c>
      <c r="AI57" t="s">
        <v>48</v>
      </c>
      <c r="AJ57" t="s">
        <v>48</v>
      </c>
      <c r="AK57" t="s">
        <v>48</v>
      </c>
      <c r="AL57" t="s">
        <v>48</v>
      </c>
      <c r="AM57" t="s">
        <v>48</v>
      </c>
      <c r="AN57" t="s">
        <v>48</v>
      </c>
      <c r="AO57" t="s">
        <v>48</v>
      </c>
      <c r="AP57" s="46">
        <v>0</v>
      </c>
      <c r="AQ57" s="46">
        <v>0</v>
      </c>
      <c r="AR57" s="46">
        <v>0</v>
      </c>
      <c r="AS57" s="46">
        <v>0</v>
      </c>
      <c r="AT57" s="46">
        <v>0</v>
      </c>
      <c r="AU57" s="46">
        <v>0</v>
      </c>
      <c r="AV57" s="46">
        <v>0</v>
      </c>
      <c r="AW57" s="46">
        <v>0</v>
      </c>
      <c r="AX57" s="46">
        <v>0</v>
      </c>
      <c r="AY57" s="46">
        <v>0</v>
      </c>
      <c r="AZ57" s="46">
        <v>0</v>
      </c>
      <c r="BA57" s="46">
        <v>0</v>
      </c>
      <c r="BB57" s="46">
        <v>0</v>
      </c>
      <c r="BC57" s="46">
        <v>1</v>
      </c>
      <c r="BD57" s="46">
        <v>0</v>
      </c>
      <c r="BE57" s="46">
        <v>0</v>
      </c>
      <c r="BF57" s="46">
        <v>0</v>
      </c>
      <c r="BG57" s="46">
        <v>1</v>
      </c>
      <c r="BH57" s="46">
        <v>0</v>
      </c>
      <c r="BI57" s="46">
        <v>0</v>
      </c>
      <c r="BJ57" s="46">
        <v>0</v>
      </c>
      <c r="BK57" s="46">
        <v>0</v>
      </c>
      <c r="BL57" s="46">
        <v>0</v>
      </c>
      <c r="BM57" s="46">
        <v>0</v>
      </c>
      <c r="BN57" s="46">
        <v>0</v>
      </c>
    </row>
    <row r="58" spans="1:66" x14ac:dyDescent="0.35">
      <c r="A58" t="s">
        <v>6126</v>
      </c>
      <c r="B58" s="44" t="s">
        <v>48</v>
      </c>
      <c r="C58" t="s">
        <v>578</v>
      </c>
      <c r="D58" t="s">
        <v>5037</v>
      </c>
      <c r="E58" t="s">
        <v>6128</v>
      </c>
      <c r="F58" t="s">
        <v>6127</v>
      </c>
      <c r="G58" t="s">
        <v>74</v>
      </c>
      <c r="H58">
        <v>0</v>
      </c>
      <c r="I58" s="60" t="s">
        <v>125</v>
      </c>
      <c r="J58" s="33" t="s">
        <v>96</v>
      </c>
      <c r="K58" s="46">
        <v>0</v>
      </c>
      <c r="L58">
        <v>34.700000000000003</v>
      </c>
      <c r="M58" t="s">
        <v>48</v>
      </c>
      <c r="N58" s="46">
        <v>1</v>
      </c>
      <c r="O58" s="46">
        <v>0</v>
      </c>
      <c r="P58" s="46">
        <v>0</v>
      </c>
      <c r="Q58" t="s">
        <v>48</v>
      </c>
      <c r="R58" t="s">
        <v>48</v>
      </c>
      <c r="S58" t="s">
        <v>6129</v>
      </c>
      <c r="T58" t="s">
        <v>48</v>
      </c>
      <c r="U58" t="s">
        <v>6129</v>
      </c>
      <c r="V58" s="47">
        <v>0</v>
      </c>
      <c r="W58" t="s">
        <v>48</v>
      </c>
      <c r="X58" t="s">
        <v>48</v>
      </c>
      <c r="Y58" t="s">
        <v>48</v>
      </c>
      <c r="Z58">
        <v>0</v>
      </c>
      <c r="AA58" t="s">
        <v>48</v>
      </c>
      <c r="AB58" t="s">
        <v>48</v>
      </c>
      <c r="AC58" t="s">
        <v>63</v>
      </c>
      <c r="AD58" t="s">
        <v>93</v>
      </c>
      <c r="AE58" s="40" t="s">
        <v>2471</v>
      </c>
      <c r="AF58" t="s">
        <v>11061</v>
      </c>
      <c r="AG58" t="s">
        <v>48</v>
      </c>
      <c r="AH58" t="s">
        <v>48</v>
      </c>
      <c r="AI58" t="s">
        <v>48</v>
      </c>
      <c r="AJ58" t="s">
        <v>48</v>
      </c>
      <c r="AK58" t="s">
        <v>48</v>
      </c>
      <c r="AL58" t="s">
        <v>48</v>
      </c>
      <c r="AM58" t="s">
        <v>48</v>
      </c>
      <c r="AN58" t="s">
        <v>48</v>
      </c>
      <c r="AO58" t="s">
        <v>48</v>
      </c>
      <c r="AP58" s="46">
        <v>0</v>
      </c>
      <c r="AQ58" s="46">
        <v>0</v>
      </c>
      <c r="AR58" s="46">
        <v>0</v>
      </c>
      <c r="AS58" s="46">
        <v>0</v>
      </c>
      <c r="AT58" s="46">
        <v>0</v>
      </c>
      <c r="AU58" s="46">
        <v>0</v>
      </c>
      <c r="AV58" s="46">
        <v>0</v>
      </c>
      <c r="AW58" s="46">
        <v>0</v>
      </c>
      <c r="AX58" s="46">
        <v>0</v>
      </c>
      <c r="AY58" s="46">
        <v>0</v>
      </c>
      <c r="AZ58" s="46">
        <v>0</v>
      </c>
      <c r="BA58" s="46">
        <v>0</v>
      </c>
      <c r="BB58" s="46">
        <v>0</v>
      </c>
      <c r="BC58" s="46">
        <v>0</v>
      </c>
      <c r="BD58" s="46">
        <v>0</v>
      </c>
      <c r="BE58" s="46">
        <v>0</v>
      </c>
      <c r="BF58" s="46">
        <v>0</v>
      </c>
      <c r="BG58" s="46" t="s">
        <v>48</v>
      </c>
      <c r="BH58" s="46">
        <v>0</v>
      </c>
      <c r="BI58" s="46">
        <v>0</v>
      </c>
      <c r="BJ58" s="46">
        <v>0</v>
      </c>
      <c r="BK58" s="46">
        <v>0</v>
      </c>
      <c r="BL58" s="46">
        <v>0</v>
      </c>
      <c r="BM58" s="46">
        <v>0</v>
      </c>
      <c r="BN58" s="46">
        <v>0</v>
      </c>
    </row>
    <row r="59" spans="1:66" x14ac:dyDescent="0.35">
      <c r="A59" t="s">
        <v>6138</v>
      </c>
      <c r="B59" s="44" t="s">
        <v>48</v>
      </c>
      <c r="C59" t="s">
        <v>885</v>
      </c>
      <c r="D59" t="s">
        <v>198</v>
      </c>
      <c r="E59" t="s">
        <v>6139</v>
      </c>
      <c r="F59" t="s">
        <v>6127</v>
      </c>
      <c r="G59" t="s">
        <v>47</v>
      </c>
      <c r="H59">
        <v>0</v>
      </c>
      <c r="I59" s="60" t="s">
        <v>51</v>
      </c>
      <c r="J59" s="33" t="s">
        <v>96</v>
      </c>
      <c r="K59" s="46">
        <v>1</v>
      </c>
      <c r="L59">
        <v>100</v>
      </c>
      <c r="M59" t="s">
        <v>48</v>
      </c>
      <c r="N59" s="46">
        <v>1</v>
      </c>
      <c r="O59" s="46">
        <v>0</v>
      </c>
      <c r="P59" s="46">
        <v>0</v>
      </c>
      <c r="Q59" t="s">
        <v>48</v>
      </c>
      <c r="R59" t="s">
        <v>48</v>
      </c>
      <c r="S59" t="s">
        <v>48</v>
      </c>
      <c r="T59" t="s">
        <v>6140</v>
      </c>
      <c r="U59" t="s">
        <v>48</v>
      </c>
      <c r="V59" s="47">
        <v>0</v>
      </c>
      <c r="W59" t="s">
        <v>48</v>
      </c>
      <c r="X59" t="s">
        <v>48</v>
      </c>
      <c r="Y59" t="s">
        <v>48</v>
      </c>
      <c r="Z59">
        <v>0</v>
      </c>
      <c r="AA59" t="s">
        <v>48</v>
      </c>
      <c r="AB59" t="s">
        <v>48</v>
      </c>
      <c r="AC59" t="s">
        <v>49</v>
      </c>
      <c r="AD59" t="s">
        <v>93</v>
      </c>
      <c r="AE59" s="40" t="s">
        <v>2471</v>
      </c>
      <c r="AF59" t="s">
        <v>48</v>
      </c>
      <c r="AG59" t="s">
        <v>48</v>
      </c>
      <c r="AH59" t="s">
        <v>48</v>
      </c>
      <c r="AI59">
        <v>21173</v>
      </c>
      <c r="AJ59">
        <v>1965</v>
      </c>
      <c r="AK59" t="s">
        <v>8606</v>
      </c>
      <c r="AL59" t="s">
        <v>8607</v>
      </c>
      <c r="AM59">
        <v>0.629</v>
      </c>
      <c r="AN59">
        <v>6.0000000000000001E-3</v>
      </c>
      <c r="AO59">
        <v>0.629</v>
      </c>
      <c r="AP59" s="46">
        <v>0</v>
      </c>
      <c r="AQ59" s="46">
        <v>0</v>
      </c>
      <c r="AR59" s="46">
        <v>0</v>
      </c>
      <c r="AS59" s="46">
        <v>0</v>
      </c>
      <c r="AT59" s="46">
        <v>0</v>
      </c>
      <c r="AU59" s="46">
        <v>0</v>
      </c>
      <c r="AV59" s="46">
        <v>0</v>
      </c>
      <c r="AW59" s="46">
        <v>0</v>
      </c>
      <c r="AX59" s="46">
        <v>0</v>
      </c>
      <c r="AY59" s="46">
        <v>0</v>
      </c>
      <c r="AZ59" s="46">
        <v>0</v>
      </c>
      <c r="BA59" s="46">
        <v>0</v>
      </c>
      <c r="BB59" s="46">
        <v>0</v>
      </c>
      <c r="BC59" s="46">
        <v>0</v>
      </c>
      <c r="BD59" s="46">
        <v>0</v>
      </c>
      <c r="BE59" s="46">
        <v>0</v>
      </c>
      <c r="BF59" s="46">
        <v>0</v>
      </c>
      <c r="BG59" s="46" t="s">
        <v>48</v>
      </c>
      <c r="BH59" s="46">
        <v>0</v>
      </c>
      <c r="BI59" s="46">
        <v>0</v>
      </c>
      <c r="BJ59" s="46">
        <v>0</v>
      </c>
      <c r="BK59" s="46">
        <v>0</v>
      </c>
      <c r="BL59" s="46">
        <v>0</v>
      </c>
      <c r="BM59" s="46">
        <v>0</v>
      </c>
      <c r="BN59" s="46">
        <v>0</v>
      </c>
    </row>
    <row r="60" spans="1:66" x14ac:dyDescent="0.35">
      <c r="A60" t="s">
        <v>6153</v>
      </c>
      <c r="B60" s="44" t="s">
        <v>48</v>
      </c>
      <c r="C60" t="s">
        <v>6157</v>
      </c>
      <c r="D60" t="s">
        <v>195</v>
      </c>
      <c r="E60" t="s">
        <v>6155</v>
      </c>
      <c r="F60" t="s">
        <v>6154</v>
      </c>
      <c r="G60" t="s">
        <v>74</v>
      </c>
      <c r="H60">
        <v>0</v>
      </c>
      <c r="I60" s="60" t="s">
        <v>177</v>
      </c>
      <c r="J60" s="33" t="s">
        <v>96</v>
      </c>
      <c r="K60" s="46">
        <v>0</v>
      </c>
      <c r="L60">
        <v>100</v>
      </c>
      <c r="M60" t="s">
        <v>48</v>
      </c>
      <c r="N60" s="46">
        <v>1</v>
      </c>
      <c r="O60" s="46">
        <v>0</v>
      </c>
      <c r="P60" s="46">
        <v>0</v>
      </c>
      <c r="Q60" t="s">
        <v>48</v>
      </c>
      <c r="R60" t="s">
        <v>48</v>
      </c>
      <c r="S60" t="s">
        <v>6156</v>
      </c>
      <c r="T60" t="s">
        <v>48</v>
      </c>
      <c r="U60" t="s">
        <v>6156</v>
      </c>
      <c r="V60" s="47">
        <v>0</v>
      </c>
      <c r="W60" t="s">
        <v>48</v>
      </c>
      <c r="X60" t="s">
        <v>48</v>
      </c>
      <c r="Y60" t="s">
        <v>48</v>
      </c>
      <c r="Z60">
        <v>0</v>
      </c>
      <c r="AA60" t="s">
        <v>48</v>
      </c>
      <c r="AB60" t="s">
        <v>48</v>
      </c>
      <c r="AC60" t="s">
        <v>49</v>
      </c>
      <c r="AD60" t="s">
        <v>93</v>
      </c>
      <c r="AE60" t="s">
        <v>4532</v>
      </c>
      <c r="AF60" t="s">
        <v>48</v>
      </c>
      <c r="AG60" t="s">
        <v>48</v>
      </c>
      <c r="AH60" t="s">
        <v>48</v>
      </c>
      <c r="AI60" t="s">
        <v>48</v>
      </c>
      <c r="AJ60" t="s">
        <v>48</v>
      </c>
      <c r="AK60" t="s">
        <v>48</v>
      </c>
      <c r="AL60" t="s">
        <v>48</v>
      </c>
      <c r="AM60" t="s">
        <v>48</v>
      </c>
      <c r="AN60" t="s">
        <v>48</v>
      </c>
      <c r="AO60" t="s">
        <v>48</v>
      </c>
      <c r="AP60" s="46">
        <v>0</v>
      </c>
      <c r="AQ60" s="46">
        <v>0</v>
      </c>
      <c r="AR60" s="46">
        <v>0</v>
      </c>
      <c r="AS60" s="46">
        <v>0</v>
      </c>
      <c r="AT60" s="46">
        <v>0</v>
      </c>
      <c r="AU60" s="46">
        <v>0</v>
      </c>
      <c r="AV60" s="46">
        <v>0</v>
      </c>
      <c r="AW60" s="46">
        <v>0</v>
      </c>
      <c r="AX60" s="46">
        <v>0</v>
      </c>
      <c r="AY60" s="46">
        <v>0</v>
      </c>
      <c r="AZ60" s="46">
        <v>0</v>
      </c>
      <c r="BA60" s="46">
        <v>0</v>
      </c>
      <c r="BB60" s="46">
        <v>0</v>
      </c>
      <c r="BC60" s="46">
        <v>0</v>
      </c>
      <c r="BD60" s="46">
        <v>0</v>
      </c>
      <c r="BE60" s="46">
        <v>0</v>
      </c>
      <c r="BF60" s="46">
        <v>0</v>
      </c>
      <c r="BG60" s="46" t="s">
        <v>48</v>
      </c>
      <c r="BH60" s="46">
        <v>0</v>
      </c>
      <c r="BI60" s="46">
        <v>0</v>
      </c>
      <c r="BJ60" s="46">
        <v>0</v>
      </c>
      <c r="BK60" s="46">
        <v>0</v>
      </c>
      <c r="BL60" s="46">
        <v>0</v>
      </c>
      <c r="BM60" s="46">
        <v>0</v>
      </c>
      <c r="BN60" s="46">
        <v>0</v>
      </c>
    </row>
    <row r="61" spans="1:66" x14ac:dyDescent="0.35">
      <c r="A61" t="s">
        <v>6161</v>
      </c>
      <c r="B61" s="44" t="s">
        <v>48</v>
      </c>
      <c r="C61" t="s">
        <v>6164</v>
      </c>
      <c r="D61" t="s">
        <v>221</v>
      </c>
      <c r="E61" t="s">
        <v>6162</v>
      </c>
      <c r="F61" t="s">
        <v>6154</v>
      </c>
      <c r="G61" t="s">
        <v>47</v>
      </c>
      <c r="H61">
        <v>0</v>
      </c>
      <c r="I61" s="60" t="s">
        <v>51</v>
      </c>
      <c r="J61" s="33" t="s">
        <v>96</v>
      </c>
      <c r="K61" s="46">
        <v>1</v>
      </c>
      <c r="L61">
        <v>72.2</v>
      </c>
      <c r="M61" t="s">
        <v>48</v>
      </c>
      <c r="N61" s="46">
        <v>1</v>
      </c>
      <c r="O61" s="46">
        <v>0</v>
      </c>
      <c r="P61" s="46">
        <v>0</v>
      </c>
      <c r="Q61" t="s">
        <v>48</v>
      </c>
      <c r="R61" t="s">
        <v>48</v>
      </c>
      <c r="S61" t="s">
        <v>48</v>
      </c>
      <c r="T61" t="s">
        <v>6163</v>
      </c>
      <c r="U61" t="s">
        <v>48</v>
      </c>
      <c r="V61" s="47">
        <v>0</v>
      </c>
      <c r="W61" t="s">
        <v>48</v>
      </c>
      <c r="X61" t="s">
        <v>48</v>
      </c>
      <c r="Y61" t="s">
        <v>48</v>
      </c>
      <c r="Z61">
        <v>0</v>
      </c>
      <c r="AA61" t="s">
        <v>48</v>
      </c>
      <c r="AB61" t="s">
        <v>48</v>
      </c>
      <c r="AC61" t="s">
        <v>49</v>
      </c>
      <c r="AD61" t="s">
        <v>93</v>
      </c>
      <c r="AE61" t="s">
        <v>4532</v>
      </c>
      <c r="AF61" t="s">
        <v>48</v>
      </c>
      <c r="AG61" t="s">
        <v>48</v>
      </c>
      <c r="AH61" t="s">
        <v>48</v>
      </c>
      <c r="AI61">
        <v>29754</v>
      </c>
      <c r="AJ61">
        <v>1961</v>
      </c>
      <c r="AK61" t="s">
        <v>8609</v>
      </c>
      <c r="AL61" t="s">
        <v>8610</v>
      </c>
      <c r="AM61">
        <v>0.42499999999999999</v>
      </c>
      <c r="AN61">
        <v>0.17599999999999999</v>
      </c>
      <c r="AO61">
        <v>0.42499999999999999</v>
      </c>
      <c r="AP61" s="46">
        <v>0</v>
      </c>
      <c r="AQ61" s="46">
        <v>0</v>
      </c>
      <c r="AR61" s="46">
        <v>0</v>
      </c>
      <c r="AS61" s="46">
        <v>0</v>
      </c>
      <c r="AT61" s="46">
        <v>0</v>
      </c>
      <c r="AU61" s="46">
        <v>0</v>
      </c>
      <c r="AV61" s="46">
        <v>0</v>
      </c>
      <c r="AW61" s="46">
        <v>0</v>
      </c>
      <c r="AX61" s="46">
        <v>0</v>
      </c>
      <c r="AY61" s="46">
        <v>0</v>
      </c>
      <c r="AZ61" s="46">
        <v>0</v>
      </c>
      <c r="BA61" s="46">
        <v>0</v>
      </c>
      <c r="BB61" s="46">
        <v>0</v>
      </c>
      <c r="BC61" s="46">
        <v>0</v>
      </c>
      <c r="BD61" s="46">
        <v>0</v>
      </c>
      <c r="BE61" s="46">
        <v>0</v>
      </c>
      <c r="BF61" s="46">
        <v>0</v>
      </c>
      <c r="BG61" s="46" t="s">
        <v>48</v>
      </c>
      <c r="BH61" s="46">
        <v>0</v>
      </c>
      <c r="BI61" s="46">
        <v>0</v>
      </c>
      <c r="BJ61" s="46">
        <v>0</v>
      </c>
      <c r="BK61" s="46">
        <v>0</v>
      </c>
      <c r="BL61" s="46">
        <v>0</v>
      </c>
      <c r="BM61" s="46">
        <v>0</v>
      </c>
      <c r="BN61" s="46">
        <v>0</v>
      </c>
    </row>
    <row r="62" spans="1:66" x14ac:dyDescent="0.35">
      <c r="A62" t="s">
        <v>9777</v>
      </c>
      <c r="B62" t="s">
        <v>48</v>
      </c>
      <c r="C62" t="s">
        <v>12339</v>
      </c>
      <c r="D62" t="s">
        <v>12340</v>
      </c>
      <c r="E62" t="s">
        <v>9778</v>
      </c>
      <c r="F62" t="s">
        <v>7194</v>
      </c>
      <c r="G62" t="s">
        <v>83</v>
      </c>
      <c r="H62">
        <v>0</v>
      </c>
      <c r="I62" s="61">
        <v>44757</v>
      </c>
      <c r="J62" s="33" t="s">
        <v>96</v>
      </c>
      <c r="K62" s="46">
        <v>0</v>
      </c>
      <c r="L62">
        <v>100</v>
      </c>
      <c r="M62" t="s">
        <v>48</v>
      </c>
      <c r="N62" s="46">
        <v>1</v>
      </c>
      <c r="O62" s="46">
        <v>0</v>
      </c>
      <c r="P62" s="46">
        <v>0</v>
      </c>
      <c r="Q62" t="s">
        <v>48</v>
      </c>
      <c r="R62" t="s">
        <v>48</v>
      </c>
      <c r="S62" t="str">
        <f>"@evanmcmullin"</f>
        <v>@evanmcmullin</v>
      </c>
      <c r="T62" t="s">
        <v>48</v>
      </c>
      <c r="U62" t="str">
        <f>"@evanmcmullin"</f>
        <v>@evanmcmullin</v>
      </c>
      <c r="V62" s="47">
        <v>1</v>
      </c>
      <c r="W62" t="s">
        <v>48</v>
      </c>
      <c r="X62" t="s">
        <v>48</v>
      </c>
      <c r="Y62" t="s">
        <v>48</v>
      </c>
      <c r="Z62" t="s">
        <v>48</v>
      </c>
      <c r="AA62" t="s">
        <v>48</v>
      </c>
      <c r="AB62" t="s">
        <v>48</v>
      </c>
      <c r="AC62" t="s">
        <v>49</v>
      </c>
      <c r="AD62" t="s">
        <v>93</v>
      </c>
      <c r="AE62" t="s">
        <v>4532</v>
      </c>
      <c r="AF62" t="s">
        <v>48</v>
      </c>
      <c r="AG62" t="s">
        <v>48</v>
      </c>
      <c r="AH62" t="s">
        <v>48</v>
      </c>
      <c r="AI62" t="s">
        <v>48</v>
      </c>
      <c r="AJ62" t="s">
        <v>48</v>
      </c>
      <c r="AK62" t="s">
        <v>48</v>
      </c>
      <c r="AL62" t="s">
        <v>48</v>
      </c>
      <c r="AM62" t="s">
        <v>48</v>
      </c>
      <c r="AN62" t="s">
        <v>48</v>
      </c>
      <c r="AO62" t="s">
        <v>48</v>
      </c>
      <c r="AP62" s="46">
        <v>0</v>
      </c>
      <c r="AQ62" s="46">
        <v>0</v>
      </c>
      <c r="AR62" s="46">
        <v>0</v>
      </c>
      <c r="AS62" s="46">
        <v>0</v>
      </c>
      <c r="AT62" s="46">
        <v>0</v>
      </c>
      <c r="AU62" s="46">
        <v>0</v>
      </c>
      <c r="AV62" s="46">
        <v>0</v>
      </c>
      <c r="AW62" s="46">
        <v>1</v>
      </c>
      <c r="AX62" s="46">
        <v>1</v>
      </c>
      <c r="AY62" s="46">
        <v>0</v>
      </c>
      <c r="AZ62" s="46">
        <v>0</v>
      </c>
      <c r="BA62" s="46">
        <v>0</v>
      </c>
      <c r="BB62" s="46">
        <v>0</v>
      </c>
      <c r="BC62" s="46">
        <v>0</v>
      </c>
      <c r="BD62" s="46">
        <v>0</v>
      </c>
      <c r="BE62" s="46">
        <v>0</v>
      </c>
      <c r="BF62" s="46">
        <v>0</v>
      </c>
      <c r="BG62" s="46" t="s">
        <v>48</v>
      </c>
      <c r="BH62" s="46">
        <v>0</v>
      </c>
      <c r="BI62" s="46">
        <v>0</v>
      </c>
      <c r="BJ62" s="46">
        <v>0</v>
      </c>
      <c r="BK62" s="46">
        <v>0</v>
      </c>
      <c r="BL62" s="46">
        <v>1</v>
      </c>
      <c r="BM62" s="46">
        <v>0</v>
      </c>
      <c r="BN62" s="46">
        <v>0</v>
      </c>
    </row>
    <row r="63" spans="1:66" x14ac:dyDescent="0.35">
      <c r="A63" t="s">
        <v>7204</v>
      </c>
      <c r="B63" s="44" t="s">
        <v>48</v>
      </c>
      <c r="C63" t="s">
        <v>1034</v>
      </c>
      <c r="D63" t="s">
        <v>288</v>
      </c>
      <c r="E63" t="s">
        <v>7205</v>
      </c>
      <c r="F63" t="s">
        <v>7194</v>
      </c>
      <c r="G63" t="s">
        <v>47</v>
      </c>
      <c r="H63">
        <v>0</v>
      </c>
      <c r="I63" s="60" t="s">
        <v>51</v>
      </c>
      <c r="J63" s="33" t="s">
        <v>96</v>
      </c>
      <c r="K63" s="46">
        <v>1</v>
      </c>
      <c r="L63">
        <v>61.9</v>
      </c>
      <c r="M63" t="s">
        <v>48</v>
      </c>
      <c r="N63" s="46">
        <v>1</v>
      </c>
      <c r="O63" s="46">
        <v>0</v>
      </c>
      <c r="P63" s="46">
        <v>0</v>
      </c>
      <c r="Q63" t="s">
        <v>48</v>
      </c>
      <c r="R63" t="s">
        <v>48</v>
      </c>
      <c r="S63" t="s">
        <v>48</v>
      </c>
      <c r="T63" t="s">
        <v>7206</v>
      </c>
      <c r="U63" t="s">
        <v>48</v>
      </c>
      <c r="V63" s="47">
        <v>0</v>
      </c>
      <c r="W63" t="s">
        <v>48</v>
      </c>
      <c r="X63" t="s">
        <v>48</v>
      </c>
      <c r="Y63" t="s">
        <v>48</v>
      </c>
      <c r="Z63">
        <v>0</v>
      </c>
      <c r="AA63" t="s">
        <v>48</v>
      </c>
      <c r="AB63" t="s">
        <v>48</v>
      </c>
      <c r="AC63" t="s">
        <v>49</v>
      </c>
      <c r="AD63" t="s">
        <v>93</v>
      </c>
      <c r="AE63" t="s">
        <v>4532</v>
      </c>
      <c r="AF63" t="s">
        <v>48</v>
      </c>
      <c r="AG63" t="s">
        <v>48</v>
      </c>
      <c r="AH63" t="s">
        <v>48</v>
      </c>
      <c r="AI63">
        <v>41110</v>
      </c>
      <c r="AJ63">
        <v>1971</v>
      </c>
      <c r="AK63" t="s">
        <v>8621</v>
      </c>
      <c r="AL63" t="s">
        <v>8622</v>
      </c>
      <c r="AM63">
        <v>0.88300000000000001</v>
      </c>
      <c r="AN63">
        <v>-0.46899999999999997</v>
      </c>
      <c r="AO63">
        <v>0.88300000000000001</v>
      </c>
      <c r="AP63" s="46">
        <v>0</v>
      </c>
      <c r="AQ63" s="46">
        <v>0</v>
      </c>
      <c r="AR63" s="46">
        <v>0</v>
      </c>
      <c r="AS63" s="46">
        <v>0</v>
      </c>
      <c r="AT63" s="46">
        <v>0</v>
      </c>
      <c r="AU63" s="46">
        <v>0</v>
      </c>
      <c r="AV63" s="46">
        <v>0</v>
      </c>
      <c r="AW63" s="46">
        <v>0</v>
      </c>
      <c r="AX63" s="46">
        <v>0</v>
      </c>
      <c r="AY63" s="46">
        <v>0</v>
      </c>
      <c r="AZ63" s="46">
        <v>0</v>
      </c>
      <c r="BA63" s="46">
        <v>0</v>
      </c>
      <c r="BB63" s="46">
        <v>0</v>
      </c>
      <c r="BC63" s="46">
        <v>0</v>
      </c>
      <c r="BD63" s="46">
        <v>0</v>
      </c>
      <c r="BE63" s="46">
        <v>1</v>
      </c>
      <c r="BF63" s="46">
        <v>0</v>
      </c>
      <c r="BG63" s="46" t="s">
        <v>48</v>
      </c>
      <c r="BH63" s="46">
        <v>0</v>
      </c>
      <c r="BI63" s="46">
        <v>0</v>
      </c>
      <c r="BJ63" s="46">
        <v>0</v>
      </c>
      <c r="BK63" s="46">
        <v>0</v>
      </c>
      <c r="BL63" s="46">
        <v>0</v>
      </c>
      <c r="BM63" s="46">
        <v>0</v>
      </c>
      <c r="BN63" s="46">
        <v>1</v>
      </c>
    </row>
    <row r="64" spans="1:66" x14ac:dyDescent="0.35">
      <c r="A64" t="s">
        <v>10890</v>
      </c>
      <c r="B64" t="s">
        <v>48</v>
      </c>
      <c r="C64" t="s">
        <v>12357</v>
      </c>
      <c r="D64" t="s">
        <v>3078</v>
      </c>
      <c r="E64" t="s">
        <v>10891</v>
      </c>
      <c r="F64" t="s">
        <v>7419</v>
      </c>
      <c r="G64" t="s">
        <v>47</v>
      </c>
      <c r="H64">
        <v>0</v>
      </c>
      <c r="I64" s="60" t="s">
        <v>11552</v>
      </c>
      <c r="J64" s="33" t="s">
        <v>96</v>
      </c>
      <c r="K64" s="46">
        <v>0</v>
      </c>
      <c r="L64">
        <v>43</v>
      </c>
      <c r="M64" t="s">
        <v>48</v>
      </c>
      <c r="N64" s="46">
        <v>1</v>
      </c>
      <c r="O64" s="46">
        <v>0</v>
      </c>
      <c r="P64" s="46">
        <v>0</v>
      </c>
      <c r="Q64" t="s">
        <v>48</v>
      </c>
      <c r="R64" t="s">
        <v>48</v>
      </c>
      <c r="S64" t="s">
        <v>11548</v>
      </c>
      <c r="T64" t="s">
        <v>48</v>
      </c>
      <c r="U64" t="s">
        <v>10892</v>
      </c>
      <c r="V64" s="47">
        <v>0</v>
      </c>
      <c r="W64" t="s">
        <v>48</v>
      </c>
      <c r="X64" t="s">
        <v>48</v>
      </c>
      <c r="Y64" t="s">
        <v>48</v>
      </c>
      <c r="Z64">
        <v>0</v>
      </c>
      <c r="AA64" t="s">
        <v>48</v>
      </c>
      <c r="AB64" t="s">
        <v>48</v>
      </c>
      <c r="AC64" t="s">
        <v>49</v>
      </c>
      <c r="AD64" t="s">
        <v>48</v>
      </c>
      <c r="AE64" t="s">
        <v>48</v>
      </c>
      <c r="AF64" t="s">
        <v>48</v>
      </c>
      <c r="AG64" t="s">
        <v>48</v>
      </c>
      <c r="AH64" t="s">
        <v>48</v>
      </c>
      <c r="AI64" t="s">
        <v>48</v>
      </c>
      <c r="AJ64" t="s">
        <v>48</v>
      </c>
      <c r="AK64" t="s">
        <v>48</v>
      </c>
      <c r="AL64" t="s">
        <v>48</v>
      </c>
      <c r="AM64" t="s">
        <v>48</v>
      </c>
      <c r="AN64" t="s">
        <v>48</v>
      </c>
      <c r="AO64" t="s">
        <v>48</v>
      </c>
      <c r="AP64" s="46">
        <v>0</v>
      </c>
      <c r="AQ64" s="46">
        <v>0</v>
      </c>
      <c r="AR64" s="46">
        <v>0</v>
      </c>
      <c r="AS64" s="46">
        <v>0</v>
      </c>
      <c r="AT64" s="46">
        <v>0</v>
      </c>
      <c r="AU64" s="46">
        <v>0</v>
      </c>
      <c r="AV64" s="46">
        <v>0</v>
      </c>
      <c r="AW64" s="46">
        <v>0</v>
      </c>
      <c r="AX64" s="46">
        <v>0</v>
      </c>
      <c r="AY64" s="46">
        <v>0</v>
      </c>
      <c r="AZ64" s="46">
        <v>0</v>
      </c>
      <c r="BA64" s="46">
        <v>0</v>
      </c>
      <c r="BB64" s="46">
        <v>0</v>
      </c>
      <c r="BC64" s="46">
        <v>0</v>
      </c>
      <c r="BD64" s="46">
        <v>0</v>
      </c>
      <c r="BE64" s="46">
        <v>0</v>
      </c>
      <c r="BF64" s="46">
        <v>0</v>
      </c>
      <c r="BG64" s="46" t="s">
        <v>48</v>
      </c>
      <c r="BH64" s="46">
        <v>0</v>
      </c>
      <c r="BI64" s="46">
        <v>0</v>
      </c>
      <c r="BJ64" s="46">
        <v>0</v>
      </c>
      <c r="BK64" s="46">
        <v>0</v>
      </c>
      <c r="BL64" s="46">
        <v>0</v>
      </c>
      <c r="BM64" s="46">
        <v>0</v>
      </c>
      <c r="BN64" s="46">
        <v>0</v>
      </c>
    </row>
    <row r="65" spans="1:66" x14ac:dyDescent="0.35">
      <c r="A65" t="s">
        <v>7414</v>
      </c>
      <c r="B65" s="44" t="s">
        <v>48</v>
      </c>
      <c r="C65" t="s">
        <v>7142</v>
      </c>
      <c r="D65" t="s">
        <v>367</v>
      </c>
      <c r="E65" t="s">
        <v>10886</v>
      </c>
      <c r="F65" t="s">
        <v>7419</v>
      </c>
      <c r="G65" t="s">
        <v>74</v>
      </c>
      <c r="H65">
        <v>0</v>
      </c>
      <c r="I65" s="61">
        <v>44789</v>
      </c>
      <c r="J65" s="33" t="s">
        <v>96</v>
      </c>
      <c r="K65" s="46">
        <v>0</v>
      </c>
      <c r="L65">
        <v>87.4</v>
      </c>
      <c r="M65" t="s">
        <v>48</v>
      </c>
      <c r="N65" s="46">
        <v>1</v>
      </c>
      <c r="O65" s="46">
        <v>0</v>
      </c>
      <c r="P65" s="46">
        <v>0</v>
      </c>
      <c r="Q65" t="s">
        <v>48</v>
      </c>
      <c r="R65" t="s">
        <v>48</v>
      </c>
      <c r="S65" t="s">
        <v>7416</v>
      </c>
      <c r="T65" t="s">
        <v>7417</v>
      </c>
      <c r="U65" t="s">
        <v>7416</v>
      </c>
      <c r="V65" s="47">
        <v>0</v>
      </c>
      <c r="W65" t="s">
        <v>48</v>
      </c>
      <c r="X65" t="s">
        <v>48</v>
      </c>
      <c r="Y65" t="s">
        <v>48</v>
      </c>
      <c r="Z65">
        <v>0</v>
      </c>
      <c r="AA65" t="s">
        <v>10942</v>
      </c>
      <c r="AB65" t="s">
        <v>48</v>
      </c>
      <c r="AC65" t="s">
        <v>49</v>
      </c>
      <c r="AD65" t="s">
        <v>93</v>
      </c>
      <c r="AE65" t="s">
        <v>4532</v>
      </c>
      <c r="AF65" t="s">
        <v>48</v>
      </c>
      <c r="AG65" t="s">
        <v>48</v>
      </c>
      <c r="AH65" t="s">
        <v>48</v>
      </c>
      <c r="AI65" t="s">
        <v>48</v>
      </c>
      <c r="AJ65" t="s">
        <v>48</v>
      </c>
      <c r="AK65" t="s">
        <v>48</v>
      </c>
      <c r="AL65" t="s">
        <v>48</v>
      </c>
      <c r="AM65" t="s">
        <v>48</v>
      </c>
      <c r="AN65" t="s">
        <v>48</v>
      </c>
      <c r="AO65" t="s">
        <v>48</v>
      </c>
      <c r="AP65" s="46">
        <v>0</v>
      </c>
      <c r="AQ65" s="46">
        <v>0</v>
      </c>
      <c r="AR65" s="46">
        <v>0</v>
      </c>
      <c r="AS65" s="46">
        <v>0</v>
      </c>
      <c r="AT65" s="46">
        <v>0</v>
      </c>
      <c r="AU65" s="46">
        <v>0</v>
      </c>
      <c r="AV65" s="46">
        <v>0</v>
      </c>
      <c r="AW65" s="46">
        <v>0</v>
      </c>
      <c r="AX65" s="46">
        <v>0</v>
      </c>
      <c r="AY65" s="46">
        <v>0</v>
      </c>
      <c r="AZ65" s="46">
        <v>0</v>
      </c>
      <c r="BA65" s="46">
        <v>0</v>
      </c>
      <c r="BB65" s="46">
        <v>0</v>
      </c>
      <c r="BC65" s="46">
        <v>0</v>
      </c>
      <c r="BD65" s="46">
        <v>0</v>
      </c>
      <c r="BE65" s="46">
        <v>0</v>
      </c>
      <c r="BF65" s="46">
        <v>0</v>
      </c>
      <c r="BG65" s="46" t="s">
        <v>48</v>
      </c>
      <c r="BH65" s="46">
        <v>0</v>
      </c>
      <c r="BI65" s="46">
        <v>0</v>
      </c>
      <c r="BJ65" s="46">
        <v>0</v>
      </c>
      <c r="BK65" s="46">
        <v>0</v>
      </c>
      <c r="BL65" s="46">
        <v>0</v>
      </c>
      <c r="BM65" s="46">
        <v>0</v>
      </c>
      <c r="BN65" s="46">
        <v>0</v>
      </c>
    </row>
    <row r="66" spans="1:66" x14ac:dyDescent="0.35">
      <c r="A66" t="s">
        <v>7586</v>
      </c>
      <c r="B66" s="44" t="s">
        <v>48</v>
      </c>
      <c r="C66" t="s">
        <v>3932</v>
      </c>
      <c r="D66" t="s">
        <v>4602</v>
      </c>
      <c r="E66" t="s">
        <v>7587</v>
      </c>
      <c r="F66" t="s">
        <v>7585</v>
      </c>
      <c r="G66" t="s">
        <v>74</v>
      </c>
      <c r="H66">
        <v>0</v>
      </c>
      <c r="I66" s="60" t="s">
        <v>51</v>
      </c>
      <c r="J66" s="33" t="s">
        <v>96</v>
      </c>
      <c r="K66" s="46">
        <v>1</v>
      </c>
      <c r="L66">
        <v>52.4</v>
      </c>
      <c r="M66" t="s">
        <v>48</v>
      </c>
      <c r="N66" s="46">
        <v>1</v>
      </c>
      <c r="O66" s="46">
        <v>0</v>
      </c>
      <c r="P66" s="46">
        <v>0</v>
      </c>
      <c r="Q66" t="s">
        <v>48</v>
      </c>
      <c r="R66" t="s">
        <v>48</v>
      </c>
      <c r="S66" t="s">
        <v>10403</v>
      </c>
      <c r="T66" t="s">
        <v>7588</v>
      </c>
      <c r="U66" t="s">
        <v>10403</v>
      </c>
      <c r="V66" s="47">
        <v>0</v>
      </c>
      <c r="W66" t="s">
        <v>48</v>
      </c>
      <c r="X66" t="s">
        <v>48</v>
      </c>
      <c r="Y66" t="s">
        <v>48</v>
      </c>
      <c r="Z66">
        <v>0</v>
      </c>
      <c r="AA66" t="s">
        <v>48</v>
      </c>
      <c r="AB66" t="s">
        <v>48</v>
      </c>
      <c r="AC66" t="s">
        <v>63</v>
      </c>
      <c r="AD66" t="s">
        <v>93</v>
      </c>
      <c r="AE66" t="s">
        <v>4532</v>
      </c>
      <c r="AF66" t="s">
        <v>48</v>
      </c>
      <c r="AG66" t="s">
        <v>48</v>
      </c>
      <c r="AH66" t="s">
        <v>48</v>
      </c>
      <c r="AI66">
        <v>49308</v>
      </c>
      <c r="AJ66">
        <v>1950</v>
      </c>
      <c r="AK66" t="s">
        <v>8634</v>
      </c>
      <c r="AL66" t="s">
        <v>8635</v>
      </c>
      <c r="AM66">
        <v>-0.35199999999999998</v>
      </c>
      <c r="AN66">
        <v>-0.307</v>
      </c>
      <c r="AO66">
        <v>-0.35199999999999998</v>
      </c>
      <c r="AP66" s="46">
        <v>0</v>
      </c>
      <c r="AQ66" s="46">
        <v>0</v>
      </c>
      <c r="AR66" s="46">
        <v>0</v>
      </c>
      <c r="AS66" s="46">
        <v>0</v>
      </c>
      <c r="AT66" s="46">
        <v>0</v>
      </c>
      <c r="AU66" s="46">
        <v>0</v>
      </c>
      <c r="AV66" s="46">
        <v>0</v>
      </c>
      <c r="AW66" s="46">
        <v>0</v>
      </c>
      <c r="AX66" s="46">
        <v>0</v>
      </c>
      <c r="AY66" s="46">
        <v>0</v>
      </c>
      <c r="AZ66" s="46">
        <v>0</v>
      </c>
      <c r="BA66" s="46">
        <v>0</v>
      </c>
      <c r="BB66" s="46">
        <v>0</v>
      </c>
      <c r="BC66" s="46">
        <v>0</v>
      </c>
      <c r="BD66" s="46">
        <v>0</v>
      </c>
      <c r="BE66" s="46">
        <v>0</v>
      </c>
      <c r="BF66" s="46">
        <v>0</v>
      </c>
      <c r="BG66" s="46" t="s">
        <v>48</v>
      </c>
      <c r="BH66" s="46">
        <v>0</v>
      </c>
      <c r="BI66" s="46">
        <v>0</v>
      </c>
      <c r="BJ66" s="46">
        <v>0</v>
      </c>
      <c r="BK66" s="46">
        <v>0</v>
      </c>
      <c r="BL66" s="46">
        <v>0</v>
      </c>
      <c r="BM66" s="46">
        <v>0</v>
      </c>
      <c r="BN66" s="46">
        <v>0</v>
      </c>
    </row>
    <row r="67" spans="1:66" ht="15" x14ac:dyDescent="0.4">
      <c r="A67" t="s">
        <v>7592</v>
      </c>
      <c r="B67" t="s">
        <v>48</v>
      </c>
      <c r="C67" t="s">
        <v>7595</v>
      </c>
      <c r="D67" t="s">
        <v>7594</v>
      </c>
      <c r="E67" t="s">
        <v>7593</v>
      </c>
      <c r="F67" t="s">
        <v>7585</v>
      </c>
      <c r="G67" t="s">
        <v>47</v>
      </c>
      <c r="H67">
        <v>0</v>
      </c>
      <c r="I67" s="60" t="s">
        <v>11160</v>
      </c>
      <c r="J67" s="33" t="s">
        <v>96</v>
      </c>
      <c r="K67" s="46">
        <v>0</v>
      </c>
      <c r="L67">
        <v>33.6</v>
      </c>
      <c r="M67" t="s">
        <v>48</v>
      </c>
      <c r="N67" s="46">
        <v>1</v>
      </c>
      <c r="O67" s="46">
        <v>0</v>
      </c>
      <c r="P67" s="46">
        <v>0</v>
      </c>
      <c r="Q67" t="s">
        <v>48</v>
      </c>
      <c r="R67" t="s">
        <v>48</v>
      </c>
      <c r="S67" s="55" t="s">
        <v>11316</v>
      </c>
      <c r="T67" t="s">
        <v>48</v>
      </c>
      <c r="U67" s="55" t="s">
        <v>11316</v>
      </c>
      <c r="V67" s="47">
        <v>0</v>
      </c>
      <c r="W67" t="s">
        <v>48</v>
      </c>
      <c r="X67" t="s">
        <v>48</v>
      </c>
      <c r="Y67" t="s">
        <v>48</v>
      </c>
      <c r="Z67">
        <v>0</v>
      </c>
      <c r="AA67" t="s">
        <v>48</v>
      </c>
      <c r="AB67" t="s">
        <v>48</v>
      </c>
      <c r="AC67" t="s">
        <v>63</v>
      </c>
      <c r="AD67" t="s">
        <v>93</v>
      </c>
      <c r="AE67" t="s">
        <v>4532</v>
      </c>
      <c r="AF67" t="s">
        <v>48</v>
      </c>
      <c r="AG67" t="s">
        <v>48</v>
      </c>
      <c r="AH67" t="s">
        <v>48</v>
      </c>
      <c r="AI67" t="s">
        <v>48</v>
      </c>
      <c r="AJ67" t="s">
        <v>48</v>
      </c>
      <c r="AK67" t="s">
        <v>48</v>
      </c>
      <c r="AL67" t="s">
        <v>48</v>
      </c>
      <c r="AM67" t="s">
        <v>48</v>
      </c>
      <c r="AN67" t="s">
        <v>48</v>
      </c>
      <c r="AO67" t="s">
        <v>48</v>
      </c>
      <c r="AP67" s="46">
        <v>0</v>
      </c>
      <c r="AQ67" s="46">
        <v>0</v>
      </c>
      <c r="AR67" s="46">
        <v>0</v>
      </c>
      <c r="AS67" s="46">
        <v>0</v>
      </c>
      <c r="AT67" s="46">
        <v>0</v>
      </c>
      <c r="AU67" s="46">
        <v>0</v>
      </c>
      <c r="AV67" s="46">
        <v>0</v>
      </c>
      <c r="AW67" s="46">
        <v>0</v>
      </c>
      <c r="AX67" s="46">
        <v>0</v>
      </c>
      <c r="AY67" s="46">
        <v>0</v>
      </c>
      <c r="AZ67" s="46">
        <v>0</v>
      </c>
      <c r="BA67" s="46">
        <v>0</v>
      </c>
      <c r="BB67" s="46">
        <v>0</v>
      </c>
      <c r="BC67" s="46">
        <v>0</v>
      </c>
      <c r="BD67" s="46">
        <v>0</v>
      </c>
      <c r="BE67" s="46">
        <v>0</v>
      </c>
      <c r="BF67" s="46">
        <v>0</v>
      </c>
      <c r="BG67" s="46" t="s">
        <v>48</v>
      </c>
      <c r="BH67" s="46">
        <v>0</v>
      </c>
      <c r="BI67" s="46">
        <v>0</v>
      </c>
      <c r="BJ67" s="46">
        <v>0</v>
      </c>
      <c r="BK67" s="46">
        <v>0</v>
      </c>
      <c r="BL67" s="46">
        <v>0</v>
      </c>
      <c r="BM67" s="46">
        <v>0</v>
      </c>
      <c r="BN67" s="46">
        <v>0</v>
      </c>
    </row>
    <row r="68" spans="1:66" x14ac:dyDescent="0.35">
      <c r="A68" t="s">
        <v>7679</v>
      </c>
      <c r="B68" s="44" t="s">
        <v>48</v>
      </c>
      <c r="C68" t="s">
        <v>7684</v>
      </c>
      <c r="D68" t="s">
        <v>7683</v>
      </c>
      <c r="E68" t="s">
        <v>7681</v>
      </c>
      <c r="F68" t="s">
        <v>7680</v>
      </c>
      <c r="G68" t="s">
        <v>74</v>
      </c>
      <c r="H68">
        <v>0</v>
      </c>
      <c r="I68" s="60" t="s">
        <v>177</v>
      </c>
      <c r="J68" s="33" t="s">
        <v>96</v>
      </c>
      <c r="K68" s="46">
        <v>0</v>
      </c>
      <c r="L68">
        <v>77.8</v>
      </c>
      <c r="M68" t="s">
        <v>48</v>
      </c>
      <c r="N68" s="46">
        <v>1</v>
      </c>
      <c r="O68" s="46">
        <v>0</v>
      </c>
      <c r="P68" s="46">
        <v>0</v>
      </c>
      <c r="Q68" t="s">
        <v>48</v>
      </c>
      <c r="R68" t="s">
        <v>48</v>
      </c>
      <c r="S68" t="s">
        <v>7682</v>
      </c>
      <c r="T68" t="s">
        <v>48</v>
      </c>
      <c r="U68" t="s">
        <v>7682</v>
      </c>
      <c r="V68" s="47">
        <v>0</v>
      </c>
      <c r="W68" t="s">
        <v>48</v>
      </c>
      <c r="X68" t="s">
        <v>48</v>
      </c>
      <c r="Y68" t="s">
        <v>48</v>
      </c>
      <c r="Z68">
        <v>0</v>
      </c>
      <c r="AA68" t="s">
        <v>48</v>
      </c>
      <c r="AB68" t="s">
        <v>48</v>
      </c>
      <c r="AC68" t="s">
        <v>49</v>
      </c>
      <c r="AD68" t="s">
        <v>93</v>
      </c>
      <c r="AE68" s="40" t="s">
        <v>2471</v>
      </c>
      <c r="AF68" t="s">
        <v>11061</v>
      </c>
      <c r="AG68" t="s">
        <v>48</v>
      </c>
      <c r="AH68" t="s">
        <v>48</v>
      </c>
      <c r="AI68" t="s">
        <v>48</v>
      </c>
      <c r="AJ68" t="s">
        <v>48</v>
      </c>
      <c r="AK68" t="s">
        <v>48</v>
      </c>
      <c r="AL68" t="s">
        <v>48</v>
      </c>
      <c r="AM68" t="s">
        <v>48</v>
      </c>
      <c r="AN68" t="s">
        <v>48</v>
      </c>
      <c r="AO68" t="s">
        <v>48</v>
      </c>
      <c r="AP68" s="46">
        <v>0</v>
      </c>
      <c r="AQ68" s="46">
        <v>1</v>
      </c>
      <c r="AR68" s="46">
        <v>1</v>
      </c>
      <c r="AS68" s="46">
        <v>0</v>
      </c>
      <c r="AT68" s="46">
        <v>0</v>
      </c>
      <c r="AU68" s="46">
        <v>0</v>
      </c>
      <c r="AV68" s="46">
        <v>0</v>
      </c>
      <c r="AW68" s="46">
        <v>0</v>
      </c>
      <c r="AX68" s="46">
        <v>0</v>
      </c>
      <c r="AY68" s="46">
        <v>0</v>
      </c>
      <c r="AZ68" s="46">
        <v>0</v>
      </c>
      <c r="BA68" s="46">
        <v>0</v>
      </c>
      <c r="BB68" s="46">
        <v>0</v>
      </c>
      <c r="BC68" s="46">
        <v>0</v>
      </c>
      <c r="BD68" s="46">
        <v>0</v>
      </c>
      <c r="BE68" s="46">
        <v>0</v>
      </c>
      <c r="BF68" s="46">
        <v>0</v>
      </c>
      <c r="BG68" s="46" t="s">
        <v>48</v>
      </c>
      <c r="BH68" s="46">
        <v>0</v>
      </c>
      <c r="BI68" s="46">
        <v>0</v>
      </c>
      <c r="BJ68" s="46">
        <v>0</v>
      </c>
      <c r="BK68" s="46">
        <v>1</v>
      </c>
      <c r="BL68" s="46">
        <v>0</v>
      </c>
      <c r="BM68" s="46">
        <v>0</v>
      </c>
      <c r="BN68" s="46">
        <v>0</v>
      </c>
    </row>
    <row r="69" spans="1:66" x14ac:dyDescent="0.35">
      <c r="A69" t="s">
        <v>7689</v>
      </c>
      <c r="B69" s="44" t="s">
        <v>48</v>
      </c>
      <c r="C69" t="s">
        <v>718</v>
      </c>
      <c r="D69" t="s">
        <v>673</v>
      </c>
      <c r="E69" t="s">
        <v>7690</v>
      </c>
      <c r="F69" t="s">
        <v>7680</v>
      </c>
      <c r="G69" t="s">
        <v>47</v>
      </c>
      <c r="H69">
        <v>0</v>
      </c>
      <c r="I69" s="60" t="s">
        <v>51</v>
      </c>
      <c r="J69" s="33" t="s">
        <v>96</v>
      </c>
      <c r="K69" s="46">
        <v>1</v>
      </c>
      <c r="L69">
        <v>83.7</v>
      </c>
      <c r="M69" t="s">
        <v>48</v>
      </c>
      <c r="N69" s="46">
        <v>1</v>
      </c>
      <c r="O69" s="46">
        <v>0</v>
      </c>
      <c r="P69" s="46">
        <v>0</v>
      </c>
      <c r="Q69" t="s">
        <v>48</v>
      </c>
      <c r="R69" t="s">
        <v>48</v>
      </c>
      <c r="S69" t="s">
        <v>7691</v>
      </c>
      <c r="T69" t="s">
        <v>7692</v>
      </c>
      <c r="U69" t="s">
        <v>7691</v>
      </c>
      <c r="V69" s="47">
        <v>0</v>
      </c>
      <c r="W69" t="s">
        <v>48</v>
      </c>
      <c r="X69" t="s">
        <v>48</v>
      </c>
      <c r="Y69" t="s">
        <v>48</v>
      </c>
      <c r="Z69">
        <v>0</v>
      </c>
      <c r="AA69" t="s">
        <v>48</v>
      </c>
      <c r="AB69" t="s">
        <v>48</v>
      </c>
      <c r="AC69" t="s">
        <v>49</v>
      </c>
      <c r="AD69" t="s">
        <v>93</v>
      </c>
      <c r="AE69" t="s">
        <v>4532</v>
      </c>
      <c r="AF69" t="s">
        <v>48</v>
      </c>
      <c r="AG69" t="s">
        <v>48</v>
      </c>
      <c r="AH69" t="s">
        <v>48</v>
      </c>
      <c r="AI69">
        <v>41111</v>
      </c>
      <c r="AJ69">
        <v>1955</v>
      </c>
      <c r="AK69" t="s">
        <v>8638</v>
      </c>
      <c r="AL69" t="s">
        <v>8639</v>
      </c>
      <c r="AM69">
        <v>0.61599999999999999</v>
      </c>
      <c r="AN69">
        <v>-0.19500000000000001</v>
      </c>
      <c r="AO69">
        <v>0.61599999999999999</v>
      </c>
      <c r="AP69" s="46">
        <v>0</v>
      </c>
      <c r="AQ69" s="46">
        <v>0</v>
      </c>
      <c r="AR69" s="46">
        <v>0</v>
      </c>
      <c r="AS69" s="46">
        <v>0</v>
      </c>
      <c r="AT69" s="46">
        <v>0</v>
      </c>
      <c r="AU69" s="46">
        <v>0</v>
      </c>
      <c r="AV69" s="46">
        <v>0</v>
      </c>
      <c r="AW69" s="46">
        <v>0</v>
      </c>
      <c r="AX69" s="46">
        <v>0</v>
      </c>
      <c r="AY69" s="46">
        <v>0</v>
      </c>
      <c r="AZ69" s="46">
        <v>0</v>
      </c>
      <c r="BA69" s="46">
        <v>0</v>
      </c>
      <c r="BB69" s="46">
        <v>0</v>
      </c>
      <c r="BC69" s="46">
        <v>0</v>
      </c>
      <c r="BD69" s="46">
        <v>0</v>
      </c>
      <c r="BE69" s="46">
        <v>0</v>
      </c>
      <c r="BF69" s="46">
        <v>0</v>
      </c>
      <c r="BG69" s="46" t="s">
        <v>48</v>
      </c>
      <c r="BH69" s="46">
        <v>0</v>
      </c>
      <c r="BI69" s="46">
        <v>0</v>
      </c>
      <c r="BJ69" s="46">
        <v>0</v>
      </c>
      <c r="BK69" s="46">
        <v>0</v>
      </c>
      <c r="BL69" s="46">
        <v>0</v>
      </c>
      <c r="BM69" s="46">
        <v>0</v>
      </c>
      <c r="BN69" s="46">
        <v>0</v>
      </c>
    </row>
    <row r="70" spans="1:66" x14ac:dyDescent="0.35">
      <c r="A70" t="s">
        <v>342</v>
      </c>
      <c r="B70" s="44" t="s">
        <v>48</v>
      </c>
      <c r="C70" t="s">
        <v>348</v>
      </c>
      <c r="D70" t="s">
        <v>347</v>
      </c>
      <c r="E70" t="s">
        <v>344</v>
      </c>
      <c r="F70" t="s">
        <v>343</v>
      </c>
      <c r="G70" t="s">
        <v>47</v>
      </c>
      <c r="H70">
        <v>0</v>
      </c>
      <c r="I70" s="60" t="s">
        <v>51</v>
      </c>
      <c r="J70" s="33" t="s">
        <v>96</v>
      </c>
      <c r="K70" s="46">
        <v>1</v>
      </c>
      <c r="L70" t="s">
        <v>48</v>
      </c>
      <c r="M70" t="s">
        <v>48</v>
      </c>
      <c r="N70" s="46">
        <v>0</v>
      </c>
      <c r="O70" s="46">
        <v>0</v>
      </c>
      <c r="P70" s="46">
        <v>0</v>
      </c>
      <c r="Q70" t="s">
        <v>48</v>
      </c>
      <c r="R70" t="s">
        <v>48</v>
      </c>
      <c r="S70" t="s">
        <v>345</v>
      </c>
      <c r="T70" t="s">
        <v>346</v>
      </c>
      <c r="U70" t="s">
        <v>345</v>
      </c>
      <c r="V70" s="47">
        <v>0</v>
      </c>
      <c r="W70" t="s">
        <v>48</v>
      </c>
      <c r="X70" t="s">
        <v>48</v>
      </c>
      <c r="Y70" t="s">
        <v>48</v>
      </c>
      <c r="Z70">
        <v>0</v>
      </c>
      <c r="AA70" t="s">
        <v>48</v>
      </c>
      <c r="AB70">
        <v>2014</v>
      </c>
      <c r="AC70" t="s">
        <v>49</v>
      </c>
      <c r="AD70" t="s">
        <v>93</v>
      </c>
      <c r="AE70" t="s">
        <v>4532</v>
      </c>
      <c r="AF70" t="s">
        <v>48</v>
      </c>
      <c r="AG70" t="s">
        <v>140</v>
      </c>
      <c r="AH70" t="s">
        <v>93</v>
      </c>
      <c r="AI70">
        <v>41500</v>
      </c>
      <c r="AJ70">
        <v>1964</v>
      </c>
      <c r="AK70" t="s">
        <v>8462</v>
      </c>
      <c r="AL70" t="s">
        <v>8463</v>
      </c>
      <c r="AM70">
        <v>0.48</v>
      </c>
      <c r="AN70">
        <v>6.6000000000000003E-2</v>
      </c>
      <c r="AO70">
        <v>0.48</v>
      </c>
      <c r="AP70" s="46">
        <v>0</v>
      </c>
      <c r="AQ70" s="46">
        <v>0</v>
      </c>
      <c r="AR70" s="46">
        <v>0</v>
      </c>
      <c r="AS70" s="46">
        <v>0</v>
      </c>
      <c r="AT70" s="46">
        <v>0</v>
      </c>
      <c r="AU70" s="46">
        <v>0</v>
      </c>
      <c r="AV70" s="46">
        <v>0</v>
      </c>
      <c r="AW70" s="46">
        <v>0</v>
      </c>
      <c r="AX70" s="46">
        <v>0</v>
      </c>
      <c r="AY70" s="46">
        <v>0</v>
      </c>
      <c r="AZ70" s="46">
        <v>0</v>
      </c>
      <c r="BA70" s="46">
        <v>0</v>
      </c>
      <c r="BB70" s="46">
        <v>0</v>
      </c>
      <c r="BC70" s="46">
        <v>0</v>
      </c>
      <c r="BD70" s="46">
        <v>0</v>
      </c>
      <c r="BE70" s="46">
        <v>0</v>
      </c>
      <c r="BF70" s="46">
        <v>0</v>
      </c>
      <c r="BG70" s="46" t="s">
        <v>48</v>
      </c>
      <c r="BH70" s="46">
        <v>0</v>
      </c>
      <c r="BI70" s="46">
        <v>0</v>
      </c>
      <c r="BJ70" s="46">
        <v>0</v>
      </c>
      <c r="BK70" s="46">
        <v>0</v>
      </c>
      <c r="BL70" s="46">
        <v>0</v>
      </c>
      <c r="BM70" s="46">
        <v>0</v>
      </c>
      <c r="BN70" s="46">
        <v>0</v>
      </c>
    </row>
    <row r="71" spans="1:66" x14ac:dyDescent="0.35">
      <c r="A71" t="s">
        <v>10421</v>
      </c>
      <c r="B71" s="44" t="s">
        <v>48</v>
      </c>
      <c r="C71" t="s">
        <v>3576</v>
      </c>
      <c r="D71" t="s">
        <v>11599</v>
      </c>
      <c r="E71" t="s">
        <v>10422</v>
      </c>
      <c r="F71" t="s">
        <v>349</v>
      </c>
      <c r="G71" t="s">
        <v>47</v>
      </c>
      <c r="H71">
        <v>0</v>
      </c>
      <c r="I71" s="61">
        <v>44797</v>
      </c>
      <c r="J71" s="33" t="s">
        <v>96</v>
      </c>
      <c r="K71" s="46">
        <v>0</v>
      </c>
      <c r="L71">
        <v>2.2000000000000002</v>
      </c>
      <c r="M71" t="s">
        <v>48</v>
      </c>
      <c r="N71" s="46">
        <v>0</v>
      </c>
      <c r="O71" s="46">
        <v>0</v>
      </c>
      <c r="P71" s="46">
        <v>0</v>
      </c>
      <c r="Q71" t="s">
        <v>48</v>
      </c>
      <c r="R71" t="s">
        <v>48</v>
      </c>
      <c r="S71" t="s">
        <v>48</v>
      </c>
      <c r="T71" t="s">
        <v>48</v>
      </c>
      <c r="U71" t="s">
        <v>48</v>
      </c>
      <c r="V71" s="47">
        <v>1</v>
      </c>
      <c r="W71" t="s">
        <v>48</v>
      </c>
      <c r="X71" t="s">
        <v>48</v>
      </c>
      <c r="Y71" t="s">
        <v>48</v>
      </c>
      <c r="Z71">
        <v>0</v>
      </c>
      <c r="AA71" t="s">
        <v>48</v>
      </c>
      <c r="AB71" t="s">
        <v>48</v>
      </c>
      <c r="AC71" t="s">
        <v>49</v>
      </c>
      <c r="AD71" t="s">
        <v>93</v>
      </c>
      <c r="AE71" t="s">
        <v>4532</v>
      </c>
      <c r="AF71" t="s">
        <v>48</v>
      </c>
      <c r="AG71" t="s">
        <v>48</v>
      </c>
      <c r="AH71" t="s">
        <v>48</v>
      </c>
      <c r="AI71" t="s">
        <v>48</v>
      </c>
      <c r="AJ71" t="s">
        <v>48</v>
      </c>
      <c r="AK71" t="s">
        <v>48</v>
      </c>
      <c r="AL71" t="s">
        <v>48</v>
      </c>
      <c r="AM71" t="s">
        <v>48</v>
      </c>
      <c r="AN71" t="s">
        <v>48</v>
      </c>
      <c r="AO71" t="s">
        <v>48</v>
      </c>
      <c r="AP71" s="46">
        <v>0</v>
      </c>
      <c r="AQ71" s="46">
        <v>0</v>
      </c>
      <c r="AR71" s="46">
        <v>0</v>
      </c>
      <c r="AS71" s="46">
        <v>0</v>
      </c>
      <c r="AT71" s="46">
        <v>0</v>
      </c>
      <c r="AU71" s="46">
        <v>0</v>
      </c>
      <c r="AV71" s="46">
        <v>0</v>
      </c>
      <c r="AW71" s="46">
        <v>0</v>
      </c>
      <c r="AX71" s="46">
        <v>0</v>
      </c>
      <c r="AY71" s="46">
        <v>0</v>
      </c>
      <c r="AZ71" s="46">
        <v>0</v>
      </c>
      <c r="BA71" s="46">
        <v>0</v>
      </c>
      <c r="BB71" s="46">
        <v>0</v>
      </c>
      <c r="BC71" s="46">
        <v>0</v>
      </c>
      <c r="BD71" s="46">
        <v>0</v>
      </c>
      <c r="BE71" s="46">
        <v>0</v>
      </c>
      <c r="BF71" s="46">
        <v>0</v>
      </c>
      <c r="BG71" s="46" t="s">
        <v>48</v>
      </c>
      <c r="BH71" s="46">
        <v>0</v>
      </c>
      <c r="BI71" s="46">
        <v>0</v>
      </c>
      <c r="BJ71" s="46">
        <v>0</v>
      </c>
      <c r="BK71" s="46">
        <v>0</v>
      </c>
      <c r="BL71" s="46">
        <v>0</v>
      </c>
      <c r="BM71" s="46">
        <v>0</v>
      </c>
      <c r="BN71" s="46">
        <v>0</v>
      </c>
    </row>
    <row r="72" spans="1:66" x14ac:dyDescent="0.35">
      <c r="A72" t="s">
        <v>10415</v>
      </c>
      <c r="B72" s="44" t="s">
        <v>48</v>
      </c>
      <c r="C72" t="s">
        <v>11593</v>
      </c>
      <c r="D72" t="s">
        <v>11594</v>
      </c>
      <c r="E72" t="s">
        <v>10416</v>
      </c>
      <c r="F72" t="s">
        <v>349</v>
      </c>
      <c r="G72" t="s">
        <v>74</v>
      </c>
      <c r="H72">
        <v>0</v>
      </c>
      <c r="I72" s="60" t="s">
        <v>11552</v>
      </c>
      <c r="J72" s="33" t="s">
        <v>96</v>
      </c>
      <c r="K72" s="46">
        <v>0</v>
      </c>
      <c r="L72">
        <v>1</v>
      </c>
      <c r="M72" t="s">
        <v>48</v>
      </c>
      <c r="N72" s="46">
        <v>0</v>
      </c>
      <c r="O72" s="46">
        <v>0</v>
      </c>
      <c r="P72" s="46">
        <v>0</v>
      </c>
      <c r="Q72" t="s">
        <v>48</v>
      </c>
      <c r="R72" t="s">
        <v>48</v>
      </c>
      <c r="S72" t="s">
        <v>11389</v>
      </c>
      <c r="T72" t="s">
        <v>48</v>
      </c>
      <c r="U72" t="s">
        <v>10417</v>
      </c>
      <c r="V72" s="47">
        <v>0</v>
      </c>
      <c r="W72" t="s">
        <v>48</v>
      </c>
      <c r="X72" t="s">
        <v>48</v>
      </c>
      <c r="Y72" t="s">
        <v>48</v>
      </c>
      <c r="Z72">
        <v>0</v>
      </c>
      <c r="AA72" t="s">
        <v>48</v>
      </c>
      <c r="AB72" t="s">
        <v>48</v>
      </c>
      <c r="AC72" t="s">
        <v>49</v>
      </c>
      <c r="AD72" t="s">
        <v>93</v>
      </c>
      <c r="AE72" t="s">
        <v>4532</v>
      </c>
      <c r="AF72" t="s">
        <v>48</v>
      </c>
      <c r="AG72" t="s">
        <v>48</v>
      </c>
      <c r="AH72" t="s">
        <v>48</v>
      </c>
      <c r="AI72" t="s">
        <v>48</v>
      </c>
      <c r="AJ72" t="s">
        <v>48</v>
      </c>
      <c r="AK72" t="s">
        <v>48</v>
      </c>
      <c r="AL72" t="s">
        <v>48</v>
      </c>
      <c r="AM72" t="s">
        <v>48</v>
      </c>
      <c r="AN72" t="s">
        <v>48</v>
      </c>
      <c r="AO72" t="s">
        <v>48</v>
      </c>
      <c r="AP72" s="46">
        <v>0</v>
      </c>
      <c r="AQ72" s="46">
        <v>0</v>
      </c>
      <c r="AR72" s="46">
        <v>0</v>
      </c>
      <c r="AS72" s="46">
        <v>0</v>
      </c>
      <c r="AT72" s="46">
        <v>0</v>
      </c>
      <c r="AU72" s="46">
        <v>0</v>
      </c>
      <c r="AV72" s="46">
        <v>0</v>
      </c>
      <c r="AW72" s="46">
        <v>0</v>
      </c>
      <c r="AX72" s="46">
        <v>0</v>
      </c>
      <c r="AY72" s="46">
        <v>0</v>
      </c>
      <c r="AZ72" s="46">
        <v>0</v>
      </c>
      <c r="BA72" s="46">
        <v>0</v>
      </c>
      <c r="BB72" s="46">
        <v>0</v>
      </c>
      <c r="BC72" s="46">
        <v>0</v>
      </c>
      <c r="BD72" s="46">
        <v>0</v>
      </c>
      <c r="BE72" s="46">
        <v>0</v>
      </c>
      <c r="BF72" s="46">
        <v>0</v>
      </c>
      <c r="BG72" s="46" t="s">
        <v>48</v>
      </c>
      <c r="BH72" s="46">
        <v>0</v>
      </c>
      <c r="BI72" s="46">
        <v>0</v>
      </c>
      <c r="BJ72" s="46">
        <v>0</v>
      </c>
      <c r="BK72" s="46">
        <v>0</v>
      </c>
      <c r="BL72" s="46">
        <v>0</v>
      </c>
      <c r="BM72" s="46">
        <v>0</v>
      </c>
      <c r="BN72" s="46">
        <v>0</v>
      </c>
    </row>
    <row r="73" spans="1:66" x14ac:dyDescent="0.35">
      <c r="A73" t="s">
        <v>10418</v>
      </c>
      <c r="B73" s="44" t="s">
        <v>48</v>
      </c>
      <c r="C73" t="s">
        <v>522</v>
      </c>
      <c r="D73" t="s">
        <v>11601</v>
      </c>
      <c r="E73" t="s">
        <v>10419</v>
      </c>
      <c r="F73" t="s">
        <v>349</v>
      </c>
      <c r="G73" t="s">
        <v>74</v>
      </c>
      <c r="H73">
        <v>0</v>
      </c>
      <c r="I73" s="60" t="s">
        <v>11552</v>
      </c>
      <c r="J73" s="33" t="s">
        <v>96</v>
      </c>
      <c r="K73" s="46">
        <v>0</v>
      </c>
      <c r="L73">
        <v>1</v>
      </c>
      <c r="M73" t="s">
        <v>48</v>
      </c>
      <c r="N73" s="46">
        <v>0</v>
      </c>
      <c r="O73" s="46">
        <v>0</v>
      </c>
      <c r="P73" s="46">
        <v>0</v>
      </c>
      <c r="Q73" t="s">
        <v>48</v>
      </c>
      <c r="R73" t="s">
        <v>48</v>
      </c>
      <c r="S73" t="s">
        <v>11399</v>
      </c>
      <c r="T73" t="s">
        <v>48</v>
      </c>
      <c r="U73" t="s">
        <v>10420</v>
      </c>
      <c r="V73" s="47">
        <v>0</v>
      </c>
      <c r="W73" t="s">
        <v>48</v>
      </c>
      <c r="X73" t="s">
        <v>48</v>
      </c>
      <c r="Y73" t="s">
        <v>48</v>
      </c>
      <c r="Z73">
        <v>0</v>
      </c>
      <c r="AA73" t="s">
        <v>48</v>
      </c>
      <c r="AB73" t="s">
        <v>48</v>
      </c>
      <c r="AC73" t="s">
        <v>49</v>
      </c>
      <c r="AD73" t="s">
        <v>48</v>
      </c>
      <c r="AE73" t="s">
        <v>48</v>
      </c>
      <c r="AF73" t="s">
        <v>48</v>
      </c>
      <c r="AG73" t="s">
        <v>48</v>
      </c>
      <c r="AH73" t="s">
        <v>48</v>
      </c>
      <c r="AI73" t="s">
        <v>48</v>
      </c>
      <c r="AJ73" t="s">
        <v>48</v>
      </c>
      <c r="AK73" t="s">
        <v>48</v>
      </c>
      <c r="AL73" t="s">
        <v>48</v>
      </c>
      <c r="AM73" t="s">
        <v>48</v>
      </c>
      <c r="AN73" t="s">
        <v>48</v>
      </c>
      <c r="AO73" t="s">
        <v>48</v>
      </c>
      <c r="AP73" s="46">
        <v>0</v>
      </c>
      <c r="AQ73" s="46">
        <v>0</v>
      </c>
      <c r="AR73" s="46">
        <v>0</v>
      </c>
      <c r="AS73" s="46">
        <v>0</v>
      </c>
      <c r="AT73" s="46">
        <v>0</v>
      </c>
      <c r="AU73" s="46">
        <v>0</v>
      </c>
      <c r="AV73" s="46">
        <v>0</v>
      </c>
      <c r="AW73" s="46">
        <v>0</v>
      </c>
      <c r="AX73" s="46">
        <v>0</v>
      </c>
      <c r="AY73" s="46">
        <v>0</v>
      </c>
      <c r="AZ73" s="46">
        <v>0</v>
      </c>
      <c r="BA73" s="46">
        <v>0</v>
      </c>
      <c r="BB73" s="46">
        <v>0</v>
      </c>
      <c r="BC73" s="46">
        <v>0</v>
      </c>
      <c r="BD73" s="46">
        <v>0</v>
      </c>
      <c r="BE73" s="46">
        <v>0</v>
      </c>
      <c r="BF73" s="46">
        <v>0</v>
      </c>
      <c r="BG73" s="46" t="s">
        <v>48</v>
      </c>
      <c r="BH73" s="46">
        <v>0</v>
      </c>
      <c r="BI73" s="46">
        <v>0</v>
      </c>
      <c r="BJ73" s="46">
        <v>0</v>
      </c>
      <c r="BK73" s="46">
        <v>0</v>
      </c>
      <c r="BL73" s="46">
        <v>0</v>
      </c>
      <c r="BM73" s="46">
        <v>0</v>
      </c>
      <c r="BN73" s="46">
        <v>0</v>
      </c>
    </row>
    <row r="74" spans="1:66" x14ac:dyDescent="0.35">
      <c r="A74" t="s">
        <v>357</v>
      </c>
      <c r="B74" s="44" t="s">
        <v>48</v>
      </c>
      <c r="C74" t="s">
        <v>360</v>
      </c>
      <c r="D74" t="s">
        <v>359</v>
      </c>
      <c r="E74" t="s">
        <v>358</v>
      </c>
      <c r="F74" t="s">
        <v>349</v>
      </c>
      <c r="G74" t="s">
        <v>47</v>
      </c>
      <c r="H74">
        <v>0</v>
      </c>
      <c r="I74" s="60" t="s">
        <v>11552</v>
      </c>
      <c r="J74" s="33" t="s">
        <v>96</v>
      </c>
      <c r="K74" s="46">
        <v>0</v>
      </c>
      <c r="L74">
        <v>0.3</v>
      </c>
      <c r="M74" t="s">
        <v>48</v>
      </c>
      <c r="N74" s="46">
        <v>0</v>
      </c>
      <c r="O74" s="46">
        <v>0</v>
      </c>
      <c r="P74" s="46">
        <v>0</v>
      </c>
      <c r="Q74" t="s">
        <v>48</v>
      </c>
      <c r="R74" t="s">
        <v>48</v>
      </c>
      <c r="S74" t="s">
        <v>11401</v>
      </c>
      <c r="T74" t="s">
        <v>48</v>
      </c>
      <c r="U74" t="s">
        <v>10928</v>
      </c>
      <c r="V74" s="47">
        <v>0</v>
      </c>
      <c r="W74" t="s">
        <v>48</v>
      </c>
      <c r="X74" t="s">
        <v>48</v>
      </c>
      <c r="Y74" t="s">
        <v>48</v>
      </c>
      <c r="Z74">
        <v>0</v>
      </c>
      <c r="AA74" t="s">
        <v>48</v>
      </c>
      <c r="AB74" t="s">
        <v>48</v>
      </c>
      <c r="AC74" t="s">
        <v>49</v>
      </c>
      <c r="AD74" t="s">
        <v>93</v>
      </c>
      <c r="AE74" t="s">
        <v>4532</v>
      </c>
      <c r="AF74" t="s">
        <v>48</v>
      </c>
      <c r="AG74" t="s">
        <v>48</v>
      </c>
      <c r="AH74" t="s">
        <v>48</v>
      </c>
      <c r="AI74" t="s">
        <v>48</v>
      </c>
      <c r="AJ74">
        <v>1953</v>
      </c>
      <c r="AK74" t="s">
        <v>48</v>
      </c>
      <c r="AL74" t="s">
        <v>48</v>
      </c>
      <c r="AM74" t="s">
        <v>48</v>
      </c>
      <c r="AN74" t="s">
        <v>48</v>
      </c>
      <c r="AO74" t="s">
        <v>48</v>
      </c>
      <c r="AP74" s="46">
        <v>0</v>
      </c>
      <c r="AQ74" s="46">
        <v>0</v>
      </c>
      <c r="AR74" s="46">
        <v>0</v>
      </c>
      <c r="AS74" s="46">
        <v>0</v>
      </c>
      <c r="AT74" s="46">
        <v>0</v>
      </c>
      <c r="AU74" s="46">
        <v>0</v>
      </c>
      <c r="AV74" s="46">
        <v>0</v>
      </c>
      <c r="AW74" s="46">
        <v>0</v>
      </c>
      <c r="AX74" s="46">
        <v>0</v>
      </c>
      <c r="AY74" s="46">
        <v>0</v>
      </c>
      <c r="AZ74" s="46">
        <v>0</v>
      </c>
      <c r="BA74" s="46">
        <v>0</v>
      </c>
      <c r="BB74" s="46">
        <v>0</v>
      </c>
      <c r="BC74" s="46">
        <v>0</v>
      </c>
      <c r="BD74" s="46">
        <v>0</v>
      </c>
      <c r="BE74" s="46">
        <v>0</v>
      </c>
      <c r="BF74" s="46">
        <v>0</v>
      </c>
      <c r="BG74" s="46" t="s">
        <v>48</v>
      </c>
      <c r="BH74" s="46">
        <v>0</v>
      </c>
      <c r="BI74" s="46">
        <v>0</v>
      </c>
      <c r="BJ74" s="46">
        <v>0</v>
      </c>
      <c r="BK74" s="46">
        <v>0</v>
      </c>
      <c r="BL74" s="46">
        <v>0</v>
      </c>
      <c r="BM74" s="46">
        <v>0</v>
      </c>
      <c r="BN74" s="46">
        <v>0</v>
      </c>
    </row>
    <row r="75" spans="1:66" x14ac:dyDescent="0.35">
      <c r="A75" t="s">
        <v>10423</v>
      </c>
      <c r="B75" s="44" t="s">
        <v>48</v>
      </c>
      <c r="C75" t="s">
        <v>11600</v>
      </c>
      <c r="D75" t="s">
        <v>2651</v>
      </c>
      <c r="E75" t="s">
        <v>10424</v>
      </c>
      <c r="F75" t="s">
        <v>349</v>
      </c>
      <c r="G75" t="s">
        <v>47</v>
      </c>
      <c r="H75">
        <v>0</v>
      </c>
      <c r="I75" s="61">
        <v>44797</v>
      </c>
      <c r="J75" s="33" t="s">
        <v>96</v>
      </c>
      <c r="K75" s="46">
        <v>0</v>
      </c>
      <c r="L75">
        <v>1.1000000000000001</v>
      </c>
      <c r="M75" t="s">
        <v>48</v>
      </c>
      <c r="N75" s="46">
        <v>0</v>
      </c>
      <c r="O75" s="46">
        <v>0</v>
      </c>
      <c r="P75" s="46">
        <v>0</v>
      </c>
      <c r="Q75" t="s">
        <v>48</v>
      </c>
      <c r="R75" t="s">
        <v>48</v>
      </c>
      <c r="S75" t="s">
        <v>48</v>
      </c>
      <c r="T75" t="s">
        <v>48</v>
      </c>
      <c r="U75" t="s">
        <v>48</v>
      </c>
      <c r="V75" s="47">
        <v>1</v>
      </c>
      <c r="W75" t="s">
        <v>48</v>
      </c>
      <c r="X75" t="s">
        <v>48</v>
      </c>
      <c r="Y75" t="s">
        <v>48</v>
      </c>
      <c r="Z75">
        <v>0</v>
      </c>
      <c r="AA75" t="s">
        <v>48</v>
      </c>
      <c r="AB75" t="s">
        <v>48</v>
      </c>
      <c r="AC75" t="s">
        <v>49</v>
      </c>
      <c r="AD75" t="s">
        <v>93</v>
      </c>
      <c r="AE75" t="s">
        <v>4532</v>
      </c>
      <c r="AF75" t="s">
        <v>48</v>
      </c>
      <c r="AG75" t="s">
        <v>48</v>
      </c>
      <c r="AH75" t="s">
        <v>48</v>
      </c>
      <c r="AI75" t="s">
        <v>48</v>
      </c>
      <c r="AJ75" t="s">
        <v>48</v>
      </c>
      <c r="AK75" t="s">
        <v>48</v>
      </c>
      <c r="AL75" t="s">
        <v>48</v>
      </c>
      <c r="AM75" t="s">
        <v>48</v>
      </c>
      <c r="AN75" t="s">
        <v>48</v>
      </c>
      <c r="AO75" t="s">
        <v>48</v>
      </c>
      <c r="AP75" s="46">
        <v>0</v>
      </c>
      <c r="AQ75" s="46">
        <v>0</v>
      </c>
      <c r="AR75" s="46">
        <v>0</v>
      </c>
      <c r="AS75" s="46">
        <v>0</v>
      </c>
      <c r="AT75" s="46">
        <v>0</v>
      </c>
      <c r="AU75" s="46">
        <v>0</v>
      </c>
      <c r="AV75" s="46">
        <v>0</v>
      </c>
      <c r="AW75" s="46">
        <v>0</v>
      </c>
      <c r="AX75" s="46">
        <v>0</v>
      </c>
      <c r="AY75" s="46">
        <v>0</v>
      </c>
      <c r="AZ75" s="46">
        <v>0</v>
      </c>
      <c r="BA75" s="46">
        <v>0</v>
      </c>
      <c r="BB75" s="46">
        <v>0</v>
      </c>
      <c r="BC75" s="46">
        <v>0</v>
      </c>
      <c r="BD75" s="46">
        <v>0</v>
      </c>
      <c r="BE75" s="46">
        <v>0</v>
      </c>
      <c r="BF75" s="46">
        <v>0</v>
      </c>
      <c r="BG75" s="46" t="s">
        <v>48</v>
      </c>
      <c r="BH75" s="46">
        <v>0</v>
      </c>
      <c r="BI75" s="46">
        <v>0</v>
      </c>
      <c r="BJ75" s="46">
        <v>0</v>
      </c>
      <c r="BK75" s="46">
        <v>0</v>
      </c>
      <c r="BL75" s="46">
        <v>0</v>
      </c>
      <c r="BM75" s="46">
        <v>0</v>
      </c>
      <c r="BN75" s="46">
        <v>0</v>
      </c>
    </row>
    <row r="76" spans="1:66" x14ac:dyDescent="0.35">
      <c r="A76" t="s">
        <v>10412</v>
      </c>
      <c r="B76" s="44" t="s">
        <v>48</v>
      </c>
      <c r="C76" t="s">
        <v>11591</v>
      </c>
      <c r="D76" t="s">
        <v>11592</v>
      </c>
      <c r="E76" t="s">
        <v>10413</v>
      </c>
      <c r="F76" t="s">
        <v>349</v>
      </c>
      <c r="G76" t="s">
        <v>74</v>
      </c>
      <c r="H76">
        <v>0</v>
      </c>
      <c r="I76" s="60" t="s">
        <v>11552</v>
      </c>
      <c r="J76" s="33" t="s">
        <v>96</v>
      </c>
      <c r="K76" s="46">
        <v>0</v>
      </c>
      <c r="L76">
        <v>6.5</v>
      </c>
      <c r="M76" t="s">
        <v>48</v>
      </c>
      <c r="N76" s="46">
        <v>0</v>
      </c>
      <c r="O76" s="46">
        <v>1</v>
      </c>
      <c r="P76" s="46">
        <v>0</v>
      </c>
      <c r="Q76" t="s">
        <v>48</v>
      </c>
      <c r="R76" t="s">
        <v>48</v>
      </c>
      <c r="S76" t="s">
        <v>11400</v>
      </c>
      <c r="T76" t="s">
        <v>48</v>
      </c>
      <c r="U76" t="s">
        <v>10414</v>
      </c>
      <c r="V76" s="47">
        <v>0</v>
      </c>
      <c r="W76" t="s">
        <v>48</v>
      </c>
      <c r="X76" t="s">
        <v>48</v>
      </c>
      <c r="Y76" t="s">
        <v>48</v>
      </c>
      <c r="Z76">
        <v>0</v>
      </c>
      <c r="AA76" t="s">
        <v>48</v>
      </c>
      <c r="AB76" t="s">
        <v>48</v>
      </c>
      <c r="AC76" t="s">
        <v>63</v>
      </c>
      <c r="AD76" t="s">
        <v>93</v>
      </c>
      <c r="AE76" t="s">
        <v>4532</v>
      </c>
      <c r="AF76" t="s">
        <v>48</v>
      </c>
      <c r="AG76" t="s">
        <v>48</v>
      </c>
      <c r="AH76" t="s">
        <v>48</v>
      </c>
      <c r="AI76" t="s">
        <v>48</v>
      </c>
      <c r="AJ76" t="s">
        <v>48</v>
      </c>
      <c r="AK76" t="s">
        <v>48</v>
      </c>
      <c r="AL76" t="s">
        <v>48</v>
      </c>
      <c r="AM76" t="s">
        <v>48</v>
      </c>
      <c r="AN76" t="s">
        <v>48</v>
      </c>
      <c r="AO76" t="s">
        <v>48</v>
      </c>
      <c r="AP76" s="46">
        <v>0</v>
      </c>
      <c r="AQ76" s="46">
        <v>0</v>
      </c>
      <c r="AR76" s="46">
        <v>0</v>
      </c>
      <c r="AS76" s="46">
        <v>0</v>
      </c>
      <c r="AT76" s="46">
        <v>0</v>
      </c>
      <c r="AU76" s="46">
        <v>0</v>
      </c>
      <c r="AV76" s="46">
        <v>0</v>
      </c>
      <c r="AW76" s="46">
        <v>0</v>
      </c>
      <c r="AX76" s="46">
        <v>0</v>
      </c>
      <c r="AY76" s="46">
        <v>0</v>
      </c>
      <c r="AZ76" s="46">
        <v>0</v>
      </c>
      <c r="BA76" s="46">
        <v>0</v>
      </c>
      <c r="BB76" s="46">
        <v>0</v>
      </c>
      <c r="BC76" s="46">
        <v>0</v>
      </c>
      <c r="BD76" s="46">
        <v>0</v>
      </c>
      <c r="BE76" s="46">
        <v>0</v>
      </c>
      <c r="BF76" s="46">
        <v>0</v>
      </c>
      <c r="BG76" s="46" t="s">
        <v>48</v>
      </c>
      <c r="BH76" s="46">
        <v>0</v>
      </c>
      <c r="BI76" s="46">
        <v>0</v>
      </c>
      <c r="BJ76" s="46">
        <v>0</v>
      </c>
      <c r="BK76" s="46">
        <v>0</v>
      </c>
      <c r="BL76" s="46">
        <v>0</v>
      </c>
      <c r="BM76" s="46">
        <v>0</v>
      </c>
      <c r="BN76" s="46">
        <v>0</v>
      </c>
    </row>
    <row r="77" spans="1:66" x14ac:dyDescent="0.35">
      <c r="A77" t="s">
        <v>482</v>
      </c>
      <c r="B77" s="44" t="s">
        <v>48</v>
      </c>
      <c r="C77" t="s">
        <v>488</v>
      </c>
      <c r="D77" t="s">
        <v>487</v>
      </c>
      <c r="E77" t="s">
        <v>484</v>
      </c>
      <c r="F77" t="s">
        <v>483</v>
      </c>
      <c r="G77" t="s">
        <v>47</v>
      </c>
      <c r="H77">
        <v>0</v>
      </c>
      <c r="I77" s="60" t="s">
        <v>51</v>
      </c>
      <c r="J77" s="33" t="s">
        <v>96</v>
      </c>
      <c r="K77" s="46">
        <v>1</v>
      </c>
      <c r="L77" t="s">
        <v>48</v>
      </c>
      <c r="M77" t="s">
        <v>48</v>
      </c>
      <c r="N77" s="46">
        <v>0</v>
      </c>
      <c r="O77" s="46">
        <v>0</v>
      </c>
      <c r="P77" s="46">
        <v>0</v>
      </c>
      <c r="Q77" t="s">
        <v>48</v>
      </c>
      <c r="R77" t="s">
        <v>48</v>
      </c>
      <c r="S77" t="s">
        <v>485</v>
      </c>
      <c r="T77" t="s">
        <v>486</v>
      </c>
      <c r="U77" t="s">
        <v>485</v>
      </c>
      <c r="V77" s="47">
        <v>0</v>
      </c>
      <c r="W77" t="s">
        <v>48</v>
      </c>
      <c r="X77" t="s">
        <v>48</v>
      </c>
      <c r="Y77" t="s">
        <v>48</v>
      </c>
      <c r="Z77">
        <v>1</v>
      </c>
      <c r="AA77" t="s">
        <v>48</v>
      </c>
      <c r="AB77">
        <v>2020</v>
      </c>
      <c r="AC77" t="s">
        <v>49</v>
      </c>
      <c r="AD77" t="s">
        <v>93</v>
      </c>
      <c r="AE77" t="s">
        <v>4532</v>
      </c>
      <c r="AF77" t="s">
        <v>48</v>
      </c>
      <c r="AG77" t="s">
        <v>48</v>
      </c>
      <c r="AH77" t="s">
        <v>48</v>
      </c>
      <c r="AI77">
        <v>42102</v>
      </c>
      <c r="AJ77">
        <v>1954</v>
      </c>
      <c r="AK77" t="s">
        <v>8464</v>
      </c>
      <c r="AL77" t="s">
        <v>8465</v>
      </c>
      <c r="AM77">
        <v>0.93600000000000005</v>
      </c>
      <c r="AN77">
        <v>-0.35199999999999998</v>
      </c>
      <c r="AO77">
        <v>0.93600000000000005</v>
      </c>
      <c r="AP77" s="46">
        <v>0</v>
      </c>
      <c r="AQ77" s="46">
        <v>0</v>
      </c>
      <c r="AR77" s="46">
        <v>0</v>
      </c>
      <c r="AS77" s="46">
        <v>0</v>
      </c>
      <c r="AT77" s="46">
        <v>0</v>
      </c>
      <c r="AU77" s="46">
        <v>0</v>
      </c>
      <c r="AV77" s="46">
        <v>0</v>
      </c>
      <c r="AW77" s="46">
        <v>0</v>
      </c>
      <c r="AX77" s="46">
        <v>0</v>
      </c>
      <c r="AY77" s="46">
        <v>0</v>
      </c>
      <c r="AZ77" s="46">
        <v>0</v>
      </c>
      <c r="BA77" s="46">
        <v>0</v>
      </c>
      <c r="BB77" s="46">
        <v>0</v>
      </c>
      <c r="BC77" s="46">
        <v>0</v>
      </c>
      <c r="BD77" s="46">
        <v>0</v>
      </c>
      <c r="BE77" s="46">
        <v>0</v>
      </c>
      <c r="BF77" s="46">
        <v>0</v>
      </c>
      <c r="BG77" s="46" t="s">
        <v>48</v>
      </c>
      <c r="BH77" s="46">
        <v>0</v>
      </c>
      <c r="BI77" s="46">
        <v>0</v>
      </c>
      <c r="BJ77" s="46">
        <v>0</v>
      </c>
      <c r="BK77" s="46">
        <v>0</v>
      </c>
      <c r="BL77" s="46">
        <v>0</v>
      </c>
      <c r="BM77" s="46">
        <v>0</v>
      </c>
      <c r="BN77" s="46">
        <v>1</v>
      </c>
    </row>
    <row r="78" spans="1:66" x14ac:dyDescent="0.35">
      <c r="A78" t="s">
        <v>10959</v>
      </c>
      <c r="B78" s="44" t="s">
        <v>48</v>
      </c>
      <c r="C78" t="s">
        <v>503</v>
      </c>
      <c r="D78" t="s">
        <v>11603</v>
      </c>
      <c r="E78" t="s">
        <v>10960</v>
      </c>
      <c r="F78" t="s">
        <v>97</v>
      </c>
      <c r="G78" t="s">
        <v>74</v>
      </c>
      <c r="H78">
        <v>0</v>
      </c>
      <c r="I78" s="61">
        <v>44809</v>
      </c>
      <c r="J78" s="33" t="s">
        <v>96</v>
      </c>
      <c r="K78" s="46">
        <v>0</v>
      </c>
      <c r="L78">
        <v>19.5</v>
      </c>
      <c r="M78" t="s">
        <v>48</v>
      </c>
      <c r="N78" s="46">
        <v>0</v>
      </c>
      <c r="O78" s="46">
        <v>0</v>
      </c>
      <c r="P78" s="46">
        <v>0</v>
      </c>
      <c r="Q78" t="s">
        <v>48</v>
      </c>
      <c r="R78" t="s">
        <v>48</v>
      </c>
      <c r="S78" t="s">
        <v>48</v>
      </c>
      <c r="T78" t="s">
        <v>48</v>
      </c>
      <c r="U78" t="s">
        <v>48</v>
      </c>
      <c r="V78" s="47">
        <v>0</v>
      </c>
      <c r="W78" t="s">
        <v>48</v>
      </c>
      <c r="X78" t="s">
        <v>48</v>
      </c>
      <c r="Y78" t="s">
        <v>48</v>
      </c>
      <c r="Z78">
        <v>0</v>
      </c>
      <c r="AA78" t="s">
        <v>48</v>
      </c>
      <c r="AB78" t="s">
        <v>48</v>
      </c>
      <c r="AC78" t="s">
        <v>49</v>
      </c>
      <c r="AD78" t="s">
        <v>93</v>
      </c>
      <c r="AE78" t="s">
        <v>2471</v>
      </c>
      <c r="AF78" t="s">
        <v>48</v>
      </c>
      <c r="AG78" t="s">
        <v>48</v>
      </c>
      <c r="AH78" t="s">
        <v>48</v>
      </c>
      <c r="AI78" t="s">
        <v>48</v>
      </c>
      <c r="AJ78" t="s">
        <v>48</v>
      </c>
      <c r="AK78" t="s">
        <v>48</v>
      </c>
      <c r="AL78" t="s">
        <v>48</v>
      </c>
      <c r="AM78" t="s">
        <v>48</v>
      </c>
      <c r="AN78" t="s">
        <v>48</v>
      </c>
      <c r="AO78" t="s">
        <v>48</v>
      </c>
      <c r="AP78" s="46">
        <v>0</v>
      </c>
      <c r="AQ78" s="46">
        <v>0</v>
      </c>
      <c r="AR78" s="46">
        <v>0</v>
      </c>
      <c r="AS78" s="46">
        <v>0</v>
      </c>
      <c r="AT78" s="46">
        <v>0</v>
      </c>
      <c r="AU78" s="46">
        <v>0</v>
      </c>
      <c r="AV78" s="46">
        <v>0</v>
      </c>
      <c r="AW78" s="46">
        <v>0</v>
      </c>
      <c r="AX78" s="46">
        <v>0</v>
      </c>
      <c r="AY78" s="46">
        <v>0</v>
      </c>
      <c r="AZ78" s="46">
        <v>0</v>
      </c>
      <c r="BA78" s="46">
        <v>0</v>
      </c>
      <c r="BB78" s="46">
        <v>0</v>
      </c>
      <c r="BC78" s="46">
        <v>0</v>
      </c>
      <c r="BD78" s="46">
        <v>0</v>
      </c>
      <c r="BE78" s="46">
        <v>0</v>
      </c>
      <c r="BF78" s="46">
        <v>0</v>
      </c>
      <c r="BG78" s="46" t="s">
        <v>48</v>
      </c>
      <c r="BH78" s="46">
        <v>0</v>
      </c>
      <c r="BI78" s="46">
        <v>0</v>
      </c>
      <c r="BJ78" s="46">
        <v>0</v>
      </c>
      <c r="BK78" s="46">
        <v>0</v>
      </c>
      <c r="BL78" s="46">
        <v>0</v>
      </c>
      <c r="BM78" s="46">
        <v>0</v>
      </c>
      <c r="BN78" s="46">
        <v>0</v>
      </c>
    </row>
    <row r="79" spans="1:66" x14ac:dyDescent="0.35">
      <c r="A79" t="s">
        <v>516</v>
      </c>
      <c r="B79" s="44" t="s">
        <v>48</v>
      </c>
      <c r="C79" t="s">
        <v>519</v>
      </c>
      <c r="D79" t="s">
        <v>518</v>
      </c>
      <c r="E79" t="s">
        <v>517</v>
      </c>
      <c r="F79" t="s">
        <v>97</v>
      </c>
      <c r="G79" t="s">
        <v>47</v>
      </c>
      <c r="H79">
        <v>0</v>
      </c>
      <c r="I79" s="60" t="s">
        <v>177</v>
      </c>
      <c r="J79" s="33" t="s">
        <v>96</v>
      </c>
      <c r="K79" s="46">
        <v>0</v>
      </c>
      <c r="L79">
        <v>1.1000000000000001</v>
      </c>
      <c r="M79" t="s">
        <v>48</v>
      </c>
      <c r="N79" s="46">
        <v>0</v>
      </c>
      <c r="O79" s="46">
        <v>0</v>
      </c>
      <c r="P79" s="46">
        <v>0</v>
      </c>
      <c r="Q79" t="s">
        <v>48</v>
      </c>
      <c r="R79" t="s">
        <v>48</v>
      </c>
      <c r="S79" t="s">
        <v>48</v>
      </c>
      <c r="T79" t="s">
        <v>48</v>
      </c>
      <c r="U79" t="s">
        <v>48</v>
      </c>
      <c r="V79" s="47">
        <v>0</v>
      </c>
      <c r="W79" t="s">
        <v>48</v>
      </c>
      <c r="X79" t="s">
        <v>48</v>
      </c>
      <c r="Y79" t="s">
        <v>48</v>
      </c>
      <c r="Z79">
        <v>0</v>
      </c>
      <c r="AA79" t="s">
        <v>48</v>
      </c>
      <c r="AB79" t="s">
        <v>48</v>
      </c>
      <c r="AC79" t="s">
        <v>49</v>
      </c>
      <c r="AD79" t="s">
        <v>93</v>
      </c>
      <c r="AE79" t="s">
        <v>4532</v>
      </c>
      <c r="AF79" t="s">
        <v>48</v>
      </c>
      <c r="AG79" t="s">
        <v>48</v>
      </c>
      <c r="AH79" t="s">
        <v>48</v>
      </c>
      <c r="AI79" t="s">
        <v>48</v>
      </c>
      <c r="AJ79" t="s">
        <v>48</v>
      </c>
      <c r="AK79" t="s">
        <v>48</v>
      </c>
      <c r="AL79" t="s">
        <v>48</v>
      </c>
      <c r="AM79" t="s">
        <v>48</v>
      </c>
      <c r="AN79" t="s">
        <v>48</v>
      </c>
      <c r="AO79" t="s">
        <v>48</v>
      </c>
      <c r="AP79" s="46">
        <v>0</v>
      </c>
      <c r="AQ79" s="46">
        <v>0</v>
      </c>
      <c r="AR79" s="46">
        <v>0</v>
      </c>
      <c r="AS79" s="46">
        <v>0</v>
      </c>
      <c r="AT79" s="46">
        <v>0</v>
      </c>
      <c r="AU79" s="46">
        <v>0</v>
      </c>
      <c r="AV79" s="46">
        <v>0</v>
      </c>
      <c r="AW79" s="46">
        <v>0</v>
      </c>
      <c r="AX79" s="46">
        <v>0</v>
      </c>
      <c r="AY79" s="46">
        <v>0</v>
      </c>
      <c r="AZ79" s="46">
        <v>0</v>
      </c>
      <c r="BA79" s="46">
        <v>0</v>
      </c>
      <c r="BB79" s="46">
        <v>0</v>
      </c>
      <c r="BC79" s="46">
        <v>0</v>
      </c>
      <c r="BD79" s="46">
        <v>0</v>
      </c>
      <c r="BE79" s="46">
        <v>0</v>
      </c>
      <c r="BF79" s="46">
        <v>0</v>
      </c>
      <c r="BG79" s="46" t="s">
        <v>48</v>
      </c>
      <c r="BH79" s="46">
        <v>0</v>
      </c>
      <c r="BI79" s="46">
        <v>0</v>
      </c>
      <c r="BJ79" s="46">
        <v>0</v>
      </c>
      <c r="BK79" s="46">
        <v>0</v>
      </c>
      <c r="BL79" s="46">
        <v>0</v>
      </c>
      <c r="BM79" s="46">
        <v>0</v>
      </c>
      <c r="BN79" s="46">
        <v>0</v>
      </c>
    </row>
    <row r="80" spans="1:66" x14ac:dyDescent="0.35">
      <c r="A80" t="s">
        <v>505</v>
      </c>
      <c r="B80" s="44" t="s">
        <v>48</v>
      </c>
      <c r="C80" t="s">
        <v>508</v>
      </c>
      <c r="D80" t="s">
        <v>507</v>
      </c>
      <c r="E80" t="s">
        <v>506</v>
      </c>
      <c r="F80" t="s">
        <v>97</v>
      </c>
      <c r="G80" t="s">
        <v>47</v>
      </c>
      <c r="H80">
        <v>0</v>
      </c>
      <c r="I80" s="60" t="s">
        <v>78</v>
      </c>
      <c r="J80" s="33" t="s">
        <v>96</v>
      </c>
      <c r="K80" s="46">
        <v>0</v>
      </c>
      <c r="L80">
        <v>0.9</v>
      </c>
      <c r="M80" t="s">
        <v>48</v>
      </c>
      <c r="N80" s="46">
        <v>0</v>
      </c>
      <c r="O80" s="46">
        <v>0</v>
      </c>
      <c r="P80" s="46">
        <v>0</v>
      </c>
      <c r="Q80" t="s">
        <v>48</v>
      </c>
      <c r="R80" t="s">
        <v>48</v>
      </c>
      <c r="S80" t="s">
        <v>48</v>
      </c>
      <c r="T80" t="s">
        <v>48</v>
      </c>
      <c r="U80" t="s">
        <v>48</v>
      </c>
      <c r="V80" s="47">
        <v>0</v>
      </c>
      <c r="W80" t="s">
        <v>48</v>
      </c>
      <c r="X80" t="s">
        <v>48</v>
      </c>
      <c r="Y80" t="s">
        <v>48</v>
      </c>
      <c r="Z80">
        <v>0</v>
      </c>
      <c r="AA80" t="s">
        <v>48</v>
      </c>
      <c r="AB80" t="s">
        <v>48</v>
      </c>
      <c r="AC80" t="s">
        <v>63</v>
      </c>
      <c r="AD80" t="s">
        <v>93</v>
      </c>
      <c r="AE80" t="s">
        <v>2471</v>
      </c>
      <c r="AF80" t="s">
        <v>48</v>
      </c>
      <c r="AG80" t="s">
        <v>48</v>
      </c>
      <c r="AH80" t="s">
        <v>48</v>
      </c>
      <c r="AI80" t="s">
        <v>48</v>
      </c>
      <c r="AJ80" t="s">
        <v>48</v>
      </c>
      <c r="AK80" t="s">
        <v>48</v>
      </c>
      <c r="AL80" t="s">
        <v>48</v>
      </c>
      <c r="AM80" t="s">
        <v>48</v>
      </c>
      <c r="AN80" t="s">
        <v>48</v>
      </c>
      <c r="AO80" t="s">
        <v>48</v>
      </c>
      <c r="AP80" s="46">
        <v>0</v>
      </c>
      <c r="AQ80" s="46">
        <v>0</v>
      </c>
      <c r="AR80" s="46">
        <v>0</v>
      </c>
      <c r="AS80" s="46">
        <v>0</v>
      </c>
      <c r="AT80" s="46">
        <v>0</v>
      </c>
      <c r="AU80" s="46">
        <v>0</v>
      </c>
      <c r="AV80" s="46">
        <v>0</v>
      </c>
      <c r="AW80" s="46">
        <v>0</v>
      </c>
      <c r="AX80" s="46">
        <v>0</v>
      </c>
      <c r="AY80" s="46">
        <v>0</v>
      </c>
      <c r="AZ80" s="46">
        <v>0</v>
      </c>
      <c r="BA80" s="46">
        <v>0</v>
      </c>
      <c r="BB80" s="46">
        <v>0</v>
      </c>
      <c r="BC80" s="46">
        <v>0</v>
      </c>
      <c r="BD80" s="46">
        <v>0</v>
      </c>
      <c r="BE80" s="46">
        <v>0</v>
      </c>
      <c r="BF80" s="46">
        <v>0</v>
      </c>
      <c r="BG80" s="46" t="s">
        <v>48</v>
      </c>
      <c r="BH80" s="46">
        <v>0</v>
      </c>
      <c r="BI80" s="46">
        <v>0</v>
      </c>
      <c r="BJ80" s="46">
        <v>0</v>
      </c>
      <c r="BK80" s="46">
        <v>0</v>
      </c>
      <c r="BL80" s="46">
        <v>0</v>
      </c>
      <c r="BM80" s="46">
        <v>0</v>
      </c>
      <c r="BN80" s="46">
        <v>0</v>
      </c>
    </row>
    <row r="81" spans="1:66" x14ac:dyDescent="0.35">
      <c r="A81" t="s">
        <v>513</v>
      </c>
      <c r="B81" s="44" t="s">
        <v>48</v>
      </c>
      <c r="C81" t="s">
        <v>350</v>
      </c>
      <c r="D81" t="s">
        <v>515</v>
      </c>
      <c r="E81" t="s">
        <v>514</v>
      </c>
      <c r="F81" t="s">
        <v>97</v>
      </c>
      <c r="G81" t="s">
        <v>74</v>
      </c>
      <c r="H81">
        <v>0</v>
      </c>
      <c r="I81" s="60" t="s">
        <v>125</v>
      </c>
      <c r="J81" s="33" t="s">
        <v>96</v>
      </c>
      <c r="K81" s="46">
        <v>0</v>
      </c>
      <c r="L81">
        <v>16.8</v>
      </c>
      <c r="M81" t="s">
        <v>48</v>
      </c>
      <c r="N81" s="46">
        <v>0</v>
      </c>
      <c r="O81" s="46">
        <v>0</v>
      </c>
      <c r="P81" s="46">
        <v>0</v>
      </c>
      <c r="Q81" t="s">
        <v>48</v>
      </c>
      <c r="R81" t="s">
        <v>48</v>
      </c>
      <c r="S81" t="s">
        <v>48</v>
      </c>
      <c r="T81" t="s">
        <v>48</v>
      </c>
      <c r="U81" t="s">
        <v>48</v>
      </c>
      <c r="V81" s="47">
        <v>0</v>
      </c>
      <c r="W81" t="s">
        <v>48</v>
      </c>
      <c r="X81" t="s">
        <v>48</v>
      </c>
      <c r="Y81" t="s">
        <v>48</v>
      </c>
      <c r="Z81">
        <v>0</v>
      </c>
      <c r="AA81" t="s">
        <v>48</v>
      </c>
      <c r="AB81" t="s">
        <v>48</v>
      </c>
      <c r="AC81" t="s">
        <v>49</v>
      </c>
      <c r="AD81" t="s">
        <v>93</v>
      </c>
      <c r="AE81" t="s">
        <v>2471</v>
      </c>
      <c r="AF81" t="s">
        <v>48</v>
      </c>
      <c r="AG81" t="s">
        <v>48</v>
      </c>
      <c r="AH81" t="s">
        <v>48</v>
      </c>
      <c r="AI81" t="s">
        <v>48</v>
      </c>
      <c r="AJ81" t="s">
        <v>48</v>
      </c>
      <c r="AK81" t="s">
        <v>48</v>
      </c>
      <c r="AL81" t="s">
        <v>48</v>
      </c>
      <c r="AM81" t="s">
        <v>48</v>
      </c>
      <c r="AN81" t="s">
        <v>48</v>
      </c>
      <c r="AO81" t="s">
        <v>48</v>
      </c>
      <c r="AP81" s="46">
        <v>0</v>
      </c>
      <c r="AQ81" s="46">
        <v>0</v>
      </c>
      <c r="AR81" s="46">
        <v>0</v>
      </c>
      <c r="AS81" s="46">
        <v>0</v>
      </c>
      <c r="AT81" s="46">
        <v>0</v>
      </c>
      <c r="AU81" s="46">
        <v>0</v>
      </c>
      <c r="AV81" s="46">
        <v>0</v>
      </c>
      <c r="AW81" s="46">
        <v>0</v>
      </c>
      <c r="AX81" s="46">
        <v>0</v>
      </c>
      <c r="AY81" s="46">
        <v>0</v>
      </c>
      <c r="AZ81" s="46">
        <v>0</v>
      </c>
      <c r="BA81" s="46">
        <v>0</v>
      </c>
      <c r="BB81" s="46">
        <v>0</v>
      </c>
      <c r="BC81" s="46">
        <v>0</v>
      </c>
      <c r="BD81" s="46">
        <v>0</v>
      </c>
      <c r="BE81" s="46">
        <v>0</v>
      </c>
      <c r="BF81" s="46">
        <v>0</v>
      </c>
      <c r="BG81" s="46" t="s">
        <v>48</v>
      </c>
      <c r="BH81" s="46">
        <v>0</v>
      </c>
      <c r="BI81" s="46">
        <v>0</v>
      </c>
      <c r="BJ81" s="46">
        <v>0</v>
      </c>
      <c r="BK81" s="46">
        <v>0</v>
      </c>
      <c r="BL81" s="46">
        <v>0</v>
      </c>
      <c r="BM81" s="46">
        <v>0</v>
      </c>
      <c r="BN81" s="46">
        <v>0</v>
      </c>
    </row>
    <row r="82" spans="1:66" x14ac:dyDescent="0.35">
      <c r="A82" t="s">
        <v>489</v>
      </c>
      <c r="B82" s="44" t="s">
        <v>48</v>
      </c>
      <c r="C82" t="s">
        <v>492</v>
      </c>
      <c r="D82" t="s">
        <v>491</v>
      </c>
      <c r="E82" t="s">
        <v>490</v>
      </c>
      <c r="F82" t="s">
        <v>97</v>
      </c>
      <c r="G82" t="s">
        <v>47</v>
      </c>
      <c r="H82">
        <v>0</v>
      </c>
      <c r="I82" s="60" t="s">
        <v>125</v>
      </c>
      <c r="J82" s="33" t="s">
        <v>96</v>
      </c>
      <c r="K82" s="46">
        <v>0</v>
      </c>
      <c r="L82">
        <v>0.7</v>
      </c>
      <c r="M82" t="s">
        <v>48</v>
      </c>
      <c r="N82" s="46">
        <v>0</v>
      </c>
      <c r="O82" s="46">
        <v>0</v>
      </c>
      <c r="P82" s="46">
        <v>0</v>
      </c>
      <c r="Q82" t="s">
        <v>48</v>
      </c>
      <c r="R82" t="s">
        <v>48</v>
      </c>
      <c r="S82" t="s">
        <v>48</v>
      </c>
      <c r="T82" t="s">
        <v>48</v>
      </c>
      <c r="U82" t="s">
        <v>48</v>
      </c>
      <c r="V82" s="47">
        <v>0</v>
      </c>
      <c r="W82" t="s">
        <v>48</v>
      </c>
      <c r="X82" t="s">
        <v>48</v>
      </c>
      <c r="Y82" t="s">
        <v>48</v>
      </c>
      <c r="Z82">
        <v>0</v>
      </c>
      <c r="AA82" t="s">
        <v>48</v>
      </c>
      <c r="AB82" t="s">
        <v>48</v>
      </c>
      <c r="AC82" t="s">
        <v>63</v>
      </c>
      <c r="AD82" t="s">
        <v>48</v>
      </c>
      <c r="AE82" t="s">
        <v>48</v>
      </c>
      <c r="AF82" t="s">
        <v>48</v>
      </c>
      <c r="AG82" t="s">
        <v>48</v>
      </c>
      <c r="AH82" t="s">
        <v>48</v>
      </c>
      <c r="AI82" t="s">
        <v>48</v>
      </c>
      <c r="AJ82" t="s">
        <v>48</v>
      </c>
      <c r="AK82" t="s">
        <v>48</v>
      </c>
      <c r="AL82" t="s">
        <v>48</v>
      </c>
      <c r="AM82" t="s">
        <v>48</v>
      </c>
      <c r="AN82" t="s">
        <v>48</v>
      </c>
      <c r="AO82" t="s">
        <v>48</v>
      </c>
      <c r="AP82" s="46">
        <v>0</v>
      </c>
      <c r="AQ82" s="46">
        <v>0</v>
      </c>
      <c r="AR82" s="46">
        <v>0</v>
      </c>
      <c r="AS82" s="46">
        <v>0</v>
      </c>
      <c r="AT82" s="46">
        <v>0</v>
      </c>
      <c r="AU82" s="46">
        <v>0</v>
      </c>
      <c r="AV82" s="46">
        <v>0</v>
      </c>
      <c r="AW82" s="46">
        <v>0</v>
      </c>
      <c r="AX82" s="46">
        <v>0</v>
      </c>
      <c r="AY82" s="46">
        <v>0</v>
      </c>
      <c r="AZ82" s="46">
        <v>0</v>
      </c>
      <c r="BA82" s="46">
        <v>0</v>
      </c>
      <c r="BB82" s="46">
        <v>0</v>
      </c>
      <c r="BC82" s="46">
        <v>0</v>
      </c>
      <c r="BD82" s="46">
        <v>0</v>
      </c>
      <c r="BE82" s="46">
        <v>0</v>
      </c>
      <c r="BF82" s="46">
        <v>0</v>
      </c>
      <c r="BG82" s="46" t="s">
        <v>48</v>
      </c>
      <c r="BH82" s="46">
        <v>0</v>
      </c>
      <c r="BI82" s="46">
        <v>0</v>
      </c>
      <c r="BJ82" s="46">
        <v>0</v>
      </c>
      <c r="BK82" s="46">
        <v>0</v>
      </c>
      <c r="BL82" s="46">
        <v>0</v>
      </c>
      <c r="BM82" s="46">
        <v>0</v>
      </c>
      <c r="BN82" s="46">
        <v>0</v>
      </c>
    </row>
    <row r="83" spans="1:66" x14ac:dyDescent="0.35">
      <c r="A83" t="s">
        <v>509</v>
      </c>
      <c r="B83" s="44" t="s">
        <v>48</v>
      </c>
      <c r="C83" t="s">
        <v>512</v>
      </c>
      <c r="D83" t="s">
        <v>396</v>
      </c>
      <c r="E83" t="s">
        <v>510</v>
      </c>
      <c r="F83" t="s">
        <v>97</v>
      </c>
      <c r="G83" t="s">
        <v>47</v>
      </c>
      <c r="H83">
        <v>0</v>
      </c>
      <c r="I83" s="60" t="s">
        <v>177</v>
      </c>
      <c r="J83" s="33" t="s">
        <v>96</v>
      </c>
      <c r="K83" s="46">
        <v>0</v>
      </c>
      <c r="L83">
        <v>23.3</v>
      </c>
      <c r="M83" t="s">
        <v>48</v>
      </c>
      <c r="N83" s="46">
        <v>0</v>
      </c>
      <c r="O83" s="46">
        <v>0</v>
      </c>
      <c r="P83" s="46">
        <v>0</v>
      </c>
      <c r="Q83" t="s">
        <v>48</v>
      </c>
      <c r="R83" t="s">
        <v>48</v>
      </c>
      <c r="S83" t="s">
        <v>511</v>
      </c>
      <c r="T83" t="s">
        <v>48</v>
      </c>
      <c r="U83" t="s">
        <v>511</v>
      </c>
      <c r="V83" s="47">
        <v>0</v>
      </c>
      <c r="W83" t="s">
        <v>11317</v>
      </c>
      <c r="X83" t="s">
        <v>48</v>
      </c>
      <c r="Y83" t="s">
        <v>48</v>
      </c>
      <c r="Z83">
        <v>0</v>
      </c>
      <c r="AA83" t="s">
        <v>48</v>
      </c>
      <c r="AB83" t="s">
        <v>48</v>
      </c>
      <c r="AC83" t="s">
        <v>49</v>
      </c>
      <c r="AD83" t="s">
        <v>93</v>
      </c>
      <c r="AE83" t="s">
        <v>4532</v>
      </c>
      <c r="AF83" t="s">
        <v>48</v>
      </c>
      <c r="AG83" t="s">
        <v>48</v>
      </c>
      <c r="AH83" t="s">
        <v>48</v>
      </c>
      <c r="AI83" t="s">
        <v>48</v>
      </c>
      <c r="AJ83" t="s">
        <v>48</v>
      </c>
      <c r="AK83" t="s">
        <v>48</v>
      </c>
      <c r="AL83" t="s">
        <v>48</v>
      </c>
      <c r="AM83" t="s">
        <v>48</v>
      </c>
      <c r="AN83" t="s">
        <v>48</v>
      </c>
      <c r="AO83" t="s">
        <v>48</v>
      </c>
      <c r="AP83" s="46">
        <v>0</v>
      </c>
      <c r="AQ83" s="46">
        <v>0</v>
      </c>
      <c r="AR83" s="46">
        <v>0</v>
      </c>
      <c r="AS83" s="46">
        <v>0</v>
      </c>
      <c r="AT83" s="46">
        <v>0</v>
      </c>
      <c r="AU83" s="46">
        <v>0</v>
      </c>
      <c r="AV83" s="46">
        <v>0</v>
      </c>
      <c r="AW83" s="46">
        <v>0</v>
      </c>
      <c r="AX83" s="46">
        <v>0</v>
      </c>
      <c r="AY83" s="46">
        <v>0</v>
      </c>
      <c r="AZ83" s="46">
        <v>0</v>
      </c>
      <c r="BA83" s="46">
        <v>0</v>
      </c>
      <c r="BB83" s="46">
        <v>0</v>
      </c>
      <c r="BC83" s="46">
        <v>0</v>
      </c>
      <c r="BD83" s="46">
        <v>0</v>
      </c>
      <c r="BE83" s="46">
        <v>0</v>
      </c>
      <c r="BF83" s="46">
        <v>0</v>
      </c>
      <c r="BG83" s="46" t="s">
        <v>48</v>
      </c>
      <c r="BH83" s="46">
        <v>0</v>
      </c>
      <c r="BI83" s="46">
        <v>0</v>
      </c>
      <c r="BJ83" s="46">
        <v>0</v>
      </c>
      <c r="BK83" s="46">
        <v>0</v>
      </c>
      <c r="BL83" s="46">
        <v>0</v>
      </c>
      <c r="BM83" s="46">
        <v>0</v>
      </c>
      <c r="BN83" s="46">
        <v>0</v>
      </c>
    </row>
    <row r="84" spans="1:66" x14ac:dyDescent="0.35">
      <c r="A84" t="s">
        <v>88</v>
      </c>
      <c r="B84" s="44" t="s">
        <v>48</v>
      </c>
      <c r="C84" t="s">
        <v>95</v>
      </c>
      <c r="D84" t="s">
        <v>94</v>
      </c>
      <c r="E84" t="s">
        <v>98</v>
      </c>
      <c r="F84" t="s">
        <v>97</v>
      </c>
      <c r="G84" t="s">
        <v>47</v>
      </c>
      <c r="H84">
        <v>0</v>
      </c>
      <c r="I84" s="61" t="s">
        <v>11160</v>
      </c>
      <c r="J84" s="33" t="s">
        <v>96</v>
      </c>
      <c r="K84" s="46">
        <v>1</v>
      </c>
      <c r="L84">
        <v>29.2</v>
      </c>
      <c r="M84">
        <v>37</v>
      </c>
      <c r="N84" s="46">
        <v>0</v>
      </c>
      <c r="O84" s="46">
        <v>0</v>
      </c>
      <c r="P84" s="46">
        <v>0</v>
      </c>
      <c r="Q84" t="s">
        <v>48</v>
      </c>
      <c r="R84" t="s">
        <v>48</v>
      </c>
      <c r="S84" t="s">
        <v>11362</v>
      </c>
      <c r="T84" t="s">
        <v>91</v>
      </c>
      <c r="U84" t="s">
        <v>90</v>
      </c>
      <c r="V84" s="47">
        <v>0</v>
      </c>
      <c r="W84" t="s">
        <v>48</v>
      </c>
      <c r="X84" t="s">
        <v>48</v>
      </c>
      <c r="Y84" t="s">
        <v>48</v>
      </c>
      <c r="Z84">
        <v>0</v>
      </c>
      <c r="AA84" t="s">
        <v>48</v>
      </c>
      <c r="AB84">
        <v>2010</v>
      </c>
      <c r="AC84" t="s">
        <v>49</v>
      </c>
      <c r="AD84" t="s">
        <v>93</v>
      </c>
      <c r="AE84" t="s">
        <v>4532</v>
      </c>
      <c r="AF84" t="s">
        <v>48</v>
      </c>
      <c r="AG84" t="s">
        <v>92</v>
      </c>
      <c r="AH84" t="s">
        <v>93</v>
      </c>
      <c r="AI84">
        <v>21193</v>
      </c>
      <c r="AJ84">
        <v>1954</v>
      </c>
      <c r="AK84" t="s">
        <v>8656</v>
      </c>
      <c r="AL84" t="s">
        <v>8657</v>
      </c>
      <c r="AM84">
        <v>0.64400000000000002</v>
      </c>
      <c r="AN84">
        <v>-0.39700000000000002</v>
      </c>
      <c r="AO84">
        <v>0.64400000000000002</v>
      </c>
      <c r="AP84" s="46">
        <v>0</v>
      </c>
      <c r="AQ84" s="46">
        <v>0</v>
      </c>
      <c r="AR84" s="46">
        <v>0</v>
      </c>
      <c r="AS84" s="46">
        <v>0</v>
      </c>
      <c r="AT84" s="46">
        <v>0</v>
      </c>
      <c r="AU84" s="46">
        <v>0</v>
      </c>
      <c r="AV84" s="46">
        <v>0</v>
      </c>
      <c r="AW84" s="46">
        <v>0</v>
      </c>
      <c r="AX84" s="46">
        <v>0</v>
      </c>
      <c r="AY84" s="46">
        <v>0</v>
      </c>
      <c r="AZ84" s="46">
        <v>0</v>
      </c>
      <c r="BA84" s="46">
        <v>0</v>
      </c>
      <c r="BB84" s="46">
        <v>0</v>
      </c>
      <c r="BC84" s="46">
        <v>0</v>
      </c>
      <c r="BD84" s="46">
        <v>0</v>
      </c>
      <c r="BE84" s="46">
        <v>0</v>
      </c>
      <c r="BF84" s="46">
        <v>1</v>
      </c>
      <c r="BG84" s="46" t="s">
        <v>48</v>
      </c>
      <c r="BH84" s="46">
        <v>0</v>
      </c>
      <c r="BI84" s="46">
        <v>0</v>
      </c>
      <c r="BJ84" s="46">
        <v>0</v>
      </c>
      <c r="BK84" s="46">
        <v>0</v>
      </c>
      <c r="BL84" s="46">
        <v>0</v>
      </c>
      <c r="BM84" s="46">
        <v>0</v>
      </c>
      <c r="BN84" s="46">
        <v>1</v>
      </c>
    </row>
    <row r="85" spans="1:66" x14ac:dyDescent="0.35">
      <c r="A85" t="s">
        <v>580</v>
      </c>
      <c r="B85" s="44" t="s">
        <v>48</v>
      </c>
      <c r="C85" t="s">
        <v>586</v>
      </c>
      <c r="D85" t="s">
        <v>585</v>
      </c>
      <c r="E85" t="s">
        <v>582</v>
      </c>
      <c r="F85" t="s">
        <v>581</v>
      </c>
      <c r="G85" t="s">
        <v>47</v>
      </c>
      <c r="H85">
        <v>0</v>
      </c>
      <c r="I85" s="60" t="s">
        <v>51</v>
      </c>
      <c r="J85" s="33" t="s">
        <v>96</v>
      </c>
      <c r="K85" s="46">
        <v>1</v>
      </c>
      <c r="L85" t="s">
        <v>48</v>
      </c>
      <c r="M85" t="s">
        <v>48</v>
      </c>
      <c r="N85" s="46">
        <v>0</v>
      </c>
      <c r="O85" s="46">
        <v>0</v>
      </c>
      <c r="P85" s="46">
        <v>0</v>
      </c>
      <c r="Q85" t="s">
        <v>48</v>
      </c>
      <c r="R85" t="s">
        <v>48</v>
      </c>
      <c r="S85" t="s">
        <v>583</v>
      </c>
      <c r="T85" t="s">
        <v>584</v>
      </c>
      <c r="U85" t="s">
        <v>583</v>
      </c>
      <c r="V85" s="47">
        <v>0</v>
      </c>
      <c r="W85" t="s">
        <v>48</v>
      </c>
      <c r="X85" t="s">
        <v>48</v>
      </c>
      <c r="Y85" t="s">
        <v>48</v>
      </c>
      <c r="Z85">
        <v>0</v>
      </c>
      <c r="AA85" t="s">
        <v>48</v>
      </c>
      <c r="AB85">
        <v>2014</v>
      </c>
      <c r="AC85" t="s">
        <v>49</v>
      </c>
      <c r="AD85" t="s">
        <v>93</v>
      </c>
      <c r="AE85" t="s">
        <v>4532</v>
      </c>
      <c r="AF85" t="s">
        <v>48</v>
      </c>
      <c r="AG85" t="s">
        <v>479</v>
      </c>
      <c r="AH85" t="s">
        <v>93</v>
      </c>
      <c r="AI85">
        <v>21301</v>
      </c>
      <c r="AJ85">
        <v>1977</v>
      </c>
      <c r="AK85" t="s">
        <v>8468</v>
      </c>
      <c r="AL85" t="s">
        <v>8469</v>
      </c>
      <c r="AM85">
        <v>0.61199999999999999</v>
      </c>
      <c r="AN85">
        <v>0.122</v>
      </c>
      <c r="AO85">
        <v>0.61199999999999999</v>
      </c>
      <c r="AP85" s="46">
        <v>0</v>
      </c>
      <c r="AQ85" s="46">
        <v>0</v>
      </c>
      <c r="AR85" s="46">
        <v>0</v>
      </c>
      <c r="AS85" s="46">
        <v>0</v>
      </c>
      <c r="AT85" s="46">
        <v>0</v>
      </c>
      <c r="AU85" s="46">
        <v>0</v>
      </c>
      <c r="AV85" s="46">
        <v>0</v>
      </c>
      <c r="AW85" s="46">
        <v>0</v>
      </c>
      <c r="AX85" s="46">
        <v>0</v>
      </c>
      <c r="AY85" s="46">
        <v>0</v>
      </c>
      <c r="AZ85" s="46">
        <v>0</v>
      </c>
      <c r="BA85" s="46">
        <v>0</v>
      </c>
      <c r="BB85" s="46">
        <v>0</v>
      </c>
      <c r="BC85" s="46">
        <v>0</v>
      </c>
      <c r="BD85" s="46">
        <v>0</v>
      </c>
      <c r="BE85" s="46">
        <v>0</v>
      </c>
      <c r="BF85" s="46">
        <v>0</v>
      </c>
      <c r="BG85" s="46" t="s">
        <v>48</v>
      </c>
      <c r="BH85" s="46">
        <v>0</v>
      </c>
      <c r="BI85" s="46">
        <v>0</v>
      </c>
      <c r="BJ85" s="46">
        <v>0</v>
      </c>
      <c r="BK85" s="46">
        <v>0</v>
      </c>
      <c r="BL85" s="46">
        <v>0</v>
      </c>
      <c r="BM85" s="46">
        <v>0</v>
      </c>
      <c r="BN85" s="46">
        <v>0</v>
      </c>
    </row>
    <row r="86" spans="1:66" x14ac:dyDescent="0.35">
      <c r="A86" t="s">
        <v>614</v>
      </c>
      <c r="B86" s="44" t="s">
        <v>48</v>
      </c>
      <c r="C86" t="s">
        <v>617</v>
      </c>
      <c r="D86" t="s">
        <v>347</v>
      </c>
      <c r="E86" t="s">
        <v>615</v>
      </c>
      <c r="F86" t="s">
        <v>588</v>
      </c>
      <c r="G86" t="s">
        <v>74</v>
      </c>
      <c r="H86">
        <v>0</v>
      </c>
      <c r="I86" s="60" t="s">
        <v>51</v>
      </c>
      <c r="J86" s="33" t="s">
        <v>96</v>
      </c>
      <c r="K86" s="46">
        <v>0</v>
      </c>
      <c r="L86">
        <v>30.8</v>
      </c>
      <c r="M86" t="s">
        <v>48</v>
      </c>
      <c r="N86" s="46">
        <v>0</v>
      </c>
      <c r="O86" s="46">
        <v>0</v>
      </c>
      <c r="P86" s="46">
        <v>0</v>
      </c>
      <c r="Q86" t="s">
        <v>48</v>
      </c>
      <c r="R86" t="s">
        <v>48</v>
      </c>
      <c r="S86" t="s">
        <v>616</v>
      </c>
      <c r="T86" t="s">
        <v>48</v>
      </c>
      <c r="U86" t="s">
        <v>616</v>
      </c>
      <c r="V86" s="47">
        <v>0</v>
      </c>
      <c r="W86" t="s">
        <v>48</v>
      </c>
      <c r="X86" t="s">
        <v>48</v>
      </c>
      <c r="Y86" t="s">
        <v>48</v>
      </c>
      <c r="Z86">
        <v>0</v>
      </c>
      <c r="AA86" t="s">
        <v>48</v>
      </c>
      <c r="AB86" t="s">
        <v>48</v>
      </c>
      <c r="AC86" t="s">
        <v>49</v>
      </c>
      <c r="AD86" t="s">
        <v>93</v>
      </c>
      <c r="AE86" t="s">
        <v>4532</v>
      </c>
      <c r="AF86" t="s">
        <v>48</v>
      </c>
      <c r="AG86" t="s">
        <v>48</v>
      </c>
      <c r="AH86" t="s">
        <v>48</v>
      </c>
      <c r="AI86" t="s">
        <v>48</v>
      </c>
      <c r="AJ86" t="s">
        <v>48</v>
      </c>
      <c r="AK86" t="s">
        <v>48</v>
      </c>
      <c r="AL86" t="s">
        <v>48</v>
      </c>
      <c r="AM86" t="s">
        <v>48</v>
      </c>
      <c r="AN86" t="s">
        <v>48</v>
      </c>
      <c r="AO86" t="s">
        <v>48</v>
      </c>
      <c r="AP86" s="46">
        <v>0</v>
      </c>
      <c r="AQ86" s="46">
        <v>0</v>
      </c>
      <c r="AR86" s="46">
        <v>0</v>
      </c>
      <c r="AS86" s="46">
        <v>0</v>
      </c>
      <c r="AT86" s="46">
        <v>0</v>
      </c>
      <c r="AU86" s="46">
        <v>0</v>
      </c>
      <c r="AV86" s="46">
        <v>0</v>
      </c>
      <c r="AW86" s="46">
        <v>0</v>
      </c>
      <c r="AX86" s="46">
        <v>0</v>
      </c>
      <c r="AY86" s="46">
        <v>0</v>
      </c>
      <c r="AZ86" s="46">
        <v>0</v>
      </c>
      <c r="BA86" s="46">
        <v>0</v>
      </c>
      <c r="BB86" s="46">
        <v>0</v>
      </c>
      <c r="BC86" s="46">
        <v>0</v>
      </c>
      <c r="BD86" s="46">
        <v>0</v>
      </c>
      <c r="BE86" s="46">
        <v>0</v>
      </c>
      <c r="BF86" s="46">
        <v>0</v>
      </c>
      <c r="BG86" s="46" t="s">
        <v>48</v>
      </c>
      <c r="BH86" s="46">
        <v>0</v>
      </c>
      <c r="BI86" s="46">
        <v>0</v>
      </c>
      <c r="BJ86" s="46">
        <v>0</v>
      </c>
      <c r="BK86" s="46">
        <v>0</v>
      </c>
      <c r="BL86" s="46">
        <v>0</v>
      </c>
      <c r="BM86" s="46">
        <v>0</v>
      </c>
      <c r="BN86" s="46">
        <v>0</v>
      </c>
    </row>
    <row r="87" spans="1:66" x14ac:dyDescent="0.35">
      <c r="A87" t="s">
        <v>604</v>
      </c>
      <c r="B87" s="44" t="s">
        <v>48</v>
      </c>
      <c r="C87" t="s">
        <v>608</v>
      </c>
      <c r="D87" t="s">
        <v>607</v>
      </c>
      <c r="E87" t="s">
        <v>605</v>
      </c>
      <c r="F87" t="s">
        <v>588</v>
      </c>
      <c r="G87" t="s">
        <v>47</v>
      </c>
      <c r="H87">
        <v>0</v>
      </c>
      <c r="I87" s="60" t="s">
        <v>51</v>
      </c>
      <c r="J87" s="33" t="s">
        <v>96</v>
      </c>
      <c r="K87" s="46">
        <v>0</v>
      </c>
      <c r="L87">
        <v>2.2999999999999998</v>
      </c>
      <c r="M87" t="s">
        <v>48</v>
      </c>
      <c r="N87" s="46">
        <v>0</v>
      </c>
      <c r="O87" s="46">
        <v>0</v>
      </c>
      <c r="P87" s="46">
        <v>0</v>
      </c>
      <c r="Q87" t="s">
        <v>48</v>
      </c>
      <c r="R87" t="s">
        <v>48</v>
      </c>
      <c r="S87" t="s">
        <v>606</v>
      </c>
      <c r="T87" t="s">
        <v>48</v>
      </c>
      <c r="U87" t="s">
        <v>606</v>
      </c>
      <c r="V87" s="47">
        <v>0</v>
      </c>
      <c r="W87" t="s">
        <v>48</v>
      </c>
      <c r="X87" t="s">
        <v>48</v>
      </c>
      <c r="Y87" t="s">
        <v>48</v>
      </c>
      <c r="Z87">
        <v>0</v>
      </c>
      <c r="AA87" t="s">
        <v>48</v>
      </c>
      <c r="AB87" t="s">
        <v>48</v>
      </c>
      <c r="AC87" t="s">
        <v>49</v>
      </c>
      <c r="AD87" t="s">
        <v>93</v>
      </c>
      <c r="AE87" t="s">
        <v>4532</v>
      </c>
      <c r="AF87" t="s">
        <v>48</v>
      </c>
      <c r="AG87" t="s">
        <v>48</v>
      </c>
      <c r="AH87" t="s">
        <v>48</v>
      </c>
      <c r="AI87" t="s">
        <v>48</v>
      </c>
      <c r="AJ87" t="s">
        <v>48</v>
      </c>
      <c r="AK87" t="s">
        <v>48</v>
      </c>
      <c r="AL87" t="s">
        <v>48</v>
      </c>
      <c r="AM87" t="s">
        <v>48</v>
      </c>
      <c r="AN87" t="s">
        <v>48</v>
      </c>
      <c r="AO87" t="s">
        <v>48</v>
      </c>
      <c r="AP87" s="46">
        <v>0</v>
      </c>
      <c r="AQ87" s="46">
        <v>0</v>
      </c>
      <c r="AR87" s="46">
        <v>0</v>
      </c>
      <c r="AS87" s="46">
        <v>0</v>
      </c>
      <c r="AT87" s="46">
        <v>0</v>
      </c>
      <c r="AU87" s="46">
        <v>0</v>
      </c>
      <c r="AV87" s="46">
        <v>0</v>
      </c>
      <c r="AW87" s="46">
        <v>0</v>
      </c>
      <c r="AX87" s="46">
        <v>0</v>
      </c>
      <c r="AY87" s="46">
        <v>0</v>
      </c>
      <c r="AZ87" s="46">
        <v>0</v>
      </c>
      <c r="BA87" s="46">
        <v>0</v>
      </c>
      <c r="BB87" s="46">
        <v>0</v>
      </c>
      <c r="BC87" s="46">
        <v>0</v>
      </c>
      <c r="BD87" s="46">
        <v>0</v>
      </c>
      <c r="BE87" s="46">
        <v>0</v>
      </c>
      <c r="BF87" s="46">
        <v>0</v>
      </c>
      <c r="BG87" s="46" t="s">
        <v>48</v>
      </c>
      <c r="BH87" s="46">
        <v>0</v>
      </c>
      <c r="BI87" s="46">
        <v>0</v>
      </c>
      <c r="BJ87" s="46">
        <v>0</v>
      </c>
      <c r="BK87" s="46">
        <v>0</v>
      </c>
      <c r="BL87" s="46">
        <v>0</v>
      </c>
      <c r="BM87" s="46">
        <v>0</v>
      </c>
      <c r="BN87" s="46">
        <v>0</v>
      </c>
    </row>
    <row r="88" spans="1:66" x14ac:dyDescent="0.35">
      <c r="A88" t="s">
        <v>596</v>
      </c>
      <c r="B88" s="44" t="s">
        <v>48</v>
      </c>
      <c r="C88" t="s">
        <v>250</v>
      </c>
      <c r="D88" t="s">
        <v>390</v>
      </c>
      <c r="E88" t="s">
        <v>597</v>
      </c>
      <c r="F88" t="s">
        <v>588</v>
      </c>
      <c r="G88" t="s">
        <v>74</v>
      </c>
      <c r="H88">
        <v>0</v>
      </c>
      <c r="I88" s="60" t="s">
        <v>177</v>
      </c>
      <c r="J88" s="33" t="s">
        <v>96</v>
      </c>
      <c r="K88" s="46">
        <v>0</v>
      </c>
      <c r="L88">
        <v>15.1</v>
      </c>
      <c r="M88" t="s">
        <v>48</v>
      </c>
      <c r="N88" s="46">
        <v>0</v>
      </c>
      <c r="O88" s="46">
        <v>0</v>
      </c>
      <c r="P88" s="46">
        <v>0</v>
      </c>
      <c r="Q88" t="s">
        <v>48</v>
      </c>
      <c r="R88" t="s">
        <v>48</v>
      </c>
      <c r="S88" t="s">
        <v>598</v>
      </c>
      <c r="T88" t="s">
        <v>48</v>
      </c>
      <c r="U88" t="s">
        <v>598</v>
      </c>
      <c r="V88" s="47">
        <v>0</v>
      </c>
      <c r="W88" t="s">
        <v>48</v>
      </c>
      <c r="X88" t="s">
        <v>48</v>
      </c>
      <c r="Y88" t="s">
        <v>48</v>
      </c>
      <c r="Z88">
        <v>0</v>
      </c>
      <c r="AA88" t="s">
        <v>48</v>
      </c>
      <c r="AB88" t="s">
        <v>48</v>
      </c>
      <c r="AC88" t="s">
        <v>49</v>
      </c>
      <c r="AD88" t="s">
        <v>93</v>
      </c>
      <c r="AE88" t="s">
        <v>4532</v>
      </c>
      <c r="AF88" t="s">
        <v>48</v>
      </c>
      <c r="AG88" t="s">
        <v>48</v>
      </c>
      <c r="AH88" t="s">
        <v>48</v>
      </c>
      <c r="AI88" t="s">
        <v>48</v>
      </c>
      <c r="AJ88" t="s">
        <v>48</v>
      </c>
      <c r="AK88" t="s">
        <v>48</v>
      </c>
      <c r="AL88" t="s">
        <v>48</v>
      </c>
      <c r="AM88" t="s">
        <v>48</v>
      </c>
      <c r="AN88" t="s">
        <v>48</v>
      </c>
      <c r="AO88" t="s">
        <v>48</v>
      </c>
      <c r="AP88" s="46">
        <v>0</v>
      </c>
      <c r="AQ88" s="46">
        <v>0</v>
      </c>
      <c r="AR88" s="46">
        <v>0</v>
      </c>
      <c r="AS88" s="46">
        <v>0</v>
      </c>
      <c r="AT88" s="46">
        <v>0</v>
      </c>
      <c r="AU88" s="46">
        <v>0</v>
      </c>
      <c r="AV88" s="46">
        <v>0</v>
      </c>
      <c r="AW88" s="46">
        <v>0</v>
      </c>
      <c r="AX88" s="46">
        <v>0</v>
      </c>
      <c r="AY88" s="46">
        <v>0</v>
      </c>
      <c r="AZ88" s="46">
        <v>0</v>
      </c>
      <c r="BA88" s="46">
        <v>0</v>
      </c>
      <c r="BB88" s="46">
        <v>0</v>
      </c>
      <c r="BC88" s="46">
        <v>0</v>
      </c>
      <c r="BD88" s="46">
        <v>0</v>
      </c>
      <c r="BE88" s="46">
        <v>0</v>
      </c>
      <c r="BF88" s="46">
        <v>0</v>
      </c>
      <c r="BG88" s="46" t="s">
        <v>48</v>
      </c>
      <c r="BH88" s="46">
        <v>0</v>
      </c>
      <c r="BI88" s="46">
        <v>0</v>
      </c>
      <c r="BJ88" s="46">
        <v>0</v>
      </c>
      <c r="BK88" s="46">
        <v>0</v>
      </c>
      <c r="BL88" s="46">
        <v>0</v>
      </c>
      <c r="BM88" s="46">
        <v>0</v>
      </c>
      <c r="BN88" s="46">
        <v>0</v>
      </c>
    </row>
    <row r="89" spans="1:66" x14ac:dyDescent="0.35">
      <c r="A89" t="s">
        <v>587</v>
      </c>
      <c r="B89" s="44" t="s">
        <v>48</v>
      </c>
      <c r="C89" t="s">
        <v>591</v>
      </c>
      <c r="D89" t="s">
        <v>518</v>
      </c>
      <c r="E89" t="s">
        <v>589</v>
      </c>
      <c r="F89" t="s">
        <v>588</v>
      </c>
      <c r="G89" t="s">
        <v>47</v>
      </c>
      <c r="H89">
        <v>0</v>
      </c>
      <c r="I89" s="60" t="s">
        <v>51</v>
      </c>
      <c r="J89" s="33" t="s">
        <v>96</v>
      </c>
      <c r="K89" s="46">
        <v>0</v>
      </c>
      <c r="L89">
        <v>20.7</v>
      </c>
      <c r="M89" t="s">
        <v>48</v>
      </c>
      <c r="N89" s="46">
        <v>0</v>
      </c>
      <c r="O89" s="46">
        <v>0</v>
      </c>
      <c r="P89" s="46">
        <v>0</v>
      </c>
      <c r="Q89" t="s">
        <v>48</v>
      </c>
      <c r="R89" t="s">
        <v>48</v>
      </c>
      <c r="S89" t="s">
        <v>590</v>
      </c>
      <c r="T89" t="s">
        <v>48</v>
      </c>
      <c r="U89" t="s">
        <v>590</v>
      </c>
      <c r="V89" s="47">
        <v>0</v>
      </c>
      <c r="W89" t="s">
        <v>48</v>
      </c>
      <c r="X89" t="s">
        <v>48</v>
      </c>
      <c r="Y89" t="s">
        <v>48</v>
      </c>
      <c r="Z89">
        <v>0</v>
      </c>
      <c r="AA89" t="s">
        <v>48</v>
      </c>
      <c r="AB89" t="s">
        <v>48</v>
      </c>
      <c r="AC89" t="s">
        <v>49</v>
      </c>
      <c r="AD89" t="s">
        <v>93</v>
      </c>
      <c r="AE89" t="s">
        <v>4532</v>
      </c>
      <c r="AF89" t="s">
        <v>48</v>
      </c>
      <c r="AG89" t="s">
        <v>266</v>
      </c>
      <c r="AH89" t="s">
        <v>48</v>
      </c>
      <c r="AI89" t="s">
        <v>48</v>
      </c>
      <c r="AJ89" t="s">
        <v>48</v>
      </c>
      <c r="AK89" t="s">
        <v>48</v>
      </c>
      <c r="AL89" t="s">
        <v>48</v>
      </c>
      <c r="AM89" t="s">
        <v>48</v>
      </c>
      <c r="AN89" t="s">
        <v>48</v>
      </c>
      <c r="AO89" t="s">
        <v>48</v>
      </c>
      <c r="AP89" s="46">
        <v>0</v>
      </c>
      <c r="AQ89" s="46">
        <v>0</v>
      </c>
      <c r="AR89" s="46">
        <v>0</v>
      </c>
      <c r="AS89" s="46">
        <v>0</v>
      </c>
      <c r="AT89" s="46">
        <v>0</v>
      </c>
      <c r="AU89" s="46">
        <v>0</v>
      </c>
      <c r="AV89" s="46">
        <v>0</v>
      </c>
      <c r="AW89" s="46">
        <v>0</v>
      </c>
      <c r="AX89" s="46">
        <v>0</v>
      </c>
      <c r="AY89" s="46">
        <v>0</v>
      </c>
      <c r="AZ89" s="46">
        <v>0</v>
      </c>
      <c r="BA89" s="46">
        <v>0</v>
      </c>
      <c r="BB89" s="46">
        <v>0</v>
      </c>
      <c r="BC89" s="46">
        <v>0</v>
      </c>
      <c r="BD89" s="46">
        <v>0</v>
      </c>
      <c r="BE89" s="46">
        <v>0</v>
      </c>
      <c r="BF89" s="46">
        <v>0</v>
      </c>
      <c r="BG89" s="46" t="s">
        <v>48</v>
      </c>
      <c r="BH89" s="46">
        <v>0</v>
      </c>
      <c r="BI89" s="46">
        <v>0</v>
      </c>
      <c r="BJ89" s="46">
        <v>0</v>
      </c>
      <c r="BK89" s="46">
        <v>0</v>
      </c>
      <c r="BL89" s="46">
        <v>0</v>
      </c>
      <c r="BM89" s="46">
        <v>0</v>
      </c>
      <c r="BN89" s="46">
        <v>0</v>
      </c>
    </row>
    <row r="90" spans="1:66" x14ac:dyDescent="0.35">
      <c r="A90" t="s">
        <v>609</v>
      </c>
      <c r="B90" s="44" t="s">
        <v>48</v>
      </c>
      <c r="C90" t="s">
        <v>613</v>
      </c>
      <c r="D90" t="s">
        <v>612</v>
      </c>
      <c r="E90" t="s">
        <v>610</v>
      </c>
      <c r="F90" t="s">
        <v>588</v>
      </c>
      <c r="G90" t="s">
        <v>47</v>
      </c>
      <c r="H90">
        <v>0</v>
      </c>
      <c r="I90" s="60" t="s">
        <v>51</v>
      </c>
      <c r="J90" s="33" t="s">
        <v>96</v>
      </c>
      <c r="K90" s="46">
        <v>0</v>
      </c>
      <c r="L90">
        <v>19</v>
      </c>
      <c r="M90" t="s">
        <v>48</v>
      </c>
      <c r="N90" s="46">
        <v>0</v>
      </c>
      <c r="O90" s="46">
        <v>0</v>
      </c>
      <c r="P90" s="46">
        <v>0</v>
      </c>
      <c r="Q90" t="s">
        <v>48</v>
      </c>
      <c r="R90" t="s">
        <v>48</v>
      </c>
      <c r="S90" t="s">
        <v>611</v>
      </c>
      <c r="T90" t="s">
        <v>48</v>
      </c>
      <c r="U90" t="s">
        <v>611</v>
      </c>
      <c r="V90" s="47">
        <v>0</v>
      </c>
      <c r="W90" t="s">
        <v>48</v>
      </c>
      <c r="X90" t="s">
        <v>48</v>
      </c>
      <c r="Y90" t="s">
        <v>48</v>
      </c>
      <c r="Z90">
        <v>0</v>
      </c>
      <c r="AA90" t="s">
        <v>48</v>
      </c>
      <c r="AB90" t="s">
        <v>48</v>
      </c>
      <c r="AC90" t="s">
        <v>63</v>
      </c>
      <c r="AD90" t="s">
        <v>48</v>
      </c>
      <c r="AE90" t="s">
        <v>48</v>
      </c>
      <c r="AF90" t="s">
        <v>48</v>
      </c>
      <c r="AG90" t="s">
        <v>48</v>
      </c>
      <c r="AH90" t="s">
        <v>48</v>
      </c>
      <c r="AI90" t="s">
        <v>48</v>
      </c>
      <c r="AJ90" t="s">
        <v>48</v>
      </c>
      <c r="AK90" t="s">
        <v>48</v>
      </c>
      <c r="AL90" t="s">
        <v>48</v>
      </c>
      <c r="AM90" t="s">
        <v>48</v>
      </c>
      <c r="AN90" t="s">
        <v>48</v>
      </c>
      <c r="AO90" t="s">
        <v>48</v>
      </c>
      <c r="AP90" s="46">
        <v>0</v>
      </c>
      <c r="AQ90" s="46">
        <v>0</v>
      </c>
      <c r="AR90" s="46">
        <v>0</v>
      </c>
      <c r="AS90" s="46">
        <v>0</v>
      </c>
      <c r="AT90" s="46">
        <v>0</v>
      </c>
      <c r="AU90" s="46">
        <v>0</v>
      </c>
      <c r="AV90" s="46">
        <v>0</v>
      </c>
      <c r="AW90" s="46">
        <v>0</v>
      </c>
      <c r="AX90" s="46">
        <v>0</v>
      </c>
      <c r="AY90" s="46">
        <v>0</v>
      </c>
      <c r="AZ90" s="46">
        <v>0</v>
      </c>
      <c r="BA90" s="46">
        <v>0</v>
      </c>
      <c r="BB90" s="46">
        <v>0</v>
      </c>
      <c r="BC90" s="46">
        <v>0</v>
      </c>
      <c r="BD90" s="46">
        <v>0</v>
      </c>
      <c r="BE90" s="46">
        <v>0</v>
      </c>
      <c r="BF90" s="46">
        <v>0</v>
      </c>
      <c r="BG90" s="46" t="s">
        <v>48</v>
      </c>
      <c r="BH90" s="46">
        <v>0</v>
      </c>
      <c r="BI90" s="46">
        <v>0</v>
      </c>
      <c r="BJ90" s="46">
        <v>0</v>
      </c>
      <c r="BK90" s="46">
        <v>0</v>
      </c>
      <c r="BL90" s="46">
        <v>0</v>
      </c>
      <c r="BM90" s="46">
        <v>0</v>
      </c>
      <c r="BN90" s="46">
        <v>0</v>
      </c>
    </row>
    <row r="91" spans="1:66" x14ac:dyDescent="0.35">
      <c r="A91" t="s">
        <v>809</v>
      </c>
      <c r="B91" s="44" t="s">
        <v>48</v>
      </c>
      <c r="C91" t="s">
        <v>815</v>
      </c>
      <c r="D91" t="s">
        <v>814</v>
      </c>
      <c r="E91" t="s">
        <v>811</v>
      </c>
      <c r="F91" t="s">
        <v>810</v>
      </c>
      <c r="G91" t="s">
        <v>74</v>
      </c>
      <c r="H91">
        <v>0</v>
      </c>
      <c r="I91" s="60" t="s">
        <v>51</v>
      </c>
      <c r="J91" s="33" t="s">
        <v>96</v>
      </c>
      <c r="K91" s="46">
        <v>1</v>
      </c>
      <c r="L91" t="s">
        <v>48</v>
      </c>
      <c r="M91" t="s">
        <v>48</v>
      </c>
      <c r="N91" s="46">
        <v>0</v>
      </c>
      <c r="O91" s="46">
        <v>0</v>
      </c>
      <c r="P91" s="46">
        <v>0</v>
      </c>
      <c r="Q91" t="s">
        <v>48</v>
      </c>
      <c r="R91" t="s">
        <v>48</v>
      </c>
      <c r="S91" t="s">
        <v>48</v>
      </c>
      <c r="T91" t="s">
        <v>812</v>
      </c>
      <c r="U91" t="s">
        <v>48</v>
      </c>
      <c r="V91" s="47">
        <v>0</v>
      </c>
      <c r="W91" t="s">
        <v>48</v>
      </c>
      <c r="X91" t="s">
        <v>48</v>
      </c>
      <c r="Y91" t="s">
        <v>48</v>
      </c>
      <c r="Z91">
        <v>0</v>
      </c>
      <c r="AA91" t="s">
        <v>48</v>
      </c>
      <c r="AB91" t="s">
        <v>48</v>
      </c>
      <c r="AC91" t="s">
        <v>63</v>
      </c>
      <c r="AD91" t="s">
        <v>93</v>
      </c>
      <c r="AE91" t="s">
        <v>4532</v>
      </c>
      <c r="AF91" t="s">
        <v>48</v>
      </c>
      <c r="AG91" t="s">
        <v>48</v>
      </c>
      <c r="AH91" t="s">
        <v>813</v>
      </c>
      <c r="AI91">
        <v>21300</v>
      </c>
      <c r="AJ91">
        <v>1976</v>
      </c>
      <c r="AK91" t="s">
        <v>8470</v>
      </c>
      <c r="AL91" t="s">
        <v>8471</v>
      </c>
      <c r="AM91">
        <v>-0.104</v>
      </c>
      <c r="AN91">
        <v>7.2999999999999995E-2</v>
      </c>
      <c r="AO91">
        <v>-0.104</v>
      </c>
      <c r="AP91" s="46">
        <v>0</v>
      </c>
      <c r="AQ91" s="46">
        <v>0</v>
      </c>
      <c r="AR91" s="46">
        <v>0</v>
      </c>
      <c r="AS91" s="46">
        <v>0</v>
      </c>
      <c r="AT91" s="46">
        <v>0</v>
      </c>
      <c r="AU91" s="46">
        <v>0</v>
      </c>
      <c r="AV91" s="46">
        <v>0</v>
      </c>
      <c r="AW91" s="46">
        <v>0</v>
      </c>
      <c r="AX91" s="46">
        <v>0</v>
      </c>
      <c r="AY91" s="46">
        <v>0</v>
      </c>
      <c r="AZ91" s="46">
        <v>0</v>
      </c>
      <c r="BA91" s="46">
        <v>0</v>
      </c>
      <c r="BB91" s="46">
        <v>0</v>
      </c>
      <c r="BC91" s="46">
        <v>0</v>
      </c>
      <c r="BD91" s="46">
        <v>0</v>
      </c>
      <c r="BE91" s="46">
        <v>0</v>
      </c>
      <c r="BF91" s="46">
        <v>0</v>
      </c>
      <c r="BG91" s="46" t="s">
        <v>48</v>
      </c>
      <c r="BH91" s="46">
        <v>0</v>
      </c>
      <c r="BI91" s="46">
        <v>0</v>
      </c>
      <c r="BJ91" s="46">
        <v>0</v>
      </c>
      <c r="BK91" s="46">
        <v>0</v>
      </c>
      <c r="BL91" s="46">
        <v>1</v>
      </c>
      <c r="BM91" s="46">
        <v>0</v>
      </c>
      <c r="BN91" s="46">
        <v>0</v>
      </c>
    </row>
    <row r="92" spans="1:66" x14ac:dyDescent="0.35">
      <c r="A92" t="s">
        <v>826</v>
      </c>
      <c r="B92" s="44" t="s">
        <v>48</v>
      </c>
      <c r="C92" t="s">
        <v>830</v>
      </c>
      <c r="D92" t="s">
        <v>829</v>
      </c>
      <c r="E92" t="s">
        <v>827</v>
      </c>
      <c r="F92" t="s">
        <v>816</v>
      </c>
      <c r="G92" t="s">
        <v>47</v>
      </c>
      <c r="H92">
        <v>0</v>
      </c>
      <c r="I92" s="60" t="s">
        <v>51</v>
      </c>
      <c r="J92" s="33" t="s">
        <v>96</v>
      </c>
      <c r="K92" s="46">
        <v>0</v>
      </c>
      <c r="L92">
        <v>28.5</v>
      </c>
      <c r="M92" t="s">
        <v>48</v>
      </c>
      <c r="N92" s="46">
        <v>0</v>
      </c>
      <c r="O92" s="46">
        <v>0</v>
      </c>
      <c r="P92" s="46">
        <v>0</v>
      </c>
      <c r="Q92" t="s">
        <v>48</v>
      </c>
      <c r="R92" t="s">
        <v>48</v>
      </c>
      <c r="S92" t="s">
        <v>828</v>
      </c>
      <c r="T92" t="s">
        <v>48</v>
      </c>
      <c r="U92" t="s">
        <v>828</v>
      </c>
      <c r="V92" s="47">
        <v>0</v>
      </c>
      <c r="W92" t="s">
        <v>48</v>
      </c>
      <c r="X92" t="s">
        <v>48</v>
      </c>
      <c r="Y92" t="s">
        <v>48</v>
      </c>
      <c r="Z92">
        <v>0</v>
      </c>
      <c r="AA92" t="s">
        <v>48</v>
      </c>
      <c r="AB92" t="s">
        <v>48</v>
      </c>
      <c r="AC92" t="s">
        <v>49</v>
      </c>
      <c r="AD92" t="s">
        <v>93</v>
      </c>
      <c r="AE92" t="s">
        <v>4532</v>
      </c>
      <c r="AF92" t="s">
        <v>48</v>
      </c>
      <c r="AG92" t="s">
        <v>48</v>
      </c>
      <c r="AH92" t="s">
        <v>48</v>
      </c>
      <c r="AI92" t="s">
        <v>48</v>
      </c>
      <c r="AJ92" t="s">
        <v>48</v>
      </c>
      <c r="AK92" t="s">
        <v>48</v>
      </c>
      <c r="AL92" t="s">
        <v>48</v>
      </c>
      <c r="AM92" t="s">
        <v>48</v>
      </c>
      <c r="AN92" t="s">
        <v>48</v>
      </c>
      <c r="AO92" t="s">
        <v>48</v>
      </c>
      <c r="AP92" s="46">
        <v>0</v>
      </c>
      <c r="AQ92" s="46">
        <v>0</v>
      </c>
      <c r="AR92" s="46">
        <v>0</v>
      </c>
      <c r="AS92" s="46">
        <v>0</v>
      </c>
      <c r="AT92" s="46">
        <v>0</v>
      </c>
      <c r="AU92" s="46">
        <v>0</v>
      </c>
      <c r="AV92" s="46">
        <v>0</v>
      </c>
      <c r="AW92" s="46">
        <v>0</v>
      </c>
      <c r="AX92" s="46">
        <v>0</v>
      </c>
      <c r="AY92" s="46">
        <v>0</v>
      </c>
      <c r="AZ92" s="46">
        <v>0</v>
      </c>
      <c r="BA92" s="46">
        <v>0</v>
      </c>
      <c r="BB92" s="46">
        <v>0</v>
      </c>
      <c r="BC92" s="46">
        <v>0</v>
      </c>
      <c r="BD92" s="46">
        <v>0</v>
      </c>
      <c r="BE92" s="46">
        <v>0</v>
      </c>
      <c r="BF92" s="46">
        <v>0</v>
      </c>
      <c r="BG92" s="46" t="s">
        <v>48</v>
      </c>
      <c r="BH92" s="46">
        <v>0</v>
      </c>
      <c r="BI92" s="46">
        <v>0</v>
      </c>
      <c r="BJ92" s="46">
        <v>0</v>
      </c>
      <c r="BK92" s="46">
        <v>0</v>
      </c>
      <c r="BL92" s="46">
        <v>0</v>
      </c>
      <c r="BM92" s="46">
        <v>0</v>
      </c>
      <c r="BN92" s="46">
        <v>0</v>
      </c>
    </row>
    <row r="93" spans="1:66" x14ac:dyDescent="0.35">
      <c r="A93" t="s">
        <v>840</v>
      </c>
      <c r="B93" s="44" t="s">
        <v>48</v>
      </c>
      <c r="C93" t="s">
        <v>844</v>
      </c>
      <c r="D93" t="s">
        <v>843</v>
      </c>
      <c r="E93" t="s">
        <v>841</v>
      </c>
      <c r="F93" t="s">
        <v>816</v>
      </c>
      <c r="G93" t="s">
        <v>47</v>
      </c>
      <c r="H93">
        <v>0</v>
      </c>
      <c r="I93" s="60" t="s">
        <v>177</v>
      </c>
      <c r="J93" s="33" t="s">
        <v>96</v>
      </c>
      <c r="K93" s="46">
        <v>0</v>
      </c>
      <c r="L93">
        <v>5.0999999999999996</v>
      </c>
      <c r="M93" t="s">
        <v>48</v>
      </c>
      <c r="N93" s="46">
        <v>0</v>
      </c>
      <c r="O93" s="46">
        <v>0</v>
      </c>
      <c r="P93" s="46">
        <v>0</v>
      </c>
      <c r="Q93" t="s">
        <v>48</v>
      </c>
      <c r="R93" t="s">
        <v>48</v>
      </c>
      <c r="S93" t="s">
        <v>842</v>
      </c>
      <c r="T93" t="s">
        <v>48</v>
      </c>
      <c r="U93" t="s">
        <v>842</v>
      </c>
      <c r="V93" s="47">
        <v>0</v>
      </c>
      <c r="W93" t="s">
        <v>48</v>
      </c>
      <c r="X93" t="s">
        <v>48</v>
      </c>
      <c r="Y93" t="s">
        <v>48</v>
      </c>
      <c r="Z93">
        <v>0</v>
      </c>
      <c r="AA93" t="s">
        <v>48</v>
      </c>
      <c r="AB93" t="s">
        <v>48</v>
      </c>
      <c r="AC93" t="s">
        <v>49</v>
      </c>
      <c r="AD93" t="s">
        <v>93</v>
      </c>
      <c r="AE93" t="s">
        <v>4532</v>
      </c>
      <c r="AF93" t="s">
        <v>48</v>
      </c>
      <c r="AG93" t="s">
        <v>48</v>
      </c>
      <c r="AH93" t="s">
        <v>48</v>
      </c>
      <c r="AI93" t="s">
        <v>48</v>
      </c>
      <c r="AJ93" t="s">
        <v>48</v>
      </c>
      <c r="AK93" t="s">
        <v>48</v>
      </c>
      <c r="AL93" t="s">
        <v>48</v>
      </c>
      <c r="AM93" t="s">
        <v>48</v>
      </c>
      <c r="AN93" t="s">
        <v>48</v>
      </c>
      <c r="AO93" t="s">
        <v>48</v>
      </c>
      <c r="AP93" s="46">
        <v>0</v>
      </c>
      <c r="AQ93" s="46">
        <v>0</v>
      </c>
      <c r="AR93" s="46">
        <v>0</v>
      </c>
      <c r="AS93" s="46">
        <v>0</v>
      </c>
      <c r="AT93" s="46">
        <v>0</v>
      </c>
      <c r="AU93" s="46">
        <v>0</v>
      </c>
      <c r="AV93" s="46">
        <v>0</v>
      </c>
      <c r="AW93" s="46">
        <v>0</v>
      </c>
      <c r="AX93" s="46">
        <v>0</v>
      </c>
      <c r="AY93" s="46">
        <v>0</v>
      </c>
      <c r="AZ93" s="46">
        <v>0</v>
      </c>
      <c r="BA93" s="46">
        <v>0</v>
      </c>
      <c r="BB93" s="46">
        <v>0</v>
      </c>
      <c r="BC93" s="46">
        <v>0</v>
      </c>
      <c r="BD93" s="46">
        <v>0</v>
      </c>
      <c r="BE93" s="46">
        <v>0</v>
      </c>
      <c r="BF93" s="46">
        <v>0</v>
      </c>
      <c r="BG93" s="46" t="s">
        <v>48</v>
      </c>
      <c r="BH93" s="46">
        <v>0</v>
      </c>
      <c r="BI93" s="46">
        <v>0</v>
      </c>
      <c r="BJ93" s="46">
        <v>0</v>
      </c>
      <c r="BK93" s="46">
        <v>0</v>
      </c>
      <c r="BL93" s="46">
        <v>0</v>
      </c>
      <c r="BM93" s="46">
        <v>0</v>
      </c>
      <c r="BN93" s="46">
        <v>0</v>
      </c>
    </row>
    <row r="94" spans="1:66" x14ac:dyDescent="0.35">
      <c r="A94" t="s">
        <v>819</v>
      </c>
      <c r="B94" s="44" t="s">
        <v>48</v>
      </c>
      <c r="C94" t="s">
        <v>821</v>
      </c>
      <c r="D94" t="s">
        <v>655</v>
      </c>
      <c r="E94" t="s">
        <v>820</v>
      </c>
      <c r="F94" t="s">
        <v>816</v>
      </c>
      <c r="G94" t="s">
        <v>47</v>
      </c>
      <c r="H94">
        <v>0</v>
      </c>
      <c r="I94" s="60" t="s">
        <v>51</v>
      </c>
      <c r="J94" s="33" t="s">
        <v>96</v>
      </c>
      <c r="K94" s="46">
        <v>0</v>
      </c>
      <c r="L94">
        <v>18.100000000000001</v>
      </c>
      <c r="M94" t="s">
        <v>48</v>
      </c>
      <c r="N94" s="46">
        <v>0</v>
      </c>
      <c r="O94" s="46">
        <v>0</v>
      </c>
      <c r="P94" s="46">
        <v>0</v>
      </c>
      <c r="Q94" t="s">
        <v>48</v>
      </c>
      <c r="R94" t="s">
        <v>48</v>
      </c>
      <c r="S94" t="s">
        <v>10005</v>
      </c>
      <c r="T94" t="s">
        <v>48</v>
      </c>
      <c r="U94" t="s">
        <v>10005</v>
      </c>
      <c r="V94" s="47">
        <v>0</v>
      </c>
      <c r="W94" t="s">
        <v>48</v>
      </c>
      <c r="X94" t="s">
        <v>48</v>
      </c>
      <c r="Y94" t="s">
        <v>48</v>
      </c>
      <c r="Z94">
        <v>0</v>
      </c>
      <c r="AA94" t="s">
        <v>48</v>
      </c>
      <c r="AB94" t="s">
        <v>48</v>
      </c>
      <c r="AC94" t="s">
        <v>49</v>
      </c>
      <c r="AD94" t="s">
        <v>93</v>
      </c>
      <c r="AE94" t="s">
        <v>4532</v>
      </c>
      <c r="AF94" t="s">
        <v>48</v>
      </c>
      <c r="AG94" t="s">
        <v>48</v>
      </c>
      <c r="AH94" t="s">
        <v>93</v>
      </c>
      <c r="AI94" t="s">
        <v>48</v>
      </c>
      <c r="AJ94">
        <v>1966</v>
      </c>
      <c r="AK94" t="s">
        <v>48</v>
      </c>
      <c r="AL94" t="s">
        <v>48</v>
      </c>
      <c r="AM94" t="s">
        <v>48</v>
      </c>
      <c r="AN94" t="s">
        <v>48</v>
      </c>
      <c r="AO94" t="s">
        <v>48</v>
      </c>
      <c r="AP94" s="46">
        <v>0</v>
      </c>
      <c r="AQ94" s="46">
        <v>0</v>
      </c>
      <c r="AR94" s="46">
        <v>0</v>
      </c>
      <c r="AS94" s="46">
        <v>0</v>
      </c>
      <c r="AT94" s="46">
        <v>0</v>
      </c>
      <c r="AU94" s="46">
        <v>0</v>
      </c>
      <c r="AV94" s="46">
        <v>0</v>
      </c>
      <c r="AW94" s="46">
        <v>0</v>
      </c>
      <c r="AX94" s="46">
        <v>0</v>
      </c>
      <c r="AY94" s="46">
        <v>0</v>
      </c>
      <c r="AZ94" s="46">
        <v>0</v>
      </c>
      <c r="BA94" s="46">
        <v>0</v>
      </c>
      <c r="BB94" s="46">
        <v>0</v>
      </c>
      <c r="BC94" s="46">
        <v>0</v>
      </c>
      <c r="BD94" s="46">
        <v>0</v>
      </c>
      <c r="BE94" s="46">
        <v>0</v>
      </c>
      <c r="BF94" s="46">
        <v>0</v>
      </c>
      <c r="BG94" s="46" t="s">
        <v>48</v>
      </c>
      <c r="BH94" s="46">
        <v>0</v>
      </c>
      <c r="BI94" s="46">
        <v>0</v>
      </c>
      <c r="BJ94" s="46">
        <v>0</v>
      </c>
      <c r="BK94" s="46">
        <v>0</v>
      </c>
      <c r="BL94" s="46">
        <v>0</v>
      </c>
      <c r="BM94" s="46">
        <v>0</v>
      </c>
      <c r="BN94" s="46">
        <v>0</v>
      </c>
    </row>
    <row r="95" spans="1:66" x14ac:dyDescent="0.35">
      <c r="A95" t="s">
        <v>836</v>
      </c>
      <c r="B95" s="44" t="s">
        <v>48</v>
      </c>
      <c r="C95" t="s">
        <v>839</v>
      </c>
      <c r="D95" t="s">
        <v>396</v>
      </c>
      <c r="E95" t="s">
        <v>837</v>
      </c>
      <c r="F95" t="s">
        <v>816</v>
      </c>
      <c r="G95" t="s">
        <v>47</v>
      </c>
      <c r="H95">
        <v>0</v>
      </c>
      <c r="I95" s="60" t="s">
        <v>51</v>
      </c>
      <c r="J95" s="33" t="s">
        <v>96</v>
      </c>
      <c r="K95" s="46">
        <v>0</v>
      </c>
      <c r="L95">
        <v>8.8000000000000007</v>
      </c>
      <c r="M95" t="s">
        <v>48</v>
      </c>
      <c r="N95" s="46">
        <v>0</v>
      </c>
      <c r="O95" s="46">
        <v>0</v>
      </c>
      <c r="P95" s="46">
        <v>0</v>
      </c>
      <c r="Q95" t="s">
        <v>48</v>
      </c>
      <c r="R95" t="s">
        <v>48</v>
      </c>
      <c r="S95" t="s">
        <v>838</v>
      </c>
      <c r="T95" t="s">
        <v>48</v>
      </c>
      <c r="U95" t="s">
        <v>838</v>
      </c>
      <c r="V95" s="47">
        <v>0</v>
      </c>
      <c r="W95" t="s">
        <v>48</v>
      </c>
      <c r="X95" t="s">
        <v>48</v>
      </c>
      <c r="Y95" t="s">
        <v>48</v>
      </c>
      <c r="Z95">
        <v>0</v>
      </c>
      <c r="AA95" t="s">
        <v>48</v>
      </c>
      <c r="AB95" t="s">
        <v>48</v>
      </c>
      <c r="AC95" t="s">
        <v>49</v>
      </c>
      <c r="AD95" t="s">
        <v>93</v>
      </c>
      <c r="AE95" t="s">
        <v>4532</v>
      </c>
      <c r="AF95" t="s">
        <v>48</v>
      </c>
      <c r="AG95" t="s">
        <v>48</v>
      </c>
      <c r="AH95" t="s">
        <v>48</v>
      </c>
      <c r="AI95" t="s">
        <v>48</v>
      </c>
      <c r="AJ95" t="s">
        <v>48</v>
      </c>
      <c r="AK95" t="s">
        <v>48</v>
      </c>
      <c r="AL95" t="s">
        <v>48</v>
      </c>
      <c r="AM95" t="s">
        <v>48</v>
      </c>
      <c r="AN95" t="s">
        <v>48</v>
      </c>
      <c r="AO95" t="s">
        <v>48</v>
      </c>
      <c r="AP95" s="46">
        <v>0</v>
      </c>
      <c r="AQ95" s="46">
        <v>0</v>
      </c>
      <c r="AR95" s="46">
        <v>0</v>
      </c>
      <c r="AS95" s="46">
        <v>0</v>
      </c>
      <c r="AT95" s="46">
        <v>0</v>
      </c>
      <c r="AU95" s="46">
        <v>0</v>
      </c>
      <c r="AV95" s="46">
        <v>0</v>
      </c>
      <c r="AW95" s="46">
        <v>0</v>
      </c>
      <c r="AX95" s="46">
        <v>0</v>
      </c>
      <c r="AY95" s="46">
        <v>0</v>
      </c>
      <c r="AZ95" s="46">
        <v>0</v>
      </c>
      <c r="BA95" s="46">
        <v>0</v>
      </c>
      <c r="BB95" s="46">
        <v>0</v>
      </c>
      <c r="BC95" s="46">
        <v>0</v>
      </c>
      <c r="BD95" s="46">
        <v>0</v>
      </c>
      <c r="BE95" s="46">
        <v>0</v>
      </c>
      <c r="BF95" s="46">
        <v>0</v>
      </c>
      <c r="BG95" s="46" t="s">
        <v>48</v>
      </c>
      <c r="BH95" s="46">
        <v>0</v>
      </c>
      <c r="BI95" s="46">
        <v>0</v>
      </c>
      <c r="BJ95" s="46">
        <v>0</v>
      </c>
      <c r="BK95" s="46">
        <v>0</v>
      </c>
      <c r="BL95" s="46">
        <v>0</v>
      </c>
      <c r="BM95" s="46">
        <v>0</v>
      </c>
      <c r="BN95" s="46">
        <v>0</v>
      </c>
    </row>
    <row r="96" spans="1:66" x14ac:dyDescent="0.35">
      <c r="A96" t="s">
        <v>1533</v>
      </c>
      <c r="B96" s="44" t="s">
        <v>48</v>
      </c>
      <c r="C96" t="s">
        <v>1538</v>
      </c>
      <c r="D96" t="s">
        <v>1537</v>
      </c>
      <c r="E96" t="s">
        <v>1535</v>
      </c>
      <c r="F96" t="s">
        <v>1534</v>
      </c>
      <c r="G96" t="s">
        <v>74</v>
      </c>
      <c r="H96">
        <v>0</v>
      </c>
      <c r="I96" s="60" t="s">
        <v>51</v>
      </c>
      <c r="J96" s="33" t="s">
        <v>96</v>
      </c>
      <c r="K96" s="46">
        <v>1</v>
      </c>
      <c r="L96" t="s">
        <v>48</v>
      </c>
      <c r="M96" t="s">
        <v>48</v>
      </c>
      <c r="N96" s="46">
        <v>0</v>
      </c>
      <c r="O96" s="46">
        <v>0</v>
      </c>
      <c r="P96" s="46">
        <v>0</v>
      </c>
      <c r="Q96" t="s">
        <v>48</v>
      </c>
      <c r="R96" t="s">
        <v>48</v>
      </c>
      <c r="S96" t="s">
        <v>48</v>
      </c>
      <c r="T96" t="s">
        <v>1536</v>
      </c>
      <c r="U96" t="s">
        <v>48</v>
      </c>
      <c r="V96" s="47">
        <v>0</v>
      </c>
      <c r="W96" t="s">
        <v>48</v>
      </c>
      <c r="X96" t="s">
        <v>48</v>
      </c>
      <c r="Y96" t="s">
        <v>48</v>
      </c>
      <c r="Z96">
        <v>0</v>
      </c>
      <c r="AA96" t="s">
        <v>48</v>
      </c>
      <c r="AB96" t="s">
        <v>48</v>
      </c>
      <c r="AC96" t="s">
        <v>63</v>
      </c>
      <c r="AD96" t="s">
        <v>93</v>
      </c>
      <c r="AE96" t="s">
        <v>4532</v>
      </c>
      <c r="AF96" t="s">
        <v>48</v>
      </c>
      <c r="AG96" t="s">
        <v>48</v>
      </c>
      <c r="AH96" t="s">
        <v>48</v>
      </c>
      <c r="AI96">
        <v>49300</v>
      </c>
      <c r="AJ96">
        <v>1933</v>
      </c>
      <c r="AK96" t="s">
        <v>8476</v>
      </c>
      <c r="AL96" t="s">
        <v>8477</v>
      </c>
      <c r="AM96">
        <v>-0.26800000000000002</v>
      </c>
      <c r="AN96">
        <v>-0.183</v>
      </c>
      <c r="AO96">
        <v>-0.26800000000000002</v>
      </c>
      <c r="AP96" s="46">
        <v>0</v>
      </c>
      <c r="AQ96" s="46">
        <v>0</v>
      </c>
      <c r="AR96" s="46">
        <v>0</v>
      </c>
      <c r="AS96" s="46">
        <v>0</v>
      </c>
      <c r="AT96" s="46">
        <v>0</v>
      </c>
      <c r="AU96" s="46">
        <v>0</v>
      </c>
      <c r="AV96" s="46">
        <v>0</v>
      </c>
      <c r="AW96" s="46">
        <v>0</v>
      </c>
      <c r="AX96" s="46">
        <v>0</v>
      </c>
      <c r="AY96" s="46">
        <v>0</v>
      </c>
      <c r="AZ96" s="46">
        <v>0</v>
      </c>
      <c r="BA96" s="46">
        <v>0</v>
      </c>
      <c r="BB96" s="46">
        <v>0</v>
      </c>
      <c r="BC96" s="46">
        <v>0</v>
      </c>
      <c r="BD96" s="46">
        <v>0</v>
      </c>
      <c r="BE96" s="46">
        <v>0</v>
      </c>
      <c r="BF96" s="46">
        <v>0</v>
      </c>
      <c r="BG96" s="46" t="s">
        <v>48</v>
      </c>
      <c r="BH96" s="46">
        <v>0</v>
      </c>
      <c r="BI96" s="46">
        <v>0</v>
      </c>
      <c r="BJ96" s="46">
        <v>0</v>
      </c>
      <c r="BK96" s="46">
        <v>0</v>
      </c>
      <c r="BL96" s="46">
        <v>0</v>
      </c>
      <c r="BM96" s="46">
        <v>0</v>
      </c>
      <c r="BN96" s="46">
        <v>0</v>
      </c>
    </row>
    <row r="97" spans="1:66" x14ac:dyDescent="0.35">
      <c r="A97" t="s">
        <v>1539</v>
      </c>
      <c r="B97" s="44" t="s">
        <v>48</v>
      </c>
      <c r="C97" t="s">
        <v>1543</v>
      </c>
      <c r="D97" t="s">
        <v>1542</v>
      </c>
      <c r="E97" t="s">
        <v>1541</v>
      </c>
      <c r="F97" t="s">
        <v>1540</v>
      </c>
      <c r="G97" t="s">
        <v>74</v>
      </c>
      <c r="H97">
        <v>0</v>
      </c>
      <c r="I97" s="60" t="s">
        <v>51</v>
      </c>
      <c r="J97" s="33" t="s">
        <v>96</v>
      </c>
      <c r="K97" s="46">
        <v>0</v>
      </c>
      <c r="L97">
        <v>1</v>
      </c>
      <c r="M97" t="s">
        <v>48</v>
      </c>
      <c r="N97" s="46">
        <v>0</v>
      </c>
      <c r="O97" s="46">
        <v>0</v>
      </c>
      <c r="P97" s="46">
        <v>0</v>
      </c>
      <c r="Q97" t="s">
        <v>48</v>
      </c>
      <c r="R97" t="s">
        <v>48</v>
      </c>
      <c r="S97" t="s">
        <v>48</v>
      </c>
      <c r="T97" t="s">
        <v>48</v>
      </c>
      <c r="U97" t="s">
        <v>48</v>
      </c>
      <c r="V97" s="47">
        <v>0</v>
      </c>
      <c r="W97" t="s">
        <v>48</v>
      </c>
      <c r="X97" t="s">
        <v>48</v>
      </c>
      <c r="Y97" t="s">
        <v>48</v>
      </c>
      <c r="Z97">
        <v>0</v>
      </c>
      <c r="AA97" t="s">
        <v>48</v>
      </c>
      <c r="AB97" t="s">
        <v>48</v>
      </c>
      <c r="AC97" t="s">
        <v>49</v>
      </c>
      <c r="AD97" t="s">
        <v>93</v>
      </c>
      <c r="AE97" s="40" t="s">
        <v>2471</v>
      </c>
      <c r="AF97" t="s">
        <v>11077</v>
      </c>
      <c r="AG97" t="s">
        <v>48</v>
      </c>
      <c r="AH97" t="s">
        <v>48</v>
      </c>
      <c r="AI97" t="s">
        <v>48</v>
      </c>
      <c r="AJ97">
        <v>1964</v>
      </c>
      <c r="AK97" t="s">
        <v>48</v>
      </c>
      <c r="AL97" t="s">
        <v>48</v>
      </c>
      <c r="AM97" t="s">
        <v>48</v>
      </c>
      <c r="AN97" t="s">
        <v>48</v>
      </c>
      <c r="AO97" t="s">
        <v>48</v>
      </c>
      <c r="AP97" s="46">
        <v>0</v>
      </c>
      <c r="AQ97" s="46">
        <v>0</v>
      </c>
      <c r="AR97" s="46">
        <v>0</v>
      </c>
      <c r="AS97" s="46">
        <v>0</v>
      </c>
      <c r="AT97" s="46">
        <v>0</v>
      </c>
      <c r="AU97" s="46">
        <v>0</v>
      </c>
      <c r="AV97" s="46">
        <v>0</v>
      </c>
      <c r="AW97" s="46">
        <v>0</v>
      </c>
      <c r="AX97" s="46">
        <v>0</v>
      </c>
      <c r="AY97" s="46">
        <v>0</v>
      </c>
      <c r="AZ97" s="46">
        <v>0</v>
      </c>
      <c r="BA97" s="46">
        <v>0</v>
      </c>
      <c r="BB97" s="46">
        <v>0</v>
      </c>
      <c r="BC97" s="46">
        <v>0</v>
      </c>
      <c r="BD97" s="46">
        <v>0</v>
      </c>
      <c r="BE97" s="46">
        <v>0</v>
      </c>
      <c r="BF97" s="46">
        <v>0</v>
      </c>
      <c r="BG97" s="46" t="s">
        <v>48</v>
      </c>
      <c r="BH97" s="46">
        <v>0</v>
      </c>
      <c r="BI97" s="46">
        <v>0</v>
      </c>
      <c r="BJ97" s="46">
        <v>0</v>
      </c>
      <c r="BK97" s="46">
        <v>0</v>
      </c>
      <c r="BL97" s="46">
        <v>0</v>
      </c>
      <c r="BM97" s="46">
        <v>0</v>
      </c>
      <c r="BN97" s="46">
        <v>0</v>
      </c>
    </row>
    <row r="98" spans="1:66" x14ac:dyDescent="0.35">
      <c r="A98" t="s">
        <v>8416</v>
      </c>
      <c r="B98" s="44" t="s">
        <v>48</v>
      </c>
      <c r="C98" t="s">
        <v>11744</v>
      </c>
      <c r="D98" t="s">
        <v>2159</v>
      </c>
      <c r="E98" t="s">
        <v>8417</v>
      </c>
      <c r="F98" t="s">
        <v>1540</v>
      </c>
      <c r="G98" t="s">
        <v>47</v>
      </c>
      <c r="H98">
        <v>0</v>
      </c>
      <c r="I98" s="61">
        <v>44733</v>
      </c>
      <c r="J98" s="33" t="s">
        <v>96</v>
      </c>
      <c r="K98" s="46">
        <v>0</v>
      </c>
      <c r="L98">
        <v>0.5</v>
      </c>
      <c r="M98" t="s">
        <v>48</v>
      </c>
      <c r="N98" s="46">
        <v>0</v>
      </c>
      <c r="O98" s="46">
        <v>0</v>
      </c>
      <c r="P98" s="46">
        <v>0</v>
      </c>
      <c r="Q98" t="s">
        <v>48</v>
      </c>
      <c r="R98" t="s">
        <v>48</v>
      </c>
      <c r="S98" t="s">
        <v>48</v>
      </c>
      <c r="T98" t="s">
        <v>48</v>
      </c>
      <c r="U98" t="s">
        <v>48</v>
      </c>
      <c r="V98" s="47">
        <v>1</v>
      </c>
      <c r="W98" t="s">
        <v>48</v>
      </c>
      <c r="X98" t="s">
        <v>48</v>
      </c>
      <c r="Y98" t="s">
        <v>48</v>
      </c>
      <c r="Z98" t="s">
        <v>48</v>
      </c>
      <c r="AA98" t="s">
        <v>48</v>
      </c>
      <c r="AB98" t="s">
        <v>48</v>
      </c>
      <c r="AC98" t="s">
        <v>49</v>
      </c>
      <c r="AD98" t="s">
        <v>951</v>
      </c>
      <c r="AE98" t="s">
        <v>11051</v>
      </c>
      <c r="AF98" t="s">
        <v>48</v>
      </c>
      <c r="AG98" t="s">
        <v>48</v>
      </c>
      <c r="AH98" t="s">
        <v>48</v>
      </c>
      <c r="AI98" t="s">
        <v>48</v>
      </c>
      <c r="AJ98" t="s">
        <v>48</v>
      </c>
      <c r="AK98" t="s">
        <v>48</v>
      </c>
      <c r="AL98" t="s">
        <v>48</v>
      </c>
      <c r="AM98" t="s">
        <v>48</v>
      </c>
      <c r="AN98" t="s">
        <v>48</v>
      </c>
      <c r="AO98" t="s">
        <v>48</v>
      </c>
      <c r="AP98" s="46">
        <v>0</v>
      </c>
      <c r="AQ98" s="46">
        <v>0</v>
      </c>
      <c r="AR98" s="46">
        <v>0</v>
      </c>
      <c r="AS98" s="46">
        <v>0</v>
      </c>
      <c r="AT98" s="46">
        <v>0</v>
      </c>
      <c r="AU98" s="46">
        <v>0</v>
      </c>
      <c r="AV98" s="46">
        <v>0</v>
      </c>
      <c r="AW98" s="46">
        <v>0</v>
      </c>
      <c r="AX98" s="46">
        <v>0</v>
      </c>
      <c r="AY98" s="46">
        <v>0</v>
      </c>
      <c r="AZ98" s="46">
        <v>0</v>
      </c>
      <c r="BA98" s="46">
        <v>0</v>
      </c>
      <c r="BB98" s="46">
        <v>0</v>
      </c>
      <c r="BC98" s="46">
        <v>0</v>
      </c>
      <c r="BD98" s="46">
        <v>0</v>
      </c>
      <c r="BE98" s="46">
        <v>0</v>
      </c>
      <c r="BF98" s="46">
        <v>0</v>
      </c>
      <c r="BG98" s="46" t="s">
        <v>48</v>
      </c>
      <c r="BH98" s="46">
        <v>0</v>
      </c>
      <c r="BI98" s="46">
        <v>0</v>
      </c>
      <c r="BJ98" s="46">
        <v>0</v>
      </c>
      <c r="BK98" s="46">
        <v>0</v>
      </c>
      <c r="BL98" s="46">
        <v>0</v>
      </c>
      <c r="BM98" s="46">
        <v>0</v>
      </c>
      <c r="BN98" s="46">
        <v>0</v>
      </c>
    </row>
    <row r="99" spans="1:66" x14ac:dyDescent="0.35">
      <c r="A99" t="s">
        <v>1575</v>
      </c>
      <c r="B99" s="44" t="s">
        <v>48</v>
      </c>
      <c r="C99" t="s">
        <v>80</v>
      </c>
      <c r="D99" t="s">
        <v>1577</v>
      </c>
      <c r="E99" t="s">
        <v>1576</v>
      </c>
      <c r="F99" t="s">
        <v>1540</v>
      </c>
      <c r="G99" t="s">
        <v>47</v>
      </c>
      <c r="H99">
        <v>0</v>
      </c>
      <c r="I99" s="60" t="s">
        <v>149</v>
      </c>
      <c r="J99" s="33" t="s">
        <v>96</v>
      </c>
      <c r="K99" s="46">
        <v>0</v>
      </c>
      <c r="L99">
        <v>3.9</v>
      </c>
      <c r="M99" t="s">
        <v>48</v>
      </c>
      <c r="N99" s="46">
        <v>0</v>
      </c>
      <c r="O99" s="46">
        <v>0</v>
      </c>
      <c r="P99" s="46">
        <v>0</v>
      </c>
      <c r="Q99" t="s">
        <v>48</v>
      </c>
      <c r="R99" t="s">
        <v>48</v>
      </c>
      <c r="S99" t="s">
        <v>48</v>
      </c>
      <c r="T99" t="s">
        <v>48</v>
      </c>
      <c r="U99" t="s">
        <v>48</v>
      </c>
      <c r="V99" s="47">
        <v>0</v>
      </c>
      <c r="W99" t="s">
        <v>48</v>
      </c>
      <c r="X99" t="s">
        <v>48</v>
      </c>
      <c r="Y99" t="s">
        <v>48</v>
      </c>
      <c r="Z99">
        <v>0</v>
      </c>
      <c r="AA99" t="s">
        <v>48</v>
      </c>
      <c r="AB99" t="s">
        <v>48</v>
      </c>
      <c r="AC99" t="s">
        <v>49</v>
      </c>
      <c r="AD99" t="s">
        <v>93</v>
      </c>
      <c r="AE99" t="s">
        <v>4532</v>
      </c>
      <c r="AF99" t="s">
        <v>48</v>
      </c>
      <c r="AG99" t="s">
        <v>48</v>
      </c>
      <c r="AH99" t="s">
        <v>48</v>
      </c>
      <c r="AI99" t="s">
        <v>48</v>
      </c>
      <c r="AJ99" t="s">
        <v>48</v>
      </c>
      <c r="AK99" t="s">
        <v>48</v>
      </c>
      <c r="AL99" t="s">
        <v>48</v>
      </c>
      <c r="AM99" t="s">
        <v>48</v>
      </c>
      <c r="AN99" t="s">
        <v>48</v>
      </c>
      <c r="AO99" t="s">
        <v>48</v>
      </c>
      <c r="AP99" s="46">
        <v>0</v>
      </c>
      <c r="AQ99" s="46">
        <v>0</v>
      </c>
      <c r="AR99" s="46">
        <v>0</v>
      </c>
      <c r="AS99" s="46">
        <v>0</v>
      </c>
      <c r="AT99" s="46">
        <v>0</v>
      </c>
      <c r="AU99" s="46">
        <v>0</v>
      </c>
      <c r="AV99" s="46">
        <v>0</v>
      </c>
      <c r="AW99" s="46">
        <v>0</v>
      </c>
      <c r="AX99" s="46">
        <v>0</v>
      </c>
      <c r="AY99" s="46">
        <v>0</v>
      </c>
      <c r="AZ99" s="46">
        <v>0</v>
      </c>
      <c r="BA99" s="46">
        <v>0</v>
      </c>
      <c r="BB99" s="46">
        <v>0</v>
      </c>
      <c r="BC99" s="46">
        <v>0</v>
      </c>
      <c r="BD99" s="46">
        <v>0</v>
      </c>
      <c r="BE99" s="46">
        <v>0</v>
      </c>
      <c r="BF99" s="46">
        <v>0</v>
      </c>
      <c r="BG99" s="46" t="s">
        <v>48</v>
      </c>
      <c r="BH99" s="46">
        <v>0</v>
      </c>
      <c r="BI99" s="46">
        <v>0</v>
      </c>
      <c r="BJ99" s="46">
        <v>0</v>
      </c>
      <c r="BK99" s="46">
        <v>0</v>
      </c>
      <c r="BL99" s="46">
        <v>0</v>
      </c>
      <c r="BM99" s="46">
        <v>0</v>
      </c>
      <c r="BN99" s="46">
        <v>0</v>
      </c>
    </row>
    <row r="100" spans="1:66" x14ac:dyDescent="0.35">
      <c r="A100" t="s">
        <v>1579</v>
      </c>
      <c r="B100" s="44" t="s">
        <v>48</v>
      </c>
      <c r="C100" t="s">
        <v>332</v>
      </c>
      <c r="D100" t="s">
        <v>1582</v>
      </c>
      <c r="E100" t="s">
        <v>1580</v>
      </c>
      <c r="F100" t="s">
        <v>1540</v>
      </c>
      <c r="G100" t="s">
        <v>47</v>
      </c>
      <c r="H100">
        <v>0</v>
      </c>
      <c r="I100" s="60" t="s">
        <v>177</v>
      </c>
      <c r="J100" s="33" t="s">
        <v>96</v>
      </c>
      <c r="K100" s="46">
        <v>0</v>
      </c>
      <c r="L100">
        <v>6.9</v>
      </c>
      <c r="M100" t="s">
        <v>48</v>
      </c>
      <c r="N100" s="46">
        <v>0</v>
      </c>
      <c r="O100" s="46">
        <v>0</v>
      </c>
      <c r="P100" s="46">
        <v>0</v>
      </c>
      <c r="Q100" t="s">
        <v>48</v>
      </c>
      <c r="R100" t="s">
        <v>48</v>
      </c>
      <c r="S100" t="s">
        <v>1581</v>
      </c>
      <c r="T100" t="s">
        <v>48</v>
      </c>
      <c r="U100" t="s">
        <v>1581</v>
      </c>
      <c r="V100" s="47">
        <v>0</v>
      </c>
      <c r="W100" t="s">
        <v>48</v>
      </c>
      <c r="X100" t="s">
        <v>48</v>
      </c>
      <c r="Y100" t="s">
        <v>48</v>
      </c>
      <c r="Z100">
        <v>0</v>
      </c>
      <c r="AA100" t="s">
        <v>1165</v>
      </c>
      <c r="AB100" t="s">
        <v>48</v>
      </c>
      <c r="AC100" t="s">
        <v>49</v>
      </c>
      <c r="AD100" t="s">
        <v>93</v>
      </c>
      <c r="AE100" t="s">
        <v>4532</v>
      </c>
      <c r="AF100" t="s">
        <v>48</v>
      </c>
      <c r="AG100" t="s">
        <v>48</v>
      </c>
      <c r="AH100" t="s">
        <v>48</v>
      </c>
      <c r="AI100" t="s">
        <v>48</v>
      </c>
      <c r="AJ100" t="s">
        <v>48</v>
      </c>
      <c r="AK100" t="s">
        <v>48</v>
      </c>
      <c r="AL100" t="s">
        <v>48</v>
      </c>
      <c r="AM100" t="s">
        <v>48</v>
      </c>
      <c r="AN100" t="s">
        <v>48</v>
      </c>
      <c r="AO100" t="s">
        <v>48</v>
      </c>
      <c r="AP100" s="46">
        <v>0</v>
      </c>
      <c r="AQ100" s="46">
        <v>0</v>
      </c>
      <c r="AR100" s="46">
        <v>0</v>
      </c>
      <c r="AS100" s="46">
        <v>0</v>
      </c>
      <c r="AT100" s="46">
        <v>0</v>
      </c>
      <c r="AU100" s="46">
        <v>0</v>
      </c>
      <c r="AV100" s="46">
        <v>0</v>
      </c>
      <c r="AW100" s="46">
        <v>0</v>
      </c>
      <c r="AX100" s="46">
        <v>0</v>
      </c>
      <c r="AY100" s="46">
        <v>0</v>
      </c>
      <c r="AZ100" s="46">
        <v>0</v>
      </c>
      <c r="BA100" s="46">
        <v>0</v>
      </c>
      <c r="BB100" s="46">
        <v>0</v>
      </c>
      <c r="BC100" s="46">
        <v>0</v>
      </c>
      <c r="BD100" s="46">
        <v>0</v>
      </c>
      <c r="BE100" s="46">
        <v>0</v>
      </c>
      <c r="BF100" s="46">
        <v>0</v>
      </c>
      <c r="BG100" s="46" t="s">
        <v>48</v>
      </c>
      <c r="BH100" s="46">
        <v>0</v>
      </c>
      <c r="BI100" s="46">
        <v>0</v>
      </c>
      <c r="BJ100" s="46">
        <v>0</v>
      </c>
      <c r="BK100" s="46">
        <v>0</v>
      </c>
      <c r="BL100" s="46">
        <v>0</v>
      </c>
      <c r="BM100" s="46">
        <v>0</v>
      </c>
      <c r="BN100" s="46">
        <v>0</v>
      </c>
    </row>
    <row r="101" spans="1:66" x14ac:dyDescent="0.35">
      <c r="A101" t="s">
        <v>8099</v>
      </c>
      <c r="B101" s="44" t="s">
        <v>48</v>
      </c>
      <c r="C101" t="s">
        <v>12404</v>
      </c>
      <c r="D101" t="s">
        <v>347</v>
      </c>
      <c r="E101" t="s">
        <v>8100</v>
      </c>
      <c r="F101" t="s">
        <v>1540</v>
      </c>
      <c r="G101" t="s">
        <v>74</v>
      </c>
      <c r="H101">
        <v>0</v>
      </c>
      <c r="I101" s="61">
        <v>44733</v>
      </c>
      <c r="J101" s="33" t="s">
        <v>96</v>
      </c>
      <c r="K101" s="46">
        <v>0</v>
      </c>
      <c r="L101">
        <v>1.1000000000000001</v>
      </c>
      <c r="M101" t="s">
        <v>48</v>
      </c>
      <c r="N101" s="46">
        <v>0</v>
      </c>
      <c r="O101" s="46">
        <v>0</v>
      </c>
      <c r="P101" s="46">
        <v>0</v>
      </c>
      <c r="Q101" t="s">
        <v>48</v>
      </c>
      <c r="R101" t="s">
        <v>48</v>
      </c>
      <c r="S101" t="s">
        <v>10074</v>
      </c>
      <c r="T101" t="s">
        <v>48</v>
      </c>
      <c r="U101" t="s">
        <v>10074</v>
      </c>
      <c r="V101" s="47">
        <v>1</v>
      </c>
      <c r="W101" t="s">
        <v>48</v>
      </c>
      <c r="X101" t="s">
        <v>48</v>
      </c>
      <c r="Y101" t="s">
        <v>48</v>
      </c>
      <c r="Z101" t="s">
        <v>48</v>
      </c>
      <c r="AA101" t="s">
        <v>48</v>
      </c>
      <c r="AB101" t="s">
        <v>48</v>
      </c>
      <c r="AC101" t="s">
        <v>49</v>
      </c>
      <c r="AD101" t="s">
        <v>93</v>
      </c>
      <c r="AE101" t="s">
        <v>4532</v>
      </c>
      <c r="AF101" t="s">
        <v>48</v>
      </c>
      <c r="AG101" t="s">
        <v>48</v>
      </c>
      <c r="AH101" t="s">
        <v>48</v>
      </c>
      <c r="AI101" t="s">
        <v>48</v>
      </c>
      <c r="AJ101" t="s">
        <v>48</v>
      </c>
      <c r="AK101" t="s">
        <v>48</v>
      </c>
      <c r="AL101" t="s">
        <v>48</v>
      </c>
      <c r="AM101" t="s">
        <v>48</v>
      </c>
      <c r="AN101" t="s">
        <v>48</v>
      </c>
      <c r="AO101" t="s">
        <v>48</v>
      </c>
      <c r="AP101" s="46">
        <v>0</v>
      </c>
      <c r="AQ101" s="46">
        <v>0</v>
      </c>
      <c r="AR101" s="46">
        <v>0</v>
      </c>
      <c r="AS101" s="46">
        <v>0</v>
      </c>
      <c r="AT101" s="46">
        <v>0</v>
      </c>
      <c r="AU101" s="46">
        <v>0</v>
      </c>
      <c r="AV101" s="46">
        <v>0</v>
      </c>
      <c r="AW101" s="46">
        <v>0</v>
      </c>
      <c r="AX101" s="46">
        <v>0</v>
      </c>
      <c r="AY101" s="46">
        <v>0</v>
      </c>
      <c r="AZ101" s="46">
        <v>0</v>
      </c>
      <c r="BA101" s="46">
        <v>0</v>
      </c>
      <c r="BB101" s="46">
        <v>0</v>
      </c>
      <c r="BC101" s="46">
        <v>0</v>
      </c>
      <c r="BD101" s="46">
        <v>0</v>
      </c>
      <c r="BE101" s="46">
        <v>0</v>
      </c>
      <c r="BF101" s="46">
        <v>0</v>
      </c>
      <c r="BG101" s="46" t="s">
        <v>48</v>
      </c>
      <c r="BH101" s="46">
        <v>0</v>
      </c>
      <c r="BI101" s="46">
        <v>0</v>
      </c>
      <c r="BJ101" s="46">
        <v>0</v>
      </c>
      <c r="BK101" s="46">
        <v>0</v>
      </c>
      <c r="BL101" s="46">
        <v>0</v>
      </c>
      <c r="BM101" s="46">
        <v>0</v>
      </c>
      <c r="BN101" s="46">
        <v>0</v>
      </c>
    </row>
    <row r="102" spans="1:66" x14ac:dyDescent="0.35">
      <c r="A102" t="s">
        <v>8408</v>
      </c>
      <c r="B102" s="44" t="s">
        <v>48</v>
      </c>
      <c r="C102" t="s">
        <v>11734</v>
      </c>
      <c r="D102" t="s">
        <v>11735</v>
      </c>
      <c r="E102" t="s">
        <v>8409</v>
      </c>
      <c r="F102" t="s">
        <v>1540</v>
      </c>
      <c r="G102" t="s">
        <v>83</v>
      </c>
      <c r="H102">
        <v>0</v>
      </c>
      <c r="I102" s="61">
        <v>44733</v>
      </c>
      <c r="J102" s="33" t="s">
        <v>96</v>
      </c>
      <c r="K102" s="46">
        <v>0</v>
      </c>
      <c r="L102">
        <v>0.4</v>
      </c>
      <c r="M102" t="s">
        <v>48</v>
      </c>
      <c r="N102" s="46">
        <v>0</v>
      </c>
      <c r="O102" s="46">
        <v>0</v>
      </c>
      <c r="P102" s="46">
        <v>0</v>
      </c>
      <c r="Q102" t="s">
        <v>48</v>
      </c>
      <c r="R102" t="s">
        <v>48</v>
      </c>
      <c r="S102" t="s">
        <v>48</v>
      </c>
      <c r="T102" t="s">
        <v>48</v>
      </c>
      <c r="U102" t="s">
        <v>48</v>
      </c>
      <c r="V102" s="47">
        <v>1</v>
      </c>
      <c r="W102" t="s">
        <v>48</v>
      </c>
      <c r="X102" t="s">
        <v>48</v>
      </c>
      <c r="Y102" t="s">
        <v>48</v>
      </c>
      <c r="Z102" t="s">
        <v>48</v>
      </c>
      <c r="AA102" t="s">
        <v>48</v>
      </c>
      <c r="AB102" t="s">
        <v>48</v>
      </c>
      <c r="AC102" t="s">
        <v>63</v>
      </c>
      <c r="AD102" t="s">
        <v>93</v>
      </c>
      <c r="AE102" t="s">
        <v>2471</v>
      </c>
      <c r="AF102" t="s">
        <v>48</v>
      </c>
      <c r="AG102" t="s">
        <v>48</v>
      </c>
      <c r="AH102" t="s">
        <v>48</v>
      </c>
      <c r="AI102" t="s">
        <v>48</v>
      </c>
      <c r="AJ102" t="s">
        <v>48</v>
      </c>
      <c r="AK102" t="s">
        <v>48</v>
      </c>
      <c r="AL102" t="s">
        <v>48</v>
      </c>
      <c r="AM102" t="s">
        <v>48</v>
      </c>
      <c r="AN102" t="s">
        <v>48</v>
      </c>
      <c r="AO102" t="s">
        <v>48</v>
      </c>
      <c r="AP102" s="46">
        <v>0</v>
      </c>
      <c r="AQ102" s="46">
        <v>0</v>
      </c>
      <c r="AR102" s="46">
        <v>0</v>
      </c>
      <c r="AS102" s="46">
        <v>0</v>
      </c>
      <c r="AT102" s="46">
        <v>0</v>
      </c>
      <c r="AU102" s="46">
        <v>0</v>
      </c>
      <c r="AV102" s="46">
        <v>0</v>
      </c>
      <c r="AW102" s="46">
        <v>0</v>
      </c>
      <c r="AX102" s="46">
        <v>0</v>
      </c>
      <c r="AY102" s="46">
        <v>0</v>
      </c>
      <c r="AZ102" s="46">
        <v>0</v>
      </c>
      <c r="BA102" s="46">
        <v>0</v>
      </c>
      <c r="BB102" s="46">
        <v>0</v>
      </c>
      <c r="BC102" s="46">
        <v>0</v>
      </c>
      <c r="BD102" s="46">
        <v>0</v>
      </c>
      <c r="BE102" s="46">
        <v>0</v>
      </c>
      <c r="BF102" s="46">
        <v>0</v>
      </c>
      <c r="BG102" s="46" t="s">
        <v>48</v>
      </c>
      <c r="BH102" s="46">
        <v>0</v>
      </c>
      <c r="BI102" s="46">
        <v>0</v>
      </c>
      <c r="BJ102" s="46">
        <v>0</v>
      </c>
      <c r="BK102" s="46">
        <v>0</v>
      </c>
      <c r="BL102" s="46">
        <v>0</v>
      </c>
      <c r="BM102" s="46">
        <v>0</v>
      </c>
      <c r="BN102" s="46">
        <v>0</v>
      </c>
    </row>
    <row r="103" spans="1:66" x14ac:dyDescent="0.35">
      <c r="A103" t="s">
        <v>1568</v>
      </c>
      <c r="B103" s="44" t="s">
        <v>48</v>
      </c>
      <c r="C103" t="s">
        <v>1571</v>
      </c>
      <c r="D103" t="s">
        <v>394</v>
      </c>
      <c r="E103" t="s">
        <v>1569</v>
      </c>
      <c r="F103" t="s">
        <v>1540</v>
      </c>
      <c r="G103" t="s">
        <v>74</v>
      </c>
      <c r="H103">
        <v>0</v>
      </c>
      <c r="I103" s="60" t="s">
        <v>51</v>
      </c>
      <c r="J103" s="33" t="s">
        <v>96</v>
      </c>
      <c r="K103" s="46">
        <v>0</v>
      </c>
      <c r="L103">
        <v>1.7</v>
      </c>
      <c r="M103" t="s">
        <v>48</v>
      </c>
      <c r="N103" s="46">
        <v>0</v>
      </c>
      <c r="O103" s="46">
        <v>0</v>
      </c>
      <c r="P103" s="46">
        <v>0</v>
      </c>
      <c r="Q103" t="s">
        <v>48</v>
      </c>
      <c r="R103" t="s">
        <v>48</v>
      </c>
      <c r="S103" t="s">
        <v>1570</v>
      </c>
      <c r="T103" t="s">
        <v>48</v>
      </c>
      <c r="U103" t="s">
        <v>1570</v>
      </c>
      <c r="V103" s="47">
        <v>0</v>
      </c>
      <c r="W103" t="s">
        <v>48</v>
      </c>
      <c r="X103" t="s">
        <v>48</v>
      </c>
      <c r="Y103" t="s">
        <v>48</v>
      </c>
      <c r="Z103">
        <v>0</v>
      </c>
      <c r="AA103" t="s">
        <v>48</v>
      </c>
      <c r="AB103" t="s">
        <v>48</v>
      </c>
      <c r="AC103" t="s">
        <v>49</v>
      </c>
      <c r="AD103" t="s">
        <v>93</v>
      </c>
      <c r="AE103" t="s">
        <v>4532</v>
      </c>
      <c r="AF103" t="s">
        <v>48</v>
      </c>
      <c r="AG103" t="s">
        <v>48</v>
      </c>
      <c r="AH103" t="s">
        <v>48</v>
      </c>
      <c r="AI103" t="s">
        <v>48</v>
      </c>
      <c r="AJ103" t="s">
        <v>48</v>
      </c>
      <c r="AK103" t="s">
        <v>48</v>
      </c>
      <c r="AL103" t="s">
        <v>48</v>
      </c>
      <c r="AM103" t="s">
        <v>48</v>
      </c>
      <c r="AN103" t="s">
        <v>48</v>
      </c>
      <c r="AO103" t="s">
        <v>48</v>
      </c>
      <c r="AP103" s="46">
        <v>0</v>
      </c>
      <c r="AQ103" s="46">
        <v>0</v>
      </c>
      <c r="AR103" s="46">
        <v>0</v>
      </c>
      <c r="AS103" s="46">
        <v>0</v>
      </c>
      <c r="AT103" s="46">
        <v>0</v>
      </c>
      <c r="AU103" s="46">
        <v>0</v>
      </c>
      <c r="AV103" s="46">
        <v>0</v>
      </c>
      <c r="AW103" s="46">
        <v>0</v>
      </c>
      <c r="AX103" s="46">
        <v>0</v>
      </c>
      <c r="AY103" s="46">
        <v>0</v>
      </c>
      <c r="AZ103" s="46">
        <v>0</v>
      </c>
      <c r="BA103" s="46">
        <v>0</v>
      </c>
      <c r="BB103" s="46">
        <v>0</v>
      </c>
      <c r="BC103" s="46">
        <v>0</v>
      </c>
      <c r="BD103" s="46">
        <v>0</v>
      </c>
      <c r="BE103" s="46">
        <v>0</v>
      </c>
      <c r="BF103" s="46">
        <v>0</v>
      </c>
      <c r="BG103" s="46" t="s">
        <v>48</v>
      </c>
      <c r="BH103" s="46">
        <v>0</v>
      </c>
      <c r="BI103" s="46">
        <v>0</v>
      </c>
      <c r="BJ103" s="46">
        <v>0</v>
      </c>
      <c r="BK103" s="46">
        <v>0</v>
      </c>
      <c r="BL103" s="46">
        <v>0</v>
      </c>
      <c r="BM103" s="46">
        <v>0</v>
      </c>
      <c r="BN103" s="46">
        <v>0</v>
      </c>
    </row>
    <row r="104" spans="1:66" x14ac:dyDescent="0.35">
      <c r="A104" t="s">
        <v>8410</v>
      </c>
      <c r="B104" s="44" t="s">
        <v>48</v>
      </c>
      <c r="C104" t="s">
        <v>1140</v>
      </c>
      <c r="D104" t="s">
        <v>11739</v>
      </c>
      <c r="E104" t="s">
        <v>8411</v>
      </c>
      <c r="F104" t="s">
        <v>1540</v>
      </c>
      <c r="G104" t="s">
        <v>83</v>
      </c>
      <c r="H104">
        <v>0</v>
      </c>
      <c r="I104" s="61">
        <v>44733</v>
      </c>
      <c r="J104" s="33" t="s">
        <v>96</v>
      </c>
      <c r="K104" s="46">
        <v>0</v>
      </c>
      <c r="L104">
        <v>0.5</v>
      </c>
      <c r="M104" t="s">
        <v>48</v>
      </c>
      <c r="N104" s="46">
        <v>0</v>
      </c>
      <c r="O104" s="46">
        <v>0</v>
      </c>
      <c r="P104" s="46">
        <v>0</v>
      </c>
      <c r="Q104" t="s">
        <v>48</v>
      </c>
      <c r="R104" t="s">
        <v>48</v>
      </c>
      <c r="S104" t="s">
        <v>48</v>
      </c>
      <c r="T104" t="s">
        <v>48</v>
      </c>
      <c r="U104" t="s">
        <v>48</v>
      </c>
      <c r="V104" s="47">
        <v>1</v>
      </c>
      <c r="W104" t="s">
        <v>48</v>
      </c>
      <c r="X104" t="s">
        <v>48</v>
      </c>
      <c r="Y104" t="s">
        <v>48</v>
      </c>
      <c r="Z104" t="s">
        <v>48</v>
      </c>
      <c r="AA104" t="s">
        <v>48</v>
      </c>
      <c r="AB104" t="s">
        <v>48</v>
      </c>
      <c r="AC104" t="s">
        <v>63</v>
      </c>
      <c r="AD104" t="s">
        <v>951</v>
      </c>
      <c r="AE104" t="s">
        <v>11051</v>
      </c>
      <c r="AF104" t="s">
        <v>48</v>
      </c>
      <c r="AG104" t="s">
        <v>48</v>
      </c>
      <c r="AH104" t="s">
        <v>48</v>
      </c>
      <c r="AI104" t="s">
        <v>48</v>
      </c>
      <c r="AJ104" t="s">
        <v>48</v>
      </c>
      <c r="AK104" t="s">
        <v>48</v>
      </c>
      <c r="AL104" t="s">
        <v>48</v>
      </c>
      <c r="AM104" t="s">
        <v>48</v>
      </c>
      <c r="AN104" t="s">
        <v>48</v>
      </c>
      <c r="AO104" t="s">
        <v>48</v>
      </c>
      <c r="AP104" s="46">
        <v>0</v>
      </c>
      <c r="AQ104" s="46">
        <v>0</v>
      </c>
      <c r="AR104" s="46">
        <v>0</v>
      </c>
      <c r="AS104" s="46">
        <v>0</v>
      </c>
      <c r="AT104" s="46">
        <v>0</v>
      </c>
      <c r="AU104" s="46">
        <v>0</v>
      </c>
      <c r="AV104" s="46">
        <v>0</v>
      </c>
      <c r="AW104" s="46">
        <v>0</v>
      </c>
      <c r="AX104" s="46">
        <v>0</v>
      </c>
      <c r="AY104" s="46">
        <v>0</v>
      </c>
      <c r="AZ104" s="46">
        <v>0</v>
      </c>
      <c r="BA104" s="46">
        <v>0</v>
      </c>
      <c r="BB104" s="46">
        <v>0</v>
      </c>
      <c r="BC104" s="46">
        <v>0</v>
      </c>
      <c r="BD104" s="46">
        <v>0</v>
      </c>
      <c r="BE104" s="46">
        <v>0</v>
      </c>
      <c r="BF104" s="46">
        <v>0</v>
      </c>
      <c r="BG104" s="46" t="s">
        <v>48</v>
      </c>
      <c r="BH104" s="46">
        <v>0</v>
      </c>
      <c r="BI104" s="46">
        <v>0</v>
      </c>
      <c r="BJ104" s="46">
        <v>0</v>
      </c>
      <c r="BK104" s="46">
        <v>0</v>
      </c>
      <c r="BL104" s="46">
        <v>0</v>
      </c>
      <c r="BM104" s="46">
        <v>0</v>
      </c>
      <c r="BN104" s="46">
        <v>0</v>
      </c>
    </row>
    <row r="105" spans="1:66" x14ac:dyDescent="0.35">
      <c r="A105" t="s">
        <v>8414</v>
      </c>
      <c r="B105" s="44" t="s">
        <v>48</v>
      </c>
      <c r="C105" t="s">
        <v>11741</v>
      </c>
      <c r="D105" t="s">
        <v>11742</v>
      </c>
      <c r="E105" t="s">
        <v>8415</v>
      </c>
      <c r="F105" t="s">
        <v>1540</v>
      </c>
      <c r="G105" t="s">
        <v>47</v>
      </c>
      <c r="H105">
        <v>0</v>
      </c>
      <c r="I105" s="61">
        <v>44733</v>
      </c>
      <c r="J105" s="33" t="s">
        <v>96</v>
      </c>
      <c r="K105" s="46">
        <v>0</v>
      </c>
      <c r="L105">
        <v>0.5</v>
      </c>
      <c r="M105" t="s">
        <v>48</v>
      </c>
      <c r="N105" s="46">
        <v>0</v>
      </c>
      <c r="O105" s="46">
        <v>0</v>
      </c>
      <c r="P105" s="46">
        <v>0</v>
      </c>
      <c r="Q105" t="s">
        <v>48</v>
      </c>
      <c r="R105" t="s">
        <v>48</v>
      </c>
      <c r="S105" t="s">
        <v>48</v>
      </c>
      <c r="T105" t="s">
        <v>48</v>
      </c>
      <c r="U105" t="s">
        <v>48</v>
      </c>
      <c r="V105" s="47">
        <v>1</v>
      </c>
      <c r="W105" t="s">
        <v>48</v>
      </c>
      <c r="X105" t="s">
        <v>48</v>
      </c>
      <c r="Y105" t="s">
        <v>48</v>
      </c>
      <c r="Z105" t="s">
        <v>48</v>
      </c>
      <c r="AA105" t="s">
        <v>48</v>
      </c>
      <c r="AB105" t="s">
        <v>48</v>
      </c>
      <c r="AC105" t="s">
        <v>49</v>
      </c>
      <c r="AD105" t="s">
        <v>951</v>
      </c>
      <c r="AE105" t="s">
        <v>11051</v>
      </c>
      <c r="AF105" t="s">
        <v>48</v>
      </c>
      <c r="AG105" t="s">
        <v>48</v>
      </c>
      <c r="AH105" t="s">
        <v>48</v>
      </c>
      <c r="AI105" t="s">
        <v>48</v>
      </c>
      <c r="AJ105" t="s">
        <v>48</v>
      </c>
      <c r="AK105" t="s">
        <v>48</v>
      </c>
      <c r="AL105" t="s">
        <v>48</v>
      </c>
      <c r="AM105" t="s">
        <v>48</v>
      </c>
      <c r="AN105" t="s">
        <v>48</v>
      </c>
      <c r="AO105" t="s">
        <v>48</v>
      </c>
      <c r="AP105" s="46">
        <v>0</v>
      </c>
      <c r="AQ105" s="46">
        <v>0</v>
      </c>
      <c r="AR105" s="46">
        <v>0</v>
      </c>
      <c r="AS105" s="46">
        <v>0</v>
      </c>
      <c r="AT105" s="46">
        <v>0</v>
      </c>
      <c r="AU105" s="46">
        <v>0</v>
      </c>
      <c r="AV105" s="46">
        <v>0</v>
      </c>
      <c r="AW105" s="46">
        <v>0</v>
      </c>
      <c r="AX105" s="46">
        <v>0</v>
      </c>
      <c r="AY105" s="46">
        <v>0</v>
      </c>
      <c r="AZ105" s="46">
        <v>0</v>
      </c>
      <c r="BA105" s="46">
        <v>0</v>
      </c>
      <c r="BB105" s="46">
        <v>0</v>
      </c>
      <c r="BC105" s="46">
        <v>0</v>
      </c>
      <c r="BD105" s="46">
        <v>0</v>
      </c>
      <c r="BE105" s="46">
        <v>0</v>
      </c>
      <c r="BF105" s="46">
        <v>0</v>
      </c>
      <c r="BG105" s="46" t="s">
        <v>48</v>
      </c>
      <c r="BH105" s="46">
        <v>0</v>
      </c>
      <c r="BI105" s="46">
        <v>0</v>
      </c>
      <c r="BJ105" s="46">
        <v>0</v>
      </c>
      <c r="BK105" s="46">
        <v>0</v>
      </c>
      <c r="BL105" s="46">
        <v>0</v>
      </c>
      <c r="BM105" s="46">
        <v>0</v>
      </c>
      <c r="BN105" s="46">
        <v>0</v>
      </c>
    </row>
    <row r="106" spans="1:66" x14ac:dyDescent="0.35">
      <c r="A106" t="s">
        <v>1546</v>
      </c>
      <c r="B106" s="44" t="s">
        <v>48</v>
      </c>
      <c r="C106" t="s">
        <v>330</v>
      </c>
      <c r="D106" t="s">
        <v>603</v>
      </c>
      <c r="E106" t="s">
        <v>1547</v>
      </c>
      <c r="F106" t="s">
        <v>1540</v>
      </c>
      <c r="G106" t="s">
        <v>47</v>
      </c>
      <c r="H106">
        <v>0</v>
      </c>
      <c r="I106" s="60" t="s">
        <v>51</v>
      </c>
      <c r="J106" s="33" t="s">
        <v>96</v>
      </c>
      <c r="K106" s="46">
        <v>0</v>
      </c>
      <c r="L106">
        <v>3.4</v>
      </c>
      <c r="M106" t="s">
        <v>48</v>
      </c>
      <c r="N106" s="46">
        <v>0</v>
      </c>
      <c r="O106" s="46">
        <v>0</v>
      </c>
      <c r="P106" s="46">
        <v>0</v>
      </c>
      <c r="Q106" t="s">
        <v>48</v>
      </c>
      <c r="R106" t="s">
        <v>48</v>
      </c>
      <c r="S106" t="s">
        <v>1548</v>
      </c>
      <c r="T106" t="s">
        <v>48</v>
      </c>
      <c r="U106" t="s">
        <v>1548</v>
      </c>
      <c r="V106" s="47">
        <v>0</v>
      </c>
      <c r="W106" t="s">
        <v>48</v>
      </c>
      <c r="X106" t="s">
        <v>48</v>
      </c>
      <c r="Y106" t="s">
        <v>48</v>
      </c>
      <c r="Z106">
        <v>0</v>
      </c>
      <c r="AA106" t="s">
        <v>1549</v>
      </c>
      <c r="AB106" t="s">
        <v>48</v>
      </c>
      <c r="AC106" t="s">
        <v>49</v>
      </c>
      <c r="AD106" t="s">
        <v>93</v>
      </c>
      <c r="AE106" t="s">
        <v>4532</v>
      </c>
      <c r="AF106" t="s">
        <v>48</v>
      </c>
      <c r="AG106" t="s">
        <v>48</v>
      </c>
      <c r="AH106" t="s">
        <v>48</v>
      </c>
      <c r="AI106" t="s">
        <v>48</v>
      </c>
      <c r="AJ106" t="s">
        <v>48</v>
      </c>
      <c r="AK106" t="s">
        <v>48</v>
      </c>
      <c r="AL106" t="s">
        <v>48</v>
      </c>
      <c r="AM106" t="s">
        <v>48</v>
      </c>
      <c r="AN106" t="s">
        <v>48</v>
      </c>
      <c r="AO106" t="s">
        <v>48</v>
      </c>
      <c r="AP106" s="46">
        <v>0</v>
      </c>
      <c r="AQ106" s="46">
        <v>0</v>
      </c>
      <c r="AR106" s="46">
        <v>0</v>
      </c>
      <c r="AS106" s="46">
        <v>0</v>
      </c>
      <c r="AT106" s="46">
        <v>0</v>
      </c>
      <c r="AU106" s="46">
        <v>0</v>
      </c>
      <c r="AV106" s="46">
        <v>0</v>
      </c>
      <c r="AW106" s="46">
        <v>0</v>
      </c>
      <c r="AX106" s="46">
        <v>0</v>
      </c>
      <c r="AY106" s="46">
        <v>0</v>
      </c>
      <c r="AZ106" s="46">
        <v>0</v>
      </c>
      <c r="BA106" s="46">
        <v>0</v>
      </c>
      <c r="BB106" s="46">
        <v>0</v>
      </c>
      <c r="BC106" s="46">
        <v>0</v>
      </c>
      <c r="BD106" s="46">
        <v>0</v>
      </c>
      <c r="BE106" s="46">
        <v>0</v>
      </c>
      <c r="BF106" s="46">
        <v>0</v>
      </c>
      <c r="BG106" s="46" t="s">
        <v>48</v>
      </c>
      <c r="BH106" s="46">
        <v>0</v>
      </c>
      <c r="BI106" s="46">
        <v>0</v>
      </c>
      <c r="BJ106" s="46">
        <v>0</v>
      </c>
      <c r="BK106" s="46">
        <v>0</v>
      </c>
      <c r="BL106" s="46">
        <v>0</v>
      </c>
      <c r="BM106" s="46">
        <v>0</v>
      </c>
      <c r="BN106" s="46">
        <v>0</v>
      </c>
    </row>
    <row r="107" spans="1:66" x14ac:dyDescent="0.35">
      <c r="A107" t="s">
        <v>8404</v>
      </c>
      <c r="B107" s="44" t="s">
        <v>48</v>
      </c>
      <c r="C107" t="s">
        <v>11736</v>
      </c>
      <c r="D107" t="s">
        <v>603</v>
      </c>
      <c r="E107" t="s">
        <v>8405</v>
      </c>
      <c r="F107" t="s">
        <v>1540</v>
      </c>
      <c r="G107" t="s">
        <v>83</v>
      </c>
      <c r="H107">
        <v>0</v>
      </c>
      <c r="I107" s="61">
        <v>44733</v>
      </c>
      <c r="J107" s="33" t="s">
        <v>96</v>
      </c>
      <c r="K107" s="46">
        <v>0</v>
      </c>
      <c r="L107">
        <v>0.5</v>
      </c>
      <c r="M107" t="s">
        <v>48</v>
      </c>
      <c r="N107" s="46">
        <v>0</v>
      </c>
      <c r="O107" s="46">
        <v>0</v>
      </c>
      <c r="P107" s="46">
        <v>0</v>
      </c>
      <c r="Q107" t="s">
        <v>48</v>
      </c>
      <c r="R107" t="s">
        <v>48</v>
      </c>
      <c r="S107" t="s">
        <v>10077</v>
      </c>
      <c r="T107" t="s">
        <v>48</v>
      </c>
      <c r="U107" t="s">
        <v>10077</v>
      </c>
      <c r="V107" s="47">
        <v>1</v>
      </c>
      <c r="W107" t="s">
        <v>11317</v>
      </c>
      <c r="X107" t="s">
        <v>48</v>
      </c>
      <c r="Y107" t="s">
        <v>48</v>
      </c>
      <c r="Z107" t="s">
        <v>48</v>
      </c>
      <c r="AA107" t="s">
        <v>48</v>
      </c>
      <c r="AB107" t="s">
        <v>48</v>
      </c>
      <c r="AC107" t="s">
        <v>49</v>
      </c>
      <c r="AD107" t="s">
        <v>93</v>
      </c>
      <c r="AE107" t="s">
        <v>4532</v>
      </c>
      <c r="AF107" t="s">
        <v>48</v>
      </c>
      <c r="AG107" t="s">
        <v>48</v>
      </c>
      <c r="AH107" t="s">
        <v>48</v>
      </c>
      <c r="AI107" t="s">
        <v>48</v>
      </c>
      <c r="AJ107" t="s">
        <v>48</v>
      </c>
      <c r="AK107" t="s">
        <v>48</v>
      </c>
      <c r="AL107" t="s">
        <v>48</v>
      </c>
      <c r="AM107" t="s">
        <v>48</v>
      </c>
      <c r="AN107" t="s">
        <v>48</v>
      </c>
      <c r="AO107" t="s">
        <v>48</v>
      </c>
      <c r="AP107" s="46">
        <v>0</v>
      </c>
      <c r="AQ107" s="46">
        <v>0</v>
      </c>
      <c r="AR107" s="46">
        <v>0</v>
      </c>
      <c r="AS107" s="46">
        <v>0</v>
      </c>
      <c r="AT107" s="46">
        <v>0</v>
      </c>
      <c r="AU107" s="46">
        <v>0</v>
      </c>
      <c r="AV107" s="46">
        <v>0</v>
      </c>
      <c r="AW107" s="46">
        <v>0</v>
      </c>
      <c r="AX107" s="46">
        <v>0</v>
      </c>
      <c r="AY107" s="46">
        <v>0</v>
      </c>
      <c r="AZ107" s="46">
        <v>0</v>
      </c>
      <c r="BA107" s="46">
        <v>0</v>
      </c>
      <c r="BB107" s="46">
        <v>0</v>
      </c>
      <c r="BC107" s="46">
        <v>0</v>
      </c>
      <c r="BD107" s="46">
        <v>0</v>
      </c>
      <c r="BE107" s="46">
        <v>0</v>
      </c>
      <c r="BF107" s="46">
        <v>0</v>
      </c>
      <c r="BG107" s="46" t="s">
        <v>48</v>
      </c>
      <c r="BH107" s="46">
        <v>0</v>
      </c>
      <c r="BI107" s="46">
        <v>0</v>
      </c>
      <c r="BJ107" s="46">
        <v>0</v>
      </c>
      <c r="BK107" s="46">
        <v>0</v>
      </c>
      <c r="BL107" s="46">
        <v>0</v>
      </c>
      <c r="BM107" s="46">
        <v>0</v>
      </c>
      <c r="BN107" s="46">
        <v>0</v>
      </c>
    </row>
    <row r="108" spans="1:66" x14ac:dyDescent="0.35">
      <c r="A108" t="s">
        <v>8152</v>
      </c>
      <c r="B108" s="44" t="s">
        <v>48</v>
      </c>
      <c r="C108" t="s">
        <v>11745</v>
      </c>
      <c r="D108" t="s">
        <v>221</v>
      </c>
      <c r="E108" t="s">
        <v>8153</v>
      </c>
      <c r="F108" t="s">
        <v>1540</v>
      </c>
      <c r="G108" t="s">
        <v>83</v>
      </c>
      <c r="H108">
        <v>0</v>
      </c>
      <c r="I108" s="61">
        <v>44733</v>
      </c>
      <c r="J108" s="33" t="s">
        <v>96</v>
      </c>
      <c r="K108" s="46">
        <v>0</v>
      </c>
      <c r="L108">
        <v>1.5</v>
      </c>
      <c r="M108" t="s">
        <v>48</v>
      </c>
      <c r="N108" s="46">
        <v>0</v>
      </c>
      <c r="O108" s="46">
        <v>0</v>
      </c>
      <c r="P108" s="46">
        <v>0</v>
      </c>
      <c r="Q108" t="s">
        <v>48</v>
      </c>
      <c r="R108" t="s">
        <v>48</v>
      </c>
      <c r="S108" t="s">
        <v>48</v>
      </c>
      <c r="T108" t="s">
        <v>48</v>
      </c>
      <c r="U108" t="s">
        <v>48</v>
      </c>
      <c r="V108" s="47">
        <v>1</v>
      </c>
      <c r="W108" t="s">
        <v>48</v>
      </c>
      <c r="X108" t="s">
        <v>48</v>
      </c>
      <c r="Y108" t="s">
        <v>48</v>
      </c>
      <c r="Z108" t="s">
        <v>48</v>
      </c>
      <c r="AA108" t="s">
        <v>48</v>
      </c>
      <c r="AB108" t="s">
        <v>48</v>
      </c>
      <c r="AC108" t="s">
        <v>49</v>
      </c>
      <c r="AD108" t="s">
        <v>93</v>
      </c>
      <c r="AE108" t="s">
        <v>2471</v>
      </c>
      <c r="AF108" t="s">
        <v>48</v>
      </c>
      <c r="AG108" t="s">
        <v>48</v>
      </c>
      <c r="AH108" t="s">
        <v>48</v>
      </c>
      <c r="AI108" t="s">
        <v>48</v>
      </c>
      <c r="AJ108" t="s">
        <v>48</v>
      </c>
      <c r="AK108" t="s">
        <v>48</v>
      </c>
      <c r="AL108" t="s">
        <v>48</v>
      </c>
      <c r="AM108" t="s">
        <v>48</v>
      </c>
      <c r="AN108" t="s">
        <v>48</v>
      </c>
      <c r="AO108" t="s">
        <v>48</v>
      </c>
      <c r="AP108" s="46">
        <v>0</v>
      </c>
      <c r="AQ108" s="46">
        <v>0</v>
      </c>
      <c r="AR108" s="46">
        <v>0</v>
      </c>
      <c r="AS108" s="46">
        <v>0</v>
      </c>
      <c r="AT108" s="46">
        <v>0</v>
      </c>
      <c r="AU108" s="46">
        <v>0</v>
      </c>
      <c r="AV108" s="46">
        <v>0</v>
      </c>
      <c r="AW108" s="46">
        <v>0</v>
      </c>
      <c r="AX108" s="46">
        <v>0</v>
      </c>
      <c r="AY108" s="46">
        <v>0</v>
      </c>
      <c r="AZ108" s="46">
        <v>0</v>
      </c>
      <c r="BA108" s="46">
        <v>0</v>
      </c>
      <c r="BB108" s="46">
        <v>0</v>
      </c>
      <c r="BC108" s="46">
        <v>0</v>
      </c>
      <c r="BD108" s="46">
        <v>0</v>
      </c>
      <c r="BE108" s="46">
        <v>0</v>
      </c>
      <c r="BF108" s="46">
        <v>0</v>
      </c>
      <c r="BG108" s="46" t="s">
        <v>48</v>
      </c>
      <c r="BH108" s="46">
        <v>0</v>
      </c>
      <c r="BI108" s="46">
        <v>0</v>
      </c>
      <c r="BJ108" s="46">
        <v>0</v>
      </c>
      <c r="BK108" s="46">
        <v>0</v>
      </c>
      <c r="BL108" s="46">
        <v>0</v>
      </c>
      <c r="BM108" s="46">
        <v>0</v>
      </c>
      <c r="BN108" s="46">
        <v>0</v>
      </c>
    </row>
    <row r="109" spans="1:66" x14ac:dyDescent="0.35">
      <c r="A109" t="s">
        <v>8311</v>
      </c>
      <c r="B109" s="44" t="s">
        <v>48</v>
      </c>
      <c r="C109" t="s">
        <v>11737</v>
      </c>
      <c r="D109" t="s">
        <v>1867</v>
      </c>
      <c r="E109" t="s">
        <v>8312</v>
      </c>
      <c r="F109" t="s">
        <v>1540</v>
      </c>
      <c r="G109" t="s">
        <v>47</v>
      </c>
      <c r="H109">
        <v>0</v>
      </c>
      <c r="I109" s="61">
        <v>44733</v>
      </c>
      <c r="J109" s="33" t="s">
        <v>96</v>
      </c>
      <c r="K109" s="46">
        <v>0</v>
      </c>
      <c r="L109">
        <v>4.2</v>
      </c>
      <c r="M109" t="s">
        <v>48</v>
      </c>
      <c r="N109" s="46">
        <v>0</v>
      </c>
      <c r="O109" s="46">
        <v>0</v>
      </c>
      <c r="P109" s="46">
        <v>0</v>
      </c>
      <c r="Q109" t="s">
        <v>48</v>
      </c>
      <c r="R109" t="s">
        <v>48</v>
      </c>
      <c r="S109" t="s">
        <v>48</v>
      </c>
      <c r="T109" t="s">
        <v>48</v>
      </c>
      <c r="U109" t="s">
        <v>48</v>
      </c>
      <c r="V109" s="47">
        <v>1</v>
      </c>
      <c r="W109" t="s">
        <v>48</v>
      </c>
      <c r="X109" t="s">
        <v>48</v>
      </c>
      <c r="Y109" t="s">
        <v>48</v>
      </c>
      <c r="Z109" t="s">
        <v>48</v>
      </c>
      <c r="AA109" t="s">
        <v>48</v>
      </c>
      <c r="AB109" t="s">
        <v>48</v>
      </c>
      <c r="AC109" t="s">
        <v>49</v>
      </c>
      <c r="AD109" t="s">
        <v>93</v>
      </c>
      <c r="AE109" t="s">
        <v>11051</v>
      </c>
      <c r="AF109" t="s">
        <v>11066</v>
      </c>
      <c r="AG109" t="s">
        <v>48</v>
      </c>
      <c r="AH109" t="s">
        <v>48</v>
      </c>
      <c r="AI109" t="s">
        <v>48</v>
      </c>
      <c r="AJ109" t="s">
        <v>48</v>
      </c>
      <c r="AK109" t="s">
        <v>48</v>
      </c>
      <c r="AL109" t="s">
        <v>48</v>
      </c>
      <c r="AM109" t="s">
        <v>48</v>
      </c>
      <c r="AN109" t="s">
        <v>48</v>
      </c>
      <c r="AO109" t="s">
        <v>48</v>
      </c>
      <c r="AP109" s="46">
        <v>0</v>
      </c>
      <c r="AQ109" s="46">
        <v>0</v>
      </c>
      <c r="AR109" s="46">
        <v>0</v>
      </c>
      <c r="AS109" s="46">
        <v>0</v>
      </c>
      <c r="AT109" s="46">
        <v>0</v>
      </c>
      <c r="AU109" s="46">
        <v>0</v>
      </c>
      <c r="AV109" s="46">
        <v>0</v>
      </c>
      <c r="AW109" s="46">
        <v>0</v>
      </c>
      <c r="AX109" s="46">
        <v>0</v>
      </c>
      <c r="AY109" s="46">
        <v>0</v>
      </c>
      <c r="AZ109" s="46">
        <v>0</v>
      </c>
      <c r="BA109" s="46">
        <v>0</v>
      </c>
      <c r="BB109" s="46">
        <v>0</v>
      </c>
      <c r="BC109" s="46">
        <v>0</v>
      </c>
      <c r="BD109" s="46">
        <v>0</v>
      </c>
      <c r="BE109" s="46">
        <v>0</v>
      </c>
      <c r="BF109" s="46">
        <v>0</v>
      </c>
      <c r="BG109" s="46" t="s">
        <v>48</v>
      </c>
      <c r="BH109" s="46">
        <v>0</v>
      </c>
      <c r="BI109" s="46">
        <v>0</v>
      </c>
      <c r="BJ109" s="46">
        <v>0</v>
      </c>
      <c r="BK109" s="46">
        <v>0</v>
      </c>
      <c r="BL109" s="46">
        <v>0</v>
      </c>
      <c r="BM109" s="46">
        <v>0</v>
      </c>
      <c r="BN109" s="46">
        <v>0</v>
      </c>
    </row>
    <row r="110" spans="1:66" x14ac:dyDescent="0.35">
      <c r="A110" t="s">
        <v>8412</v>
      </c>
      <c r="B110" s="44" t="s">
        <v>48</v>
      </c>
      <c r="C110" t="s">
        <v>3018</v>
      </c>
      <c r="D110" t="s">
        <v>11740</v>
      </c>
      <c r="E110" t="s">
        <v>8413</v>
      </c>
      <c r="F110" t="s">
        <v>1540</v>
      </c>
      <c r="G110" t="s">
        <v>47</v>
      </c>
      <c r="H110">
        <v>0</v>
      </c>
      <c r="I110" s="61">
        <v>44733</v>
      </c>
      <c r="J110" s="33" t="s">
        <v>96</v>
      </c>
      <c r="K110" s="46">
        <v>0</v>
      </c>
      <c r="L110">
        <v>0.9</v>
      </c>
      <c r="M110" t="s">
        <v>48</v>
      </c>
      <c r="N110" s="46">
        <v>0</v>
      </c>
      <c r="O110" s="46">
        <v>0</v>
      </c>
      <c r="P110" s="46">
        <v>0</v>
      </c>
      <c r="Q110" t="s">
        <v>48</v>
      </c>
      <c r="R110" t="s">
        <v>48</v>
      </c>
      <c r="S110" t="s">
        <v>10078</v>
      </c>
      <c r="T110" t="s">
        <v>48</v>
      </c>
      <c r="U110" t="s">
        <v>10078</v>
      </c>
      <c r="V110" s="47">
        <v>1</v>
      </c>
      <c r="W110" t="s">
        <v>48</v>
      </c>
      <c r="X110" t="s">
        <v>48</v>
      </c>
      <c r="Y110" t="s">
        <v>48</v>
      </c>
      <c r="Z110" t="s">
        <v>48</v>
      </c>
      <c r="AA110" t="s">
        <v>48</v>
      </c>
      <c r="AB110" t="s">
        <v>48</v>
      </c>
      <c r="AC110" t="s">
        <v>49</v>
      </c>
      <c r="AD110" t="s">
        <v>93</v>
      </c>
      <c r="AE110" t="s">
        <v>2471</v>
      </c>
      <c r="AF110" t="s">
        <v>48</v>
      </c>
      <c r="AG110" t="s">
        <v>48</v>
      </c>
      <c r="AH110" t="s">
        <v>48</v>
      </c>
      <c r="AI110" t="s">
        <v>48</v>
      </c>
      <c r="AJ110" t="s">
        <v>48</v>
      </c>
      <c r="AK110" t="s">
        <v>48</v>
      </c>
      <c r="AL110" t="s">
        <v>48</v>
      </c>
      <c r="AM110" t="s">
        <v>48</v>
      </c>
      <c r="AN110" t="s">
        <v>48</v>
      </c>
      <c r="AO110" t="s">
        <v>48</v>
      </c>
      <c r="AP110" s="46">
        <v>0</v>
      </c>
      <c r="AQ110" s="46">
        <v>0</v>
      </c>
      <c r="AR110" s="46">
        <v>0</v>
      </c>
      <c r="AS110" s="46">
        <v>0</v>
      </c>
      <c r="AT110" s="46">
        <v>0</v>
      </c>
      <c r="AU110" s="46">
        <v>0</v>
      </c>
      <c r="AV110" s="46">
        <v>0</v>
      </c>
      <c r="AW110" s="46">
        <v>0</v>
      </c>
      <c r="AX110" s="46">
        <v>0</v>
      </c>
      <c r="AY110" s="46">
        <v>0</v>
      </c>
      <c r="AZ110" s="46">
        <v>0</v>
      </c>
      <c r="BA110" s="46">
        <v>0</v>
      </c>
      <c r="BB110" s="46">
        <v>0</v>
      </c>
      <c r="BC110" s="46">
        <v>0</v>
      </c>
      <c r="BD110" s="46">
        <v>0</v>
      </c>
      <c r="BE110" s="46">
        <v>0</v>
      </c>
      <c r="BF110" s="46">
        <v>0</v>
      </c>
      <c r="BG110" s="46" t="s">
        <v>48</v>
      </c>
      <c r="BH110" s="46">
        <v>0</v>
      </c>
      <c r="BI110" s="46">
        <v>0</v>
      </c>
      <c r="BJ110" s="46">
        <v>0</v>
      </c>
      <c r="BK110" s="46">
        <v>0</v>
      </c>
      <c r="BL110" s="46">
        <v>0</v>
      </c>
      <c r="BM110" s="46">
        <v>0</v>
      </c>
      <c r="BN110" s="46">
        <v>0</v>
      </c>
    </row>
    <row r="111" spans="1:66" x14ac:dyDescent="0.35">
      <c r="A111" t="s">
        <v>1572</v>
      </c>
      <c r="B111" s="44" t="s">
        <v>48</v>
      </c>
      <c r="C111" t="s">
        <v>1574</v>
      </c>
      <c r="D111" t="s">
        <v>11743</v>
      </c>
      <c r="E111" t="s">
        <v>1573</v>
      </c>
      <c r="F111" t="s">
        <v>1540</v>
      </c>
      <c r="G111" t="s">
        <v>74</v>
      </c>
      <c r="H111">
        <v>0</v>
      </c>
      <c r="I111" s="60" t="s">
        <v>51</v>
      </c>
      <c r="J111" s="33" t="s">
        <v>96</v>
      </c>
      <c r="K111" s="46">
        <v>0</v>
      </c>
      <c r="L111">
        <v>0.4</v>
      </c>
      <c r="M111" t="s">
        <v>48</v>
      </c>
      <c r="N111" s="46">
        <v>0</v>
      </c>
      <c r="O111" s="46">
        <v>0</v>
      </c>
      <c r="P111" s="46">
        <v>0</v>
      </c>
      <c r="Q111" t="s">
        <v>48</v>
      </c>
      <c r="R111" t="s">
        <v>48</v>
      </c>
      <c r="S111" t="s">
        <v>48</v>
      </c>
      <c r="T111" t="s">
        <v>48</v>
      </c>
      <c r="U111" t="s">
        <v>48</v>
      </c>
      <c r="V111" s="47">
        <v>0</v>
      </c>
      <c r="W111" t="s">
        <v>48</v>
      </c>
      <c r="X111" t="s">
        <v>48</v>
      </c>
      <c r="Y111" t="s">
        <v>48</v>
      </c>
      <c r="Z111">
        <v>0</v>
      </c>
      <c r="AA111" t="s">
        <v>48</v>
      </c>
      <c r="AB111" t="s">
        <v>48</v>
      </c>
      <c r="AC111" t="s">
        <v>49</v>
      </c>
      <c r="AD111" t="s">
        <v>93</v>
      </c>
      <c r="AE111" t="s">
        <v>977</v>
      </c>
      <c r="AF111" t="s">
        <v>11078</v>
      </c>
      <c r="AG111" t="s">
        <v>48</v>
      </c>
      <c r="AH111" t="s">
        <v>48</v>
      </c>
      <c r="AI111" t="s">
        <v>48</v>
      </c>
      <c r="AJ111" t="s">
        <v>48</v>
      </c>
      <c r="AK111" t="s">
        <v>48</v>
      </c>
      <c r="AL111" t="s">
        <v>48</v>
      </c>
      <c r="AM111" t="s">
        <v>48</v>
      </c>
      <c r="AN111" t="s">
        <v>48</v>
      </c>
      <c r="AO111" t="s">
        <v>48</v>
      </c>
      <c r="AP111" s="46">
        <v>0</v>
      </c>
      <c r="AQ111" s="46">
        <v>0</v>
      </c>
      <c r="AR111" s="46">
        <v>0</v>
      </c>
      <c r="AS111" s="46">
        <v>0</v>
      </c>
      <c r="AT111" s="46">
        <v>0</v>
      </c>
      <c r="AU111" s="46">
        <v>0</v>
      </c>
      <c r="AV111" s="46">
        <v>0</v>
      </c>
      <c r="AW111" s="46">
        <v>0</v>
      </c>
      <c r="AX111" s="46">
        <v>0</v>
      </c>
      <c r="AY111" s="46">
        <v>0</v>
      </c>
      <c r="AZ111" s="46">
        <v>0</v>
      </c>
      <c r="BA111" s="46">
        <v>0</v>
      </c>
      <c r="BB111" s="46">
        <v>0</v>
      </c>
      <c r="BC111" s="46">
        <v>0</v>
      </c>
      <c r="BD111" s="46">
        <v>0</v>
      </c>
      <c r="BE111" s="46">
        <v>0</v>
      </c>
      <c r="BF111" s="46">
        <v>0</v>
      </c>
      <c r="BG111" s="46" t="s">
        <v>48</v>
      </c>
      <c r="BH111" s="46">
        <v>0</v>
      </c>
      <c r="BI111" s="46">
        <v>0</v>
      </c>
      <c r="BJ111" s="46">
        <v>0</v>
      </c>
      <c r="BK111" s="46">
        <v>0</v>
      </c>
      <c r="BL111" s="46">
        <v>0</v>
      </c>
      <c r="BM111" s="46">
        <v>0</v>
      </c>
      <c r="BN111" s="46">
        <v>0</v>
      </c>
    </row>
    <row r="112" spans="1:66" x14ac:dyDescent="0.35">
      <c r="A112" t="s">
        <v>8406</v>
      </c>
      <c r="B112" s="44" t="s">
        <v>48</v>
      </c>
      <c r="C112" t="s">
        <v>11617</v>
      </c>
      <c r="D112" t="s">
        <v>11738</v>
      </c>
      <c r="E112" t="s">
        <v>8407</v>
      </c>
      <c r="F112" t="s">
        <v>1540</v>
      </c>
      <c r="G112" t="s">
        <v>83</v>
      </c>
      <c r="H112">
        <v>0</v>
      </c>
      <c r="I112" s="61">
        <v>44733</v>
      </c>
      <c r="J112" s="33" t="s">
        <v>96</v>
      </c>
      <c r="K112" s="46">
        <v>0</v>
      </c>
      <c r="L112">
        <v>0.5</v>
      </c>
      <c r="M112" t="s">
        <v>48</v>
      </c>
      <c r="N112" s="46">
        <v>0</v>
      </c>
      <c r="O112" s="46">
        <v>0</v>
      </c>
      <c r="P112" s="46">
        <v>0</v>
      </c>
      <c r="Q112" t="s">
        <v>48</v>
      </c>
      <c r="R112" t="s">
        <v>48</v>
      </c>
      <c r="S112" t="s">
        <v>48</v>
      </c>
      <c r="T112" t="s">
        <v>48</v>
      </c>
      <c r="U112" t="s">
        <v>48</v>
      </c>
      <c r="V112" s="47">
        <v>1</v>
      </c>
      <c r="W112" t="s">
        <v>48</v>
      </c>
      <c r="X112" t="s">
        <v>48</v>
      </c>
      <c r="Y112" t="s">
        <v>48</v>
      </c>
      <c r="Z112" t="s">
        <v>48</v>
      </c>
      <c r="AA112" t="s">
        <v>48</v>
      </c>
      <c r="AB112" t="s">
        <v>48</v>
      </c>
      <c r="AC112" t="s">
        <v>63</v>
      </c>
      <c r="AD112" t="s">
        <v>93</v>
      </c>
      <c r="AE112" t="s">
        <v>4532</v>
      </c>
      <c r="AF112" t="s">
        <v>48</v>
      </c>
      <c r="AG112" t="s">
        <v>48</v>
      </c>
      <c r="AH112" t="s">
        <v>48</v>
      </c>
      <c r="AI112" t="s">
        <v>48</v>
      </c>
      <c r="AJ112" t="s">
        <v>48</v>
      </c>
      <c r="AK112" t="s">
        <v>48</v>
      </c>
      <c r="AL112" t="s">
        <v>48</v>
      </c>
      <c r="AM112" t="s">
        <v>48</v>
      </c>
      <c r="AN112" t="s">
        <v>48</v>
      </c>
      <c r="AO112" t="s">
        <v>48</v>
      </c>
      <c r="AP112" s="46">
        <v>0</v>
      </c>
      <c r="AQ112" s="46">
        <v>0</v>
      </c>
      <c r="AR112" s="46">
        <v>0</v>
      </c>
      <c r="AS112" s="46">
        <v>0</v>
      </c>
      <c r="AT112" s="46">
        <v>0</v>
      </c>
      <c r="AU112" s="46">
        <v>0</v>
      </c>
      <c r="AV112" s="46">
        <v>0</v>
      </c>
      <c r="AW112" s="46">
        <v>0</v>
      </c>
      <c r="AX112" s="46">
        <v>0</v>
      </c>
      <c r="AY112" s="46">
        <v>0</v>
      </c>
      <c r="AZ112" s="46">
        <v>0</v>
      </c>
      <c r="BA112" s="46">
        <v>0</v>
      </c>
      <c r="BB112" s="46">
        <v>0</v>
      </c>
      <c r="BC112" s="46">
        <v>0</v>
      </c>
      <c r="BD112" s="46">
        <v>0</v>
      </c>
      <c r="BE112" s="46">
        <v>0</v>
      </c>
      <c r="BF112" s="46">
        <v>0</v>
      </c>
      <c r="BG112" s="46" t="s">
        <v>48</v>
      </c>
      <c r="BH112" s="46">
        <v>0</v>
      </c>
      <c r="BI112" s="46">
        <v>0</v>
      </c>
      <c r="BJ112" s="46">
        <v>0</v>
      </c>
      <c r="BK112" s="46">
        <v>0</v>
      </c>
      <c r="BL112" s="46">
        <v>0</v>
      </c>
      <c r="BM112" s="46">
        <v>0</v>
      </c>
      <c r="BN112" s="46">
        <v>0</v>
      </c>
    </row>
    <row r="113" spans="1:66" x14ac:dyDescent="0.35">
      <c r="A113" t="s">
        <v>1555</v>
      </c>
      <c r="B113" s="44" t="s">
        <v>48</v>
      </c>
      <c r="C113" t="s">
        <v>1557</v>
      </c>
      <c r="D113" t="s">
        <v>210</v>
      </c>
      <c r="E113" t="s">
        <v>1556</v>
      </c>
      <c r="F113" t="s">
        <v>1540</v>
      </c>
      <c r="G113" t="s">
        <v>74</v>
      </c>
      <c r="H113">
        <v>0</v>
      </c>
      <c r="I113" s="60" t="s">
        <v>51</v>
      </c>
      <c r="J113" s="33" t="s">
        <v>96</v>
      </c>
      <c r="K113" s="46">
        <v>0</v>
      </c>
      <c r="L113">
        <v>0.8</v>
      </c>
      <c r="M113" t="s">
        <v>48</v>
      </c>
      <c r="N113" s="46">
        <v>0</v>
      </c>
      <c r="O113" s="46">
        <v>0</v>
      </c>
      <c r="P113" s="46">
        <v>0</v>
      </c>
      <c r="Q113" t="s">
        <v>48</v>
      </c>
      <c r="R113" t="s">
        <v>48</v>
      </c>
      <c r="S113" t="s">
        <v>10075</v>
      </c>
      <c r="T113" t="s">
        <v>48</v>
      </c>
      <c r="U113" t="s">
        <v>10075</v>
      </c>
      <c r="V113" s="47">
        <v>0</v>
      </c>
      <c r="W113" t="s">
        <v>48</v>
      </c>
      <c r="X113" t="s">
        <v>48</v>
      </c>
      <c r="Y113" t="s">
        <v>48</v>
      </c>
      <c r="Z113">
        <v>0</v>
      </c>
      <c r="AA113" t="s">
        <v>48</v>
      </c>
      <c r="AB113" t="s">
        <v>48</v>
      </c>
      <c r="AC113" t="s">
        <v>49</v>
      </c>
      <c r="AD113" t="s">
        <v>951</v>
      </c>
      <c r="AE113" s="40" t="s">
        <v>11051</v>
      </c>
      <c r="AF113" t="s">
        <v>11054</v>
      </c>
      <c r="AG113" t="s">
        <v>48</v>
      </c>
      <c r="AH113" t="s">
        <v>48</v>
      </c>
      <c r="AI113" t="s">
        <v>48</v>
      </c>
      <c r="AJ113" t="s">
        <v>48</v>
      </c>
      <c r="AK113" t="s">
        <v>48</v>
      </c>
      <c r="AL113" t="s">
        <v>48</v>
      </c>
      <c r="AM113" t="s">
        <v>48</v>
      </c>
      <c r="AN113" t="s">
        <v>48</v>
      </c>
      <c r="AO113" t="s">
        <v>48</v>
      </c>
      <c r="AP113" s="46">
        <v>0</v>
      </c>
      <c r="AQ113" s="46">
        <v>0</v>
      </c>
      <c r="AR113" s="46">
        <v>0</v>
      </c>
      <c r="AS113" s="46">
        <v>0</v>
      </c>
      <c r="AT113" s="46">
        <v>0</v>
      </c>
      <c r="AU113" s="46">
        <v>0</v>
      </c>
      <c r="AV113" s="46">
        <v>0</v>
      </c>
      <c r="AW113" s="46">
        <v>0</v>
      </c>
      <c r="AX113" s="46">
        <v>0</v>
      </c>
      <c r="AY113" s="46">
        <v>0</v>
      </c>
      <c r="AZ113" s="46">
        <v>0</v>
      </c>
      <c r="BA113" s="46">
        <v>0</v>
      </c>
      <c r="BB113" s="46">
        <v>0</v>
      </c>
      <c r="BC113" s="46">
        <v>0</v>
      </c>
      <c r="BD113" s="46">
        <v>0</v>
      </c>
      <c r="BE113" s="46">
        <v>0</v>
      </c>
      <c r="BF113" s="46">
        <v>0</v>
      </c>
      <c r="BG113" s="46" t="s">
        <v>48</v>
      </c>
      <c r="BH113" s="46">
        <v>0</v>
      </c>
      <c r="BI113" s="46">
        <v>0</v>
      </c>
      <c r="BJ113" s="46">
        <v>0</v>
      </c>
      <c r="BK113" s="46">
        <v>0</v>
      </c>
      <c r="BL113" s="46">
        <v>0</v>
      </c>
      <c r="BM113" s="46">
        <v>0</v>
      </c>
      <c r="BN113" s="46">
        <v>0</v>
      </c>
    </row>
    <row r="114" spans="1:66" x14ac:dyDescent="0.35">
      <c r="A114" t="s">
        <v>1551</v>
      </c>
      <c r="B114" s="44" t="s">
        <v>48</v>
      </c>
      <c r="C114" t="s">
        <v>1554</v>
      </c>
      <c r="D114" t="s">
        <v>306</v>
      </c>
      <c r="E114" t="s">
        <v>1552</v>
      </c>
      <c r="F114" t="s">
        <v>1540</v>
      </c>
      <c r="G114" t="s">
        <v>47</v>
      </c>
      <c r="H114">
        <v>0</v>
      </c>
      <c r="I114" s="60" t="s">
        <v>51</v>
      </c>
      <c r="J114" s="33" t="s">
        <v>96</v>
      </c>
      <c r="K114" s="46">
        <v>0</v>
      </c>
      <c r="L114">
        <v>1.1000000000000001</v>
      </c>
      <c r="M114" t="s">
        <v>48</v>
      </c>
      <c r="N114" s="46">
        <v>0</v>
      </c>
      <c r="O114" s="46">
        <v>0</v>
      </c>
      <c r="P114" s="46">
        <v>0</v>
      </c>
      <c r="Q114" t="s">
        <v>48</v>
      </c>
      <c r="R114" t="s">
        <v>48</v>
      </c>
      <c r="S114" t="s">
        <v>1553</v>
      </c>
      <c r="T114" t="s">
        <v>48</v>
      </c>
      <c r="U114" t="s">
        <v>1553</v>
      </c>
      <c r="V114" s="47">
        <v>0</v>
      </c>
      <c r="W114" t="s">
        <v>48</v>
      </c>
      <c r="X114" t="s">
        <v>48</v>
      </c>
      <c r="Y114" t="s">
        <v>48</v>
      </c>
      <c r="Z114">
        <v>0</v>
      </c>
      <c r="AA114" t="s">
        <v>48</v>
      </c>
      <c r="AB114" t="s">
        <v>48</v>
      </c>
      <c r="AC114" t="s">
        <v>63</v>
      </c>
      <c r="AD114" t="s">
        <v>93</v>
      </c>
      <c r="AE114" t="s">
        <v>977</v>
      </c>
      <c r="AF114" t="s">
        <v>11067</v>
      </c>
      <c r="AG114" t="s">
        <v>48</v>
      </c>
      <c r="AH114" t="s">
        <v>48</v>
      </c>
      <c r="AI114" t="s">
        <v>48</v>
      </c>
      <c r="AJ114" t="s">
        <v>48</v>
      </c>
      <c r="AK114" t="s">
        <v>48</v>
      </c>
      <c r="AL114" t="s">
        <v>48</v>
      </c>
      <c r="AM114" t="s">
        <v>48</v>
      </c>
      <c r="AN114" t="s">
        <v>48</v>
      </c>
      <c r="AO114" t="s">
        <v>48</v>
      </c>
      <c r="AP114" s="46">
        <v>0</v>
      </c>
      <c r="AQ114" s="46">
        <v>0</v>
      </c>
      <c r="AR114" s="46">
        <v>0</v>
      </c>
      <c r="AS114" s="46">
        <v>0</v>
      </c>
      <c r="AT114" s="46">
        <v>0</v>
      </c>
      <c r="AU114" s="46">
        <v>0</v>
      </c>
      <c r="AV114" s="46">
        <v>0</v>
      </c>
      <c r="AW114" s="46">
        <v>0</v>
      </c>
      <c r="AX114" s="46">
        <v>0</v>
      </c>
      <c r="AY114" s="46">
        <v>0</v>
      </c>
      <c r="AZ114" s="46">
        <v>0</v>
      </c>
      <c r="BA114" s="46">
        <v>0</v>
      </c>
      <c r="BB114" s="46">
        <v>0</v>
      </c>
      <c r="BC114" s="46">
        <v>0</v>
      </c>
      <c r="BD114" s="46">
        <v>0</v>
      </c>
      <c r="BE114" s="46">
        <v>0</v>
      </c>
      <c r="BF114" s="46">
        <v>0</v>
      </c>
      <c r="BG114" s="46" t="s">
        <v>48</v>
      </c>
      <c r="BH114" s="46">
        <v>0</v>
      </c>
      <c r="BI114" s="46">
        <v>0</v>
      </c>
      <c r="BJ114" s="46">
        <v>0</v>
      </c>
      <c r="BK114" s="46">
        <v>0</v>
      </c>
      <c r="BL114" s="46">
        <v>0</v>
      </c>
      <c r="BM114" s="46">
        <v>0</v>
      </c>
      <c r="BN114" s="46">
        <v>0</v>
      </c>
    </row>
    <row r="115" spans="1:66" x14ac:dyDescent="0.35">
      <c r="A115" t="s">
        <v>8392</v>
      </c>
      <c r="B115" s="44" t="s">
        <v>48</v>
      </c>
      <c r="C115" t="s">
        <v>11746</v>
      </c>
      <c r="D115" t="s">
        <v>849</v>
      </c>
      <c r="E115" t="s">
        <v>8393</v>
      </c>
      <c r="F115" t="s">
        <v>1540</v>
      </c>
      <c r="G115" t="s">
        <v>74</v>
      </c>
      <c r="H115">
        <v>0</v>
      </c>
      <c r="I115" s="61">
        <v>44733</v>
      </c>
      <c r="J115" s="33" t="s">
        <v>96</v>
      </c>
      <c r="K115" s="46">
        <v>0</v>
      </c>
      <c r="L115">
        <v>0.8</v>
      </c>
      <c r="M115" t="s">
        <v>48</v>
      </c>
      <c r="N115" s="46">
        <v>0</v>
      </c>
      <c r="O115" s="46">
        <v>0</v>
      </c>
      <c r="P115" s="46">
        <v>0</v>
      </c>
      <c r="Q115" t="s">
        <v>48</v>
      </c>
      <c r="R115" t="s">
        <v>48</v>
      </c>
      <c r="S115" t="s">
        <v>10076</v>
      </c>
      <c r="T115" t="s">
        <v>48</v>
      </c>
      <c r="U115" t="s">
        <v>10076</v>
      </c>
      <c r="V115" s="47">
        <v>1</v>
      </c>
      <c r="W115" t="s">
        <v>11317</v>
      </c>
      <c r="X115" t="s">
        <v>48</v>
      </c>
      <c r="Y115" t="s">
        <v>48</v>
      </c>
      <c r="Z115" t="s">
        <v>48</v>
      </c>
      <c r="AA115" t="s">
        <v>48</v>
      </c>
      <c r="AB115" t="s">
        <v>48</v>
      </c>
      <c r="AC115" t="s">
        <v>49</v>
      </c>
      <c r="AD115" t="s">
        <v>93</v>
      </c>
      <c r="AE115" t="s">
        <v>4532</v>
      </c>
      <c r="AF115" t="s">
        <v>48</v>
      </c>
      <c r="AG115" t="s">
        <v>48</v>
      </c>
      <c r="AH115" t="s">
        <v>48</v>
      </c>
      <c r="AI115" t="s">
        <v>48</v>
      </c>
      <c r="AJ115" t="s">
        <v>48</v>
      </c>
      <c r="AK115" t="s">
        <v>48</v>
      </c>
      <c r="AL115" t="s">
        <v>48</v>
      </c>
      <c r="AM115" t="s">
        <v>48</v>
      </c>
      <c r="AN115" t="s">
        <v>48</v>
      </c>
      <c r="AO115" t="s">
        <v>48</v>
      </c>
      <c r="AP115" s="46">
        <v>0</v>
      </c>
      <c r="AQ115" s="46">
        <v>0</v>
      </c>
      <c r="AR115" s="46">
        <v>0</v>
      </c>
      <c r="AS115" s="46">
        <v>0</v>
      </c>
      <c r="AT115" s="46">
        <v>0</v>
      </c>
      <c r="AU115" s="46">
        <v>0</v>
      </c>
      <c r="AV115" s="46">
        <v>0</v>
      </c>
      <c r="AW115" s="46">
        <v>0</v>
      </c>
      <c r="AX115" s="46">
        <v>0</v>
      </c>
      <c r="AY115" s="46">
        <v>0</v>
      </c>
      <c r="AZ115" s="46">
        <v>0</v>
      </c>
      <c r="BA115" s="46">
        <v>0</v>
      </c>
      <c r="BB115" s="46">
        <v>0</v>
      </c>
      <c r="BC115" s="46">
        <v>0</v>
      </c>
      <c r="BD115" s="46">
        <v>0</v>
      </c>
      <c r="BE115" s="46">
        <v>0</v>
      </c>
      <c r="BF115" s="46">
        <v>0</v>
      </c>
      <c r="BG115" s="46" t="s">
        <v>48</v>
      </c>
      <c r="BH115" s="46">
        <v>0</v>
      </c>
      <c r="BI115" s="46">
        <v>0</v>
      </c>
      <c r="BJ115" s="46">
        <v>0</v>
      </c>
      <c r="BK115" s="46">
        <v>0</v>
      </c>
      <c r="BL115" s="46">
        <v>0</v>
      </c>
      <c r="BM115" s="46">
        <v>0</v>
      </c>
      <c r="BN115" s="46">
        <v>0</v>
      </c>
    </row>
    <row r="116" spans="1:66" x14ac:dyDescent="0.35">
      <c r="A116" t="s">
        <v>1706</v>
      </c>
      <c r="B116" s="44" t="s">
        <v>48</v>
      </c>
      <c r="C116" t="s">
        <v>1711</v>
      </c>
      <c r="D116" t="s">
        <v>221</v>
      </c>
      <c r="E116" t="s">
        <v>1708</v>
      </c>
      <c r="F116" t="s">
        <v>1707</v>
      </c>
      <c r="G116" t="s">
        <v>74</v>
      </c>
      <c r="H116">
        <v>0</v>
      </c>
      <c r="I116" s="60" t="s">
        <v>51</v>
      </c>
      <c r="J116" s="33" t="s">
        <v>96</v>
      </c>
      <c r="K116" s="46">
        <v>1</v>
      </c>
      <c r="L116" t="s">
        <v>48</v>
      </c>
      <c r="M116" t="s">
        <v>48</v>
      </c>
      <c r="N116" s="46">
        <v>0</v>
      </c>
      <c r="O116" s="46">
        <v>0</v>
      </c>
      <c r="P116" s="46">
        <v>0</v>
      </c>
      <c r="Q116" t="s">
        <v>48</v>
      </c>
      <c r="R116" t="s">
        <v>48</v>
      </c>
      <c r="S116" t="s">
        <v>1709</v>
      </c>
      <c r="T116" t="s">
        <v>1710</v>
      </c>
      <c r="U116" t="s">
        <v>1709</v>
      </c>
      <c r="V116" s="47">
        <v>0</v>
      </c>
      <c r="W116" t="s">
        <v>48</v>
      </c>
      <c r="X116" t="s">
        <v>48</v>
      </c>
      <c r="Y116" t="s">
        <v>48</v>
      </c>
      <c r="Z116">
        <v>1</v>
      </c>
      <c r="AA116" t="s">
        <v>48</v>
      </c>
      <c r="AB116">
        <v>2020</v>
      </c>
      <c r="AC116" t="s">
        <v>49</v>
      </c>
      <c r="AD116" t="s">
        <v>93</v>
      </c>
      <c r="AE116" t="s">
        <v>4532</v>
      </c>
      <c r="AF116" t="s">
        <v>48</v>
      </c>
      <c r="AG116" t="s">
        <v>48</v>
      </c>
      <c r="AH116" t="s">
        <v>48</v>
      </c>
      <c r="AI116">
        <v>42101</v>
      </c>
      <c r="AJ116">
        <v>1952</v>
      </c>
      <c r="AK116" t="s">
        <v>8480</v>
      </c>
      <c r="AL116" t="s">
        <v>8481</v>
      </c>
      <c r="AM116">
        <v>-0.23799999999999999</v>
      </c>
      <c r="AN116">
        <v>1.2E-2</v>
      </c>
      <c r="AO116">
        <v>-0.23799999999999999</v>
      </c>
      <c r="AP116" s="46">
        <v>0</v>
      </c>
      <c r="AQ116" s="46">
        <v>0</v>
      </c>
      <c r="AR116" s="46">
        <v>0</v>
      </c>
      <c r="AS116" s="46">
        <v>0</v>
      </c>
      <c r="AT116" s="46">
        <v>0</v>
      </c>
      <c r="AU116" s="46">
        <v>0</v>
      </c>
      <c r="AV116" s="46">
        <v>0</v>
      </c>
      <c r="AW116" s="46">
        <v>0</v>
      </c>
      <c r="AX116" s="46">
        <v>0</v>
      </c>
      <c r="AY116" s="46">
        <v>0</v>
      </c>
      <c r="AZ116" s="46">
        <v>0</v>
      </c>
      <c r="BA116" s="46">
        <v>0</v>
      </c>
      <c r="BB116" s="46">
        <v>0</v>
      </c>
      <c r="BC116" s="46">
        <v>0</v>
      </c>
      <c r="BD116" s="46">
        <v>0</v>
      </c>
      <c r="BE116" s="46">
        <v>0</v>
      </c>
      <c r="BF116" s="46">
        <v>0</v>
      </c>
      <c r="BG116" s="46" t="s">
        <v>48</v>
      </c>
      <c r="BH116" s="46">
        <v>0</v>
      </c>
      <c r="BI116" s="46">
        <v>0</v>
      </c>
      <c r="BJ116" s="46">
        <v>0</v>
      </c>
      <c r="BK116" s="46">
        <v>0</v>
      </c>
      <c r="BL116" s="46">
        <v>1</v>
      </c>
      <c r="BM116" s="46">
        <v>0</v>
      </c>
      <c r="BN116" s="46">
        <v>0</v>
      </c>
    </row>
    <row r="117" spans="1:66" x14ac:dyDescent="0.35">
      <c r="A117" t="s">
        <v>1722</v>
      </c>
      <c r="B117" s="44" t="s">
        <v>48</v>
      </c>
      <c r="C117" t="s">
        <v>1724</v>
      </c>
      <c r="D117" t="s">
        <v>673</v>
      </c>
      <c r="E117" t="s">
        <v>1723</v>
      </c>
      <c r="F117" t="s">
        <v>1713</v>
      </c>
      <c r="G117" t="s">
        <v>47</v>
      </c>
      <c r="H117">
        <v>0</v>
      </c>
      <c r="I117" s="60" t="s">
        <v>177</v>
      </c>
      <c r="J117" s="33" t="s">
        <v>96</v>
      </c>
      <c r="K117" s="46">
        <v>0</v>
      </c>
      <c r="L117">
        <v>45.5</v>
      </c>
      <c r="M117" t="s">
        <v>48</v>
      </c>
      <c r="N117" s="46">
        <v>0</v>
      </c>
      <c r="O117" s="46">
        <v>0</v>
      </c>
      <c r="P117" s="46">
        <v>0</v>
      </c>
      <c r="Q117" t="s">
        <v>48</v>
      </c>
      <c r="R117" t="s">
        <v>48</v>
      </c>
      <c r="S117" t="s">
        <v>10081</v>
      </c>
      <c r="T117" t="s">
        <v>48</v>
      </c>
      <c r="U117" t="s">
        <v>10081</v>
      </c>
      <c r="V117" s="47">
        <v>0</v>
      </c>
      <c r="W117" t="s">
        <v>48</v>
      </c>
      <c r="X117" t="s">
        <v>48</v>
      </c>
      <c r="Y117" t="s">
        <v>48</v>
      </c>
      <c r="Z117">
        <v>0</v>
      </c>
      <c r="AA117" t="s">
        <v>48</v>
      </c>
      <c r="AB117" t="s">
        <v>48</v>
      </c>
      <c r="AC117" t="s">
        <v>49</v>
      </c>
      <c r="AD117" t="s">
        <v>93</v>
      </c>
      <c r="AE117" t="s">
        <v>4532</v>
      </c>
      <c r="AF117" t="s">
        <v>48</v>
      </c>
      <c r="AG117" t="s">
        <v>48</v>
      </c>
      <c r="AH117" t="s">
        <v>48</v>
      </c>
      <c r="AI117" t="s">
        <v>48</v>
      </c>
      <c r="AJ117" t="s">
        <v>48</v>
      </c>
      <c r="AK117" t="s">
        <v>48</v>
      </c>
      <c r="AL117" t="s">
        <v>48</v>
      </c>
      <c r="AM117" t="s">
        <v>48</v>
      </c>
      <c r="AN117" t="s">
        <v>48</v>
      </c>
      <c r="AO117" t="s">
        <v>48</v>
      </c>
      <c r="AP117" s="46">
        <v>0</v>
      </c>
      <c r="AQ117" s="46">
        <v>0</v>
      </c>
      <c r="AR117" s="46">
        <v>0</v>
      </c>
      <c r="AS117" s="46">
        <v>0</v>
      </c>
      <c r="AT117" s="46">
        <v>0</v>
      </c>
      <c r="AU117" s="46">
        <v>0</v>
      </c>
      <c r="AV117" s="46">
        <v>0</v>
      </c>
      <c r="AW117" s="46">
        <v>0</v>
      </c>
      <c r="AX117" s="46">
        <v>0</v>
      </c>
      <c r="AY117" s="46">
        <v>0</v>
      </c>
      <c r="AZ117" s="46">
        <v>0</v>
      </c>
      <c r="BA117" s="46">
        <v>0</v>
      </c>
      <c r="BB117" s="46">
        <v>0</v>
      </c>
      <c r="BC117" s="46">
        <v>0</v>
      </c>
      <c r="BD117" s="46">
        <v>0</v>
      </c>
      <c r="BE117" s="46">
        <v>0</v>
      </c>
      <c r="BF117" s="46">
        <v>0</v>
      </c>
      <c r="BG117" s="46" t="s">
        <v>48</v>
      </c>
      <c r="BH117" s="46">
        <v>0</v>
      </c>
      <c r="BI117" s="46">
        <v>0</v>
      </c>
      <c r="BJ117" s="46">
        <v>0</v>
      </c>
      <c r="BK117" s="46">
        <v>0</v>
      </c>
      <c r="BL117" s="46">
        <v>0</v>
      </c>
      <c r="BM117" s="46">
        <v>0</v>
      </c>
      <c r="BN117" s="46">
        <v>0</v>
      </c>
    </row>
    <row r="118" spans="1:66" x14ac:dyDescent="0.35">
      <c r="A118" t="s">
        <v>1785</v>
      </c>
      <c r="B118" s="44" t="s">
        <v>48</v>
      </c>
      <c r="C118" t="s">
        <v>1240</v>
      </c>
      <c r="D118" t="s">
        <v>237</v>
      </c>
      <c r="E118" t="s">
        <v>1787</v>
      </c>
      <c r="F118" t="s">
        <v>1786</v>
      </c>
      <c r="G118" t="s">
        <v>74</v>
      </c>
      <c r="H118">
        <v>0</v>
      </c>
      <c r="I118" s="61" t="s">
        <v>11160</v>
      </c>
      <c r="J118" s="33" t="s">
        <v>96</v>
      </c>
      <c r="K118" s="46">
        <v>1</v>
      </c>
      <c r="L118" t="s">
        <v>48</v>
      </c>
      <c r="M118" t="s">
        <v>48</v>
      </c>
      <c r="N118" s="46">
        <v>0</v>
      </c>
      <c r="O118" s="46">
        <v>0</v>
      </c>
      <c r="P118" s="46">
        <v>0</v>
      </c>
      <c r="Q118" t="s">
        <v>48</v>
      </c>
      <c r="R118" t="s">
        <v>48</v>
      </c>
      <c r="S118" t="s">
        <v>11332</v>
      </c>
      <c r="T118" t="s">
        <v>1788</v>
      </c>
      <c r="U118" t="s">
        <v>48</v>
      </c>
      <c r="V118" s="47">
        <v>0</v>
      </c>
      <c r="W118" t="s">
        <v>48</v>
      </c>
      <c r="X118" t="s">
        <v>48</v>
      </c>
      <c r="Y118" t="s">
        <v>48</v>
      </c>
      <c r="Z118">
        <v>0</v>
      </c>
      <c r="AA118" t="s">
        <v>48</v>
      </c>
      <c r="AB118" t="s">
        <v>48</v>
      </c>
      <c r="AC118" t="s">
        <v>49</v>
      </c>
      <c r="AD118" t="s">
        <v>93</v>
      </c>
      <c r="AE118" t="s">
        <v>4532</v>
      </c>
      <c r="AF118" t="s">
        <v>48</v>
      </c>
      <c r="AG118" t="s">
        <v>48</v>
      </c>
      <c r="AH118" t="s">
        <v>48</v>
      </c>
      <c r="AI118">
        <v>20707</v>
      </c>
      <c r="AJ118">
        <v>1973</v>
      </c>
      <c r="AK118" t="s">
        <v>8482</v>
      </c>
      <c r="AL118" t="s">
        <v>8483</v>
      </c>
      <c r="AM118">
        <v>-0.27100000000000002</v>
      </c>
      <c r="AN118">
        <v>-0.19600000000000001</v>
      </c>
      <c r="AO118">
        <v>-0.27100000000000002</v>
      </c>
      <c r="AP118" s="46">
        <v>0</v>
      </c>
      <c r="AQ118" s="46">
        <v>0</v>
      </c>
      <c r="AR118" s="46">
        <v>0</v>
      </c>
      <c r="AS118" s="46">
        <v>0</v>
      </c>
      <c r="AT118" s="46">
        <v>0</v>
      </c>
      <c r="AU118" s="46">
        <v>0</v>
      </c>
      <c r="AV118" s="46">
        <v>0</v>
      </c>
      <c r="AW118" s="46">
        <v>0</v>
      </c>
      <c r="AX118" s="46">
        <v>0</v>
      </c>
      <c r="AY118" s="46">
        <v>0</v>
      </c>
      <c r="AZ118" s="46">
        <v>0</v>
      </c>
      <c r="BA118" s="46">
        <v>0</v>
      </c>
      <c r="BB118" s="46">
        <v>0</v>
      </c>
      <c r="BC118" s="46">
        <v>0</v>
      </c>
      <c r="BD118" s="46">
        <v>0</v>
      </c>
      <c r="BE118" s="46">
        <v>0</v>
      </c>
      <c r="BF118" s="46">
        <v>0</v>
      </c>
      <c r="BG118" s="46" t="s">
        <v>48</v>
      </c>
      <c r="BH118" s="46">
        <v>0</v>
      </c>
      <c r="BI118" s="46">
        <v>0</v>
      </c>
      <c r="BJ118" s="46">
        <v>0</v>
      </c>
      <c r="BK118" s="46">
        <v>0</v>
      </c>
      <c r="BL118" s="46">
        <v>0</v>
      </c>
      <c r="BM118" s="46">
        <v>0</v>
      </c>
      <c r="BN118" s="46">
        <v>0</v>
      </c>
    </row>
    <row r="119" spans="1:66" x14ac:dyDescent="0.35">
      <c r="A119" t="s">
        <v>1806</v>
      </c>
      <c r="B119" s="44" t="s">
        <v>48</v>
      </c>
      <c r="C119" t="s">
        <v>1809</v>
      </c>
      <c r="D119" t="s">
        <v>367</v>
      </c>
      <c r="E119" t="s">
        <v>1807</v>
      </c>
      <c r="F119" t="s">
        <v>1790</v>
      </c>
      <c r="G119" t="s">
        <v>47</v>
      </c>
      <c r="H119">
        <v>0</v>
      </c>
      <c r="I119" s="60" t="s">
        <v>149</v>
      </c>
      <c r="J119" s="33" t="s">
        <v>96</v>
      </c>
      <c r="K119" s="46">
        <v>0</v>
      </c>
      <c r="L119">
        <v>9.4</v>
      </c>
      <c r="M119" t="s">
        <v>48</v>
      </c>
      <c r="N119" s="46">
        <v>0</v>
      </c>
      <c r="O119" s="46">
        <v>0</v>
      </c>
      <c r="P119" s="46">
        <v>0</v>
      </c>
      <c r="Q119" t="s">
        <v>48</v>
      </c>
      <c r="R119" t="s">
        <v>48</v>
      </c>
      <c r="S119" t="s">
        <v>1808</v>
      </c>
      <c r="T119" t="s">
        <v>48</v>
      </c>
      <c r="U119" t="s">
        <v>1808</v>
      </c>
      <c r="V119" s="47">
        <v>0</v>
      </c>
      <c r="W119" t="s">
        <v>48</v>
      </c>
      <c r="X119" t="s">
        <v>48</v>
      </c>
      <c r="Y119" t="s">
        <v>48</v>
      </c>
      <c r="Z119">
        <v>0</v>
      </c>
      <c r="AA119" t="s">
        <v>48</v>
      </c>
      <c r="AB119" t="s">
        <v>48</v>
      </c>
      <c r="AC119" t="s">
        <v>49</v>
      </c>
      <c r="AD119" t="s">
        <v>93</v>
      </c>
      <c r="AE119" t="s">
        <v>4532</v>
      </c>
      <c r="AF119" t="s">
        <v>48</v>
      </c>
      <c r="AG119" t="s">
        <v>48</v>
      </c>
      <c r="AH119" t="s">
        <v>48</v>
      </c>
      <c r="AI119" t="s">
        <v>48</v>
      </c>
      <c r="AJ119" t="s">
        <v>48</v>
      </c>
      <c r="AK119" t="s">
        <v>48</v>
      </c>
      <c r="AL119" t="s">
        <v>48</v>
      </c>
      <c r="AM119" t="s">
        <v>48</v>
      </c>
      <c r="AN119" t="s">
        <v>48</v>
      </c>
      <c r="AO119" t="s">
        <v>48</v>
      </c>
      <c r="AP119" s="46">
        <v>0</v>
      </c>
      <c r="AQ119" s="46">
        <v>0</v>
      </c>
      <c r="AR119" s="46">
        <v>0</v>
      </c>
      <c r="AS119" s="46">
        <v>0</v>
      </c>
      <c r="AT119" s="46">
        <v>0</v>
      </c>
      <c r="AU119" s="46">
        <v>0</v>
      </c>
      <c r="AV119" s="46">
        <v>0</v>
      </c>
      <c r="AW119" s="46">
        <v>0</v>
      </c>
      <c r="AX119" s="46">
        <v>0</v>
      </c>
      <c r="AY119" s="46">
        <v>0</v>
      </c>
      <c r="AZ119" s="46">
        <v>0</v>
      </c>
      <c r="BA119" s="46">
        <v>0</v>
      </c>
      <c r="BB119" s="46">
        <v>0</v>
      </c>
      <c r="BC119" s="46">
        <v>0</v>
      </c>
      <c r="BD119" s="46">
        <v>0</v>
      </c>
      <c r="BE119" s="46">
        <v>0</v>
      </c>
      <c r="BF119" s="46">
        <v>0</v>
      </c>
      <c r="BG119" s="46" t="s">
        <v>48</v>
      </c>
      <c r="BH119" s="46">
        <v>0</v>
      </c>
      <c r="BI119" s="46">
        <v>0</v>
      </c>
      <c r="BJ119" s="46">
        <v>0</v>
      </c>
      <c r="BK119" s="46">
        <v>0</v>
      </c>
      <c r="BL119" s="46">
        <v>0</v>
      </c>
      <c r="BM119" s="46">
        <v>0</v>
      </c>
      <c r="BN119" s="46">
        <v>0</v>
      </c>
    </row>
    <row r="120" spans="1:66" x14ac:dyDescent="0.35">
      <c r="A120" t="s">
        <v>1796</v>
      </c>
      <c r="B120" s="44" t="s">
        <v>48</v>
      </c>
      <c r="C120" t="s">
        <v>1800</v>
      </c>
      <c r="D120" t="s">
        <v>1799</v>
      </c>
      <c r="E120" t="s">
        <v>1797</v>
      </c>
      <c r="F120" t="s">
        <v>1790</v>
      </c>
      <c r="G120" t="s">
        <v>47</v>
      </c>
      <c r="H120">
        <v>0</v>
      </c>
      <c r="I120" s="60" t="s">
        <v>125</v>
      </c>
      <c r="J120" s="33" t="s">
        <v>96</v>
      </c>
      <c r="K120" s="46">
        <v>0</v>
      </c>
      <c r="L120">
        <v>40</v>
      </c>
      <c r="M120" t="s">
        <v>48</v>
      </c>
      <c r="N120" s="46">
        <v>0</v>
      </c>
      <c r="O120" s="46">
        <v>0</v>
      </c>
      <c r="P120" s="46">
        <v>0</v>
      </c>
      <c r="Q120" t="s">
        <v>48</v>
      </c>
      <c r="R120" t="s">
        <v>48</v>
      </c>
      <c r="S120" t="s">
        <v>1798</v>
      </c>
      <c r="T120" t="s">
        <v>48</v>
      </c>
      <c r="U120" t="s">
        <v>1798</v>
      </c>
      <c r="V120" s="47">
        <v>0</v>
      </c>
      <c r="W120" t="s">
        <v>48</v>
      </c>
      <c r="X120" t="s">
        <v>48</v>
      </c>
      <c r="Y120" t="s">
        <v>48</v>
      </c>
      <c r="Z120">
        <v>0</v>
      </c>
      <c r="AA120" t="s">
        <v>48</v>
      </c>
      <c r="AB120" t="s">
        <v>48</v>
      </c>
      <c r="AC120" t="s">
        <v>63</v>
      </c>
      <c r="AD120" t="s">
        <v>93</v>
      </c>
      <c r="AE120" t="s">
        <v>4532</v>
      </c>
      <c r="AF120" t="s">
        <v>48</v>
      </c>
      <c r="AG120" t="s">
        <v>48</v>
      </c>
      <c r="AH120" t="s">
        <v>48</v>
      </c>
      <c r="AI120" t="s">
        <v>48</v>
      </c>
      <c r="AJ120" t="s">
        <v>48</v>
      </c>
      <c r="AK120" t="s">
        <v>48</v>
      </c>
      <c r="AL120" t="s">
        <v>48</v>
      </c>
      <c r="AM120" t="s">
        <v>48</v>
      </c>
      <c r="AN120" t="s">
        <v>48</v>
      </c>
      <c r="AO120" t="s">
        <v>48</v>
      </c>
      <c r="AP120" s="46">
        <v>0</v>
      </c>
      <c r="AQ120" s="46">
        <v>0</v>
      </c>
      <c r="AR120" s="46">
        <v>0</v>
      </c>
      <c r="AS120" s="46">
        <v>0</v>
      </c>
      <c r="AT120" s="46">
        <v>0</v>
      </c>
      <c r="AU120" s="46">
        <v>0</v>
      </c>
      <c r="AV120" s="46">
        <v>0</v>
      </c>
      <c r="AW120" s="46">
        <v>0</v>
      </c>
      <c r="AX120" s="46">
        <v>0</v>
      </c>
      <c r="AY120" s="46">
        <v>0</v>
      </c>
      <c r="AZ120" s="46">
        <v>0</v>
      </c>
      <c r="BA120" s="46">
        <v>0</v>
      </c>
      <c r="BB120" s="46">
        <v>0</v>
      </c>
      <c r="BC120" s="46">
        <v>0</v>
      </c>
      <c r="BD120" s="46">
        <v>0</v>
      </c>
      <c r="BE120" s="46">
        <v>0</v>
      </c>
      <c r="BF120" s="46">
        <v>0</v>
      </c>
      <c r="BG120" s="46" t="s">
        <v>48</v>
      </c>
      <c r="BH120" s="46">
        <v>0</v>
      </c>
      <c r="BI120" s="46">
        <v>0</v>
      </c>
      <c r="BJ120" s="46">
        <v>0</v>
      </c>
      <c r="BK120" s="46">
        <v>0</v>
      </c>
      <c r="BL120" s="46">
        <v>0</v>
      </c>
      <c r="BM120" s="46">
        <v>0</v>
      </c>
      <c r="BN120" s="46">
        <v>0</v>
      </c>
    </row>
    <row r="121" spans="1:66" x14ac:dyDescent="0.35">
      <c r="A121" t="s">
        <v>1815</v>
      </c>
      <c r="B121" s="44" t="s">
        <v>48</v>
      </c>
      <c r="C121" t="s">
        <v>1819</v>
      </c>
      <c r="D121" t="s">
        <v>253</v>
      </c>
      <c r="E121" t="s">
        <v>1817</v>
      </c>
      <c r="F121" t="s">
        <v>1816</v>
      </c>
      <c r="G121" t="s">
        <v>74</v>
      </c>
      <c r="H121">
        <v>0</v>
      </c>
      <c r="I121" s="60" t="s">
        <v>51</v>
      </c>
      <c r="J121" s="33" t="s">
        <v>96</v>
      </c>
      <c r="K121" s="46">
        <v>1</v>
      </c>
      <c r="L121" t="s">
        <v>48</v>
      </c>
      <c r="M121" t="s">
        <v>48</v>
      </c>
      <c r="N121" s="46">
        <v>0</v>
      </c>
      <c r="O121" s="46">
        <v>0</v>
      </c>
      <c r="P121" s="46">
        <v>0</v>
      </c>
      <c r="Q121" t="s">
        <v>48</v>
      </c>
      <c r="R121" t="s">
        <v>48</v>
      </c>
      <c r="S121" t="s">
        <v>48</v>
      </c>
      <c r="T121" t="s">
        <v>1818</v>
      </c>
      <c r="U121" t="s">
        <v>48</v>
      </c>
      <c r="V121" s="47">
        <v>0</v>
      </c>
      <c r="W121" t="s">
        <v>48</v>
      </c>
      <c r="X121" t="s">
        <v>48</v>
      </c>
      <c r="Y121" t="s">
        <v>48</v>
      </c>
      <c r="Z121">
        <v>0</v>
      </c>
      <c r="AA121" t="s">
        <v>48</v>
      </c>
      <c r="AB121" t="s">
        <v>48</v>
      </c>
      <c r="AC121" t="s">
        <v>49</v>
      </c>
      <c r="AD121" t="s">
        <v>93</v>
      </c>
      <c r="AE121" t="s">
        <v>4532</v>
      </c>
      <c r="AF121" t="s">
        <v>48</v>
      </c>
      <c r="AG121" t="s">
        <v>48</v>
      </c>
      <c r="AH121" t="s">
        <v>48</v>
      </c>
      <c r="AI121">
        <v>15015</v>
      </c>
      <c r="AJ121">
        <v>1947</v>
      </c>
      <c r="AK121" t="s">
        <v>8486</v>
      </c>
      <c r="AL121" t="s">
        <v>8487</v>
      </c>
      <c r="AM121">
        <v>-0.17699999999999999</v>
      </c>
      <c r="AN121">
        <v>-0.223</v>
      </c>
      <c r="AO121">
        <v>-0.17699999999999999</v>
      </c>
      <c r="AP121" s="46">
        <v>0</v>
      </c>
      <c r="AQ121" s="46">
        <v>0</v>
      </c>
      <c r="AR121" s="46">
        <v>0</v>
      </c>
      <c r="AS121" s="46">
        <v>0</v>
      </c>
      <c r="AT121" s="46">
        <v>0</v>
      </c>
      <c r="AU121" s="46">
        <v>0</v>
      </c>
      <c r="AV121" s="46">
        <v>0</v>
      </c>
      <c r="AW121" s="46">
        <v>0</v>
      </c>
      <c r="AX121" s="46">
        <v>0</v>
      </c>
      <c r="AY121" s="46">
        <v>0</v>
      </c>
      <c r="AZ121" s="46">
        <v>0</v>
      </c>
      <c r="BA121" s="46">
        <v>0</v>
      </c>
      <c r="BB121" s="46">
        <v>0</v>
      </c>
      <c r="BC121" s="46">
        <v>0</v>
      </c>
      <c r="BD121" s="46">
        <v>0</v>
      </c>
      <c r="BE121" s="46">
        <v>0</v>
      </c>
      <c r="BF121" s="46">
        <v>0</v>
      </c>
      <c r="BG121" s="46" t="s">
        <v>48</v>
      </c>
      <c r="BH121" s="46">
        <v>0</v>
      </c>
      <c r="BI121" s="46">
        <v>0</v>
      </c>
      <c r="BJ121" s="46">
        <v>0</v>
      </c>
      <c r="BK121" s="46">
        <v>0</v>
      </c>
      <c r="BL121" s="46">
        <v>1</v>
      </c>
      <c r="BM121" s="46">
        <v>0</v>
      </c>
      <c r="BN121" s="46">
        <v>0</v>
      </c>
    </row>
    <row r="122" spans="1:66" x14ac:dyDescent="0.35">
      <c r="A122" t="s">
        <v>1820</v>
      </c>
      <c r="B122" s="44" t="s">
        <v>48</v>
      </c>
      <c r="C122" t="s">
        <v>1825</v>
      </c>
      <c r="D122" t="s">
        <v>216</v>
      </c>
      <c r="E122" t="s">
        <v>1822</v>
      </c>
      <c r="F122" t="s">
        <v>1821</v>
      </c>
      <c r="G122" t="s">
        <v>74</v>
      </c>
      <c r="H122">
        <v>0</v>
      </c>
      <c r="I122" s="60" t="s">
        <v>51</v>
      </c>
      <c r="J122" s="33" t="s">
        <v>96</v>
      </c>
      <c r="K122" s="46">
        <v>1</v>
      </c>
      <c r="L122" t="s">
        <v>48</v>
      </c>
      <c r="M122" t="s">
        <v>48</v>
      </c>
      <c r="N122" s="46">
        <v>0</v>
      </c>
      <c r="O122" s="46">
        <v>0</v>
      </c>
      <c r="P122" s="46">
        <v>0</v>
      </c>
      <c r="Q122" t="s">
        <v>48</v>
      </c>
      <c r="R122" t="s">
        <v>48</v>
      </c>
      <c r="S122" t="s">
        <v>1823</v>
      </c>
      <c r="T122" t="s">
        <v>1824</v>
      </c>
      <c r="U122" t="s">
        <v>1823</v>
      </c>
      <c r="V122" s="47">
        <v>0</v>
      </c>
      <c r="W122" t="s">
        <v>48</v>
      </c>
      <c r="X122" t="s">
        <v>48</v>
      </c>
      <c r="Y122" t="s">
        <v>48</v>
      </c>
      <c r="Z122">
        <v>0</v>
      </c>
      <c r="AA122" t="s">
        <v>48</v>
      </c>
      <c r="AB122">
        <v>2010</v>
      </c>
      <c r="AC122" t="s">
        <v>49</v>
      </c>
      <c r="AD122" t="s">
        <v>93</v>
      </c>
      <c r="AE122" t="s">
        <v>4532</v>
      </c>
      <c r="AF122" t="s">
        <v>48</v>
      </c>
      <c r="AG122" t="s">
        <v>466</v>
      </c>
      <c r="AH122" t="s">
        <v>93</v>
      </c>
      <c r="AI122">
        <v>40916</v>
      </c>
      <c r="AJ122">
        <v>1963</v>
      </c>
      <c r="AK122" t="s">
        <v>8488</v>
      </c>
      <c r="AL122" t="s">
        <v>8489</v>
      </c>
      <c r="AM122">
        <v>-0.23</v>
      </c>
      <c r="AN122">
        <v>-0.21199999999999999</v>
      </c>
      <c r="AO122">
        <v>-0.23</v>
      </c>
      <c r="AP122" s="46">
        <v>0</v>
      </c>
      <c r="AQ122" s="46">
        <v>0</v>
      </c>
      <c r="AR122" s="46">
        <v>0</v>
      </c>
      <c r="AS122" s="46">
        <v>0</v>
      </c>
      <c r="AT122" s="46">
        <v>0</v>
      </c>
      <c r="AU122" s="46">
        <v>0</v>
      </c>
      <c r="AV122" s="46">
        <v>0</v>
      </c>
      <c r="AW122" s="46">
        <v>0</v>
      </c>
      <c r="AX122" s="46">
        <v>0</v>
      </c>
      <c r="AY122" s="46">
        <v>0</v>
      </c>
      <c r="AZ122" s="46">
        <v>0</v>
      </c>
      <c r="BA122" s="46">
        <v>0</v>
      </c>
      <c r="BB122" s="46">
        <v>0</v>
      </c>
      <c r="BC122" s="46">
        <v>0</v>
      </c>
      <c r="BD122" s="46">
        <v>0</v>
      </c>
      <c r="BE122" s="46">
        <v>0</v>
      </c>
      <c r="BF122" s="46">
        <v>0</v>
      </c>
      <c r="BG122" s="46" t="s">
        <v>48</v>
      </c>
      <c r="BH122" s="46">
        <v>0</v>
      </c>
      <c r="BI122" s="46">
        <v>0</v>
      </c>
      <c r="BJ122" s="46">
        <v>0</v>
      </c>
      <c r="BK122" s="46">
        <v>0</v>
      </c>
      <c r="BL122" s="46">
        <v>1</v>
      </c>
      <c r="BM122" s="46">
        <v>0</v>
      </c>
      <c r="BN122" s="46">
        <v>0</v>
      </c>
    </row>
    <row r="123" spans="1:66" x14ac:dyDescent="0.35">
      <c r="A123" t="s">
        <v>2177</v>
      </c>
      <c r="B123" s="44" t="s">
        <v>48</v>
      </c>
      <c r="C123" t="s">
        <v>885</v>
      </c>
      <c r="D123" t="s">
        <v>421</v>
      </c>
      <c r="E123" t="s">
        <v>2179</v>
      </c>
      <c r="F123" t="s">
        <v>2178</v>
      </c>
      <c r="G123" t="s">
        <v>47</v>
      </c>
      <c r="H123">
        <v>0</v>
      </c>
      <c r="I123" s="60" t="s">
        <v>51</v>
      </c>
      <c r="J123" s="33" t="s">
        <v>96</v>
      </c>
      <c r="K123" s="46">
        <v>1</v>
      </c>
      <c r="L123" t="s">
        <v>48</v>
      </c>
      <c r="M123" t="s">
        <v>48</v>
      </c>
      <c r="N123" s="46">
        <v>0</v>
      </c>
      <c r="O123" s="46">
        <v>0</v>
      </c>
      <c r="P123" s="46">
        <v>0</v>
      </c>
      <c r="Q123" t="s">
        <v>48</v>
      </c>
      <c r="R123" t="s">
        <v>48</v>
      </c>
      <c r="S123" s="72" t="s">
        <v>11587</v>
      </c>
      <c r="T123" t="s">
        <v>2180</v>
      </c>
      <c r="U123" t="s">
        <v>48</v>
      </c>
      <c r="V123" s="47" t="s">
        <v>11588</v>
      </c>
      <c r="W123" t="s">
        <v>48</v>
      </c>
      <c r="X123" t="s">
        <v>48</v>
      </c>
      <c r="Y123" t="s">
        <v>48</v>
      </c>
      <c r="Z123">
        <v>0</v>
      </c>
      <c r="AA123" t="s">
        <v>48</v>
      </c>
      <c r="AB123" t="s">
        <v>48</v>
      </c>
      <c r="AC123" t="s">
        <v>49</v>
      </c>
      <c r="AD123" t="s">
        <v>93</v>
      </c>
      <c r="AE123" t="s">
        <v>4532</v>
      </c>
      <c r="AF123" t="s">
        <v>48</v>
      </c>
      <c r="AG123" t="s">
        <v>48</v>
      </c>
      <c r="AH123" t="s">
        <v>48</v>
      </c>
      <c r="AI123">
        <v>41903</v>
      </c>
      <c r="AJ123">
        <v>1952</v>
      </c>
      <c r="AK123" t="s">
        <v>8492</v>
      </c>
      <c r="AL123" t="s">
        <v>8493</v>
      </c>
      <c r="AM123">
        <v>0.65200000000000002</v>
      </c>
      <c r="AN123">
        <v>0.16800000000000001</v>
      </c>
      <c r="AO123">
        <v>0.65200000000000002</v>
      </c>
      <c r="AP123" s="46">
        <v>0</v>
      </c>
      <c r="AQ123" s="46">
        <v>0</v>
      </c>
      <c r="AR123" s="46">
        <v>0</v>
      </c>
      <c r="AS123" s="46">
        <v>0</v>
      </c>
      <c r="AT123" s="46">
        <v>0</v>
      </c>
      <c r="AU123" s="46">
        <v>0</v>
      </c>
      <c r="AV123" s="46">
        <v>0</v>
      </c>
      <c r="AW123" s="46">
        <v>0</v>
      </c>
      <c r="AX123" s="46">
        <v>0</v>
      </c>
      <c r="AY123" s="46">
        <v>0</v>
      </c>
      <c r="AZ123" s="46">
        <v>0</v>
      </c>
      <c r="BA123" s="46">
        <v>0</v>
      </c>
      <c r="BB123" s="46">
        <v>0</v>
      </c>
      <c r="BC123" s="46">
        <v>0</v>
      </c>
      <c r="BD123" s="46">
        <v>0</v>
      </c>
      <c r="BE123" s="46">
        <v>0</v>
      </c>
      <c r="BF123" s="46">
        <v>0</v>
      </c>
      <c r="BG123" s="46" t="s">
        <v>48</v>
      </c>
      <c r="BH123" s="46">
        <v>0</v>
      </c>
      <c r="BI123" s="46">
        <v>0</v>
      </c>
      <c r="BJ123" s="46">
        <v>0</v>
      </c>
      <c r="BK123" s="46">
        <v>0</v>
      </c>
      <c r="BL123" s="46">
        <v>0</v>
      </c>
      <c r="BM123" s="46">
        <v>0</v>
      </c>
      <c r="BN123" s="46">
        <v>1</v>
      </c>
    </row>
    <row r="124" spans="1:66" x14ac:dyDescent="0.35">
      <c r="A124" t="s">
        <v>10636</v>
      </c>
      <c r="B124" s="44" t="s">
        <v>48</v>
      </c>
      <c r="C124" t="s">
        <v>2671</v>
      </c>
      <c r="D124" t="s">
        <v>195</v>
      </c>
      <c r="E124" t="s">
        <v>10637</v>
      </c>
      <c r="F124" t="s">
        <v>2181</v>
      </c>
      <c r="G124" t="s">
        <v>74</v>
      </c>
      <c r="H124">
        <v>0</v>
      </c>
      <c r="I124" s="60" t="s">
        <v>11552</v>
      </c>
      <c r="J124" s="33" t="s">
        <v>96</v>
      </c>
      <c r="K124" s="46">
        <v>0</v>
      </c>
      <c r="L124">
        <v>6.3</v>
      </c>
      <c r="M124" t="s">
        <v>48</v>
      </c>
      <c r="N124" s="46">
        <v>0</v>
      </c>
      <c r="O124" s="46">
        <v>0</v>
      </c>
      <c r="P124" s="46">
        <v>0</v>
      </c>
      <c r="Q124" t="s">
        <v>48</v>
      </c>
      <c r="R124" t="s">
        <v>48</v>
      </c>
      <c r="S124" t="s">
        <v>11476</v>
      </c>
      <c r="T124" t="s">
        <v>48</v>
      </c>
      <c r="U124" t="s">
        <v>10638</v>
      </c>
      <c r="V124" s="47">
        <v>0</v>
      </c>
      <c r="W124" t="s">
        <v>48</v>
      </c>
      <c r="X124" t="s">
        <v>48</v>
      </c>
      <c r="Y124" t="s">
        <v>48</v>
      </c>
      <c r="Z124">
        <v>0</v>
      </c>
      <c r="AA124" t="s">
        <v>48</v>
      </c>
      <c r="AB124" t="s">
        <v>48</v>
      </c>
      <c r="AC124" t="s">
        <v>49</v>
      </c>
      <c r="AD124" t="s">
        <v>93</v>
      </c>
      <c r="AE124" t="s">
        <v>4532</v>
      </c>
      <c r="AF124" t="s">
        <v>48</v>
      </c>
      <c r="AG124" t="s">
        <v>48</v>
      </c>
      <c r="AH124" t="s">
        <v>48</v>
      </c>
      <c r="AI124" t="s">
        <v>48</v>
      </c>
      <c r="AJ124" t="s">
        <v>48</v>
      </c>
      <c r="AK124" t="s">
        <v>48</v>
      </c>
      <c r="AL124" t="s">
        <v>48</v>
      </c>
      <c r="AM124" t="s">
        <v>48</v>
      </c>
      <c r="AN124" t="s">
        <v>48</v>
      </c>
      <c r="AO124" t="s">
        <v>48</v>
      </c>
      <c r="AP124" s="46">
        <v>0</v>
      </c>
      <c r="AQ124" s="46">
        <v>0</v>
      </c>
      <c r="AR124" s="46">
        <v>0</v>
      </c>
      <c r="AS124" s="46">
        <v>0</v>
      </c>
      <c r="AT124" s="46">
        <v>0</v>
      </c>
      <c r="AU124" s="46">
        <v>0</v>
      </c>
      <c r="AV124" s="46">
        <v>0</v>
      </c>
      <c r="AW124" s="46">
        <v>0</v>
      </c>
      <c r="AX124" s="46">
        <v>0</v>
      </c>
      <c r="AY124" s="46">
        <v>0</v>
      </c>
      <c r="AZ124" s="46">
        <v>0</v>
      </c>
      <c r="BA124" s="46">
        <v>0</v>
      </c>
      <c r="BB124" s="46">
        <v>0</v>
      </c>
      <c r="BC124" s="46">
        <v>0</v>
      </c>
      <c r="BD124" s="46">
        <v>0</v>
      </c>
      <c r="BE124" s="46">
        <v>0</v>
      </c>
      <c r="BF124" s="46">
        <v>0</v>
      </c>
      <c r="BG124" s="46" t="s">
        <v>48</v>
      </c>
      <c r="BH124" s="46">
        <v>0</v>
      </c>
      <c r="BI124" s="46">
        <v>0</v>
      </c>
      <c r="BJ124" s="46">
        <v>0</v>
      </c>
      <c r="BK124" s="46">
        <v>0</v>
      </c>
      <c r="BL124" s="46">
        <v>0</v>
      </c>
      <c r="BM124" s="46">
        <v>0</v>
      </c>
      <c r="BN124" s="46">
        <v>0</v>
      </c>
    </row>
    <row r="125" spans="1:66" x14ac:dyDescent="0.35">
      <c r="A125" t="s">
        <v>10639</v>
      </c>
      <c r="B125" s="44" t="s">
        <v>48</v>
      </c>
      <c r="C125" t="s">
        <v>11851</v>
      </c>
      <c r="D125" t="s">
        <v>4834</v>
      </c>
      <c r="E125" t="s">
        <v>10640</v>
      </c>
      <c r="F125" t="s">
        <v>2181</v>
      </c>
      <c r="G125" t="s">
        <v>74</v>
      </c>
      <c r="H125">
        <v>0</v>
      </c>
      <c r="I125" s="60" t="s">
        <v>11552</v>
      </c>
      <c r="J125" s="33" t="s">
        <v>96</v>
      </c>
      <c r="K125" s="46">
        <v>0</v>
      </c>
      <c r="L125">
        <v>3.8</v>
      </c>
      <c r="M125" t="s">
        <v>48</v>
      </c>
      <c r="N125" s="46">
        <v>0</v>
      </c>
      <c r="O125" s="46">
        <v>0</v>
      </c>
      <c r="P125" s="46">
        <v>0</v>
      </c>
      <c r="Q125" t="s">
        <v>48</v>
      </c>
      <c r="R125" t="s">
        <v>48</v>
      </c>
      <c r="S125" t="s">
        <v>11477</v>
      </c>
      <c r="T125" t="s">
        <v>48</v>
      </c>
      <c r="U125" t="s">
        <v>10641</v>
      </c>
      <c r="V125" s="47">
        <v>0</v>
      </c>
      <c r="W125" t="s">
        <v>48</v>
      </c>
      <c r="X125" t="s">
        <v>48</v>
      </c>
      <c r="Y125" t="s">
        <v>48</v>
      </c>
      <c r="Z125">
        <v>0</v>
      </c>
      <c r="AA125" t="s">
        <v>48</v>
      </c>
      <c r="AB125" t="s">
        <v>48</v>
      </c>
      <c r="AC125" t="s">
        <v>49</v>
      </c>
      <c r="AD125" t="s">
        <v>951</v>
      </c>
      <c r="AE125" t="s">
        <v>11051</v>
      </c>
      <c r="AF125" t="s">
        <v>48</v>
      </c>
      <c r="AG125" t="s">
        <v>48</v>
      </c>
      <c r="AH125" t="s">
        <v>48</v>
      </c>
      <c r="AI125" t="s">
        <v>48</v>
      </c>
      <c r="AJ125" t="s">
        <v>48</v>
      </c>
      <c r="AK125" t="s">
        <v>48</v>
      </c>
      <c r="AL125" t="s">
        <v>48</v>
      </c>
      <c r="AM125" t="s">
        <v>48</v>
      </c>
      <c r="AN125" t="s">
        <v>48</v>
      </c>
      <c r="AO125" t="s">
        <v>48</v>
      </c>
      <c r="AP125" s="46">
        <v>0</v>
      </c>
      <c r="AQ125" s="46">
        <v>0</v>
      </c>
      <c r="AR125" s="46">
        <v>0</v>
      </c>
      <c r="AS125" s="46">
        <v>0</v>
      </c>
      <c r="AT125" s="46">
        <v>0</v>
      </c>
      <c r="AU125" s="46">
        <v>0</v>
      </c>
      <c r="AV125" s="46">
        <v>0</v>
      </c>
      <c r="AW125" s="46">
        <v>0</v>
      </c>
      <c r="AX125" s="46">
        <v>0</v>
      </c>
      <c r="AY125" s="46">
        <v>0</v>
      </c>
      <c r="AZ125" s="46">
        <v>0</v>
      </c>
      <c r="BA125" s="46">
        <v>0</v>
      </c>
      <c r="BB125" s="46">
        <v>0</v>
      </c>
      <c r="BC125" s="46">
        <v>0</v>
      </c>
      <c r="BD125" s="46">
        <v>0</v>
      </c>
      <c r="BE125" s="46">
        <v>0</v>
      </c>
      <c r="BF125" s="46">
        <v>0</v>
      </c>
      <c r="BG125" s="46" t="s">
        <v>48</v>
      </c>
      <c r="BH125" s="46">
        <v>0</v>
      </c>
      <c r="BI125" s="46">
        <v>0</v>
      </c>
      <c r="BJ125" s="46">
        <v>0</v>
      </c>
      <c r="BK125" s="46">
        <v>0</v>
      </c>
      <c r="BL125" s="46">
        <v>0</v>
      </c>
      <c r="BM125" s="46">
        <v>0</v>
      </c>
      <c r="BN125" s="46">
        <v>0</v>
      </c>
    </row>
    <row r="126" spans="1:66" x14ac:dyDescent="0.35">
      <c r="A126" t="s">
        <v>2194</v>
      </c>
      <c r="B126" s="44" t="s">
        <v>48</v>
      </c>
      <c r="C126" t="s">
        <v>1344</v>
      </c>
      <c r="D126" t="s">
        <v>262</v>
      </c>
      <c r="E126" t="s">
        <v>2195</v>
      </c>
      <c r="F126" t="s">
        <v>2181</v>
      </c>
      <c r="G126" t="s">
        <v>74</v>
      </c>
      <c r="H126">
        <v>0</v>
      </c>
      <c r="I126" s="60" t="s">
        <v>51</v>
      </c>
      <c r="J126" s="33" t="s">
        <v>96</v>
      </c>
      <c r="K126" s="46">
        <v>0</v>
      </c>
      <c r="L126">
        <v>5.6</v>
      </c>
      <c r="M126" t="s">
        <v>48</v>
      </c>
      <c r="N126" s="46">
        <v>0</v>
      </c>
      <c r="O126" s="46">
        <v>0</v>
      </c>
      <c r="P126" s="46">
        <v>0</v>
      </c>
      <c r="Q126" t="s">
        <v>48</v>
      </c>
      <c r="R126" t="s">
        <v>48</v>
      </c>
      <c r="S126" t="s">
        <v>2196</v>
      </c>
      <c r="T126" t="s">
        <v>48</v>
      </c>
      <c r="U126" t="s">
        <v>2196</v>
      </c>
      <c r="V126" s="47">
        <v>1</v>
      </c>
      <c r="W126" t="s">
        <v>48</v>
      </c>
      <c r="X126" t="s">
        <v>48</v>
      </c>
      <c r="Y126" t="s">
        <v>48</v>
      </c>
      <c r="Z126">
        <v>0</v>
      </c>
      <c r="AA126" t="s">
        <v>48</v>
      </c>
      <c r="AB126" t="s">
        <v>48</v>
      </c>
      <c r="AC126" t="s">
        <v>49</v>
      </c>
      <c r="AD126" t="s">
        <v>951</v>
      </c>
      <c r="AE126" s="40" t="s">
        <v>11051</v>
      </c>
      <c r="AF126" t="s">
        <v>11063</v>
      </c>
      <c r="AG126" t="s">
        <v>48</v>
      </c>
      <c r="AH126" t="s">
        <v>48</v>
      </c>
      <c r="AI126" t="s">
        <v>48</v>
      </c>
      <c r="AJ126" t="s">
        <v>48</v>
      </c>
      <c r="AK126" t="s">
        <v>48</v>
      </c>
      <c r="AL126" t="s">
        <v>48</v>
      </c>
      <c r="AM126" t="s">
        <v>48</v>
      </c>
      <c r="AN126" t="s">
        <v>48</v>
      </c>
      <c r="AO126" t="s">
        <v>48</v>
      </c>
      <c r="AP126" s="46">
        <v>0</v>
      </c>
      <c r="AQ126" s="46">
        <v>0</v>
      </c>
      <c r="AR126" s="46">
        <v>0</v>
      </c>
      <c r="AS126" s="46">
        <v>0</v>
      </c>
      <c r="AT126" s="46">
        <v>0</v>
      </c>
      <c r="AU126" s="46">
        <v>0</v>
      </c>
      <c r="AV126" s="46">
        <v>0</v>
      </c>
      <c r="AW126" s="46">
        <v>0</v>
      </c>
      <c r="AX126" s="46">
        <v>0</v>
      </c>
      <c r="AY126" s="46">
        <v>0</v>
      </c>
      <c r="AZ126" s="46">
        <v>0</v>
      </c>
      <c r="BA126" s="46">
        <v>0</v>
      </c>
      <c r="BB126" s="46">
        <v>0</v>
      </c>
      <c r="BC126" s="46">
        <v>0</v>
      </c>
      <c r="BD126" s="46">
        <v>0</v>
      </c>
      <c r="BE126" s="46">
        <v>0</v>
      </c>
      <c r="BF126" s="46">
        <v>0</v>
      </c>
      <c r="BG126" s="46" t="s">
        <v>48</v>
      </c>
      <c r="BH126" s="46">
        <v>0</v>
      </c>
      <c r="BI126" s="46">
        <v>0</v>
      </c>
      <c r="BJ126" s="46">
        <v>0</v>
      </c>
      <c r="BK126" s="46">
        <v>0</v>
      </c>
      <c r="BL126" s="46">
        <v>0</v>
      </c>
      <c r="BM126" s="46">
        <v>0</v>
      </c>
      <c r="BN126" s="46">
        <v>0</v>
      </c>
    </row>
    <row r="127" spans="1:66" x14ac:dyDescent="0.35">
      <c r="A127" t="s">
        <v>2461</v>
      </c>
      <c r="B127" s="44" t="s">
        <v>48</v>
      </c>
      <c r="C127" t="s">
        <v>2466</v>
      </c>
      <c r="D127" t="s">
        <v>1867</v>
      </c>
      <c r="E127" t="s">
        <v>2463</v>
      </c>
      <c r="F127" t="s">
        <v>2462</v>
      </c>
      <c r="G127" t="s">
        <v>74</v>
      </c>
      <c r="H127">
        <v>0</v>
      </c>
      <c r="I127" s="60" t="s">
        <v>51</v>
      </c>
      <c r="J127" s="33" t="s">
        <v>96</v>
      </c>
      <c r="K127" s="46">
        <v>1</v>
      </c>
      <c r="L127" t="s">
        <v>48</v>
      </c>
      <c r="M127" t="s">
        <v>48</v>
      </c>
      <c r="N127" s="46">
        <v>0</v>
      </c>
      <c r="O127" s="46">
        <v>0</v>
      </c>
      <c r="P127" s="46">
        <v>0</v>
      </c>
      <c r="Q127" t="s">
        <v>48</v>
      </c>
      <c r="R127" t="s">
        <v>48</v>
      </c>
      <c r="S127" t="s">
        <v>2464</v>
      </c>
      <c r="T127" t="s">
        <v>2465</v>
      </c>
      <c r="U127" t="s">
        <v>2464</v>
      </c>
      <c r="V127" s="47">
        <v>0</v>
      </c>
      <c r="W127" t="s">
        <v>48</v>
      </c>
      <c r="X127" t="s">
        <v>48</v>
      </c>
      <c r="Y127" t="s">
        <v>48</v>
      </c>
      <c r="Z127">
        <v>1</v>
      </c>
      <c r="AA127" t="s">
        <v>48</v>
      </c>
      <c r="AB127">
        <v>2020</v>
      </c>
      <c r="AC127" t="s">
        <v>49</v>
      </c>
      <c r="AD127" t="s">
        <v>93</v>
      </c>
      <c r="AE127" t="s">
        <v>4532</v>
      </c>
      <c r="AF127" t="s">
        <v>48</v>
      </c>
      <c r="AG127" t="s">
        <v>48</v>
      </c>
      <c r="AH127" t="s">
        <v>48</v>
      </c>
      <c r="AI127">
        <v>42103</v>
      </c>
      <c r="AJ127">
        <v>1987</v>
      </c>
      <c r="AK127" t="s">
        <v>8494</v>
      </c>
      <c r="AL127" t="s">
        <v>8495</v>
      </c>
      <c r="AM127">
        <v>-0.45700000000000002</v>
      </c>
      <c r="AN127">
        <v>0.48299999999999998</v>
      </c>
      <c r="AO127">
        <v>-0.45700000000000002</v>
      </c>
      <c r="AP127" s="46">
        <v>0</v>
      </c>
      <c r="AQ127" s="46">
        <v>0</v>
      </c>
      <c r="AR127" s="46">
        <v>0</v>
      </c>
      <c r="AS127" s="46">
        <v>0</v>
      </c>
      <c r="AT127" s="46">
        <v>0</v>
      </c>
      <c r="AU127" s="46">
        <v>0</v>
      </c>
      <c r="AV127" s="46">
        <v>0</v>
      </c>
      <c r="AW127" s="46">
        <v>0</v>
      </c>
      <c r="AX127" s="46">
        <v>0</v>
      </c>
      <c r="AY127" s="46">
        <v>0</v>
      </c>
      <c r="AZ127" s="46">
        <v>0</v>
      </c>
      <c r="BA127" s="46">
        <v>0</v>
      </c>
      <c r="BB127" s="46">
        <v>0</v>
      </c>
      <c r="BC127" s="46">
        <v>0</v>
      </c>
      <c r="BD127" s="46">
        <v>0</v>
      </c>
      <c r="BE127" s="46">
        <v>0</v>
      </c>
      <c r="BF127" s="46">
        <v>0</v>
      </c>
      <c r="BG127" s="46" t="s">
        <v>48</v>
      </c>
      <c r="BH127" s="46">
        <v>0</v>
      </c>
      <c r="BI127" s="46">
        <v>0</v>
      </c>
      <c r="BJ127" s="46">
        <v>0</v>
      </c>
      <c r="BK127" s="46">
        <v>0</v>
      </c>
      <c r="BL127" s="46">
        <v>0</v>
      </c>
      <c r="BM127" s="46">
        <v>0</v>
      </c>
      <c r="BN127" s="46">
        <v>0</v>
      </c>
    </row>
    <row r="128" spans="1:66" x14ac:dyDescent="0.35">
      <c r="A128" t="s">
        <v>2467</v>
      </c>
      <c r="B128" s="44" t="s">
        <v>48</v>
      </c>
      <c r="C128" t="s">
        <v>2471</v>
      </c>
      <c r="D128" t="s">
        <v>467</v>
      </c>
      <c r="E128" t="s">
        <v>2469</v>
      </c>
      <c r="F128" t="s">
        <v>2468</v>
      </c>
      <c r="G128" t="s">
        <v>47</v>
      </c>
      <c r="H128">
        <v>0</v>
      </c>
      <c r="I128" s="60" t="s">
        <v>51</v>
      </c>
      <c r="J128" s="33" t="s">
        <v>96</v>
      </c>
      <c r="K128" s="46">
        <v>0</v>
      </c>
      <c r="L128">
        <v>13.4</v>
      </c>
      <c r="M128" t="s">
        <v>48</v>
      </c>
      <c r="N128" s="46">
        <v>0</v>
      </c>
      <c r="O128" s="46">
        <v>0</v>
      </c>
      <c r="P128" s="46">
        <v>0</v>
      </c>
      <c r="Q128" t="s">
        <v>48</v>
      </c>
      <c r="R128" t="s">
        <v>48</v>
      </c>
      <c r="S128" t="s">
        <v>2470</v>
      </c>
      <c r="T128" t="s">
        <v>48</v>
      </c>
      <c r="U128" t="s">
        <v>2470</v>
      </c>
      <c r="V128" s="47">
        <v>0</v>
      </c>
      <c r="W128" t="s">
        <v>48</v>
      </c>
      <c r="X128" t="s">
        <v>48</v>
      </c>
      <c r="Y128" t="s">
        <v>48</v>
      </c>
      <c r="Z128">
        <v>0</v>
      </c>
      <c r="AA128" t="s">
        <v>48</v>
      </c>
      <c r="AB128" t="s">
        <v>48</v>
      </c>
      <c r="AC128" t="s">
        <v>49</v>
      </c>
      <c r="AD128" t="s">
        <v>93</v>
      </c>
      <c r="AE128" t="s">
        <v>4532</v>
      </c>
      <c r="AF128" t="s">
        <v>48</v>
      </c>
      <c r="AG128" t="s">
        <v>48</v>
      </c>
      <c r="AH128" t="s">
        <v>48</v>
      </c>
      <c r="AI128" t="s">
        <v>48</v>
      </c>
      <c r="AJ128" t="s">
        <v>48</v>
      </c>
      <c r="AK128" t="s">
        <v>48</v>
      </c>
      <c r="AL128" t="s">
        <v>48</v>
      </c>
      <c r="AM128" t="s">
        <v>48</v>
      </c>
      <c r="AN128" t="s">
        <v>48</v>
      </c>
      <c r="AO128" t="s">
        <v>48</v>
      </c>
      <c r="AP128" s="46">
        <v>0</v>
      </c>
      <c r="AQ128" s="46">
        <v>0</v>
      </c>
      <c r="AR128" s="46">
        <v>0</v>
      </c>
      <c r="AS128" s="46">
        <v>0</v>
      </c>
      <c r="AT128" s="46">
        <v>0</v>
      </c>
      <c r="AU128" s="46">
        <v>0</v>
      </c>
      <c r="AV128" s="46">
        <v>0</v>
      </c>
      <c r="AW128" s="46">
        <v>0</v>
      </c>
      <c r="AX128" s="46">
        <v>0</v>
      </c>
      <c r="AY128" s="46">
        <v>0</v>
      </c>
      <c r="AZ128" s="46">
        <v>0</v>
      </c>
      <c r="BA128" s="46">
        <v>0</v>
      </c>
      <c r="BB128" s="46">
        <v>0</v>
      </c>
      <c r="BC128" s="46">
        <v>0</v>
      </c>
      <c r="BD128" s="46">
        <v>0</v>
      </c>
      <c r="BE128" s="46">
        <v>0</v>
      </c>
      <c r="BF128" s="46">
        <v>0</v>
      </c>
      <c r="BG128" s="46" t="s">
        <v>48</v>
      </c>
      <c r="BH128" s="46">
        <v>0</v>
      </c>
      <c r="BI128" s="46">
        <v>0</v>
      </c>
      <c r="BJ128" s="46">
        <v>0</v>
      </c>
      <c r="BK128" s="46">
        <v>0</v>
      </c>
      <c r="BL128" s="46">
        <v>0</v>
      </c>
      <c r="BM128" s="46">
        <v>0</v>
      </c>
      <c r="BN128" s="46">
        <v>0</v>
      </c>
    </row>
    <row r="129" spans="1:66" x14ac:dyDescent="0.35">
      <c r="A129" t="s">
        <v>2480</v>
      </c>
      <c r="B129" s="44" t="s">
        <v>48</v>
      </c>
      <c r="C129" t="s">
        <v>2482</v>
      </c>
      <c r="D129" t="s">
        <v>982</v>
      </c>
      <c r="E129" t="s">
        <v>2481</v>
      </c>
      <c r="F129" t="s">
        <v>2468</v>
      </c>
      <c r="G129" t="s">
        <v>47</v>
      </c>
      <c r="H129">
        <v>0</v>
      </c>
      <c r="I129" s="60" t="s">
        <v>125</v>
      </c>
      <c r="J129" s="33" t="s">
        <v>96</v>
      </c>
      <c r="K129" s="46">
        <v>0</v>
      </c>
      <c r="L129">
        <v>2.4</v>
      </c>
      <c r="M129" t="s">
        <v>48</v>
      </c>
      <c r="N129" s="46">
        <v>0</v>
      </c>
      <c r="O129" s="46">
        <v>0</v>
      </c>
      <c r="P129" s="46">
        <v>0</v>
      </c>
      <c r="Q129" t="s">
        <v>48</v>
      </c>
      <c r="R129" t="s">
        <v>48</v>
      </c>
      <c r="S129" t="s">
        <v>48</v>
      </c>
      <c r="T129" t="s">
        <v>48</v>
      </c>
      <c r="U129" t="s">
        <v>48</v>
      </c>
      <c r="V129" s="47">
        <v>0</v>
      </c>
      <c r="W129" t="s">
        <v>48</v>
      </c>
      <c r="X129" t="s">
        <v>48</v>
      </c>
      <c r="Y129" t="s">
        <v>48</v>
      </c>
      <c r="Z129">
        <v>0</v>
      </c>
      <c r="AA129" t="s">
        <v>48</v>
      </c>
      <c r="AB129" t="s">
        <v>48</v>
      </c>
      <c r="AC129" t="s">
        <v>49</v>
      </c>
      <c r="AD129" t="s">
        <v>93</v>
      </c>
      <c r="AE129" t="s">
        <v>2471</v>
      </c>
      <c r="AF129" t="s">
        <v>48</v>
      </c>
      <c r="AG129" t="s">
        <v>48</v>
      </c>
      <c r="AH129" t="s">
        <v>48</v>
      </c>
      <c r="AI129" t="s">
        <v>48</v>
      </c>
      <c r="AJ129" t="s">
        <v>48</v>
      </c>
      <c r="AK129" t="s">
        <v>48</v>
      </c>
      <c r="AL129" t="s">
        <v>48</v>
      </c>
      <c r="AM129" t="s">
        <v>48</v>
      </c>
      <c r="AN129" t="s">
        <v>48</v>
      </c>
      <c r="AO129" t="s">
        <v>48</v>
      </c>
      <c r="AP129" s="46">
        <v>0</v>
      </c>
      <c r="AQ129" s="46">
        <v>0</v>
      </c>
      <c r="AR129" s="46">
        <v>0</v>
      </c>
      <c r="AS129" s="46">
        <v>0</v>
      </c>
      <c r="AT129" s="46">
        <v>0</v>
      </c>
      <c r="AU129" s="46">
        <v>0</v>
      </c>
      <c r="AV129" s="46">
        <v>0</v>
      </c>
      <c r="AW129" s="46">
        <v>0</v>
      </c>
      <c r="AX129" s="46">
        <v>0</v>
      </c>
      <c r="AY129" s="46">
        <v>0</v>
      </c>
      <c r="AZ129" s="46">
        <v>0</v>
      </c>
      <c r="BA129" s="46">
        <v>0</v>
      </c>
      <c r="BB129" s="46">
        <v>0</v>
      </c>
      <c r="BC129" s="46">
        <v>0</v>
      </c>
      <c r="BD129" s="46">
        <v>0</v>
      </c>
      <c r="BE129" s="46">
        <v>0</v>
      </c>
      <c r="BF129" s="46">
        <v>0</v>
      </c>
      <c r="BG129" s="46" t="s">
        <v>48</v>
      </c>
      <c r="BH129" s="46">
        <v>0</v>
      </c>
      <c r="BI129" s="46">
        <v>0</v>
      </c>
      <c r="BJ129" s="46">
        <v>0</v>
      </c>
      <c r="BK129" s="46">
        <v>0</v>
      </c>
      <c r="BL129" s="46">
        <v>0</v>
      </c>
      <c r="BM129" s="46">
        <v>0</v>
      </c>
      <c r="BN129" s="46">
        <v>0</v>
      </c>
    </row>
    <row r="130" spans="1:66" x14ac:dyDescent="0.35">
      <c r="A130" t="s">
        <v>2472</v>
      </c>
      <c r="B130" s="44" t="s">
        <v>48</v>
      </c>
      <c r="C130" t="s">
        <v>2150</v>
      </c>
      <c r="D130" t="s">
        <v>316</v>
      </c>
      <c r="E130" t="s">
        <v>2473</v>
      </c>
      <c r="F130" t="s">
        <v>2468</v>
      </c>
      <c r="G130" t="s">
        <v>47</v>
      </c>
      <c r="H130">
        <v>0</v>
      </c>
      <c r="I130" s="60" t="s">
        <v>149</v>
      </c>
      <c r="J130" s="33" t="s">
        <v>96</v>
      </c>
      <c r="K130" s="46">
        <v>0</v>
      </c>
      <c r="L130">
        <v>4</v>
      </c>
      <c r="M130" t="s">
        <v>48</v>
      </c>
      <c r="N130" s="46">
        <v>0</v>
      </c>
      <c r="O130" s="46">
        <v>0</v>
      </c>
      <c r="P130" s="46">
        <v>0</v>
      </c>
      <c r="Q130" t="s">
        <v>48</v>
      </c>
      <c r="R130" t="s">
        <v>48</v>
      </c>
      <c r="S130" t="s">
        <v>2474</v>
      </c>
      <c r="T130" t="s">
        <v>48</v>
      </c>
      <c r="U130" t="s">
        <v>2474</v>
      </c>
      <c r="V130" s="47">
        <v>0</v>
      </c>
      <c r="W130" t="s">
        <v>48</v>
      </c>
      <c r="X130" t="s">
        <v>48</v>
      </c>
      <c r="Y130" t="s">
        <v>48</v>
      </c>
      <c r="Z130">
        <v>0</v>
      </c>
      <c r="AA130" t="s">
        <v>48</v>
      </c>
      <c r="AB130" t="s">
        <v>48</v>
      </c>
      <c r="AC130" t="s">
        <v>49</v>
      </c>
      <c r="AD130" t="s">
        <v>93</v>
      </c>
      <c r="AE130" t="s">
        <v>4532</v>
      </c>
      <c r="AF130" t="s">
        <v>48</v>
      </c>
      <c r="AG130" t="s">
        <v>48</v>
      </c>
      <c r="AH130" t="s">
        <v>48</v>
      </c>
      <c r="AI130" t="s">
        <v>48</v>
      </c>
      <c r="AJ130" t="s">
        <v>48</v>
      </c>
      <c r="AK130" t="s">
        <v>48</v>
      </c>
      <c r="AL130" t="s">
        <v>48</v>
      </c>
      <c r="AM130" t="s">
        <v>48</v>
      </c>
      <c r="AN130" t="s">
        <v>48</v>
      </c>
      <c r="AO130" t="s">
        <v>48</v>
      </c>
      <c r="AP130" s="46">
        <v>0</v>
      </c>
      <c r="AQ130" s="46">
        <v>0</v>
      </c>
      <c r="AR130" s="46">
        <v>0</v>
      </c>
      <c r="AS130" s="46">
        <v>0</v>
      </c>
      <c r="AT130" s="46">
        <v>0</v>
      </c>
      <c r="AU130" s="46">
        <v>0</v>
      </c>
      <c r="AV130" s="46">
        <v>0</v>
      </c>
      <c r="AW130" s="46">
        <v>0</v>
      </c>
      <c r="AX130" s="46">
        <v>0</v>
      </c>
      <c r="AY130" s="46">
        <v>0</v>
      </c>
      <c r="AZ130" s="46">
        <v>0</v>
      </c>
      <c r="BA130" s="46">
        <v>0</v>
      </c>
      <c r="BB130" s="46">
        <v>0</v>
      </c>
      <c r="BC130" s="46">
        <v>0</v>
      </c>
      <c r="BD130" s="46">
        <v>0</v>
      </c>
      <c r="BE130" s="46">
        <v>0</v>
      </c>
      <c r="BF130" s="46">
        <v>0</v>
      </c>
      <c r="BG130" s="46" t="s">
        <v>48</v>
      </c>
      <c r="BH130" s="46">
        <v>0</v>
      </c>
      <c r="BI130" s="46">
        <v>0</v>
      </c>
      <c r="BJ130" s="46">
        <v>0</v>
      </c>
      <c r="BK130" s="46">
        <v>0</v>
      </c>
      <c r="BL130" s="46">
        <v>0</v>
      </c>
      <c r="BM130" s="46">
        <v>0</v>
      </c>
      <c r="BN130" s="46">
        <v>0</v>
      </c>
    </row>
    <row r="131" spans="1:66" x14ac:dyDescent="0.35">
      <c r="A131" t="s">
        <v>2476</v>
      </c>
      <c r="B131" s="44" t="s">
        <v>48</v>
      </c>
      <c r="C131" t="s">
        <v>1968</v>
      </c>
      <c r="D131" t="s">
        <v>2479</v>
      </c>
      <c r="E131" t="s">
        <v>2477</v>
      </c>
      <c r="F131" t="s">
        <v>2468</v>
      </c>
      <c r="G131" t="s">
        <v>47</v>
      </c>
      <c r="H131">
        <v>0</v>
      </c>
      <c r="I131" s="60" t="s">
        <v>51</v>
      </c>
      <c r="J131" s="33" t="s">
        <v>96</v>
      </c>
      <c r="K131" s="46">
        <v>0</v>
      </c>
      <c r="L131">
        <v>3.2</v>
      </c>
      <c r="M131" t="s">
        <v>48</v>
      </c>
      <c r="N131" s="46">
        <v>0</v>
      </c>
      <c r="O131" s="46">
        <v>0</v>
      </c>
      <c r="P131" s="46">
        <v>0</v>
      </c>
      <c r="Q131" t="s">
        <v>48</v>
      </c>
      <c r="R131" t="s">
        <v>48</v>
      </c>
      <c r="S131" t="s">
        <v>2478</v>
      </c>
      <c r="T131" t="s">
        <v>48</v>
      </c>
      <c r="U131" t="s">
        <v>2478</v>
      </c>
      <c r="V131" s="47">
        <v>0</v>
      </c>
      <c r="W131" t="s">
        <v>48</v>
      </c>
      <c r="X131" t="s">
        <v>48</v>
      </c>
      <c r="Y131" t="s">
        <v>48</v>
      </c>
      <c r="Z131">
        <v>0</v>
      </c>
      <c r="AA131" t="s">
        <v>48</v>
      </c>
      <c r="AB131" t="s">
        <v>48</v>
      </c>
      <c r="AC131" t="s">
        <v>49</v>
      </c>
      <c r="AD131" t="s">
        <v>93</v>
      </c>
      <c r="AE131" s="40" t="s">
        <v>2471</v>
      </c>
      <c r="AF131" t="s">
        <v>11061</v>
      </c>
      <c r="AG131" t="s">
        <v>48</v>
      </c>
      <c r="AH131" t="s">
        <v>48</v>
      </c>
      <c r="AI131" t="s">
        <v>48</v>
      </c>
      <c r="AJ131" t="s">
        <v>48</v>
      </c>
      <c r="AK131" t="s">
        <v>48</v>
      </c>
      <c r="AL131" t="s">
        <v>48</v>
      </c>
      <c r="AM131" t="s">
        <v>48</v>
      </c>
      <c r="AN131" t="s">
        <v>48</v>
      </c>
      <c r="AO131" t="s">
        <v>48</v>
      </c>
      <c r="AP131" s="46">
        <v>0</v>
      </c>
      <c r="AQ131" s="46">
        <v>0</v>
      </c>
      <c r="AR131" s="46">
        <v>0</v>
      </c>
      <c r="AS131" s="46">
        <v>0</v>
      </c>
      <c r="AT131" s="46">
        <v>0</v>
      </c>
      <c r="AU131" s="46">
        <v>0</v>
      </c>
      <c r="AV131" s="46">
        <v>0</v>
      </c>
      <c r="AW131" s="46">
        <v>0</v>
      </c>
      <c r="AX131" s="46">
        <v>0</v>
      </c>
      <c r="AY131" s="46">
        <v>0</v>
      </c>
      <c r="AZ131" s="46">
        <v>0</v>
      </c>
      <c r="BA131" s="46">
        <v>0</v>
      </c>
      <c r="BB131" s="46">
        <v>0</v>
      </c>
      <c r="BC131" s="46">
        <v>0</v>
      </c>
      <c r="BD131" s="46">
        <v>0</v>
      </c>
      <c r="BE131" s="46">
        <v>0</v>
      </c>
      <c r="BF131" s="46">
        <v>0</v>
      </c>
      <c r="BG131" s="46" t="s">
        <v>48</v>
      </c>
      <c r="BH131" s="46">
        <v>0</v>
      </c>
      <c r="BI131" s="46">
        <v>0</v>
      </c>
      <c r="BJ131" s="46">
        <v>0</v>
      </c>
      <c r="BK131" s="46">
        <v>0</v>
      </c>
      <c r="BL131" s="46">
        <v>0</v>
      </c>
      <c r="BM131" s="46">
        <v>0</v>
      </c>
      <c r="BN131" s="46">
        <v>0</v>
      </c>
    </row>
    <row r="132" spans="1:66" x14ac:dyDescent="0.35">
      <c r="A132" t="s">
        <v>2483</v>
      </c>
      <c r="B132" s="44" t="s">
        <v>48</v>
      </c>
      <c r="C132" t="s">
        <v>2487</v>
      </c>
      <c r="D132" t="s">
        <v>2486</v>
      </c>
      <c r="E132" t="s">
        <v>2484</v>
      </c>
      <c r="F132" t="s">
        <v>2468</v>
      </c>
      <c r="G132" t="s">
        <v>47</v>
      </c>
      <c r="H132">
        <v>0</v>
      </c>
      <c r="I132" s="60" t="s">
        <v>51</v>
      </c>
      <c r="J132" s="33" t="s">
        <v>96</v>
      </c>
      <c r="K132" s="46">
        <v>0</v>
      </c>
      <c r="L132">
        <v>8.9</v>
      </c>
      <c r="M132" t="s">
        <v>48</v>
      </c>
      <c r="N132" s="46">
        <v>0</v>
      </c>
      <c r="O132" s="46">
        <v>0</v>
      </c>
      <c r="P132" s="46">
        <v>0</v>
      </c>
      <c r="Q132" t="s">
        <v>48</v>
      </c>
      <c r="R132" t="s">
        <v>48</v>
      </c>
      <c r="S132" t="s">
        <v>2485</v>
      </c>
      <c r="T132" t="s">
        <v>48</v>
      </c>
      <c r="U132" t="s">
        <v>2485</v>
      </c>
      <c r="V132" s="47">
        <v>1</v>
      </c>
      <c r="W132" t="s">
        <v>48</v>
      </c>
      <c r="X132" t="s">
        <v>48</v>
      </c>
      <c r="Y132" t="s">
        <v>48</v>
      </c>
      <c r="Z132">
        <v>0</v>
      </c>
      <c r="AA132" t="s">
        <v>48</v>
      </c>
      <c r="AB132" t="s">
        <v>48</v>
      </c>
      <c r="AC132" t="s">
        <v>49</v>
      </c>
      <c r="AD132" t="s">
        <v>93</v>
      </c>
      <c r="AE132" t="s">
        <v>4532</v>
      </c>
      <c r="AF132" t="s">
        <v>48</v>
      </c>
      <c r="AG132" t="s">
        <v>48</v>
      </c>
      <c r="AH132" t="s">
        <v>48</v>
      </c>
      <c r="AI132" t="s">
        <v>48</v>
      </c>
      <c r="AJ132" t="s">
        <v>48</v>
      </c>
      <c r="AK132" t="s">
        <v>48</v>
      </c>
      <c r="AL132" t="s">
        <v>48</v>
      </c>
      <c r="AM132" t="s">
        <v>48</v>
      </c>
      <c r="AN132" t="s">
        <v>48</v>
      </c>
      <c r="AO132" t="s">
        <v>48</v>
      </c>
      <c r="AP132" s="46">
        <v>0</v>
      </c>
      <c r="AQ132" s="46">
        <v>0</v>
      </c>
      <c r="AR132" s="46">
        <v>0</v>
      </c>
      <c r="AS132" s="46">
        <v>0</v>
      </c>
      <c r="AT132" s="46">
        <v>0</v>
      </c>
      <c r="AU132" s="46">
        <v>0</v>
      </c>
      <c r="AV132" s="46">
        <v>0</v>
      </c>
      <c r="AW132" s="46">
        <v>0</v>
      </c>
      <c r="AX132" s="46">
        <v>0</v>
      </c>
      <c r="AY132" s="46">
        <v>0</v>
      </c>
      <c r="AZ132" s="46">
        <v>0</v>
      </c>
      <c r="BA132" s="46">
        <v>0</v>
      </c>
      <c r="BB132" s="46">
        <v>0</v>
      </c>
      <c r="BC132" s="46">
        <v>0</v>
      </c>
      <c r="BD132" s="46">
        <v>0</v>
      </c>
      <c r="BE132" s="46">
        <v>0</v>
      </c>
      <c r="BF132" s="46">
        <v>0</v>
      </c>
      <c r="BG132" s="46" t="s">
        <v>48</v>
      </c>
      <c r="BH132" s="46">
        <v>0</v>
      </c>
      <c r="BI132" s="46">
        <v>0</v>
      </c>
      <c r="BJ132" s="46">
        <v>0</v>
      </c>
      <c r="BK132" s="46">
        <v>0</v>
      </c>
      <c r="BL132" s="46">
        <v>0</v>
      </c>
      <c r="BM132" s="46">
        <v>0</v>
      </c>
      <c r="BN132" s="46">
        <v>0</v>
      </c>
    </row>
    <row r="133" spans="1:66" x14ac:dyDescent="0.35">
      <c r="A133" t="s">
        <v>7994</v>
      </c>
      <c r="B133" s="44" t="s">
        <v>48</v>
      </c>
      <c r="C133" t="s">
        <v>11876</v>
      </c>
      <c r="D133" t="s">
        <v>11877</v>
      </c>
      <c r="E133" t="s">
        <v>7995</v>
      </c>
      <c r="F133" t="s">
        <v>2468</v>
      </c>
      <c r="G133" t="s">
        <v>74</v>
      </c>
      <c r="H133">
        <v>0</v>
      </c>
      <c r="I133" s="61">
        <v>44719</v>
      </c>
      <c r="J133" s="33" t="s">
        <v>96</v>
      </c>
      <c r="K133" s="46">
        <v>0</v>
      </c>
      <c r="L133">
        <v>4</v>
      </c>
      <c r="M133" t="s">
        <v>48</v>
      </c>
      <c r="N133" s="46">
        <v>0</v>
      </c>
      <c r="O133" s="46">
        <v>0</v>
      </c>
      <c r="P133" s="46">
        <v>0</v>
      </c>
      <c r="Q133" t="s">
        <v>48</v>
      </c>
      <c r="R133" t="s">
        <v>48</v>
      </c>
      <c r="S133" t="s">
        <v>48</v>
      </c>
      <c r="T133" t="s">
        <v>48</v>
      </c>
      <c r="U133" t="s">
        <v>48</v>
      </c>
      <c r="V133" s="47">
        <v>0</v>
      </c>
      <c r="W133" t="s">
        <v>48</v>
      </c>
      <c r="X133" t="s">
        <v>48</v>
      </c>
      <c r="Y133" t="s">
        <v>48</v>
      </c>
      <c r="Z133" t="s">
        <v>48</v>
      </c>
      <c r="AA133" t="s">
        <v>48</v>
      </c>
      <c r="AB133" t="s">
        <v>48</v>
      </c>
      <c r="AC133" t="s">
        <v>63</v>
      </c>
      <c r="AD133" t="s">
        <v>93</v>
      </c>
      <c r="AE133" t="s">
        <v>2471</v>
      </c>
      <c r="AF133" t="s">
        <v>48</v>
      </c>
      <c r="AG133" t="s">
        <v>48</v>
      </c>
      <c r="AH133" t="s">
        <v>48</v>
      </c>
      <c r="AI133" t="s">
        <v>48</v>
      </c>
      <c r="AJ133" t="s">
        <v>48</v>
      </c>
      <c r="AK133" t="s">
        <v>48</v>
      </c>
      <c r="AL133" t="s">
        <v>48</v>
      </c>
      <c r="AM133" t="s">
        <v>48</v>
      </c>
      <c r="AN133" t="s">
        <v>48</v>
      </c>
      <c r="AO133" t="s">
        <v>48</v>
      </c>
      <c r="AP133" s="46">
        <v>0</v>
      </c>
      <c r="AQ133" s="46">
        <v>0</v>
      </c>
      <c r="AR133" s="46">
        <v>0</v>
      </c>
      <c r="AS133" s="46">
        <v>0</v>
      </c>
      <c r="AT133" s="46">
        <v>0</v>
      </c>
      <c r="AU133" s="46">
        <v>0</v>
      </c>
      <c r="AV133" s="46">
        <v>0</v>
      </c>
      <c r="AW133" s="46">
        <v>0</v>
      </c>
      <c r="AX133" s="46">
        <v>0</v>
      </c>
      <c r="AY133" s="46">
        <v>0</v>
      </c>
      <c r="AZ133" s="46">
        <v>0</v>
      </c>
      <c r="BA133" s="46">
        <v>0</v>
      </c>
      <c r="BB133" s="46">
        <v>0</v>
      </c>
      <c r="BC133" s="46">
        <v>0</v>
      </c>
      <c r="BD133" s="46">
        <v>0</v>
      </c>
      <c r="BE133" s="46">
        <v>0</v>
      </c>
      <c r="BF133" s="46">
        <v>0</v>
      </c>
      <c r="BG133" s="46" t="s">
        <v>48</v>
      </c>
      <c r="BH133" s="46">
        <v>0</v>
      </c>
      <c r="BI133" s="46">
        <v>0</v>
      </c>
      <c r="BJ133" s="46">
        <v>0</v>
      </c>
      <c r="BK133" s="46">
        <v>0</v>
      </c>
      <c r="BL133" s="46">
        <v>0</v>
      </c>
      <c r="BM133" s="46">
        <v>0</v>
      </c>
      <c r="BN133" s="46">
        <v>0</v>
      </c>
    </row>
    <row r="134" spans="1:66" x14ac:dyDescent="0.35">
      <c r="A134" t="s">
        <v>2504</v>
      </c>
      <c r="B134" s="44" t="s">
        <v>48</v>
      </c>
      <c r="C134" t="s">
        <v>2509</v>
      </c>
      <c r="D134" t="s">
        <v>2508</v>
      </c>
      <c r="E134" t="s">
        <v>2506</v>
      </c>
      <c r="F134" t="s">
        <v>2505</v>
      </c>
      <c r="G134" t="s">
        <v>74</v>
      </c>
      <c r="H134">
        <v>0</v>
      </c>
      <c r="I134" s="60" t="s">
        <v>51</v>
      </c>
      <c r="J134" s="33" t="s">
        <v>96</v>
      </c>
      <c r="K134" s="46">
        <v>1</v>
      </c>
      <c r="L134" t="s">
        <v>48</v>
      </c>
      <c r="M134" t="s">
        <v>48</v>
      </c>
      <c r="N134" s="46">
        <v>0</v>
      </c>
      <c r="O134" s="46">
        <v>0</v>
      </c>
      <c r="P134" s="46">
        <v>0</v>
      </c>
      <c r="Q134" t="s">
        <v>48</v>
      </c>
      <c r="R134" t="s">
        <v>48</v>
      </c>
      <c r="S134" t="s">
        <v>48</v>
      </c>
      <c r="T134" t="s">
        <v>2507</v>
      </c>
      <c r="U134" t="s">
        <v>48</v>
      </c>
      <c r="V134" s="47">
        <v>0</v>
      </c>
      <c r="W134" t="s">
        <v>48</v>
      </c>
      <c r="X134" t="s">
        <v>48</v>
      </c>
      <c r="Y134" t="s">
        <v>48</v>
      </c>
      <c r="Z134">
        <v>0</v>
      </c>
      <c r="AA134" t="s">
        <v>48</v>
      </c>
      <c r="AB134" t="s">
        <v>48</v>
      </c>
      <c r="AC134" t="s">
        <v>63</v>
      </c>
      <c r="AD134" t="s">
        <v>93</v>
      </c>
      <c r="AE134" t="s">
        <v>977</v>
      </c>
      <c r="AF134" t="s">
        <v>11056</v>
      </c>
      <c r="AG134" t="s">
        <v>48</v>
      </c>
      <c r="AH134" t="s">
        <v>48</v>
      </c>
      <c r="AI134">
        <v>20713</v>
      </c>
      <c r="AJ134">
        <v>1947</v>
      </c>
      <c r="AK134" t="s">
        <v>8498</v>
      </c>
      <c r="AL134" t="s">
        <v>8499</v>
      </c>
      <c r="AM134">
        <v>-0.51200000000000001</v>
      </c>
      <c r="AN134">
        <v>-8.6999999999999994E-2</v>
      </c>
      <c r="AO134">
        <v>-0.51200000000000001</v>
      </c>
      <c r="AP134" s="46">
        <v>0</v>
      </c>
      <c r="AQ134" s="46">
        <v>0</v>
      </c>
      <c r="AR134" s="46">
        <v>0</v>
      </c>
      <c r="AS134" s="46">
        <v>0</v>
      </c>
      <c r="AT134" s="46">
        <v>0</v>
      </c>
      <c r="AU134" s="46">
        <v>0</v>
      </c>
      <c r="AV134" s="46">
        <v>0</v>
      </c>
      <c r="AW134" s="46">
        <v>0</v>
      </c>
      <c r="AX134" s="46">
        <v>0</v>
      </c>
      <c r="AY134" s="46">
        <v>0</v>
      </c>
      <c r="AZ134" s="46">
        <v>0</v>
      </c>
      <c r="BA134" s="46">
        <v>0</v>
      </c>
      <c r="BB134" s="46">
        <v>0</v>
      </c>
      <c r="BC134" s="46">
        <v>0</v>
      </c>
      <c r="BD134" s="46">
        <v>0</v>
      </c>
      <c r="BE134" s="46">
        <v>0</v>
      </c>
      <c r="BF134" s="46">
        <v>0</v>
      </c>
      <c r="BG134" s="46" t="s">
        <v>48</v>
      </c>
      <c r="BH134" s="46">
        <v>0</v>
      </c>
      <c r="BI134" s="46">
        <v>0</v>
      </c>
      <c r="BJ134" s="46">
        <v>0</v>
      </c>
      <c r="BK134" s="46">
        <v>1</v>
      </c>
      <c r="BL134" s="46">
        <v>0</v>
      </c>
      <c r="BM134" s="46">
        <v>0</v>
      </c>
      <c r="BN134" s="46">
        <v>0</v>
      </c>
    </row>
    <row r="135" spans="1:66" x14ac:dyDescent="0.35">
      <c r="A135" t="s">
        <v>10671</v>
      </c>
      <c r="B135" s="44" t="s">
        <v>48</v>
      </c>
      <c r="C135" t="s">
        <v>11893</v>
      </c>
      <c r="D135" t="s">
        <v>11894</v>
      </c>
      <c r="E135" t="s">
        <v>10672</v>
      </c>
      <c r="F135" t="s">
        <v>2511</v>
      </c>
      <c r="G135" t="s">
        <v>47</v>
      </c>
      <c r="H135">
        <v>0</v>
      </c>
      <c r="I135" s="60" t="s">
        <v>11552</v>
      </c>
      <c r="J135" s="33" t="s">
        <v>96</v>
      </c>
      <c r="K135" s="46">
        <v>0</v>
      </c>
      <c r="L135">
        <v>9.5</v>
      </c>
      <c r="M135" t="s">
        <v>48</v>
      </c>
      <c r="N135" s="46">
        <v>0</v>
      </c>
      <c r="O135" s="46">
        <v>0</v>
      </c>
      <c r="P135" s="46">
        <v>0</v>
      </c>
      <c r="Q135" t="s">
        <v>48</v>
      </c>
      <c r="R135" t="s">
        <v>48</v>
      </c>
      <c r="S135" t="s">
        <v>11484</v>
      </c>
      <c r="T135" t="s">
        <v>48</v>
      </c>
      <c r="U135" t="s">
        <v>10673</v>
      </c>
      <c r="V135" s="47">
        <v>0</v>
      </c>
      <c r="W135" t="s">
        <v>48</v>
      </c>
      <c r="X135" t="s">
        <v>48</v>
      </c>
      <c r="Y135" t="s">
        <v>48</v>
      </c>
      <c r="Z135">
        <v>0</v>
      </c>
      <c r="AA135" t="s">
        <v>48</v>
      </c>
      <c r="AB135" t="s">
        <v>48</v>
      </c>
      <c r="AC135" t="s">
        <v>63</v>
      </c>
      <c r="AD135" t="s">
        <v>93</v>
      </c>
      <c r="AE135" t="s">
        <v>2471</v>
      </c>
      <c r="AF135" t="s">
        <v>48</v>
      </c>
      <c r="AG135" t="s">
        <v>48</v>
      </c>
      <c r="AH135" t="s">
        <v>48</v>
      </c>
      <c r="AI135" t="s">
        <v>48</v>
      </c>
      <c r="AJ135" t="s">
        <v>48</v>
      </c>
      <c r="AK135" t="s">
        <v>48</v>
      </c>
      <c r="AL135" t="s">
        <v>48</v>
      </c>
      <c r="AM135" t="s">
        <v>48</v>
      </c>
      <c r="AN135" t="s">
        <v>48</v>
      </c>
      <c r="AO135" t="s">
        <v>48</v>
      </c>
      <c r="AP135" s="46">
        <v>0</v>
      </c>
      <c r="AQ135" s="46">
        <v>0</v>
      </c>
      <c r="AR135" s="46">
        <v>0</v>
      </c>
      <c r="AS135" s="46">
        <v>0</v>
      </c>
      <c r="AT135" s="46">
        <v>0</v>
      </c>
      <c r="AU135" s="46">
        <v>0</v>
      </c>
      <c r="AV135" s="46">
        <v>0</v>
      </c>
      <c r="AW135" s="46">
        <v>0</v>
      </c>
      <c r="AX135" s="46">
        <v>0</v>
      </c>
      <c r="AY135" s="46">
        <v>0</v>
      </c>
      <c r="AZ135" s="46">
        <v>0</v>
      </c>
      <c r="BA135" s="46">
        <v>0</v>
      </c>
      <c r="BB135" s="46">
        <v>0</v>
      </c>
      <c r="BC135" s="46">
        <v>0</v>
      </c>
      <c r="BD135" s="46">
        <v>0</v>
      </c>
      <c r="BE135" s="46">
        <v>0</v>
      </c>
      <c r="BF135" s="46">
        <v>0</v>
      </c>
      <c r="BG135" s="46" t="s">
        <v>48</v>
      </c>
      <c r="BH135" s="46">
        <v>0</v>
      </c>
      <c r="BI135" s="46">
        <v>0</v>
      </c>
      <c r="BJ135" s="46">
        <v>0</v>
      </c>
      <c r="BK135" s="46">
        <v>0</v>
      </c>
      <c r="BL135" s="46">
        <v>0</v>
      </c>
      <c r="BM135" s="46">
        <v>0</v>
      </c>
      <c r="BN135" s="46">
        <v>0</v>
      </c>
    </row>
    <row r="136" spans="1:66" x14ac:dyDescent="0.35">
      <c r="A136" t="s">
        <v>10662</v>
      </c>
      <c r="B136" s="44" t="s">
        <v>48</v>
      </c>
      <c r="C136" t="s">
        <v>11895</v>
      </c>
      <c r="D136" t="s">
        <v>571</v>
      </c>
      <c r="E136" t="s">
        <v>10663</v>
      </c>
      <c r="F136" t="s">
        <v>2511</v>
      </c>
      <c r="G136" t="s">
        <v>74</v>
      </c>
      <c r="H136">
        <v>0</v>
      </c>
      <c r="I136" s="61">
        <v>44790</v>
      </c>
      <c r="J136" s="33" t="s">
        <v>96</v>
      </c>
      <c r="K136" s="46">
        <v>0</v>
      </c>
      <c r="L136">
        <v>6.4</v>
      </c>
      <c r="M136" t="s">
        <v>48</v>
      </c>
      <c r="N136" s="46">
        <v>0</v>
      </c>
      <c r="O136" s="46">
        <v>0</v>
      </c>
      <c r="P136" s="46">
        <v>0</v>
      </c>
      <c r="Q136" t="s">
        <v>48</v>
      </c>
      <c r="R136" t="s">
        <v>48</v>
      </c>
      <c r="S136" t="s">
        <v>48</v>
      </c>
      <c r="T136" t="s">
        <v>48</v>
      </c>
      <c r="U136" t="s">
        <v>48</v>
      </c>
      <c r="V136" s="47">
        <v>0</v>
      </c>
      <c r="W136" t="s">
        <v>48</v>
      </c>
      <c r="X136" t="s">
        <v>48</v>
      </c>
      <c r="Y136" t="s">
        <v>48</v>
      </c>
      <c r="Z136">
        <v>0</v>
      </c>
      <c r="AA136" t="s">
        <v>48</v>
      </c>
      <c r="AB136" t="s">
        <v>48</v>
      </c>
      <c r="AC136" t="s">
        <v>49</v>
      </c>
      <c r="AD136" t="s">
        <v>48</v>
      </c>
      <c r="AE136" t="s">
        <v>48</v>
      </c>
      <c r="AF136" t="s">
        <v>48</v>
      </c>
      <c r="AG136" t="s">
        <v>48</v>
      </c>
      <c r="AH136" t="s">
        <v>48</v>
      </c>
      <c r="AI136" t="s">
        <v>48</v>
      </c>
      <c r="AJ136" t="s">
        <v>48</v>
      </c>
      <c r="AK136" t="s">
        <v>48</v>
      </c>
      <c r="AL136" t="s">
        <v>48</v>
      </c>
      <c r="AM136" t="s">
        <v>48</v>
      </c>
      <c r="AN136" t="s">
        <v>48</v>
      </c>
      <c r="AO136" t="s">
        <v>48</v>
      </c>
      <c r="AP136" s="46">
        <v>0</v>
      </c>
      <c r="AQ136" s="46">
        <v>0</v>
      </c>
      <c r="AR136" s="46">
        <v>0</v>
      </c>
      <c r="AS136" s="46">
        <v>0</v>
      </c>
      <c r="AT136" s="46">
        <v>0</v>
      </c>
      <c r="AU136" s="46">
        <v>0</v>
      </c>
      <c r="AV136" s="46">
        <v>0</v>
      </c>
      <c r="AW136" s="46">
        <v>0</v>
      </c>
      <c r="AX136" s="46">
        <v>0</v>
      </c>
      <c r="AY136" s="46">
        <v>0</v>
      </c>
      <c r="AZ136" s="46">
        <v>0</v>
      </c>
      <c r="BA136" s="46">
        <v>0</v>
      </c>
      <c r="BB136" s="46">
        <v>0</v>
      </c>
      <c r="BC136" s="46">
        <v>0</v>
      </c>
      <c r="BD136" s="46">
        <v>0</v>
      </c>
      <c r="BE136" s="46">
        <v>0</v>
      </c>
      <c r="BF136" s="46">
        <v>0</v>
      </c>
      <c r="BG136" s="46" t="s">
        <v>48</v>
      </c>
      <c r="BH136" s="46">
        <v>0</v>
      </c>
      <c r="BI136" s="46">
        <v>0</v>
      </c>
      <c r="BJ136" s="46">
        <v>0</v>
      </c>
      <c r="BK136" s="46">
        <v>0</v>
      </c>
      <c r="BL136" s="46">
        <v>0</v>
      </c>
      <c r="BM136" s="46">
        <v>0</v>
      </c>
      <c r="BN136" s="46">
        <v>0</v>
      </c>
    </row>
    <row r="137" spans="1:66" x14ac:dyDescent="0.35">
      <c r="A137" t="s">
        <v>10669</v>
      </c>
      <c r="B137" s="44" t="s">
        <v>48</v>
      </c>
      <c r="C137" t="s">
        <v>11890</v>
      </c>
      <c r="D137" t="s">
        <v>76</v>
      </c>
      <c r="E137" t="s">
        <v>10670</v>
      </c>
      <c r="F137" t="s">
        <v>2511</v>
      </c>
      <c r="G137" t="s">
        <v>47</v>
      </c>
      <c r="H137">
        <v>0</v>
      </c>
      <c r="I137" s="61">
        <v>44790</v>
      </c>
      <c r="J137" s="33" t="s">
        <v>96</v>
      </c>
      <c r="K137" s="46">
        <v>0</v>
      </c>
      <c r="L137">
        <v>9.9</v>
      </c>
      <c r="M137" t="s">
        <v>48</v>
      </c>
      <c r="N137" s="46">
        <v>0</v>
      </c>
      <c r="O137" s="46">
        <v>0</v>
      </c>
      <c r="P137" s="46">
        <v>0</v>
      </c>
      <c r="Q137" t="s">
        <v>48</v>
      </c>
      <c r="R137" t="s">
        <v>48</v>
      </c>
      <c r="S137" t="s">
        <v>48</v>
      </c>
      <c r="T137" t="s">
        <v>48</v>
      </c>
      <c r="U137" t="s">
        <v>48</v>
      </c>
      <c r="V137" s="47">
        <v>0</v>
      </c>
      <c r="W137" t="s">
        <v>48</v>
      </c>
      <c r="X137" t="s">
        <v>48</v>
      </c>
      <c r="Y137" t="s">
        <v>48</v>
      </c>
      <c r="Z137">
        <v>0</v>
      </c>
      <c r="AA137" t="s">
        <v>48</v>
      </c>
      <c r="AB137" t="s">
        <v>48</v>
      </c>
      <c r="AC137" t="s">
        <v>49</v>
      </c>
      <c r="AD137" t="s">
        <v>48</v>
      </c>
      <c r="AE137" t="s">
        <v>48</v>
      </c>
      <c r="AF137" t="s">
        <v>48</v>
      </c>
      <c r="AG137" t="s">
        <v>48</v>
      </c>
      <c r="AH137" t="s">
        <v>48</v>
      </c>
      <c r="AI137" t="s">
        <v>48</v>
      </c>
      <c r="AJ137" t="s">
        <v>48</v>
      </c>
      <c r="AK137" t="s">
        <v>48</v>
      </c>
      <c r="AL137" t="s">
        <v>48</v>
      </c>
      <c r="AM137" t="s">
        <v>48</v>
      </c>
      <c r="AN137" t="s">
        <v>48</v>
      </c>
      <c r="AO137" t="s">
        <v>48</v>
      </c>
      <c r="AP137" s="46">
        <v>0</v>
      </c>
      <c r="AQ137" s="46">
        <v>0</v>
      </c>
      <c r="AR137" s="46">
        <v>0</v>
      </c>
      <c r="AS137" s="46">
        <v>0</v>
      </c>
      <c r="AT137" s="46">
        <v>0</v>
      </c>
      <c r="AU137" s="46">
        <v>0</v>
      </c>
      <c r="AV137" s="46">
        <v>0</v>
      </c>
      <c r="AW137" s="46">
        <v>0</v>
      </c>
      <c r="AX137" s="46">
        <v>0</v>
      </c>
      <c r="AY137" s="46">
        <v>0</v>
      </c>
      <c r="AZ137" s="46">
        <v>0</v>
      </c>
      <c r="BA137" s="46">
        <v>0</v>
      </c>
      <c r="BB137" s="46">
        <v>0</v>
      </c>
      <c r="BC137" s="46">
        <v>0</v>
      </c>
      <c r="BD137" s="46">
        <v>0</v>
      </c>
      <c r="BE137" s="46">
        <v>0</v>
      </c>
      <c r="BF137" s="46">
        <v>0</v>
      </c>
      <c r="BG137" s="46" t="s">
        <v>48</v>
      </c>
      <c r="BH137" s="46">
        <v>0</v>
      </c>
      <c r="BI137" s="46">
        <v>0</v>
      </c>
      <c r="BJ137" s="46">
        <v>0</v>
      </c>
      <c r="BK137" s="46">
        <v>0</v>
      </c>
      <c r="BL137" s="46">
        <v>0</v>
      </c>
      <c r="BM137" s="46">
        <v>0</v>
      </c>
      <c r="BN137" s="46">
        <v>0</v>
      </c>
    </row>
    <row r="138" spans="1:66" x14ac:dyDescent="0.35">
      <c r="A138" t="s">
        <v>10664</v>
      </c>
      <c r="B138" s="44" t="s">
        <v>48</v>
      </c>
      <c r="C138" t="s">
        <v>11892</v>
      </c>
      <c r="D138" t="s">
        <v>849</v>
      </c>
      <c r="E138" t="s">
        <v>10665</v>
      </c>
      <c r="F138" t="s">
        <v>2511</v>
      </c>
      <c r="G138" t="s">
        <v>47</v>
      </c>
      <c r="H138">
        <v>0</v>
      </c>
      <c r="I138" s="60" t="s">
        <v>11552</v>
      </c>
      <c r="J138" s="33" t="s">
        <v>96</v>
      </c>
      <c r="K138" s="46">
        <v>0</v>
      </c>
      <c r="L138">
        <v>26.4</v>
      </c>
      <c r="M138" t="s">
        <v>48</v>
      </c>
      <c r="N138" s="46">
        <v>0</v>
      </c>
      <c r="O138" s="46">
        <v>0</v>
      </c>
      <c r="P138" s="46">
        <v>0</v>
      </c>
      <c r="Q138" t="s">
        <v>48</v>
      </c>
      <c r="R138" t="s">
        <v>48</v>
      </c>
      <c r="S138" t="s">
        <v>11485</v>
      </c>
      <c r="T138" t="s">
        <v>48</v>
      </c>
      <c r="U138" t="s">
        <v>10666</v>
      </c>
      <c r="V138" s="47">
        <v>0</v>
      </c>
      <c r="W138" t="s">
        <v>48</v>
      </c>
      <c r="X138" t="s">
        <v>48</v>
      </c>
      <c r="Y138" t="s">
        <v>48</v>
      </c>
      <c r="Z138">
        <v>0</v>
      </c>
      <c r="AA138" t="s">
        <v>48</v>
      </c>
      <c r="AB138" t="s">
        <v>48</v>
      </c>
      <c r="AC138" t="s">
        <v>49</v>
      </c>
      <c r="AD138" t="s">
        <v>93</v>
      </c>
      <c r="AE138" t="s">
        <v>4532</v>
      </c>
      <c r="AF138" t="s">
        <v>48</v>
      </c>
      <c r="AG138" t="s">
        <v>48</v>
      </c>
      <c r="AH138" t="s">
        <v>48</v>
      </c>
      <c r="AI138" t="s">
        <v>48</v>
      </c>
      <c r="AJ138" t="s">
        <v>48</v>
      </c>
      <c r="AK138" t="s">
        <v>48</v>
      </c>
      <c r="AL138" t="s">
        <v>48</v>
      </c>
      <c r="AM138" t="s">
        <v>48</v>
      </c>
      <c r="AN138" t="s">
        <v>48</v>
      </c>
      <c r="AO138" t="s">
        <v>48</v>
      </c>
      <c r="AP138" s="46">
        <v>0</v>
      </c>
      <c r="AQ138" s="46">
        <v>0</v>
      </c>
      <c r="AR138" s="46">
        <v>0</v>
      </c>
      <c r="AS138" s="46">
        <v>0</v>
      </c>
      <c r="AT138" s="46">
        <v>0</v>
      </c>
      <c r="AU138" s="46">
        <v>0</v>
      </c>
      <c r="AV138" s="46">
        <v>0</v>
      </c>
      <c r="AW138" s="46">
        <v>0</v>
      </c>
      <c r="AX138" s="46">
        <v>0</v>
      </c>
      <c r="AY138" s="46">
        <v>0</v>
      </c>
      <c r="AZ138" s="46">
        <v>0</v>
      </c>
      <c r="BA138" s="46">
        <v>0</v>
      </c>
      <c r="BB138" s="46">
        <v>0</v>
      </c>
      <c r="BC138" s="46">
        <v>0</v>
      </c>
      <c r="BD138" s="46">
        <v>0</v>
      </c>
      <c r="BE138" s="46">
        <v>0</v>
      </c>
      <c r="BF138" s="46">
        <v>0</v>
      </c>
      <c r="BG138" s="46" t="s">
        <v>48</v>
      </c>
      <c r="BH138" s="46">
        <v>0</v>
      </c>
      <c r="BI138" s="46">
        <v>0</v>
      </c>
      <c r="BJ138" s="46">
        <v>0</v>
      </c>
      <c r="BK138" s="46">
        <v>0</v>
      </c>
      <c r="BL138" s="46">
        <v>0</v>
      </c>
      <c r="BM138" s="46">
        <v>0</v>
      </c>
      <c r="BN138" s="46">
        <v>0</v>
      </c>
    </row>
    <row r="139" spans="1:66" x14ac:dyDescent="0.35">
      <c r="A139" t="s">
        <v>10667</v>
      </c>
      <c r="B139" s="44" t="s">
        <v>48</v>
      </c>
      <c r="C139" t="s">
        <v>266</v>
      </c>
      <c r="D139" t="s">
        <v>11891</v>
      </c>
      <c r="E139" t="s">
        <v>10668</v>
      </c>
      <c r="F139" t="s">
        <v>2511</v>
      </c>
      <c r="G139" t="s">
        <v>47</v>
      </c>
      <c r="H139">
        <v>0</v>
      </c>
      <c r="I139" s="61">
        <v>44790</v>
      </c>
      <c r="J139" s="33" t="s">
        <v>96</v>
      </c>
      <c r="K139" s="46">
        <v>0</v>
      </c>
      <c r="L139">
        <v>14.6</v>
      </c>
      <c r="M139" t="s">
        <v>48</v>
      </c>
      <c r="N139" s="46">
        <v>0</v>
      </c>
      <c r="O139" s="46">
        <v>0</v>
      </c>
      <c r="P139" s="46">
        <v>0</v>
      </c>
      <c r="Q139" t="s">
        <v>48</v>
      </c>
      <c r="R139" t="s">
        <v>48</v>
      </c>
      <c r="S139" t="s">
        <v>48</v>
      </c>
      <c r="T139" t="s">
        <v>48</v>
      </c>
      <c r="U139" t="s">
        <v>48</v>
      </c>
      <c r="V139" s="47">
        <v>0</v>
      </c>
      <c r="W139" t="s">
        <v>48</v>
      </c>
      <c r="X139" t="s">
        <v>48</v>
      </c>
      <c r="Y139" t="s">
        <v>48</v>
      </c>
      <c r="Z139">
        <v>0</v>
      </c>
      <c r="AA139" t="s">
        <v>48</v>
      </c>
      <c r="AB139" t="s">
        <v>48</v>
      </c>
      <c r="AC139" t="s">
        <v>49</v>
      </c>
      <c r="AD139" t="s">
        <v>48</v>
      </c>
      <c r="AE139" t="s">
        <v>48</v>
      </c>
      <c r="AF139" t="s">
        <v>48</v>
      </c>
      <c r="AG139" t="s">
        <v>48</v>
      </c>
      <c r="AH139" t="s">
        <v>48</v>
      </c>
      <c r="AI139" t="s">
        <v>48</v>
      </c>
      <c r="AJ139" t="s">
        <v>48</v>
      </c>
      <c r="AK139" t="s">
        <v>48</v>
      </c>
      <c r="AL139" t="s">
        <v>48</v>
      </c>
      <c r="AM139" t="s">
        <v>48</v>
      </c>
      <c r="AN139" t="s">
        <v>48</v>
      </c>
      <c r="AO139" t="s">
        <v>48</v>
      </c>
      <c r="AP139" s="46">
        <v>0</v>
      </c>
      <c r="AQ139" s="46">
        <v>0</v>
      </c>
      <c r="AR139" s="46">
        <v>0</v>
      </c>
      <c r="AS139" s="46">
        <v>0</v>
      </c>
      <c r="AT139" s="46">
        <v>0</v>
      </c>
      <c r="AU139" s="46">
        <v>0</v>
      </c>
      <c r="AV139" s="46">
        <v>0</v>
      </c>
      <c r="AW139" s="46">
        <v>0</v>
      </c>
      <c r="AX139" s="46">
        <v>0</v>
      </c>
      <c r="AY139" s="46">
        <v>0</v>
      </c>
      <c r="AZ139" s="46">
        <v>0</v>
      </c>
      <c r="BA139" s="46">
        <v>0</v>
      </c>
      <c r="BB139" s="46">
        <v>0</v>
      </c>
      <c r="BC139" s="46">
        <v>0</v>
      </c>
      <c r="BD139" s="46">
        <v>0</v>
      </c>
      <c r="BE139" s="46">
        <v>0</v>
      </c>
      <c r="BF139" s="46">
        <v>0</v>
      </c>
      <c r="BG139" s="46" t="s">
        <v>48</v>
      </c>
      <c r="BH139" s="46">
        <v>0</v>
      </c>
      <c r="BI139" s="46">
        <v>0</v>
      </c>
      <c r="BJ139" s="46">
        <v>0</v>
      </c>
      <c r="BK139" s="46">
        <v>0</v>
      </c>
      <c r="BL139" s="46">
        <v>0</v>
      </c>
      <c r="BM139" s="46">
        <v>0</v>
      </c>
      <c r="BN139" s="46">
        <v>0</v>
      </c>
    </row>
    <row r="140" spans="1:66" x14ac:dyDescent="0.35">
      <c r="A140" t="s">
        <v>2565</v>
      </c>
      <c r="B140" t="s">
        <v>48</v>
      </c>
      <c r="C140" t="s">
        <v>2571</v>
      </c>
      <c r="D140" t="s">
        <v>2570</v>
      </c>
      <c r="E140" t="s">
        <v>2567</v>
      </c>
      <c r="F140" t="s">
        <v>2566</v>
      </c>
      <c r="G140" t="s">
        <v>47</v>
      </c>
      <c r="H140">
        <v>0</v>
      </c>
      <c r="I140" s="60" t="s">
        <v>51</v>
      </c>
      <c r="J140" s="33" t="s">
        <v>96</v>
      </c>
      <c r="K140" s="46">
        <v>1</v>
      </c>
      <c r="L140" t="s">
        <v>48</v>
      </c>
      <c r="M140" t="s">
        <v>48</v>
      </c>
      <c r="N140" s="46">
        <v>0</v>
      </c>
      <c r="O140" s="46">
        <v>0</v>
      </c>
      <c r="P140" s="46">
        <v>0</v>
      </c>
      <c r="Q140" t="s">
        <v>48</v>
      </c>
      <c r="R140" t="s">
        <v>48</v>
      </c>
      <c r="S140" t="s">
        <v>2568</v>
      </c>
      <c r="T140" t="s">
        <v>2569</v>
      </c>
      <c r="U140" t="s">
        <v>2568</v>
      </c>
      <c r="V140" s="47">
        <v>0</v>
      </c>
      <c r="W140" t="s">
        <v>48</v>
      </c>
      <c r="X140" t="s">
        <v>48</v>
      </c>
      <c r="Y140" t="s">
        <v>48</v>
      </c>
      <c r="Z140">
        <v>0</v>
      </c>
      <c r="AA140" t="s">
        <v>48</v>
      </c>
      <c r="AB140">
        <v>2014</v>
      </c>
      <c r="AC140" t="s">
        <v>63</v>
      </c>
      <c r="AD140" t="s">
        <v>93</v>
      </c>
      <c r="AE140" t="s">
        <v>4532</v>
      </c>
      <c r="AF140" t="s">
        <v>48</v>
      </c>
      <c r="AG140" t="s">
        <v>1105</v>
      </c>
      <c r="AH140" t="s">
        <v>93</v>
      </c>
      <c r="AI140">
        <v>41502</v>
      </c>
      <c r="AJ140">
        <v>1970</v>
      </c>
      <c r="AK140" t="s">
        <v>8504</v>
      </c>
      <c r="AL140" t="s">
        <v>8505</v>
      </c>
      <c r="AM140">
        <v>0.55100000000000005</v>
      </c>
      <c r="AN140">
        <v>-9.1999999999999998E-2</v>
      </c>
      <c r="AO140">
        <v>0.55100000000000005</v>
      </c>
      <c r="AP140" s="46">
        <v>0</v>
      </c>
      <c r="AQ140" s="46">
        <v>0</v>
      </c>
      <c r="AR140" s="46">
        <v>0</v>
      </c>
      <c r="AS140" s="46">
        <v>0</v>
      </c>
      <c r="AT140" s="46">
        <v>0</v>
      </c>
      <c r="AU140" s="46">
        <v>0</v>
      </c>
      <c r="AV140" s="46">
        <v>0</v>
      </c>
      <c r="AW140" s="46">
        <v>0</v>
      </c>
      <c r="AX140" s="46">
        <v>0</v>
      </c>
      <c r="AY140" s="46">
        <v>0</v>
      </c>
      <c r="AZ140" s="46">
        <v>1</v>
      </c>
      <c r="BA140" s="46">
        <v>0</v>
      </c>
      <c r="BB140" s="46">
        <v>0</v>
      </c>
      <c r="BC140" s="46">
        <v>0</v>
      </c>
      <c r="BD140" s="46">
        <v>0</v>
      </c>
      <c r="BE140" s="46">
        <v>0</v>
      </c>
      <c r="BF140" s="46">
        <v>0</v>
      </c>
      <c r="BG140" s="46" t="s">
        <v>48</v>
      </c>
      <c r="BH140" s="46">
        <v>0</v>
      </c>
      <c r="BI140" s="46">
        <v>0</v>
      </c>
      <c r="BJ140" s="46">
        <v>0</v>
      </c>
      <c r="BK140" s="46">
        <v>0</v>
      </c>
      <c r="BL140" s="46">
        <v>0</v>
      </c>
      <c r="BM140" s="46">
        <v>0</v>
      </c>
      <c r="BN140" s="46">
        <v>0</v>
      </c>
    </row>
    <row r="141" spans="1:66" x14ac:dyDescent="0.35">
      <c r="A141" t="s">
        <v>2578</v>
      </c>
      <c r="B141" s="44" t="s">
        <v>48</v>
      </c>
      <c r="C141" t="s">
        <v>2582</v>
      </c>
      <c r="D141" t="s">
        <v>2581</v>
      </c>
      <c r="E141" t="s">
        <v>2579</v>
      </c>
      <c r="F141" t="s">
        <v>2573</v>
      </c>
      <c r="G141" t="s">
        <v>74</v>
      </c>
      <c r="H141">
        <v>0</v>
      </c>
      <c r="I141" s="60" t="s">
        <v>51</v>
      </c>
      <c r="J141" s="33" t="s">
        <v>96</v>
      </c>
      <c r="K141" s="46">
        <v>0</v>
      </c>
      <c r="L141">
        <v>40</v>
      </c>
      <c r="M141" t="s">
        <v>48</v>
      </c>
      <c r="N141" s="46">
        <v>0</v>
      </c>
      <c r="O141" s="46">
        <v>0</v>
      </c>
      <c r="P141" s="46">
        <v>0</v>
      </c>
      <c r="Q141" t="s">
        <v>48</v>
      </c>
      <c r="R141" t="s">
        <v>48</v>
      </c>
      <c r="S141" t="s">
        <v>2580</v>
      </c>
      <c r="T141" t="s">
        <v>48</v>
      </c>
      <c r="U141" t="s">
        <v>2580</v>
      </c>
      <c r="V141" s="47">
        <v>0</v>
      </c>
      <c r="W141" t="s">
        <v>48</v>
      </c>
      <c r="X141" t="s">
        <v>48</v>
      </c>
      <c r="Y141" t="s">
        <v>48</v>
      </c>
      <c r="Z141">
        <v>0</v>
      </c>
      <c r="AA141" t="s">
        <v>48</v>
      </c>
      <c r="AB141" t="s">
        <v>48</v>
      </c>
      <c r="AC141" t="s">
        <v>63</v>
      </c>
      <c r="AD141" t="s">
        <v>93</v>
      </c>
      <c r="AE141" t="s">
        <v>4532</v>
      </c>
      <c r="AF141" t="s">
        <v>48</v>
      </c>
      <c r="AG141" t="s">
        <v>48</v>
      </c>
      <c r="AH141" t="s">
        <v>48</v>
      </c>
      <c r="AI141" t="s">
        <v>48</v>
      </c>
      <c r="AJ141" t="s">
        <v>48</v>
      </c>
      <c r="AK141" t="s">
        <v>48</v>
      </c>
      <c r="AL141" t="s">
        <v>48</v>
      </c>
      <c r="AM141" t="s">
        <v>48</v>
      </c>
      <c r="AN141" t="s">
        <v>48</v>
      </c>
      <c r="AO141" t="s">
        <v>48</v>
      </c>
      <c r="AP141" s="46">
        <v>0</v>
      </c>
      <c r="AQ141" s="46">
        <v>0</v>
      </c>
      <c r="AR141" s="46">
        <v>0</v>
      </c>
      <c r="AS141" s="46">
        <v>0</v>
      </c>
      <c r="AT141" s="46">
        <v>0</v>
      </c>
      <c r="AU141" s="46">
        <v>0</v>
      </c>
      <c r="AV141" s="46">
        <v>0</v>
      </c>
      <c r="AW141" s="46">
        <v>0</v>
      </c>
      <c r="AX141" s="46">
        <v>0</v>
      </c>
      <c r="AY141" s="46">
        <v>0</v>
      </c>
      <c r="AZ141" s="46">
        <v>0</v>
      </c>
      <c r="BA141" s="46">
        <v>0</v>
      </c>
      <c r="BB141" s="46">
        <v>0</v>
      </c>
      <c r="BC141" s="46">
        <v>0</v>
      </c>
      <c r="BD141" s="46">
        <v>0</v>
      </c>
      <c r="BE141" s="46">
        <v>0</v>
      </c>
      <c r="BF141" s="46">
        <v>0</v>
      </c>
      <c r="BG141" s="46" t="s">
        <v>48</v>
      </c>
      <c r="BH141" s="46">
        <v>0</v>
      </c>
      <c r="BI141" s="46">
        <v>0</v>
      </c>
      <c r="BJ141" s="46">
        <v>0</v>
      </c>
      <c r="BK141" s="46">
        <v>0</v>
      </c>
      <c r="BL141" s="46">
        <v>0</v>
      </c>
      <c r="BM141" s="46">
        <v>0</v>
      </c>
      <c r="BN141" s="46">
        <v>0</v>
      </c>
    </row>
    <row r="142" spans="1:66" x14ac:dyDescent="0.35">
      <c r="A142" t="s">
        <v>2591</v>
      </c>
      <c r="B142" s="44" t="s">
        <v>48</v>
      </c>
      <c r="C142" t="s">
        <v>2594</v>
      </c>
      <c r="D142" t="s">
        <v>171</v>
      </c>
      <c r="E142" t="s">
        <v>2592</v>
      </c>
      <c r="F142" t="s">
        <v>2573</v>
      </c>
      <c r="G142" t="s">
        <v>74</v>
      </c>
      <c r="H142">
        <v>0</v>
      </c>
      <c r="I142" s="60" t="s">
        <v>51</v>
      </c>
      <c r="J142" s="33" t="s">
        <v>96</v>
      </c>
      <c r="K142" s="46">
        <v>0</v>
      </c>
      <c r="L142">
        <v>4.8</v>
      </c>
      <c r="M142" t="s">
        <v>48</v>
      </c>
      <c r="N142" s="46">
        <v>0</v>
      </c>
      <c r="O142" s="46">
        <v>0</v>
      </c>
      <c r="P142" s="46">
        <v>0</v>
      </c>
      <c r="Q142" t="s">
        <v>48</v>
      </c>
      <c r="R142" t="s">
        <v>48</v>
      </c>
      <c r="S142" t="s">
        <v>2593</v>
      </c>
      <c r="T142" t="s">
        <v>48</v>
      </c>
      <c r="U142" t="s">
        <v>2593</v>
      </c>
      <c r="V142" s="47">
        <v>0</v>
      </c>
      <c r="W142" t="s">
        <v>48</v>
      </c>
      <c r="X142" t="s">
        <v>48</v>
      </c>
      <c r="Y142" t="s">
        <v>48</v>
      </c>
      <c r="Z142">
        <v>0</v>
      </c>
      <c r="AA142" t="s">
        <v>48</v>
      </c>
      <c r="AB142" t="s">
        <v>48</v>
      </c>
      <c r="AC142" t="s">
        <v>49</v>
      </c>
      <c r="AD142" t="s">
        <v>93</v>
      </c>
      <c r="AE142" t="s">
        <v>4532</v>
      </c>
      <c r="AF142" t="s">
        <v>48</v>
      </c>
      <c r="AG142" t="s">
        <v>48</v>
      </c>
      <c r="AH142" t="s">
        <v>48</v>
      </c>
      <c r="AI142" t="s">
        <v>48</v>
      </c>
      <c r="AJ142" t="s">
        <v>48</v>
      </c>
      <c r="AK142" t="s">
        <v>48</v>
      </c>
      <c r="AL142" t="s">
        <v>48</v>
      </c>
      <c r="AM142" t="s">
        <v>48</v>
      </c>
      <c r="AN142" t="s">
        <v>48</v>
      </c>
      <c r="AO142" t="s">
        <v>48</v>
      </c>
      <c r="AP142" s="46">
        <v>0</v>
      </c>
      <c r="AQ142" s="46">
        <v>0</v>
      </c>
      <c r="AR142" s="46">
        <v>0</v>
      </c>
      <c r="AS142" s="46">
        <v>0</v>
      </c>
      <c r="AT142" s="46">
        <v>0</v>
      </c>
      <c r="AU142" s="46">
        <v>0</v>
      </c>
      <c r="AV142" s="46">
        <v>0</v>
      </c>
      <c r="AW142" s="46">
        <v>0</v>
      </c>
      <c r="AX142" s="46">
        <v>0</v>
      </c>
      <c r="AY142" s="46">
        <v>0</v>
      </c>
      <c r="AZ142" s="46">
        <v>0</v>
      </c>
      <c r="BA142" s="46">
        <v>0</v>
      </c>
      <c r="BB142" s="46">
        <v>0</v>
      </c>
      <c r="BC142" s="46">
        <v>0</v>
      </c>
      <c r="BD142" s="46">
        <v>0</v>
      </c>
      <c r="BE142" s="46">
        <v>0</v>
      </c>
      <c r="BF142" s="46">
        <v>0</v>
      </c>
      <c r="BG142" s="46" t="s">
        <v>48</v>
      </c>
      <c r="BH142" s="46">
        <v>0</v>
      </c>
      <c r="BI142" s="46">
        <v>0</v>
      </c>
      <c r="BJ142" s="46">
        <v>0</v>
      </c>
      <c r="BK142" s="46">
        <v>0</v>
      </c>
      <c r="BL142" s="46">
        <v>0</v>
      </c>
      <c r="BM142" s="46">
        <v>0</v>
      </c>
      <c r="BN142" s="46">
        <v>0</v>
      </c>
    </row>
    <row r="143" spans="1:66" x14ac:dyDescent="0.35">
      <c r="A143" t="s">
        <v>2572</v>
      </c>
      <c r="B143" s="44" t="s">
        <v>48</v>
      </c>
      <c r="C143" t="s">
        <v>2577</v>
      </c>
      <c r="D143" t="s">
        <v>829</v>
      </c>
      <c r="E143" t="s">
        <v>2574</v>
      </c>
      <c r="F143" t="s">
        <v>2573</v>
      </c>
      <c r="G143" t="s">
        <v>47</v>
      </c>
      <c r="H143">
        <v>0</v>
      </c>
      <c r="I143" s="61" t="s">
        <v>11160</v>
      </c>
      <c r="J143" s="33" t="s">
        <v>96</v>
      </c>
      <c r="K143" s="46">
        <v>0</v>
      </c>
      <c r="L143">
        <v>26.5</v>
      </c>
      <c r="M143" t="s">
        <v>48</v>
      </c>
      <c r="N143" s="46">
        <v>0</v>
      </c>
      <c r="O143" s="46">
        <v>0</v>
      </c>
      <c r="P143" s="46">
        <v>0</v>
      </c>
      <c r="Q143" t="s">
        <v>48</v>
      </c>
      <c r="R143" t="s">
        <v>48</v>
      </c>
      <c r="S143" t="s">
        <v>11329</v>
      </c>
      <c r="T143" t="s">
        <v>48</v>
      </c>
      <c r="U143" t="s">
        <v>2575</v>
      </c>
      <c r="V143" s="47">
        <v>0</v>
      </c>
      <c r="W143" t="s">
        <v>48</v>
      </c>
      <c r="X143" t="s">
        <v>48</v>
      </c>
      <c r="Y143" t="s">
        <v>48</v>
      </c>
      <c r="Z143">
        <v>0</v>
      </c>
      <c r="AA143" t="s">
        <v>2576</v>
      </c>
      <c r="AB143" t="s">
        <v>48</v>
      </c>
      <c r="AC143" t="s">
        <v>49</v>
      </c>
      <c r="AD143" t="s">
        <v>93</v>
      </c>
      <c r="AE143" t="s">
        <v>4532</v>
      </c>
      <c r="AF143" t="s">
        <v>48</v>
      </c>
      <c r="AG143" t="s">
        <v>48</v>
      </c>
      <c r="AH143" t="s">
        <v>48</v>
      </c>
      <c r="AI143" t="s">
        <v>48</v>
      </c>
      <c r="AJ143" t="s">
        <v>48</v>
      </c>
      <c r="AK143" t="s">
        <v>48</v>
      </c>
      <c r="AL143" t="s">
        <v>48</v>
      </c>
      <c r="AM143" t="s">
        <v>48</v>
      </c>
      <c r="AN143" t="s">
        <v>48</v>
      </c>
      <c r="AO143" t="s">
        <v>48</v>
      </c>
      <c r="AP143" s="46">
        <v>0</v>
      </c>
      <c r="AQ143" s="46">
        <v>0</v>
      </c>
      <c r="AR143" s="46">
        <v>0</v>
      </c>
      <c r="AS143" s="46">
        <v>0</v>
      </c>
      <c r="AT143" s="46">
        <v>0</v>
      </c>
      <c r="AU143" s="46">
        <v>0</v>
      </c>
      <c r="AV143" s="46">
        <v>0</v>
      </c>
      <c r="AW143" s="46">
        <v>0</v>
      </c>
      <c r="AX143" s="46">
        <v>0</v>
      </c>
      <c r="AY143" s="46">
        <v>0</v>
      </c>
      <c r="AZ143" s="46">
        <v>0</v>
      </c>
      <c r="BA143" s="46">
        <v>0</v>
      </c>
      <c r="BB143" s="46">
        <v>0</v>
      </c>
      <c r="BC143" s="46">
        <v>0</v>
      </c>
      <c r="BD143" s="46">
        <v>0</v>
      </c>
      <c r="BE143" s="46">
        <v>0</v>
      </c>
      <c r="BF143" s="46">
        <v>0</v>
      </c>
      <c r="BG143" s="46" t="s">
        <v>48</v>
      </c>
      <c r="BH143" s="46">
        <v>0</v>
      </c>
      <c r="BI143" s="46">
        <v>0</v>
      </c>
      <c r="BJ143" s="46">
        <v>0</v>
      </c>
      <c r="BK143" s="46">
        <v>0</v>
      </c>
      <c r="BL143" s="46">
        <v>0</v>
      </c>
      <c r="BM143" s="46">
        <v>0</v>
      </c>
      <c r="BN143" s="46">
        <v>0</v>
      </c>
    </row>
    <row r="144" spans="1:66" x14ac:dyDescent="0.35">
      <c r="A144" t="s">
        <v>2609</v>
      </c>
      <c r="B144" s="44" t="s">
        <v>48</v>
      </c>
      <c r="C144" t="s">
        <v>2614</v>
      </c>
      <c r="D144" t="s">
        <v>829</v>
      </c>
      <c r="E144" t="s">
        <v>2611</v>
      </c>
      <c r="F144" t="s">
        <v>2610</v>
      </c>
      <c r="G144" t="s">
        <v>47</v>
      </c>
      <c r="H144">
        <v>0</v>
      </c>
      <c r="I144" s="60" t="s">
        <v>51</v>
      </c>
      <c r="J144" s="33" t="s">
        <v>96</v>
      </c>
      <c r="K144" s="46">
        <v>1</v>
      </c>
      <c r="L144" t="s">
        <v>48</v>
      </c>
      <c r="M144" t="s">
        <v>48</v>
      </c>
      <c r="N144" s="46">
        <v>0</v>
      </c>
      <c r="O144" s="46">
        <v>0</v>
      </c>
      <c r="P144" s="46">
        <v>0</v>
      </c>
      <c r="Q144" t="s">
        <v>48</v>
      </c>
      <c r="R144" t="s">
        <v>48</v>
      </c>
      <c r="S144" t="s">
        <v>2612</v>
      </c>
      <c r="T144" t="s">
        <v>2613</v>
      </c>
      <c r="U144" t="s">
        <v>2612</v>
      </c>
      <c r="V144" s="47">
        <v>0</v>
      </c>
      <c r="W144" t="s">
        <v>48</v>
      </c>
      <c r="X144" t="s">
        <v>48</v>
      </c>
      <c r="Y144" t="s">
        <v>48</v>
      </c>
      <c r="Z144">
        <v>0</v>
      </c>
      <c r="AA144" t="s">
        <v>48</v>
      </c>
      <c r="AB144">
        <v>2008</v>
      </c>
      <c r="AC144" t="s">
        <v>49</v>
      </c>
      <c r="AD144" t="s">
        <v>93</v>
      </c>
      <c r="AE144" t="s">
        <v>4532</v>
      </c>
      <c r="AF144" t="s">
        <v>48</v>
      </c>
      <c r="AG144" t="s">
        <v>140</v>
      </c>
      <c r="AH144" t="s">
        <v>93</v>
      </c>
      <c r="AI144">
        <v>40902</v>
      </c>
      <c r="AJ144">
        <v>1943</v>
      </c>
      <c r="AK144" t="s">
        <v>8508</v>
      </c>
      <c r="AL144" t="s">
        <v>8509</v>
      </c>
      <c r="AM144">
        <v>0.55300000000000005</v>
      </c>
      <c r="AN144">
        <v>0.40600000000000003</v>
      </c>
      <c r="AO144">
        <v>0.55300000000000005</v>
      </c>
      <c r="AP144" s="46">
        <v>0</v>
      </c>
      <c r="AQ144" s="46">
        <v>0</v>
      </c>
      <c r="AR144" s="46">
        <v>0</v>
      </c>
      <c r="AS144" s="46">
        <v>0</v>
      </c>
      <c r="AT144" s="46">
        <v>0</v>
      </c>
      <c r="AU144" s="46">
        <v>0</v>
      </c>
      <c r="AV144" s="46">
        <v>0</v>
      </c>
      <c r="AW144" s="46">
        <v>0</v>
      </c>
      <c r="AX144" s="46">
        <v>0</v>
      </c>
      <c r="AY144" s="46">
        <v>0</v>
      </c>
      <c r="AZ144" s="46">
        <v>0</v>
      </c>
      <c r="BA144" s="46">
        <v>0</v>
      </c>
      <c r="BB144" s="46">
        <v>0</v>
      </c>
      <c r="BC144" s="46">
        <v>0</v>
      </c>
      <c r="BD144" s="46">
        <v>0</v>
      </c>
      <c r="BE144" s="46">
        <v>0</v>
      </c>
      <c r="BF144" s="46">
        <v>0</v>
      </c>
      <c r="BG144" s="46" t="s">
        <v>48</v>
      </c>
      <c r="BH144" s="46">
        <v>0</v>
      </c>
      <c r="BI144" s="46">
        <v>0</v>
      </c>
      <c r="BJ144" s="46">
        <v>0</v>
      </c>
      <c r="BK144" s="46">
        <v>0</v>
      </c>
      <c r="BL144" s="46">
        <v>0</v>
      </c>
      <c r="BM144" s="46">
        <v>0</v>
      </c>
      <c r="BN144" s="46">
        <v>0</v>
      </c>
    </row>
    <row r="145" spans="1:66" x14ac:dyDescent="0.35">
      <c r="A145" t="s">
        <v>7946</v>
      </c>
      <c r="B145" s="44" t="s">
        <v>48</v>
      </c>
      <c r="C145" t="s">
        <v>11899</v>
      </c>
      <c r="D145" t="s">
        <v>429</v>
      </c>
      <c r="E145" t="s">
        <v>7945</v>
      </c>
      <c r="F145" t="s">
        <v>2616</v>
      </c>
      <c r="G145" t="s">
        <v>74</v>
      </c>
      <c r="H145">
        <v>0</v>
      </c>
      <c r="I145" s="61">
        <v>44720</v>
      </c>
      <c r="J145" s="33" t="s">
        <v>96</v>
      </c>
      <c r="K145" s="46">
        <v>0</v>
      </c>
      <c r="L145">
        <v>42.2</v>
      </c>
      <c r="M145" t="s">
        <v>48</v>
      </c>
      <c r="N145" s="46">
        <v>0</v>
      </c>
      <c r="O145" s="46">
        <v>0</v>
      </c>
      <c r="P145" s="46">
        <v>0</v>
      </c>
      <c r="Q145" t="s">
        <v>48</v>
      </c>
      <c r="R145" t="s">
        <v>48</v>
      </c>
      <c r="S145" t="s">
        <v>48</v>
      </c>
      <c r="T145" t="s">
        <v>48</v>
      </c>
      <c r="U145" t="s">
        <v>48</v>
      </c>
      <c r="V145" s="47">
        <v>1</v>
      </c>
      <c r="W145" t="s">
        <v>11264</v>
      </c>
      <c r="X145" t="s">
        <v>48</v>
      </c>
      <c r="Y145" t="s">
        <v>48</v>
      </c>
      <c r="Z145" t="s">
        <v>48</v>
      </c>
      <c r="AA145" t="s">
        <v>48</v>
      </c>
      <c r="AB145" t="s">
        <v>48</v>
      </c>
      <c r="AC145" t="s">
        <v>49</v>
      </c>
      <c r="AD145" t="s">
        <v>93</v>
      </c>
      <c r="AE145" t="s">
        <v>4532</v>
      </c>
      <c r="AF145" t="s">
        <v>48</v>
      </c>
      <c r="AG145" t="s">
        <v>48</v>
      </c>
      <c r="AH145" t="s">
        <v>48</v>
      </c>
      <c r="AI145" t="s">
        <v>48</v>
      </c>
      <c r="AJ145" t="s">
        <v>48</v>
      </c>
      <c r="AK145" t="s">
        <v>48</v>
      </c>
      <c r="AL145" t="s">
        <v>48</v>
      </c>
      <c r="AM145" t="s">
        <v>48</v>
      </c>
      <c r="AN145" t="s">
        <v>48</v>
      </c>
      <c r="AO145" t="s">
        <v>48</v>
      </c>
      <c r="AP145" s="46">
        <v>0</v>
      </c>
      <c r="AQ145" s="46">
        <v>0</v>
      </c>
      <c r="AR145" s="46">
        <v>0</v>
      </c>
      <c r="AS145" s="46">
        <v>0</v>
      </c>
      <c r="AT145" s="46">
        <v>0</v>
      </c>
      <c r="AU145" s="46">
        <v>0</v>
      </c>
      <c r="AV145" s="46">
        <v>0</v>
      </c>
      <c r="AW145" s="46">
        <v>0</v>
      </c>
      <c r="AX145" s="46">
        <v>0</v>
      </c>
      <c r="AY145" s="46">
        <v>0</v>
      </c>
      <c r="AZ145" s="46">
        <v>0</v>
      </c>
      <c r="BA145" s="46">
        <v>0</v>
      </c>
      <c r="BB145" s="46">
        <v>0</v>
      </c>
      <c r="BC145" s="46">
        <v>0</v>
      </c>
      <c r="BD145" s="46">
        <v>0</v>
      </c>
      <c r="BE145" s="46">
        <v>0</v>
      </c>
      <c r="BF145" s="46">
        <v>0</v>
      </c>
      <c r="BG145" s="46" t="s">
        <v>48</v>
      </c>
      <c r="BH145" s="46">
        <v>0</v>
      </c>
      <c r="BI145" s="46">
        <v>0</v>
      </c>
      <c r="BJ145" s="46">
        <v>0</v>
      </c>
      <c r="BK145" s="46">
        <v>0</v>
      </c>
      <c r="BL145" s="46">
        <v>0</v>
      </c>
      <c r="BM145" s="46">
        <v>0</v>
      </c>
      <c r="BN145" s="46">
        <v>0</v>
      </c>
    </row>
    <row r="146" spans="1:66" x14ac:dyDescent="0.35">
      <c r="A146" t="s">
        <v>2615</v>
      </c>
      <c r="B146" s="44" t="s">
        <v>48</v>
      </c>
      <c r="C146" t="s">
        <v>2619</v>
      </c>
      <c r="D146" t="s">
        <v>2618</v>
      </c>
      <c r="E146" t="s">
        <v>2617</v>
      </c>
      <c r="F146" t="s">
        <v>2616</v>
      </c>
      <c r="G146" t="s">
        <v>47</v>
      </c>
      <c r="H146">
        <v>0</v>
      </c>
      <c r="I146" s="60" t="s">
        <v>125</v>
      </c>
      <c r="J146" s="33" t="s">
        <v>96</v>
      </c>
      <c r="K146" s="46">
        <v>0</v>
      </c>
      <c r="L146">
        <v>8.1999999999999993</v>
      </c>
      <c r="M146" t="s">
        <v>48</v>
      </c>
      <c r="N146" s="46">
        <v>0</v>
      </c>
      <c r="O146" s="46">
        <v>0</v>
      </c>
      <c r="P146" s="46">
        <v>0</v>
      </c>
      <c r="Q146" t="s">
        <v>48</v>
      </c>
      <c r="R146" t="s">
        <v>48</v>
      </c>
      <c r="S146" t="s">
        <v>48</v>
      </c>
      <c r="T146" t="s">
        <v>48</v>
      </c>
      <c r="U146" t="s">
        <v>48</v>
      </c>
      <c r="V146" s="47">
        <v>1</v>
      </c>
      <c r="W146" t="s">
        <v>48</v>
      </c>
      <c r="X146" t="s">
        <v>48</v>
      </c>
      <c r="Y146" t="s">
        <v>48</v>
      </c>
      <c r="Z146">
        <v>0</v>
      </c>
      <c r="AA146" t="s">
        <v>48</v>
      </c>
      <c r="AB146" t="s">
        <v>48</v>
      </c>
      <c r="AC146" t="s">
        <v>63</v>
      </c>
      <c r="AD146" t="s">
        <v>48</v>
      </c>
      <c r="AE146" t="s">
        <v>48</v>
      </c>
      <c r="AF146" t="s">
        <v>48</v>
      </c>
      <c r="AG146" t="s">
        <v>48</v>
      </c>
      <c r="AH146" t="s">
        <v>48</v>
      </c>
      <c r="AI146" t="s">
        <v>48</v>
      </c>
      <c r="AJ146" t="s">
        <v>48</v>
      </c>
      <c r="AK146" t="s">
        <v>48</v>
      </c>
      <c r="AL146" t="s">
        <v>48</v>
      </c>
      <c r="AM146" t="s">
        <v>48</v>
      </c>
      <c r="AN146" t="s">
        <v>48</v>
      </c>
      <c r="AO146" t="s">
        <v>48</v>
      </c>
      <c r="AP146" s="46">
        <v>0</v>
      </c>
      <c r="AQ146" s="46">
        <v>0</v>
      </c>
      <c r="AR146" s="46">
        <v>0</v>
      </c>
      <c r="AS146" s="46">
        <v>0</v>
      </c>
      <c r="AT146" s="46">
        <v>0</v>
      </c>
      <c r="AU146" s="46">
        <v>0</v>
      </c>
      <c r="AV146" s="46">
        <v>0</v>
      </c>
      <c r="AW146" s="46">
        <v>0</v>
      </c>
      <c r="AX146" s="46">
        <v>0</v>
      </c>
      <c r="AY146" s="46">
        <v>0</v>
      </c>
      <c r="AZ146" s="46">
        <v>0</v>
      </c>
      <c r="BA146" s="46">
        <v>0</v>
      </c>
      <c r="BB146" s="46">
        <v>0</v>
      </c>
      <c r="BC146" s="46">
        <v>0</v>
      </c>
      <c r="BD146" s="46">
        <v>0</v>
      </c>
      <c r="BE146" s="46">
        <v>0</v>
      </c>
      <c r="BF146" s="46">
        <v>0</v>
      </c>
      <c r="BG146" s="46" t="s">
        <v>48</v>
      </c>
      <c r="BH146" s="46">
        <v>0</v>
      </c>
      <c r="BI146" s="46">
        <v>0</v>
      </c>
      <c r="BJ146" s="46">
        <v>0</v>
      </c>
      <c r="BK146" s="46">
        <v>0</v>
      </c>
      <c r="BL146" s="46">
        <v>0</v>
      </c>
      <c r="BM146" s="46">
        <v>0</v>
      </c>
      <c r="BN146" s="46">
        <v>0</v>
      </c>
    </row>
    <row r="147" spans="1:66" x14ac:dyDescent="0.35">
      <c r="A147" t="s">
        <v>7942</v>
      </c>
      <c r="B147" s="44" t="s">
        <v>48</v>
      </c>
      <c r="C147" t="s">
        <v>5053</v>
      </c>
      <c r="D147" t="s">
        <v>602</v>
      </c>
      <c r="E147" t="s">
        <v>7941</v>
      </c>
      <c r="F147" t="s">
        <v>2616</v>
      </c>
      <c r="G147" t="s">
        <v>47</v>
      </c>
      <c r="H147">
        <v>0</v>
      </c>
      <c r="I147" s="61">
        <v>44720</v>
      </c>
      <c r="J147" s="33" t="s">
        <v>96</v>
      </c>
      <c r="K147" s="46">
        <v>0</v>
      </c>
      <c r="L147">
        <v>6.4</v>
      </c>
      <c r="M147" t="s">
        <v>48</v>
      </c>
      <c r="N147" s="46">
        <v>0</v>
      </c>
      <c r="O147" s="46">
        <v>0</v>
      </c>
      <c r="P147" s="46">
        <v>0</v>
      </c>
      <c r="Q147" t="s">
        <v>48</v>
      </c>
      <c r="R147" t="s">
        <v>48</v>
      </c>
      <c r="S147" t="s">
        <v>10095</v>
      </c>
      <c r="T147" t="s">
        <v>48</v>
      </c>
      <c r="U147" t="s">
        <v>10095</v>
      </c>
      <c r="V147" s="47">
        <v>1</v>
      </c>
      <c r="W147" t="s">
        <v>48</v>
      </c>
      <c r="X147" t="s">
        <v>48</v>
      </c>
      <c r="Y147" t="s">
        <v>48</v>
      </c>
      <c r="Z147" t="s">
        <v>48</v>
      </c>
      <c r="AA147" t="s">
        <v>48</v>
      </c>
      <c r="AB147" t="s">
        <v>48</v>
      </c>
      <c r="AC147" t="s">
        <v>63</v>
      </c>
      <c r="AD147" t="s">
        <v>93</v>
      </c>
      <c r="AE147" t="s">
        <v>4532</v>
      </c>
      <c r="AF147" t="s">
        <v>48</v>
      </c>
      <c r="AG147" t="s">
        <v>48</v>
      </c>
      <c r="AH147" t="s">
        <v>48</v>
      </c>
      <c r="AI147" t="s">
        <v>48</v>
      </c>
      <c r="AJ147" t="s">
        <v>48</v>
      </c>
      <c r="AK147" t="s">
        <v>48</v>
      </c>
      <c r="AL147" t="s">
        <v>48</v>
      </c>
      <c r="AM147" t="s">
        <v>48</v>
      </c>
      <c r="AN147" t="s">
        <v>48</v>
      </c>
      <c r="AO147" t="s">
        <v>48</v>
      </c>
      <c r="AP147" s="46">
        <v>0</v>
      </c>
      <c r="AQ147" s="46">
        <v>0</v>
      </c>
      <c r="AR147" s="46">
        <v>0</v>
      </c>
      <c r="AS147" s="46">
        <v>0</v>
      </c>
      <c r="AT147" s="46">
        <v>0</v>
      </c>
      <c r="AU147" s="46">
        <v>0</v>
      </c>
      <c r="AV147" s="46">
        <v>0</v>
      </c>
      <c r="AW147" s="46">
        <v>0</v>
      </c>
      <c r="AX147" s="46">
        <v>0</v>
      </c>
      <c r="AY147" s="46">
        <v>0</v>
      </c>
      <c r="AZ147" s="46">
        <v>0</v>
      </c>
      <c r="BA147" s="46">
        <v>0</v>
      </c>
      <c r="BB147" s="46">
        <v>0</v>
      </c>
      <c r="BC147" s="46">
        <v>0</v>
      </c>
      <c r="BD147" s="46">
        <v>0</v>
      </c>
      <c r="BE147" s="46">
        <v>0</v>
      </c>
      <c r="BF147" s="46">
        <v>0</v>
      </c>
      <c r="BG147" s="46" t="s">
        <v>48</v>
      </c>
      <c r="BH147" s="46">
        <v>0</v>
      </c>
      <c r="BI147" s="46">
        <v>0</v>
      </c>
      <c r="BJ147" s="46">
        <v>0</v>
      </c>
      <c r="BK147" s="46">
        <v>0</v>
      </c>
      <c r="BL147" s="46">
        <v>0</v>
      </c>
      <c r="BM147" s="46">
        <v>0</v>
      </c>
      <c r="BN147" s="46">
        <v>0</v>
      </c>
    </row>
    <row r="148" spans="1:66" x14ac:dyDescent="0.35">
      <c r="A148" t="s">
        <v>7940</v>
      </c>
      <c r="B148" s="44" t="s">
        <v>48</v>
      </c>
      <c r="C148" t="s">
        <v>11901</v>
      </c>
      <c r="D148" t="s">
        <v>11902</v>
      </c>
      <c r="E148" t="s">
        <v>7939</v>
      </c>
      <c r="F148" t="s">
        <v>2616</v>
      </c>
      <c r="G148" t="s">
        <v>47</v>
      </c>
      <c r="H148">
        <v>0</v>
      </c>
      <c r="I148" s="61">
        <v>44720</v>
      </c>
      <c r="J148" s="33" t="s">
        <v>96</v>
      </c>
      <c r="K148" s="46">
        <v>0</v>
      </c>
      <c r="L148">
        <v>7.9</v>
      </c>
      <c r="M148" t="s">
        <v>48</v>
      </c>
      <c r="N148" s="46">
        <v>0</v>
      </c>
      <c r="O148" s="46">
        <v>0</v>
      </c>
      <c r="P148" s="46">
        <v>0</v>
      </c>
      <c r="Q148" t="s">
        <v>48</v>
      </c>
      <c r="R148" t="s">
        <v>48</v>
      </c>
      <c r="S148" t="s">
        <v>10096</v>
      </c>
      <c r="T148" t="s">
        <v>48</v>
      </c>
      <c r="U148" t="s">
        <v>10096</v>
      </c>
      <c r="V148" s="47">
        <v>0</v>
      </c>
      <c r="W148" t="s">
        <v>48</v>
      </c>
      <c r="X148" t="s">
        <v>48</v>
      </c>
      <c r="Y148" t="s">
        <v>48</v>
      </c>
      <c r="Z148" t="s">
        <v>48</v>
      </c>
      <c r="AA148" t="s">
        <v>48</v>
      </c>
      <c r="AB148" t="s">
        <v>48</v>
      </c>
      <c r="AC148" t="s">
        <v>49</v>
      </c>
      <c r="AD148" t="s">
        <v>93</v>
      </c>
      <c r="AE148" t="s">
        <v>4532</v>
      </c>
      <c r="AF148" t="s">
        <v>48</v>
      </c>
      <c r="AG148" t="s">
        <v>48</v>
      </c>
      <c r="AH148" t="s">
        <v>48</v>
      </c>
      <c r="AI148" t="s">
        <v>48</v>
      </c>
      <c r="AJ148" t="s">
        <v>48</v>
      </c>
      <c r="AK148" t="s">
        <v>48</v>
      </c>
      <c r="AL148" t="s">
        <v>48</v>
      </c>
      <c r="AM148" t="s">
        <v>48</v>
      </c>
      <c r="AN148" t="s">
        <v>48</v>
      </c>
      <c r="AO148" t="s">
        <v>48</v>
      </c>
      <c r="AP148" s="46">
        <v>0</v>
      </c>
      <c r="AQ148" s="46">
        <v>0</v>
      </c>
      <c r="AR148" s="46">
        <v>0</v>
      </c>
      <c r="AS148" s="46">
        <v>0</v>
      </c>
      <c r="AT148" s="46">
        <v>0</v>
      </c>
      <c r="AU148" s="46">
        <v>0</v>
      </c>
      <c r="AV148" s="46">
        <v>0</v>
      </c>
      <c r="AW148" s="46">
        <v>0</v>
      </c>
      <c r="AX148" s="46">
        <v>0</v>
      </c>
      <c r="AY148" s="46">
        <v>0</v>
      </c>
      <c r="AZ148" s="46">
        <v>0</v>
      </c>
      <c r="BA148" s="46">
        <v>0</v>
      </c>
      <c r="BB148" s="46">
        <v>0</v>
      </c>
      <c r="BC148" s="46">
        <v>0</v>
      </c>
      <c r="BD148" s="46">
        <v>0</v>
      </c>
      <c r="BE148" s="46">
        <v>0</v>
      </c>
      <c r="BF148" s="46">
        <v>0</v>
      </c>
      <c r="BG148" s="46" t="s">
        <v>48</v>
      </c>
      <c r="BH148" s="46">
        <v>0</v>
      </c>
      <c r="BI148" s="46">
        <v>0</v>
      </c>
      <c r="BJ148" s="46">
        <v>0</v>
      </c>
      <c r="BK148" s="46">
        <v>0</v>
      </c>
      <c r="BL148" s="46">
        <v>0</v>
      </c>
      <c r="BM148" s="46">
        <v>0</v>
      </c>
      <c r="BN148" s="46">
        <v>0</v>
      </c>
    </row>
    <row r="149" spans="1:66" x14ac:dyDescent="0.35">
      <c r="A149" t="s">
        <v>2625</v>
      </c>
      <c r="B149" s="44" t="s">
        <v>48</v>
      </c>
      <c r="C149" t="s">
        <v>329</v>
      </c>
      <c r="D149" t="s">
        <v>885</v>
      </c>
      <c r="E149" t="s">
        <v>2626</v>
      </c>
      <c r="F149" t="s">
        <v>2616</v>
      </c>
      <c r="G149" t="s">
        <v>47</v>
      </c>
      <c r="H149">
        <v>0</v>
      </c>
      <c r="I149" s="60" t="s">
        <v>177</v>
      </c>
      <c r="J149" s="33" t="s">
        <v>96</v>
      </c>
      <c r="K149" s="46">
        <v>0</v>
      </c>
      <c r="L149">
        <v>10.5</v>
      </c>
      <c r="M149" t="s">
        <v>48</v>
      </c>
      <c r="N149" s="46">
        <v>0</v>
      </c>
      <c r="O149" s="46">
        <v>0</v>
      </c>
      <c r="P149" s="46">
        <v>0</v>
      </c>
      <c r="Q149" t="s">
        <v>48</v>
      </c>
      <c r="R149" t="s">
        <v>48</v>
      </c>
      <c r="S149" t="s">
        <v>48</v>
      </c>
      <c r="T149" t="s">
        <v>48</v>
      </c>
      <c r="U149" t="s">
        <v>48</v>
      </c>
      <c r="V149" s="47">
        <v>1</v>
      </c>
      <c r="W149" t="s">
        <v>48</v>
      </c>
      <c r="X149" t="s">
        <v>48</v>
      </c>
      <c r="Y149" t="s">
        <v>48</v>
      </c>
      <c r="Z149">
        <v>0</v>
      </c>
      <c r="AA149" t="s">
        <v>48</v>
      </c>
      <c r="AB149" t="s">
        <v>48</v>
      </c>
      <c r="AC149" t="s">
        <v>49</v>
      </c>
      <c r="AD149" t="s">
        <v>93</v>
      </c>
      <c r="AE149" t="s">
        <v>4532</v>
      </c>
      <c r="AF149" t="s">
        <v>48</v>
      </c>
      <c r="AG149" t="s">
        <v>48</v>
      </c>
      <c r="AH149" t="s">
        <v>48</v>
      </c>
      <c r="AI149" t="s">
        <v>48</v>
      </c>
      <c r="AJ149" t="s">
        <v>48</v>
      </c>
      <c r="AK149" t="s">
        <v>48</v>
      </c>
      <c r="AL149" t="s">
        <v>48</v>
      </c>
      <c r="AM149" t="s">
        <v>48</v>
      </c>
      <c r="AN149" t="s">
        <v>48</v>
      </c>
      <c r="AO149" t="s">
        <v>48</v>
      </c>
      <c r="AP149" s="46">
        <v>0</v>
      </c>
      <c r="AQ149" s="46">
        <v>0</v>
      </c>
      <c r="AR149" s="46">
        <v>0</v>
      </c>
      <c r="AS149" s="46">
        <v>0</v>
      </c>
      <c r="AT149" s="46">
        <v>0</v>
      </c>
      <c r="AU149" s="46">
        <v>0</v>
      </c>
      <c r="AV149" s="46">
        <v>0</v>
      </c>
      <c r="AW149" s="46">
        <v>0</v>
      </c>
      <c r="AX149" s="46">
        <v>0</v>
      </c>
      <c r="AY149" s="46">
        <v>0</v>
      </c>
      <c r="AZ149" s="46">
        <v>0</v>
      </c>
      <c r="BA149" s="46">
        <v>0</v>
      </c>
      <c r="BB149" s="46">
        <v>0</v>
      </c>
      <c r="BC149" s="46">
        <v>0</v>
      </c>
      <c r="BD149" s="46">
        <v>0</v>
      </c>
      <c r="BE149" s="46">
        <v>0</v>
      </c>
      <c r="BF149" s="46">
        <v>0</v>
      </c>
      <c r="BG149" s="46" t="s">
        <v>48</v>
      </c>
      <c r="BH149" s="46">
        <v>0</v>
      </c>
      <c r="BI149" s="46">
        <v>0</v>
      </c>
      <c r="BJ149" s="46">
        <v>0</v>
      </c>
      <c r="BK149" s="46">
        <v>0</v>
      </c>
      <c r="BL149" s="46">
        <v>0</v>
      </c>
      <c r="BM149" s="46">
        <v>0</v>
      </c>
      <c r="BN149" s="46">
        <v>0</v>
      </c>
    </row>
    <row r="150" spans="1:66" x14ac:dyDescent="0.35">
      <c r="A150" t="s">
        <v>2912</v>
      </c>
      <c r="B150" s="44" t="s">
        <v>48</v>
      </c>
      <c r="C150" t="s">
        <v>2918</v>
      </c>
      <c r="D150" t="s">
        <v>2917</v>
      </c>
      <c r="E150" t="s">
        <v>2914</v>
      </c>
      <c r="F150" t="s">
        <v>2913</v>
      </c>
      <c r="G150" t="s">
        <v>74</v>
      </c>
      <c r="H150">
        <v>0</v>
      </c>
      <c r="I150" s="60" t="s">
        <v>51</v>
      </c>
      <c r="J150" s="33" t="s">
        <v>96</v>
      </c>
      <c r="K150" s="46">
        <v>1</v>
      </c>
      <c r="L150" t="s">
        <v>48</v>
      </c>
      <c r="M150" t="s">
        <v>48</v>
      </c>
      <c r="N150" s="46">
        <v>0</v>
      </c>
      <c r="O150" s="46">
        <v>0</v>
      </c>
      <c r="P150" s="46">
        <v>0</v>
      </c>
      <c r="Q150" t="s">
        <v>48</v>
      </c>
      <c r="R150" t="s">
        <v>48</v>
      </c>
      <c r="S150" t="s">
        <v>2915</v>
      </c>
      <c r="T150" t="s">
        <v>2916</v>
      </c>
      <c r="U150" t="s">
        <v>2915</v>
      </c>
      <c r="V150" s="47">
        <v>0</v>
      </c>
      <c r="W150" t="s">
        <v>48</v>
      </c>
      <c r="X150" t="s">
        <v>48</v>
      </c>
      <c r="Y150" t="s">
        <v>48</v>
      </c>
      <c r="Z150">
        <v>0</v>
      </c>
      <c r="AA150" t="s">
        <v>48</v>
      </c>
      <c r="AB150">
        <v>1996</v>
      </c>
      <c r="AC150" t="s">
        <v>49</v>
      </c>
      <c r="AD150" t="s">
        <v>93</v>
      </c>
      <c r="AE150" t="s">
        <v>4532</v>
      </c>
      <c r="AF150" t="s">
        <v>48</v>
      </c>
      <c r="AG150" t="s">
        <v>140</v>
      </c>
      <c r="AH150" t="s">
        <v>93</v>
      </c>
      <c r="AI150">
        <v>15021</v>
      </c>
      <c r="AJ150">
        <v>1944</v>
      </c>
      <c r="AK150" t="s">
        <v>8510</v>
      </c>
      <c r="AL150" t="s">
        <v>8511</v>
      </c>
      <c r="AM150">
        <v>-0.34799999999999998</v>
      </c>
      <c r="AN150">
        <v>-0.30399999999999999</v>
      </c>
      <c r="AO150">
        <v>-0.34799999999999998</v>
      </c>
      <c r="AP150" s="46">
        <v>0</v>
      </c>
      <c r="AQ150" s="46">
        <v>0</v>
      </c>
      <c r="AR150" s="46">
        <v>0</v>
      </c>
      <c r="AS150" s="46">
        <v>0</v>
      </c>
      <c r="AT150" s="46">
        <v>0</v>
      </c>
      <c r="AU150" s="46">
        <v>0</v>
      </c>
      <c r="AV150" s="46">
        <v>0</v>
      </c>
      <c r="AW150" s="46">
        <v>0</v>
      </c>
      <c r="AX150" s="46">
        <v>0</v>
      </c>
      <c r="AY150" s="46">
        <v>0</v>
      </c>
      <c r="AZ150" s="46">
        <v>0</v>
      </c>
      <c r="BA150" s="46">
        <v>0</v>
      </c>
      <c r="BB150" s="46">
        <v>0</v>
      </c>
      <c r="BC150" s="46">
        <v>0</v>
      </c>
      <c r="BD150" s="46">
        <v>0</v>
      </c>
      <c r="BE150" s="46">
        <v>0</v>
      </c>
      <c r="BF150" s="46">
        <v>0</v>
      </c>
      <c r="BG150" s="46" t="s">
        <v>48</v>
      </c>
      <c r="BH150" s="46">
        <v>0</v>
      </c>
      <c r="BI150" s="46">
        <v>0</v>
      </c>
      <c r="BJ150" s="46">
        <v>0</v>
      </c>
      <c r="BK150" s="46">
        <v>0</v>
      </c>
      <c r="BL150" s="46">
        <v>0</v>
      </c>
      <c r="BM150" s="46">
        <v>0</v>
      </c>
      <c r="BN150" s="46">
        <v>0</v>
      </c>
    </row>
    <row r="151" spans="1:66" x14ac:dyDescent="0.35">
      <c r="A151" t="s">
        <v>9534</v>
      </c>
      <c r="B151" s="44" t="s">
        <v>48</v>
      </c>
      <c r="C151" t="s">
        <v>332</v>
      </c>
      <c r="D151" t="s">
        <v>1748</v>
      </c>
      <c r="E151" t="s">
        <v>9535</v>
      </c>
      <c r="F151" t="s">
        <v>2919</v>
      </c>
      <c r="G151" t="s">
        <v>47</v>
      </c>
      <c r="H151">
        <v>0</v>
      </c>
      <c r="I151" s="61">
        <v>44748</v>
      </c>
      <c r="J151" s="33" t="s">
        <v>96</v>
      </c>
      <c r="K151" s="46">
        <v>0</v>
      </c>
      <c r="L151">
        <v>7.4</v>
      </c>
      <c r="M151" t="s">
        <v>48</v>
      </c>
      <c r="N151" s="46">
        <v>0</v>
      </c>
      <c r="O151" s="46">
        <v>0</v>
      </c>
      <c r="P151" s="46">
        <v>0</v>
      </c>
      <c r="Q151" t="s">
        <v>48</v>
      </c>
      <c r="R151" t="s">
        <v>48</v>
      </c>
      <c r="S151" t="s">
        <v>48</v>
      </c>
      <c r="T151" t="s">
        <v>48</v>
      </c>
      <c r="U151" t="s">
        <v>48</v>
      </c>
      <c r="V151" s="47">
        <v>0</v>
      </c>
      <c r="W151" t="s">
        <v>48</v>
      </c>
      <c r="X151" t="s">
        <v>48</v>
      </c>
      <c r="Y151" t="s">
        <v>48</v>
      </c>
      <c r="Z151" t="s">
        <v>48</v>
      </c>
      <c r="AA151" t="s">
        <v>48</v>
      </c>
      <c r="AB151" t="s">
        <v>48</v>
      </c>
      <c r="AC151" t="s">
        <v>49</v>
      </c>
      <c r="AD151" t="s">
        <v>93</v>
      </c>
      <c r="AE151" t="s">
        <v>2471</v>
      </c>
      <c r="AF151" t="s">
        <v>48</v>
      </c>
      <c r="AG151" t="s">
        <v>48</v>
      </c>
      <c r="AH151" t="s">
        <v>48</v>
      </c>
      <c r="AI151" t="s">
        <v>48</v>
      </c>
      <c r="AJ151" t="s">
        <v>48</v>
      </c>
      <c r="AK151" t="s">
        <v>48</v>
      </c>
      <c r="AL151" t="s">
        <v>48</v>
      </c>
      <c r="AM151" t="s">
        <v>48</v>
      </c>
      <c r="AN151" t="s">
        <v>48</v>
      </c>
      <c r="AO151" t="s">
        <v>48</v>
      </c>
      <c r="AP151" s="46">
        <v>0</v>
      </c>
      <c r="AQ151" s="46">
        <v>0</v>
      </c>
      <c r="AR151" s="46">
        <v>0</v>
      </c>
      <c r="AS151" s="46">
        <v>0</v>
      </c>
      <c r="AT151" s="46">
        <v>0</v>
      </c>
      <c r="AU151" s="46">
        <v>0</v>
      </c>
      <c r="AV151" s="46">
        <v>0</v>
      </c>
      <c r="AW151" s="46">
        <v>0</v>
      </c>
      <c r="AX151" s="46">
        <v>0</v>
      </c>
      <c r="AY151" s="46">
        <v>0</v>
      </c>
      <c r="AZ151" s="46">
        <v>0</v>
      </c>
      <c r="BA151" s="46">
        <v>0</v>
      </c>
      <c r="BB151" s="46">
        <v>0</v>
      </c>
      <c r="BC151" s="46">
        <v>0</v>
      </c>
      <c r="BD151" s="46">
        <v>0</v>
      </c>
      <c r="BE151" s="46">
        <v>0</v>
      </c>
      <c r="BF151" s="46">
        <v>0</v>
      </c>
      <c r="BG151" s="46" t="s">
        <v>48</v>
      </c>
      <c r="BH151" s="46">
        <v>0</v>
      </c>
      <c r="BI151" s="46">
        <v>0</v>
      </c>
      <c r="BJ151" s="46">
        <v>0</v>
      </c>
      <c r="BK151" s="46">
        <v>0</v>
      </c>
      <c r="BL151" s="46">
        <v>0</v>
      </c>
      <c r="BM151" s="46">
        <v>0</v>
      </c>
      <c r="BN151" s="46">
        <v>0</v>
      </c>
    </row>
    <row r="152" spans="1:66" x14ac:dyDescent="0.35">
      <c r="A152" t="s">
        <v>2934</v>
      </c>
      <c r="B152" s="44" t="s">
        <v>48</v>
      </c>
      <c r="C152" t="s">
        <v>2936</v>
      </c>
      <c r="D152" t="s">
        <v>2670</v>
      </c>
      <c r="E152" t="s">
        <v>2935</v>
      </c>
      <c r="F152" t="s">
        <v>2919</v>
      </c>
      <c r="G152" t="s">
        <v>47</v>
      </c>
      <c r="H152">
        <v>0</v>
      </c>
      <c r="I152" s="60" t="s">
        <v>177</v>
      </c>
      <c r="J152" s="33" t="s">
        <v>96</v>
      </c>
      <c r="K152" s="46">
        <v>0</v>
      </c>
      <c r="L152">
        <v>9.1999999999999993</v>
      </c>
      <c r="M152" t="s">
        <v>48</v>
      </c>
      <c r="N152" s="46">
        <v>0</v>
      </c>
      <c r="O152" s="46">
        <v>0</v>
      </c>
      <c r="P152" s="46">
        <v>0</v>
      </c>
      <c r="Q152" t="s">
        <v>48</v>
      </c>
      <c r="R152" t="s">
        <v>48</v>
      </c>
      <c r="S152" t="s">
        <v>10107</v>
      </c>
      <c r="T152" t="s">
        <v>48</v>
      </c>
      <c r="U152" t="s">
        <v>10107</v>
      </c>
      <c r="V152" s="47">
        <v>0</v>
      </c>
      <c r="W152" t="s">
        <v>48</v>
      </c>
      <c r="X152" t="s">
        <v>48</v>
      </c>
      <c r="Y152" t="s">
        <v>48</v>
      </c>
      <c r="Z152">
        <v>0</v>
      </c>
      <c r="AA152" t="s">
        <v>48</v>
      </c>
      <c r="AB152" t="s">
        <v>48</v>
      </c>
      <c r="AC152" t="s">
        <v>49</v>
      </c>
      <c r="AD152" t="s">
        <v>93</v>
      </c>
      <c r="AE152" t="s">
        <v>4532</v>
      </c>
      <c r="AF152" t="s">
        <v>48</v>
      </c>
      <c r="AG152" t="s">
        <v>48</v>
      </c>
      <c r="AH152" t="s">
        <v>48</v>
      </c>
      <c r="AI152" t="s">
        <v>48</v>
      </c>
      <c r="AJ152" t="s">
        <v>48</v>
      </c>
      <c r="AK152" t="s">
        <v>48</v>
      </c>
      <c r="AL152" t="s">
        <v>48</v>
      </c>
      <c r="AM152" t="s">
        <v>48</v>
      </c>
      <c r="AN152" t="s">
        <v>48</v>
      </c>
      <c r="AO152" t="s">
        <v>48</v>
      </c>
      <c r="AP152" s="46">
        <v>0</v>
      </c>
      <c r="AQ152" s="46">
        <v>0</v>
      </c>
      <c r="AR152" s="46">
        <v>0</v>
      </c>
      <c r="AS152" s="46">
        <v>0</v>
      </c>
      <c r="AT152" s="46">
        <v>0</v>
      </c>
      <c r="AU152" s="46">
        <v>0</v>
      </c>
      <c r="AV152" s="46">
        <v>0</v>
      </c>
      <c r="AW152" s="46">
        <v>0</v>
      </c>
      <c r="AX152" s="46">
        <v>0</v>
      </c>
      <c r="AY152" s="46">
        <v>0</v>
      </c>
      <c r="AZ152" s="46">
        <v>0</v>
      </c>
      <c r="BA152" s="46">
        <v>0</v>
      </c>
      <c r="BB152" s="46">
        <v>0</v>
      </c>
      <c r="BC152" s="46">
        <v>0</v>
      </c>
      <c r="BD152" s="46">
        <v>0</v>
      </c>
      <c r="BE152" s="46">
        <v>0</v>
      </c>
      <c r="BF152" s="46">
        <v>0</v>
      </c>
      <c r="BG152" s="46" t="s">
        <v>48</v>
      </c>
      <c r="BH152" s="46">
        <v>0</v>
      </c>
      <c r="BI152" s="46">
        <v>0</v>
      </c>
      <c r="BJ152" s="46">
        <v>0</v>
      </c>
      <c r="BK152" s="46">
        <v>0</v>
      </c>
      <c r="BL152" s="46">
        <v>0</v>
      </c>
      <c r="BM152" s="46">
        <v>0</v>
      </c>
      <c r="BN152" s="46">
        <v>0</v>
      </c>
    </row>
    <row r="153" spans="1:66" x14ac:dyDescent="0.35">
      <c r="A153" t="s">
        <v>2920</v>
      </c>
      <c r="B153" s="44" t="s">
        <v>48</v>
      </c>
      <c r="C153" t="s">
        <v>2923</v>
      </c>
      <c r="D153" t="s">
        <v>451</v>
      </c>
      <c r="E153" t="s">
        <v>2921</v>
      </c>
      <c r="F153" t="s">
        <v>2919</v>
      </c>
      <c r="G153" t="s">
        <v>47</v>
      </c>
      <c r="H153">
        <v>0</v>
      </c>
      <c r="I153" s="60" t="s">
        <v>177</v>
      </c>
      <c r="J153" s="33" t="s">
        <v>96</v>
      </c>
      <c r="K153" s="46">
        <v>0</v>
      </c>
      <c r="L153">
        <v>10.7</v>
      </c>
      <c r="M153" t="s">
        <v>48</v>
      </c>
      <c r="N153" s="46">
        <v>0</v>
      </c>
      <c r="O153" s="46">
        <v>0</v>
      </c>
      <c r="P153" s="46">
        <v>0</v>
      </c>
      <c r="Q153" t="s">
        <v>48</v>
      </c>
      <c r="R153" t="s">
        <v>48</v>
      </c>
      <c r="S153" t="s">
        <v>2922</v>
      </c>
      <c r="T153" t="s">
        <v>48</v>
      </c>
      <c r="U153" t="s">
        <v>2922</v>
      </c>
      <c r="V153" s="47">
        <v>0</v>
      </c>
      <c r="W153" t="s">
        <v>48</v>
      </c>
      <c r="X153" t="s">
        <v>48</v>
      </c>
      <c r="Y153" t="s">
        <v>48</v>
      </c>
      <c r="Z153">
        <v>0</v>
      </c>
      <c r="AA153" t="s">
        <v>48</v>
      </c>
      <c r="AB153" t="s">
        <v>48</v>
      </c>
      <c r="AC153" t="s">
        <v>49</v>
      </c>
      <c r="AD153" t="s">
        <v>93</v>
      </c>
      <c r="AE153" t="s">
        <v>4532</v>
      </c>
      <c r="AF153" t="s">
        <v>48</v>
      </c>
      <c r="AG153" t="s">
        <v>48</v>
      </c>
      <c r="AH153" t="s">
        <v>48</v>
      </c>
      <c r="AI153" t="s">
        <v>48</v>
      </c>
      <c r="AJ153" t="s">
        <v>48</v>
      </c>
      <c r="AK153" t="s">
        <v>48</v>
      </c>
      <c r="AL153" t="s">
        <v>48</v>
      </c>
      <c r="AM153" t="s">
        <v>48</v>
      </c>
      <c r="AN153" t="s">
        <v>48</v>
      </c>
      <c r="AO153" t="s">
        <v>48</v>
      </c>
      <c r="AP153" s="46">
        <v>0</v>
      </c>
      <c r="AQ153" s="46">
        <v>0</v>
      </c>
      <c r="AR153" s="46">
        <v>0</v>
      </c>
      <c r="AS153" s="46">
        <v>0</v>
      </c>
      <c r="AT153" s="46">
        <v>0</v>
      </c>
      <c r="AU153" s="46">
        <v>0</v>
      </c>
      <c r="AV153" s="46">
        <v>0</v>
      </c>
      <c r="AW153" s="46">
        <v>0</v>
      </c>
      <c r="AX153" s="46">
        <v>0</v>
      </c>
      <c r="AY153" s="46">
        <v>0</v>
      </c>
      <c r="AZ153" s="46">
        <v>0</v>
      </c>
      <c r="BA153" s="46">
        <v>0</v>
      </c>
      <c r="BB153" s="46">
        <v>0</v>
      </c>
      <c r="BC153" s="46">
        <v>0</v>
      </c>
      <c r="BD153" s="46">
        <v>0</v>
      </c>
      <c r="BE153" s="46">
        <v>0</v>
      </c>
      <c r="BF153" s="46">
        <v>0</v>
      </c>
      <c r="BG153" s="46" t="s">
        <v>48</v>
      </c>
      <c r="BH153" s="46">
        <v>0</v>
      </c>
      <c r="BI153" s="46">
        <v>0</v>
      </c>
      <c r="BJ153" s="46">
        <v>0</v>
      </c>
      <c r="BK153" s="46">
        <v>0</v>
      </c>
      <c r="BL153" s="46">
        <v>0</v>
      </c>
      <c r="BM153" s="46">
        <v>0</v>
      </c>
      <c r="BN153" s="46">
        <v>0</v>
      </c>
    </row>
    <row r="154" spans="1:66" x14ac:dyDescent="0.35">
      <c r="A154" t="s">
        <v>2938</v>
      </c>
      <c r="B154" s="44" t="s">
        <v>48</v>
      </c>
      <c r="C154" t="s">
        <v>2940</v>
      </c>
      <c r="D154" t="s">
        <v>1118</v>
      </c>
      <c r="E154" t="s">
        <v>2939</v>
      </c>
      <c r="F154" t="s">
        <v>2919</v>
      </c>
      <c r="G154" t="s">
        <v>47</v>
      </c>
      <c r="H154">
        <v>0</v>
      </c>
      <c r="I154" s="60" t="s">
        <v>78</v>
      </c>
      <c r="J154" s="33" t="s">
        <v>96</v>
      </c>
      <c r="K154" s="46">
        <v>0</v>
      </c>
      <c r="L154">
        <v>5.0999999999999996</v>
      </c>
      <c r="M154" t="s">
        <v>48</v>
      </c>
      <c r="N154" s="46">
        <v>0</v>
      </c>
      <c r="O154" s="46">
        <v>0</v>
      </c>
      <c r="P154" s="46">
        <v>0</v>
      </c>
      <c r="Q154" t="s">
        <v>48</v>
      </c>
      <c r="R154" t="s">
        <v>48</v>
      </c>
      <c r="S154" t="s">
        <v>48</v>
      </c>
      <c r="T154" t="s">
        <v>48</v>
      </c>
      <c r="U154" t="s">
        <v>48</v>
      </c>
      <c r="V154" s="47">
        <v>1</v>
      </c>
      <c r="W154" t="s">
        <v>48</v>
      </c>
      <c r="X154" t="s">
        <v>48</v>
      </c>
      <c r="Y154" t="s">
        <v>48</v>
      </c>
      <c r="Z154">
        <v>0</v>
      </c>
      <c r="AA154" t="s">
        <v>48</v>
      </c>
      <c r="AB154" t="s">
        <v>48</v>
      </c>
      <c r="AC154" t="s">
        <v>49</v>
      </c>
      <c r="AD154" t="s">
        <v>93</v>
      </c>
      <c r="AE154" s="40" t="s">
        <v>2471</v>
      </c>
      <c r="AF154" t="s">
        <v>11061</v>
      </c>
      <c r="AG154" t="s">
        <v>48</v>
      </c>
      <c r="AH154" t="s">
        <v>48</v>
      </c>
      <c r="AI154" t="s">
        <v>48</v>
      </c>
      <c r="AJ154" t="s">
        <v>48</v>
      </c>
      <c r="AK154" t="s">
        <v>48</v>
      </c>
      <c r="AL154" t="s">
        <v>48</v>
      </c>
      <c r="AM154" t="s">
        <v>48</v>
      </c>
      <c r="AN154" t="s">
        <v>48</v>
      </c>
      <c r="AO154" t="s">
        <v>48</v>
      </c>
      <c r="AP154" s="46">
        <v>0</v>
      </c>
      <c r="AQ154" s="46">
        <v>0</v>
      </c>
      <c r="AR154" s="46">
        <v>0</v>
      </c>
      <c r="AS154" s="46">
        <v>0</v>
      </c>
      <c r="AT154" s="46">
        <v>0</v>
      </c>
      <c r="AU154" s="46">
        <v>0</v>
      </c>
      <c r="AV154" s="46">
        <v>0</v>
      </c>
      <c r="AW154" s="46">
        <v>0</v>
      </c>
      <c r="AX154" s="46">
        <v>0</v>
      </c>
      <c r="AY154" s="46">
        <v>0</v>
      </c>
      <c r="AZ154" s="46">
        <v>0</v>
      </c>
      <c r="BA154" s="46">
        <v>0</v>
      </c>
      <c r="BB154" s="46">
        <v>0</v>
      </c>
      <c r="BC154" s="46">
        <v>0</v>
      </c>
      <c r="BD154" s="46">
        <v>0</v>
      </c>
      <c r="BE154" s="46">
        <v>0</v>
      </c>
      <c r="BF154" s="46">
        <v>0</v>
      </c>
      <c r="BG154" s="46" t="s">
        <v>48</v>
      </c>
      <c r="BH154" s="46">
        <v>0</v>
      </c>
      <c r="BI154" s="46">
        <v>0</v>
      </c>
      <c r="BJ154" s="46">
        <v>0</v>
      </c>
      <c r="BK154" s="46">
        <v>0</v>
      </c>
      <c r="BL154" s="46">
        <v>0</v>
      </c>
      <c r="BM154" s="46">
        <v>0</v>
      </c>
      <c r="BN154" s="46">
        <v>0</v>
      </c>
    </row>
    <row r="155" spans="1:66" x14ac:dyDescent="0.35">
      <c r="A155" t="s">
        <v>9538</v>
      </c>
      <c r="B155" s="44" t="s">
        <v>48</v>
      </c>
      <c r="C155" t="s">
        <v>11932</v>
      </c>
      <c r="D155" t="s">
        <v>1193</v>
      </c>
      <c r="E155" t="s">
        <v>9539</v>
      </c>
      <c r="F155" t="s">
        <v>2919</v>
      </c>
      <c r="G155" t="s">
        <v>47</v>
      </c>
      <c r="H155">
        <v>0</v>
      </c>
      <c r="I155" s="61">
        <v>44748</v>
      </c>
      <c r="J155" s="33" t="s">
        <v>96</v>
      </c>
      <c r="K155" s="46">
        <v>0</v>
      </c>
      <c r="L155">
        <v>12.7</v>
      </c>
      <c r="M155" t="s">
        <v>48</v>
      </c>
      <c r="N155" s="46">
        <v>0</v>
      </c>
      <c r="O155" s="46">
        <v>0</v>
      </c>
      <c r="P155" s="46">
        <v>0</v>
      </c>
      <c r="Q155" t="s">
        <v>48</v>
      </c>
      <c r="R155" t="s">
        <v>48</v>
      </c>
      <c r="S155" t="s">
        <v>48</v>
      </c>
      <c r="T155" t="s">
        <v>48</v>
      </c>
      <c r="U155" t="s">
        <v>48</v>
      </c>
      <c r="V155" s="47">
        <v>0</v>
      </c>
      <c r="W155" t="s">
        <v>48</v>
      </c>
      <c r="X155" t="s">
        <v>48</v>
      </c>
      <c r="Y155" t="s">
        <v>48</v>
      </c>
      <c r="Z155" t="s">
        <v>48</v>
      </c>
      <c r="AA155" t="s">
        <v>48</v>
      </c>
      <c r="AB155" t="s">
        <v>48</v>
      </c>
      <c r="AC155" t="s">
        <v>49</v>
      </c>
      <c r="AD155" t="s">
        <v>93</v>
      </c>
      <c r="AE155" t="s">
        <v>4532</v>
      </c>
      <c r="AF155" t="s">
        <v>48</v>
      </c>
      <c r="AG155" t="s">
        <v>48</v>
      </c>
      <c r="AH155" t="s">
        <v>48</v>
      </c>
      <c r="AI155" t="s">
        <v>48</v>
      </c>
      <c r="AJ155" t="s">
        <v>48</v>
      </c>
      <c r="AK155" t="s">
        <v>48</v>
      </c>
      <c r="AL155" t="s">
        <v>48</v>
      </c>
      <c r="AM155" t="s">
        <v>48</v>
      </c>
      <c r="AN155" t="s">
        <v>48</v>
      </c>
      <c r="AO155" t="s">
        <v>48</v>
      </c>
      <c r="AP155" s="46">
        <v>0</v>
      </c>
      <c r="AQ155" s="46">
        <v>0</v>
      </c>
      <c r="AR155" s="46">
        <v>0</v>
      </c>
      <c r="AS155" s="46">
        <v>0</v>
      </c>
      <c r="AT155" s="46">
        <v>0</v>
      </c>
      <c r="AU155" s="46">
        <v>0</v>
      </c>
      <c r="AV155" s="46">
        <v>0</v>
      </c>
      <c r="AW155" s="46">
        <v>0</v>
      </c>
      <c r="AX155" s="46">
        <v>0</v>
      </c>
      <c r="AY155" s="46">
        <v>0</v>
      </c>
      <c r="AZ155" s="46">
        <v>0</v>
      </c>
      <c r="BA155" s="46">
        <v>0</v>
      </c>
      <c r="BB155" s="46">
        <v>0</v>
      </c>
      <c r="BC155" s="46">
        <v>0</v>
      </c>
      <c r="BD155" s="46">
        <v>0</v>
      </c>
      <c r="BE155" s="46">
        <v>0</v>
      </c>
      <c r="BF155" s="46">
        <v>0</v>
      </c>
      <c r="BG155" s="46" t="s">
        <v>48</v>
      </c>
      <c r="BH155" s="46">
        <v>0</v>
      </c>
      <c r="BI155" s="46">
        <v>0</v>
      </c>
      <c r="BJ155" s="46">
        <v>0</v>
      </c>
      <c r="BK155" s="46">
        <v>0</v>
      </c>
      <c r="BL155" s="46">
        <v>0</v>
      </c>
      <c r="BM155" s="46">
        <v>0</v>
      </c>
      <c r="BN155" s="46">
        <v>0</v>
      </c>
    </row>
    <row r="156" spans="1:66" x14ac:dyDescent="0.35">
      <c r="A156" t="s">
        <v>2929</v>
      </c>
      <c r="B156" s="44" t="s">
        <v>48</v>
      </c>
      <c r="C156" t="s">
        <v>1141</v>
      </c>
      <c r="D156" t="s">
        <v>2932</v>
      </c>
      <c r="E156" t="s">
        <v>2930</v>
      </c>
      <c r="F156" t="s">
        <v>2919</v>
      </c>
      <c r="G156" t="s">
        <v>47</v>
      </c>
      <c r="H156">
        <v>0</v>
      </c>
      <c r="I156" s="60" t="s">
        <v>177</v>
      </c>
      <c r="J156" s="33" t="s">
        <v>96</v>
      </c>
      <c r="K156" s="46">
        <v>0</v>
      </c>
      <c r="L156">
        <v>24.8</v>
      </c>
      <c r="M156" t="s">
        <v>48</v>
      </c>
      <c r="N156" s="46">
        <v>0</v>
      </c>
      <c r="O156" s="46">
        <v>0</v>
      </c>
      <c r="P156" s="46">
        <v>0</v>
      </c>
      <c r="Q156" t="s">
        <v>48</v>
      </c>
      <c r="R156" t="s">
        <v>48</v>
      </c>
      <c r="S156" t="s">
        <v>2931</v>
      </c>
      <c r="T156" t="s">
        <v>48</v>
      </c>
      <c r="U156" t="s">
        <v>2931</v>
      </c>
      <c r="V156" s="47">
        <v>0</v>
      </c>
      <c r="W156" t="s">
        <v>48</v>
      </c>
      <c r="X156" t="s">
        <v>48</v>
      </c>
      <c r="Y156" t="s">
        <v>48</v>
      </c>
      <c r="Z156">
        <v>0</v>
      </c>
      <c r="AA156" t="s">
        <v>48</v>
      </c>
      <c r="AB156" t="s">
        <v>48</v>
      </c>
      <c r="AC156" t="s">
        <v>63</v>
      </c>
      <c r="AD156" t="s">
        <v>93</v>
      </c>
      <c r="AE156" s="40" t="s">
        <v>2471</v>
      </c>
      <c r="AF156" t="s">
        <v>11061</v>
      </c>
      <c r="AG156" t="s">
        <v>48</v>
      </c>
      <c r="AH156" t="s">
        <v>48</v>
      </c>
      <c r="AI156" t="s">
        <v>48</v>
      </c>
      <c r="AJ156" t="s">
        <v>48</v>
      </c>
      <c r="AK156" t="s">
        <v>48</v>
      </c>
      <c r="AL156" t="s">
        <v>48</v>
      </c>
      <c r="AM156" t="s">
        <v>48</v>
      </c>
      <c r="AN156" t="s">
        <v>48</v>
      </c>
      <c r="AO156" t="s">
        <v>48</v>
      </c>
      <c r="AP156" s="46">
        <v>0</v>
      </c>
      <c r="AQ156" s="46">
        <v>0</v>
      </c>
      <c r="AR156" s="46">
        <v>0</v>
      </c>
      <c r="AS156" s="46">
        <v>0</v>
      </c>
      <c r="AT156" s="46">
        <v>0</v>
      </c>
      <c r="AU156" s="46">
        <v>0</v>
      </c>
      <c r="AV156" s="46">
        <v>0</v>
      </c>
      <c r="AW156" s="46">
        <v>0</v>
      </c>
      <c r="AX156" s="46">
        <v>0</v>
      </c>
      <c r="AY156" s="46">
        <v>0</v>
      </c>
      <c r="AZ156" s="46">
        <v>0</v>
      </c>
      <c r="BA156" s="46">
        <v>0</v>
      </c>
      <c r="BB156" s="46">
        <v>0</v>
      </c>
      <c r="BC156" s="46">
        <v>0</v>
      </c>
      <c r="BD156" s="46">
        <v>0</v>
      </c>
      <c r="BE156" s="46">
        <v>0</v>
      </c>
      <c r="BF156" s="46">
        <v>0</v>
      </c>
      <c r="BG156" s="46" t="s">
        <v>48</v>
      </c>
      <c r="BH156" s="46">
        <v>0</v>
      </c>
      <c r="BI156" s="46">
        <v>0</v>
      </c>
      <c r="BJ156" s="46">
        <v>0</v>
      </c>
      <c r="BK156" s="46">
        <v>0</v>
      </c>
      <c r="BL156" s="46">
        <v>0</v>
      </c>
      <c r="BM156" s="46">
        <v>0</v>
      </c>
      <c r="BN156" s="46">
        <v>0</v>
      </c>
    </row>
    <row r="157" spans="1:66" x14ac:dyDescent="0.35">
      <c r="A157" t="s">
        <v>3146</v>
      </c>
      <c r="B157" s="44" t="s">
        <v>48</v>
      </c>
      <c r="C157" t="s">
        <v>1209</v>
      </c>
      <c r="D157" t="s">
        <v>288</v>
      </c>
      <c r="E157" t="s">
        <v>3148</v>
      </c>
      <c r="F157" t="s">
        <v>3147</v>
      </c>
      <c r="G157" t="s">
        <v>47</v>
      </c>
      <c r="H157">
        <v>0</v>
      </c>
      <c r="I157" s="60" t="s">
        <v>51</v>
      </c>
      <c r="J157" s="33" t="s">
        <v>96</v>
      </c>
      <c r="K157" s="46">
        <v>1</v>
      </c>
      <c r="L157" t="s">
        <v>48</v>
      </c>
      <c r="M157" t="s">
        <v>48</v>
      </c>
      <c r="N157" s="46">
        <v>0</v>
      </c>
      <c r="O157" s="46">
        <v>0</v>
      </c>
      <c r="P157" s="46">
        <v>0</v>
      </c>
      <c r="Q157" t="s">
        <v>48</v>
      </c>
      <c r="R157" t="s">
        <v>48</v>
      </c>
      <c r="S157" t="s">
        <v>48</v>
      </c>
      <c r="T157" t="s">
        <v>3149</v>
      </c>
      <c r="U157" t="s">
        <v>48</v>
      </c>
      <c r="V157" s="47">
        <v>0</v>
      </c>
      <c r="W157" t="s">
        <v>48</v>
      </c>
      <c r="X157" t="s">
        <v>48</v>
      </c>
      <c r="Y157" t="s">
        <v>48</v>
      </c>
      <c r="Z157">
        <v>0</v>
      </c>
      <c r="AA157" t="s">
        <v>48</v>
      </c>
      <c r="AB157" t="s">
        <v>48</v>
      </c>
      <c r="AC157" t="s">
        <v>49</v>
      </c>
      <c r="AD157" t="s">
        <v>93</v>
      </c>
      <c r="AE157" t="s">
        <v>4532</v>
      </c>
      <c r="AF157" t="s">
        <v>48</v>
      </c>
      <c r="AG157" t="s">
        <v>48</v>
      </c>
      <c r="AH157" t="s">
        <v>48</v>
      </c>
      <c r="AI157">
        <v>41900</v>
      </c>
      <c r="AJ157">
        <v>1954</v>
      </c>
      <c r="AK157" t="s">
        <v>8516</v>
      </c>
      <c r="AL157" t="s">
        <v>8517</v>
      </c>
      <c r="AM157">
        <v>0.8</v>
      </c>
      <c r="AN157">
        <v>0.6</v>
      </c>
      <c r="AO157">
        <v>0.8</v>
      </c>
      <c r="AP157" s="46">
        <v>0</v>
      </c>
      <c r="AQ157" s="46">
        <v>0</v>
      </c>
      <c r="AR157" s="46">
        <v>0</v>
      </c>
      <c r="AS157" s="46">
        <v>0</v>
      </c>
      <c r="AT157" s="46">
        <v>0</v>
      </c>
      <c r="AU157" s="46">
        <v>0</v>
      </c>
      <c r="AV157" s="46">
        <v>0</v>
      </c>
      <c r="AW157" s="46">
        <v>0</v>
      </c>
      <c r="AX157" s="46">
        <v>0</v>
      </c>
      <c r="AY157" s="46">
        <v>0</v>
      </c>
      <c r="AZ157" s="46">
        <v>0</v>
      </c>
      <c r="BA157" s="46">
        <v>0</v>
      </c>
      <c r="BB157" s="46">
        <v>0</v>
      </c>
      <c r="BC157" s="46">
        <v>0</v>
      </c>
      <c r="BD157" s="46">
        <v>0</v>
      </c>
      <c r="BE157" s="46">
        <v>0</v>
      </c>
      <c r="BF157" s="46">
        <v>0</v>
      </c>
      <c r="BG157" s="46" t="s">
        <v>48</v>
      </c>
      <c r="BH157" s="46">
        <v>0</v>
      </c>
      <c r="BI157" s="46">
        <v>0</v>
      </c>
      <c r="BJ157" s="46">
        <v>0</v>
      </c>
      <c r="BK157" s="46">
        <v>0</v>
      </c>
      <c r="BL157" s="46">
        <v>0</v>
      </c>
      <c r="BM157" s="46">
        <v>0</v>
      </c>
      <c r="BN157" s="46">
        <v>1</v>
      </c>
    </row>
    <row r="158" spans="1:66" x14ac:dyDescent="0.35">
      <c r="A158" t="s">
        <v>3195</v>
      </c>
      <c r="B158" t="s">
        <v>48</v>
      </c>
      <c r="C158" t="s">
        <v>953</v>
      </c>
      <c r="D158" t="s">
        <v>3009</v>
      </c>
      <c r="E158" t="s">
        <v>3197</v>
      </c>
      <c r="F158" t="s">
        <v>3196</v>
      </c>
      <c r="G158" t="s">
        <v>47</v>
      </c>
      <c r="H158">
        <v>0</v>
      </c>
      <c r="I158" s="60" t="s">
        <v>51</v>
      </c>
      <c r="J158" s="33" t="s">
        <v>96</v>
      </c>
      <c r="K158" s="46">
        <v>1</v>
      </c>
      <c r="L158" t="s">
        <v>48</v>
      </c>
      <c r="M158" t="s">
        <v>48</v>
      </c>
      <c r="N158" s="46">
        <v>0</v>
      </c>
      <c r="O158" s="46">
        <v>0</v>
      </c>
      <c r="P158" s="46">
        <v>0</v>
      </c>
      <c r="Q158" t="s">
        <v>48</v>
      </c>
      <c r="R158" t="s">
        <v>48</v>
      </c>
      <c r="S158" t="s">
        <v>3198</v>
      </c>
      <c r="T158" t="s">
        <v>3199</v>
      </c>
      <c r="U158" t="s">
        <v>3198</v>
      </c>
      <c r="V158" s="47">
        <v>0</v>
      </c>
      <c r="W158" t="s">
        <v>48</v>
      </c>
      <c r="X158" t="s">
        <v>48</v>
      </c>
      <c r="Y158" t="s">
        <v>48</v>
      </c>
      <c r="Z158">
        <v>1</v>
      </c>
      <c r="AA158" t="s">
        <v>48</v>
      </c>
      <c r="AB158">
        <v>2020</v>
      </c>
      <c r="AC158" t="s">
        <v>49</v>
      </c>
      <c r="AD158" t="s">
        <v>93</v>
      </c>
      <c r="AE158" t="s">
        <v>4532</v>
      </c>
      <c r="AF158" t="s">
        <v>48</v>
      </c>
      <c r="AG158" t="s">
        <v>48</v>
      </c>
      <c r="AH158" t="s">
        <v>48</v>
      </c>
      <c r="AI158">
        <v>21734</v>
      </c>
      <c r="AJ158">
        <v>1960</v>
      </c>
      <c r="AK158" t="s">
        <v>8518</v>
      </c>
      <c r="AL158" t="s">
        <v>8519</v>
      </c>
      <c r="AM158">
        <v>0.56999999999999995</v>
      </c>
      <c r="AN158">
        <v>0.20699999999999999</v>
      </c>
      <c r="AO158">
        <v>0.56999999999999995</v>
      </c>
      <c r="AP158" s="46">
        <v>0</v>
      </c>
      <c r="AQ158" s="46">
        <v>0</v>
      </c>
      <c r="AR158" s="46">
        <v>0</v>
      </c>
      <c r="AS158" s="46">
        <v>0</v>
      </c>
      <c r="AT158" s="46">
        <v>0</v>
      </c>
      <c r="AU158" s="46">
        <v>0</v>
      </c>
      <c r="AV158" s="46">
        <v>0</v>
      </c>
      <c r="AW158" s="46">
        <v>0</v>
      </c>
      <c r="AX158" s="46">
        <v>0</v>
      </c>
      <c r="AY158" s="46">
        <v>0</v>
      </c>
      <c r="AZ158" s="46">
        <v>1</v>
      </c>
      <c r="BA158" s="46">
        <v>0</v>
      </c>
      <c r="BB158" s="46">
        <v>0</v>
      </c>
      <c r="BC158" s="46">
        <v>0</v>
      </c>
      <c r="BD158" s="46">
        <v>0</v>
      </c>
      <c r="BE158" s="46">
        <v>0</v>
      </c>
      <c r="BF158" s="46">
        <v>0</v>
      </c>
      <c r="BG158" s="46" t="s">
        <v>48</v>
      </c>
      <c r="BH158" s="46">
        <v>0</v>
      </c>
      <c r="BI158" s="46">
        <v>0</v>
      </c>
      <c r="BJ158" s="46">
        <v>0</v>
      </c>
      <c r="BK158" s="46">
        <v>0</v>
      </c>
      <c r="BL158" s="46">
        <v>0</v>
      </c>
      <c r="BM158" s="46">
        <v>0</v>
      </c>
      <c r="BN158" s="46">
        <v>0</v>
      </c>
    </row>
    <row r="159" spans="1:66" x14ac:dyDescent="0.35">
      <c r="A159" t="s">
        <v>3200</v>
      </c>
      <c r="B159" s="44" t="s">
        <v>48</v>
      </c>
      <c r="C159" t="s">
        <v>3205</v>
      </c>
      <c r="D159" t="s">
        <v>3204</v>
      </c>
      <c r="E159" t="s">
        <v>3202</v>
      </c>
      <c r="F159" t="s">
        <v>3201</v>
      </c>
      <c r="G159" t="s">
        <v>47</v>
      </c>
      <c r="H159">
        <v>0</v>
      </c>
      <c r="I159" s="60" t="s">
        <v>177</v>
      </c>
      <c r="J159" s="33" t="s">
        <v>96</v>
      </c>
      <c r="K159" s="46">
        <v>0</v>
      </c>
      <c r="L159">
        <v>19.399999999999999</v>
      </c>
      <c r="M159" t="s">
        <v>48</v>
      </c>
      <c r="N159" s="46">
        <v>0</v>
      </c>
      <c r="O159" s="46">
        <v>0</v>
      </c>
      <c r="P159" s="46">
        <v>0</v>
      </c>
      <c r="Q159" t="s">
        <v>48</v>
      </c>
      <c r="R159" t="s">
        <v>48</v>
      </c>
      <c r="S159" t="s">
        <v>3203</v>
      </c>
      <c r="T159" t="s">
        <v>48</v>
      </c>
      <c r="U159" t="s">
        <v>3203</v>
      </c>
      <c r="V159" s="47">
        <v>0</v>
      </c>
      <c r="W159" t="s">
        <v>48</v>
      </c>
      <c r="X159" t="s">
        <v>48</v>
      </c>
      <c r="Y159" t="s">
        <v>48</v>
      </c>
      <c r="Z159">
        <v>0</v>
      </c>
      <c r="AA159" t="s">
        <v>48</v>
      </c>
      <c r="AB159" t="s">
        <v>48</v>
      </c>
      <c r="AC159" t="s">
        <v>63</v>
      </c>
      <c r="AD159" t="s">
        <v>93</v>
      </c>
      <c r="AE159" t="s">
        <v>4532</v>
      </c>
      <c r="AF159" t="s">
        <v>48</v>
      </c>
      <c r="AG159" t="s">
        <v>48</v>
      </c>
      <c r="AH159" t="s">
        <v>48</v>
      </c>
      <c r="AI159" t="s">
        <v>48</v>
      </c>
      <c r="AJ159" t="s">
        <v>48</v>
      </c>
      <c r="AK159" t="s">
        <v>48</v>
      </c>
      <c r="AL159" t="s">
        <v>48</v>
      </c>
      <c r="AM159" t="s">
        <v>48</v>
      </c>
      <c r="AN159" t="s">
        <v>48</v>
      </c>
      <c r="AO159" t="s">
        <v>48</v>
      </c>
      <c r="AP159" s="46">
        <v>0</v>
      </c>
      <c r="AQ159" s="46">
        <v>0</v>
      </c>
      <c r="AR159" s="46">
        <v>0</v>
      </c>
      <c r="AS159" s="46">
        <v>0</v>
      </c>
      <c r="AT159" s="46">
        <v>0</v>
      </c>
      <c r="AU159" s="46">
        <v>0</v>
      </c>
      <c r="AV159" s="46">
        <v>0</v>
      </c>
      <c r="AW159" s="46">
        <v>0</v>
      </c>
      <c r="AX159" s="46">
        <v>0</v>
      </c>
      <c r="AY159" s="46">
        <v>0</v>
      </c>
      <c r="AZ159" s="46">
        <v>0</v>
      </c>
      <c r="BA159" s="46">
        <v>0</v>
      </c>
      <c r="BB159" s="46">
        <v>0</v>
      </c>
      <c r="BC159" s="46">
        <v>0</v>
      </c>
      <c r="BD159" s="46">
        <v>0</v>
      </c>
      <c r="BE159" s="46">
        <v>0</v>
      </c>
      <c r="BF159" s="46">
        <v>0</v>
      </c>
      <c r="BG159" s="46" t="s">
        <v>48</v>
      </c>
      <c r="BH159" s="46">
        <v>0</v>
      </c>
      <c r="BI159" s="46">
        <v>0</v>
      </c>
      <c r="BJ159" s="46">
        <v>0</v>
      </c>
      <c r="BK159" s="46">
        <v>0</v>
      </c>
      <c r="BL159" s="46">
        <v>0</v>
      </c>
      <c r="BM159" s="46">
        <v>0</v>
      </c>
      <c r="BN159" s="46">
        <v>0</v>
      </c>
    </row>
    <row r="160" spans="1:66" x14ac:dyDescent="0.35">
      <c r="A160" t="s">
        <v>3216</v>
      </c>
      <c r="B160" s="44" t="s">
        <v>48</v>
      </c>
      <c r="C160" t="s">
        <v>3219</v>
      </c>
      <c r="D160" t="s">
        <v>396</v>
      </c>
      <c r="E160" t="s">
        <v>3217</v>
      </c>
      <c r="F160" t="s">
        <v>3201</v>
      </c>
      <c r="G160" t="s">
        <v>74</v>
      </c>
      <c r="H160">
        <v>0</v>
      </c>
      <c r="I160" s="60" t="s">
        <v>177</v>
      </c>
      <c r="J160" s="33" t="s">
        <v>96</v>
      </c>
      <c r="K160" s="46">
        <v>0</v>
      </c>
      <c r="L160">
        <v>3.6</v>
      </c>
      <c r="M160" t="s">
        <v>48</v>
      </c>
      <c r="N160" s="46">
        <v>0</v>
      </c>
      <c r="O160" s="46">
        <v>0</v>
      </c>
      <c r="P160" s="46">
        <v>0</v>
      </c>
      <c r="Q160" t="s">
        <v>48</v>
      </c>
      <c r="R160" t="s">
        <v>48</v>
      </c>
      <c r="S160" t="s">
        <v>3218</v>
      </c>
      <c r="T160" t="s">
        <v>48</v>
      </c>
      <c r="U160" t="s">
        <v>3218</v>
      </c>
      <c r="V160" s="47">
        <v>1</v>
      </c>
      <c r="W160" t="s">
        <v>48</v>
      </c>
      <c r="X160" t="s">
        <v>48</v>
      </c>
      <c r="Y160" t="s">
        <v>48</v>
      </c>
      <c r="Z160">
        <v>0</v>
      </c>
      <c r="AA160" t="s">
        <v>48</v>
      </c>
      <c r="AB160" t="s">
        <v>48</v>
      </c>
      <c r="AC160" t="s">
        <v>49</v>
      </c>
      <c r="AD160" t="s">
        <v>93</v>
      </c>
      <c r="AE160" t="s">
        <v>4532</v>
      </c>
      <c r="AF160" t="s">
        <v>48</v>
      </c>
      <c r="AG160" t="s">
        <v>48</v>
      </c>
      <c r="AH160" t="s">
        <v>48</v>
      </c>
      <c r="AI160" t="s">
        <v>48</v>
      </c>
      <c r="AJ160" t="s">
        <v>48</v>
      </c>
      <c r="AK160" t="s">
        <v>48</v>
      </c>
      <c r="AL160" t="s">
        <v>48</v>
      </c>
      <c r="AM160" t="s">
        <v>48</v>
      </c>
      <c r="AN160" t="s">
        <v>48</v>
      </c>
      <c r="AO160" t="s">
        <v>48</v>
      </c>
      <c r="AP160" s="46">
        <v>0</v>
      </c>
      <c r="AQ160" s="46">
        <v>0</v>
      </c>
      <c r="AR160" s="46">
        <v>0</v>
      </c>
      <c r="AS160" s="46">
        <v>0</v>
      </c>
      <c r="AT160" s="46">
        <v>0</v>
      </c>
      <c r="AU160" s="46">
        <v>0</v>
      </c>
      <c r="AV160" s="46">
        <v>0</v>
      </c>
      <c r="AW160" s="46">
        <v>0</v>
      </c>
      <c r="AX160" s="46">
        <v>0</v>
      </c>
      <c r="AY160" s="46">
        <v>0</v>
      </c>
      <c r="AZ160" s="46">
        <v>0</v>
      </c>
      <c r="BA160" s="46">
        <v>0</v>
      </c>
      <c r="BB160" s="46">
        <v>0</v>
      </c>
      <c r="BC160" s="46">
        <v>0</v>
      </c>
      <c r="BD160" s="46">
        <v>0</v>
      </c>
      <c r="BE160" s="46">
        <v>0</v>
      </c>
      <c r="BF160" s="46">
        <v>0</v>
      </c>
      <c r="BG160" s="46" t="s">
        <v>48</v>
      </c>
      <c r="BH160" s="46">
        <v>0</v>
      </c>
      <c r="BI160" s="46">
        <v>0</v>
      </c>
      <c r="BJ160" s="46">
        <v>0</v>
      </c>
      <c r="BK160" s="46">
        <v>0</v>
      </c>
      <c r="BL160" s="46">
        <v>0</v>
      </c>
      <c r="BM160" s="46">
        <v>0</v>
      </c>
      <c r="BN160" s="46">
        <v>0</v>
      </c>
    </row>
    <row r="161" spans="1:66" x14ac:dyDescent="0.35">
      <c r="A161" t="s">
        <v>9822</v>
      </c>
      <c r="B161" s="44" t="s">
        <v>48</v>
      </c>
      <c r="C161" t="s">
        <v>11940</v>
      </c>
      <c r="D161" t="s">
        <v>288</v>
      </c>
      <c r="E161" t="s">
        <v>11563</v>
      </c>
      <c r="F161" t="s">
        <v>3201</v>
      </c>
      <c r="G161" t="s">
        <v>74</v>
      </c>
      <c r="H161">
        <v>0</v>
      </c>
      <c r="I161" s="61">
        <v>44780</v>
      </c>
      <c r="J161" s="33" t="s">
        <v>96</v>
      </c>
      <c r="K161" s="46">
        <v>0</v>
      </c>
      <c r="L161">
        <v>12.4</v>
      </c>
      <c r="M161" t="s">
        <v>48</v>
      </c>
      <c r="N161" s="46">
        <v>0</v>
      </c>
      <c r="O161" s="46">
        <v>0</v>
      </c>
      <c r="P161" s="46">
        <v>0</v>
      </c>
      <c r="Q161" t="s">
        <v>48</v>
      </c>
      <c r="R161" t="s">
        <v>48</v>
      </c>
      <c r="S161" s="43" t="s">
        <v>48</v>
      </c>
      <c r="T161" s="43" t="s">
        <v>48</v>
      </c>
      <c r="U161" s="43" t="s">
        <v>48</v>
      </c>
      <c r="V161" s="47">
        <v>1</v>
      </c>
      <c r="W161" t="s">
        <v>48</v>
      </c>
      <c r="X161" t="s">
        <v>48</v>
      </c>
      <c r="Y161" t="s">
        <v>48</v>
      </c>
      <c r="Z161" t="s">
        <v>48</v>
      </c>
      <c r="AA161" t="s">
        <v>48</v>
      </c>
      <c r="AB161" t="s">
        <v>48</v>
      </c>
      <c r="AC161" t="s">
        <v>49</v>
      </c>
      <c r="AD161" t="s">
        <v>48</v>
      </c>
      <c r="AE161" t="s">
        <v>48</v>
      </c>
      <c r="AF161" t="s">
        <v>48</v>
      </c>
      <c r="AG161" t="s">
        <v>48</v>
      </c>
      <c r="AH161" t="s">
        <v>48</v>
      </c>
      <c r="AI161" t="s">
        <v>48</v>
      </c>
      <c r="AJ161" t="s">
        <v>48</v>
      </c>
      <c r="AK161" t="s">
        <v>48</v>
      </c>
      <c r="AL161" t="s">
        <v>48</v>
      </c>
      <c r="AM161" t="s">
        <v>48</v>
      </c>
      <c r="AN161" t="s">
        <v>48</v>
      </c>
      <c r="AO161" t="s">
        <v>48</v>
      </c>
      <c r="AP161" s="46">
        <v>0</v>
      </c>
      <c r="AQ161" s="46">
        <v>0</v>
      </c>
      <c r="AR161" s="46">
        <v>0</v>
      </c>
      <c r="AS161" s="46">
        <v>0</v>
      </c>
      <c r="AT161" s="46">
        <v>0</v>
      </c>
      <c r="AU161" s="46">
        <v>0</v>
      </c>
      <c r="AV161" s="46">
        <v>0</v>
      </c>
      <c r="AW161" s="46">
        <v>0</v>
      </c>
      <c r="AX161" s="46">
        <v>0</v>
      </c>
      <c r="AY161" s="46">
        <v>0</v>
      </c>
      <c r="AZ161" s="46">
        <v>0</v>
      </c>
      <c r="BA161" s="46">
        <v>0</v>
      </c>
      <c r="BB161" s="46">
        <v>0</v>
      </c>
      <c r="BC161" s="46">
        <v>0</v>
      </c>
      <c r="BD161" s="46">
        <v>0</v>
      </c>
      <c r="BE161" s="46">
        <v>0</v>
      </c>
      <c r="BF161" s="46">
        <v>0</v>
      </c>
      <c r="BG161" s="46" t="s">
        <v>48</v>
      </c>
      <c r="BH161" s="46">
        <v>0</v>
      </c>
      <c r="BI161" s="46">
        <v>0</v>
      </c>
      <c r="BJ161" s="46">
        <v>0</v>
      </c>
      <c r="BK161" s="46">
        <v>0</v>
      </c>
      <c r="BL161" s="46">
        <v>0</v>
      </c>
      <c r="BM161" s="46">
        <v>0</v>
      </c>
      <c r="BN161" s="46">
        <v>0</v>
      </c>
    </row>
    <row r="162" spans="1:66" x14ac:dyDescent="0.35">
      <c r="A162" t="s">
        <v>9820</v>
      </c>
      <c r="B162" s="44" t="s">
        <v>48</v>
      </c>
      <c r="C162" t="s">
        <v>11942</v>
      </c>
      <c r="D162" t="s">
        <v>1237</v>
      </c>
      <c r="E162" t="s">
        <v>9821</v>
      </c>
      <c r="F162" t="s">
        <v>3201</v>
      </c>
      <c r="G162" t="s">
        <v>74</v>
      </c>
      <c r="H162">
        <v>0</v>
      </c>
      <c r="I162" s="61">
        <v>44780</v>
      </c>
      <c r="J162" s="33" t="s">
        <v>96</v>
      </c>
      <c r="K162" s="46">
        <v>0</v>
      </c>
      <c r="L162">
        <v>17.600000000000001</v>
      </c>
      <c r="M162" t="s">
        <v>48</v>
      </c>
      <c r="N162" s="46">
        <v>0</v>
      </c>
      <c r="O162" s="46">
        <v>0</v>
      </c>
      <c r="P162" s="46">
        <v>0</v>
      </c>
      <c r="Q162" t="s">
        <v>48</v>
      </c>
      <c r="R162" t="s">
        <v>48</v>
      </c>
      <c r="S162" s="43" t="s">
        <v>48</v>
      </c>
      <c r="T162" s="43" t="s">
        <v>48</v>
      </c>
      <c r="U162" s="43" t="s">
        <v>48</v>
      </c>
      <c r="V162" s="47">
        <v>1</v>
      </c>
      <c r="W162" t="s">
        <v>48</v>
      </c>
      <c r="X162" t="s">
        <v>48</v>
      </c>
      <c r="Y162" t="s">
        <v>48</v>
      </c>
      <c r="Z162" t="s">
        <v>48</v>
      </c>
      <c r="AA162" t="s">
        <v>48</v>
      </c>
      <c r="AB162" t="s">
        <v>48</v>
      </c>
      <c r="AC162" t="s">
        <v>49</v>
      </c>
      <c r="AD162" t="s">
        <v>93</v>
      </c>
      <c r="AE162" t="s">
        <v>4532</v>
      </c>
      <c r="AF162" t="s">
        <v>48</v>
      </c>
      <c r="AG162" t="s">
        <v>48</v>
      </c>
      <c r="AH162" t="s">
        <v>48</v>
      </c>
      <c r="AI162" t="s">
        <v>48</v>
      </c>
      <c r="AJ162" t="s">
        <v>48</v>
      </c>
      <c r="AK162" t="s">
        <v>48</v>
      </c>
      <c r="AL162" t="s">
        <v>48</v>
      </c>
      <c r="AM162" t="s">
        <v>48</v>
      </c>
      <c r="AN162" t="s">
        <v>48</v>
      </c>
      <c r="AO162" t="s">
        <v>48</v>
      </c>
      <c r="AP162" s="46">
        <v>0</v>
      </c>
      <c r="AQ162" s="46">
        <v>0</v>
      </c>
      <c r="AR162" s="46">
        <v>0</v>
      </c>
      <c r="AS162" s="46">
        <v>0</v>
      </c>
      <c r="AT162" s="46">
        <v>0</v>
      </c>
      <c r="AU162" s="46">
        <v>0</v>
      </c>
      <c r="AV162" s="46">
        <v>0</v>
      </c>
      <c r="AW162" s="46">
        <v>0</v>
      </c>
      <c r="AX162" s="46">
        <v>0</v>
      </c>
      <c r="AY162" s="46">
        <v>0</v>
      </c>
      <c r="AZ162" s="46">
        <v>0</v>
      </c>
      <c r="BA162" s="46">
        <v>0</v>
      </c>
      <c r="BB162" s="46">
        <v>0</v>
      </c>
      <c r="BC162" s="46">
        <v>0</v>
      </c>
      <c r="BD162" s="46">
        <v>0</v>
      </c>
      <c r="BE162" s="46">
        <v>0</v>
      </c>
      <c r="BF162" s="46">
        <v>0</v>
      </c>
      <c r="BG162" s="46" t="s">
        <v>48</v>
      </c>
      <c r="BH162" s="46">
        <v>0</v>
      </c>
      <c r="BI162" s="46">
        <v>0</v>
      </c>
      <c r="BJ162" s="46">
        <v>0</v>
      </c>
      <c r="BK162" s="46">
        <v>0</v>
      </c>
      <c r="BL162" s="46">
        <v>0</v>
      </c>
      <c r="BM162" s="46">
        <v>0</v>
      </c>
      <c r="BN162" s="46">
        <v>0</v>
      </c>
    </row>
    <row r="163" spans="1:66" x14ac:dyDescent="0.35">
      <c r="A163" t="s">
        <v>9818</v>
      </c>
      <c r="B163" s="44" t="s">
        <v>48</v>
      </c>
      <c r="C163" t="s">
        <v>11941</v>
      </c>
      <c r="D163" t="s">
        <v>437</v>
      </c>
      <c r="E163" t="s">
        <v>9819</v>
      </c>
      <c r="F163" t="s">
        <v>3201</v>
      </c>
      <c r="G163" t="s">
        <v>74</v>
      </c>
      <c r="H163">
        <v>0</v>
      </c>
      <c r="I163" s="61">
        <v>44780</v>
      </c>
      <c r="J163" s="33" t="s">
        <v>96</v>
      </c>
      <c r="K163" s="46">
        <v>0</v>
      </c>
      <c r="L163">
        <v>20.2</v>
      </c>
      <c r="M163" t="s">
        <v>48</v>
      </c>
      <c r="N163" s="46">
        <v>0</v>
      </c>
      <c r="O163" s="46">
        <v>0</v>
      </c>
      <c r="P163" s="46">
        <v>0</v>
      </c>
      <c r="Q163" t="s">
        <v>48</v>
      </c>
      <c r="R163" t="s">
        <v>48</v>
      </c>
      <c r="S163" s="43" t="s">
        <v>10116</v>
      </c>
      <c r="T163" s="43" t="s">
        <v>48</v>
      </c>
      <c r="U163" s="43" t="s">
        <v>10116</v>
      </c>
      <c r="V163" s="47">
        <v>0</v>
      </c>
      <c r="W163" t="s">
        <v>48</v>
      </c>
      <c r="X163" t="s">
        <v>48</v>
      </c>
      <c r="Y163" t="s">
        <v>48</v>
      </c>
      <c r="Z163" t="s">
        <v>48</v>
      </c>
      <c r="AA163" t="s">
        <v>48</v>
      </c>
      <c r="AB163" t="s">
        <v>48</v>
      </c>
      <c r="AC163" t="s">
        <v>49</v>
      </c>
      <c r="AD163" t="s">
        <v>48</v>
      </c>
      <c r="AE163" t="s">
        <v>48</v>
      </c>
      <c r="AF163" t="s">
        <v>48</v>
      </c>
      <c r="AG163" t="s">
        <v>48</v>
      </c>
      <c r="AH163" t="s">
        <v>48</v>
      </c>
      <c r="AI163" t="s">
        <v>48</v>
      </c>
      <c r="AJ163" t="s">
        <v>48</v>
      </c>
      <c r="AK163" t="s">
        <v>48</v>
      </c>
      <c r="AL163" t="s">
        <v>48</v>
      </c>
      <c r="AM163" t="s">
        <v>48</v>
      </c>
      <c r="AN163" t="s">
        <v>48</v>
      </c>
      <c r="AO163" t="s">
        <v>48</v>
      </c>
      <c r="AP163" s="46">
        <v>0</v>
      </c>
      <c r="AQ163" s="46">
        <v>0</v>
      </c>
      <c r="AR163" s="46">
        <v>0</v>
      </c>
      <c r="AS163" s="46">
        <v>0</v>
      </c>
      <c r="AT163" s="46">
        <v>0</v>
      </c>
      <c r="AU163" s="46">
        <v>0</v>
      </c>
      <c r="AV163" s="46">
        <v>0</v>
      </c>
      <c r="AW163" s="46">
        <v>0</v>
      </c>
      <c r="AX163" s="46">
        <v>0</v>
      </c>
      <c r="AY163" s="46">
        <v>0</v>
      </c>
      <c r="AZ163" s="46">
        <v>0</v>
      </c>
      <c r="BA163" s="46">
        <v>0</v>
      </c>
      <c r="BB163" s="46">
        <v>0</v>
      </c>
      <c r="BC163" s="46">
        <v>0</v>
      </c>
      <c r="BD163" s="46">
        <v>0</v>
      </c>
      <c r="BE163" s="46">
        <v>0</v>
      </c>
      <c r="BF163" s="46">
        <v>0</v>
      </c>
      <c r="BG163" s="46" t="s">
        <v>48</v>
      </c>
      <c r="BH163" s="46">
        <v>0</v>
      </c>
      <c r="BI163" s="46">
        <v>0</v>
      </c>
      <c r="BJ163" s="46">
        <v>0</v>
      </c>
      <c r="BK163" s="46">
        <v>0</v>
      </c>
      <c r="BL163" s="46">
        <v>0</v>
      </c>
      <c r="BM163" s="46">
        <v>0</v>
      </c>
      <c r="BN163" s="46">
        <v>0</v>
      </c>
    </row>
    <row r="164" spans="1:66" x14ac:dyDescent="0.35">
      <c r="A164" t="s">
        <v>3209</v>
      </c>
      <c r="B164" s="44" t="s">
        <v>48</v>
      </c>
      <c r="C164" t="s">
        <v>3211</v>
      </c>
      <c r="D164" t="s">
        <v>210</v>
      </c>
      <c r="E164" t="s">
        <v>3210</v>
      </c>
      <c r="F164" t="s">
        <v>3201</v>
      </c>
      <c r="G164" t="s">
        <v>74</v>
      </c>
      <c r="H164">
        <v>0</v>
      </c>
      <c r="I164" s="60" t="s">
        <v>125</v>
      </c>
      <c r="J164" s="33" t="s">
        <v>96</v>
      </c>
      <c r="K164" s="46">
        <v>0</v>
      </c>
      <c r="L164">
        <v>8</v>
      </c>
      <c r="M164" t="s">
        <v>48</v>
      </c>
      <c r="N164" s="46">
        <v>0</v>
      </c>
      <c r="O164" s="46">
        <v>0</v>
      </c>
      <c r="P164" s="46">
        <v>0</v>
      </c>
      <c r="Q164" t="s">
        <v>48</v>
      </c>
      <c r="R164" t="s">
        <v>48</v>
      </c>
      <c r="S164" t="s">
        <v>10115</v>
      </c>
      <c r="T164" t="s">
        <v>48</v>
      </c>
      <c r="U164" t="s">
        <v>10115</v>
      </c>
      <c r="V164" s="47">
        <v>0</v>
      </c>
      <c r="W164" t="s">
        <v>48</v>
      </c>
      <c r="X164" t="s">
        <v>48</v>
      </c>
      <c r="Y164" t="s">
        <v>48</v>
      </c>
      <c r="Z164">
        <v>0</v>
      </c>
      <c r="AA164" t="s">
        <v>48</v>
      </c>
      <c r="AB164" t="s">
        <v>48</v>
      </c>
      <c r="AC164" t="s">
        <v>49</v>
      </c>
      <c r="AD164" t="s">
        <v>93</v>
      </c>
      <c r="AE164" t="s">
        <v>4532</v>
      </c>
      <c r="AF164" t="s">
        <v>48</v>
      </c>
      <c r="AG164" t="s">
        <v>48</v>
      </c>
      <c r="AH164" t="s">
        <v>48</v>
      </c>
      <c r="AI164" t="s">
        <v>48</v>
      </c>
      <c r="AJ164" t="s">
        <v>48</v>
      </c>
      <c r="AK164" t="s">
        <v>48</v>
      </c>
      <c r="AL164" t="s">
        <v>48</v>
      </c>
      <c r="AM164" t="s">
        <v>48</v>
      </c>
      <c r="AN164" t="s">
        <v>48</v>
      </c>
      <c r="AO164" t="s">
        <v>48</v>
      </c>
      <c r="AP164" s="46">
        <v>0</v>
      </c>
      <c r="AQ164" s="46">
        <v>0</v>
      </c>
      <c r="AR164" s="46">
        <v>0</v>
      </c>
      <c r="AS164" s="46">
        <v>0</v>
      </c>
      <c r="AT164" s="46">
        <v>0</v>
      </c>
      <c r="AU164" s="46">
        <v>0</v>
      </c>
      <c r="AV164" s="46">
        <v>0</v>
      </c>
      <c r="AW164" s="46">
        <v>0</v>
      </c>
      <c r="AX164" s="46">
        <v>0</v>
      </c>
      <c r="AY164" s="46">
        <v>0</v>
      </c>
      <c r="AZ164" s="46">
        <v>0</v>
      </c>
      <c r="BA164" s="46">
        <v>0</v>
      </c>
      <c r="BB164" s="46">
        <v>0</v>
      </c>
      <c r="BC164" s="46">
        <v>0</v>
      </c>
      <c r="BD164" s="46">
        <v>0</v>
      </c>
      <c r="BE164" s="46">
        <v>0</v>
      </c>
      <c r="BF164" s="46">
        <v>0</v>
      </c>
      <c r="BG164" s="46" t="s">
        <v>48</v>
      </c>
      <c r="BH164" s="46">
        <v>0</v>
      </c>
      <c r="BI164" s="46">
        <v>0</v>
      </c>
      <c r="BJ164" s="46">
        <v>0</v>
      </c>
      <c r="BK164" s="46">
        <v>0</v>
      </c>
      <c r="BL164" s="46">
        <v>0</v>
      </c>
      <c r="BM164" s="46">
        <v>0</v>
      </c>
      <c r="BN164" s="46">
        <v>0</v>
      </c>
    </row>
    <row r="165" spans="1:66" x14ac:dyDescent="0.35">
      <c r="A165" t="s">
        <v>3346</v>
      </c>
      <c r="B165" s="44" t="s">
        <v>48</v>
      </c>
      <c r="C165" t="s">
        <v>3351</v>
      </c>
      <c r="D165" t="s">
        <v>1337</v>
      </c>
      <c r="E165" t="s">
        <v>3348</v>
      </c>
      <c r="F165" t="s">
        <v>3347</v>
      </c>
      <c r="G165" t="s">
        <v>47</v>
      </c>
      <c r="H165">
        <v>0</v>
      </c>
      <c r="I165" s="60" t="s">
        <v>51</v>
      </c>
      <c r="J165" s="33" t="s">
        <v>96</v>
      </c>
      <c r="K165" s="46">
        <v>1</v>
      </c>
      <c r="L165" t="s">
        <v>48</v>
      </c>
      <c r="M165" t="s">
        <v>48</v>
      </c>
      <c r="N165" s="46">
        <v>0</v>
      </c>
      <c r="O165" s="46">
        <v>0</v>
      </c>
      <c r="P165" s="46">
        <v>0</v>
      </c>
      <c r="Q165" t="s">
        <v>48</v>
      </c>
      <c r="R165" t="s">
        <v>48</v>
      </c>
      <c r="S165" t="s">
        <v>3349</v>
      </c>
      <c r="T165" t="s">
        <v>3350</v>
      </c>
      <c r="U165" t="s">
        <v>3349</v>
      </c>
      <c r="V165" s="47">
        <v>0</v>
      </c>
      <c r="W165" t="s">
        <v>48</v>
      </c>
      <c r="X165" t="s">
        <v>48</v>
      </c>
      <c r="Y165" t="s">
        <v>48</v>
      </c>
      <c r="Z165">
        <v>0</v>
      </c>
      <c r="AA165" t="s">
        <v>48</v>
      </c>
      <c r="AB165">
        <v>1984</v>
      </c>
      <c r="AC165" t="s">
        <v>49</v>
      </c>
      <c r="AD165" t="s">
        <v>93</v>
      </c>
      <c r="AE165" t="s">
        <v>4532</v>
      </c>
      <c r="AF165" t="s">
        <v>48</v>
      </c>
      <c r="AG165" t="s">
        <v>184</v>
      </c>
      <c r="AH165" t="s">
        <v>93</v>
      </c>
      <c r="AI165">
        <v>14921</v>
      </c>
      <c r="AJ165">
        <v>1942</v>
      </c>
      <c r="AK165" t="s">
        <v>8522</v>
      </c>
      <c r="AL165" t="s">
        <v>8523</v>
      </c>
      <c r="AM165">
        <v>0.40300000000000002</v>
      </c>
      <c r="AN165">
        <v>8.9999999999999993E-3</v>
      </c>
      <c r="AO165">
        <v>0.40300000000000002</v>
      </c>
      <c r="AP165" s="46">
        <v>0</v>
      </c>
      <c r="AQ165" s="46">
        <v>0</v>
      </c>
      <c r="AR165" s="46">
        <v>0</v>
      </c>
      <c r="AS165" s="46">
        <v>0</v>
      </c>
      <c r="AT165" s="46">
        <v>0</v>
      </c>
      <c r="AU165" s="46">
        <v>0</v>
      </c>
      <c r="AV165" s="46">
        <v>0</v>
      </c>
      <c r="AW165" s="46">
        <v>0</v>
      </c>
      <c r="AX165" s="46">
        <v>0</v>
      </c>
      <c r="AY165" s="46">
        <v>0</v>
      </c>
      <c r="AZ165" s="46">
        <v>0</v>
      </c>
      <c r="BA165" s="46">
        <v>0</v>
      </c>
      <c r="BB165" s="46">
        <v>0</v>
      </c>
      <c r="BC165" s="46">
        <v>0</v>
      </c>
      <c r="BD165" s="46">
        <v>0</v>
      </c>
      <c r="BE165" s="46">
        <v>0</v>
      </c>
      <c r="BF165" s="46">
        <v>0</v>
      </c>
      <c r="BG165" s="46" t="s">
        <v>48</v>
      </c>
      <c r="BH165" s="46">
        <v>0</v>
      </c>
      <c r="BI165" s="46">
        <v>0</v>
      </c>
      <c r="BJ165" s="46">
        <v>0</v>
      </c>
      <c r="BK165" s="46">
        <v>0</v>
      </c>
      <c r="BL165" s="46">
        <v>0</v>
      </c>
      <c r="BM165" s="46">
        <v>0</v>
      </c>
      <c r="BN165" s="46">
        <v>0</v>
      </c>
    </row>
    <row r="166" spans="1:66" x14ac:dyDescent="0.35">
      <c r="A166" t="s">
        <v>3352</v>
      </c>
      <c r="B166" s="44" t="s">
        <v>48</v>
      </c>
      <c r="C166" t="s">
        <v>3355</v>
      </c>
      <c r="D166" t="s">
        <v>1545</v>
      </c>
      <c r="E166" t="s">
        <v>3354</v>
      </c>
      <c r="F166" t="s">
        <v>3353</v>
      </c>
      <c r="G166" t="s">
        <v>47</v>
      </c>
      <c r="H166">
        <v>0</v>
      </c>
      <c r="I166" s="60" t="s">
        <v>125</v>
      </c>
      <c r="J166" s="33" t="s">
        <v>96</v>
      </c>
      <c r="K166" s="46">
        <v>0</v>
      </c>
      <c r="L166">
        <v>2.6</v>
      </c>
      <c r="M166" t="s">
        <v>48</v>
      </c>
      <c r="N166" s="46">
        <v>0</v>
      </c>
      <c r="O166" s="46">
        <v>0</v>
      </c>
      <c r="P166" s="46">
        <v>0</v>
      </c>
      <c r="Q166" t="s">
        <v>48</v>
      </c>
      <c r="R166" t="s">
        <v>48</v>
      </c>
      <c r="S166" t="s">
        <v>48</v>
      </c>
      <c r="T166" t="s">
        <v>48</v>
      </c>
      <c r="U166" t="s">
        <v>48</v>
      </c>
      <c r="V166" s="47">
        <v>0</v>
      </c>
      <c r="W166" t="s">
        <v>48</v>
      </c>
      <c r="X166" t="s">
        <v>48</v>
      </c>
      <c r="Y166" t="s">
        <v>48</v>
      </c>
      <c r="Z166">
        <v>0</v>
      </c>
      <c r="AA166" t="s">
        <v>48</v>
      </c>
      <c r="AB166" t="s">
        <v>48</v>
      </c>
      <c r="AC166" t="s">
        <v>49</v>
      </c>
      <c r="AD166" t="s">
        <v>48</v>
      </c>
      <c r="AE166" t="s">
        <v>48</v>
      </c>
      <c r="AF166" t="s">
        <v>48</v>
      </c>
      <c r="AG166" t="s">
        <v>48</v>
      </c>
      <c r="AH166" t="s">
        <v>48</v>
      </c>
      <c r="AI166" t="s">
        <v>48</v>
      </c>
      <c r="AJ166" t="s">
        <v>48</v>
      </c>
      <c r="AK166" t="s">
        <v>48</v>
      </c>
      <c r="AL166" t="s">
        <v>48</v>
      </c>
      <c r="AM166" t="s">
        <v>48</v>
      </c>
      <c r="AN166" t="s">
        <v>48</v>
      </c>
      <c r="AO166" t="s">
        <v>48</v>
      </c>
      <c r="AP166" s="46">
        <v>0</v>
      </c>
      <c r="AQ166" s="46">
        <v>0</v>
      </c>
      <c r="AR166" s="46">
        <v>0</v>
      </c>
      <c r="AS166" s="46">
        <v>0</v>
      </c>
      <c r="AT166" s="46">
        <v>0</v>
      </c>
      <c r="AU166" s="46">
        <v>0</v>
      </c>
      <c r="AV166" s="46">
        <v>0</v>
      </c>
      <c r="AW166" s="46">
        <v>0</v>
      </c>
      <c r="AX166" s="46">
        <v>0</v>
      </c>
      <c r="AY166" s="46">
        <v>0</v>
      </c>
      <c r="AZ166" s="46">
        <v>0</v>
      </c>
      <c r="BA166" s="46">
        <v>0</v>
      </c>
      <c r="BB166" s="46">
        <v>0</v>
      </c>
      <c r="BC166" s="46">
        <v>0</v>
      </c>
      <c r="BD166" s="46">
        <v>0</v>
      </c>
      <c r="BE166" s="46">
        <v>0</v>
      </c>
      <c r="BF166" s="46">
        <v>0</v>
      </c>
      <c r="BG166" s="46" t="s">
        <v>48</v>
      </c>
      <c r="BH166" s="46">
        <v>0</v>
      </c>
      <c r="BI166" s="46">
        <v>0</v>
      </c>
      <c r="BJ166" s="46">
        <v>0</v>
      </c>
      <c r="BK166" s="46">
        <v>0</v>
      </c>
      <c r="BL166" s="46">
        <v>0</v>
      </c>
      <c r="BM166" s="46">
        <v>0</v>
      </c>
      <c r="BN166" s="46">
        <v>0</v>
      </c>
    </row>
    <row r="167" spans="1:66" x14ac:dyDescent="0.35">
      <c r="A167" t="s">
        <v>3374</v>
      </c>
      <c r="B167" s="44" t="s">
        <v>48</v>
      </c>
      <c r="C167" t="s">
        <v>3377</v>
      </c>
      <c r="D167" t="s">
        <v>221</v>
      </c>
      <c r="E167" t="s">
        <v>3375</v>
      </c>
      <c r="F167" t="s">
        <v>3353</v>
      </c>
      <c r="G167" t="s">
        <v>74</v>
      </c>
      <c r="H167">
        <v>0</v>
      </c>
      <c r="I167" s="60" t="s">
        <v>125</v>
      </c>
      <c r="J167" s="33" t="s">
        <v>96</v>
      </c>
      <c r="K167" s="46">
        <v>0</v>
      </c>
      <c r="L167">
        <v>9.9</v>
      </c>
      <c r="M167" t="s">
        <v>48</v>
      </c>
      <c r="N167" s="46">
        <v>0</v>
      </c>
      <c r="O167" s="46">
        <v>0</v>
      </c>
      <c r="P167" s="46">
        <v>0</v>
      </c>
      <c r="Q167" t="s">
        <v>48</v>
      </c>
      <c r="R167" t="s">
        <v>48</v>
      </c>
      <c r="S167" t="s">
        <v>3376</v>
      </c>
      <c r="T167" t="s">
        <v>48</v>
      </c>
      <c r="U167" t="s">
        <v>3376</v>
      </c>
      <c r="V167" s="47">
        <v>0</v>
      </c>
      <c r="W167" t="s">
        <v>48</v>
      </c>
      <c r="X167" t="s">
        <v>48</v>
      </c>
      <c r="Y167" t="s">
        <v>48</v>
      </c>
      <c r="Z167">
        <v>0</v>
      </c>
      <c r="AA167" t="s">
        <v>48</v>
      </c>
      <c r="AB167" t="s">
        <v>48</v>
      </c>
      <c r="AC167" t="s">
        <v>49</v>
      </c>
      <c r="AD167" t="s">
        <v>93</v>
      </c>
      <c r="AE167" t="s">
        <v>4532</v>
      </c>
      <c r="AF167" t="s">
        <v>48</v>
      </c>
      <c r="AG167" t="s">
        <v>48</v>
      </c>
      <c r="AH167" t="s">
        <v>48</v>
      </c>
      <c r="AI167" t="s">
        <v>48</v>
      </c>
      <c r="AJ167" t="s">
        <v>48</v>
      </c>
      <c r="AK167" t="s">
        <v>48</v>
      </c>
      <c r="AL167" t="s">
        <v>48</v>
      </c>
      <c r="AM167" t="s">
        <v>48</v>
      </c>
      <c r="AN167" t="s">
        <v>48</v>
      </c>
      <c r="AO167" t="s">
        <v>48</v>
      </c>
      <c r="AP167" s="46">
        <v>0</v>
      </c>
      <c r="AQ167" s="46">
        <v>0</v>
      </c>
      <c r="AR167" s="46">
        <v>0</v>
      </c>
      <c r="AS167" s="46">
        <v>0</v>
      </c>
      <c r="AT167" s="46">
        <v>0</v>
      </c>
      <c r="AU167" s="46">
        <v>0</v>
      </c>
      <c r="AV167" s="46">
        <v>0</v>
      </c>
      <c r="AW167" s="46">
        <v>0</v>
      </c>
      <c r="AX167" s="46">
        <v>0</v>
      </c>
      <c r="AY167" s="46">
        <v>0</v>
      </c>
      <c r="AZ167" s="46">
        <v>0</v>
      </c>
      <c r="BA167" s="46">
        <v>0</v>
      </c>
      <c r="BB167" s="46">
        <v>0</v>
      </c>
      <c r="BC167" s="46">
        <v>0</v>
      </c>
      <c r="BD167" s="46">
        <v>0</v>
      </c>
      <c r="BE167" s="46">
        <v>0</v>
      </c>
      <c r="BF167" s="46">
        <v>0</v>
      </c>
      <c r="BG167" s="46" t="s">
        <v>48</v>
      </c>
      <c r="BH167" s="46">
        <v>0</v>
      </c>
      <c r="BI167" s="46">
        <v>0</v>
      </c>
      <c r="BJ167" s="46">
        <v>0</v>
      </c>
      <c r="BK167" s="46">
        <v>0</v>
      </c>
      <c r="BL167" s="46">
        <v>0</v>
      </c>
      <c r="BM167" s="46">
        <v>0</v>
      </c>
      <c r="BN167" s="46">
        <v>0</v>
      </c>
    </row>
    <row r="168" spans="1:66" x14ac:dyDescent="0.35">
      <c r="A168" t="s">
        <v>3382</v>
      </c>
      <c r="B168" s="44" t="s">
        <v>48</v>
      </c>
      <c r="C168" t="s">
        <v>3384</v>
      </c>
      <c r="D168" t="s">
        <v>221</v>
      </c>
      <c r="E168" t="s">
        <v>3383</v>
      </c>
      <c r="F168" t="s">
        <v>3353</v>
      </c>
      <c r="G168" t="s">
        <v>47</v>
      </c>
      <c r="H168">
        <v>0</v>
      </c>
      <c r="I168" s="60" t="s">
        <v>125</v>
      </c>
      <c r="J168" s="33" t="s">
        <v>96</v>
      </c>
      <c r="K168" s="46">
        <v>0</v>
      </c>
      <c r="L168">
        <v>1.5</v>
      </c>
      <c r="M168" t="s">
        <v>48</v>
      </c>
      <c r="N168" s="46">
        <v>0</v>
      </c>
      <c r="O168" s="46">
        <v>0</v>
      </c>
      <c r="P168" s="46">
        <v>0</v>
      </c>
      <c r="Q168" t="s">
        <v>48</v>
      </c>
      <c r="R168" t="s">
        <v>48</v>
      </c>
      <c r="S168" t="s">
        <v>48</v>
      </c>
      <c r="T168" t="s">
        <v>48</v>
      </c>
      <c r="U168" t="s">
        <v>48</v>
      </c>
      <c r="V168" s="47">
        <v>0</v>
      </c>
      <c r="W168" t="s">
        <v>48</v>
      </c>
      <c r="X168" t="s">
        <v>48</v>
      </c>
      <c r="Y168" t="s">
        <v>48</v>
      </c>
      <c r="Z168">
        <v>0</v>
      </c>
      <c r="AA168" t="s">
        <v>48</v>
      </c>
      <c r="AB168" t="s">
        <v>48</v>
      </c>
      <c r="AC168" t="s">
        <v>49</v>
      </c>
      <c r="AD168" t="s">
        <v>93</v>
      </c>
      <c r="AE168" t="s">
        <v>4532</v>
      </c>
      <c r="AF168" t="s">
        <v>48</v>
      </c>
      <c r="AG168" t="s">
        <v>48</v>
      </c>
      <c r="AH168" t="s">
        <v>48</v>
      </c>
      <c r="AI168" t="s">
        <v>48</v>
      </c>
      <c r="AJ168" t="s">
        <v>48</v>
      </c>
      <c r="AK168" t="s">
        <v>48</v>
      </c>
      <c r="AL168" t="s">
        <v>48</v>
      </c>
      <c r="AM168" t="s">
        <v>48</v>
      </c>
      <c r="AN168" t="s">
        <v>48</v>
      </c>
      <c r="AO168" t="s">
        <v>48</v>
      </c>
      <c r="AP168" s="46">
        <v>0</v>
      </c>
      <c r="AQ168" s="46">
        <v>0</v>
      </c>
      <c r="AR168" s="46">
        <v>0</v>
      </c>
      <c r="AS168" s="46">
        <v>0</v>
      </c>
      <c r="AT168" s="46">
        <v>0</v>
      </c>
      <c r="AU168" s="46">
        <v>0</v>
      </c>
      <c r="AV168" s="46">
        <v>0</v>
      </c>
      <c r="AW168" s="46">
        <v>0</v>
      </c>
      <c r="AX168" s="46">
        <v>0</v>
      </c>
      <c r="AY168" s="46">
        <v>0</v>
      </c>
      <c r="AZ168" s="46">
        <v>0</v>
      </c>
      <c r="BA168" s="46">
        <v>0</v>
      </c>
      <c r="BB168" s="46">
        <v>0</v>
      </c>
      <c r="BC168" s="46">
        <v>0</v>
      </c>
      <c r="BD168" s="46">
        <v>0</v>
      </c>
      <c r="BE168" s="46">
        <v>0</v>
      </c>
      <c r="BF168" s="46">
        <v>0</v>
      </c>
      <c r="BG168" s="46" t="s">
        <v>48</v>
      </c>
      <c r="BH168" s="46">
        <v>0</v>
      </c>
      <c r="BI168" s="46">
        <v>0</v>
      </c>
      <c r="BJ168" s="46">
        <v>0</v>
      </c>
      <c r="BK168" s="46">
        <v>0</v>
      </c>
      <c r="BL168" s="46">
        <v>0</v>
      </c>
      <c r="BM168" s="46">
        <v>0</v>
      </c>
      <c r="BN168" s="46">
        <v>0</v>
      </c>
    </row>
    <row r="169" spans="1:66" x14ac:dyDescent="0.35">
      <c r="A169" t="s">
        <v>3356</v>
      </c>
      <c r="B169" s="44" t="s">
        <v>48</v>
      </c>
      <c r="C169" t="s">
        <v>3359</v>
      </c>
      <c r="D169" t="s">
        <v>412</v>
      </c>
      <c r="E169" t="s">
        <v>3357</v>
      </c>
      <c r="F169" t="s">
        <v>3353</v>
      </c>
      <c r="G169" t="s">
        <v>74</v>
      </c>
      <c r="H169">
        <v>0</v>
      </c>
      <c r="I169" s="60" t="s">
        <v>125</v>
      </c>
      <c r="J169" s="33" t="s">
        <v>96</v>
      </c>
      <c r="K169" s="46">
        <v>0</v>
      </c>
      <c r="L169">
        <v>10.6</v>
      </c>
      <c r="M169" t="s">
        <v>48</v>
      </c>
      <c r="N169" s="46">
        <v>0</v>
      </c>
      <c r="O169" s="46">
        <v>0</v>
      </c>
      <c r="P169" s="46">
        <v>0</v>
      </c>
      <c r="Q169" t="s">
        <v>48</v>
      </c>
      <c r="R169" t="s">
        <v>48</v>
      </c>
      <c r="S169" t="s">
        <v>3358</v>
      </c>
      <c r="T169" t="s">
        <v>48</v>
      </c>
      <c r="U169" t="s">
        <v>3358</v>
      </c>
      <c r="V169" s="47">
        <v>0</v>
      </c>
      <c r="W169" t="s">
        <v>48</v>
      </c>
      <c r="X169" t="s">
        <v>48</v>
      </c>
      <c r="Y169" t="s">
        <v>48</v>
      </c>
      <c r="Z169">
        <v>0</v>
      </c>
      <c r="AA169" t="s">
        <v>48</v>
      </c>
      <c r="AB169" t="s">
        <v>48</v>
      </c>
      <c r="AC169" t="s">
        <v>49</v>
      </c>
      <c r="AD169" t="s">
        <v>93</v>
      </c>
      <c r="AE169" t="s">
        <v>4532</v>
      </c>
      <c r="AF169" t="s">
        <v>48</v>
      </c>
      <c r="AG169" t="s">
        <v>48</v>
      </c>
      <c r="AH169" t="s">
        <v>48</v>
      </c>
      <c r="AI169" t="s">
        <v>48</v>
      </c>
      <c r="AJ169" t="s">
        <v>48</v>
      </c>
      <c r="AK169" t="s">
        <v>48</v>
      </c>
      <c r="AL169" t="s">
        <v>48</v>
      </c>
      <c r="AM169" t="s">
        <v>48</v>
      </c>
      <c r="AN169" t="s">
        <v>48</v>
      </c>
      <c r="AO169" t="s">
        <v>48</v>
      </c>
      <c r="AP169" s="46">
        <v>0</v>
      </c>
      <c r="AQ169" s="46">
        <v>0</v>
      </c>
      <c r="AR169" s="46">
        <v>0</v>
      </c>
      <c r="AS169" s="46">
        <v>0</v>
      </c>
      <c r="AT169" s="46">
        <v>0</v>
      </c>
      <c r="AU169" s="46">
        <v>0</v>
      </c>
      <c r="AV169" s="46">
        <v>0</v>
      </c>
      <c r="AW169" s="46">
        <v>0</v>
      </c>
      <c r="AX169" s="46">
        <v>0</v>
      </c>
      <c r="AY169" s="46">
        <v>0</v>
      </c>
      <c r="AZ169" s="46">
        <v>0</v>
      </c>
      <c r="BA169" s="46">
        <v>0</v>
      </c>
      <c r="BB169" s="46">
        <v>0</v>
      </c>
      <c r="BC169" s="46">
        <v>0</v>
      </c>
      <c r="BD169" s="46">
        <v>0</v>
      </c>
      <c r="BE169" s="46">
        <v>0</v>
      </c>
      <c r="BF169" s="46">
        <v>0</v>
      </c>
      <c r="BG169" s="46" t="s">
        <v>48</v>
      </c>
      <c r="BH169" s="46">
        <v>0</v>
      </c>
      <c r="BI169" s="46">
        <v>0</v>
      </c>
      <c r="BJ169" s="46">
        <v>0</v>
      </c>
      <c r="BK169" s="46">
        <v>0</v>
      </c>
      <c r="BL169" s="46">
        <v>0</v>
      </c>
      <c r="BM169" s="46">
        <v>0</v>
      </c>
      <c r="BN169" s="46">
        <v>0</v>
      </c>
    </row>
    <row r="170" spans="1:66" x14ac:dyDescent="0.35">
      <c r="A170" t="s">
        <v>3371</v>
      </c>
      <c r="B170" s="44" t="s">
        <v>48</v>
      </c>
      <c r="C170" t="s">
        <v>3373</v>
      </c>
      <c r="D170" t="s">
        <v>437</v>
      </c>
      <c r="E170" t="s">
        <v>3372</v>
      </c>
      <c r="F170" t="s">
        <v>3353</v>
      </c>
      <c r="G170" t="s">
        <v>47</v>
      </c>
      <c r="H170">
        <v>0</v>
      </c>
      <c r="I170" s="60" t="s">
        <v>125</v>
      </c>
      <c r="J170" s="33" t="s">
        <v>96</v>
      </c>
      <c r="K170" s="46">
        <v>0</v>
      </c>
      <c r="L170">
        <v>3.5</v>
      </c>
      <c r="M170" t="s">
        <v>48</v>
      </c>
      <c r="N170" s="46">
        <v>0</v>
      </c>
      <c r="O170" s="46">
        <v>0</v>
      </c>
      <c r="P170" s="46">
        <v>0</v>
      </c>
      <c r="Q170" t="s">
        <v>48</v>
      </c>
      <c r="R170" t="s">
        <v>48</v>
      </c>
      <c r="S170" t="s">
        <v>10121</v>
      </c>
      <c r="T170" t="s">
        <v>48</v>
      </c>
      <c r="U170" t="s">
        <v>10121</v>
      </c>
      <c r="V170" s="47">
        <v>0</v>
      </c>
      <c r="W170" t="s">
        <v>11317</v>
      </c>
      <c r="X170" t="s">
        <v>48</v>
      </c>
      <c r="Y170" t="s">
        <v>48</v>
      </c>
      <c r="Z170">
        <v>0</v>
      </c>
      <c r="AA170" t="s">
        <v>48</v>
      </c>
      <c r="AB170" t="s">
        <v>48</v>
      </c>
      <c r="AC170" t="s">
        <v>49</v>
      </c>
      <c r="AD170" t="s">
        <v>93</v>
      </c>
      <c r="AE170" t="s">
        <v>4532</v>
      </c>
      <c r="AF170" t="s">
        <v>48</v>
      </c>
      <c r="AG170" t="s">
        <v>48</v>
      </c>
      <c r="AH170" t="s">
        <v>48</v>
      </c>
      <c r="AI170" t="s">
        <v>48</v>
      </c>
      <c r="AJ170" t="s">
        <v>48</v>
      </c>
      <c r="AK170" t="s">
        <v>48</v>
      </c>
      <c r="AL170" t="s">
        <v>48</v>
      </c>
      <c r="AM170" t="s">
        <v>48</v>
      </c>
      <c r="AN170" t="s">
        <v>48</v>
      </c>
      <c r="AO170" t="s">
        <v>48</v>
      </c>
      <c r="AP170" s="46">
        <v>0</v>
      </c>
      <c r="AQ170" s="46">
        <v>0</v>
      </c>
      <c r="AR170" s="46">
        <v>0</v>
      </c>
      <c r="AS170" s="46">
        <v>0</v>
      </c>
      <c r="AT170" s="46">
        <v>0</v>
      </c>
      <c r="AU170" s="46">
        <v>0</v>
      </c>
      <c r="AV170" s="46">
        <v>0</v>
      </c>
      <c r="AW170" s="46">
        <v>0</v>
      </c>
      <c r="AX170" s="46">
        <v>0</v>
      </c>
      <c r="AY170" s="46">
        <v>0</v>
      </c>
      <c r="AZ170" s="46">
        <v>0</v>
      </c>
      <c r="BA170" s="46">
        <v>0</v>
      </c>
      <c r="BB170" s="46">
        <v>0</v>
      </c>
      <c r="BC170" s="46">
        <v>0</v>
      </c>
      <c r="BD170" s="46">
        <v>0</v>
      </c>
      <c r="BE170" s="46">
        <v>0</v>
      </c>
      <c r="BF170" s="46">
        <v>0</v>
      </c>
      <c r="BG170" s="46" t="s">
        <v>48</v>
      </c>
      <c r="BH170" s="46">
        <v>0</v>
      </c>
      <c r="BI170" s="46">
        <v>0</v>
      </c>
      <c r="BJ170" s="46">
        <v>0</v>
      </c>
      <c r="BK170" s="46">
        <v>0</v>
      </c>
      <c r="BL170" s="46">
        <v>0</v>
      </c>
      <c r="BM170" s="46">
        <v>0</v>
      </c>
      <c r="BN170" s="46">
        <v>0</v>
      </c>
    </row>
    <row r="171" spans="1:66" x14ac:dyDescent="0.35">
      <c r="A171" t="s">
        <v>3367</v>
      </c>
      <c r="B171" s="44" t="s">
        <v>48</v>
      </c>
      <c r="C171" t="s">
        <v>3370</v>
      </c>
      <c r="D171" t="s">
        <v>1172</v>
      </c>
      <c r="E171" t="s">
        <v>3368</v>
      </c>
      <c r="F171" t="s">
        <v>3353</v>
      </c>
      <c r="G171" t="s">
        <v>74</v>
      </c>
      <c r="H171">
        <v>0</v>
      </c>
      <c r="I171" s="60" t="s">
        <v>177</v>
      </c>
      <c r="J171" s="33" t="s">
        <v>96</v>
      </c>
      <c r="K171" s="46">
        <v>0</v>
      </c>
      <c r="L171">
        <v>6.2</v>
      </c>
      <c r="M171" t="s">
        <v>48</v>
      </c>
      <c r="N171" s="46">
        <v>0</v>
      </c>
      <c r="O171" s="46">
        <v>0</v>
      </c>
      <c r="P171" s="46">
        <v>0</v>
      </c>
      <c r="Q171" t="s">
        <v>48</v>
      </c>
      <c r="R171" t="s">
        <v>48</v>
      </c>
      <c r="S171" t="s">
        <v>3369</v>
      </c>
      <c r="T171" t="s">
        <v>48</v>
      </c>
      <c r="U171" t="s">
        <v>3369</v>
      </c>
      <c r="V171" s="47">
        <v>0</v>
      </c>
      <c r="W171" t="s">
        <v>48</v>
      </c>
      <c r="X171" t="s">
        <v>48</v>
      </c>
      <c r="Y171" t="s">
        <v>48</v>
      </c>
      <c r="Z171">
        <v>0</v>
      </c>
      <c r="AA171" t="s">
        <v>48</v>
      </c>
      <c r="AB171" t="s">
        <v>48</v>
      </c>
      <c r="AC171" t="s">
        <v>63</v>
      </c>
      <c r="AD171" t="s">
        <v>93</v>
      </c>
      <c r="AE171" t="s">
        <v>4532</v>
      </c>
      <c r="AF171" t="s">
        <v>48</v>
      </c>
      <c r="AG171" t="s">
        <v>48</v>
      </c>
      <c r="AH171" t="s">
        <v>48</v>
      </c>
      <c r="AI171" t="s">
        <v>48</v>
      </c>
      <c r="AJ171" t="s">
        <v>48</v>
      </c>
      <c r="AK171" t="s">
        <v>48</v>
      </c>
      <c r="AL171" t="s">
        <v>48</v>
      </c>
      <c r="AM171" t="s">
        <v>48</v>
      </c>
      <c r="AN171" t="s">
        <v>48</v>
      </c>
      <c r="AO171" t="s">
        <v>48</v>
      </c>
      <c r="AP171" s="46">
        <v>0</v>
      </c>
      <c r="AQ171" s="46">
        <v>0</v>
      </c>
      <c r="AR171" s="46">
        <v>0</v>
      </c>
      <c r="AS171" s="46">
        <v>0</v>
      </c>
      <c r="AT171" s="46">
        <v>0</v>
      </c>
      <c r="AU171" s="46">
        <v>0</v>
      </c>
      <c r="AV171" s="46">
        <v>0</v>
      </c>
      <c r="AW171" s="46">
        <v>0</v>
      </c>
      <c r="AX171" s="46">
        <v>0</v>
      </c>
      <c r="AY171" s="46">
        <v>0</v>
      </c>
      <c r="AZ171" s="46">
        <v>0</v>
      </c>
      <c r="BA171" s="46">
        <v>0</v>
      </c>
      <c r="BB171" s="46">
        <v>0</v>
      </c>
      <c r="BC171" s="46">
        <v>0</v>
      </c>
      <c r="BD171" s="46">
        <v>0</v>
      </c>
      <c r="BE171" s="46">
        <v>0</v>
      </c>
      <c r="BF171" s="46">
        <v>0</v>
      </c>
      <c r="BG171" s="46" t="s">
        <v>48</v>
      </c>
      <c r="BH171" s="46">
        <v>0</v>
      </c>
      <c r="BI171" s="46">
        <v>0</v>
      </c>
      <c r="BJ171" s="46">
        <v>0</v>
      </c>
      <c r="BK171" s="46">
        <v>0</v>
      </c>
      <c r="BL171" s="46">
        <v>0</v>
      </c>
      <c r="BM171" s="46">
        <v>0</v>
      </c>
      <c r="BN171" s="46">
        <v>0</v>
      </c>
    </row>
    <row r="172" spans="1:66" x14ac:dyDescent="0.35">
      <c r="A172" t="s">
        <v>3385</v>
      </c>
      <c r="B172" s="44" t="s">
        <v>48</v>
      </c>
      <c r="C172" t="s">
        <v>3388</v>
      </c>
      <c r="D172" t="s">
        <v>3387</v>
      </c>
      <c r="E172" t="s">
        <v>3386</v>
      </c>
      <c r="F172" t="s">
        <v>3353</v>
      </c>
      <c r="G172" t="s">
        <v>47</v>
      </c>
      <c r="H172">
        <v>0</v>
      </c>
      <c r="I172" s="60" t="s">
        <v>177</v>
      </c>
      <c r="J172" s="33" t="s">
        <v>96</v>
      </c>
      <c r="K172" s="46">
        <v>0</v>
      </c>
      <c r="L172">
        <v>2.4</v>
      </c>
      <c r="M172" t="s">
        <v>48</v>
      </c>
      <c r="N172" s="46">
        <v>0</v>
      </c>
      <c r="O172" s="46">
        <v>0</v>
      </c>
      <c r="P172" s="46">
        <v>0</v>
      </c>
      <c r="Q172" t="s">
        <v>48</v>
      </c>
      <c r="R172" t="s">
        <v>48</v>
      </c>
      <c r="S172" t="s">
        <v>48</v>
      </c>
      <c r="T172" t="s">
        <v>48</v>
      </c>
      <c r="U172" t="s">
        <v>48</v>
      </c>
      <c r="V172" s="47">
        <v>0</v>
      </c>
      <c r="W172" t="s">
        <v>48</v>
      </c>
      <c r="X172" t="s">
        <v>48</v>
      </c>
      <c r="Y172" t="s">
        <v>48</v>
      </c>
      <c r="Z172">
        <v>0</v>
      </c>
      <c r="AA172" t="s">
        <v>48</v>
      </c>
      <c r="AB172" t="s">
        <v>48</v>
      </c>
      <c r="AC172" t="s">
        <v>63</v>
      </c>
      <c r="AD172" t="s">
        <v>93</v>
      </c>
      <c r="AE172" t="s">
        <v>4532</v>
      </c>
      <c r="AF172" t="s">
        <v>48</v>
      </c>
      <c r="AG172" t="s">
        <v>48</v>
      </c>
      <c r="AH172" t="s">
        <v>48</v>
      </c>
      <c r="AI172" t="s">
        <v>48</v>
      </c>
      <c r="AJ172" t="s">
        <v>48</v>
      </c>
      <c r="AK172" t="s">
        <v>48</v>
      </c>
      <c r="AL172" t="s">
        <v>48</v>
      </c>
      <c r="AM172" t="s">
        <v>48</v>
      </c>
      <c r="AN172" t="s">
        <v>48</v>
      </c>
      <c r="AO172" t="s">
        <v>48</v>
      </c>
      <c r="AP172" s="46">
        <v>0</v>
      </c>
      <c r="AQ172" s="46">
        <v>0</v>
      </c>
      <c r="AR172" s="46">
        <v>0</v>
      </c>
      <c r="AS172" s="46">
        <v>0</v>
      </c>
      <c r="AT172" s="46">
        <v>0</v>
      </c>
      <c r="AU172" s="46">
        <v>0</v>
      </c>
      <c r="AV172" s="46">
        <v>0</v>
      </c>
      <c r="AW172" s="46">
        <v>0</v>
      </c>
      <c r="AX172" s="46">
        <v>0</v>
      </c>
      <c r="AY172" s="46">
        <v>0</v>
      </c>
      <c r="AZ172" s="46">
        <v>0</v>
      </c>
      <c r="BA172" s="46">
        <v>0</v>
      </c>
      <c r="BB172" s="46">
        <v>0</v>
      </c>
      <c r="BC172" s="46">
        <v>0</v>
      </c>
      <c r="BD172" s="46">
        <v>0</v>
      </c>
      <c r="BE172" s="46">
        <v>0</v>
      </c>
      <c r="BF172" s="46">
        <v>0</v>
      </c>
      <c r="BG172" s="46" t="s">
        <v>48</v>
      </c>
      <c r="BH172" s="46">
        <v>0</v>
      </c>
      <c r="BI172" s="46">
        <v>0</v>
      </c>
      <c r="BJ172" s="46">
        <v>0</v>
      </c>
      <c r="BK172" s="46">
        <v>0</v>
      </c>
      <c r="BL172" s="46">
        <v>0</v>
      </c>
      <c r="BM172" s="46">
        <v>0</v>
      </c>
      <c r="BN172" s="46">
        <v>0</v>
      </c>
    </row>
    <row r="173" spans="1:66" x14ac:dyDescent="0.35">
      <c r="A173" t="s">
        <v>3364</v>
      </c>
      <c r="B173" s="44" t="s">
        <v>48</v>
      </c>
      <c r="C173" t="s">
        <v>3366</v>
      </c>
      <c r="D173" t="s">
        <v>1956</v>
      </c>
      <c r="E173" t="s">
        <v>3365</v>
      </c>
      <c r="F173" t="s">
        <v>3353</v>
      </c>
      <c r="G173" t="s">
        <v>47</v>
      </c>
      <c r="H173">
        <v>0</v>
      </c>
      <c r="I173" s="60" t="s">
        <v>177</v>
      </c>
      <c r="J173" s="33" t="s">
        <v>96</v>
      </c>
      <c r="K173" s="46">
        <v>0</v>
      </c>
      <c r="L173">
        <v>3.6</v>
      </c>
      <c r="M173" t="s">
        <v>48</v>
      </c>
      <c r="N173" s="46">
        <v>0</v>
      </c>
      <c r="O173" s="46">
        <v>0</v>
      </c>
      <c r="P173" s="46">
        <v>0</v>
      </c>
      <c r="Q173" t="s">
        <v>48</v>
      </c>
      <c r="R173" t="s">
        <v>48</v>
      </c>
      <c r="S173" t="s">
        <v>48</v>
      </c>
      <c r="T173" t="s">
        <v>48</v>
      </c>
      <c r="U173" t="s">
        <v>48</v>
      </c>
      <c r="V173" s="47">
        <v>0</v>
      </c>
      <c r="W173" t="s">
        <v>48</v>
      </c>
      <c r="X173" t="s">
        <v>48</v>
      </c>
      <c r="Y173" t="s">
        <v>48</v>
      </c>
      <c r="Z173">
        <v>0</v>
      </c>
      <c r="AA173" t="s">
        <v>48</v>
      </c>
      <c r="AB173" t="s">
        <v>48</v>
      </c>
      <c r="AC173" t="s">
        <v>63</v>
      </c>
      <c r="AD173" t="s">
        <v>93</v>
      </c>
      <c r="AE173" t="s">
        <v>4532</v>
      </c>
      <c r="AF173" t="s">
        <v>48</v>
      </c>
      <c r="AG173" t="s">
        <v>48</v>
      </c>
      <c r="AH173" t="s">
        <v>48</v>
      </c>
      <c r="AI173" t="s">
        <v>48</v>
      </c>
      <c r="AJ173" t="s">
        <v>48</v>
      </c>
      <c r="AK173" t="s">
        <v>48</v>
      </c>
      <c r="AL173" t="s">
        <v>48</v>
      </c>
      <c r="AM173" t="s">
        <v>48</v>
      </c>
      <c r="AN173" t="s">
        <v>48</v>
      </c>
      <c r="AO173" t="s">
        <v>48</v>
      </c>
      <c r="AP173" s="46">
        <v>0</v>
      </c>
      <c r="AQ173" s="46">
        <v>0</v>
      </c>
      <c r="AR173" s="46">
        <v>0</v>
      </c>
      <c r="AS173" s="46">
        <v>0</v>
      </c>
      <c r="AT173" s="46">
        <v>0</v>
      </c>
      <c r="AU173" s="46">
        <v>0</v>
      </c>
      <c r="AV173" s="46">
        <v>0</v>
      </c>
      <c r="AW173" s="46">
        <v>0</v>
      </c>
      <c r="AX173" s="46">
        <v>0</v>
      </c>
      <c r="AY173" s="46">
        <v>0</v>
      </c>
      <c r="AZ173" s="46">
        <v>0</v>
      </c>
      <c r="BA173" s="46">
        <v>0</v>
      </c>
      <c r="BB173" s="46">
        <v>0</v>
      </c>
      <c r="BC173" s="46">
        <v>0</v>
      </c>
      <c r="BD173" s="46">
        <v>0</v>
      </c>
      <c r="BE173" s="46">
        <v>0</v>
      </c>
      <c r="BF173" s="46">
        <v>0</v>
      </c>
      <c r="BG173" s="46" t="s">
        <v>48</v>
      </c>
      <c r="BH173" s="46">
        <v>0</v>
      </c>
      <c r="BI173" s="46">
        <v>0</v>
      </c>
      <c r="BJ173" s="46">
        <v>0</v>
      </c>
      <c r="BK173" s="46">
        <v>0</v>
      </c>
      <c r="BL173" s="46">
        <v>0</v>
      </c>
      <c r="BM173" s="46">
        <v>0</v>
      </c>
      <c r="BN173" s="46">
        <v>0</v>
      </c>
    </row>
    <row r="174" spans="1:66" x14ac:dyDescent="0.35">
      <c r="A174" t="s">
        <v>3433</v>
      </c>
      <c r="B174" s="44" t="s">
        <v>48</v>
      </c>
      <c r="C174" t="s">
        <v>3438</v>
      </c>
      <c r="D174" t="s">
        <v>1915</v>
      </c>
      <c r="E174" t="s">
        <v>3435</v>
      </c>
      <c r="F174" t="s">
        <v>3434</v>
      </c>
      <c r="G174" t="s">
        <v>47</v>
      </c>
      <c r="H174">
        <v>0</v>
      </c>
      <c r="I174" s="60" t="s">
        <v>51</v>
      </c>
      <c r="J174" s="33" t="s">
        <v>96</v>
      </c>
      <c r="K174" s="46">
        <v>1</v>
      </c>
      <c r="L174" t="s">
        <v>48</v>
      </c>
      <c r="M174" t="s">
        <v>48</v>
      </c>
      <c r="N174" s="46">
        <v>0</v>
      </c>
      <c r="O174" s="46">
        <v>0</v>
      </c>
      <c r="P174" s="46">
        <v>0</v>
      </c>
      <c r="Q174" t="s">
        <v>48</v>
      </c>
      <c r="R174" t="s">
        <v>48</v>
      </c>
      <c r="S174" t="s">
        <v>3436</v>
      </c>
      <c r="T174" t="s">
        <v>3437</v>
      </c>
      <c r="U174" t="s">
        <v>3436</v>
      </c>
      <c r="V174" s="47">
        <v>0</v>
      </c>
      <c r="W174" t="s">
        <v>48</v>
      </c>
      <c r="X174" t="s">
        <v>48</v>
      </c>
      <c r="Y174" t="s">
        <v>48</v>
      </c>
      <c r="Z174">
        <v>0</v>
      </c>
      <c r="AA174" t="s">
        <v>48</v>
      </c>
      <c r="AB174">
        <v>2014</v>
      </c>
      <c r="AC174" t="s">
        <v>49</v>
      </c>
      <c r="AD174" t="s">
        <v>93</v>
      </c>
      <c r="AE174" t="s">
        <v>4532</v>
      </c>
      <c r="AF174" t="s">
        <v>48</v>
      </c>
      <c r="AG174" t="s">
        <v>112</v>
      </c>
      <c r="AH174" t="s">
        <v>93</v>
      </c>
      <c r="AI174">
        <v>20919</v>
      </c>
      <c r="AJ174">
        <v>1957</v>
      </c>
      <c r="AK174" t="s">
        <v>8526</v>
      </c>
      <c r="AL174" t="s">
        <v>8527</v>
      </c>
      <c r="AM174">
        <v>0.46500000000000002</v>
      </c>
      <c r="AN174">
        <v>-5.8000000000000003E-2</v>
      </c>
      <c r="AO174">
        <v>0.46500000000000002</v>
      </c>
      <c r="AP174" s="46">
        <v>0</v>
      </c>
      <c r="AQ174" s="46">
        <v>0</v>
      </c>
      <c r="AR174" s="46">
        <v>0</v>
      </c>
      <c r="AS174" s="46">
        <v>0</v>
      </c>
      <c r="AT174" s="46">
        <v>0</v>
      </c>
      <c r="AU174" s="46">
        <v>0</v>
      </c>
      <c r="AV174" s="46">
        <v>0</v>
      </c>
      <c r="AW174" s="46">
        <v>0</v>
      </c>
      <c r="AX174" s="46">
        <v>0</v>
      </c>
      <c r="AY174" s="46">
        <v>0</v>
      </c>
      <c r="AZ174" s="46">
        <v>0</v>
      </c>
      <c r="BA174" s="46">
        <v>0</v>
      </c>
      <c r="BB174" s="46">
        <v>0</v>
      </c>
      <c r="BC174" s="46">
        <v>0</v>
      </c>
      <c r="BD174" s="46">
        <v>0</v>
      </c>
      <c r="BE174" s="46">
        <v>0</v>
      </c>
      <c r="BF174" s="46">
        <v>0</v>
      </c>
      <c r="BG174" s="46" t="s">
        <v>48</v>
      </c>
      <c r="BH174" s="46">
        <v>0</v>
      </c>
      <c r="BI174" s="46">
        <v>0</v>
      </c>
      <c r="BJ174" s="46">
        <v>0</v>
      </c>
      <c r="BK174" s="46">
        <v>0</v>
      </c>
      <c r="BL174" s="46">
        <v>0</v>
      </c>
      <c r="BM174" s="46">
        <v>0</v>
      </c>
      <c r="BN174" s="46">
        <v>0</v>
      </c>
    </row>
    <row r="175" spans="1:66" x14ac:dyDescent="0.35">
      <c r="A175" t="s">
        <v>3439</v>
      </c>
      <c r="B175" s="44" t="s">
        <v>48</v>
      </c>
      <c r="C175" t="s">
        <v>3443</v>
      </c>
      <c r="D175" t="s">
        <v>467</v>
      </c>
      <c r="E175" t="s">
        <v>3441</v>
      </c>
      <c r="F175" t="s">
        <v>3440</v>
      </c>
      <c r="G175" t="s">
        <v>74</v>
      </c>
      <c r="H175">
        <v>0</v>
      </c>
      <c r="I175" s="60" t="s">
        <v>881</v>
      </c>
      <c r="J175" s="33" t="s">
        <v>96</v>
      </c>
      <c r="K175" s="46">
        <v>0</v>
      </c>
      <c r="L175" t="s">
        <v>48</v>
      </c>
      <c r="M175" t="s">
        <v>48</v>
      </c>
      <c r="N175" s="46">
        <v>0</v>
      </c>
      <c r="O175" s="46">
        <v>0</v>
      </c>
      <c r="P175" s="46">
        <v>0</v>
      </c>
      <c r="Q175" t="s">
        <v>48</v>
      </c>
      <c r="R175" t="s">
        <v>48</v>
      </c>
      <c r="S175" t="s">
        <v>3442</v>
      </c>
      <c r="T175" t="s">
        <v>48</v>
      </c>
      <c r="U175" t="s">
        <v>3442</v>
      </c>
      <c r="V175" s="47">
        <v>0</v>
      </c>
      <c r="W175" t="s">
        <v>48</v>
      </c>
      <c r="X175" t="s">
        <v>48</v>
      </c>
      <c r="Y175" t="s">
        <v>48</v>
      </c>
      <c r="Z175">
        <v>0</v>
      </c>
      <c r="AA175" t="s">
        <v>48</v>
      </c>
      <c r="AB175" t="s">
        <v>48</v>
      </c>
      <c r="AC175" t="s">
        <v>49</v>
      </c>
      <c r="AD175" t="s">
        <v>93</v>
      </c>
      <c r="AE175" s="40" t="s">
        <v>2471</v>
      </c>
      <c r="AF175" t="s">
        <v>11061</v>
      </c>
      <c r="AG175" t="s">
        <v>48</v>
      </c>
      <c r="AH175" t="s">
        <v>48</v>
      </c>
      <c r="AI175" t="s">
        <v>48</v>
      </c>
      <c r="AJ175" t="s">
        <v>48</v>
      </c>
      <c r="AK175" t="s">
        <v>48</v>
      </c>
      <c r="AL175" t="s">
        <v>48</v>
      </c>
      <c r="AM175" t="s">
        <v>48</v>
      </c>
      <c r="AN175" t="s">
        <v>48</v>
      </c>
      <c r="AO175" t="s">
        <v>48</v>
      </c>
      <c r="AP175" s="46">
        <v>0</v>
      </c>
      <c r="AQ175" s="46">
        <v>0</v>
      </c>
      <c r="AR175" s="46">
        <v>0</v>
      </c>
      <c r="AS175" s="46">
        <v>0</v>
      </c>
      <c r="AT175" s="46">
        <v>0</v>
      </c>
      <c r="AU175" s="46">
        <v>0</v>
      </c>
      <c r="AV175" s="46">
        <v>0</v>
      </c>
      <c r="AW175" s="46">
        <v>0</v>
      </c>
      <c r="AX175" s="46">
        <v>0</v>
      </c>
      <c r="AY175" s="46">
        <v>0</v>
      </c>
      <c r="AZ175" s="46">
        <v>0</v>
      </c>
      <c r="BA175" s="46">
        <v>0</v>
      </c>
      <c r="BB175" s="46">
        <v>0</v>
      </c>
      <c r="BC175" s="46">
        <v>0</v>
      </c>
      <c r="BD175" s="46">
        <v>0</v>
      </c>
      <c r="BE175" s="46">
        <v>0</v>
      </c>
      <c r="BF175" s="46">
        <v>0</v>
      </c>
      <c r="BG175" s="46" t="s">
        <v>48</v>
      </c>
      <c r="BH175" s="46">
        <v>0</v>
      </c>
      <c r="BI175" s="46">
        <v>0</v>
      </c>
      <c r="BJ175" s="46">
        <v>0</v>
      </c>
      <c r="BK175" s="46">
        <v>0</v>
      </c>
      <c r="BL175" s="46">
        <v>0</v>
      </c>
      <c r="BM175" s="46">
        <v>0</v>
      </c>
      <c r="BN175" s="46">
        <v>0</v>
      </c>
    </row>
    <row r="176" spans="1:66" x14ac:dyDescent="0.35">
      <c r="A176" t="s">
        <v>3444</v>
      </c>
      <c r="B176" s="44" t="s">
        <v>48</v>
      </c>
      <c r="C176" t="s">
        <v>3447</v>
      </c>
      <c r="D176" t="s">
        <v>221</v>
      </c>
      <c r="E176" t="s">
        <v>3445</v>
      </c>
      <c r="F176" t="s">
        <v>3440</v>
      </c>
      <c r="G176" t="s">
        <v>47</v>
      </c>
      <c r="H176">
        <v>0</v>
      </c>
      <c r="I176" s="60" t="s">
        <v>51</v>
      </c>
      <c r="J176" s="33" t="s">
        <v>96</v>
      </c>
      <c r="K176" s="46">
        <v>1</v>
      </c>
      <c r="L176" t="s">
        <v>48</v>
      </c>
      <c r="M176" t="s">
        <v>48</v>
      </c>
      <c r="N176" s="46">
        <v>0</v>
      </c>
      <c r="O176" s="46">
        <v>0</v>
      </c>
      <c r="P176" s="46">
        <v>0</v>
      </c>
      <c r="Q176" t="s">
        <v>48</v>
      </c>
      <c r="R176" t="s">
        <v>48</v>
      </c>
      <c r="S176" t="s">
        <v>48</v>
      </c>
      <c r="T176" t="s">
        <v>3446</v>
      </c>
      <c r="U176" t="s">
        <v>48</v>
      </c>
      <c r="V176" s="47">
        <v>0</v>
      </c>
      <c r="W176" t="s">
        <v>48</v>
      </c>
      <c r="X176" t="s">
        <v>48</v>
      </c>
      <c r="Y176" t="s">
        <v>48</v>
      </c>
      <c r="Z176">
        <v>0</v>
      </c>
      <c r="AA176" t="s">
        <v>48</v>
      </c>
      <c r="AB176" t="s">
        <v>48</v>
      </c>
      <c r="AC176" t="s">
        <v>49</v>
      </c>
      <c r="AD176" t="s">
        <v>93</v>
      </c>
      <c r="AE176" t="s">
        <v>4532</v>
      </c>
      <c r="AF176" t="s">
        <v>48</v>
      </c>
      <c r="AG176" t="s">
        <v>48</v>
      </c>
      <c r="AH176" t="s">
        <v>48</v>
      </c>
      <c r="AI176">
        <v>41703</v>
      </c>
      <c r="AJ176">
        <v>1951</v>
      </c>
      <c r="AK176" t="s">
        <v>8528</v>
      </c>
      <c r="AL176" t="s">
        <v>8529</v>
      </c>
      <c r="AM176">
        <v>0.57299999999999995</v>
      </c>
      <c r="AN176">
        <v>1.4999999999999999E-2</v>
      </c>
      <c r="AO176">
        <v>0.57299999999999995</v>
      </c>
      <c r="AP176" s="46">
        <v>0</v>
      </c>
      <c r="AQ176" s="46">
        <v>0</v>
      </c>
      <c r="AR176" s="46">
        <v>0</v>
      </c>
      <c r="AS176" s="46">
        <v>0</v>
      </c>
      <c r="AT176" s="46">
        <v>0</v>
      </c>
      <c r="AU176" s="46">
        <v>0</v>
      </c>
      <c r="AV176" s="46">
        <v>0</v>
      </c>
      <c r="AW176" s="46">
        <v>0</v>
      </c>
      <c r="AX176" s="46">
        <v>0</v>
      </c>
      <c r="AY176" s="46">
        <v>0</v>
      </c>
      <c r="AZ176" s="46">
        <v>0</v>
      </c>
      <c r="BA176" s="46">
        <v>0</v>
      </c>
      <c r="BB176" s="46">
        <v>0</v>
      </c>
      <c r="BC176" s="46">
        <v>0</v>
      </c>
      <c r="BD176" s="46">
        <v>0</v>
      </c>
      <c r="BE176" s="46">
        <v>0</v>
      </c>
      <c r="BF176" s="46">
        <v>0</v>
      </c>
      <c r="BG176" s="46" t="s">
        <v>48</v>
      </c>
      <c r="BH176" s="46">
        <v>0</v>
      </c>
      <c r="BI176" s="46">
        <v>0</v>
      </c>
      <c r="BJ176" s="46">
        <v>0</v>
      </c>
      <c r="BK176" s="46">
        <v>0</v>
      </c>
      <c r="BL176" s="46">
        <v>0</v>
      </c>
      <c r="BM176" s="46">
        <v>0</v>
      </c>
      <c r="BN176" s="46">
        <v>0</v>
      </c>
    </row>
    <row r="177" spans="1:66" x14ac:dyDescent="0.35">
      <c r="A177" t="s">
        <v>3448</v>
      </c>
      <c r="B177" s="44" t="s">
        <v>48</v>
      </c>
      <c r="C177" t="s">
        <v>3451</v>
      </c>
      <c r="D177" t="s">
        <v>3421</v>
      </c>
      <c r="E177" t="s">
        <v>3449</v>
      </c>
      <c r="F177" t="s">
        <v>3440</v>
      </c>
      <c r="G177" t="s">
        <v>74</v>
      </c>
      <c r="H177">
        <v>0</v>
      </c>
      <c r="I177" s="60" t="s">
        <v>177</v>
      </c>
      <c r="J177" s="33" t="s">
        <v>96</v>
      </c>
      <c r="K177" s="46">
        <v>0</v>
      </c>
      <c r="L177" t="s">
        <v>48</v>
      </c>
      <c r="M177" t="s">
        <v>48</v>
      </c>
      <c r="N177" s="46">
        <v>0</v>
      </c>
      <c r="O177" s="46">
        <v>0</v>
      </c>
      <c r="P177" s="46">
        <v>0</v>
      </c>
      <c r="Q177" t="s">
        <v>48</v>
      </c>
      <c r="R177" t="s">
        <v>48</v>
      </c>
      <c r="S177" t="s">
        <v>3450</v>
      </c>
      <c r="T177" t="s">
        <v>48</v>
      </c>
      <c r="U177" t="s">
        <v>3450</v>
      </c>
      <c r="V177" s="47">
        <v>0</v>
      </c>
      <c r="W177" t="s">
        <v>48</v>
      </c>
      <c r="X177" t="s">
        <v>48</v>
      </c>
      <c r="Y177" t="s">
        <v>48</v>
      </c>
      <c r="Z177">
        <v>0</v>
      </c>
      <c r="AA177" t="s">
        <v>48</v>
      </c>
      <c r="AB177" t="s">
        <v>48</v>
      </c>
      <c r="AC177" t="s">
        <v>49</v>
      </c>
      <c r="AD177" t="s">
        <v>93</v>
      </c>
      <c r="AE177" t="s">
        <v>4532</v>
      </c>
      <c r="AF177" t="s">
        <v>48</v>
      </c>
      <c r="AG177" t="s">
        <v>48</v>
      </c>
      <c r="AH177" t="s">
        <v>48</v>
      </c>
      <c r="AI177" t="s">
        <v>48</v>
      </c>
      <c r="AJ177" t="s">
        <v>48</v>
      </c>
      <c r="AK177" t="s">
        <v>48</v>
      </c>
      <c r="AL177" t="s">
        <v>48</v>
      </c>
      <c r="AM177" t="s">
        <v>48</v>
      </c>
      <c r="AN177" t="s">
        <v>48</v>
      </c>
      <c r="AO177" t="s">
        <v>48</v>
      </c>
      <c r="AP177" s="46">
        <v>0</v>
      </c>
      <c r="AQ177" s="46">
        <v>0</v>
      </c>
      <c r="AR177" s="46">
        <v>0</v>
      </c>
      <c r="AS177" s="46">
        <v>0</v>
      </c>
      <c r="AT177" s="46">
        <v>0</v>
      </c>
      <c r="AU177" s="46">
        <v>0</v>
      </c>
      <c r="AV177" s="46">
        <v>0</v>
      </c>
      <c r="AW177" s="46">
        <v>0</v>
      </c>
      <c r="AX177" s="46">
        <v>0</v>
      </c>
      <c r="AY177" s="46">
        <v>0</v>
      </c>
      <c r="AZ177" s="46">
        <v>0</v>
      </c>
      <c r="BA177" s="46">
        <v>0</v>
      </c>
      <c r="BB177" s="46">
        <v>0</v>
      </c>
      <c r="BC177" s="46">
        <v>0</v>
      </c>
      <c r="BD177" s="46">
        <v>0</v>
      </c>
      <c r="BE177" s="46">
        <v>0</v>
      </c>
      <c r="BF177" s="46">
        <v>0</v>
      </c>
      <c r="BG177" s="46" t="s">
        <v>48</v>
      </c>
      <c r="BH177" s="46">
        <v>0</v>
      </c>
      <c r="BI177" s="46">
        <v>0</v>
      </c>
      <c r="BJ177" s="46">
        <v>0</v>
      </c>
      <c r="BK177" s="46">
        <v>0</v>
      </c>
      <c r="BL177" s="46">
        <v>0</v>
      </c>
      <c r="BM177" s="46">
        <v>0</v>
      </c>
      <c r="BN177" s="46">
        <v>0</v>
      </c>
    </row>
    <row r="178" spans="1:66" x14ac:dyDescent="0.35">
      <c r="A178" t="s">
        <v>3452</v>
      </c>
      <c r="B178" s="44" t="s">
        <v>48</v>
      </c>
      <c r="C178" t="s">
        <v>3456</v>
      </c>
      <c r="D178" t="s">
        <v>3455</v>
      </c>
      <c r="E178" t="s">
        <v>3453</v>
      </c>
      <c r="F178" t="s">
        <v>3440</v>
      </c>
      <c r="G178" t="s">
        <v>74</v>
      </c>
      <c r="H178">
        <v>0</v>
      </c>
      <c r="I178" s="60" t="s">
        <v>125</v>
      </c>
      <c r="J178" s="33" t="s">
        <v>96</v>
      </c>
      <c r="K178" s="46">
        <v>0</v>
      </c>
      <c r="L178" t="s">
        <v>48</v>
      </c>
      <c r="M178" t="s">
        <v>48</v>
      </c>
      <c r="N178" s="46">
        <v>0</v>
      </c>
      <c r="O178" s="46">
        <v>0</v>
      </c>
      <c r="P178" s="46">
        <v>0</v>
      </c>
      <c r="Q178" t="s">
        <v>48</v>
      </c>
      <c r="R178" t="s">
        <v>48</v>
      </c>
      <c r="S178" t="s">
        <v>3454</v>
      </c>
      <c r="T178" t="s">
        <v>48</v>
      </c>
      <c r="U178" t="s">
        <v>3454</v>
      </c>
      <c r="V178" s="47">
        <v>0</v>
      </c>
      <c r="W178" t="s">
        <v>48</v>
      </c>
      <c r="X178" t="s">
        <v>48</v>
      </c>
      <c r="Y178" t="s">
        <v>48</v>
      </c>
      <c r="Z178">
        <v>0</v>
      </c>
      <c r="AA178" t="s">
        <v>48</v>
      </c>
      <c r="AB178" t="s">
        <v>48</v>
      </c>
      <c r="AC178" t="s">
        <v>63</v>
      </c>
      <c r="AD178" t="s">
        <v>93</v>
      </c>
      <c r="AE178" s="40" t="s">
        <v>2471</v>
      </c>
      <c r="AF178" t="s">
        <v>11061</v>
      </c>
      <c r="AG178" t="s">
        <v>48</v>
      </c>
      <c r="AH178" t="s">
        <v>48</v>
      </c>
      <c r="AI178" t="s">
        <v>48</v>
      </c>
      <c r="AJ178" t="s">
        <v>48</v>
      </c>
      <c r="AK178" t="s">
        <v>48</v>
      </c>
      <c r="AL178" t="s">
        <v>48</v>
      </c>
      <c r="AM178" t="s">
        <v>48</v>
      </c>
      <c r="AN178" t="s">
        <v>48</v>
      </c>
      <c r="AO178" t="s">
        <v>48</v>
      </c>
      <c r="AP178" s="46">
        <v>0</v>
      </c>
      <c r="AQ178" s="46">
        <v>0</v>
      </c>
      <c r="AR178" s="46">
        <v>0</v>
      </c>
      <c r="AS178" s="46">
        <v>0</v>
      </c>
      <c r="AT178" s="46">
        <v>0</v>
      </c>
      <c r="AU178" s="46">
        <v>0</v>
      </c>
      <c r="AV178" s="46">
        <v>0</v>
      </c>
      <c r="AW178" s="46">
        <v>0</v>
      </c>
      <c r="AX178" s="46">
        <v>0</v>
      </c>
      <c r="AY178" s="46">
        <v>0</v>
      </c>
      <c r="AZ178" s="46">
        <v>0</v>
      </c>
      <c r="BA178" s="46">
        <v>0</v>
      </c>
      <c r="BB178" s="46">
        <v>0</v>
      </c>
      <c r="BC178" s="46">
        <v>0</v>
      </c>
      <c r="BD178" s="46">
        <v>0</v>
      </c>
      <c r="BE178" s="46">
        <v>0</v>
      </c>
      <c r="BF178" s="46">
        <v>0</v>
      </c>
      <c r="BG178" s="46" t="s">
        <v>48</v>
      </c>
      <c r="BH178" s="46">
        <v>0</v>
      </c>
      <c r="BI178" s="46">
        <v>0</v>
      </c>
      <c r="BJ178" s="46">
        <v>0</v>
      </c>
      <c r="BK178" s="46">
        <v>0</v>
      </c>
      <c r="BL178" s="46">
        <v>0</v>
      </c>
      <c r="BM178" s="46">
        <v>0</v>
      </c>
      <c r="BN178" s="46">
        <v>0</v>
      </c>
    </row>
    <row r="179" spans="1:66" x14ac:dyDescent="0.35">
      <c r="A179" t="s">
        <v>8441</v>
      </c>
      <c r="B179" s="44" t="s">
        <v>48</v>
      </c>
      <c r="C179" t="s">
        <v>4462</v>
      </c>
      <c r="D179" t="s">
        <v>1338</v>
      </c>
      <c r="E179" t="s">
        <v>8443</v>
      </c>
      <c r="F179" t="s">
        <v>8442</v>
      </c>
      <c r="G179" t="s">
        <v>74</v>
      </c>
      <c r="H179">
        <v>0</v>
      </c>
      <c r="I179" s="60" t="str">
        <f>"2022-06-29"</f>
        <v>2022-06-29</v>
      </c>
      <c r="J179" t="s">
        <v>96</v>
      </c>
      <c r="K179" s="46">
        <v>1</v>
      </c>
      <c r="L179" t="s">
        <v>48</v>
      </c>
      <c r="M179" t="s">
        <v>48</v>
      </c>
      <c r="N179" s="46">
        <v>0</v>
      </c>
      <c r="O179" s="46">
        <v>0</v>
      </c>
      <c r="P179" s="46">
        <v>0</v>
      </c>
      <c r="Q179" t="s">
        <v>48</v>
      </c>
      <c r="R179" t="s">
        <v>48</v>
      </c>
      <c r="S179" t="s">
        <v>8444</v>
      </c>
      <c r="T179" t="s">
        <v>8445</v>
      </c>
      <c r="U179" t="s">
        <v>8444</v>
      </c>
      <c r="V179" s="47">
        <v>0</v>
      </c>
      <c r="W179" t="s">
        <v>48</v>
      </c>
      <c r="X179" t="s">
        <v>48</v>
      </c>
      <c r="Y179" t="s">
        <v>48</v>
      </c>
      <c r="Z179">
        <v>0</v>
      </c>
      <c r="AA179" t="s">
        <v>48</v>
      </c>
      <c r="AB179" t="s">
        <v>48</v>
      </c>
      <c r="AC179" t="s">
        <v>63</v>
      </c>
      <c r="AD179" t="s">
        <v>93</v>
      </c>
      <c r="AE179" t="s">
        <v>4532</v>
      </c>
      <c r="AF179" t="s">
        <v>48</v>
      </c>
      <c r="AG179" t="s">
        <v>48</v>
      </c>
      <c r="AH179" t="s">
        <v>48</v>
      </c>
      <c r="AI179">
        <v>41301</v>
      </c>
      <c r="AJ179">
        <v>1949</v>
      </c>
      <c r="AK179" t="s">
        <v>8532</v>
      </c>
      <c r="AL179" t="s">
        <v>8446</v>
      </c>
      <c r="AM179">
        <v>-0.75800000000000001</v>
      </c>
      <c r="AN179">
        <v>-0.314</v>
      </c>
      <c r="AO179">
        <v>-0.75800000000000001</v>
      </c>
      <c r="AP179" s="46">
        <v>0</v>
      </c>
      <c r="AQ179" s="46">
        <v>1</v>
      </c>
      <c r="AR179" s="46">
        <v>0</v>
      </c>
      <c r="AS179" s="46">
        <v>0</v>
      </c>
      <c r="AT179" s="46">
        <v>0</v>
      </c>
      <c r="AU179" s="46">
        <v>0</v>
      </c>
      <c r="AV179" s="46">
        <v>0</v>
      </c>
      <c r="AW179" s="46">
        <v>0</v>
      </c>
      <c r="AX179" s="46">
        <v>0</v>
      </c>
      <c r="AY179" s="46">
        <v>0</v>
      </c>
      <c r="AZ179" s="46">
        <v>0</v>
      </c>
      <c r="BA179" s="46">
        <v>0</v>
      </c>
      <c r="BB179" s="46">
        <v>0</v>
      </c>
      <c r="BC179" s="46">
        <v>0</v>
      </c>
      <c r="BD179" s="46">
        <v>0</v>
      </c>
      <c r="BE179" s="46">
        <v>0</v>
      </c>
      <c r="BF179" s="46">
        <v>0</v>
      </c>
      <c r="BG179" s="46" t="s">
        <v>48</v>
      </c>
      <c r="BH179" s="46">
        <v>0</v>
      </c>
      <c r="BI179" s="46">
        <v>0</v>
      </c>
      <c r="BJ179" s="46">
        <v>0</v>
      </c>
      <c r="BK179" s="46">
        <v>1</v>
      </c>
      <c r="BL179" s="46">
        <v>0</v>
      </c>
      <c r="BM179" s="46">
        <v>0</v>
      </c>
      <c r="BN179" s="46">
        <v>0</v>
      </c>
    </row>
    <row r="180" spans="1:66" x14ac:dyDescent="0.35">
      <c r="A180" t="s">
        <v>134</v>
      </c>
      <c r="B180" s="44" t="s">
        <v>48</v>
      </c>
      <c r="C180" t="s">
        <v>141</v>
      </c>
      <c r="D180" t="s">
        <v>113</v>
      </c>
      <c r="E180" t="s">
        <v>136</v>
      </c>
      <c r="F180" t="s">
        <v>135</v>
      </c>
      <c r="G180" t="s">
        <v>74</v>
      </c>
      <c r="H180">
        <v>0</v>
      </c>
      <c r="I180" s="60" t="s">
        <v>51</v>
      </c>
      <c r="J180" s="33" t="s">
        <v>96</v>
      </c>
      <c r="K180" s="46">
        <v>1</v>
      </c>
      <c r="L180" t="s">
        <v>48</v>
      </c>
      <c r="M180" t="s">
        <v>48</v>
      </c>
      <c r="N180" s="46">
        <v>0</v>
      </c>
      <c r="O180" s="46">
        <v>0</v>
      </c>
      <c r="P180" s="46">
        <v>0</v>
      </c>
      <c r="Q180" t="s">
        <v>48</v>
      </c>
      <c r="R180" t="s">
        <v>48</v>
      </c>
      <c r="S180" t="s">
        <v>137</v>
      </c>
      <c r="T180" t="s">
        <v>138</v>
      </c>
      <c r="U180" t="s">
        <v>137</v>
      </c>
      <c r="V180" s="47">
        <v>0</v>
      </c>
      <c r="W180" t="s">
        <v>48</v>
      </c>
      <c r="X180" t="s">
        <v>48</v>
      </c>
      <c r="Y180" t="s">
        <v>48</v>
      </c>
      <c r="Z180">
        <v>0</v>
      </c>
      <c r="AA180" t="s">
        <v>48</v>
      </c>
      <c r="AB180" t="s">
        <v>139</v>
      </c>
      <c r="AC180" t="s">
        <v>49</v>
      </c>
      <c r="AD180" t="s">
        <v>93</v>
      </c>
      <c r="AE180" t="s">
        <v>4532</v>
      </c>
      <c r="AF180" t="s">
        <v>48</v>
      </c>
      <c r="AG180" t="s">
        <v>140</v>
      </c>
      <c r="AH180" t="s">
        <v>93</v>
      </c>
      <c r="AI180">
        <v>14435</v>
      </c>
      <c r="AJ180">
        <v>1946</v>
      </c>
      <c r="AK180" t="s">
        <v>8530</v>
      </c>
      <c r="AL180" t="s">
        <v>8531</v>
      </c>
      <c r="AM180">
        <v>-0.51400000000000001</v>
      </c>
      <c r="AN180">
        <v>-0.45900000000000002</v>
      </c>
      <c r="AO180">
        <v>-0.51400000000000001</v>
      </c>
      <c r="AP180" s="46">
        <v>0</v>
      </c>
      <c r="AQ180" s="46">
        <v>1</v>
      </c>
      <c r="AR180" s="46">
        <v>0</v>
      </c>
      <c r="AS180" s="46">
        <v>0</v>
      </c>
      <c r="AT180" s="46">
        <v>0</v>
      </c>
      <c r="AU180" s="46">
        <v>0</v>
      </c>
      <c r="AV180" s="46">
        <v>0</v>
      </c>
      <c r="AW180" s="46">
        <v>0</v>
      </c>
      <c r="AX180" s="46">
        <v>0</v>
      </c>
      <c r="AY180" s="46">
        <v>0</v>
      </c>
      <c r="AZ180" s="46">
        <v>0</v>
      </c>
      <c r="BA180" s="46">
        <v>0</v>
      </c>
      <c r="BB180" s="46">
        <v>0</v>
      </c>
      <c r="BC180" s="46">
        <v>0</v>
      </c>
      <c r="BD180" s="46">
        <v>0</v>
      </c>
      <c r="BE180" s="46">
        <v>0</v>
      </c>
      <c r="BF180" s="46">
        <v>0</v>
      </c>
      <c r="BG180" s="46" t="s">
        <v>48</v>
      </c>
      <c r="BH180" s="46">
        <v>0</v>
      </c>
      <c r="BI180" s="46">
        <v>0</v>
      </c>
      <c r="BJ180" s="46">
        <v>0</v>
      </c>
      <c r="BK180" s="46">
        <v>1</v>
      </c>
      <c r="BL180" s="46">
        <v>0</v>
      </c>
      <c r="BM180" s="46">
        <v>0</v>
      </c>
      <c r="BN180" s="46">
        <v>0</v>
      </c>
    </row>
    <row r="181" spans="1:66" x14ac:dyDescent="0.35">
      <c r="A181" t="s">
        <v>3681</v>
      </c>
      <c r="B181" s="44" t="s">
        <v>48</v>
      </c>
      <c r="C181" t="s">
        <v>3685</v>
      </c>
      <c r="D181" t="s">
        <v>744</v>
      </c>
      <c r="E181" t="s">
        <v>3683</v>
      </c>
      <c r="F181" t="s">
        <v>3682</v>
      </c>
      <c r="G181" t="s">
        <v>74</v>
      </c>
      <c r="H181">
        <v>0</v>
      </c>
      <c r="I181" s="60" t="s">
        <v>51</v>
      </c>
      <c r="J181" s="33" t="s">
        <v>96</v>
      </c>
      <c r="K181" s="46">
        <v>1</v>
      </c>
      <c r="L181" t="s">
        <v>48</v>
      </c>
      <c r="M181" t="s">
        <v>48</v>
      </c>
      <c r="N181" s="46">
        <v>0</v>
      </c>
      <c r="O181" s="46">
        <v>0</v>
      </c>
      <c r="P181" s="46">
        <v>0</v>
      </c>
      <c r="Q181" t="s">
        <v>48</v>
      </c>
      <c r="R181" t="s">
        <v>48</v>
      </c>
      <c r="S181" t="s">
        <v>48</v>
      </c>
      <c r="T181" t="s">
        <v>3684</v>
      </c>
      <c r="U181" t="s">
        <v>48</v>
      </c>
      <c r="V181" s="47">
        <v>0</v>
      </c>
      <c r="W181" t="s">
        <v>48</v>
      </c>
      <c r="X181" t="s">
        <v>48</v>
      </c>
      <c r="Y181" t="s">
        <v>48</v>
      </c>
      <c r="Z181">
        <v>0</v>
      </c>
      <c r="AA181" t="s">
        <v>48</v>
      </c>
      <c r="AB181" t="s">
        <v>48</v>
      </c>
      <c r="AC181" t="s">
        <v>49</v>
      </c>
      <c r="AD181" t="s">
        <v>93</v>
      </c>
      <c r="AE181" t="s">
        <v>4532</v>
      </c>
      <c r="AF181" t="s">
        <v>48</v>
      </c>
      <c r="AG181" t="s">
        <v>48</v>
      </c>
      <c r="AH181" t="s">
        <v>48</v>
      </c>
      <c r="AI181">
        <v>15408</v>
      </c>
      <c r="AJ181">
        <v>1943</v>
      </c>
      <c r="AK181" t="s">
        <v>8533</v>
      </c>
      <c r="AL181" t="s">
        <v>8534</v>
      </c>
      <c r="AM181">
        <v>-0.31900000000000001</v>
      </c>
      <c r="AN181">
        <v>-0.224</v>
      </c>
      <c r="AO181">
        <v>-0.31900000000000001</v>
      </c>
      <c r="AP181" s="46">
        <v>0</v>
      </c>
      <c r="AQ181" s="46">
        <v>0</v>
      </c>
      <c r="AR181" s="46">
        <v>0</v>
      </c>
      <c r="AS181" s="46">
        <v>0</v>
      </c>
      <c r="AT181" s="46">
        <v>0</v>
      </c>
      <c r="AU181" s="46">
        <v>0</v>
      </c>
      <c r="AV181" s="46">
        <v>0</v>
      </c>
      <c r="AW181" s="46">
        <v>0</v>
      </c>
      <c r="AX181" s="46">
        <v>0</v>
      </c>
      <c r="AY181" s="46">
        <v>0</v>
      </c>
      <c r="AZ181" s="46">
        <v>0</v>
      </c>
      <c r="BA181" s="46">
        <v>0</v>
      </c>
      <c r="BB181" s="46">
        <v>0</v>
      </c>
      <c r="BC181" s="46">
        <v>0</v>
      </c>
      <c r="BD181" s="46">
        <v>0</v>
      </c>
      <c r="BE181" s="46">
        <v>0</v>
      </c>
      <c r="BF181" s="46">
        <v>0</v>
      </c>
      <c r="BG181" s="46" t="s">
        <v>48</v>
      </c>
      <c r="BH181" s="46">
        <v>0</v>
      </c>
      <c r="BI181" s="46">
        <v>0</v>
      </c>
      <c r="BJ181" s="46">
        <v>0</v>
      </c>
      <c r="BK181" s="46">
        <v>0</v>
      </c>
      <c r="BL181" s="46">
        <v>0</v>
      </c>
      <c r="BM181" s="46">
        <v>0</v>
      </c>
      <c r="BN181" s="46">
        <v>0</v>
      </c>
    </row>
    <row r="182" spans="1:66" x14ac:dyDescent="0.35">
      <c r="A182" t="s">
        <v>10218</v>
      </c>
      <c r="B182" s="44" t="s">
        <v>48</v>
      </c>
      <c r="C182" t="s">
        <v>2437</v>
      </c>
      <c r="D182" t="s">
        <v>1783</v>
      </c>
      <c r="E182" t="s">
        <v>10219</v>
      </c>
      <c r="F182" t="s">
        <v>3687</v>
      </c>
      <c r="G182" t="s">
        <v>47</v>
      </c>
      <c r="H182">
        <v>0</v>
      </c>
      <c r="I182" s="61">
        <v>44783</v>
      </c>
      <c r="J182" s="33" t="s">
        <v>96</v>
      </c>
      <c r="K182" s="46">
        <v>0</v>
      </c>
      <c r="L182">
        <v>8.6999999999999993</v>
      </c>
      <c r="M182" t="s">
        <v>48</v>
      </c>
      <c r="N182" s="46">
        <v>0</v>
      </c>
      <c r="O182" s="46">
        <v>0</v>
      </c>
      <c r="P182" s="46">
        <v>0</v>
      </c>
      <c r="Q182" t="s">
        <v>48</v>
      </c>
      <c r="R182" t="s">
        <v>48</v>
      </c>
      <c r="S182" t="s">
        <v>48</v>
      </c>
      <c r="T182" t="s">
        <v>48</v>
      </c>
      <c r="U182" t="s">
        <v>48</v>
      </c>
      <c r="V182" s="47">
        <v>0</v>
      </c>
      <c r="W182" t="s">
        <v>48</v>
      </c>
      <c r="X182" t="s">
        <v>48</v>
      </c>
      <c r="Y182" t="s">
        <v>48</v>
      </c>
      <c r="Z182" t="s">
        <v>48</v>
      </c>
      <c r="AA182" t="s">
        <v>48</v>
      </c>
      <c r="AB182" t="s">
        <v>48</v>
      </c>
      <c r="AC182" t="s">
        <v>49</v>
      </c>
      <c r="AD182" t="s">
        <v>93</v>
      </c>
      <c r="AE182" t="s">
        <v>4532</v>
      </c>
      <c r="AF182" t="s">
        <v>48</v>
      </c>
      <c r="AG182" t="s">
        <v>48</v>
      </c>
      <c r="AH182" t="s">
        <v>48</v>
      </c>
      <c r="AI182" t="s">
        <v>48</v>
      </c>
      <c r="AJ182" t="s">
        <v>48</v>
      </c>
      <c r="AK182" t="s">
        <v>48</v>
      </c>
      <c r="AL182" t="s">
        <v>48</v>
      </c>
      <c r="AM182" t="s">
        <v>48</v>
      </c>
      <c r="AN182" t="s">
        <v>48</v>
      </c>
      <c r="AO182" t="s">
        <v>48</v>
      </c>
      <c r="AP182" s="46">
        <v>0</v>
      </c>
      <c r="AQ182" s="46">
        <v>0</v>
      </c>
      <c r="AR182" s="46">
        <v>0</v>
      </c>
      <c r="AS182" s="46">
        <v>0</v>
      </c>
      <c r="AT182" s="46">
        <v>0</v>
      </c>
      <c r="AU182" s="46">
        <v>0</v>
      </c>
      <c r="AV182" s="46">
        <v>0</v>
      </c>
      <c r="AW182" s="46">
        <v>0</v>
      </c>
      <c r="AX182" s="46">
        <v>0</v>
      </c>
      <c r="AY182" s="46">
        <v>0</v>
      </c>
      <c r="AZ182" s="46">
        <v>0</v>
      </c>
      <c r="BA182" s="46">
        <v>0</v>
      </c>
      <c r="BB182" s="46">
        <v>0</v>
      </c>
      <c r="BC182" s="46">
        <v>0</v>
      </c>
      <c r="BD182" s="46">
        <v>0</v>
      </c>
      <c r="BE182" s="46">
        <v>0</v>
      </c>
      <c r="BF182" s="46">
        <v>0</v>
      </c>
      <c r="BG182" s="46" t="s">
        <v>48</v>
      </c>
      <c r="BH182" s="46">
        <v>0</v>
      </c>
      <c r="BI182" s="46">
        <v>0</v>
      </c>
      <c r="BJ182" s="46">
        <v>0</v>
      </c>
      <c r="BK182" s="46">
        <v>0</v>
      </c>
      <c r="BL182" s="46">
        <v>0</v>
      </c>
      <c r="BM182" s="46">
        <v>0</v>
      </c>
      <c r="BN182" s="46">
        <v>0</v>
      </c>
    </row>
    <row r="183" spans="1:66" x14ac:dyDescent="0.35">
      <c r="A183" t="s">
        <v>3701</v>
      </c>
      <c r="B183" s="44" t="s">
        <v>48</v>
      </c>
      <c r="C183" t="s">
        <v>3704</v>
      </c>
      <c r="D183" t="s">
        <v>603</v>
      </c>
      <c r="E183" t="s">
        <v>3702</v>
      </c>
      <c r="F183" t="s">
        <v>3687</v>
      </c>
      <c r="G183" t="s">
        <v>47</v>
      </c>
      <c r="H183">
        <v>0</v>
      </c>
      <c r="I183" s="60" t="s">
        <v>177</v>
      </c>
      <c r="J183" s="33" t="s">
        <v>96</v>
      </c>
      <c r="K183" s="46">
        <v>0</v>
      </c>
      <c r="L183">
        <v>8.3000000000000007</v>
      </c>
      <c r="M183" t="s">
        <v>48</v>
      </c>
      <c r="N183" s="46">
        <v>0</v>
      </c>
      <c r="O183" s="46">
        <v>0</v>
      </c>
      <c r="P183" s="46">
        <v>0</v>
      </c>
      <c r="Q183" t="s">
        <v>48</v>
      </c>
      <c r="R183" t="s">
        <v>48</v>
      </c>
      <c r="S183" t="s">
        <v>3703</v>
      </c>
      <c r="T183" t="s">
        <v>48</v>
      </c>
      <c r="U183" t="s">
        <v>3703</v>
      </c>
      <c r="V183" s="47">
        <v>1</v>
      </c>
      <c r="W183" t="s">
        <v>48</v>
      </c>
      <c r="X183" t="s">
        <v>48</v>
      </c>
      <c r="Y183" t="s">
        <v>48</v>
      </c>
      <c r="Z183">
        <v>0</v>
      </c>
      <c r="AA183" t="s">
        <v>48</v>
      </c>
      <c r="AB183" t="s">
        <v>48</v>
      </c>
      <c r="AC183" t="s">
        <v>49</v>
      </c>
      <c r="AD183" t="s">
        <v>93</v>
      </c>
      <c r="AE183" t="s">
        <v>4532</v>
      </c>
      <c r="AF183" t="s">
        <v>48</v>
      </c>
      <c r="AG183" t="s">
        <v>633</v>
      </c>
      <c r="AH183" t="s">
        <v>48</v>
      </c>
      <c r="AI183" t="s">
        <v>48</v>
      </c>
      <c r="AJ183" t="s">
        <v>48</v>
      </c>
      <c r="AK183" t="s">
        <v>48</v>
      </c>
      <c r="AL183" t="s">
        <v>48</v>
      </c>
      <c r="AM183" t="s">
        <v>48</v>
      </c>
      <c r="AN183" t="s">
        <v>48</v>
      </c>
      <c r="AO183" t="s">
        <v>48</v>
      </c>
      <c r="AP183" s="46">
        <v>0</v>
      </c>
      <c r="AQ183" s="46">
        <v>0</v>
      </c>
      <c r="AR183" s="46">
        <v>0</v>
      </c>
      <c r="AS183" s="46">
        <v>0</v>
      </c>
      <c r="AT183" s="46">
        <v>0</v>
      </c>
      <c r="AU183" s="46">
        <v>0</v>
      </c>
      <c r="AV183" s="46">
        <v>0</v>
      </c>
      <c r="AW183" s="46">
        <v>0</v>
      </c>
      <c r="AX183" s="46">
        <v>0</v>
      </c>
      <c r="AY183" s="46">
        <v>0</v>
      </c>
      <c r="AZ183" s="46">
        <v>0</v>
      </c>
      <c r="BA183" s="46">
        <v>0</v>
      </c>
      <c r="BB183" s="46">
        <v>0</v>
      </c>
      <c r="BC183" s="46">
        <v>0</v>
      </c>
      <c r="BD183" s="46">
        <v>0</v>
      </c>
      <c r="BE183" s="46">
        <v>0</v>
      </c>
      <c r="BF183" s="46">
        <v>0</v>
      </c>
      <c r="BG183" s="46" t="s">
        <v>48</v>
      </c>
      <c r="BH183" s="46">
        <v>0</v>
      </c>
      <c r="BI183" s="46">
        <v>0</v>
      </c>
      <c r="BJ183" s="46">
        <v>0</v>
      </c>
      <c r="BK183" s="46">
        <v>0</v>
      </c>
      <c r="BL183" s="46">
        <v>0</v>
      </c>
      <c r="BM183" s="46">
        <v>0</v>
      </c>
      <c r="BN183" s="46">
        <v>0</v>
      </c>
    </row>
    <row r="184" spans="1:66" x14ac:dyDescent="0.35">
      <c r="A184" t="s">
        <v>10212</v>
      </c>
      <c r="B184" s="44" t="s">
        <v>48</v>
      </c>
      <c r="C184" t="s">
        <v>11997</v>
      </c>
      <c r="D184" t="s">
        <v>221</v>
      </c>
      <c r="E184" t="s">
        <v>10213</v>
      </c>
      <c r="F184" t="s">
        <v>3687</v>
      </c>
      <c r="G184" t="s">
        <v>47</v>
      </c>
      <c r="H184">
        <v>0</v>
      </c>
      <c r="I184" s="61">
        <v>44783</v>
      </c>
      <c r="J184" s="33" t="s">
        <v>96</v>
      </c>
      <c r="K184" s="46">
        <v>0</v>
      </c>
      <c r="L184">
        <v>13.6</v>
      </c>
      <c r="M184" t="s">
        <v>48</v>
      </c>
      <c r="N184" s="46">
        <v>0</v>
      </c>
      <c r="O184" s="46">
        <v>0</v>
      </c>
      <c r="P184" s="46">
        <v>0</v>
      </c>
      <c r="Q184" t="s">
        <v>48</v>
      </c>
      <c r="R184" t="s">
        <v>48</v>
      </c>
      <c r="S184" t="s">
        <v>10214</v>
      </c>
      <c r="T184" t="s">
        <v>48</v>
      </c>
      <c r="U184" t="s">
        <v>10214</v>
      </c>
      <c r="V184" s="47">
        <v>0</v>
      </c>
      <c r="W184" t="s">
        <v>48</v>
      </c>
      <c r="X184" t="s">
        <v>48</v>
      </c>
      <c r="Y184" t="s">
        <v>48</v>
      </c>
      <c r="Z184" t="s">
        <v>48</v>
      </c>
      <c r="AA184" t="s">
        <v>48</v>
      </c>
      <c r="AB184" t="s">
        <v>48</v>
      </c>
      <c r="AC184" t="s">
        <v>49</v>
      </c>
      <c r="AD184" t="s">
        <v>93</v>
      </c>
      <c r="AE184" t="s">
        <v>4532</v>
      </c>
      <c r="AF184" t="s">
        <v>48</v>
      </c>
      <c r="AG184" t="s">
        <v>48</v>
      </c>
      <c r="AH184" t="s">
        <v>48</v>
      </c>
      <c r="AI184" t="s">
        <v>48</v>
      </c>
      <c r="AJ184" t="s">
        <v>48</v>
      </c>
      <c r="AK184" t="s">
        <v>48</v>
      </c>
      <c r="AL184" t="s">
        <v>48</v>
      </c>
      <c r="AM184" t="s">
        <v>48</v>
      </c>
      <c r="AN184" t="s">
        <v>48</v>
      </c>
      <c r="AO184" t="s">
        <v>48</v>
      </c>
      <c r="AP184" s="46">
        <v>0</v>
      </c>
      <c r="AQ184" s="46">
        <v>0</v>
      </c>
      <c r="AR184" s="46">
        <v>0</v>
      </c>
      <c r="AS184" s="46">
        <v>0</v>
      </c>
      <c r="AT184" s="46">
        <v>0</v>
      </c>
      <c r="AU184" s="46">
        <v>0</v>
      </c>
      <c r="AV184" s="46">
        <v>0</v>
      </c>
      <c r="AW184" s="46">
        <v>0</v>
      </c>
      <c r="AX184" s="46">
        <v>0</v>
      </c>
      <c r="AY184" s="46">
        <v>0</v>
      </c>
      <c r="AZ184" s="46">
        <v>0</v>
      </c>
      <c r="BA184" s="46">
        <v>0</v>
      </c>
      <c r="BB184" s="46">
        <v>0</v>
      </c>
      <c r="BC184" s="46">
        <v>0</v>
      </c>
      <c r="BD184" s="46">
        <v>0</v>
      </c>
      <c r="BE184" s="46">
        <v>0</v>
      </c>
      <c r="BF184" s="46">
        <v>0</v>
      </c>
      <c r="BG184" s="46" t="s">
        <v>48</v>
      </c>
      <c r="BH184" s="46">
        <v>0</v>
      </c>
      <c r="BI184" s="46">
        <v>0</v>
      </c>
      <c r="BJ184" s="46">
        <v>0</v>
      </c>
      <c r="BK184" s="46">
        <v>0</v>
      </c>
      <c r="BL184" s="46">
        <v>0</v>
      </c>
      <c r="BM184" s="46">
        <v>0</v>
      </c>
      <c r="BN184" s="46">
        <v>0</v>
      </c>
    </row>
    <row r="185" spans="1:66" x14ac:dyDescent="0.35">
      <c r="A185" t="s">
        <v>3695</v>
      </c>
      <c r="B185" s="44" t="s">
        <v>48</v>
      </c>
      <c r="C185" t="s">
        <v>3697</v>
      </c>
      <c r="D185" t="s">
        <v>1867</v>
      </c>
      <c r="E185" t="s">
        <v>3696</v>
      </c>
      <c r="F185" t="s">
        <v>3687</v>
      </c>
      <c r="G185" t="s">
        <v>47</v>
      </c>
      <c r="H185">
        <v>0</v>
      </c>
      <c r="I185" s="60" t="s">
        <v>11552</v>
      </c>
      <c r="J185" s="33" t="s">
        <v>96</v>
      </c>
      <c r="K185" s="46">
        <v>0</v>
      </c>
      <c r="L185">
        <v>6</v>
      </c>
      <c r="M185" t="s">
        <v>48</v>
      </c>
      <c r="N185" s="46">
        <v>0</v>
      </c>
      <c r="O185" s="46">
        <v>0</v>
      </c>
      <c r="P185" s="46">
        <v>0</v>
      </c>
      <c r="Q185" t="s">
        <v>48</v>
      </c>
      <c r="R185" t="s">
        <v>48</v>
      </c>
      <c r="S185" s="41" t="str">
        <f>"@Johnheretohelp"</f>
        <v>@Johnheretohelp</v>
      </c>
      <c r="T185" t="s">
        <v>48</v>
      </c>
      <c r="U185" s="41" t="s">
        <v>9996</v>
      </c>
      <c r="V185" s="47">
        <v>1</v>
      </c>
      <c r="W185" t="s">
        <v>11319</v>
      </c>
      <c r="X185" t="s">
        <v>48</v>
      </c>
      <c r="Y185" t="s">
        <v>48</v>
      </c>
      <c r="Z185">
        <v>0</v>
      </c>
      <c r="AA185" s="41" t="s">
        <v>9994</v>
      </c>
      <c r="AB185" t="s">
        <v>48</v>
      </c>
      <c r="AC185" t="s">
        <v>49</v>
      </c>
      <c r="AD185" t="s">
        <v>93</v>
      </c>
      <c r="AE185" t="s">
        <v>4532</v>
      </c>
      <c r="AF185" t="s">
        <v>48</v>
      </c>
      <c r="AG185" t="s">
        <v>48</v>
      </c>
      <c r="AH185" t="s">
        <v>48</v>
      </c>
      <c r="AI185" t="s">
        <v>48</v>
      </c>
      <c r="AJ185" t="s">
        <v>48</v>
      </c>
      <c r="AK185" t="s">
        <v>48</v>
      </c>
      <c r="AL185" t="s">
        <v>48</v>
      </c>
      <c r="AM185" t="s">
        <v>48</v>
      </c>
      <c r="AN185" t="s">
        <v>48</v>
      </c>
      <c r="AO185" t="s">
        <v>48</v>
      </c>
      <c r="AP185" s="46">
        <v>0</v>
      </c>
      <c r="AQ185" s="46">
        <v>0</v>
      </c>
      <c r="AR185" s="46">
        <v>0</v>
      </c>
      <c r="AS185" s="46">
        <v>0</v>
      </c>
      <c r="AT185" s="46">
        <v>0</v>
      </c>
      <c r="AU185" s="46">
        <v>0</v>
      </c>
      <c r="AV185" s="46">
        <v>0</v>
      </c>
      <c r="AW185" s="46">
        <v>0</v>
      </c>
      <c r="AX185" s="46">
        <v>0</v>
      </c>
      <c r="AY185" s="46">
        <v>0</v>
      </c>
      <c r="AZ185" s="46">
        <v>0</v>
      </c>
      <c r="BA185" s="46">
        <v>0</v>
      </c>
      <c r="BB185" s="46">
        <v>0</v>
      </c>
      <c r="BC185" s="46">
        <v>0</v>
      </c>
      <c r="BD185" s="46">
        <v>0</v>
      </c>
      <c r="BE185" s="46">
        <v>0</v>
      </c>
      <c r="BF185" s="46">
        <v>0</v>
      </c>
      <c r="BG185" s="46" t="s">
        <v>48</v>
      </c>
      <c r="BH185" s="46">
        <v>0</v>
      </c>
      <c r="BI185" s="46">
        <v>0</v>
      </c>
      <c r="BJ185" s="46">
        <v>0</v>
      </c>
      <c r="BK185" s="46">
        <v>0</v>
      </c>
      <c r="BL185" s="46">
        <v>0</v>
      </c>
      <c r="BM185" s="46">
        <v>0</v>
      </c>
      <c r="BN185" s="46">
        <v>0</v>
      </c>
    </row>
    <row r="186" spans="1:66" x14ac:dyDescent="0.35">
      <c r="A186" t="s">
        <v>10215</v>
      </c>
      <c r="B186" s="44" t="s">
        <v>48</v>
      </c>
      <c r="C186" t="s">
        <v>53</v>
      </c>
      <c r="D186" t="s">
        <v>1505</v>
      </c>
      <c r="E186" t="s">
        <v>10216</v>
      </c>
      <c r="F186" t="s">
        <v>3687</v>
      </c>
      <c r="G186" t="s">
        <v>47</v>
      </c>
      <c r="H186">
        <v>0</v>
      </c>
      <c r="I186" s="61">
        <v>44783</v>
      </c>
      <c r="J186" s="33" t="s">
        <v>96</v>
      </c>
      <c r="K186" s="46">
        <v>0</v>
      </c>
      <c r="L186">
        <v>10.8</v>
      </c>
      <c r="M186" t="s">
        <v>48</v>
      </c>
      <c r="N186" s="46">
        <v>0</v>
      </c>
      <c r="O186" s="46">
        <v>0</v>
      </c>
      <c r="P186" s="46">
        <v>0</v>
      </c>
      <c r="Q186" t="s">
        <v>48</v>
      </c>
      <c r="R186" t="s">
        <v>48</v>
      </c>
      <c r="S186" t="s">
        <v>10217</v>
      </c>
      <c r="T186" t="s">
        <v>48</v>
      </c>
      <c r="U186" t="s">
        <v>10217</v>
      </c>
      <c r="V186" s="47">
        <v>1</v>
      </c>
      <c r="W186" t="s">
        <v>48</v>
      </c>
      <c r="X186" t="s">
        <v>48</v>
      </c>
      <c r="Y186" t="s">
        <v>48</v>
      </c>
      <c r="Z186" t="s">
        <v>48</v>
      </c>
      <c r="AA186" t="s">
        <v>48</v>
      </c>
      <c r="AB186" t="s">
        <v>48</v>
      </c>
      <c r="AC186" t="s">
        <v>49</v>
      </c>
      <c r="AD186" t="s">
        <v>93</v>
      </c>
      <c r="AE186" t="s">
        <v>977</v>
      </c>
      <c r="AF186" t="s">
        <v>11057</v>
      </c>
      <c r="AG186" t="s">
        <v>48</v>
      </c>
      <c r="AH186" t="s">
        <v>48</v>
      </c>
      <c r="AI186" t="s">
        <v>48</v>
      </c>
      <c r="AJ186" t="s">
        <v>48</v>
      </c>
      <c r="AK186" t="s">
        <v>48</v>
      </c>
      <c r="AL186" t="s">
        <v>48</v>
      </c>
      <c r="AM186" t="s">
        <v>48</v>
      </c>
      <c r="AN186" t="s">
        <v>48</v>
      </c>
      <c r="AO186" t="s">
        <v>48</v>
      </c>
      <c r="AP186" s="46">
        <v>0</v>
      </c>
      <c r="AQ186" s="46">
        <v>0</v>
      </c>
      <c r="AR186" s="46">
        <v>0</v>
      </c>
      <c r="AS186" s="46">
        <v>0</v>
      </c>
      <c r="AT186" s="46">
        <v>0</v>
      </c>
      <c r="AU186" s="46">
        <v>0</v>
      </c>
      <c r="AV186" s="46">
        <v>0</v>
      </c>
      <c r="AW186" s="46">
        <v>0</v>
      </c>
      <c r="AX186" s="46">
        <v>0</v>
      </c>
      <c r="AY186" s="46">
        <v>0</v>
      </c>
      <c r="AZ186" s="46">
        <v>0</v>
      </c>
      <c r="BA186" s="46">
        <v>0</v>
      </c>
      <c r="BB186" s="46">
        <v>0</v>
      </c>
      <c r="BC186" s="46">
        <v>0</v>
      </c>
      <c r="BD186" s="46">
        <v>0</v>
      </c>
      <c r="BE186" s="46">
        <v>0</v>
      </c>
      <c r="BF186" s="46">
        <v>0</v>
      </c>
      <c r="BG186" s="46" t="s">
        <v>48</v>
      </c>
      <c r="BH186" s="46">
        <v>0</v>
      </c>
      <c r="BI186" s="46">
        <v>0</v>
      </c>
      <c r="BJ186" s="46">
        <v>0</v>
      </c>
      <c r="BK186" s="46">
        <v>0</v>
      </c>
      <c r="BL186" s="46">
        <v>0</v>
      </c>
      <c r="BM186" s="46">
        <v>0</v>
      </c>
      <c r="BN186" s="46">
        <v>0</v>
      </c>
    </row>
    <row r="187" spans="1:66" x14ac:dyDescent="0.35">
      <c r="A187" t="s">
        <v>10209</v>
      </c>
      <c r="B187" s="44" t="s">
        <v>48</v>
      </c>
      <c r="C187" t="s">
        <v>4299</v>
      </c>
      <c r="D187" t="s">
        <v>11995</v>
      </c>
      <c r="E187" t="s">
        <v>10210</v>
      </c>
      <c r="F187" t="s">
        <v>3687</v>
      </c>
      <c r="G187" t="s">
        <v>47</v>
      </c>
      <c r="H187">
        <v>0</v>
      </c>
      <c r="I187" s="61">
        <v>44783</v>
      </c>
      <c r="J187" s="33" t="s">
        <v>96</v>
      </c>
      <c r="K187" s="46">
        <v>0</v>
      </c>
      <c r="L187">
        <v>14.6</v>
      </c>
      <c r="M187" t="s">
        <v>48</v>
      </c>
      <c r="N187" s="46">
        <v>0</v>
      </c>
      <c r="O187" s="46">
        <v>0</v>
      </c>
      <c r="P187" s="46">
        <v>0</v>
      </c>
      <c r="Q187" t="s">
        <v>48</v>
      </c>
      <c r="R187" t="s">
        <v>48</v>
      </c>
      <c r="S187" t="s">
        <v>10211</v>
      </c>
      <c r="T187" t="s">
        <v>48</v>
      </c>
      <c r="U187" t="s">
        <v>10211</v>
      </c>
      <c r="V187" s="47">
        <v>0</v>
      </c>
      <c r="W187" t="s">
        <v>48</v>
      </c>
      <c r="X187" t="s">
        <v>48</v>
      </c>
      <c r="Y187" t="s">
        <v>48</v>
      </c>
      <c r="Z187" t="s">
        <v>48</v>
      </c>
      <c r="AA187" t="s">
        <v>48</v>
      </c>
      <c r="AB187" t="s">
        <v>48</v>
      </c>
      <c r="AC187" t="s">
        <v>63</v>
      </c>
      <c r="AD187" t="s">
        <v>93</v>
      </c>
      <c r="AE187" t="s">
        <v>4532</v>
      </c>
      <c r="AF187" t="s">
        <v>48</v>
      </c>
      <c r="AG187" t="s">
        <v>48</v>
      </c>
      <c r="AH187" t="s">
        <v>48</v>
      </c>
      <c r="AI187" t="s">
        <v>48</v>
      </c>
      <c r="AJ187" t="s">
        <v>48</v>
      </c>
      <c r="AK187" t="s">
        <v>48</v>
      </c>
      <c r="AL187" t="s">
        <v>48</v>
      </c>
      <c r="AM187" t="s">
        <v>48</v>
      </c>
      <c r="AN187" t="s">
        <v>48</v>
      </c>
      <c r="AO187" t="s">
        <v>48</v>
      </c>
      <c r="AP187" s="46">
        <v>0</v>
      </c>
      <c r="AQ187" s="46">
        <v>0</v>
      </c>
      <c r="AR187" s="46">
        <v>0</v>
      </c>
      <c r="AS187" s="46">
        <v>0</v>
      </c>
      <c r="AT187" s="46">
        <v>0</v>
      </c>
      <c r="AU187" s="46">
        <v>0</v>
      </c>
      <c r="AV187" s="46">
        <v>0</v>
      </c>
      <c r="AW187" s="46">
        <v>0</v>
      </c>
      <c r="AX187" s="46">
        <v>0</v>
      </c>
      <c r="AY187" s="46">
        <v>0</v>
      </c>
      <c r="AZ187" s="46">
        <v>0</v>
      </c>
      <c r="BA187" s="46">
        <v>0</v>
      </c>
      <c r="BB187" s="46">
        <v>0</v>
      </c>
      <c r="BC187" s="46">
        <v>0</v>
      </c>
      <c r="BD187" s="46">
        <v>0</v>
      </c>
      <c r="BE187" s="46">
        <v>0</v>
      </c>
      <c r="BF187" s="46">
        <v>0</v>
      </c>
      <c r="BG187" s="46" t="s">
        <v>48</v>
      </c>
      <c r="BH187" s="46">
        <v>0</v>
      </c>
      <c r="BI187" s="46">
        <v>0</v>
      </c>
      <c r="BJ187" s="46">
        <v>0</v>
      </c>
      <c r="BK187" s="46">
        <v>0</v>
      </c>
      <c r="BL187" s="46">
        <v>0</v>
      </c>
      <c r="BM187" s="46">
        <v>0</v>
      </c>
      <c r="BN187" s="46">
        <v>0</v>
      </c>
    </row>
    <row r="188" spans="1:66" x14ac:dyDescent="0.35">
      <c r="A188" t="s">
        <v>3698</v>
      </c>
      <c r="B188" s="44" t="s">
        <v>48</v>
      </c>
      <c r="C188" t="s">
        <v>80</v>
      </c>
      <c r="D188" t="s">
        <v>1469</v>
      </c>
      <c r="E188" t="s">
        <v>3699</v>
      </c>
      <c r="F188" t="s">
        <v>3687</v>
      </c>
      <c r="G188" t="s">
        <v>74</v>
      </c>
      <c r="H188">
        <v>0</v>
      </c>
      <c r="I188" s="60" t="s">
        <v>177</v>
      </c>
      <c r="J188" s="33" t="s">
        <v>96</v>
      </c>
      <c r="K188" s="46">
        <v>0</v>
      </c>
      <c r="L188">
        <v>19.7</v>
      </c>
      <c r="M188" t="s">
        <v>48</v>
      </c>
      <c r="N188" s="46">
        <v>0</v>
      </c>
      <c r="O188" s="46">
        <v>0</v>
      </c>
      <c r="P188" s="46">
        <v>0</v>
      </c>
      <c r="Q188" t="s">
        <v>48</v>
      </c>
      <c r="R188" t="s">
        <v>48</v>
      </c>
      <c r="S188" t="s">
        <v>3700</v>
      </c>
      <c r="T188" t="s">
        <v>48</v>
      </c>
      <c r="U188" t="s">
        <v>3700</v>
      </c>
      <c r="V188" s="47">
        <v>0</v>
      </c>
      <c r="W188" t="s">
        <v>48</v>
      </c>
      <c r="X188" t="s">
        <v>48</v>
      </c>
      <c r="Y188" t="s">
        <v>48</v>
      </c>
      <c r="Z188">
        <v>0</v>
      </c>
      <c r="AA188" t="s">
        <v>48</v>
      </c>
      <c r="AB188" t="s">
        <v>48</v>
      </c>
      <c r="AC188" t="s">
        <v>63</v>
      </c>
      <c r="AD188" t="s">
        <v>93</v>
      </c>
      <c r="AE188" s="40" t="s">
        <v>2471</v>
      </c>
      <c r="AF188" t="s">
        <v>11061</v>
      </c>
      <c r="AG188" t="s">
        <v>48</v>
      </c>
      <c r="AH188" t="s">
        <v>48</v>
      </c>
      <c r="AI188" t="s">
        <v>48</v>
      </c>
      <c r="AJ188" t="s">
        <v>48</v>
      </c>
      <c r="AK188" t="s">
        <v>48</v>
      </c>
      <c r="AL188" t="s">
        <v>48</v>
      </c>
      <c r="AM188" t="s">
        <v>48</v>
      </c>
      <c r="AN188" t="s">
        <v>48</v>
      </c>
      <c r="AO188" t="s">
        <v>48</v>
      </c>
      <c r="AP188" s="46">
        <v>0</v>
      </c>
      <c r="AQ188" s="46">
        <v>0</v>
      </c>
      <c r="AR188" s="46">
        <v>0</v>
      </c>
      <c r="AS188" s="46">
        <v>0</v>
      </c>
      <c r="AT188" s="46">
        <v>0</v>
      </c>
      <c r="AU188" s="46">
        <v>0</v>
      </c>
      <c r="AV188" s="46">
        <v>0</v>
      </c>
      <c r="AW188" s="46">
        <v>0</v>
      </c>
      <c r="AX188" s="46">
        <v>0</v>
      </c>
      <c r="AY188" s="46">
        <v>0</v>
      </c>
      <c r="AZ188" s="46">
        <v>0</v>
      </c>
      <c r="BA188" s="46">
        <v>0</v>
      </c>
      <c r="BB188" s="46">
        <v>0</v>
      </c>
      <c r="BC188" s="46">
        <v>0</v>
      </c>
      <c r="BD188" s="46">
        <v>0</v>
      </c>
      <c r="BE188" s="46">
        <v>0</v>
      </c>
      <c r="BF188" s="46">
        <v>0</v>
      </c>
      <c r="BG188" s="46" t="s">
        <v>48</v>
      </c>
      <c r="BH188" s="46">
        <v>0</v>
      </c>
      <c r="BI188" s="46">
        <v>0</v>
      </c>
      <c r="BJ188" s="46">
        <v>0</v>
      </c>
      <c r="BK188" s="46">
        <v>0</v>
      </c>
      <c r="BL188" s="46">
        <v>0</v>
      </c>
      <c r="BM188" s="46">
        <v>0</v>
      </c>
      <c r="BN188" s="46">
        <v>0</v>
      </c>
    </row>
    <row r="189" spans="1:66" x14ac:dyDescent="0.35">
      <c r="A189" t="s">
        <v>3686</v>
      </c>
      <c r="B189" s="44" t="s">
        <v>48</v>
      </c>
      <c r="C189" t="s">
        <v>3691</v>
      </c>
      <c r="D189" t="s">
        <v>3690</v>
      </c>
      <c r="E189" t="s">
        <v>3688</v>
      </c>
      <c r="F189" t="s">
        <v>3687</v>
      </c>
      <c r="G189" t="s">
        <v>47</v>
      </c>
      <c r="H189">
        <v>0</v>
      </c>
      <c r="I189" s="60" t="s">
        <v>125</v>
      </c>
      <c r="J189" s="33" t="s">
        <v>96</v>
      </c>
      <c r="K189" s="46">
        <v>0</v>
      </c>
      <c r="L189">
        <v>4</v>
      </c>
      <c r="M189" t="s">
        <v>48</v>
      </c>
      <c r="N189" s="46">
        <v>0</v>
      </c>
      <c r="O189" s="46">
        <v>0</v>
      </c>
      <c r="P189" s="46">
        <v>0</v>
      </c>
      <c r="Q189" t="s">
        <v>48</v>
      </c>
      <c r="R189" t="s">
        <v>48</v>
      </c>
      <c r="S189" t="s">
        <v>3689</v>
      </c>
      <c r="T189" t="s">
        <v>48</v>
      </c>
      <c r="U189" t="s">
        <v>3689</v>
      </c>
      <c r="V189" s="47">
        <v>0</v>
      </c>
      <c r="W189" t="s">
        <v>48</v>
      </c>
      <c r="X189" t="s">
        <v>48</v>
      </c>
      <c r="Y189" t="s">
        <v>48</v>
      </c>
      <c r="Z189">
        <v>0</v>
      </c>
      <c r="AA189" t="s">
        <v>48</v>
      </c>
      <c r="AB189" t="s">
        <v>48</v>
      </c>
      <c r="AC189" t="s">
        <v>49</v>
      </c>
      <c r="AD189" t="s">
        <v>93</v>
      </c>
      <c r="AE189" t="s">
        <v>2471</v>
      </c>
      <c r="AF189" t="s">
        <v>11061</v>
      </c>
      <c r="AG189" t="s">
        <v>48</v>
      </c>
      <c r="AH189" t="s">
        <v>48</v>
      </c>
      <c r="AI189" t="s">
        <v>48</v>
      </c>
      <c r="AJ189" t="s">
        <v>48</v>
      </c>
      <c r="AK189" t="s">
        <v>48</v>
      </c>
      <c r="AL189" t="s">
        <v>48</v>
      </c>
      <c r="AM189" t="s">
        <v>48</v>
      </c>
      <c r="AN189" t="s">
        <v>48</v>
      </c>
      <c r="AO189" t="s">
        <v>48</v>
      </c>
      <c r="AP189" s="46">
        <v>0</v>
      </c>
      <c r="AQ189" s="46">
        <v>0</v>
      </c>
      <c r="AR189" s="46">
        <v>0</v>
      </c>
      <c r="AS189" s="46">
        <v>0</v>
      </c>
      <c r="AT189" s="46">
        <v>0</v>
      </c>
      <c r="AU189" s="46">
        <v>0</v>
      </c>
      <c r="AV189" s="46">
        <v>0</v>
      </c>
      <c r="AW189" s="46">
        <v>0</v>
      </c>
      <c r="AX189" s="46">
        <v>0</v>
      </c>
      <c r="AY189" s="46">
        <v>0</v>
      </c>
      <c r="AZ189" s="46">
        <v>0</v>
      </c>
      <c r="BA189" s="46">
        <v>0</v>
      </c>
      <c r="BB189" s="46">
        <v>0</v>
      </c>
      <c r="BC189" s="46">
        <v>0</v>
      </c>
      <c r="BD189" s="46">
        <v>0</v>
      </c>
      <c r="BE189" s="46">
        <v>0</v>
      </c>
      <c r="BF189" s="46">
        <v>0</v>
      </c>
      <c r="BG189" s="46" t="s">
        <v>48</v>
      </c>
      <c r="BH189" s="46">
        <v>0</v>
      </c>
      <c r="BI189" s="46">
        <v>0</v>
      </c>
      <c r="BJ189" s="46">
        <v>0</v>
      </c>
      <c r="BK189" s="46">
        <v>0</v>
      </c>
      <c r="BL189" s="46">
        <v>0</v>
      </c>
      <c r="BM189" s="46">
        <v>0</v>
      </c>
      <c r="BN189" s="46">
        <v>0</v>
      </c>
    </row>
    <row r="190" spans="1:66" x14ac:dyDescent="0.35">
      <c r="A190" t="s">
        <v>3692</v>
      </c>
      <c r="B190" s="44" t="s">
        <v>48</v>
      </c>
      <c r="C190" t="s">
        <v>853</v>
      </c>
      <c r="D190" t="s">
        <v>3694</v>
      </c>
      <c r="E190" t="s">
        <v>3693</v>
      </c>
      <c r="F190" t="s">
        <v>3687</v>
      </c>
      <c r="G190" t="s">
        <v>47</v>
      </c>
      <c r="H190">
        <v>0</v>
      </c>
      <c r="I190" s="60" t="s">
        <v>125</v>
      </c>
      <c r="J190" s="33" t="s">
        <v>96</v>
      </c>
      <c r="K190" s="46">
        <v>0</v>
      </c>
      <c r="L190">
        <v>7.2</v>
      </c>
      <c r="M190" t="s">
        <v>48</v>
      </c>
      <c r="N190" s="46">
        <v>0</v>
      </c>
      <c r="O190" s="46">
        <v>0</v>
      </c>
      <c r="P190" s="46">
        <v>0</v>
      </c>
      <c r="Q190" t="s">
        <v>48</v>
      </c>
      <c r="R190" t="s">
        <v>48</v>
      </c>
      <c r="S190" t="s">
        <v>48</v>
      </c>
      <c r="T190" t="s">
        <v>48</v>
      </c>
      <c r="U190" t="s">
        <v>48</v>
      </c>
      <c r="V190" s="47">
        <v>1</v>
      </c>
      <c r="W190" t="s">
        <v>48</v>
      </c>
      <c r="X190" t="s">
        <v>48</v>
      </c>
      <c r="Y190" t="s">
        <v>48</v>
      </c>
      <c r="Z190">
        <v>0</v>
      </c>
      <c r="AA190" t="s">
        <v>48</v>
      </c>
      <c r="AB190" t="s">
        <v>48</v>
      </c>
      <c r="AC190" t="s">
        <v>63</v>
      </c>
      <c r="AD190" t="s">
        <v>93</v>
      </c>
      <c r="AE190" s="40" t="s">
        <v>2471</v>
      </c>
      <c r="AF190" t="s">
        <v>11061</v>
      </c>
      <c r="AG190" t="s">
        <v>48</v>
      </c>
      <c r="AH190" t="s">
        <v>48</v>
      </c>
      <c r="AI190" t="s">
        <v>48</v>
      </c>
      <c r="AJ190" t="s">
        <v>48</v>
      </c>
      <c r="AK190" t="s">
        <v>48</v>
      </c>
      <c r="AL190" t="s">
        <v>48</v>
      </c>
      <c r="AM190" t="s">
        <v>48</v>
      </c>
      <c r="AN190" t="s">
        <v>48</v>
      </c>
      <c r="AO190" t="s">
        <v>48</v>
      </c>
      <c r="AP190" s="46">
        <v>0</v>
      </c>
      <c r="AQ190" s="46">
        <v>0</v>
      </c>
      <c r="AR190" s="46">
        <v>0</v>
      </c>
      <c r="AS190" s="46">
        <v>0</v>
      </c>
      <c r="AT190" s="46">
        <v>0</v>
      </c>
      <c r="AU190" s="46">
        <v>0</v>
      </c>
      <c r="AV190" s="46">
        <v>0</v>
      </c>
      <c r="AW190" s="46">
        <v>0</v>
      </c>
      <c r="AX190" s="46">
        <v>0</v>
      </c>
      <c r="AY190" s="46">
        <v>0</v>
      </c>
      <c r="AZ190" s="46">
        <v>0</v>
      </c>
      <c r="BA190" s="46">
        <v>0</v>
      </c>
      <c r="BB190" s="46">
        <v>0</v>
      </c>
      <c r="BC190" s="46">
        <v>0</v>
      </c>
      <c r="BD190" s="46">
        <v>0</v>
      </c>
      <c r="BE190" s="46">
        <v>0</v>
      </c>
      <c r="BF190" s="46">
        <v>0</v>
      </c>
      <c r="BG190" s="46" t="s">
        <v>48</v>
      </c>
      <c r="BH190" s="46">
        <v>0</v>
      </c>
      <c r="BI190" s="46">
        <v>0</v>
      </c>
      <c r="BJ190" s="46">
        <v>0</v>
      </c>
      <c r="BK190" s="46">
        <v>0</v>
      </c>
      <c r="BL190" s="46">
        <v>0</v>
      </c>
      <c r="BM190" s="46">
        <v>0</v>
      </c>
      <c r="BN190" s="46">
        <v>0</v>
      </c>
    </row>
    <row r="191" spans="1:66" x14ac:dyDescent="0.35">
      <c r="A191" t="s">
        <v>10220</v>
      </c>
      <c r="B191" s="44" t="s">
        <v>48</v>
      </c>
      <c r="C191" t="s">
        <v>11996</v>
      </c>
      <c r="D191" t="s">
        <v>2371</v>
      </c>
      <c r="E191" t="s">
        <v>10221</v>
      </c>
      <c r="F191" t="s">
        <v>3687</v>
      </c>
      <c r="G191" t="s">
        <v>47</v>
      </c>
      <c r="H191">
        <v>0</v>
      </c>
      <c r="I191" s="61">
        <v>44783</v>
      </c>
      <c r="J191" s="33" t="s">
        <v>96</v>
      </c>
      <c r="K191" s="46">
        <v>0</v>
      </c>
      <c r="L191">
        <v>5.6</v>
      </c>
      <c r="M191" t="s">
        <v>48</v>
      </c>
      <c r="N191" s="46">
        <v>0</v>
      </c>
      <c r="O191" s="46">
        <v>0</v>
      </c>
      <c r="P191" s="46">
        <v>0</v>
      </c>
      <c r="Q191" t="s">
        <v>48</v>
      </c>
      <c r="R191" t="s">
        <v>48</v>
      </c>
      <c r="S191" t="s">
        <v>48</v>
      </c>
      <c r="T191" t="s">
        <v>48</v>
      </c>
      <c r="U191" t="s">
        <v>48</v>
      </c>
      <c r="V191" s="47">
        <v>0</v>
      </c>
      <c r="W191" t="s">
        <v>48</v>
      </c>
      <c r="X191" t="s">
        <v>48</v>
      </c>
      <c r="Y191" t="s">
        <v>48</v>
      </c>
      <c r="Z191" t="s">
        <v>48</v>
      </c>
      <c r="AA191" t="s">
        <v>48</v>
      </c>
      <c r="AB191" t="s">
        <v>48</v>
      </c>
      <c r="AC191" t="s">
        <v>49</v>
      </c>
      <c r="AD191" t="s">
        <v>93</v>
      </c>
      <c r="AE191" t="s">
        <v>4532</v>
      </c>
      <c r="AF191" t="s">
        <v>48</v>
      </c>
      <c r="AG191" t="s">
        <v>48</v>
      </c>
      <c r="AH191" t="s">
        <v>48</v>
      </c>
      <c r="AI191" t="s">
        <v>48</v>
      </c>
      <c r="AJ191" t="s">
        <v>48</v>
      </c>
      <c r="AK191" t="s">
        <v>48</v>
      </c>
      <c r="AL191" t="s">
        <v>48</v>
      </c>
      <c r="AM191" t="s">
        <v>48</v>
      </c>
      <c r="AN191" t="s">
        <v>48</v>
      </c>
      <c r="AO191" t="s">
        <v>48</v>
      </c>
      <c r="AP191" s="46">
        <v>0</v>
      </c>
      <c r="AQ191" s="46">
        <v>0</v>
      </c>
      <c r="AR191" s="46">
        <v>0</v>
      </c>
      <c r="AS191" s="46">
        <v>0</v>
      </c>
      <c r="AT191" s="46">
        <v>0</v>
      </c>
      <c r="AU191" s="46">
        <v>0</v>
      </c>
      <c r="AV191" s="46">
        <v>0</v>
      </c>
      <c r="AW191" s="46">
        <v>0</v>
      </c>
      <c r="AX191" s="46">
        <v>0</v>
      </c>
      <c r="AY191" s="46">
        <v>0</v>
      </c>
      <c r="AZ191" s="46">
        <v>0</v>
      </c>
      <c r="BA191" s="46">
        <v>0</v>
      </c>
      <c r="BB191" s="46">
        <v>0</v>
      </c>
      <c r="BC191" s="46">
        <v>0</v>
      </c>
      <c r="BD191" s="46">
        <v>0</v>
      </c>
      <c r="BE191" s="46">
        <v>0</v>
      </c>
      <c r="BF191" s="46">
        <v>0</v>
      </c>
      <c r="BG191" s="46" t="s">
        <v>48</v>
      </c>
      <c r="BH191" s="46">
        <v>0</v>
      </c>
      <c r="BI191" s="46">
        <v>0</v>
      </c>
      <c r="BJ191" s="46">
        <v>0</v>
      </c>
      <c r="BK191" s="46">
        <v>0</v>
      </c>
      <c r="BL191" s="46">
        <v>0</v>
      </c>
      <c r="BM191" s="46">
        <v>0</v>
      </c>
      <c r="BN191" s="46">
        <v>0</v>
      </c>
    </row>
    <row r="192" spans="1:66" x14ac:dyDescent="0.35">
      <c r="A192" t="s">
        <v>3727</v>
      </c>
      <c r="B192" s="44" t="s">
        <v>48</v>
      </c>
      <c r="C192" t="s">
        <v>1968</v>
      </c>
      <c r="D192" t="s">
        <v>3731</v>
      </c>
      <c r="E192" t="s">
        <v>3729</v>
      </c>
      <c r="F192" t="s">
        <v>3728</v>
      </c>
      <c r="G192" t="s">
        <v>83</v>
      </c>
      <c r="H192">
        <v>0</v>
      </c>
      <c r="I192" s="60" t="s">
        <v>51</v>
      </c>
      <c r="J192" s="33" t="s">
        <v>96</v>
      </c>
      <c r="K192" s="46">
        <v>1</v>
      </c>
      <c r="L192" t="s">
        <v>48</v>
      </c>
      <c r="M192" t="s">
        <v>48</v>
      </c>
      <c r="N192" s="46">
        <v>0</v>
      </c>
      <c r="O192" s="46">
        <v>0</v>
      </c>
      <c r="P192" s="46">
        <v>0</v>
      </c>
      <c r="Q192" t="s">
        <v>48</v>
      </c>
      <c r="R192" t="s">
        <v>48</v>
      </c>
      <c r="S192" t="s">
        <v>48</v>
      </c>
      <c r="T192" t="s">
        <v>3730</v>
      </c>
      <c r="U192" t="s">
        <v>48</v>
      </c>
      <c r="V192" s="47">
        <v>0</v>
      </c>
      <c r="W192" t="s">
        <v>48</v>
      </c>
      <c r="X192" t="s">
        <v>48</v>
      </c>
      <c r="Y192" t="s">
        <v>48</v>
      </c>
      <c r="Z192">
        <v>0</v>
      </c>
      <c r="AA192" t="s">
        <v>48</v>
      </c>
      <c r="AB192" t="s">
        <v>48</v>
      </c>
      <c r="AC192" t="s">
        <v>49</v>
      </c>
      <c r="AD192" t="s">
        <v>93</v>
      </c>
      <c r="AE192" t="s">
        <v>4532</v>
      </c>
      <c r="AF192" t="s">
        <v>48</v>
      </c>
      <c r="AG192" t="s">
        <v>48</v>
      </c>
      <c r="AH192" t="s">
        <v>48</v>
      </c>
      <c r="AI192">
        <v>41300</v>
      </c>
      <c r="AJ192">
        <v>1944</v>
      </c>
      <c r="AK192" t="s">
        <v>8537</v>
      </c>
      <c r="AL192" t="s">
        <v>8538</v>
      </c>
      <c r="AM192">
        <v>-0.16</v>
      </c>
      <c r="AN192">
        <v>-0.21099999999999999</v>
      </c>
      <c r="AO192">
        <v>-0.16</v>
      </c>
      <c r="AP192" s="46">
        <v>0</v>
      </c>
      <c r="AQ192" s="46">
        <v>0</v>
      </c>
      <c r="AR192" s="46">
        <v>0</v>
      </c>
      <c r="AS192" s="46">
        <v>0</v>
      </c>
      <c r="AT192" s="46">
        <v>0</v>
      </c>
      <c r="AU192" s="46">
        <v>0</v>
      </c>
      <c r="AV192" s="46">
        <v>0</v>
      </c>
      <c r="AW192" s="46">
        <v>0</v>
      </c>
      <c r="AX192" s="46">
        <v>0</v>
      </c>
      <c r="AY192" s="46">
        <v>0</v>
      </c>
      <c r="AZ192" s="46">
        <v>0</v>
      </c>
      <c r="BA192" s="46">
        <v>0</v>
      </c>
      <c r="BB192" s="46">
        <v>0</v>
      </c>
      <c r="BC192" s="46">
        <v>0</v>
      </c>
      <c r="BD192" s="46">
        <v>0</v>
      </c>
      <c r="BE192" s="46">
        <v>0</v>
      </c>
      <c r="BF192" s="46">
        <v>0</v>
      </c>
      <c r="BG192" s="46" t="s">
        <v>48</v>
      </c>
      <c r="BH192" s="46">
        <v>0</v>
      </c>
      <c r="BI192" s="46">
        <v>0</v>
      </c>
      <c r="BJ192" s="46">
        <v>0</v>
      </c>
      <c r="BK192" s="46">
        <v>0</v>
      </c>
      <c r="BL192" s="46">
        <v>1</v>
      </c>
      <c r="BM192" s="46">
        <v>0</v>
      </c>
      <c r="BN192" s="46">
        <v>0</v>
      </c>
    </row>
    <row r="193" spans="1:66" x14ac:dyDescent="0.35">
      <c r="A193" t="s">
        <v>3732</v>
      </c>
      <c r="B193" t="s">
        <v>48</v>
      </c>
      <c r="C193" t="s">
        <v>1403</v>
      </c>
      <c r="D193" t="s">
        <v>1239</v>
      </c>
      <c r="E193" t="s">
        <v>3734</v>
      </c>
      <c r="F193" t="s">
        <v>3733</v>
      </c>
      <c r="G193" t="s">
        <v>47</v>
      </c>
      <c r="H193">
        <v>0</v>
      </c>
      <c r="I193" s="60" t="s">
        <v>51</v>
      </c>
      <c r="J193" s="33" t="s">
        <v>96</v>
      </c>
      <c r="K193" s="46">
        <v>1</v>
      </c>
      <c r="L193" t="s">
        <v>48</v>
      </c>
      <c r="M193" t="s">
        <v>48</v>
      </c>
      <c r="N193" s="46">
        <v>0</v>
      </c>
      <c r="O193" s="46">
        <v>0</v>
      </c>
      <c r="P193" s="46">
        <v>0</v>
      </c>
      <c r="Q193" t="s">
        <v>48</v>
      </c>
      <c r="R193" t="s">
        <v>48</v>
      </c>
      <c r="S193" t="s">
        <v>3735</v>
      </c>
      <c r="T193" t="s">
        <v>3736</v>
      </c>
      <c r="U193" t="s">
        <v>3735</v>
      </c>
      <c r="V193" s="47">
        <v>0</v>
      </c>
      <c r="W193" t="s">
        <v>48</v>
      </c>
      <c r="X193" t="s">
        <v>48</v>
      </c>
      <c r="Y193" t="s">
        <v>48</v>
      </c>
      <c r="Z193">
        <v>0</v>
      </c>
      <c r="AA193" t="s">
        <v>48</v>
      </c>
      <c r="AB193">
        <v>1996</v>
      </c>
      <c r="AC193" t="s">
        <v>63</v>
      </c>
      <c r="AD193" t="s">
        <v>93</v>
      </c>
      <c r="AE193" t="s">
        <v>4532</v>
      </c>
      <c r="AF193" t="s">
        <v>48</v>
      </c>
      <c r="AG193" t="s">
        <v>140</v>
      </c>
      <c r="AH193" t="s">
        <v>93</v>
      </c>
      <c r="AI193">
        <v>49703</v>
      </c>
      <c r="AJ193">
        <v>1952</v>
      </c>
      <c r="AK193" t="s">
        <v>8539</v>
      </c>
      <c r="AL193" t="s">
        <v>8540</v>
      </c>
      <c r="AM193">
        <v>0.115</v>
      </c>
      <c r="AN193">
        <v>-0.53500000000000003</v>
      </c>
      <c r="AO193">
        <v>0.115</v>
      </c>
      <c r="AP193" s="46">
        <v>0</v>
      </c>
      <c r="AQ193" s="46">
        <v>0</v>
      </c>
      <c r="AR193" s="46">
        <v>0</v>
      </c>
      <c r="AS193" s="46">
        <v>0</v>
      </c>
      <c r="AT193" s="46">
        <v>0</v>
      </c>
      <c r="AU193" s="46">
        <v>0</v>
      </c>
      <c r="AV193" s="46">
        <v>0</v>
      </c>
      <c r="AW193" s="46">
        <v>0</v>
      </c>
      <c r="AX193" s="46">
        <v>0</v>
      </c>
      <c r="AY193" s="46">
        <v>0</v>
      </c>
      <c r="AZ193" s="46">
        <v>1</v>
      </c>
      <c r="BA193" s="46">
        <v>0</v>
      </c>
      <c r="BB193" s="46">
        <v>0</v>
      </c>
      <c r="BC193" s="46">
        <v>0</v>
      </c>
      <c r="BD193" s="46">
        <v>0</v>
      </c>
      <c r="BE193" s="46">
        <v>0</v>
      </c>
      <c r="BF193" s="46">
        <v>0</v>
      </c>
      <c r="BG193" s="46" t="s">
        <v>48</v>
      </c>
      <c r="BH193" s="46">
        <v>0</v>
      </c>
      <c r="BI193" s="46">
        <v>0</v>
      </c>
      <c r="BJ193" s="46">
        <v>0</v>
      </c>
      <c r="BK193" s="46">
        <v>0</v>
      </c>
      <c r="BL193" s="46">
        <v>0</v>
      </c>
      <c r="BM193" s="46">
        <v>1</v>
      </c>
      <c r="BN193" s="46">
        <v>0</v>
      </c>
    </row>
    <row r="194" spans="1:66" x14ac:dyDescent="0.35">
      <c r="A194" t="s">
        <v>3887</v>
      </c>
      <c r="B194" s="44" t="s">
        <v>48</v>
      </c>
      <c r="C194" t="s">
        <v>3891</v>
      </c>
      <c r="D194" t="s">
        <v>795</v>
      </c>
      <c r="E194" t="s">
        <v>3889</v>
      </c>
      <c r="F194" t="s">
        <v>3888</v>
      </c>
      <c r="G194" t="s">
        <v>74</v>
      </c>
      <c r="H194">
        <v>0</v>
      </c>
      <c r="I194" s="60" t="s">
        <v>51</v>
      </c>
      <c r="J194" s="33" t="s">
        <v>96</v>
      </c>
      <c r="K194" s="46">
        <v>1</v>
      </c>
      <c r="L194" t="s">
        <v>48</v>
      </c>
      <c r="M194" t="s">
        <v>48</v>
      </c>
      <c r="N194" s="46">
        <v>0</v>
      </c>
      <c r="O194" s="46">
        <v>0</v>
      </c>
      <c r="P194" s="46">
        <v>0</v>
      </c>
      <c r="Q194" t="s">
        <v>48</v>
      </c>
      <c r="R194" t="s">
        <v>48</v>
      </c>
      <c r="S194" t="s">
        <v>48</v>
      </c>
      <c r="T194" t="s">
        <v>3890</v>
      </c>
      <c r="U194" t="s">
        <v>48</v>
      </c>
      <c r="V194" s="47">
        <v>0</v>
      </c>
      <c r="W194" t="s">
        <v>48</v>
      </c>
      <c r="X194" t="s">
        <v>48</v>
      </c>
      <c r="Y194" t="s">
        <v>48</v>
      </c>
      <c r="Z194">
        <v>0</v>
      </c>
      <c r="AA194" t="s">
        <v>48</v>
      </c>
      <c r="AB194" t="s">
        <v>48</v>
      </c>
      <c r="AC194" t="s">
        <v>63</v>
      </c>
      <c r="AD194" t="s">
        <v>93</v>
      </c>
      <c r="AE194" s="40" t="s">
        <v>4532</v>
      </c>
      <c r="AF194" t="s">
        <v>48</v>
      </c>
      <c r="AG194" t="s">
        <v>48</v>
      </c>
      <c r="AH194" t="s">
        <v>48</v>
      </c>
      <c r="AI194">
        <v>29732</v>
      </c>
      <c r="AJ194">
        <v>1950</v>
      </c>
      <c r="AK194" t="s">
        <v>8543</v>
      </c>
      <c r="AL194" t="s">
        <v>8544</v>
      </c>
      <c r="AM194">
        <v>-0.34300000000000003</v>
      </c>
      <c r="AN194">
        <v>-1.2999999999999999E-2</v>
      </c>
      <c r="AO194">
        <v>-0.34300000000000003</v>
      </c>
      <c r="AP194" s="46">
        <v>0</v>
      </c>
      <c r="AQ194" s="46">
        <v>0</v>
      </c>
      <c r="AR194" s="46">
        <v>0</v>
      </c>
      <c r="AS194" s="46">
        <v>0</v>
      </c>
      <c r="AT194" s="46">
        <v>0</v>
      </c>
      <c r="AU194" s="46">
        <v>0</v>
      </c>
      <c r="AV194" s="46">
        <v>0</v>
      </c>
      <c r="AW194" s="46">
        <v>0</v>
      </c>
      <c r="AX194" s="46">
        <v>0</v>
      </c>
      <c r="AY194" s="46">
        <v>0</v>
      </c>
      <c r="AZ194" s="46">
        <v>0</v>
      </c>
      <c r="BA194" s="46">
        <v>0</v>
      </c>
      <c r="BB194" s="46">
        <v>0</v>
      </c>
      <c r="BC194" s="46">
        <v>0</v>
      </c>
      <c r="BD194" s="46">
        <v>0</v>
      </c>
      <c r="BE194" s="46">
        <v>0</v>
      </c>
      <c r="BF194" s="46">
        <v>0</v>
      </c>
      <c r="BG194" s="46" t="s">
        <v>48</v>
      </c>
      <c r="BH194" s="46">
        <v>0</v>
      </c>
      <c r="BI194" s="46">
        <v>0</v>
      </c>
      <c r="BJ194" s="46">
        <v>0</v>
      </c>
      <c r="BK194" s="46">
        <v>0</v>
      </c>
      <c r="BL194" s="46">
        <v>0</v>
      </c>
      <c r="BM194" s="46">
        <v>0</v>
      </c>
      <c r="BN194" s="46">
        <v>0</v>
      </c>
    </row>
    <row r="195" spans="1:66" x14ac:dyDescent="0.35">
      <c r="A195" t="s">
        <v>3892</v>
      </c>
      <c r="B195" s="44" t="s">
        <v>48</v>
      </c>
      <c r="C195" t="s">
        <v>1054</v>
      </c>
      <c r="D195" t="s">
        <v>467</v>
      </c>
      <c r="E195" t="s">
        <v>3894</v>
      </c>
      <c r="F195" t="s">
        <v>3893</v>
      </c>
      <c r="G195" t="s">
        <v>74</v>
      </c>
      <c r="H195">
        <v>0</v>
      </c>
      <c r="I195" s="60" t="s">
        <v>51</v>
      </c>
      <c r="J195" s="33" t="s">
        <v>96</v>
      </c>
      <c r="K195" s="46">
        <v>1</v>
      </c>
      <c r="L195" t="s">
        <v>48</v>
      </c>
      <c r="M195" t="s">
        <v>48</v>
      </c>
      <c r="N195" s="46">
        <v>0</v>
      </c>
      <c r="O195" s="46">
        <v>0</v>
      </c>
      <c r="P195" s="46">
        <v>0</v>
      </c>
      <c r="Q195" t="s">
        <v>48</v>
      </c>
      <c r="R195" t="s">
        <v>48</v>
      </c>
      <c r="S195" t="s">
        <v>3895</v>
      </c>
      <c r="T195" t="s">
        <v>3896</v>
      </c>
      <c r="U195" t="s">
        <v>3895</v>
      </c>
      <c r="V195" s="47">
        <v>0</v>
      </c>
      <c r="W195" t="s">
        <v>48</v>
      </c>
      <c r="X195" t="s">
        <v>48</v>
      </c>
      <c r="Y195" t="s">
        <v>48</v>
      </c>
      <c r="Z195">
        <v>0</v>
      </c>
      <c r="AA195" t="s">
        <v>48</v>
      </c>
      <c r="AB195">
        <v>2014</v>
      </c>
      <c r="AC195" t="s">
        <v>49</v>
      </c>
      <c r="AD195" t="s">
        <v>93</v>
      </c>
      <c r="AE195" t="s">
        <v>4532</v>
      </c>
      <c r="AF195" t="s">
        <v>48</v>
      </c>
      <c r="AG195" t="s">
        <v>119</v>
      </c>
      <c r="AH195" t="s">
        <v>93</v>
      </c>
      <c r="AI195">
        <v>20923</v>
      </c>
      <c r="AJ195">
        <v>1958</v>
      </c>
      <c r="AK195" t="s">
        <v>8541</v>
      </c>
      <c r="AL195" t="s">
        <v>8542</v>
      </c>
      <c r="AM195">
        <v>-0.246</v>
      </c>
      <c r="AN195">
        <v>-0.185</v>
      </c>
      <c r="AO195">
        <v>-0.246</v>
      </c>
      <c r="AP195" s="46">
        <v>0</v>
      </c>
      <c r="AQ195" s="46">
        <v>0</v>
      </c>
      <c r="AR195" s="46">
        <v>0</v>
      </c>
      <c r="AS195" s="46">
        <v>0</v>
      </c>
      <c r="AT195" s="46">
        <v>0</v>
      </c>
      <c r="AU195" s="46">
        <v>0</v>
      </c>
      <c r="AV195" s="46">
        <v>0</v>
      </c>
      <c r="AW195" s="46">
        <v>0</v>
      </c>
      <c r="AX195" s="46">
        <v>0</v>
      </c>
      <c r="AY195" s="46">
        <v>0</v>
      </c>
      <c r="AZ195" s="46">
        <v>0</v>
      </c>
      <c r="BA195" s="46">
        <v>0</v>
      </c>
      <c r="BB195" s="46">
        <v>0</v>
      </c>
      <c r="BC195" s="46">
        <v>0</v>
      </c>
      <c r="BD195" s="46">
        <v>0</v>
      </c>
      <c r="BE195" s="46">
        <v>0</v>
      </c>
      <c r="BF195" s="46">
        <v>0</v>
      </c>
      <c r="BG195" s="46" t="s">
        <v>48</v>
      </c>
      <c r="BH195" s="46">
        <v>0</v>
      </c>
      <c r="BI195" s="46">
        <v>0</v>
      </c>
      <c r="BJ195" s="46">
        <v>0</v>
      </c>
      <c r="BK195" s="46">
        <v>0</v>
      </c>
      <c r="BL195" s="46">
        <v>1</v>
      </c>
      <c r="BM195" s="46">
        <v>0</v>
      </c>
      <c r="BN195" s="46">
        <v>0</v>
      </c>
    </row>
    <row r="196" spans="1:66" x14ac:dyDescent="0.35">
      <c r="A196" t="s">
        <v>3967</v>
      </c>
      <c r="B196" s="44" t="s">
        <v>48</v>
      </c>
      <c r="C196" t="s">
        <v>3971</v>
      </c>
      <c r="D196" t="s">
        <v>1439</v>
      </c>
      <c r="E196" t="s">
        <v>3969</v>
      </c>
      <c r="F196" t="s">
        <v>3968</v>
      </c>
      <c r="G196" t="s">
        <v>74</v>
      </c>
      <c r="H196">
        <v>0</v>
      </c>
      <c r="I196" s="60" t="s">
        <v>51</v>
      </c>
      <c r="J196" s="33" t="s">
        <v>96</v>
      </c>
      <c r="K196" s="46">
        <v>1</v>
      </c>
      <c r="L196" t="s">
        <v>48</v>
      </c>
      <c r="M196" t="s">
        <v>48</v>
      </c>
      <c r="N196" s="46">
        <v>0</v>
      </c>
      <c r="O196" s="46">
        <v>0</v>
      </c>
      <c r="P196" s="46">
        <v>0</v>
      </c>
      <c r="Q196" t="s">
        <v>48</v>
      </c>
      <c r="R196" t="s">
        <v>48</v>
      </c>
      <c r="S196" t="s">
        <v>48</v>
      </c>
      <c r="T196" t="s">
        <v>3970</v>
      </c>
      <c r="U196" t="s">
        <v>48</v>
      </c>
      <c r="V196" s="47">
        <v>0</v>
      </c>
      <c r="W196" t="s">
        <v>48</v>
      </c>
      <c r="X196" t="s">
        <v>48</v>
      </c>
      <c r="Y196" t="s">
        <v>48</v>
      </c>
      <c r="Z196">
        <v>0</v>
      </c>
      <c r="AA196" t="s">
        <v>48</v>
      </c>
      <c r="AB196" t="s">
        <v>48</v>
      </c>
      <c r="AC196" t="s">
        <v>63</v>
      </c>
      <c r="AD196" t="s">
        <v>93</v>
      </c>
      <c r="AE196" t="s">
        <v>4532</v>
      </c>
      <c r="AF196" t="s">
        <v>48</v>
      </c>
      <c r="AG196" t="s">
        <v>48</v>
      </c>
      <c r="AH196" t="s">
        <v>48</v>
      </c>
      <c r="AI196">
        <v>40700</v>
      </c>
      <c r="AJ196">
        <v>1960</v>
      </c>
      <c r="AK196" t="s">
        <v>8545</v>
      </c>
      <c r="AL196" t="s">
        <v>8546</v>
      </c>
      <c r="AM196">
        <v>-0.28499999999999998</v>
      </c>
      <c r="AN196">
        <v>-0.36699999999999999</v>
      </c>
      <c r="AO196">
        <v>-0.28499999999999998</v>
      </c>
      <c r="AP196" s="46">
        <v>0</v>
      </c>
      <c r="AQ196" s="46">
        <v>0</v>
      </c>
      <c r="AR196" s="46">
        <v>0</v>
      </c>
      <c r="AS196" s="46">
        <v>0</v>
      </c>
      <c r="AT196" s="46">
        <v>0</v>
      </c>
      <c r="AU196" s="46">
        <v>0</v>
      </c>
      <c r="AV196" s="46">
        <v>0</v>
      </c>
      <c r="AW196" s="46">
        <v>0</v>
      </c>
      <c r="AX196" s="46">
        <v>0</v>
      </c>
      <c r="AY196" s="46">
        <v>0</v>
      </c>
      <c r="AZ196" s="46">
        <v>0</v>
      </c>
      <c r="BA196" s="46">
        <v>0</v>
      </c>
      <c r="BB196" s="46">
        <v>0</v>
      </c>
      <c r="BC196" s="46">
        <v>0</v>
      </c>
      <c r="BD196" s="46">
        <v>0</v>
      </c>
      <c r="BE196" s="46">
        <v>0</v>
      </c>
      <c r="BF196" s="46">
        <v>0</v>
      </c>
      <c r="BG196" s="46" t="s">
        <v>48</v>
      </c>
      <c r="BH196" s="46">
        <v>0</v>
      </c>
      <c r="BI196" s="46">
        <v>0</v>
      </c>
      <c r="BJ196" s="46">
        <v>0</v>
      </c>
      <c r="BK196" s="46">
        <v>0</v>
      </c>
      <c r="BL196" s="46">
        <v>0</v>
      </c>
      <c r="BM196" s="46">
        <v>0</v>
      </c>
      <c r="BN196" s="46">
        <v>0</v>
      </c>
    </row>
    <row r="197" spans="1:66" x14ac:dyDescent="0.35">
      <c r="A197" t="s">
        <v>3972</v>
      </c>
      <c r="B197" s="44" t="s">
        <v>48</v>
      </c>
      <c r="C197" t="s">
        <v>80</v>
      </c>
      <c r="D197" t="s">
        <v>3978</v>
      </c>
      <c r="E197" t="s">
        <v>3974</v>
      </c>
      <c r="F197" t="s">
        <v>3973</v>
      </c>
      <c r="G197" t="s">
        <v>74</v>
      </c>
      <c r="H197">
        <v>0</v>
      </c>
      <c r="I197" s="60" t="s">
        <v>51</v>
      </c>
      <c r="J197" s="33" t="s">
        <v>96</v>
      </c>
      <c r="K197" s="46">
        <v>1</v>
      </c>
      <c r="L197" t="s">
        <v>48</v>
      </c>
      <c r="M197" t="s">
        <v>48</v>
      </c>
      <c r="N197" s="46">
        <v>0</v>
      </c>
      <c r="O197" s="46">
        <v>0</v>
      </c>
      <c r="P197" s="46">
        <v>0</v>
      </c>
      <c r="Q197" t="s">
        <v>48</v>
      </c>
      <c r="R197" t="s">
        <v>48</v>
      </c>
      <c r="S197" t="s">
        <v>3975</v>
      </c>
      <c r="T197" t="s">
        <v>3976</v>
      </c>
      <c r="U197" t="s">
        <v>3975</v>
      </c>
      <c r="V197" s="47">
        <v>0</v>
      </c>
      <c r="W197" t="s">
        <v>48</v>
      </c>
      <c r="X197" t="s">
        <v>48</v>
      </c>
      <c r="Y197" t="s">
        <v>48</v>
      </c>
      <c r="Z197">
        <v>0</v>
      </c>
      <c r="AA197" t="s">
        <v>48</v>
      </c>
      <c r="AB197" t="s">
        <v>3977</v>
      </c>
      <c r="AC197" s="54" t="s">
        <v>63</v>
      </c>
      <c r="AD197" t="s">
        <v>93</v>
      </c>
      <c r="AE197" t="s">
        <v>4532</v>
      </c>
      <c r="AF197" t="s">
        <v>48</v>
      </c>
      <c r="AG197" t="s">
        <v>876</v>
      </c>
      <c r="AH197" t="s">
        <v>93</v>
      </c>
      <c r="AI197">
        <v>41706</v>
      </c>
      <c r="AJ197">
        <v>1958</v>
      </c>
      <c r="AK197" t="s">
        <v>8547</v>
      </c>
      <c r="AL197" t="s">
        <v>8548</v>
      </c>
      <c r="AM197">
        <v>-0.39900000000000002</v>
      </c>
      <c r="AN197">
        <v>-5.6000000000000001E-2</v>
      </c>
      <c r="AO197">
        <v>-0.39900000000000002</v>
      </c>
      <c r="AP197" s="46">
        <v>0</v>
      </c>
      <c r="AQ197" s="46">
        <v>0</v>
      </c>
      <c r="AR197" s="46">
        <v>0</v>
      </c>
      <c r="AS197" s="46">
        <v>0</v>
      </c>
      <c r="AT197" s="46">
        <v>0</v>
      </c>
      <c r="AU197" s="46">
        <v>0</v>
      </c>
      <c r="AV197" s="46">
        <v>0</v>
      </c>
      <c r="AW197" s="46">
        <v>0</v>
      </c>
      <c r="AX197" s="46">
        <v>0</v>
      </c>
      <c r="AY197" s="46">
        <v>0</v>
      </c>
      <c r="AZ197" s="46">
        <v>0</v>
      </c>
      <c r="BA197" s="46">
        <v>0</v>
      </c>
      <c r="BB197" s="46">
        <v>0</v>
      </c>
      <c r="BC197" s="46">
        <v>0</v>
      </c>
      <c r="BD197" s="46">
        <v>0</v>
      </c>
      <c r="BE197" s="46">
        <v>0</v>
      </c>
      <c r="BF197" s="46">
        <v>0</v>
      </c>
      <c r="BG197" s="46" t="s">
        <v>48</v>
      </c>
      <c r="BH197" s="46">
        <v>0</v>
      </c>
      <c r="BI197" s="46">
        <v>0</v>
      </c>
      <c r="BJ197" s="46">
        <v>0</v>
      </c>
      <c r="BK197" s="46">
        <v>0</v>
      </c>
      <c r="BL197" s="46">
        <v>0</v>
      </c>
      <c r="BM197" s="46">
        <v>0</v>
      </c>
      <c r="BN197" s="46">
        <v>0</v>
      </c>
    </row>
    <row r="198" spans="1:66" x14ac:dyDescent="0.35">
      <c r="A198" t="s">
        <v>4104</v>
      </c>
      <c r="B198" s="44" t="s">
        <v>48</v>
      </c>
      <c r="C198" t="s">
        <v>4108</v>
      </c>
      <c r="D198" t="s">
        <v>316</v>
      </c>
      <c r="E198" t="s">
        <v>4106</v>
      </c>
      <c r="F198" t="s">
        <v>4105</v>
      </c>
      <c r="G198" t="s">
        <v>47</v>
      </c>
      <c r="H198">
        <v>0</v>
      </c>
      <c r="I198" s="60" t="s">
        <v>51</v>
      </c>
      <c r="J198" s="33" t="s">
        <v>96</v>
      </c>
      <c r="K198" s="46">
        <v>1</v>
      </c>
      <c r="L198" t="s">
        <v>48</v>
      </c>
      <c r="M198" t="s">
        <v>48</v>
      </c>
      <c r="N198" s="46">
        <v>0</v>
      </c>
      <c r="O198" s="46">
        <v>0</v>
      </c>
      <c r="P198" s="46">
        <v>0</v>
      </c>
      <c r="Q198" t="s">
        <v>48</v>
      </c>
      <c r="R198" t="s">
        <v>48</v>
      </c>
      <c r="S198" t="s">
        <v>48</v>
      </c>
      <c r="T198" t="s">
        <v>4107</v>
      </c>
      <c r="U198" t="s">
        <v>48</v>
      </c>
      <c r="V198" s="47">
        <v>0</v>
      </c>
      <c r="W198" t="s">
        <v>48</v>
      </c>
      <c r="X198" t="s">
        <v>48</v>
      </c>
      <c r="Y198" t="s">
        <v>48</v>
      </c>
      <c r="Z198">
        <v>0</v>
      </c>
      <c r="AA198" t="s">
        <v>48</v>
      </c>
      <c r="AB198" t="s">
        <v>48</v>
      </c>
      <c r="AC198" t="s">
        <v>49</v>
      </c>
      <c r="AD198" t="s">
        <v>93</v>
      </c>
      <c r="AE198" t="s">
        <v>4532</v>
      </c>
      <c r="AF198" t="s">
        <v>48</v>
      </c>
      <c r="AG198" t="s">
        <v>48</v>
      </c>
      <c r="AH198" t="s">
        <v>48</v>
      </c>
      <c r="AI198">
        <v>41901</v>
      </c>
      <c r="AJ198">
        <v>1979</v>
      </c>
      <c r="AK198" t="s">
        <v>8551</v>
      </c>
      <c r="AL198" t="s">
        <v>8552</v>
      </c>
      <c r="AM198">
        <v>0.73199999999999998</v>
      </c>
      <c r="AN198">
        <v>-0.20100000000000001</v>
      </c>
      <c r="AO198">
        <v>0.73199999999999998</v>
      </c>
      <c r="AP198" s="46">
        <v>0</v>
      </c>
      <c r="AQ198" s="46">
        <v>0</v>
      </c>
      <c r="AR198" s="46">
        <v>0</v>
      </c>
      <c r="AS198" s="46">
        <v>0</v>
      </c>
      <c r="AT198" s="46">
        <v>0</v>
      </c>
      <c r="AU198" s="46">
        <v>0</v>
      </c>
      <c r="AV198" s="46">
        <v>0</v>
      </c>
      <c r="AW198" s="46">
        <v>0</v>
      </c>
      <c r="AX198" s="46">
        <v>0</v>
      </c>
      <c r="AY198" s="46">
        <v>0</v>
      </c>
      <c r="AZ198" s="46">
        <v>0</v>
      </c>
      <c r="BA198" s="46">
        <v>0</v>
      </c>
      <c r="BB198" s="46">
        <v>0</v>
      </c>
      <c r="BC198" s="46">
        <v>0</v>
      </c>
      <c r="BD198" s="46">
        <v>0</v>
      </c>
      <c r="BE198" s="46">
        <v>0</v>
      </c>
      <c r="BF198" s="46">
        <v>0</v>
      </c>
      <c r="BG198" s="46" t="s">
        <v>48</v>
      </c>
      <c r="BH198" s="46">
        <v>0</v>
      </c>
      <c r="BI198" s="46">
        <v>0</v>
      </c>
      <c r="BJ198" s="46">
        <v>0</v>
      </c>
      <c r="BK198" s="46">
        <v>0</v>
      </c>
      <c r="BL198" s="46">
        <v>0</v>
      </c>
      <c r="BM198" s="46">
        <v>0</v>
      </c>
      <c r="BN198" s="46">
        <v>1</v>
      </c>
    </row>
    <row r="199" spans="1:66" x14ac:dyDescent="0.35">
      <c r="A199" t="s">
        <v>4082</v>
      </c>
      <c r="B199" s="44" t="s">
        <v>48</v>
      </c>
      <c r="C199" t="s">
        <v>1435</v>
      </c>
      <c r="D199" t="s">
        <v>4085</v>
      </c>
      <c r="E199" t="s">
        <v>4128</v>
      </c>
      <c r="F199" t="s">
        <v>147</v>
      </c>
      <c r="G199" t="s">
        <v>47</v>
      </c>
      <c r="H199">
        <v>0</v>
      </c>
      <c r="I199" s="60" t="s">
        <v>177</v>
      </c>
      <c r="J199" s="33" t="s">
        <v>96</v>
      </c>
      <c r="K199" s="46">
        <v>0</v>
      </c>
      <c r="L199">
        <v>5</v>
      </c>
      <c r="M199" t="s">
        <v>48</v>
      </c>
      <c r="N199" s="46">
        <v>0</v>
      </c>
      <c r="O199" s="46">
        <v>0</v>
      </c>
      <c r="P199" s="46">
        <v>0</v>
      </c>
      <c r="Q199" t="s">
        <v>48</v>
      </c>
      <c r="R199" t="s">
        <v>48</v>
      </c>
      <c r="S199" t="s">
        <v>4083</v>
      </c>
      <c r="T199" t="s">
        <v>4084</v>
      </c>
      <c r="U199" t="s">
        <v>4083</v>
      </c>
      <c r="V199" s="47">
        <v>1</v>
      </c>
      <c r="W199" t="s">
        <v>48</v>
      </c>
      <c r="X199" t="s">
        <v>48</v>
      </c>
      <c r="Y199" t="s">
        <v>48</v>
      </c>
      <c r="Z199">
        <v>0</v>
      </c>
      <c r="AA199" t="s">
        <v>48</v>
      </c>
      <c r="AB199" t="s">
        <v>48</v>
      </c>
      <c r="AC199" t="s">
        <v>49</v>
      </c>
      <c r="AD199" t="s">
        <v>93</v>
      </c>
      <c r="AE199" t="s">
        <v>4532</v>
      </c>
      <c r="AF199" t="s">
        <v>48</v>
      </c>
      <c r="AG199" t="s">
        <v>48</v>
      </c>
      <c r="AH199" t="s">
        <v>48</v>
      </c>
      <c r="AI199">
        <v>21150</v>
      </c>
      <c r="AJ199">
        <v>1955</v>
      </c>
      <c r="AK199" t="s">
        <v>9044</v>
      </c>
      <c r="AL199" t="s">
        <v>9045</v>
      </c>
      <c r="AM199">
        <v>0.54800000000000004</v>
      </c>
      <c r="AN199">
        <v>0.22500000000000001</v>
      </c>
      <c r="AO199">
        <v>0.54800000000000004</v>
      </c>
      <c r="AP199" s="46">
        <v>0</v>
      </c>
      <c r="AQ199" s="46">
        <v>0</v>
      </c>
      <c r="AR199" s="46">
        <v>0</v>
      </c>
      <c r="AS199" s="46">
        <v>0</v>
      </c>
      <c r="AT199" s="46">
        <v>0</v>
      </c>
      <c r="AU199" s="46">
        <v>0</v>
      </c>
      <c r="AV199" s="46">
        <v>0</v>
      </c>
      <c r="AW199" s="46">
        <v>0</v>
      </c>
      <c r="AX199" s="46">
        <v>0</v>
      </c>
      <c r="AY199" s="46">
        <v>0</v>
      </c>
      <c r="AZ199" s="46">
        <v>0</v>
      </c>
      <c r="BA199" s="46">
        <v>0</v>
      </c>
      <c r="BB199" s="46">
        <v>0</v>
      </c>
      <c r="BC199" s="46">
        <v>0</v>
      </c>
      <c r="BD199" s="46">
        <v>0</v>
      </c>
      <c r="BE199" s="46">
        <v>0</v>
      </c>
      <c r="BF199" s="46">
        <v>0</v>
      </c>
      <c r="BG199" s="46" t="s">
        <v>48</v>
      </c>
      <c r="BH199" s="46">
        <v>0</v>
      </c>
      <c r="BI199" s="46">
        <v>0</v>
      </c>
      <c r="BJ199" s="46">
        <v>0</v>
      </c>
      <c r="BK199" s="46">
        <v>0</v>
      </c>
      <c r="BL199" s="46">
        <v>0</v>
      </c>
      <c r="BM199" s="46">
        <v>0</v>
      </c>
      <c r="BN199" s="46">
        <v>0</v>
      </c>
    </row>
    <row r="200" spans="1:66" x14ac:dyDescent="0.35">
      <c r="A200" t="s">
        <v>9871</v>
      </c>
      <c r="B200" s="44" t="s">
        <v>48</v>
      </c>
      <c r="C200" t="s">
        <v>340</v>
      </c>
      <c r="D200" t="s">
        <v>2132</v>
      </c>
      <c r="E200" t="s">
        <v>9872</v>
      </c>
      <c r="F200" t="s">
        <v>147</v>
      </c>
      <c r="G200" t="s">
        <v>74</v>
      </c>
      <c r="H200">
        <v>0</v>
      </c>
      <c r="I200" s="61">
        <v>44782</v>
      </c>
      <c r="J200" s="33" t="s">
        <v>96</v>
      </c>
      <c r="K200" s="46">
        <v>0</v>
      </c>
      <c r="L200">
        <v>4.7</v>
      </c>
      <c r="M200" t="s">
        <v>48</v>
      </c>
      <c r="N200" s="46">
        <v>0</v>
      </c>
      <c r="O200" s="46">
        <v>0</v>
      </c>
      <c r="P200" s="46">
        <v>0</v>
      </c>
      <c r="Q200" t="s">
        <v>48</v>
      </c>
      <c r="R200" t="s">
        <v>48</v>
      </c>
      <c r="S200" s="43" t="s">
        <v>48</v>
      </c>
      <c r="T200" s="43" t="s">
        <v>48</v>
      </c>
      <c r="U200" s="43" t="s">
        <v>48</v>
      </c>
      <c r="V200" s="47">
        <v>0</v>
      </c>
      <c r="W200" t="s">
        <v>48</v>
      </c>
      <c r="X200" t="s">
        <v>48</v>
      </c>
      <c r="Y200" t="s">
        <v>48</v>
      </c>
      <c r="Z200" t="s">
        <v>48</v>
      </c>
      <c r="AA200" t="s">
        <v>48</v>
      </c>
      <c r="AB200" t="s">
        <v>48</v>
      </c>
      <c r="AC200" t="s">
        <v>63</v>
      </c>
      <c r="AD200" t="s">
        <v>93</v>
      </c>
      <c r="AE200" t="s">
        <v>2471</v>
      </c>
      <c r="AF200" t="s">
        <v>48</v>
      </c>
      <c r="AG200" t="s">
        <v>48</v>
      </c>
      <c r="AH200" t="s">
        <v>48</v>
      </c>
      <c r="AI200" t="s">
        <v>48</v>
      </c>
      <c r="AJ200" t="s">
        <v>48</v>
      </c>
      <c r="AK200" t="s">
        <v>48</v>
      </c>
      <c r="AL200" t="s">
        <v>48</v>
      </c>
      <c r="AM200" t="s">
        <v>48</v>
      </c>
      <c r="AN200" t="s">
        <v>48</v>
      </c>
      <c r="AO200" t="s">
        <v>48</v>
      </c>
      <c r="AP200" s="46">
        <v>0</v>
      </c>
      <c r="AQ200" s="46">
        <v>0</v>
      </c>
      <c r="AR200" s="46">
        <v>0</v>
      </c>
      <c r="AS200" s="46">
        <v>0</v>
      </c>
      <c r="AT200" s="46">
        <v>0</v>
      </c>
      <c r="AU200" s="46">
        <v>0</v>
      </c>
      <c r="AV200" s="46">
        <v>0</v>
      </c>
      <c r="AW200" s="46">
        <v>0</v>
      </c>
      <c r="AX200" s="46">
        <v>0</v>
      </c>
      <c r="AY200" s="46">
        <v>0</v>
      </c>
      <c r="AZ200" s="46">
        <v>0</v>
      </c>
      <c r="BA200" s="46">
        <v>0</v>
      </c>
      <c r="BB200" s="46">
        <v>0</v>
      </c>
      <c r="BC200" s="46">
        <v>0</v>
      </c>
      <c r="BD200" s="46">
        <v>0</v>
      </c>
      <c r="BE200" s="46">
        <v>0</v>
      </c>
      <c r="BF200" s="46">
        <v>0</v>
      </c>
      <c r="BG200" s="46" t="s">
        <v>48</v>
      </c>
      <c r="BH200" s="46">
        <v>0</v>
      </c>
      <c r="BI200" s="46">
        <v>0</v>
      </c>
      <c r="BJ200" s="46">
        <v>0</v>
      </c>
      <c r="BK200" s="46">
        <v>0</v>
      </c>
      <c r="BL200" s="46">
        <v>0</v>
      </c>
      <c r="BM200" s="46">
        <v>0</v>
      </c>
      <c r="BN200" s="46">
        <v>0</v>
      </c>
    </row>
    <row r="201" spans="1:66" x14ac:dyDescent="0.35">
      <c r="A201" t="s">
        <v>4145</v>
      </c>
      <c r="B201" s="44" t="s">
        <v>48</v>
      </c>
      <c r="C201" t="s">
        <v>2518</v>
      </c>
      <c r="D201" t="s">
        <v>714</v>
      </c>
      <c r="E201" t="s">
        <v>4146</v>
      </c>
      <c r="F201" t="s">
        <v>147</v>
      </c>
      <c r="G201" t="s">
        <v>47</v>
      </c>
      <c r="H201">
        <v>0</v>
      </c>
      <c r="I201" s="60" t="s">
        <v>149</v>
      </c>
      <c r="J201" s="33" t="s">
        <v>96</v>
      </c>
      <c r="K201" s="46">
        <v>0</v>
      </c>
      <c r="L201">
        <v>1.1000000000000001</v>
      </c>
      <c r="M201" t="s">
        <v>48</v>
      </c>
      <c r="N201" s="46">
        <v>0</v>
      </c>
      <c r="O201" s="46">
        <v>0</v>
      </c>
      <c r="P201" s="46">
        <v>0</v>
      </c>
      <c r="Q201" t="s">
        <v>48</v>
      </c>
      <c r="R201" t="s">
        <v>48</v>
      </c>
      <c r="S201" t="s">
        <v>4147</v>
      </c>
      <c r="T201" t="s">
        <v>48</v>
      </c>
      <c r="U201" t="s">
        <v>4147</v>
      </c>
      <c r="V201" s="47">
        <v>0</v>
      </c>
      <c r="W201" t="s">
        <v>48</v>
      </c>
      <c r="X201" t="s">
        <v>48</v>
      </c>
      <c r="Y201" t="s">
        <v>48</v>
      </c>
      <c r="Z201">
        <v>0</v>
      </c>
      <c r="AA201" t="s">
        <v>48</v>
      </c>
      <c r="AB201" t="s">
        <v>48</v>
      </c>
      <c r="AC201" t="s">
        <v>49</v>
      </c>
      <c r="AD201" t="s">
        <v>93</v>
      </c>
      <c r="AE201" t="s">
        <v>4532</v>
      </c>
      <c r="AF201" t="s">
        <v>48</v>
      </c>
      <c r="AG201" t="s">
        <v>48</v>
      </c>
      <c r="AH201" t="s">
        <v>48</v>
      </c>
      <c r="AI201" t="s">
        <v>48</v>
      </c>
      <c r="AJ201" t="s">
        <v>48</v>
      </c>
      <c r="AK201" t="s">
        <v>48</v>
      </c>
      <c r="AL201" t="s">
        <v>48</v>
      </c>
      <c r="AM201" t="s">
        <v>48</v>
      </c>
      <c r="AN201" t="s">
        <v>48</v>
      </c>
      <c r="AO201" t="s">
        <v>48</v>
      </c>
      <c r="AP201" s="46">
        <v>0</v>
      </c>
      <c r="AQ201" s="46">
        <v>0</v>
      </c>
      <c r="AR201" s="46">
        <v>0</v>
      </c>
      <c r="AS201" s="46">
        <v>0</v>
      </c>
      <c r="AT201" s="46">
        <v>0</v>
      </c>
      <c r="AU201" s="46">
        <v>0</v>
      </c>
      <c r="AV201" s="46">
        <v>0</v>
      </c>
      <c r="AW201" s="46">
        <v>0</v>
      </c>
      <c r="AX201" s="46">
        <v>0</v>
      </c>
      <c r="AY201" s="46">
        <v>0</v>
      </c>
      <c r="AZ201" s="46">
        <v>0</v>
      </c>
      <c r="BA201" s="46">
        <v>0</v>
      </c>
      <c r="BB201" s="46">
        <v>0</v>
      </c>
      <c r="BC201" s="46">
        <v>0</v>
      </c>
      <c r="BD201" s="46">
        <v>0</v>
      </c>
      <c r="BE201" s="46">
        <v>0</v>
      </c>
      <c r="BF201" s="46">
        <v>0</v>
      </c>
      <c r="BG201" s="46" t="s">
        <v>48</v>
      </c>
      <c r="BH201" s="46">
        <v>0</v>
      </c>
      <c r="BI201" s="46">
        <v>0</v>
      </c>
      <c r="BJ201" s="46">
        <v>0</v>
      </c>
      <c r="BK201" s="46">
        <v>0</v>
      </c>
      <c r="BL201" s="46">
        <v>0</v>
      </c>
      <c r="BM201" s="46">
        <v>0</v>
      </c>
      <c r="BN201" s="46">
        <v>0</v>
      </c>
    </row>
    <row r="202" spans="1:66" x14ac:dyDescent="0.35">
      <c r="A202" t="s">
        <v>4152</v>
      </c>
      <c r="B202" s="44" t="s">
        <v>48</v>
      </c>
      <c r="C202" t="s">
        <v>2383</v>
      </c>
      <c r="D202" t="s">
        <v>714</v>
      </c>
      <c r="E202" t="s">
        <v>4153</v>
      </c>
      <c r="F202" t="s">
        <v>147</v>
      </c>
      <c r="G202" t="s">
        <v>47</v>
      </c>
      <c r="H202">
        <v>0</v>
      </c>
      <c r="I202" s="60" t="s">
        <v>177</v>
      </c>
      <c r="J202" s="33" t="s">
        <v>96</v>
      </c>
      <c r="K202" s="46">
        <v>0</v>
      </c>
      <c r="L202">
        <v>0.3</v>
      </c>
      <c r="M202" t="s">
        <v>48</v>
      </c>
      <c r="N202" s="46">
        <v>0</v>
      </c>
      <c r="O202" s="46">
        <v>0</v>
      </c>
      <c r="P202" s="46">
        <v>0</v>
      </c>
      <c r="Q202" t="s">
        <v>48</v>
      </c>
      <c r="R202" t="s">
        <v>48</v>
      </c>
      <c r="S202" t="s">
        <v>48</v>
      </c>
      <c r="T202" t="s">
        <v>48</v>
      </c>
      <c r="U202" t="s">
        <v>48</v>
      </c>
      <c r="V202" s="47">
        <v>0</v>
      </c>
      <c r="W202" t="s">
        <v>48</v>
      </c>
      <c r="X202" t="s">
        <v>48</v>
      </c>
      <c r="Y202" t="s">
        <v>48</v>
      </c>
      <c r="Z202">
        <v>0</v>
      </c>
      <c r="AA202" t="s">
        <v>48</v>
      </c>
      <c r="AB202" t="s">
        <v>48</v>
      </c>
      <c r="AC202" t="s">
        <v>49</v>
      </c>
      <c r="AD202" t="s">
        <v>48</v>
      </c>
      <c r="AE202" t="s">
        <v>48</v>
      </c>
      <c r="AF202" t="s">
        <v>48</v>
      </c>
      <c r="AG202" t="s">
        <v>48</v>
      </c>
      <c r="AH202" t="s">
        <v>48</v>
      </c>
      <c r="AI202" t="s">
        <v>48</v>
      </c>
      <c r="AJ202" t="s">
        <v>48</v>
      </c>
      <c r="AK202" t="s">
        <v>48</v>
      </c>
      <c r="AL202" t="s">
        <v>48</v>
      </c>
      <c r="AM202" t="s">
        <v>48</v>
      </c>
      <c r="AN202" t="s">
        <v>48</v>
      </c>
      <c r="AO202" t="s">
        <v>48</v>
      </c>
      <c r="AP202" s="46">
        <v>0</v>
      </c>
      <c r="AQ202" s="46">
        <v>0</v>
      </c>
      <c r="AR202" s="46">
        <v>0</v>
      </c>
      <c r="AS202" s="46">
        <v>0</v>
      </c>
      <c r="AT202" s="46">
        <v>0</v>
      </c>
      <c r="AU202" s="46">
        <v>0</v>
      </c>
      <c r="AV202" s="46">
        <v>0</v>
      </c>
      <c r="AW202" s="46">
        <v>0</v>
      </c>
      <c r="AX202" s="46">
        <v>0</v>
      </c>
      <c r="AY202" s="46">
        <v>0</v>
      </c>
      <c r="AZ202" s="46">
        <v>0</v>
      </c>
      <c r="BA202" s="46">
        <v>0</v>
      </c>
      <c r="BB202" s="46">
        <v>0</v>
      </c>
      <c r="BC202" s="46">
        <v>0</v>
      </c>
      <c r="BD202" s="46">
        <v>0</v>
      </c>
      <c r="BE202" s="46">
        <v>0</v>
      </c>
      <c r="BF202" s="46">
        <v>0</v>
      </c>
      <c r="BG202" s="46" t="s">
        <v>48</v>
      </c>
      <c r="BH202" s="46">
        <v>0</v>
      </c>
      <c r="BI202" s="46">
        <v>0</v>
      </c>
      <c r="BJ202" s="46">
        <v>0</v>
      </c>
      <c r="BK202" s="46">
        <v>0</v>
      </c>
      <c r="BL202" s="46">
        <v>0</v>
      </c>
      <c r="BM202" s="46">
        <v>0</v>
      </c>
      <c r="BN202" s="46">
        <v>0</v>
      </c>
    </row>
    <row r="203" spans="1:66" x14ac:dyDescent="0.35">
      <c r="A203" t="s">
        <v>4133</v>
      </c>
      <c r="B203" s="44" t="s">
        <v>48</v>
      </c>
      <c r="C203" t="s">
        <v>1444</v>
      </c>
      <c r="D203" t="s">
        <v>4136</v>
      </c>
      <c r="E203" t="s">
        <v>4134</v>
      </c>
      <c r="F203" t="s">
        <v>147</v>
      </c>
      <c r="G203" t="s">
        <v>47</v>
      </c>
      <c r="H203">
        <v>0</v>
      </c>
      <c r="I203" s="60" t="s">
        <v>177</v>
      </c>
      <c r="J203" s="33" t="s">
        <v>96</v>
      </c>
      <c r="K203" s="46">
        <v>0</v>
      </c>
      <c r="L203">
        <v>0.2</v>
      </c>
      <c r="M203" t="s">
        <v>48</v>
      </c>
      <c r="N203" s="46">
        <v>0</v>
      </c>
      <c r="O203" s="46">
        <v>0</v>
      </c>
      <c r="P203" s="46">
        <v>0</v>
      </c>
      <c r="Q203" t="s">
        <v>48</v>
      </c>
      <c r="R203" t="s">
        <v>48</v>
      </c>
      <c r="S203" t="s">
        <v>4135</v>
      </c>
      <c r="T203" t="s">
        <v>48</v>
      </c>
      <c r="U203" t="s">
        <v>4135</v>
      </c>
      <c r="V203" s="47">
        <v>0</v>
      </c>
      <c r="W203" t="s">
        <v>48</v>
      </c>
      <c r="X203" t="s">
        <v>48</v>
      </c>
      <c r="Y203" t="s">
        <v>48</v>
      </c>
      <c r="Z203">
        <v>0</v>
      </c>
      <c r="AA203" t="s">
        <v>48</v>
      </c>
      <c r="AB203" t="s">
        <v>48</v>
      </c>
      <c r="AC203" t="s">
        <v>49</v>
      </c>
      <c r="AD203" t="s">
        <v>93</v>
      </c>
      <c r="AE203" s="40" t="s">
        <v>2471</v>
      </c>
      <c r="AF203" t="s">
        <v>11061</v>
      </c>
      <c r="AG203" t="s">
        <v>48</v>
      </c>
      <c r="AH203" t="s">
        <v>48</v>
      </c>
      <c r="AI203" t="s">
        <v>48</v>
      </c>
      <c r="AJ203" t="s">
        <v>48</v>
      </c>
      <c r="AK203" t="s">
        <v>48</v>
      </c>
      <c r="AL203" t="s">
        <v>48</v>
      </c>
      <c r="AM203" t="s">
        <v>48</v>
      </c>
      <c r="AN203" t="s">
        <v>48</v>
      </c>
      <c r="AO203" t="s">
        <v>48</v>
      </c>
      <c r="AP203" s="46">
        <v>0</v>
      </c>
      <c r="AQ203" s="46">
        <v>0</v>
      </c>
      <c r="AR203" s="46">
        <v>0</v>
      </c>
      <c r="AS203" s="46">
        <v>0</v>
      </c>
      <c r="AT203" s="46">
        <v>0</v>
      </c>
      <c r="AU203" s="46">
        <v>0</v>
      </c>
      <c r="AV203" s="46">
        <v>0</v>
      </c>
      <c r="AW203" s="46">
        <v>0</v>
      </c>
      <c r="AX203" s="46">
        <v>0</v>
      </c>
      <c r="AY203" s="46">
        <v>0</v>
      </c>
      <c r="AZ203" s="46">
        <v>0</v>
      </c>
      <c r="BA203" s="46">
        <v>0</v>
      </c>
      <c r="BB203" s="46">
        <v>0</v>
      </c>
      <c r="BC203" s="46">
        <v>0</v>
      </c>
      <c r="BD203" s="46">
        <v>0</v>
      </c>
      <c r="BE203" s="46">
        <v>0</v>
      </c>
      <c r="BF203" s="46">
        <v>0</v>
      </c>
      <c r="BG203" s="46" t="s">
        <v>48</v>
      </c>
      <c r="BH203" s="46">
        <v>0</v>
      </c>
      <c r="BI203" s="46">
        <v>0</v>
      </c>
      <c r="BJ203" s="46">
        <v>0</v>
      </c>
      <c r="BK203" s="46">
        <v>0</v>
      </c>
      <c r="BL203" s="46">
        <v>0</v>
      </c>
      <c r="BM203" s="46">
        <v>0</v>
      </c>
      <c r="BN203" s="46">
        <v>0</v>
      </c>
    </row>
    <row r="204" spans="1:66" x14ac:dyDescent="0.35">
      <c r="A204" t="s">
        <v>4114</v>
      </c>
      <c r="B204" s="44" t="s">
        <v>48</v>
      </c>
      <c r="C204" t="s">
        <v>4117</v>
      </c>
      <c r="D204" t="s">
        <v>1005</v>
      </c>
      <c r="E204" t="s">
        <v>4115</v>
      </c>
      <c r="F204" t="s">
        <v>147</v>
      </c>
      <c r="G204" t="s">
        <v>47</v>
      </c>
      <c r="H204">
        <v>0</v>
      </c>
      <c r="I204" s="60" t="s">
        <v>177</v>
      </c>
      <c r="J204" s="33" t="s">
        <v>96</v>
      </c>
      <c r="K204" s="46">
        <v>0</v>
      </c>
      <c r="L204">
        <v>18.899999999999999</v>
      </c>
      <c r="M204" t="s">
        <v>48</v>
      </c>
      <c r="N204" s="46">
        <v>0</v>
      </c>
      <c r="O204" s="46">
        <v>0</v>
      </c>
      <c r="P204" s="46">
        <v>0</v>
      </c>
      <c r="Q204" t="s">
        <v>48</v>
      </c>
      <c r="R204" t="s">
        <v>48</v>
      </c>
      <c r="S204" t="s">
        <v>4116</v>
      </c>
      <c r="T204" t="s">
        <v>48</v>
      </c>
      <c r="U204" t="s">
        <v>4116</v>
      </c>
      <c r="V204" s="47">
        <v>0</v>
      </c>
      <c r="W204" t="s">
        <v>48</v>
      </c>
      <c r="X204" t="s">
        <v>48</v>
      </c>
      <c r="Y204" t="s">
        <v>48</v>
      </c>
      <c r="Z204">
        <v>0</v>
      </c>
      <c r="AA204" t="s">
        <v>48</v>
      </c>
      <c r="AB204" t="s">
        <v>48</v>
      </c>
      <c r="AC204" t="s">
        <v>49</v>
      </c>
      <c r="AD204" t="s">
        <v>93</v>
      </c>
      <c r="AE204" t="s">
        <v>4532</v>
      </c>
      <c r="AF204" t="s">
        <v>48</v>
      </c>
      <c r="AG204" t="s">
        <v>48</v>
      </c>
      <c r="AH204" t="s">
        <v>48</v>
      </c>
      <c r="AI204" t="s">
        <v>48</v>
      </c>
      <c r="AJ204" t="s">
        <v>48</v>
      </c>
      <c r="AK204" t="s">
        <v>48</v>
      </c>
      <c r="AL204" t="s">
        <v>48</v>
      </c>
      <c r="AM204" t="s">
        <v>48</v>
      </c>
      <c r="AN204" t="s">
        <v>48</v>
      </c>
      <c r="AO204" t="s">
        <v>48</v>
      </c>
      <c r="AP204" s="46">
        <v>0</v>
      </c>
      <c r="AQ204" s="46">
        <v>0</v>
      </c>
      <c r="AR204" s="46">
        <v>0</v>
      </c>
      <c r="AS204" s="46">
        <v>0</v>
      </c>
      <c r="AT204" s="46">
        <v>0</v>
      </c>
      <c r="AU204" s="46">
        <v>0</v>
      </c>
      <c r="AV204" s="46">
        <v>0</v>
      </c>
      <c r="AW204" s="46">
        <v>0</v>
      </c>
      <c r="AX204" s="46">
        <v>0</v>
      </c>
      <c r="AY204" s="46">
        <v>0</v>
      </c>
      <c r="AZ204" s="46">
        <v>0</v>
      </c>
      <c r="BA204" s="46">
        <v>0</v>
      </c>
      <c r="BB204" s="46">
        <v>0</v>
      </c>
      <c r="BC204" s="46">
        <v>0</v>
      </c>
      <c r="BD204" s="46">
        <v>0</v>
      </c>
      <c r="BE204" s="46">
        <v>0</v>
      </c>
      <c r="BF204" s="46">
        <v>0</v>
      </c>
      <c r="BG204" s="46" t="s">
        <v>48</v>
      </c>
      <c r="BH204" s="46">
        <v>0</v>
      </c>
      <c r="BI204" s="46">
        <v>0</v>
      </c>
      <c r="BJ204" s="46">
        <v>0</v>
      </c>
      <c r="BK204" s="46">
        <v>0</v>
      </c>
      <c r="BL204" s="46">
        <v>0</v>
      </c>
      <c r="BM204" s="46">
        <v>0</v>
      </c>
      <c r="BN204" s="46">
        <v>0</v>
      </c>
    </row>
    <row r="205" spans="1:66" x14ac:dyDescent="0.35">
      <c r="A205" t="s">
        <v>4140</v>
      </c>
      <c r="B205" s="44" t="s">
        <v>48</v>
      </c>
      <c r="C205" t="s">
        <v>4144</v>
      </c>
      <c r="D205" t="s">
        <v>4143</v>
      </c>
      <c r="E205" t="s">
        <v>4141</v>
      </c>
      <c r="F205" t="s">
        <v>147</v>
      </c>
      <c r="G205" t="s">
        <v>74</v>
      </c>
      <c r="H205">
        <v>0</v>
      </c>
      <c r="I205" s="60" t="s">
        <v>177</v>
      </c>
      <c r="J205" s="33" t="s">
        <v>96</v>
      </c>
      <c r="K205" s="46">
        <v>0</v>
      </c>
      <c r="L205">
        <v>2.4</v>
      </c>
      <c r="M205" t="s">
        <v>48</v>
      </c>
      <c r="N205" s="46">
        <v>0</v>
      </c>
      <c r="O205" s="46">
        <v>0</v>
      </c>
      <c r="P205" s="46">
        <v>0</v>
      </c>
      <c r="Q205" t="s">
        <v>48</v>
      </c>
      <c r="R205" t="s">
        <v>48</v>
      </c>
      <c r="S205" t="s">
        <v>4142</v>
      </c>
      <c r="T205" t="s">
        <v>48</v>
      </c>
      <c r="U205" t="s">
        <v>4142</v>
      </c>
      <c r="V205" s="47">
        <v>0</v>
      </c>
      <c r="W205" t="s">
        <v>48</v>
      </c>
      <c r="X205" t="s">
        <v>48</v>
      </c>
      <c r="Y205" t="s">
        <v>48</v>
      </c>
      <c r="Z205">
        <v>0</v>
      </c>
      <c r="AA205" t="s">
        <v>48</v>
      </c>
      <c r="AB205" t="s">
        <v>48</v>
      </c>
      <c r="AC205" t="s">
        <v>63</v>
      </c>
      <c r="AD205" t="s">
        <v>93</v>
      </c>
      <c r="AE205" s="40" t="s">
        <v>2471</v>
      </c>
      <c r="AF205" t="s">
        <v>11061</v>
      </c>
      <c r="AG205" t="s">
        <v>48</v>
      </c>
      <c r="AH205" t="s">
        <v>48</v>
      </c>
      <c r="AI205" t="s">
        <v>48</v>
      </c>
      <c r="AJ205" t="s">
        <v>48</v>
      </c>
      <c r="AK205" t="s">
        <v>48</v>
      </c>
      <c r="AL205" t="s">
        <v>48</v>
      </c>
      <c r="AM205" t="s">
        <v>48</v>
      </c>
      <c r="AN205" t="s">
        <v>48</v>
      </c>
      <c r="AO205" t="s">
        <v>48</v>
      </c>
      <c r="AP205" s="46">
        <v>0</v>
      </c>
      <c r="AQ205" s="46">
        <v>0</v>
      </c>
      <c r="AR205" s="46">
        <v>0</v>
      </c>
      <c r="AS205" s="46">
        <v>0</v>
      </c>
      <c r="AT205" s="46">
        <v>0</v>
      </c>
      <c r="AU205" s="46">
        <v>0</v>
      </c>
      <c r="AV205" s="46">
        <v>0</v>
      </c>
      <c r="AW205" s="46">
        <v>0</v>
      </c>
      <c r="AX205" s="46">
        <v>0</v>
      </c>
      <c r="AY205" s="46">
        <v>0</v>
      </c>
      <c r="AZ205" s="46">
        <v>0</v>
      </c>
      <c r="BA205" s="46">
        <v>0</v>
      </c>
      <c r="BB205" s="46">
        <v>0</v>
      </c>
      <c r="BC205" s="46">
        <v>0</v>
      </c>
      <c r="BD205" s="46">
        <v>0</v>
      </c>
      <c r="BE205" s="46">
        <v>0</v>
      </c>
      <c r="BF205" s="46">
        <v>0</v>
      </c>
      <c r="BG205" s="46" t="s">
        <v>48</v>
      </c>
      <c r="BH205" s="46">
        <v>0</v>
      </c>
      <c r="BI205" s="46">
        <v>0</v>
      </c>
      <c r="BJ205" s="46">
        <v>0</v>
      </c>
      <c r="BK205" s="46">
        <v>0</v>
      </c>
      <c r="BL205" s="46">
        <v>0</v>
      </c>
      <c r="BM205" s="46">
        <v>0</v>
      </c>
      <c r="BN205" s="46">
        <v>0</v>
      </c>
    </row>
    <row r="206" spans="1:66" x14ac:dyDescent="0.35">
      <c r="A206" t="s">
        <v>4120</v>
      </c>
      <c r="B206" s="44" t="s">
        <v>48</v>
      </c>
      <c r="C206" t="s">
        <v>364</v>
      </c>
      <c r="D206" t="s">
        <v>4123</v>
      </c>
      <c r="E206" t="s">
        <v>4121</v>
      </c>
      <c r="F206" t="s">
        <v>147</v>
      </c>
      <c r="G206" t="s">
        <v>74</v>
      </c>
      <c r="H206">
        <v>0</v>
      </c>
      <c r="I206" s="60" t="s">
        <v>177</v>
      </c>
      <c r="J206" s="33" t="s">
        <v>96</v>
      </c>
      <c r="K206" s="46">
        <v>0</v>
      </c>
      <c r="L206">
        <v>1.8</v>
      </c>
      <c r="M206" t="s">
        <v>48</v>
      </c>
      <c r="N206" s="46">
        <v>0</v>
      </c>
      <c r="O206" s="46">
        <v>0</v>
      </c>
      <c r="P206" s="46">
        <v>0</v>
      </c>
      <c r="Q206" t="s">
        <v>48</v>
      </c>
      <c r="R206" t="s">
        <v>48</v>
      </c>
      <c r="S206" t="s">
        <v>4122</v>
      </c>
      <c r="T206" t="s">
        <v>48</v>
      </c>
      <c r="U206" t="s">
        <v>4122</v>
      </c>
      <c r="V206" s="47">
        <v>0</v>
      </c>
      <c r="W206" t="s">
        <v>48</v>
      </c>
      <c r="X206" t="s">
        <v>48</v>
      </c>
      <c r="Y206" t="s">
        <v>48</v>
      </c>
      <c r="Z206">
        <v>0</v>
      </c>
      <c r="AA206" t="s">
        <v>48</v>
      </c>
      <c r="AB206" t="s">
        <v>48</v>
      </c>
      <c r="AC206" t="s">
        <v>49</v>
      </c>
      <c r="AD206" t="s">
        <v>93</v>
      </c>
      <c r="AE206" s="40" t="s">
        <v>2471</v>
      </c>
      <c r="AF206" t="s">
        <v>11061</v>
      </c>
      <c r="AG206" t="s">
        <v>48</v>
      </c>
      <c r="AH206" t="s">
        <v>48</v>
      </c>
      <c r="AI206" t="s">
        <v>48</v>
      </c>
      <c r="AJ206" t="s">
        <v>48</v>
      </c>
      <c r="AK206" t="s">
        <v>48</v>
      </c>
      <c r="AL206" t="s">
        <v>48</v>
      </c>
      <c r="AM206" t="s">
        <v>48</v>
      </c>
      <c r="AN206" t="s">
        <v>48</v>
      </c>
      <c r="AO206" t="s">
        <v>48</v>
      </c>
      <c r="AP206" s="46">
        <v>0</v>
      </c>
      <c r="AQ206" s="46">
        <v>0</v>
      </c>
      <c r="AR206" s="46">
        <v>0</v>
      </c>
      <c r="AS206" s="46">
        <v>0</v>
      </c>
      <c r="AT206" s="46">
        <v>0</v>
      </c>
      <c r="AU206" s="46">
        <v>0</v>
      </c>
      <c r="AV206" s="46">
        <v>0</v>
      </c>
      <c r="AW206" s="46">
        <v>0</v>
      </c>
      <c r="AX206" s="46">
        <v>0</v>
      </c>
      <c r="AY206" s="46">
        <v>0</v>
      </c>
      <c r="AZ206" s="46">
        <v>0</v>
      </c>
      <c r="BA206" s="46">
        <v>0</v>
      </c>
      <c r="BB206" s="46">
        <v>0</v>
      </c>
      <c r="BC206" s="46">
        <v>0</v>
      </c>
      <c r="BD206" s="46">
        <v>0</v>
      </c>
      <c r="BE206" s="46">
        <v>0</v>
      </c>
      <c r="BF206" s="46">
        <v>0</v>
      </c>
      <c r="BG206" s="46" t="s">
        <v>48</v>
      </c>
      <c r="BH206" s="46">
        <v>0</v>
      </c>
      <c r="BI206" s="46">
        <v>0</v>
      </c>
      <c r="BJ206" s="46">
        <v>0</v>
      </c>
      <c r="BK206" s="46">
        <v>0</v>
      </c>
      <c r="BL206" s="46">
        <v>0</v>
      </c>
      <c r="BM206" s="46">
        <v>0</v>
      </c>
      <c r="BN206" s="46">
        <v>0</v>
      </c>
    </row>
    <row r="207" spans="1:66" x14ac:dyDescent="0.35">
      <c r="A207" t="s">
        <v>4137</v>
      </c>
      <c r="B207" s="44" t="s">
        <v>48</v>
      </c>
      <c r="C207" t="s">
        <v>4139</v>
      </c>
      <c r="D207" t="s">
        <v>2660</v>
      </c>
      <c r="E207" t="s">
        <v>4138</v>
      </c>
      <c r="F207" t="s">
        <v>147</v>
      </c>
      <c r="G207" t="s">
        <v>74</v>
      </c>
      <c r="H207">
        <v>0</v>
      </c>
      <c r="I207" s="60" t="s">
        <v>125</v>
      </c>
      <c r="J207" s="33" t="s">
        <v>96</v>
      </c>
      <c r="K207" s="46">
        <v>0</v>
      </c>
      <c r="L207">
        <v>1.4</v>
      </c>
      <c r="M207" t="s">
        <v>48</v>
      </c>
      <c r="N207" s="46">
        <v>0</v>
      </c>
      <c r="O207" s="46">
        <v>0</v>
      </c>
      <c r="P207" s="46">
        <v>0</v>
      </c>
      <c r="Q207" t="s">
        <v>48</v>
      </c>
      <c r="R207" t="s">
        <v>48</v>
      </c>
      <c r="S207" t="s">
        <v>10263</v>
      </c>
      <c r="T207" t="s">
        <v>48</v>
      </c>
      <c r="U207" t="s">
        <v>10263</v>
      </c>
      <c r="V207" s="47">
        <v>0</v>
      </c>
      <c r="W207" t="s">
        <v>48</v>
      </c>
      <c r="X207" t="s">
        <v>48</v>
      </c>
      <c r="Y207" t="s">
        <v>48</v>
      </c>
      <c r="Z207">
        <v>0</v>
      </c>
      <c r="AA207" t="s">
        <v>48</v>
      </c>
      <c r="AB207" t="s">
        <v>48</v>
      </c>
      <c r="AC207" t="s">
        <v>49</v>
      </c>
      <c r="AD207" t="s">
        <v>93</v>
      </c>
      <c r="AE207" s="40" t="s">
        <v>2471</v>
      </c>
      <c r="AF207" t="s">
        <v>48</v>
      </c>
      <c r="AG207" t="s">
        <v>48</v>
      </c>
      <c r="AH207" t="s">
        <v>48</v>
      </c>
      <c r="AI207" t="s">
        <v>48</v>
      </c>
      <c r="AJ207" t="s">
        <v>48</v>
      </c>
      <c r="AK207" t="s">
        <v>48</v>
      </c>
      <c r="AL207" t="s">
        <v>48</v>
      </c>
      <c r="AM207" t="s">
        <v>48</v>
      </c>
      <c r="AN207" t="s">
        <v>48</v>
      </c>
      <c r="AO207" t="s">
        <v>48</v>
      </c>
      <c r="AP207" s="46">
        <v>0</v>
      </c>
      <c r="AQ207" s="46">
        <v>0</v>
      </c>
      <c r="AR207" s="46">
        <v>0</v>
      </c>
      <c r="AS207" s="46">
        <v>0</v>
      </c>
      <c r="AT207" s="46">
        <v>0</v>
      </c>
      <c r="AU207" s="46">
        <v>0</v>
      </c>
      <c r="AV207" s="46">
        <v>0</v>
      </c>
      <c r="AW207" s="46">
        <v>0</v>
      </c>
      <c r="AX207" s="46">
        <v>0</v>
      </c>
      <c r="AY207" s="46">
        <v>0</v>
      </c>
      <c r="AZ207" s="46">
        <v>0</v>
      </c>
      <c r="BA207" s="46">
        <v>0</v>
      </c>
      <c r="BB207" s="46">
        <v>0</v>
      </c>
      <c r="BC207" s="46">
        <v>0</v>
      </c>
      <c r="BD207" s="46">
        <v>0</v>
      </c>
      <c r="BE207" s="46">
        <v>0</v>
      </c>
      <c r="BF207" s="46">
        <v>0</v>
      </c>
      <c r="BG207" s="46" t="s">
        <v>48</v>
      </c>
      <c r="BH207" s="46">
        <v>0</v>
      </c>
      <c r="BI207" s="46">
        <v>0</v>
      </c>
      <c r="BJ207" s="46">
        <v>0</v>
      </c>
      <c r="BK207" s="46">
        <v>0</v>
      </c>
      <c r="BL207" s="46">
        <v>0</v>
      </c>
      <c r="BM207" s="46">
        <v>0</v>
      </c>
      <c r="BN207" s="46">
        <v>0</v>
      </c>
    </row>
    <row r="208" spans="1:66" x14ac:dyDescent="0.35">
      <c r="A208" t="s">
        <v>4124</v>
      </c>
      <c r="B208" s="44" t="s">
        <v>48</v>
      </c>
      <c r="C208" t="s">
        <v>4127</v>
      </c>
      <c r="D208" t="s">
        <v>2954</v>
      </c>
      <c r="E208" t="s">
        <v>4125</v>
      </c>
      <c r="F208" t="s">
        <v>147</v>
      </c>
      <c r="G208" t="s">
        <v>74</v>
      </c>
      <c r="H208">
        <v>0</v>
      </c>
      <c r="I208" s="60" t="s">
        <v>177</v>
      </c>
      <c r="J208" s="33" t="s">
        <v>96</v>
      </c>
      <c r="K208" s="46">
        <v>0</v>
      </c>
      <c r="L208">
        <v>38.4</v>
      </c>
      <c r="M208" t="s">
        <v>48</v>
      </c>
      <c r="N208" s="46">
        <v>0</v>
      </c>
      <c r="O208" s="46">
        <v>0</v>
      </c>
      <c r="P208" s="46">
        <v>0</v>
      </c>
      <c r="Q208" t="s">
        <v>48</v>
      </c>
      <c r="R208" t="s">
        <v>48</v>
      </c>
      <c r="S208" t="s">
        <v>4126</v>
      </c>
      <c r="T208" t="s">
        <v>48</v>
      </c>
      <c r="U208" t="s">
        <v>4126</v>
      </c>
      <c r="V208" s="47">
        <v>0</v>
      </c>
      <c r="W208" t="s">
        <v>48</v>
      </c>
      <c r="X208" t="s">
        <v>48</v>
      </c>
      <c r="Y208" t="s">
        <v>48</v>
      </c>
      <c r="Z208">
        <v>0</v>
      </c>
      <c r="AA208" t="s">
        <v>48</v>
      </c>
      <c r="AB208" t="s">
        <v>48</v>
      </c>
      <c r="AC208" t="s">
        <v>49</v>
      </c>
      <c r="AD208" t="s">
        <v>93</v>
      </c>
      <c r="AE208" t="s">
        <v>4532</v>
      </c>
      <c r="AF208" t="s">
        <v>48</v>
      </c>
      <c r="AG208" t="s">
        <v>48</v>
      </c>
      <c r="AH208" t="s">
        <v>48</v>
      </c>
      <c r="AI208" t="s">
        <v>48</v>
      </c>
      <c r="AJ208" t="s">
        <v>48</v>
      </c>
      <c r="AK208" t="s">
        <v>48</v>
      </c>
      <c r="AL208" t="s">
        <v>48</v>
      </c>
      <c r="AM208" t="s">
        <v>48</v>
      </c>
      <c r="AN208" t="s">
        <v>48</v>
      </c>
      <c r="AO208" t="s">
        <v>48</v>
      </c>
      <c r="AP208" s="46">
        <v>0</v>
      </c>
      <c r="AQ208" s="46">
        <v>1</v>
      </c>
      <c r="AR208" s="46">
        <v>1</v>
      </c>
      <c r="AS208" s="46">
        <v>0</v>
      </c>
      <c r="AT208" s="46">
        <v>0</v>
      </c>
      <c r="AU208" s="46">
        <v>0</v>
      </c>
      <c r="AV208" s="46">
        <v>0</v>
      </c>
      <c r="AW208" s="46">
        <v>0</v>
      </c>
      <c r="AX208" s="46">
        <v>0</v>
      </c>
      <c r="AY208" s="46">
        <v>0</v>
      </c>
      <c r="AZ208" s="46">
        <v>0</v>
      </c>
      <c r="BA208" s="46">
        <v>0</v>
      </c>
      <c r="BB208" s="46">
        <v>0</v>
      </c>
      <c r="BC208" s="46">
        <v>0</v>
      </c>
      <c r="BD208" s="46">
        <v>0</v>
      </c>
      <c r="BE208" s="46">
        <v>0</v>
      </c>
      <c r="BF208" s="46">
        <v>0</v>
      </c>
      <c r="BG208" s="46" t="s">
        <v>48</v>
      </c>
      <c r="BH208" s="46">
        <v>0</v>
      </c>
      <c r="BI208" s="46">
        <v>0</v>
      </c>
      <c r="BJ208" s="46">
        <v>0</v>
      </c>
      <c r="BK208" s="46">
        <v>1</v>
      </c>
      <c r="BL208" s="46">
        <v>0</v>
      </c>
      <c r="BM208" s="46">
        <v>0</v>
      </c>
      <c r="BN208" s="46">
        <v>0</v>
      </c>
    </row>
    <row r="209" spans="1:66" x14ac:dyDescent="0.35">
      <c r="A209" t="s">
        <v>4129</v>
      </c>
      <c r="B209" s="44" t="s">
        <v>48</v>
      </c>
      <c r="C209" t="s">
        <v>4132</v>
      </c>
      <c r="D209" t="s">
        <v>655</v>
      </c>
      <c r="E209" t="s">
        <v>4130</v>
      </c>
      <c r="F209" t="s">
        <v>147</v>
      </c>
      <c r="G209" t="s">
        <v>47</v>
      </c>
      <c r="H209">
        <v>0</v>
      </c>
      <c r="I209" s="60" t="s">
        <v>177</v>
      </c>
      <c r="J209" s="33" t="s">
        <v>96</v>
      </c>
      <c r="K209" s="46">
        <v>0</v>
      </c>
      <c r="L209">
        <v>3</v>
      </c>
      <c r="M209" t="s">
        <v>48</v>
      </c>
      <c r="N209" s="46">
        <v>0</v>
      </c>
      <c r="O209" s="46">
        <v>0</v>
      </c>
      <c r="P209" s="46">
        <v>0</v>
      </c>
      <c r="Q209" t="s">
        <v>48</v>
      </c>
      <c r="R209" t="s">
        <v>48</v>
      </c>
      <c r="S209" t="s">
        <v>4131</v>
      </c>
      <c r="T209" t="s">
        <v>48</v>
      </c>
      <c r="U209" t="s">
        <v>4131</v>
      </c>
      <c r="V209" s="47">
        <v>1</v>
      </c>
      <c r="W209" t="s">
        <v>48</v>
      </c>
      <c r="X209" t="s">
        <v>48</v>
      </c>
      <c r="Y209" t="s">
        <v>48</v>
      </c>
      <c r="Z209">
        <v>0</v>
      </c>
      <c r="AA209" t="s">
        <v>48</v>
      </c>
      <c r="AB209" t="s">
        <v>48</v>
      </c>
      <c r="AC209" t="s">
        <v>49</v>
      </c>
      <c r="AD209" t="s">
        <v>93</v>
      </c>
      <c r="AE209" t="s">
        <v>4532</v>
      </c>
      <c r="AF209" t="s">
        <v>48</v>
      </c>
      <c r="AG209" t="s">
        <v>48</v>
      </c>
      <c r="AH209" t="s">
        <v>48</v>
      </c>
      <c r="AI209" t="s">
        <v>48</v>
      </c>
      <c r="AJ209" t="s">
        <v>48</v>
      </c>
      <c r="AK209" t="s">
        <v>48</v>
      </c>
      <c r="AL209" t="s">
        <v>48</v>
      </c>
      <c r="AM209" t="s">
        <v>48</v>
      </c>
      <c r="AN209" t="s">
        <v>48</v>
      </c>
      <c r="AO209" t="s">
        <v>48</v>
      </c>
      <c r="AP209" s="46">
        <v>0</v>
      </c>
      <c r="AQ209" s="46">
        <v>0</v>
      </c>
      <c r="AR209" s="46">
        <v>0</v>
      </c>
      <c r="AS209" s="46">
        <v>0</v>
      </c>
      <c r="AT209" s="46">
        <v>0</v>
      </c>
      <c r="AU209" s="46">
        <v>0</v>
      </c>
      <c r="AV209" s="46">
        <v>0</v>
      </c>
      <c r="AW209" s="46">
        <v>0</v>
      </c>
      <c r="AX209" s="46">
        <v>0</v>
      </c>
      <c r="AY209" s="46">
        <v>0</v>
      </c>
      <c r="AZ209" s="46">
        <v>0</v>
      </c>
      <c r="BA209" s="46">
        <v>0</v>
      </c>
      <c r="BB209" s="46">
        <v>0</v>
      </c>
      <c r="BC209" s="46">
        <v>0</v>
      </c>
      <c r="BD209" s="46">
        <v>0</v>
      </c>
      <c r="BE209" s="46">
        <v>0</v>
      </c>
      <c r="BF209" s="46">
        <v>0</v>
      </c>
      <c r="BG209" s="46" t="s">
        <v>48</v>
      </c>
      <c r="BH209" s="46">
        <v>0</v>
      </c>
      <c r="BI209" s="46">
        <v>0</v>
      </c>
      <c r="BJ209" s="46">
        <v>0</v>
      </c>
      <c r="BK209" s="46">
        <v>0</v>
      </c>
      <c r="BL209" s="46">
        <v>0</v>
      </c>
      <c r="BM209" s="46">
        <v>0</v>
      </c>
      <c r="BN209" s="46">
        <v>0</v>
      </c>
    </row>
    <row r="210" spans="1:66" x14ac:dyDescent="0.35">
      <c r="A210" t="s">
        <v>9873</v>
      </c>
      <c r="B210" s="44" t="s">
        <v>48</v>
      </c>
      <c r="C210" t="s">
        <v>364</v>
      </c>
      <c r="D210" t="s">
        <v>2651</v>
      </c>
      <c r="E210" t="s">
        <v>9874</v>
      </c>
      <c r="F210" t="s">
        <v>147</v>
      </c>
      <c r="G210" t="s">
        <v>74</v>
      </c>
      <c r="H210">
        <v>0</v>
      </c>
      <c r="I210" s="61">
        <v>44782</v>
      </c>
      <c r="J210" s="33" t="s">
        <v>96</v>
      </c>
      <c r="K210" s="46">
        <v>0</v>
      </c>
      <c r="L210">
        <v>1.4</v>
      </c>
      <c r="M210" t="s">
        <v>48</v>
      </c>
      <c r="N210" s="46">
        <v>0</v>
      </c>
      <c r="O210" s="46">
        <v>0</v>
      </c>
      <c r="P210" s="46">
        <v>0</v>
      </c>
      <c r="Q210" t="s">
        <v>48</v>
      </c>
      <c r="R210" t="s">
        <v>48</v>
      </c>
      <c r="S210" s="43" t="s">
        <v>10265</v>
      </c>
      <c r="T210" s="43" t="s">
        <v>48</v>
      </c>
      <c r="U210" s="43" t="s">
        <v>10265</v>
      </c>
      <c r="V210" s="47">
        <v>1</v>
      </c>
      <c r="W210" t="s">
        <v>48</v>
      </c>
      <c r="X210" t="s">
        <v>48</v>
      </c>
      <c r="Y210" t="s">
        <v>48</v>
      </c>
      <c r="Z210" t="s">
        <v>48</v>
      </c>
      <c r="AA210" t="s">
        <v>48</v>
      </c>
      <c r="AB210" t="s">
        <v>48</v>
      </c>
      <c r="AC210" t="s">
        <v>49</v>
      </c>
      <c r="AD210" t="s">
        <v>93</v>
      </c>
      <c r="AE210" s="40" t="s">
        <v>4532</v>
      </c>
      <c r="AF210" t="s">
        <v>48</v>
      </c>
      <c r="AG210" t="s">
        <v>48</v>
      </c>
      <c r="AH210" t="s">
        <v>48</v>
      </c>
      <c r="AI210" t="s">
        <v>48</v>
      </c>
      <c r="AJ210" t="s">
        <v>48</v>
      </c>
      <c r="AK210" t="s">
        <v>48</v>
      </c>
      <c r="AL210" t="s">
        <v>48</v>
      </c>
      <c r="AM210" t="s">
        <v>48</v>
      </c>
      <c r="AN210" t="s">
        <v>48</v>
      </c>
      <c r="AO210" t="s">
        <v>48</v>
      </c>
      <c r="AP210" s="46">
        <v>0</v>
      </c>
      <c r="AQ210" s="46">
        <v>0</v>
      </c>
      <c r="AR210" s="46">
        <v>0</v>
      </c>
      <c r="AS210" s="46">
        <v>0</v>
      </c>
      <c r="AT210" s="46">
        <v>0</v>
      </c>
      <c r="AU210" s="46">
        <v>0</v>
      </c>
      <c r="AV210" s="46">
        <v>0</v>
      </c>
      <c r="AW210" s="46">
        <v>0</v>
      </c>
      <c r="AX210" s="46">
        <v>0</v>
      </c>
      <c r="AY210" s="46">
        <v>0</v>
      </c>
      <c r="AZ210" s="46">
        <v>0</v>
      </c>
      <c r="BA210" s="46">
        <v>0</v>
      </c>
      <c r="BB210" s="46">
        <v>0</v>
      </c>
      <c r="BC210" s="46">
        <v>0</v>
      </c>
      <c r="BD210" s="46">
        <v>0</v>
      </c>
      <c r="BE210" s="46">
        <v>0</v>
      </c>
      <c r="BF210" s="46">
        <v>0</v>
      </c>
      <c r="BG210" s="46" t="s">
        <v>48</v>
      </c>
      <c r="BH210" s="46">
        <v>0</v>
      </c>
      <c r="BI210" s="46">
        <v>0</v>
      </c>
      <c r="BJ210" s="46">
        <v>0</v>
      </c>
      <c r="BK210" s="46">
        <v>0</v>
      </c>
      <c r="BL210" s="46">
        <v>0</v>
      </c>
      <c r="BM210" s="46">
        <v>0</v>
      </c>
      <c r="BN210" s="46">
        <v>0</v>
      </c>
    </row>
    <row r="211" spans="1:66" x14ac:dyDescent="0.35">
      <c r="A211" t="s">
        <v>9875</v>
      </c>
      <c r="B211" s="44" t="s">
        <v>48</v>
      </c>
      <c r="C211" t="s">
        <v>2140</v>
      </c>
      <c r="D211" t="s">
        <v>3991</v>
      </c>
      <c r="E211" t="s">
        <v>9876</v>
      </c>
      <c r="F211" t="s">
        <v>147</v>
      </c>
      <c r="G211" t="s">
        <v>74</v>
      </c>
      <c r="H211">
        <v>0</v>
      </c>
      <c r="I211" s="61">
        <v>44782</v>
      </c>
      <c r="J211" s="33" t="s">
        <v>96</v>
      </c>
      <c r="K211" s="46">
        <v>0</v>
      </c>
      <c r="L211">
        <v>1.1000000000000001</v>
      </c>
      <c r="M211" t="s">
        <v>48</v>
      </c>
      <c r="N211" s="46">
        <v>0</v>
      </c>
      <c r="O211" s="46">
        <v>0</v>
      </c>
      <c r="P211" s="46">
        <v>0</v>
      </c>
      <c r="Q211" t="s">
        <v>48</v>
      </c>
      <c r="R211" t="s">
        <v>48</v>
      </c>
      <c r="S211" s="43" t="s">
        <v>48</v>
      </c>
      <c r="T211" s="43" t="s">
        <v>48</v>
      </c>
      <c r="U211" s="43" t="s">
        <v>48</v>
      </c>
      <c r="V211" s="47">
        <v>0</v>
      </c>
      <c r="W211" t="s">
        <v>48</v>
      </c>
      <c r="X211" t="s">
        <v>48</v>
      </c>
      <c r="Y211" t="s">
        <v>48</v>
      </c>
      <c r="Z211" t="s">
        <v>48</v>
      </c>
      <c r="AA211" t="s">
        <v>48</v>
      </c>
      <c r="AB211" t="s">
        <v>48</v>
      </c>
      <c r="AC211" t="s">
        <v>49</v>
      </c>
      <c r="AD211" t="s">
        <v>93</v>
      </c>
      <c r="AE211" s="40" t="s">
        <v>4532</v>
      </c>
      <c r="AF211" t="s">
        <v>48</v>
      </c>
      <c r="AG211" t="s">
        <v>48</v>
      </c>
      <c r="AH211" t="s">
        <v>48</v>
      </c>
      <c r="AI211" t="s">
        <v>48</v>
      </c>
      <c r="AJ211" t="s">
        <v>48</v>
      </c>
      <c r="AK211" t="s">
        <v>48</v>
      </c>
      <c r="AL211" t="s">
        <v>48</v>
      </c>
      <c r="AM211" t="s">
        <v>48</v>
      </c>
      <c r="AN211" t="s">
        <v>48</v>
      </c>
      <c r="AO211" t="s">
        <v>48</v>
      </c>
      <c r="AP211" s="46">
        <v>0</v>
      </c>
      <c r="AQ211" s="46">
        <v>0</v>
      </c>
      <c r="AR211" s="46">
        <v>0</v>
      </c>
      <c r="AS211" s="46">
        <v>0</v>
      </c>
      <c r="AT211" s="46">
        <v>0</v>
      </c>
      <c r="AU211" s="46">
        <v>0</v>
      </c>
      <c r="AV211" s="46">
        <v>0</v>
      </c>
      <c r="AW211" s="46">
        <v>0</v>
      </c>
      <c r="AX211" s="46">
        <v>0</v>
      </c>
      <c r="AY211" s="46">
        <v>0</v>
      </c>
      <c r="AZ211" s="46">
        <v>0</v>
      </c>
      <c r="BA211" s="46">
        <v>0</v>
      </c>
      <c r="BB211" s="46">
        <v>0</v>
      </c>
      <c r="BC211" s="46">
        <v>0</v>
      </c>
      <c r="BD211" s="46">
        <v>0</v>
      </c>
      <c r="BE211" s="46">
        <v>0</v>
      </c>
      <c r="BF211" s="46">
        <v>0</v>
      </c>
      <c r="BG211" s="46" t="s">
        <v>48</v>
      </c>
      <c r="BH211" s="46">
        <v>0</v>
      </c>
      <c r="BI211" s="46">
        <v>0</v>
      </c>
      <c r="BJ211" s="46">
        <v>0</v>
      </c>
      <c r="BK211" s="46">
        <v>0</v>
      </c>
      <c r="BL211" s="46">
        <v>0</v>
      </c>
      <c r="BM211" s="46">
        <v>0</v>
      </c>
      <c r="BN211" s="46">
        <v>0</v>
      </c>
    </row>
    <row r="212" spans="1:66" x14ac:dyDescent="0.35">
      <c r="A212" t="s">
        <v>4154</v>
      </c>
      <c r="B212" s="44" t="s">
        <v>48</v>
      </c>
      <c r="C212" t="s">
        <v>4158</v>
      </c>
      <c r="D212" t="s">
        <v>4157</v>
      </c>
      <c r="E212" t="s">
        <v>4155</v>
      </c>
      <c r="F212" t="s">
        <v>147</v>
      </c>
      <c r="G212" t="s">
        <v>74</v>
      </c>
      <c r="H212">
        <v>0</v>
      </c>
      <c r="I212" s="60" t="s">
        <v>177</v>
      </c>
      <c r="J212" s="33" t="s">
        <v>96</v>
      </c>
      <c r="K212" s="46">
        <v>0</v>
      </c>
      <c r="L212">
        <v>4.7</v>
      </c>
      <c r="M212" t="s">
        <v>48</v>
      </c>
      <c r="N212" s="46">
        <v>0</v>
      </c>
      <c r="O212" s="46">
        <v>0</v>
      </c>
      <c r="P212" s="46">
        <v>0</v>
      </c>
      <c r="Q212" t="s">
        <v>48</v>
      </c>
      <c r="R212" t="s">
        <v>48</v>
      </c>
      <c r="S212" t="s">
        <v>4156</v>
      </c>
      <c r="T212" t="s">
        <v>48</v>
      </c>
      <c r="U212" t="s">
        <v>4156</v>
      </c>
      <c r="V212" s="47">
        <v>1</v>
      </c>
      <c r="W212" t="s">
        <v>48</v>
      </c>
      <c r="X212" t="s">
        <v>48</v>
      </c>
      <c r="Y212" t="s">
        <v>48</v>
      </c>
      <c r="Z212">
        <v>0</v>
      </c>
      <c r="AA212" t="s">
        <v>48</v>
      </c>
      <c r="AB212" t="s">
        <v>48</v>
      </c>
      <c r="AC212" t="s">
        <v>49</v>
      </c>
      <c r="AD212" t="s">
        <v>93</v>
      </c>
      <c r="AE212" t="s">
        <v>4532</v>
      </c>
      <c r="AF212" t="s">
        <v>48</v>
      </c>
      <c r="AG212" t="s">
        <v>48</v>
      </c>
      <c r="AH212" t="s">
        <v>48</v>
      </c>
      <c r="AI212" t="s">
        <v>48</v>
      </c>
      <c r="AJ212" t="s">
        <v>48</v>
      </c>
      <c r="AK212" t="s">
        <v>48</v>
      </c>
      <c r="AL212" t="s">
        <v>48</v>
      </c>
      <c r="AM212" t="s">
        <v>48</v>
      </c>
      <c r="AN212" t="s">
        <v>48</v>
      </c>
      <c r="AO212" t="s">
        <v>48</v>
      </c>
      <c r="AP212" s="46">
        <v>0</v>
      </c>
      <c r="AQ212" s="46">
        <v>0</v>
      </c>
      <c r="AR212" s="46">
        <v>0</v>
      </c>
      <c r="AS212" s="46">
        <v>0</v>
      </c>
      <c r="AT212" s="46">
        <v>0</v>
      </c>
      <c r="AU212" s="46">
        <v>0</v>
      </c>
      <c r="AV212" s="46">
        <v>0</v>
      </c>
      <c r="AW212" s="46">
        <v>0</v>
      </c>
      <c r="AX212" s="46">
        <v>0</v>
      </c>
      <c r="AY212" s="46">
        <v>0</v>
      </c>
      <c r="AZ212" s="46">
        <v>0</v>
      </c>
      <c r="BA212" s="46">
        <v>0</v>
      </c>
      <c r="BB212" s="46">
        <v>0</v>
      </c>
      <c r="BC212" s="46">
        <v>0</v>
      </c>
      <c r="BD212" s="46">
        <v>0</v>
      </c>
      <c r="BE212" s="46">
        <v>0</v>
      </c>
      <c r="BF212" s="46">
        <v>0</v>
      </c>
      <c r="BG212" s="46" t="s">
        <v>48</v>
      </c>
      <c r="BH212" s="46">
        <v>0</v>
      </c>
      <c r="BI212" s="46">
        <v>0</v>
      </c>
      <c r="BJ212" s="46">
        <v>0</v>
      </c>
      <c r="BK212" s="46">
        <v>0</v>
      </c>
      <c r="BL212" s="46">
        <v>0</v>
      </c>
      <c r="BM212" s="46">
        <v>0</v>
      </c>
      <c r="BN212" s="46">
        <v>0</v>
      </c>
    </row>
    <row r="213" spans="1:66" x14ac:dyDescent="0.35">
      <c r="A213" t="s">
        <v>4042</v>
      </c>
      <c r="B213" s="44" t="s">
        <v>48</v>
      </c>
      <c r="C213" t="s">
        <v>4044</v>
      </c>
      <c r="D213" t="s">
        <v>4043</v>
      </c>
      <c r="E213" t="s">
        <v>4118</v>
      </c>
      <c r="F213" t="s">
        <v>147</v>
      </c>
      <c r="G213" t="s">
        <v>47</v>
      </c>
      <c r="H213">
        <v>0</v>
      </c>
      <c r="I213" s="60" t="s">
        <v>177</v>
      </c>
      <c r="J213" s="33" t="s">
        <v>96</v>
      </c>
      <c r="K213" s="46">
        <v>0</v>
      </c>
      <c r="L213">
        <v>22.1</v>
      </c>
      <c r="M213" t="s">
        <v>48</v>
      </c>
      <c r="N213" s="46">
        <v>0</v>
      </c>
      <c r="O213" s="46">
        <v>0</v>
      </c>
      <c r="P213" s="46">
        <v>0</v>
      </c>
      <c r="Q213" t="s">
        <v>48</v>
      </c>
      <c r="R213" t="s">
        <v>48</v>
      </c>
      <c r="S213" t="s">
        <v>4119</v>
      </c>
      <c r="T213" t="s">
        <v>48</v>
      </c>
      <c r="U213" t="s">
        <v>4119</v>
      </c>
      <c r="V213" s="47">
        <v>1</v>
      </c>
      <c r="W213" t="s">
        <v>48</v>
      </c>
      <c r="X213" t="s">
        <v>48</v>
      </c>
      <c r="Y213" t="s">
        <v>48</v>
      </c>
      <c r="Z213">
        <v>0</v>
      </c>
      <c r="AA213" t="s">
        <v>48</v>
      </c>
      <c r="AB213" t="s">
        <v>48</v>
      </c>
      <c r="AC213" t="s">
        <v>63</v>
      </c>
      <c r="AD213" t="s">
        <v>93</v>
      </c>
      <c r="AE213" t="s">
        <v>4532</v>
      </c>
      <c r="AF213" t="s">
        <v>48</v>
      </c>
      <c r="AG213" t="s">
        <v>48</v>
      </c>
      <c r="AH213" t="s">
        <v>48</v>
      </c>
      <c r="AI213" t="s">
        <v>48</v>
      </c>
      <c r="AJ213" t="s">
        <v>48</v>
      </c>
      <c r="AK213" t="s">
        <v>48</v>
      </c>
      <c r="AL213" t="s">
        <v>48</v>
      </c>
      <c r="AM213" t="s">
        <v>48</v>
      </c>
      <c r="AN213" t="s">
        <v>48</v>
      </c>
      <c r="AO213" t="s">
        <v>48</v>
      </c>
      <c r="AP213" s="46">
        <v>0</v>
      </c>
      <c r="AQ213" s="46">
        <v>0</v>
      </c>
      <c r="AR213" s="46">
        <v>0</v>
      </c>
      <c r="AS213" s="46">
        <v>0</v>
      </c>
      <c r="AT213" s="46">
        <v>0</v>
      </c>
      <c r="AU213" s="46">
        <v>0</v>
      </c>
      <c r="AV213" s="46">
        <v>0</v>
      </c>
      <c r="AW213" s="46">
        <v>0</v>
      </c>
      <c r="AX213" s="46">
        <v>0</v>
      </c>
      <c r="AY213" s="46">
        <v>0</v>
      </c>
      <c r="AZ213" s="46">
        <v>0</v>
      </c>
      <c r="BA213" s="46">
        <v>0</v>
      </c>
      <c r="BB213" s="46">
        <v>0</v>
      </c>
      <c r="BC213" s="46">
        <v>0</v>
      </c>
      <c r="BD213" s="46">
        <v>0</v>
      </c>
      <c r="BE213" s="46">
        <v>0</v>
      </c>
      <c r="BF213" s="46">
        <v>0</v>
      </c>
      <c r="BG213" s="46" t="s">
        <v>48</v>
      </c>
      <c r="BH213" s="46">
        <v>0</v>
      </c>
      <c r="BI213" s="46">
        <v>0</v>
      </c>
      <c r="BJ213" s="46">
        <v>0</v>
      </c>
      <c r="BK213" s="46">
        <v>0</v>
      </c>
      <c r="BL213" s="46">
        <v>0</v>
      </c>
      <c r="BM213" s="46">
        <v>0</v>
      </c>
      <c r="BN213" s="46">
        <v>0</v>
      </c>
    </row>
    <row r="214" spans="1:66" x14ac:dyDescent="0.35">
      <c r="A214" t="s">
        <v>4216</v>
      </c>
      <c r="B214" s="44" t="s">
        <v>48</v>
      </c>
      <c r="C214" t="s">
        <v>4220</v>
      </c>
      <c r="D214" t="s">
        <v>3009</v>
      </c>
      <c r="E214" t="s">
        <v>4218</v>
      </c>
      <c r="F214" t="s">
        <v>4217</v>
      </c>
      <c r="G214" t="s">
        <v>47</v>
      </c>
      <c r="H214">
        <v>0</v>
      </c>
      <c r="I214" s="60" t="s">
        <v>51</v>
      </c>
      <c r="J214" s="33" t="s">
        <v>96</v>
      </c>
      <c r="K214" s="46">
        <v>1</v>
      </c>
      <c r="L214" t="s">
        <v>48</v>
      </c>
      <c r="M214" t="s">
        <v>48</v>
      </c>
      <c r="N214" s="46">
        <v>0</v>
      </c>
      <c r="O214" s="46">
        <v>0</v>
      </c>
      <c r="P214" s="46">
        <v>0</v>
      </c>
      <c r="Q214" t="s">
        <v>48</v>
      </c>
      <c r="R214" t="s">
        <v>48</v>
      </c>
      <c r="S214" t="s">
        <v>48</v>
      </c>
      <c r="T214" t="s">
        <v>4219</v>
      </c>
      <c r="U214" t="s">
        <v>48</v>
      </c>
      <c r="V214" s="47">
        <v>0</v>
      </c>
      <c r="W214" t="s">
        <v>48</v>
      </c>
      <c r="X214" t="s">
        <v>48</v>
      </c>
      <c r="Y214" t="s">
        <v>48</v>
      </c>
      <c r="Z214">
        <v>0</v>
      </c>
      <c r="AA214" t="s">
        <v>48</v>
      </c>
      <c r="AB214" t="s">
        <v>48</v>
      </c>
      <c r="AC214" t="s">
        <v>49</v>
      </c>
      <c r="AD214" t="s">
        <v>93</v>
      </c>
      <c r="AE214" t="s">
        <v>4532</v>
      </c>
      <c r="AF214" t="s">
        <v>48</v>
      </c>
      <c r="AG214" t="s">
        <v>48</v>
      </c>
      <c r="AH214" t="s">
        <v>48</v>
      </c>
      <c r="AI214">
        <v>29534</v>
      </c>
      <c r="AJ214">
        <v>1951</v>
      </c>
      <c r="AK214" t="s">
        <v>8553</v>
      </c>
      <c r="AL214" t="s">
        <v>8554</v>
      </c>
      <c r="AM214">
        <v>0.377</v>
      </c>
      <c r="AN214">
        <v>0.35799999999999998</v>
      </c>
      <c r="AO214">
        <v>0.377</v>
      </c>
      <c r="AP214" s="46">
        <v>0</v>
      </c>
      <c r="AQ214" s="46">
        <v>0</v>
      </c>
      <c r="AR214" s="46">
        <v>0</v>
      </c>
      <c r="AS214" s="46">
        <v>0</v>
      </c>
      <c r="AT214" s="46">
        <v>0</v>
      </c>
      <c r="AU214" s="46">
        <v>0</v>
      </c>
      <c r="AV214" s="46">
        <v>0</v>
      </c>
      <c r="AW214" s="46">
        <v>0</v>
      </c>
      <c r="AX214" s="46">
        <v>0</v>
      </c>
      <c r="AY214" s="46">
        <v>0</v>
      </c>
      <c r="AZ214" s="46">
        <v>0</v>
      </c>
      <c r="BA214" s="46">
        <v>0</v>
      </c>
      <c r="BB214" s="46">
        <v>0</v>
      </c>
      <c r="BC214" s="46">
        <v>0</v>
      </c>
      <c r="BD214" s="46">
        <v>0</v>
      </c>
      <c r="BE214" s="46">
        <v>0</v>
      </c>
      <c r="BF214" s="46">
        <v>0</v>
      </c>
      <c r="BG214" s="46" t="s">
        <v>48</v>
      </c>
      <c r="BH214" s="46">
        <v>0</v>
      </c>
      <c r="BI214" s="46">
        <v>0</v>
      </c>
      <c r="BJ214" s="46">
        <v>0</v>
      </c>
      <c r="BK214" s="46">
        <v>0</v>
      </c>
      <c r="BL214" s="46">
        <v>0</v>
      </c>
      <c r="BM214" s="46">
        <v>0</v>
      </c>
      <c r="BN214" s="46">
        <v>0</v>
      </c>
    </row>
    <row r="215" spans="1:66" x14ac:dyDescent="0.35">
      <c r="A215" t="s">
        <v>4221</v>
      </c>
      <c r="B215" s="44" t="s">
        <v>48</v>
      </c>
      <c r="C215" t="s">
        <v>4226</v>
      </c>
      <c r="D215" t="s">
        <v>2085</v>
      </c>
      <c r="E215" t="s">
        <v>4223</v>
      </c>
      <c r="F215" t="s">
        <v>4222</v>
      </c>
      <c r="G215" t="s">
        <v>47</v>
      </c>
      <c r="H215">
        <v>0</v>
      </c>
      <c r="I215" s="60" t="s">
        <v>51</v>
      </c>
      <c r="J215" s="33" t="s">
        <v>96</v>
      </c>
      <c r="K215" s="46">
        <v>1</v>
      </c>
      <c r="L215" t="s">
        <v>48</v>
      </c>
      <c r="M215" t="s">
        <v>48</v>
      </c>
      <c r="N215" s="46">
        <v>0</v>
      </c>
      <c r="O215" s="46">
        <v>0</v>
      </c>
      <c r="P215" s="46">
        <v>0</v>
      </c>
      <c r="Q215" t="s">
        <v>48</v>
      </c>
      <c r="R215" t="s">
        <v>48</v>
      </c>
      <c r="S215" t="s">
        <v>4224</v>
      </c>
      <c r="T215" t="s">
        <v>4225</v>
      </c>
      <c r="U215" t="s">
        <v>4224</v>
      </c>
      <c r="V215" s="47">
        <v>0</v>
      </c>
      <c r="W215" t="s">
        <v>48</v>
      </c>
      <c r="X215" t="s">
        <v>48</v>
      </c>
      <c r="Y215" t="s">
        <v>48</v>
      </c>
      <c r="Z215">
        <v>0</v>
      </c>
      <c r="AA215" t="s">
        <v>48</v>
      </c>
      <c r="AB215" t="s">
        <v>3977</v>
      </c>
      <c r="AC215" t="s">
        <v>63</v>
      </c>
      <c r="AD215" t="s">
        <v>93</v>
      </c>
      <c r="AE215" t="s">
        <v>4532</v>
      </c>
      <c r="AF215" t="s">
        <v>48</v>
      </c>
      <c r="AG215" t="s">
        <v>184</v>
      </c>
      <c r="AH215" t="s">
        <v>93</v>
      </c>
      <c r="AI215">
        <v>41707</v>
      </c>
      <c r="AJ215">
        <v>1959</v>
      </c>
      <c r="AK215" t="s">
        <v>8555</v>
      </c>
      <c r="AL215" t="s">
        <v>8556</v>
      </c>
      <c r="AM215">
        <v>0.433</v>
      </c>
      <c r="AN215">
        <v>0.38800000000000001</v>
      </c>
      <c r="AO215">
        <v>0.433</v>
      </c>
      <c r="AP215" s="46">
        <v>0</v>
      </c>
      <c r="AQ215" s="46">
        <v>0</v>
      </c>
      <c r="AR215" s="46">
        <v>0</v>
      </c>
      <c r="AS215" s="46">
        <v>0</v>
      </c>
      <c r="AT215" s="46">
        <v>0</v>
      </c>
      <c r="AU215" s="46">
        <v>0</v>
      </c>
      <c r="AV215" s="46">
        <v>0</v>
      </c>
      <c r="AW215" s="46">
        <v>0</v>
      </c>
      <c r="AX215" s="46">
        <v>0</v>
      </c>
      <c r="AY215" s="46">
        <v>0</v>
      </c>
      <c r="AZ215" s="46">
        <v>0</v>
      </c>
      <c r="BA215" s="46">
        <v>0</v>
      </c>
      <c r="BB215" s="46">
        <v>0</v>
      </c>
      <c r="BC215" s="46">
        <v>0</v>
      </c>
      <c r="BD215" s="46">
        <v>0</v>
      </c>
      <c r="BE215" s="46">
        <v>0</v>
      </c>
      <c r="BF215" s="46">
        <v>0</v>
      </c>
      <c r="BG215" s="46" t="s">
        <v>48</v>
      </c>
      <c r="BH215" s="46">
        <v>0</v>
      </c>
      <c r="BI215" s="46">
        <v>0</v>
      </c>
      <c r="BJ215" s="46">
        <v>0</v>
      </c>
      <c r="BK215" s="46">
        <v>0</v>
      </c>
      <c r="BL215" s="46">
        <v>0</v>
      </c>
      <c r="BM215" s="46">
        <v>0</v>
      </c>
      <c r="BN215" s="46">
        <v>0</v>
      </c>
    </row>
    <row r="216" spans="1:66" x14ac:dyDescent="0.35">
      <c r="A216" t="s">
        <v>4264</v>
      </c>
      <c r="B216" s="44" t="s">
        <v>48</v>
      </c>
      <c r="C216" t="s">
        <v>4268</v>
      </c>
      <c r="D216" t="s">
        <v>1867</v>
      </c>
      <c r="E216" t="s">
        <v>4266</v>
      </c>
      <c r="F216" t="s">
        <v>4265</v>
      </c>
      <c r="G216" t="s">
        <v>74</v>
      </c>
      <c r="H216">
        <v>0</v>
      </c>
      <c r="I216" s="60" t="s">
        <v>51</v>
      </c>
      <c r="J216" s="33" t="s">
        <v>96</v>
      </c>
      <c r="K216" s="46">
        <v>1</v>
      </c>
      <c r="L216" t="s">
        <v>48</v>
      </c>
      <c r="M216" t="s">
        <v>48</v>
      </c>
      <c r="N216" s="46">
        <v>0</v>
      </c>
      <c r="O216" s="46">
        <v>0</v>
      </c>
      <c r="P216" s="46">
        <v>0</v>
      </c>
      <c r="Q216" t="s">
        <v>48</v>
      </c>
      <c r="R216" t="s">
        <v>48</v>
      </c>
      <c r="S216" t="s">
        <v>48</v>
      </c>
      <c r="T216" t="s">
        <v>4267</v>
      </c>
      <c r="U216" t="s">
        <v>48</v>
      </c>
      <c r="V216" s="47">
        <v>0</v>
      </c>
      <c r="W216" t="s">
        <v>48</v>
      </c>
      <c r="X216" t="s">
        <v>48</v>
      </c>
      <c r="Y216" t="s">
        <v>48</v>
      </c>
      <c r="Z216">
        <v>0</v>
      </c>
      <c r="AA216" t="s">
        <v>48</v>
      </c>
      <c r="AB216" t="s">
        <v>48</v>
      </c>
      <c r="AC216" t="s">
        <v>49</v>
      </c>
      <c r="AD216" t="s">
        <v>93</v>
      </c>
      <c r="AE216" t="s">
        <v>4532</v>
      </c>
      <c r="AF216" t="s">
        <v>48</v>
      </c>
      <c r="AG216" t="s">
        <v>48</v>
      </c>
      <c r="AH216" t="s">
        <v>48</v>
      </c>
      <c r="AI216">
        <v>40702</v>
      </c>
      <c r="AJ216">
        <v>1956</v>
      </c>
      <c r="AK216" t="s">
        <v>8559</v>
      </c>
      <c r="AL216" t="s">
        <v>8560</v>
      </c>
      <c r="AM216">
        <v>-0.215</v>
      </c>
      <c r="AN216">
        <v>0.14499999999999999</v>
      </c>
      <c r="AO216">
        <v>-0.215</v>
      </c>
      <c r="AP216" s="46">
        <v>0</v>
      </c>
      <c r="AQ216" s="46">
        <v>0</v>
      </c>
      <c r="AR216" s="46">
        <v>0</v>
      </c>
      <c r="AS216" s="46">
        <v>0</v>
      </c>
      <c r="AT216" s="46">
        <v>0</v>
      </c>
      <c r="AU216" s="46">
        <v>0</v>
      </c>
      <c r="AV216" s="46">
        <v>0</v>
      </c>
      <c r="AW216" s="46">
        <v>0</v>
      </c>
      <c r="AX216" s="46">
        <v>0</v>
      </c>
      <c r="AY216" s="46">
        <v>0</v>
      </c>
      <c r="AZ216" s="46">
        <v>0</v>
      </c>
      <c r="BA216" s="46">
        <v>0</v>
      </c>
      <c r="BB216" s="46">
        <v>0</v>
      </c>
      <c r="BC216" s="46">
        <v>0</v>
      </c>
      <c r="BD216" s="46">
        <v>0</v>
      </c>
      <c r="BE216" s="46">
        <v>0</v>
      </c>
      <c r="BF216" s="46">
        <v>0</v>
      </c>
      <c r="BG216" s="46" t="s">
        <v>48</v>
      </c>
      <c r="BH216" s="46">
        <v>0</v>
      </c>
      <c r="BI216" s="46">
        <v>0</v>
      </c>
      <c r="BJ216" s="46">
        <v>0</v>
      </c>
      <c r="BK216" s="46">
        <v>0</v>
      </c>
      <c r="BL216" s="46">
        <v>1</v>
      </c>
      <c r="BM216" s="46">
        <v>0</v>
      </c>
      <c r="BN216" s="46">
        <v>0</v>
      </c>
    </row>
    <row r="217" spans="1:66" x14ac:dyDescent="0.35">
      <c r="A217" t="s">
        <v>4269</v>
      </c>
      <c r="B217" s="44" t="s">
        <v>48</v>
      </c>
      <c r="C217" t="s">
        <v>4274</v>
      </c>
      <c r="D217" t="s">
        <v>571</v>
      </c>
      <c r="E217" t="s">
        <v>4271</v>
      </c>
      <c r="F217" t="s">
        <v>4270</v>
      </c>
      <c r="G217" t="s">
        <v>47</v>
      </c>
      <c r="H217">
        <v>0</v>
      </c>
      <c r="I217" s="60" t="s">
        <v>51</v>
      </c>
      <c r="J217" s="33" t="s">
        <v>96</v>
      </c>
      <c r="K217" s="46">
        <v>1</v>
      </c>
      <c r="L217" t="s">
        <v>48</v>
      </c>
      <c r="M217" t="s">
        <v>48</v>
      </c>
      <c r="N217" s="46">
        <v>0</v>
      </c>
      <c r="O217" s="46">
        <v>0</v>
      </c>
      <c r="P217" s="46">
        <v>0</v>
      </c>
      <c r="Q217" t="s">
        <v>48</v>
      </c>
      <c r="R217" t="s">
        <v>48</v>
      </c>
      <c r="S217" t="s">
        <v>4272</v>
      </c>
      <c r="T217" t="s">
        <v>4273</v>
      </c>
      <c r="U217" t="s">
        <v>4272</v>
      </c>
      <c r="V217" s="47">
        <v>0</v>
      </c>
      <c r="W217" t="s">
        <v>48</v>
      </c>
      <c r="X217" t="s">
        <v>48</v>
      </c>
      <c r="Y217" t="s">
        <v>48</v>
      </c>
      <c r="Z217">
        <v>0</v>
      </c>
      <c r="AA217" t="s">
        <v>48</v>
      </c>
      <c r="AB217">
        <v>2014</v>
      </c>
      <c r="AC217" t="s">
        <v>49</v>
      </c>
      <c r="AD217" t="s">
        <v>93</v>
      </c>
      <c r="AE217" t="s">
        <v>4532</v>
      </c>
      <c r="AF217" t="s">
        <v>48</v>
      </c>
      <c r="AG217" t="s">
        <v>466</v>
      </c>
      <c r="AH217" t="s">
        <v>93</v>
      </c>
      <c r="AI217">
        <v>21338</v>
      </c>
      <c r="AJ217">
        <v>1962</v>
      </c>
      <c r="AK217" t="s">
        <v>8557</v>
      </c>
      <c r="AL217" t="s">
        <v>8558</v>
      </c>
      <c r="AM217">
        <v>0.56999999999999995</v>
      </c>
      <c r="AN217">
        <v>-5.8000000000000003E-2</v>
      </c>
      <c r="AO217">
        <v>0.56999999999999995</v>
      </c>
      <c r="AP217" s="46">
        <v>0</v>
      </c>
      <c r="AQ217" s="46">
        <v>0</v>
      </c>
      <c r="AR217" s="46">
        <v>0</v>
      </c>
      <c r="AS217" s="46">
        <v>0</v>
      </c>
      <c r="AT217" s="46">
        <v>0</v>
      </c>
      <c r="AU217" s="46">
        <v>0</v>
      </c>
      <c r="AV217" s="46">
        <v>0</v>
      </c>
      <c r="AW217" s="46">
        <v>0</v>
      </c>
      <c r="AX217" s="46">
        <v>0</v>
      </c>
      <c r="AY217" s="46">
        <v>0</v>
      </c>
      <c r="AZ217" s="46">
        <v>0</v>
      </c>
      <c r="BA217" s="46">
        <v>0</v>
      </c>
      <c r="BB217" s="46">
        <v>0</v>
      </c>
      <c r="BC217" s="46">
        <v>0</v>
      </c>
      <c r="BD217" s="46">
        <v>0</v>
      </c>
      <c r="BE217" s="46">
        <v>0</v>
      </c>
      <c r="BF217" s="46">
        <v>0</v>
      </c>
      <c r="BG217" s="46" t="s">
        <v>48</v>
      </c>
      <c r="BH217" s="46">
        <v>0</v>
      </c>
      <c r="BI217" s="46">
        <v>0</v>
      </c>
      <c r="BJ217" s="46">
        <v>0</v>
      </c>
      <c r="BK217" s="46">
        <v>0</v>
      </c>
      <c r="BL217" s="46">
        <v>0</v>
      </c>
      <c r="BM217" s="46">
        <v>0</v>
      </c>
      <c r="BN217" s="46">
        <v>0</v>
      </c>
    </row>
    <row r="218" spans="1:66" x14ac:dyDescent="0.35">
      <c r="A218" t="s">
        <v>4418</v>
      </c>
      <c r="B218" s="44" t="s">
        <v>48</v>
      </c>
      <c r="C218" t="s">
        <v>4424</v>
      </c>
      <c r="D218" t="s">
        <v>4423</v>
      </c>
      <c r="E218" t="s">
        <v>4420</v>
      </c>
      <c r="F218" t="s">
        <v>4419</v>
      </c>
      <c r="G218" t="s">
        <v>47</v>
      </c>
      <c r="H218">
        <v>0</v>
      </c>
      <c r="I218" s="60" t="s">
        <v>51</v>
      </c>
      <c r="J218" s="33" t="s">
        <v>96</v>
      </c>
      <c r="K218" s="46">
        <v>1</v>
      </c>
      <c r="L218" t="s">
        <v>48</v>
      </c>
      <c r="M218" t="s">
        <v>48</v>
      </c>
      <c r="N218" s="46">
        <v>0</v>
      </c>
      <c r="O218" s="46">
        <v>0</v>
      </c>
      <c r="P218" s="46">
        <v>0</v>
      </c>
      <c r="Q218" t="s">
        <v>48</v>
      </c>
      <c r="R218" t="s">
        <v>48</v>
      </c>
      <c r="S218" t="s">
        <v>4421</v>
      </c>
      <c r="T218" t="s">
        <v>4422</v>
      </c>
      <c r="U218" t="s">
        <v>4421</v>
      </c>
      <c r="V218" s="47">
        <v>0</v>
      </c>
      <c r="W218" t="s">
        <v>48</v>
      </c>
      <c r="X218" t="s">
        <v>48</v>
      </c>
      <c r="Y218" t="s">
        <v>48</v>
      </c>
      <c r="Z218">
        <v>0</v>
      </c>
      <c r="AA218" t="s">
        <v>48</v>
      </c>
      <c r="AB218">
        <v>2014</v>
      </c>
      <c r="AC218" t="s">
        <v>49</v>
      </c>
      <c r="AD218" t="s">
        <v>93</v>
      </c>
      <c r="AE218" t="s">
        <v>4532</v>
      </c>
      <c r="AF218" t="s">
        <v>48</v>
      </c>
      <c r="AG218" t="s">
        <v>140</v>
      </c>
      <c r="AH218" t="s">
        <v>93</v>
      </c>
      <c r="AI218">
        <v>41504</v>
      </c>
      <c r="AJ218">
        <v>1960</v>
      </c>
      <c r="AK218" t="s">
        <v>8561</v>
      </c>
      <c r="AL218" t="s">
        <v>8562</v>
      </c>
      <c r="AM218">
        <v>0.40799999999999997</v>
      </c>
      <c r="AN218">
        <v>-7.0999999999999994E-2</v>
      </c>
      <c r="AO218">
        <v>0.40799999999999997</v>
      </c>
      <c r="AP218" s="46">
        <v>0</v>
      </c>
      <c r="AQ218" s="46">
        <v>0</v>
      </c>
      <c r="AR218" s="46">
        <v>0</v>
      </c>
      <c r="AS218" s="46">
        <v>0</v>
      </c>
      <c r="AT218" s="46">
        <v>0</v>
      </c>
      <c r="AU218" s="46">
        <v>0</v>
      </c>
      <c r="AV218" s="46">
        <v>0</v>
      </c>
      <c r="AW218" s="46">
        <v>0</v>
      </c>
      <c r="AX218" s="46">
        <v>0</v>
      </c>
      <c r="AY218" s="46">
        <v>0</v>
      </c>
      <c r="AZ218" s="46">
        <v>0</v>
      </c>
      <c r="BA218" s="46">
        <v>0</v>
      </c>
      <c r="BB218" s="46">
        <v>0</v>
      </c>
      <c r="BC218" s="46">
        <v>0</v>
      </c>
      <c r="BD218" s="46">
        <v>0</v>
      </c>
      <c r="BE218" s="46">
        <v>0</v>
      </c>
      <c r="BF218" s="46">
        <v>0</v>
      </c>
      <c r="BG218" s="46" t="s">
        <v>48</v>
      </c>
      <c r="BH218" s="46">
        <v>0</v>
      </c>
      <c r="BI218" s="46">
        <v>0</v>
      </c>
      <c r="BJ218" s="46">
        <v>0</v>
      </c>
      <c r="BK218" s="46">
        <v>0</v>
      </c>
      <c r="BL218" s="46">
        <v>0</v>
      </c>
      <c r="BM218" s="46">
        <v>0</v>
      </c>
      <c r="BN218" s="46">
        <v>0</v>
      </c>
    </row>
    <row r="219" spans="1:66" x14ac:dyDescent="0.35">
      <c r="A219" t="s">
        <v>9634</v>
      </c>
      <c r="B219" s="44" t="s">
        <v>48</v>
      </c>
      <c r="C219" t="s">
        <v>12096</v>
      </c>
      <c r="D219" t="s">
        <v>12097</v>
      </c>
      <c r="E219" t="s">
        <v>9635</v>
      </c>
      <c r="F219" t="s">
        <v>4426</v>
      </c>
      <c r="G219" t="s">
        <v>74</v>
      </c>
      <c r="H219">
        <v>0</v>
      </c>
      <c r="I219" s="61">
        <v>44753</v>
      </c>
      <c r="J219" s="33" t="s">
        <v>96</v>
      </c>
      <c r="K219" s="46">
        <v>0</v>
      </c>
      <c r="L219">
        <v>3.4</v>
      </c>
      <c r="M219" t="s">
        <v>48</v>
      </c>
      <c r="N219" s="46">
        <v>0</v>
      </c>
      <c r="O219" s="46">
        <v>0</v>
      </c>
      <c r="P219" s="46">
        <v>0</v>
      </c>
      <c r="Q219" t="s">
        <v>48</v>
      </c>
      <c r="R219" t="s">
        <v>48</v>
      </c>
      <c r="S219" t="s">
        <v>10307</v>
      </c>
      <c r="T219" t="s">
        <v>48</v>
      </c>
      <c r="U219" t="s">
        <v>10307</v>
      </c>
      <c r="V219" s="47">
        <v>0</v>
      </c>
      <c r="W219" t="s">
        <v>11317</v>
      </c>
      <c r="X219" t="s">
        <v>48</v>
      </c>
      <c r="Y219" t="s">
        <v>48</v>
      </c>
      <c r="Z219" t="s">
        <v>48</v>
      </c>
      <c r="AA219" t="s">
        <v>48</v>
      </c>
      <c r="AB219" t="s">
        <v>48</v>
      </c>
      <c r="AC219" t="s">
        <v>63</v>
      </c>
      <c r="AD219" t="s">
        <v>93</v>
      </c>
      <c r="AE219" t="s">
        <v>2471</v>
      </c>
      <c r="AF219" t="s">
        <v>48</v>
      </c>
      <c r="AG219" t="s">
        <v>48</v>
      </c>
      <c r="AH219" t="s">
        <v>48</v>
      </c>
      <c r="AI219" t="s">
        <v>48</v>
      </c>
      <c r="AJ219" t="s">
        <v>48</v>
      </c>
      <c r="AK219" t="s">
        <v>48</v>
      </c>
      <c r="AL219" t="s">
        <v>48</v>
      </c>
      <c r="AM219" t="s">
        <v>48</v>
      </c>
      <c r="AN219" t="s">
        <v>48</v>
      </c>
      <c r="AO219" t="s">
        <v>48</v>
      </c>
      <c r="AP219" s="46">
        <v>0</v>
      </c>
      <c r="AQ219" s="46">
        <v>0</v>
      </c>
      <c r="AR219" s="46">
        <v>0</v>
      </c>
      <c r="AS219" s="46">
        <v>0</v>
      </c>
      <c r="AT219" s="46">
        <v>0</v>
      </c>
      <c r="AU219" s="46">
        <v>0</v>
      </c>
      <c r="AV219" s="46">
        <v>0</v>
      </c>
      <c r="AW219" s="46">
        <v>0</v>
      </c>
      <c r="AX219" s="46">
        <v>0</v>
      </c>
      <c r="AY219" s="46">
        <v>0</v>
      </c>
      <c r="AZ219" s="46">
        <v>0</v>
      </c>
      <c r="BA219" s="46">
        <v>0</v>
      </c>
      <c r="BB219" s="46">
        <v>0</v>
      </c>
      <c r="BC219" s="46">
        <v>0</v>
      </c>
      <c r="BD219" s="46">
        <v>0</v>
      </c>
      <c r="BE219" s="46">
        <v>0</v>
      </c>
      <c r="BF219" s="46">
        <v>0</v>
      </c>
      <c r="BG219" s="46" t="s">
        <v>48</v>
      </c>
      <c r="BH219" s="46">
        <v>0</v>
      </c>
      <c r="BI219" s="46">
        <v>0</v>
      </c>
      <c r="BJ219" s="46">
        <v>0</v>
      </c>
      <c r="BK219" s="46">
        <v>0</v>
      </c>
      <c r="BL219" s="46">
        <v>0</v>
      </c>
      <c r="BM219" s="46">
        <v>0</v>
      </c>
      <c r="BN219" s="46">
        <v>0</v>
      </c>
    </row>
    <row r="220" spans="1:66" x14ac:dyDescent="0.35">
      <c r="A220" t="s">
        <v>4445</v>
      </c>
      <c r="B220" s="44" t="s">
        <v>48</v>
      </c>
      <c r="C220" t="s">
        <v>4447</v>
      </c>
      <c r="D220" t="s">
        <v>744</v>
      </c>
      <c r="E220" t="s">
        <v>4446</v>
      </c>
      <c r="F220" t="s">
        <v>4426</v>
      </c>
      <c r="G220" t="s">
        <v>47</v>
      </c>
      <c r="H220">
        <v>0</v>
      </c>
      <c r="I220" s="60" t="s">
        <v>177</v>
      </c>
      <c r="J220" s="33" t="s">
        <v>96</v>
      </c>
      <c r="K220" s="46">
        <v>0</v>
      </c>
      <c r="L220">
        <v>0.4</v>
      </c>
      <c r="M220" t="s">
        <v>48</v>
      </c>
      <c r="N220" s="46">
        <v>0</v>
      </c>
      <c r="O220" s="46">
        <v>0</v>
      </c>
      <c r="P220" s="46">
        <v>0</v>
      </c>
      <c r="Q220" t="s">
        <v>48</v>
      </c>
      <c r="R220" t="s">
        <v>48</v>
      </c>
      <c r="S220" t="s">
        <v>48</v>
      </c>
      <c r="T220" t="s">
        <v>48</v>
      </c>
      <c r="U220" t="s">
        <v>48</v>
      </c>
      <c r="V220" s="47">
        <v>1</v>
      </c>
      <c r="W220" t="s">
        <v>48</v>
      </c>
      <c r="X220" t="s">
        <v>48</v>
      </c>
      <c r="Y220" t="s">
        <v>48</v>
      </c>
      <c r="Z220">
        <v>0</v>
      </c>
      <c r="AA220" t="s">
        <v>48</v>
      </c>
      <c r="AB220" t="s">
        <v>48</v>
      </c>
      <c r="AC220" t="s">
        <v>49</v>
      </c>
      <c r="AD220" t="s">
        <v>48</v>
      </c>
      <c r="AE220" t="s">
        <v>48</v>
      </c>
      <c r="AF220" t="s">
        <v>48</v>
      </c>
      <c r="AG220" t="s">
        <v>48</v>
      </c>
      <c r="AH220" t="s">
        <v>48</v>
      </c>
      <c r="AI220" t="s">
        <v>48</v>
      </c>
      <c r="AJ220" t="s">
        <v>48</v>
      </c>
      <c r="AK220" t="s">
        <v>48</v>
      </c>
      <c r="AL220" t="s">
        <v>48</v>
      </c>
      <c r="AM220" t="s">
        <v>48</v>
      </c>
      <c r="AN220" t="s">
        <v>48</v>
      </c>
      <c r="AO220" t="s">
        <v>48</v>
      </c>
      <c r="AP220" s="46">
        <v>0</v>
      </c>
      <c r="AQ220" s="46">
        <v>0</v>
      </c>
      <c r="AR220" s="46">
        <v>0</v>
      </c>
      <c r="AS220" s="46">
        <v>0</v>
      </c>
      <c r="AT220" s="46">
        <v>0</v>
      </c>
      <c r="AU220" s="46">
        <v>0</v>
      </c>
      <c r="AV220" s="46">
        <v>0</v>
      </c>
      <c r="AW220" s="46">
        <v>0</v>
      </c>
      <c r="AX220" s="46">
        <v>0</v>
      </c>
      <c r="AY220" s="46">
        <v>0</v>
      </c>
      <c r="AZ220" s="46">
        <v>0</v>
      </c>
      <c r="BA220" s="46">
        <v>0</v>
      </c>
      <c r="BB220" s="46">
        <v>0</v>
      </c>
      <c r="BC220" s="46">
        <v>0</v>
      </c>
      <c r="BD220" s="46">
        <v>0</v>
      </c>
      <c r="BE220" s="46">
        <v>0</v>
      </c>
      <c r="BF220" s="46">
        <v>0</v>
      </c>
      <c r="BG220" s="46" t="s">
        <v>48</v>
      </c>
      <c r="BH220" s="46">
        <v>0</v>
      </c>
      <c r="BI220" s="46">
        <v>0</v>
      </c>
      <c r="BJ220" s="46">
        <v>0</v>
      </c>
      <c r="BK220" s="46">
        <v>0</v>
      </c>
      <c r="BL220" s="46">
        <v>0</v>
      </c>
      <c r="BM220" s="46">
        <v>0</v>
      </c>
      <c r="BN220" s="46">
        <v>0</v>
      </c>
    </row>
    <row r="221" spans="1:66" x14ac:dyDescent="0.35">
      <c r="A221" t="s">
        <v>9636</v>
      </c>
      <c r="B221" s="44" t="s">
        <v>48</v>
      </c>
      <c r="C221" t="s">
        <v>12098</v>
      </c>
      <c r="D221" t="s">
        <v>12099</v>
      </c>
      <c r="E221" t="s">
        <v>9637</v>
      </c>
      <c r="F221" t="s">
        <v>4426</v>
      </c>
      <c r="G221" t="s">
        <v>74</v>
      </c>
      <c r="H221">
        <v>0</v>
      </c>
      <c r="I221" s="61">
        <v>44753</v>
      </c>
      <c r="J221" s="33" t="s">
        <v>96</v>
      </c>
      <c r="K221" s="46">
        <v>0</v>
      </c>
      <c r="L221">
        <v>1.1000000000000001</v>
      </c>
      <c r="M221" t="s">
        <v>48</v>
      </c>
      <c r="N221" s="46">
        <v>0</v>
      </c>
      <c r="O221" s="46">
        <v>0</v>
      </c>
      <c r="P221" s="46">
        <v>0</v>
      </c>
      <c r="Q221" t="s">
        <v>48</v>
      </c>
      <c r="R221" t="s">
        <v>48</v>
      </c>
      <c r="S221" t="s">
        <v>10308</v>
      </c>
      <c r="T221" t="s">
        <v>48</v>
      </c>
      <c r="U221" t="s">
        <v>10308</v>
      </c>
      <c r="V221" s="47">
        <v>0</v>
      </c>
      <c r="W221" t="s">
        <v>48</v>
      </c>
      <c r="X221" t="s">
        <v>48</v>
      </c>
      <c r="Y221" t="s">
        <v>48</v>
      </c>
      <c r="Z221" t="s">
        <v>48</v>
      </c>
      <c r="AA221" t="s">
        <v>48</v>
      </c>
      <c r="AB221" t="s">
        <v>48</v>
      </c>
      <c r="AC221" t="s">
        <v>49</v>
      </c>
      <c r="AD221" t="s">
        <v>93</v>
      </c>
      <c r="AE221" t="s">
        <v>4532</v>
      </c>
      <c r="AF221" t="s">
        <v>48</v>
      </c>
      <c r="AG221" t="s">
        <v>48</v>
      </c>
      <c r="AH221" t="s">
        <v>48</v>
      </c>
      <c r="AI221" t="s">
        <v>48</v>
      </c>
      <c r="AJ221" t="s">
        <v>48</v>
      </c>
      <c r="AK221" t="s">
        <v>48</v>
      </c>
      <c r="AL221" t="s">
        <v>48</v>
      </c>
      <c r="AM221" t="s">
        <v>48</v>
      </c>
      <c r="AN221" t="s">
        <v>48</v>
      </c>
      <c r="AO221" t="s">
        <v>48</v>
      </c>
      <c r="AP221" s="46">
        <v>0</v>
      </c>
      <c r="AQ221" s="46">
        <v>0</v>
      </c>
      <c r="AR221" s="46">
        <v>0</v>
      </c>
      <c r="AS221" s="46">
        <v>0</v>
      </c>
      <c r="AT221" s="46">
        <v>0</v>
      </c>
      <c r="AU221" s="46">
        <v>0</v>
      </c>
      <c r="AV221" s="46">
        <v>0</v>
      </c>
      <c r="AW221" s="46">
        <v>0</v>
      </c>
      <c r="AX221" s="46">
        <v>0</v>
      </c>
      <c r="AY221" s="46">
        <v>0</v>
      </c>
      <c r="AZ221" s="46">
        <v>0</v>
      </c>
      <c r="BA221" s="46">
        <v>0</v>
      </c>
      <c r="BB221" s="46">
        <v>0</v>
      </c>
      <c r="BC221" s="46">
        <v>0</v>
      </c>
      <c r="BD221" s="46">
        <v>0</v>
      </c>
      <c r="BE221" s="46">
        <v>0</v>
      </c>
      <c r="BF221" s="46">
        <v>0</v>
      </c>
      <c r="BG221" s="46" t="s">
        <v>48</v>
      </c>
      <c r="BH221" s="46">
        <v>0</v>
      </c>
      <c r="BI221" s="46">
        <v>0</v>
      </c>
      <c r="BJ221" s="46">
        <v>0</v>
      </c>
      <c r="BK221" s="46">
        <v>0</v>
      </c>
      <c r="BL221" s="46">
        <v>0</v>
      </c>
      <c r="BM221" s="46">
        <v>0</v>
      </c>
      <c r="BN221" s="46">
        <v>0</v>
      </c>
    </row>
    <row r="222" spans="1:66" x14ac:dyDescent="0.35">
      <c r="A222" t="s">
        <v>11000</v>
      </c>
      <c r="B222" s="44" t="s">
        <v>48</v>
      </c>
      <c r="C222" t="s">
        <v>12100</v>
      </c>
      <c r="D222" t="s">
        <v>1528</v>
      </c>
      <c r="E222" t="s">
        <v>11001</v>
      </c>
      <c r="F222" t="s">
        <v>4426</v>
      </c>
      <c r="G222" t="s">
        <v>47</v>
      </c>
      <c r="H222">
        <v>0</v>
      </c>
      <c r="I222" s="61">
        <v>44820</v>
      </c>
      <c r="J222" s="33" t="s">
        <v>96</v>
      </c>
      <c r="K222" s="46">
        <v>0</v>
      </c>
      <c r="L222">
        <v>0.4</v>
      </c>
      <c r="M222" t="s">
        <v>48</v>
      </c>
      <c r="N222" s="46">
        <v>0</v>
      </c>
      <c r="O222" s="46">
        <v>0</v>
      </c>
      <c r="P222" s="46">
        <v>0</v>
      </c>
      <c r="Q222" t="s">
        <v>48</v>
      </c>
      <c r="R222" t="s">
        <v>48</v>
      </c>
      <c r="S222" t="s">
        <v>48</v>
      </c>
      <c r="T222" t="s">
        <v>48</v>
      </c>
      <c r="U222" t="s">
        <v>48</v>
      </c>
      <c r="V222" s="47">
        <v>1</v>
      </c>
      <c r="W222" t="s">
        <v>48</v>
      </c>
      <c r="X222" t="s">
        <v>48</v>
      </c>
      <c r="Y222" t="s">
        <v>48</v>
      </c>
      <c r="Z222" t="s">
        <v>48</v>
      </c>
      <c r="AA222" t="s">
        <v>48</v>
      </c>
      <c r="AB222" t="s">
        <v>48</v>
      </c>
      <c r="AC222" t="s">
        <v>49</v>
      </c>
      <c r="AD222" t="s">
        <v>48</v>
      </c>
      <c r="AE222" t="s">
        <v>48</v>
      </c>
      <c r="AF222" t="s">
        <v>48</v>
      </c>
      <c r="AG222" t="s">
        <v>48</v>
      </c>
      <c r="AH222" t="s">
        <v>48</v>
      </c>
      <c r="AI222" t="s">
        <v>48</v>
      </c>
      <c r="AJ222" t="s">
        <v>48</v>
      </c>
      <c r="AK222" t="s">
        <v>48</v>
      </c>
      <c r="AL222" t="s">
        <v>48</v>
      </c>
      <c r="AM222" t="s">
        <v>48</v>
      </c>
      <c r="AN222" t="s">
        <v>48</v>
      </c>
      <c r="AO222" t="s">
        <v>48</v>
      </c>
      <c r="AP222" s="46">
        <v>0</v>
      </c>
      <c r="AQ222" s="46">
        <v>0</v>
      </c>
      <c r="AR222" s="46">
        <v>0</v>
      </c>
      <c r="AS222" s="46">
        <v>0</v>
      </c>
      <c r="AT222" s="46">
        <v>0</v>
      </c>
      <c r="AU222" s="46">
        <v>0</v>
      </c>
      <c r="AV222" s="46">
        <v>0</v>
      </c>
      <c r="AW222" s="46">
        <v>0</v>
      </c>
      <c r="AX222" s="46">
        <v>0</v>
      </c>
      <c r="AY222" s="46">
        <v>0</v>
      </c>
      <c r="AZ222" s="46">
        <v>0</v>
      </c>
      <c r="BA222" s="46">
        <v>0</v>
      </c>
      <c r="BB222" s="46">
        <v>0</v>
      </c>
      <c r="BC222" s="46">
        <v>0</v>
      </c>
      <c r="BD222" s="46">
        <v>0</v>
      </c>
      <c r="BE222" s="46">
        <v>0</v>
      </c>
      <c r="BF222" s="46">
        <v>0</v>
      </c>
      <c r="BG222" s="46" t="s">
        <v>48</v>
      </c>
      <c r="BH222" s="46">
        <v>0</v>
      </c>
      <c r="BI222" s="46">
        <v>0</v>
      </c>
      <c r="BJ222" s="46">
        <v>0</v>
      </c>
      <c r="BK222" s="46">
        <v>0</v>
      </c>
      <c r="BL222" s="46">
        <v>0</v>
      </c>
      <c r="BM222" s="46">
        <v>0</v>
      </c>
      <c r="BN222" s="46">
        <v>0</v>
      </c>
    </row>
    <row r="223" spans="1:66" x14ac:dyDescent="0.35">
      <c r="A223" t="s">
        <v>4554</v>
      </c>
      <c r="B223" s="44" t="s">
        <v>48</v>
      </c>
      <c r="C223" t="s">
        <v>3363</v>
      </c>
      <c r="D223" t="s">
        <v>4557</v>
      </c>
      <c r="E223" t="s">
        <v>4555</v>
      </c>
      <c r="F223" t="s">
        <v>4426</v>
      </c>
      <c r="G223" t="s">
        <v>74</v>
      </c>
      <c r="H223">
        <v>0</v>
      </c>
      <c r="I223" s="60" t="s">
        <v>177</v>
      </c>
      <c r="J223" s="33" t="s">
        <v>96</v>
      </c>
      <c r="K223" s="46">
        <v>0</v>
      </c>
      <c r="L223">
        <v>1.6</v>
      </c>
      <c r="M223" t="s">
        <v>48</v>
      </c>
      <c r="N223" s="46">
        <v>0</v>
      </c>
      <c r="O223" s="46">
        <v>0</v>
      </c>
      <c r="P223" s="46">
        <v>0</v>
      </c>
      <c r="Q223" t="s">
        <v>48</v>
      </c>
      <c r="R223" t="s">
        <v>48</v>
      </c>
      <c r="S223" t="s">
        <v>4556</v>
      </c>
      <c r="T223" t="s">
        <v>48</v>
      </c>
      <c r="U223" t="s">
        <v>4556</v>
      </c>
      <c r="V223" s="47">
        <v>0</v>
      </c>
      <c r="W223" t="s">
        <v>48</v>
      </c>
      <c r="X223" t="s">
        <v>48</v>
      </c>
      <c r="Y223" t="s">
        <v>48</v>
      </c>
      <c r="Z223">
        <v>0</v>
      </c>
      <c r="AA223" t="s">
        <v>48</v>
      </c>
      <c r="AB223" t="s">
        <v>48</v>
      </c>
      <c r="AC223" t="s">
        <v>63</v>
      </c>
      <c r="AD223" t="s">
        <v>93</v>
      </c>
      <c r="AE223" s="40" t="s">
        <v>2471</v>
      </c>
      <c r="AF223" t="s">
        <v>11061</v>
      </c>
      <c r="AG223" t="s">
        <v>48</v>
      </c>
      <c r="AH223" t="s">
        <v>48</v>
      </c>
      <c r="AI223" t="s">
        <v>48</v>
      </c>
      <c r="AJ223" t="s">
        <v>48</v>
      </c>
      <c r="AK223" t="s">
        <v>48</v>
      </c>
      <c r="AL223" t="s">
        <v>48</v>
      </c>
      <c r="AM223" t="s">
        <v>48</v>
      </c>
      <c r="AN223" t="s">
        <v>48</v>
      </c>
      <c r="AO223" t="s">
        <v>48</v>
      </c>
      <c r="AP223" s="46">
        <v>0</v>
      </c>
      <c r="AQ223" s="46">
        <v>0</v>
      </c>
      <c r="AR223" s="46">
        <v>0</v>
      </c>
      <c r="AS223" s="46">
        <v>0</v>
      </c>
      <c r="AT223" s="46">
        <v>0</v>
      </c>
      <c r="AU223" s="46">
        <v>0</v>
      </c>
      <c r="AV223" s="46">
        <v>0</v>
      </c>
      <c r="AW223" s="46">
        <v>0</v>
      </c>
      <c r="AX223" s="46">
        <v>0</v>
      </c>
      <c r="AY223" s="46">
        <v>0</v>
      </c>
      <c r="AZ223" s="46">
        <v>0</v>
      </c>
      <c r="BA223" s="46">
        <v>0</v>
      </c>
      <c r="BB223" s="46">
        <v>0</v>
      </c>
      <c r="BC223" s="46">
        <v>0</v>
      </c>
      <c r="BD223" s="46">
        <v>0</v>
      </c>
      <c r="BE223" s="46">
        <v>0</v>
      </c>
      <c r="BF223" s="46">
        <v>0</v>
      </c>
      <c r="BG223" s="46" t="s">
        <v>48</v>
      </c>
      <c r="BH223" s="46">
        <v>0</v>
      </c>
      <c r="BI223" s="46">
        <v>0</v>
      </c>
      <c r="BJ223" s="46">
        <v>0</v>
      </c>
      <c r="BK223" s="46">
        <v>0</v>
      </c>
      <c r="BL223" s="46">
        <v>0</v>
      </c>
      <c r="BM223" s="46">
        <v>0</v>
      </c>
      <c r="BN223" s="46">
        <v>0</v>
      </c>
    </row>
    <row r="224" spans="1:66" x14ac:dyDescent="0.35">
      <c r="A224" t="s">
        <v>4564</v>
      </c>
      <c r="B224" s="44" t="s">
        <v>48</v>
      </c>
      <c r="C224" t="s">
        <v>718</v>
      </c>
      <c r="D224" t="s">
        <v>4566</v>
      </c>
      <c r="E224" t="s">
        <v>4565</v>
      </c>
      <c r="F224" t="s">
        <v>4426</v>
      </c>
      <c r="G224" t="s">
        <v>74</v>
      </c>
      <c r="H224">
        <v>0</v>
      </c>
      <c r="I224" s="60" t="s">
        <v>149</v>
      </c>
      <c r="J224" s="33" t="s">
        <v>96</v>
      </c>
      <c r="K224" s="46">
        <v>0</v>
      </c>
      <c r="L224">
        <v>2</v>
      </c>
      <c r="M224" t="s">
        <v>48</v>
      </c>
      <c r="N224" s="46">
        <v>0</v>
      </c>
      <c r="O224" s="46">
        <v>0</v>
      </c>
      <c r="P224" s="46">
        <v>0</v>
      </c>
      <c r="Q224" t="s">
        <v>48</v>
      </c>
      <c r="R224" t="s">
        <v>48</v>
      </c>
      <c r="S224" t="s">
        <v>48</v>
      </c>
      <c r="T224" t="s">
        <v>48</v>
      </c>
      <c r="U224" t="s">
        <v>48</v>
      </c>
      <c r="V224" s="47">
        <v>0</v>
      </c>
      <c r="W224" t="s">
        <v>48</v>
      </c>
      <c r="X224" t="s">
        <v>48</v>
      </c>
      <c r="Y224" t="s">
        <v>48</v>
      </c>
      <c r="Z224">
        <v>0</v>
      </c>
      <c r="AA224" t="s">
        <v>48</v>
      </c>
      <c r="AB224" t="s">
        <v>48</v>
      </c>
      <c r="AC224" t="s">
        <v>63</v>
      </c>
      <c r="AD224" t="s">
        <v>93</v>
      </c>
      <c r="AE224" s="40" t="s">
        <v>2471</v>
      </c>
      <c r="AF224" t="s">
        <v>11061</v>
      </c>
      <c r="AG224" t="s">
        <v>48</v>
      </c>
      <c r="AH224" t="s">
        <v>48</v>
      </c>
      <c r="AI224" t="s">
        <v>48</v>
      </c>
      <c r="AJ224" t="s">
        <v>48</v>
      </c>
      <c r="AK224" t="s">
        <v>48</v>
      </c>
      <c r="AL224" t="s">
        <v>48</v>
      </c>
      <c r="AM224" t="s">
        <v>48</v>
      </c>
      <c r="AN224" t="s">
        <v>48</v>
      </c>
      <c r="AO224" t="s">
        <v>48</v>
      </c>
      <c r="AP224" s="46">
        <v>0</v>
      </c>
      <c r="AQ224" s="46">
        <v>0</v>
      </c>
      <c r="AR224" s="46">
        <v>0</v>
      </c>
      <c r="AS224" s="46">
        <v>0</v>
      </c>
      <c r="AT224" s="46">
        <v>0</v>
      </c>
      <c r="AU224" s="46">
        <v>0</v>
      </c>
      <c r="AV224" s="46">
        <v>0</v>
      </c>
      <c r="AW224" s="46">
        <v>0</v>
      </c>
      <c r="AX224" s="46">
        <v>0</v>
      </c>
      <c r="AY224" s="46">
        <v>0</v>
      </c>
      <c r="AZ224" s="46">
        <v>0</v>
      </c>
      <c r="BA224" s="46">
        <v>0</v>
      </c>
      <c r="BB224" s="46">
        <v>0</v>
      </c>
      <c r="BC224" s="46">
        <v>0</v>
      </c>
      <c r="BD224" s="46">
        <v>0</v>
      </c>
      <c r="BE224" s="46">
        <v>0</v>
      </c>
      <c r="BF224" s="46">
        <v>0</v>
      </c>
      <c r="BG224" s="46" t="s">
        <v>48</v>
      </c>
      <c r="BH224" s="46">
        <v>0</v>
      </c>
      <c r="BI224" s="46">
        <v>0</v>
      </c>
      <c r="BJ224" s="46">
        <v>0</v>
      </c>
      <c r="BK224" s="46">
        <v>0</v>
      </c>
      <c r="BL224" s="46">
        <v>0</v>
      </c>
      <c r="BM224" s="46">
        <v>0</v>
      </c>
      <c r="BN224" s="46">
        <v>0</v>
      </c>
    </row>
    <row r="225" spans="1:66" x14ac:dyDescent="0.35">
      <c r="A225" t="s">
        <v>11002</v>
      </c>
      <c r="B225" s="44" t="s">
        <v>48</v>
      </c>
      <c r="C225" t="s">
        <v>12101</v>
      </c>
      <c r="D225" t="s">
        <v>12102</v>
      </c>
      <c r="E225" t="s">
        <v>11003</v>
      </c>
      <c r="F225" t="s">
        <v>4426</v>
      </c>
      <c r="G225" t="s">
        <v>47</v>
      </c>
      <c r="H225">
        <v>0</v>
      </c>
      <c r="I225" s="60" t="s">
        <v>11552</v>
      </c>
      <c r="J225" s="33" t="s">
        <v>96</v>
      </c>
      <c r="K225" s="46">
        <v>0</v>
      </c>
      <c r="L225">
        <v>0.4</v>
      </c>
      <c r="M225" t="s">
        <v>48</v>
      </c>
      <c r="N225" s="46">
        <v>0</v>
      </c>
      <c r="O225" s="46">
        <v>0</v>
      </c>
      <c r="P225" s="46">
        <v>0</v>
      </c>
      <c r="Q225" t="s">
        <v>48</v>
      </c>
      <c r="R225" t="s">
        <v>48</v>
      </c>
      <c r="S225" t="s">
        <v>11500</v>
      </c>
      <c r="T225" t="s">
        <v>48</v>
      </c>
      <c r="U225" t="s">
        <v>11004</v>
      </c>
      <c r="V225" s="47">
        <v>0</v>
      </c>
      <c r="W225" t="s">
        <v>48</v>
      </c>
      <c r="X225" t="s">
        <v>48</v>
      </c>
      <c r="Y225" t="s">
        <v>48</v>
      </c>
      <c r="Z225" t="s">
        <v>48</v>
      </c>
      <c r="AA225" t="s">
        <v>48</v>
      </c>
      <c r="AB225" t="s">
        <v>48</v>
      </c>
      <c r="AC225" t="s">
        <v>63</v>
      </c>
      <c r="AD225" t="s">
        <v>93</v>
      </c>
      <c r="AE225" s="40" t="s">
        <v>4532</v>
      </c>
      <c r="AF225" t="s">
        <v>48</v>
      </c>
      <c r="AG225" t="s">
        <v>48</v>
      </c>
      <c r="AH225" t="s">
        <v>48</v>
      </c>
      <c r="AI225" t="s">
        <v>48</v>
      </c>
      <c r="AJ225" t="s">
        <v>48</v>
      </c>
      <c r="AK225" t="s">
        <v>48</v>
      </c>
      <c r="AL225" t="s">
        <v>48</v>
      </c>
      <c r="AM225" t="s">
        <v>48</v>
      </c>
      <c r="AN225" t="s">
        <v>48</v>
      </c>
      <c r="AO225" t="s">
        <v>48</v>
      </c>
      <c r="AP225" s="46">
        <v>0</v>
      </c>
      <c r="AQ225" s="46">
        <v>0</v>
      </c>
      <c r="AR225" s="46">
        <v>0</v>
      </c>
      <c r="AS225" s="46">
        <v>0</v>
      </c>
      <c r="AT225" s="46">
        <v>0</v>
      </c>
      <c r="AU225" s="46">
        <v>0</v>
      </c>
      <c r="AV225" s="46">
        <v>0</v>
      </c>
      <c r="AW225" s="46">
        <v>0</v>
      </c>
      <c r="AX225" s="46">
        <v>0</v>
      </c>
      <c r="AY225" s="46">
        <v>0</v>
      </c>
      <c r="AZ225" s="46">
        <v>0</v>
      </c>
      <c r="BA225" s="46">
        <v>0</v>
      </c>
      <c r="BB225" s="46">
        <v>0</v>
      </c>
      <c r="BC225" s="46">
        <v>0</v>
      </c>
      <c r="BD225" s="46">
        <v>0</v>
      </c>
      <c r="BE225" s="46">
        <v>0</v>
      </c>
      <c r="BF225" s="46">
        <v>0</v>
      </c>
      <c r="BG225" s="46" t="s">
        <v>48</v>
      </c>
      <c r="BH225" s="46">
        <v>0</v>
      </c>
      <c r="BI225" s="46">
        <v>0</v>
      </c>
      <c r="BJ225" s="46">
        <v>0</v>
      </c>
      <c r="BK225" s="46">
        <v>0</v>
      </c>
      <c r="BL225" s="46">
        <v>0</v>
      </c>
      <c r="BM225" s="46">
        <v>0</v>
      </c>
      <c r="BN225" s="46">
        <v>0</v>
      </c>
    </row>
    <row r="226" spans="1:66" x14ac:dyDescent="0.35">
      <c r="A226" t="s">
        <v>4438</v>
      </c>
      <c r="B226" s="44" t="s">
        <v>48</v>
      </c>
      <c r="C226" t="s">
        <v>4440</v>
      </c>
      <c r="D226" t="s">
        <v>2247</v>
      </c>
      <c r="E226" t="s">
        <v>4439</v>
      </c>
      <c r="F226" t="s">
        <v>4426</v>
      </c>
      <c r="G226" t="s">
        <v>47</v>
      </c>
      <c r="H226">
        <v>0</v>
      </c>
      <c r="I226" s="60" t="s">
        <v>177</v>
      </c>
      <c r="J226" s="33" t="s">
        <v>96</v>
      </c>
      <c r="K226" s="46">
        <v>0</v>
      </c>
      <c r="L226">
        <v>0.3</v>
      </c>
      <c r="M226" t="s">
        <v>48</v>
      </c>
      <c r="N226" s="46">
        <v>0</v>
      </c>
      <c r="O226" s="46">
        <v>0</v>
      </c>
      <c r="P226" s="46">
        <v>0</v>
      </c>
      <c r="Q226" t="s">
        <v>48</v>
      </c>
      <c r="R226" t="s">
        <v>48</v>
      </c>
      <c r="S226" t="s">
        <v>48</v>
      </c>
      <c r="T226" t="s">
        <v>48</v>
      </c>
      <c r="U226" t="s">
        <v>48</v>
      </c>
      <c r="V226" s="47">
        <v>0</v>
      </c>
      <c r="W226" t="s">
        <v>48</v>
      </c>
      <c r="X226" t="s">
        <v>48</v>
      </c>
      <c r="Y226" t="s">
        <v>48</v>
      </c>
      <c r="Z226">
        <v>0</v>
      </c>
      <c r="AA226" t="s">
        <v>48</v>
      </c>
      <c r="AB226" t="s">
        <v>48</v>
      </c>
      <c r="AC226" t="s">
        <v>49</v>
      </c>
      <c r="AD226" t="s">
        <v>93</v>
      </c>
      <c r="AE226" t="s">
        <v>4532</v>
      </c>
      <c r="AF226" t="s">
        <v>48</v>
      </c>
      <c r="AG226" t="s">
        <v>48</v>
      </c>
      <c r="AH226" t="s">
        <v>48</v>
      </c>
      <c r="AI226" t="s">
        <v>48</v>
      </c>
      <c r="AJ226" t="s">
        <v>48</v>
      </c>
      <c r="AK226" t="s">
        <v>48</v>
      </c>
      <c r="AL226" t="s">
        <v>48</v>
      </c>
      <c r="AM226" t="s">
        <v>48</v>
      </c>
      <c r="AN226" t="s">
        <v>48</v>
      </c>
      <c r="AO226" t="s">
        <v>48</v>
      </c>
      <c r="AP226" s="46">
        <v>0</v>
      </c>
      <c r="AQ226" s="46">
        <v>0</v>
      </c>
      <c r="AR226" s="46">
        <v>0</v>
      </c>
      <c r="AS226" s="46">
        <v>0</v>
      </c>
      <c r="AT226" s="46">
        <v>0</v>
      </c>
      <c r="AU226" s="46">
        <v>0</v>
      </c>
      <c r="AV226" s="46">
        <v>0</v>
      </c>
      <c r="AW226" s="46">
        <v>0</v>
      </c>
      <c r="AX226" s="46">
        <v>0</v>
      </c>
      <c r="AY226" s="46">
        <v>0</v>
      </c>
      <c r="AZ226" s="46">
        <v>0</v>
      </c>
      <c r="BA226" s="46">
        <v>0</v>
      </c>
      <c r="BB226" s="46">
        <v>0</v>
      </c>
      <c r="BC226" s="46">
        <v>0</v>
      </c>
      <c r="BD226" s="46">
        <v>0</v>
      </c>
      <c r="BE226" s="46">
        <v>0</v>
      </c>
      <c r="BF226" s="46">
        <v>0</v>
      </c>
      <c r="BG226" s="46" t="s">
        <v>48</v>
      </c>
      <c r="BH226" s="46">
        <v>0</v>
      </c>
      <c r="BI226" s="46">
        <v>0</v>
      </c>
      <c r="BJ226" s="46">
        <v>0</v>
      </c>
      <c r="BK226" s="46">
        <v>0</v>
      </c>
      <c r="BL226" s="46">
        <v>0</v>
      </c>
      <c r="BM226" s="46">
        <v>0</v>
      </c>
      <c r="BN226" s="46">
        <v>0</v>
      </c>
    </row>
    <row r="227" spans="1:66" x14ac:dyDescent="0.35">
      <c r="A227" t="s">
        <v>4572</v>
      </c>
      <c r="B227" s="44" t="s">
        <v>48</v>
      </c>
      <c r="C227" t="s">
        <v>4576</v>
      </c>
      <c r="D227" t="s">
        <v>4575</v>
      </c>
      <c r="E227" t="s">
        <v>4573</v>
      </c>
      <c r="F227" t="s">
        <v>4426</v>
      </c>
      <c r="G227" t="s">
        <v>74</v>
      </c>
      <c r="H227">
        <v>0</v>
      </c>
      <c r="I227" s="60" t="s">
        <v>177</v>
      </c>
      <c r="J227" s="33" t="s">
        <v>96</v>
      </c>
      <c r="K227" s="46">
        <v>0</v>
      </c>
      <c r="L227">
        <v>1.6</v>
      </c>
      <c r="M227" t="s">
        <v>48</v>
      </c>
      <c r="N227" s="46">
        <v>0</v>
      </c>
      <c r="O227" s="46">
        <v>0</v>
      </c>
      <c r="P227" s="46">
        <v>0</v>
      </c>
      <c r="Q227" t="s">
        <v>48</v>
      </c>
      <c r="R227" t="s">
        <v>48</v>
      </c>
      <c r="S227" t="s">
        <v>4574</v>
      </c>
      <c r="T227" t="s">
        <v>48</v>
      </c>
      <c r="U227" t="s">
        <v>4574</v>
      </c>
      <c r="V227" s="47">
        <v>0</v>
      </c>
      <c r="W227" t="s">
        <v>48</v>
      </c>
      <c r="X227" t="s">
        <v>48</v>
      </c>
      <c r="Y227" t="s">
        <v>48</v>
      </c>
      <c r="Z227">
        <v>0</v>
      </c>
      <c r="AA227" t="s">
        <v>48</v>
      </c>
      <c r="AB227" t="s">
        <v>48</v>
      </c>
      <c r="AC227" t="s">
        <v>49</v>
      </c>
      <c r="AD227" t="s">
        <v>93</v>
      </c>
      <c r="AE227" t="s">
        <v>4532</v>
      </c>
      <c r="AF227" t="s">
        <v>48</v>
      </c>
      <c r="AG227" t="s">
        <v>48</v>
      </c>
      <c r="AH227" t="s">
        <v>48</v>
      </c>
      <c r="AI227" t="s">
        <v>48</v>
      </c>
      <c r="AJ227" t="s">
        <v>48</v>
      </c>
      <c r="AK227" t="s">
        <v>48</v>
      </c>
      <c r="AL227" t="s">
        <v>48</v>
      </c>
      <c r="AM227" t="s">
        <v>48</v>
      </c>
      <c r="AN227" t="s">
        <v>48</v>
      </c>
      <c r="AO227" t="s">
        <v>48</v>
      </c>
      <c r="AP227" s="46">
        <v>0</v>
      </c>
      <c r="AQ227" s="46">
        <v>0</v>
      </c>
      <c r="AR227" s="46">
        <v>0</v>
      </c>
      <c r="AS227" s="46">
        <v>0</v>
      </c>
      <c r="AT227" s="46">
        <v>0</v>
      </c>
      <c r="AU227" s="46">
        <v>0</v>
      </c>
      <c r="AV227" s="46">
        <v>0</v>
      </c>
      <c r="AW227" s="46">
        <v>0</v>
      </c>
      <c r="AX227" s="46">
        <v>0</v>
      </c>
      <c r="AY227" s="46">
        <v>0</v>
      </c>
      <c r="AZ227" s="46">
        <v>0</v>
      </c>
      <c r="BA227" s="46">
        <v>0</v>
      </c>
      <c r="BB227" s="46">
        <v>0</v>
      </c>
      <c r="BC227" s="46">
        <v>0</v>
      </c>
      <c r="BD227" s="46">
        <v>0</v>
      </c>
      <c r="BE227" s="46">
        <v>0</v>
      </c>
      <c r="BF227" s="46">
        <v>0</v>
      </c>
      <c r="BG227" s="46" t="s">
        <v>48</v>
      </c>
      <c r="BH227" s="46">
        <v>0</v>
      </c>
      <c r="BI227" s="46">
        <v>0</v>
      </c>
      <c r="BJ227" s="46">
        <v>0</v>
      </c>
      <c r="BK227" s="46">
        <v>0</v>
      </c>
      <c r="BL227" s="46">
        <v>0</v>
      </c>
      <c r="BM227" s="46">
        <v>0</v>
      </c>
      <c r="BN227" s="46">
        <v>0</v>
      </c>
    </row>
    <row r="228" spans="1:66" x14ac:dyDescent="0.35">
      <c r="A228" t="s">
        <v>4558</v>
      </c>
      <c r="B228" s="44" t="s">
        <v>48</v>
      </c>
      <c r="C228" t="s">
        <v>4561</v>
      </c>
      <c r="D228" t="s">
        <v>603</v>
      </c>
      <c r="E228" t="s">
        <v>4559</v>
      </c>
      <c r="F228" t="s">
        <v>4426</v>
      </c>
      <c r="G228" t="s">
        <v>74</v>
      </c>
      <c r="H228">
        <v>0</v>
      </c>
      <c r="I228" s="60" t="s">
        <v>177</v>
      </c>
      <c r="J228" s="33" t="s">
        <v>96</v>
      </c>
      <c r="K228" s="46">
        <v>0</v>
      </c>
      <c r="L228">
        <v>3.5</v>
      </c>
      <c r="M228" t="s">
        <v>48</v>
      </c>
      <c r="N228" s="46">
        <v>0</v>
      </c>
      <c r="O228" s="46">
        <v>0</v>
      </c>
      <c r="P228" s="46">
        <v>0</v>
      </c>
      <c r="Q228" t="s">
        <v>48</v>
      </c>
      <c r="R228" t="s">
        <v>48</v>
      </c>
      <c r="S228" t="s">
        <v>4560</v>
      </c>
      <c r="T228" t="s">
        <v>48</v>
      </c>
      <c r="U228" t="s">
        <v>4560</v>
      </c>
      <c r="V228" s="47">
        <v>0</v>
      </c>
      <c r="W228" t="s">
        <v>48</v>
      </c>
      <c r="X228" t="s">
        <v>48</v>
      </c>
      <c r="Y228" t="s">
        <v>48</v>
      </c>
      <c r="Z228">
        <v>0</v>
      </c>
      <c r="AA228" t="s">
        <v>48</v>
      </c>
      <c r="AB228" t="s">
        <v>48</v>
      </c>
      <c r="AC228" t="s">
        <v>49</v>
      </c>
      <c r="AD228" t="s">
        <v>93</v>
      </c>
      <c r="AE228" s="40" t="s">
        <v>2471</v>
      </c>
      <c r="AF228" t="s">
        <v>11061</v>
      </c>
      <c r="AG228" t="s">
        <v>48</v>
      </c>
      <c r="AH228" t="s">
        <v>48</v>
      </c>
      <c r="AI228" t="s">
        <v>48</v>
      </c>
      <c r="AJ228" t="s">
        <v>48</v>
      </c>
      <c r="AK228" t="s">
        <v>48</v>
      </c>
      <c r="AL228" t="s">
        <v>48</v>
      </c>
      <c r="AM228" t="s">
        <v>48</v>
      </c>
      <c r="AN228" t="s">
        <v>48</v>
      </c>
      <c r="AO228" t="s">
        <v>48</v>
      </c>
      <c r="AP228" s="46">
        <v>0</v>
      </c>
      <c r="AQ228" s="46">
        <v>0</v>
      </c>
      <c r="AR228" s="46">
        <v>0</v>
      </c>
      <c r="AS228" s="46">
        <v>0</v>
      </c>
      <c r="AT228" s="46">
        <v>0</v>
      </c>
      <c r="AU228" s="46">
        <v>0</v>
      </c>
      <c r="AV228" s="46">
        <v>0</v>
      </c>
      <c r="AW228" s="46">
        <v>0</v>
      </c>
      <c r="AX228" s="46">
        <v>0</v>
      </c>
      <c r="AY228" s="46">
        <v>0</v>
      </c>
      <c r="AZ228" s="46">
        <v>0</v>
      </c>
      <c r="BA228" s="46">
        <v>0</v>
      </c>
      <c r="BB228" s="46">
        <v>0</v>
      </c>
      <c r="BC228" s="46">
        <v>0</v>
      </c>
      <c r="BD228" s="46">
        <v>0</v>
      </c>
      <c r="BE228" s="46">
        <v>0</v>
      </c>
      <c r="BF228" s="46">
        <v>0</v>
      </c>
      <c r="BG228" s="46" t="s">
        <v>48</v>
      </c>
      <c r="BH228" s="46">
        <v>0</v>
      </c>
      <c r="BI228" s="46">
        <v>0</v>
      </c>
      <c r="BJ228" s="46">
        <v>0</v>
      </c>
      <c r="BK228" s="46">
        <v>0</v>
      </c>
      <c r="BL228" s="46">
        <v>0</v>
      </c>
      <c r="BM228" s="46">
        <v>0</v>
      </c>
      <c r="BN228" s="46">
        <v>0</v>
      </c>
    </row>
    <row r="229" spans="1:66" x14ac:dyDescent="0.35">
      <c r="A229" t="s">
        <v>4425</v>
      </c>
      <c r="B229" s="44" t="s">
        <v>48</v>
      </c>
      <c r="C229" t="s">
        <v>4429</v>
      </c>
      <c r="D229" t="s">
        <v>1445</v>
      </c>
      <c r="E229" t="s">
        <v>4427</v>
      </c>
      <c r="F229" t="s">
        <v>4426</v>
      </c>
      <c r="G229" t="s">
        <v>47</v>
      </c>
      <c r="H229">
        <v>0</v>
      </c>
      <c r="I229" s="60" t="s">
        <v>177</v>
      </c>
      <c r="J229" s="33" t="s">
        <v>96</v>
      </c>
      <c r="K229" s="46">
        <v>0</v>
      </c>
      <c r="L229">
        <v>0.4</v>
      </c>
      <c r="M229" t="s">
        <v>48</v>
      </c>
      <c r="N229" s="46">
        <v>0</v>
      </c>
      <c r="O229" s="46">
        <v>0</v>
      </c>
      <c r="P229" s="46">
        <v>0</v>
      </c>
      <c r="Q229">
        <v>0</v>
      </c>
      <c r="R229" t="s">
        <v>48</v>
      </c>
      <c r="S229" t="s">
        <v>4428</v>
      </c>
      <c r="T229" t="s">
        <v>48</v>
      </c>
      <c r="U229" t="s">
        <v>4428</v>
      </c>
      <c r="V229" s="47">
        <v>0</v>
      </c>
      <c r="W229" t="s">
        <v>48</v>
      </c>
      <c r="X229" t="s">
        <v>48</v>
      </c>
      <c r="Y229" t="s">
        <v>48</v>
      </c>
      <c r="Z229">
        <v>0</v>
      </c>
      <c r="AA229" t="s">
        <v>48</v>
      </c>
      <c r="AB229" t="s">
        <v>48</v>
      </c>
      <c r="AC229" t="s">
        <v>63</v>
      </c>
      <c r="AD229" t="s">
        <v>93</v>
      </c>
      <c r="AE229" t="s">
        <v>4532</v>
      </c>
      <c r="AF229" t="s">
        <v>48</v>
      </c>
      <c r="AG229" t="s">
        <v>48</v>
      </c>
      <c r="AH229" t="s">
        <v>48</v>
      </c>
      <c r="AI229" t="s">
        <v>48</v>
      </c>
      <c r="AJ229" t="s">
        <v>48</v>
      </c>
      <c r="AK229" t="s">
        <v>48</v>
      </c>
      <c r="AL229" t="s">
        <v>48</v>
      </c>
      <c r="AM229" t="s">
        <v>48</v>
      </c>
      <c r="AN229" t="s">
        <v>48</v>
      </c>
      <c r="AO229" t="s">
        <v>48</v>
      </c>
      <c r="AP229" s="46">
        <v>0</v>
      </c>
      <c r="AQ229" s="46">
        <v>0</v>
      </c>
      <c r="AR229" s="46">
        <v>0</v>
      </c>
      <c r="AS229" s="46">
        <v>0</v>
      </c>
      <c r="AT229" s="46">
        <v>0</v>
      </c>
      <c r="AU229" s="46">
        <v>0</v>
      </c>
      <c r="AV229" s="46">
        <v>0</v>
      </c>
      <c r="AW229" s="46">
        <v>0</v>
      </c>
      <c r="AX229" s="46">
        <v>0</v>
      </c>
      <c r="AY229" s="46">
        <v>0</v>
      </c>
      <c r="AZ229" s="46">
        <v>0</v>
      </c>
      <c r="BA229" s="46">
        <v>0</v>
      </c>
      <c r="BB229" s="46">
        <v>0</v>
      </c>
      <c r="BC229" s="46">
        <v>0</v>
      </c>
      <c r="BD229" s="46">
        <v>0</v>
      </c>
      <c r="BE229" s="46">
        <v>0</v>
      </c>
      <c r="BF229" s="46">
        <v>0</v>
      </c>
      <c r="BG229" s="46" t="s">
        <v>48</v>
      </c>
      <c r="BH229" s="46">
        <v>0</v>
      </c>
      <c r="BI229" s="46">
        <v>0</v>
      </c>
      <c r="BJ229" s="46">
        <v>0</v>
      </c>
      <c r="BK229" s="46">
        <v>0</v>
      </c>
      <c r="BL229" s="46">
        <v>0</v>
      </c>
      <c r="BM229" s="46">
        <v>0</v>
      </c>
      <c r="BN229" s="46">
        <v>0</v>
      </c>
    </row>
    <row r="230" spans="1:66" x14ac:dyDescent="0.35">
      <c r="A230" t="s">
        <v>4448</v>
      </c>
      <c r="B230" s="44" t="s">
        <v>48</v>
      </c>
      <c r="C230" t="s">
        <v>4450</v>
      </c>
      <c r="D230" t="s">
        <v>1925</v>
      </c>
      <c r="E230" t="s">
        <v>4449</v>
      </c>
      <c r="F230" t="s">
        <v>4426</v>
      </c>
      <c r="G230" t="s">
        <v>47</v>
      </c>
      <c r="H230">
        <v>0</v>
      </c>
      <c r="I230" s="60" t="s">
        <v>177</v>
      </c>
      <c r="J230" s="33" t="s">
        <v>96</v>
      </c>
      <c r="K230" s="46">
        <v>0</v>
      </c>
      <c r="L230">
        <v>0.9</v>
      </c>
      <c r="M230" t="s">
        <v>48</v>
      </c>
      <c r="N230" s="46">
        <v>0</v>
      </c>
      <c r="O230" s="46">
        <v>0</v>
      </c>
      <c r="P230" s="46">
        <v>0</v>
      </c>
      <c r="Q230" t="s">
        <v>48</v>
      </c>
      <c r="R230" t="s">
        <v>48</v>
      </c>
      <c r="S230" t="s">
        <v>10310</v>
      </c>
      <c r="T230" t="s">
        <v>48</v>
      </c>
      <c r="U230" t="s">
        <v>10310</v>
      </c>
      <c r="V230" s="47">
        <v>0</v>
      </c>
      <c r="W230" t="s">
        <v>48</v>
      </c>
      <c r="X230" t="s">
        <v>48</v>
      </c>
      <c r="Y230" t="s">
        <v>48</v>
      </c>
      <c r="Z230">
        <v>0</v>
      </c>
      <c r="AA230" t="s">
        <v>48</v>
      </c>
      <c r="AB230" t="s">
        <v>48</v>
      </c>
      <c r="AC230" t="s">
        <v>49</v>
      </c>
      <c r="AD230" t="s">
        <v>93</v>
      </c>
      <c r="AE230" s="40" t="s">
        <v>2471</v>
      </c>
      <c r="AF230" t="s">
        <v>11061</v>
      </c>
      <c r="AG230" t="s">
        <v>48</v>
      </c>
      <c r="AH230" t="s">
        <v>48</v>
      </c>
      <c r="AI230" t="s">
        <v>48</v>
      </c>
      <c r="AJ230" t="s">
        <v>48</v>
      </c>
      <c r="AK230" t="s">
        <v>48</v>
      </c>
      <c r="AL230" t="s">
        <v>48</v>
      </c>
      <c r="AM230" t="s">
        <v>48</v>
      </c>
      <c r="AN230" t="s">
        <v>48</v>
      </c>
      <c r="AO230" t="s">
        <v>48</v>
      </c>
      <c r="AP230" s="46">
        <v>0</v>
      </c>
      <c r="AQ230" s="46">
        <v>0</v>
      </c>
      <c r="AR230" s="46">
        <v>0</v>
      </c>
      <c r="AS230" s="46">
        <v>0</v>
      </c>
      <c r="AT230" s="46">
        <v>0</v>
      </c>
      <c r="AU230" s="46">
        <v>0</v>
      </c>
      <c r="AV230" s="46">
        <v>0</v>
      </c>
      <c r="AW230" s="46">
        <v>0</v>
      </c>
      <c r="AX230" s="46">
        <v>0</v>
      </c>
      <c r="AY230" s="46">
        <v>0</v>
      </c>
      <c r="AZ230" s="46">
        <v>0</v>
      </c>
      <c r="BA230" s="46">
        <v>0</v>
      </c>
      <c r="BB230" s="46">
        <v>0</v>
      </c>
      <c r="BC230" s="46">
        <v>0</v>
      </c>
      <c r="BD230" s="46">
        <v>0</v>
      </c>
      <c r="BE230" s="46">
        <v>0</v>
      </c>
      <c r="BF230" s="46">
        <v>0</v>
      </c>
      <c r="BG230" s="46" t="s">
        <v>48</v>
      </c>
      <c r="BH230" s="46">
        <v>0</v>
      </c>
      <c r="BI230" s="46">
        <v>0</v>
      </c>
      <c r="BJ230" s="46">
        <v>0</v>
      </c>
      <c r="BK230" s="46">
        <v>0</v>
      </c>
      <c r="BL230" s="46">
        <v>0</v>
      </c>
      <c r="BM230" s="46">
        <v>0</v>
      </c>
      <c r="BN230" s="46">
        <v>0</v>
      </c>
    </row>
    <row r="231" spans="1:66" x14ac:dyDescent="0.35">
      <c r="A231" t="s">
        <v>4430</v>
      </c>
      <c r="B231" s="44" t="s">
        <v>48</v>
      </c>
      <c r="C231" t="s">
        <v>195</v>
      </c>
      <c r="D231" t="s">
        <v>1034</v>
      </c>
      <c r="E231" t="s">
        <v>4431</v>
      </c>
      <c r="F231" t="s">
        <v>4426</v>
      </c>
      <c r="G231" t="s">
        <v>47</v>
      </c>
      <c r="H231">
        <v>0</v>
      </c>
      <c r="I231" s="60" t="s">
        <v>149</v>
      </c>
      <c r="J231" s="33" t="s">
        <v>96</v>
      </c>
      <c r="K231" s="46">
        <v>0</v>
      </c>
      <c r="L231">
        <v>0.3</v>
      </c>
      <c r="M231" t="s">
        <v>48</v>
      </c>
      <c r="N231" s="46">
        <v>0</v>
      </c>
      <c r="O231" s="46">
        <v>0</v>
      </c>
      <c r="P231" s="46">
        <v>0</v>
      </c>
      <c r="Q231" t="s">
        <v>48</v>
      </c>
      <c r="R231" t="s">
        <v>48</v>
      </c>
      <c r="S231" t="s">
        <v>48</v>
      </c>
      <c r="T231" t="s">
        <v>48</v>
      </c>
      <c r="U231" t="s">
        <v>48</v>
      </c>
      <c r="V231" s="47">
        <v>0</v>
      </c>
      <c r="W231" t="s">
        <v>48</v>
      </c>
      <c r="X231" t="s">
        <v>48</v>
      </c>
      <c r="Y231" t="s">
        <v>48</v>
      </c>
      <c r="Z231">
        <v>0</v>
      </c>
      <c r="AA231" t="s">
        <v>48</v>
      </c>
      <c r="AB231" t="s">
        <v>48</v>
      </c>
      <c r="AC231" t="s">
        <v>49</v>
      </c>
      <c r="AD231" t="s">
        <v>93</v>
      </c>
      <c r="AE231" t="s">
        <v>4532</v>
      </c>
      <c r="AF231" t="s">
        <v>48</v>
      </c>
      <c r="AG231" t="s">
        <v>48</v>
      </c>
      <c r="AH231" t="s">
        <v>48</v>
      </c>
      <c r="AI231" t="s">
        <v>48</v>
      </c>
      <c r="AJ231" t="s">
        <v>48</v>
      </c>
      <c r="AK231" t="s">
        <v>48</v>
      </c>
      <c r="AL231" t="s">
        <v>48</v>
      </c>
      <c r="AM231" t="s">
        <v>48</v>
      </c>
      <c r="AN231" t="s">
        <v>48</v>
      </c>
      <c r="AO231" t="s">
        <v>48</v>
      </c>
      <c r="AP231" s="46">
        <v>0</v>
      </c>
      <c r="AQ231" s="46">
        <v>0</v>
      </c>
      <c r="AR231" s="46">
        <v>0</v>
      </c>
      <c r="AS231" s="46">
        <v>0</v>
      </c>
      <c r="AT231" s="46">
        <v>0</v>
      </c>
      <c r="AU231" s="46">
        <v>0</v>
      </c>
      <c r="AV231" s="46">
        <v>0</v>
      </c>
      <c r="AW231" s="46">
        <v>0</v>
      </c>
      <c r="AX231" s="46">
        <v>0</v>
      </c>
      <c r="AY231" s="46">
        <v>0</v>
      </c>
      <c r="AZ231" s="46">
        <v>0</v>
      </c>
      <c r="BA231" s="46">
        <v>0</v>
      </c>
      <c r="BB231" s="46">
        <v>0</v>
      </c>
      <c r="BC231" s="46">
        <v>0</v>
      </c>
      <c r="BD231" s="46">
        <v>0</v>
      </c>
      <c r="BE231" s="46">
        <v>0</v>
      </c>
      <c r="BF231" s="46">
        <v>0</v>
      </c>
      <c r="BG231" s="46" t="s">
        <v>48</v>
      </c>
      <c r="BH231" s="46">
        <v>0</v>
      </c>
      <c r="BI231" s="46">
        <v>0</v>
      </c>
      <c r="BJ231" s="46">
        <v>0</v>
      </c>
      <c r="BK231" s="46">
        <v>0</v>
      </c>
      <c r="BL231" s="46">
        <v>0</v>
      </c>
      <c r="BM231" s="46">
        <v>0</v>
      </c>
      <c r="BN231" s="46">
        <v>0</v>
      </c>
    </row>
    <row r="232" spans="1:66" x14ac:dyDescent="0.35">
      <c r="A232" t="s">
        <v>4432</v>
      </c>
      <c r="B232" s="44" t="s">
        <v>48</v>
      </c>
      <c r="C232" t="s">
        <v>4435</v>
      </c>
      <c r="D232" t="s">
        <v>2100</v>
      </c>
      <c r="E232" t="s">
        <v>4433</v>
      </c>
      <c r="F232" t="s">
        <v>4426</v>
      </c>
      <c r="G232" t="s">
        <v>47</v>
      </c>
      <c r="H232">
        <v>0</v>
      </c>
      <c r="I232" s="60" t="s">
        <v>149</v>
      </c>
      <c r="J232" s="33" t="s">
        <v>96</v>
      </c>
      <c r="K232" s="46">
        <v>0</v>
      </c>
      <c r="L232">
        <v>0.4</v>
      </c>
      <c r="M232" t="s">
        <v>48</v>
      </c>
      <c r="N232" s="46">
        <v>0</v>
      </c>
      <c r="O232" s="46">
        <v>0</v>
      </c>
      <c r="P232" s="46">
        <v>0</v>
      </c>
      <c r="Q232" t="s">
        <v>48</v>
      </c>
      <c r="R232" t="s">
        <v>48</v>
      </c>
      <c r="S232" t="s">
        <v>4434</v>
      </c>
      <c r="T232" t="s">
        <v>48</v>
      </c>
      <c r="U232" t="s">
        <v>4434</v>
      </c>
      <c r="V232" s="47">
        <v>0</v>
      </c>
      <c r="W232" t="s">
        <v>48</v>
      </c>
      <c r="X232" t="s">
        <v>48</v>
      </c>
      <c r="Y232" t="s">
        <v>48</v>
      </c>
      <c r="Z232">
        <v>0</v>
      </c>
      <c r="AA232" t="s">
        <v>48</v>
      </c>
      <c r="AB232" t="s">
        <v>48</v>
      </c>
      <c r="AC232" t="s">
        <v>49</v>
      </c>
      <c r="AD232" t="s">
        <v>93</v>
      </c>
      <c r="AE232" s="40" t="s">
        <v>4532</v>
      </c>
      <c r="AF232" t="s">
        <v>48</v>
      </c>
      <c r="AG232" t="s">
        <v>48</v>
      </c>
      <c r="AH232" t="s">
        <v>48</v>
      </c>
      <c r="AI232" t="s">
        <v>48</v>
      </c>
      <c r="AJ232" t="s">
        <v>48</v>
      </c>
      <c r="AK232" t="s">
        <v>48</v>
      </c>
      <c r="AL232" t="s">
        <v>48</v>
      </c>
      <c r="AM232" t="s">
        <v>48</v>
      </c>
      <c r="AN232" t="s">
        <v>48</v>
      </c>
      <c r="AO232" t="s">
        <v>48</v>
      </c>
      <c r="AP232" s="46">
        <v>0</v>
      </c>
      <c r="AQ232" s="46">
        <v>0</v>
      </c>
      <c r="AR232" s="46">
        <v>0</v>
      </c>
      <c r="AS232" s="46">
        <v>0</v>
      </c>
      <c r="AT232" s="46">
        <v>0</v>
      </c>
      <c r="AU232" s="46">
        <v>0</v>
      </c>
      <c r="AV232" s="46">
        <v>0</v>
      </c>
      <c r="AW232" s="46">
        <v>0</v>
      </c>
      <c r="AX232" s="46">
        <v>0</v>
      </c>
      <c r="AY232" s="46">
        <v>0</v>
      </c>
      <c r="AZ232" s="46">
        <v>0</v>
      </c>
      <c r="BA232" s="46">
        <v>0</v>
      </c>
      <c r="BB232" s="46">
        <v>0</v>
      </c>
      <c r="BC232" s="46">
        <v>0</v>
      </c>
      <c r="BD232" s="46">
        <v>0</v>
      </c>
      <c r="BE232" s="46">
        <v>0</v>
      </c>
      <c r="BF232" s="46">
        <v>0</v>
      </c>
      <c r="BG232" s="46" t="s">
        <v>48</v>
      </c>
      <c r="BH232" s="46">
        <v>0</v>
      </c>
      <c r="BI232" s="46">
        <v>0</v>
      </c>
      <c r="BJ232" s="46">
        <v>0</v>
      </c>
      <c r="BK232" s="46">
        <v>0</v>
      </c>
      <c r="BL232" s="46">
        <v>0</v>
      </c>
      <c r="BM232" s="46">
        <v>0</v>
      </c>
      <c r="BN232" s="46">
        <v>0</v>
      </c>
    </row>
    <row r="233" spans="1:66" x14ac:dyDescent="0.35">
      <c r="A233" t="s">
        <v>4455</v>
      </c>
      <c r="B233" s="44" t="s">
        <v>48</v>
      </c>
      <c r="C233" t="s">
        <v>4458</v>
      </c>
      <c r="D233" t="s">
        <v>4457</v>
      </c>
      <c r="E233" t="s">
        <v>4456</v>
      </c>
      <c r="F233" t="s">
        <v>4426</v>
      </c>
      <c r="G233" t="s">
        <v>47</v>
      </c>
      <c r="H233">
        <v>0</v>
      </c>
      <c r="I233" s="60" t="s">
        <v>177</v>
      </c>
      <c r="J233" s="33" t="s">
        <v>96</v>
      </c>
      <c r="K233" s="46">
        <v>0</v>
      </c>
      <c r="L233">
        <v>0.3</v>
      </c>
      <c r="M233" t="s">
        <v>48</v>
      </c>
      <c r="N233" s="46">
        <v>0</v>
      </c>
      <c r="O233" s="46">
        <v>0</v>
      </c>
      <c r="P233" s="46">
        <v>0</v>
      </c>
      <c r="Q233" t="s">
        <v>48</v>
      </c>
      <c r="R233" t="s">
        <v>48</v>
      </c>
      <c r="S233" t="s">
        <v>10311</v>
      </c>
      <c r="T233" t="s">
        <v>48</v>
      </c>
      <c r="U233" t="s">
        <v>10311</v>
      </c>
      <c r="V233" s="47">
        <v>1</v>
      </c>
      <c r="W233" t="s">
        <v>48</v>
      </c>
      <c r="X233" t="s">
        <v>48</v>
      </c>
      <c r="Y233" t="s">
        <v>48</v>
      </c>
      <c r="Z233">
        <v>0</v>
      </c>
      <c r="AA233" t="s">
        <v>48</v>
      </c>
      <c r="AB233" t="s">
        <v>48</v>
      </c>
      <c r="AC233" t="s">
        <v>63</v>
      </c>
      <c r="AD233" t="s">
        <v>93</v>
      </c>
      <c r="AE233" s="40" t="s">
        <v>2471</v>
      </c>
      <c r="AF233" t="s">
        <v>11079</v>
      </c>
      <c r="AG233" t="s">
        <v>266</v>
      </c>
      <c r="AH233" t="s">
        <v>48</v>
      </c>
      <c r="AI233" t="s">
        <v>48</v>
      </c>
      <c r="AJ233" t="s">
        <v>48</v>
      </c>
      <c r="AK233" t="s">
        <v>48</v>
      </c>
      <c r="AL233" t="s">
        <v>48</v>
      </c>
      <c r="AM233" t="s">
        <v>48</v>
      </c>
      <c r="AN233" t="s">
        <v>48</v>
      </c>
      <c r="AO233" t="s">
        <v>48</v>
      </c>
      <c r="AP233" s="46">
        <v>0</v>
      </c>
      <c r="AQ233" s="46">
        <v>0</v>
      </c>
      <c r="AR233" s="46">
        <v>0</v>
      </c>
      <c r="AS233" s="46">
        <v>0</v>
      </c>
      <c r="AT233" s="46">
        <v>0</v>
      </c>
      <c r="AU233" s="46">
        <v>0</v>
      </c>
      <c r="AV233" s="46">
        <v>0</v>
      </c>
      <c r="AW233" s="46">
        <v>0</v>
      </c>
      <c r="AX233" s="46">
        <v>0</v>
      </c>
      <c r="AY233" s="46">
        <v>0</v>
      </c>
      <c r="AZ233" s="46">
        <v>0</v>
      </c>
      <c r="BA233" s="46">
        <v>0</v>
      </c>
      <c r="BB233" s="46">
        <v>0</v>
      </c>
      <c r="BC233" s="46">
        <v>0</v>
      </c>
      <c r="BD233" s="46">
        <v>0</v>
      </c>
      <c r="BE233" s="46">
        <v>0</v>
      </c>
      <c r="BF233" s="46">
        <v>0</v>
      </c>
      <c r="BG233" s="46" t="s">
        <v>48</v>
      </c>
      <c r="BH233" s="46">
        <v>0</v>
      </c>
      <c r="BI233" s="46">
        <v>0</v>
      </c>
      <c r="BJ233" s="46">
        <v>0</v>
      </c>
      <c r="BK233" s="46">
        <v>0</v>
      </c>
      <c r="BL233" s="46">
        <v>0</v>
      </c>
      <c r="BM233" s="46">
        <v>0</v>
      </c>
      <c r="BN233" s="46">
        <v>0</v>
      </c>
    </row>
    <row r="234" spans="1:66" x14ac:dyDescent="0.35">
      <c r="A234" t="s">
        <v>9638</v>
      </c>
      <c r="B234" s="44" t="s">
        <v>48</v>
      </c>
      <c r="C234" t="s">
        <v>332</v>
      </c>
      <c r="D234" t="s">
        <v>2441</v>
      </c>
      <c r="E234" t="s">
        <v>9639</v>
      </c>
      <c r="F234" t="s">
        <v>4426</v>
      </c>
      <c r="G234" t="s">
        <v>74</v>
      </c>
      <c r="H234">
        <v>0</v>
      </c>
      <c r="I234" s="61">
        <v>44753</v>
      </c>
      <c r="J234" s="33" t="s">
        <v>96</v>
      </c>
      <c r="K234" s="46">
        <v>0</v>
      </c>
      <c r="L234">
        <v>2.8</v>
      </c>
      <c r="M234" t="s">
        <v>48</v>
      </c>
      <c r="N234" s="46">
        <v>0</v>
      </c>
      <c r="O234" s="46">
        <v>0</v>
      </c>
      <c r="P234" s="46">
        <v>0</v>
      </c>
      <c r="Q234" t="s">
        <v>48</v>
      </c>
      <c r="R234" t="s">
        <v>48</v>
      </c>
      <c r="S234" t="s">
        <v>10309</v>
      </c>
      <c r="T234" t="s">
        <v>48</v>
      </c>
      <c r="U234" t="s">
        <v>10309</v>
      </c>
      <c r="V234" s="47">
        <v>0</v>
      </c>
      <c r="W234" t="s">
        <v>48</v>
      </c>
      <c r="X234" t="s">
        <v>48</v>
      </c>
      <c r="Y234" t="s">
        <v>48</v>
      </c>
      <c r="Z234" t="s">
        <v>48</v>
      </c>
      <c r="AA234" t="s">
        <v>48</v>
      </c>
      <c r="AB234" t="s">
        <v>48</v>
      </c>
      <c r="AC234" t="s">
        <v>49</v>
      </c>
      <c r="AD234" t="s">
        <v>93</v>
      </c>
      <c r="AE234" s="40" t="s">
        <v>4532</v>
      </c>
      <c r="AF234" t="s">
        <v>48</v>
      </c>
      <c r="AG234" t="s">
        <v>48</v>
      </c>
      <c r="AH234" t="s">
        <v>48</v>
      </c>
      <c r="AI234" t="s">
        <v>48</v>
      </c>
      <c r="AJ234" t="s">
        <v>48</v>
      </c>
      <c r="AK234" t="s">
        <v>48</v>
      </c>
      <c r="AL234" t="s">
        <v>48</v>
      </c>
      <c r="AM234" t="s">
        <v>48</v>
      </c>
      <c r="AN234" t="s">
        <v>48</v>
      </c>
      <c r="AO234" t="s">
        <v>48</v>
      </c>
      <c r="AP234" s="46">
        <v>0</v>
      </c>
      <c r="AQ234" s="46">
        <v>0</v>
      </c>
      <c r="AR234" s="46">
        <v>0</v>
      </c>
      <c r="AS234" s="46">
        <v>0</v>
      </c>
      <c r="AT234" s="46">
        <v>0</v>
      </c>
      <c r="AU234" s="46">
        <v>0</v>
      </c>
      <c r="AV234" s="46">
        <v>0</v>
      </c>
      <c r="AW234" s="46">
        <v>0</v>
      </c>
      <c r="AX234" s="46">
        <v>0</v>
      </c>
      <c r="AY234" s="46">
        <v>0</v>
      </c>
      <c r="AZ234" s="46">
        <v>0</v>
      </c>
      <c r="BA234" s="46">
        <v>0</v>
      </c>
      <c r="BB234" s="46">
        <v>0</v>
      </c>
      <c r="BC234" s="46">
        <v>0</v>
      </c>
      <c r="BD234" s="46">
        <v>0</v>
      </c>
      <c r="BE234" s="46">
        <v>0</v>
      </c>
      <c r="BF234" s="46">
        <v>0</v>
      </c>
      <c r="BG234" s="46" t="s">
        <v>48</v>
      </c>
      <c r="BH234" s="46">
        <v>0</v>
      </c>
      <c r="BI234" s="46">
        <v>0</v>
      </c>
      <c r="BJ234" s="46">
        <v>0</v>
      </c>
      <c r="BK234" s="46">
        <v>0</v>
      </c>
      <c r="BL234" s="46">
        <v>0</v>
      </c>
      <c r="BM234" s="46">
        <v>0</v>
      </c>
      <c r="BN234" s="46">
        <v>0</v>
      </c>
    </row>
    <row r="235" spans="1:66" x14ac:dyDescent="0.35">
      <c r="A235" t="s">
        <v>4441</v>
      </c>
      <c r="B235" s="44" t="s">
        <v>48</v>
      </c>
      <c r="C235" t="s">
        <v>4444</v>
      </c>
      <c r="D235" t="s">
        <v>2447</v>
      </c>
      <c r="E235" t="s">
        <v>4442</v>
      </c>
      <c r="F235" t="s">
        <v>4426</v>
      </c>
      <c r="G235" t="s">
        <v>47</v>
      </c>
      <c r="H235">
        <v>0</v>
      </c>
      <c r="I235" s="60" t="s">
        <v>177</v>
      </c>
      <c r="J235" s="33" t="s">
        <v>96</v>
      </c>
      <c r="K235" s="46">
        <v>0</v>
      </c>
      <c r="L235">
        <v>2.9</v>
      </c>
      <c r="M235" t="s">
        <v>48</v>
      </c>
      <c r="N235" s="46">
        <v>0</v>
      </c>
      <c r="O235" s="46">
        <v>0</v>
      </c>
      <c r="P235" s="46">
        <v>0</v>
      </c>
      <c r="Q235" t="s">
        <v>48</v>
      </c>
      <c r="R235" t="s">
        <v>48</v>
      </c>
      <c r="S235" t="s">
        <v>4443</v>
      </c>
      <c r="T235" t="s">
        <v>48</v>
      </c>
      <c r="U235" t="s">
        <v>4443</v>
      </c>
      <c r="V235" s="47">
        <v>0</v>
      </c>
      <c r="W235" t="s">
        <v>11318</v>
      </c>
      <c r="X235" t="s">
        <v>48</v>
      </c>
      <c r="Y235" t="s">
        <v>48</v>
      </c>
      <c r="Z235">
        <v>0</v>
      </c>
      <c r="AA235" t="s">
        <v>48</v>
      </c>
      <c r="AB235" t="s">
        <v>48</v>
      </c>
      <c r="AC235" t="s">
        <v>63</v>
      </c>
      <c r="AD235" t="s">
        <v>93</v>
      </c>
      <c r="AE235" t="s">
        <v>4532</v>
      </c>
      <c r="AF235" t="s">
        <v>48</v>
      </c>
      <c r="AG235" t="s">
        <v>48</v>
      </c>
      <c r="AH235" t="s">
        <v>48</v>
      </c>
      <c r="AI235" t="s">
        <v>48</v>
      </c>
      <c r="AJ235" t="s">
        <v>48</v>
      </c>
      <c r="AK235" t="s">
        <v>48</v>
      </c>
      <c r="AL235" t="s">
        <v>48</v>
      </c>
      <c r="AM235" t="s">
        <v>48</v>
      </c>
      <c r="AN235" t="s">
        <v>48</v>
      </c>
      <c r="AO235" t="s">
        <v>48</v>
      </c>
      <c r="AP235" s="46">
        <v>0</v>
      </c>
      <c r="AQ235" s="46">
        <v>0</v>
      </c>
      <c r="AR235" s="46">
        <v>0</v>
      </c>
      <c r="AS235" s="46">
        <v>0</v>
      </c>
      <c r="AT235" s="46">
        <v>0</v>
      </c>
      <c r="AU235" s="46">
        <v>0</v>
      </c>
      <c r="AV235" s="46">
        <v>0</v>
      </c>
      <c r="AW235" s="46">
        <v>0</v>
      </c>
      <c r="AX235" s="46">
        <v>0</v>
      </c>
      <c r="AY235" s="46">
        <v>0</v>
      </c>
      <c r="AZ235" s="46">
        <v>0</v>
      </c>
      <c r="BA235" s="46">
        <v>0</v>
      </c>
      <c r="BB235" s="46">
        <v>0</v>
      </c>
      <c r="BC235" s="46">
        <v>0</v>
      </c>
      <c r="BD235" s="46">
        <v>0</v>
      </c>
      <c r="BE235" s="46">
        <v>0</v>
      </c>
      <c r="BF235" s="46">
        <v>0</v>
      </c>
      <c r="BG235" s="46" t="s">
        <v>48</v>
      </c>
      <c r="BH235" s="46">
        <v>0</v>
      </c>
      <c r="BI235" s="46">
        <v>0</v>
      </c>
      <c r="BJ235" s="46">
        <v>0</v>
      </c>
      <c r="BK235" s="46">
        <v>0</v>
      </c>
      <c r="BL235" s="46">
        <v>0</v>
      </c>
      <c r="BM235" s="46">
        <v>0</v>
      </c>
      <c r="BN235" s="46">
        <v>0</v>
      </c>
    </row>
    <row r="236" spans="1:66" x14ac:dyDescent="0.35">
      <c r="A236" t="s">
        <v>4459</v>
      </c>
      <c r="B236" s="44" t="s">
        <v>48</v>
      </c>
      <c r="C236" t="s">
        <v>2492</v>
      </c>
      <c r="D236" t="s">
        <v>655</v>
      </c>
      <c r="E236" t="s">
        <v>4460</v>
      </c>
      <c r="F236" t="s">
        <v>4426</v>
      </c>
      <c r="G236" t="s">
        <v>47</v>
      </c>
      <c r="H236">
        <v>0</v>
      </c>
      <c r="I236" s="60" t="s">
        <v>51</v>
      </c>
      <c r="J236" s="33" t="s">
        <v>96</v>
      </c>
      <c r="K236" s="46">
        <v>0</v>
      </c>
      <c r="L236">
        <v>9.1999999999999993</v>
      </c>
      <c r="M236" t="s">
        <v>48</v>
      </c>
      <c r="N236" s="46">
        <v>0</v>
      </c>
      <c r="O236" s="46">
        <v>0</v>
      </c>
      <c r="P236" s="46">
        <v>0</v>
      </c>
      <c r="Q236" t="s">
        <v>48</v>
      </c>
      <c r="R236" t="s">
        <v>48</v>
      </c>
      <c r="S236" t="s">
        <v>4461</v>
      </c>
      <c r="T236" t="s">
        <v>48</v>
      </c>
      <c r="U236" t="s">
        <v>4461</v>
      </c>
      <c r="V236" s="47">
        <v>0</v>
      </c>
      <c r="W236" t="s">
        <v>48</v>
      </c>
      <c r="X236" t="s">
        <v>48</v>
      </c>
      <c r="Y236" t="s">
        <v>48</v>
      </c>
      <c r="Z236">
        <v>0</v>
      </c>
      <c r="AA236" t="s">
        <v>48</v>
      </c>
      <c r="AB236" t="s">
        <v>48</v>
      </c>
      <c r="AC236" t="s">
        <v>49</v>
      </c>
      <c r="AD236" t="s">
        <v>93</v>
      </c>
      <c r="AE236" t="s">
        <v>4532</v>
      </c>
      <c r="AF236" t="s">
        <v>48</v>
      </c>
      <c r="AG236" t="s">
        <v>151</v>
      </c>
      <c r="AH236" t="s">
        <v>93</v>
      </c>
      <c r="AI236" t="s">
        <v>48</v>
      </c>
      <c r="AJ236">
        <v>1969</v>
      </c>
      <c r="AK236" t="s">
        <v>48</v>
      </c>
      <c r="AL236" t="s">
        <v>48</v>
      </c>
      <c r="AM236" t="s">
        <v>48</v>
      </c>
      <c r="AN236" t="s">
        <v>48</v>
      </c>
      <c r="AO236" t="s">
        <v>48</v>
      </c>
      <c r="AP236" s="46">
        <v>0</v>
      </c>
      <c r="AQ236" s="46">
        <v>0</v>
      </c>
      <c r="AR236" s="46">
        <v>0</v>
      </c>
      <c r="AS236" s="46">
        <v>0</v>
      </c>
      <c r="AT236" s="46">
        <v>0</v>
      </c>
      <c r="AU236" s="46">
        <v>0</v>
      </c>
      <c r="AV236" s="46">
        <v>0</v>
      </c>
      <c r="AW236" s="46">
        <v>0</v>
      </c>
      <c r="AX236" s="46">
        <v>0</v>
      </c>
      <c r="AY236" s="46">
        <v>0</v>
      </c>
      <c r="AZ236" s="46">
        <v>0</v>
      </c>
      <c r="BA236" s="46">
        <v>0</v>
      </c>
      <c r="BB236" s="46">
        <v>0</v>
      </c>
      <c r="BC236" s="46">
        <v>0</v>
      </c>
      <c r="BD236" s="46">
        <v>0</v>
      </c>
      <c r="BE236" s="46">
        <v>0</v>
      </c>
      <c r="BF236" s="46">
        <v>0</v>
      </c>
      <c r="BG236" s="46" t="s">
        <v>48</v>
      </c>
      <c r="BH236" s="46">
        <v>0</v>
      </c>
      <c r="BI236" s="46">
        <v>0</v>
      </c>
      <c r="BJ236" s="46">
        <v>0</v>
      </c>
      <c r="BK236" s="46">
        <v>0</v>
      </c>
      <c r="BL236" s="46">
        <v>0</v>
      </c>
      <c r="BM236" s="46">
        <v>0</v>
      </c>
      <c r="BN236" s="46">
        <v>0</v>
      </c>
    </row>
    <row r="237" spans="1:66" x14ac:dyDescent="0.35">
      <c r="A237" t="s">
        <v>4451</v>
      </c>
      <c r="B237" s="44" t="s">
        <v>48</v>
      </c>
      <c r="C237" t="s">
        <v>4454</v>
      </c>
      <c r="D237" t="s">
        <v>2651</v>
      </c>
      <c r="E237" t="s">
        <v>4452</v>
      </c>
      <c r="F237" t="s">
        <v>4426</v>
      </c>
      <c r="G237" t="s">
        <v>47</v>
      </c>
      <c r="H237">
        <v>0</v>
      </c>
      <c r="I237" s="60" t="s">
        <v>51</v>
      </c>
      <c r="J237" s="33" t="s">
        <v>96</v>
      </c>
      <c r="K237" s="46">
        <v>0</v>
      </c>
      <c r="L237">
        <v>24.6</v>
      </c>
      <c r="M237" t="s">
        <v>48</v>
      </c>
      <c r="N237" s="46">
        <v>0</v>
      </c>
      <c r="O237" s="46">
        <v>0</v>
      </c>
      <c r="P237" s="46">
        <v>0</v>
      </c>
      <c r="Q237" t="s">
        <v>48</v>
      </c>
      <c r="R237" t="s">
        <v>48</v>
      </c>
      <c r="S237" t="s">
        <v>4453</v>
      </c>
      <c r="T237" t="s">
        <v>48</v>
      </c>
      <c r="U237" t="s">
        <v>4453</v>
      </c>
      <c r="V237" s="47">
        <v>1</v>
      </c>
      <c r="W237" t="s">
        <v>48</v>
      </c>
      <c r="X237" t="s">
        <v>48</v>
      </c>
      <c r="Y237" t="s">
        <v>48</v>
      </c>
      <c r="Z237">
        <v>0</v>
      </c>
      <c r="AA237" t="s">
        <v>48</v>
      </c>
      <c r="AB237" t="s">
        <v>48</v>
      </c>
      <c r="AC237" t="s">
        <v>49</v>
      </c>
      <c r="AD237" t="s">
        <v>93</v>
      </c>
      <c r="AE237" t="s">
        <v>4532</v>
      </c>
      <c r="AF237" t="s">
        <v>48</v>
      </c>
      <c r="AG237" t="s">
        <v>466</v>
      </c>
      <c r="AH237" t="s">
        <v>93</v>
      </c>
      <c r="AI237" t="s">
        <v>48</v>
      </c>
      <c r="AJ237">
        <v>1956</v>
      </c>
      <c r="AK237" t="s">
        <v>48</v>
      </c>
      <c r="AL237" t="s">
        <v>48</v>
      </c>
      <c r="AM237" t="s">
        <v>48</v>
      </c>
      <c r="AN237" t="s">
        <v>48</v>
      </c>
      <c r="AO237" t="s">
        <v>48</v>
      </c>
      <c r="AP237" s="46">
        <v>0</v>
      </c>
      <c r="AQ237" s="46">
        <v>0</v>
      </c>
      <c r="AR237" s="46">
        <v>0</v>
      </c>
      <c r="AS237" s="46">
        <v>0</v>
      </c>
      <c r="AT237" s="46">
        <v>0</v>
      </c>
      <c r="AU237" s="46">
        <v>0</v>
      </c>
      <c r="AV237" s="46">
        <v>0</v>
      </c>
      <c r="AW237" s="46">
        <v>0</v>
      </c>
      <c r="AX237" s="46">
        <v>0</v>
      </c>
      <c r="AY237" s="46">
        <v>0</v>
      </c>
      <c r="AZ237" s="46">
        <v>0</v>
      </c>
      <c r="BA237" s="46">
        <v>0</v>
      </c>
      <c r="BB237" s="46">
        <v>0</v>
      </c>
      <c r="BC237" s="46">
        <v>0</v>
      </c>
      <c r="BD237" s="46">
        <v>0</v>
      </c>
      <c r="BE237" s="46">
        <v>0</v>
      </c>
      <c r="BF237" s="46">
        <v>0</v>
      </c>
      <c r="BG237" s="46" t="s">
        <v>48</v>
      </c>
      <c r="BH237" s="46">
        <v>0</v>
      </c>
      <c r="BI237" s="46">
        <v>0</v>
      </c>
      <c r="BJ237" s="46">
        <v>0</v>
      </c>
      <c r="BK237" s="46">
        <v>0</v>
      </c>
      <c r="BL237" s="46">
        <v>0</v>
      </c>
      <c r="BM237" s="46">
        <v>0</v>
      </c>
      <c r="BN237" s="46">
        <v>0</v>
      </c>
    </row>
    <row r="238" spans="1:66" x14ac:dyDescent="0.35">
      <c r="A238" t="s">
        <v>9640</v>
      </c>
      <c r="B238" s="44" t="s">
        <v>48</v>
      </c>
      <c r="C238" t="s">
        <v>12095</v>
      </c>
      <c r="D238" t="s">
        <v>210</v>
      </c>
      <c r="E238" t="s">
        <v>9641</v>
      </c>
      <c r="F238" t="s">
        <v>4426</v>
      </c>
      <c r="G238" t="s">
        <v>74</v>
      </c>
      <c r="H238">
        <v>0</v>
      </c>
      <c r="I238" s="61">
        <v>44753</v>
      </c>
      <c r="J238" s="33" t="s">
        <v>96</v>
      </c>
      <c r="K238" s="46">
        <v>0</v>
      </c>
      <c r="L238">
        <v>1.1000000000000001</v>
      </c>
      <c r="M238" t="s">
        <v>48</v>
      </c>
      <c r="N238" s="46">
        <v>0</v>
      </c>
      <c r="O238" s="46">
        <v>0</v>
      </c>
      <c r="P238" s="46">
        <v>0</v>
      </c>
      <c r="Q238" t="s">
        <v>48</v>
      </c>
      <c r="R238" t="s">
        <v>48</v>
      </c>
      <c r="S238" t="s">
        <v>48</v>
      </c>
      <c r="T238" t="s">
        <v>48</v>
      </c>
      <c r="U238" t="s">
        <v>48</v>
      </c>
      <c r="V238" s="47">
        <v>0</v>
      </c>
      <c r="W238" t="s">
        <v>48</v>
      </c>
      <c r="X238" t="s">
        <v>48</v>
      </c>
      <c r="Y238" t="s">
        <v>48</v>
      </c>
      <c r="Z238" t="s">
        <v>48</v>
      </c>
      <c r="AA238" t="s">
        <v>48</v>
      </c>
      <c r="AB238" t="s">
        <v>48</v>
      </c>
      <c r="AC238" t="s">
        <v>49</v>
      </c>
      <c r="AD238" t="s">
        <v>48</v>
      </c>
      <c r="AE238" t="s">
        <v>48</v>
      </c>
      <c r="AF238" t="s">
        <v>48</v>
      </c>
      <c r="AG238" t="s">
        <v>48</v>
      </c>
      <c r="AH238" t="s">
        <v>48</v>
      </c>
      <c r="AI238" t="s">
        <v>48</v>
      </c>
      <c r="AJ238" t="s">
        <v>48</v>
      </c>
      <c r="AK238" t="s">
        <v>48</v>
      </c>
      <c r="AL238" t="s">
        <v>48</v>
      </c>
      <c r="AM238" t="s">
        <v>48</v>
      </c>
      <c r="AN238" t="s">
        <v>48</v>
      </c>
      <c r="AO238" t="s">
        <v>48</v>
      </c>
      <c r="AP238" s="46">
        <v>0</v>
      </c>
      <c r="AQ238" s="46">
        <v>0</v>
      </c>
      <c r="AR238" s="46">
        <v>0</v>
      </c>
      <c r="AS238" s="46">
        <v>0</v>
      </c>
      <c r="AT238" s="46">
        <v>0</v>
      </c>
      <c r="AU238" s="46">
        <v>0</v>
      </c>
      <c r="AV238" s="46">
        <v>0</v>
      </c>
      <c r="AW238" s="46">
        <v>0</v>
      </c>
      <c r="AX238" s="46">
        <v>0</v>
      </c>
      <c r="AY238" s="46">
        <v>0</v>
      </c>
      <c r="AZ238" s="46">
        <v>0</v>
      </c>
      <c r="BA238" s="46">
        <v>0</v>
      </c>
      <c r="BB238" s="46">
        <v>0</v>
      </c>
      <c r="BC238" s="46">
        <v>0</v>
      </c>
      <c r="BD238" s="46">
        <v>0</v>
      </c>
      <c r="BE238" s="46">
        <v>0</v>
      </c>
      <c r="BF238" s="46">
        <v>0</v>
      </c>
      <c r="BG238" s="46" t="s">
        <v>48</v>
      </c>
      <c r="BH238" s="46">
        <v>0</v>
      </c>
      <c r="BI238" s="46">
        <v>0</v>
      </c>
      <c r="BJ238" s="46">
        <v>0</v>
      </c>
      <c r="BK238" s="46">
        <v>0</v>
      </c>
      <c r="BL238" s="46">
        <v>0</v>
      </c>
      <c r="BM238" s="46">
        <v>0</v>
      </c>
      <c r="BN238" s="46">
        <v>0</v>
      </c>
    </row>
    <row r="239" spans="1:66" x14ac:dyDescent="0.35">
      <c r="A239" t="s">
        <v>4567</v>
      </c>
      <c r="B239" s="44" t="s">
        <v>48</v>
      </c>
      <c r="C239" t="s">
        <v>4571</v>
      </c>
      <c r="D239" t="s">
        <v>4570</v>
      </c>
      <c r="E239" t="s">
        <v>4568</v>
      </c>
      <c r="F239" t="s">
        <v>4426</v>
      </c>
      <c r="G239" t="s">
        <v>74</v>
      </c>
      <c r="H239">
        <v>0</v>
      </c>
      <c r="I239" s="60" t="s">
        <v>177</v>
      </c>
      <c r="J239" s="33" t="s">
        <v>96</v>
      </c>
      <c r="K239" s="46">
        <v>0</v>
      </c>
      <c r="L239">
        <v>0.8</v>
      </c>
      <c r="M239" t="s">
        <v>48</v>
      </c>
      <c r="N239" s="46">
        <v>0</v>
      </c>
      <c r="O239" s="46">
        <v>0</v>
      </c>
      <c r="P239" s="46">
        <v>0</v>
      </c>
      <c r="Q239" t="s">
        <v>48</v>
      </c>
      <c r="R239" t="s">
        <v>48</v>
      </c>
      <c r="S239" t="s">
        <v>4569</v>
      </c>
      <c r="T239" t="s">
        <v>48</v>
      </c>
      <c r="U239" t="s">
        <v>4569</v>
      </c>
      <c r="V239" s="47">
        <v>1</v>
      </c>
      <c r="W239" t="s">
        <v>48</v>
      </c>
      <c r="X239" t="s">
        <v>48</v>
      </c>
      <c r="Y239" t="s">
        <v>48</v>
      </c>
      <c r="Z239">
        <v>0</v>
      </c>
      <c r="AA239" t="s">
        <v>48</v>
      </c>
      <c r="AB239" t="s">
        <v>48</v>
      </c>
      <c r="AC239" t="s">
        <v>49</v>
      </c>
      <c r="AD239" t="s">
        <v>93</v>
      </c>
      <c r="AE239" s="40" t="s">
        <v>2471</v>
      </c>
      <c r="AF239" t="s">
        <v>11061</v>
      </c>
      <c r="AG239" t="s">
        <v>266</v>
      </c>
      <c r="AH239" t="s">
        <v>48</v>
      </c>
      <c r="AI239" t="s">
        <v>48</v>
      </c>
      <c r="AJ239" t="s">
        <v>48</v>
      </c>
      <c r="AK239" t="s">
        <v>48</v>
      </c>
      <c r="AL239" t="s">
        <v>48</v>
      </c>
      <c r="AM239" t="s">
        <v>48</v>
      </c>
      <c r="AN239" t="s">
        <v>48</v>
      </c>
      <c r="AO239" t="s">
        <v>48</v>
      </c>
      <c r="AP239" s="46">
        <v>0</v>
      </c>
      <c r="AQ239" s="46">
        <v>0</v>
      </c>
      <c r="AR239" s="46">
        <v>0</v>
      </c>
      <c r="AS239" s="46">
        <v>0</v>
      </c>
      <c r="AT239" s="46">
        <v>0</v>
      </c>
      <c r="AU239" s="46">
        <v>0</v>
      </c>
      <c r="AV239" s="46">
        <v>0</v>
      </c>
      <c r="AW239" s="46">
        <v>0</v>
      </c>
      <c r="AX239" s="46">
        <v>0</v>
      </c>
      <c r="AY239" s="46">
        <v>0</v>
      </c>
      <c r="AZ239" s="46">
        <v>0</v>
      </c>
      <c r="BA239" s="46">
        <v>0</v>
      </c>
      <c r="BB239" s="46">
        <v>0</v>
      </c>
      <c r="BC239" s="46">
        <v>0</v>
      </c>
      <c r="BD239" s="46">
        <v>0</v>
      </c>
      <c r="BE239" s="46">
        <v>0</v>
      </c>
      <c r="BF239" s="46">
        <v>0</v>
      </c>
      <c r="BG239" s="46" t="s">
        <v>48</v>
      </c>
      <c r="BH239" s="46">
        <v>0</v>
      </c>
      <c r="BI239" s="46">
        <v>0</v>
      </c>
      <c r="BJ239" s="46">
        <v>0</v>
      </c>
      <c r="BK239" s="46">
        <v>0</v>
      </c>
      <c r="BL239" s="46">
        <v>0</v>
      </c>
      <c r="BM239" s="46">
        <v>0</v>
      </c>
      <c r="BN239" s="46">
        <v>0</v>
      </c>
    </row>
    <row r="240" spans="1:66" x14ac:dyDescent="0.35">
      <c r="A240" t="s">
        <v>4584</v>
      </c>
      <c r="B240" s="44" t="s">
        <v>48</v>
      </c>
      <c r="C240" t="s">
        <v>4588</v>
      </c>
      <c r="D240" t="s">
        <v>427</v>
      </c>
      <c r="E240" t="s">
        <v>4586</v>
      </c>
      <c r="F240" t="s">
        <v>4585</v>
      </c>
      <c r="G240" t="s">
        <v>47</v>
      </c>
      <c r="H240">
        <v>0</v>
      </c>
      <c r="I240" s="60" t="s">
        <v>51</v>
      </c>
      <c r="J240" s="33" t="s">
        <v>96</v>
      </c>
      <c r="K240" s="46">
        <v>1</v>
      </c>
      <c r="L240" t="s">
        <v>48</v>
      </c>
      <c r="M240" t="s">
        <v>48</v>
      </c>
      <c r="N240" s="46">
        <v>0</v>
      </c>
      <c r="O240" s="46">
        <v>0</v>
      </c>
      <c r="P240" s="46">
        <v>0</v>
      </c>
      <c r="Q240" t="s">
        <v>48</v>
      </c>
      <c r="R240" t="s">
        <v>48</v>
      </c>
      <c r="S240" t="s">
        <v>48</v>
      </c>
      <c r="T240" t="s">
        <v>4587</v>
      </c>
      <c r="U240" t="s">
        <v>48</v>
      </c>
      <c r="V240" s="47">
        <v>0</v>
      </c>
      <c r="W240" t="s">
        <v>48</v>
      </c>
      <c r="X240" t="s">
        <v>48</v>
      </c>
      <c r="Y240" t="s">
        <v>48</v>
      </c>
      <c r="Z240">
        <v>0</v>
      </c>
      <c r="AA240" t="s">
        <v>48</v>
      </c>
      <c r="AB240" t="s">
        <v>48</v>
      </c>
      <c r="AC240" t="s">
        <v>49</v>
      </c>
      <c r="AD240" t="s">
        <v>93</v>
      </c>
      <c r="AE240" t="s">
        <v>4532</v>
      </c>
      <c r="AF240" t="s">
        <v>48</v>
      </c>
      <c r="AG240" t="s">
        <v>48</v>
      </c>
      <c r="AH240" t="s">
        <v>48</v>
      </c>
      <c r="AI240">
        <v>21350</v>
      </c>
      <c r="AJ240">
        <v>1961</v>
      </c>
      <c r="AK240" t="s">
        <v>8563</v>
      </c>
      <c r="AL240" t="s">
        <v>8564</v>
      </c>
      <c r="AM240">
        <v>0.39900000000000002</v>
      </c>
      <c r="AN240">
        <v>0.36</v>
      </c>
      <c r="AO240">
        <v>0.39900000000000002</v>
      </c>
      <c r="AP240" s="46">
        <v>0</v>
      </c>
      <c r="AQ240" s="46">
        <v>0</v>
      </c>
      <c r="AR240" s="46">
        <v>0</v>
      </c>
      <c r="AS240" s="46">
        <v>0</v>
      </c>
      <c r="AT240" s="46">
        <v>0</v>
      </c>
      <c r="AU240" s="46">
        <v>0</v>
      </c>
      <c r="AV240" s="46">
        <v>0</v>
      </c>
      <c r="AW240" s="46">
        <v>0</v>
      </c>
      <c r="AX240" s="46">
        <v>0</v>
      </c>
      <c r="AY240" s="46">
        <v>0</v>
      </c>
      <c r="AZ240" s="46">
        <v>0</v>
      </c>
      <c r="BA240" s="46">
        <v>0</v>
      </c>
      <c r="BB240" s="46">
        <v>0</v>
      </c>
      <c r="BC240" s="46">
        <v>0</v>
      </c>
      <c r="BD240" s="46">
        <v>0</v>
      </c>
      <c r="BE240" s="46">
        <v>0</v>
      </c>
      <c r="BF240" s="46">
        <v>0</v>
      </c>
      <c r="BG240" s="46" t="s">
        <v>48</v>
      </c>
      <c r="BH240" s="46">
        <v>0</v>
      </c>
      <c r="BI240" s="46">
        <v>0</v>
      </c>
      <c r="BJ240" s="46">
        <v>0</v>
      </c>
      <c r="BK240" s="46">
        <v>0</v>
      </c>
      <c r="BL240" s="46">
        <v>0</v>
      </c>
      <c r="BM240" s="46">
        <v>0</v>
      </c>
      <c r="BN240" s="46">
        <v>0</v>
      </c>
    </row>
    <row r="241" spans="1:66" x14ac:dyDescent="0.35">
      <c r="A241" t="s">
        <v>4594</v>
      </c>
      <c r="B241" s="44" t="s">
        <v>48</v>
      </c>
      <c r="C241" t="s">
        <v>4597</v>
      </c>
      <c r="D241" t="s">
        <v>396</v>
      </c>
      <c r="E241" t="s">
        <v>4595</v>
      </c>
      <c r="F241" t="s">
        <v>4589</v>
      </c>
      <c r="G241" t="s">
        <v>74</v>
      </c>
      <c r="H241">
        <v>0</v>
      </c>
      <c r="I241" s="60" t="s">
        <v>177</v>
      </c>
      <c r="J241" s="33" t="s">
        <v>96</v>
      </c>
      <c r="K241" s="46">
        <v>0</v>
      </c>
      <c r="L241">
        <v>23.2</v>
      </c>
      <c r="M241" t="s">
        <v>48</v>
      </c>
      <c r="N241" s="46">
        <v>0</v>
      </c>
      <c r="O241" s="46">
        <v>0</v>
      </c>
      <c r="P241" s="46">
        <v>0</v>
      </c>
      <c r="Q241" t="s">
        <v>48</v>
      </c>
      <c r="R241" t="s">
        <v>48</v>
      </c>
      <c r="S241" t="s">
        <v>4596</v>
      </c>
      <c r="T241" t="s">
        <v>48</v>
      </c>
      <c r="U241" t="s">
        <v>4596</v>
      </c>
      <c r="V241" s="47">
        <v>1</v>
      </c>
      <c r="W241" t="s">
        <v>48</v>
      </c>
      <c r="X241" t="s">
        <v>48</v>
      </c>
      <c r="Y241" t="s">
        <v>48</v>
      </c>
      <c r="Z241">
        <v>0</v>
      </c>
      <c r="AA241" t="s">
        <v>48</v>
      </c>
      <c r="AB241" t="s">
        <v>48</v>
      </c>
      <c r="AC241" t="s">
        <v>49</v>
      </c>
      <c r="AD241" t="s">
        <v>93</v>
      </c>
      <c r="AE241" t="s">
        <v>4532</v>
      </c>
      <c r="AF241" t="s">
        <v>48</v>
      </c>
      <c r="AG241" t="s">
        <v>48</v>
      </c>
      <c r="AH241" t="s">
        <v>48</v>
      </c>
      <c r="AI241" t="s">
        <v>48</v>
      </c>
      <c r="AJ241" t="s">
        <v>48</v>
      </c>
      <c r="AK241" t="s">
        <v>48</v>
      </c>
      <c r="AL241" t="s">
        <v>48</v>
      </c>
      <c r="AM241" t="s">
        <v>48</v>
      </c>
      <c r="AN241" t="s">
        <v>48</v>
      </c>
      <c r="AO241" t="s">
        <v>48</v>
      </c>
      <c r="AP241" s="46">
        <v>0</v>
      </c>
      <c r="AQ241" s="46">
        <v>0</v>
      </c>
      <c r="AR241" s="46">
        <v>0</v>
      </c>
      <c r="AS241" s="46">
        <v>0</v>
      </c>
      <c r="AT241" s="46">
        <v>0</v>
      </c>
      <c r="AU241" s="46">
        <v>0</v>
      </c>
      <c r="AV241" s="46">
        <v>0</v>
      </c>
      <c r="AW241" s="46">
        <v>0</v>
      </c>
      <c r="AX241" s="46">
        <v>0</v>
      </c>
      <c r="AY241" s="46">
        <v>0</v>
      </c>
      <c r="AZ241" s="46">
        <v>0</v>
      </c>
      <c r="BA241" s="46">
        <v>0</v>
      </c>
      <c r="BB241" s="46">
        <v>0</v>
      </c>
      <c r="BC241" s="46">
        <v>0</v>
      </c>
      <c r="BD241" s="46">
        <v>0</v>
      </c>
      <c r="BE241" s="46">
        <v>0</v>
      </c>
      <c r="BF241" s="46">
        <v>0</v>
      </c>
      <c r="BG241" s="46" t="s">
        <v>48</v>
      </c>
      <c r="BH241" s="46">
        <v>0</v>
      </c>
      <c r="BI241" s="46">
        <v>0</v>
      </c>
      <c r="BJ241" s="46">
        <v>0</v>
      </c>
      <c r="BK241" s="46">
        <v>0</v>
      </c>
      <c r="BL241" s="46">
        <v>0</v>
      </c>
      <c r="BM241" s="46">
        <v>0</v>
      </c>
      <c r="BN241" s="46">
        <v>0</v>
      </c>
    </row>
    <row r="242" spans="1:66" x14ac:dyDescent="0.35">
      <c r="A242" t="s">
        <v>8334</v>
      </c>
      <c r="B242" s="44" t="s">
        <v>48</v>
      </c>
      <c r="C242" t="s">
        <v>12108</v>
      </c>
      <c r="D242" t="s">
        <v>11630</v>
      </c>
      <c r="E242" t="s">
        <v>8335</v>
      </c>
      <c r="F242" t="s">
        <v>4589</v>
      </c>
      <c r="G242" t="s">
        <v>47</v>
      </c>
      <c r="H242">
        <v>0</v>
      </c>
      <c r="I242" s="61">
        <v>44733</v>
      </c>
      <c r="J242" s="33" t="s">
        <v>96</v>
      </c>
      <c r="K242" s="46">
        <v>0</v>
      </c>
      <c r="L242">
        <v>21.6</v>
      </c>
      <c r="M242" t="s">
        <v>48</v>
      </c>
      <c r="N242" s="46">
        <v>0</v>
      </c>
      <c r="O242" s="46">
        <v>0</v>
      </c>
      <c r="P242" s="46">
        <v>0</v>
      </c>
      <c r="Q242" t="s">
        <v>48</v>
      </c>
      <c r="R242" t="s">
        <v>48</v>
      </c>
      <c r="S242" t="s">
        <v>48</v>
      </c>
      <c r="T242" t="s">
        <v>48</v>
      </c>
      <c r="U242" t="s">
        <v>48</v>
      </c>
      <c r="V242" s="47">
        <v>1</v>
      </c>
      <c r="W242" t="s">
        <v>48</v>
      </c>
      <c r="X242" t="s">
        <v>48</v>
      </c>
      <c r="Y242" t="s">
        <v>48</v>
      </c>
      <c r="Z242" t="s">
        <v>48</v>
      </c>
      <c r="AA242" t="s">
        <v>48</v>
      </c>
      <c r="AB242" t="s">
        <v>48</v>
      </c>
      <c r="AC242" t="s">
        <v>49</v>
      </c>
      <c r="AD242" t="s">
        <v>93</v>
      </c>
      <c r="AE242" t="s">
        <v>4532</v>
      </c>
      <c r="AF242" t="s">
        <v>48</v>
      </c>
      <c r="AG242" t="s">
        <v>48</v>
      </c>
      <c r="AH242" t="s">
        <v>48</v>
      </c>
      <c r="AI242" t="s">
        <v>48</v>
      </c>
      <c r="AJ242" t="s">
        <v>48</v>
      </c>
      <c r="AK242" t="s">
        <v>48</v>
      </c>
      <c r="AL242" t="s">
        <v>48</v>
      </c>
      <c r="AM242" t="s">
        <v>48</v>
      </c>
      <c r="AN242" t="s">
        <v>48</v>
      </c>
      <c r="AO242" t="s">
        <v>48</v>
      </c>
      <c r="AP242" s="46">
        <v>0</v>
      </c>
      <c r="AQ242" s="46">
        <v>0</v>
      </c>
      <c r="AR242" s="46">
        <v>0</v>
      </c>
      <c r="AS242" s="46">
        <v>0</v>
      </c>
      <c r="AT242" s="46">
        <v>0</v>
      </c>
      <c r="AU242" s="46">
        <v>0</v>
      </c>
      <c r="AV242" s="46">
        <v>0</v>
      </c>
      <c r="AW242" s="46">
        <v>0</v>
      </c>
      <c r="AX242" s="46">
        <v>0</v>
      </c>
      <c r="AY242" s="46">
        <v>0</v>
      </c>
      <c r="AZ242" s="46">
        <v>0</v>
      </c>
      <c r="BA242" s="46">
        <v>0</v>
      </c>
      <c r="BB242" s="46">
        <v>0</v>
      </c>
      <c r="BC242" s="46">
        <v>0</v>
      </c>
      <c r="BD242" s="46">
        <v>0</v>
      </c>
      <c r="BE242" s="46">
        <v>0</v>
      </c>
      <c r="BF242" s="46">
        <v>0</v>
      </c>
      <c r="BG242" s="46" t="s">
        <v>48</v>
      </c>
      <c r="BH242" s="46">
        <v>0</v>
      </c>
      <c r="BI242" s="46">
        <v>0</v>
      </c>
      <c r="BJ242" s="46">
        <v>0</v>
      </c>
      <c r="BK242" s="46">
        <v>0</v>
      </c>
      <c r="BL242" s="46">
        <v>0</v>
      </c>
      <c r="BM242" s="46">
        <v>0</v>
      </c>
      <c r="BN242" s="46">
        <v>0</v>
      </c>
    </row>
    <row r="243" spans="1:66" x14ac:dyDescent="0.35">
      <c r="A243" t="s">
        <v>4639</v>
      </c>
      <c r="B243" s="44" t="s">
        <v>48</v>
      </c>
      <c r="C243" t="s">
        <v>4644</v>
      </c>
      <c r="D243" t="s">
        <v>4643</v>
      </c>
      <c r="E243" t="s">
        <v>4641</v>
      </c>
      <c r="F243" t="s">
        <v>4640</v>
      </c>
      <c r="G243" t="s">
        <v>47</v>
      </c>
      <c r="H243">
        <v>0</v>
      </c>
      <c r="I243" s="60" t="s">
        <v>51</v>
      </c>
      <c r="J243" s="33" t="s">
        <v>96</v>
      </c>
      <c r="K243" s="46">
        <v>1</v>
      </c>
      <c r="L243" t="s">
        <v>48</v>
      </c>
      <c r="M243" t="s">
        <v>48</v>
      </c>
      <c r="N243" s="46">
        <v>0</v>
      </c>
      <c r="O243" s="46">
        <v>0</v>
      </c>
      <c r="P243" s="46">
        <v>0</v>
      </c>
      <c r="Q243" t="s">
        <v>48</v>
      </c>
      <c r="R243" t="s">
        <v>48</v>
      </c>
      <c r="S243" t="s">
        <v>48</v>
      </c>
      <c r="T243" t="s">
        <v>4642</v>
      </c>
      <c r="U243" t="s">
        <v>48</v>
      </c>
      <c r="V243" s="47">
        <v>0</v>
      </c>
      <c r="W243" t="s">
        <v>48</v>
      </c>
      <c r="X243" t="s">
        <v>48</v>
      </c>
      <c r="Y243" t="s">
        <v>48</v>
      </c>
      <c r="Z243">
        <v>0</v>
      </c>
      <c r="AA243" t="s">
        <v>48</v>
      </c>
      <c r="AB243" t="s">
        <v>48</v>
      </c>
      <c r="AC243" t="s">
        <v>63</v>
      </c>
      <c r="AD243" t="s">
        <v>93</v>
      </c>
      <c r="AE243" t="s">
        <v>4532</v>
      </c>
      <c r="AF243" t="s">
        <v>48</v>
      </c>
      <c r="AG243" t="s">
        <v>48</v>
      </c>
      <c r="AH243" t="s">
        <v>48</v>
      </c>
      <c r="AI243">
        <v>41302</v>
      </c>
      <c r="AJ243">
        <v>1951</v>
      </c>
      <c r="AK243" t="s">
        <v>8567</v>
      </c>
      <c r="AL243" t="s">
        <v>8568</v>
      </c>
      <c r="AM243">
        <v>0.45400000000000001</v>
      </c>
      <c r="AN243">
        <v>0.27600000000000002</v>
      </c>
      <c r="AO243">
        <v>0.45400000000000001</v>
      </c>
      <c r="AP243" s="46">
        <v>0</v>
      </c>
      <c r="AQ243" s="46">
        <v>0</v>
      </c>
      <c r="AR243" s="46">
        <v>0</v>
      </c>
      <c r="AS243" s="46">
        <v>0</v>
      </c>
      <c r="AT243" s="46">
        <v>0</v>
      </c>
      <c r="AU243" s="46">
        <v>0</v>
      </c>
      <c r="AV243" s="46">
        <v>0</v>
      </c>
      <c r="AW243" s="46">
        <v>0</v>
      </c>
      <c r="AX243" s="46">
        <v>0</v>
      </c>
      <c r="AY243" s="46">
        <v>0</v>
      </c>
      <c r="AZ243" s="46">
        <v>0</v>
      </c>
      <c r="BA243" s="46">
        <v>0</v>
      </c>
      <c r="BB243" s="46">
        <v>0</v>
      </c>
      <c r="BC243" s="46">
        <v>0</v>
      </c>
      <c r="BD243" s="46">
        <v>0</v>
      </c>
      <c r="BE243" s="46">
        <v>0</v>
      </c>
      <c r="BF243" s="46">
        <v>0</v>
      </c>
      <c r="BG243" s="46" t="s">
        <v>48</v>
      </c>
      <c r="BH243" s="46">
        <v>0</v>
      </c>
      <c r="BI243" s="46">
        <v>0</v>
      </c>
      <c r="BJ243" s="46">
        <v>0</v>
      </c>
      <c r="BK243" s="46">
        <v>0</v>
      </c>
      <c r="BL243" s="46">
        <v>0</v>
      </c>
      <c r="BM243" s="46">
        <v>0</v>
      </c>
      <c r="BN243" s="46">
        <v>0</v>
      </c>
    </row>
    <row r="244" spans="1:66" x14ac:dyDescent="0.35">
      <c r="A244" t="s">
        <v>4645</v>
      </c>
      <c r="B244" s="44" t="s">
        <v>48</v>
      </c>
      <c r="C244" t="s">
        <v>4650</v>
      </c>
      <c r="D244" t="s">
        <v>429</v>
      </c>
      <c r="E244" t="s">
        <v>4647</v>
      </c>
      <c r="F244" t="s">
        <v>4646</v>
      </c>
      <c r="G244" t="s">
        <v>47</v>
      </c>
      <c r="H244">
        <v>0</v>
      </c>
      <c r="I244" s="60" t="s">
        <v>51</v>
      </c>
      <c r="J244" s="33" t="s">
        <v>96</v>
      </c>
      <c r="K244" s="46">
        <v>1</v>
      </c>
      <c r="L244" t="s">
        <v>48</v>
      </c>
      <c r="M244" t="s">
        <v>48</v>
      </c>
      <c r="N244" s="46">
        <v>0</v>
      </c>
      <c r="O244" s="46">
        <v>0</v>
      </c>
      <c r="P244" s="46">
        <v>0</v>
      </c>
      <c r="Q244" t="s">
        <v>48</v>
      </c>
      <c r="R244" t="s">
        <v>48</v>
      </c>
      <c r="S244" t="s">
        <v>4648</v>
      </c>
      <c r="T244" t="s">
        <v>4649</v>
      </c>
      <c r="U244" t="s">
        <v>4648</v>
      </c>
      <c r="V244" s="47">
        <v>0</v>
      </c>
      <c r="W244" t="s">
        <v>48</v>
      </c>
      <c r="X244" t="s">
        <v>48</v>
      </c>
      <c r="Y244" t="s">
        <v>48</v>
      </c>
      <c r="Z244">
        <v>0</v>
      </c>
      <c r="AA244" t="s">
        <v>48</v>
      </c>
      <c r="AB244">
        <v>2014</v>
      </c>
      <c r="AC244" t="s">
        <v>49</v>
      </c>
      <c r="AD244" t="s">
        <v>93</v>
      </c>
      <c r="AE244" t="s">
        <v>4532</v>
      </c>
      <c r="AF244" t="s">
        <v>48</v>
      </c>
      <c r="AG244" t="s">
        <v>1105</v>
      </c>
      <c r="AH244" t="s">
        <v>93</v>
      </c>
      <c r="AI244">
        <v>41503</v>
      </c>
      <c r="AJ244">
        <v>1972</v>
      </c>
      <c r="AK244" t="s">
        <v>8569</v>
      </c>
      <c r="AL244" t="s">
        <v>8570</v>
      </c>
      <c r="AM244">
        <v>0.67600000000000005</v>
      </c>
      <c r="AN244">
        <v>-0.23200000000000001</v>
      </c>
      <c r="AO244">
        <v>0.67600000000000005</v>
      </c>
      <c r="AP244" s="46">
        <v>0</v>
      </c>
      <c r="AQ244" s="46">
        <v>0</v>
      </c>
      <c r="AR244" s="46">
        <v>0</v>
      </c>
      <c r="AS244" s="46">
        <v>0</v>
      </c>
      <c r="AT244" s="46">
        <v>0</v>
      </c>
      <c r="AU244" s="46">
        <v>0</v>
      </c>
      <c r="AV244" s="46">
        <v>0</v>
      </c>
      <c r="AW244" s="46">
        <v>0</v>
      </c>
      <c r="AX244" s="46">
        <v>0</v>
      </c>
      <c r="AY244" s="46">
        <v>0</v>
      </c>
      <c r="AZ244" s="46">
        <v>0</v>
      </c>
      <c r="BA244" s="46">
        <v>0</v>
      </c>
      <c r="BB244" s="46">
        <v>0</v>
      </c>
      <c r="BC244" s="46">
        <v>0</v>
      </c>
      <c r="BD244" s="46">
        <v>0</v>
      </c>
      <c r="BE244" s="46">
        <v>0</v>
      </c>
      <c r="BF244" s="46">
        <v>0</v>
      </c>
      <c r="BG244" s="46" t="s">
        <v>48</v>
      </c>
      <c r="BH244" s="46">
        <v>0</v>
      </c>
      <c r="BI244" s="46">
        <v>0</v>
      </c>
      <c r="BJ244" s="46">
        <v>0</v>
      </c>
      <c r="BK244" s="46">
        <v>0</v>
      </c>
      <c r="BL244" s="46">
        <v>0</v>
      </c>
      <c r="BM244" s="46">
        <v>0</v>
      </c>
      <c r="BN244" s="46">
        <v>1</v>
      </c>
    </row>
    <row r="245" spans="1:66" x14ac:dyDescent="0.35">
      <c r="A245" t="s">
        <v>4711</v>
      </c>
      <c r="B245" s="44" t="s">
        <v>48</v>
      </c>
      <c r="C245" t="s">
        <v>3409</v>
      </c>
      <c r="D245" t="s">
        <v>3952</v>
      </c>
      <c r="E245" t="s">
        <v>4713</v>
      </c>
      <c r="F245" t="s">
        <v>4712</v>
      </c>
      <c r="G245" t="s">
        <v>74</v>
      </c>
      <c r="H245">
        <v>0</v>
      </c>
      <c r="I245" s="60" t="s">
        <v>51</v>
      </c>
      <c r="J245" s="33" t="s">
        <v>96</v>
      </c>
      <c r="K245" s="46">
        <v>1</v>
      </c>
      <c r="L245" t="s">
        <v>48</v>
      </c>
      <c r="M245" t="s">
        <v>48</v>
      </c>
      <c r="N245" s="46">
        <v>0</v>
      </c>
      <c r="O245" s="46">
        <v>0</v>
      </c>
      <c r="P245" s="46">
        <v>0</v>
      </c>
      <c r="Q245" t="s">
        <v>48</v>
      </c>
      <c r="R245" t="s">
        <v>48</v>
      </c>
      <c r="S245" t="s">
        <v>4714</v>
      </c>
      <c r="T245" t="s">
        <v>4715</v>
      </c>
      <c r="U245" t="s">
        <v>4714</v>
      </c>
      <c r="V245" s="47">
        <v>0</v>
      </c>
      <c r="W245" t="s">
        <v>48</v>
      </c>
      <c r="X245" t="s">
        <v>48</v>
      </c>
      <c r="Y245" t="s">
        <v>48</v>
      </c>
      <c r="Z245">
        <v>0</v>
      </c>
      <c r="AA245" t="s">
        <v>48</v>
      </c>
      <c r="AB245">
        <v>2008</v>
      </c>
      <c r="AC245" t="s">
        <v>63</v>
      </c>
      <c r="AD245" t="s">
        <v>93</v>
      </c>
      <c r="AE245" t="s">
        <v>4532</v>
      </c>
      <c r="AF245" t="s">
        <v>48</v>
      </c>
      <c r="AG245" t="s">
        <v>112</v>
      </c>
      <c r="AH245" t="s">
        <v>93</v>
      </c>
      <c r="AI245">
        <v>40906</v>
      </c>
      <c r="AJ245">
        <v>1947</v>
      </c>
      <c r="AK245" t="s">
        <v>8571</v>
      </c>
      <c r="AL245" t="s">
        <v>8572</v>
      </c>
      <c r="AM245">
        <v>-0.23699999999999999</v>
      </c>
      <c r="AN245">
        <v>-0.14199999999999999</v>
      </c>
      <c r="AO245">
        <v>-0.23699999999999999</v>
      </c>
      <c r="AP245" s="46">
        <v>0</v>
      </c>
      <c r="AQ245" s="46">
        <v>0</v>
      </c>
      <c r="AR245" s="46">
        <v>0</v>
      </c>
      <c r="AS245" s="46">
        <v>0</v>
      </c>
      <c r="AT245" s="46">
        <v>0</v>
      </c>
      <c r="AU245" s="46">
        <v>0</v>
      </c>
      <c r="AV245" s="46">
        <v>0</v>
      </c>
      <c r="AW245" s="46">
        <v>0</v>
      </c>
      <c r="AX245" s="46">
        <v>0</v>
      </c>
      <c r="AY245" s="46">
        <v>0</v>
      </c>
      <c r="AZ245" s="46">
        <v>0</v>
      </c>
      <c r="BA245" s="46">
        <v>0</v>
      </c>
      <c r="BB245" s="46">
        <v>0</v>
      </c>
      <c r="BC245" s="46">
        <v>0</v>
      </c>
      <c r="BD245" s="46">
        <v>0</v>
      </c>
      <c r="BE245" s="46">
        <v>0</v>
      </c>
      <c r="BF245" s="46">
        <v>0</v>
      </c>
      <c r="BG245" s="46" t="s">
        <v>48</v>
      </c>
      <c r="BH245" s="46">
        <v>0</v>
      </c>
      <c r="BI245" s="46">
        <v>0</v>
      </c>
      <c r="BJ245" s="46">
        <v>0</v>
      </c>
      <c r="BK245" s="46">
        <v>0</v>
      </c>
      <c r="BL245" s="46">
        <v>1</v>
      </c>
      <c r="BM245" s="46">
        <v>0</v>
      </c>
      <c r="BN245" s="46">
        <v>0</v>
      </c>
    </row>
    <row r="246" spans="1:66" x14ac:dyDescent="0.35">
      <c r="A246" t="s">
        <v>11012</v>
      </c>
      <c r="B246" s="44" t="s">
        <v>48</v>
      </c>
      <c r="C246" t="s">
        <v>12123</v>
      </c>
      <c r="D246" t="s">
        <v>578</v>
      </c>
      <c r="E246" t="s">
        <v>11013</v>
      </c>
      <c r="F246" t="s">
        <v>4717</v>
      </c>
      <c r="G246" t="s">
        <v>47</v>
      </c>
      <c r="H246">
        <v>0</v>
      </c>
      <c r="I246" s="60" t="s">
        <v>11552</v>
      </c>
      <c r="J246" s="33" t="s">
        <v>96</v>
      </c>
      <c r="K246" s="46">
        <v>0</v>
      </c>
      <c r="L246">
        <v>4.4000000000000004</v>
      </c>
      <c r="M246" t="s">
        <v>48</v>
      </c>
      <c r="N246" s="46">
        <v>0</v>
      </c>
      <c r="O246" s="46">
        <v>0</v>
      </c>
      <c r="P246" s="46">
        <v>0</v>
      </c>
      <c r="Q246" t="s">
        <v>48</v>
      </c>
      <c r="R246" t="s">
        <v>48</v>
      </c>
      <c r="S246" t="s">
        <v>11502</v>
      </c>
      <c r="T246" t="s">
        <v>48</v>
      </c>
      <c r="U246" t="s">
        <v>11014</v>
      </c>
      <c r="V246" s="47">
        <v>0</v>
      </c>
      <c r="W246" t="s">
        <v>48</v>
      </c>
      <c r="X246" t="s">
        <v>48</v>
      </c>
      <c r="Y246" t="s">
        <v>48</v>
      </c>
      <c r="Z246" t="s">
        <v>48</v>
      </c>
      <c r="AA246" t="s">
        <v>48</v>
      </c>
      <c r="AB246" t="s">
        <v>48</v>
      </c>
      <c r="AC246" t="s">
        <v>49</v>
      </c>
      <c r="AD246" t="s">
        <v>93</v>
      </c>
      <c r="AE246" t="s">
        <v>4532</v>
      </c>
      <c r="AF246" t="s">
        <v>48</v>
      </c>
      <c r="AG246" t="s">
        <v>48</v>
      </c>
      <c r="AH246" t="s">
        <v>48</v>
      </c>
      <c r="AI246" t="s">
        <v>48</v>
      </c>
      <c r="AJ246" t="s">
        <v>48</v>
      </c>
      <c r="AK246" t="s">
        <v>48</v>
      </c>
      <c r="AL246" t="s">
        <v>48</v>
      </c>
      <c r="AM246" t="s">
        <v>48</v>
      </c>
      <c r="AN246" t="s">
        <v>48</v>
      </c>
      <c r="AO246" t="s">
        <v>48</v>
      </c>
      <c r="AP246" s="46">
        <v>0</v>
      </c>
      <c r="AQ246" s="46">
        <v>0</v>
      </c>
      <c r="AR246" s="46">
        <v>0</v>
      </c>
      <c r="AS246" s="46">
        <v>0</v>
      </c>
      <c r="AT246" s="46">
        <v>0</v>
      </c>
      <c r="AU246" s="46">
        <v>0</v>
      </c>
      <c r="AV246" s="46">
        <v>0</v>
      </c>
      <c r="AW246" s="46">
        <v>0</v>
      </c>
      <c r="AX246" s="46">
        <v>0</v>
      </c>
      <c r="AY246" s="46">
        <v>0</v>
      </c>
      <c r="AZ246" s="46">
        <v>0</v>
      </c>
      <c r="BA246" s="46">
        <v>0</v>
      </c>
      <c r="BB246" s="46">
        <v>0</v>
      </c>
      <c r="BC246" s="46">
        <v>0</v>
      </c>
      <c r="BD246" s="46">
        <v>0</v>
      </c>
      <c r="BE246" s="46">
        <v>0</v>
      </c>
      <c r="BF246" s="46">
        <v>0</v>
      </c>
      <c r="BG246" s="46" t="s">
        <v>48</v>
      </c>
      <c r="BH246" s="46">
        <v>0</v>
      </c>
      <c r="BI246" s="46">
        <v>0</v>
      </c>
      <c r="BJ246" s="46">
        <v>0</v>
      </c>
      <c r="BK246" s="46">
        <v>0</v>
      </c>
      <c r="BL246" s="46">
        <v>0</v>
      </c>
      <c r="BM246" s="46">
        <v>0</v>
      </c>
      <c r="BN246" s="46">
        <v>0</v>
      </c>
    </row>
    <row r="247" spans="1:66" x14ac:dyDescent="0.35">
      <c r="A247" t="s">
        <v>4728</v>
      </c>
      <c r="B247" s="44" t="s">
        <v>48</v>
      </c>
      <c r="C247" t="s">
        <v>4731</v>
      </c>
      <c r="D247" t="s">
        <v>1577</v>
      </c>
      <c r="E247" t="s">
        <v>4729</v>
      </c>
      <c r="F247" t="s">
        <v>4717</v>
      </c>
      <c r="G247" t="s">
        <v>47</v>
      </c>
      <c r="H247">
        <v>0</v>
      </c>
      <c r="I247" s="60" t="s">
        <v>11160</v>
      </c>
      <c r="J247" s="33" t="s">
        <v>96</v>
      </c>
      <c r="K247" s="46">
        <v>0</v>
      </c>
      <c r="L247">
        <v>35.799999999999997</v>
      </c>
      <c r="M247" t="s">
        <v>48</v>
      </c>
      <c r="N247" s="46">
        <v>0</v>
      </c>
      <c r="O247" s="46">
        <v>0</v>
      </c>
      <c r="P247" s="46">
        <v>0</v>
      </c>
      <c r="Q247" t="s">
        <v>48</v>
      </c>
      <c r="R247" t="s">
        <v>48</v>
      </c>
      <c r="S247" t="s">
        <v>4730</v>
      </c>
      <c r="T247" t="s">
        <v>48</v>
      </c>
      <c r="U247" t="s">
        <v>4730</v>
      </c>
      <c r="V247" s="47">
        <v>0</v>
      </c>
      <c r="W247" t="s">
        <v>11317</v>
      </c>
      <c r="X247" t="s">
        <v>48</v>
      </c>
      <c r="Y247" t="s">
        <v>48</v>
      </c>
      <c r="Z247">
        <v>0</v>
      </c>
      <c r="AA247" t="s">
        <v>48</v>
      </c>
      <c r="AB247" t="s">
        <v>48</v>
      </c>
      <c r="AC247" t="s">
        <v>49</v>
      </c>
      <c r="AD247" t="s">
        <v>93</v>
      </c>
      <c r="AE247" t="s">
        <v>4532</v>
      </c>
      <c r="AF247" t="s">
        <v>48</v>
      </c>
      <c r="AG247" t="s">
        <v>48</v>
      </c>
      <c r="AH247" t="s">
        <v>48</v>
      </c>
      <c r="AI247" t="s">
        <v>48</v>
      </c>
      <c r="AJ247" t="s">
        <v>48</v>
      </c>
      <c r="AK247" t="s">
        <v>48</v>
      </c>
      <c r="AL247" t="s">
        <v>48</v>
      </c>
      <c r="AM247" t="s">
        <v>48</v>
      </c>
      <c r="AN247" t="s">
        <v>48</v>
      </c>
      <c r="AO247" t="s">
        <v>48</v>
      </c>
      <c r="AP247" s="46">
        <v>0</v>
      </c>
      <c r="AQ247" s="46">
        <v>0</v>
      </c>
      <c r="AR247" s="46">
        <v>0</v>
      </c>
      <c r="AS247" s="46">
        <v>0</v>
      </c>
      <c r="AT247" s="46">
        <v>0</v>
      </c>
      <c r="AU247" s="46">
        <v>0</v>
      </c>
      <c r="AV247" s="46">
        <v>0</v>
      </c>
      <c r="AW247" s="46">
        <v>0</v>
      </c>
      <c r="AX247" s="46">
        <v>0</v>
      </c>
      <c r="AY247" s="46">
        <v>0</v>
      </c>
      <c r="AZ247" s="46">
        <v>0</v>
      </c>
      <c r="BA247" s="46">
        <v>0</v>
      </c>
      <c r="BB247" s="46">
        <v>0</v>
      </c>
      <c r="BC247" s="46">
        <v>0</v>
      </c>
      <c r="BD247" s="46">
        <v>0</v>
      </c>
      <c r="BE247" s="46">
        <v>0</v>
      </c>
      <c r="BF247" s="46">
        <v>0</v>
      </c>
      <c r="BG247" s="46" t="s">
        <v>48</v>
      </c>
      <c r="BH247" s="46">
        <v>0</v>
      </c>
      <c r="BI247" s="46">
        <v>0</v>
      </c>
      <c r="BJ247" s="46">
        <v>0</v>
      </c>
      <c r="BK247" s="46">
        <v>0</v>
      </c>
      <c r="BL247" s="46">
        <v>0</v>
      </c>
      <c r="BM247" s="46">
        <v>0</v>
      </c>
      <c r="BN247" s="46">
        <v>0</v>
      </c>
    </row>
    <row r="248" spans="1:66" x14ac:dyDescent="0.35">
      <c r="A248" t="s">
        <v>11172</v>
      </c>
      <c r="B248" s="44" t="s">
        <v>48</v>
      </c>
      <c r="C248" t="s">
        <v>12121</v>
      </c>
      <c r="D248" t="s">
        <v>221</v>
      </c>
      <c r="E248" t="s">
        <v>11173</v>
      </c>
      <c r="F248" t="s">
        <v>4717</v>
      </c>
      <c r="G248" t="s">
        <v>47</v>
      </c>
      <c r="H248">
        <v>0</v>
      </c>
      <c r="I248" s="60" t="s">
        <v>11160</v>
      </c>
      <c r="J248" s="33" t="s">
        <v>96</v>
      </c>
      <c r="K248" s="46">
        <v>0</v>
      </c>
      <c r="L248">
        <v>0.8</v>
      </c>
      <c r="M248" t="s">
        <v>48</v>
      </c>
      <c r="N248" s="46">
        <v>0</v>
      </c>
      <c r="O248" s="46">
        <v>0</v>
      </c>
      <c r="P248" s="46">
        <v>0</v>
      </c>
      <c r="Q248" t="s">
        <v>48</v>
      </c>
      <c r="R248" t="s">
        <v>48</v>
      </c>
      <c r="S248" t="s">
        <v>48</v>
      </c>
      <c r="T248" t="s">
        <v>48</v>
      </c>
      <c r="U248" t="s">
        <v>48</v>
      </c>
      <c r="V248" s="47" t="s">
        <v>48</v>
      </c>
      <c r="W248" t="s">
        <v>48</v>
      </c>
      <c r="X248" t="s">
        <v>48</v>
      </c>
      <c r="Y248" t="s">
        <v>48</v>
      </c>
      <c r="Z248" t="s">
        <v>48</v>
      </c>
      <c r="AA248" t="s">
        <v>48</v>
      </c>
      <c r="AB248" t="s">
        <v>48</v>
      </c>
      <c r="AC248" t="s">
        <v>48</v>
      </c>
      <c r="AD248" t="s">
        <v>48</v>
      </c>
      <c r="AE248" t="s">
        <v>48</v>
      </c>
      <c r="AF248" t="s">
        <v>48</v>
      </c>
      <c r="AG248" t="s">
        <v>48</v>
      </c>
      <c r="AH248" t="s">
        <v>48</v>
      </c>
      <c r="AI248" t="s">
        <v>48</v>
      </c>
      <c r="AJ248" t="s">
        <v>48</v>
      </c>
      <c r="AK248" t="s">
        <v>48</v>
      </c>
      <c r="AL248" t="s">
        <v>48</v>
      </c>
      <c r="AM248" t="s">
        <v>48</v>
      </c>
      <c r="AN248" t="s">
        <v>48</v>
      </c>
      <c r="AO248" t="s">
        <v>48</v>
      </c>
      <c r="AP248" s="46">
        <v>0</v>
      </c>
      <c r="AQ248" s="46">
        <v>0</v>
      </c>
      <c r="AR248" s="46">
        <v>0</v>
      </c>
      <c r="AS248" s="46">
        <v>0</v>
      </c>
      <c r="AT248" s="46">
        <v>0</v>
      </c>
      <c r="AU248" s="46">
        <v>0</v>
      </c>
      <c r="AV248" s="46">
        <v>0</v>
      </c>
      <c r="AW248" s="46">
        <v>0</v>
      </c>
      <c r="AX248" s="46">
        <v>0</v>
      </c>
      <c r="AY248" s="46">
        <v>0</v>
      </c>
      <c r="AZ248" s="46">
        <v>0</v>
      </c>
      <c r="BA248" s="46">
        <v>0</v>
      </c>
      <c r="BB248" s="46">
        <v>0</v>
      </c>
      <c r="BC248" s="46">
        <v>1</v>
      </c>
      <c r="BD248" s="46">
        <v>1</v>
      </c>
      <c r="BE248" s="46">
        <v>0</v>
      </c>
      <c r="BF248" s="46">
        <v>0</v>
      </c>
      <c r="BG248" s="46" t="s">
        <v>48</v>
      </c>
      <c r="BH248" s="46">
        <v>0</v>
      </c>
      <c r="BI248" s="46">
        <v>0</v>
      </c>
      <c r="BJ248" s="46">
        <v>0</v>
      </c>
      <c r="BK248" s="46">
        <v>0</v>
      </c>
      <c r="BL248" s="46">
        <v>0</v>
      </c>
      <c r="BM248" s="46">
        <v>0</v>
      </c>
      <c r="BN248" s="46">
        <v>1</v>
      </c>
    </row>
    <row r="249" spans="1:66" x14ac:dyDescent="0.35">
      <c r="A249" t="s">
        <v>11018</v>
      </c>
      <c r="B249" s="44" t="s">
        <v>48</v>
      </c>
      <c r="C249" t="s">
        <v>12127</v>
      </c>
      <c r="D249" t="s">
        <v>221</v>
      </c>
      <c r="E249" t="s">
        <v>11019</v>
      </c>
      <c r="F249" t="s">
        <v>4717</v>
      </c>
      <c r="G249" t="s">
        <v>74</v>
      </c>
      <c r="H249">
        <v>0</v>
      </c>
      <c r="I249" s="61">
        <v>44819</v>
      </c>
      <c r="J249" s="33" t="s">
        <v>96</v>
      </c>
      <c r="K249" s="46">
        <v>0</v>
      </c>
      <c r="L249">
        <v>1.6</v>
      </c>
      <c r="M249" t="s">
        <v>48</v>
      </c>
      <c r="N249" s="46">
        <v>0</v>
      </c>
      <c r="O249" s="46">
        <v>0</v>
      </c>
      <c r="P249" s="46">
        <v>0</v>
      </c>
      <c r="Q249" t="s">
        <v>48</v>
      </c>
      <c r="R249" t="s">
        <v>48</v>
      </c>
      <c r="S249" t="s">
        <v>48</v>
      </c>
      <c r="T249" t="s">
        <v>48</v>
      </c>
      <c r="U249" t="s">
        <v>48</v>
      </c>
      <c r="V249" s="47">
        <v>1</v>
      </c>
      <c r="W249" t="s">
        <v>48</v>
      </c>
      <c r="X249" t="s">
        <v>48</v>
      </c>
      <c r="Y249" t="s">
        <v>48</v>
      </c>
      <c r="Z249" t="s">
        <v>48</v>
      </c>
      <c r="AA249" t="s">
        <v>48</v>
      </c>
      <c r="AB249" t="s">
        <v>48</v>
      </c>
      <c r="AC249" t="s">
        <v>49</v>
      </c>
      <c r="AD249" t="s">
        <v>48</v>
      </c>
      <c r="AE249" t="s">
        <v>48</v>
      </c>
      <c r="AF249" t="s">
        <v>48</v>
      </c>
      <c r="AG249" t="s">
        <v>48</v>
      </c>
      <c r="AH249" t="s">
        <v>48</v>
      </c>
      <c r="AI249" t="s">
        <v>48</v>
      </c>
      <c r="AJ249" t="s">
        <v>48</v>
      </c>
      <c r="AK249" t="s">
        <v>48</v>
      </c>
      <c r="AL249" t="s">
        <v>48</v>
      </c>
      <c r="AM249" t="s">
        <v>48</v>
      </c>
      <c r="AN249" t="s">
        <v>48</v>
      </c>
      <c r="AO249" t="s">
        <v>48</v>
      </c>
      <c r="AP249" s="46">
        <v>0</v>
      </c>
      <c r="AQ249" s="46">
        <v>0</v>
      </c>
      <c r="AR249" s="46">
        <v>0</v>
      </c>
      <c r="AS249" s="46">
        <v>0</v>
      </c>
      <c r="AT249" s="46">
        <v>0</v>
      </c>
      <c r="AU249" s="46">
        <v>0</v>
      </c>
      <c r="AV249" s="46">
        <v>0</v>
      </c>
      <c r="AW249" s="46">
        <v>0</v>
      </c>
      <c r="AX249" s="46">
        <v>0</v>
      </c>
      <c r="AY249" s="46">
        <v>0</v>
      </c>
      <c r="AZ249" s="46">
        <v>0</v>
      </c>
      <c r="BA249" s="46">
        <v>0</v>
      </c>
      <c r="BB249" s="46">
        <v>0</v>
      </c>
      <c r="BC249" s="46">
        <v>0</v>
      </c>
      <c r="BD249" s="46">
        <v>0</v>
      </c>
      <c r="BE249" s="46">
        <v>0</v>
      </c>
      <c r="BF249" s="46">
        <v>0</v>
      </c>
      <c r="BG249" s="46" t="s">
        <v>48</v>
      </c>
      <c r="BH249" s="46">
        <v>0</v>
      </c>
      <c r="BI249" s="46">
        <v>0</v>
      </c>
      <c r="BJ249" s="46">
        <v>0</v>
      </c>
      <c r="BK249" s="46">
        <v>0</v>
      </c>
      <c r="BL249" s="46">
        <v>0</v>
      </c>
      <c r="BM249" s="46">
        <v>0</v>
      </c>
      <c r="BN249" s="46">
        <v>0</v>
      </c>
    </row>
    <row r="250" spans="1:66" x14ac:dyDescent="0.35">
      <c r="A250" t="s">
        <v>4736</v>
      </c>
      <c r="B250" s="44" t="s">
        <v>48</v>
      </c>
      <c r="C250" t="s">
        <v>80</v>
      </c>
      <c r="D250" t="s">
        <v>427</v>
      </c>
      <c r="E250" t="s">
        <v>4737</v>
      </c>
      <c r="F250" t="s">
        <v>4717</v>
      </c>
      <c r="G250" t="s">
        <v>47</v>
      </c>
      <c r="H250">
        <v>0</v>
      </c>
      <c r="I250" s="60" t="s">
        <v>881</v>
      </c>
      <c r="J250" s="33" t="s">
        <v>96</v>
      </c>
      <c r="K250" s="46">
        <v>0</v>
      </c>
      <c r="L250">
        <v>11.7</v>
      </c>
      <c r="M250" t="s">
        <v>48</v>
      </c>
      <c r="N250" s="46">
        <v>0</v>
      </c>
      <c r="O250" s="46">
        <v>0</v>
      </c>
      <c r="P250" s="46">
        <v>0</v>
      </c>
      <c r="Q250" t="s">
        <v>48</v>
      </c>
      <c r="R250" t="s">
        <v>48</v>
      </c>
      <c r="S250" t="s">
        <v>4738</v>
      </c>
      <c r="T250" t="s">
        <v>48</v>
      </c>
      <c r="U250" t="s">
        <v>4738</v>
      </c>
      <c r="V250" s="47">
        <v>0</v>
      </c>
      <c r="W250" t="s">
        <v>48</v>
      </c>
      <c r="X250" t="s">
        <v>48</v>
      </c>
      <c r="Y250" t="s">
        <v>48</v>
      </c>
      <c r="Z250">
        <v>0</v>
      </c>
      <c r="AA250" t="s">
        <v>48</v>
      </c>
      <c r="AB250" t="s">
        <v>48</v>
      </c>
      <c r="AC250" t="s">
        <v>49</v>
      </c>
      <c r="AD250" t="s">
        <v>93</v>
      </c>
      <c r="AE250" t="s">
        <v>4532</v>
      </c>
      <c r="AF250" t="s">
        <v>48</v>
      </c>
      <c r="AG250" t="s">
        <v>48</v>
      </c>
      <c r="AH250" t="s">
        <v>48</v>
      </c>
      <c r="AI250" t="s">
        <v>48</v>
      </c>
      <c r="AJ250" t="s">
        <v>48</v>
      </c>
      <c r="AK250" t="s">
        <v>48</v>
      </c>
      <c r="AL250" t="s">
        <v>48</v>
      </c>
      <c r="AM250" t="s">
        <v>48</v>
      </c>
      <c r="AN250" t="s">
        <v>48</v>
      </c>
      <c r="AO250" t="s">
        <v>48</v>
      </c>
      <c r="AP250" s="46">
        <v>0</v>
      </c>
      <c r="AQ250" s="46">
        <v>0</v>
      </c>
      <c r="AR250" s="46">
        <v>0</v>
      </c>
      <c r="AS250" s="46">
        <v>0</v>
      </c>
      <c r="AT250" s="46">
        <v>0</v>
      </c>
      <c r="AU250" s="46">
        <v>0</v>
      </c>
      <c r="AV250" s="46">
        <v>0</v>
      </c>
      <c r="AW250" s="46">
        <v>0</v>
      </c>
      <c r="AX250" s="46">
        <v>0</v>
      </c>
      <c r="AY250" s="46">
        <v>0</v>
      </c>
      <c r="AZ250" s="46">
        <v>0</v>
      </c>
      <c r="BA250" s="46">
        <v>0</v>
      </c>
      <c r="BB250" s="46">
        <v>0</v>
      </c>
      <c r="BC250" s="46">
        <v>0</v>
      </c>
      <c r="BD250" s="46">
        <v>0</v>
      </c>
      <c r="BE250" s="46">
        <v>0</v>
      </c>
      <c r="BF250" s="46">
        <v>0</v>
      </c>
      <c r="BG250" s="46" t="s">
        <v>48</v>
      </c>
      <c r="BH250" s="46">
        <v>0</v>
      </c>
      <c r="BI250" s="46">
        <v>0</v>
      </c>
      <c r="BJ250" s="46">
        <v>0</v>
      </c>
      <c r="BK250" s="46">
        <v>0</v>
      </c>
      <c r="BL250" s="46">
        <v>0</v>
      </c>
      <c r="BM250" s="46">
        <v>0</v>
      </c>
      <c r="BN250" s="46">
        <v>0</v>
      </c>
    </row>
    <row r="251" spans="1:66" x14ac:dyDescent="0.35">
      <c r="A251" t="s">
        <v>11020</v>
      </c>
      <c r="B251" s="44" t="s">
        <v>48</v>
      </c>
      <c r="C251" t="s">
        <v>12124</v>
      </c>
      <c r="D251" t="s">
        <v>437</v>
      </c>
      <c r="E251" t="s">
        <v>11021</v>
      </c>
      <c r="F251" t="s">
        <v>4717</v>
      </c>
      <c r="G251" t="s">
        <v>74</v>
      </c>
      <c r="H251">
        <v>0</v>
      </c>
      <c r="I251" s="61">
        <v>44819</v>
      </c>
      <c r="J251" s="33" t="s">
        <v>96</v>
      </c>
      <c r="K251" s="46">
        <v>0</v>
      </c>
      <c r="L251">
        <v>5</v>
      </c>
      <c r="M251" t="s">
        <v>48</v>
      </c>
      <c r="N251" s="46">
        <v>0</v>
      </c>
      <c r="O251" s="46">
        <v>0</v>
      </c>
      <c r="P251" s="46">
        <v>0</v>
      </c>
      <c r="Q251" t="s">
        <v>48</v>
      </c>
      <c r="R251" t="s">
        <v>48</v>
      </c>
      <c r="S251" t="s">
        <v>48</v>
      </c>
      <c r="T251" t="s">
        <v>48</v>
      </c>
      <c r="U251" t="s">
        <v>48</v>
      </c>
      <c r="V251" s="47">
        <v>1</v>
      </c>
      <c r="W251" t="s">
        <v>48</v>
      </c>
      <c r="X251" t="s">
        <v>48</v>
      </c>
      <c r="Y251" t="s">
        <v>48</v>
      </c>
      <c r="Z251" t="s">
        <v>48</v>
      </c>
      <c r="AA251" t="s">
        <v>48</v>
      </c>
      <c r="AB251" t="s">
        <v>48</v>
      </c>
      <c r="AC251" t="s">
        <v>49</v>
      </c>
      <c r="AD251" t="s">
        <v>93</v>
      </c>
      <c r="AE251" t="s">
        <v>4532</v>
      </c>
      <c r="AF251" t="s">
        <v>48</v>
      </c>
      <c r="AG251" t="s">
        <v>48</v>
      </c>
      <c r="AH251" t="s">
        <v>48</v>
      </c>
      <c r="AI251" t="s">
        <v>48</v>
      </c>
      <c r="AJ251" t="s">
        <v>48</v>
      </c>
      <c r="AK251" t="s">
        <v>48</v>
      </c>
      <c r="AL251" t="s">
        <v>48</v>
      </c>
      <c r="AM251" t="s">
        <v>48</v>
      </c>
      <c r="AN251" t="s">
        <v>48</v>
      </c>
      <c r="AO251" t="s">
        <v>48</v>
      </c>
      <c r="AP251" s="46">
        <v>0</v>
      </c>
      <c r="AQ251" s="46">
        <v>0</v>
      </c>
      <c r="AR251" s="46">
        <v>0</v>
      </c>
      <c r="AS251" s="46">
        <v>0</v>
      </c>
      <c r="AT251" s="46">
        <v>0</v>
      </c>
      <c r="AU251" s="46">
        <v>0</v>
      </c>
      <c r="AV251" s="46">
        <v>0</v>
      </c>
      <c r="AW251" s="46">
        <v>0</v>
      </c>
      <c r="AX251" s="46">
        <v>0</v>
      </c>
      <c r="AY251" s="46">
        <v>0</v>
      </c>
      <c r="AZ251" s="46">
        <v>0</v>
      </c>
      <c r="BA251" s="46">
        <v>0</v>
      </c>
      <c r="BB251" s="46">
        <v>0</v>
      </c>
      <c r="BC251" s="46">
        <v>0</v>
      </c>
      <c r="BD251" s="46">
        <v>0</v>
      </c>
      <c r="BE251" s="46">
        <v>0</v>
      </c>
      <c r="BF251" s="46">
        <v>0</v>
      </c>
      <c r="BG251" s="46" t="s">
        <v>48</v>
      </c>
      <c r="BH251" s="46">
        <v>0</v>
      </c>
      <c r="BI251" s="46">
        <v>0</v>
      </c>
      <c r="BJ251" s="46">
        <v>0</v>
      </c>
      <c r="BK251" s="46">
        <v>0</v>
      </c>
      <c r="BL251" s="46">
        <v>0</v>
      </c>
      <c r="BM251" s="46">
        <v>0</v>
      </c>
      <c r="BN251" s="46">
        <v>0</v>
      </c>
    </row>
    <row r="252" spans="1:66" x14ac:dyDescent="0.35">
      <c r="A252" t="s">
        <v>4732</v>
      </c>
      <c r="B252" s="44" t="s">
        <v>48</v>
      </c>
      <c r="C252" t="s">
        <v>4735</v>
      </c>
      <c r="D252" t="s">
        <v>4734</v>
      </c>
      <c r="E252" t="s">
        <v>4733</v>
      </c>
      <c r="F252" t="s">
        <v>4717</v>
      </c>
      <c r="G252" t="s">
        <v>47</v>
      </c>
      <c r="H252">
        <v>0</v>
      </c>
      <c r="I252" s="60" t="s">
        <v>177</v>
      </c>
      <c r="J252" s="33" t="s">
        <v>96</v>
      </c>
      <c r="K252" s="46">
        <v>0</v>
      </c>
      <c r="L252">
        <v>0.6</v>
      </c>
      <c r="M252" t="s">
        <v>48</v>
      </c>
      <c r="N252" s="46">
        <v>0</v>
      </c>
      <c r="O252" s="46">
        <v>0</v>
      </c>
      <c r="P252" s="46">
        <v>0</v>
      </c>
      <c r="Q252" t="s">
        <v>48</v>
      </c>
      <c r="R252" t="s">
        <v>48</v>
      </c>
      <c r="S252" t="s">
        <v>48</v>
      </c>
      <c r="T252" t="s">
        <v>48</v>
      </c>
      <c r="U252" t="s">
        <v>48</v>
      </c>
      <c r="V252" s="47">
        <v>1</v>
      </c>
      <c r="W252" t="s">
        <v>48</v>
      </c>
      <c r="X252" t="s">
        <v>48</v>
      </c>
      <c r="Y252" t="s">
        <v>48</v>
      </c>
      <c r="Z252">
        <v>0</v>
      </c>
      <c r="AA252" t="s">
        <v>48</v>
      </c>
      <c r="AB252" t="s">
        <v>48</v>
      </c>
      <c r="AC252" t="s">
        <v>49</v>
      </c>
      <c r="AD252" t="s">
        <v>48</v>
      </c>
      <c r="AE252" t="s">
        <v>48</v>
      </c>
      <c r="AF252" t="s">
        <v>48</v>
      </c>
      <c r="AG252" t="s">
        <v>104</v>
      </c>
      <c r="AH252" t="s">
        <v>48</v>
      </c>
      <c r="AI252" t="s">
        <v>48</v>
      </c>
      <c r="AJ252" t="s">
        <v>48</v>
      </c>
      <c r="AK252" t="s">
        <v>48</v>
      </c>
      <c r="AL252" t="s">
        <v>48</v>
      </c>
      <c r="AM252" t="s">
        <v>48</v>
      </c>
      <c r="AN252" t="s">
        <v>48</v>
      </c>
      <c r="AO252" t="s">
        <v>48</v>
      </c>
      <c r="AP252" s="46">
        <v>0</v>
      </c>
      <c r="AQ252" s="46">
        <v>0</v>
      </c>
      <c r="AR252" s="46">
        <v>0</v>
      </c>
      <c r="AS252" s="46">
        <v>0</v>
      </c>
      <c r="AT252" s="46">
        <v>0</v>
      </c>
      <c r="AU252" s="46">
        <v>0</v>
      </c>
      <c r="AV252" s="46">
        <v>0</v>
      </c>
      <c r="AW252" s="46">
        <v>0</v>
      </c>
      <c r="AX252" s="46">
        <v>0</v>
      </c>
      <c r="AY252" s="46">
        <v>0</v>
      </c>
      <c r="AZ252" s="46">
        <v>0</v>
      </c>
      <c r="BA252" s="46">
        <v>0</v>
      </c>
      <c r="BB252" s="46">
        <v>0</v>
      </c>
      <c r="BC252" s="46">
        <v>0</v>
      </c>
      <c r="BD252" s="46">
        <v>0</v>
      </c>
      <c r="BE252" s="46">
        <v>0</v>
      </c>
      <c r="BF252" s="46">
        <v>0</v>
      </c>
      <c r="BG252" s="46" t="s">
        <v>48</v>
      </c>
      <c r="BH252" s="46">
        <v>0</v>
      </c>
      <c r="BI252" s="46">
        <v>0</v>
      </c>
      <c r="BJ252" s="46">
        <v>0</v>
      </c>
      <c r="BK252" s="46">
        <v>0</v>
      </c>
      <c r="BL252" s="46">
        <v>0</v>
      </c>
      <c r="BM252" s="46">
        <v>0</v>
      </c>
      <c r="BN252" s="46">
        <v>0</v>
      </c>
    </row>
    <row r="253" spans="1:66" x14ac:dyDescent="0.35">
      <c r="A253" t="s">
        <v>11022</v>
      </c>
      <c r="B253" s="44" t="s">
        <v>48</v>
      </c>
      <c r="C253" t="s">
        <v>12125</v>
      </c>
      <c r="D253" t="s">
        <v>12126</v>
      </c>
      <c r="E253" t="s">
        <v>11023</v>
      </c>
      <c r="F253" t="s">
        <v>4717</v>
      </c>
      <c r="G253" t="s">
        <v>47</v>
      </c>
      <c r="H253">
        <v>0</v>
      </c>
      <c r="I253" s="60" t="s">
        <v>11552</v>
      </c>
      <c r="J253" s="33" t="s">
        <v>96</v>
      </c>
      <c r="K253" s="46">
        <v>0</v>
      </c>
      <c r="L253">
        <v>7.5</v>
      </c>
      <c r="M253" t="s">
        <v>48</v>
      </c>
      <c r="N253" s="46">
        <v>0</v>
      </c>
      <c r="O253" s="46">
        <v>0</v>
      </c>
      <c r="P253" s="46">
        <v>0</v>
      </c>
      <c r="Q253" t="s">
        <v>48</v>
      </c>
      <c r="R253" t="s">
        <v>48</v>
      </c>
      <c r="S253" t="s">
        <v>11504</v>
      </c>
      <c r="T253" t="s">
        <v>48</v>
      </c>
      <c r="U253" t="s">
        <v>11024</v>
      </c>
      <c r="V253" s="47">
        <v>0</v>
      </c>
      <c r="W253" t="s">
        <v>48</v>
      </c>
      <c r="X253" t="s">
        <v>48</v>
      </c>
      <c r="Y253" t="s">
        <v>48</v>
      </c>
      <c r="Z253" t="s">
        <v>48</v>
      </c>
      <c r="AA253" t="s">
        <v>48</v>
      </c>
      <c r="AB253" t="s">
        <v>48</v>
      </c>
      <c r="AC253" t="s">
        <v>49</v>
      </c>
      <c r="AD253" t="s">
        <v>48</v>
      </c>
      <c r="AE253" t="s">
        <v>48</v>
      </c>
      <c r="AF253" t="s">
        <v>11152</v>
      </c>
      <c r="AG253" t="s">
        <v>48</v>
      </c>
      <c r="AH253" t="s">
        <v>48</v>
      </c>
      <c r="AI253" t="s">
        <v>48</v>
      </c>
      <c r="AJ253" t="s">
        <v>48</v>
      </c>
      <c r="AK253" t="s">
        <v>48</v>
      </c>
      <c r="AL253" t="s">
        <v>48</v>
      </c>
      <c r="AM253" t="s">
        <v>48</v>
      </c>
      <c r="AN253" t="s">
        <v>48</v>
      </c>
      <c r="AO253" t="s">
        <v>48</v>
      </c>
      <c r="AP253" s="46">
        <v>0</v>
      </c>
      <c r="AQ253" s="46">
        <v>0</v>
      </c>
      <c r="AR253" s="46">
        <v>0</v>
      </c>
      <c r="AS253" s="46">
        <v>0</v>
      </c>
      <c r="AT253" s="46">
        <v>0</v>
      </c>
      <c r="AU253" s="46">
        <v>0</v>
      </c>
      <c r="AV253" s="46">
        <v>0</v>
      </c>
      <c r="AW253" s="46">
        <v>0</v>
      </c>
      <c r="AX253" s="46">
        <v>0</v>
      </c>
      <c r="AY253" s="46">
        <v>0</v>
      </c>
      <c r="AZ253" s="46">
        <v>0</v>
      </c>
      <c r="BA253" s="46">
        <v>0</v>
      </c>
      <c r="BB253" s="46">
        <v>0</v>
      </c>
      <c r="BC253" s="46">
        <v>0</v>
      </c>
      <c r="BD253" s="46">
        <v>0</v>
      </c>
      <c r="BE253" s="46">
        <v>0</v>
      </c>
      <c r="BF253" s="46">
        <v>0</v>
      </c>
      <c r="BG253" s="46" t="s">
        <v>48</v>
      </c>
      <c r="BH253" s="46">
        <v>0</v>
      </c>
      <c r="BI253" s="46">
        <v>0</v>
      </c>
      <c r="BJ253" s="46">
        <v>0</v>
      </c>
      <c r="BK253" s="46">
        <v>0</v>
      </c>
      <c r="BL253" s="46">
        <v>0</v>
      </c>
      <c r="BM253" s="46">
        <v>0</v>
      </c>
      <c r="BN253" s="46">
        <v>0</v>
      </c>
    </row>
    <row r="254" spans="1:66" x14ac:dyDescent="0.35">
      <c r="A254" t="s">
        <v>4882</v>
      </c>
      <c r="B254" s="44" t="s">
        <v>48</v>
      </c>
      <c r="C254" t="s">
        <v>4886</v>
      </c>
      <c r="D254" t="s">
        <v>210</v>
      </c>
      <c r="E254" t="s">
        <v>4884</v>
      </c>
      <c r="F254" t="s">
        <v>4883</v>
      </c>
      <c r="G254" t="s">
        <v>74</v>
      </c>
      <c r="H254">
        <v>0</v>
      </c>
      <c r="I254" s="60" t="s">
        <v>51</v>
      </c>
      <c r="J254" s="33" t="s">
        <v>96</v>
      </c>
      <c r="K254" s="46">
        <v>1</v>
      </c>
      <c r="L254" t="s">
        <v>48</v>
      </c>
      <c r="M254" t="s">
        <v>48</v>
      </c>
      <c r="N254" s="46">
        <v>0</v>
      </c>
      <c r="O254" s="46">
        <v>0</v>
      </c>
      <c r="P254" s="46">
        <v>0</v>
      </c>
      <c r="Q254" t="s">
        <v>48</v>
      </c>
      <c r="R254" t="s">
        <v>48</v>
      </c>
      <c r="S254" t="s">
        <v>10338</v>
      </c>
      <c r="T254" t="s">
        <v>4885</v>
      </c>
      <c r="U254" t="s">
        <v>10338</v>
      </c>
      <c r="V254" s="47">
        <v>0</v>
      </c>
      <c r="W254" t="s">
        <v>48</v>
      </c>
      <c r="X254" t="s">
        <v>48</v>
      </c>
      <c r="Y254" t="s">
        <v>48</v>
      </c>
      <c r="Z254">
        <v>0</v>
      </c>
      <c r="AA254" t="s">
        <v>48</v>
      </c>
      <c r="AB254" t="s">
        <v>48</v>
      </c>
      <c r="AC254" t="s">
        <v>49</v>
      </c>
      <c r="AD254" t="s">
        <v>951</v>
      </c>
      <c r="AE254" t="s">
        <v>11051</v>
      </c>
      <c r="AF254" t="s">
        <v>11063</v>
      </c>
      <c r="AG254" t="s">
        <v>48</v>
      </c>
      <c r="AH254" t="s">
        <v>48</v>
      </c>
      <c r="AI254">
        <v>29373</v>
      </c>
      <c r="AJ254">
        <v>1954</v>
      </c>
      <c r="AK254" t="s">
        <v>8575</v>
      </c>
      <c r="AL254" t="s">
        <v>8576</v>
      </c>
      <c r="AM254">
        <v>-0.36699999999999999</v>
      </c>
      <c r="AN254">
        <v>-0.122</v>
      </c>
      <c r="AO254">
        <v>-0.36699999999999999</v>
      </c>
      <c r="AP254" s="46">
        <v>0</v>
      </c>
      <c r="AQ254" s="46">
        <v>0</v>
      </c>
      <c r="AR254" s="46">
        <v>0</v>
      </c>
      <c r="AS254" s="46">
        <v>0</v>
      </c>
      <c r="AT254" s="46">
        <v>0</v>
      </c>
      <c r="AU254" s="46">
        <v>0</v>
      </c>
      <c r="AV254" s="46">
        <v>0</v>
      </c>
      <c r="AW254" s="46">
        <v>0</v>
      </c>
      <c r="AX254" s="46">
        <v>0</v>
      </c>
      <c r="AY254" s="46">
        <v>0</v>
      </c>
      <c r="AZ254" s="46">
        <v>0</v>
      </c>
      <c r="BA254" s="46">
        <v>0</v>
      </c>
      <c r="BB254" s="46">
        <v>0</v>
      </c>
      <c r="BC254" s="46">
        <v>0</v>
      </c>
      <c r="BD254" s="46">
        <v>0</v>
      </c>
      <c r="BE254" s="46">
        <v>0</v>
      </c>
      <c r="BF254" s="46">
        <v>0</v>
      </c>
      <c r="BG254" s="46" t="s">
        <v>48</v>
      </c>
      <c r="BH254" s="46">
        <v>0</v>
      </c>
      <c r="BI254" s="46">
        <v>0</v>
      </c>
      <c r="BJ254" s="46">
        <v>0</v>
      </c>
      <c r="BK254" s="46">
        <v>0</v>
      </c>
      <c r="BL254" s="46">
        <v>0</v>
      </c>
      <c r="BM254" s="46">
        <v>0</v>
      </c>
      <c r="BN254" s="46">
        <v>0</v>
      </c>
    </row>
    <row r="255" spans="1:66" x14ac:dyDescent="0.35">
      <c r="A255" t="s">
        <v>4887</v>
      </c>
      <c r="B255" s="44" t="s">
        <v>48</v>
      </c>
      <c r="C255" t="s">
        <v>3363</v>
      </c>
      <c r="D255" t="s">
        <v>1890</v>
      </c>
      <c r="E255" t="s">
        <v>4889</v>
      </c>
      <c r="F255" t="s">
        <v>4888</v>
      </c>
      <c r="G255" t="s">
        <v>74</v>
      </c>
      <c r="H255">
        <v>0</v>
      </c>
      <c r="I255" s="60" t="s">
        <v>51</v>
      </c>
      <c r="J255" s="33" t="s">
        <v>96</v>
      </c>
      <c r="K255" s="46">
        <v>1</v>
      </c>
      <c r="L255" t="s">
        <v>48</v>
      </c>
      <c r="M255" t="s">
        <v>48</v>
      </c>
      <c r="N255" s="46">
        <v>0</v>
      </c>
      <c r="O255" s="46">
        <v>0</v>
      </c>
      <c r="P255" s="46">
        <v>0</v>
      </c>
      <c r="Q255" t="s">
        <v>48</v>
      </c>
      <c r="R255" t="s">
        <v>48</v>
      </c>
      <c r="S255" t="s">
        <v>4890</v>
      </c>
      <c r="T255" t="s">
        <v>4891</v>
      </c>
      <c r="U255" t="s">
        <v>4890</v>
      </c>
      <c r="V255" s="47">
        <v>0</v>
      </c>
      <c r="W255" t="s">
        <v>48</v>
      </c>
      <c r="X255" t="s">
        <v>48</v>
      </c>
      <c r="Y255" t="s">
        <v>48</v>
      </c>
      <c r="Z255">
        <v>0</v>
      </c>
      <c r="AA255" t="s">
        <v>48</v>
      </c>
      <c r="AB255" t="s">
        <v>139</v>
      </c>
      <c r="AC255" t="s">
        <v>49</v>
      </c>
      <c r="AD255" t="s">
        <v>93</v>
      </c>
      <c r="AE255" s="40" t="s">
        <v>2471</v>
      </c>
      <c r="AF255" t="s">
        <v>11061</v>
      </c>
      <c r="AG255" t="s">
        <v>151</v>
      </c>
      <c r="AH255" t="s">
        <v>93</v>
      </c>
      <c r="AI255">
        <v>41308</v>
      </c>
      <c r="AJ255">
        <v>1969</v>
      </c>
      <c r="AK255" t="s">
        <v>8577</v>
      </c>
      <c r="AL255" t="s">
        <v>8578</v>
      </c>
      <c r="AM255">
        <v>-0.58699999999999997</v>
      </c>
      <c r="AN255">
        <v>-0.26700000000000002</v>
      </c>
      <c r="AO255">
        <v>-0.58699999999999997</v>
      </c>
      <c r="AP255" s="46">
        <v>0</v>
      </c>
      <c r="AQ255" s="46">
        <v>0</v>
      </c>
      <c r="AR255" s="46">
        <v>0</v>
      </c>
      <c r="AS255" s="46">
        <v>0</v>
      </c>
      <c r="AT255" s="46">
        <v>0</v>
      </c>
      <c r="AU255" s="46">
        <v>0</v>
      </c>
      <c r="AV255" s="46">
        <v>0</v>
      </c>
      <c r="AW255" s="46">
        <v>0</v>
      </c>
      <c r="AX255" s="46">
        <v>0</v>
      </c>
      <c r="AY255" s="46">
        <v>0</v>
      </c>
      <c r="AZ255" s="46">
        <v>0</v>
      </c>
      <c r="BA255" s="46">
        <v>0</v>
      </c>
      <c r="BB255" s="46">
        <v>0</v>
      </c>
      <c r="BC255" s="46">
        <v>0</v>
      </c>
      <c r="BD255" s="46">
        <v>0</v>
      </c>
      <c r="BE255" s="46">
        <v>0</v>
      </c>
      <c r="BF255" s="46">
        <v>0</v>
      </c>
      <c r="BG255" s="46" t="s">
        <v>48</v>
      </c>
      <c r="BH255" s="46">
        <v>0</v>
      </c>
      <c r="BI255" s="46">
        <v>0</v>
      </c>
      <c r="BJ255" s="46">
        <v>0</v>
      </c>
      <c r="BK255" s="46">
        <v>1</v>
      </c>
      <c r="BL255" s="46">
        <v>0</v>
      </c>
      <c r="BM255" s="46">
        <v>0</v>
      </c>
      <c r="BN255" s="46">
        <v>0</v>
      </c>
    </row>
    <row r="256" spans="1:66" x14ac:dyDescent="0.35">
      <c r="A256" t="s">
        <v>4921</v>
      </c>
      <c r="B256" s="44" t="s">
        <v>48</v>
      </c>
      <c r="C256" t="s">
        <v>4925</v>
      </c>
      <c r="D256" t="s">
        <v>772</v>
      </c>
      <c r="E256" t="s">
        <v>4923</v>
      </c>
      <c r="F256" t="s">
        <v>4922</v>
      </c>
      <c r="G256" t="s">
        <v>74</v>
      </c>
      <c r="H256">
        <v>0</v>
      </c>
      <c r="I256" s="60" t="s">
        <v>51</v>
      </c>
      <c r="J256" s="33" t="s">
        <v>96</v>
      </c>
      <c r="K256" s="46">
        <v>1</v>
      </c>
      <c r="L256" t="s">
        <v>48</v>
      </c>
      <c r="M256" t="s">
        <v>48</v>
      </c>
      <c r="N256" s="46">
        <v>0</v>
      </c>
      <c r="O256" s="46">
        <v>0</v>
      </c>
      <c r="P256" s="46">
        <v>0</v>
      </c>
      <c r="Q256" t="s">
        <v>48</v>
      </c>
      <c r="R256" t="s">
        <v>48</v>
      </c>
      <c r="S256" t="s">
        <v>48</v>
      </c>
      <c r="T256" t="s">
        <v>4924</v>
      </c>
      <c r="U256" t="s">
        <v>48</v>
      </c>
      <c r="V256" s="47">
        <v>0</v>
      </c>
      <c r="W256" t="s">
        <v>48</v>
      </c>
      <c r="X256" t="s">
        <v>48</v>
      </c>
      <c r="Y256" t="s">
        <v>48</v>
      </c>
      <c r="Z256">
        <v>0</v>
      </c>
      <c r="AA256" t="s">
        <v>48</v>
      </c>
      <c r="AB256" t="s">
        <v>48</v>
      </c>
      <c r="AC256" t="s">
        <v>49</v>
      </c>
      <c r="AD256" t="s">
        <v>93</v>
      </c>
      <c r="AE256" t="s">
        <v>4532</v>
      </c>
      <c r="AF256" t="s">
        <v>48</v>
      </c>
      <c r="AG256" t="s">
        <v>48</v>
      </c>
      <c r="AH256" t="s">
        <v>48</v>
      </c>
      <c r="AI256">
        <v>20930</v>
      </c>
      <c r="AJ256">
        <v>1971</v>
      </c>
      <c r="AK256" t="s">
        <v>8579</v>
      </c>
      <c r="AL256" t="s">
        <v>8580</v>
      </c>
      <c r="AM256">
        <v>-0.33</v>
      </c>
      <c r="AN256">
        <v>-0.02</v>
      </c>
      <c r="AO256">
        <v>-0.33</v>
      </c>
      <c r="AP256" s="46">
        <v>0</v>
      </c>
      <c r="AQ256" s="46">
        <v>0</v>
      </c>
      <c r="AR256" s="46">
        <v>0</v>
      </c>
      <c r="AS256" s="46">
        <v>0</v>
      </c>
      <c r="AT256" s="46">
        <v>0</v>
      </c>
      <c r="AU256" s="46">
        <v>0</v>
      </c>
      <c r="AV256" s="46">
        <v>0</v>
      </c>
      <c r="AW256" s="46">
        <v>0</v>
      </c>
      <c r="AX256" s="46">
        <v>0</v>
      </c>
      <c r="AY256" s="46">
        <v>0</v>
      </c>
      <c r="AZ256" s="46">
        <v>0</v>
      </c>
      <c r="BA256" s="46">
        <v>0</v>
      </c>
      <c r="BB256" s="46">
        <v>0</v>
      </c>
      <c r="BC256" s="46">
        <v>0</v>
      </c>
      <c r="BD256" s="46">
        <v>0</v>
      </c>
      <c r="BE256" s="46">
        <v>0</v>
      </c>
      <c r="BF256" s="46">
        <v>0</v>
      </c>
      <c r="BG256" s="46" t="s">
        <v>48</v>
      </c>
      <c r="BH256" s="46">
        <v>0</v>
      </c>
      <c r="BI256" s="46">
        <v>0</v>
      </c>
      <c r="BJ256" s="46">
        <v>0</v>
      </c>
      <c r="BK256" s="46">
        <v>0</v>
      </c>
      <c r="BL256" s="46">
        <v>0</v>
      </c>
      <c r="BM256" s="46">
        <v>0</v>
      </c>
      <c r="BN256" s="46">
        <v>0</v>
      </c>
    </row>
    <row r="257" spans="1:66" x14ac:dyDescent="0.35">
      <c r="A257" t="s">
        <v>4926</v>
      </c>
      <c r="B257" s="44" t="s">
        <v>48</v>
      </c>
      <c r="C257" t="s">
        <v>4931</v>
      </c>
      <c r="D257" t="s">
        <v>429</v>
      </c>
      <c r="E257" t="s">
        <v>4928</v>
      </c>
      <c r="F257" t="s">
        <v>4927</v>
      </c>
      <c r="G257" t="s">
        <v>74</v>
      </c>
      <c r="H257">
        <v>0</v>
      </c>
      <c r="I257" s="60" t="s">
        <v>51</v>
      </c>
      <c r="J257" s="33" t="s">
        <v>96</v>
      </c>
      <c r="K257" s="46">
        <v>1</v>
      </c>
      <c r="L257" t="s">
        <v>48</v>
      </c>
      <c r="M257" t="s">
        <v>48</v>
      </c>
      <c r="N257" s="46">
        <v>0</v>
      </c>
      <c r="O257" s="46">
        <v>0</v>
      </c>
      <c r="P257" s="46">
        <v>0</v>
      </c>
      <c r="Q257" t="s">
        <v>48</v>
      </c>
      <c r="R257" t="s">
        <v>48</v>
      </c>
      <c r="S257" t="s">
        <v>4929</v>
      </c>
      <c r="T257" t="s">
        <v>4930</v>
      </c>
      <c r="U257" t="s">
        <v>4929</v>
      </c>
      <c r="V257" s="47">
        <v>0</v>
      </c>
      <c r="W257" t="s">
        <v>48</v>
      </c>
      <c r="X257" t="s">
        <v>48</v>
      </c>
      <c r="Y257" t="s">
        <v>48</v>
      </c>
      <c r="Z257">
        <v>1</v>
      </c>
      <c r="AA257" t="s">
        <v>48</v>
      </c>
      <c r="AB257">
        <v>2020</v>
      </c>
      <c r="AC257" t="s">
        <v>49</v>
      </c>
      <c r="AD257" t="s">
        <v>951</v>
      </c>
      <c r="AE257" s="40" t="s">
        <v>11051</v>
      </c>
      <c r="AF257" t="s">
        <v>48</v>
      </c>
      <c r="AG257" t="s">
        <v>140</v>
      </c>
      <c r="AH257" t="s">
        <v>93</v>
      </c>
      <c r="AI257">
        <v>20932</v>
      </c>
      <c r="AJ257">
        <v>1972</v>
      </c>
      <c r="AK257" t="s">
        <v>8581</v>
      </c>
      <c r="AL257" t="s">
        <v>8582</v>
      </c>
      <c r="AM257">
        <v>-0.36799999999999999</v>
      </c>
      <c r="AN257">
        <v>1.7000000000000001E-2</v>
      </c>
      <c r="AO257">
        <v>-0.36799999999999999</v>
      </c>
      <c r="AP257" s="46">
        <v>0</v>
      </c>
      <c r="AQ257" s="46">
        <v>0</v>
      </c>
      <c r="AR257" s="46">
        <v>0</v>
      </c>
      <c r="AS257" s="46">
        <v>0</v>
      </c>
      <c r="AT257" s="46">
        <v>0</v>
      </c>
      <c r="AU257" s="46">
        <v>0</v>
      </c>
      <c r="AV257" s="46">
        <v>0</v>
      </c>
      <c r="AW257" s="46">
        <v>0</v>
      </c>
      <c r="AX257" s="46">
        <v>0</v>
      </c>
      <c r="AY257" s="46">
        <v>0</v>
      </c>
      <c r="AZ257" s="46">
        <v>0</v>
      </c>
      <c r="BA257" s="46">
        <v>0</v>
      </c>
      <c r="BB257" s="46">
        <v>0</v>
      </c>
      <c r="BC257" s="46">
        <v>0</v>
      </c>
      <c r="BD257" s="46">
        <v>0</v>
      </c>
      <c r="BE257" s="46">
        <v>0</v>
      </c>
      <c r="BF257" s="46">
        <v>0</v>
      </c>
      <c r="BG257" s="46" t="s">
        <v>48</v>
      </c>
      <c r="BH257" s="46">
        <v>0</v>
      </c>
      <c r="BI257" s="46">
        <v>0</v>
      </c>
      <c r="BJ257" s="46">
        <v>0</v>
      </c>
      <c r="BK257" s="46">
        <v>0</v>
      </c>
      <c r="BL257" s="46">
        <v>0</v>
      </c>
      <c r="BM257" s="46">
        <v>0</v>
      </c>
      <c r="BN257" s="46">
        <v>0</v>
      </c>
    </row>
    <row r="258" spans="1:66" x14ac:dyDescent="0.35">
      <c r="A258" t="s">
        <v>5017</v>
      </c>
      <c r="B258" s="44" t="s">
        <v>48</v>
      </c>
      <c r="C258" t="s">
        <v>5022</v>
      </c>
      <c r="D258" t="s">
        <v>5021</v>
      </c>
      <c r="E258" t="s">
        <v>5019</v>
      </c>
      <c r="F258" t="s">
        <v>5018</v>
      </c>
      <c r="G258" t="s">
        <v>74</v>
      </c>
      <c r="H258">
        <v>0</v>
      </c>
      <c r="I258" s="60" t="s">
        <v>51</v>
      </c>
      <c r="J258" s="33" t="s">
        <v>96</v>
      </c>
      <c r="K258" s="46">
        <v>1</v>
      </c>
      <c r="L258" t="s">
        <v>48</v>
      </c>
      <c r="M258" t="s">
        <v>48</v>
      </c>
      <c r="N258" s="46">
        <v>0</v>
      </c>
      <c r="O258" s="46">
        <v>0</v>
      </c>
      <c r="P258" s="46">
        <v>0</v>
      </c>
      <c r="Q258" t="s">
        <v>48</v>
      </c>
      <c r="R258" t="s">
        <v>48</v>
      </c>
      <c r="S258" t="s">
        <v>48</v>
      </c>
      <c r="T258" t="s">
        <v>5020</v>
      </c>
      <c r="U258" t="s">
        <v>48</v>
      </c>
      <c r="V258" s="47">
        <v>0</v>
      </c>
      <c r="W258" t="s">
        <v>48</v>
      </c>
      <c r="X258" t="s">
        <v>48</v>
      </c>
      <c r="Y258" t="s">
        <v>48</v>
      </c>
      <c r="Z258">
        <v>0</v>
      </c>
      <c r="AA258" t="s">
        <v>48</v>
      </c>
      <c r="AB258" t="s">
        <v>48</v>
      </c>
      <c r="AC258" t="s">
        <v>63</v>
      </c>
      <c r="AD258" t="s">
        <v>93</v>
      </c>
      <c r="AE258" t="s">
        <v>4532</v>
      </c>
      <c r="AF258" t="s">
        <v>48</v>
      </c>
      <c r="AG258" t="s">
        <v>48</v>
      </c>
      <c r="AH258" t="s">
        <v>48</v>
      </c>
      <c r="AI258">
        <v>21743</v>
      </c>
      <c r="AJ258">
        <v>1957</v>
      </c>
      <c r="AK258" t="s">
        <v>8583</v>
      </c>
      <c r="AL258" t="s">
        <v>8584</v>
      </c>
      <c r="AM258">
        <v>-0.28399999999999997</v>
      </c>
      <c r="AN258">
        <v>0.28699999999999998</v>
      </c>
      <c r="AO258">
        <v>-0.28399999999999997</v>
      </c>
      <c r="AP258" s="46">
        <v>0</v>
      </c>
      <c r="AQ258" s="46">
        <v>0</v>
      </c>
      <c r="AR258" s="46">
        <v>0</v>
      </c>
      <c r="AS258" s="46">
        <v>0</v>
      </c>
      <c r="AT258" s="46">
        <v>0</v>
      </c>
      <c r="AU258" s="46">
        <v>0</v>
      </c>
      <c r="AV258" s="46">
        <v>0</v>
      </c>
      <c r="AW258" s="46">
        <v>0</v>
      </c>
      <c r="AX258" s="46">
        <v>0</v>
      </c>
      <c r="AY258" s="46">
        <v>0</v>
      </c>
      <c r="AZ258" s="46">
        <v>0</v>
      </c>
      <c r="BA258" s="46">
        <v>0</v>
      </c>
      <c r="BB258" s="46">
        <v>0</v>
      </c>
      <c r="BC258" s="46">
        <v>0</v>
      </c>
      <c r="BD258" s="46">
        <v>0</v>
      </c>
      <c r="BE258" s="46">
        <v>0</v>
      </c>
      <c r="BF258" s="46">
        <v>0</v>
      </c>
      <c r="BG258" s="46" t="s">
        <v>48</v>
      </c>
      <c r="BH258" s="46">
        <v>0</v>
      </c>
      <c r="BI258" s="46">
        <v>0</v>
      </c>
      <c r="BJ258" s="46">
        <v>0</v>
      </c>
      <c r="BK258" s="46">
        <v>0</v>
      </c>
      <c r="BL258" s="46">
        <v>0</v>
      </c>
      <c r="BM258" s="46">
        <v>0</v>
      </c>
      <c r="BN258" s="46">
        <v>0</v>
      </c>
    </row>
    <row r="259" spans="1:66" x14ac:dyDescent="0.35">
      <c r="A259" t="s">
        <v>9655</v>
      </c>
      <c r="B259" s="44" t="s">
        <v>48</v>
      </c>
      <c r="C259" t="s">
        <v>12172</v>
      </c>
      <c r="D259" t="s">
        <v>2183</v>
      </c>
      <c r="E259" t="s">
        <v>11566</v>
      </c>
      <c r="F259" t="s">
        <v>5024</v>
      </c>
      <c r="G259" t="s">
        <v>74</v>
      </c>
      <c r="H259">
        <v>0</v>
      </c>
      <c r="I259" s="61">
        <v>44749</v>
      </c>
      <c r="J259" s="33" t="s">
        <v>96</v>
      </c>
      <c r="K259" s="46">
        <v>0</v>
      </c>
      <c r="L259">
        <v>2.1</v>
      </c>
      <c r="M259" t="s">
        <v>48</v>
      </c>
      <c r="N259" s="46">
        <v>0</v>
      </c>
      <c r="O259" s="46">
        <v>0</v>
      </c>
      <c r="P259" s="46">
        <v>0</v>
      </c>
      <c r="Q259" t="s">
        <v>48</v>
      </c>
      <c r="R259" t="s">
        <v>48</v>
      </c>
      <c r="S259" t="s">
        <v>48</v>
      </c>
      <c r="T259" t="s">
        <v>48</v>
      </c>
      <c r="U259" t="s">
        <v>48</v>
      </c>
      <c r="V259" s="47">
        <v>1</v>
      </c>
      <c r="W259" t="s">
        <v>48</v>
      </c>
      <c r="X259" t="s">
        <v>48</v>
      </c>
      <c r="Y259" t="s">
        <v>48</v>
      </c>
      <c r="Z259" t="s">
        <v>48</v>
      </c>
      <c r="AA259" t="s">
        <v>48</v>
      </c>
      <c r="AB259" t="s">
        <v>48</v>
      </c>
      <c r="AC259" t="s">
        <v>49</v>
      </c>
      <c r="AD259" t="s">
        <v>93</v>
      </c>
      <c r="AE259" t="s">
        <v>2471</v>
      </c>
      <c r="AF259" t="s">
        <v>48</v>
      </c>
      <c r="AG259" t="s">
        <v>48</v>
      </c>
      <c r="AH259" t="s">
        <v>48</v>
      </c>
      <c r="AI259" t="s">
        <v>48</v>
      </c>
      <c r="AJ259" t="s">
        <v>48</v>
      </c>
      <c r="AK259" t="s">
        <v>48</v>
      </c>
      <c r="AL259" t="s">
        <v>48</v>
      </c>
      <c r="AM259" t="s">
        <v>48</v>
      </c>
      <c r="AN259" t="s">
        <v>48</v>
      </c>
      <c r="AO259" t="s">
        <v>48</v>
      </c>
      <c r="AP259" s="46">
        <v>0</v>
      </c>
      <c r="AQ259" s="46">
        <v>0</v>
      </c>
      <c r="AR259" s="46">
        <v>0</v>
      </c>
      <c r="AS259" s="46">
        <v>0</v>
      </c>
      <c r="AT259" s="46">
        <v>0</v>
      </c>
      <c r="AU259" s="46">
        <v>0</v>
      </c>
      <c r="AV259" s="46">
        <v>0</v>
      </c>
      <c r="AW259" s="46">
        <v>0</v>
      </c>
      <c r="AX259" s="46">
        <v>0</v>
      </c>
      <c r="AY259" s="46">
        <v>0</v>
      </c>
      <c r="AZ259" s="46">
        <v>0</v>
      </c>
      <c r="BA259" s="46">
        <v>0</v>
      </c>
      <c r="BB259" s="46">
        <v>0</v>
      </c>
      <c r="BC259" s="46">
        <v>0</v>
      </c>
      <c r="BD259" s="46">
        <v>0</v>
      </c>
      <c r="BE259" s="46">
        <v>0</v>
      </c>
      <c r="BF259" s="46">
        <v>0</v>
      </c>
      <c r="BG259" s="46" t="s">
        <v>48</v>
      </c>
      <c r="BH259" s="46">
        <v>0</v>
      </c>
      <c r="BI259" s="46">
        <v>0</v>
      </c>
      <c r="BJ259" s="46">
        <v>0</v>
      </c>
      <c r="BK259" s="46">
        <v>0</v>
      </c>
      <c r="BL259" s="46">
        <v>0</v>
      </c>
      <c r="BM259" s="46">
        <v>0</v>
      </c>
      <c r="BN259" s="46">
        <v>0</v>
      </c>
    </row>
    <row r="260" spans="1:66" x14ac:dyDescent="0.35">
      <c r="A260" t="s">
        <v>8114</v>
      </c>
      <c r="B260" s="44" t="s">
        <v>48</v>
      </c>
      <c r="C260" t="s">
        <v>12171</v>
      </c>
      <c r="D260" t="s">
        <v>7491</v>
      </c>
      <c r="E260" t="s">
        <v>8115</v>
      </c>
      <c r="F260" t="s">
        <v>5024</v>
      </c>
      <c r="G260" t="s">
        <v>74</v>
      </c>
      <c r="H260">
        <v>0</v>
      </c>
      <c r="I260" s="61">
        <v>44733</v>
      </c>
      <c r="J260" s="33" t="s">
        <v>96</v>
      </c>
      <c r="K260" s="46">
        <v>0</v>
      </c>
      <c r="L260">
        <v>2.9</v>
      </c>
      <c r="M260" t="s">
        <v>48</v>
      </c>
      <c r="N260" s="46">
        <v>0</v>
      </c>
      <c r="O260" s="46">
        <v>0</v>
      </c>
      <c r="P260" s="46">
        <v>0</v>
      </c>
      <c r="Q260" t="s">
        <v>48</v>
      </c>
      <c r="R260" t="s">
        <v>48</v>
      </c>
      <c r="S260" t="s">
        <v>10352</v>
      </c>
      <c r="T260" t="s">
        <v>48</v>
      </c>
      <c r="U260" t="s">
        <v>10352</v>
      </c>
      <c r="V260" s="47">
        <v>0</v>
      </c>
      <c r="W260" t="s">
        <v>48</v>
      </c>
      <c r="X260" t="s">
        <v>48</v>
      </c>
      <c r="Y260" t="s">
        <v>48</v>
      </c>
      <c r="Z260" t="s">
        <v>48</v>
      </c>
      <c r="AA260" t="s">
        <v>48</v>
      </c>
      <c r="AB260" t="s">
        <v>48</v>
      </c>
      <c r="AC260" t="s">
        <v>49</v>
      </c>
      <c r="AD260" t="s">
        <v>93</v>
      </c>
      <c r="AE260" t="s">
        <v>4532</v>
      </c>
      <c r="AF260" t="s">
        <v>48</v>
      </c>
      <c r="AG260" t="s">
        <v>48</v>
      </c>
      <c r="AH260" t="s">
        <v>48</v>
      </c>
      <c r="AI260" t="s">
        <v>48</v>
      </c>
      <c r="AJ260" t="s">
        <v>48</v>
      </c>
      <c r="AK260" t="s">
        <v>48</v>
      </c>
      <c r="AL260" t="s">
        <v>48</v>
      </c>
      <c r="AM260" t="s">
        <v>48</v>
      </c>
      <c r="AN260" t="s">
        <v>48</v>
      </c>
      <c r="AO260" t="s">
        <v>48</v>
      </c>
      <c r="AP260" s="46">
        <v>0</v>
      </c>
      <c r="AQ260" s="46">
        <v>0</v>
      </c>
      <c r="AR260" s="46">
        <v>0</v>
      </c>
      <c r="AS260" s="46">
        <v>0</v>
      </c>
      <c r="AT260" s="46">
        <v>0</v>
      </c>
      <c r="AU260" s="46">
        <v>0</v>
      </c>
      <c r="AV260" s="46">
        <v>0</v>
      </c>
      <c r="AW260" s="46">
        <v>0</v>
      </c>
      <c r="AX260" s="46">
        <v>0</v>
      </c>
      <c r="AY260" s="46">
        <v>0</v>
      </c>
      <c r="AZ260" s="46">
        <v>0</v>
      </c>
      <c r="BA260" s="46">
        <v>0</v>
      </c>
      <c r="BB260" s="46">
        <v>0</v>
      </c>
      <c r="BC260" s="46">
        <v>0</v>
      </c>
      <c r="BD260" s="46">
        <v>0</v>
      </c>
      <c r="BE260" s="46">
        <v>0</v>
      </c>
      <c r="BF260" s="46">
        <v>0</v>
      </c>
      <c r="BG260" s="46" t="s">
        <v>48</v>
      </c>
      <c r="BH260" s="46">
        <v>0</v>
      </c>
      <c r="BI260" s="46">
        <v>0</v>
      </c>
      <c r="BJ260" s="46">
        <v>0</v>
      </c>
      <c r="BK260" s="46">
        <v>0</v>
      </c>
      <c r="BL260" s="46">
        <v>0</v>
      </c>
      <c r="BM260" s="46">
        <v>0</v>
      </c>
      <c r="BN260" s="46">
        <v>0</v>
      </c>
    </row>
    <row r="261" spans="1:66" x14ac:dyDescent="0.35">
      <c r="A261" t="s">
        <v>5023</v>
      </c>
      <c r="B261" t="s">
        <v>48</v>
      </c>
      <c r="C261" t="s">
        <v>211</v>
      </c>
      <c r="D261" t="s">
        <v>351</v>
      </c>
      <c r="E261" t="s">
        <v>5025</v>
      </c>
      <c r="F261" t="s">
        <v>5024</v>
      </c>
      <c r="G261" t="s">
        <v>47</v>
      </c>
      <c r="H261">
        <v>0</v>
      </c>
      <c r="I261" s="60" t="s">
        <v>177</v>
      </c>
      <c r="J261" s="33" t="s">
        <v>96</v>
      </c>
      <c r="K261" s="46">
        <v>0</v>
      </c>
      <c r="L261">
        <v>34.1</v>
      </c>
      <c r="M261" t="s">
        <v>48</v>
      </c>
      <c r="N261" s="46">
        <v>0</v>
      </c>
      <c r="O261" s="46">
        <v>0</v>
      </c>
      <c r="P261" s="46">
        <v>0</v>
      </c>
      <c r="Q261" t="s">
        <v>48</v>
      </c>
      <c r="R261" t="s">
        <v>48</v>
      </c>
      <c r="S261" t="s">
        <v>5026</v>
      </c>
      <c r="T261" t="s">
        <v>48</v>
      </c>
      <c r="U261" t="s">
        <v>5026</v>
      </c>
      <c r="V261" s="47">
        <v>0</v>
      </c>
      <c r="W261" t="s">
        <v>48</v>
      </c>
      <c r="X261" t="s">
        <v>48</v>
      </c>
      <c r="Y261" t="s">
        <v>48</v>
      </c>
      <c r="Z261">
        <v>0</v>
      </c>
      <c r="AA261" t="s">
        <v>48</v>
      </c>
      <c r="AB261" t="s">
        <v>48</v>
      </c>
      <c r="AC261" t="s">
        <v>49</v>
      </c>
      <c r="AD261" t="s">
        <v>93</v>
      </c>
      <c r="AE261" t="s">
        <v>4532</v>
      </c>
      <c r="AF261" t="s">
        <v>48</v>
      </c>
      <c r="AG261" t="s">
        <v>48</v>
      </c>
      <c r="AH261" t="s">
        <v>48</v>
      </c>
      <c r="AI261" t="s">
        <v>48</v>
      </c>
      <c r="AJ261" t="s">
        <v>48</v>
      </c>
      <c r="AK261" t="s">
        <v>48</v>
      </c>
      <c r="AL261" t="s">
        <v>48</v>
      </c>
      <c r="AM261" t="s">
        <v>48</v>
      </c>
      <c r="AN261" t="s">
        <v>48</v>
      </c>
      <c r="AO261" t="s">
        <v>48</v>
      </c>
      <c r="AP261" s="46">
        <v>0</v>
      </c>
      <c r="AQ261" s="46">
        <v>0</v>
      </c>
      <c r="AR261" s="46">
        <v>0</v>
      </c>
      <c r="AS261" s="46">
        <v>0</v>
      </c>
      <c r="AT261" s="46">
        <v>0</v>
      </c>
      <c r="AU261" s="46">
        <v>0</v>
      </c>
      <c r="AV261" s="46">
        <v>0</v>
      </c>
      <c r="AW261" s="46">
        <v>0</v>
      </c>
      <c r="AX261" s="46">
        <v>0</v>
      </c>
      <c r="AY261" s="46">
        <v>0</v>
      </c>
      <c r="AZ261" s="46">
        <v>0</v>
      </c>
      <c r="BA261" s="46">
        <v>0</v>
      </c>
      <c r="BB261" s="46">
        <v>0</v>
      </c>
      <c r="BC261" s="46">
        <v>0</v>
      </c>
      <c r="BD261" s="46">
        <v>0</v>
      </c>
      <c r="BE261" s="46">
        <v>0</v>
      </c>
      <c r="BF261" s="46">
        <v>0</v>
      </c>
      <c r="BG261" s="46" t="s">
        <v>48</v>
      </c>
      <c r="BH261" s="46">
        <v>0</v>
      </c>
      <c r="BI261" s="46">
        <v>0</v>
      </c>
      <c r="BJ261" s="46">
        <v>0</v>
      </c>
      <c r="BK261" s="46">
        <v>0</v>
      </c>
      <c r="BL261" s="46">
        <v>0</v>
      </c>
      <c r="BM261" s="46">
        <v>0</v>
      </c>
      <c r="BN261" s="46">
        <v>0</v>
      </c>
    </row>
    <row r="262" spans="1:66" x14ac:dyDescent="0.35">
      <c r="A262" t="s">
        <v>5038</v>
      </c>
      <c r="B262" t="s">
        <v>48</v>
      </c>
      <c r="C262" t="s">
        <v>5042</v>
      </c>
      <c r="D262" t="s">
        <v>5041</v>
      </c>
      <c r="E262" t="s">
        <v>5039</v>
      </c>
      <c r="F262" t="s">
        <v>5024</v>
      </c>
      <c r="G262" t="s">
        <v>47</v>
      </c>
      <c r="H262">
        <v>0</v>
      </c>
      <c r="I262" s="60" t="s">
        <v>177</v>
      </c>
      <c r="J262" s="33" t="s">
        <v>96</v>
      </c>
      <c r="K262" s="46">
        <v>0</v>
      </c>
      <c r="L262">
        <v>3.2</v>
      </c>
      <c r="M262" t="s">
        <v>48</v>
      </c>
      <c r="N262" s="46">
        <v>0</v>
      </c>
      <c r="O262" s="46">
        <v>0</v>
      </c>
      <c r="P262" s="46">
        <v>0</v>
      </c>
      <c r="Q262" t="s">
        <v>48</v>
      </c>
      <c r="R262" t="s">
        <v>48</v>
      </c>
      <c r="S262" t="s">
        <v>5040</v>
      </c>
      <c r="T262" t="s">
        <v>48</v>
      </c>
      <c r="U262" t="s">
        <v>5040</v>
      </c>
      <c r="V262" s="47">
        <v>1</v>
      </c>
      <c r="W262" t="s">
        <v>48</v>
      </c>
      <c r="X262" t="s">
        <v>48</v>
      </c>
      <c r="Y262" t="s">
        <v>48</v>
      </c>
      <c r="Z262">
        <v>0</v>
      </c>
      <c r="AA262" t="s">
        <v>48</v>
      </c>
      <c r="AB262" t="s">
        <v>48</v>
      </c>
      <c r="AC262" t="s">
        <v>63</v>
      </c>
      <c r="AD262" t="s">
        <v>93</v>
      </c>
      <c r="AE262" t="s">
        <v>4532</v>
      </c>
      <c r="AF262" t="s">
        <v>48</v>
      </c>
      <c r="AG262" t="s">
        <v>48</v>
      </c>
      <c r="AH262" t="s">
        <v>48</v>
      </c>
      <c r="AI262" t="s">
        <v>48</v>
      </c>
      <c r="AJ262" t="s">
        <v>48</v>
      </c>
      <c r="AK262" t="s">
        <v>48</v>
      </c>
      <c r="AL262" t="s">
        <v>48</v>
      </c>
      <c r="AM262" t="s">
        <v>48</v>
      </c>
      <c r="AN262" t="s">
        <v>48</v>
      </c>
      <c r="AO262" t="s">
        <v>48</v>
      </c>
      <c r="AP262" s="46">
        <v>0</v>
      </c>
      <c r="AQ262" s="46">
        <v>0</v>
      </c>
      <c r="AR262" s="46">
        <v>0</v>
      </c>
      <c r="AS262" s="46">
        <v>0</v>
      </c>
      <c r="AT262" s="46">
        <v>0</v>
      </c>
      <c r="AU262" s="46">
        <v>0</v>
      </c>
      <c r="AV262" s="46">
        <v>0</v>
      </c>
      <c r="AW262" s="46">
        <v>0</v>
      </c>
      <c r="AX262" s="46">
        <v>0</v>
      </c>
      <c r="AY262" s="46">
        <v>0</v>
      </c>
      <c r="AZ262" s="46">
        <v>0</v>
      </c>
      <c r="BA262" s="46">
        <v>0</v>
      </c>
      <c r="BB262" s="46">
        <v>0</v>
      </c>
      <c r="BC262" s="46">
        <v>0</v>
      </c>
      <c r="BD262" s="46">
        <v>0</v>
      </c>
      <c r="BE262" s="46">
        <v>0</v>
      </c>
      <c r="BF262" s="46">
        <v>0</v>
      </c>
      <c r="BG262" s="46" t="s">
        <v>48</v>
      </c>
      <c r="BH262" s="46">
        <v>0</v>
      </c>
      <c r="BI262" s="46">
        <v>0</v>
      </c>
      <c r="BJ262" s="46">
        <v>0</v>
      </c>
      <c r="BK262" s="46">
        <v>0</v>
      </c>
      <c r="BL262" s="46">
        <v>0</v>
      </c>
      <c r="BM262" s="46">
        <v>0</v>
      </c>
      <c r="BN262" s="46">
        <v>0</v>
      </c>
    </row>
    <row r="263" spans="1:66" x14ac:dyDescent="0.35">
      <c r="A263" t="s">
        <v>9656</v>
      </c>
      <c r="B263" s="44" t="s">
        <v>48</v>
      </c>
      <c r="C263" t="s">
        <v>12169</v>
      </c>
      <c r="D263" t="s">
        <v>1896</v>
      </c>
      <c r="E263" t="s">
        <v>9657</v>
      </c>
      <c r="F263" t="s">
        <v>5024</v>
      </c>
      <c r="G263" t="s">
        <v>74</v>
      </c>
      <c r="H263">
        <v>0</v>
      </c>
      <c r="I263" s="61">
        <v>44749</v>
      </c>
      <c r="J263" s="33" t="s">
        <v>96</v>
      </c>
      <c r="K263" s="46">
        <v>0</v>
      </c>
      <c r="L263">
        <v>2.1</v>
      </c>
      <c r="M263" t="s">
        <v>48</v>
      </c>
      <c r="N263" s="46">
        <v>0</v>
      </c>
      <c r="O263" s="46">
        <v>0</v>
      </c>
      <c r="P263" s="46">
        <v>0</v>
      </c>
      <c r="Q263" t="s">
        <v>48</v>
      </c>
      <c r="R263" t="s">
        <v>48</v>
      </c>
      <c r="S263" t="s">
        <v>48</v>
      </c>
      <c r="T263" t="s">
        <v>48</v>
      </c>
      <c r="U263" t="s">
        <v>48</v>
      </c>
      <c r="V263" s="47">
        <v>1</v>
      </c>
      <c r="W263" t="s">
        <v>48</v>
      </c>
      <c r="X263" t="s">
        <v>48</v>
      </c>
      <c r="Y263" t="s">
        <v>48</v>
      </c>
      <c r="Z263" t="s">
        <v>48</v>
      </c>
      <c r="AA263" t="s">
        <v>48</v>
      </c>
      <c r="AB263" t="s">
        <v>48</v>
      </c>
      <c r="AC263" t="s">
        <v>63</v>
      </c>
      <c r="AD263" t="s">
        <v>48</v>
      </c>
      <c r="AE263" t="s">
        <v>48</v>
      </c>
      <c r="AF263" t="s">
        <v>48</v>
      </c>
      <c r="AG263" t="s">
        <v>48</v>
      </c>
      <c r="AH263" t="s">
        <v>48</v>
      </c>
      <c r="AI263" t="s">
        <v>48</v>
      </c>
      <c r="AJ263" t="s">
        <v>48</v>
      </c>
      <c r="AK263" t="s">
        <v>48</v>
      </c>
      <c r="AL263" t="s">
        <v>48</v>
      </c>
      <c r="AM263" t="s">
        <v>48</v>
      </c>
      <c r="AN263" t="s">
        <v>48</v>
      </c>
      <c r="AO263" t="s">
        <v>48</v>
      </c>
      <c r="AP263" s="46">
        <v>0</v>
      </c>
      <c r="AQ263" s="46">
        <v>0</v>
      </c>
      <c r="AR263" s="46">
        <v>0</v>
      </c>
      <c r="AS263" s="46">
        <v>0</v>
      </c>
      <c r="AT263" s="46">
        <v>0</v>
      </c>
      <c r="AU263" s="46">
        <v>0</v>
      </c>
      <c r="AV263" s="46">
        <v>0</v>
      </c>
      <c r="AW263" s="46">
        <v>0</v>
      </c>
      <c r="AX263" s="46">
        <v>0</v>
      </c>
      <c r="AY263" s="46">
        <v>0</v>
      </c>
      <c r="AZ263" s="46">
        <v>0</v>
      </c>
      <c r="BA263" s="46">
        <v>0</v>
      </c>
      <c r="BB263" s="46">
        <v>0</v>
      </c>
      <c r="BC263" s="46">
        <v>0</v>
      </c>
      <c r="BD263" s="46">
        <v>0</v>
      </c>
      <c r="BE263" s="46">
        <v>0</v>
      </c>
      <c r="BF263" s="46">
        <v>0</v>
      </c>
      <c r="BG263" s="46" t="s">
        <v>48</v>
      </c>
      <c r="BH263" s="46">
        <v>0</v>
      </c>
      <c r="BI263" s="46">
        <v>0</v>
      </c>
      <c r="BJ263" s="46">
        <v>0</v>
      </c>
      <c r="BK263" s="46">
        <v>0</v>
      </c>
      <c r="BL263" s="46">
        <v>0</v>
      </c>
      <c r="BM263" s="46">
        <v>0</v>
      </c>
      <c r="BN263" s="46">
        <v>0</v>
      </c>
    </row>
    <row r="264" spans="1:66" x14ac:dyDescent="0.35">
      <c r="A264" t="s">
        <v>8386</v>
      </c>
      <c r="B264" t="s">
        <v>48</v>
      </c>
      <c r="C264" t="s">
        <v>555</v>
      </c>
      <c r="D264" t="s">
        <v>262</v>
      </c>
      <c r="E264" t="s">
        <v>8387</v>
      </c>
      <c r="F264" t="s">
        <v>5024</v>
      </c>
      <c r="G264" t="s">
        <v>47</v>
      </c>
      <c r="H264">
        <v>0</v>
      </c>
      <c r="I264" s="61">
        <v>44733</v>
      </c>
      <c r="J264" s="33" t="s">
        <v>96</v>
      </c>
      <c r="K264" s="46">
        <v>0</v>
      </c>
      <c r="L264">
        <v>1.5</v>
      </c>
      <c r="M264" t="s">
        <v>48</v>
      </c>
      <c r="N264" s="46">
        <v>0</v>
      </c>
      <c r="O264" s="46">
        <v>0</v>
      </c>
      <c r="P264" s="46">
        <v>0</v>
      </c>
      <c r="Q264" t="s">
        <v>48</v>
      </c>
      <c r="R264" t="s">
        <v>48</v>
      </c>
      <c r="S264" t="s">
        <v>10353</v>
      </c>
      <c r="T264" t="s">
        <v>48</v>
      </c>
      <c r="U264" t="s">
        <v>10353</v>
      </c>
      <c r="V264" s="47">
        <v>0</v>
      </c>
      <c r="W264" t="s">
        <v>48</v>
      </c>
      <c r="X264" t="s">
        <v>48</v>
      </c>
      <c r="Y264" t="s">
        <v>48</v>
      </c>
      <c r="Z264" t="s">
        <v>48</v>
      </c>
      <c r="AA264" t="s">
        <v>48</v>
      </c>
      <c r="AB264" t="s">
        <v>48</v>
      </c>
      <c r="AC264" t="s">
        <v>49</v>
      </c>
      <c r="AD264" t="s">
        <v>93</v>
      </c>
      <c r="AE264" t="s">
        <v>4532</v>
      </c>
      <c r="AF264" t="s">
        <v>48</v>
      </c>
      <c r="AG264" t="s">
        <v>48</v>
      </c>
      <c r="AH264" t="s">
        <v>48</v>
      </c>
      <c r="AI264" t="s">
        <v>48</v>
      </c>
      <c r="AJ264" t="s">
        <v>48</v>
      </c>
      <c r="AK264" t="s">
        <v>48</v>
      </c>
      <c r="AL264" t="s">
        <v>48</v>
      </c>
      <c r="AM264" t="s">
        <v>48</v>
      </c>
      <c r="AN264" t="s">
        <v>48</v>
      </c>
      <c r="AO264" t="s">
        <v>48</v>
      </c>
      <c r="AP264" s="46">
        <v>0</v>
      </c>
      <c r="AQ264" s="46">
        <v>0</v>
      </c>
      <c r="AR264" s="46">
        <v>0</v>
      </c>
      <c r="AS264" s="46">
        <v>0</v>
      </c>
      <c r="AT264" s="46">
        <v>0</v>
      </c>
      <c r="AU264" s="46">
        <v>0</v>
      </c>
      <c r="AV264" s="46">
        <v>0</v>
      </c>
      <c r="AW264" s="46">
        <v>0</v>
      </c>
      <c r="AX264" s="46">
        <v>0</v>
      </c>
      <c r="AY264" s="46">
        <v>0</v>
      </c>
      <c r="AZ264" s="46">
        <v>0</v>
      </c>
      <c r="BA264" s="46">
        <v>0</v>
      </c>
      <c r="BB264" s="46">
        <v>0</v>
      </c>
      <c r="BC264" s="46">
        <v>0</v>
      </c>
      <c r="BD264" s="46">
        <v>0</v>
      </c>
      <c r="BE264" s="46">
        <v>0</v>
      </c>
      <c r="BF264" s="46">
        <v>0</v>
      </c>
      <c r="BG264" s="46" t="s">
        <v>48</v>
      </c>
      <c r="BH264" s="46">
        <v>0</v>
      </c>
      <c r="BI264" s="46">
        <v>0</v>
      </c>
      <c r="BJ264" s="46">
        <v>0</v>
      </c>
      <c r="BK264" s="46">
        <v>0</v>
      </c>
      <c r="BL264" s="46">
        <v>0</v>
      </c>
      <c r="BM264" s="46">
        <v>0</v>
      </c>
      <c r="BN264" s="46">
        <v>0</v>
      </c>
    </row>
    <row r="265" spans="1:66" x14ac:dyDescent="0.35">
      <c r="A265" t="s">
        <v>5027</v>
      </c>
      <c r="B265" t="s">
        <v>48</v>
      </c>
      <c r="C265" t="s">
        <v>5029</v>
      </c>
      <c r="D265" t="s">
        <v>262</v>
      </c>
      <c r="E265" t="s">
        <v>5028</v>
      </c>
      <c r="F265" t="s">
        <v>5024</v>
      </c>
      <c r="G265" t="s">
        <v>47</v>
      </c>
      <c r="H265">
        <v>0</v>
      </c>
      <c r="I265" s="60" t="s">
        <v>177</v>
      </c>
      <c r="J265" s="33" t="s">
        <v>96</v>
      </c>
      <c r="K265" s="46">
        <v>0</v>
      </c>
      <c r="L265">
        <v>1.2</v>
      </c>
      <c r="M265" t="s">
        <v>48</v>
      </c>
      <c r="N265" s="46">
        <v>0</v>
      </c>
      <c r="O265" s="46">
        <v>0</v>
      </c>
      <c r="P265" s="46">
        <v>0</v>
      </c>
      <c r="Q265" t="s">
        <v>48</v>
      </c>
      <c r="R265" t="s">
        <v>48</v>
      </c>
      <c r="S265" t="s">
        <v>10354</v>
      </c>
      <c r="T265" t="s">
        <v>48</v>
      </c>
      <c r="U265" t="s">
        <v>10354</v>
      </c>
      <c r="V265" s="47">
        <v>0</v>
      </c>
      <c r="W265" t="s">
        <v>48</v>
      </c>
      <c r="X265" t="s">
        <v>48</v>
      </c>
      <c r="Y265" t="s">
        <v>48</v>
      </c>
      <c r="Z265">
        <v>0</v>
      </c>
      <c r="AA265" t="s">
        <v>48</v>
      </c>
      <c r="AB265" t="s">
        <v>48</v>
      </c>
      <c r="AC265" t="s">
        <v>49</v>
      </c>
      <c r="AD265" t="s">
        <v>93</v>
      </c>
      <c r="AE265" t="s">
        <v>4532</v>
      </c>
      <c r="AF265" t="s">
        <v>48</v>
      </c>
      <c r="AG265" t="s">
        <v>48</v>
      </c>
      <c r="AH265" t="s">
        <v>48</v>
      </c>
      <c r="AI265" t="s">
        <v>48</v>
      </c>
      <c r="AJ265" t="s">
        <v>48</v>
      </c>
      <c r="AK265" t="s">
        <v>48</v>
      </c>
      <c r="AL265" t="s">
        <v>48</v>
      </c>
      <c r="AM265" t="s">
        <v>48</v>
      </c>
      <c r="AN265" t="s">
        <v>48</v>
      </c>
      <c r="AO265" t="s">
        <v>48</v>
      </c>
      <c r="AP265" s="46">
        <v>0</v>
      </c>
      <c r="AQ265" s="46">
        <v>0</v>
      </c>
      <c r="AR265" s="46">
        <v>0</v>
      </c>
      <c r="AS265" s="46">
        <v>0</v>
      </c>
      <c r="AT265" s="46">
        <v>0</v>
      </c>
      <c r="AU265" s="46">
        <v>0</v>
      </c>
      <c r="AV265" s="46">
        <v>0</v>
      </c>
      <c r="AW265" s="46">
        <v>0</v>
      </c>
      <c r="AX265" s="46">
        <v>0</v>
      </c>
      <c r="AY265" s="46">
        <v>0</v>
      </c>
      <c r="AZ265" s="46">
        <v>0</v>
      </c>
      <c r="BA265" s="46">
        <v>0</v>
      </c>
      <c r="BB265" s="46">
        <v>0</v>
      </c>
      <c r="BC265" s="46">
        <v>0</v>
      </c>
      <c r="BD265" s="46">
        <v>0</v>
      </c>
      <c r="BE265" s="46">
        <v>0</v>
      </c>
      <c r="BF265" s="46">
        <v>0</v>
      </c>
      <c r="BG265" s="46" t="s">
        <v>48</v>
      </c>
      <c r="BH265" s="46">
        <v>0</v>
      </c>
      <c r="BI265" s="46">
        <v>0</v>
      </c>
      <c r="BJ265" s="46">
        <v>0</v>
      </c>
      <c r="BK265" s="46">
        <v>0</v>
      </c>
      <c r="BL265" s="46">
        <v>0</v>
      </c>
      <c r="BM265" s="46">
        <v>0</v>
      </c>
      <c r="BN265" s="46">
        <v>0</v>
      </c>
    </row>
    <row r="266" spans="1:66" x14ac:dyDescent="0.35">
      <c r="A266" t="s">
        <v>5334</v>
      </c>
      <c r="B266" s="44" t="s">
        <v>48</v>
      </c>
      <c r="C266" t="s">
        <v>5338</v>
      </c>
      <c r="D266" t="s">
        <v>761</v>
      </c>
      <c r="E266" t="s">
        <v>5336</v>
      </c>
      <c r="F266" t="s">
        <v>5335</v>
      </c>
      <c r="G266" t="s">
        <v>74</v>
      </c>
      <c r="H266">
        <v>0</v>
      </c>
      <c r="I266" s="60" t="s">
        <v>51</v>
      </c>
      <c r="J266" s="33" t="s">
        <v>96</v>
      </c>
      <c r="K266" s="46">
        <v>1</v>
      </c>
      <c r="L266" t="s">
        <v>48</v>
      </c>
      <c r="M266" t="s">
        <v>48</v>
      </c>
      <c r="N266" s="46">
        <v>0</v>
      </c>
      <c r="O266" s="46">
        <v>0</v>
      </c>
      <c r="P266" s="46">
        <v>0</v>
      </c>
      <c r="Q266" t="s">
        <v>48</v>
      </c>
      <c r="R266" t="s">
        <v>48</v>
      </c>
      <c r="S266" t="s">
        <v>48</v>
      </c>
      <c r="T266" t="s">
        <v>5337</v>
      </c>
      <c r="U266" t="s">
        <v>48</v>
      </c>
      <c r="V266" s="47">
        <v>0</v>
      </c>
      <c r="W266" t="s">
        <v>48</v>
      </c>
      <c r="X266" t="s">
        <v>48</v>
      </c>
      <c r="Y266" t="s">
        <v>48</v>
      </c>
      <c r="Z266">
        <v>0</v>
      </c>
      <c r="AA266" t="s">
        <v>48</v>
      </c>
      <c r="AB266" t="s">
        <v>48</v>
      </c>
      <c r="AC266" t="s">
        <v>63</v>
      </c>
      <c r="AD266" t="s">
        <v>93</v>
      </c>
      <c r="AE266" t="s">
        <v>4532</v>
      </c>
      <c r="AF266" t="s">
        <v>48</v>
      </c>
      <c r="AG266" t="s">
        <v>48</v>
      </c>
      <c r="AH266" t="s">
        <v>48</v>
      </c>
      <c r="AI266">
        <v>20735</v>
      </c>
      <c r="AJ266">
        <v>1966</v>
      </c>
      <c r="AK266" t="s">
        <v>8589</v>
      </c>
      <c r="AL266" t="s">
        <v>8590</v>
      </c>
      <c r="AM266">
        <v>-0.47099999999999997</v>
      </c>
      <c r="AN266">
        <v>-0.42499999999999999</v>
      </c>
      <c r="AO266">
        <v>-0.47099999999999997</v>
      </c>
      <c r="AP266" s="46">
        <v>0</v>
      </c>
      <c r="AQ266" s="46">
        <v>0</v>
      </c>
      <c r="AR266" s="46">
        <v>0</v>
      </c>
      <c r="AS266" s="46">
        <v>0</v>
      </c>
      <c r="AT266" s="46">
        <v>0</v>
      </c>
      <c r="AU266" s="46">
        <v>0</v>
      </c>
      <c r="AV266" s="46">
        <v>0</v>
      </c>
      <c r="AW266" s="46">
        <v>0</v>
      </c>
      <c r="AX266" s="46">
        <v>0</v>
      </c>
      <c r="AY266" s="46">
        <v>0</v>
      </c>
      <c r="AZ266" s="46">
        <v>0</v>
      </c>
      <c r="BA266" s="46">
        <v>0</v>
      </c>
      <c r="BB266" s="46">
        <v>0</v>
      </c>
      <c r="BC266" s="46">
        <v>0</v>
      </c>
      <c r="BD266" s="46">
        <v>0</v>
      </c>
      <c r="BE266" s="46">
        <v>0</v>
      </c>
      <c r="BF266" s="46">
        <v>0</v>
      </c>
      <c r="BG266" s="46" t="s">
        <v>48</v>
      </c>
      <c r="BH266" s="46">
        <v>0</v>
      </c>
      <c r="BI266" s="46">
        <v>0</v>
      </c>
      <c r="BJ266" s="46">
        <v>0</v>
      </c>
      <c r="BK266" s="46">
        <v>0</v>
      </c>
      <c r="BL266" s="46">
        <v>0</v>
      </c>
      <c r="BM266" s="46">
        <v>0</v>
      </c>
      <c r="BN266" s="46">
        <v>0</v>
      </c>
    </row>
    <row r="267" spans="1:66" x14ac:dyDescent="0.35">
      <c r="A267" t="s">
        <v>5514</v>
      </c>
      <c r="B267" s="44" t="s">
        <v>48</v>
      </c>
      <c r="C267" t="s">
        <v>211</v>
      </c>
      <c r="D267" t="s">
        <v>5518</v>
      </c>
      <c r="E267" t="s">
        <v>5516</v>
      </c>
      <c r="F267" t="s">
        <v>5515</v>
      </c>
      <c r="G267" t="s">
        <v>74</v>
      </c>
      <c r="H267">
        <v>0</v>
      </c>
      <c r="I267" s="60" t="s">
        <v>51</v>
      </c>
      <c r="J267" s="33" t="s">
        <v>96</v>
      </c>
      <c r="K267" s="46">
        <v>1</v>
      </c>
      <c r="L267" t="s">
        <v>48</v>
      </c>
      <c r="M267" t="s">
        <v>48</v>
      </c>
      <c r="N267" s="46">
        <v>0</v>
      </c>
      <c r="O267" s="46">
        <v>0</v>
      </c>
      <c r="P267" s="46">
        <v>0</v>
      </c>
      <c r="Q267" t="s">
        <v>48</v>
      </c>
      <c r="R267" t="s">
        <v>48</v>
      </c>
      <c r="S267" t="s">
        <v>48</v>
      </c>
      <c r="T267" t="s">
        <v>5517</v>
      </c>
      <c r="U267" t="s">
        <v>48</v>
      </c>
      <c r="V267" s="47">
        <v>0</v>
      </c>
      <c r="W267" t="s">
        <v>48</v>
      </c>
      <c r="X267" t="s">
        <v>48</v>
      </c>
      <c r="Y267" t="s">
        <v>48</v>
      </c>
      <c r="Z267">
        <v>0</v>
      </c>
      <c r="AA267" t="s">
        <v>48</v>
      </c>
      <c r="AB267" t="s">
        <v>48</v>
      </c>
      <c r="AC267" t="s">
        <v>49</v>
      </c>
      <c r="AD267" t="s">
        <v>93</v>
      </c>
      <c r="AE267" t="s">
        <v>4532</v>
      </c>
      <c r="AF267" t="s">
        <v>48</v>
      </c>
      <c r="AG267" t="s">
        <v>48</v>
      </c>
      <c r="AH267" t="s">
        <v>48</v>
      </c>
      <c r="AI267">
        <v>29389</v>
      </c>
      <c r="AJ267">
        <v>1952</v>
      </c>
      <c r="AK267" t="s">
        <v>8591</v>
      </c>
      <c r="AL267" t="s">
        <v>8592</v>
      </c>
      <c r="AM267">
        <v>-0.42799999999999999</v>
      </c>
      <c r="AN267">
        <v>-0.11</v>
      </c>
      <c r="AO267">
        <v>-0.42799999999999999</v>
      </c>
      <c r="AP267" s="46">
        <v>0</v>
      </c>
      <c r="AQ267" s="46">
        <v>0</v>
      </c>
      <c r="AR267" s="46">
        <v>0</v>
      </c>
      <c r="AS267" s="46">
        <v>0</v>
      </c>
      <c r="AT267" s="46">
        <v>0</v>
      </c>
      <c r="AU267" s="46">
        <v>0</v>
      </c>
      <c r="AV267" s="46">
        <v>0</v>
      </c>
      <c r="AW267" s="46">
        <v>0</v>
      </c>
      <c r="AX267" s="46">
        <v>0</v>
      </c>
      <c r="AY267" s="46">
        <v>0</v>
      </c>
      <c r="AZ267" s="46">
        <v>0</v>
      </c>
      <c r="BA267" s="46">
        <v>0</v>
      </c>
      <c r="BB267" s="46">
        <v>0</v>
      </c>
      <c r="BC267" s="46">
        <v>0</v>
      </c>
      <c r="BD267" s="46">
        <v>0</v>
      </c>
      <c r="BE267" s="46">
        <v>0</v>
      </c>
      <c r="BF267" s="46">
        <v>0</v>
      </c>
      <c r="BG267" s="46" t="s">
        <v>48</v>
      </c>
      <c r="BH267" s="46">
        <v>0</v>
      </c>
      <c r="BI267" s="46">
        <v>0</v>
      </c>
      <c r="BJ267" s="46">
        <v>0</v>
      </c>
      <c r="BK267" s="46">
        <v>0</v>
      </c>
      <c r="BL267" s="46">
        <v>0</v>
      </c>
      <c r="BM267" s="46">
        <v>0</v>
      </c>
      <c r="BN267" s="46">
        <v>0</v>
      </c>
    </row>
    <row r="268" spans="1:66" x14ac:dyDescent="0.35">
      <c r="A268" t="s">
        <v>5546</v>
      </c>
      <c r="B268" t="s">
        <v>48</v>
      </c>
      <c r="C268" t="s">
        <v>5550</v>
      </c>
      <c r="D268" t="s">
        <v>5549</v>
      </c>
      <c r="E268" t="s">
        <v>5547</v>
      </c>
      <c r="F268" t="s">
        <v>5519</v>
      </c>
      <c r="G268" t="s">
        <v>47</v>
      </c>
      <c r="H268">
        <v>0</v>
      </c>
      <c r="I268" s="60" t="s">
        <v>51</v>
      </c>
      <c r="J268" s="33" t="s">
        <v>96</v>
      </c>
      <c r="K268" s="46">
        <v>0</v>
      </c>
      <c r="L268">
        <v>6.6</v>
      </c>
      <c r="M268" t="s">
        <v>48</v>
      </c>
      <c r="N268" s="46">
        <v>0</v>
      </c>
      <c r="O268" s="46">
        <v>0</v>
      </c>
      <c r="P268" s="46">
        <v>0</v>
      </c>
      <c r="Q268" t="s">
        <v>48</v>
      </c>
      <c r="R268" t="s">
        <v>48</v>
      </c>
      <c r="S268" t="s">
        <v>5548</v>
      </c>
      <c r="T268" t="s">
        <v>48</v>
      </c>
      <c r="U268" t="s">
        <v>5548</v>
      </c>
      <c r="V268" s="47">
        <v>0</v>
      </c>
      <c r="W268" t="s">
        <v>48</v>
      </c>
      <c r="X268" t="s">
        <v>48</v>
      </c>
      <c r="Y268" t="s">
        <v>48</v>
      </c>
      <c r="Z268">
        <v>0</v>
      </c>
      <c r="AA268" t="s">
        <v>48</v>
      </c>
      <c r="AB268" t="s">
        <v>48</v>
      </c>
      <c r="AC268" t="s">
        <v>63</v>
      </c>
      <c r="AD268" t="s">
        <v>93</v>
      </c>
      <c r="AE268" t="s">
        <v>4532</v>
      </c>
      <c r="AF268" t="s">
        <v>48</v>
      </c>
      <c r="AG268" t="s">
        <v>48</v>
      </c>
      <c r="AH268" t="s">
        <v>48</v>
      </c>
      <c r="AI268" t="s">
        <v>48</v>
      </c>
      <c r="AJ268">
        <v>1966</v>
      </c>
      <c r="AK268" t="s">
        <v>48</v>
      </c>
      <c r="AL268" t="s">
        <v>48</v>
      </c>
      <c r="AM268" t="s">
        <v>48</v>
      </c>
      <c r="AN268" t="s">
        <v>48</v>
      </c>
      <c r="AO268" t="s">
        <v>48</v>
      </c>
      <c r="AP268" s="46">
        <v>0</v>
      </c>
      <c r="AQ268" s="46">
        <v>0</v>
      </c>
      <c r="AR268" s="46">
        <v>0</v>
      </c>
      <c r="AS268" s="46">
        <v>0</v>
      </c>
      <c r="AT268" s="46">
        <v>0</v>
      </c>
      <c r="AU268" s="46">
        <v>0</v>
      </c>
      <c r="AV268" s="46">
        <v>0</v>
      </c>
      <c r="AW268" s="46">
        <v>0</v>
      </c>
      <c r="AX268" s="46">
        <v>0</v>
      </c>
      <c r="AY268" s="46">
        <v>0</v>
      </c>
      <c r="AZ268" s="46">
        <v>0</v>
      </c>
      <c r="BA268" s="46">
        <v>0</v>
      </c>
      <c r="BB268" s="46">
        <v>0</v>
      </c>
      <c r="BC268" s="46">
        <v>0</v>
      </c>
      <c r="BD268" s="46">
        <v>0</v>
      </c>
      <c r="BE268" s="46">
        <v>0</v>
      </c>
      <c r="BF268" s="46">
        <v>0</v>
      </c>
      <c r="BG268" s="46" t="s">
        <v>48</v>
      </c>
      <c r="BH268" s="46">
        <v>0</v>
      </c>
      <c r="BI268" s="46">
        <v>0</v>
      </c>
      <c r="BJ268" s="46">
        <v>0</v>
      </c>
      <c r="BK268" s="46">
        <v>0</v>
      </c>
      <c r="BL268" s="46">
        <v>0</v>
      </c>
      <c r="BM268" s="46">
        <v>0</v>
      </c>
      <c r="BN268" s="46">
        <v>0</v>
      </c>
    </row>
    <row r="269" spans="1:66" x14ac:dyDescent="0.35">
      <c r="A269" t="s">
        <v>5534</v>
      </c>
      <c r="B269" t="s">
        <v>48</v>
      </c>
      <c r="C269" t="s">
        <v>5537</v>
      </c>
      <c r="D269" t="s">
        <v>316</v>
      </c>
      <c r="E269" t="s">
        <v>5535</v>
      </c>
      <c r="F269" t="s">
        <v>5519</v>
      </c>
      <c r="G269" t="s">
        <v>47</v>
      </c>
      <c r="H269">
        <v>0</v>
      </c>
      <c r="I269" s="60" t="s">
        <v>51</v>
      </c>
      <c r="J269" s="33" t="s">
        <v>96</v>
      </c>
      <c r="K269" s="46">
        <v>0</v>
      </c>
      <c r="L269">
        <v>24.3</v>
      </c>
      <c r="M269" t="s">
        <v>48</v>
      </c>
      <c r="N269" s="46">
        <v>0</v>
      </c>
      <c r="O269" s="46">
        <v>0</v>
      </c>
      <c r="P269" s="46">
        <v>0</v>
      </c>
      <c r="Q269" t="s">
        <v>48</v>
      </c>
      <c r="R269" t="s">
        <v>48</v>
      </c>
      <c r="S269" t="s">
        <v>5536</v>
      </c>
      <c r="T269" t="s">
        <v>48</v>
      </c>
      <c r="U269" t="s">
        <v>5536</v>
      </c>
      <c r="V269" s="47">
        <v>0</v>
      </c>
      <c r="W269" t="s">
        <v>11318</v>
      </c>
      <c r="X269" t="s">
        <v>48</v>
      </c>
      <c r="Y269" t="s">
        <v>48</v>
      </c>
      <c r="Z269">
        <v>0</v>
      </c>
      <c r="AA269" t="s">
        <v>48</v>
      </c>
      <c r="AB269" t="s">
        <v>48</v>
      </c>
      <c r="AC269" t="s">
        <v>49</v>
      </c>
      <c r="AD269" t="s">
        <v>93</v>
      </c>
      <c r="AE269" t="s">
        <v>4532</v>
      </c>
      <c r="AF269" t="s">
        <v>48</v>
      </c>
      <c r="AG269" t="s">
        <v>48</v>
      </c>
      <c r="AH269" t="s">
        <v>48</v>
      </c>
      <c r="AI269" t="s">
        <v>48</v>
      </c>
      <c r="AJ269">
        <v>1977</v>
      </c>
      <c r="AK269" t="s">
        <v>48</v>
      </c>
      <c r="AL269" t="s">
        <v>48</v>
      </c>
      <c r="AM269" t="s">
        <v>48</v>
      </c>
      <c r="AN269" t="s">
        <v>48</v>
      </c>
      <c r="AO269" t="s">
        <v>48</v>
      </c>
      <c r="AP269" s="46">
        <v>0</v>
      </c>
      <c r="AQ269" s="46">
        <v>0</v>
      </c>
      <c r="AR269" s="46">
        <v>0</v>
      </c>
      <c r="AS269" s="46">
        <v>0</v>
      </c>
      <c r="AT269" s="46">
        <v>0</v>
      </c>
      <c r="AU269" s="46">
        <v>0</v>
      </c>
      <c r="AV269" s="46">
        <v>0</v>
      </c>
      <c r="AW269" s="46">
        <v>0</v>
      </c>
      <c r="AX269" s="46">
        <v>0</v>
      </c>
      <c r="AY269" s="46">
        <v>0</v>
      </c>
      <c r="AZ269" s="46">
        <v>0</v>
      </c>
      <c r="BA269" s="46">
        <v>0</v>
      </c>
      <c r="BB269" s="46">
        <v>0</v>
      </c>
      <c r="BC269" s="46">
        <v>0</v>
      </c>
      <c r="BD269" s="46">
        <v>0</v>
      </c>
      <c r="BE269" s="46">
        <v>0</v>
      </c>
      <c r="BF269" s="46">
        <v>0</v>
      </c>
      <c r="BG269" s="46" t="s">
        <v>48</v>
      </c>
      <c r="BH269" s="46">
        <v>0</v>
      </c>
      <c r="BI269" s="46">
        <v>0</v>
      </c>
      <c r="BJ269" s="46">
        <v>0</v>
      </c>
      <c r="BK269" s="46">
        <v>0</v>
      </c>
      <c r="BL269" s="46">
        <v>0</v>
      </c>
      <c r="BM269" s="46">
        <v>0</v>
      </c>
      <c r="BN269" s="46">
        <v>0</v>
      </c>
    </row>
    <row r="270" spans="1:66" x14ac:dyDescent="0.35">
      <c r="A270" t="s">
        <v>5541</v>
      </c>
      <c r="B270" t="s">
        <v>48</v>
      </c>
      <c r="C270" t="s">
        <v>5544</v>
      </c>
      <c r="D270" t="s">
        <v>655</v>
      </c>
      <c r="E270" t="s">
        <v>5542</v>
      </c>
      <c r="F270" t="s">
        <v>5519</v>
      </c>
      <c r="G270" t="s">
        <v>47</v>
      </c>
      <c r="H270">
        <v>0</v>
      </c>
      <c r="I270" s="60" t="s">
        <v>177</v>
      </c>
      <c r="J270" s="33" t="s">
        <v>96</v>
      </c>
      <c r="K270" s="46">
        <v>0</v>
      </c>
      <c r="L270">
        <v>2.6</v>
      </c>
      <c r="M270" t="s">
        <v>48</v>
      </c>
      <c r="N270" s="46">
        <v>0</v>
      </c>
      <c r="O270" s="46">
        <v>0</v>
      </c>
      <c r="P270" s="46">
        <v>0</v>
      </c>
      <c r="Q270" t="s">
        <v>48</v>
      </c>
      <c r="R270" t="s">
        <v>48</v>
      </c>
      <c r="S270" t="s">
        <v>5543</v>
      </c>
      <c r="T270" t="s">
        <v>48</v>
      </c>
      <c r="U270" t="s">
        <v>5543</v>
      </c>
      <c r="V270" s="47">
        <v>0</v>
      </c>
      <c r="W270" t="s">
        <v>48</v>
      </c>
      <c r="X270" t="s">
        <v>48</v>
      </c>
      <c r="Y270" t="s">
        <v>48</v>
      </c>
      <c r="Z270">
        <v>0</v>
      </c>
      <c r="AA270" t="s">
        <v>48</v>
      </c>
      <c r="AB270" t="s">
        <v>48</v>
      </c>
      <c r="AC270" t="s">
        <v>49</v>
      </c>
      <c r="AD270" t="s">
        <v>93</v>
      </c>
      <c r="AE270" t="s">
        <v>4532</v>
      </c>
      <c r="AF270" t="s">
        <v>48</v>
      </c>
      <c r="AG270" t="s">
        <v>988</v>
      </c>
      <c r="AH270" t="s">
        <v>48</v>
      </c>
      <c r="AI270" t="s">
        <v>48</v>
      </c>
      <c r="AJ270" t="s">
        <v>48</v>
      </c>
      <c r="AK270" t="s">
        <v>48</v>
      </c>
      <c r="AL270" t="s">
        <v>48</v>
      </c>
      <c r="AM270" t="s">
        <v>48</v>
      </c>
      <c r="AN270" t="s">
        <v>48</v>
      </c>
      <c r="AO270" t="s">
        <v>48</v>
      </c>
      <c r="AP270" s="46">
        <v>0</v>
      </c>
      <c r="AQ270" s="46">
        <v>0</v>
      </c>
      <c r="AR270" s="46">
        <v>0</v>
      </c>
      <c r="AS270" s="46">
        <v>0</v>
      </c>
      <c r="AT270" s="46">
        <v>0</v>
      </c>
      <c r="AU270" s="46">
        <v>0</v>
      </c>
      <c r="AV270" s="46">
        <v>0</v>
      </c>
      <c r="AW270" s="46">
        <v>0</v>
      </c>
      <c r="AX270" s="46">
        <v>0</v>
      </c>
      <c r="AY270" s="46">
        <v>0</v>
      </c>
      <c r="AZ270" s="46">
        <v>0</v>
      </c>
      <c r="BA270" s="46">
        <v>0</v>
      </c>
      <c r="BB270" s="46">
        <v>0</v>
      </c>
      <c r="BC270" s="46">
        <v>0</v>
      </c>
      <c r="BD270" s="46">
        <v>0</v>
      </c>
      <c r="BE270" s="46">
        <v>0</v>
      </c>
      <c r="BF270" s="46">
        <v>0</v>
      </c>
      <c r="BG270" s="46" t="s">
        <v>48</v>
      </c>
      <c r="BH270" s="46">
        <v>0</v>
      </c>
      <c r="BI270" s="46">
        <v>0</v>
      </c>
      <c r="BJ270" s="46">
        <v>0</v>
      </c>
      <c r="BK270" s="46">
        <v>0</v>
      </c>
      <c r="BL270" s="46">
        <v>0</v>
      </c>
      <c r="BM270" s="46">
        <v>0</v>
      </c>
      <c r="BN270" s="46">
        <v>0</v>
      </c>
    </row>
    <row r="271" spans="1:66" x14ac:dyDescent="0.35">
      <c r="A271" t="s">
        <v>5520</v>
      </c>
      <c r="B271" t="s">
        <v>48</v>
      </c>
      <c r="C271" t="s">
        <v>5523</v>
      </c>
      <c r="D271" t="s">
        <v>1193</v>
      </c>
      <c r="E271" t="s">
        <v>5521</v>
      </c>
      <c r="F271" t="s">
        <v>5519</v>
      </c>
      <c r="G271" t="s">
        <v>47</v>
      </c>
      <c r="H271">
        <v>0</v>
      </c>
      <c r="I271" s="60" t="s">
        <v>177</v>
      </c>
      <c r="J271" s="33" t="s">
        <v>96</v>
      </c>
      <c r="K271" s="46">
        <v>0</v>
      </c>
      <c r="L271">
        <v>21.9</v>
      </c>
      <c r="M271" t="s">
        <v>48</v>
      </c>
      <c r="N271" s="46">
        <v>0</v>
      </c>
      <c r="O271" s="46">
        <v>0</v>
      </c>
      <c r="P271" s="46">
        <v>0</v>
      </c>
      <c r="Q271" t="s">
        <v>48</v>
      </c>
      <c r="R271" t="s">
        <v>48</v>
      </c>
      <c r="S271" t="s">
        <v>5522</v>
      </c>
      <c r="T271" t="s">
        <v>48</v>
      </c>
      <c r="U271" t="s">
        <v>5522</v>
      </c>
      <c r="V271" s="47">
        <v>0</v>
      </c>
      <c r="W271" t="s">
        <v>48</v>
      </c>
      <c r="X271" t="s">
        <v>48</v>
      </c>
      <c r="Y271" t="s">
        <v>48</v>
      </c>
      <c r="Z271">
        <v>0</v>
      </c>
      <c r="AA271" t="s">
        <v>48</v>
      </c>
      <c r="AB271" t="s">
        <v>48</v>
      </c>
      <c r="AC271" t="s">
        <v>49</v>
      </c>
      <c r="AD271" t="s">
        <v>93</v>
      </c>
      <c r="AE271" t="s">
        <v>4532</v>
      </c>
      <c r="AF271" t="s">
        <v>48</v>
      </c>
      <c r="AG271" t="s">
        <v>48</v>
      </c>
      <c r="AH271" t="s">
        <v>48</v>
      </c>
      <c r="AI271" t="s">
        <v>48</v>
      </c>
      <c r="AJ271" t="s">
        <v>48</v>
      </c>
      <c r="AK271" t="s">
        <v>48</v>
      </c>
      <c r="AL271" t="s">
        <v>48</v>
      </c>
      <c r="AM271" t="s">
        <v>48</v>
      </c>
      <c r="AN271" t="s">
        <v>48</v>
      </c>
      <c r="AO271" t="s">
        <v>48</v>
      </c>
      <c r="AP271" s="46">
        <v>0</v>
      </c>
      <c r="AQ271" s="46">
        <v>0</v>
      </c>
      <c r="AR271" s="46">
        <v>0</v>
      </c>
      <c r="AS271" s="46">
        <v>0</v>
      </c>
      <c r="AT271" s="46">
        <v>0</v>
      </c>
      <c r="AU271" s="46">
        <v>0</v>
      </c>
      <c r="AV271" s="46">
        <v>0</v>
      </c>
      <c r="AW271" s="46">
        <v>0</v>
      </c>
      <c r="AX271" s="46">
        <v>0</v>
      </c>
      <c r="AY271" s="46">
        <v>0</v>
      </c>
      <c r="AZ271" s="46">
        <v>0</v>
      </c>
      <c r="BA271" s="46">
        <v>0</v>
      </c>
      <c r="BB271" s="46">
        <v>0</v>
      </c>
      <c r="BC271" s="46">
        <v>0</v>
      </c>
      <c r="BD271" s="46">
        <v>0</v>
      </c>
      <c r="BE271" s="46">
        <v>0</v>
      </c>
      <c r="BF271" s="46">
        <v>0</v>
      </c>
      <c r="BG271" s="46" t="s">
        <v>48</v>
      </c>
      <c r="BH271" s="46">
        <v>0</v>
      </c>
      <c r="BI271" s="46">
        <v>0</v>
      </c>
      <c r="BJ271" s="46">
        <v>0</v>
      </c>
      <c r="BK271" s="46">
        <v>0</v>
      </c>
      <c r="BL271" s="46">
        <v>0</v>
      </c>
      <c r="BM271" s="46">
        <v>0</v>
      </c>
      <c r="BN271" s="46">
        <v>0</v>
      </c>
    </row>
    <row r="272" spans="1:66" x14ac:dyDescent="0.35">
      <c r="A272" t="s">
        <v>5524</v>
      </c>
      <c r="B272" t="s">
        <v>48</v>
      </c>
      <c r="C272" t="s">
        <v>254</v>
      </c>
      <c r="D272" t="s">
        <v>288</v>
      </c>
      <c r="E272" t="s">
        <v>5525</v>
      </c>
      <c r="F272" t="s">
        <v>5519</v>
      </c>
      <c r="G272" t="s">
        <v>47</v>
      </c>
      <c r="H272">
        <v>0</v>
      </c>
      <c r="I272" s="60" t="s">
        <v>51</v>
      </c>
      <c r="J272" s="33" t="s">
        <v>96</v>
      </c>
      <c r="K272" s="46">
        <v>0</v>
      </c>
      <c r="L272">
        <v>12</v>
      </c>
      <c r="M272" t="s">
        <v>48</v>
      </c>
      <c r="N272" s="46">
        <v>0</v>
      </c>
      <c r="O272" s="46">
        <v>0</v>
      </c>
      <c r="P272" s="46">
        <v>0</v>
      </c>
      <c r="Q272" t="s">
        <v>48</v>
      </c>
      <c r="R272" t="s">
        <v>48</v>
      </c>
      <c r="S272" t="s">
        <v>5526</v>
      </c>
      <c r="T272" t="s">
        <v>48</v>
      </c>
      <c r="U272" t="s">
        <v>5526</v>
      </c>
      <c r="V272" s="47">
        <v>0</v>
      </c>
      <c r="W272" t="s">
        <v>48</v>
      </c>
      <c r="X272" t="s">
        <v>48</v>
      </c>
      <c r="Y272" t="s">
        <v>48</v>
      </c>
      <c r="Z272">
        <v>0</v>
      </c>
      <c r="AA272" t="s">
        <v>48</v>
      </c>
      <c r="AB272" t="s">
        <v>48</v>
      </c>
      <c r="AC272" t="s">
        <v>49</v>
      </c>
      <c r="AD272" t="s">
        <v>93</v>
      </c>
      <c r="AE272" t="s">
        <v>4532</v>
      </c>
      <c r="AF272" t="s">
        <v>48</v>
      </c>
      <c r="AG272" t="s">
        <v>48</v>
      </c>
      <c r="AH272" t="s">
        <v>48</v>
      </c>
      <c r="AI272" t="s">
        <v>48</v>
      </c>
      <c r="AJ272" t="s">
        <v>48</v>
      </c>
      <c r="AK272" t="s">
        <v>48</v>
      </c>
      <c r="AL272" t="s">
        <v>48</v>
      </c>
      <c r="AM272" t="s">
        <v>48</v>
      </c>
      <c r="AN272" t="s">
        <v>48</v>
      </c>
      <c r="AO272" t="s">
        <v>48</v>
      </c>
      <c r="AP272" s="46">
        <v>0</v>
      </c>
      <c r="AQ272" s="46">
        <v>0</v>
      </c>
      <c r="AR272" s="46">
        <v>0</v>
      </c>
      <c r="AS272" s="46">
        <v>0</v>
      </c>
      <c r="AT272" s="46">
        <v>0</v>
      </c>
      <c r="AU272" s="46">
        <v>0</v>
      </c>
      <c r="AV272" s="46">
        <v>0</v>
      </c>
      <c r="AW272" s="46">
        <v>0</v>
      </c>
      <c r="AX272" s="46">
        <v>0</v>
      </c>
      <c r="AY272" s="46">
        <v>0</v>
      </c>
      <c r="AZ272" s="46">
        <v>0</v>
      </c>
      <c r="BA272" s="46">
        <v>0</v>
      </c>
      <c r="BB272" s="46">
        <v>0</v>
      </c>
      <c r="BC272" s="46">
        <v>0</v>
      </c>
      <c r="BD272" s="46">
        <v>0</v>
      </c>
      <c r="BE272" s="46">
        <v>0</v>
      </c>
      <c r="BF272" s="46">
        <v>0</v>
      </c>
      <c r="BG272" s="46" t="s">
        <v>48</v>
      </c>
      <c r="BH272" s="46">
        <v>0</v>
      </c>
      <c r="BI272" s="46">
        <v>0</v>
      </c>
      <c r="BJ272" s="46">
        <v>0</v>
      </c>
      <c r="BK272" s="46">
        <v>0</v>
      </c>
      <c r="BL272" s="46">
        <v>0</v>
      </c>
      <c r="BM272" s="46">
        <v>0</v>
      </c>
      <c r="BN272" s="46">
        <v>0</v>
      </c>
    </row>
    <row r="273" spans="1:66" x14ac:dyDescent="0.35">
      <c r="A273" t="s">
        <v>5527</v>
      </c>
      <c r="B273" s="44" t="s">
        <v>48</v>
      </c>
      <c r="C273" t="s">
        <v>4450</v>
      </c>
      <c r="D273" t="s">
        <v>613</v>
      </c>
      <c r="E273" t="s">
        <v>5528</v>
      </c>
      <c r="F273" t="s">
        <v>5519</v>
      </c>
      <c r="G273" t="s">
        <v>74</v>
      </c>
      <c r="H273">
        <v>0</v>
      </c>
      <c r="I273" s="60" t="s">
        <v>177</v>
      </c>
      <c r="J273" s="33" t="s">
        <v>96</v>
      </c>
      <c r="K273" s="46">
        <v>0</v>
      </c>
      <c r="L273">
        <v>15.7</v>
      </c>
      <c r="M273" t="s">
        <v>48</v>
      </c>
      <c r="N273" s="46">
        <v>0</v>
      </c>
      <c r="O273" s="46">
        <v>0</v>
      </c>
      <c r="P273" s="46">
        <v>0</v>
      </c>
      <c r="Q273" t="s">
        <v>48</v>
      </c>
      <c r="R273" t="s">
        <v>48</v>
      </c>
      <c r="S273" t="s">
        <v>5529</v>
      </c>
      <c r="T273" t="s">
        <v>48</v>
      </c>
      <c r="U273" t="s">
        <v>5529</v>
      </c>
      <c r="V273" s="47">
        <v>0</v>
      </c>
      <c r="W273" t="s">
        <v>48</v>
      </c>
      <c r="X273" t="s">
        <v>48</v>
      </c>
      <c r="Y273" t="s">
        <v>48</v>
      </c>
      <c r="Z273">
        <v>0</v>
      </c>
      <c r="AA273" t="s">
        <v>48</v>
      </c>
      <c r="AB273" t="s">
        <v>48</v>
      </c>
      <c r="AC273" t="s">
        <v>63</v>
      </c>
      <c r="AD273" t="s">
        <v>93</v>
      </c>
      <c r="AE273" s="40" t="s">
        <v>2471</v>
      </c>
      <c r="AF273" t="s">
        <v>11061</v>
      </c>
      <c r="AG273" t="s">
        <v>48</v>
      </c>
      <c r="AH273" t="s">
        <v>48</v>
      </c>
      <c r="AI273" t="s">
        <v>48</v>
      </c>
      <c r="AJ273" t="s">
        <v>48</v>
      </c>
      <c r="AK273" t="s">
        <v>48</v>
      </c>
      <c r="AL273" t="s">
        <v>48</v>
      </c>
      <c r="AM273" t="s">
        <v>48</v>
      </c>
      <c r="AN273" t="s">
        <v>48</v>
      </c>
      <c r="AO273" t="s">
        <v>48</v>
      </c>
      <c r="AP273" s="46">
        <v>0</v>
      </c>
      <c r="AQ273" s="46">
        <v>1</v>
      </c>
      <c r="AR273" s="46">
        <v>0</v>
      </c>
      <c r="AS273" s="46">
        <v>1</v>
      </c>
      <c r="AT273" s="46">
        <v>0</v>
      </c>
      <c r="AU273" s="46">
        <v>0</v>
      </c>
      <c r="AV273" s="46">
        <v>0</v>
      </c>
      <c r="AW273" s="46">
        <v>0</v>
      </c>
      <c r="AX273" s="46">
        <v>0</v>
      </c>
      <c r="AY273" s="46">
        <v>0</v>
      </c>
      <c r="AZ273" s="46">
        <v>0</v>
      </c>
      <c r="BA273" s="46">
        <v>0</v>
      </c>
      <c r="BB273" s="46">
        <v>0</v>
      </c>
      <c r="BC273" s="46">
        <v>0</v>
      </c>
      <c r="BD273" s="46">
        <v>0</v>
      </c>
      <c r="BE273" s="46">
        <v>0</v>
      </c>
      <c r="BF273" s="46">
        <v>0</v>
      </c>
      <c r="BG273" s="46" t="s">
        <v>48</v>
      </c>
      <c r="BH273" s="46">
        <v>0</v>
      </c>
      <c r="BI273" s="46">
        <v>0</v>
      </c>
      <c r="BJ273" s="46">
        <v>0</v>
      </c>
      <c r="BK273" s="46">
        <v>1</v>
      </c>
      <c r="BL273" s="46">
        <v>0</v>
      </c>
      <c r="BM273" s="46">
        <v>0</v>
      </c>
      <c r="BN273" s="46">
        <v>0</v>
      </c>
    </row>
    <row r="274" spans="1:66" x14ac:dyDescent="0.35">
      <c r="A274" t="s">
        <v>5539</v>
      </c>
      <c r="B274" t="s">
        <v>48</v>
      </c>
      <c r="C274" t="s">
        <v>389</v>
      </c>
      <c r="D274" t="s">
        <v>561</v>
      </c>
      <c r="E274" t="s">
        <v>5540</v>
      </c>
      <c r="F274" t="s">
        <v>5519</v>
      </c>
      <c r="G274" t="s">
        <v>47</v>
      </c>
      <c r="H274">
        <v>0</v>
      </c>
      <c r="I274" s="60" t="s">
        <v>177</v>
      </c>
      <c r="J274" s="33" t="s">
        <v>96</v>
      </c>
      <c r="K274" s="46">
        <v>0</v>
      </c>
      <c r="L274">
        <v>1.4</v>
      </c>
      <c r="M274" t="s">
        <v>48</v>
      </c>
      <c r="N274" s="46">
        <v>0</v>
      </c>
      <c r="O274" s="46">
        <v>0</v>
      </c>
      <c r="P274" s="46">
        <v>0</v>
      </c>
      <c r="Q274" t="s">
        <v>48</v>
      </c>
      <c r="R274" t="s">
        <v>48</v>
      </c>
      <c r="S274" t="s">
        <v>48</v>
      </c>
      <c r="T274" t="s">
        <v>48</v>
      </c>
      <c r="U274" t="s">
        <v>48</v>
      </c>
      <c r="V274" s="47">
        <v>0</v>
      </c>
      <c r="W274" t="s">
        <v>48</v>
      </c>
      <c r="X274" t="s">
        <v>48</v>
      </c>
      <c r="Y274" t="s">
        <v>48</v>
      </c>
      <c r="Z274">
        <v>0</v>
      </c>
      <c r="AA274" t="s">
        <v>48</v>
      </c>
      <c r="AB274" t="s">
        <v>48</v>
      </c>
      <c r="AC274" t="s">
        <v>49</v>
      </c>
      <c r="AD274" t="s">
        <v>93</v>
      </c>
      <c r="AE274" t="s">
        <v>977</v>
      </c>
      <c r="AF274" t="s">
        <v>11053</v>
      </c>
      <c r="AG274" t="s">
        <v>48</v>
      </c>
      <c r="AH274" t="s">
        <v>48</v>
      </c>
      <c r="AI274" t="s">
        <v>48</v>
      </c>
      <c r="AJ274" t="s">
        <v>48</v>
      </c>
      <c r="AK274" t="s">
        <v>48</v>
      </c>
      <c r="AL274" t="s">
        <v>48</v>
      </c>
      <c r="AM274" t="s">
        <v>48</v>
      </c>
      <c r="AN274" t="s">
        <v>48</v>
      </c>
      <c r="AO274" t="s">
        <v>48</v>
      </c>
      <c r="AP274" s="46">
        <v>0</v>
      </c>
      <c r="AQ274" s="46">
        <v>0</v>
      </c>
      <c r="AR274" s="46">
        <v>0</v>
      </c>
      <c r="AS274" s="46">
        <v>0</v>
      </c>
      <c r="AT274" s="46">
        <v>0</v>
      </c>
      <c r="AU274" s="46">
        <v>0</v>
      </c>
      <c r="AV274" s="46">
        <v>0</v>
      </c>
      <c r="AW274" s="46">
        <v>0</v>
      </c>
      <c r="AX274" s="46">
        <v>0</v>
      </c>
      <c r="AY274" s="46">
        <v>0</v>
      </c>
      <c r="AZ274" s="46">
        <v>0</v>
      </c>
      <c r="BA274" s="46">
        <v>0</v>
      </c>
      <c r="BB274" s="46">
        <v>0</v>
      </c>
      <c r="BC274" s="46">
        <v>0</v>
      </c>
      <c r="BD274" s="46">
        <v>0</v>
      </c>
      <c r="BE274" s="46">
        <v>0</v>
      </c>
      <c r="BF274" s="46">
        <v>0</v>
      </c>
      <c r="BG274" s="46" t="s">
        <v>48</v>
      </c>
      <c r="BH274" s="46">
        <v>0</v>
      </c>
      <c r="BI274" s="46">
        <v>0</v>
      </c>
      <c r="BJ274" s="46">
        <v>0</v>
      </c>
      <c r="BK274" s="46">
        <v>0</v>
      </c>
      <c r="BL274" s="46">
        <v>0</v>
      </c>
      <c r="BM274" s="46">
        <v>0</v>
      </c>
      <c r="BN274" s="46">
        <v>0</v>
      </c>
    </row>
    <row r="275" spans="1:66" x14ac:dyDescent="0.35">
      <c r="A275" t="s">
        <v>5530</v>
      </c>
      <c r="B275" s="44" t="s">
        <v>48</v>
      </c>
      <c r="C275" t="s">
        <v>718</v>
      </c>
      <c r="D275" t="s">
        <v>5533</v>
      </c>
      <c r="E275" t="s">
        <v>5531</v>
      </c>
      <c r="F275" t="s">
        <v>5519</v>
      </c>
      <c r="G275" t="s">
        <v>74</v>
      </c>
      <c r="H275">
        <v>0</v>
      </c>
      <c r="I275" s="60" t="s">
        <v>125</v>
      </c>
      <c r="J275" s="33" t="s">
        <v>96</v>
      </c>
      <c r="K275" s="46">
        <v>0</v>
      </c>
      <c r="L275">
        <v>11.1</v>
      </c>
      <c r="M275" t="s">
        <v>48</v>
      </c>
      <c r="N275" s="46">
        <v>0</v>
      </c>
      <c r="O275" s="46">
        <v>0</v>
      </c>
      <c r="P275" s="46">
        <v>0</v>
      </c>
      <c r="Q275" t="s">
        <v>48</v>
      </c>
      <c r="R275" t="s">
        <v>48</v>
      </c>
      <c r="S275" t="s">
        <v>5532</v>
      </c>
      <c r="T275" t="s">
        <v>48</v>
      </c>
      <c r="U275" t="s">
        <v>5532</v>
      </c>
      <c r="V275" s="47">
        <v>0</v>
      </c>
      <c r="W275" t="s">
        <v>48</v>
      </c>
      <c r="X275" t="s">
        <v>48</v>
      </c>
      <c r="Y275" t="s">
        <v>48</v>
      </c>
      <c r="Z275">
        <v>0</v>
      </c>
      <c r="AA275" t="s">
        <v>48</v>
      </c>
      <c r="AB275" t="s">
        <v>48</v>
      </c>
      <c r="AC275" t="s">
        <v>63</v>
      </c>
      <c r="AD275" t="s">
        <v>93</v>
      </c>
      <c r="AE275" s="40" t="s">
        <v>2471</v>
      </c>
      <c r="AF275" t="s">
        <v>11061</v>
      </c>
      <c r="AG275" t="s">
        <v>48</v>
      </c>
      <c r="AH275" t="s">
        <v>48</v>
      </c>
      <c r="AI275" t="s">
        <v>48</v>
      </c>
      <c r="AJ275" t="s">
        <v>48</v>
      </c>
      <c r="AK275" t="s">
        <v>48</v>
      </c>
      <c r="AL275" t="s">
        <v>48</v>
      </c>
      <c r="AM275" t="s">
        <v>48</v>
      </c>
      <c r="AN275" t="s">
        <v>48</v>
      </c>
      <c r="AO275" t="s">
        <v>48</v>
      </c>
      <c r="AP275" s="46">
        <v>0</v>
      </c>
      <c r="AQ275" s="46">
        <v>0</v>
      </c>
      <c r="AR275" s="46">
        <v>0</v>
      </c>
      <c r="AS275" s="46">
        <v>0</v>
      </c>
      <c r="AT275" s="46">
        <v>0</v>
      </c>
      <c r="AU275" s="46">
        <v>0</v>
      </c>
      <c r="AV275" s="46">
        <v>0</v>
      </c>
      <c r="AW275" s="46">
        <v>0</v>
      </c>
      <c r="AX275" s="46">
        <v>0</v>
      </c>
      <c r="AY275" s="46">
        <v>0</v>
      </c>
      <c r="AZ275" s="46">
        <v>0</v>
      </c>
      <c r="BA275" s="46">
        <v>0</v>
      </c>
      <c r="BB275" s="46">
        <v>0</v>
      </c>
      <c r="BC275" s="46">
        <v>0</v>
      </c>
      <c r="BD275" s="46">
        <v>0</v>
      </c>
      <c r="BE275" s="46">
        <v>0</v>
      </c>
      <c r="BF275" s="46">
        <v>0</v>
      </c>
      <c r="BG275" s="46" t="s">
        <v>48</v>
      </c>
      <c r="BH275" s="46">
        <v>0</v>
      </c>
      <c r="BI275" s="46">
        <v>0</v>
      </c>
      <c r="BJ275" s="46">
        <v>0</v>
      </c>
      <c r="BK275" s="46">
        <v>0</v>
      </c>
      <c r="BL275" s="46">
        <v>0</v>
      </c>
      <c r="BM275" s="46">
        <v>0</v>
      </c>
      <c r="BN275" s="46">
        <v>0</v>
      </c>
    </row>
    <row r="276" spans="1:66" x14ac:dyDescent="0.35">
      <c r="A276" t="s">
        <v>11025</v>
      </c>
      <c r="B276" t="s">
        <v>48</v>
      </c>
      <c r="C276" t="s">
        <v>12269</v>
      </c>
      <c r="D276" t="s">
        <v>335</v>
      </c>
      <c r="E276" t="s">
        <v>11026</v>
      </c>
      <c r="F276" t="s">
        <v>5590</v>
      </c>
      <c r="G276" t="s">
        <v>47</v>
      </c>
      <c r="H276">
        <v>0</v>
      </c>
      <c r="I276" s="60" t="s">
        <v>11552</v>
      </c>
      <c r="J276" s="33" t="s">
        <v>96</v>
      </c>
      <c r="K276" s="46">
        <v>0</v>
      </c>
      <c r="L276">
        <v>0.5</v>
      </c>
      <c r="M276" t="s">
        <v>48</v>
      </c>
      <c r="N276" s="46">
        <v>0</v>
      </c>
      <c r="O276" s="46">
        <v>0</v>
      </c>
      <c r="P276" s="46">
        <v>0</v>
      </c>
      <c r="Q276" t="s">
        <v>48</v>
      </c>
      <c r="R276" t="s">
        <v>48</v>
      </c>
      <c r="S276" t="s">
        <v>11536</v>
      </c>
      <c r="T276" t="s">
        <v>48</v>
      </c>
      <c r="U276" t="s">
        <v>11027</v>
      </c>
      <c r="V276" s="47">
        <v>0</v>
      </c>
      <c r="W276" t="s">
        <v>48</v>
      </c>
      <c r="X276" t="s">
        <v>48</v>
      </c>
      <c r="Y276" t="s">
        <v>48</v>
      </c>
      <c r="Z276" t="s">
        <v>48</v>
      </c>
      <c r="AA276" t="s">
        <v>48</v>
      </c>
      <c r="AB276" t="s">
        <v>48</v>
      </c>
      <c r="AC276" t="s">
        <v>49</v>
      </c>
      <c r="AD276" t="s">
        <v>93</v>
      </c>
      <c r="AE276" t="s">
        <v>4532</v>
      </c>
      <c r="AF276" t="s">
        <v>48</v>
      </c>
      <c r="AG276" t="s">
        <v>48</v>
      </c>
      <c r="AH276" t="s">
        <v>48</v>
      </c>
      <c r="AI276" t="s">
        <v>48</v>
      </c>
      <c r="AJ276" t="s">
        <v>48</v>
      </c>
      <c r="AK276" t="s">
        <v>48</v>
      </c>
      <c r="AL276" t="s">
        <v>48</v>
      </c>
      <c r="AM276" t="s">
        <v>48</v>
      </c>
      <c r="AN276" t="s">
        <v>48</v>
      </c>
      <c r="AO276" t="s">
        <v>48</v>
      </c>
      <c r="AP276" s="46">
        <v>0</v>
      </c>
      <c r="AQ276" s="46">
        <v>0</v>
      </c>
      <c r="AR276" s="46">
        <v>0</v>
      </c>
      <c r="AS276" s="46">
        <v>0</v>
      </c>
      <c r="AT276" s="46">
        <v>0</v>
      </c>
      <c r="AU276" s="46">
        <v>0</v>
      </c>
      <c r="AV276" s="46">
        <v>0</v>
      </c>
      <c r="AW276" s="46">
        <v>0</v>
      </c>
      <c r="AX276" s="46">
        <v>0</v>
      </c>
      <c r="AY276" s="46">
        <v>0</v>
      </c>
      <c r="AZ276" s="46">
        <v>0</v>
      </c>
      <c r="BA276" s="46">
        <v>0</v>
      </c>
      <c r="BB276" s="46">
        <v>0</v>
      </c>
      <c r="BC276" s="46">
        <v>0</v>
      </c>
      <c r="BD276" s="46">
        <v>0</v>
      </c>
      <c r="BE276" s="46">
        <v>0</v>
      </c>
      <c r="BF276" s="46">
        <v>0</v>
      </c>
      <c r="BG276" s="46" t="s">
        <v>48</v>
      </c>
      <c r="BH276" s="46">
        <v>0</v>
      </c>
      <c r="BI276" s="46">
        <v>0</v>
      </c>
      <c r="BJ276" s="46">
        <v>0</v>
      </c>
      <c r="BK276" s="46">
        <v>0</v>
      </c>
      <c r="BL276" s="46">
        <v>0</v>
      </c>
      <c r="BM276" s="46">
        <v>0</v>
      </c>
      <c r="BN276" s="46">
        <v>0</v>
      </c>
    </row>
    <row r="277" spans="1:66" x14ac:dyDescent="0.35">
      <c r="A277" t="s">
        <v>11028</v>
      </c>
      <c r="B277" t="s">
        <v>48</v>
      </c>
      <c r="C277" t="s">
        <v>1028</v>
      </c>
      <c r="D277" t="s">
        <v>731</v>
      </c>
      <c r="E277" t="s">
        <v>11029</v>
      </c>
      <c r="F277" t="s">
        <v>5590</v>
      </c>
      <c r="G277" t="s">
        <v>47</v>
      </c>
      <c r="H277">
        <v>0</v>
      </c>
      <c r="I277" s="61">
        <v>44820</v>
      </c>
      <c r="J277" s="33" t="s">
        <v>96</v>
      </c>
      <c r="K277" s="46">
        <v>0</v>
      </c>
      <c r="L277">
        <v>0.9</v>
      </c>
      <c r="M277" t="s">
        <v>48</v>
      </c>
      <c r="N277" s="46">
        <v>0</v>
      </c>
      <c r="O277" s="46">
        <v>0</v>
      </c>
      <c r="P277" s="46">
        <v>0</v>
      </c>
      <c r="Q277" t="s">
        <v>48</v>
      </c>
      <c r="R277" t="s">
        <v>48</v>
      </c>
      <c r="S277" t="s">
        <v>48</v>
      </c>
      <c r="T277" t="s">
        <v>48</v>
      </c>
      <c r="U277" t="s">
        <v>48</v>
      </c>
      <c r="V277" s="47">
        <v>1</v>
      </c>
      <c r="W277" t="s">
        <v>48</v>
      </c>
      <c r="X277" t="s">
        <v>48</v>
      </c>
      <c r="Y277" t="s">
        <v>48</v>
      </c>
      <c r="Z277" t="s">
        <v>48</v>
      </c>
      <c r="AA277" t="s">
        <v>48</v>
      </c>
      <c r="AB277" t="s">
        <v>48</v>
      </c>
      <c r="AC277" t="s">
        <v>49</v>
      </c>
      <c r="AD277" t="s">
        <v>93</v>
      </c>
      <c r="AE277" t="s">
        <v>4532</v>
      </c>
      <c r="AF277" t="s">
        <v>48</v>
      </c>
      <c r="AG277" t="s">
        <v>48</v>
      </c>
      <c r="AH277" t="s">
        <v>48</v>
      </c>
      <c r="AI277" t="s">
        <v>48</v>
      </c>
      <c r="AJ277" t="s">
        <v>48</v>
      </c>
      <c r="AK277" t="s">
        <v>48</v>
      </c>
      <c r="AL277" t="s">
        <v>48</v>
      </c>
      <c r="AM277" t="s">
        <v>48</v>
      </c>
      <c r="AN277" t="s">
        <v>48</v>
      </c>
      <c r="AO277" t="s">
        <v>48</v>
      </c>
      <c r="AP277" s="46">
        <v>0</v>
      </c>
      <c r="AQ277" s="46">
        <v>0</v>
      </c>
      <c r="AR277" s="46">
        <v>0</v>
      </c>
      <c r="AS277" s="46">
        <v>0</v>
      </c>
      <c r="AT277" s="46">
        <v>0</v>
      </c>
      <c r="AU277" s="46">
        <v>0</v>
      </c>
      <c r="AV277" s="46">
        <v>0</v>
      </c>
      <c r="AW277" s="46">
        <v>0</v>
      </c>
      <c r="AX277" s="46">
        <v>0</v>
      </c>
      <c r="AY277" s="46">
        <v>0</v>
      </c>
      <c r="AZ277" s="46">
        <v>0</v>
      </c>
      <c r="BA277" s="46">
        <v>0</v>
      </c>
      <c r="BB277" s="46">
        <v>0</v>
      </c>
      <c r="BC277" s="46">
        <v>0</v>
      </c>
      <c r="BD277" s="46">
        <v>0</v>
      </c>
      <c r="BE277" s="46">
        <v>0</v>
      </c>
      <c r="BF277" s="46">
        <v>0</v>
      </c>
      <c r="BG277" s="46" t="s">
        <v>48</v>
      </c>
      <c r="BH277" s="46">
        <v>0</v>
      </c>
      <c r="BI277" s="46">
        <v>0</v>
      </c>
      <c r="BJ277" s="46">
        <v>0</v>
      </c>
      <c r="BK277" s="46">
        <v>0</v>
      </c>
      <c r="BL277" s="46">
        <v>0</v>
      </c>
      <c r="BM277" s="46">
        <v>0</v>
      </c>
      <c r="BN277" s="46">
        <v>0</v>
      </c>
    </row>
    <row r="278" spans="1:66" x14ac:dyDescent="0.35">
      <c r="A278" t="s">
        <v>5604</v>
      </c>
      <c r="B278" t="s">
        <v>48</v>
      </c>
      <c r="C278" t="s">
        <v>5605</v>
      </c>
      <c r="D278" t="s">
        <v>521</v>
      </c>
      <c r="E278" t="s">
        <v>9735</v>
      </c>
      <c r="F278" t="s">
        <v>5590</v>
      </c>
      <c r="G278" t="s">
        <v>47</v>
      </c>
      <c r="H278">
        <v>0</v>
      </c>
      <c r="I278" s="61">
        <v>44749</v>
      </c>
      <c r="J278" s="33" t="s">
        <v>96</v>
      </c>
      <c r="K278" s="46">
        <v>0</v>
      </c>
      <c r="L278">
        <v>1.7</v>
      </c>
      <c r="M278" t="s">
        <v>48</v>
      </c>
      <c r="N278" s="46">
        <v>0</v>
      </c>
      <c r="O278" s="46">
        <v>0</v>
      </c>
      <c r="P278" s="46">
        <v>0</v>
      </c>
      <c r="Q278" t="s">
        <v>48</v>
      </c>
      <c r="R278" t="s">
        <v>48</v>
      </c>
      <c r="S278" t="s">
        <v>48</v>
      </c>
      <c r="T278" t="s">
        <v>48</v>
      </c>
      <c r="U278" t="s">
        <v>48</v>
      </c>
      <c r="V278" s="47">
        <v>1</v>
      </c>
      <c r="W278" t="s">
        <v>48</v>
      </c>
      <c r="X278" t="s">
        <v>48</v>
      </c>
      <c r="Y278" t="s">
        <v>48</v>
      </c>
      <c r="Z278">
        <v>0</v>
      </c>
      <c r="AA278" t="s">
        <v>48</v>
      </c>
      <c r="AB278" t="s">
        <v>48</v>
      </c>
      <c r="AC278" t="s">
        <v>63</v>
      </c>
      <c r="AD278" t="s">
        <v>93</v>
      </c>
      <c r="AE278" t="s">
        <v>4532</v>
      </c>
      <c r="AF278" t="s">
        <v>48</v>
      </c>
      <c r="AG278" t="s">
        <v>48</v>
      </c>
      <c r="AH278" t="s">
        <v>48</v>
      </c>
      <c r="AI278" t="s">
        <v>48</v>
      </c>
      <c r="AJ278" t="s">
        <v>48</v>
      </c>
      <c r="AK278" t="s">
        <v>48</v>
      </c>
      <c r="AL278" t="s">
        <v>48</v>
      </c>
      <c r="AM278" t="s">
        <v>48</v>
      </c>
      <c r="AN278" t="s">
        <v>48</v>
      </c>
      <c r="AO278" t="s">
        <v>48</v>
      </c>
      <c r="AP278" s="46">
        <v>0</v>
      </c>
      <c r="AQ278" s="46">
        <v>0</v>
      </c>
      <c r="AR278" s="46">
        <v>0</v>
      </c>
      <c r="AS278" s="46">
        <v>0</v>
      </c>
      <c r="AT278" s="46">
        <v>0</v>
      </c>
      <c r="AU278" s="46">
        <v>0</v>
      </c>
      <c r="AV278" s="46">
        <v>0</v>
      </c>
      <c r="AW278" s="46">
        <v>0</v>
      </c>
      <c r="AX278" s="46">
        <v>0</v>
      </c>
      <c r="AY278" s="46">
        <v>0</v>
      </c>
      <c r="AZ278" s="46">
        <v>0</v>
      </c>
      <c r="BA278" s="46">
        <v>0</v>
      </c>
      <c r="BB278" s="46">
        <v>0</v>
      </c>
      <c r="BC278" s="46">
        <v>0</v>
      </c>
      <c r="BD278" s="46">
        <v>0</v>
      </c>
      <c r="BE278" s="46">
        <v>0</v>
      </c>
      <c r="BF278" s="46">
        <v>0</v>
      </c>
      <c r="BG278" s="46" t="s">
        <v>48</v>
      </c>
      <c r="BH278" s="46">
        <v>0</v>
      </c>
      <c r="BI278" s="46">
        <v>0</v>
      </c>
      <c r="BJ278" s="46">
        <v>0</v>
      </c>
      <c r="BK278" s="46">
        <v>0</v>
      </c>
      <c r="BL278" s="46">
        <v>0</v>
      </c>
      <c r="BM278" s="46">
        <v>0</v>
      </c>
      <c r="BN278" s="46">
        <v>0</v>
      </c>
    </row>
    <row r="279" spans="1:66" x14ac:dyDescent="0.35">
      <c r="A279" t="s">
        <v>5589</v>
      </c>
      <c r="B279" s="44" t="s">
        <v>48</v>
      </c>
      <c r="C279" t="s">
        <v>5594</v>
      </c>
      <c r="D279" t="s">
        <v>829</v>
      </c>
      <c r="E279" t="s">
        <v>5591</v>
      </c>
      <c r="F279" t="s">
        <v>5590</v>
      </c>
      <c r="G279" t="s">
        <v>47</v>
      </c>
      <c r="H279">
        <v>0</v>
      </c>
      <c r="I279" s="60" t="s">
        <v>51</v>
      </c>
      <c r="J279" s="33" t="s">
        <v>96</v>
      </c>
      <c r="K279" s="46">
        <v>1</v>
      </c>
      <c r="L279" t="s">
        <v>48</v>
      </c>
      <c r="M279" t="s">
        <v>48</v>
      </c>
      <c r="N279" s="46">
        <v>0</v>
      </c>
      <c r="O279" s="46">
        <v>0</v>
      </c>
      <c r="P279" s="46">
        <v>0</v>
      </c>
      <c r="Q279" t="s">
        <v>48</v>
      </c>
      <c r="R279" t="s">
        <v>48</v>
      </c>
      <c r="S279" t="s">
        <v>5592</v>
      </c>
      <c r="T279" t="s">
        <v>5593</v>
      </c>
      <c r="U279" t="s">
        <v>5592</v>
      </c>
      <c r="V279" s="47">
        <v>0</v>
      </c>
      <c r="W279" t="s">
        <v>48</v>
      </c>
      <c r="X279" t="s">
        <v>48</v>
      </c>
      <c r="Y279" t="s">
        <v>48</v>
      </c>
      <c r="Z279">
        <v>0</v>
      </c>
      <c r="AA279" t="s">
        <v>48</v>
      </c>
      <c r="AB279">
        <v>1994</v>
      </c>
      <c r="AC279" t="s">
        <v>49</v>
      </c>
      <c r="AD279" t="s">
        <v>93</v>
      </c>
      <c r="AE279" t="s">
        <v>4532</v>
      </c>
      <c r="AF279" t="s">
        <v>48</v>
      </c>
      <c r="AG279" t="s">
        <v>466</v>
      </c>
      <c r="AH279" t="s">
        <v>93</v>
      </c>
      <c r="AI279">
        <v>15424</v>
      </c>
      <c r="AJ279">
        <v>1934</v>
      </c>
      <c r="AK279" t="s">
        <v>8593</v>
      </c>
      <c r="AL279" t="s">
        <v>8594</v>
      </c>
      <c r="AM279">
        <v>0.55400000000000005</v>
      </c>
      <c r="AN279">
        <v>4.7E-2</v>
      </c>
      <c r="AO279">
        <v>0.55400000000000005</v>
      </c>
      <c r="AP279" s="46">
        <v>0</v>
      </c>
      <c r="AQ279" s="46">
        <v>0</v>
      </c>
      <c r="AR279" s="46">
        <v>0</v>
      </c>
      <c r="AS279" s="46">
        <v>0</v>
      </c>
      <c r="AT279" s="46">
        <v>0</v>
      </c>
      <c r="AU279" s="46">
        <v>0</v>
      </c>
      <c r="AV279" s="46">
        <v>0</v>
      </c>
      <c r="AW279" s="46">
        <v>0</v>
      </c>
      <c r="AX279" s="46">
        <v>0</v>
      </c>
      <c r="AY279" s="46">
        <v>0</v>
      </c>
      <c r="AZ279" s="46">
        <v>0</v>
      </c>
      <c r="BA279" s="46">
        <v>0</v>
      </c>
      <c r="BB279" s="46">
        <v>0</v>
      </c>
      <c r="BC279" s="46">
        <v>0</v>
      </c>
      <c r="BD279" s="46">
        <v>0</v>
      </c>
      <c r="BE279" s="46">
        <v>0</v>
      </c>
      <c r="BF279" s="46">
        <v>0</v>
      </c>
      <c r="BG279" s="46" t="s">
        <v>48</v>
      </c>
      <c r="BH279" s="46">
        <v>0</v>
      </c>
      <c r="BI279" s="46">
        <v>0</v>
      </c>
      <c r="BJ279" s="46">
        <v>0</v>
      </c>
      <c r="BK279" s="46">
        <v>0</v>
      </c>
      <c r="BL279" s="46">
        <v>0</v>
      </c>
      <c r="BM279" s="46">
        <v>0</v>
      </c>
      <c r="BN279" s="46">
        <v>0</v>
      </c>
    </row>
    <row r="280" spans="1:66" x14ac:dyDescent="0.35">
      <c r="A280" t="s">
        <v>11030</v>
      </c>
      <c r="B280" t="s">
        <v>48</v>
      </c>
      <c r="C280" t="s">
        <v>12274</v>
      </c>
      <c r="D280" t="s">
        <v>221</v>
      </c>
      <c r="E280" t="s">
        <v>11031</v>
      </c>
      <c r="F280" t="s">
        <v>5590</v>
      </c>
      <c r="G280" t="s">
        <v>47</v>
      </c>
      <c r="H280">
        <v>0</v>
      </c>
      <c r="I280" s="61">
        <v>44820</v>
      </c>
      <c r="J280" s="33" t="s">
        <v>96</v>
      </c>
      <c r="K280" s="46">
        <v>0</v>
      </c>
      <c r="L280">
        <v>0.7</v>
      </c>
      <c r="M280" t="s">
        <v>48</v>
      </c>
      <c r="N280" s="46">
        <v>0</v>
      </c>
      <c r="O280" s="46">
        <v>0</v>
      </c>
      <c r="P280" s="46">
        <v>0</v>
      </c>
      <c r="Q280" t="s">
        <v>48</v>
      </c>
      <c r="R280" t="s">
        <v>48</v>
      </c>
      <c r="S280" t="s">
        <v>48</v>
      </c>
      <c r="T280" t="s">
        <v>48</v>
      </c>
      <c r="U280" t="s">
        <v>48</v>
      </c>
      <c r="V280" s="47">
        <v>1</v>
      </c>
      <c r="W280" t="s">
        <v>48</v>
      </c>
      <c r="X280" t="s">
        <v>48</v>
      </c>
      <c r="Y280" t="s">
        <v>48</v>
      </c>
      <c r="Z280" t="s">
        <v>48</v>
      </c>
      <c r="AA280" t="s">
        <v>48</v>
      </c>
      <c r="AB280" t="s">
        <v>48</v>
      </c>
      <c r="AC280" t="s">
        <v>49</v>
      </c>
      <c r="AD280" t="s">
        <v>48</v>
      </c>
      <c r="AE280" t="s">
        <v>48</v>
      </c>
      <c r="AF280" t="s">
        <v>48</v>
      </c>
      <c r="AG280" t="s">
        <v>48</v>
      </c>
      <c r="AH280" t="s">
        <v>48</v>
      </c>
      <c r="AI280" t="s">
        <v>48</v>
      </c>
      <c r="AJ280" t="s">
        <v>48</v>
      </c>
      <c r="AK280" t="s">
        <v>48</v>
      </c>
      <c r="AL280" t="s">
        <v>48</v>
      </c>
      <c r="AM280" t="s">
        <v>48</v>
      </c>
      <c r="AN280" t="s">
        <v>48</v>
      </c>
      <c r="AO280" t="s">
        <v>48</v>
      </c>
      <c r="AP280" s="46">
        <v>0</v>
      </c>
      <c r="AQ280" s="46">
        <v>0</v>
      </c>
      <c r="AR280" s="46">
        <v>0</v>
      </c>
      <c r="AS280" s="46">
        <v>0</v>
      </c>
      <c r="AT280" s="46">
        <v>0</v>
      </c>
      <c r="AU280" s="46">
        <v>0</v>
      </c>
      <c r="AV280" s="46">
        <v>0</v>
      </c>
      <c r="AW280" s="46">
        <v>0</v>
      </c>
      <c r="AX280" s="46">
        <v>0</v>
      </c>
      <c r="AY280" s="46">
        <v>0</v>
      </c>
      <c r="AZ280" s="46">
        <v>0</v>
      </c>
      <c r="BA280" s="46">
        <v>0</v>
      </c>
      <c r="BB280" s="46">
        <v>0</v>
      </c>
      <c r="BC280" s="46">
        <v>0</v>
      </c>
      <c r="BD280" s="46">
        <v>0</v>
      </c>
      <c r="BE280" s="46">
        <v>0</v>
      </c>
      <c r="BF280" s="46">
        <v>0</v>
      </c>
      <c r="BG280" s="46" t="s">
        <v>48</v>
      </c>
      <c r="BH280" s="46">
        <v>0</v>
      </c>
      <c r="BI280" s="46">
        <v>0</v>
      </c>
      <c r="BJ280" s="46">
        <v>0</v>
      </c>
      <c r="BK280" s="46">
        <v>0</v>
      </c>
      <c r="BL280" s="46">
        <v>0</v>
      </c>
      <c r="BM280" s="46">
        <v>0</v>
      </c>
      <c r="BN280" s="46">
        <v>0</v>
      </c>
    </row>
    <row r="281" spans="1:66" x14ac:dyDescent="0.35">
      <c r="A281" t="s">
        <v>9738</v>
      </c>
      <c r="B281" t="s">
        <v>48</v>
      </c>
      <c r="C281" t="s">
        <v>11705</v>
      </c>
      <c r="D281" t="s">
        <v>2114</v>
      </c>
      <c r="E281" t="s">
        <v>9739</v>
      </c>
      <c r="F281" t="s">
        <v>5590</v>
      </c>
      <c r="G281" t="s">
        <v>47</v>
      </c>
      <c r="H281">
        <v>0</v>
      </c>
      <c r="I281" s="61">
        <v>44749</v>
      </c>
      <c r="J281" s="33" t="s">
        <v>96</v>
      </c>
      <c r="K281" s="46">
        <v>0</v>
      </c>
      <c r="L281">
        <v>1.8</v>
      </c>
      <c r="M281" t="s">
        <v>48</v>
      </c>
      <c r="N281" s="46">
        <v>0</v>
      </c>
      <c r="O281" s="46">
        <v>0</v>
      </c>
      <c r="P281" s="46">
        <v>0</v>
      </c>
      <c r="Q281" t="s">
        <v>48</v>
      </c>
      <c r="R281" t="s">
        <v>48</v>
      </c>
      <c r="S281" t="s">
        <v>48</v>
      </c>
      <c r="T281" t="s">
        <v>48</v>
      </c>
      <c r="U281" t="s">
        <v>48</v>
      </c>
      <c r="V281" s="47">
        <v>1</v>
      </c>
      <c r="W281" t="s">
        <v>48</v>
      </c>
      <c r="X281" t="s">
        <v>48</v>
      </c>
      <c r="Y281" t="s">
        <v>48</v>
      </c>
      <c r="Z281" t="s">
        <v>48</v>
      </c>
      <c r="AA281" t="s">
        <v>48</v>
      </c>
      <c r="AB281" t="s">
        <v>48</v>
      </c>
      <c r="AC281" t="s">
        <v>63</v>
      </c>
      <c r="AD281" t="s">
        <v>48</v>
      </c>
      <c r="AE281" t="s">
        <v>48</v>
      </c>
      <c r="AF281" t="s">
        <v>48</v>
      </c>
      <c r="AG281" t="s">
        <v>48</v>
      </c>
      <c r="AH281" t="s">
        <v>48</v>
      </c>
      <c r="AI281" t="s">
        <v>48</v>
      </c>
      <c r="AJ281" t="s">
        <v>48</v>
      </c>
      <c r="AK281" t="s">
        <v>48</v>
      </c>
      <c r="AL281" t="s">
        <v>48</v>
      </c>
      <c r="AM281" t="s">
        <v>48</v>
      </c>
      <c r="AN281" t="s">
        <v>48</v>
      </c>
      <c r="AO281" t="s">
        <v>48</v>
      </c>
      <c r="AP281" s="46">
        <v>0</v>
      </c>
      <c r="AQ281" s="46">
        <v>0</v>
      </c>
      <c r="AR281" s="46">
        <v>0</v>
      </c>
      <c r="AS281" s="46">
        <v>0</v>
      </c>
      <c r="AT281" s="46">
        <v>0</v>
      </c>
      <c r="AU281" s="46">
        <v>0</v>
      </c>
      <c r="AV281" s="46">
        <v>0</v>
      </c>
      <c r="AW281" s="46">
        <v>0</v>
      </c>
      <c r="AX281" s="46">
        <v>0</v>
      </c>
      <c r="AY281" s="46">
        <v>0</v>
      </c>
      <c r="AZ281" s="46">
        <v>0</v>
      </c>
      <c r="BA281" s="46">
        <v>0</v>
      </c>
      <c r="BB281" s="46">
        <v>0</v>
      </c>
      <c r="BC281" s="46">
        <v>0</v>
      </c>
      <c r="BD281" s="46">
        <v>0</v>
      </c>
      <c r="BE281" s="46">
        <v>0</v>
      </c>
      <c r="BF281" s="46">
        <v>0</v>
      </c>
      <c r="BG281" s="46" t="s">
        <v>48</v>
      </c>
      <c r="BH281" s="46">
        <v>0</v>
      </c>
      <c r="BI281" s="46">
        <v>0</v>
      </c>
      <c r="BJ281" s="46">
        <v>0</v>
      </c>
      <c r="BK281" s="46">
        <v>0</v>
      </c>
      <c r="BL281" s="46">
        <v>0</v>
      </c>
      <c r="BM281" s="46">
        <v>0</v>
      </c>
      <c r="BN281" s="46">
        <v>0</v>
      </c>
    </row>
    <row r="282" spans="1:66" x14ac:dyDescent="0.35">
      <c r="A282" t="s">
        <v>9740</v>
      </c>
      <c r="B282" t="s">
        <v>48</v>
      </c>
      <c r="C282" t="s">
        <v>3037</v>
      </c>
      <c r="D282" t="s">
        <v>3421</v>
      </c>
      <c r="E282" t="s">
        <v>9741</v>
      </c>
      <c r="F282" t="s">
        <v>5590</v>
      </c>
      <c r="G282" t="s">
        <v>47</v>
      </c>
      <c r="H282">
        <v>0</v>
      </c>
      <c r="I282" s="61">
        <v>44749</v>
      </c>
      <c r="J282" s="33" t="s">
        <v>96</v>
      </c>
      <c r="K282" s="46">
        <v>0</v>
      </c>
      <c r="L282">
        <v>11.3</v>
      </c>
      <c r="M282" t="s">
        <v>48</v>
      </c>
      <c r="N282" s="46">
        <v>0</v>
      </c>
      <c r="O282" s="46">
        <v>0</v>
      </c>
      <c r="P282" s="46">
        <v>0</v>
      </c>
      <c r="Q282" t="s">
        <v>48</v>
      </c>
      <c r="R282" t="s">
        <v>48</v>
      </c>
      <c r="S282" t="s">
        <v>10380</v>
      </c>
      <c r="T282" t="s">
        <v>48</v>
      </c>
      <c r="U282" t="s">
        <v>10380</v>
      </c>
      <c r="V282" s="47">
        <v>0</v>
      </c>
      <c r="W282" t="s">
        <v>48</v>
      </c>
      <c r="X282" t="s">
        <v>48</v>
      </c>
      <c r="Y282" t="s">
        <v>48</v>
      </c>
      <c r="Z282" t="s">
        <v>48</v>
      </c>
      <c r="AA282" t="s">
        <v>48</v>
      </c>
      <c r="AB282" t="s">
        <v>48</v>
      </c>
      <c r="AC282" t="s">
        <v>49</v>
      </c>
      <c r="AD282" t="s">
        <v>11050</v>
      </c>
      <c r="AE282" t="s">
        <v>4532</v>
      </c>
      <c r="AF282" t="s">
        <v>48</v>
      </c>
      <c r="AG282" t="s">
        <v>48</v>
      </c>
      <c r="AH282" t="s">
        <v>48</v>
      </c>
      <c r="AI282" t="s">
        <v>48</v>
      </c>
      <c r="AJ282" t="s">
        <v>48</v>
      </c>
      <c r="AK282" t="s">
        <v>48</v>
      </c>
      <c r="AL282" t="s">
        <v>48</v>
      </c>
      <c r="AM282" t="s">
        <v>48</v>
      </c>
      <c r="AN282" t="s">
        <v>48</v>
      </c>
      <c r="AO282" t="s">
        <v>48</v>
      </c>
      <c r="AP282" s="46">
        <v>0</v>
      </c>
      <c r="AQ282" s="46">
        <v>0</v>
      </c>
      <c r="AR282" s="46">
        <v>0</v>
      </c>
      <c r="AS282" s="46">
        <v>0</v>
      </c>
      <c r="AT282" s="46">
        <v>0</v>
      </c>
      <c r="AU282" s="46">
        <v>0</v>
      </c>
      <c r="AV282" s="46">
        <v>0</v>
      </c>
      <c r="AW282" s="46">
        <v>0</v>
      </c>
      <c r="AX282" s="46">
        <v>0</v>
      </c>
      <c r="AY282" s="46">
        <v>0</v>
      </c>
      <c r="AZ282" s="46">
        <v>0</v>
      </c>
      <c r="BA282" s="46">
        <v>0</v>
      </c>
      <c r="BB282" s="46">
        <v>0</v>
      </c>
      <c r="BC282" s="46">
        <v>0</v>
      </c>
      <c r="BD282" s="46">
        <v>0</v>
      </c>
      <c r="BE282" s="46">
        <v>0</v>
      </c>
      <c r="BF282" s="46">
        <v>0</v>
      </c>
      <c r="BG282" s="46" t="s">
        <v>48</v>
      </c>
      <c r="BH282" s="46">
        <v>0</v>
      </c>
      <c r="BI282" s="46">
        <v>0</v>
      </c>
      <c r="BJ282" s="46">
        <v>0</v>
      </c>
      <c r="BK282" s="46">
        <v>0</v>
      </c>
      <c r="BL282" s="46">
        <v>0</v>
      </c>
      <c r="BM282" s="46">
        <v>0</v>
      </c>
      <c r="BN282" s="46">
        <v>0</v>
      </c>
    </row>
    <row r="283" spans="1:66" x14ac:dyDescent="0.35">
      <c r="A283" t="s">
        <v>5599</v>
      </c>
      <c r="B283" t="s">
        <v>48</v>
      </c>
      <c r="C283" t="s">
        <v>5601</v>
      </c>
      <c r="D283" t="s">
        <v>1070</v>
      </c>
      <c r="E283" t="s">
        <v>9742</v>
      </c>
      <c r="F283" t="s">
        <v>5590</v>
      </c>
      <c r="G283" t="s">
        <v>47</v>
      </c>
      <c r="H283">
        <v>0</v>
      </c>
      <c r="I283" s="61">
        <v>44749</v>
      </c>
      <c r="J283" s="33" t="s">
        <v>96</v>
      </c>
      <c r="K283" s="46">
        <v>0</v>
      </c>
      <c r="L283">
        <v>11.9</v>
      </c>
      <c r="M283" t="s">
        <v>48</v>
      </c>
      <c r="N283" s="46">
        <v>0</v>
      </c>
      <c r="O283" s="46">
        <v>0</v>
      </c>
      <c r="P283" s="46">
        <v>0</v>
      </c>
      <c r="Q283" t="s">
        <v>48</v>
      </c>
      <c r="R283" t="s">
        <v>48</v>
      </c>
      <c r="S283" t="s">
        <v>5600</v>
      </c>
      <c r="T283" t="s">
        <v>48</v>
      </c>
      <c r="U283" t="s">
        <v>5600</v>
      </c>
      <c r="V283" s="47">
        <v>1</v>
      </c>
      <c r="W283" t="s">
        <v>48</v>
      </c>
      <c r="X283" t="s">
        <v>48</v>
      </c>
      <c r="Y283" t="s">
        <v>48</v>
      </c>
      <c r="Z283">
        <v>0</v>
      </c>
      <c r="AA283" t="s">
        <v>48</v>
      </c>
      <c r="AB283" t="s">
        <v>48</v>
      </c>
      <c r="AC283" t="s">
        <v>49</v>
      </c>
      <c r="AD283" t="s">
        <v>93</v>
      </c>
      <c r="AE283" t="s">
        <v>4532</v>
      </c>
      <c r="AF283" t="s">
        <v>48</v>
      </c>
      <c r="AG283" t="s">
        <v>48</v>
      </c>
      <c r="AH283" t="s">
        <v>48</v>
      </c>
      <c r="AI283" t="s">
        <v>48</v>
      </c>
      <c r="AJ283" t="s">
        <v>48</v>
      </c>
      <c r="AK283" t="s">
        <v>48</v>
      </c>
      <c r="AL283" t="s">
        <v>48</v>
      </c>
      <c r="AM283" t="s">
        <v>48</v>
      </c>
      <c r="AN283" t="s">
        <v>48</v>
      </c>
      <c r="AO283" t="s">
        <v>48</v>
      </c>
      <c r="AP283" s="46">
        <v>0</v>
      </c>
      <c r="AQ283" s="46">
        <v>0</v>
      </c>
      <c r="AR283" s="46">
        <v>0</v>
      </c>
      <c r="AS283" s="46">
        <v>0</v>
      </c>
      <c r="AT283" s="46">
        <v>0</v>
      </c>
      <c r="AU283" s="46">
        <v>0</v>
      </c>
      <c r="AV283" s="46">
        <v>0</v>
      </c>
      <c r="AW283" s="46">
        <v>0</v>
      </c>
      <c r="AX283" s="46">
        <v>0</v>
      </c>
      <c r="AY283" s="46">
        <v>0</v>
      </c>
      <c r="AZ283" s="46">
        <v>0</v>
      </c>
      <c r="BA283" s="46">
        <v>0</v>
      </c>
      <c r="BB283" s="46">
        <v>0</v>
      </c>
      <c r="BC283" s="46">
        <v>0</v>
      </c>
      <c r="BD283" s="46">
        <v>0</v>
      </c>
      <c r="BE283" s="46">
        <v>0</v>
      </c>
      <c r="BF283" s="46">
        <v>0</v>
      </c>
      <c r="BG283" s="46" t="s">
        <v>48</v>
      </c>
      <c r="BH283" s="46">
        <v>0</v>
      </c>
      <c r="BI283" s="46">
        <v>0</v>
      </c>
      <c r="BJ283" s="46">
        <v>0</v>
      </c>
      <c r="BK283" s="46">
        <v>0</v>
      </c>
      <c r="BL283" s="46">
        <v>0</v>
      </c>
      <c r="BM283" s="46">
        <v>0</v>
      </c>
      <c r="BN283" s="46">
        <v>0</v>
      </c>
    </row>
    <row r="284" spans="1:66" x14ac:dyDescent="0.35">
      <c r="A284" t="s">
        <v>9743</v>
      </c>
      <c r="B284" t="s">
        <v>48</v>
      </c>
      <c r="C284" t="s">
        <v>12268</v>
      </c>
      <c r="D284" t="s">
        <v>54</v>
      </c>
      <c r="E284" t="s">
        <v>9744</v>
      </c>
      <c r="F284" t="s">
        <v>5590</v>
      </c>
      <c r="G284" t="s">
        <v>47</v>
      </c>
      <c r="H284">
        <v>0</v>
      </c>
      <c r="I284" s="61">
        <v>44749</v>
      </c>
      <c r="J284" s="33" t="s">
        <v>96</v>
      </c>
      <c r="K284" s="46">
        <v>0</v>
      </c>
      <c r="L284">
        <v>4.4000000000000004</v>
      </c>
      <c r="M284" t="s">
        <v>48</v>
      </c>
      <c r="N284" s="46">
        <v>0</v>
      </c>
      <c r="O284" s="46">
        <v>0</v>
      </c>
      <c r="P284" s="46">
        <v>0</v>
      </c>
      <c r="Q284" t="s">
        <v>48</v>
      </c>
      <c r="R284" t="s">
        <v>48</v>
      </c>
      <c r="S284" t="s">
        <v>48</v>
      </c>
      <c r="T284" t="s">
        <v>48</v>
      </c>
      <c r="U284" t="s">
        <v>48</v>
      </c>
      <c r="V284" s="47">
        <v>1</v>
      </c>
      <c r="W284" t="s">
        <v>48</v>
      </c>
      <c r="X284" t="s">
        <v>48</v>
      </c>
      <c r="Y284" t="s">
        <v>48</v>
      </c>
      <c r="Z284" t="s">
        <v>48</v>
      </c>
      <c r="AA284" t="s">
        <v>48</v>
      </c>
      <c r="AB284" t="s">
        <v>48</v>
      </c>
      <c r="AC284" t="s">
        <v>49</v>
      </c>
      <c r="AD284" t="s">
        <v>48</v>
      </c>
      <c r="AE284" t="s">
        <v>48</v>
      </c>
      <c r="AF284" t="s">
        <v>48</v>
      </c>
      <c r="AG284" t="s">
        <v>48</v>
      </c>
      <c r="AH284" t="s">
        <v>48</v>
      </c>
      <c r="AI284" t="s">
        <v>48</v>
      </c>
      <c r="AJ284" t="s">
        <v>48</v>
      </c>
      <c r="AK284" t="s">
        <v>48</v>
      </c>
      <c r="AL284" t="s">
        <v>48</v>
      </c>
      <c r="AM284" t="s">
        <v>48</v>
      </c>
      <c r="AN284" t="s">
        <v>48</v>
      </c>
      <c r="AO284" t="s">
        <v>48</v>
      </c>
      <c r="AP284" s="46">
        <v>0</v>
      </c>
      <c r="AQ284" s="46">
        <v>0</v>
      </c>
      <c r="AR284" s="46">
        <v>0</v>
      </c>
      <c r="AS284" s="46">
        <v>0</v>
      </c>
      <c r="AT284" s="46">
        <v>0</v>
      </c>
      <c r="AU284" s="46">
        <v>0</v>
      </c>
      <c r="AV284" s="46">
        <v>0</v>
      </c>
      <c r="AW284" s="46">
        <v>0</v>
      </c>
      <c r="AX284" s="46">
        <v>0</v>
      </c>
      <c r="AY284" s="46">
        <v>0</v>
      </c>
      <c r="AZ284" s="46">
        <v>0</v>
      </c>
      <c r="BA284" s="46">
        <v>0</v>
      </c>
      <c r="BB284" s="46">
        <v>0</v>
      </c>
      <c r="BC284" s="46">
        <v>0</v>
      </c>
      <c r="BD284" s="46">
        <v>0</v>
      </c>
      <c r="BE284" s="46">
        <v>0</v>
      </c>
      <c r="BF284" s="46">
        <v>0</v>
      </c>
      <c r="BG284" s="46" t="s">
        <v>48</v>
      </c>
      <c r="BH284" s="46">
        <v>0</v>
      </c>
      <c r="BI284" s="46">
        <v>0</v>
      </c>
      <c r="BJ284" s="46">
        <v>0</v>
      </c>
      <c r="BK284" s="46">
        <v>0</v>
      </c>
      <c r="BL284" s="46">
        <v>0</v>
      </c>
      <c r="BM284" s="46">
        <v>0</v>
      </c>
      <c r="BN284" s="46">
        <v>0</v>
      </c>
    </row>
    <row r="285" spans="1:66" x14ac:dyDescent="0.35">
      <c r="A285" t="s">
        <v>9745</v>
      </c>
      <c r="B285" t="s">
        <v>48</v>
      </c>
      <c r="C285" t="s">
        <v>12271</v>
      </c>
      <c r="D285" t="s">
        <v>885</v>
      </c>
      <c r="E285" t="s">
        <v>11568</v>
      </c>
      <c r="F285" t="s">
        <v>5590</v>
      </c>
      <c r="G285" t="s">
        <v>47</v>
      </c>
      <c r="H285">
        <v>0</v>
      </c>
      <c r="I285" s="61">
        <v>44749</v>
      </c>
      <c r="J285" s="33" t="s">
        <v>96</v>
      </c>
      <c r="K285" s="46">
        <v>0</v>
      </c>
      <c r="L285">
        <v>5</v>
      </c>
      <c r="M285" t="s">
        <v>48</v>
      </c>
      <c r="N285" s="46">
        <v>0</v>
      </c>
      <c r="O285" s="46">
        <v>0</v>
      </c>
      <c r="P285" s="46">
        <v>0</v>
      </c>
      <c r="Q285" t="s">
        <v>48</v>
      </c>
      <c r="R285" t="s">
        <v>48</v>
      </c>
      <c r="S285" t="s">
        <v>48</v>
      </c>
      <c r="T285" t="s">
        <v>48</v>
      </c>
      <c r="U285" t="s">
        <v>48</v>
      </c>
      <c r="V285" s="47">
        <v>1</v>
      </c>
      <c r="W285" t="s">
        <v>48</v>
      </c>
      <c r="X285" t="s">
        <v>48</v>
      </c>
      <c r="Y285" t="s">
        <v>48</v>
      </c>
      <c r="Z285" t="s">
        <v>48</v>
      </c>
      <c r="AA285" t="s">
        <v>48</v>
      </c>
      <c r="AB285" t="s">
        <v>48</v>
      </c>
      <c r="AC285" t="s">
        <v>49</v>
      </c>
      <c r="AD285" t="s">
        <v>93</v>
      </c>
      <c r="AE285" t="s">
        <v>4532</v>
      </c>
      <c r="AF285" t="s">
        <v>48</v>
      </c>
      <c r="AG285" t="s">
        <v>48</v>
      </c>
      <c r="AH285" t="s">
        <v>48</v>
      </c>
      <c r="AI285" t="s">
        <v>48</v>
      </c>
      <c r="AJ285" t="s">
        <v>48</v>
      </c>
      <c r="AK285" t="s">
        <v>48</v>
      </c>
      <c r="AL285" t="s">
        <v>48</v>
      </c>
      <c r="AM285" t="s">
        <v>48</v>
      </c>
      <c r="AN285" t="s">
        <v>48</v>
      </c>
      <c r="AO285" t="s">
        <v>48</v>
      </c>
      <c r="AP285" s="46">
        <v>0</v>
      </c>
      <c r="AQ285" s="46">
        <v>0</v>
      </c>
      <c r="AR285" s="46">
        <v>0</v>
      </c>
      <c r="AS285" s="46">
        <v>0</v>
      </c>
      <c r="AT285" s="46">
        <v>0</v>
      </c>
      <c r="AU285" s="46">
        <v>0</v>
      </c>
      <c r="AV285" s="46">
        <v>0</v>
      </c>
      <c r="AW285" s="46">
        <v>0</v>
      </c>
      <c r="AX285" s="46">
        <v>0</v>
      </c>
      <c r="AY285" s="46">
        <v>0</v>
      </c>
      <c r="AZ285" s="46">
        <v>0</v>
      </c>
      <c r="BA285" s="46">
        <v>0</v>
      </c>
      <c r="BB285" s="46">
        <v>0</v>
      </c>
      <c r="BC285" s="46">
        <v>0</v>
      </c>
      <c r="BD285" s="46">
        <v>0</v>
      </c>
      <c r="BE285" s="46">
        <v>0</v>
      </c>
      <c r="BF285" s="46">
        <v>0</v>
      </c>
      <c r="BG285" s="46" t="s">
        <v>48</v>
      </c>
      <c r="BH285" s="46">
        <v>0</v>
      </c>
      <c r="BI285" s="46">
        <v>0</v>
      </c>
      <c r="BJ285" s="46">
        <v>0</v>
      </c>
      <c r="BK285" s="46">
        <v>0</v>
      </c>
      <c r="BL285" s="46">
        <v>0</v>
      </c>
      <c r="BM285" s="46">
        <v>0</v>
      </c>
      <c r="BN285" s="46">
        <v>0</v>
      </c>
    </row>
    <row r="286" spans="1:66" x14ac:dyDescent="0.35">
      <c r="A286" t="s">
        <v>9746</v>
      </c>
      <c r="B286" t="s">
        <v>48</v>
      </c>
      <c r="C286" t="s">
        <v>12272</v>
      </c>
      <c r="D286" t="s">
        <v>12273</v>
      </c>
      <c r="E286" t="s">
        <v>11569</v>
      </c>
      <c r="F286" t="s">
        <v>5590</v>
      </c>
      <c r="G286" t="s">
        <v>47</v>
      </c>
      <c r="H286">
        <v>0</v>
      </c>
      <c r="I286" s="61">
        <v>44749</v>
      </c>
      <c r="J286" s="33" t="s">
        <v>96</v>
      </c>
      <c r="K286" s="46">
        <v>0</v>
      </c>
      <c r="L286">
        <v>17.5</v>
      </c>
      <c r="M286">
        <v>34.9</v>
      </c>
      <c r="N286" s="46">
        <v>0</v>
      </c>
      <c r="O286" s="46">
        <v>0</v>
      </c>
      <c r="P286" s="46">
        <v>0</v>
      </c>
      <c r="Q286" t="s">
        <v>48</v>
      </c>
      <c r="R286" t="s">
        <v>48</v>
      </c>
      <c r="S286" t="s">
        <v>10381</v>
      </c>
      <c r="T286" t="s">
        <v>48</v>
      </c>
      <c r="U286" t="s">
        <v>10381</v>
      </c>
      <c r="V286" s="47">
        <v>1</v>
      </c>
      <c r="W286" t="s">
        <v>48</v>
      </c>
      <c r="X286" t="s">
        <v>48</v>
      </c>
      <c r="Y286" t="s">
        <v>48</v>
      </c>
      <c r="Z286" t="s">
        <v>48</v>
      </c>
      <c r="AA286" t="s">
        <v>48</v>
      </c>
      <c r="AB286" t="s">
        <v>48</v>
      </c>
      <c r="AC286" t="s">
        <v>49</v>
      </c>
      <c r="AD286" t="s">
        <v>93</v>
      </c>
      <c r="AE286" t="s">
        <v>2471</v>
      </c>
      <c r="AF286" t="s">
        <v>48</v>
      </c>
      <c r="AG286" t="s">
        <v>48</v>
      </c>
      <c r="AH286" t="s">
        <v>48</v>
      </c>
      <c r="AI286" t="s">
        <v>48</v>
      </c>
      <c r="AJ286" t="s">
        <v>48</v>
      </c>
      <c r="AK286" t="s">
        <v>48</v>
      </c>
      <c r="AL286" t="s">
        <v>48</v>
      </c>
      <c r="AM286" t="s">
        <v>48</v>
      </c>
      <c r="AN286" t="s">
        <v>48</v>
      </c>
      <c r="AO286" t="s">
        <v>48</v>
      </c>
      <c r="AP286" s="46">
        <v>0</v>
      </c>
      <c r="AQ286" s="46">
        <v>0</v>
      </c>
      <c r="AR286" s="46">
        <v>0</v>
      </c>
      <c r="AS286" s="46">
        <v>0</v>
      </c>
      <c r="AT286" s="46">
        <v>0</v>
      </c>
      <c r="AU286" s="46">
        <v>0</v>
      </c>
      <c r="AV286" s="46">
        <v>0</v>
      </c>
      <c r="AW286" s="46">
        <v>0</v>
      </c>
      <c r="AX286" s="46">
        <v>0</v>
      </c>
      <c r="AY286" s="46">
        <v>0</v>
      </c>
      <c r="AZ286" s="46">
        <v>0</v>
      </c>
      <c r="BA286" s="46">
        <v>0</v>
      </c>
      <c r="BB286" s="46">
        <v>0</v>
      </c>
      <c r="BC286" s="46">
        <v>0</v>
      </c>
      <c r="BD286" s="46">
        <v>0</v>
      </c>
      <c r="BE286" s="46">
        <v>0</v>
      </c>
      <c r="BF286" s="46">
        <v>0</v>
      </c>
      <c r="BG286" s="46" t="s">
        <v>48</v>
      </c>
      <c r="BH286" s="46">
        <v>0</v>
      </c>
      <c r="BI286" s="46">
        <v>0</v>
      </c>
      <c r="BJ286" s="46">
        <v>0</v>
      </c>
      <c r="BK286" s="46">
        <v>0</v>
      </c>
      <c r="BL286" s="46">
        <v>0</v>
      </c>
      <c r="BM286" s="46">
        <v>0</v>
      </c>
      <c r="BN286" s="46">
        <v>0</v>
      </c>
    </row>
    <row r="287" spans="1:66" x14ac:dyDescent="0.35">
      <c r="A287" t="s">
        <v>9747</v>
      </c>
      <c r="B287" s="44" t="s">
        <v>48</v>
      </c>
      <c r="C287" t="s">
        <v>12275</v>
      </c>
      <c r="D287" t="s">
        <v>12276</v>
      </c>
      <c r="E287" t="s">
        <v>9748</v>
      </c>
      <c r="F287" t="s">
        <v>169</v>
      </c>
      <c r="G287" t="s">
        <v>74</v>
      </c>
      <c r="H287">
        <v>0</v>
      </c>
      <c r="I287" s="61">
        <v>44749</v>
      </c>
      <c r="J287" s="33" t="s">
        <v>96</v>
      </c>
      <c r="K287" s="46">
        <v>0</v>
      </c>
      <c r="L287">
        <v>7</v>
      </c>
      <c r="M287" t="s">
        <v>48</v>
      </c>
      <c r="N287" s="46">
        <v>0</v>
      </c>
      <c r="O287" s="46">
        <v>0</v>
      </c>
      <c r="P287" s="46">
        <v>0</v>
      </c>
      <c r="Q287" t="s">
        <v>48</v>
      </c>
      <c r="R287" t="s">
        <v>48</v>
      </c>
      <c r="S287" t="s">
        <v>48</v>
      </c>
      <c r="T287" t="s">
        <v>48</v>
      </c>
      <c r="U287" t="s">
        <v>48</v>
      </c>
      <c r="V287" s="47">
        <v>1</v>
      </c>
      <c r="W287" t="s">
        <v>48</v>
      </c>
      <c r="X287" t="s">
        <v>48</v>
      </c>
      <c r="Y287" t="s">
        <v>48</v>
      </c>
      <c r="Z287" t="s">
        <v>48</v>
      </c>
      <c r="AA287" t="s">
        <v>48</v>
      </c>
      <c r="AB287" t="s">
        <v>48</v>
      </c>
      <c r="AC287" t="s">
        <v>49</v>
      </c>
      <c r="AD287" t="s">
        <v>93</v>
      </c>
      <c r="AE287" t="s">
        <v>977</v>
      </c>
      <c r="AF287" t="s">
        <v>48</v>
      </c>
      <c r="AG287" t="s">
        <v>48</v>
      </c>
      <c r="AH287" t="s">
        <v>48</v>
      </c>
      <c r="AI287" t="s">
        <v>48</v>
      </c>
      <c r="AJ287" t="s">
        <v>48</v>
      </c>
      <c r="AK287" t="s">
        <v>48</v>
      </c>
      <c r="AL287" t="s">
        <v>48</v>
      </c>
      <c r="AM287" t="s">
        <v>48</v>
      </c>
      <c r="AN287" t="s">
        <v>48</v>
      </c>
      <c r="AO287" t="s">
        <v>48</v>
      </c>
      <c r="AP287" s="46">
        <v>0</v>
      </c>
      <c r="AQ287" s="46">
        <v>0</v>
      </c>
      <c r="AR287" s="46">
        <v>0</v>
      </c>
      <c r="AS287" s="46">
        <v>0</v>
      </c>
      <c r="AT287" s="46">
        <v>0</v>
      </c>
      <c r="AU287" s="46">
        <v>0</v>
      </c>
      <c r="AV287" s="46">
        <v>0</v>
      </c>
      <c r="AW287" s="46">
        <v>0</v>
      </c>
      <c r="AX287" s="46">
        <v>0</v>
      </c>
      <c r="AY287" s="46">
        <v>0</v>
      </c>
      <c r="AZ287" s="46">
        <v>0</v>
      </c>
      <c r="BA287" s="46">
        <v>0</v>
      </c>
      <c r="BB287" s="46">
        <v>0</v>
      </c>
      <c r="BC287" s="46">
        <v>0</v>
      </c>
      <c r="BD287" s="46">
        <v>0</v>
      </c>
      <c r="BE287" s="46">
        <v>0</v>
      </c>
      <c r="BF287" s="46">
        <v>0</v>
      </c>
      <c r="BG287" s="46" t="s">
        <v>48</v>
      </c>
      <c r="BH287" s="46">
        <v>0</v>
      </c>
      <c r="BI287" s="46">
        <v>0</v>
      </c>
      <c r="BJ287" s="46">
        <v>0</v>
      </c>
      <c r="BK287" s="46">
        <v>0</v>
      </c>
      <c r="BL287" s="46">
        <v>0</v>
      </c>
      <c r="BM287" s="46">
        <v>0</v>
      </c>
      <c r="BN287" s="46">
        <v>0</v>
      </c>
    </row>
    <row r="288" spans="1:66" x14ac:dyDescent="0.35">
      <c r="A288" t="s">
        <v>9749</v>
      </c>
      <c r="B288" s="44" t="s">
        <v>48</v>
      </c>
      <c r="C288" t="s">
        <v>2207</v>
      </c>
      <c r="D288" t="s">
        <v>771</v>
      </c>
      <c r="E288" t="s">
        <v>9750</v>
      </c>
      <c r="F288" t="s">
        <v>169</v>
      </c>
      <c r="G288" t="s">
        <v>74</v>
      </c>
      <c r="H288">
        <v>0</v>
      </c>
      <c r="I288" s="61">
        <v>44749</v>
      </c>
      <c r="J288" s="33" t="s">
        <v>96</v>
      </c>
      <c r="K288" s="46">
        <v>0</v>
      </c>
      <c r="L288">
        <v>12.2</v>
      </c>
      <c r="M288" t="s">
        <v>48</v>
      </c>
      <c r="N288" s="46">
        <v>0</v>
      </c>
      <c r="O288" s="46">
        <v>0</v>
      </c>
      <c r="P288" s="46">
        <v>0</v>
      </c>
      <c r="Q288" t="s">
        <v>48</v>
      </c>
      <c r="R288" t="s">
        <v>48</v>
      </c>
      <c r="S288" t="s">
        <v>10382</v>
      </c>
      <c r="T288" t="s">
        <v>48</v>
      </c>
      <c r="U288" t="s">
        <v>10382</v>
      </c>
      <c r="V288" s="47">
        <v>1</v>
      </c>
      <c r="W288" t="s">
        <v>48</v>
      </c>
      <c r="X288" t="s">
        <v>48</v>
      </c>
      <c r="Y288" t="s">
        <v>48</v>
      </c>
      <c r="Z288" t="s">
        <v>48</v>
      </c>
      <c r="AA288" t="s">
        <v>48</v>
      </c>
      <c r="AB288" t="s">
        <v>48</v>
      </c>
      <c r="AC288" t="s">
        <v>49</v>
      </c>
      <c r="AD288" t="s">
        <v>93</v>
      </c>
      <c r="AE288" t="s">
        <v>4532</v>
      </c>
      <c r="AF288" t="s">
        <v>48</v>
      </c>
      <c r="AG288" t="s">
        <v>48</v>
      </c>
      <c r="AH288" t="s">
        <v>48</v>
      </c>
      <c r="AI288" t="s">
        <v>48</v>
      </c>
      <c r="AJ288" t="s">
        <v>48</v>
      </c>
      <c r="AK288" t="s">
        <v>48</v>
      </c>
      <c r="AL288" t="s">
        <v>48</v>
      </c>
      <c r="AM288" t="s">
        <v>48</v>
      </c>
      <c r="AN288" t="s">
        <v>48</v>
      </c>
      <c r="AO288" t="s">
        <v>48</v>
      </c>
      <c r="AP288" s="46">
        <v>0</v>
      </c>
      <c r="AQ288" s="46">
        <v>0</v>
      </c>
      <c r="AR288" s="46">
        <v>0</v>
      </c>
      <c r="AS288" s="46">
        <v>0</v>
      </c>
      <c r="AT288" s="46">
        <v>0</v>
      </c>
      <c r="AU288" s="46">
        <v>0</v>
      </c>
      <c r="AV288" s="46">
        <v>0</v>
      </c>
      <c r="AW288" s="46">
        <v>0</v>
      </c>
      <c r="AX288" s="46">
        <v>0</v>
      </c>
      <c r="AY288" s="46">
        <v>0</v>
      </c>
      <c r="AZ288" s="46">
        <v>0</v>
      </c>
      <c r="BA288" s="46">
        <v>0</v>
      </c>
      <c r="BB288" s="46">
        <v>0</v>
      </c>
      <c r="BC288" s="46">
        <v>0</v>
      </c>
      <c r="BD288" s="46">
        <v>0</v>
      </c>
      <c r="BE288" s="46">
        <v>0</v>
      </c>
      <c r="BF288" s="46">
        <v>0</v>
      </c>
      <c r="BG288" s="46" t="s">
        <v>48</v>
      </c>
      <c r="BH288" s="46">
        <v>0</v>
      </c>
      <c r="BI288" s="46">
        <v>0</v>
      </c>
      <c r="BJ288" s="46">
        <v>0</v>
      </c>
      <c r="BK288" s="46">
        <v>0</v>
      </c>
      <c r="BL288" s="46">
        <v>0</v>
      </c>
      <c r="BM288" s="46">
        <v>0</v>
      </c>
      <c r="BN288" s="46">
        <v>0</v>
      </c>
    </row>
    <row r="289" spans="1:66" x14ac:dyDescent="0.35">
      <c r="A289" t="s">
        <v>9751</v>
      </c>
      <c r="B289" s="44" t="s">
        <v>48</v>
      </c>
      <c r="C289" t="s">
        <v>2412</v>
      </c>
      <c r="D289" t="s">
        <v>191</v>
      </c>
      <c r="E289" t="s">
        <v>9752</v>
      </c>
      <c r="F289" t="s">
        <v>169</v>
      </c>
      <c r="G289" t="s">
        <v>74</v>
      </c>
      <c r="H289">
        <v>0</v>
      </c>
      <c r="I289" s="61">
        <v>44749</v>
      </c>
      <c r="J289" s="33" t="s">
        <v>96</v>
      </c>
      <c r="K289" s="46">
        <v>0</v>
      </c>
      <c r="L289">
        <v>13.8</v>
      </c>
      <c r="M289" t="s">
        <v>48</v>
      </c>
      <c r="N289" s="46">
        <v>0</v>
      </c>
      <c r="O289" s="46">
        <v>0</v>
      </c>
      <c r="P289" s="46">
        <v>0</v>
      </c>
      <c r="Q289" t="s">
        <v>48</v>
      </c>
      <c r="R289" t="s">
        <v>48</v>
      </c>
      <c r="S289" t="s">
        <v>10383</v>
      </c>
      <c r="T289" t="s">
        <v>48</v>
      </c>
      <c r="U289" t="s">
        <v>10383</v>
      </c>
      <c r="V289" s="47">
        <v>0</v>
      </c>
      <c r="W289" t="s">
        <v>48</v>
      </c>
      <c r="X289" t="s">
        <v>48</v>
      </c>
      <c r="Y289" t="s">
        <v>48</v>
      </c>
      <c r="Z289" t="s">
        <v>48</v>
      </c>
      <c r="AA289" t="s">
        <v>48</v>
      </c>
      <c r="AB289" t="s">
        <v>48</v>
      </c>
      <c r="AC289" t="s">
        <v>49</v>
      </c>
      <c r="AD289" t="s">
        <v>93</v>
      </c>
      <c r="AE289" t="s">
        <v>11051</v>
      </c>
      <c r="AF289" t="s">
        <v>11052</v>
      </c>
      <c r="AG289" t="s">
        <v>48</v>
      </c>
      <c r="AH289" t="s">
        <v>48</v>
      </c>
      <c r="AI289" t="s">
        <v>48</v>
      </c>
      <c r="AJ289" t="s">
        <v>48</v>
      </c>
      <c r="AK289" t="s">
        <v>48</v>
      </c>
      <c r="AL289" t="s">
        <v>48</v>
      </c>
      <c r="AM289" t="s">
        <v>48</v>
      </c>
      <c r="AN289" t="s">
        <v>48</v>
      </c>
      <c r="AO289" t="s">
        <v>48</v>
      </c>
      <c r="AP289" s="46">
        <v>0</v>
      </c>
      <c r="AQ289" s="46">
        <v>0</v>
      </c>
      <c r="AR289" s="46">
        <v>0</v>
      </c>
      <c r="AS289" s="46">
        <v>0</v>
      </c>
      <c r="AT289" s="46">
        <v>0</v>
      </c>
      <c r="AU289" s="46">
        <v>0</v>
      </c>
      <c r="AV289" s="46">
        <v>0</v>
      </c>
      <c r="AW289" s="46">
        <v>0</v>
      </c>
      <c r="AX289" s="46">
        <v>0</v>
      </c>
      <c r="AY289" s="46">
        <v>0</v>
      </c>
      <c r="AZ289" s="46">
        <v>0</v>
      </c>
      <c r="BA289" s="46">
        <v>0</v>
      </c>
      <c r="BB289" s="46">
        <v>0</v>
      </c>
      <c r="BC289" s="46">
        <v>0</v>
      </c>
      <c r="BD289" s="46">
        <v>0</v>
      </c>
      <c r="BE289" s="46">
        <v>0</v>
      </c>
      <c r="BF289" s="46">
        <v>0</v>
      </c>
      <c r="BG289" s="46" t="s">
        <v>48</v>
      </c>
      <c r="BH289" s="46">
        <v>0</v>
      </c>
      <c r="BI289" s="46">
        <v>0</v>
      </c>
      <c r="BJ289" s="46">
        <v>0</v>
      </c>
      <c r="BK289" s="46">
        <v>0</v>
      </c>
      <c r="BL289" s="46">
        <v>0</v>
      </c>
      <c r="BM289" s="46">
        <v>0</v>
      </c>
      <c r="BN289" s="46">
        <v>0</v>
      </c>
    </row>
    <row r="290" spans="1:66" x14ac:dyDescent="0.35">
      <c r="A290" t="s">
        <v>5610</v>
      </c>
      <c r="B290" t="s">
        <v>48</v>
      </c>
      <c r="C290" t="s">
        <v>5613</v>
      </c>
      <c r="D290" t="s">
        <v>350</v>
      </c>
      <c r="E290" t="s">
        <v>5611</v>
      </c>
      <c r="F290" t="s">
        <v>169</v>
      </c>
      <c r="G290" t="s">
        <v>47</v>
      </c>
      <c r="H290">
        <v>0</v>
      </c>
      <c r="I290" s="60" t="s">
        <v>51</v>
      </c>
      <c r="J290" s="33" t="s">
        <v>96</v>
      </c>
      <c r="K290" s="46">
        <v>0</v>
      </c>
      <c r="L290">
        <v>26.4</v>
      </c>
      <c r="M290" t="s">
        <v>48</v>
      </c>
      <c r="N290" s="46">
        <v>0</v>
      </c>
      <c r="O290" s="46">
        <v>0</v>
      </c>
      <c r="P290" s="46">
        <v>0</v>
      </c>
      <c r="Q290" t="s">
        <v>48</v>
      </c>
      <c r="R290" t="s">
        <v>48</v>
      </c>
      <c r="S290" t="s">
        <v>5612</v>
      </c>
      <c r="T290" t="s">
        <v>48</v>
      </c>
      <c r="U290" t="s">
        <v>5612</v>
      </c>
      <c r="V290" s="47">
        <v>0</v>
      </c>
      <c r="W290" t="s">
        <v>48</v>
      </c>
      <c r="X290" t="s">
        <v>48</v>
      </c>
      <c r="Y290" t="s">
        <v>48</v>
      </c>
      <c r="Z290">
        <v>0</v>
      </c>
      <c r="AA290" t="s">
        <v>48</v>
      </c>
      <c r="AB290" t="s">
        <v>48</v>
      </c>
      <c r="AC290" t="s">
        <v>49</v>
      </c>
      <c r="AD290" t="s">
        <v>93</v>
      </c>
      <c r="AE290" t="s">
        <v>4532</v>
      </c>
      <c r="AF290" t="s">
        <v>48</v>
      </c>
      <c r="AG290" t="s">
        <v>48</v>
      </c>
      <c r="AH290" t="s">
        <v>48</v>
      </c>
      <c r="AI290" t="s">
        <v>48</v>
      </c>
      <c r="AJ290" t="s">
        <v>48</v>
      </c>
      <c r="AK290" t="s">
        <v>48</v>
      </c>
      <c r="AL290" t="s">
        <v>48</v>
      </c>
      <c r="AM290" t="s">
        <v>48</v>
      </c>
      <c r="AN290" t="s">
        <v>48</v>
      </c>
      <c r="AO290" t="s">
        <v>48</v>
      </c>
      <c r="AP290" s="46">
        <v>0</v>
      </c>
      <c r="AQ290" s="46">
        <v>0</v>
      </c>
      <c r="AR290" s="46">
        <v>0</v>
      </c>
      <c r="AS290" s="46">
        <v>0</v>
      </c>
      <c r="AT290" s="46">
        <v>0</v>
      </c>
      <c r="AU290" s="46">
        <v>0</v>
      </c>
      <c r="AV290" s="46">
        <v>0</v>
      </c>
      <c r="AW290" s="46">
        <v>0</v>
      </c>
      <c r="AX290" s="46">
        <v>0</v>
      </c>
      <c r="AY290" s="46">
        <v>0</v>
      </c>
      <c r="AZ290" s="46">
        <v>0</v>
      </c>
      <c r="BA290" s="46">
        <v>0</v>
      </c>
      <c r="BB290" s="46">
        <v>0</v>
      </c>
      <c r="BC290" s="46">
        <v>0</v>
      </c>
      <c r="BD290" s="46">
        <v>0</v>
      </c>
      <c r="BE290" s="46">
        <v>0</v>
      </c>
      <c r="BF290" s="46">
        <v>0</v>
      </c>
      <c r="BG290" s="46" t="s">
        <v>48</v>
      </c>
      <c r="BH290" s="46">
        <v>0</v>
      </c>
      <c r="BI290" s="46">
        <v>0</v>
      </c>
      <c r="BJ290" s="46">
        <v>0</v>
      </c>
      <c r="BK290" s="46">
        <v>0</v>
      </c>
      <c r="BL290" s="46">
        <v>0</v>
      </c>
      <c r="BM290" s="46">
        <v>0</v>
      </c>
      <c r="BN290" s="46">
        <v>0</v>
      </c>
    </row>
    <row r="291" spans="1:66" x14ac:dyDescent="0.35">
      <c r="A291" t="s">
        <v>5595</v>
      </c>
      <c r="B291" s="44" t="s">
        <v>48</v>
      </c>
      <c r="C291" t="s">
        <v>5598</v>
      </c>
      <c r="D291" t="s">
        <v>331</v>
      </c>
      <c r="E291" t="s">
        <v>5596</v>
      </c>
      <c r="F291" t="s">
        <v>169</v>
      </c>
      <c r="G291" t="s">
        <v>74</v>
      </c>
      <c r="H291">
        <v>0</v>
      </c>
      <c r="I291" s="60" t="s">
        <v>177</v>
      </c>
      <c r="J291" s="33" t="s">
        <v>96</v>
      </c>
      <c r="K291" s="46">
        <v>0</v>
      </c>
      <c r="L291">
        <v>16.8</v>
      </c>
      <c r="M291">
        <v>34.5</v>
      </c>
      <c r="N291" s="46">
        <v>0</v>
      </c>
      <c r="O291" s="46">
        <v>0</v>
      </c>
      <c r="P291" s="46">
        <v>0</v>
      </c>
      <c r="Q291" t="s">
        <v>48</v>
      </c>
      <c r="R291" t="s">
        <v>48</v>
      </c>
      <c r="S291" t="s">
        <v>5597</v>
      </c>
      <c r="T291" t="s">
        <v>48</v>
      </c>
      <c r="U291" t="s">
        <v>5597</v>
      </c>
      <c r="V291" s="47">
        <v>0</v>
      </c>
      <c r="W291" t="s">
        <v>48</v>
      </c>
      <c r="X291" t="s">
        <v>48</v>
      </c>
      <c r="Y291" t="s">
        <v>48</v>
      </c>
      <c r="Z291">
        <v>0</v>
      </c>
      <c r="AA291" t="s">
        <v>48</v>
      </c>
      <c r="AB291" t="s">
        <v>48</v>
      </c>
      <c r="AC291" t="s">
        <v>49</v>
      </c>
      <c r="AD291" t="s">
        <v>93</v>
      </c>
      <c r="AE291" t="s">
        <v>4532</v>
      </c>
      <c r="AF291" t="s">
        <v>48</v>
      </c>
      <c r="AG291" t="s">
        <v>48</v>
      </c>
      <c r="AH291" t="s">
        <v>48</v>
      </c>
      <c r="AI291" t="s">
        <v>48</v>
      </c>
      <c r="AJ291" t="s">
        <v>48</v>
      </c>
      <c r="AK291" t="s">
        <v>48</v>
      </c>
      <c r="AL291" t="s">
        <v>48</v>
      </c>
      <c r="AM291" t="s">
        <v>48</v>
      </c>
      <c r="AN291" t="s">
        <v>48</v>
      </c>
      <c r="AO291" t="s">
        <v>48</v>
      </c>
      <c r="AP291" s="46">
        <v>0</v>
      </c>
      <c r="AQ291" s="46">
        <v>0</v>
      </c>
      <c r="AR291" s="46">
        <v>0</v>
      </c>
      <c r="AS291" s="46">
        <v>0</v>
      </c>
      <c r="AT291" s="46">
        <v>0</v>
      </c>
      <c r="AU291" s="46">
        <v>0</v>
      </c>
      <c r="AV291" s="46">
        <v>0</v>
      </c>
      <c r="AW291" s="46">
        <v>0</v>
      </c>
      <c r="AX291" s="46">
        <v>0</v>
      </c>
      <c r="AY291" s="46">
        <v>0</v>
      </c>
      <c r="AZ291" s="46">
        <v>0</v>
      </c>
      <c r="BA291" s="46">
        <v>0</v>
      </c>
      <c r="BB291" s="46">
        <v>0</v>
      </c>
      <c r="BC291" s="46">
        <v>0</v>
      </c>
      <c r="BD291" s="46">
        <v>0</v>
      </c>
      <c r="BE291" s="46">
        <v>0</v>
      </c>
      <c r="BF291" s="46">
        <v>0</v>
      </c>
      <c r="BG291" s="46" t="s">
        <v>48</v>
      </c>
      <c r="BH291" s="46">
        <v>0</v>
      </c>
      <c r="BI291" s="46">
        <v>0</v>
      </c>
      <c r="BJ291" s="46">
        <v>0</v>
      </c>
      <c r="BK291" s="46">
        <v>0</v>
      </c>
      <c r="BL291" s="46">
        <v>0</v>
      </c>
      <c r="BM291" s="46">
        <v>0</v>
      </c>
      <c r="BN291" s="46">
        <v>0</v>
      </c>
    </row>
    <row r="292" spans="1:66" x14ac:dyDescent="0.35">
      <c r="A292" t="s">
        <v>168</v>
      </c>
      <c r="B292" s="44" t="s">
        <v>48</v>
      </c>
      <c r="C292" t="s">
        <v>171</v>
      </c>
      <c r="D292" t="s">
        <v>87</v>
      </c>
      <c r="E292" t="s">
        <v>170</v>
      </c>
      <c r="F292" t="s">
        <v>169</v>
      </c>
      <c r="G292" t="s">
        <v>74</v>
      </c>
      <c r="H292">
        <v>0</v>
      </c>
      <c r="I292" s="60" t="s">
        <v>149</v>
      </c>
      <c r="J292" s="33" t="s">
        <v>96</v>
      </c>
      <c r="K292" s="46">
        <v>0</v>
      </c>
      <c r="L292">
        <v>13</v>
      </c>
      <c r="M292" t="s">
        <v>48</v>
      </c>
      <c r="N292" s="46">
        <v>0</v>
      </c>
      <c r="O292" s="46">
        <v>0</v>
      </c>
      <c r="P292" s="46">
        <v>0</v>
      </c>
      <c r="Q292" t="s">
        <v>48</v>
      </c>
      <c r="R292" t="s">
        <v>48</v>
      </c>
      <c r="S292" t="s">
        <v>10384</v>
      </c>
      <c r="T292" t="s">
        <v>48</v>
      </c>
      <c r="U292" t="s">
        <v>10384</v>
      </c>
      <c r="V292" s="47">
        <v>0</v>
      </c>
      <c r="W292" t="s">
        <v>11317</v>
      </c>
      <c r="X292" t="s">
        <v>48</v>
      </c>
      <c r="Y292" t="s">
        <v>48</v>
      </c>
      <c r="Z292">
        <v>0</v>
      </c>
      <c r="AA292" t="s">
        <v>48</v>
      </c>
      <c r="AB292" t="s">
        <v>48</v>
      </c>
      <c r="AC292" t="s">
        <v>63</v>
      </c>
      <c r="AD292" t="s">
        <v>93</v>
      </c>
      <c r="AE292" t="s">
        <v>4532</v>
      </c>
      <c r="AF292" t="s">
        <v>48</v>
      </c>
      <c r="AG292" t="s">
        <v>48</v>
      </c>
      <c r="AH292" t="s">
        <v>48</v>
      </c>
      <c r="AI292" t="s">
        <v>48</v>
      </c>
      <c r="AJ292" t="s">
        <v>48</v>
      </c>
      <c r="AK292" t="s">
        <v>48</v>
      </c>
      <c r="AL292" t="s">
        <v>48</v>
      </c>
      <c r="AM292" t="s">
        <v>48</v>
      </c>
      <c r="AN292" t="s">
        <v>48</v>
      </c>
      <c r="AO292" t="s">
        <v>48</v>
      </c>
      <c r="AP292" s="46">
        <v>0</v>
      </c>
      <c r="AQ292" s="46">
        <v>0</v>
      </c>
      <c r="AR292" s="46">
        <v>0</v>
      </c>
      <c r="AS292" s="46">
        <v>0</v>
      </c>
      <c r="AT292" s="46">
        <v>0</v>
      </c>
      <c r="AU292" s="46">
        <v>0</v>
      </c>
      <c r="AV292" s="46">
        <v>0</v>
      </c>
      <c r="AW292" s="46">
        <v>0</v>
      </c>
      <c r="AX292" s="46">
        <v>0</v>
      </c>
      <c r="AY292" s="46">
        <v>0</v>
      </c>
      <c r="AZ292" s="46">
        <v>0</v>
      </c>
      <c r="BA292" s="46">
        <v>0</v>
      </c>
      <c r="BB292" s="46">
        <v>0</v>
      </c>
      <c r="BC292" s="46">
        <v>0</v>
      </c>
      <c r="BD292" s="46">
        <v>0</v>
      </c>
      <c r="BE292" s="46">
        <v>0</v>
      </c>
      <c r="BF292" s="46">
        <v>0</v>
      </c>
      <c r="BG292" s="46" t="s">
        <v>48</v>
      </c>
      <c r="BH292" s="46">
        <v>0</v>
      </c>
      <c r="BI292" s="46">
        <v>0</v>
      </c>
      <c r="BJ292" s="46">
        <v>0</v>
      </c>
      <c r="BK292" s="46">
        <v>0</v>
      </c>
      <c r="BL292" s="46">
        <v>0</v>
      </c>
      <c r="BM292" s="46">
        <v>0</v>
      </c>
      <c r="BN292" s="46">
        <v>0</v>
      </c>
    </row>
    <row r="293" spans="1:66" x14ac:dyDescent="0.35">
      <c r="A293" t="s">
        <v>3200</v>
      </c>
      <c r="B293" t="s">
        <v>48</v>
      </c>
      <c r="C293" t="s">
        <v>3205</v>
      </c>
      <c r="D293" t="s">
        <v>3204</v>
      </c>
      <c r="E293" t="s">
        <v>5602</v>
      </c>
      <c r="F293" t="s">
        <v>169</v>
      </c>
      <c r="G293" t="s">
        <v>47</v>
      </c>
      <c r="H293">
        <v>0</v>
      </c>
      <c r="I293" s="60" t="s">
        <v>177</v>
      </c>
      <c r="J293" s="33" t="s">
        <v>96</v>
      </c>
      <c r="K293" s="46">
        <v>0</v>
      </c>
      <c r="L293">
        <v>5.8</v>
      </c>
      <c r="M293" t="s">
        <v>48</v>
      </c>
      <c r="N293" s="46">
        <v>0</v>
      </c>
      <c r="O293" s="46">
        <v>0</v>
      </c>
      <c r="P293" s="46">
        <v>0</v>
      </c>
      <c r="Q293" t="s">
        <v>48</v>
      </c>
      <c r="R293" t="s">
        <v>48</v>
      </c>
      <c r="S293" t="s">
        <v>5603</v>
      </c>
      <c r="T293" t="s">
        <v>48</v>
      </c>
      <c r="U293" t="s">
        <v>5603</v>
      </c>
      <c r="V293" s="47">
        <v>0</v>
      </c>
      <c r="W293" t="s">
        <v>48</v>
      </c>
      <c r="X293" t="s">
        <v>48</v>
      </c>
      <c r="Y293" t="s">
        <v>48</v>
      </c>
      <c r="Z293">
        <v>0</v>
      </c>
      <c r="AA293" t="s">
        <v>48</v>
      </c>
      <c r="AB293" t="s">
        <v>48</v>
      </c>
      <c r="AC293" t="s">
        <v>63</v>
      </c>
      <c r="AD293" t="s">
        <v>93</v>
      </c>
      <c r="AE293" t="s">
        <v>4532</v>
      </c>
      <c r="AF293" t="s">
        <v>48</v>
      </c>
      <c r="AG293" t="s">
        <v>48</v>
      </c>
      <c r="AH293" t="s">
        <v>48</v>
      </c>
      <c r="AI293" t="s">
        <v>48</v>
      </c>
      <c r="AJ293" t="s">
        <v>48</v>
      </c>
      <c r="AK293" t="s">
        <v>48</v>
      </c>
      <c r="AL293" t="s">
        <v>48</v>
      </c>
      <c r="AM293" t="s">
        <v>48</v>
      </c>
      <c r="AN293" t="s">
        <v>48</v>
      </c>
      <c r="AO293" t="s">
        <v>48</v>
      </c>
      <c r="AP293" s="46">
        <v>0</v>
      </c>
      <c r="AQ293" s="46">
        <v>0</v>
      </c>
      <c r="AR293" s="46">
        <v>0</v>
      </c>
      <c r="AS293" s="46">
        <v>0</v>
      </c>
      <c r="AT293" s="46">
        <v>0</v>
      </c>
      <c r="AU293" s="46">
        <v>0</v>
      </c>
      <c r="AV293" s="46">
        <v>0</v>
      </c>
      <c r="AW293" s="46">
        <v>0</v>
      </c>
      <c r="AX293" s="46">
        <v>0</v>
      </c>
      <c r="AY293" s="46">
        <v>0</v>
      </c>
      <c r="AZ293" s="46">
        <v>0</v>
      </c>
      <c r="BA293" s="46">
        <v>0</v>
      </c>
      <c r="BB293" s="46">
        <v>0</v>
      </c>
      <c r="BC293" s="46">
        <v>0</v>
      </c>
      <c r="BD293" s="46">
        <v>0</v>
      </c>
      <c r="BE293" s="46">
        <v>0</v>
      </c>
      <c r="BF293" s="46">
        <v>0</v>
      </c>
      <c r="BG293" s="46" t="s">
        <v>48</v>
      </c>
      <c r="BH293" s="46">
        <v>0</v>
      </c>
      <c r="BI293" s="46">
        <v>0</v>
      </c>
      <c r="BJ293" s="46">
        <v>0</v>
      </c>
      <c r="BK293" s="46">
        <v>0</v>
      </c>
      <c r="BL293" s="46">
        <v>0</v>
      </c>
      <c r="BM293" s="46">
        <v>0</v>
      </c>
      <c r="BN293" s="46">
        <v>0</v>
      </c>
    </row>
    <row r="294" spans="1:66" x14ac:dyDescent="0.35">
      <c r="A294" t="s">
        <v>8447</v>
      </c>
      <c r="B294" s="44" t="s">
        <v>48</v>
      </c>
      <c r="C294" t="s">
        <v>8452</v>
      </c>
      <c r="D294" t="s">
        <v>273</v>
      </c>
      <c r="E294" t="s">
        <v>8449</v>
      </c>
      <c r="F294" t="s">
        <v>8448</v>
      </c>
      <c r="G294" t="s">
        <v>74</v>
      </c>
      <c r="H294">
        <v>0</v>
      </c>
      <c r="I294" s="60" t="str">
        <f>"2022-06-29"</f>
        <v>2022-06-29</v>
      </c>
      <c r="J294" t="s">
        <v>96</v>
      </c>
      <c r="K294" s="46">
        <v>1</v>
      </c>
      <c r="L294" t="s">
        <v>48</v>
      </c>
      <c r="M294" t="s">
        <v>48</v>
      </c>
      <c r="N294" s="46">
        <v>0</v>
      </c>
      <c r="O294" s="46">
        <v>0</v>
      </c>
      <c r="P294" s="46">
        <v>0</v>
      </c>
      <c r="Q294" t="s">
        <v>48</v>
      </c>
      <c r="R294" t="s">
        <v>48</v>
      </c>
      <c r="S294" t="s">
        <v>8450</v>
      </c>
      <c r="T294" t="s">
        <v>8451</v>
      </c>
      <c r="U294" t="s">
        <v>8450</v>
      </c>
      <c r="V294" s="47">
        <v>0</v>
      </c>
      <c r="W294" t="s">
        <v>48</v>
      </c>
      <c r="X294" t="s">
        <v>48</v>
      </c>
      <c r="Y294" t="s">
        <v>48</v>
      </c>
      <c r="Z294">
        <v>0</v>
      </c>
      <c r="AA294" t="s">
        <v>48</v>
      </c>
      <c r="AB294" t="s">
        <v>48</v>
      </c>
      <c r="AC294" t="s">
        <v>49</v>
      </c>
      <c r="AD294" t="s">
        <v>93</v>
      </c>
      <c r="AE294" t="s">
        <v>4532</v>
      </c>
      <c r="AF294" t="s">
        <v>48</v>
      </c>
      <c r="AG294" t="s">
        <v>48</v>
      </c>
      <c r="AH294" t="s">
        <v>48</v>
      </c>
      <c r="AI294">
        <v>40908</v>
      </c>
      <c r="AJ294">
        <v>1956</v>
      </c>
      <c r="AK294" t="s">
        <v>8599</v>
      </c>
      <c r="AL294" t="s">
        <v>8453</v>
      </c>
      <c r="AM294">
        <v>-0.443</v>
      </c>
      <c r="AN294">
        <v>-0.73399999999999999</v>
      </c>
      <c r="AO294">
        <v>-0.443</v>
      </c>
      <c r="AP294" s="46">
        <v>0</v>
      </c>
      <c r="AQ294" s="46">
        <v>0</v>
      </c>
      <c r="AR294" s="46">
        <v>0</v>
      </c>
      <c r="AS294" s="46">
        <v>0</v>
      </c>
      <c r="AT294" s="46">
        <v>0</v>
      </c>
      <c r="AU294" s="46">
        <v>0</v>
      </c>
      <c r="AV294" s="46">
        <v>0</v>
      </c>
      <c r="AW294" s="46">
        <v>0</v>
      </c>
      <c r="AX294" s="46">
        <v>0</v>
      </c>
      <c r="AY294" s="46">
        <v>0</v>
      </c>
      <c r="AZ294" s="46">
        <v>0</v>
      </c>
      <c r="BA294" s="46">
        <v>0</v>
      </c>
      <c r="BB294" s="46">
        <v>0</v>
      </c>
      <c r="BC294" s="46">
        <v>0</v>
      </c>
      <c r="BD294" s="46">
        <v>0</v>
      </c>
      <c r="BE294" s="46">
        <v>0</v>
      </c>
      <c r="BF294" s="46">
        <v>0</v>
      </c>
      <c r="BG294" s="46" t="s">
        <v>48</v>
      </c>
      <c r="BH294" s="46">
        <v>0</v>
      </c>
      <c r="BI294" s="46">
        <v>0</v>
      </c>
      <c r="BJ294" s="46">
        <v>0</v>
      </c>
      <c r="BK294" s="46">
        <v>0</v>
      </c>
      <c r="BL294" s="46">
        <v>0</v>
      </c>
      <c r="BM294" s="46">
        <v>0</v>
      </c>
      <c r="BN294" s="46">
        <v>0</v>
      </c>
    </row>
    <row r="295" spans="1:66" x14ac:dyDescent="0.35">
      <c r="A295" t="s">
        <v>7923</v>
      </c>
      <c r="B295" s="44" t="s">
        <v>48</v>
      </c>
      <c r="C295" t="s">
        <v>447</v>
      </c>
      <c r="D295" t="s">
        <v>3238</v>
      </c>
      <c r="E295" t="s">
        <v>7922</v>
      </c>
      <c r="F295" t="s">
        <v>173</v>
      </c>
      <c r="G295" t="s">
        <v>74</v>
      </c>
      <c r="H295">
        <v>0</v>
      </c>
      <c r="I295" s="61">
        <v>44722</v>
      </c>
      <c r="J295" s="33" t="s">
        <v>96</v>
      </c>
      <c r="K295" s="46">
        <v>0</v>
      </c>
      <c r="L295">
        <v>3.5</v>
      </c>
      <c r="M295" t="s">
        <v>48</v>
      </c>
      <c r="N295" s="46">
        <v>0</v>
      </c>
      <c r="O295" s="46">
        <v>0</v>
      </c>
      <c r="P295" s="46">
        <v>0</v>
      </c>
      <c r="Q295" t="s">
        <v>48</v>
      </c>
      <c r="R295" t="s">
        <v>48</v>
      </c>
      <c r="S295" t="s">
        <v>48</v>
      </c>
      <c r="T295" t="s">
        <v>48</v>
      </c>
      <c r="U295" t="s">
        <v>48</v>
      </c>
      <c r="V295" s="47">
        <v>1</v>
      </c>
      <c r="W295" t="s">
        <v>48</v>
      </c>
      <c r="X295" t="s">
        <v>48</v>
      </c>
      <c r="Y295" t="s">
        <v>48</v>
      </c>
      <c r="Z295" t="s">
        <v>48</v>
      </c>
      <c r="AA295" t="s">
        <v>48</v>
      </c>
      <c r="AB295" t="s">
        <v>48</v>
      </c>
      <c r="AC295" t="s">
        <v>49</v>
      </c>
      <c r="AD295" t="s">
        <v>48</v>
      </c>
      <c r="AE295" t="s">
        <v>48</v>
      </c>
      <c r="AF295" t="s">
        <v>48</v>
      </c>
      <c r="AG295" t="s">
        <v>48</v>
      </c>
      <c r="AH295" t="s">
        <v>48</v>
      </c>
      <c r="AI295" t="s">
        <v>48</v>
      </c>
      <c r="AJ295" t="s">
        <v>48</v>
      </c>
      <c r="AK295" t="s">
        <v>48</v>
      </c>
      <c r="AL295" t="s">
        <v>48</v>
      </c>
      <c r="AM295" t="s">
        <v>48</v>
      </c>
      <c r="AN295" t="s">
        <v>48</v>
      </c>
      <c r="AO295" t="s">
        <v>48</v>
      </c>
      <c r="AP295" s="46">
        <v>0</v>
      </c>
      <c r="AQ295" s="46">
        <v>0</v>
      </c>
      <c r="AR295" s="46">
        <v>0</v>
      </c>
      <c r="AS295" s="46">
        <v>0</v>
      </c>
      <c r="AT295" s="46">
        <v>0</v>
      </c>
      <c r="AU295" s="46">
        <v>0</v>
      </c>
      <c r="AV295" s="46">
        <v>0</v>
      </c>
      <c r="AW295" s="46">
        <v>0</v>
      </c>
      <c r="AX295" s="46">
        <v>0</v>
      </c>
      <c r="AY295" s="46">
        <v>0</v>
      </c>
      <c r="AZ295" s="46">
        <v>0</v>
      </c>
      <c r="BA295" s="46">
        <v>0</v>
      </c>
      <c r="BB295" s="46">
        <v>0</v>
      </c>
      <c r="BC295" s="46">
        <v>0</v>
      </c>
      <c r="BD295" s="46">
        <v>0</v>
      </c>
      <c r="BE295" s="46">
        <v>0</v>
      </c>
      <c r="BF295" s="46">
        <v>0</v>
      </c>
      <c r="BG295" s="46" t="s">
        <v>48</v>
      </c>
      <c r="BH295" s="46">
        <v>0</v>
      </c>
      <c r="BI295" s="46">
        <v>0</v>
      </c>
      <c r="BJ295" s="46">
        <v>0</v>
      </c>
      <c r="BK295" s="46">
        <v>0</v>
      </c>
      <c r="BL295" s="46">
        <v>0</v>
      </c>
      <c r="BM295" s="46">
        <v>0</v>
      </c>
      <c r="BN295" s="46">
        <v>0</v>
      </c>
    </row>
    <row r="296" spans="1:66" x14ac:dyDescent="0.35">
      <c r="A296" t="s">
        <v>7921</v>
      </c>
      <c r="B296" t="s">
        <v>48</v>
      </c>
      <c r="C296" t="s">
        <v>11897</v>
      </c>
      <c r="D296" t="s">
        <v>237</v>
      </c>
      <c r="E296" t="s">
        <v>7920</v>
      </c>
      <c r="F296" t="s">
        <v>173</v>
      </c>
      <c r="G296" t="s">
        <v>47</v>
      </c>
      <c r="H296">
        <v>0</v>
      </c>
      <c r="I296" s="61">
        <v>44722</v>
      </c>
      <c r="J296" s="33" t="s">
        <v>96</v>
      </c>
      <c r="K296" s="46">
        <v>0</v>
      </c>
      <c r="L296">
        <v>8.1999999999999993</v>
      </c>
      <c r="M296" t="s">
        <v>48</v>
      </c>
      <c r="N296" s="46">
        <v>0</v>
      </c>
      <c r="O296" s="46">
        <v>0</v>
      </c>
      <c r="P296" s="46">
        <v>0</v>
      </c>
      <c r="Q296" t="s">
        <v>48</v>
      </c>
      <c r="R296" t="s">
        <v>48</v>
      </c>
      <c r="S296" t="s">
        <v>48</v>
      </c>
      <c r="T296" t="s">
        <v>48</v>
      </c>
      <c r="U296" t="s">
        <v>48</v>
      </c>
      <c r="V296" s="47">
        <v>0</v>
      </c>
      <c r="W296" t="s">
        <v>48</v>
      </c>
      <c r="X296" t="s">
        <v>48</v>
      </c>
      <c r="Y296" t="s">
        <v>48</v>
      </c>
      <c r="Z296" t="s">
        <v>48</v>
      </c>
      <c r="AA296" t="s">
        <v>48</v>
      </c>
      <c r="AB296" t="s">
        <v>48</v>
      </c>
      <c r="AC296" t="s">
        <v>49</v>
      </c>
      <c r="AD296" t="s">
        <v>93</v>
      </c>
      <c r="AE296" t="s">
        <v>4532</v>
      </c>
      <c r="AF296" t="s">
        <v>48</v>
      </c>
      <c r="AG296" t="s">
        <v>48</v>
      </c>
      <c r="AH296" t="s">
        <v>48</v>
      </c>
      <c r="AI296" t="s">
        <v>48</v>
      </c>
      <c r="AJ296" t="s">
        <v>48</v>
      </c>
      <c r="AK296" t="s">
        <v>48</v>
      </c>
      <c r="AL296" t="s">
        <v>48</v>
      </c>
      <c r="AM296" t="s">
        <v>48</v>
      </c>
      <c r="AN296" t="s">
        <v>48</v>
      </c>
      <c r="AO296" t="s">
        <v>48</v>
      </c>
      <c r="AP296" s="46">
        <v>0</v>
      </c>
      <c r="AQ296" s="46">
        <v>0</v>
      </c>
      <c r="AR296" s="46">
        <v>0</v>
      </c>
      <c r="AS296" s="46">
        <v>0</v>
      </c>
      <c r="AT296" s="46">
        <v>0</v>
      </c>
      <c r="AU296" s="46">
        <v>0</v>
      </c>
      <c r="AV296" s="46">
        <v>0</v>
      </c>
      <c r="AW296" s="46">
        <v>0</v>
      </c>
      <c r="AX296" s="46">
        <v>0</v>
      </c>
      <c r="AY296" s="46">
        <v>0</v>
      </c>
      <c r="AZ296" s="46">
        <v>0</v>
      </c>
      <c r="BA296" s="46">
        <v>0</v>
      </c>
      <c r="BB296" s="46">
        <v>0</v>
      </c>
      <c r="BC296" s="46">
        <v>0</v>
      </c>
      <c r="BD296" s="46">
        <v>0</v>
      </c>
      <c r="BE296" s="46">
        <v>0</v>
      </c>
      <c r="BF296" s="46">
        <v>0</v>
      </c>
      <c r="BG296" s="46" t="s">
        <v>48</v>
      </c>
      <c r="BH296" s="46">
        <v>0</v>
      </c>
      <c r="BI296" s="46">
        <v>0</v>
      </c>
      <c r="BJ296" s="46">
        <v>0</v>
      </c>
      <c r="BK296" s="46">
        <v>0</v>
      </c>
      <c r="BL296" s="46">
        <v>0</v>
      </c>
      <c r="BM296" s="46">
        <v>0</v>
      </c>
      <c r="BN296" s="46">
        <v>0</v>
      </c>
    </row>
    <row r="297" spans="1:66" x14ac:dyDescent="0.35">
      <c r="A297" t="s">
        <v>5736</v>
      </c>
      <c r="B297" t="s">
        <v>48</v>
      </c>
      <c r="C297" t="s">
        <v>5739</v>
      </c>
      <c r="D297" t="s">
        <v>2910</v>
      </c>
      <c r="E297" t="s">
        <v>5737</v>
      </c>
      <c r="F297" t="s">
        <v>173</v>
      </c>
      <c r="G297" t="s">
        <v>47</v>
      </c>
      <c r="H297">
        <v>0</v>
      </c>
      <c r="I297" s="60" t="s">
        <v>177</v>
      </c>
      <c r="J297" s="33" t="s">
        <v>96</v>
      </c>
      <c r="K297" s="46">
        <v>0</v>
      </c>
      <c r="L297">
        <v>31</v>
      </c>
      <c r="M297" t="s">
        <v>48</v>
      </c>
      <c r="N297" s="46">
        <v>0</v>
      </c>
      <c r="O297" s="46">
        <v>0</v>
      </c>
      <c r="P297" s="46">
        <v>0</v>
      </c>
      <c r="Q297" t="s">
        <v>48</v>
      </c>
      <c r="R297" t="s">
        <v>48</v>
      </c>
      <c r="S297" t="s">
        <v>5738</v>
      </c>
      <c r="T297" t="s">
        <v>48</v>
      </c>
      <c r="U297" t="s">
        <v>5738</v>
      </c>
      <c r="V297" s="47">
        <v>0</v>
      </c>
      <c r="W297" t="s">
        <v>48</v>
      </c>
      <c r="X297" t="s">
        <v>48</v>
      </c>
      <c r="Y297" t="s">
        <v>48</v>
      </c>
      <c r="Z297">
        <v>0</v>
      </c>
      <c r="AA297" t="s">
        <v>48</v>
      </c>
      <c r="AB297" t="s">
        <v>48</v>
      </c>
      <c r="AC297" t="s">
        <v>49</v>
      </c>
      <c r="AD297" t="s">
        <v>93</v>
      </c>
      <c r="AE297" t="s">
        <v>4532</v>
      </c>
      <c r="AF297" t="s">
        <v>48</v>
      </c>
      <c r="AG297" t="s">
        <v>48</v>
      </c>
      <c r="AH297" t="s">
        <v>48</v>
      </c>
      <c r="AI297" t="s">
        <v>48</v>
      </c>
      <c r="AJ297" t="s">
        <v>48</v>
      </c>
      <c r="AK297" t="s">
        <v>48</v>
      </c>
      <c r="AL297" t="s">
        <v>48</v>
      </c>
      <c r="AM297" t="s">
        <v>48</v>
      </c>
      <c r="AN297" t="s">
        <v>48</v>
      </c>
      <c r="AO297" t="s">
        <v>48</v>
      </c>
      <c r="AP297" s="46">
        <v>0</v>
      </c>
      <c r="AQ297" s="46">
        <v>0</v>
      </c>
      <c r="AR297" s="46">
        <v>0</v>
      </c>
      <c r="AS297" s="46">
        <v>0</v>
      </c>
      <c r="AT297" s="46">
        <v>0</v>
      </c>
      <c r="AU297" s="46">
        <v>0</v>
      </c>
      <c r="AV297" s="46">
        <v>0</v>
      </c>
      <c r="AW297" s="46">
        <v>0</v>
      </c>
      <c r="AX297" s="46">
        <v>0</v>
      </c>
      <c r="AY297" s="46">
        <v>0</v>
      </c>
      <c r="AZ297" s="46">
        <v>0</v>
      </c>
      <c r="BA297" s="46">
        <v>0</v>
      </c>
      <c r="BB297" s="46">
        <v>0</v>
      </c>
      <c r="BC297" s="46">
        <v>0</v>
      </c>
      <c r="BD297" s="46">
        <v>0</v>
      </c>
      <c r="BE297" s="46">
        <v>0</v>
      </c>
      <c r="BF297" s="46">
        <v>0</v>
      </c>
      <c r="BG297" s="46" t="s">
        <v>48</v>
      </c>
      <c r="BH297" s="46">
        <v>0</v>
      </c>
      <c r="BI297" s="46">
        <v>0</v>
      </c>
      <c r="BJ297" s="46">
        <v>0</v>
      </c>
      <c r="BK297" s="46">
        <v>0</v>
      </c>
      <c r="BL297" s="46">
        <v>0</v>
      </c>
      <c r="BM297" s="46">
        <v>0</v>
      </c>
      <c r="BN297" s="46">
        <v>0</v>
      </c>
    </row>
    <row r="298" spans="1:66" x14ac:dyDescent="0.35">
      <c r="A298" t="s">
        <v>5743</v>
      </c>
      <c r="B298" t="s">
        <v>48</v>
      </c>
      <c r="C298" t="s">
        <v>5747</v>
      </c>
      <c r="D298" t="s">
        <v>5746</v>
      </c>
      <c r="E298" t="s">
        <v>5744</v>
      </c>
      <c r="F298" t="s">
        <v>173</v>
      </c>
      <c r="G298" t="s">
        <v>47</v>
      </c>
      <c r="H298">
        <v>0</v>
      </c>
      <c r="I298" s="60" t="s">
        <v>78</v>
      </c>
      <c r="J298" s="33" t="s">
        <v>96</v>
      </c>
      <c r="K298" s="46">
        <v>0</v>
      </c>
      <c r="L298">
        <v>1.9</v>
      </c>
      <c r="M298" t="s">
        <v>48</v>
      </c>
      <c r="N298" s="46">
        <v>0</v>
      </c>
      <c r="O298" s="46">
        <v>0</v>
      </c>
      <c r="P298" s="46">
        <v>0</v>
      </c>
      <c r="Q298" t="s">
        <v>48</v>
      </c>
      <c r="R298" t="s">
        <v>48</v>
      </c>
      <c r="S298" t="s">
        <v>5745</v>
      </c>
      <c r="T298" t="s">
        <v>48</v>
      </c>
      <c r="U298" t="s">
        <v>5745</v>
      </c>
      <c r="V298" s="47">
        <v>0</v>
      </c>
      <c r="W298" t="s">
        <v>48</v>
      </c>
      <c r="X298" t="s">
        <v>48</v>
      </c>
      <c r="Y298" t="s">
        <v>48</v>
      </c>
      <c r="Z298">
        <v>0</v>
      </c>
      <c r="AA298" t="s">
        <v>48</v>
      </c>
      <c r="AB298" t="s">
        <v>48</v>
      </c>
      <c r="AC298" t="s">
        <v>49</v>
      </c>
      <c r="AD298" t="s">
        <v>93</v>
      </c>
      <c r="AE298" t="s">
        <v>11051</v>
      </c>
      <c r="AF298" t="s">
        <v>11066</v>
      </c>
      <c r="AG298" t="s">
        <v>48</v>
      </c>
      <c r="AH298" t="s">
        <v>48</v>
      </c>
      <c r="AI298" t="s">
        <v>48</v>
      </c>
      <c r="AJ298" t="s">
        <v>48</v>
      </c>
      <c r="AK298" t="s">
        <v>48</v>
      </c>
      <c r="AL298" t="s">
        <v>48</v>
      </c>
      <c r="AM298" t="s">
        <v>48</v>
      </c>
      <c r="AN298" t="s">
        <v>48</v>
      </c>
      <c r="AO298" t="s">
        <v>48</v>
      </c>
      <c r="AP298" s="46">
        <v>0</v>
      </c>
      <c r="AQ298" s="46">
        <v>0</v>
      </c>
      <c r="AR298" s="46">
        <v>0</v>
      </c>
      <c r="AS298" s="46">
        <v>0</v>
      </c>
      <c r="AT298" s="46">
        <v>0</v>
      </c>
      <c r="AU298" s="46">
        <v>0</v>
      </c>
      <c r="AV298" s="46">
        <v>0</v>
      </c>
      <c r="AW298" s="46">
        <v>0</v>
      </c>
      <c r="AX298" s="46">
        <v>0</v>
      </c>
      <c r="AY298" s="46">
        <v>0</v>
      </c>
      <c r="AZ298" s="46">
        <v>0</v>
      </c>
      <c r="BA298" s="46">
        <v>0</v>
      </c>
      <c r="BB298" s="46">
        <v>0</v>
      </c>
      <c r="BC298" s="46">
        <v>0</v>
      </c>
      <c r="BD298" s="46">
        <v>0</v>
      </c>
      <c r="BE298" s="46">
        <v>0</v>
      </c>
      <c r="BF298" s="46">
        <v>0</v>
      </c>
      <c r="BG298" s="46" t="s">
        <v>48</v>
      </c>
      <c r="BH298" s="46">
        <v>0</v>
      </c>
      <c r="BI298" s="46">
        <v>0</v>
      </c>
      <c r="BJ298" s="46">
        <v>0</v>
      </c>
      <c r="BK298" s="46">
        <v>0</v>
      </c>
      <c r="BL298" s="46">
        <v>0</v>
      </c>
      <c r="BM298" s="46">
        <v>0</v>
      </c>
      <c r="BN298" s="46">
        <v>0</v>
      </c>
    </row>
    <row r="299" spans="1:66" x14ac:dyDescent="0.35">
      <c r="A299" t="s">
        <v>5730</v>
      </c>
      <c r="B299" t="s">
        <v>48</v>
      </c>
      <c r="C299" t="s">
        <v>5733</v>
      </c>
      <c r="D299" t="s">
        <v>331</v>
      </c>
      <c r="E299" t="s">
        <v>5731</v>
      </c>
      <c r="F299" t="s">
        <v>173</v>
      </c>
      <c r="G299" t="s">
        <v>47</v>
      </c>
      <c r="H299">
        <v>0</v>
      </c>
      <c r="I299" s="60" t="s">
        <v>177</v>
      </c>
      <c r="J299" s="33" t="s">
        <v>96</v>
      </c>
      <c r="K299" s="46">
        <v>0</v>
      </c>
      <c r="L299">
        <v>11.4</v>
      </c>
      <c r="M299" t="s">
        <v>48</v>
      </c>
      <c r="N299" s="46">
        <v>0</v>
      </c>
      <c r="O299" s="46">
        <v>0</v>
      </c>
      <c r="P299" s="46">
        <v>0</v>
      </c>
      <c r="Q299" t="s">
        <v>48</v>
      </c>
      <c r="R299" t="s">
        <v>48</v>
      </c>
      <c r="S299" t="s">
        <v>5732</v>
      </c>
      <c r="T299" t="s">
        <v>48</v>
      </c>
      <c r="U299" t="s">
        <v>5732</v>
      </c>
      <c r="V299" s="47">
        <v>0</v>
      </c>
      <c r="W299" t="s">
        <v>48</v>
      </c>
      <c r="X299" t="s">
        <v>48</v>
      </c>
      <c r="Y299" t="s">
        <v>48</v>
      </c>
      <c r="Z299">
        <v>0</v>
      </c>
      <c r="AA299" t="s">
        <v>48</v>
      </c>
      <c r="AB299" t="s">
        <v>48</v>
      </c>
      <c r="AC299" t="s">
        <v>49</v>
      </c>
      <c r="AD299" t="s">
        <v>93</v>
      </c>
      <c r="AE299" t="s">
        <v>4532</v>
      </c>
      <c r="AF299" t="s">
        <v>48</v>
      </c>
      <c r="AG299" t="s">
        <v>48</v>
      </c>
      <c r="AH299" t="s">
        <v>48</v>
      </c>
      <c r="AI299" t="s">
        <v>48</v>
      </c>
      <c r="AJ299" t="s">
        <v>48</v>
      </c>
      <c r="AK299" t="s">
        <v>48</v>
      </c>
      <c r="AL299" t="s">
        <v>48</v>
      </c>
      <c r="AM299" t="s">
        <v>48</v>
      </c>
      <c r="AN299" t="s">
        <v>48</v>
      </c>
      <c r="AO299" t="s">
        <v>48</v>
      </c>
      <c r="AP299" s="46">
        <v>0</v>
      </c>
      <c r="AQ299" s="46">
        <v>0</v>
      </c>
      <c r="AR299" s="46">
        <v>0</v>
      </c>
      <c r="AS299" s="46">
        <v>0</v>
      </c>
      <c r="AT299" s="46">
        <v>0</v>
      </c>
      <c r="AU299" s="46">
        <v>0</v>
      </c>
      <c r="AV299" s="46">
        <v>0</v>
      </c>
      <c r="AW299" s="46">
        <v>0</v>
      </c>
      <c r="AX299" s="46">
        <v>0</v>
      </c>
      <c r="AY299" s="46">
        <v>0</v>
      </c>
      <c r="AZ299" s="46">
        <v>0</v>
      </c>
      <c r="BA299" s="46">
        <v>0</v>
      </c>
      <c r="BB299" s="46">
        <v>0</v>
      </c>
      <c r="BC299" s="46">
        <v>0</v>
      </c>
      <c r="BD299" s="46">
        <v>0</v>
      </c>
      <c r="BE299" s="46">
        <v>0</v>
      </c>
      <c r="BF299" s="46">
        <v>0</v>
      </c>
      <c r="BG299" s="46" t="s">
        <v>48</v>
      </c>
      <c r="BH299" s="46">
        <v>0</v>
      </c>
      <c r="BI299" s="46">
        <v>0</v>
      </c>
      <c r="BJ299" s="46">
        <v>0</v>
      </c>
      <c r="BK299" s="46">
        <v>0</v>
      </c>
      <c r="BL299" s="46">
        <v>0</v>
      </c>
      <c r="BM299" s="46">
        <v>0</v>
      </c>
      <c r="BN299" s="46">
        <v>0</v>
      </c>
    </row>
    <row r="300" spans="1:66" x14ac:dyDescent="0.35">
      <c r="A300" t="s">
        <v>5734</v>
      </c>
      <c r="B300" t="s">
        <v>48</v>
      </c>
      <c r="C300" t="s">
        <v>5053</v>
      </c>
      <c r="D300" t="s">
        <v>210</v>
      </c>
      <c r="E300" t="s">
        <v>5735</v>
      </c>
      <c r="F300" t="s">
        <v>173</v>
      </c>
      <c r="G300" t="s">
        <v>47</v>
      </c>
      <c r="H300">
        <v>0</v>
      </c>
      <c r="I300" s="60" t="s">
        <v>125</v>
      </c>
      <c r="J300" s="33" t="s">
        <v>96</v>
      </c>
      <c r="K300" s="46">
        <v>0</v>
      </c>
      <c r="L300">
        <v>2</v>
      </c>
      <c r="M300" t="s">
        <v>48</v>
      </c>
      <c r="N300" s="46">
        <v>0</v>
      </c>
      <c r="O300" s="46">
        <v>0</v>
      </c>
      <c r="P300" s="46">
        <v>0</v>
      </c>
      <c r="Q300" t="s">
        <v>48</v>
      </c>
      <c r="R300" t="s">
        <v>48</v>
      </c>
      <c r="S300" t="s">
        <v>48</v>
      </c>
      <c r="T300" t="s">
        <v>48</v>
      </c>
      <c r="U300" t="s">
        <v>48</v>
      </c>
      <c r="V300" s="47">
        <v>0</v>
      </c>
      <c r="W300" t="s">
        <v>48</v>
      </c>
      <c r="X300" t="s">
        <v>48</v>
      </c>
      <c r="Y300" t="s">
        <v>48</v>
      </c>
      <c r="Z300">
        <v>0</v>
      </c>
      <c r="AA300" t="s">
        <v>48</v>
      </c>
      <c r="AB300" t="s">
        <v>48</v>
      </c>
      <c r="AC300" t="s">
        <v>49</v>
      </c>
      <c r="AD300" t="s">
        <v>48</v>
      </c>
      <c r="AE300" t="s">
        <v>48</v>
      </c>
      <c r="AF300" t="s">
        <v>48</v>
      </c>
      <c r="AG300" t="s">
        <v>48</v>
      </c>
      <c r="AH300" t="s">
        <v>48</v>
      </c>
      <c r="AI300" t="s">
        <v>48</v>
      </c>
      <c r="AJ300" t="s">
        <v>48</v>
      </c>
      <c r="AK300" t="s">
        <v>48</v>
      </c>
      <c r="AL300" t="s">
        <v>48</v>
      </c>
      <c r="AM300" t="s">
        <v>48</v>
      </c>
      <c r="AN300" t="s">
        <v>48</v>
      </c>
      <c r="AO300" t="s">
        <v>48</v>
      </c>
      <c r="AP300" s="46">
        <v>0</v>
      </c>
      <c r="AQ300" s="46">
        <v>0</v>
      </c>
      <c r="AR300" s="46">
        <v>0</v>
      </c>
      <c r="AS300" s="46">
        <v>0</v>
      </c>
      <c r="AT300" s="46">
        <v>0</v>
      </c>
      <c r="AU300" s="46">
        <v>0</v>
      </c>
      <c r="AV300" s="46">
        <v>0</v>
      </c>
      <c r="AW300" s="46">
        <v>0</v>
      </c>
      <c r="AX300" s="46">
        <v>0</v>
      </c>
      <c r="AY300" s="46">
        <v>0</v>
      </c>
      <c r="AZ300" s="46">
        <v>0</v>
      </c>
      <c r="BA300" s="46">
        <v>0</v>
      </c>
      <c r="BB300" s="46">
        <v>0</v>
      </c>
      <c r="BC300" s="46">
        <v>0</v>
      </c>
      <c r="BD300" s="46">
        <v>0</v>
      </c>
      <c r="BE300" s="46">
        <v>0</v>
      </c>
      <c r="BF300" s="46">
        <v>0</v>
      </c>
      <c r="BG300" s="46" t="s">
        <v>48</v>
      </c>
      <c r="BH300" s="46">
        <v>0</v>
      </c>
      <c r="BI300" s="46">
        <v>0</v>
      </c>
      <c r="BJ300" s="46">
        <v>0</v>
      </c>
      <c r="BK300" s="46">
        <v>0</v>
      </c>
      <c r="BL300" s="46">
        <v>0</v>
      </c>
      <c r="BM300" s="46">
        <v>0</v>
      </c>
      <c r="BN300" s="46">
        <v>0</v>
      </c>
    </row>
    <row r="301" spans="1:66" x14ac:dyDescent="0.35">
      <c r="A301" t="s">
        <v>5740</v>
      </c>
      <c r="B301" t="s">
        <v>48</v>
      </c>
      <c r="C301" t="s">
        <v>468</v>
      </c>
      <c r="D301" t="s">
        <v>5742</v>
      </c>
      <c r="E301" t="s">
        <v>5741</v>
      </c>
      <c r="F301" t="s">
        <v>173</v>
      </c>
      <c r="G301" t="s">
        <v>47</v>
      </c>
      <c r="H301">
        <v>0</v>
      </c>
      <c r="I301" s="60" t="s">
        <v>177</v>
      </c>
      <c r="J301" s="33" t="s">
        <v>96</v>
      </c>
      <c r="K301" s="46">
        <v>0</v>
      </c>
      <c r="L301">
        <v>12.3</v>
      </c>
      <c r="M301" t="s">
        <v>48</v>
      </c>
      <c r="N301" s="46">
        <v>0</v>
      </c>
      <c r="O301" s="46">
        <v>0</v>
      </c>
      <c r="P301" s="46">
        <v>0</v>
      </c>
      <c r="Q301" t="s">
        <v>48</v>
      </c>
      <c r="R301" t="s">
        <v>48</v>
      </c>
      <c r="S301" t="s">
        <v>48</v>
      </c>
      <c r="T301" t="s">
        <v>48</v>
      </c>
      <c r="U301" t="s">
        <v>48</v>
      </c>
      <c r="V301" s="47">
        <v>0</v>
      </c>
      <c r="W301" t="s">
        <v>48</v>
      </c>
      <c r="X301" t="s">
        <v>48</v>
      </c>
      <c r="Y301" t="s">
        <v>48</v>
      </c>
      <c r="Z301">
        <v>0</v>
      </c>
      <c r="AA301" t="s">
        <v>48</v>
      </c>
      <c r="AB301" t="s">
        <v>48</v>
      </c>
      <c r="AC301" t="s">
        <v>49</v>
      </c>
      <c r="AD301" t="s">
        <v>93</v>
      </c>
      <c r="AE301" t="s">
        <v>4532</v>
      </c>
      <c r="AF301" t="s">
        <v>48</v>
      </c>
      <c r="AG301" t="s">
        <v>48</v>
      </c>
      <c r="AH301" t="s">
        <v>48</v>
      </c>
      <c r="AI301" t="s">
        <v>48</v>
      </c>
      <c r="AJ301" t="s">
        <v>48</v>
      </c>
      <c r="AK301" t="s">
        <v>48</v>
      </c>
      <c r="AL301" t="s">
        <v>48</v>
      </c>
      <c r="AM301" t="s">
        <v>48</v>
      </c>
      <c r="AN301" t="s">
        <v>48</v>
      </c>
      <c r="AO301" t="s">
        <v>48</v>
      </c>
      <c r="AP301" s="46">
        <v>0</v>
      </c>
      <c r="AQ301" s="46">
        <v>0</v>
      </c>
      <c r="AR301" s="46">
        <v>0</v>
      </c>
      <c r="AS301" s="46">
        <v>0</v>
      </c>
      <c r="AT301" s="46">
        <v>0</v>
      </c>
      <c r="AU301" s="46">
        <v>0</v>
      </c>
      <c r="AV301" s="46">
        <v>0</v>
      </c>
      <c r="AW301" s="46">
        <v>0</v>
      </c>
      <c r="AX301" s="46">
        <v>0</v>
      </c>
      <c r="AY301" s="46">
        <v>0</v>
      </c>
      <c r="AZ301" s="46">
        <v>0</v>
      </c>
      <c r="BA301" s="46">
        <v>0</v>
      </c>
      <c r="BB301" s="46">
        <v>0</v>
      </c>
      <c r="BC301" s="46">
        <v>0</v>
      </c>
      <c r="BD301" s="46">
        <v>0</v>
      </c>
      <c r="BE301" s="46">
        <v>0</v>
      </c>
      <c r="BF301" s="46">
        <v>0</v>
      </c>
      <c r="BG301" s="46" t="s">
        <v>48</v>
      </c>
      <c r="BH301" s="46">
        <v>0</v>
      </c>
      <c r="BI301" s="46">
        <v>0</v>
      </c>
      <c r="BJ301" s="46">
        <v>0</v>
      </c>
      <c r="BK301" s="46">
        <v>0</v>
      </c>
      <c r="BL301" s="46">
        <v>0</v>
      </c>
      <c r="BM301" s="46">
        <v>0</v>
      </c>
      <c r="BN301" s="46">
        <v>0</v>
      </c>
    </row>
    <row r="302" spans="1:66" x14ac:dyDescent="0.35">
      <c r="A302" t="s">
        <v>5726</v>
      </c>
      <c r="B302" s="44" t="s">
        <v>48</v>
      </c>
      <c r="C302" t="s">
        <v>5729</v>
      </c>
      <c r="D302" t="s">
        <v>262</v>
      </c>
      <c r="E302" t="s">
        <v>5727</v>
      </c>
      <c r="F302" t="s">
        <v>173</v>
      </c>
      <c r="G302" t="s">
        <v>74</v>
      </c>
      <c r="H302">
        <v>0</v>
      </c>
      <c r="I302" s="60" t="s">
        <v>177</v>
      </c>
      <c r="J302" s="33" t="s">
        <v>96</v>
      </c>
      <c r="K302" s="46">
        <v>0</v>
      </c>
      <c r="L302">
        <v>7.1</v>
      </c>
      <c r="M302" t="s">
        <v>48</v>
      </c>
      <c r="N302" s="46">
        <v>0</v>
      </c>
      <c r="O302" s="46">
        <v>0</v>
      </c>
      <c r="P302" s="46">
        <v>0</v>
      </c>
      <c r="Q302" t="s">
        <v>48</v>
      </c>
      <c r="R302" t="s">
        <v>48</v>
      </c>
      <c r="S302" t="s">
        <v>5728</v>
      </c>
      <c r="T302" t="s">
        <v>48</v>
      </c>
      <c r="U302" t="s">
        <v>5728</v>
      </c>
      <c r="V302" s="47">
        <v>0</v>
      </c>
      <c r="W302" t="s">
        <v>48</v>
      </c>
      <c r="X302" t="s">
        <v>48</v>
      </c>
      <c r="Y302" t="s">
        <v>48</v>
      </c>
      <c r="Z302">
        <v>0</v>
      </c>
      <c r="AA302" t="s">
        <v>48</v>
      </c>
      <c r="AB302" t="s">
        <v>48</v>
      </c>
      <c r="AC302" t="s">
        <v>49</v>
      </c>
      <c r="AD302" t="s">
        <v>93</v>
      </c>
      <c r="AE302" t="s">
        <v>4532</v>
      </c>
      <c r="AF302" t="s">
        <v>48</v>
      </c>
      <c r="AG302" t="s">
        <v>48</v>
      </c>
      <c r="AH302" t="s">
        <v>48</v>
      </c>
      <c r="AI302" t="s">
        <v>48</v>
      </c>
      <c r="AJ302" t="s">
        <v>48</v>
      </c>
      <c r="AK302" t="s">
        <v>48</v>
      </c>
      <c r="AL302" t="s">
        <v>48</v>
      </c>
      <c r="AM302" t="s">
        <v>48</v>
      </c>
      <c r="AN302" t="s">
        <v>48</v>
      </c>
      <c r="AO302" t="s">
        <v>48</v>
      </c>
      <c r="AP302" s="46">
        <v>0</v>
      </c>
      <c r="AQ302" s="46">
        <v>0</v>
      </c>
      <c r="AR302" s="46">
        <v>0</v>
      </c>
      <c r="AS302" s="46">
        <v>0</v>
      </c>
      <c r="AT302" s="46">
        <v>0</v>
      </c>
      <c r="AU302" s="46">
        <v>0</v>
      </c>
      <c r="AV302" s="46">
        <v>0</v>
      </c>
      <c r="AW302" s="46">
        <v>0</v>
      </c>
      <c r="AX302" s="46">
        <v>0</v>
      </c>
      <c r="AY302" s="46">
        <v>0</v>
      </c>
      <c r="AZ302" s="46">
        <v>0</v>
      </c>
      <c r="BA302" s="46">
        <v>0</v>
      </c>
      <c r="BB302" s="46">
        <v>0</v>
      </c>
      <c r="BC302" s="46">
        <v>0</v>
      </c>
      <c r="BD302" s="46">
        <v>0</v>
      </c>
      <c r="BE302" s="46">
        <v>0</v>
      </c>
      <c r="BF302" s="46">
        <v>0</v>
      </c>
      <c r="BG302" s="46" t="s">
        <v>48</v>
      </c>
      <c r="BH302" s="46">
        <v>0</v>
      </c>
      <c r="BI302" s="46">
        <v>0</v>
      </c>
      <c r="BJ302" s="46">
        <v>0</v>
      </c>
      <c r="BK302" s="46">
        <v>0</v>
      </c>
      <c r="BL302" s="46">
        <v>0</v>
      </c>
      <c r="BM302" s="46">
        <v>0</v>
      </c>
      <c r="BN302" s="46">
        <v>0</v>
      </c>
    </row>
    <row r="303" spans="1:66" x14ac:dyDescent="0.35">
      <c r="A303" t="s">
        <v>5928</v>
      </c>
      <c r="B303" s="44" t="s">
        <v>48</v>
      </c>
      <c r="C303" t="s">
        <v>451</v>
      </c>
      <c r="D303" t="s">
        <v>210</v>
      </c>
      <c r="E303" t="s">
        <v>5930</v>
      </c>
      <c r="F303" t="s">
        <v>5929</v>
      </c>
      <c r="G303" t="s">
        <v>74</v>
      </c>
      <c r="H303">
        <v>0</v>
      </c>
      <c r="I303" s="60" t="s">
        <v>51</v>
      </c>
      <c r="J303" s="33" t="s">
        <v>96</v>
      </c>
      <c r="K303" s="46">
        <v>1</v>
      </c>
      <c r="L303" t="s">
        <v>48</v>
      </c>
      <c r="M303" t="s">
        <v>48</v>
      </c>
      <c r="N303" s="46">
        <v>0</v>
      </c>
      <c r="O303" s="46">
        <v>0</v>
      </c>
      <c r="P303" s="46">
        <v>0</v>
      </c>
      <c r="Q303" t="s">
        <v>48</v>
      </c>
      <c r="R303" t="s">
        <v>48</v>
      </c>
      <c r="S303" t="s">
        <v>48</v>
      </c>
      <c r="T303" t="s">
        <v>5931</v>
      </c>
      <c r="U303" t="s">
        <v>48</v>
      </c>
      <c r="V303" s="47">
        <v>0</v>
      </c>
      <c r="W303" t="s">
        <v>48</v>
      </c>
      <c r="X303" t="s">
        <v>48</v>
      </c>
      <c r="Y303" t="s">
        <v>48</v>
      </c>
      <c r="Z303">
        <v>0</v>
      </c>
      <c r="AA303" t="s">
        <v>48</v>
      </c>
      <c r="AB303" t="s">
        <v>48</v>
      </c>
      <c r="AC303" t="s">
        <v>49</v>
      </c>
      <c r="AD303" t="s">
        <v>93</v>
      </c>
      <c r="AE303" t="s">
        <v>4532</v>
      </c>
      <c r="AF303" t="s">
        <v>48</v>
      </c>
      <c r="AG303" t="s">
        <v>48</v>
      </c>
      <c r="AH303" t="s">
        <v>48</v>
      </c>
      <c r="AI303">
        <v>40703</v>
      </c>
      <c r="AJ303">
        <v>1960</v>
      </c>
      <c r="AK303" t="s">
        <v>8600</v>
      </c>
      <c r="AL303" t="s">
        <v>8601</v>
      </c>
      <c r="AM303">
        <v>-0.314</v>
      </c>
      <c r="AN303">
        <v>0.183</v>
      </c>
      <c r="AO303">
        <v>-0.314</v>
      </c>
      <c r="AP303" s="46">
        <v>0</v>
      </c>
      <c r="AQ303" s="46">
        <v>0</v>
      </c>
      <c r="AR303" s="46">
        <v>0</v>
      </c>
      <c r="AS303" s="46">
        <v>0</v>
      </c>
      <c r="AT303" s="46">
        <v>0</v>
      </c>
      <c r="AU303" s="46">
        <v>0</v>
      </c>
      <c r="AV303" s="46">
        <v>0</v>
      </c>
      <c r="AW303" s="46">
        <v>0</v>
      </c>
      <c r="AX303" s="46">
        <v>0</v>
      </c>
      <c r="AY303" s="46">
        <v>0</v>
      </c>
      <c r="AZ303" s="46">
        <v>0</v>
      </c>
      <c r="BA303" s="46">
        <v>0</v>
      </c>
      <c r="BB303" s="46">
        <v>0</v>
      </c>
      <c r="BC303" s="46">
        <v>0</v>
      </c>
      <c r="BD303" s="46">
        <v>0</v>
      </c>
      <c r="BE303" s="46">
        <v>0</v>
      </c>
      <c r="BF303" s="46">
        <v>0</v>
      </c>
      <c r="BG303" s="46" t="s">
        <v>48</v>
      </c>
      <c r="BH303" s="46">
        <v>0</v>
      </c>
      <c r="BI303" s="46">
        <v>0</v>
      </c>
      <c r="BJ303" s="46">
        <v>0</v>
      </c>
      <c r="BK303" s="46">
        <v>0</v>
      </c>
      <c r="BL303" s="46">
        <v>0</v>
      </c>
      <c r="BM303" s="46">
        <v>0</v>
      </c>
      <c r="BN303" s="46">
        <v>0</v>
      </c>
    </row>
    <row r="304" spans="1:66" x14ac:dyDescent="0.35">
      <c r="A304" t="s">
        <v>5953</v>
      </c>
      <c r="B304" s="44" t="s">
        <v>48</v>
      </c>
      <c r="C304" t="s">
        <v>5956</v>
      </c>
      <c r="D304" t="s">
        <v>5216</v>
      </c>
      <c r="E304" t="s">
        <v>5954</v>
      </c>
      <c r="F304" t="s">
        <v>178</v>
      </c>
      <c r="G304" t="s">
        <v>74</v>
      </c>
      <c r="H304">
        <v>0</v>
      </c>
      <c r="I304" s="60" t="s">
        <v>177</v>
      </c>
      <c r="J304" s="33" t="s">
        <v>96</v>
      </c>
      <c r="K304" s="46">
        <v>0</v>
      </c>
      <c r="L304">
        <v>4.25</v>
      </c>
      <c r="M304" t="s">
        <v>48</v>
      </c>
      <c r="N304" s="46">
        <v>0</v>
      </c>
      <c r="O304" s="46">
        <v>0</v>
      </c>
      <c r="P304" s="46">
        <v>0</v>
      </c>
      <c r="Q304" t="s">
        <v>48</v>
      </c>
      <c r="R304" t="s">
        <v>48</v>
      </c>
      <c r="S304" t="s">
        <v>5955</v>
      </c>
      <c r="T304" t="s">
        <v>48</v>
      </c>
      <c r="U304" t="s">
        <v>5955</v>
      </c>
      <c r="V304" s="47">
        <v>0</v>
      </c>
      <c r="W304" t="s">
        <v>11317</v>
      </c>
      <c r="X304" t="s">
        <v>48</v>
      </c>
      <c r="Y304" t="s">
        <v>48</v>
      </c>
      <c r="Z304">
        <v>0</v>
      </c>
      <c r="AA304" t="s">
        <v>48</v>
      </c>
      <c r="AB304" t="s">
        <v>48</v>
      </c>
      <c r="AC304" t="s">
        <v>63</v>
      </c>
      <c r="AD304" t="s">
        <v>93</v>
      </c>
      <c r="AE304" t="s">
        <v>11051</v>
      </c>
      <c r="AF304" t="s">
        <v>11083</v>
      </c>
      <c r="AG304" t="s">
        <v>148</v>
      </c>
      <c r="AH304" t="s">
        <v>48</v>
      </c>
      <c r="AI304" t="s">
        <v>48</v>
      </c>
      <c r="AJ304" t="s">
        <v>48</v>
      </c>
      <c r="AK304" t="s">
        <v>48</v>
      </c>
      <c r="AL304" t="s">
        <v>48</v>
      </c>
      <c r="AM304" t="s">
        <v>48</v>
      </c>
      <c r="AN304" t="s">
        <v>48</v>
      </c>
      <c r="AO304" t="s">
        <v>48</v>
      </c>
      <c r="AP304" s="46">
        <v>0</v>
      </c>
      <c r="AQ304" s="46">
        <v>0</v>
      </c>
      <c r="AR304" s="46">
        <v>0</v>
      </c>
      <c r="AS304" s="46">
        <v>0</v>
      </c>
      <c r="AT304" s="46">
        <v>0</v>
      </c>
      <c r="AU304" s="46">
        <v>0</v>
      </c>
      <c r="AV304" s="46">
        <v>0</v>
      </c>
      <c r="AW304" s="46">
        <v>0</v>
      </c>
      <c r="AX304" s="46">
        <v>0</v>
      </c>
      <c r="AY304" s="46">
        <v>0</v>
      </c>
      <c r="AZ304" s="46">
        <v>0</v>
      </c>
      <c r="BA304" s="46">
        <v>0</v>
      </c>
      <c r="BB304" s="46">
        <v>0</v>
      </c>
      <c r="BC304" s="46">
        <v>0</v>
      </c>
      <c r="BD304" s="46">
        <v>0</v>
      </c>
      <c r="BE304" s="46">
        <v>0</v>
      </c>
      <c r="BF304" s="46">
        <v>0</v>
      </c>
      <c r="BG304" s="46" t="s">
        <v>48</v>
      </c>
      <c r="BH304" s="46">
        <v>0</v>
      </c>
      <c r="BI304" s="46">
        <v>0</v>
      </c>
      <c r="BJ304" s="46">
        <v>0</v>
      </c>
      <c r="BK304" s="46">
        <v>0</v>
      </c>
      <c r="BL304" s="46">
        <v>0</v>
      </c>
      <c r="BM304" s="46">
        <v>0</v>
      </c>
      <c r="BN304" s="46">
        <v>0</v>
      </c>
    </row>
    <row r="305" spans="1:66" x14ac:dyDescent="0.35">
      <c r="A305" t="s">
        <v>5966</v>
      </c>
      <c r="B305" t="s">
        <v>48</v>
      </c>
      <c r="C305" t="s">
        <v>5969</v>
      </c>
      <c r="D305" t="s">
        <v>2132</v>
      </c>
      <c r="E305" t="s">
        <v>5967</v>
      </c>
      <c r="F305" t="s">
        <v>178</v>
      </c>
      <c r="G305" t="s">
        <v>47</v>
      </c>
      <c r="H305">
        <v>0</v>
      </c>
      <c r="I305" s="60" t="s">
        <v>51</v>
      </c>
      <c r="J305" s="33" t="s">
        <v>96</v>
      </c>
      <c r="K305" s="46">
        <v>0</v>
      </c>
      <c r="L305">
        <v>5.4</v>
      </c>
      <c r="M305" t="s">
        <v>48</v>
      </c>
      <c r="N305" s="46">
        <v>0</v>
      </c>
      <c r="O305" s="46">
        <v>0</v>
      </c>
      <c r="P305" s="46">
        <v>0</v>
      </c>
      <c r="Q305" t="s">
        <v>48</v>
      </c>
      <c r="R305" t="s">
        <v>48</v>
      </c>
      <c r="S305" t="s">
        <v>5968</v>
      </c>
      <c r="T305" t="s">
        <v>48</v>
      </c>
      <c r="U305" t="s">
        <v>5968</v>
      </c>
      <c r="V305" s="47">
        <v>0</v>
      </c>
      <c r="W305" t="s">
        <v>48</v>
      </c>
      <c r="X305" t="s">
        <v>48</v>
      </c>
      <c r="Y305" t="s">
        <v>48</v>
      </c>
      <c r="Z305">
        <v>0</v>
      </c>
      <c r="AA305" t="s">
        <v>48</v>
      </c>
      <c r="AB305" t="s">
        <v>48</v>
      </c>
      <c r="AC305" t="s">
        <v>63</v>
      </c>
      <c r="AD305" t="s">
        <v>93</v>
      </c>
      <c r="AE305" t="s">
        <v>4532</v>
      </c>
      <c r="AF305" t="s">
        <v>48</v>
      </c>
      <c r="AG305" t="s">
        <v>48</v>
      </c>
      <c r="AH305" t="s">
        <v>93</v>
      </c>
      <c r="AI305" t="s">
        <v>48</v>
      </c>
      <c r="AJ305">
        <v>1960</v>
      </c>
      <c r="AK305" t="s">
        <v>48</v>
      </c>
      <c r="AL305" t="s">
        <v>48</v>
      </c>
      <c r="AM305" t="s">
        <v>48</v>
      </c>
      <c r="AN305" t="s">
        <v>48</v>
      </c>
      <c r="AO305" t="s">
        <v>48</v>
      </c>
      <c r="AP305" s="46">
        <v>0</v>
      </c>
      <c r="AQ305" s="46">
        <v>0</v>
      </c>
      <c r="AR305" s="46">
        <v>0</v>
      </c>
      <c r="AS305" s="46">
        <v>0</v>
      </c>
      <c r="AT305" s="46">
        <v>0</v>
      </c>
      <c r="AU305" s="46">
        <v>0</v>
      </c>
      <c r="AV305" s="46">
        <v>0</v>
      </c>
      <c r="AW305" s="46">
        <v>0</v>
      </c>
      <c r="AX305" s="46">
        <v>0</v>
      </c>
      <c r="AY305" s="46">
        <v>0</v>
      </c>
      <c r="AZ305" s="46">
        <v>0</v>
      </c>
      <c r="BA305" s="46">
        <v>0</v>
      </c>
      <c r="BB305" s="46">
        <v>0</v>
      </c>
      <c r="BC305" s="46">
        <v>0</v>
      </c>
      <c r="BD305" s="46">
        <v>0</v>
      </c>
      <c r="BE305" s="46">
        <v>0</v>
      </c>
      <c r="BF305" s="46">
        <v>0</v>
      </c>
      <c r="BG305" s="46" t="s">
        <v>48</v>
      </c>
      <c r="BH305" s="46">
        <v>0</v>
      </c>
      <c r="BI305" s="46">
        <v>0</v>
      </c>
      <c r="BJ305" s="46">
        <v>0</v>
      </c>
      <c r="BK305" s="46">
        <v>0</v>
      </c>
      <c r="BL305" s="46">
        <v>0</v>
      </c>
      <c r="BM305" s="46">
        <v>0</v>
      </c>
      <c r="BN305" s="46">
        <v>0</v>
      </c>
    </row>
    <row r="306" spans="1:66" x14ac:dyDescent="0.35">
      <c r="A306" t="s">
        <v>11571</v>
      </c>
      <c r="B306" s="44" t="s">
        <v>48</v>
      </c>
      <c r="C306" t="s">
        <v>12303</v>
      </c>
      <c r="D306" t="s">
        <v>3314</v>
      </c>
      <c r="E306" t="s">
        <v>5957</v>
      </c>
      <c r="F306" t="s">
        <v>178</v>
      </c>
      <c r="G306" t="s">
        <v>74</v>
      </c>
      <c r="H306">
        <v>0</v>
      </c>
      <c r="I306" s="60" t="s">
        <v>51</v>
      </c>
      <c r="J306" s="33" t="s">
        <v>96</v>
      </c>
      <c r="K306" s="46">
        <v>0</v>
      </c>
      <c r="L306">
        <v>26.47</v>
      </c>
      <c r="M306" t="s">
        <v>48</v>
      </c>
      <c r="N306" s="46">
        <v>0</v>
      </c>
      <c r="O306" s="46">
        <v>0</v>
      </c>
      <c r="P306" s="46">
        <v>0</v>
      </c>
      <c r="Q306" t="s">
        <v>48</v>
      </c>
      <c r="R306" t="s">
        <v>48</v>
      </c>
      <c r="S306" t="s">
        <v>5911</v>
      </c>
      <c r="T306" t="s">
        <v>48</v>
      </c>
      <c r="U306" t="s">
        <v>5911</v>
      </c>
      <c r="V306" s="47">
        <v>0</v>
      </c>
      <c r="W306" t="s">
        <v>48</v>
      </c>
      <c r="X306" t="s">
        <v>48</v>
      </c>
      <c r="Y306" t="s">
        <v>48</v>
      </c>
      <c r="Z306">
        <v>0</v>
      </c>
      <c r="AA306" t="s">
        <v>48</v>
      </c>
      <c r="AB306" t="s">
        <v>794</v>
      </c>
      <c r="AC306" t="s">
        <v>49</v>
      </c>
      <c r="AD306" t="s">
        <v>93</v>
      </c>
      <c r="AE306" t="s">
        <v>4532</v>
      </c>
      <c r="AF306" t="s">
        <v>48</v>
      </c>
      <c r="AG306" t="s">
        <v>140</v>
      </c>
      <c r="AH306" t="s">
        <v>93</v>
      </c>
      <c r="AI306" t="s">
        <v>48</v>
      </c>
      <c r="AJ306">
        <v>1984</v>
      </c>
      <c r="AK306" t="s">
        <v>48</v>
      </c>
      <c r="AL306" t="s">
        <v>48</v>
      </c>
      <c r="AM306" t="s">
        <v>48</v>
      </c>
      <c r="AN306" t="s">
        <v>48</v>
      </c>
      <c r="AO306" t="s">
        <v>48</v>
      </c>
      <c r="AP306" s="46">
        <v>0</v>
      </c>
      <c r="AQ306" s="46">
        <v>0</v>
      </c>
      <c r="AR306" s="46">
        <v>0</v>
      </c>
      <c r="AS306" s="46">
        <v>0</v>
      </c>
      <c r="AT306" s="46">
        <v>0</v>
      </c>
      <c r="AU306" s="46">
        <v>0</v>
      </c>
      <c r="AV306" s="46">
        <v>0</v>
      </c>
      <c r="AW306" s="46">
        <v>0</v>
      </c>
      <c r="AX306" s="46">
        <v>0</v>
      </c>
      <c r="AY306" s="46">
        <v>0</v>
      </c>
      <c r="AZ306" s="46">
        <v>0</v>
      </c>
      <c r="BA306" s="46">
        <v>0</v>
      </c>
      <c r="BB306" s="46">
        <v>0</v>
      </c>
      <c r="BC306" s="46">
        <v>0</v>
      </c>
      <c r="BD306" s="46">
        <v>0</v>
      </c>
      <c r="BE306" s="46">
        <v>0</v>
      </c>
      <c r="BF306" s="46">
        <v>0</v>
      </c>
      <c r="BG306" s="46" t="s">
        <v>48</v>
      </c>
      <c r="BH306" s="46">
        <v>0</v>
      </c>
      <c r="BI306" s="46">
        <v>0</v>
      </c>
      <c r="BJ306" s="46">
        <v>0</v>
      </c>
      <c r="BK306" s="46">
        <v>0</v>
      </c>
      <c r="BL306" s="46">
        <v>0</v>
      </c>
      <c r="BM306" s="46">
        <v>0</v>
      </c>
      <c r="BN306" s="46">
        <v>0</v>
      </c>
    </row>
    <row r="307" spans="1:66" x14ac:dyDescent="0.35">
      <c r="A307" t="s">
        <v>5958</v>
      </c>
      <c r="B307" t="s">
        <v>48</v>
      </c>
      <c r="C307" t="s">
        <v>2288</v>
      </c>
      <c r="D307" t="s">
        <v>268</v>
      </c>
      <c r="E307" t="s">
        <v>5959</v>
      </c>
      <c r="F307" t="s">
        <v>178</v>
      </c>
      <c r="G307" t="s">
        <v>47</v>
      </c>
      <c r="H307">
        <v>0</v>
      </c>
      <c r="I307" s="60" t="s">
        <v>881</v>
      </c>
      <c r="J307" s="33" t="s">
        <v>96</v>
      </c>
      <c r="K307" s="46">
        <v>0</v>
      </c>
      <c r="L307">
        <v>31.1</v>
      </c>
      <c r="M307" t="s">
        <v>48</v>
      </c>
      <c r="N307" s="46">
        <v>0</v>
      </c>
      <c r="O307" s="46">
        <v>0</v>
      </c>
      <c r="P307" s="46">
        <v>0</v>
      </c>
      <c r="Q307" t="s">
        <v>48</v>
      </c>
      <c r="R307" t="s">
        <v>48</v>
      </c>
      <c r="S307" t="s">
        <v>5960</v>
      </c>
      <c r="T307" t="s">
        <v>48</v>
      </c>
      <c r="U307" t="s">
        <v>5960</v>
      </c>
      <c r="V307" s="47">
        <v>0</v>
      </c>
      <c r="W307" t="s">
        <v>48</v>
      </c>
      <c r="X307" t="s">
        <v>48</v>
      </c>
      <c r="Y307" t="s">
        <v>48</v>
      </c>
      <c r="Z307">
        <v>0</v>
      </c>
      <c r="AA307" t="s">
        <v>48</v>
      </c>
      <c r="AB307" t="s">
        <v>48</v>
      </c>
      <c r="AC307" t="s">
        <v>49</v>
      </c>
      <c r="AD307" t="s">
        <v>93</v>
      </c>
      <c r="AE307" t="s">
        <v>4532</v>
      </c>
      <c r="AF307" t="s">
        <v>48</v>
      </c>
      <c r="AG307" t="s">
        <v>48</v>
      </c>
      <c r="AH307" t="s">
        <v>48</v>
      </c>
      <c r="AI307" t="s">
        <v>48</v>
      </c>
      <c r="AJ307" t="s">
        <v>48</v>
      </c>
      <c r="AK307" t="s">
        <v>48</v>
      </c>
      <c r="AL307" t="s">
        <v>48</v>
      </c>
      <c r="AM307" t="s">
        <v>48</v>
      </c>
      <c r="AN307" t="s">
        <v>48</v>
      </c>
      <c r="AO307" t="s">
        <v>48</v>
      </c>
      <c r="AP307" s="46">
        <v>0</v>
      </c>
      <c r="AQ307" s="46">
        <v>0</v>
      </c>
      <c r="AR307" s="46">
        <v>0</v>
      </c>
      <c r="AS307" s="46">
        <v>0</v>
      </c>
      <c r="AT307" s="46">
        <v>0</v>
      </c>
      <c r="AU307" s="46">
        <v>0</v>
      </c>
      <c r="AV307" s="46">
        <v>0</v>
      </c>
      <c r="AW307" s="46">
        <v>0</v>
      </c>
      <c r="AX307" s="46">
        <v>0</v>
      </c>
      <c r="AY307" s="46">
        <v>0</v>
      </c>
      <c r="AZ307" s="46">
        <v>0</v>
      </c>
      <c r="BA307" s="46">
        <v>0</v>
      </c>
      <c r="BB307" s="46">
        <v>0</v>
      </c>
      <c r="BC307" s="46">
        <v>0</v>
      </c>
      <c r="BD307" s="46">
        <v>0</v>
      </c>
      <c r="BE307" s="46">
        <v>0</v>
      </c>
      <c r="BF307" s="46">
        <v>0</v>
      </c>
      <c r="BG307" s="46" t="s">
        <v>48</v>
      </c>
      <c r="BH307" s="46">
        <v>0</v>
      </c>
      <c r="BI307" s="46">
        <v>0</v>
      </c>
      <c r="BJ307" s="46">
        <v>0</v>
      </c>
      <c r="BK307" s="46">
        <v>0</v>
      </c>
      <c r="BL307" s="46">
        <v>0</v>
      </c>
      <c r="BM307" s="46">
        <v>0</v>
      </c>
      <c r="BN307" s="46">
        <v>0</v>
      </c>
    </row>
    <row r="308" spans="1:66" x14ac:dyDescent="0.35">
      <c r="A308" t="s">
        <v>5940</v>
      </c>
      <c r="B308" t="s">
        <v>48</v>
      </c>
      <c r="C308" t="s">
        <v>12302</v>
      </c>
      <c r="D308" t="s">
        <v>1783</v>
      </c>
      <c r="E308" t="s">
        <v>5941</v>
      </c>
      <c r="F308" t="s">
        <v>178</v>
      </c>
      <c r="G308" t="s">
        <v>47</v>
      </c>
      <c r="H308">
        <v>0</v>
      </c>
      <c r="I308" s="60" t="s">
        <v>78</v>
      </c>
      <c r="J308" s="33" t="s">
        <v>96</v>
      </c>
      <c r="K308" s="46">
        <v>0</v>
      </c>
      <c r="L308">
        <v>1.1000000000000001</v>
      </c>
      <c r="M308" t="s">
        <v>48</v>
      </c>
      <c r="N308" s="46">
        <v>0</v>
      </c>
      <c r="O308" s="46">
        <v>0</v>
      </c>
      <c r="P308" s="46">
        <v>0</v>
      </c>
      <c r="Q308" t="s">
        <v>48</v>
      </c>
      <c r="R308" t="s">
        <v>48</v>
      </c>
      <c r="S308" t="s">
        <v>48</v>
      </c>
      <c r="T308" t="s">
        <v>48</v>
      </c>
      <c r="U308" t="s">
        <v>48</v>
      </c>
      <c r="V308" s="47">
        <v>0</v>
      </c>
      <c r="W308" t="s">
        <v>48</v>
      </c>
      <c r="X308" t="s">
        <v>48</v>
      </c>
      <c r="Y308" t="s">
        <v>48</v>
      </c>
      <c r="Z308">
        <v>0</v>
      </c>
      <c r="AA308" t="s">
        <v>48</v>
      </c>
      <c r="AB308" t="s">
        <v>48</v>
      </c>
      <c r="AC308" t="s">
        <v>49</v>
      </c>
      <c r="AD308" t="s">
        <v>93</v>
      </c>
      <c r="AE308" t="s">
        <v>4532</v>
      </c>
      <c r="AF308" t="s">
        <v>48</v>
      </c>
      <c r="AG308" t="s">
        <v>48</v>
      </c>
      <c r="AH308" t="s">
        <v>48</v>
      </c>
      <c r="AI308" t="s">
        <v>48</v>
      </c>
      <c r="AJ308" t="s">
        <v>48</v>
      </c>
      <c r="AK308" t="s">
        <v>48</v>
      </c>
      <c r="AL308" t="s">
        <v>48</v>
      </c>
      <c r="AM308" t="s">
        <v>48</v>
      </c>
      <c r="AN308" t="s">
        <v>48</v>
      </c>
      <c r="AO308" t="s">
        <v>48</v>
      </c>
      <c r="AP308" s="46">
        <v>0</v>
      </c>
      <c r="AQ308" s="46">
        <v>0</v>
      </c>
      <c r="AR308" s="46">
        <v>0</v>
      </c>
      <c r="AS308" s="46">
        <v>0</v>
      </c>
      <c r="AT308" s="46">
        <v>0</v>
      </c>
      <c r="AU308" s="46">
        <v>0</v>
      </c>
      <c r="AV308" s="46">
        <v>0</v>
      </c>
      <c r="AW308" s="46">
        <v>0</v>
      </c>
      <c r="AX308" s="46">
        <v>0</v>
      </c>
      <c r="AY308" s="46">
        <v>0</v>
      </c>
      <c r="AZ308" s="46">
        <v>0</v>
      </c>
      <c r="BA308" s="46">
        <v>0</v>
      </c>
      <c r="BB308" s="46">
        <v>0</v>
      </c>
      <c r="BC308" s="46">
        <v>0</v>
      </c>
      <c r="BD308" s="46">
        <v>0</v>
      </c>
      <c r="BE308" s="46">
        <v>0</v>
      </c>
      <c r="BF308" s="46">
        <v>0</v>
      </c>
      <c r="BG308" s="46" t="s">
        <v>48</v>
      </c>
      <c r="BH308" s="46">
        <v>0</v>
      </c>
      <c r="BI308" s="46">
        <v>0</v>
      </c>
      <c r="BJ308" s="46">
        <v>0</v>
      </c>
      <c r="BK308" s="46">
        <v>0</v>
      </c>
      <c r="BL308" s="46">
        <v>0</v>
      </c>
      <c r="BM308" s="46">
        <v>0</v>
      </c>
      <c r="BN308" s="46">
        <v>0</v>
      </c>
    </row>
    <row r="309" spans="1:66" x14ac:dyDescent="0.35">
      <c r="A309" t="s">
        <v>5936</v>
      </c>
      <c r="B309" t="s">
        <v>48</v>
      </c>
      <c r="C309" t="s">
        <v>5939</v>
      </c>
      <c r="D309" t="s">
        <v>273</v>
      </c>
      <c r="E309" t="s">
        <v>5937</v>
      </c>
      <c r="F309" t="s">
        <v>178</v>
      </c>
      <c r="G309" t="s">
        <v>47</v>
      </c>
      <c r="H309">
        <v>0</v>
      </c>
      <c r="I309" s="60" t="s">
        <v>51</v>
      </c>
      <c r="J309" s="33" t="s">
        <v>96</v>
      </c>
      <c r="K309" s="46">
        <v>0</v>
      </c>
      <c r="L309">
        <v>5</v>
      </c>
      <c r="M309" t="s">
        <v>48</v>
      </c>
      <c r="N309" s="46">
        <v>0</v>
      </c>
      <c r="O309" s="46">
        <v>0</v>
      </c>
      <c r="P309" s="46">
        <v>0</v>
      </c>
      <c r="Q309" t="s">
        <v>48</v>
      </c>
      <c r="R309" t="s">
        <v>48</v>
      </c>
      <c r="S309" t="s">
        <v>5938</v>
      </c>
      <c r="T309" t="s">
        <v>48</v>
      </c>
      <c r="U309" t="s">
        <v>5938</v>
      </c>
      <c r="V309" s="47">
        <v>0</v>
      </c>
      <c r="W309" t="s">
        <v>48</v>
      </c>
      <c r="X309" t="s">
        <v>48</v>
      </c>
      <c r="Y309" t="s">
        <v>48</v>
      </c>
      <c r="Z309">
        <v>0</v>
      </c>
      <c r="AA309" t="s">
        <v>48</v>
      </c>
      <c r="AB309" t="s">
        <v>48</v>
      </c>
      <c r="AC309" t="s">
        <v>49</v>
      </c>
      <c r="AD309" t="s">
        <v>93</v>
      </c>
      <c r="AE309" t="s">
        <v>4532</v>
      </c>
      <c r="AF309" t="s">
        <v>48</v>
      </c>
      <c r="AG309" t="s">
        <v>48</v>
      </c>
      <c r="AH309" t="s">
        <v>93</v>
      </c>
      <c r="AI309" t="s">
        <v>48</v>
      </c>
      <c r="AJ309" t="s">
        <v>48</v>
      </c>
      <c r="AK309" t="s">
        <v>48</v>
      </c>
      <c r="AL309" t="s">
        <v>48</v>
      </c>
      <c r="AM309" t="s">
        <v>48</v>
      </c>
      <c r="AN309" t="s">
        <v>48</v>
      </c>
      <c r="AO309" t="s">
        <v>48</v>
      </c>
      <c r="AP309" s="46">
        <v>0</v>
      </c>
      <c r="AQ309" s="46">
        <v>0</v>
      </c>
      <c r="AR309" s="46">
        <v>0</v>
      </c>
      <c r="AS309" s="46">
        <v>0</v>
      </c>
      <c r="AT309" s="46">
        <v>0</v>
      </c>
      <c r="AU309" s="46">
        <v>0</v>
      </c>
      <c r="AV309" s="46">
        <v>0</v>
      </c>
      <c r="AW309" s="46">
        <v>0</v>
      </c>
      <c r="AX309" s="46">
        <v>0</v>
      </c>
      <c r="AY309" s="46">
        <v>0</v>
      </c>
      <c r="AZ309" s="46">
        <v>0</v>
      </c>
      <c r="BA309" s="46">
        <v>0</v>
      </c>
      <c r="BB309" s="46">
        <v>0</v>
      </c>
      <c r="BC309" s="46">
        <v>0</v>
      </c>
      <c r="BD309" s="46">
        <v>0</v>
      </c>
      <c r="BE309" s="46">
        <v>0</v>
      </c>
      <c r="BF309" s="46">
        <v>0</v>
      </c>
      <c r="BG309" s="46" t="s">
        <v>48</v>
      </c>
      <c r="BH309" s="46">
        <v>0</v>
      </c>
      <c r="BI309" s="46">
        <v>0</v>
      </c>
      <c r="BJ309" s="46">
        <v>0</v>
      </c>
      <c r="BK309" s="46">
        <v>0</v>
      </c>
      <c r="BL309" s="46">
        <v>0</v>
      </c>
      <c r="BM309" s="46">
        <v>0</v>
      </c>
      <c r="BN309" s="46">
        <v>0</v>
      </c>
    </row>
    <row r="310" spans="1:66" x14ac:dyDescent="0.35">
      <c r="A310" t="s">
        <v>5932</v>
      </c>
      <c r="B310" t="s">
        <v>48</v>
      </c>
      <c r="C310" t="s">
        <v>5935</v>
      </c>
      <c r="D310" t="s">
        <v>456</v>
      </c>
      <c r="E310" t="s">
        <v>5933</v>
      </c>
      <c r="F310" t="s">
        <v>178</v>
      </c>
      <c r="G310" t="s">
        <v>47</v>
      </c>
      <c r="H310">
        <v>0</v>
      </c>
      <c r="I310" s="60" t="s">
        <v>51</v>
      </c>
      <c r="J310" s="33" t="s">
        <v>96</v>
      </c>
      <c r="K310" s="46">
        <v>0</v>
      </c>
      <c r="L310">
        <v>24.7</v>
      </c>
      <c r="M310" t="s">
        <v>48</v>
      </c>
      <c r="N310" s="46">
        <v>0</v>
      </c>
      <c r="O310" s="46">
        <v>0</v>
      </c>
      <c r="P310" s="46">
        <v>0</v>
      </c>
      <c r="Q310" t="s">
        <v>48</v>
      </c>
      <c r="R310" t="s">
        <v>48</v>
      </c>
      <c r="S310" t="s">
        <v>5934</v>
      </c>
      <c r="T310" t="s">
        <v>48</v>
      </c>
      <c r="U310" t="s">
        <v>5934</v>
      </c>
      <c r="V310" s="47">
        <v>0</v>
      </c>
      <c r="W310" t="s">
        <v>48</v>
      </c>
      <c r="X310" t="s">
        <v>48</v>
      </c>
      <c r="Y310" t="s">
        <v>48</v>
      </c>
      <c r="Z310">
        <v>0</v>
      </c>
      <c r="AA310" t="s">
        <v>48</v>
      </c>
      <c r="AB310" t="s">
        <v>48</v>
      </c>
      <c r="AC310" t="s">
        <v>63</v>
      </c>
      <c r="AD310" t="s">
        <v>93</v>
      </c>
      <c r="AE310" s="40" t="s">
        <v>2471</v>
      </c>
      <c r="AF310" t="s">
        <v>11061</v>
      </c>
      <c r="AG310" t="s">
        <v>48</v>
      </c>
      <c r="AH310" t="s">
        <v>93</v>
      </c>
      <c r="AI310" t="s">
        <v>48</v>
      </c>
      <c r="AJ310" t="s">
        <v>48</v>
      </c>
      <c r="AK310" t="s">
        <v>48</v>
      </c>
      <c r="AL310" t="s">
        <v>48</v>
      </c>
      <c r="AM310" t="s">
        <v>48</v>
      </c>
      <c r="AN310" t="s">
        <v>48</v>
      </c>
      <c r="AO310" t="s">
        <v>48</v>
      </c>
      <c r="AP310" s="46">
        <v>0</v>
      </c>
      <c r="AQ310" s="46">
        <v>0</v>
      </c>
      <c r="AR310" s="46">
        <v>0</v>
      </c>
      <c r="AS310" s="46">
        <v>0</v>
      </c>
      <c r="AT310" s="46">
        <v>0</v>
      </c>
      <c r="AU310" s="46">
        <v>0</v>
      </c>
      <c r="AV310" s="46">
        <v>0</v>
      </c>
      <c r="AW310" s="46">
        <v>0</v>
      </c>
      <c r="AX310" s="46">
        <v>0</v>
      </c>
      <c r="AY310" s="46">
        <v>0</v>
      </c>
      <c r="AZ310" s="46">
        <v>0</v>
      </c>
      <c r="BA310" s="46">
        <v>0</v>
      </c>
      <c r="BB310" s="46">
        <v>0</v>
      </c>
      <c r="BC310" s="46">
        <v>0</v>
      </c>
      <c r="BD310" s="46">
        <v>0</v>
      </c>
      <c r="BE310" s="46">
        <v>0</v>
      </c>
      <c r="BF310" s="46">
        <v>0</v>
      </c>
      <c r="BG310" s="46" t="s">
        <v>48</v>
      </c>
      <c r="BH310" s="46">
        <v>0</v>
      </c>
      <c r="BI310" s="46">
        <v>0</v>
      </c>
      <c r="BJ310" s="46">
        <v>0</v>
      </c>
      <c r="BK310" s="46">
        <v>0</v>
      </c>
      <c r="BL310" s="46">
        <v>0</v>
      </c>
      <c r="BM310" s="46">
        <v>0</v>
      </c>
      <c r="BN310" s="46">
        <v>0</v>
      </c>
    </row>
    <row r="311" spans="1:66" x14ac:dyDescent="0.35">
      <c r="A311" t="s">
        <v>5949</v>
      </c>
      <c r="B311" s="44" t="s">
        <v>48</v>
      </c>
      <c r="C311" t="s">
        <v>5952</v>
      </c>
      <c r="D311" t="s">
        <v>3586</v>
      </c>
      <c r="E311" t="s">
        <v>5950</v>
      </c>
      <c r="F311" t="s">
        <v>178</v>
      </c>
      <c r="G311" t="s">
        <v>74</v>
      </c>
      <c r="H311">
        <v>0</v>
      </c>
      <c r="I311" s="60" t="s">
        <v>51</v>
      </c>
      <c r="J311" s="33" t="s">
        <v>96</v>
      </c>
      <c r="K311" s="46">
        <v>0</v>
      </c>
      <c r="L311">
        <v>10.33</v>
      </c>
      <c r="M311" t="s">
        <v>48</v>
      </c>
      <c r="N311" s="46">
        <v>0</v>
      </c>
      <c r="O311" s="46">
        <v>0</v>
      </c>
      <c r="P311" s="46">
        <v>0</v>
      </c>
      <c r="Q311" t="s">
        <v>48</v>
      </c>
      <c r="R311" t="s">
        <v>48</v>
      </c>
      <c r="S311" t="s">
        <v>5951</v>
      </c>
      <c r="T311" t="s">
        <v>48</v>
      </c>
      <c r="U311" t="s">
        <v>5951</v>
      </c>
      <c r="V311" s="47">
        <v>0</v>
      </c>
      <c r="W311" t="s">
        <v>48</v>
      </c>
      <c r="X311" t="s">
        <v>48</v>
      </c>
      <c r="Y311" t="s">
        <v>48</v>
      </c>
      <c r="Z311">
        <v>0</v>
      </c>
      <c r="AA311" t="s">
        <v>48</v>
      </c>
      <c r="AB311" t="s">
        <v>48</v>
      </c>
      <c r="AC311" t="s">
        <v>49</v>
      </c>
      <c r="AD311" t="s">
        <v>93</v>
      </c>
      <c r="AE311" s="40" t="s">
        <v>2471</v>
      </c>
      <c r="AF311" t="s">
        <v>11061</v>
      </c>
      <c r="AG311" t="s">
        <v>48</v>
      </c>
      <c r="AH311" t="s">
        <v>426</v>
      </c>
      <c r="AI311" t="s">
        <v>48</v>
      </c>
      <c r="AJ311">
        <v>1990</v>
      </c>
      <c r="AK311" t="s">
        <v>48</v>
      </c>
      <c r="AL311" t="s">
        <v>48</v>
      </c>
      <c r="AM311" t="s">
        <v>48</v>
      </c>
      <c r="AN311" t="s">
        <v>48</v>
      </c>
      <c r="AO311" t="s">
        <v>48</v>
      </c>
      <c r="AP311" s="46">
        <v>0</v>
      </c>
      <c r="AQ311" s="46">
        <v>0</v>
      </c>
      <c r="AR311" s="46">
        <v>0</v>
      </c>
      <c r="AS311" s="46">
        <v>1</v>
      </c>
      <c r="AT311" s="46">
        <v>0</v>
      </c>
      <c r="AU311" s="46">
        <v>0</v>
      </c>
      <c r="AV311" s="46">
        <v>0</v>
      </c>
      <c r="AW311" s="46">
        <v>0</v>
      </c>
      <c r="AX311" s="46">
        <v>0</v>
      </c>
      <c r="AY311" s="46">
        <v>0</v>
      </c>
      <c r="AZ311" s="46">
        <v>0</v>
      </c>
      <c r="BA311" s="46">
        <v>0</v>
      </c>
      <c r="BB311" s="46">
        <v>0</v>
      </c>
      <c r="BC311" s="46">
        <v>0</v>
      </c>
      <c r="BD311" s="46">
        <v>0</v>
      </c>
      <c r="BE311" s="46">
        <v>0</v>
      </c>
      <c r="BF311" s="46">
        <v>0</v>
      </c>
      <c r="BG311" s="46" t="s">
        <v>48</v>
      </c>
      <c r="BH311" s="46">
        <v>0</v>
      </c>
      <c r="BI311" s="46">
        <v>0</v>
      </c>
      <c r="BJ311" s="46">
        <v>0</v>
      </c>
      <c r="BK311" s="46">
        <v>1</v>
      </c>
      <c r="BL311" s="46">
        <v>0</v>
      </c>
      <c r="BM311" s="46">
        <v>0</v>
      </c>
      <c r="BN311" s="46">
        <v>0</v>
      </c>
    </row>
    <row r="312" spans="1:66" x14ac:dyDescent="0.35">
      <c r="A312" t="s">
        <v>5946</v>
      </c>
      <c r="B312" t="s">
        <v>48</v>
      </c>
      <c r="C312" t="s">
        <v>5948</v>
      </c>
      <c r="D312" t="s">
        <v>993</v>
      </c>
      <c r="E312" t="s">
        <v>5947</v>
      </c>
      <c r="F312" t="s">
        <v>178</v>
      </c>
      <c r="G312" t="s">
        <v>47</v>
      </c>
      <c r="H312">
        <v>0</v>
      </c>
      <c r="I312" s="60" t="s">
        <v>177</v>
      </c>
      <c r="J312" s="33" t="s">
        <v>96</v>
      </c>
      <c r="K312" s="46">
        <v>0</v>
      </c>
      <c r="L312">
        <v>1.5</v>
      </c>
      <c r="M312" t="s">
        <v>48</v>
      </c>
      <c r="N312" s="46">
        <v>0</v>
      </c>
      <c r="O312" s="46">
        <v>0</v>
      </c>
      <c r="P312" s="46">
        <v>0</v>
      </c>
      <c r="Q312" t="s">
        <v>48</v>
      </c>
      <c r="R312" t="s">
        <v>48</v>
      </c>
      <c r="S312" t="s">
        <v>48</v>
      </c>
      <c r="T312" t="s">
        <v>48</v>
      </c>
      <c r="U312" t="s">
        <v>48</v>
      </c>
      <c r="V312" s="47">
        <v>0</v>
      </c>
      <c r="W312" t="s">
        <v>48</v>
      </c>
      <c r="X312" t="s">
        <v>48</v>
      </c>
      <c r="Y312" t="s">
        <v>48</v>
      </c>
      <c r="Z312">
        <v>0</v>
      </c>
      <c r="AA312" t="s">
        <v>48</v>
      </c>
      <c r="AB312" t="s">
        <v>48</v>
      </c>
      <c r="AC312" t="s">
        <v>49</v>
      </c>
      <c r="AD312" t="s">
        <v>93</v>
      </c>
      <c r="AE312" t="s">
        <v>4532</v>
      </c>
      <c r="AF312" t="s">
        <v>48</v>
      </c>
      <c r="AG312" t="s">
        <v>48</v>
      </c>
      <c r="AH312" t="s">
        <v>48</v>
      </c>
      <c r="AI312" t="s">
        <v>48</v>
      </c>
      <c r="AJ312" t="s">
        <v>48</v>
      </c>
      <c r="AK312" t="s">
        <v>48</v>
      </c>
      <c r="AL312" t="s">
        <v>48</v>
      </c>
      <c r="AM312" t="s">
        <v>48</v>
      </c>
      <c r="AN312" t="s">
        <v>48</v>
      </c>
      <c r="AO312" t="s">
        <v>48</v>
      </c>
      <c r="AP312" s="46">
        <v>0</v>
      </c>
      <c r="AQ312" s="46">
        <v>0</v>
      </c>
      <c r="AR312" s="46">
        <v>0</v>
      </c>
      <c r="AS312" s="46">
        <v>0</v>
      </c>
      <c r="AT312" s="46">
        <v>0</v>
      </c>
      <c r="AU312" s="46">
        <v>0</v>
      </c>
      <c r="AV312" s="46">
        <v>0</v>
      </c>
      <c r="AW312" s="46">
        <v>0</v>
      </c>
      <c r="AX312" s="46">
        <v>0</v>
      </c>
      <c r="AY312" s="46">
        <v>0</v>
      </c>
      <c r="AZ312" s="46">
        <v>0</v>
      </c>
      <c r="BA312" s="46">
        <v>0</v>
      </c>
      <c r="BB312" s="46">
        <v>0</v>
      </c>
      <c r="BC312" s="46">
        <v>0</v>
      </c>
      <c r="BD312" s="46">
        <v>0</v>
      </c>
      <c r="BE312" s="46">
        <v>0</v>
      </c>
      <c r="BF312" s="46">
        <v>0</v>
      </c>
      <c r="BG312" s="46" t="s">
        <v>48</v>
      </c>
      <c r="BH312" s="46">
        <v>0</v>
      </c>
      <c r="BI312" s="46">
        <v>0</v>
      </c>
      <c r="BJ312" s="46">
        <v>0</v>
      </c>
      <c r="BK312" s="46">
        <v>0</v>
      </c>
      <c r="BL312" s="46">
        <v>0</v>
      </c>
      <c r="BM312" s="46">
        <v>0</v>
      </c>
      <c r="BN312" s="46">
        <v>0</v>
      </c>
    </row>
    <row r="313" spans="1:66" x14ac:dyDescent="0.35">
      <c r="A313" t="s">
        <v>6020</v>
      </c>
      <c r="B313" s="44" t="s">
        <v>48</v>
      </c>
      <c r="C313" t="s">
        <v>6025</v>
      </c>
      <c r="D313" t="s">
        <v>6024</v>
      </c>
      <c r="E313" t="s">
        <v>6022</v>
      </c>
      <c r="F313" t="s">
        <v>6021</v>
      </c>
      <c r="G313" t="s">
        <v>74</v>
      </c>
      <c r="H313">
        <v>0</v>
      </c>
      <c r="I313" s="60" t="s">
        <v>51</v>
      </c>
      <c r="J313" s="33" t="s">
        <v>96</v>
      </c>
      <c r="K313" s="46">
        <v>1</v>
      </c>
      <c r="L313" t="s">
        <v>48</v>
      </c>
      <c r="M313" t="s">
        <v>48</v>
      </c>
      <c r="N313" s="46">
        <v>0</v>
      </c>
      <c r="O313" s="46">
        <v>0</v>
      </c>
      <c r="P313" s="46">
        <v>0</v>
      </c>
      <c r="Q313" t="s">
        <v>48</v>
      </c>
      <c r="R313" t="s">
        <v>48</v>
      </c>
      <c r="S313" t="s">
        <v>48</v>
      </c>
      <c r="T313" t="s">
        <v>6023</v>
      </c>
      <c r="U313" t="s">
        <v>48</v>
      </c>
      <c r="V313" s="47">
        <v>0</v>
      </c>
      <c r="W313" t="s">
        <v>48</v>
      </c>
      <c r="X313" t="s">
        <v>48</v>
      </c>
      <c r="Y313" t="s">
        <v>48</v>
      </c>
      <c r="Z313">
        <v>0</v>
      </c>
      <c r="AA313" t="s">
        <v>48</v>
      </c>
      <c r="AB313" t="s">
        <v>48</v>
      </c>
      <c r="AC313" t="s">
        <v>49</v>
      </c>
      <c r="AD313" t="s">
        <v>93</v>
      </c>
      <c r="AE313" t="s">
        <v>4532</v>
      </c>
      <c r="AF313" t="s">
        <v>48</v>
      </c>
      <c r="AG313" t="s">
        <v>48</v>
      </c>
      <c r="AH313" t="s">
        <v>48</v>
      </c>
      <c r="AI313">
        <v>40704</v>
      </c>
      <c r="AJ313">
        <v>1955</v>
      </c>
      <c r="AK313" t="s">
        <v>8604</v>
      </c>
      <c r="AL313" t="s">
        <v>8605</v>
      </c>
      <c r="AM313">
        <v>-0.35499999999999998</v>
      </c>
      <c r="AN313">
        <v>-8.3000000000000004E-2</v>
      </c>
      <c r="AO313">
        <v>-0.35499999999999998</v>
      </c>
      <c r="AP313" s="46">
        <v>0</v>
      </c>
      <c r="AQ313" s="46">
        <v>0</v>
      </c>
      <c r="AR313" s="46">
        <v>0</v>
      </c>
      <c r="AS313" s="46">
        <v>0</v>
      </c>
      <c r="AT313" s="46">
        <v>0</v>
      </c>
      <c r="AU313" s="46">
        <v>0</v>
      </c>
      <c r="AV313" s="46">
        <v>0</v>
      </c>
      <c r="AW313" s="46">
        <v>0</v>
      </c>
      <c r="AX313" s="46">
        <v>0</v>
      </c>
      <c r="AY313" s="46">
        <v>0</v>
      </c>
      <c r="AZ313" s="46">
        <v>0</v>
      </c>
      <c r="BA313" s="46">
        <v>0</v>
      </c>
      <c r="BB313" s="46">
        <v>0</v>
      </c>
      <c r="BC313" s="46">
        <v>0</v>
      </c>
      <c r="BD313" s="46">
        <v>0</v>
      </c>
      <c r="BE313" s="46">
        <v>0</v>
      </c>
      <c r="BF313" s="46">
        <v>0</v>
      </c>
      <c r="BG313" s="46" t="s">
        <v>48</v>
      </c>
      <c r="BH313" s="46">
        <v>0</v>
      </c>
      <c r="BI313" s="46">
        <v>0</v>
      </c>
      <c r="BJ313" s="46">
        <v>0</v>
      </c>
      <c r="BK313" s="46">
        <v>0</v>
      </c>
      <c r="BL313" s="46">
        <v>0</v>
      </c>
      <c r="BM313" s="46">
        <v>0</v>
      </c>
      <c r="BN313" s="46">
        <v>0</v>
      </c>
    </row>
    <row r="314" spans="1:66" x14ac:dyDescent="0.35">
      <c r="A314" t="s">
        <v>6026</v>
      </c>
      <c r="B314" s="44" t="s">
        <v>48</v>
      </c>
      <c r="C314" t="s">
        <v>3960</v>
      </c>
      <c r="D314" t="s">
        <v>390</v>
      </c>
      <c r="E314" t="s">
        <v>6028</v>
      </c>
      <c r="F314" t="s">
        <v>6027</v>
      </c>
      <c r="G314" t="s">
        <v>74</v>
      </c>
      <c r="H314">
        <v>0</v>
      </c>
      <c r="I314" s="60" t="s">
        <v>51</v>
      </c>
      <c r="J314" s="33" t="s">
        <v>96</v>
      </c>
      <c r="K314" s="46">
        <v>1</v>
      </c>
      <c r="L314" t="s">
        <v>48</v>
      </c>
      <c r="M314" t="s">
        <v>48</v>
      </c>
      <c r="N314" s="46">
        <v>0</v>
      </c>
      <c r="O314" s="46">
        <v>0</v>
      </c>
      <c r="P314" s="46">
        <v>0</v>
      </c>
      <c r="Q314" t="s">
        <v>48</v>
      </c>
      <c r="R314" t="s">
        <v>48</v>
      </c>
      <c r="S314" t="s">
        <v>6029</v>
      </c>
      <c r="T314" t="s">
        <v>6030</v>
      </c>
      <c r="U314" t="s">
        <v>6029</v>
      </c>
      <c r="V314" s="47">
        <v>0</v>
      </c>
      <c r="W314" t="s">
        <v>48</v>
      </c>
      <c r="X314" t="s">
        <v>48</v>
      </c>
      <c r="Y314" t="s">
        <v>48</v>
      </c>
      <c r="Z314">
        <v>0</v>
      </c>
      <c r="AA314" t="s">
        <v>48</v>
      </c>
      <c r="AB314">
        <v>1996</v>
      </c>
      <c r="AC314" t="s">
        <v>49</v>
      </c>
      <c r="AD314" t="s">
        <v>93</v>
      </c>
      <c r="AE314" t="s">
        <v>4532</v>
      </c>
      <c r="AF314" t="s">
        <v>48</v>
      </c>
      <c r="AG314" t="s">
        <v>140</v>
      </c>
      <c r="AH314" t="s">
        <v>93</v>
      </c>
      <c r="AI314">
        <v>29142</v>
      </c>
      <c r="AJ314">
        <v>1949</v>
      </c>
      <c r="AK314" t="s">
        <v>8602</v>
      </c>
      <c r="AL314" t="s">
        <v>8603</v>
      </c>
      <c r="AM314">
        <v>-0.36699999999999999</v>
      </c>
      <c r="AN314">
        <v>-0.17299999999999999</v>
      </c>
      <c r="AO314">
        <v>-0.36699999999999999</v>
      </c>
      <c r="AP314" s="46">
        <v>0</v>
      </c>
      <c r="AQ314" s="46">
        <v>0</v>
      </c>
      <c r="AR314" s="46">
        <v>0</v>
      </c>
      <c r="AS314" s="46">
        <v>0</v>
      </c>
      <c r="AT314" s="46">
        <v>0</v>
      </c>
      <c r="AU314" s="46">
        <v>0</v>
      </c>
      <c r="AV314" s="46">
        <v>0</v>
      </c>
      <c r="AW314" s="46">
        <v>0</v>
      </c>
      <c r="AX314" s="46">
        <v>0</v>
      </c>
      <c r="AY314" s="46">
        <v>0</v>
      </c>
      <c r="AZ314" s="46">
        <v>0</v>
      </c>
      <c r="BA314" s="46">
        <v>0</v>
      </c>
      <c r="BB314" s="46">
        <v>0</v>
      </c>
      <c r="BC314" s="46">
        <v>0</v>
      </c>
      <c r="BD314" s="46">
        <v>0</v>
      </c>
      <c r="BE314" s="46">
        <v>0</v>
      </c>
      <c r="BF314" s="46">
        <v>0</v>
      </c>
      <c r="BG314" s="46" t="s">
        <v>48</v>
      </c>
      <c r="BH314" s="46">
        <v>0</v>
      </c>
      <c r="BI314" s="46">
        <v>0</v>
      </c>
      <c r="BJ314" s="46">
        <v>0</v>
      </c>
      <c r="BK314" s="46">
        <v>0</v>
      </c>
      <c r="BL314" s="46">
        <v>0</v>
      </c>
      <c r="BM314" s="46">
        <v>0</v>
      </c>
      <c r="BN314" s="46">
        <v>0</v>
      </c>
    </row>
    <row r="315" spans="1:66" x14ac:dyDescent="0.35">
      <c r="A315" t="s">
        <v>8454</v>
      </c>
      <c r="B315" s="44" t="s">
        <v>48</v>
      </c>
      <c r="C315" t="s">
        <v>4517</v>
      </c>
      <c r="D315" t="s">
        <v>5201</v>
      </c>
      <c r="E315" t="s">
        <v>8456</v>
      </c>
      <c r="F315" t="s">
        <v>8455</v>
      </c>
      <c r="G315" t="s">
        <v>47</v>
      </c>
      <c r="H315">
        <v>0</v>
      </c>
      <c r="I315" s="60" t="str">
        <f>"2022-06-29"</f>
        <v>2022-06-29</v>
      </c>
      <c r="J315" t="s">
        <v>96</v>
      </c>
      <c r="K315" s="46">
        <v>1</v>
      </c>
      <c r="L315" t="s">
        <v>48</v>
      </c>
      <c r="M315" t="s">
        <v>48</v>
      </c>
      <c r="N315" s="46">
        <v>0</v>
      </c>
      <c r="O315" s="46">
        <v>0</v>
      </c>
      <c r="P315" s="46">
        <v>0</v>
      </c>
      <c r="Q315" t="s">
        <v>48</v>
      </c>
      <c r="R315" t="s">
        <v>48</v>
      </c>
      <c r="S315" t="s">
        <v>48</v>
      </c>
      <c r="T315" t="s">
        <v>8457</v>
      </c>
      <c r="U315" t="s">
        <v>48</v>
      </c>
      <c r="V315" s="47">
        <v>0</v>
      </c>
      <c r="W315" t="s">
        <v>48</v>
      </c>
      <c r="X315" t="s">
        <v>48</v>
      </c>
      <c r="Y315" t="s">
        <v>48</v>
      </c>
      <c r="Z315">
        <v>0</v>
      </c>
      <c r="AA315" t="s">
        <v>48</v>
      </c>
      <c r="AB315" t="s">
        <v>48</v>
      </c>
      <c r="AC315" t="s">
        <v>49</v>
      </c>
      <c r="AD315" t="s">
        <v>93</v>
      </c>
      <c r="AE315" t="s">
        <v>4532</v>
      </c>
      <c r="AF315" t="s">
        <v>48</v>
      </c>
      <c r="AG315" t="s">
        <v>48</v>
      </c>
      <c r="AH315" t="s">
        <v>48</v>
      </c>
      <c r="AI315">
        <v>29566</v>
      </c>
      <c r="AJ315">
        <v>1955</v>
      </c>
      <c r="AK315" t="s">
        <v>8608</v>
      </c>
      <c r="AL315" t="s">
        <v>8458</v>
      </c>
      <c r="AM315">
        <v>0.379</v>
      </c>
      <c r="AN315">
        <v>-0.24199999999999999</v>
      </c>
      <c r="AO315">
        <v>0.379</v>
      </c>
      <c r="AP315" s="46">
        <v>0</v>
      </c>
      <c r="AQ315" s="46">
        <v>0</v>
      </c>
      <c r="AR315" s="46">
        <v>0</v>
      </c>
      <c r="AS315" s="46">
        <v>0</v>
      </c>
      <c r="AT315" s="46">
        <v>0</v>
      </c>
      <c r="AU315" s="46">
        <v>0</v>
      </c>
      <c r="AV315" s="46">
        <v>0</v>
      </c>
      <c r="AW315" s="46">
        <v>0</v>
      </c>
      <c r="AX315" s="46">
        <v>0</v>
      </c>
      <c r="AY315" s="46">
        <v>0</v>
      </c>
      <c r="AZ315" s="46">
        <v>0</v>
      </c>
      <c r="BA315" s="46">
        <v>0</v>
      </c>
      <c r="BB315" s="46">
        <v>0</v>
      </c>
      <c r="BC315" s="46">
        <v>0</v>
      </c>
      <c r="BD315" s="46">
        <v>0</v>
      </c>
      <c r="BE315" s="46">
        <v>0</v>
      </c>
      <c r="BF315" s="46">
        <v>0</v>
      </c>
      <c r="BG315" s="46" t="s">
        <v>48</v>
      </c>
      <c r="BH315" s="46">
        <v>0</v>
      </c>
      <c r="BI315" s="46">
        <v>0</v>
      </c>
      <c r="BJ315" s="46">
        <v>0</v>
      </c>
      <c r="BK315" s="46">
        <v>0</v>
      </c>
      <c r="BL315" s="46">
        <v>0</v>
      </c>
      <c r="BM315" s="46">
        <v>0</v>
      </c>
      <c r="BN315" s="46">
        <v>0</v>
      </c>
    </row>
    <row r="316" spans="1:66" x14ac:dyDescent="0.35">
      <c r="A316" t="s">
        <v>6130</v>
      </c>
      <c r="B316" s="44" t="s">
        <v>48</v>
      </c>
      <c r="C316" t="s">
        <v>6133</v>
      </c>
      <c r="D316" t="s">
        <v>1981</v>
      </c>
      <c r="E316" t="s">
        <v>6131</v>
      </c>
      <c r="F316" t="s">
        <v>6127</v>
      </c>
      <c r="G316" t="s">
        <v>74</v>
      </c>
      <c r="H316">
        <v>0</v>
      </c>
      <c r="I316" s="60" t="s">
        <v>11160</v>
      </c>
      <c r="J316" s="33" t="s">
        <v>96</v>
      </c>
      <c r="K316" s="46">
        <v>0</v>
      </c>
      <c r="L316">
        <v>32</v>
      </c>
      <c r="M316" t="s">
        <v>48</v>
      </c>
      <c r="N316" s="46">
        <v>0</v>
      </c>
      <c r="O316" s="46">
        <v>0</v>
      </c>
      <c r="P316" s="46">
        <v>0</v>
      </c>
      <c r="Q316" t="s">
        <v>48</v>
      </c>
      <c r="R316" t="s">
        <v>48</v>
      </c>
      <c r="S316" t="s">
        <v>6132</v>
      </c>
      <c r="T316" t="s">
        <v>48</v>
      </c>
      <c r="U316" t="s">
        <v>6132</v>
      </c>
      <c r="V316" s="47">
        <v>0</v>
      </c>
      <c r="W316" t="s">
        <v>11317</v>
      </c>
      <c r="X316" t="s">
        <v>48</v>
      </c>
      <c r="Y316" t="s">
        <v>48</v>
      </c>
      <c r="Z316">
        <v>0</v>
      </c>
      <c r="AA316" t="s">
        <v>48</v>
      </c>
      <c r="AB316" t="s">
        <v>48</v>
      </c>
      <c r="AC316" t="s">
        <v>63</v>
      </c>
      <c r="AD316" t="s">
        <v>93</v>
      </c>
      <c r="AE316" s="40" t="s">
        <v>2471</v>
      </c>
      <c r="AF316" t="s">
        <v>11061</v>
      </c>
      <c r="AG316" t="s">
        <v>48</v>
      </c>
      <c r="AH316" t="s">
        <v>48</v>
      </c>
      <c r="AI316" t="s">
        <v>48</v>
      </c>
      <c r="AJ316" t="s">
        <v>48</v>
      </c>
      <c r="AK316" t="s">
        <v>48</v>
      </c>
      <c r="AL316" t="s">
        <v>48</v>
      </c>
      <c r="AM316" t="s">
        <v>48</v>
      </c>
      <c r="AN316" t="s">
        <v>48</v>
      </c>
      <c r="AO316" t="s">
        <v>48</v>
      </c>
      <c r="AP316" s="46">
        <v>0</v>
      </c>
      <c r="AQ316" s="46">
        <v>0</v>
      </c>
      <c r="AR316" s="46">
        <v>0</v>
      </c>
      <c r="AS316" s="46">
        <v>0</v>
      </c>
      <c r="AT316" s="46">
        <v>0</v>
      </c>
      <c r="AU316" s="46">
        <v>0</v>
      </c>
      <c r="AV316" s="46">
        <v>0</v>
      </c>
      <c r="AW316" s="46">
        <v>0</v>
      </c>
      <c r="AX316" s="46">
        <v>0</v>
      </c>
      <c r="AY316" s="46">
        <v>0</v>
      </c>
      <c r="AZ316" s="46">
        <v>0</v>
      </c>
      <c r="BA316" s="46">
        <v>0</v>
      </c>
      <c r="BB316" s="46">
        <v>0</v>
      </c>
      <c r="BC316" s="46">
        <v>0</v>
      </c>
      <c r="BD316" s="46">
        <v>0</v>
      </c>
      <c r="BE316" s="46">
        <v>0</v>
      </c>
      <c r="BF316" s="46">
        <v>0</v>
      </c>
      <c r="BG316" s="46" t="s">
        <v>48</v>
      </c>
      <c r="BH316" s="46">
        <v>0</v>
      </c>
      <c r="BI316" s="46">
        <v>0</v>
      </c>
      <c r="BJ316" s="46">
        <v>0</v>
      </c>
      <c r="BK316" s="46">
        <v>0</v>
      </c>
      <c r="BL316" s="46">
        <v>0</v>
      </c>
      <c r="BM316" s="46">
        <v>0</v>
      </c>
      <c r="BN316" s="46">
        <v>0</v>
      </c>
    </row>
    <row r="317" spans="1:66" x14ac:dyDescent="0.35">
      <c r="A317" t="s">
        <v>6134</v>
      </c>
      <c r="B317" s="44" t="s">
        <v>48</v>
      </c>
      <c r="C317" t="s">
        <v>5257</v>
      </c>
      <c r="D317" t="s">
        <v>6137</v>
      </c>
      <c r="E317" t="s">
        <v>6135</v>
      </c>
      <c r="F317" t="s">
        <v>6127</v>
      </c>
      <c r="G317" t="s">
        <v>74</v>
      </c>
      <c r="H317">
        <v>0</v>
      </c>
      <c r="I317" s="60" t="s">
        <v>11160</v>
      </c>
      <c r="J317" s="33" t="s">
        <v>96</v>
      </c>
      <c r="K317" s="46">
        <v>0</v>
      </c>
      <c r="L317">
        <v>33.200000000000003</v>
      </c>
      <c r="M317" t="s">
        <v>48</v>
      </c>
      <c r="N317" s="46">
        <v>0</v>
      </c>
      <c r="O317" s="46">
        <v>0</v>
      </c>
      <c r="P317" s="46">
        <v>0</v>
      </c>
      <c r="Q317" t="s">
        <v>48</v>
      </c>
      <c r="R317" t="s">
        <v>48</v>
      </c>
      <c r="S317" t="s">
        <v>6136</v>
      </c>
      <c r="T317" t="s">
        <v>48</v>
      </c>
      <c r="U317" t="s">
        <v>6136</v>
      </c>
      <c r="V317" s="47">
        <v>1</v>
      </c>
      <c r="W317" t="s">
        <v>11320</v>
      </c>
      <c r="X317" t="s">
        <v>48</v>
      </c>
      <c r="Y317" t="s">
        <v>48</v>
      </c>
      <c r="Z317">
        <v>0</v>
      </c>
      <c r="AA317" t="s">
        <v>48</v>
      </c>
      <c r="AB317" t="s">
        <v>48</v>
      </c>
      <c r="AC317" t="s">
        <v>63</v>
      </c>
      <c r="AD317" t="s">
        <v>93</v>
      </c>
      <c r="AE317" s="40" t="s">
        <v>2471</v>
      </c>
      <c r="AF317" t="s">
        <v>11061</v>
      </c>
      <c r="AG317" t="s">
        <v>48</v>
      </c>
      <c r="AH317" t="s">
        <v>48</v>
      </c>
      <c r="AI317" t="s">
        <v>48</v>
      </c>
      <c r="AJ317" t="s">
        <v>48</v>
      </c>
      <c r="AK317" t="s">
        <v>48</v>
      </c>
      <c r="AL317" t="s">
        <v>48</v>
      </c>
      <c r="AM317" t="s">
        <v>48</v>
      </c>
      <c r="AN317" t="s">
        <v>48</v>
      </c>
      <c r="AO317" t="s">
        <v>48</v>
      </c>
      <c r="AP317" s="46">
        <v>0</v>
      </c>
      <c r="AQ317" s="46">
        <v>0</v>
      </c>
      <c r="AR317" s="46">
        <v>0</v>
      </c>
      <c r="AS317" s="46">
        <v>0</v>
      </c>
      <c r="AT317" s="46">
        <v>0</v>
      </c>
      <c r="AU317" s="46">
        <v>0</v>
      </c>
      <c r="AV317" s="46">
        <v>0</v>
      </c>
      <c r="AW317" s="46">
        <v>0</v>
      </c>
      <c r="AX317" s="46">
        <v>0</v>
      </c>
      <c r="AY317" s="46">
        <v>0</v>
      </c>
      <c r="AZ317" s="46">
        <v>0</v>
      </c>
      <c r="BA317" s="46">
        <v>0</v>
      </c>
      <c r="BB317" s="46">
        <v>0</v>
      </c>
      <c r="BC317" s="46">
        <v>0</v>
      </c>
      <c r="BD317" s="46">
        <v>0</v>
      </c>
      <c r="BE317" s="46">
        <v>0</v>
      </c>
      <c r="BF317" s="46">
        <v>0</v>
      </c>
      <c r="BG317" s="46" t="s">
        <v>48</v>
      </c>
      <c r="BH317" s="46">
        <v>0</v>
      </c>
      <c r="BI317" s="46">
        <v>0</v>
      </c>
      <c r="BJ317" s="46">
        <v>0</v>
      </c>
      <c r="BK317" s="46">
        <v>0</v>
      </c>
      <c r="BL317" s="46">
        <v>0</v>
      </c>
      <c r="BM317" s="46">
        <v>0</v>
      </c>
      <c r="BN317" s="46">
        <v>0</v>
      </c>
    </row>
    <row r="318" spans="1:66" x14ac:dyDescent="0.35">
      <c r="A318" t="s">
        <v>6147</v>
      </c>
      <c r="B318" s="44" t="s">
        <v>48</v>
      </c>
      <c r="C318" t="s">
        <v>6152</v>
      </c>
      <c r="D318" t="s">
        <v>288</v>
      </c>
      <c r="E318" t="s">
        <v>6149</v>
      </c>
      <c r="F318" t="s">
        <v>6148</v>
      </c>
      <c r="G318" t="s">
        <v>47</v>
      </c>
      <c r="H318">
        <v>0</v>
      </c>
      <c r="I318" s="60" t="s">
        <v>51</v>
      </c>
      <c r="J318" s="33" t="s">
        <v>96</v>
      </c>
      <c r="K318" s="46">
        <v>1</v>
      </c>
      <c r="L318" t="s">
        <v>48</v>
      </c>
      <c r="M318" t="s">
        <v>48</v>
      </c>
      <c r="N318" s="46">
        <v>0</v>
      </c>
      <c r="O318" s="46">
        <v>0</v>
      </c>
      <c r="P318" s="46">
        <v>0</v>
      </c>
      <c r="Q318" t="s">
        <v>48</v>
      </c>
      <c r="R318" t="s">
        <v>48</v>
      </c>
      <c r="S318" t="s">
        <v>6150</v>
      </c>
      <c r="T318" t="s">
        <v>6151</v>
      </c>
      <c r="U318" t="s">
        <v>6150</v>
      </c>
      <c r="V318" s="47">
        <v>0</v>
      </c>
      <c r="W318" t="s">
        <v>48</v>
      </c>
      <c r="X318" t="s">
        <v>48</v>
      </c>
      <c r="Y318" t="s">
        <v>48</v>
      </c>
      <c r="Z318">
        <v>0</v>
      </c>
      <c r="AA318" t="s">
        <v>48</v>
      </c>
      <c r="AB318">
        <v>2014</v>
      </c>
      <c r="AC318" t="s">
        <v>49</v>
      </c>
      <c r="AD318" t="s">
        <v>93</v>
      </c>
      <c r="AE318" t="s">
        <v>4532</v>
      </c>
      <c r="AF318" t="s">
        <v>48</v>
      </c>
      <c r="AG318" t="s">
        <v>140</v>
      </c>
      <c r="AH318" t="s">
        <v>93</v>
      </c>
      <c r="AI318">
        <v>41505</v>
      </c>
      <c r="AJ318">
        <v>1954</v>
      </c>
      <c r="AK318" t="s">
        <v>8611</v>
      </c>
      <c r="AL318" t="s">
        <v>8612</v>
      </c>
      <c r="AM318">
        <v>0.371</v>
      </c>
      <c r="AN318">
        <v>4.8000000000000001E-2</v>
      </c>
      <c r="AO318">
        <v>0.371</v>
      </c>
      <c r="AP318" s="46">
        <v>0</v>
      </c>
      <c r="AQ318" s="46">
        <v>0</v>
      </c>
      <c r="AR318" s="46">
        <v>0</v>
      </c>
      <c r="AS318" s="46">
        <v>0</v>
      </c>
      <c r="AT318" s="46">
        <v>0</v>
      </c>
      <c r="AU318" s="46">
        <v>0</v>
      </c>
      <c r="AV318" s="46">
        <v>0</v>
      </c>
      <c r="AW318" s="46">
        <v>0</v>
      </c>
      <c r="AX318" s="46">
        <v>0</v>
      </c>
      <c r="AY318" s="46">
        <v>0</v>
      </c>
      <c r="AZ318" s="46">
        <v>0</v>
      </c>
      <c r="BA318" s="46">
        <v>0</v>
      </c>
      <c r="BB318" s="46">
        <v>0</v>
      </c>
      <c r="BC318" s="46">
        <v>0</v>
      </c>
      <c r="BD318" s="46">
        <v>0</v>
      </c>
      <c r="BE318" s="46">
        <v>0</v>
      </c>
      <c r="BF318" s="46">
        <v>0</v>
      </c>
      <c r="BG318" s="46" t="s">
        <v>48</v>
      </c>
      <c r="BH318" s="46">
        <v>0</v>
      </c>
      <c r="BI318" s="46">
        <v>0</v>
      </c>
      <c r="BJ318" s="46">
        <v>0</v>
      </c>
      <c r="BK318" s="46">
        <v>0</v>
      </c>
      <c r="BL318" s="46">
        <v>0</v>
      </c>
      <c r="BM318" s="46">
        <v>0</v>
      </c>
      <c r="BN318" s="46">
        <v>0</v>
      </c>
    </row>
    <row r="319" spans="1:66" x14ac:dyDescent="0.35">
      <c r="A319" t="s">
        <v>6165</v>
      </c>
      <c r="B319" t="s">
        <v>48</v>
      </c>
      <c r="C319" t="s">
        <v>6168</v>
      </c>
      <c r="D319" t="s">
        <v>578</v>
      </c>
      <c r="E319" t="s">
        <v>6166</v>
      </c>
      <c r="F319" t="s">
        <v>6154</v>
      </c>
      <c r="G319" t="s">
        <v>47</v>
      </c>
      <c r="H319">
        <v>0</v>
      </c>
      <c r="I319" s="60" t="s">
        <v>177</v>
      </c>
      <c r="J319" s="33" t="s">
        <v>96</v>
      </c>
      <c r="K319" s="46">
        <v>0</v>
      </c>
      <c r="L319">
        <v>20.3</v>
      </c>
      <c r="M319" t="s">
        <v>48</v>
      </c>
      <c r="N319" s="46">
        <v>0</v>
      </c>
      <c r="O319" s="46">
        <v>0</v>
      </c>
      <c r="P319" s="46">
        <v>0</v>
      </c>
      <c r="Q319" t="s">
        <v>48</v>
      </c>
      <c r="R319" t="s">
        <v>48</v>
      </c>
      <c r="S319" t="s">
        <v>6167</v>
      </c>
      <c r="T319" t="s">
        <v>48</v>
      </c>
      <c r="U319" t="s">
        <v>6167</v>
      </c>
      <c r="V319" s="47">
        <v>0</v>
      </c>
      <c r="W319" t="s">
        <v>48</v>
      </c>
      <c r="X319" t="s">
        <v>48</v>
      </c>
      <c r="Y319" t="s">
        <v>48</v>
      </c>
      <c r="Z319">
        <v>0</v>
      </c>
      <c r="AA319" t="s">
        <v>48</v>
      </c>
      <c r="AB319" t="s">
        <v>48</v>
      </c>
      <c r="AC319" t="s">
        <v>49</v>
      </c>
      <c r="AD319" t="s">
        <v>93</v>
      </c>
      <c r="AE319" t="s">
        <v>11051</v>
      </c>
      <c r="AF319" t="s">
        <v>11052</v>
      </c>
      <c r="AG319" t="s">
        <v>48</v>
      </c>
      <c r="AH319" t="s">
        <v>48</v>
      </c>
      <c r="AI319" t="s">
        <v>48</v>
      </c>
      <c r="AJ319" t="s">
        <v>48</v>
      </c>
      <c r="AK319" t="s">
        <v>48</v>
      </c>
      <c r="AL319" t="s">
        <v>48</v>
      </c>
      <c r="AM319" t="s">
        <v>48</v>
      </c>
      <c r="AN319" t="s">
        <v>48</v>
      </c>
      <c r="AO319" t="s">
        <v>48</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t="s">
        <v>48</v>
      </c>
      <c r="BH319" s="46">
        <v>0</v>
      </c>
      <c r="BI319" s="46">
        <v>0</v>
      </c>
      <c r="BJ319" s="46">
        <v>0</v>
      </c>
      <c r="BK319" s="46">
        <v>0</v>
      </c>
      <c r="BL319" s="46">
        <v>0</v>
      </c>
      <c r="BM319" s="46">
        <v>0</v>
      </c>
      <c r="BN319" s="46">
        <v>0</v>
      </c>
    </row>
    <row r="320" spans="1:66" x14ac:dyDescent="0.35">
      <c r="A320" t="s">
        <v>6158</v>
      </c>
      <c r="B320" t="s">
        <v>48</v>
      </c>
      <c r="C320" t="s">
        <v>6160</v>
      </c>
      <c r="D320" t="s">
        <v>655</v>
      </c>
      <c r="E320" t="s">
        <v>6159</v>
      </c>
      <c r="F320" t="s">
        <v>6154</v>
      </c>
      <c r="G320" t="s">
        <v>47</v>
      </c>
      <c r="H320">
        <v>0</v>
      </c>
      <c r="I320" s="60" t="s">
        <v>177</v>
      </c>
      <c r="J320" s="33" t="s">
        <v>96</v>
      </c>
      <c r="K320" s="46">
        <v>0</v>
      </c>
      <c r="L320">
        <v>7.4</v>
      </c>
      <c r="M320" t="s">
        <v>48</v>
      </c>
      <c r="N320" s="46">
        <v>0</v>
      </c>
      <c r="O320" s="46">
        <v>0</v>
      </c>
      <c r="P320" s="46">
        <v>0</v>
      </c>
      <c r="Q320" t="s">
        <v>48</v>
      </c>
      <c r="R320" t="s">
        <v>48</v>
      </c>
      <c r="S320" t="s">
        <v>48</v>
      </c>
      <c r="T320" t="s">
        <v>48</v>
      </c>
      <c r="U320" t="s">
        <v>48</v>
      </c>
      <c r="V320" s="47">
        <v>0</v>
      </c>
      <c r="W320" t="s">
        <v>48</v>
      </c>
      <c r="X320" t="s">
        <v>48</v>
      </c>
      <c r="Y320" t="s">
        <v>48</v>
      </c>
      <c r="Z320">
        <v>0</v>
      </c>
      <c r="AA320" t="s">
        <v>48</v>
      </c>
      <c r="AB320" t="s">
        <v>48</v>
      </c>
      <c r="AC320" t="s">
        <v>49</v>
      </c>
      <c r="AD320" t="s">
        <v>93</v>
      </c>
      <c r="AE320" t="s">
        <v>4532</v>
      </c>
      <c r="AF320" t="s">
        <v>48</v>
      </c>
      <c r="AG320" t="s">
        <v>48</v>
      </c>
      <c r="AH320" t="s">
        <v>48</v>
      </c>
      <c r="AI320" t="s">
        <v>48</v>
      </c>
      <c r="AJ320" t="s">
        <v>48</v>
      </c>
      <c r="AK320" t="s">
        <v>48</v>
      </c>
      <c r="AL320" t="s">
        <v>48</v>
      </c>
      <c r="AM320" t="s">
        <v>48</v>
      </c>
      <c r="AN320" t="s">
        <v>48</v>
      </c>
      <c r="AO320" t="s">
        <v>48</v>
      </c>
      <c r="AP320" s="46">
        <v>0</v>
      </c>
      <c r="AQ320" s="46">
        <v>0</v>
      </c>
      <c r="AR320" s="46">
        <v>0</v>
      </c>
      <c r="AS320" s="46">
        <v>0</v>
      </c>
      <c r="AT320" s="46">
        <v>0</v>
      </c>
      <c r="AU320" s="46">
        <v>0</v>
      </c>
      <c r="AV320" s="46">
        <v>0</v>
      </c>
      <c r="AW320" s="46">
        <v>0</v>
      </c>
      <c r="AX320" s="46">
        <v>0</v>
      </c>
      <c r="AY320" s="46">
        <v>0</v>
      </c>
      <c r="AZ320" s="46">
        <v>0</v>
      </c>
      <c r="BA320" s="46">
        <v>0</v>
      </c>
      <c r="BB320" s="46">
        <v>0</v>
      </c>
      <c r="BC320" s="46">
        <v>0</v>
      </c>
      <c r="BD320" s="46">
        <v>0</v>
      </c>
      <c r="BE320" s="46">
        <v>0</v>
      </c>
      <c r="BF320" s="46">
        <v>0</v>
      </c>
      <c r="BG320" s="46" t="s">
        <v>48</v>
      </c>
      <c r="BH320" s="46">
        <v>0</v>
      </c>
      <c r="BI320" s="46">
        <v>0</v>
      </c>
      <c r="BJ320" s="46">
        <v>0</v>
      </c>
      <c r="BK320" s="46">
        <v>0</v>
      </c>
      <c r="BL320" s="46">
        <v>0</v>
      </c>
      <c r="BM320" s="46">
        <v>0</v>
      </c>
      <c r="BN320" s="46">
        <v>0</v>
      </c>
    </row>
    <row r="321" spans="1:66" x14ac:dyDescent="0.35">
      <c r="A321" t="s">
        <v>6253</v>
      </c>
      <c r="B321" s="44" t="s">
        <v>48</v>
      </c>
      <c r="C321" t="s">
        <v>6257</v>
      </c>
      <c r="D321" t="s">
        <v>2872</v>
      </c>
      <c r="E321" t="s">
        <v>6255</v>
      </c>
      <c r="F321" t="s">
        <v>6254</v>
      </c>
      <c r="G321" t="s">
        <v>47</v>
      </c>
      <c r="H321">
        <v>0</v>
      </c>
      <c r="I321" s="60" t="s">
        <v>51</v>
      </c>
      <c r="J321" s="33" t="s">
        <v>96</v>
      </c>
      <c r="K321" s="46">
        <v>1</v>
      </c>
      <c r="L321" t="s">
        <v>48</v>
      </c>
      <c r="M321" t="s">
        <v>48</v>
      </c>
      <c r="N321" s="46">
        <v>0</v>
      </c>
      <c r="O321" s="46">
        <v>0</v>
      </c>
      <c r="P321" s="46">
        <v>0</v>
      </c>
      <c r="Q321" t="s">
        <v>48</v>
      </c>
      <c r="R321" t="s">
        <v>48</v>
      </c>
      <c r="S321" t="s">
        <v>48</v>
      </c>
      <c r="T321" t="s">
        <v>6256</v>
      </c>
      <c r="U321" t="s">
        <v>48</v>
      </c>
      <c r="V321" s="47">
        <v>0</v>
      </c>
      <c r="W321" t="s">
        <v>48</v>
      </c>
      <c r="X321" t="s">
        <v>48</v>
      </c>
      <c r="Y321" t="s">
        <v>48</v>
      </c>
      <c r="Z321">
        <v>0</v>
      </c>
      <c r="AA321" t="s">
        <v>48</v>
      </c>
      <c r="AB321" t="s">
        <v>48</v>
      </c>
      <c r="AC321" t="s">
        <v>63</v>
      </c>
      <c r="AD321" t="s">
        <v>93</v>
      </c>
      <c r="AE321" t="s">
        <v>4532</v>
      </c>
      <c r="AF321" t="s">
        <v>48</v>
      </c>
      <c r="AG321" t="s">
        <v>48</v>
      </c>
      <c r="AH321" t="s">
        <v>48</v>
      </c>
      <c r="AI321">
        <v>20351</v>
      </c>
      <c r="AJ321">
        <v>1952</v>
      </c>
      <c r="AK321" t="s">
        <v>8613</v>
      </c>
      <c r="AL321" t="s">
        <v>8614</v>
      </c>
      <c r="AM321">
        <v>0.627</v>
      </c>
      <c r="AN321">
        <v>0.159</v>
      </c>
      <c r="AO321">
        <v>0.627</v>
      </c>
      <c r="AP321" s="46">
        <v>0</v>
      </c>
      <c r="AQ321" s="46">
        <v>0</v>
      </c>
      <c r="AR321" s="46">
        <v>0</v>
      </c>
      <c r="AS321" s="46">
        <v>0</v>
      </c>
      <c r="AT321" s="46">
        <v>0</v>
      </c>
      <c r="AU321" s="46">
        <v>0</v>
      </c>
      <c r="AV321" s="46">
        <v>0</v>
      </c>
      <c r="AW321" s="46">
        <v>0</v>
      </c>
      <c r="AX321" s="46">
        <v>0</v>
      </c>
      <c r="AY321" s="46">
        <v>0</v>
      </c>
      <c r="AZ321" s="46">
        <v>0</v>
      </c>
      <c r="BA321" s="46">
        <v>0</v>
      </c>
      <c r="BB321" s="46">
        <v>0</v>
      </c>
      <c r="BC321" s="46">
        <v>0</v>
      </c>
      <c r="BD321" s="46">
        <v>0</v>
      </c>
      <c r="BE321" s="46">
        <v>0</v>
      </c>
      <c r="BF321" s="46">
        <v>0</v>
      </c>
      <c r="BG321" s="46" t="s">
        <v>48</v>
      </c>
      <c r="BH321" s="46">
        <v>0</v>
      </c>
      <c r="BI321" s="46">
        <v>0</v>
      </c>
      <c r="BJ321" s="46">
        <v>0</v>
      </c>
      <c r="BK321" s="46">
        <v>0</v>
      </c>
      <c r="BL321" s="46">
        <v>0</v>
      </c>
      <c r="BM321" s="46">
        <v>0</v>
      </c>
      <c r="BN321" s="46">
        <v>0</v>
      </c>
    </row>
    <row r="322" spans="1:66" x14ac:dyDescent="0.35">
      <c r="A322" t="s">
        <v>6258</v>
      </c>
      <c r="B322" s="44" t="s">
        <v>48</v>
      </c>
      <c r="C322" t="s">
        <v>6263</v>
      </c>
      <c r="D322" t="s">
        <v>1915</v>
      </c>
      <c r="E322" t="s">
        <v>6260</v>
      </c>
      <c r="F322" t="s">
        <v>6259</v>
      </c>
      <c r="G322" t="s">
        <v>47</v>
      </c>
      <c r="H322">
        <v>0</v>
      </c>
      <c r="I322" s="60" t="s">
        <v>51</v>
      </c>
      <c r="J322" s="33" t="s">
        <v>96</v>
      </c>
      <c r="K322" s="46">
        <v>1</v>
      </c>
      <c r="L322" t="s">
        <v>48</v>
      </c>
      <c r="M322" t="s">
        <v>48</v>
      </c>
      <c r="N322" s="46">
        <v>0</v>
      </c>
      <c r="O322" s="46">
        <v>0</v>
      </c>
      <c r="P322" s="46">
        <v>0</v>
      </c>
      <c r="Q322" t="s">
        <v>48</v>
      </c>
      <c r="R322" t="s">
        <v>48</v>
      </c>
      <c r="S322" t="s">
        <v>6261</v>
      </c>
      <c r="T322" t="s">
        <v>6262</v>
      </c>
      <c r="U322" t="s">
        <v>6261</v>
      </c>
      <c r="V322" s="47">
        <v>0</v>
      </c>
      <c r="W322" t="s">
        <v>48</v>
      </c>
      <c r="X322" t="s">
        <v>48</v>
      </c>
      <c r="Y322" t="s">
        <v>48</v>
      </c>
      <c r="Z322">
        <v>1</v>
      </c>
      <c r="AA322" t="s">
        <v>48</v>
      </c>
      <c r="AB322">
        <v>2020</v>
      </c>
      <c r="AC322" t="s">
        <v>49</v>
      </c>
      <c r="AD322" t="s">
        <v>93</v>
      </c>
      <c r="AE322" t="s">
        <v>4532</v>
      </c>
      <c r="AF322" t="s">
        <v>48</v>
      </c>
      <c r="AG322" t="s">
        <v>266</v>
      </c>
      <c r="AH322" t="s">
        <v>93</v>
      </c>
      <c r="AI322">
        <v>42100</v>
      </c>
      <c r="AJ322">
        <v>1959</v>
      </c>
      <c r="AK322" t="s">
        <v>8615</v>
      </c>
      <c r="AL322" t="s">
        <v>8616</v>
      </c>
      <c r="AM322">
        <v>0.71</v>
      </c>
      <c r="AN322">
        <v>-0.17699999999999999</v>
      </c>
      <c r="AO322">
        <v>0.71</v>
      </c>
      <c r="AP322" s="46">
        <v>0</v>
      </c>
      <c r="AQ322" s="46">
        <v>0</v>
      </c>
      <c r="AR322" s="46">
        <v>0</v>
      </c>
      <c r="AS322" s="46">
        <v>0</v>
      </c>
      <c r="AT322" s="46">
        <v>0</v>
      </c>
      <c r="AU322" s="46">
        <v>0</v>
      </c>
      <c r="AV322" s="46">
        <v>0</v>
      </c>
      <c r="AW322" s="46">
        <v>0</v>
      </c>
      <c r="AX322" s="46">
        <v>0</v>
      </c>
      <c r="AY322" s="46">
        <v>0</v>
      </c>
      <c r="AZ322" s="46">
        <v>0</v>
      </c>
      <c r="BA322" s="46">
        <v>0</v>
      </c>
      <c r="BB322" s="46">
        <v>0</v>
      </c>
      <c r="BC322" s="46">
        <v>0</v>
      </c>
      <c r="BD322" s="46">
        <v>0</v>
      </c>
      <c r="BE322" s="46">
        <v>0</v>
      </c>
      <c r="BF322" s="46">
        <v>0</v>
      </c>
      <c r="BG322" s="46" t="s">
        <v>48</v>
      </c>
      <c r="BH322" s="46">
        <v>0</v>
      </c>
      <c r="BI322" s="46">
        <v>0</v>
      </c>
      <c r="BJ322" s="46">
        <v>0</v>
      </c>
      <c r="BK322" s="46">
        <v>0</v>
      </c>
      <c r="BL322" s="46">
        <v>0</v>
      </c>
      <c r="BM322" s="46">
        <v>0</v>
      </c>
      <c r="BN322" s="46">
        <v>1</v>
      </c>
    </row>
    <row r="323" spans="1:66" x14ac:dyDescent="0.35">
      <c r="A323" t="s">
        <v>7143</v>
      </c>
      <c r="B323" s="44" t="s">
        <v>48</v>
      </c>
      <c r="C323" t="s">
        <v>2699</v>
      </c>
      <c r="D323" t="s">
        <v>261</v>
      </c>
      <c r="E323" t="s">
        <v>7145</v>
      </c>
      <c r="F323" t="s">
        <v>7144</v>
      </c>
      <c r="G323" t="s">
        <v>47</v>
      </c>
      <c r="H323">
        <v>0</v>
      </c>
      <c r="I323" s="60" t="s">
        <v>51</v>
      </c>
      <c r="J323" s="33" t="s">
        <v>96</v>
      </c>
      <c r="K323" s="46">
        <v>1</v>
      </c>
      <c r="L323" t="s">
        <v>48</v>
      </c>
      <c r="M323" t="s">
        <v>48</v>
      </c>
      <c r="N323" s="46">
        <v>0</v>
      </c>
      <c r="O323" s="46">
        <v>0</v>
      </c>
      <c r="P323" s="46">
        <v>0</v>
      </c>
      <c r="Q323" t="s">
        <v>48</v>
      </c>
      <c r="R323" t="s">
        <v>48</v>
      </c>
      <c r="S323" t="s">
        <v>48</v>
      </c>
      <c r="T323" t="s">
        <v>7146</v>
      </c>
      <c r="U323" t="s">
        <v>48</v>
      </c>
      <c r="V323" s="47">
        <v>0</v>
      </c>
      <c r="W323" t="s">
        <v>48</v>
      </c>
      <c r="X323" t="s">
        <v>48</v>
      </c>
      <c r="Y323" t="s">
        <v>48</v>
      </c>
      <c r="Z323">
        <v>0</v>
      </c>
      <c r="AA323" t="s">
        <v>48</v>
      </c>
      <c r="AB323" t="s">
        <v>48</v>
      </c>
      <c r="AC323" t="s">
        <v>49</v>
      </c>
      <c r="AD323" t="s">
        <v>951</v>
      </c>
      <c r="AE323" t="s">
        <v>11051</v>
      </c>
      <c r="AF323" t="s">
        <v>11063</v>
      </c>
      <c r="AG323" t="s">
        <v>48</v>
      </c>
      <c r="AH323" t="s">
        <v>48</v>
      </c>
      <c r="AI323">
        <v>41304</v>
      </c>
      <c r="AJ323">
        <v>1970</v>
      </c>
      <c r="AK323" t="s">
        <v>8619</v>
      </c>
      <c r="AL323" t="s">
        <v>8620</v>
      </c>
      <c r="AM323">
        <v>0.82</v>
      </c>
      <c r="AN323">
        <v>-0.24299999999999999</v>
      </c>
      <c r="AO323">
        <v>0.82</v>
      </c>
      <c r="AP323" s="46">
        <v>0</v>
      </c>
      <c r="AQ323" s="46">
        <v>0</v>
      </c>
      <c r="AR323" s="46">
        <v>0</v>
      </c>
      <c r="AS323" s="46">
        <v>0</v>
      </c>
      <c r="AT323" s="46">
        <v>0</v>
      </c>
      <c r="AU323" s="46">
        <v>0</v>
      </c>
      <c r="AV323" s="46">
        <v>0</v>
      </c>
      <c r="AW323" s="46">
        <v>0</v>
      </c>
      <c r="AX323" s="46">
        <v>0</v>
      </c>
      <c r="AY323" s="46">
        <v>0</v>
      </c>
      <c r="AZ323" s="46">
        <v>0</v>
      </c>
      <c r="BA323" s="46">
        <v>0</v>
      </c>
      <c r="BB323" s="46">
        <v>0</v>
      </c>
      <c r="BC323" s="46">
        <v>0</v>
      </c>
      <c r="BD323" s="46">
        <v>0</v>
      </c>
      <c r="BE323" s="46">
        <v>0</v>
      </c>
      <c r="BF323" s="46">
        <v>0</v>
      </c>
      <c r="BG323" s="46" t="s">
        <v>48</v>
      </c>
      <c r="BH323" s="46">
        <v>0</v>
      </c>
      <c r="BI323" s="46">
        <v>0</v>
      </c>
      <c r="BJ323" s="46">
        <v>0</v>
      </c>
      <c r="BK323" s="46">
        <v>0</v>
      </c>
      <c r="BL323" s="46">
        <v>0</v>
      </c>
      <c r="BM323" s="46">
        <v>0</v>
      </c>
      <c r="BN323" s="46">
        <v>1</v>
      </c>
    </row>
    <row r="324" spans="1:66" x14ac:dyDescent="0.35">
      <c r="A324" t="s">
        <v>7147</v>
      </c>
      <c r="B324" s="44" t="s">
        <v>48</v>
      </c>
      <c r="C324" t="s">
        <v>7152</v>
      </c>
      <c r="D324" t="s">
        <v>221</v>
      </c>
      <c r="E324" t="s">
        <v>7149</v>
      </c>
      <c r="F324" t="s">
        <v>7148</v>
      </c>
      <c r="G324" t="s">
        <v>47</v>
      </c>
      <c r="H324">
        <v>0</v>
      </c>
      <c r="I324" s="60" t="s">
        <v>51</v>
      </c>
      <c r="J324" s="33" t="s">
        <v>96</v>
      </c>
      <c r="K324" s="46">
        <v>1</v>
      </c>
      <c r="L324" t="s">
        <v>48</v>
      </c>
      <c r="M324" t="s">
        <v>48</v>
      </c>
      <c r="N324" s="46">
        <v>0</v>
      </c>
      <c r="O324" s="46">
        <v>0</v>
      </c>
      <c r="P324" s="46">
        <v>0</v>
      </c>
      <c r="Q324" t="s">
        <v>48</v>
      </c>
      <c r="R324" t="s">
        <v>48</v>
      </c>
      <c r="S324" t="s">
        <v>7150</v>
      </c>
      <c r="T324" t="s">
        <v>7151</v>
      </c>
      <c r="U324" t="s">
        <v>7150</v>
      </c>
      <c r="V324" s="47">
        <v>0</v>
      </c>
      <c r="W324" t="s">
        <v>48</v>
      </c>
      <c r="X324" t="s">
        <v>48</v>
      </c>
      <c r="Y324" t="s">
        <v>48</v>
      </c>
      <c r="Z324">
        <v>0</v>
      </c>
      <c r="AA324" t="s">
        <v>48</v>
      </c>
      <c r="AB324">
        <v>2002</v>
      </c>
      <c r="AC324" t="s">
        <v>49</v>
      </c>
      <c r="AD324" t="s">
        <v>93</v>
      </c>
      <c r="AE324" t="s">
        <v>4532</v>
      </c>
      <c r="AF324" t="s">
        <v>48</v>
      </c>
      <c r="AG324" t="s">
        <v>92</v>
      </c>
      <c r="AH324" t="s">
        <v>93</v>
      </c>
      <c r="AI324">
        <v>40305</v>
      </c>
      <c r="AJ324">
        <v>1952</v>
      </c>
      <c r="AK324" t="s">
        <v>8617</v>
      </c>
      <c r="AL324" t="s">
        <v>8618</v>
      </c>
      <c r="AM324">
        <v>0.47599999999999998</v>
      </c>
      <c r="AN324">
        <v>-6.8000000000000005E-2</v>
      </c>
      <c r="AO324">
        <v>0.47599999999999998</v>
      </c>
      <c r="AP324" s="46">
        <v>0</v>
      </c>
      <c r="AQ324" s="46">
        <v>0</v>
      </c>
      <c r="AR324" s="46">
        <v>0</v>
      </c>
      <c r="AS324" s="46">
        <v>0</v>
      </c>
      <c r="AT324" s="46">
        <v>0</v>
      </c>
      <c r="AU324" s="46">
        <v>0</v>
      </c>
      <c r="AV324" s="46">
        <v>0</v>
      </c>
      <c r="AW324" s="46">
        <v>0</v>
      </c>
      <c r="AX324" s="46">
        <v>0</v>
      </c>
      <c r="AY324" s="46">
        <v>0</v>
      </c>
      <c r="AZ324" s="46">
        <v>0</v>
      </c>
      <c r="BA324" s="46">
        <v>0</v>
      </c>
      <c r="BB324" s="46">
        <v>0</v>
      </c>
      <c r="BC324" s="46">
        <v>0</v>
      </c>
      <c r="BD324" s="46">
        <v>0</v>
      </c>
      <c r="BE324" s="46">
        <v>0</v>
      </c>
      <c r="BF324" s="46">
        <v>0</v>
      </c>
      <c r="BG324" s="46" t="s">
        <v>48</v>
      </c>
      <c r="BH324" s="46">
        <v>0</v>
      </c>
      <c r="BI324" s="46">
        <v>0</v>
      </c>
      <c r="BJ324" s="46">
        <v>0</v>
      </c>
      <c r="BK324" s="46">
        <v>0</v>
      </c>
      <c r="BL324" s="46">
        <v>0</v>
      </c>
      <c r="BM324" s="46">
        <v>0</v>
      </c>
      <c r="BN324" s="46">
        <v>0</v>
      </c>
    </row>
    <row r="325" spans="1:66" x14ac:dyDescent="0.35">
      <c r="A325" t="s">
        <v>7188</v>
      </c>
      <c r="B325" s="44" t="s">
        <v>48</v>
      </c>
      <c r="C325" t="s">
        <v>7193</v>
      </c>
      <c r="D325" t="s">
        <v>7192</v>
      </c>
      <c r="E325" t="s">
        <v>7190</v>
      </c>
      <c r="F325" t="s">
        <v>7189</v>
      </c>
      <c r="G325" t="s">
        <v>47</v>
      </c>
      <c r="H325">
        <v>0</v>
      </c>
      <c r="I325" s="60" t="s">
        <v>51</v>
      </c>
      <c r="J325" s="33" t="s">
        <v>96</v>
      </c>
      <c r="K325" s="46">
        <v>1</v>
      </c>
      <c r="L325" t="s">
        <v>48</v>
      </c>
      <c r="M325" t="s">
        <v>48</v>
      </c>
      <c r="N325" s="46">
        <v>0</v>
      </c>
      <c r="O325" s="46">
        <v>0</v>
      </c>
      <c r="P325" s="46">
        <v>0</v>
      </c>
      <c r="Q325" t="s">
        <v>48</v>
      </c>
      <c r="R325" t="s">
        <v>48</v>
      </c>
      <c r="S325" t="s">
        <v>48</v>
      </c>
      <c r="T325" t="s">
        <v>7191</v>
      </c>
      <c r="U325" t="s">
        <v>48</v>
      </c>
      <c r="V325" s="47">
        <v>0</v>
      </c>
      <c r="W325" t="s">
        <v>48</v>
      </c>
      <c r="X325" t="s">
        <v>48</v>
      </c>
      <c r="Y325" t="s">
        <v>48</v>
      </c>
      <c r="Z325">
        <v>0</v>
      </c>
      <c r="AA325" t="s">
        <v>48</v>
      </c>
      <c r="AB325" t="s">
        <v>48</v>
      </c>
      <c r="AC325" t="s">
        <v>49</v>
      </c>
      <c r="AD325" t="s">
        <v>93</v>
      </c>
      <c r="AE325" t="s">
        <v>4532</v>
      </c>
      <c r="AF325" t="s">
        <v>48</v>
      </c>
      <c r="AG325" t="s">
        <v>48</v>
      </c>
      <c r="AH325" t="s">
        <v>48</v>
      </c>
      <c r="AI325">
        <v>41902</v>
      </c>
      <c r="AJ325">
        <v>1947</v>
      </c>
      <c r="AK325" t="s">
        <v>8623</v>
      </c>
      <c r="AL325" t="s">
        <v>8624</v>
      </c>
      <c r="AM325">
        <v>0.29199999999999998</v>
      </c>
      <c r="AN325">
        <v>0.32</v>
      </c>
      <c r="AO325">
        <v>0.29199999999999998</v>
      </c>
      <c r="AP325" s="46">
        <v>0</v>
      </c>
      <c r="AQ325" s="46">
        <v>0</v>
      </c>
      <c r="AR325" s="46">
        <v>0</v>
      </c>
      <c r="AS325" s="46">
        <v>0</v>
      </c>
      <c r="AT325" s="46">
        <v>0</v>
      </c>
      <c r="AU325" s="46">
        <v>0</v>
      </c>
      <c r="AV325" s="46">
        <v>0</v>
      </c>
      <c r="AW325" s="46">
        <v>0</v>
      </c>
      <c r="AX325" s="46">
        <v>0</v>
      </c>
      <c r="AY325" s="46">
        <v>0</v>
      </c>
      <c r="AZ325" s="46">
        <v>0</v>
      </c>
      <c r="BA325" s="46">
        <v>0</v>
      </c>
      <c r="BB325" s="46">
        <v>0</v>
      </c>
      <c r="BC325" s="46">
        <v>0</v>
      </c>
      <c r="BD325" s="46">
        <v>0</v>
      </c>
      <c r="BE325" s="46">
        <v>0</v>
      </c>
      <c r="BF325" s="46">
        <v>0</v>
      </c>
      <c r="BG325" s="46" t="s">
        <v>48</v>
      </c>
      <c r="BH325" s="46">
        <v>0</v>
      </c>
      <c r="BI325" s="46">
        <v>0</v>
      </c>
      <c r="BJ325" s="46">
        <v>0</v>
      </c>
      <c r="BK325" s="46">
        <v>0</v>
      </c>
      <c r="BL325" s="46">
        <v>0</v>
      </c>
      <c r="BM325" s="46">
        <v>1</v>
      </c>
      <c r="BN325" s="46">
        <v>0</v>
      </c>
    </row>
    <row r="326" spans="1:66" x14ac:dyDescent="0.35">
      <c r="A326" t="s">
        <v>7198</v>
      </c>
      <c r="B326" t="s">
        <v>48</v>
      </c>
      <c r="C326" t="s">
        <v>7202</v>
      </c>
      <c r="D326" t="s">
        <v>7201</v>
      </c>
      <c r="E326" t="s">
        <v>7199</v>
      </c>
      <c r="F326" t="s">
        <v>7194</v>
      </c>
      <c r="G326" t="s">
        <v>47</v>
      </c>
      <c r="H326">
        <v>0</v>
      </c>
      <c r="I326" s="60" t="s">
        <v>177</v>
      </c>
      <c r="J326" s="33" t="s">
        <v>96</v>
      </c>
      <c r="K326" s="46">
        <v>0</v>
      </c>
      <c r="L326">
        <v>8.4</v>
      </c>
      <c r="M326" t="s">
        <v>48</v>
      </c>
      <c r="N326" s="46">
        <v>0</v>
      </c>
      <c r="O326" s="46">
        <v>0</v>
      </c>
      <c r="P326" s="46">
        <v>0</v>
      </c>
      <c r="Q326" t="s">
        <v>48</v>
      </c>
      <c r="R326" t="s">
        <v>48</v>
      </c>
      <c r="S326" t="s">
        <v>7200</v>
      </c>
      <c r="T326" t="s">
        <v>48</v>
      </c>
      <c r="U326" t="s">
        <v>7200</v>
      </c>
      <c r="V326" s="47">
        <v>0</v>
      </c>
      <c r="W326" t="s">
        <v>48</v>
      </c>
      <c r="X326" t="s">
        <v>48</v>
      </c>
      <c r="Y326" t="s">
        <v>48</v>
      </c>
      <c r="Z326">
        <v>0</v>
      </c>
      <c r="AA326" t="s">
        <v>48</v>
      </c>
      <c r="AB326" t="s">
        <v>48</v>
      </c>
      <c r="AC326" t="s">
        <v>63</v>
      </c>
      <c r="AD326" t="s">
        <v>93</v>
      </c>
      <c r="AE326" t="s">
        <v>4532</v>
      </c>
      <c r="AF326" t="s">
        <v>48</v>
      </c>
      <c r="AG326" t="s">
        <v>48</v>
      </c>
      <c r="AH326" t="s">
        <v>48</v>
      </c>
      <c r="AI326" t="s">
        <v>48</v>
      </c>
      <c r="AJ326" t="s">
        <v>48</v>
      </c>
      <c r="AK326" t="s">
        <v>48</v>
      </c>
      <c r="AL326" t="s">
        <v>48</v>
      </c>
      <c r="AM326" t="s">
        <v>48</v>
      </c>
      <c r="AN326" t="s">
        <v>48</v>
      </c>
      <c r="AO326" t="s">
        <v>48</v>
      </c>
      <c r="AP326" s="46">
        <v>0</v>
      </c>
      <c r="AQ326" s="46">
        <v>0</v>
      </c>
      <c r="AR326" s="46">
        <v>0</v>
      </c>
      <c r="AS326" s="46">
        <v>0</v>
      </c>
      <c r="AT326" s="46">
        <v>0</v>
      </c>
      <c r="AU326" s="46">
        <v>0</v>
      </c>
      <c r="AV326" s="46">
        <v>0</v>
      </c>
      <c r="AW326" s="46">
        <v>0</v>
      </c>
      <c r="AX326" s="46">
        <v>0</v>
      </c>
      <c r="AY326" s="46">
        <v>0</v>
      </c>
      <c r="AZ326" s="46">
        <v>0</v>
      </c>
      <c r="BA326" s="46">
        <v>0</v>
      </c>
      <c r="BB326" s="46">
        <v>0</v>
      </c>
      <c r="BC326" s="46">
        <v>0</v>
      </c>
      <c r="BD326" s="46">
        <v>0</v>
      </c>
      <c r="BE326" s="46">
        <v>0</v>
      </c>
      <c r="BF326" s="46">
        <v>0</v>
      </c>
      <c r="BG326" s="46" t="s">
        <v>48</v>
      </c>
      <c r="BH326" s="46">
        <v>0</v>
      </c>
      <c r="BI326" s="46">
        <v>0</v>
      </c>
      <c r="BJ326" s="46">
        <v>0</v>
      </c>
      <c r="BK326" s="46">
        <v>0</v>
      </c>
      <c r="BL326" s="46">
        <v>0</v>
      </c>
      <c r="BM326" s="46">
        <v>0</v>
      </c>
      <c r="BN326" s="46">
        <v>0</v>
      </c>
    </row>
    <row r="327" spans="1:66" x14ac:dyDescent="0.35">
      <c r="A327" t="s">
        <v>7195</v>
      </c>
      <c r="B327" t="s">
        <v>48</v>
      </c>
      <c r="C327" t="s">
        <v>3611</v>
      </c>
      <c r="D327" t="s">
        <v>1926</v>
      </c>
      <c r="E327" t="s">
        <v>7196</v>
      </c>
      <c r="F327" t="s">
        <v>7194</v>
      </c>
      <c r="G327" t="s">
        <v>47</v>
      </c>
      <c r="H327">
        <v>0</v>
      </c>
      <c r="I327" s="60" t="s">
        <v>177</v>
      </c>
      <c r="J327" s="33" t="s">
        <v>96</v>
      </c>
      <c r="K327" s="46">
        <v>0</v>
      </c>
      <c r="L327">
        <v>29.7</v>
      </c>
      <c r="M327" t="s">
        <v>48</v>
      </c>
      <c r="N327" s="46">
        <v>0</v>
      </c>
      <c r="O327" s="46">
        <v>0</v>
      </c>
      <c r="P327" s="46">
        <v>0</v>
      </c>
      <c r="Q327" t="s">
        <v>48</v>
      </c>
      <c r="R327" t="s">
        <v>48</v>
      </c>
      <c r="S327" t="s">
        <v>7197</v>
      </c>
      <c r="T327" t="s">
        <v>48</v>
      </c>
      <c r="U327" t="s">
        <v>7197</v>
      </c>
      <c r="V327" s="47">
        <v>1</v>
      </c>
      <c r="W327" t="s">
        <v>48</v>
      </c>
      <c r="X327" t="s">
        <v>48</v>
      </c>
      <c r="Y327" t="s">
        <v>48</v>
      </c>
      <c r="Z327">
        <v>0</v>
      </c>
      <c r="AA327" t="s">
        <v>48</v>
      </c>
      <c r="AB327" t="s">
        <v>48</v>
      </c>
      <c r="AC327" t="s">
        <v>63</v>
      </c>
      <c r="AD327" t="s">
        <v>93</v>
      </c>
      <c r="AE327" t="s">
        <v>4532</v>
      </c>
      <c r="AF327" t="s">
        <v>48</v>
      </c>
      <c r="AG327" t="s">
        <v>48</v>
      </c>
      <c r="AH327" t="s">
        <v>48</v>
      </c>
      <c r="AI327" t="s">
        <v>48</v>
      </c>
      <c r="AJ327" t="s">
        <v>48</v>
      </c>
      <c r="AK327" t="s">
        <v>48</v>
      </c>
      <c r="AL327" t="s">
        <v>48</v>
      </c>
      <c r="AM327" t="s">
        <v>48</v>
      </c>
      <c r="AN327" t="s">
        <v>48</v>
      </c>
      <c r="AO327" t="s">
        <v>48</v>
      </c>
      <c r="AP327" s="46">
        <v>0</v>
      </c>
      <c r="AQ327" s="46">
        <v>0</v>
      </c>
      <c r="AR327" s="46">
        <v>0</v>
      </c>
      <c r="AS327" s="46">
        <v>0</v>
      </c>
      <c r="AT327" s="46">
        <v>0</v>
      </c>
      <c r="AU327" s="46">
        <v>0</v>
      </c>
      <c r="AV327" s="46">
        <v>0</v>
      </c>
      <c r="AW327" s="46">
        <v>0</v>
      </c>
      <c r="AX327" s="46">
        <v>0</v>
      </c>
      <c r="AY327" s="46">
        <v>0</v>
      </c>
      <c r="AZ327" s="46">
        <v>0</v>
      </c>
      <c r="BA327" s="46">
        <v>0</v>
      </c>
      <c r="BB327" s="46">
        <v>0</v>
      </c>
      <c r="BC327" s="46">
        <v>0</v>
      </c>
      <c r="BD327" s="46">
        <v>0</v>
      </c>
      <c r="BE327" s="46">
        <v>0</v>
      </c>
      <c r="BF327" s="46">
        <v>0</v>
      </c>
      <c r="BG327" s="46" t="s">
        <v>48</v>
      </c>
      <c r="BH327" s="46">
        <v>0</v>
      </c>
      <c r="BI327" s="46">
        <v>0</v>
      </c>
      <c r="BJ327" s="46">
        <v>0</v>
      </c>
      <c r="BK327" s="46">
        <v>0</v>
      </c>
      <c r="BL327" s="46">
        <v>0</v>
      </c>
      <c r="BM327" s="46">
        <v>0</v>
      </c>
      <c r="BN327" s="46">
        <v>0</v>
      </c>
    </row>
    <row r="328" spans="1:66" x14ac:dyDescent="0.35">
      <c r="A328" t="s">
        <v>7404</v>
      </c>
      <c r="B328" s="44" t="s">
        <v>48</v>
      </c>
      <c r="C328" t="s">
        <v>7408</v>
      </c>
      <c r="D328" t="s">
        <v>198</v>
      </c>
      <c r="E328" t="s">
        <v>7406</v>
      </c>
      <c r="F328" t="s">
        <v>7405</v>
      </c>
      <c r="G328" t="s">
        <v>74</v>
      </c>
      <c r="H328">
        <v>0</v>
      </c>
      <c r="I328" s="60" t="s">
        <v>51</v>
      </c>
      <c r="J328" s="33" t="s">
        <v>96</v>
      </c>
      <c r="K328" s="46">
        <v>1</v>
      </c>
      <c r="L328" t="s">
        <v>48</v>
      </c>
      <c r="M328" t="s">
        <v>48</v>
      </c>
      <c r="N328" s="46">
        <v>0</v>
      </c>
      <c r="O328" s="46">
        <v>0</v>
      </c>
      <c r="P328" s="46">
        <v>0</v>
      </c>
      <c r="Q328" t="s">
        <v>48</v>
      </c>
      <c r="R328" t="s">
        <v>48</v>
      </c>
      <c r="S328" t="s">
        <v>48</v>
      </c>
      <c r="T328" t="s">
        <v>7407</v>
      </c>
      <c r="U328" t="s">
        <v>48</v>
      </c>
      <c r="V328" s="47">
        <v>0</v>
      </c>
      <c r="W328" t="s">
        <v>48</v>
      </c>
      <c r="X328" t="s">
        <v>48</v>
      </c>
      <c r="Y328" t="s">
        <v>48</v>
      </c>
      <c r="Z328">
        <v>0</v>
      </c>
      <c r="AA328" t="s">
        <v>48</v>
      </c>
      <c r="AB328" t="s">
        <v>48</v>
      </c>
      <c r="AC328" t="s">
        <v>49</v>
      </c>
      <c r="AD328" t="s">
        <v>93</v>
      </c>
      <c r="AE328" t="s">
        <v>4532</v>
      </c>
      <c r="AF328" t="s">
        <v>48</v>
      </c>
      <c r="AG328" t="s">
        <v>48</v>
      </c>
      <c r="AH328" t="s">
        <v>48</v>
      </c>
      <c r="AI328">
        <v>41305</v>
      </c>
      <c r="AJ328">
        <v>1958</v>
      </c>
      <c r="AK328" t="s">
        <v>8627</v>
      </c>
      <c r="AL328" t="s">
        <v>8628</v>
      </c>
      <c r="AM328">
        <v>-0.245</v>
      </c>
      <c r="AN328">
        <v>-5.7000000000000002E-2</v>
      </c>
      <c r="AO328">
        <v>-0.245</v>
      </c>
      <c r="AP328" s="46">
        <v>0</v>
      </c>
      <c r="AQ328" s="46">
        <v>0</v>
      </c>
      <c r="AR328" s="46">
        <v>0</v>
      </c>
      <c r="AS328" s="46">
        <v>0</v>
      </c>
      <c r="AT328" s="46">
        <v>0</v>
      </c>
      <c r="AU328" s="46">
        <v>0</v>
      </c>
      <c r="AV328" s="46">
        <v>0</v>
      </c>
      <c r="AW328" s="46">
        <v>0</v>
      </c>
      <c r="AX328" s="46">
        <v>0</v>
      </c>
      <c r="AY328" s="46">
        <v>0</v>
      </c>
      <c r="AZ328" s="46">
        <v>0</v>
      </c>
      <c r="BA328" s="46">
        <v>0</v>
      </c>
      <c r="BB328" s="46">
        <v>0</v>
      </c>
      <c r="BC328" s="46">
        <v>0</v>
      </c>
      <c r="BD328" s="46">
        <v>0</v>
      </c>
      <c r="BE328" s="46">
        <v>0</v>
      </c>
      <c r="BF328" s="46">
        <v>0</v>
      </c>
      <c r="BG328" s="46" t="s">
        <v>48</v>
      </c>
      <c r="BH328" s="46">
        <v>0</v>
      </c>
      <c r="BI328" s="46">
        <v>0</v>
      </c>
      <c r="BJ328" s="46">
        <v>0</v>
      </c>
      <c r="BK328" s="46">
        <v>0</v>
      </c>
      <c r="BL328" s="46">
        <v>1</v>
      </c>
      <c r="BM328" s="46">
        <v>0</v>
      </c>
      <c r="BN328" s="46">
        <v>0</v>
      </c>
    </row>
    <row r="329" spans="1:66" x14ac:dyDescent="0.35">
      <c r="A329" t="s">
        <v>7409</v>
      </c>
      <c r="B329" s="44" t="s">
        <v>48</v>
      </c>
      <c r="C329" t="s">
        <v>457</v>
      </c>
      <c r="D329" t="s">
        <v>655</v>
      </c>
      <c r="E329" t="s">
        <v>7411</v>
      </c>
      <c r="F329" t="s">
        <v>7410</v>
      </c>
      <c r="G329" t="s">
        <v>74</v>
      </c>
      <c r="H329">
        <v>0</v>
      </c>
      <c r="I329" s="60" t="s">
        <v>51</v>
      </c>
      <c r="J329" s="33" t="s">
        <v>96</v>
      </c>
      <c r="K329" s="46">
        <v>1</v>
      </c>
      <c r="L329" t="s">
        <v>48</v>
      </c>
      <c r="M329" t="s">
        <v>48</v>
      </c>
      <c r="N329" s="46">
        <v>0</v>
      </c>
      <c r="O329" s="46">
        <v>0</v>
      </c>
      <c r="P329" s="46">
        <v>0</v>
      </c>
      <c r="Q329" t="s">
        <v>48</v>
      </c>
      <c r="R329" t="s">
        <v>48</v>
      </c>
      <c r="S329" t="s">
        <v>7412</v>
      </c>
      <c r="T329" t="s">
        <v>7413</v>
      </c>
      <c r="U329" t="s">
        <v>7412</v>
      </c>
      <c r="V329" s="47">
        <v>0</v>
      </c>
      <c r="W329" t="s">
        <v>48</v>
      </c>
      <c r="X329" t="s">
        <v>48</v>
      </c>
      <c r="Y329" t="s">
        <v>48</v>
      </c>
      <c r="Z329">
        <v>0</v>
      </c>
      <c r="AA329" t="s">
        <v>48</v>
      </c>
      <c r="AB329">
        <v>2008</v>
      </c>
      <c r="AC329" t="s">
        <v>49</v>
      </c>
      <c r="AD329" t="s">
        <v>93</v>
      </c>
      <c r="AE329" t="s">
        <v>4532</v>
      </c>
      <c r="AF329" t="s">
        <v>48</v>
      </c>
      <c r="AG329" t="s">
        <v>466</v>
      </c>
      <c r="AH329" t="s">
        <v>93</v>
      </c>
      <c r="AI329">
        <v>40909</v>
      </c>
      <c r="AJ329">
        <v>1954</v>
      </c>
      <c r="AK329" t="s">
        <v>8625</v>
      </c>
      <c r="AL329" t="s">
        <v>8626</v>
      </c>
      <c r="AM329">
        <v>-0.20399999999999999</v>
      </c>
      <c r="AN329">
        <v>-4.2000000000000003E-2</v>
      </c>
      <c r="AO329">
        <v>-0.20399999999999999</v>
      </c>
      <c r="AP329" s="46">
        <v>0</v>
      </c>
      <c r="AQ329" s="46">
        <v>0</v>
      </c>
      <c r="AR329" s="46">
        <v>0</v>
      </c>
      <c r="AS329" s="46">
        <v>0</v>
      </c>
      <c r="AT329" s="46">
        <v>0</v>
      </c>
      <c r="AU329" s="46">
        <v>0</v>
      </c>
      <c r="AV329" s="46">
        <v>0</v>
      </c>
      <c r="AW329" s="46">
        <v>0</v>
      </c>
      <c r="AX329" s="46">
        <v>0</v>
      </c>
      <c r="AY329" s="46">
        <v>0</v>
      </c>
      <c r="AZ329" s="46">
        <v>0</v>
      </c>
      <c r="BA329" s="46">
        <v>0</v>
      </c>
      <c r="BB329" s="46">
        <v>0</v>
      </c>
      <c r="BC329" s="46">
        <v>0</v>
      </c>
      <c r="BD329" s="46">
        <v>0</v>
      </c>
      <c r="BE329" s="46">
        <v>0</v>
      </c>
      <c r="BF329" s="46">
        <v>0</v>
      </c>
      <c r="BG329" s="46" t="s">
        <v>48</v>
      </c>
      <c r="BH329" s="46">
        <v>0</v>
      </c>
      <c r="BI329" s="46">
        <v>0</v>
      </c>
      <c r="BJ329" s="46">
        <v>0</v>
      </c>
      <c r="BK329" s="46">
        <v>0</v>
      </c>
      <c r="BL329" s="46">
        <v>1</v>
      </c>
      <c r="BM329" s="46">
        <v>0</v>
      </c>
      <c r="BN329" s="46">
        <v>0</v>
      </c>
    </row>
    <row r="330" spans="1:66" x14ac:dyDescent="0.35">
      <c r="A330" t="s">
        <v>8434</v>
      </c>
      <c r="B330" s="44" t="s">
        <v>48</v>
      </c>
      <c r="C330" t="s">
        <v>8439</v>
      </c>
      <c r="D330" t="s">
        <v>5538</v>
      </c>
      <c r="E330" t="s">
        <v>8436</v>
      </c>
      <c r="F330" t="s">
        <v>8435</v>
      </c>
      <c r="G330" t="s">
        <v>74</v>
      </c>
      <c r="H330">
        <v>0</v>
      </c>
      <c r="I330" s="60" t="str">
        <f>"2022-06-29"</f>
        <v>2022-06-29</v>
      </c>
      <c r="J330" t="s">
        <v>96</v>
      </c>
      <c r="K330" s="46">
        <v>1</v>
      </c>
      <c r="L330" t="s">
        <v>48</v>
      </c>
      <c r="M330" t="s">
        <v>48</v>
      </c>
      <c r="N330" s="46">
        <v>0</v>
      </c>
      <c r="O330" s="46">
        <v>0</v>
      </c>
      <c r="P330" s="46">
        <v>0</v>
      </c>
      <c r="Q330" t="s">
        <v>48</v>
      </c>
      <c r="R330" t="s">
        <v>48</v>
      </c>
      <c r="S330" t="s">
        <v>8437</v>
      </c>
      <c r="T330" t="s">
        <v>8438</v>
      </c>
      <c r="U330" t="s">
        <v>8437</v>
      </c>
      <c r="V330" s="47">
        <v>0</v>
      </c>
      <c r="W330" t="s">
        <v>48</v>
      </c>
      <c r="X330" t="s">
        <v>48</v>
      </c>
      <c r="Y330" t="s">
        <v>48</v>
      </c>
      <c r="Z330">
        <v>0</v>
      </c>
      <c r="AA330" t="s">
        <v>48</v>
      </c>
      <c r="AB330" t="s">
        <v>48</v>
      </c>
      <c r="AC330" t="s">
        <v>49</v>
      </c>
      <c r="AD330" t="s">
        <v>93</v>
      </c>
      <c r="AE330" t="s">
        <v>4532</v>
      </c>
      <c r="AF330" t="s">
        <v>48</v>
      </c>
      <c r="AG330" t="s">
        <v>48</v>
      </c>
      <c r="AH330" t="s">
        <v>48</v>
      </c>
      <c r="AI330">
        <v>29147</v>
      </c>
      <c r="AJ330">
        <v>1941</v>
      </c>
      <c r="AK330" t="s">
        <v>8631</v>
      </c>
      <c r="AL330" t="s">
        <v>8440</v>
      </c>
      <c r="AM330">
        <v>-0.53500000000000003</v>
      </c>
      <c r="AN330">
        <v>-0.39700000000000002</v>
      </c>
      <c r="AO330">
        <v>-0.53500000000000003</v>
      </c>
      <c r="AP330" s="46">
        <v>0</v>
      </c>
      <c r="AQ330" s="46">
        <v>0</v>
      </c>
      <c r="AR330" s="46">
        <v>0</v>
      </c>
      <c r="AS330" s="46">
        <v>0</v>
      </c>
      <c r="AT330" s="46">
        <v>1</v>
      </c>
      <c r="AU330" s="46">
        <v>0</v>
      </c>
      <c r="AV330" s="46">
        <v>0</v>
      </c>
      <c r="AW330" s="46">
        <v>0</v>
      </c>
      <c r="AX330" s="46">
        <v>0</v>
      </c>
      <c r="AY330" s="46">
        <v>0</v>
      </c>
      <c r="AZ330" s="46">
        <v>0</v>
      </c>
      <c r="BA330" s="46">
        <v>0</v>
      </c>
      <c r="BB330" s="46">
        <v>0</v>
      </c>
      <c r="BC330" s="46">
        <v>0</v>
      </c>
      <c r="BD330" s="46">
        <v>0</v>
      </c>
      <c r="BE330" s="46">
        <v>0</v>
      </c>
      <c r="BF330" s="46">
        <v>0</v>
      </c>
      <c r="BG330" s="46" t="s">
        <v>48</v>
      </c>
      <c r="BH330" s="46">
        <v>0</v>
      </c>
      <c r="BI330" s="46">
        <v>0</v>
      </c>
      <c r="BJ330" s="46">
        <v>0</v>
      </c>
      <c r="BK330" s="46">
        <v>1</v>
      </c>
      <c r="BL330" s="46">
        <v>0</v>
      </c>
      <c r="BM330" s="46">
        <v>0</v>
      </c>
      <c r="BN330" s="46">
        <v>0</v>
      </c>
    </row>
    <row r="331" spans="1:66" ht="15" x14ac:dyDescent="0.4">
      <c r="A331" t="s">
        <v>7423</v>
      </c>
      <c r="B331" t="s">
        <v>48</v>
      </c>
      <c r="C331" t="s">
        <v>7425</v>
      </c>
      <c r="D331" t="s">
        <v>2531</v>
      </c>
      <c r="E331" t="s">
        <v>7424</v>
      </c>
      <c r="F331" t="s">
        <v>7419</v>
      </c>
      <c r="G331" t="s">
        <v>47</v>
      </c>
      <c r="H331">
        <v>0</v>
      </c>
      <c r="I331" s="60" t="s">
        <v>11160</v>
      </c>
      <c r="J331" s="33" t="s">
        <v>96</v>
      </c>
      <c r="K331" s="46">
        <v>0</v>
      </c>
      <c r="L331">
        <v>38.5</v>
      </c>
      <c r="M331" t="s">
        <v>48</v>
      </c>
      <c r="N331" s="46">
        <v>0</v>
      </c>
      <c r="O331" s="46">
        <v>0</v>
      </c>
      <c r="P331" s="46">
        <v>0</v>
      </c>
      <c r="Q331" t="s">
        <v>48</v>
      </c>
      <c r="R331" t="s">
        <v>48</v>
      </c>
      <c r="S331" s="55" t="s">
        <v>11382</v>
      </c>
      <c r="T331" t="s">
        <v>48</v>
      </c>
      <c r="U331" t="s">
        <v>48</v>
      </c>
      <c r="V331" s="47">
        <v>0</v>
      </c>
      <c r="W331" t="s">
        <v>48</v>
      </c>
      <c r="X331" t="s">
        <v>48</v>
      </c>
      <c r="Y331" t="s">
        <v>48</v>
      </c>
      <c r="Z331">
        <v>0</v>
      </c>
      <c r="AA331" t="s">
        <v>48</v>
      </c>
      <c r="AB331" t="s">
        <v>48</v>
      </c>
      <c r="AC331" t="s">
        <v>63</v>
      </c>
      <c r="AD331" t="s">
        <v>93</v>
      </c>
      <c r="AE331" t="s">
        <v>4532</v>
      </c>
      <c r="AF331" t="s">
        <v>48</v>
      </c>
      <c r="AG331" t="s">
        <v>48</v>
      </c>
      <c r="AH331" t="s">
        <v>48</v>
      </c>
      <c r="AI331" t="s">
        <v>48</v>
      </c>
      <c r="AJ331" t="s">
        <v>48</v>
      </c>
      <c r="AK331" t="s">
        <v>48</v>
      </c>
      <c r="AL331" t="s">
        <v>48</v>
      </c>
      <c r="AM331" t="s">
        <v>48</v>
      </c>
      <c r="AN331" t="s">
        <v>48</v>
      </c>
      <c r="AO331" t="s">
        <v>48</v>
      </c>
      <c r="AP331" s="46">
        <v>0</v>
      </c>
      <c r="AQ331" s="46">
        <v>0</v>
      </c>
      <c r="AR331" s="46">
        <v>0</v>
      </c>
      <c r="AS331" s="46">
        <v>0</v>
      </c>
      <c r="AT331" s="46">
        <v>0</v>
      </c>
      <c r="AU331" s="46">
        <v>0</v>
      </c>
      <c r="AV331" s="46">
        <v>0</v>
      </c>
      <c r="AW331" s="46">
        <v>0</v>
      </c>
      <c r="AX331" s="46">
        <v>0</v>
      </c>
      <c r="AY331" s="46">
        <v>0</v>
      </c>
      <c r="AZ331" s="46">
        <v>0</v>
      </c>
      <c r="BA331" s="46">
        <v>0</v>
      </c>
      <c r="BB331" s="46">
        <v>0</v>
      </c>
      <c r="BC331" s="46">
        <v>0</v>
      </c>
      <c r="BD331" s="46">
        <v>0</v>
      </c>
      <c r="BE331" s="46">
        <v>0</v>
      </c>
      <c r="BF331" s="46">
        <v>0</v>
      </c>
      <c r="BG331" s="46" t="s">
        <v>48</v>
      </c>
      <c r="BH331" s="46">
        <v>0</v>
      </c>
      <c r="BI331" s="46">
        <v>0</v>
      </c>
      <c r="BJ331" s="46">
        <v>0</v>
      </c>
      <c r="BK331" s="46">
        <v>0</v>
      </c>
      <c r="BL331" s="46">
        <v>0</v>
      </c>
      <c r="BM331" s="46">
        <v>0</v>
      </c>
      <c r="BN331" s="46">
        <v>0</v>
      </c>
    </row>
    <row r="332" spans="1:66" x14ac:dyDescent="0.35">
      <c r="A332" t="s">
        <v>10887</v>
      </c>
      <c r="B332" s="44" t="s">
        <v>48</v>
      </c>
      <c r="C332" t="s">
        <v>12356</v>
      </c>
      <c r="D332" t="s">
        <v>1628</v>
      </c>
      <c r="E332" t="s">
        <v>10888</v>
      </c>
      <c r="F332" t="s">
        <v>7419</v>
      </c>
      <c r="G332" t="s">
        <v>74</v>
      </c>
      <c r="H332">
        <v>0</v>
      </c>
      <c r="I332" s="60" t="s">
        <v>11552</v>
      </c>
      <c r="J332" s="33" t="s">
        <v>96</v>
      </c>
      <c r="K332" s="46">
        <v>0</v>
      </c>
      <c r="L332">
        <v>7.3</v>
      </c>
      <c r="M332" t="s">
        <v>48</v>
      </c>
      <c r="N332" s="46">
        <v>0</v>
      </c>
      <c r="O332" s="46">
        <v>0</v>
      </c>
      <c r="P332" s="46">
        <v>0</v>
      </c>
      <c r="Q332" t="s">
        <v>48</v>
      </c>
      <c r="R332" t="s">
        <v>48</v>
      </c>
      <c r="S332" t="s">
        <v>11547</v>
      </c>
      <c r="T332" t="s">
        <v>48</v>
      </c>
      <c r="U332" t="s">
        <v>10889</v>
      </c>
      <c r="V332" s="47">
        <v>0</v>
      </c>
      <c r="W332" t="s">
        <v>48</v>
      </c>
      <c r="X332" t="s">
        <v>48</v>
      </c>
      <c r="Y332" t="s">
        <v>48</v>
      </c>
      <c r="Z332">
        <v>0</v>
      </c>
      <c r="AA332" t="s">
        <v>48</v>
      </c>
      <c r="AB332" t="s">
        <v>48</v>
      </c>
      <c r="AC332" t="s">
        <v>49</v>
      </c>
      <c r="AD332" t="s">
        <v>93</v>
      </c>
      <c r="AE332" t="s">
        <v>4532</v>
      </c>
      <c r="AF332" t="s">
        <v>48</v>
      </c>
      <c r="AG332" t="s">
        <v>48</v>
      </c>
      <c r="AH332" t="s">
        <v>48</v>
      </c>
      <c r="AI332" t="s">
        <v>48</v>
      </c>
      <c r="AJ332" t="s">
        <v>48</v>
      </c>
      <c r="AK332" t="s">
        <v>48</v>
      </c>
      <c r="AL332" t="s">
        <v>48</v>
      </c>
      <c r="AM332" t="s">
        <v>48</v>
      </c>
      <c r="AN332" t="s">
        <v>48</v>
      </c>
      <c r="AO332" t="s">
        <v>48</v>
      </c>
      <c r="AP332" s="46">
        <v>0</v>
      </c>
      <c r="AQ332" s="46">
        <v>0</v>
      </c>
      <c r="AR332" s="46">
        <v>0</v>
      </c>
      <c r="AS332" s="46">
        <v>0</v>
      </c>
      <c r="AT332" s="46">
        <v>0</v>
      </c>
      <c r="AU332" s="46">
        <v>0</v>
      </c>
      <c r="AV332" s="46">
        <v>0</v>
      </c>
      <c r="AW332" s="46">
        <v>0</v>
      </c>
      <c r="AX332" s="46">
        <v>0</v>
      </c>
      <c r="AY332" s="46">
        <v>0</v>
      </c>
      <c r="AZ332" s="46">
        <v>0</v>
      </c>
      <c r="BA332" s="46">
        <v>0</v>
      </c>
      <c r="BB332" s="46">
        <v>0</v>
      </c>
      <c r="BC332" s="46">
        <v>0</v>
      </c>
      <c r="BD332" s="46">
        <v>0</v>
      </c>
      <c r="BE332" s="46">
        <v>0</v>
      </c>
      <c r="BF332" s="46">
        <v>0</v>
      </c>
      <c r="BG332" s="46" t="s">
        <v>48</v>
      </c>
      <c r="BH332" s="46">
        <v>0</v>
      </c>
      <c r="BI332" s="46">
        <v>0</v>
      </c>
      <c r="BJ332" s="46">
        <v>0</v>
      </c>
      <c r="BK332" s="46">
        <v>0</v>
      </c>
      <c r="BL332" s="46">
        <v>0</v>
      </c>
      <c r="BM332" s="46">
        <v>0</v>
      </c>
      <c r="BN332" s="46">
        <v>0</v>
      </c>
    </row>
    <row r="333" spans="1:66" x14ac:dyDescent="0.35">
      <c r="A333" t="s">
        <v>10893</v>
      </c>
      <c r="B333" t="s">
        <v>48</v>
      </c>
      <c r="C333" t="s">
        <v>12358</v>
      </c>
      <c r="D333" t="s">
        <v>294</v>
      </c>
      <c r="E333" t="s">
        <v>10894</v>
      </c>
      <c r="F333" t="s">
        <v>7419</v>
      </c>
      <c r="G333" t="s">
        <v>47</v>
      </c>
      <c r="H333">
        <v>0</v>
      </c>
      <c r="I333" s="60" t="s">
        <v>11552</v>
      </c>
      <c r="J333" s="33" t="s">
        <v>96</v>
      </c>
      <c r="K333" s="46">
        <v>0</v>
      </c>
      <c r="L333">
        <v>18.5</v>
      </c>
      <c r="M333" t="s">
        <v>48</v>
      </c>
      <c r="N333" s="46">
        <v>0</v>
      </c>
      <c r="O333" s="46">
        <v>0</v>
      </c>
      <c r="P333" s="46">
        <v>0</v>
      </c>
      <c r="Q333" t="s">
        <v>48</v>
      </c>
      <c r="R333" t="s">
        <v>48</v>
      </c>
      <c r="S333" t="s">
        <v>11549</v>
      </c>
      <c r="T333" t="s">
        <v>48</v>
      </c>
      <c r="U333" t="s">
        <v>10895</v>
      </c>
      <c r="V333" s="47">
        <v>0</v>
      </c>
      <c r="W333" t="s">
        <v>48</v>
      </c>
      <c r="X333" t="s">
        <v>48</v>
      </c>
      <c r="Y333" t="s">
        <v>48</v>
      </c>
      <c r="Z333">
        <v>0</v>
      </c>
      <c r="AA333" t="s">
        <v>48</v>
      </c>
      <c r="AB333" t="s">
        <v>48</v>
      </c>
      <c r="AC333" t="s">
        <v>49</v>
      </c>
      <c r="AD333" t="s">
        <v>93</v>
      </c>
      <c r="AE333" t="s">
        <v>4532</v>
      </c>
      <c r="AF333" t="s">
        <v>48</v>
      </c>
      <c r="AG333" t="s">
        <v>48</v>
      </c>
      <c r="AH333" t="s">
        <v>48</v>
      </c>
      <c r="AI333" t="s">
        <v>48</v>
      </c>
      <c r="AJ333" t="s">
        <v>48</v>
      </c>
      <c r="AK333" t="s">
        <v>48</v>
      </c>
      <c r="AL333" t="s">
        <v>48</v>
      </c>
      <c r="AM333" t="s">
        <v>48</v>
      </c>
      <c r="AN333" t="s">
        <v>48</v>
      </c>
      <c r="AO333" t="s">
        <v>48</v>
      </c>
      <c r="AP333" s="46">
        <v>0</v>
      </c>
      <c r="AQ333" s="46">
        <v>0</v>
      </c>
      <c r="AR333" s="46">
        <v>0</v>
      </c>
      <c r="AS333" s="46">
        <v>0</v>
      </c>
      <c r="AT333" s="46">
        <v>0</v>
      </c>
      <c r="AU333" s="46">
        <v>0</v>
      </c>
      <c r="AV333" s="46">
        <v>0</v>
      </c>
      <c r="AW333" s="46">
        <v>0</v>
      </c>
      <c r="AX333" s="46">
        <v>0</v>
      </c>
      <c r="AY333" s="46">
        <v>0</v>
      </c>
      <c r="AZ333" s="46">
        <v>0</v>
      </c>
      <c r="BA333" s="46">
        <v>0</v>
      </c>
      <c r="BB333" s="46">
        <v>0</v>
      </c>
      <c r="BC333" s="46">
        <v>0</v>
      </c>
      <c r="BD333" s="46">
        <v>0</v>
      </c>
      <c r="BE333" s="46">
        <v>0</v>
      </c>
      <c r="BF333" s="46">
        <v>0</v>
      </c>
      <c r="BG333" s="46" t="s">
        <v>48</v>
      </c>
      <c r="BH333" s="46">
        <v>0</v>
      </c>
      <c r="BI333" s="46">
        <v>0</v>
      </c>
      <c r="BJ333" s="46">
        <v>0</v>
      </c>
      <c r="BK333" s="46">
        <v>0</v>
      </c>
      <c r="BL333" s="46">
        <v>0</v>
      </c>
      <c r="BM333" s="46">
        <v>0</v>
      </c>
      <c r="BN333" s="46">
        <v>0</v>
      </c>
    </row>
    <row r="334" spans="1:66" x14ac:dyDescent="0.35">
      <c r="A334" t="s">
        <v>7426</v>
      </c>
      <c r="B334" s="44" t="s">
        <v>48</v>
      </c>
      <c r="C334" t="s">
        <v>7428</v>
      </c>
      <c r="D334" t="s">
        <v>2735</v>
      </c>
      <c r="E334" t="s">
        <v>7427</v>
      </c>
      <c r="F334" t="s">
        <v>7419</v>
      </c>
      <c r="G334" t="s">
        <v>74</v>
      </c>
      <c r="H334">
        <v>0</v>
      </c>
      <c r="I334" s="60" t="s">
        <v>125</v>
      </c>
      <c r="J334" s="33" t="s">
        <v>96</v>
      </c>
      <c r="K334" s="46">
        <v>0</v>
      </c>
      <c r="L334">
        <v>5.3</v>
      </c>
      <c r="M334" t="s">
        <v>48</v>
      </c>
      <c r="N334" s="46">
        <v>0</v>
      </c>
      <c r="O334" s="46">
        <v>0</v>
      </c>
      <c r="P334" s="46">
        <v>0</v>
      </c>
      <c r="Q334" t="s">
        <v>48</v>
      </c>
      <c r="R334" t="s">
        <v>48</v>
      </c>
      <c r="S334" t="s">
        <v>48</v>
      </c>
      <c r="T334" t="s">
        <v>48</v>
      </c>
      <c r="U334" t="s">
        <v>48</v>
      </c>
      <c r="V334" s="47">
        <v>1</v>
      </c>
      <c r="W334" t="s">
        <v>48</v>
      </c>
      <c r="X334" t="s">
        <v>48</v>
      </c>
      <c r="Y334" t="s">
        <v>48</v>
      </c>
      <c r="Z334">
        <v>0</v>
      </c>
      <c r="AA334" t="s">
        <v>48</v>
      </c>
      <c r="AB334" t="s">
        <v>48</v>
      </c>
      <c r="AC334" t="s">
        <v>63</v>
      </c>
      <c r="AD334" t="s">
        <v>93</v>
      </c>
      <c r="AE334" t="s">
        <v>4532</v>
      </c>
      <c r="AF334" t="s">
        <v>48</v>
      </c>
      <c r="AG334" t="s">
        <v>48</v>
      </c>
      <c r="AH334" t="s">
        <v>48</v>
      </c>
      <c r="AI334" t="s">
        <v>48</v>
      </c>
      <c r="AJ334" t="s">
        <v>48</v>
      </c>
      <c r="AK334" t="s">
        <v>48</v>
      </c>
      <c r="AL334" t="s">
        <v>48</v>
      </c>
      <c r="AM334" t="s">
        <v>48</v>
      </c>
      <c r="AN334" t="s">
        <v>48</v>
      </c>
      <c r="AO334" t="s">
        <v>48</v>
      </c>
      <c r="AP334" s="46">
        <v>0</v>
      </c>
      <c r="AQ334" s="46">
        <v>0</v>
      </c>
      <c r="AR334" s="46">
        <v>0</v>
      </c>
      <c r="AS334" s="46">
        <v>0</v>
      </c>
      <c r="AT334" s="46">
        <v>0</v>
      </c>
      <c r="AU334" s="46">
        <v>0</v>
      </c>
      <c r="AV334" s="46">
        <v>0</v>
      </c>
      <c r="AW334" s="46">
        <v>0</v>
      </c>
      <c r="AX334" s="46">
        <v>0</v>
      </c>
      <c r="AY334" s="46">
        <v>0</v>
      </c>
      <c r="AZ334" s="46">
        <v>0</v>
      </c>
      <c r="BA334" s="46">
        <v>0</v>
      </c>
      <c r="BB334" s="46">
        <v>0</v>
      </c>
      <c r="BC334" s="46">
        <v>0</v>
      </c>
      <c r="BD334" s="46">
        <v>0</v>
      </c>
      <c r="BE334" s="46">
        <v>0</v>
      </c>
      <c r="BF334" s="46">
        <v>0</v>
      </c>
      <c r="BG334" s="46" t="s">
        <v>48</v>
      </c>
      <c r="BH334" s="46">
        <v>0</v>
      </c>
      <c r="BI334" s="46">
        <v>0</v>
      </c>
      <c r="BJ334" s="46">
        <v>0</v>
      </c>
      <c r="BK334" s="46">
        <v>0</v>
      </c>
      <c r="BL334" s="46">
        <v>0</v>
      </c>
      <c r="BM334" s="46">
        <v>0</v>
      </c>
      <c r="BN334" s="46">
        <v>0</v>
      </c>
    </row>
    <row r="335" spans="1:66" x14ac:dyDescent="0.35">
      <c r="A335" t="s">
        <v>7579</v>
      </c>
      <c r="B335" s="44" t="s">
        <v>48</v>
      </c>
      <c r="C335" t="s">
        <v>7584</v>
      </c>
      <c r="D335" t="s">
        <v>2175</v>
      </c>
      <c r="E335" t="s">
        <v>7581</v>
      </c>
      <c r="F335" t="s">
        <v>7580</v>
      </c>
      <c r="G335" t="s">
        <v>74</v>
      </c>
      <c r="H335">
        <v>0</v>
      </c>
      <c r="I335" s="60" t="s">
        <v>51</v>
      </c>
      <c r="J335" s="33" t="s">
        <v>96</v>
      </c>
      <c r="K335" s="46">
        <v>1</v>
      </c>
      <c r="L335" t="s">
        <v>48</v>
      </c>
      <c r="M335" t="s">
        <v>48</v>
      </c>
      <c r="N335" s="46">
        <v>0</v>
      </c>
      <c r="O335" s="46">
        <v>0</v>
      </c>
      <c r="P335" s="46">
        <v>0</v>
      </c>
      <c r="Q335" t="s">
        <v>48</v>
      </c>
      <c r="R335" t="s">
        <v>48</v>
      </c>
      <c r="S335" t="s">
        <v>7582</v>
      </c>
      <c r="T335" t="s">
        <v>7583</v>
      </c>
      <c r="U335" t="s">
        <v>7582</v>
      </c>
      <c r="V335" s="47">
        <v>0</v>
      </c>
      <c r="W335" t="s">
        <v>48</v>
      </c>
      <c r="X335" t="s">
        <v>48</v>
      </c>
      <c r="Y335" t="s">
        <v>48</v>
      </c>
      <c r="Z335">
        <v>0</v>
      </c>
      <c r="AA335" t="s">
        <v>48</v>
      </c>
      <c r="AB335" t="s">
        <v>48</v>
      </c>
      <c r="AC335" t="s">
        <v>63</v>
      </c>
      <c r="AD335" t="s">
        <v>93</v>
      </c>
      <c r="AE335" t="s">
        <v>4532</v>
      </c>
      <c r="AF335" t="s">
        <v>48</v>
      </c>
      <c r="AG335" t="s">
        <v>48</v>
      </c>
      <c r="AH335" t="s">
        <v>48</v>
      </c>
      <c r="AI335">
        <v>39310</v>
      </c>
      <c r="AJ335">
        <v>1958</v>
      </c>
      <c r="AK335" t="s">
        <v>8632</v>
      </c>
      <c r="AL335" t="s">
        <v>8633</v>
      </c>
      <c r="AM335">
        <v>-0.30499999999999999</v>
      </c>
      <c r="AN335">
        <v>-0.41399999999999998</v>
      </c>
      <c r="AO335">
        <v>-0.30499999999999999</v>
      </c>
      <c r="AP335" s="46">
        <v>0</v>
      </c>
      <c r="AQ335" s="46">
        <v>0</v>
      </c>
      <c r="AR335" s="46">
        <v>0</v>
      </c>
      <c r="AS335" s="46">
        <v>0</v>
      </c>
      <c r="AT335" s="46">
        <v>0</v>
      </c>
      <c r="AU335" s="46">
        <v>0</v>
      </c>
      <c r="AV335" s="46">
        <v>0</v>
      </c>
      <c r="AW335" s="46">
        <v>0</v>
      </c>
      <c r="AX335" s="46">
        <v>0</v>
      </c>
      <c r="AY335" s="46">
        <v>0</v>
      </c>
      <c r="AZ335" s="46">
        <v>0</v>
      </c>
      <c r="BA335" s="46">
        <v>0</v>
      </c>
      <c r="BB335" s="46">
        <v>0</v>
      </c>
      <c r="BC335" s="46">
        <v>0</v>
      </c>
      <c r="BD335" s="46">
        <v>0</v>
      </c>
      <c r="BE335" s="46">
        <v>0</v>
      </c>
      <c r="BF335" s="46">
        <v>0</v>
      </c>
      <c r="BG335" s="46" t="s">
        <v>48</v>
      </c>
      <c r="BH335" s="46">
        <v>0</v>
      </c>
      <c r="BI335" s="46">
        <v>0</v>
      </c>
      <c r="BJ335" s="46">
        <v>0</v>
      </c>
      <c r="BK335" s="46">
        <v>0</v>
      </c>
      <c r="BL335" s="46">
        <v>0</v>
      </c>
      <c r="BM335" s="46">
        <v>0</v>
      </c>
      <c r="BN335" s="46">
        <v>0</v>
      </c>
    </row>
    <row r="336" spans="1:66" x14ac:dyDescent="0.35">
      <c r="A336" t="s">
        <v>9991</v>
      </c>
      <c r="B336" t="s">
        <v>48</v>
      </c>
      <c r="C336" t="s">
        <v>12378</v>
      </c>
      <c r="D336" t="s">
        <v>714</v>
      </c>
      <c r="E336" t="s">
        <v>9992</v>
      </c>
      <c r="F336" t="s">
        <v>7585</v>
      </c>
      <c r="G336" t="s">
        <v>47</v>
      </c>
      <c r="H336">
        <v>0</v>
      </c>
      <c r="I336" s="61">
        <v>44783</v>
      </c>
      <c r="J336" s="33" t="s">
        <v>96</v>
      </c>
      <c r="K336" s="46">
        <v>0</v>
      </c>
      <c r="L336">
        <v>1</v>
      </c>
      <c r="M336" t="s">
        <v>48</v>
      </c>
      <c r="N336" s="46">
        <v>0</v>
      </c>
      <c r="O336" s="46">
        <v>1</v>
      </c>
      <c r="P336" s="46">
        <v>0</v>
      </c>
      <c r="Q336" t="s">
        <v>48</v>
      </c>
      <c r="R336" t="s">
        <v>48</v>
      </c>
      <c r="S336" s="43" t="s">
        <v>48</v>
      </c>
      <c r="T336" s="43" t="s">
        <v>48</v>
      </c>
      <c r="U336" s="43" t="s">
        <v>48</v>
      </c>
      <c r="V336" s="47">
        <v>1</v>
      </c>
      <c r="W336" t="s">
        <v>48</v>
      </c>
      <c r="X336" t="s">
        <v>48</v>
      </c>
      <c r="Y336" t="s">
        <v>48</v>
      </c>
      <c r="Z336" t="s">
        <v>48</v>
      </c>
      <c r="AA336" t="s">
        <v>48</v>
      </c>
      <c r="AB336" t="s">
        <v>48</v>
      </c>
      <c r="AC336" t="s">
        <v>49</v>
      </c>
      <c r="AD336" t="s">
        <v>951</v>
      </c>
      <c r="AE336" t="s">
        <v>977</v>
      </c>
      <c r="AF336" t="s">
        <v>48</v>
      </c>
      <c r="AG336" t="s">
        <v>48</v>
      </c>
      <c r="AH336" t="s">
        <v>48</v>
      </c>
      <c r="AI336" t="s">
        <v>48</v>
      </c>
      <c r="AJ336" t="s">
        <v>48</v>
      </c>
      <c r="AK336" t="s">
        <v>48</v>
      </c>
      <c r="AL336" t="s">
        <v>48</v>
      </c>
      <c r="AM336" t="s">
        <v>48</v>
      </c>
      <c r="AN336" t="s">
        <v>48</v>
      </c>
      <c r="AO336" t="s">
        <v>48</v>
      </c>
      <c r="AP336" s="46">
        <v>0</v>
      </c>
      <c r="AQ336" s="46">
        <v>0</v>
      </c>
      <c r="AR336" s="46">
        <v>0</v>
      </c>
      <c r="AS336" s="46">
        <v>0</v>
      </c>
      <c r="AT336" s="46">
        <v>0</v>
      </c>
      <c r="AU336" s="46">
        <v>0</v>
      </c>
      <c r="AV336" s="46">
        <v>0</v>
      </c>
      <c r="AW336" s="46">
        <v>0</v>
      </c>
      <c r="AX336" s="46">
        <v>0</v>
      </c>
      <c r="AY336" s="46">
        <v>0</v>
      </c>
      <c r="AZ336" s="46">
        <v>0</v>
      </c>
      <c r="BA336" s="46">
        <v>0</v>
      </c>
      <c r="BB336" s="46">
        <v>0</v>
      </c>
      <c r="BC336" s="46">
        <v>0</v>
      </c>
      <c r="BD336" s="46">
        <v>0</v>
      </c>
      <c r="BE336" s="46">
        <v>0</v>
      </c>
      <c r="BF336" s="46">
        <v>0</v>
      </c>
      <c r="BG336" s="46" t="s">
        <v>48</v>
      </c>
      <c r="BH336" s="46">
        <v>0</v>
      </c>
      <c r="BI336" s="46">
        <v>0</v>
      </c>
      <c r="BJ336" s="46">
        <v>0</v>
      </c>
      <c r="BK336" s="46">
        <v>0</v>
      </c>
      <c r="BL336" s="46">
        <v>0</v>
      </c>
      <c r="BM336" s="46">
        <v>0</v>
      </c>
      <c r="BN336" s="46">
        <v>0</v>
      </c>
    </row>
    <row r="337" spans="1:66" x14ac:dyDescent="0.35">
      <c r="A337" t="s">
        <v>9989</v>
      </c>
      <c r="B337" t="s">
        <v>48</v>
      </c>
      <c r="C337" t="s">
        <v>12377</v>
      </c>
      <c r="D337" t="s">
        <v>221</v>
      </c>
      <c r="E337" t="s">
        <v>9990</v>
      </c>
      <c r="F337" t="s">
        <v>7585</v>
      </c>
      <c r="G337" t="s">
        <v>47</v>
      </c>
      <c r="H337">
        <v>0</v>
      </c>
      <c r="I337" s="61">
        <v>44783</v>
      </c>
      <c r="J337" s="33" t="s">
        <v>96</v>
      </c>
      <c r="K337" s="46">
        <v>0</v>
      </c>
      <c r="L337">
        <v>2.9</v>
      </c>
      <c r="M337" t="s">
        <v>48</v>
      </c>
      <c r="N337" s="46">
        <v>0</v>
      </c>
      <c r="O337" s="46">
        <v>0</v>
      </c>
      <c r="P337" s="46">
        <v>0</v>
      </c>
      <c r="Q337" t="s">
        <v>48</v>
      </c>
      <c r="R337" t="s">
        <v>48</v>
      </c>
      <c r="S337" s="43" t="s">
        <v>10405</v>
      </c>
      <c r="T337" s="43" t="s">
        <v>48</v>
      </c>
      <c r="U337" s="43" t="s">
        <v>10405</v>
      </c>
      <c r="V337" s="47">
        <v>1</v>
      </c>
      <c r="W337" t="s">
        <v>11317</v>
      </c>
      <c r="X337" t="s">
        <v>48</v>
      </c>
      <c r="Y337" t="s">
        <v>48</v>
      </c>
      <c r="Z337" t="s">
        <v>48</v>
      </c>
      <c r="AA337" t="s">
        <v>48</v>
      </c>
      <c r="AB337" t="s">
        <v>48</v>
      </c>
      <c r="AC337" t="s">
        <v>49</v>
      </c>
      <c r="AD337" t="s">
        <v>93</v>
      </c>
      <c r="AE337" t="s">
        <v>4532</v>
      </c>
      <c r="AF337" t="s">
        <v>48</v>
      </c>
      <c r="AG337" t="s">
        <v>48</v>
      </c>
      <c r="AH337" t="s">
        <v>48</v>
      </c>
      <c r="AI337" t="s">
        <v>48</v>
      </c>
      <c r="AJ337" t="s">
        <v>48</v>
      </c>
      <c r="AK337" t="s">
        <v>48</v>
      </c>
      <c r="AL337" t="s">
        <v>48</v>
      </c>
      <c r="AM337" t="s">
        <v>48</v>
      </c>
      <c r="AN337" t="s">
        <v>48</v>
      </c>
      <c r="AO337" t="s">
        <v>48</v>
      </c>
      <c r="AP337" s="46">
        <v>0</v>
      </c>
      <c r="AQ337" s="46">
        <v>0</v>
      </c>
      <c r="AR337" s="46">
        <v>0</v>
      </c>
      <c r="AS337" s="46">
        <v>0</v>
      </c>
      <c r="AT337" s="46">
        <v>0</v>
      </c>
      <c r="AU337" s="46">
        <v>0</v>
      </c>
      <c r="AV337" s="46">
        <v>0</v>
      </c>
      <c r="AW337" s="46">
        <v>0</v>
      </c>
      <c r="AX337" s="46">
        <v>0</v>
      </c>
      <c r="AY337" s="46">
        <v>0</v>
      </c>
      <c r="AZ337" s="46">
        <v>0</v>
      </c>
      <c r="BA337" s="46">
        <v>0</v>
      </c>
      <c r="BB337" s="46">
        <v>0</v>
      </c>
      <c r="BC337" s="46">
        <v>0</v>
      </c>
      <c r="BD337" s="46">
        <v>0</v>
      </c>
      <c r="BE337" s="46">
        <v>0</v>
      </c>
      <c r="BF337" s="46">
        <v>0</v>
      </c>
      <c r="BG337" s="46" t="s">
        <v>48</v>
      </c>
      <c r="BH337" s="46">
        <v>0</v>
      </c>
      <c r="BI337" s="46">
        <v>0</v>
      </c>
      <c r="BJ337" s="46">
        <v>0</v>
      </c>
      <c r="BK337" s="46">
        <v>0</v>
      </c>
      <c r="BL337" s="46">
        <v>0</v>
      </c>
      <c r="BM337" s="46">
        <v>0</v>
      </c>
      <c r="BN337" s="46">
        <v>0</v>
      </c>
    </row>
    <row r="338" spans="1:66" x14ac:dyDescent="0.35">
      <c r="A338" t="s">
        <v>9987</v>
      </c>
      <c r="B338" t="s">
        <v>48</v>
      </c>
      <c r="C338" t="s">
        <v>120</v>
      </c>
      <c r="D338" t="s">
        <v>5707</v>
      </c>
      <c r="E338" t="s">
        <v>9988</v>
      </c>
      <c r="F338" t="s">
        <v>7585</v>
      </c>
      <c r="G338" t="s">
        <v>47</v>
      </c>
      <c r="H338">
        <v>0</v>
      </c>
      <c r="I338" s="61">
        <v>44783</v>
      </c>
      <c r="J338" s="33" t="s">
        <v>96</v>
      </c>
      <c r="K338" s="46">
        <v>0</v>
      </c>
      <c r="L338">
        <v>3.1</v>
      </c>
      <c r="M338" t="s">
        <v>48</v>
      </c>
      <c r="N338" s="46">
        <v>0</v>
      </c>
      <c r="O338" s="46">
        <v>0</v>
      </c>
      <c r="P338" s="46">
        <v>0</v>
      </c>
      <c r="Q338" t="s">
        <v>48</v>
      </c>
      <c r="R338" t="s">
        <v>48</v>
      </c>
      <c r="S338" s="43" t="s">
        <v>48</v>
      </c>
      <c r="T338" s="43" t="s">
        <v>48</v>
      </c>
      <c r="U338" s="43" t="s">
        <v>48</v>
      </c>
      <c r="V338" s="47">
        <v>0</v>
      </c>
      <c r="W338" t="s">
        <v>48</v>
      </c>
      <c r="X338" t="s">
        <v>48</v>
      </c>
      <c r="Y338" t="s">
        <v>48</v>
      </c>
      <c r="Z338" t="s">
        <v>48</v>
      </c>
      <c r="AA338" t="s">
        <v>48</v>
      </c>
      <c r="AB338" t="s">
        <v>48</v>
      </c>
      <c r="AC338" t="s">
        <v>49</v>
      </c>
      <c r="AD338" t="s">
        <v>93</v>
      </c>
      <c r="AE338" t="s">
        <v>4532</v>
      </c>
      <c r="AF338" t="s">
        <v>48</v>
      </c>
      <c r="AG338" t="s">
        <v>48</v>
      </c>
      <c r="AH338" t="s">
        <v>48</v>
      </c>
      <c r="AI338" t="s">
        <v>48</v>
      </c>
      <c r="AJ338" t="s">
        <v>48</v>
      </c>
      <c r="AK338" t="s">
        <v>48</v>
      </c>
      <c r="AL338" t="s">
        <v>48</v>
      </c>
      <c r="AM338" t="s">
        <v>48</v>
      </c>
      <c r="AN338" t="s">
        <v>48</v>
      </c>
      <c r="AO338" t="s">
        <v>48</v>
      </c>
      <c r="AP338" s="46">
        <v>0</v>
      </c>
      <c r="AQ338" s="46">
        <v>0</v>
      </c>
      <c r="AR338" s="46">
        <v>0</v>
      </c>
      <c r="AS338" s="46">
        <v>0</v>
      </c>
      <c r="AT338" s="46">
        <v>0</v>
      </c>
      <c r="AU338" s="46">
        <v>0</v>
      </c>
      <c r="AV338" s="46">
        <v>0</v>
      </c>
      <c r="AW338" s="46">
        <v>0</v>
      </c>
      <c r="AX338" s="46">
        <v>0</v>
      </c>
      <c r="AY338" s="46">
        <v>0</v>
      </c>
      <c r="AZ338" s="46">
        <v>0</v>
      </c>
      <c r="BA338" s="46">
        <v>0</v>
      </c>
      <c r="BB338" s="46">
        <v>0</v>
      </c>
      <c r="BC338" s="46">
        <v>0</v>
      </c>
      <c r="BD338" s="46">
        <v>0</v>
      </c>
      <c r="BE338" s="46">
        <v>0</v>
      </c>
      <c r="BF338" s="46">
        <v>0</v>
      </c>
      <c r="BG338" s="46" t="s">
        <v>48</v>
      </c>
      <c r="BH338" s="46">
        <v>0</v>
      </c>
      <c r="BI338" s="46">
        <v>0</v>
      </c>
      <c r="BJ338" s="46">
        <v>0</v>
      </c>
      <c r="BK338" s="46">
        <v>0</v>
      </c>
      <c r="BL338" s="46">
        <v>0</v>
      </c>
      <c r="BM338" s="46">
        <v>0</v>
      </c>
      <c r="BN338" s="46">
        <v>0</v>
      </c>
    </row>
    <row r="339" spans="1:66" x14ac:dyDescent="0.35">
      <c r="A339" t="s">
        <v>7589</v>
      </c>
      <c r="B339" s="44" t="s">
        <v>48</v>
      </c>
      <c r="C339" t="s">
        <v>3074</v>
      </c>
      <c r="D339" t="s">
        <v>7591</v>
      </c>
      <c r="E339" t="s">
        <v>7590</v>
      </c>
      <c r="F339" t="s">
        <v>7585</v>
      </c>
      <c r="G339" t="s">
        <v>74</v>
      </c>
      <c r="H339">
        <v>0</v>
      </c>
      <c r="I339" s="60" t="s">
        <v>177</v>
      </c>
      <c r="J339" s="33" t="s">
        <v>96</v>
      </c>
      <c r="K339" s="46">
        <v>0</v>
      </c>
      <c r="L339">
        <v>1.1000000000000001</v>
      </c>
      <c r="M339" t="s">
        <v>48</v>
      </c>
      <c r="N339" s="46">
        <v>0</v>
      </c>
      <c r="O339" s="46">
        <v>0</v>
      </c>
      <c r="P339" s="46">
        <v>0</v>
      </c>
      <c r="Q339" t="s">
        <v>48</v>
      </c>
      <c r="R339" t="s">
        <v>48</v>
      </c>
      <c r="S339" t="s">
        <v>10404</v>
      </c>
      <c r="T339" t="s">
        <v>48</v>
      </c>
      <c r="U339" t="s">
        <v>10404</v>
      </c>
      <c r="V339" s="47">
        <v>0</v>
      </c>
      <c r="W339" t="s">
        <v>48</v>
      </c>
      <c r="X339" t="s">
        <v>48</v>
      </c>
      <c r="Y339" t="s">
        <v>48</v>
      </c>
      <c r="Z339">
        <v>0</v>
      </c>
      <c r="AA339" t="s">
        <v>48</v>
      </c>
      <c r="AB339" t="s">
        <v>48</v>
      </c>
      <c r="AC339" t="s">
        <v>49</v>
      </c>
      <c r="AD339" t="s">
        <v>93</v>
      </c>
      <c r="AE339" t="s">
        <v>2471</v>
      </c>
      <c r="AF339" t="s">
        <v>48</v>
      </c>
      <c r="AG339" t="s">
        <v>48</v>
      </c>
      <c r="AH339" t="s">
        <v>48</v>
      </c>
      <c r="AI339" t="s">
        <v>48</v>
      </c>
      <c r="AJ339" t="s">
        <v>48</v>
      </c>
      <c r="AK339" t="s">
        <v>48</v>
      </c>
      <c r="AL339" t="s">
        <v>48</v>
      </c>
      <c r="AM339" t="s">
        <v>48</v>
      </c>
      <c r="AN339" t="s">
        <v>48</v>
      </c>
      <c r="AO339" t="s">
        <v>48</v>
      </c>
      <c r="AP339" s="46">
        <v>0</v>
      </c>
      <c r="AQ339" s="46">
        <v>0</v>
      </c>
      <c r="AR339" s="46">
        <v>0</v>
      </c>
      <c r="AS339" s="46">
        <v>0</v>
      </c>
      <c r="AT339" s="46">
        <v>0</v>
      </c>
      <c r="AU339" s="46">
        <v>0</v>
      </c>
      <c r="AV339" s="46">
        <v>0</v>
      </c>
      <c r="AW339" s="46">
        <v>0</v>
      </c>
      <c r="AX339" s="46">
        <v>0</v>
      </c>
      <c r="AY339" s="46">
        <v>0</v>
      </c>
      <c r="AZ339" s="46">
        <v>0</v>
      </c>
      <c r="BA339" s="46">
        <v>0</v>
      </c>
      <c r="BB339" s="46">
        <v>0</v>
      </c>
      <c r="BC339" s="46">
        <v>0</v>
      </c>
      <c r="BD339" s="46">
        <v>0</v>
      </c>
      <c r="BE339" s="46">
        <v>0</v>
      </c>
      <c r="BF339" s="46">
        <v>0</v>
      </c>
      <c r="BG339" s="46" t="s">
        <v>48</v>
      </c>
      <c r="BH339" s="46">
        <v>0</v>
      </c>
      <c r="BI339" s="46">
        <v>0</v>
      </c>
      <c r="BJ339" s="46">
        <v>0</v>
      </c>
      <c r="BK339" s="46">
        <v>0</v>
      </c>
      <c r="BL339" s="46">
        <v>0</v>
      </c>
      <c r="BM339" s="46">
        <v>0</v>
      </c>
      <c r="BN339" s="46">
        <v>0</v>
      </c>
    </row>
    <row r="340" spans="1:66" x14ac:dyDescent="0.35">
      <c r="A340" t="s">
        <v>7673</v>
      </c>
      <c r="B340" s="44" t="s">
        <v>48</v>
      </c>
      <c r="C340" t="s">
        <v>7678</v>
      </c>
      <c r="D340" t="s">
        <v>2927</v>
      </c>
      <c r="E340" t="s">
        <v>7675</v>
      </c>
      <c r="F340" t="s">
        <v>7674</v>
      </c>
      <c r="G340" t="s">
        <v>74</v>
      </c>
      <c r="H340">
        <v>0</v>
      </c>
      <c r="I340" s="60" t="s">
        <v>51</v>
      </c>
      <c r="J340" s="33" t="s">
        <v>96</v>
      </c>
      <c r="K340" s="46">
        <v>1</v>
      </c>
      <c r="L340" t="s">
        <v>48</v>
      </c>
      <c r="M340" t="s">
        <v>48</v>
      </c>
      <c r="N340" s="46">
        <v>0</v>
      </c>
      <c r="O340" s="46">
        <v>0</v>
      </c>
      <c r="P340" s="46">
        <v>0</v>
      </c>
      <c r="Q340" t="s">
        <v>48</v>
      </c>
      <c r="R340" t="s">
        <v>48</v>
      </c>
      <c r="S340" t="s">
        <v>7676</v>
      </c>
      <c r="T340" t="s">
        <v>7677</v>
      </c>
      <c r="U340" t="s">
        <v>7676</v>
      </c>
      <c r="V340" s="47">
        <v>0</v>
      </c>
      <c r="W340" t="s">
        <v>48</v>
      </c>
      <c r="X340" t="s">
        <v>48</v>
      </c>
      <c r="Y340" t="s">
        <v>48</v>
      </c>
      <c r="Z340">
        <v>0</v>
      </c>
      <c r="AA340" t="s">
        <v>48</v>
      </c>
      <c r="AB340" t="s">
        <v>48</v>
      </c>
      <c r="AC340" t="s">
        <v>63</v>
      </c>
      <c r="AD340" t="s">
        <v>93</v>
      </c>
      <c r="AE340" t="s">
        <v>4532</v>
      </c>
      <c r="AF340" t="s">
        <v>48</v>
      </c>
      <c r="AG340" t="s">
        <v>48</v>
      </c>
      <c r="AH340">
        <v>1</v>
      </c>
      <c r="AI340">
        <v>29940</v>
      </c>
      <c r="AJ340">
        <v>1962</v>
      </c>
      <c r="AK340" t="s">
        <v>8636</v>
      </c>
      <c r="AL340" t="s">
        <v>8637</v>
      </c>
      <c r="AM340">
        <v>-0.49299999999999999</v>
      </c>
      <c r="AN340">
        <v>-0.13600000000000001</v>
      </c>
      <c r="AO340">
        <v>-0.49299999999999999</v>
      </c>
      <c r="AP340" s="46">
        <v>0</v>
      </c>
      <c r="AQ340" s="46">
        <v>0</v>
      </c>
      <c r="AR340" s="46">
        <v>0</v>
      </c>
      <c r="AS340" s="46">
        <v>0</v>
      </c>
      <c r="AT340" s="46">
        <v>0</v>
      </c>
      <c r="AU340" s="46">
        <v>0</v>
      </c>
      <c r="AV340" s="46">
        <v>0</v>
      </c>
      <c r="AW340" s="46">
        <v>0</v>
      </c>
      <c r="AX340" s="46">
        <v>0</v>
      </c>
      <c r="AY340" s="46">
        <v>0</v>
      </c>
      <c r="AZ340" s="46">
        <v>0</v>
      </c>
      <c r="BA340" s="46">
        <v>0</v>
      </c>
      <c r="BB340" s="46">
        <v>0</v>
      </c>
      <c r="BC340" s="46">
        <v>0</v>
      </c>
      <c r="BD340" s="46">
        <v>0</v>
      </c>
      <c r="BE340" s="46">
        <v>0</v>
      </c>
      <c r="BF340" s="46">
        <v>0</v>
      </c>
      <c r="BG340" s="46" t="s">
        <v>48</v>
      </c>
      <c r="BH340" s="46">
        <v>0</v>
      </c>
      <c r="BI340" s="46">
        <v>0</v>
      </c>
      <c r="BJ340" s="46">
        <v>0</v>
      </c>
      <c r="BK340" s="46">
        <v>1</v>
      </c>
      <c r="BL340" s="46">
        <v>0</v>
      </c>
      <c r="BM340" s="46">
        <v>0</v>
      </c>
      <c r="BN340" s="46">
        <v>0</v>
      </c>
    </row>
    <row r="341" spans="1:66" x14ac:dyDescent="0.35">
      <c r="A341" t="s">
        <v>7693</v>
      </c>
      <c r="B341" s="44" t="s">
        <v>48</v>
      </c>
      <c r="C341" t="s">
        <v>7696</v>
      </c>
      <c r="D341" t="s">
        <v>731</v>
      </c>
      <c r="E341" t="s">
        <v>7694</v>
      </c>
      <c r="F341" t="s">
        <v>7680</v>
      </c>
      <c r="G341" t="s">
        <v>74</v>
      </c>
      <c r="H341">
        <v>0</v>
      </c>
      <c r="I341" s="60" t="s">
        <v>51</v>
      </c>
      <c r="J341" s="33" t="s">
        <v>96</v>
      </c>
      <c r="K341" s="46">
        <v>0</v>
      </c>
      <c r="L341">
        <v>8.9</v>
      </c>
      <c r="M341" t="s">
        <v>48</v>
      </c>
      <c r="N341" s="46">
        <v>0</v>
      </c>
      <c r="O341" s="46">
        <v>0</v>
      </c>
      <c r="P341" s="46">
        <v>0</v>
      </c>
      <c r="Q341" t="s">
        <v>48</v>
      </c>
      <c r="R341" t="s">
        <v>48</v>
      </c>
      <c r="S341" t="s">
        <v>7695</v>
      </c>
      <c r="T341" t="s">
        <v>48</v>
      </c>
      <c r="U341" t="s">
        <v>7695</v>
      </c>
      <c r="V341" s="47">
        <v>0</v>
      </c>
      <c r="W341" t="s">
        <v>48</v>
      </c>
      <c r="X341" t="s">
        <v>48</v>
      </c>
      <c r="Y341" t="s">
        <v>48</v>
      </c>
      <c r="Z341">
        <v>0</v>
      </c>
      <c r="AA341" t="s">
        <v>48</v>
      </c>
      <c r="AB341" t="s">
        <v>48</v>
      </c>
      <c r="AC341" t="s">
        <v>49</v>
      </c>
      <c r="AD341" t="s">
        <v>93</v>
      </c>
      <c r="AE341" t="s">
        <v>4532</v>
      </c>
      <c r="AF341" t="s">
        <v>48</v>
      </c>
      <c r="AG341" t="s">
        <v>48</v>
      </c>
      <c r="AH341" t="s">
        <v>48</v>
      </c>
      <c r="AI341" t="s">
        <v>48</v>
      </c>
      <c r="AJ341">
        <v>1987</v>
      </c>
      <c r="AK341" t="s">
        <v>48</v>
      </c>
      <c r="AL341" t="s">
        <v>48</v>
      </c>
      <c r="AM341" t="s">
        <v>48</v>
      </c>
      <c r="AN341" t="s">
        <v>48</v>
      </c>
      <c r="AO341" t="s">
        <v>48</v>
      </c>
      <c r="AP341" s="46">
        <v>0</v>
      </c>
      <c r="AQ341" s="46">
        <v>0</v>
      </c>
      <c r="AR341" s="46">
        <v>0</v>
      </c>
      <c r="AS341" s="46">
        <v>0</v>
      </c>
      <c r="AT341" s="46">
        <v>0</v>
      </c>
      <c r="AU341" s="46">
        <v>0</v>
      </c>
      <c r="AV341" s="46">
        <v>0</v>
      </c>
      <c r="AW341" s="46">
        <v>0</v>
      </c>
      <c r="AX341" s="46">
        <v>0</v>
      </c>
      <c r="AY341" s="46">
        <v>0</v>
      </c>
      <c r="AZ341" s="46">
        <v>0</v>
      </c>
      <c r="BA341" s="46">
        <v>0</v>
      </c>
      <c r="BB341" s="46">
        <v>0</v>
      </c>
      <c r="BC341" s="46">
        <v>0</v>
      </c>
      <c r="BD341" s="46">
        <v>0</v>
      </c>
      <c r="BE341" s="46">
        <v>0</v>
      </c>
      <c r="BF341" s="46">
        <v>0</v>
      </c>
      <c r="BG341" s="46" t="s">
        <v>48</v>
      </c>
      <c r="BH341" s="46">
        <v>0</v>
      </c>
      <c r="BI341" s="46">
        <v>0</v>
      </c>
      <c r="BJ341" s="46">
        <v>0</v>
      </c>
      <c r="BK341" s="46">
        <v>0</v>
      </c>
      <c r="BL341" s="46">
        <v>0</v>
      </c>
      <c r="BM341" s="46">
        <v>0</v>
      </c>
      <c r="BN341" s="46">
        <v>0</v>
      </c>
    </row>
    <row r="342" spans="1:66" x14ac:dyDescent="0.35">
      <c r="A342" t="s">
        <v>7711</v>
      </c>
      <c r="B342" s="44" t="s">
        <v>48</v>
      </c>
      <c r="C342" t="s">
        <v>332</v>
      </c>
      <c r="D342" t="s">
        <v>1503</v>
      </c>
      <c r="E342" t="s">
        <v>7712</v>
      </c>
      <c r="F342" t="s">
        <v>7680</v>
      </c>
      <c r="G342" t="s">
        <v>74</v>
      </c>
      <c r="H342">
        <v>0</v>
      </c>
      <c r="I342" s="60" t="s">
        <v>177</v>
      </c>
      <c r="J342" s="33" t="s">
        <v>96</v>
      </c>
      <c r="K342" s="46">
        <v>0</v>
      </c>
      <c r="L342">
        <v>0.7</v>
      </c>
      <c r="M342" t="s">
        <v>48</v>
      </c>
      <c r="N342" s="46">
        <v>0</v>
      </c>
      <c r="O342" s="46">
        <v>0</v>
      </c>
      <c r="P342" s="46">
        <v>0</v>
      </c>
      <c r="Q342" t="s">
        <v>48</v>
      </c>
      <c r="R342" t="s">
        <v>48</v>
      </c>
      <c r="S342" t="s">
        <v>48</v>
      </c>
      <c r="T342" t="s">
        <v>48</v>
      </c>
      <c r="U342" t="s">
        <v>48</v>
      </c>
      <c r="V342" s="47">
        <v>0</v>
      </c>
      <c r="W342" t="s">
        <v>48</v>
      </c>
      <c r="X342" t="s">
        <v>48</v>
      </c>
      <c r="Y342" t="s">
        <v>48</v>
      </c>
      <c r="Z342">
        <v>0</v>
      </c>
      <c r="AA342" t="s">
        <v>48</v>
      </c>
      <c r="AB342" t="s">
        <v>48</v>
      </c>
      <c r="AC342" t="s">
        <v>49</v>
      </c>
      <c r="AD342" t="s">
        <v>93</v>
      </c>
      <c r="AE342" t="s">
        <v>2471</v>
      </c>
      <c r="AF342" t="s">
        <v>48</v>
      </c>
      <c r="AG342" t="s">
        <v>48</v>
      </c>
      <c r="AH342" t="s">
        <v>48</v>
      </c>
      <c r="AI342" t="s">
        <v>48</v>
      </c>
      <c r="AJ342" t="s">
        <v>48</v>
      </c>
      <c r="AK342" t="s">
        <v>48</v>
      </c>
      <c r="AL342" t="s">
        <v>48</v>
      </c>
      <c r="AM342" t="s">
        <v>48</v>
      </c>
      <c r="AN342" t="s">
        <v>48</v>
      </c>
      <c r="AO342" t="s">
        <v>48</v>
      </c>
      <c r="AP342" s="46">
        <v>0</v>
      </c>
      <c r="AQ342" s="46">
        <v>0</v>
      </c>
      <c r="AR342" s="46">
        <v>0</v>
      </c>
      <c r="AS342" s="46">
        <v>0</v>
      </c>
      <c r="AT342" s="46">
        <v>0</v>
      </c>
      <c r="AU342" s="46">
        <v>0</v>
      </c>
      <c r="AV342" s="46">
        <v>0</v>
      </c>
      <c r="AW342" s="46">
        <v>0</v>
      </c>
      <c r="AX342" s="46">
        <v>0</v>
      </c>
      <c r="AY342" s="46">
        <v>0</v>
      </c>
      <c r="AZ342" s="46">
        <v>0</v>
      </c>
      <c r="BA342" s="46">
        <v>0</v>
      </c>
      <c r="BB342" s="46">
        <v>0</v>
      </c>
      <c r="BC342" s="46">
        <v>0</v>
      </c>
      <c r="BD342" s="46">
        <v>0</v>
      </c>
      <c r="BE342" s="46">
        <v>0</v>
      </c>
      <c r="BF342" s="46">
        <v>0</v>
      </c>
      <c r="BG342" s="46" t="s">
        <v>48</v>
      </c>
      <c r="BH342" s="46">
        <v>0</v>
      </c>
      <c r="BI342" s="46">
        <v>0</v>
      </c>
      <c r="BJ342" s="46">
        <v>0</v>
      </c>
      <c r="BK342" s="46">
        <v>0</v>
      </c>
      <c r="BL342" s="46">
        <v>0</v>
      </c>
      <c r="BM342" s="46">
        <v>0</v>
      </c>
      <c r="BN342" s="46">
        <v>0</v>
      </c>
    </row>
    <row r="343" spans="1:66" x14ac:dyDescent="0.35">
      <c r="A343" t="s">
        <v>10909</v>
      </c>
      <c r="B343" t="s">
        <v>48</v>
      </c>
      <c r="C343" t="s">
        <v>12386</v>
      </c>
      <c r="D343" t="s">
        <v>268</v>
      </c>
      <c r="E343" t="s">
        <v>10910</v>
      </c>
      <c r="F343" t="s">
        <v>7680</v>
      </c>
      <c r="G343" t="s">
        <v>47</v>
      </c>
      <c r="H343">
        <v>0</v>
      </c>
      <c r="I343" s="61">
        <v>44789</v>
      </c>
      <c r="J343" s="33" t="s">
        <v>96</v>
      </c>
      <c r="K343" s="46">
        <v>0</v>
      </c>
      <c r="L343">
        <v>16.3</v>
      </c>
      <c r="M343" t="s">
        <v>48</v>
      </c>
      <c r="N343" s="46">
        <v>0</v>
      </c>
      <c r="O343" s="46">
        <v>0</v>
      </c>
      <c r="P343" s="46">
        <v>0</v>
      </c>
      <c r="Q343" t="s">
        <v>48</v>
      </c>
      <c r="R343" t="s">
        <v>48</v>
      </c>
      <c r="S343" t="s">
        <v>48</v>
      </c>
      <c r="T343" t="s">
        <v>48</v>
      </c>
      <c r="U343" t="s">
        <v>48</v>
      </c>
      <c r="V343" s="47">
        <v>0</v>
      </c>
      <c r="W343" t="s">
        <v>48</v>
      </c>
      <c r="X343" t="s">
        <v>48</v>
      </c>
      <c r="Y343" t="s">
        <v>48</v>
      </c>
      <c r="Z343">
        <v>0</v>
      </c>
      <c r="AA343" t="s">
        <v>48</v>
      </c>
      <c r="AB343" t="s">
        <v>48</v>
      </c>
      <c r="AC343" t="s">
        <v>49</v>
      </c>
      <c r="AD343" t="s">
        <v>93</v>
      </c>
      <c r="AE343" t="s">
        <v>4532</v>
      </c>
      <c r="AF343" t="s">
        <v>48</v>
      </c>
      <c r="AG343" t="s">
        <v>48</v>
      </c>
      <c r="AH343" t="s">
        <v>48</v>
      </c>
      <c r="AI343" t="s">
        <v>48</v>
      </c>
      <c r="AJ343" t="s">
        <v>48</v>
      </c>
      <c r="AK343" t="s">
        <v>48</v>
      </c>
      <c r="AL343" t="s">
        <v>48</v>
      </c>
      <c r="AM343" t="s">
        <v>48</v>
      </c>
      <c r="AN343" t="s">
        <v>48</v>
      </c>
      <c r="AO343" t="s">
        <v>48</v>
      </c>
      <c r="AP343" s="46">
        <v>0</v>
      </c>
      <c r="AQ343" s="46">
        <v>0</v>
      </c>
      <c r="AR343" s="46">
        <v>0</v>
      </c>
      <c r="AS343" s="46">
        <v>0</v>
      </c>
      <c r="AT343" s="46">
        <v>0</v>
      </c>
      <c r="AU343" s="46">
        <v>0</v>
      </c>
      <c r="AV343" s="46">
        <v>0</v>
      </c>
      <c r="AW343" s="46">
        <v>0</v>
      </c>
      <c r="AX343" s="46">
        <v>0</v>
      </c>
      <c r="AY343" s="46">
        <v>0</v>
      </c>
      <c r="AZ343" s="46">
        <v>0</v>
      </c>
      <c r="BA343" s="46">
        <v>0</v>
      </c>
      <c r="BB343" s="46">
        <v>0</v>
      </c>
      <c r="BC343" s="46">
        <v>0</v>
      </c>
      <c r="BD343" s="46">
        <v>0</v>
      </c>
      <c r="BE343" s="46">
        <v>0</v>
      </c>
      <c r="BF343" s="46">
        <v>0</v>
      </c>
      <c r="BG343" s="46" t="s">
        <v>48</v>
      </c>
      <c r="BH343" s="46">
        <v>0</v>
      </c>
      <c r="BI343" s="46">
        <v>0</v>
      </c>
      <c r="BJ343" s="46">
        <v>0</v>
      </c>
      <c r="BK343" s="46">
        <v>0</v>
      </c>
      <c r="BL343" s="46">
        <v>0</v>
      </c>
      <c r="BM343" s="46">
        <v>0</v>
      </c>
      <c r="BN343" s="46">
        <v>0</v>
      </c>
    </row>
    <row r="344" spans="1:66" x14ac:dyDescent="0.35">
      <c r="A344" t="s">
        <v>7697</v>
      </c>
      <c r="B344" s="44" t="s">
        <v>48</v>
      </c>
      <c r="C344" t="s">
        <v>1034</v>
      </c>
      <c r="D344" t="s">
        <v>7699</v>
      </c>
      <c r="E344" t="s">
        <v>7698</v>
      </c>
      <c r="F344" t="s">
        <v>7680</v>
      </c>
      <c r="G344" t="s">
        <v>74</v>
      </c>
      <c r="H344">
        <v>0</v>
      </c>
      <c r="I344" s="60" t="s">
        <v>177</v>
      </c>
      <c r="J344" s="33" t="s">
        <v>96</v>
      </c>
      <c r="K344" s="46">
        <v>0</v>
      </c>
      <c r="L344">
        <v>0.7</v>
      </c>
      <c r="M344" t="s">
        <v>48</v>
      </c>
      <c r="N344" s="46">
        <v>0</v>
      </c>
      <c r="O344" s="46">
        <v>0</v>
      </c>
      <c r="P344" s="46">
        <v>0</v>
      </c>
      <c r="Q344" t="s">
        <v>48</v>
      </c>
      <c r="R344" t="s">
        <v>48</v>
      </c>
      <c r="S344" t="s">
        <v>48</v>
      </c>
      <c r="T344" t="s">
        <v>48</v>
      </c>
      <c r="U344" t="s">
        <v>48</v>
      </c>
      <c r="V344" s="47">
        <v>0</v>
      </c>
      <c r="W344" t="s">
        <v>48</v>
      </c>
      <c r="X344" t="s">
        <v>48</v>
      </c>
      <c r="Y344" t="s">
        <v>48</v>
      </c>
      <c r="Z344">
        <v>0</v>
      </c>
      <c r="AA344" t="s">
        <v>48</v>
      </c>
      <c r="AB344" t="s">
        <v>48</v>
      </c>
      <c r="AC344" t="s">
        <v>49</v>
      </c>
      <c r="AD344" t="s">
        <v>93</v>
      </c>
      <c r="AE344" t="s">
        <v>977</v>
      </c>
      <c r="AF344" t="s">
        <v>11107</v>
      </c>
      <c r="AG344" t="s">
        <v>48</v>
      </c>
      <c r="AH344" t="s">
        <v>48</v>
      </c>
      <c r="AI344" t="s">
        <v>48</v>
      </c>
      <c r="AJ344" t="s">
        <v>48</v>
      </c>
      <c r="AK344" t="s">
        <v>48</v>
      </c>
      <c r="AL344" t="s">
        <v>48</v>
      </c>
      <c r="AM344" t="s">
        <v>48</v>
      </c>
      <c r="AN344" t="s">
        <v>48</v>
      </c>
      <c r="AO344" t="s">
        <v>48</v>
      </c>
      <c r="AP344" s="46">
        <v>0</v>
      </c>
      <c r="AQ344" s="46">
        <v>0</v>
      </c>
      <c r="AR344" s="46">
        <v>0</v>
      </c>
      <c r="AS344" s="46">
        <v>0</v>
      </c>
      <c r="AT344" s="46">
        <v>0</v>
      </c>
      <c r="AU344" s="46">
        <v>0</v>
      </c>
      <c r="AV344" s="46">
        <v>0</v>
      </c>
      <c r="AW344" s="46">
        <v>0</v>
      </c>
      <c r="AX344" s="46">
        <v>0</v>
      </c>
      <c r="AY344" s="46">
        <v>0</v>
      </c>
      <c r="AZ344" s="46">
        <v>0</v>
      </c>
      <c r="BA344" s="46">
        <v>0</v>
      </c>
      <c r="BB344" s="46">
        <v>0</v>
      </c>
      <c r="BC344" s="46">
        <v>0</v>
      </c>
      <c r="BD344" s="46">
        <v>0</v>
      </c>
      <c r="BE344" s="46">
        <v>0</v>
      </c>
      <c r="BF344" s="46">
        <v>0</v>
      </c>
      <c r="BG344" s="46" t="s">
        <v>48</v>
      </c>
      <c r="BH344" s="46">
        <v>0</v>
      </c>
      <c r="BI344" s="46">
        <v>0</v>
      </c>
      <c r="BJ344" s="46">
        <v>0</v>
      </c>
      <c r="BK344" s="46">
        <v>0</v>
      </c>
      <c r="BL344" s="46">
        <v>0</v>
      </c>
      <c r="BM344" s="46">
        <v>0</v>
      </c>
      <c r="BN344" s="46">
        <v>0</v>
      </c>
    </row>
    <row r="345" spans="1:66" x14ac:dyDescent="0.35">
      <c r="A345" t="s">
        <v>7707</v>
      </c>
      <c r="B345" s="44" t="s">
        <v>48</v>
      </c>
      <c r="C345" t="s">
        <v>7710</v>
      </c>
      <c r="D345" t="s">
        <v>367</v>
      </c>
      <c r="E345" t="s">
        <v>7708</v>
      </c>
      <c r="F345" t="s">
        <v>7680</v>
      </c>
      <c r="G345" t="s">
        <v>74</v>
      </c>
      <c r="H345">
        <v>0</v>
      </c>
      <c r="I345" s="60" t="s">
        <v>177</v>
      </c>
      <c r="J345" s="33" t="s">
        <v>96</v>
      </c>
      <c r="K345" s="46">
        <v>0</v>
      </c>
      <c r="L345">
        <v>0.5</v>
      </c>
      <c r="M345" t="s">
        <v>48</v>
      </c>
      <c r="N345" s="46">
        <v>0</v>
      </c>
      <c r="O345" s="46">
        <v>0</v>
      </c>
      <c r="P345" s="46">
        <v>0</v>
      </c>
      <c r="Q345" t="s">
        <v>48</v>
      </c>
      <c r="R345" t="s">
        <v>48</v>
      </c>
      <c r="S345" t="s">
        <v>7709</v>
      </c>
      <c r="T345" t="s">
        <v>48</v>
      </c>
      <c r="U345" t="s">
        <v>7709</v>
      </c>
      <c r="V345" s="47">
        <v>0</v>
      </c>
      <c r="W345" t="s">
        <v>48</v>
      </c>
      <c r="X345" t="s">
        <v>48</v>
      </c>
      <c r="Y345" t="s">
        <v>48</v>
      </c>
      <c r="Z345">
        <v>0</v>
      </c>
      <c r="AA345" t="s">
        <v>48</v>
      </c>
      <c r="AB345" t="s">
        <v>48</v>
      </c>
      <c r="AC345" t="s">
        <v>49</v>
      </c>
      <c r="AD345" t="s">
        <v>93</v>
      </c>
      <c r="AE345" t="s">
        <v>4532</v>
      </c>
      <c r="AF345" t="s">
        <v>48</v>
      </c>
      <c r="AG345" t="s">
        <v>48</v>
      </c>
      <c r="AH345" t="s">
        <v>48</v>
      </c>
      <c r="AI345" t="s">
        <v>48</v>
      </c>
      <c r="AJ345" t="s">
        <v>48</v>
      </c>
      <c r="AK345" t="s">
        <v>48</v>
      </c>
      <c r="AL345" t="s">
        <v>48</v>
      </c>
      <c r="AM345" t="s">
        <v>48</v>
      </c>
      <c r="AN345" t="s">
        <v>48</v>
      </c>
      <c r="AO345" t="s">
        <v>48</v>
      </c>
      <c r="AP345" s="46">
        <v>0</v>
      </c>
      <c r="AQ345" s="46">
        <v>0</v>
      </c>
      <c r="AR345" s="46">
        <v>0</v>
      </c>
      <c r="AS345" s="46">
        <v>0</v>
      </c>
      <c r="AT345" s="46">
        <v>0</v>
      </c>
      <c r="AU345" s="46">
        <v>0</v>
      </c>
      <c r="AV345" s="46">
        <v>0</v>
      </c>
      <c r="AW345" s="46">
        <v>0</v>
      </c>
      <c r="AX345" s="46">
        <v>0</v>
      </c>
      <c r="AY345" s="46">
        <v>0</v>
      </c>
      <c r="AZ345" s="46">
        <v>0</v>
      </c>
      <c r="BA345" s="46">
        <v>0</v>
      </c>
      <c r="BB345" s="46">
        <v>0</v>
      </c>
      <c r="BC345" s="46">
        <v>0</v>
      </c>
      <c r="BD345" s="46">
        <v>0</v>
      </c>
      <c r="BE345" s="46">
        <v>0</v>
      </c>
      <c r="BF345" s="46">
        <v>0</v>
      </c>
      <c r="BG345" s="46" t="s">
        <v>48</v>
      </c>
      <c r="BH345" s="46">
        <v>0</v>
      </c>
      <c r="BI345" s="46">
        <v>0</v>
      </c>
      <c r="BJ345" s="46">
        <v>0</v>
      </c>
      <c r="BK345" s="46">
        <v>0</v>
      </c>
      <c r="BL345" s="46">
        <v>0</v>
      </c>
      <c r="BM345" s="46">
        <v>0</v>
      </c>
      <c r="BN345" s="46">
        <v>0</v>
      </c>
    </row>
    <row r="346" spans="1:66" x14ac:dyDescent="0.35">
      <c r="A346" t="s">
        <v>7685</v>
      </c>
      <c r="B346" s="44" t="s">
        <v>48</v>
      </c>
      <c r="C346" t="s">
        <v>7688</v>
      </c>
      <c r="D346" t="s">
        <v>306</v>
      </c>
      <c r="E346" t="s">
        <v>7686</v>
      </c>
      <c r="F346" t="s">
        <v>7680</v>
      </c>
      <c r="G346" t="s">
        <v>74</v>
      </c>
      <c r="H346">
        <v>0</v>
      </c>
      <c r="I346" s="60" t="s">
        <v>51</v>
      </c>
      <c r="J346" s="33" t="s">
        <v>96</v>
      </c>
      <c r="K346" s="46">
        <v>0</v>
      </c>
      <c r="L346">
        <v>8.1</v>
      </c>
      <c r="M346" t="s">
        <v>48</v>
      </c>
      <c r="N346" s="46">
        <v>0</v>
      </c>
      <c r="O346" s="46">
        <v>0</v>
      </c>
      <c r="P346" s="46">
        <v>0</v>
      </c>
      <c r="Q346" t="s">
        <v>48</v>
      </c>
      <c r="R346" t="s">
        <v>48</v>
      </c>
      <c r="S346" t="s">
        <v>7687</v>
      </c>
      <c r="T346" t="s">
        <v>48</v>
      </c>
      <c r="U346" t="s">
        <v>7687</v>
      </c>
      <c r="V346" s="47">
        <v>0</v>
      </c>
      <c r="W346" t="s">
        <v>48</v>
      </c>
      <c r="X346" t="s">
        <v>48</v>
      </c>
      <c r="Y346" t="s">
        <v>48</v>
      </c>
      <c r="Z346">
        <v>0</v>
      </c>
      <c r="AA346" t="s">
        <v>48</v>
      </c>
      <c r="AB346" t="s">
        <v>48</v>
      </c>
      <c r="AC346" t="s">
        <v>63</v>
      </c>
      <c r="AD346" t="s">
        <v>93</v>
      </c>
      <c r="AE346" t="s">
        <v>4532</v>
      </c>
      <c r="AF346" t="s">
        <v>48</v>
      </c>
      <c r="AG346" t="s">
        <v>48</v>
      </c>
      <c r="AH346" t="s">
        <v>48</v>
      </c>
      <c r="AI346" t="s">
        <v>48</v>
      </c>
      <c r="AJ346">
        <v>1981</v>
      </c>
      <c r="AK346" t="s">
        <v>48</v>
      </c>
      <c r="AL346" t="s">
        <v>48</v>
      </c>
      <c r="AM346" t="s">
        <v>48</v>
      </c>
      <c r="AN346" t="s">
        <v>48</v>
      </c>
      <c r="AO346" t="s">
        <v>48</v>
      </c>
      <c r="AP346" s="46">
        <v>0</v>
      </c>
      <c r="AQ346" s="46">
        <v>0</v>
      </c>
      <c r="AR346" s="46">
        <v>0</v>
      </c>
      <c r="AS346" s="46">
        <v>0</v>
      </c>
      <c r="AT346" s="46">
        <v>0</v>
      </c>
      <c r="AU346" s="46">
        <v>0</v>
      </c>
      <c r="AV346" s="46">
        <v>0</v>
      </c>
      <c r="AW346" s="46">
        <v>0</v>
      </c>
      <c r="AX346" s="46">
        <v>0</v>
      </c>
      <c r="AY346" s="46">
        <v>0</v>
      </c>
      <c r="AZ346" s="46">
        <v>0</v>
      </c>
      <c r="BA346" s="46">
        <v>0</v>
      </c>
      <c r="BB346" s="46">
        <v>0</v>
      </c>
      <c r="BC346" s="46">
        <v>0</v>
      </c>
      <c r="BD346" s="46">
        <v>0</v>
      </c>
      <c r="BE346" s="46">
        <v>0</v>
      </c>
      <c r="BF346" s="46">
        <v>0</v>
      </c>
      <c r="BG346" s="46" t="s">
        <v>48</v>
      </c>
      <c r="BH346" s="46">
        <v>0</v>
      </c>
      <c r="BI346" s="46">
        <v>0</v>
      </c>
      <c r="BJ346" s="46">
        <v>0</v>
      </c>
      <c r="BK346" s="46">
        <v>0</v>
      </c>
      <c r="BL346" s="46">
        <v>0</v>
      </c>
      <c r="BM346" s="46">
        <v>0</v>
      </c>
      <c r="BN346" s="46">
        <v>0</v>
      </c>
    </row>
    <row r="347" spans="1:66" x14ac:dyDescent="0.35">
      <c r="A347" t="s">
        <v>7703</v>
      </c>
      <c r="B347" s="44" t="s">
        <v>48</v>
      </c>
      <c r="C347" t="s">
        <v>7706</v>
      </c>
      <c r="D347" t="s">
        <v>76</v>
      </c>
      <c r="E347" t="s">
        <v>7704</v>
      </c>
      <c r="F347" t="s">
        <v>7680</v>
      </c>
      <c r="G347" t="s">
        <v>74</v>
      </c>
      <c r="H347">
        <v>0</v>
      </c>
      <c r="I347" s="60" t="s">
        <v>177</v>
      </c>
      <c r="J347" s="33" t="s">
        <v>96</v>
      </c>
      <c r="K347" s="46">
        <v>0</v>
      </c>
      <c r="L347">
        <v>1.1000000000000001</v>
      </c>
      <c r="M347" t="s">
        <v>48</v>
      </c>
      <c r="N347" s="46">
        <v>0</v>
      </c>
      <c r="O347" s="46">
        <v>0</v>
      </c>
      <c r="P347" s="46">
        <v>0</v>
      </c>
      <c r="Q347" t="s">
        <v>48</v>
      </c>
      <c r="R347" t="s">
        <v>48</v>
      </c>
      <c r="S347" t="s">
        <v>7705</v>
      </c>
      <c r="T347" t="s">
        <v>48</v>
      </c>
      <c r="U347" t="s">
        <v>7705</v>
      </c>
      <c r="V347" s="47">
        <v>0</v>
      </c>
      <c r="W347" t="s">
        <v>48</v>
      </c>
      <c r="X347" t="s">
        <v>48</v>
      </c>
      <c r="Y347" t="s">
        <v>48</v>
      </c>
      <c r="Z347">
        <v>0</v>
      </c>
      <c r="AA347" t="s">
        <v>48</v>
      </c>
      <c r="AB347" t="s">
        <v>48</v>
      </c>
      <c r="AC347" t="s">
        <v>49</v>
      </c>
      <c r="AD347" t="s">
        <v>93</v>
      </c>
      <c r="AE347" t="s">
        <v>977</v>
      </c>
      <c r="AF347" t="s">
        <v>11053</v>
      </c>
      <c r="AG347" t="s">
        <v>48</v>
      </c>
      <c r="AH347" t="s">
        <v>48</v>
      </c>
      <c r="AI347" t="s">
        <v>48</v>
      </c>
      <c r="AJ347" t="s">
        <v>48</v>
      </c>
      <c r="AK347" t="s">
        <v>48</v>
      </c>
      <c r="AL347" t="s">
        <v>48</v>
      </c>
      <c r="AM347" t="s">
        <v>48</v>
      </c>
      <c r="AN347" t="s">
        <v>48</v>
      </c>
      <c r="AO347" t="s">
        <v>48</v>
      </c>
      <c r="AP347" s="46">
        <v>0</v>
      </c>
      <c r="AQ347" s="46">
        <v>0</v>
      </c>
      <c r="AR347" s="46">
        <v>0</v>
      </c>
      <c r="AS347" s="46">
        <v>0</v>
      </c>
      <c r="AT347" s="46">
        <v>0</v>
      </c>
      <c r="AU347" s="46">
        <v>0</v>
      </c>
      <c r="AV347" s="46">
        <v>0</v>
      </c>
      <c r="AW347" s="46">
        <v>0</v>
      </c>
      <c r="AX347" s="46">
        <v>0</v>
      </c>
      <c r="AY347" s="46">
        <v>0</v>
      </c>
      <c r="AZ347" s="46">
        <v>0</v>
      </c>
      <c r="BA347" s="46">
        <v>0</v>
      </c>
      <c r="BB347" s="46">
        <v>0</v>
      </c>
      <c r="BC347" s="46">
        <v>0</v>
      </c>
      <c r="BD347" s="46">
        <v>0</v>
      </c>
      <c r="BE347" s="46">
        <v>0</v>
      </c>
      <c r="BF347" s="46">
        <v>0</v>
      </c>
      <c r="BG347" s="46" t="s">
        <v>48</v>
      </c>
      <c r="BH347" s="46">
        <v>0</v>
      </c>
      <c r="BI347" s="46">
        <v>0</v>
      </c>
      <c r="BJ347" s="46">
        <v>0</v>
      </c>
      <c r="BK347" s="46">
        <v>0</v>
      </c>
      <c r="BL347" s="46">
        <v>0</v>
      </c>
      <c r="BM347" s="46">
        <v>0</v>
      </c>
      <c r="BN347" s="46">
        <v>0</v>
      </c>
    </row>
    <row r="348" spans="1:66" x14ac:dyDescent="0.35">
      <c r="A348" t="s">
        <v>7700</v>
      </c>
      <c r="B348" s="44" t="s">
        <v>48</v>
      </c>
      <c r="C348" t="s">
        <v>6611</v>
      </c>
      <c r="D348" t="s">
        <v>585</v>
      </c>
      <c r="E348" t="s">
        <v>7701</v>
      </c>
      <c r="F348" t="s">
        <v>7680</v>
      </c>
      <c r="G348" t="s">
        <v>74</v>
      </c>
      <c r="H348">
        <v>0</v>
      </c>
      <c r="I348" s="60" t="s">
        <v>51</v>
      </c>
      <c r="J348" s="33" t="s">
        <v>96</v>
      </c>
      <c r="K348" s="46">
        <v>0</v>
      </c>
      <c r="L348">
        <v>2.2000000000000002</v>
      </c>
      <c r="M348" t="s">
        <v>48</v>
      </c>
      <c r="N348" s="46">
        <v>0</v>
      </c>
      <c r="O348" s="46">
        <v>0</v>
      </c>
      <c r="P348" s="46">
        <v>0</v>
      </c>
      <c r="Q348" t="s">
        <v>48</v>
      </c>
      <c r="R348" t="s">
        <v>48</v>
      </c>
      <c r="S348" t="s">
        <v>7702</v>
      </c>
      <c r="T348" t="s">
        <v>48</v>
      </c>
      <c r="U348" t="s">
        <v>7702</v>
      </c>
      <c r="V348" s="47">
        <v>0</v>
      </c>
      <c r="W348" t="s">
        <v>48</v>
      </c>
      <c r="X348" t="s">
        <v>48</v>
      </c>
      <c r="Y348" t="s">
        <v>48</v>
      </c>
      <c r="Z348">
        <v>0</v>
      </c>
      <c r="AA348" t="s">
        <v>48</v>
      </c>
      <c r="AB348" t="s">
        <v>48</v>
      </c>
      <c r="AC348" t="s">
        <v>49</v>
      </c>
      <c r="AD348" t="s">
        <v>93</v>
      </c>
      <c r="AE348" t="s">
        <v>4532</v>
      </c>
      <c r="AF348" t="s">
        <v>48</v>
      </c>
      <c r="AG348" t="s">
        <v>1105</v>
      </c>
      <c r="AH348" t="s">
        <v>48</v>
      </c>
      <c r="AI348" t="s">
        <v>48</v>
      </c>
      <c r="AJ348">
        <v>1976</v>
      </c>
      <c r="AK348" t="s">
        <v>48</v>
      </c>
      <c r="AL348" t="s">
        <v>48</v>
      </c>
      <c r="AM348" t="s">
        <v>48</v>
      </c>
      <c r="AN348" t="s">
        <v>48</v>
      </c>
      <c r="AO348" t="s">
        <v>48</v>
      </c>
      <c r="AP348" s="46">
        <v>0</v>
      </c>
      <c r="AQ348" s="46">
        <v>0</v>
      </c>
      <c r="AR348" s="46">
        <v>0</v>
      </c>
      <c r="AS348" s="46">
        <v>0</v>
      </c>
      <c r="AT348" s="46">
        <v>0</v>
      </c>
      <c r="AU348" s="46">
        <v>0</v>
      </c>
      <c r="AV348" s="46">
        <v>0</v>
      </c>
      <c r="AW348" s="46">
        <v>0</v>
      </c>
      <c r="AX348" s="46">
        <v>0</v>
      </c>
      <c r="AY348" s="46">
        <v>0</v>
      </c>
      <c r="AZ348" s="46">
        <v>0</v>
      </c>
      <c r="BA348" s="46">
        <v>0</v>
      </c>
      <c r="BB348" s="46">
        <v>0</v>
      </c>
      <c r="BC348" s="46">
        <v>0</v>
      </c>
      <c r="BD348" s="46">
        <v>0</v>
      </c>
      <c r="BE348" s="46">
        <v>0</v>
      </c>
      <c r="BF348" s="46">
        <v>0</v>
      </c>
      <c r="BG348" s="46" t="s">
        <v>48</v>
      </c>
      <c r="BH348" s="46">
        <v>0</v>
      </c>
      <c r="BI348" s="46">
        <v>0</v>
      </c>
      <c r="BJ348" s="46">
        <v>0</v>
      </c>
      <c r="BK348" s="46">
        <v>0</v>
      </c>
      <c r="BL348" s="46">
        <v>0</v>
      </c>
      <c r="BM348" s="46">
        <v>0</v>
      </c>
      <c r="BN348" s="46">
        <v>0</v>
      </c>
    </row>
    <row r="349" spans="1:66" x14ac:dyDescent="0.35">
      <c r="A349" t="s">
        <v>7759</v>
      </c>
      <c r="B349" s="44" t="s">
        <v>48</v>
      </c>
      <c r="C349" t="s">
        <v>7764</v>
      </c>
      <c r="D349" t="s">
        <v>1402</v>
      </c>
      <c r="E349" t="s">
        <v>7761</v>
      </c>
      <c r="F349" t="s">
        <v>7760</v>
      </c>
      <c r="G349" t="s">
        <v>74</v>
      </c>
      <c r="H349">
        <v>0</v>
      </c>
      <c r="I349" s="60" t="s">
        <v>51</v>
      </c>
      <c r="J349" s="33" t="s">
        <v>96</v>
      </c>
      <c r="K349" s="46">
        <v>1</v>
      </c>
      <c r="L349" t="s">
        <v>48</v>
      </c>
      <c r="M349" t="s">
        <v>48</v>
      </c>
      <c r="N349" s="46">
        <v>0</v>
      </c>
      <c r="O349" s="46">
        <v>0</v>
      </c>
      <c r="P349" s="46">
        <v>0</v>
      </c>
      <c r="Q349" t="s">
        <v>48</v>
      </c>
      <c r="R349" t="s">
        <v>48</v>
      </c>
      <c r="S349" t="s">
        <v>7762</v>
      </c>
      <c r="T349" t="s">
        <v>7763</v>
      </c>
      <c r="U349" t="s">
        <v>7762</v>
      </c>
      <c r="V349" s="47">
        <v>0</v>
      </c>
      <c r="W349" t="s">
        <v>48</v>
      </c>
      <c r="X349" t="s">
        <v>48</v>
      </c>
      <c r="Y349" t="s">
        <v>48</v>
      </c>
      <c r="Z349">
        <v>0</v>
      </c>
      <c r="AA349" t="s">
        <v>48</v>
      </c>
      <c r="AB349" t="s">
        <v>48</v>
      </c>
      <c r="AC349" t="s">
        <v>49</v>
      </c>
      <c r="AD349" t="s">
        <v>93</v>
      </c>
      <c r="AE349" t="s">
        <v>4532</v>
      </c>
      <c r="AF349" t="s">
        <v>48</v>
      </c>
      <c r="AG349" t="s">
        <v>48</v>
      </c>
      <c r="AH349" t="s">
        <v>48</v>
      </c>
      <c r="AI349">
        <v>40915</v>
      </c>
      <c r="AJ349">
        <v>1947</v>
      </c>
      <c r="AK349" t="s">
        <v>8642</v>
      </c>
      <c r="AL349" t="s">
        <v>8643</v>
      </c>
      <c r="AM349">
        <v>-5.8000000000000003E-2</v>
      </c>
      <c r="AN349">
        <v>0.42099999999999999</v>
      </c>
      <c r="AO349">
        <v>-5.8000000000000003E-2</v>
      </c>
      <c r="AP349" s="46">
        <v>0</v>
      </c>
      <c r="AQ349" s="46">
        <v>0</v>
      </c>
      <c r="AR349" s="46">
        <v>0</v>
      </c>
      <c r="AS349" s="46">
        <v>0</v>
      </c>
      <c r="AT349" s="46">
        <v>0</v>
      </c>
      <c r="AU349" s="46">
        <v>0</v>
      </c>
      <c r="AV349" s="46">
        <v>0</v>
      </c>
      <c r="AW349" s="46">
        <v>0</v>
      </c>
      <c r="AX349" s="46">
        <v>0</v>
      </c>
      <c r="AY349" s="46">
        <v>0</v>
      </c>
      <c r="AZ349" s="46">
        <v>0</v>
      </c>
      <c r="BA349" s="46">
        <v>0</v>
      </c>
      <c r="BB349" s="46">
        <v>0</v>
      </c>
      <c r="BC349" s="46">
        <v>0</v>
      </c>
      <c r="BD349" s="46">
        <v>0</v>
      </c>
      <c r="BE349" s="46">
        <v>0</v>
      </c>
      <c r="BF349" s="46">
        <v>0</v>
      </c>
      <c r="BG349" s="46" t="s">
        <v>48</v>
      </c>
      <c r="BH349" s="46">
        <v>0</v>
      </c>
      <c r="BI349" s="46">
        <v>0</v>
      </c>
      <c r="BJ349" s="46">
        <v>0</v>
      </c>
      <c r="BK349" s="46">
        <v>0</v>
      </c>
      <c r="BL349" s="46">
        <v>1</v>
      </c>
      <c r="BM349" s="46">
        <v>0</v>
      </c>
      <c r="BN349" s="46">
        <v>0</v>
      </c>
    </row>
    <row r="350" spans="1:66" x14ac:dyDescent="0.35">
      <c r="A350" t="s">
        <v>7765</v>
      </c>
      <c r="B350" t="s">
        <v>48</v>
      </c>
      <c r="C350" t="s">
        <v>7771</v>
      </c>
      <c r="D350" t="s">
        <v>7770</v>
      </c>
      <c r="E350" t="s">
        <v>7767</v>
      </c>
      <c r="F350" t="s">
        <v>7766</v>
      </c>
      <c r="G350" t="s">
        <v>47</v>
      </c>
      <c r="H350">
        <v>0</v>
      </c>
      <c r="I350" s="60" t="s">
        <v>51</v>
      </c>
      <c r="J350" s="33" t="s">
        <v>96</v>
      </c>
      <c r="K350" s="46">
        <v>1</v>
      </c>
      <c r="L350" t="s">
        <v>48</v>
      </c>
      <c r="M350" t="s">
        <v>48</v>
      </c>
      <c r="N350" s="46">
        <v>0</v>
      </c>
      <c r="O350" s="46">
        <v>0</v>
      </c>
      <c r="P350" s="46">
        <v>0</v>
      </c>
      <c r="Q350" t="s">
        <v>48</v>
      </c>
      <c r="R350" t="s">
        <v>48</v>
      </c>
      <c r="S350" t="s">
        <v>7768</v>
      </c>
      <c r="T350" t="s">
        <v>7769</v>
      </c>
      <c r="U350" t="s">
        <v>7768</v>
      </c>
      <c r="V350" s="47">
        <v>0</v>
      </c>
      <c r="W350" t="s">
        <v>48</v>
      </c>
      <c r="X350" t="s">
        <v>48</v>
      </c>
      <c r="Y350" t="s">
        <v>48</v>
      </c>
      <c r="Z350">
        <v>0</v>
      </c>
      <c r="AA350" t="s">
        <v>48</v>
      </c>
      <c r="AB350">
        <v>2014</v>
      </c>
      <c r="AC350" t="s">
        <v>63</v>
      </c>
      <c r="AD350" t="s">
        <v>93</v>
      </c>
      <c r="AE350" t="s">
        <v>4532</v>
      </c>
      <c r="AF350" t="s">
        <v>48</v>
      </c>
      <c r="AG350" t="s">
        <v>466</v>
      </c>
      <c r="AH350" t="s">
        <v>93</v>
      </c>
      <c r="AI350">
        <v>20146</v>
      </c>
      <c r="AJ350">
        <v>1953</v>
      </c>
      <c r="AK350" t="s">
        <v>8640</v>
      </c>
      <c r="AL350" t="s">
        <v>8641</v>
      </c>
      <c r="AM350">
        <v>0.27300000000000002</v>
      </c>
      <c r="AN350">
        <v>9.1999999999999998E-2</v>
      </c>
      <c r="AO350">
        <v>0.27300000000000002</v>
      </c>
      <c r="AP350" s="46">
        <v>0</v>
      </c>
      <c r="AQ350" s="46">
        <v>0</v>
      </c>
      <c r="AR350" s="46">
        <v>0</v>
      </c>
      <c r="AS350" s="46">
        <v>0</v>
      </c>
      <c r="AT350" s="46">
        <v>0</v>
      </c>
      <c r="AU350" s="46">
        <v>0</v>
      </c>
      <c r="AV350" s="46">
        <v>0</v>
      </c>
      <c r="AW350" s="46">
        <v>0</v>
      </c>
      <c r="AX350" s="46">
        <v>0</v>
      </c>
      <c r="AY350" s="46">
        <v>0</v>
      </c>
      <c r="AZ350" s="46">
        <v>1</v>
      </c>
      <c r="BA350" s="46">
        <v>0</v>
      </c>
      <c r="BB350" s="46">
        <v>0</v>
      </c>
      <c r="BC350" s="46">
        <v>0</v>
      </c>
      <c r="BD350" s="46">
        <v>0</v>
      </c>
      <c r="BE350" s="46">
        <v>0</v>
      </c>
      <c r="BF350" s="46">
        <v>0</v>
      </c>
      <c r="BG350" s="46" t="s">
        <v>48</v>
      </c>
      <c r="BH350" s="46">
        <v>0</v>
      </c>
      <c r="BI350" s="46">
        <v>0</v>
      </c>
      <c r="BJ350" s="46">
        <v>0</v>
      </c>
      <c r="BK350" s="46">
        <v>0</v>
      </c>
      <c r="BL350" s="46">
        <v>0</v>
      </c>
      <c r="BM350" s="46">
        <v>1</v>
      </c>
      <c r="BN350" s="46">
        <v>0</v>
      </c>
    </row>
    <row r="351" spans="1:66" x14ac:dyDescent="0.35">
      <c r="A351" t="s">
        <v>7794</v>
      </c>
      <c r="B351" s="44" t="s">
        <v>48</v>
      </c>
      <c r="C351" t="s">
        <v>7798</v>
      </c>
      <c r="D351" t="s">
        <v>221</v>
      </c>
      <c r="E351" t="s">
        <v>7796</v>
      </c>
      <c r="F351" t="s">
        <v>7795</v>
      </c>
      <c r="G351" t="s">
        <v>47</v>
      </c>
      <c r="H351">
        <v>0</v>
      </c>
      <c r="I351" s="60" t="s">
        <v>51</v>
      </c>
      <c r="J351" s="33" t="s">
        <v>96</v>
      </c>
      <c r="K351" s="46">
        <v>1</v>
      </c>
      <c r="L351" t="s">
        <v>48</v>
      </c>
      <c r="M351" t="s">
        <v>48</v>
      </c>
      <c r="N351" s="46">
        <v>0</v>
      </c>
      <c r="O351" s="46">
        <v>0</v>
      </c>
      <c r="P351" s="46">
        <v>0</v>
      </c>
      <c r="Q351" t="s">
        <v>48</v>
      </c>
      <c r="R351" t="s">
        <v>48</v>
      </c>
      <c r="S351" t="s">
        <v>48</v>
      </c>
      <c r="T351" t="s">
        <v>7797</v>
      </c>
      <c r="U351" t="s">
        <v>48</v>
      </c>
      <c r="V351" s="47">
        <v>0</v>
      </c>
      <c r="W351" t="s">
        <v>48</v>
      </c>
      <c r="X351" t="s">
        <v>48</v>
      </c>
      <c r="Y351" t="s">
        <v>48</v>
      </c>
      <c r="Z351">
        <v>0</v>
      </c>
      <c r="AA351" t="s">
        <v>48</v>
      </c>
      <c r="AB351" t="s">
        <v>48</v>
      </c>
      <c r="AC351" t="s">
        <v>49</v>
      </c>
      <c r="AD351" t="s">
        <v>93</v>
      </c>
      <c r="AE351" t="s">
        <v>4532</v>
      </c>
      <c r="AF351" t="s">
        <v>48</v>
      </c>
      <c r="AG351" t="s">
        <v>48</v>
      </c>
      <c r="AH351" t="s">
        <v>48</v>
      </c>
      <c r="AI351">
        <v>40707</v>
      </c>
      <c r="AJ351">
        <v>1952</v>
      </c>
      <c r="AK351" t="s">
        <v>8646</v>
      </c>
      <c r="AL351" t="s">
        <v>8647</v>
      </c>
      <c r="AM351">
        <v>0.53900000000000003</v>
      </c>
      <c r="AN351">
        <v>0.23</v>
      </c>
      <c r="AO351">
        <v>0.53900000000000003</v>
      </c>
      <c r="AP351" s="46">
        <v>0</v>
      </c>
      <c r="AQ351" s="46">
        <v>0</v>
      </c>
      <c r="AR351" s="46">
        <v>0</v>
      </c>
      <c r="AS351" s="46">
        <v>0</v>
      </c>
      <c r="AT351" s="46">
        <v>0</v>
      </c>
      <c r="AU351" s="46">
        <v>0</v>
      </c>
      <c r="AV351" s="46">
        <v>0</v>
      </c>
      <c r="AW351" s="46">
        <v>0</v>
      </c>
      <c r="AX351" s="46">
        <v>0</v>
      </c>
      <c r="AY351" s="46">
        <v>0</v>
      </c>
      <c r="AZ351" s="46">
        <v>0</v>
      </c>
      <c r="BA351" s="46">
        <v>0</v>
      </c>
      <c r="BB351" s="46">
        <v>0</v>
      </c>
      <c r="BC351" s="46">
        <v>0</v>
      </c>
      <c r="BD351" s="46">
        <v>0</v>
      </c>
      <c r="BE351" s="46">
        <v>0</v>
      </c>
      <c r="BF351" s="46">
        <v>0</v>
      </c>
      <c r="BG351" s="46" t="s">
        <v>48</v>
      </c>
      <c r="BH351" s="46">
        <v>0</v>
      </c>
      <c r="BI351" s="46">
        <v>0</v>
      </c>
      <c r="BJ351" s="46">
        <v>0</v>
      </c>
      <c r="BK351" s="46">
        <v>0</v>
      </c>
      <c r="BL351" s="46">
        <v>0</v>
      </c>
      <c r="BM351" s="46">
        <v>0</v>
      </c>
      <c r="BN351" s="46">
        <v>0</v>
      </c>
    </row>
    <row r="352" spans="1:66" x14ac:dyDescent="0.35">
      <c r="A352" t="s">
        <v>7799</v>
      </c>
      <c r="B352" s="44" t="s">
        <v>48</v>
      </c>
      <c r="C352" t="s">
        <v>7804</v>
      </c>
      <c r="D352" t="s">
        <v>3046</v>
      </c>
      <c r="E352" t="s">
        <v>7801</v>
      </c>
      <c r="F352" t="s">
        <v>7800</v>
      </c>
      <c r="G352" t="s">
        <v>47</v>
      </c>
      <c r="H352">
        <v>0</v>
      </c>
      <c r="I352" s="60" t="s">
        <v>51</v>
      </c>
      <c r="J352" s="33" t="s">
        <v>96</v>
      </c>
      <c r="K352" s="46">
        <v>1</v>
      </c>
      <c r="L352" t="s">
        <v>48</v>
      </c>
      <c r="M352" t="s">
        <v>48</v>
      </c>
      <c r="N352" s="46">
        <v>0</v>
      </c>
      <c r="O352" s="46">
        <v>0</v>
      </c>
      <c r="P352" s="46">
        <v>0</v>
      </c>
      <c r="Q352" t="s">
        <v>48</v>
      </c>
      <c r="R352" t="s">
        <v>48</v>
      </c>
      <c r="S352" t="s">
        <v>7802</v>
      </c>
      <c r="T352" t="s">
        <v>7803</v>
      </c>
      <c r="U352" t="s">
        <v>7802</v>
      </c>
      <c r="V352" s="47">
        <v>0</v>
      </c>
      <c r="W352" t="s">
        <v>48</v>
      </c>
      <c r="X352" t="s">
        <v>48</v>
      </c>
      <c r="Y352" t="s">
        <v>48</v>
      </c>
      <c r="Z352">
        <v>1</v>
      </c>
      <c r="AA352" t="s">
        <v>48</v>
      </c>
      <c r="AB352">
        <v>2020</v>
      </c>
      <c r="AC352" t="s">
        <v>63</v>
      </c>
      <c r="AD352" t="s">
        <v>93</v>
      </c>
      <c r="AE352" t="s">
        <v>4532</v>
      </c>
      <c r="AF352" t="s">
        <v>48</v>
      </c>
      <c r="AG352" t="s">
        <v>1105</v>
      </c>
      <c r="AH352" t="s">
        <v>93</v>
      </c>
      <c r="AI352">
        <v>20953</v>
      </c>
      <c r="AJ352">
        <v>1954</v>
      </c>
      <c r="AK352" t="s">
        <v>8644</v>
      </c>
      <c r="AL352" t="s">
        <v>8645</v>
      </c>
      <c r="AM352">
        <v>0.69</v>
      </c>
      <c r="AN352">
        <v>-0.35699999999999998</v>
      </c>
      <c r="AO352">
        <v>0.69</v>
      </c>
      <c r="AP352" s="46">
        <v>0</v>
      </c>
      <c r="AQ352" s="46">
        <v>0</v>
      </c>
      <c r="AR352" s="46">
        <v>0</v>
      </c>
      <c r="AS352" s="46">
        <v>0</v>
      </c>
      <c r="AT352" s="46">
        <v>0</v>
      </c>
      <c r="AU352" s="46">
        <v>0</v>
      </c>
      <c r="AV352" s="46">
        <v>0</v>
      </c>
      <c r="AW352" s="46">
        <v>0</v>
      </c>
      <c r="AX352" s="46">
        <v>0</v>
      </c>
      <c r="AY352" s="46">
        <v>0</v>
      </c>
      <c r="AZ352" s="46">
        <v>0</v>
      </c>
      <c r="BA352" s="46">
        <v>0</v>
      </c>
      <c r="BB352" s="46">
        <v>0</v>
      </c>
      <c r="BC352" s="46">
        <v>0</v>
      </c>
      <c r="BD352" s="46">
        <v>0</v>
      </c>
      <c r="BE352" s="46">
        <v>0</v>
      </c>
      <c r="BF352" s="46">
        <v>0</v>
      </c>
      <c r="BG352" s="46" t="s">
        <v>48</v>
      </c>
      <c r="BH352" s="46">
        <v>0</v>
      </c>
      <c r="BI352" s="46">
        <v>0</v>
      </c>
      <c r="BJ352" s="46">
        <v>0</v>
      </c>
      <c r="BK352" s="46">
        <v>0</v>
      </c>
      <c r="BL352" s="46">
        <v>0</v>
      </c>
      <c r="BM352" s="46">
        <v>0</v>
      </c>
      <c r="BN352" s="46">
        <v>1</v>
      </c>
    </row>
    <row r="353" spans="1:66" x14ac:dyDescent="0.35">
      <c r="A353" t="s">
        <v>308</v>
      </c>
      <c r="B353" s="44" t="s">
        <v>48</v>
      </c>
      <c r="C353" t="s">
        <v>312</v>
      </c>
      <c r="D353" t="s">
        <v>311</v>
      </c>
      <c r="E353" t="s">
        <v>309</v>
      </c>
      <c r="F353" t="s">
        <v>46</v>
      </c>
      <c r="G353" t="s">
        <v>74</v>
      </c>
      <c r="H353">
        <v>0</v>
      </c>
      <c r="I353" s="60" t="s">
        <v>60</v>
      </c>
      <c r="J353" s="33" t="s">
        <v>45</v>
      </c>
      <c r="K353" s="46">
        <v>0</v>
      </c>
      <c r="L353">
        <v>36.1</v>
      </c>
      <c r="M353" t="s">
        <v>48</v>
      </c>
      <c r="N353" s="46">
        <v>1</v>
      </c>
      <c r="O353" s="46">
        <v>1</v>
      </c>
      <c r="P353" s="46">
        <v>1</v>
      </c>
      <c r="Q353">
        <v>10.1</v>
      </c>
      <c r="R353">
        <v>38.9</v>
      </c>
      <c r="S353" t="s">
        <v>310</v>
      </c>
      <c r="T353" t="s">
        <v>48</v>
      </c>
      <c r="U353" t="s">
        <v>310</v>
      </c>
      <c r="V353" s="47">
        <v>0</v>
      </c>
      <c r="W353" t="s">
        <v>48</v>
      </c>
      <c r="X353" t="s">
        <v>48</v>
      </c>
      <c r="Y353" t="s">
        <v>48</v>
      </c>
      <c r="Z353">
        <v>0</v>
      </c>
      <c r="AA353" t="s">
        <v>57</v>
      </c>
      <c r="AB353" t="s">
        <v>48</v>
      </c>
      <c r="AC353" t="s">
        <v>63</v>
      </c>
      <c r="AD353" t="s">
        <v>93</v>
      </c>
      <c r="AE353" t="s">
        <v>11051</v>
      </c>
      <c r="AF353" t="s">
        <v>11052</v>
      </c>
      <c r="AG353" t="s">
        <v>48</v>
      </c>
      <c r="AH353" t="s">
        <v>48</v>
      </c>
      <c r="AI353" t="s">
        <v>48</v>
      </c>
      <c r="AJ353" t="s">
        <v>48</v>
      </c>
      <c r="AK353" t="s">
        <v>48</v>
      </c>
      <c r="AL353" t="s">
        <v>48</v>
      </c>
      <c r="AM353" t="s">
        <v>48</v>
      </c>
      <c r="AN353" t="s">
        <v>48</v>
      </c>
      <c r="AO353" t="s">
        <v>48</v>
      </c>
      <c r="AP353" s="46">
        <v>0</v>
      </c>
      <c r="AQ353" s="46">
        <v>0</v>
      </c>
      <c r="AR353" s="46">
        <v>0</v>
      </c>
      <c r="AS353" s="46">
        <v>0</v>
      </c>
      <c r="AT353" s="46">
        <v>0</v>
      </c>
      <c r="AU353" s="46">
        <v>0</v>
      </c>
      <c r="AV353" s="46">
        <v>0</v>
      </c>
      <c r="AW353" s="46">
        <v>0</v>
      </c>
      <c r="AX353" s="46">
        <v>0</v>
      </c>
      <c r="AY353" s="46">
        <v>0</v>
      </c>
      <c r="AZ353" s="46">
        <v>0</v>
      </c>
      <c r="BA353" s="46">
        <v>0</v>
      </c>
      <c r="BB353" s="46">
        <v>0</v>
      </c>
      <c r="BC353" s="46">
        <v>0</v>
      </c>
      <c r="BD353" s="46">
        <v>0</v>
      </c>
      <c r="BE353" s="46">
        <v>0</v>
      </c>
      <c r="BF353" s="46">
        <v>0</v>
      </c>
      <c r="BG353" s="46" t="s">
        <v>48</v>
      </c>
      <c r="BH353" s="46">
        <v>0</v>
      </c>
      <c r="BI353" s="46">
        <v>0</v>
      </c>
      <c r="BJ353" s="46">
        <v>0</v>
      </c>
      <c r="BK353" s="46">
        <v>0</v>
      </c>
      <c r="BL353" s="46">
        <v>0</v>
      </c>
      <c r="BM353" s="46">
        <v>0</v>
      </c>
      <c r="BN353" s="46">
        <v>0</v>
      </c>
    </row>
    <row r="354" spans="1:66" x14ac:dyDescent="0.35">
      <c r="A354" t="s">
        <v>303</v>
      </c>
      <c r="B354" s="44" t="s">
        <v>48</v>
      </c>
      <c r="C354" t="s">
        <v>307</v>
      </c>
      <c r="D354" t="s">
        <v>306</v>
      </c>
      <c r="E354" t="s">
        <v>304</v>
      </c>
      <c r="F354" t="s">
        <v>46</v>
      </c>
      <c r="G354" t="s">
        <v>47</v>
      </c>
      <c r="H354">
        <v>0</v>
      </c>
      <c r="I354" s="60" t="s">
        <v>60</v>
      </c>
      <c r="J354" s="33" t="s">
        <v>45</v>
      </c>
      <c r="K354" s="46">
        <v>0</v>
      </c>
      <c r="L354">
        <v>30.7</v>
      </c>
      <c r="M354" t="s">
        <v>48</v>
      </c>
      <c r="N354" s="46">
        <v>1</v>
      </c>
      <c r="O354" s="46">
        <v>1</v>
      </c>
      <c r="P354" s="46">
        <v>1</v>
      </c>
      <c r="Q354">
        <v>27</v>
      </c>
      <c r="R354">
        <v>31.4</v>
      </c>
      <c r="S354" t="s">
        <v>305</v>
      </c>
      <c r="T354" t="s">
        <v>48</v>
      </c>
      <c r="U354" t="s">
        <v>305</v>
      </c>
      <c r="V354" s="47">
        <v>0</v>
      </c>
      <c r="W354" t="s">
        <v>48</v>
      </c>
      <c r="X354" t="s">
        <v>48</v>
      </c>
      <c r="Y354" t="s">
        <v>48</v>
      </c>
      <c r="Z354">
        <v>0</v>
      </c>
      <c r="AA354" t="s">
        <v>57</v>
      </c>
      <c r="AB354" t="s">
        <v>48</v>
      </c>
      <c r="AC354" t="s">
        <v>63</v>
      </c>
      <c r="AD354" t="s">
        <v>93</v>
      </c>
      <c r="AE354" t="s">
        <v>4532</v>
      </c>
      <c r="AF354" t="s">
        <v>48</v>
      </c>
      <c r="AG354" t="s">
        <v>48</v>
      </c>
      <c r="AH354" t="s">
        <v>48</v>
      </c>
      <c r="AI354" t="s">
        <v>48</v>
      </c>
      <c r="AJ354" t="s">
        <v>48</v>
      </c>
      <c r="AK354" t="s">
        <v>48</v>
      </c>
      <c r="AL354" t="s">
        <v>48</v>
      </c>
      <c r="AM354" t="s">
        <v>48</v>
      </c>
      <c r="AN354" t="s">
        <v>48</v>
      </c>
      <c r="AO354" t="s">
        <v>48</v>
      </c>
      <c r="AP354" s="46">
        <v>0</v>
      </c>
      <c r="AQ354" s="46">
        <v>0</v>
      </c>
      <c r="AR354" s="46">
        <v>0</v>
      </c>
      <c r="AS354" s="46">
        <v>0</v>
      </c>
      <c r="AT354" s="46">
        <v>0</v>
      </c>
      <c r="AU354" s="46">
        <v>0</v>
      </c>
      <c r="AV354" s="46">
        <v>0</v>
      </c>
      <c r="AW354" s="46">
        <v>0</v>
      </c>
      <c r="AX354" s="46">
        <v>0</v>
      </c>
      <c r="AY354" s="46">
        <v>0</v>
      </c>
      <c r="AZ354" s="46">
        <v>0</v>
      </c>
      <c r="BA354" s="46">
        <v>0</v>
      </c>
      <c r="BB354" s="46">
        <v>0</v>
      </c>
      <c r="BC354" s="46">
        <v>0</v>
      </c>
      <c r="BD354" s="46">
        <v>0</v>
      </c>
      <c r="BE354" s="46">
        <v>1</v>
      </c>
      <c r="BF354" s="46">
        <v>0</v>
      </c>
      <c r="BG354" s="46">
        <v>1</v>
      </c>
      <c r="BH354" s="46">
        <v>0</v>
      </c>
      <c r="BI354" s="46">
        <v>0</v>
      </c>
      <c r="BJ354" s="46">
        <v>0</v>
      </c>
      <c r="BK354" s="46">
        <v>0</v>
      </c>
      <c r="BL354" s="46">
        <v>0</v>
      </c>
      <c r="BM354" s="46">
        <v>0</v>
      </c>
      <c r="BN354" s="46">
        <v>1</v>
      </c>
    </row>
    <row r="355" spans="1:66" x14ac:dyDescent="0.35">
      <c r="A355" t="s">
        <v>368</v>
      </c>
      <c r="B355" s="44" t="s">
        <v>48</v>
      </c>
      <c r="C355" t="s">
        <v>373</v>
      </c>
      <c r="D355" t="s">
        <v>372</v>
      </c>
      <c r="E355" t="s">
        <v>369</v>
      </c>
      <c r="F355" t="s">
        <v>366</v>
      </c>
      <c r="G355" t="s">
        <v>47</v>
      </c>
      <c r="H355">
        <v>0</v>
      </c>
      <c r="I355" s="60" t="s">
        <v>51</v>
      </c>
      <c r="J355" s="33" t="s">
        <v>45</v>
      </c>
      <c r="K355" s="46">
        <v>1</v>
      </c>
      <c r="L355">
        <v>100</v>
      </c>
      <c r="M355" t="s">
        <v>48</v>
      </c>
      <c r="N355" s="46">
        <v>1</v>
      </c>
      <c r="O355" s="46">
        <v>0</v>
      </c>
      <c r="P355" s="46">
        <v>0</v>
      </c>
      <c r="Q355" t="s">
        <v>48</v>
      </c>
      <c r="R355" t="s">
        <v>48</v>
      </c>
      <c r="S355" t="s">
        <v>370</v>
      </c>
      <c r="T355" t="s">
        <v>371</v>
      </c>
      <c r="U355" t="s">
        <v>370</v>
      </c>
      <c r="V355" s="47">
        <v>0</v>
      </c>
      <c r="W355" t="s">
        <v>48</v>
      </c>
      <c r="X355" t="s">
        <v>48</v>
      </c>
      <c r="Y355" t="s">
        <v>48</v>
      </c>
      <c r="Z355">
        <v>1</v>
      </c>
      <c r="AA355" t="s">
        <v>48</v>
      </c>
      <c r="AB355">
        <v>2020</v>
      </c>
      <c r="AC355" t="s">
        <v>49</v>
      </c>
      <c r="AD355" t="s">
        <v>93</v>
      </c>
      <c r="AE355" t="s">
        <v>4532</v>
      </c>
      <c r="AF355" t="s">
        <v>48</v>
      </c>
      <c r="AG355" t="s">
        <v>48</v>
      </c>
      <c r="AH355" t="s">
        <v>48</v>
      </c>
      <c r="AI355">
        <v>22108</v>
      </c>
      <c r="AJ355">
        <v>1958</v>
      </c>
      <c r="AK355" t="s">
        <v>8648</v>
      </c>
      <c r="AL355" t="s">
        <v>8649</v>
      </c>
      <c r="AM355">
        <v>0.53</v>
      </c>
      <c r="AN355">
        <v>0.50900000000000001</v>
      </c>
      <c r="AO355">
        <v>0.53</v>
      </c>
      <c r="AP355" s="46">
        <v>0</v>
      </c>
      <c r="AQ355" s="46">
        <v>0</v>
      </c>
      <c r="AR355" s="46">
        <v>0</v>
      </c>
      <c r="AS355" s="46">
        <v>0</v>
      </c>
      <c r="AT355" s="46">
        <v>0</v>
      </c>
      <c r="AU355" s="46">
        <v>0</v>
      </c>
      <c r="AV355" s="46">
        <v>0</v>
      </c>
      <c r="AW355" s="46">
        <v>0</v>
      </c>
      <c r="AX355" s="46">
        <v>0</v>
      </c>
      <c r="AY355" s="46">
        <v>0</v>
      </c>
      <c r="AZ355" s="46">
        <v>0</v>
      </c>
      <c r="BA355" s="46">
        <v>0</v>
      </c>
      <c r="BB355" s="46">
        <v>1</v>
      </c>
      <c r="BC355" s="46">
        <v>0</v>
      </c>
      <c r="BD355" s="46">
        <v>0</v>
      </c>
      <c r="BE355" s="46">
        <v>0</v>
      </c>
      <c r="BF355" s="46">
        <v>0</v>
      </c>
      <c r="BG355" s="46">
        <v>1</v>
      </c>
      <c r="BH355" s="46">
        <v>0</v>
      </c>
      <c r="BI355" s="46">
        <v>0</v>
      </c>
      <c r="BJ355" s="46">
        <v>0</v>
      </c>
      <c r="BK355" s="46">
        <v>0</v>
      </c>
      <c r="BL355" s="46">
        <v>0</v>
      </c>
      <c r="BM355" s="46">
        <v>0</v>
      </c>
      <c r="BN355" s="46">
        <v>0</v>
      </c>
    </row>
    <row r="356" spans="1:66" x14ac:dyDescent="0.35">
      <c r="A356" t="s">
        <v>381</v>
      </c>
      <c r="B356" s="44" t="s">
        <v>48</v>
      </c>
      <c r="C356" t="s">
        <v>385</v>
      </c>
      <c r="D356" t="s">
        <v>384</v>
      </c>
      <c r="E356" t="s">
        <v>382</v>
      </c>
      <c r="F356" t="s">
        <v>374</v>
      </c>
      <c r="G356" t="s">
        <v>47</v>
      </c>
      <c r="H356">
        <v>0</v>
      </c>
      <c r="I356" s="60" t="s">
        <v>51</v>
      </c>
      <c r="J356" s="33" t="s">
        <v>45</v>
      </c>
      <c r="K356" s="46">
        <v>1</v>
      </c>
      <c r="L356">
        <v>100</v>
      </c>
      <c r="M356" t="s">
        <v>48</v>
      </c>
      <c r="N356" s="46">
        <v>1</v>
      </c>
      <c r="O356" s="46">
        <v>0</v>
      </c>
      <c r="P356" s="46">
        <v>0</v>
      </c>
      <c r="Q356" t="s">
        <v>48</v>
      </c>
      <c r="R356" t="s">
        <v>48</v>
      </c>
      <c r="S356" t="s">
        <v>48</v>
      </c>
      <c r="T356" t="s">
        <v>383</v>
      </c>
      <c r="U356" t="s">
        <v>48</v>
      </c>
      <c r="V356" s="47">
        <v>0</v>
      </c>
      <c r="W356" t="s">
        <v>48</v>
      </c>
      <c r="X356" t="s">
        <v>48</v>
      </c>
      <c r="Y356" t="s">
        <v>48</v>
      </c>
      <c r="Z356">
        <v>1</v>
      </c>
      <c r="AA356" t="s">
        <v>9993</v>
      </c>
      <c r="AB356">
        <v>2020</v>
      </c>
      <c r="AC356" t="s">
        <v>49</v>
      </c>
      <c r="AD356" t="s">
        <v>93</v>
      </c>
      <c r="AE356" t="s">
        <v>4532</v>
      </c>
      <c r="AF356" t="s">
        <v>48</v>
      </c>
      <c r="AG356" t="s">
        <v>48</v>
      </c>
      <c r="AH356" t="s">
        <v>48</v>
      </c>
      <c r="AI356">
        <v>22140</v>
      </c>
      <c r="AJ356">
        <v>1966</v>
      </c>
      <c r="AK356" t="s">
        <v>8650</v>
      </c>
      <c r="AL356" t="s">
        <v>8651</v>
      </c>
      <c r="AM356">
        <v>0.64400000000000002</v>
      </c>
      <c r="AN356">
        <v>-6.6000000000000003E-2</v>
      </c>
      <c r="AO356">
        <v>0.64400000000000002</v>
      </c>
      <c r="AP356" s="46">
        <v>0</v>
      </c>
      <c r="AQ356" s="46">
        <v>0</v>
      </c>
      <c r="AR356" s="46">
        <v>0</v>
      </c>
      <c r="AS356" s="46">
        <v>0</v>
      </c>
      <c r="AT356" s="46">
        <v>0</v>
      </c>
      <c r="AU356" s="46">
        <v>0</v>
      </c>
      <c r="AV356" s="46">
        <v>0</v>
      </c>
      <c r="AW356" s="46">
        <v>0</v>
      </c>
      <c r="AX356" s="46">
        <v>0</v>
      </c>
      <c r="AY356" s="46">
        <v>0</v>
      </c>
      <c r="AZ356" s="46">
        <v>0</v>
      </c>
      <c r="BA356" s="46">
        <v>0</v>
      </c>
      <c r="BB356" s="46">
        <v>1</v>
      </c>
      <c r="BC356" s="46">
        <v>0</v>
      </c>
      <c r="BD356" s="46">
        <v>0</v>
      </c>
      <c r="BE356" s="46">
        <v>0</v>
      </c>
      <c r="BF356" s="46">
        <v>1</v>
      </c>
      <c r="BG356" s="46">
        <v>1</v>
      </c>
      <c r="BH356" s="46">
        <v>0</v>
      </c>
      <c r="BI356" s="46">
        <v>0</v>
      </c>
      <c r="BJ356" s="46">
        <v>0</v>
      </c>
      <c r="BK356" s="46">
        <v>0</v>
      </c>
      <c r="BL356" s="46">
        <v>0</v>
      </c>
      <c r="BM356" s="46">
        <v>0</v>
      </c>
      <c r="BN356" s="46">
        <v>1</v>
      </c>
    </row>
    <row r="357" spans="1:66" x14ac:dyDescent="0.35">
      <c r="A357" t="s">
        <v>376</v>
      </c>
      <c r="B357" s="44" t="s">
        <v>48</v>
      </c>
      <c r="C357" t="s">
        <v>380</v>
      </c>
      <c r="D357" t="s">
        <v>379</v>
      </c>
      <c r="E357" t="s">
        <v>377</v>
      </c>
      <c r="F357" t="s">
        <v>374</v>
      </c>
      <c r="G357" t="s">
        <v>74</v>
      </c>
      <c r="H357">
        <v>0</v>
      </c>
      <c r="I357" s="60" t="s">
        <v>125</v>
      </c>
      <c r="J357" s="33" t="s">
        <v>45</v>
      </c>
      <c r="K357" s="46">
        <v>0</v>
      </c>
      <c r="L357">
        <v>68.8</v>
      </c>
      <c r="M357" t="s">
        <v>48</v>
      </c>
      <c r="N357" s="46">
        <v>1</v>
      </c>
      <c r="O357" s="46">
        <v>0</v>
      </c>
      <c r="P357" s="46">
        <v>0</v>
      </c>
      <c r="Q357" t="s">
        <v>48</v>
      </c>
      <c r="R357" t="s">
        <v>48</v>
      </c>
      <c r="S357" t="s">
        <v>378</v>
      </c>
      <c r="T357" t="s">
        <v>48</v>
      </c>
      <c r="U357" t="s">
        <v>378</v>
      </c>
      <c r="V357" s="47">
        <v>0</v>
      </c>
      <c r="W357" t="s">
        <v>48</v>
      </c>
      <c r="X357" t="s">
        <v>48</v>
      </c>
      <c r="Y357" t="s">
        <v>48</v>
      </c>
      <c r="Z357">
        <v>0</v>
      </c>
      <c r="AA357" t="s">
        <v>48</v>
      </c>
      <c r="AB357" t="s">
        <v>48</v>
      </c>
      <c r="AC357" t="s">
        <v>63</v>
      </c>
      <c r="AD357" t="s">
        <v>93</v>
      </c>
      <c r="AE357" t="s">
        <v>2471</v>
      </c>
      <c r="AF357" t="s">
        <v>48</v>
      </c>
      <c r="AG357" t="s">
        <v>48</v>
      </c>
      <c r="AH357" t="s">
        <v>48</v>
      </c>
      <c r="AI357" t="s">
        <v>48</v>
      </c>
      <c r="AJ357" t="s">
        <v>48</v>
      </c>
      <c r="AK357" t="s">
        <v>48</v>
      </c>
      <c r="AL357" t="s">
        <v>48</v>
      </c>
      <c r="AM357" t="s">
        <v>48</v>
      </c>
      <c r="AN357" t="s">
        <v>48</v>
      </c>
      <c r="AO357" t="s">
        <v>48</v>
      </c>
      <c r="AP357" s="46">
        <v>0</v>
      </c>
      <c r="AQ357" s="46">
        <v>0</v>
      </c>
      <c r="AR357" s="46">
        <v>0</v>
      </c>
      <c r="AS357" s="46">
        <v>0</v>
      </c>
      <c r="AT357" s="46">
        <v>0</v>
      </c>
      <c r="AU357" s="46">
        <v>0</v>
      </c>
      <c r="AV357" s="46">
        <v>0</v>
      </c>
      <c r="AW357" s="46">
        <v>0</v>
      </c>
      <c r="AX357" s="46">
        <v>0</v>
      </c>
      <c r="AY357" s="46">
        <v>0</v>
      </c>
      <c r="AZ357" s="46">
        <v>0</v>
      </c>
      <c r="BA357" s="46">
        <v>0</v>
      </c>
      <c r="BB357" s="46">
        <v>0</v>
      </c>
      <c r="BC357" s="46">
        <v>0</v>
      </c>
      <c r="BD357" s="46">
        <v>0</v>
      </c>
      <c r="BE357" s="46">
        <v>0</v>
      </c>
      <c r="BF357" s="46">
        <v>0</v>
      </c>
      <c r="BG357" s="46" t="s">
        <v>48</v>
      </c>
      <c r="BH357" s="46">
        <v>0</v>
      </c>
      <c r="BI357" s="46">
        <v>0</v>
      </c>
      <c r="BJ357" s="46">
        <v>0</v>
      </c>
      <c r="BK357" s="46">
        <v>0</v>
      </c>
      <c r="BL357" s="46">
        <v>0</v>
      </c>
      <c r="BM357" s="46">
        <v>0</v>
      </c>
      <c r="BN357" s="46">
        <v>0</v>
      </c>
    </row>
    <row r="358" spans="1:66" x14ac:dyDescent="0.35">
      <c r="A358" t="s">
        <v>391</v>
      </c>
      <c r="B358" s="44" t="s">
        <v>48</v>
      </c>
      <c r="C358" t="s">
        <v>395</v>
      </c>
      <c r="D358" t="s">
        <v>394</v>
      </c>
      <c r="E358" t="s">
        <v>393</v>
      </c>
      <c r="F358" t="s">
        <v>392</v>
      </c>
      <c r="G358" t="s">
        <v>83</v>
      </c>
      <c r="H358">
        <v>0</v>
      </c>
      <c r="I358" s="60" t="s">
        <v>51</v>
      </c>
      <c r="J358" s="33" t="s">
        <v>45</v>
      </c>
      <c r="K358" s="46">
        <v>0</v>
      </c>
      <c r="L358" t="s">
        <v>48</v>
      </c>
      <c r="M358" t="s">
        <v>48</v>
      </c>
      <c r="N358" s="46">
        <v>1</v>
      </c>
      <c r="O358" s="46">
        <v>0</v>
      </c>
      <c r="P358" s="46">
        <v>0</v>
      </c>
      <c r="Q358" t="s">
        <v>48</v>
      </c>
      <c r="R358" t="s">
        <v>48</v>
      </c>
      <c r="S358" t="s">
        <v>48</v>
      </c>
      <c r="T358" t="s">
        <v>48</v>
      </c>
      <c r="U358" t="s">
        <v>48</v>
      </c>
      <c r="V358" s="47">
        <v>0</v>
      </c>
      <c r="W358" t="s">
        <v>48</v>
      </c>
      <c r="X358" t="s">
        <v>48</v>
      </c>
      <c r="Y358" t="s">
        <v>48</v>
      </c>
      <c r="Z358">
        <v>0</v>
      </c>
      <c r="AA358" t="s">
        <v>48</v>
      </c>
      <c r="AB358" t="s">
        <v>48</v>
      </c>
      <c r="AC358" t="s">
        <v>49</v>
      </c>
      <c r="AD358" t="s">
        <v>93</v>
      </c>
      <c r="AE358" t="s">
        <v>4532</v>
      </c>
      <c r="AF358" t="s">
        <v>48</v>
      </c>
      <c r="AG358" t="s">
        <v>92</v>
      </c>
      <c r="AH358" t="s">
        <v>93</v>
      </c>
      <c r="AI358" t="s">
        <v>48</v>
      </c>
      <c r="AJ358" t="s">
        <v>48</v>
      </c>
      <c r="AK358" t="s">
        <v>48</v>
      </c>
      <c r="AL358" t="s">
        <v>48</v>
      </c>
      <c r="AM358" t="s">
        <v>48</v>
      </c>
      <c r="AN358" t="s">
        <v>48</v>
      </c>
      <c r="AO358" t="s">
        <v>48</v>
      </c>
      <c r="AP358" s="46">
        <v>0</v>
      </c>
      <c r="AQ358" s="46">
        <v>0</v>
      </c>
      <c r="AR358" s="46">
        <v>0</v>
      </c>
      <c r="AS358" s="46">
        <v>0</v>
      </c>
      <c r="AT358" s="46">
        <v>0</v>
      </c>
      <c r="AU358" s="46">
        <v>0</v>
      </c>
      <c r="AV358" s="46">
        <v>0</v>
      </c>
      <c r="AW358" s="46">
        <v>0</v>
      </c>
      <c r="AX358" s="46">
        <v>0</v>
      </c>
      <c r="AY358" s="46">
        <v>0</v>
      </c>
      <c r="AZ358" s="46">
        <v>0</v>
      </c>
      <c r="BA358" s="46">
        <v>0</v>
      </c>
      <c r="BB358" s="46">
        <v>0</v>
      </c>
      <c r="BC358" s="46">
        <v>0</v>
      </c>
      <c r="BD358" s="46">
        <v>0</v>
      </c>
      <c r="BE358" s="46">
        <v>0</v>
      </c>
      <c r="BF358" s="46">
        <v>0</v>
      </c>
      <c r="BG358" s="46" t="s">
        <v>48</v>
      </c>
      <c r="BH358" s="46">
        <v>0</v>
      </c>
      <c r="BI358" s="46">
        <v>0</v>
      </c>
      <c r="BJ358" s="46">
        <v>0</v>
      </c>
      <c r="BK358" s="46">
        <v>0</v>
      </c>
      <c r="BL358" s="46">
        <v>0</v>
      </c>
      <c r="BM358" s="46">
        <v>0</v>
      </c>
      <c r="BN358" s="46">
        <v>0</v>
      </c>
    </row>
    <row r="359" spans="1:66" x14ac:dyDescent="0.35">
      <c r="A359" t="s">
        <v>402</v>
      </c>
      <c r="B359" s="44" t="s">
        <v>48</v>
      </c>
      <c r="C359" t="s">
        <v>405</v>
      </c>
      <c r="D359" t="s">
        <v>404</v>
      </c>
      <c r="E359" t="s">
        <v>403</v>
      </c>
      <c r="F359" t="s">
        <v>392</v>
      </c>
      <c r="G359" t="s">
        <v>74</v>
      </c>
      <c r="H359">
        <v>0</v>
      </c>
      <c r="I359" s="60" t="s">
        <v>125</v>
      </c>
      <c r="J359" s="33" t="s">
        <v>45</v>
      </c>
      <c r="K359" s="46">
        <v>0</v>
      </c>
      <c r="L359">
        <v>100</v>
      </c>
      <c r="M359" t="s">
        <v>48</v>
      </c>
      <c r="N359" s="46">
        <v>1</v>
      </c>
      <c r="O359" s="46">
        <v>0</v>
      </c>
      <c r="P359" s="46">
        <v>0</v>
      </c>
      <c r="Q359" t="s">
        <v>48</v>
      </c>
      <c r="R359" t="s">
        <v>48</v>
      </c>
      <c r="S359" t="s">
        <v>48</v>
      </c>
      <c r="T359" t="s">
        <v>48</v>
      </c>
      <c r="U359" t="s">
        <v>48</v>
      </c>
      <c r="V359" s="47">
        <v>1</v>
      </c>
      <c r="W359" t="s">
        <v>11264</v>
      </c>
      <c r="X359" t="s">
        <v>48</v>
      </c>
      <c r="Y359" t="s">
        <v>48</v>
      </c>
      <c r="Z359">
        <v>0</v>
      </c>
      <c r="AA359" t="s">
        <v>48</v>
      </c>
      <c r="AB359" t="s">
        <v>48</v>
      </c>
      <c r="AC359" t="s">
        <v>63</v>
      </c>
      <c r="AD359" t="s">
        <v>93</v>
      </c>
      <c r="AE359" t="s">
        <v>4532</v>
      </c>
      <c r="AF359" t="s">
        <v>48</v>
      </c>
      <c r="AG359" t="s">
        <v>48</v>
      </c>
      <c r="AH359" t="s">
        <v>48</v>
      </c>
      <c r="AI359" t="s">
        <v>48</v>
      </c>
      <c r="AJ359" t="s">
        <v>48</v>
      </c>
      <c r="AK359" t="s">
        <v>48</v>
      </c>
      <c r="AL359" t="s">
        <v>48</v>
      </c>
      <c r="AM359" t="s">
        <v>48</v>
      </c>
      <c r="AN359" t="s">
        <v>48</v>
      </c>
      <c r="AO359" t="s">
        <v>48</v>
      </c>
      <c r="AP359" s="46">
        <v>0</v>
      </c>
      <c r="AQ359" s="46">
        <v>0</v>
      </c>
      <c r="AR359" s="46">
        <v>0</v>
      </c>
      <c r="AS359" s="46">
        <v>0</v>
      </c>
      <c r="AT359" s="46">
        <v>0</v>
      </c>
      <c r="AU359" s="46">
        <v>0</v>
      </c>
      <c r="AV359" s="46">
        <v>0</v>
      </c>
      <c r="AW359" s="46">
        <v>0</v>
      </c>
      <c r="AX359" s="46">
        <v>0</v>
      </c>
      <c r="AY359" s="46">
        <v>0</v>
      </c>
      <c r="AZ359" s="46">
        <v>0</v>
      </c>
      <c r="BA359" s="46">
        <v>0</v>
      </c>
      <c r="BB359" s="46">
        <v>0</v>
      </c>
      <c r="BC359" s="46">
        <v>0</v>
      </c>
      <c r="BD359" s="46">
        <v>0</v>
      </c>
      <c r="BE359" s="46">
        <v>0</v>
      </c>
      <c r="BF359" s="46">
        <v>0</v>
      </c>
      <c r="BG359" s="46" t="s">
        <v>48</v>
      </c>
      <c r="BH359" s="46">
        <v>0</v>
      </c>
      <c r="BI359" s="46">
        <v>0</v>
      </c>
      <c r="BJ359" s="46">
        <v>0</v>
      </c>
      <c r="BK359" s="46">
        <v>0</v>
      </c>
      <c r="BL359" s="46">
        <v>0</v>
      </c>
      <c r="BM359" s="46">
        <v>0</v>
      </c>
      <c r="BN359" s="46">
        <v>0</v>
      </c>
    </row>
    <row r="360" spans="1:66" x14ac:dyDescent="0.35">
      <c r="A360" t="s">
        <v>397</v>
      </c>
      <c r="B360" s="44" t="s">
        <v>48</v>
      </c>
      <c r="C360" t="s">
        <v>401</v>
      </c>
      <c r="D360" t="s">
        <v>288</v>
      </c>
      <c r="E360" t="s">
        <v>398</v>
      </c>
      <c r="F360" t="s">
        <v>392</v>
      </c>
      <c r="G360" t="s">
        <v>47</v>
      </c>
      <c r="H360">
        <v>0</v>
      </c>
      <c r="I360" s="60" t="s">
        <v>51</v>
      </c>
      <c r="J360" s="33" t="s">
        <v>45</v>
      </c>
      <c r="K360" s="46">
        <v>1</v>
      </c>
      <c r="L360">
        <v>82.3</v>
      </c>
      <c r="M360" t="s">
        <v>48</v>
      </c>
      <c r="N360" s="46">
        <v>1</v>
      </c>
      <c r="O360" s="46">
        <v>0</v>
      </c>
      <c r="P360" s="46">
        <v>0</v>
      </c>
      <c r="Q360" t="s">
        <v>48</v>
      </c>
      <c r="R360" t="s">
        <v>48</v>
      </c>
      <c r="S360" t="s">
        <v>399</v>
      </c>
      <c r="T360" t="s">
        <v>400</v>
      </c>
      <c r="U360" t="s">
        <v>399</v>
      </c>
      <c r="V360" s="47">
        <v>0</v>
      </c>
      <c r="W360" t="s">
        <v>48</v>
      </c>
      <c r="X360" t="s">
        <v>48</v>
      </c>
      <c r="Y360" t="s">
        <v>48</v>
      </c>
      <c r="Z360">
        <v>0</v>
      </c>
      <c r="AA360" t="s">
        <v>48</v>
      </c>
      <c r="AB360">
        <v>2002</v>
      </c>
      <c r="AC360" t="s">
        <v>49</v>
      </c>
      <c r="AD360" t="s">
        <v>93</v>
      </c>
      <c r="AE360" t="s">
        <v>4532</v>
      </c>
      <c r="AF360" t="s">
        <v>48</v>
      </c>
      <c r="AG360" t="s">
        <v>151</v>
      </c>
      <c r="AH360" t="s">
        <v>93</v>
      </c>
      <c r="AI360">
        <v>20301</v>
      </c>
      <c r="AJ360">
        <v>1958</v>
      </c>
      <c r="AK360" t="s">
        <v>8652</v>
      </c>
      <c r="AL360" t="s">
        <v>8653</v>
      </c>
      <c r="AM360">
        <v>0.36</v>
      </c>
      <c r="AN360">
        <v>0.46100000000000002</v>
      </c>
      <c r="AO360">
        <v>0.36</v>
      </c>
      <c r="AP360" s="46">
        <v>0</v>
      </c>
      <c r="AQ360" s="46">
        <v>0</v>
      </c>
      <c r="AR360" s="46">
        <v>0</v>
      </c>
      <c r="AS360" s="46">
        <v>0</v>
      </c>
      <c r="AT360" s="46">
        <v>0</v>
      </c>
      <c r="AU360" s="46">
        <v>0</v>
      </c>
      <c r="AV360" s="46">
        <v>0</v>
      </c>
      <c r="AW360" s="46">
        <v>0</v>
      </c>
      <c r="AX360" s="46">
        <v>0</v>
      </c>
      <c r="AY360" s="46">
        <v>0</v>
      </c>
      <c r="AZ360" s="46">
        <v>0</v>
      </c>
      <c r="BA360" s="46">
        <v>0</v>
      </c>
      <c r="BB360" s="46">
        <v>1</v>
      </c>
      <c r="BC360" s="46">
        <v>0</v>
      </c>
      <c r="BD360" s="46">
        <v>0</v>
      </c>
      <c r="BE360" s="46">
        <v>0</v>
      </c>
      <c r="BF360" s="46">
        <v>0</v>
      </c>
      <c r="BG360" s="46">
        <v>1</v>
      </c>
      <c r="BH360" s="46">
        <v>0</v>
      </c>
      <c r="BI360" s="46">
        <v>0</v>
      </c>
      <c r="BJ360" s="46">
        <v>0</v>
      </c>
      <c r="BK360" s="46">
        <v>0</v>
      </c>
      <c r="BL360" s="46">
        <v>0</v>
      </c>
      <c r="BM360" s="46">
        <v>1</v>
      </c>
      <c r="BN360" s="46">
        <v>0</v>
      </c>
    </row>
    <row r="361" spans="1:66" x14ac:dyDescent="0.35">
      <c r="A361" t="s">
        <v>418</v>
      </c>
      <c r="B361" s="44" t="s">
        <v>48</v>
      </c>
      <c r="C361" t="s">
        <v>422</v>
      </c>
      <c r="D361" t="s">
        <v>421</v>
      </c>
      <c r="E361" t="s">
        <v>419</v>
      </c>
      <c r="F361" t="s">
        <v>407</v>
      </c>
      <c r="G361" t="s">
        <v>74</v>
      </c>
      <c r="H361">
        <v>0</v>
      </c>
      <c r="I361" s="60" t="s">
        <v>125</v>
      </c>
      <c r="J361" s="33" t="s">
        <v>45</v>
      </c>
      <c r="K361" s="46">
        <v>0</v>
      </c>
      <c r="L361">
        <v>54.1</v>
      </c>
      <c r="M361" t="s">
        <v>48</v>
      </c>
      <c r="N361" s="46">
        <v>1</v>
      </c>
      <c r="O361" s="46">
        <v>0</v>
      </c>
      <c r="P361" s="46">
        <v>0</v>
      </c>
      <c r="Q361" t="s">
        <v>48</v>
      </c>
      <c r="R361" t="s">
        <v>48</v>
      </c>
      <c r="S361" t="s">
        <v>420</v>
      </c>
      <c r="T361" t="s">
        <v>48</v>
      </c>
      <c r="U361" t="s">
        <v>420</v>
      </c>
      <c r="V361" s="47">
        <v>0</v>
      </c>
      <c r="W361" t="s">
        <v>48</v>
      </c>
      <c r="X361" t="s">
        <v>48</v>
      </c>
      <c r="Y361" t="s">
        <v>48</v>
      </c>
      <c r="Z361">
        <v>0</v>
      </c>
      <c r="AA361" t="s">
        <v>48</v>
      </c>
      <c r="AB361" t="s">
        <v>48</v>
      </c>
      <c r="AC361" t="s">
        <v>49</v>
      </c>
      <c r="AD361" t="s">
        <v>11050</v>
      </c>
      <c r="AE361" t="s">
        <v>4532</v>
      </c>
      <c r="AF361" t="s">
        <v>48</v>
      </c>
      <c r="AG361" t="s">
        <v>48</v>
      </c>
      <c r="AH361" t="s">
        <v>48</v>
      </c>
      <c r="AI361" t="s">
        <v>48</v>
      </c>
      <c r="AJ361" t="s">
        <v>48</v>
      </c>
      <c r="AK361" t="s">
        <v>48</v>
      </c>
      <c r="AL361" t="s">
        <v>48</v>
      </c>
      <c r="AM361" t="s">
        <v>48</v>
      </c>
      <c r="AN361" t="s">
        <v>48</v>
      </c>
      <c r="AO361" t="s">
        <v>48</v>
      </c>
      <c r="AP361" s="46">
        <v>0</v>
      </c>
      <c r="AQ361" s="46">
        <v>0</v>
      </c>
      <c r="AR361" s="46">
        <v>0</v>
      </c>
      <c r="AS361" s="46">
        <v>0</v>
      </c>
      <c r="AT361" s="46">
        <v>0</v>
      </c>
      <c r="AU361" s="46">
        <v>0</v>
      </c>
      <c r="AV361" s="46">
        <v>0</v>
      </c>
      <c r="AW361" s="46">
        <v>0</v>
      </c>
      <c r="AX361" s="46">
        <v>0</v>
      </c>
      <c r="AY361" s="46">
        <v>0</v>
      </c>
      <c r="AZ361" s="46">
        <v>0</v>
      </c>
      <c r="BA361" s="46">
        <v>0</v>
      </c>
      <c r="BB361" s="46">
        <v>0</v>
      </c>
      <c r="BC361" s="46">
        <v>0</v>
      </c>
      <c r="BD361" s="46">
        <v>0</v>
      </c>
      <c r="BE361" s="46">
        <v>0</v>
      </c>
      <c r="BF361" s="46">
        <v>0</v>
      </c>
      <c r="BG361" s="46" t="s">
        <v>48</v>
      </c>
      <c r="BH361" s="46">
        <v>0</v>
      </c>
      <c r="BI361" s="46">
        <v>0</v>
      </c>
      <c r="BJ361" s="46">
        <v>0</v>
      </c>
      <c r="BK361" s="46">
        <v>0</v>
      </c>
      <c r="BL361" s="46">
        <v>0</v>
      </c>
      <c r="BM361" s="46">
        <v>0</v>
      </c>
      <c r="BN361" s="46">
        <v>0</v>
      </c>
    </row>
    <row r="362" spans="1:66" x14ac:dyDescent="0.35">
      <c r="A362" t="s">
        <v>406</v>
      </c>
      <c r="B362" s="44" t="s">
        <v>48</v>
      </c>
      <c r="C362" t="s">
        <v>411</v>
      </c>
      <c r="D362" t="s">
        <v>210</v>
      </c>
      <c r="E362" t="s">
        <v>408</v>
      </c>
      <c r="F362" t="s">
        <v>407</v>
      </c>
      <c r="G362" t="s">
        <v>47</v>
      </c>
      <c r="H362">
        <v>0</v>
      </c>
      <c r="I362" s="60" t="s">
        <v>51</v>
      </c>
      <c r="J362" s="33" t="s">
        <v>45</v>
      </c>
      <c r="K362" s="46">
        <v>1</v>
      </c>
      <c r="L362">
        <v>100</v>
      </c>
      <c r="M362" t="s">
        <v>48</v>
      </c>
      <c r="N362" s="46">
        <v>1</v>
      </c>
      <c r="O362" s="46">
        <v>0</v>
      </c>
      <c r="P362" s="46">
        <v>0</v>
      </c>
      <c r="Q362" t="s">
        <v>48</v>
      </c>
      <c r="R362" t="s">
        <v>48</v>
      </c>
      <c r="S362" t="s">
        <v>48</v>
      </c>
      <c r="T362" t="s">
        <v>409</v>
      </c>
      <c r="U362" t="s">
        <v>48</v>
      </c>
      <c r="V362" s="47">
        <v>0</v>
      </c>
      <c r="W362" t="s">
        <v>48</v>
      </c>
      <c r="X362" t="s">
        <v>48</v>
      </c>
      <c r="Y362" t="s">
        <v>48</v>
      </c>
      <c r="Z362">
        <v>0</v>
      </c>
      <c r="AA362" t="s">
        <v>48</v>
      </c>
      <c r="AB362">
        <v>1996</v>
      </c>
      <c r="AC362" t="s">
        <v>49</v>
      </c>
      <c r="AD362" t="s">
        <v>93</v>
      </c>
      <c r="AE362" t="s">
        <v>4532</v>
      </c>
      <c r="AF362" t="s">
        <v>48</v>
      </c>
      <c r="AG362" t="s">
        <v>410</v>
      </c>
      <c r="AH362" t="s">
        <v>93</v>
      </c>
      <c r="AI362">
        <v>29701</v>
      </c>
      <c r="AJ362">
        <v>1965</v>
      </c>
      <c r="AK362" t="s">
        <v>8654</v>
      </c>
      <c r="AL362" t="s">
        <v>8655</v>
      </c>
      <c r="AM362">
        <v>0.379</v>
      </c>
      <c r="AN362">
        <v>0.57799999999999996</v>
      </c>
      <c r="AO362">
        <v>0.379</v>
      </c>
      <c r="AP362" s="46">
        <v>0</v>
      </c>
      <c r="AQ362" s="46">
        <v>0</v>
      </c>
      <c r="AR362" s="46">
        <v>0</v>
      </c>
      <c r="AS362" s="46">
        <v>0</v>
      </c>
      <c r="AT362" s="46">
        <v>0</v>
      </c>
      <c r="AU362" s="46">
        <v>0</v>
      </c>
      <c r="AV362" s="46">
        <v>0</v>
      </c>
      <c r="AW362" s="46">
        <v>0</v>
      </c>
      <c r="AX362" s="46">
        <v>0</v>
      </c>
      <c r="AY362" s="46">
        <v>0</v>
      </c>
      <c r="AZ362" s="46">
        <v>0</v>
      </c>
      <c r="BA362" s="46">
        <v>0</v>
      </c>
      <c r="BB362" s="46">
        <v>1</v>
      </c>
      <c r="BC362" s="46">
        <v>0</v>
      </c>
      <c r="BD362" s="46">
        <v>0</v>
      </c>
      <c r="BE362" s="46">
        <v>0</v>
      </c>
      <c r="BF362" s="46">
        <v>0</v>
      </c>
      <c r="BG362" s="46">
        <v>1</v>
      </c>
      <c r="BH362" s="46">
        <v>0</v>
      </c>
      <c r="BI362" s="46">
        <v>0</v>
      </c>
      <c r="BJ362" s="46">
        <v>0</v>
      </c>
      <c r="BK362" s="46">
        <v>0</v>
      </c>
      <c r="BL362" s="46">
        <v>0</v>
      </c>
      <c r="BM362" s="46">
        <v>0</v>
      </c>
      <c r="BN362" s="46">
        <v>0</v>
      </c>
    </row>
    <row r="363" spans="1:66" x14ac:dyDescent="0.35">
      <c r="A363" t="s">
        <v>439</v>
      </c>
      <c r="B363" s="44" t="s">
        <v>48</v>
      </c>
      <c r="C363" t="s">
        <v>442</v>
      </c>
      <c r="D363" t="s">
        <v>441</v>
      </c>
      <c r="E363" t="s">
        <v>440</v>
      </c>
      <c r="F363" t="s">
        <v>89</v>
      </c>
      <c r="G363" t="s">
        <v>47</v>
      </c>
      <c r="H363">
        <v>0</v>
      </c>
      <c r="I363" s="60" t="s">
        <v>51</v>
      </c>
      <c r="J363" s="33" t="s">
        <v>45</v>
      </c>
      <c r="K363" s="46">
        <v>0</v>
      </c>
      <c r="L363">
        <v>44.7</v>
      </c>
      <c r="M363" t="s">
        <v>48</v>
      </c>
      <c r="N363" s="46">
        <v>1</v>
      </c>
      <c r="O363" s="46">
        <v>0</v>
      </c>
      <c r="P363" s="46">
        <v>0</v>
      </c>
      <c r="Q363" t="s">
        <v>48</v>
      </c>
      <c r="R363" t="s">
        <v>48</v>
      </c>
      <c r="S363" t="s">
        <v>10001</v>
      </c>
      <c r="T363" t="s">
        <v>48</v>
      </c>
      <c r="U363" t="s">
        <v>10001</v>
      </c>
      <c r="V363" s="47">
        <v>0</v>
      </c>
      <c r="W363" t="s">
        <v>48</v>
      </c>
      <c r="X363" t="s">
        <v>48</v>
      </c>
      <c r="Y363" t="s">
        <v>48</v>
      </c>
      <c r="Z363">
        <v>0</v>
      </c>
      <c r="AA363" t="s">
        <v>48</v>
      </c>
      <c r="AB363" t="s">
        <v>48</v>
      </c>
      <c r="AC363" t="s">
        <v>49</v>
      </c>
      <c r="AD363" t="s">
        <v>93</v>
      </c>
      <c r="AE363" t="s">
        <v>4532</v>
      </c>
      <c r="AF363" t="s">
        <v>48</v>
      </c>
      <c r="AG363" t="s">
        <v>48</v>
      </c>
      <c r="AH363" t="s">
        <v>48</v>
      </c>
      <c r="AI363" t="s">
        <v>48</v>
      </c>
      <c r="AJ363" t="s">
        <v>48</v>
      </c>
      <c r="AK363" t="s">
        <v>48</v>
      </c>
      <c r="AL363" t="s">
        <v>48</v>
      </c>
      <c r="AM363" t="s">
        <v>48</v>
      </c>
      <c r="AN363" t="s">
        <v>48</v>
      </c>
      <c r="AO363" t="s">
        <v>48</v>
      </c>
      <c r="AP363" s="46">
        <v>0</v>
      </c>
      <c r="AQ363" s="46">
        <v>0</v>
      </c>
      <c r="AR363" s="46">
        <v>0</v>
      </c>
      <c r="AS363" s="46">
        <v>0</v>
      </c>
      <c r="AT363" s="46">
        <v>0</v>
      </c>
      <c r="AU363" s="46">
        <v>0</v>
      </c>
      <c r="AV363" s="46">
        <v>0</v>
      </c>
      <c r="AW363" s="46">
        <v>0</v>
      </c>
      <c r="AX363" s="46">
        <v>0</v>
      </c>
      <c r="AY363" s="46">
        <v>0</v>
      </c>
      <c r="AZ363" s="46">
        <v>0</v>
      </c>
      <c r="BA363" s="46">
        <v>0</v>
      </c>
      <c r="BB363" s="46">
        <v>0</v>
      </c>
      <c r="BC363" s="46">
        <v>0</v>
      </c>
      <c r="BD363" s="46">
        <v>0</v>
      </c>
      <c r="BE363" s="46">
        <v>0</v>
      </c>
      <c r="BF363" s="46">
        <v>0</v>
      </c>
      <c r="BG363" s="46">
        <v>1</v>
      </c>
      <c r="BH363" s="46">
        <v>0</v>
      </c>
      <c r="BI363" s="46">
        <v>0</v>
      </c>
      <c r="BJ363" s="46">
        <v>0</v>
      </c>
      <c r="BK363" s="46">
        <v>0</v>
      </c>
      <c r="BL363" s="46">
        <v>0</v>
      </c>
      <c r="BM363" s="46">
        <v>0</v>
      </c>
      <c r="BN363" s="46">
        <v>0</v>
      </c>
    </row>
    <row r="364" spans="1:66" x14ac:dyDescent="0.35">
      <c r="A364" t="s">
        <v>453</v>
      </c>
      <c r="B364" s="44" t="s">
        <v>48</v>
      </c>
      <c r="C364" t="s">
        <v>11595</v>
      </c>
      <c r="D364" t="s">
        <v>456</v>
      </c>
      <c r="E364" t="s">
        <v>454</v>
      </c>
      <c r="F364" t="s">
        <v>89</v>
      </c>
      <c r="G364" t="s">
        <v>74</v>
      </c>
      <c r="H364">
        <v>0</v>
      </c>
      <c r="I364" s="60" t="s">
        <v>125</v>
      </c>
      <c r="J364" s="33" t="s">
        <v>45</v>
      </c>
      <c r="K364" s="46">
        <v>0</v>
      </c>
      <c r="L364">
        <v>57.2</v>
      </c>
      <c r="M364" t="s">
        <v>48</v>
      </c>
      <c r="N364" s="46">
        <v>1</v>
      </c>
      <c r="O364" s="46">
        <v>0</v>
      </c>
      <c r="P364" s="46">
        <v>0</v>
      </c>
      <c r="Q364" t="s">
        <v>48</v>
      </c>
      <c r="R364" t="s">
        <v>48</v>
      </c>
      <c r="S364" t="s">
        <v>455</v>
      </c>
      <c r="T364" t="s">
        <v>48</v>
      </c>
      <c r="U364" t="s">
        <v>455</v>
      </c>
      <c r="V364" s="47">
        <v>0</v>
      </c>
      <c r="W364" t="s">
        <v>48</v>
      </c>
      <c r="X364" t="s">
        <v>48</v>
      </c>
      <c r="Y364" t="s">
        <v>48</v>
      </c>
      <c r="Z364">
        <v>0</v>
      </c>
      <c r="AA364" t="s">
        <v>48</v>
      </c>
      <c r="AB364" t="s">
        <v>48</v>
      </c>
      <c r="AC364" t="s">
        <v>63</v>
      </c>
      <c r="AD364" t="s">
        <v>93</v>
      </c>
      <c r="AE364" t="s">
        <v>2471</v>
      </c>
      <c r="AF364" t="s">
        <v>48</v>
      </c>
      <c r="AG364" t="s">
        <v>48</v>
      </c>
      <c r="AH364" t="s">
        <v>48</v>
      </c>
      <c r="AI364" t="s">
        <v>48</v>
      </c>
      <c r="AJ364" t="s">
        <v>48</v>
      </c>
      <c r="AK364" t="s">
        <v>48</v>
      </c>
      <c r="AL364" t="s">
        <v>48</v>
      </c>
      <c r="AM364" t="s">
        <v>48</v>
      </c>
      <c r="AN364" t="s">
        <v>48</v>
      </c>
      <c r="AO364" t="s">
        <v>48</v>
      </c>
      <c r="AP364" s="46">
        <v>0</v>
      </c>
      <c r="AQ364" s="46">
        <v>0</v>
      </c>
      <c r="AR364" s="46">
        <v>0</v>
      </c>
      <c r="AS364" s="46">
        <v>0</v>
      </c>
      <c r="AT364" s="46">
        <v>0</v>
      </c>
      <c r="AU364" s="46">
        <v>0</v>
      </c>
      <c r="AV364" s="46">
        <v>0</v>
      </c>
      <c r="AW364" s="46">
        <v>0</v>
      </c>
      <c r="AX364" s="46">
        <v>0</v>
      </c>
      <c r="AY364" s="46">
        <v>0</v>
      </c>
      <c r="AZ364" s="46">
        <v>0</v>
      </c>
      <c r="BA364" s="46">
        <v>0</v>
      </c>
      <c r="BB364" s="46">
        <v>0</v>
      </c>
      <c r="BC364" s="46">
        <v>0</v>
      </c>
      <c r="BD364" s="46">
        <v>0</v>
      </c>
      <c r="BE364" s="46">
        <v>0</v>
      </c>
      <c r="BF364" s="46">
        <v>0</v>
      </c>
      <c r="BG364" s="46" t="s">
        <v>48</v>
      </c>
      <c r="BH364" s="46">
        <v>0</v>
      </c>
      <c r="BI364" s="46">
        <v>0</v>
      </c>
      <c r="BJ364" s="46">
        <v>0</v>
      </c>
      <c r="BK364" s="46">
        <v>0</v>
      </c>
      <c r="BL364" s="46">
        <v>0</v>
      </c>
      <c r="BM364" s="46">
        <v>0</v>
      </c>
      <c r="BN364" s="46">
        <v>0</v>
      </c>
    </row>
    <row r="365" spans="1:66" x14ac:dyDescent="0.35">
      <c r="A365" t="s">
        <v>461</v>
      </c>
      <c r="B365" s="44" t="s">
        <v>48</v>
      </c>
      <c r="C365" t="s">
        <v>468</v>
      </c>
      <c r="D365" t="s">
        <v>467</v>
      </c>
      <c r="E365" t="s">
        <v>463</v>
      </c>
      <c r="F365" t="s">
        <v>462</v>
      </c>
      <c r="G365" t="s">
        <v>47</v>
      </c>
      <c r="H365">
        <v>0</v>
      </c>
      <c r="I365" s="60" t="s">
        <v>51</v>
      </c>
      <c r="J365" s="33" t="s">
        <v>45</v>
      </c>
      <c r="K365" s="46">
        <v>1</v>
      </c>
      <c r="L365">
        <v>100</v>
      </c>
      <c r="M365" t="s">
        <v>48</v>
      </c>
      <c r="N365" s="46">
        <v>1</v>
      </c>
      <c r="O365" s="46">
        <v>0</v>
      </c>
      <c r="P365" s="46">
        <v>0</v>
      </c>
      <c r="Q365" t="s">
        <v>48</v>
      </c>
      <c r="R365" t="s">
        <v>48</v>
      </c>
      <c r="S365" t="s">
        <v>464</v>
      </c>
      <c r="T365" t="s">
        <v>465</v>
      </c>
      <c r="U365" t="s">
        <v>464</v>
      </c>
      <c r="V365" s="47">
        <v>0</v>
      </c>
      <c r="W365" t="s">
        <v>48</v>
      </c>
      <c r="X365" t="s">
        <v>48</v>
      </c>
      <c r="Y365" t="s">
        <v>48</v>
      </c>
      <c r="Z365">
        <v>0</v>
      </c>
      <c r="AA365" t="s">
        <v>48</v>
      </c>
      <c r="AB365">
        <v>2014</v>
      </c>
      <c r="AC365" t="s">
        <v>49</v>
      </c>
      <c r="AD365" t="s">
        <v>93</v>
      </c>
      <c r="AE365" t="s">
        <v>4532</v>
      </c>
      <c r="AF365" t="s">
        <v>48</v>
      </c>
      <c r="AG365" t="s">
        <v>466</v>
      </c>
      <c r="AH365" t="s">
        <v>93</v>
      </c>
      <c r="AI365">
        <v>21500</v>
      </c>
      <c r="AJ365">
        <v>1954</v>
      </c>
      <c r="AK365" t="s">
        <v>8658</v>
      </c>
      <c r="AL365" t="s">
        <v>8659</v>
      </c>
      <c r="AM365">
        <v>0.68500000000000005</v>
      </c>
      <c r="AN365">
        <v>7.2999999999999995E-2</v>
      </c>
      <c r="AO365">
        <v>0.68500000000000005</v>
      </c>
      <c r="AP365" s="46">
        <v>0</v>
      </c>
      <c r="AQ365" s="46">
        <v>0</v>
      </c>
      <c r="AR365" s="46">
        <v>0</v>
      </c>
      <c r="AS365" s="46">
        <v>0</v>
      </c>
      <c r="AT365" s="46">
        <v>0</v>
      </c>
      <c r="AU365" s="46">
        <v>0</v>
      </c>
      <c r="AV365" s="46">
        <v>0</v>
      </c>
      <c r="AW365" s="46">
        <v>0</v>
      </c>
      <c r="AX365" s="46">
        <v>0</v>
      </c>
      <c r="AY365" s="46">
        <v>0</v>
      </c>
      <c r="AZ365" s="46">
        <v>0</v>
      </c>
      <c r="BA365" s="46">
        <v>0</v>
      </c>
      <c r="BB365" s="46">
        <v>1</v>
      </c>
      <c r="BC365" s="46">
        <v>0</v>
      </c>
      <c r="BD365" s="46">
        <v>0</v>
      </c>
      <c r="BE365" s="46">
        <v>0</v>
      </c>
      <c r="BF365" s="46">
        <v>1</v>
      </c>
      <c r="BG365" s="46">
        <v>1</v>
      </c>
      <c r="BH365" s="46">
        <v>0</v>
      </c>
      <c r="BI365" s="46">
        <v>0</v>
      </c>
      <c r="BJ365" s="46">
        <v>0</v>
      </c>
      <c r="BK365" s="46">
        <v>0</v>
      </c>
      <c r="BL365" s="46">
        <v>0</v>
      </c>
      <c r="BM365" s="46">
        <v>0</v>
      </c>
      <c r="BN365" s="46">
        <v>1</v>
      </c>
    </row>
    <row r="366" spans="1:66" x14ac:dyDescent="0.35">
      <c r="A366" t="s">
        <v>469</v>
      </c>
      <c r="B366" s="44" t="s">
        <v>48</v>
      </c>
      <c r="C366" t="s">
        <v>474</v>
      </c>
      <c r="D366" t="s">
        <v>473</v>
      </c>
      <c r="E366" t="s">
        <v>471</v>
      </c>
      <c r="F366" t="s">
        <v>470</v>
      </c>
      <c r="G366" t="s">
        <v>47</v>
      </c>
      <c r="H366">
        <v>0</v>
      </c>
      <c r="I366" s="60" t="s">
        <v>51</v>
      </c>
      <c r="J366" s="33" t="s">
        <v>45</v>
      </c>
      <c r="K366" s="46">
        <v>0</v>
      </c>
      <c r="L366">
        <v>100</v>
      </c>
      <c r="M366" t="s">
        <v>48</v>
      </c>
      <c r="N366" s="46">
        <v>1</v>
      </c>
      <c r="O366" s="46">
        <v>0</v>
      </c>
      <c r="P366" s="46">
        <v>0</v>
      </c>
      <c r="Q366" t="s">
        <v>48</v>
      </c>
      <c r="R366" t="s">
        <v>48</v>
      </c>
      <c r="S366" t="s">
        <v>472</v>
      </c>
      <c r="T366" t="s">
        <v>48</v>
      </c>
      <c r="U366" t="s">
        <v>472</v>
      </c>
      <c r="V366" s="47">
        <v>0</v>
      </c>
      <c r="W366" t="s">
        <v>48</v>
      </c>
      <c r="X366" t="s">
        <v>48</v>
      </c>
      <c r="Y366" t="s">
        <v>48</v>
      </c>
      <c r="Z366">
        <v>0</v>
      </c>
      <c r="AA366" t="s">
        <v>48</v>
      </c>
      <c r="AB366" t="s">
        <v>48</v>
      </c>
      <c r="AC366" t="s">
        <v>63</v>
      </c>
      <c r="AD366" t="s">
        <v>93</v>
      </c>
      <c r="AE366" t="s">
        <v>4532</v>
      </c>
      <c r="AF366" t="s">
        <v>48</v>
      </c>
      <c r="AG366" t="s">
        <v>48</v>
      </c>
      <c r="AH366" t="s">
        <v>48</v>
      </c>
      <c r="AI366" t="s">
        <v>48</v>
      </c>
      <c r="AJ366" t="s">
        <v>48</v>
      </c>
      <c r="AK366" t="s">
        <v>48</v>
      </c>
      <c r="AL366" t="s">
        <v>48</v>
      </c>
      <c r="AM366" t="s">
        <v>48</v>
      </c>
      <c r="AN366" t="s">
        <v>48</v>
      </c>
      <c r="AO366" t="s">
        <v>48</v>
      </c>
      <c r="AP366" s="46">
        <v>0</v>
      </c>
      <c r="AQ366" s="46">
        <v>0</v>
      </c>
      <c r="AR366" s="46">
        <v>0</v>
      </c>
      <c r="AS366" s="46">
        <v>0</v>
      </c>
      <c r="AT366" s="46">
        <v>0</v>
      </c>
      <c r="AU366" s="46">
        <v>0</v>
      </c>
      <c r="AV366" s="46">
        <v>0</v>
      </c>
      <c r="AW366" s="46">
        <v>0</v>
      </c>
      <c r="AX366" s="46">
        <v>0</v>
      </c>
      <c r="AY366" s="46">
        <v>0</v>
      </c>
      <c r="AZ366" s="46">
        <v>0</v>
      </c>
      <c r="BA366" s="46">
        <v>0</v>
      </c>
      <c r="BB366" s="46">
        <v>0</v>
      </c>
      <c r="BC366" s="46">
        <v>0</v>
      </c>
      <c r="BD366" s="46">
        <v>0</v>
      </c>
      <c r="BE366" s="46">
        <v>0</v>
      </c>
      <c r="BF366" s="46">
        <v>0</v>
      </c>
      <c r="BG366" s="46">
        <v>1</v>
      </c>
      <c r="BH366" s="46">
        <v>0</v>
      </c>
      <c r="BI366" s="46">
        <v>0</v>
      </c>
      <c r="BJ366" s="46">
        <v>0</v>
      </c>
      <c r="BK366" s="46">
        <v>0</v>
      </c>
      <c r="BL366" s="46">
        <v>0</v>
      </c>
      <c r="BM366" s="46">
        <v>0</v>
      </c>
      <c r="BN366" s="46">
        <v>0</v>
      </c>
    </row>
    <row r="367" spans="1:66" x14ac:dyDescent="0.35">
      <c r="A367" t="s">
        <v>475</v>
      </c>
      <c r="B367" t="s">
        <v>48</v>
      </c>
      <c r="C367" t="s">
        <v>481</v>
      </c>
      <c r="D367" t="s">
        <v>480</v>
      </c>
      <c r="E367" t="s">
        <v>476</v>
      </c>
      <c r="F367" t="s">
        <v>470</v>
      </c>
      <c r="G367" t="s">
        <v>74</v>
      </c>
      <c r="H367">
        <v>0</v>
      </c>
      <c r="I367" s="60" t="s">
        <v>51</v>
      </c>
      <c r="J367" s="33" t="s">
        <v>45</v>
      </c>
      <c r="K367" s="46">
        <v>1</v>
      </c>
      <c r="L367">
        <v>100</v>
      </c>
      <c r="M367" t="s">
        <v>48</v>
      </c>
      <c r="N367" s="46">
        <v>1</v>
      </c>
      <c r="O367" s="46">
        <v>0</v>
      </c>
      <c r="P367" s="46">
        <v>0</v>
      </c>
      <c r="Q367" t="s">
        <v>48</v>
      </c>
      <c r="R367" t="s">
        <v>48</v>
      </c>
      <c r="S367" t="s">
        <v>477</v>
      </c>
      <c r="T367" t="s">
        <v>478</v>
      </c>
      <c r="U367" t="s">
        <v>477</v>
      </c>
      <c r="V367" s="47">
        <v>0</v>
      </c>
      <c r="W367" t="s">
        <v>48</v>
      </c>
      <c r="X367" t="s">
        <v>48</v>
      </c>
      <c r="Y367" t="s">
        <v>48</v>
      </c>
      <c r="Z367">
        <v>0</v>
      </c>
      <c r="AA367" t="s">
        <v>48</v>
      </c>
      <c r="AB367">
        <v>2010</v>
      </c>
      <c r="AC367" t="s">
        <v>63</v>
      </c>
      <c r="AD367" t="s">
        <v>93</v>
      </c>
      <c r="AE367" t="s">
        <v>2471</v>
      </c>
      <c r="AF367" t="s">
        <v>48</v>
      </c>
      <c r="AG367" t="s">
        <v>479</v>
      </c>
      <c r="AH367" t="s">
        <v>93</v>
      </c>
      <c r="AI367">
        <v>21102</v>
      </c>
      <c r="AJ367">
        <v>1965</v>
      </c>
      <c r="AK367" t="s">
        <v>8660</v>
      </c>
      <c r="AL367" t="s">
        <v>8661</v>
      </c>
      <c r="AM367">
        <v>-0.39300000000000002</v>
      </c>
      <c r="AN367">
        <v>0.4</v>
      </c>
      <c r="AO367">
        <v>-0.39300000000000002</v>
      </c>
      <c r="AP367" s="46">
        <v>0</v>
      </c>
      <c r="AQ367" s="46">
        <v>0</v>
      </c>
      <c r="AR367" s="46">
        <v>0</v>
      </c>
      <c r="AS367" s="46">
        <v>0</v>
      </c>
      <c r="AT367" s="46">
        <v>0</v>
      </c>
      <c r="AU367" s="46">
        <v>1</v>
      </c>
      <c r="AV367" s="46">
        <v>0</v>
      </c>
      <c r="AW367" s="46">
        <v>0</v>
      </c>
      <c r="AX367" s="46">
        <v>0</v>
      </c>
      <c r="AY367" s="46">
        <v>0</v>
      </c>
      <c r="AZ367" s="46">
        <v>0</v>
      </c>
      <c r="BA367" s="46">
        <v>0</v>
      </c>
      <c r="BB367" s="46">
        <v>0</v>
      </c>
      <c r="BC367" s="46">
        <v>0</v>
      </c>
      <c r="BD367" s="46">
        <v>0</v>
      </c>
      <c r="BE367" s="46">
        <v>0</v>
      </c>
      <c r="BF367" s="46">
        <v>0</v>
      </c>
      <c r="BG367" s="46" t="s">
        <v>48</v>
      </c>
      <c r="BH367" s="46">
        <v>0</v>
      </c>
      <c r="BI367" s="46">
        <v>0</v>
      </c>
      <c r="BJ367" s="46">
        <v>0</v>
      </c>
      <c r="BK367" s="46">
        <v>0</v>
      </c>
      <c r="BL367" s="46">
        <v>0</v>
      </c>
      <c r="BM367" s="46">
        <v>0</v>
      </c>
      <c r="BN367" s="46">
        <v>0</v>
      </c>
    </row>
    <row r="368" spans="1:66" x14ac:dyDescent="0.35">
      <c r="A368" t="s">
        <v>530</v>
      </c>
      <c r="B368" s="44" t="s">
        <v>48</v>
      </c>
      <c r="C368" t="s">
        <v>534</v>
      </c>
      <c r="D368" t="s">
        <v>533</v>
      </c>
      <c r="E368" t="s">
        <v>531</v>
      </c>
      <c r="F368" t="s">
        <v>525</v>
      </c>
      <c r="G368" t="s">
        <v>74</v>
      </c>
      <c r="H368">
        <v>0</v>
      </c>
      <c r="I368" s="60" t="s">
        <v>78</v>
      </c>
      <c r="J368" s="33" t="s">
        <v>45</v>
      </c>
      <c r="K368" s="46">
        <v>0</v>
      </c>
      <c r="L368">
        <v>100</v>
      </c>
      <c r="M368" t="s">
        <v>48</v>
      </c>
      <c r="N368" s="46">
        <v>1</v>
      </c>
      <c r="O368" s="46">
        <v>0</v>
      </c>
      <c r="P368" s="46">
        <v>0</v>
      </c>
      <c r="Q368" t="s">
        <v>48</v>
      </c>
      <c r="R368" t="s">
        <v>48</v>
      </c>
      <c r="S368" t="s">
        <v>532</v>
      </c>
      <c r="T368" t="s">
        <v>48</v>
      </c>
      <c r="U368" t="s">
        <v>532</v>
      </c>
      <c r="V368" s="47">
        <v>0</v>
      </c>
      <c r="W368" t="s">
        <v>48</v>
      </c>
      <c r="X368" t="s">
        <v>48</v>
      </c>
      <c r="Y368" t="s">
        <v>48</v>
      </c>
      <c r="Z368">
        <v>0</v>
      </c>
      <c r="AA368" t="s">
        <v>48</v>
      </c>
      <c r="AB368" t="s">
        <v>48</v>
      </c>
      <c r="AC368" t="s">
        <v>49</v>
      </c>
      <c r="AD368" t="s">
        <v>93</v>
      </c>
      <c r="AE368" t="s">
        <v>2471</v>
      </c>
      <c r="AF368" t="s">
        <v>48</v>
      </c>
      <c r="AG368" t="s">
        <v>48</v>
      </c>
      <c r="AH368" t="s">
        <v>48</v>
      </c>
      <c r="AI368" t="s">
        <v>48</v>
      </c>
      <c r="AJ368" t="s">
        <v>48</v>
      </c>
      <c r="AK368" t="s">
        <v>48</v>
      </c>
      <c r="AL368" t="s">
        <v>48</v>
      </c>
      <c r="AM368" t="s">
        <v>48</v>
      </c>
      <c r="AN368" t="s">
        <v>48</v>
      </c>
      <c r="AO368" t="s">
        <v>48</v>
      </c>
      <c r="AP368" s="46">
        <v>0</v>
      </c>
      <c r="AQ368" s="46">
        <v>0</v>
      </c>
      <c r="AR368" s="46">
        <v>0</v>
      </c>
      <c r="AS368" s="46">
        <v>0</v>
      </c>
      <c r="AT368" s="46">
        <v>0</v>
      </c>
      <c r="AU368" s="46">
        <v>0</v>
      </c>
      <c r="AV368" s="46">
        <v>0</v>
      </c>
      <c r="AW368" s="46">
        <v>0</v>
      </c>
      <c r="AX368" s="46">
        <v>0</v>
      </c>
      <c r="AY368" s="46">
        <v>0</v>
      </c>
      <c r="AZ368" s="46">
        <v>0</v>
      </c>
      <c r="BA368" s="46">
        <v>0</v>
      </c>
      <c r="BB368" s="46">
        <v>0</v>
      </c>
      <c r="BC368" s="46">
        <v>0</v>
      </c>
      <c r="BD368" s="46">
        <v>0</v>
      </c>
      <c r="BE368" s="46">
        <v>0</v>
      </c>
      <c r="BF368" s="46">
        <v>0</v>
      </c>
      <c r="BG368" s="46" t="s">
        <v>48</v>
      </c>
      <c r="BH368" s="46">
        <v>0</v>
      </c>
      <c r="BI368" s="46">
        <v>0</v>
      </c>
      <c r="BJ368" s="46">
        <v>0</v>
      </c>
      <c r="BK368" s="46">
        <v>0</v>
      </c>
      <c r="BL368" s="46">
        <v>0</v>
      </c>
      <c r="BM368" s="46">
        <v>0</v>
      </c>
      <c r="BN368" s="46">
        <v>0</v>
      </c>
    </row>
    <row r="369" spans="1:66" x14ac:dyDescent="0.35">
      <c r="A369" t="s">
        <v>524</v>
      </c>
      <c r="B369" s="44" t="s">
        <v>48</v>
      </c>
      <c r="C369" t="s">
        <v>529</v>
      </c>
      <c r="D369" t="s">
        <v>421</v>
      </c>
      <c r="E369" t="s">
        <v>526</v>
      </c>
      <c r="F369" t="s">
        <v>525</v>
      </c>
      <c r="G369" t="s">
        <v>47</v>
      </c>
      <c r="H369">
        <v>0</v>
      </c>
      <c r="I369" s="60" t="s">
        <v>51</v>
      </c>
      <c r="J369" s="33" t="s">
        <v>45</v>
      </c>
      <c r="K369" s="46">
        <v>1</v>
      </c>
      <c r="L369">
        <v>74.599999999999994</v>
      </c>
      <c r="M369" t="s">
        <v>48</v>
      </c>
      <c r="N369" s="46">
        <v>1</v>
      </c>
      <c r="O369" s="46">
        <v>0</v>
      </c>
      <c r="P369" s="46">
        <v>0</v>
      </c>
      <c r="Q369" t="s">
        <v>48</v>
      </c>
      <c r="R369" t="s">
        <v>48</v>
      </c>
      <c r="S369" t="s">
        <v>527</v>
      </c>
      <c r="T369" t="s">
        <v>528</v>
      </c>
      <c r="U369" t="s">
        <v>527</v>
      </c>
      <c r="V369" s="47">
        <v>0</v>
      </c>
      <c r="W369" t="s">
        <v>48</v>
      </c>
      <c r="X369" t="s">
        <v>48</v>
      </c>
      <c r="Y369" t="s">
        <v>48</v>
      </c>
      <c r="Z369">
        <v>0</v>
      </c>
      <c r="AA369" t="s">
        <v>48</v>
      </c>
      <c r="AB369">
        <v>2010</v>
      </c>
      <c r="AC369" t="s">
        <v>49</v>
      </c>
      <c r="AD369" t="s">
        <v>93</v>
      </c>
      <c r="AE369" t="s">
        <v>4532</v>
      </c>
      <c r="AF369" t="s">
        <v>48</v>
      </c>
      <c r="AG369" t="s">
        <v>184</v>
      </c>
      <c r="AH369" t="s">
        <v>93</v>
      </c>
      <c r="AI369">
        <v>21106</v>
      </c>
      <c r="AJ369">
        <v>1966</v>
      </c>
      <c r="AK369" t="s">
        <v>8662</v>
      </c>
      <c r="AL369" t="s">
        <v>8663</v>
      </c>
      <c r="AM369">
        <v>0.42799999999999999</v>
      </c>
      <c r="AN369">
        <v>0.49099999999999999</v>
      </c>
      <c r="AO369">
        <v>0.42799999999999999</v>
      </c>
      <c r="AP369" s="46">
        <v>0</v>
      </c>
      <c r="AQ369" s="46">
        <v>0</v>
      </c>
      <c r="AR369" s="46">
        <v>0</v>
      </c>
      <c r="AS369" s="46">
        <v>0</v>
      </c>
      <c r="AT369" s="46">
        <v>0</v>
      </c>
      <c r="AU369" s="46">
        <v>0</v>
      </c>
      <c r="AV369" s="46">
        <v>0</v>
      </c>
      <c r="AW369" s="46">
        <v>0</v>
      </c>
      <c r="AX369" s="46">
        <v>0</v>
      </c>
      <c r="AY369" s="46">
        <v>0</v>
      </c>
      <c r="AZ369" s="46">
        <v>0</v>
      </c>
      <c r="BA369" s="46">
        <v>0</v>
      </c>
      <c r="BB369" s="46">
        <v>0</v>
      </c>
      <c r="BC369" s="46">
        <v>0</v>
      </c>
      <c r="BD369" s="46">
        <v>0</v>
      </c>
      <c r="BE369" s="46">
        <v>0</v>
      </c>
      <c r="BF369" s="46">
        <v>0</v>
      </c>
      <c r="BG369" s="46">
        <v>1</v>
      </c>
      <c r="BH369" s="46">
        <v>0</v>
      </c>
      <c r="BI369" s="46">
        <v>0</v>
      </c>
      <c r="BJ369" s="46">
        <v>0</v>
      </c>
      <c r="BK369" s="46">
        <v>0</v>
      </c>
      <c r="BL369" s="46">
        <v>0</v>
      </c>
      <c r="BM369" s="46">
        <v>0</v>
      </c>
      <c r="BN369" s="46">
        <v>0</v>
      </c>
    </row>
    <row r="370" spans="1:66" x14ac:dyDescent="0.35">
      <c r="A370" t="s">
        <v>546</v>
      </c>
      <c r="B370" s="44" t="s">
        <v>48</v>
      </c>
      <c r="C370" t="s">
        <v>551</v>
      </c>
      <c r="D370" t="s">
        <v>550</v>
      </c>
      <c r="E370" t="s">
        <v>547</v>
      </c>
      <c r="F370" t="s">
        <v>539</v>
      </c>
      <c r="G370" t="s">
        <v>47</v>
      </c>
      <c r="H370">
        <v>0</v>
      </c>
      <c r="I370" s="60" t="s">
        <v>51</v>
      </c>
      <c r="J370" s="33" t="s">
        <v>45</v>
      </c>
      <c r="K370" s="46">
        <v>1</v>
      </c>
      <c r="L370">
        <v>58.5</v>
      </c>
      <c r="M370" t="s">
        <v>48</v>
      </c>
      <c r="N370" s="46">
        <v>1</v>
      </c>
      <c r="O370" s="46">
        <v>0</v>
      </c>
      <c r="P370" s="46">
        <v>0</v>
      </c>
      <c r="Q370" t="s">
        <v>48</v>
      </c>
      <c r="R370" t="s">
        <v>48</v>
      </c>
      <c r="S370" t="s">
        <v>548</v>
      </c>
      <c r="T370" t="s">
        <v>549</v>
      </c>
      <c r="U370" t="s">
        <v>548</v>
      </c>
      <c r="V370" s="47">
        <v>0</v>
      </c>
      <c r="W370" t="s">
        <v>48</v>
      </c>
      <c r="X370" t="s">
        <v>48</v>
      </c>
      <c r="Y370" t="s">
        <v>48</v>
      </c>
      <c r="Z370">
        <v>0</v>
      </c>
      <c r="AA370" t="s">
        <v>48</v>
      </c>
      <c r="AB370">
        <v>2014</v>
      </c>
      <c r="AC370" t="s">
        <v>49</v>
      </c>
      <c r="AD370" t="s">
        <v>93</v>
      </c>
      <c r="AE370" t="s">
        <v>4532</v>
      </c>
      <c r="AF370" t="s">
        <v>48</v>
      </c>
      <c r="AG370" t="s">
        <v>140</v>
      </c>
      <c r="AH370" t="s">
        <v>93</v>
      </c>
      <c r="AI370">
        <v>21503</v>
      </c>
      <c r="AJ370">
        <v>1956</v>
      </c>
      <c r="AK370" t="s">
        <v>8664</v>
      </c>
      <c r="AL370" t="s">
        <v>8665</v>
      </c>
      <c r="AM370">
        <v>0.44400000000000001</v>
      </c>
      <c r="AN370">
        <v>0.25800000000000001</v>
      </c>
      <c r="AO370">
        <v>0.44400000000000001</v>
      </c>
      <c r="AP370" s="46">
        <v>0</v>
      </c>
      <c r="AQ370" s="46">
        <v>0</v>
      </c>
      <c r="AR370" s="46">
        <v>0</v>
      </c>
      <c r="AS370" s="46">
        <v>0</v>
      </c>
      <c r="AT370" s="46">
        <v>0</v>
      </c>
      <c r="AU370" s="46">
        <v>0</v>
      </c>
      <c r="AV370" s="46">
        <v>0</v>
      </c>
      <c r="AW370" s="46">
        <v>0</v>
      </c>
      <c r="AX370" s="46">
        <v>0</v>
      </c>
      <c r="AY370" s="46">
        <v>0</v>
      </c>
      <c r="AZ370" s="46">
        <v>0</v>
      </c>
      <c r="BA370" s="46">
        <v>0</v>
      </c>
      <c r="BB370" s="46">
        <v>1</v>
      </c>
      <c r="BC370" s="46">
        <v>0</v>
      </c>
      <c r="BD370" s="46">
        <v>0</v>
      </c>
      <c r="BE370" s="46">
        <v>0</v>
      </c>
      <c r="BF370" s="46">
        <v>0</v>
      </c>
      <c r="BG370" s="46" t="s">
        <v>48</v>
      </c>
      <c r="BH370" s="46">
        <v>0</v>
      </c>
      <c r="BI370" s="46">
        <v>0</v>
      </c>
      <c r="BJ370" s="46">
        <v>0</v>
      </c>
      <c r="BK370" s="46">
        <v>0</v>
      </c>
      <c r="BL370" s="46">
        <v>0</v>
      </c>
      <c r="BM370" s="46">
        <v>0</v>
      </c>
      <c r="BN370" s="46">
        <v>0</v>
      </c>
    </row>
    <row r="371" spans="1:66" x14ac:dyDescent="0.35">
      <c r="A371" t="s">
        <v>541</v>
      </c>
      <c r="B371" s="44" t="s">
        <v>48</v>
      </c>
      <c r="C371" t="s">
        <v>545</v>
      </c>
      <c r="D371" t="s">
        <v>544</v>
      </c>
      <c r="E371" t="s">
        <v>542</v>
      </c>
      <c r="F371" t="s">
        <v>539</v>
      </c>
      <c r="G371" t="s">
        <v>74</v>
      </c>
      <c r="H371">
        <v>0</v>
      </c>
      <c r="I371" s="60" t="s">
        <v>51</v>
      </c>
      <c r="J371" s="33" t="s">
        <v>45</v>
      </c>
      <c r="K371" s="46">
        <v>0</v>
      </c>
      <c r="L371">
        <v>100</v>
      </c>
      <c r="M371" t="s">
        <v>48</v>
      </c>
      <c r="N371" s="46">
        <v>1</v>
      </c>
      <c r="O371" s="46">
        <v>0</v>
      </c>
      <c r="P371" s="46">
        <v>0</v>
      </c>
      <c r="Q371" t="s">
        <v>48</v>
      </c>
      <c r="R371" t="s">
        <v>48</v>
      </c>
      <c r="S371" t="s">
        <v>543</v>
      </c>
      <c r="T371" t="s">
        <v>48</v>
      </c>
      <c r="U371" t="s">
        <v>543</v>
      </c>
      <c r="V371" s="47">
        <v>0</v>
      </c>
      <c r="W371" t="s">
        <v>48</v>
      </c>
      <c r="X371" t="s">
        <v>48</v>
      </c>
      <c r="Y371" t="s">
        <v>48</v>
      </c>
      <c r="Z371">
        <v>0</v>
      </c>
      <c r="AA371" t="s">
        <v>48</v>
      </c>
      <c r="AB371" t="s">
        <v>48</v>
      </c>
      <c r="AC371" t="s">
        <v>63</v>
      </c>
      <c r="AD371" t="s">
        <v>93</v>
      </c>
      <c r="AE371" t="s">
        <v>2471</v>
      </c>
      <c r="AF371" t="s">
        <v>48</v>
      </c>
      <c r="AG371" t="s">
        <v>48</v>
      </c>
      <c r="AH371" t="s">
        <v>48</v>
      </c>
      <c r="AI371" t="s">
        <v>48</v>
      </c>
      <c r="AJ371" t="s">
        <v>48</v>
      </c>
      <c r="AK371" t="s">
        <v>48</v>
      </c>
      <c r="AL371" t="s">
        <v>48</v>
      </c>
      <c r="AM371" t="s">
        <v>48</v>
      </c>
      <c r="AN371" t="s">
        <v>48</v>
      </c>
      <c r="AO371" t="s">
        <v>48</v>
      </c>
      <c r="AP371" s="46">
        <v>0</v>
      </c>
      <c r="AQ371" s="46">
        <v>0</v>
      </c>
      <c r="AR371" s="46">
        <v>0</v>
      </c>
      <c r="AS371" s="46">
        <v>0</v>
      </c>
      <c r="AT371" s="46">
        <v>0</v>
      </c>
      <c r="AU371" s="46">
        <v>0</v>
      </c>
      <c r="AV371" s="46">
        <v>0</v>
      </c>
      <c r="AW371" s="46">
        <v>0</v>
      </c>
      <c r="AX371" s="46">
        <v>0</v>
      </c>
      <c r="AY371" s="46">
        <v>0</v>
      </c>
      <c r="AZ371" s="46">
        <v>0</v>
      </c>
      <c r="BA371" s="46">
        <v>0</v>
      </c>
      <c r="BB371" s="46">
        <v>0</v>
      </c>
      <c r="BC371" s="46">
        <v>0</v>
      </c>
      <c r="BD371" s="46">
        <v>0</v>
      </c>
      <c r="BE371" s="46">
        <v>0</v>
      </c>
      <c r="BF371" s="46">
        <v>0</v>
      </c>
      <c r="BG371" s="46" t="s">
        <v>48</v>
      </c>
      <c r="BH371" s="46">
        <v>0</v>
      </c>
      <c r="BI371" s="46">
        <v>0</v>
      </c>
      <c r="BJ371" s="46">
        <v>0</v>
      </c>
      <c r="BK371" s="46">
        <v>0</v>
      </c>
      <c r="BL371" s="46">
        <v>0</v>
      </c>
      <c r="BM371" s="46">
        <v>0</v>
      </c>
      <c r="BN371" s="46">
        <v>0</v>
      </c>
    </row>
    <row r="372" spans="1:66" x14ac:dyDescent="0.35">
      <c r="A372" t="s">
        <v>563</v>
      </c>
      <c r="B372" s="44" t="s">
        <v>48</v>
      </c>
      <c r="C372" s="39" t="s">
        <v>12402</v>
      </c>
      <c r="D372" t="s">
        <v>566</v>
      </c>
      <c r="E372" t="s">
        <v>564</v>
      </c>
      <c r="F372" t="s">
        <v>558</v>
      </c>
      <c r="G372" t="s">
        <v>74</v>
      </c>
      <c r="H372">
        <v>0</v>
      </c>
      <c r="I372" s="60" t="s">
        <v>51</v>
      </c>
      <c r="J372" s="33" t="s">
        <v>45</v>
      </c>
      <c r="K372" s="46">
        <v>0</v>
      </c>
      <c r="L372">
        <v>100</v>
      </c>
      <c r="M372" t="s">
        <v>48</v>
      </c>
      <c r="N372" s="46">
        <v>1</v>
      </c>
      <c r="O372" s="46">
        <v>0</v>
      </c>
      <c r="P372" s="46">
        <v>0</v>
      </c>
      <c r="Q372" t="s">
        <v>48</v>
      </c>
      <c r="R372" t="s">
        <v>48</v>
      </c>
      <c r="S372" t="s">
        <v>565</v>
      </c>
      <c r="T372" t="s">
        <v>48</v>
      </c>
      <c r="U372" t="s">
        <v>565</v>
      </c>
      <c r="V372" s="47">
        <v>0</v>
      </c>
      <c r="W372" t="s">
        <v>48</v>
      </c>
      <c r="X372" t="s">
        <v>48</v>
      </c>
      <c r="Y372" t="s">
        <v>48</v>
      </c>
      <c r="Z372">
        <v>0</v>
      </c>
      <c r="AA372" t="s">
        <v>48</v>
      </c>
      <c r="AB372" t="s">
        <v>48</v>
      </c>
      <c r="AC372" t="s">
        <v>63</v>
      </c>
      <c r="AD372" t="s">
        <v>93</v>
      </c>
      <c r="AE372" t="s">
        <v>4532</v>
      </c>
      <c r="AF372" t="s">
        <v>48</v>
      </c>
      <c r="AG372" t="s">
        <v>48</v>
      </c>
      <c r="AH372" t="s">
        <v>93</v>
      </c>
      <c r="AI372" t="s">
        <v>48</v>
      </c>
      <c r="AJ372" t="s">
        <v>48</v>
      </c>
      <c r="AK372" t="s">
        <v>48</v>
      </c>
      <c r="AL372" t="s">
        <v>48</v>
      </c>
      <c r="AM372" t="s">
        <v>48</v>
      </c>
      <c r="AN372" t="s">
        <v>48</v>
      </c>
      <c r="AO372" t="s">
        <v>48</v>
      </c>
      <c r="AP372" s="46">
        <v>0</v>
      </c>
      <c r="AQ372" s="46">
        <v>0</v>
      </c>
      <c r="AR372" s="46">
        <v>0</v>
      </c>
      <c r="AS372" s="46">
        <v>0</v>
      </c>
      <c r="AT372" s="46">
        <v>0</v>
      </c>
      <c r="AU372" s="46">
        <v>0</v>
      </c>
      <c r="AV372" s="46">
        <v>0</v>
      </c>
      <c r="AW372" s="46">
        <v>0</v>
      </c>
      <c r="AX372" s="46">
        <v>0</v>
      </c>
      <c r="AY372" s="46">
        <v>0</v>
      </c>
      <c r="AZ372" s="46">
        <v>0</v>
      </c>
      <c r="BA372" s="46">
        <v>0</v>
      </c>
      <c r="BB372" s="46">
        <v>0</v>
      </c>
      <c r="BC372" s="46">
        <v>0</v>
      </c>
      <c r="BD372" s="46">
        <v>0</v>
      </c>
      <c r="BE372" s="46">
        <v>0</v>
      </c>
      <c r="BF372" s="46">
        <v>0</v>
      </c>
      <c r="BG372" s="46" t="s">
        <v>48</v>
      </c>
      <c r="BH372" s="46">
        <v>0</v>
      </c>
      <c r="BI372" s="46">
        <v>0</v>
      </c>
      <c r="BJ372" s="46">
        <v>0</v>
      </c>
      <c r="BK372" s="46">
        <v>0</v>
      </c>
      <c r="BL372" s="46">
        <v>0</v>
      </c>
      <c r="BM372" s="46">
        <v>0</v>
      </c>
      <c r="BN372" s="46">
        <v>0</v>
      </c>
    </row>
    <row r="373" spans="1:66" x14ac:dyDescent="0.35">
      <c r="A373" t="s">
        <v>567</v>
      </c>
      <c r="B373" t="s">
        <v>48</v>
      </c>
      <c r="C373" t="s">
        <v>572</v>
      </c>
      <c r="D373" t="s">
        <v>571</v>
      </c>
      <c r="E373" t="s">
        <v>568</v>
      </c>
      <c r="F373" t="s">
        <v>558</v>
      </c>
      <c r="G373" t="s">
        <v>47</v>
      </c>
      <c r="H373">
        <v>0</v>
      </c>
      <c r="I373" s="60" t="s">
        <v>51</v>
      </c>
      <c r="J373" s="33" t="s">
        <v>45</v>
      </c>
      <c r="K373" s="46">
        <v>1</v>
      </c>
      <c r="L373">
        <v>78.7</v>
      </c>
      <c r="M373" t="s">
        <v>48</v>
      </c>
      <c r="N373" s="46">
        <v>1</v>
      </c>
      <c r="O373" s="46">
        <v>0</v>
      </c>
      <c r="P373" s="46">
        <v>0</v>
      </c>
      <c r="Q373" t="s">
        <v>48</v>
      </c>
      <c r="R373" t="s">
        <v>48</v>
      </c>
      <c r="S373" t="s">
        <v>569</v>
      </c>
      <c r="T373" t="s">
        <v>570</v>
      </c>
      <c r="U373" t="s">
        <v>569</v>
      </c>
      <c r="V373" s="47">
        <v>0</v>
      </c>
      <c r="W373" t="s">
        <v>48</v>
      </c>
      <c r="X373" t="s">
        <v>48</v>
      </c>
      <c r="Y373" t="s">
        <v>48</v>
      </c>
      <c r="Z373">
        <v>0</v>
      </c>
      <c r="AA373" t="s">
        <v>48</v>
      </c>
      <c r="AB373">
        <v>2010</v>
      </c>
      <c r="AC373" t="s">
        <v>49</v>
      </c>
      <c r="AD373" t="s">
        <v>93</v>
      </c>
      <c r="AE373" t="s">
        <v>4532</v>
      </c>
      <c r="AF373" t="s">
        <v>48</v>
      </c>
      <c r="AG373" t="s">
        <v>184</v>
      </c>
      <c r="AH373" t="s">
        <v>93</v>
      </c>
      <c r="AI373">
        <v>21108</v>
      </c>
      <c r="AJ373">
        <v>1957</v>
      </c>
      <c r="AK373" t="s">
        <v>8666</v>
      </c>
      <c r="AL373" t="s">
        <v>8667</v>
      </c>
      <c r="AM373">
        <v>0.35499999999999998</v>
      </c>
      <c r="AN373">
        <v>0.58399999999999996</v>
      </c>
      <c r="AO373">
        <v>0.35499999999999998</v>
      </c>
      <c r="AP373" s="46">
        <v>0</v>
      </c>
      <c r="AQ373" s="46">
        <v>0</v>
      </c>
      <c r="AR373" s="46">
        <v>0</v>
      </c>
      <c r="AS373" s="46">
        <v>0</v>
      </c>
      <c r="AT373" s="46">
        <v>0</v>
      </c>
      <c r="AU373" s="46">
        <v>0</v>
      </c>
      <c r="AV373" s="46">
        <v>0</v>
      </c>
      <c r="AW373" s="46">
        <v>0</v>
      </c>
      <c r="AX373" s="46">
        <v>0</v>
      </c>
      <c r="AY373" s="46">
        <v>1</v>
      </c>
      <c r="AZ373" s="46">
        <v>0</v>
      </c>
      <c r="BA373" s="46">
        <v>0</v>
      </c>
      <c r="BB373" s="46">
        <v>0</v>
      </c>
      <c r="BC373" s="46">
        <v>0</v>
      </c>
      <c r="BD373" s="46">
        <v>0</v>
      </c>
      <c r="BE373" s="46">
        <v>0</v>
      </c>
      <c r="BF373" s="46">
        <v>0</v>
      </c>
      <c r="BG373" s="46" t="s">
        <v>48</v>
      </c>
      <c r="BH373" s="46">
        <v>0</v>
      </c>
      <c r="BI373" s="46">
        <v>0</v>
      </c>
      <c r="BJ373" s="46">
        <v>0</v>
      </c>
      <c r="BK373" s="46">
        <v>0</v>
      </c>
      <c r="BL373" s="46">
        <v>0</v>
      </c>
      <c r="BM373" s="46">
        <v>1</v>
      </c>
      <c r="BN373" s="46">
        <v>0</v>
      </c>
    </row>
    <row r="374" spans="1:66" x14ac:dyDescent="0.35">
      <c r="A374" t="s">
        <v>573</v>
      </c>
      <c r="B374" s="44" t="s">
        <v>48</v>
      </c>
      <c r="C374" t="s">
        <v>579</v>
      </c>
      <c r="D374" t="s">
        <v>578</v>
      </c>
      <c r="E374" t="s">
        <v>575</v>
      </c>
      <c r="F374" t="s">
        <v>574</v>
      </c>
      <c r="G374" t="s">
        <v>47</v>
      </c>
      <c r="H374">
        <v>0</v>
      </c>
      <c r="I374" s="60" t="s">
        <v>51</v>
      </c>
      <c r="J374" s="33" t="s">
        <v>45</v>
      </c>
      <c r="K374" s="46">
        <v>1</v>
      </c>
      <c r="L374">
        <v>100</v>
      </c>
      <c r="M374" t="s">
        <v>48</v>
      </c>
      <c r="N374" s="46">
        <v>1</v>
      </c>
      <c r="O374" s="46">
        <v>0</v>
      </c>
      <c r="P374" s="46">
        <v>0</v>
      </c>
      <c r="Q374" t="s">
        <v>48</v>
      </c>
      <c r="R374" t="s">
        <v>48</v>
      </c>
      <c r="S374" t="s">
        <v>576</v>
      </c>
      <c r="T374" t="s">
        <v>577</v>
      </c>
      <c r="U374" t="s">
        <v>576</v>
      </c>
      <c r="V374" s="47">
        <v>0</v>
      </c>
      <c r="W374" t="s">
        <v>48</v>
      </c>
      <c r="X374" t="s">
        <v>48</v>
      </c>
      <c r="Y374" t="s">
        <v>48</v>
      </c>
      <c r="Z374">
        <v>0</v>
      </c>
      <c r="AA374" t="s">
        <v>48</v>
      </c>
      <c r="AB374">
        <v>2014</v>
      </c>
      <c r="AC374" t="s">
        <v>49</v>
      </c>
      <c r="AD374" t="s">
        <v>93</v>
      </c>
      <c r="AE374" t="s">
        <v>4532</v>
      </c>
      <c r="AF374" t="s">
        <v>48</v>
      </c>
      <c r="AG374" t="s">
        <v>184</v>
      </c>
      <c r="AH374" t="s">
        <v>93</v>
      </c>
      <c r="AI374">
        <v>21563</v>
      </c>
      <c r="AJ374">
        <v>1967</v>
      </c>
      <c r="AK374" t="s">
        <v>8668</v>
      </c>
      <c r="AL374" t="s">
        <v>8669</v>
      </c>
      <c r="AM374">
        <v>0.55000000000000004</v>
      </c>
      <c r="AN374">
        <v>0.34100000000000003</v>
      </c>
      <c r="AO374">
        <v>0.55000000000000004</v>
      </c>
      <c r="AP374" s="46">
        <v>0</v>
      </c>
      <c r="AQ374" s="46">
        <v>0</v>
      </c>
      <c r="AR374" s="46">
        <v>0</v>
      </c>
      <c r="AS374" s="46">
        <v>0</v>
      </c>
      <c r="AT374" s="46">
        <v>0</v>
      </c>
      <c r="AU374" s="46">
        <v>0</v>
      </c>
      <c r="AV374" s="46">
        <v>0</v>
      </c>
      <c r="AW374" s="46">
        <v>0</v>
      </c>
      <c r="AX374" s="46">
        <v>0</v>
      </c>
      <c r="AY374" s="46">
        <v>0</v>
      </c>
      <c r="AZ374" s="46">
        <v>0</v>
      </c>
      <c r="BA374" s="46">
        <v>0</v>
      </c>
      <c r="BB374" s="46">
        <v>1</v>
      </c>
      <c r="BC374" s="46">
        <v>0</v>
      </c>
      <c r="BD374" s="46">
        <v>0</v>
      </c>
      <c r="BE374" s="46">
        <v>0</v>
      </c>
      <c r="BF374" s="46">
        <v>0</v>
      </c>
      <c r="BG374" s="46">
        <v>1</v>
      </c>
      <c r="BH374" s="46">
        <v>0</v>
      </c>
      <c r="BI374" s="46">
        <v>0</v>
      </c>
      <c r="BJ374" s="46">
        <v>0</v>
      </c>
      <c r="BK374" s="46">
        <v>0</v>
      </c>
      <c r="BL374" s="46">
        <v>0</v>
      </c>
      <c r="BM374" s="46">
        <v>0</v>
      </c>
      <c r="BN374" s="46">
        <v>0</v>
      </c>
    </row>
    <row r="375" spans="1:66" x14ac:dyDescent="0.35">
      <c r="A375" t="s">
        <v>7908</v>
      </c>
      <c r="B375" s="44" t="s">
        <v>48</v>
      </c>
      <c r="C375" t="s">
        <v>4532</v>
      </c>
      <c r="D375" t="s">
        <v>221</v>
      </c>
      <c r="E375" t="s">
        <v>7907</v>
      </c>
      <c r="F375" t="s">
        <v>574</v>
      </c>
      <c r="G375" t="s">
        <v>74</v>
      </c>
      <c r="H375">
        <v>0</v>
      </c>
      <c r="I375" s="61">
        <v>44720</v>
      </c>
      <c r="J375" s="33" t="s">
        <v>45</v>
      </c>
      <c r="K375" s="46">
        <v>0</v>
      </c>
      <c r="L375">
        <v>100</v>
      </c>
      <c r="M375" t="s">
        <v>48</v>
      </c>
      <c r="N375" s="46">
        <v>1</v>
      </c>
      <c r="O375" s="46">
        <v>0</v>
      </c>
      <c r="P375" s="46">
        <v>0</v>
      </c>
      <c r="Q375" t="s">
        <v>48</v>
      </c>
      <c r="R375" t="s">
        <v>48</v>
      </c>
      <c r="S375" t="s">
        <v>48</v>
      </c>
      <c r="T375" t="s">
        <v>48</v>
      </c>
      <c r="U375" t="s">
        <v>48</v>
      </c>
      <c r="V375" s="47">
        <v>1</v>
      </c>
      <c r="W375" t="s">
        <v>11264</v>
      </c>
      <c r="X375" t="s">
        <v>48</v>
      </c>
      <c r="Y375" t="s">
        <v>48</v>
      </c>
      <c r="Z375" t="s">
        <v>48</v>
      </c>
      <c r="AA375" t="s">
        <v>48</v>
      </c>
      <c r="AB375" t="s">
        <v>48</v>
      </c>
      <c r="AC375" t="s">
        <v>49</v>
      </c>
      <c r="AD375" t="s">
        <v>93</v>
      </c>
      <c r="AE375" t="s">
        <v>4532</v>
      </c>
      <c r="AF375" t="s">
        <v>48</v>
      </c>
      <c r="AG375" t="s">
        <v>48</v>
      </c>
      <c r="AH375" t="s">
        <v>48</v>
      </c>
      <c r="AI375" t="s">
        <v>48</v>
      </c>
      <c r="AJ375" t="s">
        <v>48</v>
      </c>
      <c r="AK375" t="s">
        <v>48</v>
      </c>
      <c r="AL375" t="s">
        <v>48</v>
      </c>
      <c r="AM375" t="s">
        <v>48</v>
      </c>
      <c r="AN375" t="s">
        <v>48</v>
      </c>
      <c r="AO375" t="s">
        <v>48</v>
      </c>
      <c r="AP375" s="46">
        <v>0</v>
      </c>
      <c r="AQ375" s="46">
        <v>0</v>
      </c>
      <c r="AR375" s="46">
        <v>0</v>
      </c>
      <c r="AS375" s="46">
        <v>0</v>
      </c>
      <c r="AT375" s="46">
        <v>0</v>
      </c>
      <c r="AU375" s="46">
        <v>0</v>
      </c>
      <c r="AV375" s="46">
        <v>0</v>
      </c>
      <c r="AW375" s="46">
        <v>0</v>
      </c>
      <c r="AX375" s="46">
        <v>0</v>
      </c>
      <c r="AY375" s="46">
        <v>0</v>
      </c>
      <c r="AZ375" s="46">
        <v>0</v>
      </c>
      <c r="BA375" s="46">
        <v>0</v>
      </c>
      <c r="BB375" s="46">
        <v>0</v>
      </c>
      <c r="BC375" s="46">
        <v>0</v>
      </c>
      <c r="BD375" s="46">
        <v>0</v>
      </c>
      <c r="BE375" s="46">
        <v>0</v>
      </c>
      <c r="BF375" s="46">
        <v>0</v>
      </c>
      <c r="BG375" s="46" t="s">
        <v>48</v>
      </c>
      <c r="BH375" s="46">
        <v>0</v>
      </c>
      <c r="BI375" s="46">
        <v>0</v>
      </c>
      <c r="BJ375" s="46">
        <v>0</v>
      </c>
      <c r="BK375" s="46">
        <v>0</v>
      </c>
      <c r="BL375" s="46">
        <v>0</v>
      </c>
      <c r="BM375" s="46">
        <v>0</v>
      </c>
      <c r="BN375" s="46">
        <v>0</v>
      </c>
    </row>
    <row r="376" spans="1:66" x14ac:dyDescent="0.35">
      <c r="A376" t="s">
        <v>641</v>
      </c>
      <c r="B376" s="44" t="s">
        <v>48</v>
      </c>
      <c r="C376" t="s">
        <v>645</v>
      </c>
      <c r="D376" t="s">
        <v>268</v>
      </c>
      <c r="E376" t="s">
        <v>642</v>
      </c>
      <c r="F376" t="s">
        <v>624</v>
      </c>
      <c r="G376" t="s">
        <v>47</v>
      </c>
      <c r="H376">
        <v>0</v>
      </c>
      <c r="I376" s="60" t="s">
        <v>51</v>
      </c>
      <c r="J376" s="33" t="s">
        <v>45</v>
      </c>
      <c r="K376" s="46">
        <v>1</v>
      </c>
      <c r="L376">
        <v>43.4</v>
      </c>
      <c r="M376" t="s">
        <v>48</v>
      </c>
      <c r="N376" s="46">
        <v>1</v>
      </c>
      <c r="O376" s="46">
        <v>0</v>
      </c>
      <c r="P376" s="46">
        <v>0</v>
      </c>
      <c r="Q376" t="s">
        <v>48</v>
      </c>
      <c r="R376" t="s">
        <v>48</v>
      </c>
      <c r="S376" t="s">
        <v>643</v>
      </c>
      <c r="T376" t="s">
        <v>644</v>
      </c>
      <c r="U376" t="s">
        <v>643</v>
      </c>
      <c r="V376" s="47">
        <v>0</v>
      </c>
      <c r="W376" t="s">
        <v>48</v>
      </c>
      <c r="X376" t="s">
        <v>48</v>
      </c>
      <c r="Y376" t="s">
        <v>48</v>
      </c>
      <c r="Z376">
        <v>0</v>
      </c>
      <c r="AA376" t="s">
        <v>48</v>
      </c>
      <c r="AB376">
        <v>2010</v>
      </c>
      <c r="AC376" t="s">
        <v>49</v>
      </c>
      <c r="AD376" t="s">
        <v>93</v>
      </c>
      <c r="AE376" t="s">
        <v>4532</v>
      </c>
      <c r="AF376" t="s">
        <v>48</v>
      </c>
      <c r="AG376" t="s">
        <v>140</v>
      </c>
      <c r="AH376" t="s">
        <v>93</v>
      </c>
      <c r="AI376">
        <v>21105</v>
      </c>
      <c r="AJ376">
        <v>1962</v>
      </c>
      <c r="AK376" t="s">
        <v>8678</v>
      </c>
      <c r="AL376" t="s">
        <v>8679</v>
      </c>
      <c r="AM376">
        <v>0.57799999999999996</v>
      </c>
      <c r="AN376">
        <v>-0.29399999999999998</v>
      </c>
      <c r="AO376">
        <v>0.57799999999999996</v>
      </c>
      <c r="AP376" s="46">
        <v>0</v>
      </c>
      <c r="AQ376" s="46">
        <v>0</v>
      </c>
      <c r="AR376" s="46">
        <v>0</v>
      </c>
      <c r="AS376" s="46">
        <v>0</v>
      </c>
      <c r="AT376" s="46">
        <v>0</v>
      </c>
      <c r="AU376" s="46">
        <v>0</v>
      </c>
      <c r="AV376" s="46">
        <v>0</v>
      </c>
      <c r="AW376" s="46">
        <v>0</v>
      </c>
      <c r="AX376" s="46">
        <v>0</v>
      </c>
      <c r="AY376" s="46">
        <v>0</v>
      </c>
      <c r="AZ376" s="46">
        <v>0</v>
      </c>
      <c r="BA376" s="46">
        <v>0</v>
      </c>
      <c r="BB376" s="46">
        <v>1</v>
      </c>
      <c r="BC376" s="46">
        <v>0</v>
      </c>
      <c r="BD376" s="46">
        <v>0</v>
      </c>
      <c r="BE376" s="46">
        <v>0</v>
      </c>
      <c r="BF376" s="46">
        <v>1</v>
      </c>
      <c r="BG376" s="46">
        <v>1</v>
      </c>
      <c r="BH376" s="46">
        <v>0</v>
      </c>
      <c r="BI376" s="46">
        <v>0</v>
      </c>
      <c r="BJ376" s="46">
        <v>0</v>
      </c>
      <c r="BK376" s="46">
        <v>0</v>
      </c>
      <c r="BL376" s="46">
        <v>0</v>
      </c>
      <c r="BM376" s="46">
        <v>0</v>
      </c>
      <c r="BN376" s="46">
        <v>0</v>
      </c>
    </row>
    <row r="377" spans="1:66" x14ac:dyDescent="0.35">
      <c r="A377" t="s">
        <v>625</v>
      </c>
      <c r="B377" s="44" t="s">
        <v>48</v>
      </c>
      <c r="C377" t="s">
        <v>629</v>
      </c>
      <c r="D377" t="s">
        <v>628</v>
      </c>
      <c r="E377" t="s">
        <v>626</v>
      </c>
      <c r="F377" t="s">
        <v>624</v>
      </c>
      <c r="G377" t="s">
        <v>74</v>
      </c>
      <c r="H377">
        <v>0</v>
      </c>
      <c r="I377" s="60" t="s">
        <v>51</v>
      </c>
      <c r="J377" s="33" t="s">
        <v>45</v>
      </c>
      <c r="K377" s="46">
        <v>0</v>
      </c>
      <c r="L377">
        <v>61.9</v>
      </c>
      <c r="M377" t="s">
        <v>48</v>
      </c>
      <c r="N377" s="46">
        <v>1</v>
      </c>
      <c r="O377" s="46">
        <v>0</v>
      </c>
      <c r="P377" s="46">
        <v>0</v>
      </c>
      <c r="Q377" t="s">
        <v>48</v>
      </c>
      <c r="R377" t="s">
        <v>48</v>
      </c>
      <c r="S377" t="s">
        <v>627</v>
      </c>
      <c r="T377" t="s">
        <v>48</v>
      </c>
      <c r="U377" t="s">
        <v>627</v>
      </c>
      <c r="V377" s="47">
        <v>0</v>
      </c>
      <c r="W377" t="s">
        <v>48</v>
      </c>
      <c r="X377" t="s">
        <v>48</v>
      </c>
      <c r="Y377" t="s">
        <v>48</v>
      </c>
      <c r="Z377">
        <v>0</v>
      </c>
      <c r="AA377" t="s">
        <v>48</v>
      </c>
      <c r="AB377" t="s">
        <v>48</v>
      </c>
      <c r="AC377" t="s">
        <v>49</v>
      </c>
      <c r="AD377" t="s">
        <v>93</v>
      </c>
      <c r="AE377" t="s">
        <v>2471</v>
      </c>
      <c r="AF377" t="s">
        <v>48</v>
      </c>
      <c r="AG377" t="s">
        <v>151</v>
      </c>
      <c r="AH377" t="s">
        <v>48</v>
      </c>
      <c r="AI377" t="s">
        <v>48</v>
      </c>
      <c r="AJ377" t="s">
        <v>48</v>
      </c>
      <c r="AK377" t="s">
        <v>48</v>
      </c>
      <c r="AL377" t="s">
        <v>48</v>
      </c>
      <c r="AM377" t="s">
        <v>48</v>
      </c>
      <c r="AN377" t="s">
        <v>48</v>
      </c>
      <c r="AO377" t="s">
        <v>48</v>
      </c>
      <c r="AP377" s="46">
        <v>0</v>
      </c>
      <c r="AQ377" s="46">
        <v>0</v>
      </c>
      <c r="AR377" s="46">
        <v>0</v>
      </c>
      <c r="AS377" s="46">
        <v>0</v>
      </c>
      <c r="AT377" s="46">
        <v>0</v>
      </c>
      <c r="AU377" s="46">
        <v>0</v>
      </c>
      <c r="AV377" s="46">
        <v>0</v>
      </c>
      <c r="AW377" s="46">
        <v>0</v>
      </c>
      <c r="AX377" s="46">
        <v>0</v>
      </c>
      <c r="AY377" s="46">
        <v>0</v>
      </c>
      <c r="AZ377" s="46">
        <v>0</v>
      </c>
      <c r="BA377" s="46">
        <v>0</v>
      </c>
      <c r="BB377" s="46">
        <v>0</v>
      </c>
      <c r="BC377" s="46">
        <v>0</v>
      </c>
      <c r="BD377" s="46">
        <v>0</v>
      </c>
      <c r="BE377" s="46">
        <v>0</v>
      </c>
      <c r="BF377" s="46">
        <v>0</v>
      </c>
      <c r="BG377" s="46" t="s">
        <v>48</v>
      </c>
      <c r="BH377" s="46">
        <v>0</v>
      </c>
      <c r="BI377" s="46">
        <v>0</v>
      </c>
      <c r="BJ377" s="46">
        <v>0</v>
      </c>
      <c r="BK377" s="46">
        <v>0</v>
      </c>
      <c r="BL377" s="46">
        <v>0</v>
      </c>
      <c r="BM377" s="46">
        <v>0</v>
      </c>
      <c r="BN377" s="46">
        <v>0</v>
      </c>
    </row>
    <row r="378" spans="1:66" x14ac:dyDescent="0.35">
      <c r="A378" t="s">
        <v>618</v>
      </c>
      <c r="B378" s="44" t="s">
        <v>48</v>
      </c>
      <c r="C378" t="s">
        <v>623</v>
      </c>
      <c r="D378" t="s">
        <v>622</v>
      </c>
      <c r="E378" t="s">
        <v>620</v>
      </c>
      <c r="F378" t="s">
        <v>619</v>
      </c>
      <c r="G378" t="s">
        <v>47</v>
      </c>
      <c r="H378">
        <v>0</v>
      </c>
      <c r="I378" s="60" t="s">
        <v>51</v>
      </c>
      <c r="J378" s="33" t="s">
        <v>45</v>
      </c>
      <c r="K378" s="46">
        <v>0</v>
      </c>
      <c r="L378">
        <v>34.4</v>
      </c>
      <c r="M378" t="s">
        <v>48</v>
      </c>
      <c r="N378" s="46">
        <v>1</v>
      </c>
      <c r="O378" s="46">
        <v>0</v>
      </c>
      <c r="P378" s="46">
        <v>0</v>
      </c>
      <c r="Q378" t="s">
        <v>48</v>
      </c>
      <c r="R378" t="s">
        <v>48</v>
      </c>
      <c r="S378" t="s">
        <v>621</v>
      </c>
      <c r="T378" t="s">
        <v>48</v>
      </c>
      <c r="U378" t="s">
        <v>621</v>
      </c>
      <c r="V378" s="47">
        <v>0</v>
      </c>
      <c r="W378" t="s">
        <v>48</v>
      </c>
      <c r="X378" t="s">
        <v>48</v>
      </c>
      <c r="Y378" t="s">
        <v>48</v>
      </c>
      <c r="Z378">
        <v>0</v>
      </c>
      <c r="AA378" t="s">
        <v>48</v>
      </c>
      <c r="AB378" t="s">
        <v>48</v>
      </c>
      <c r="AC378" t="s">
        <v>49</v>
      </c>
      <c r="AD378" t="s">
        <v>93</v>
      </c>
      <c r="AE378" t="s">
        <v>4532</v>
      </c>
      <c r="AF378" t="s">
        <v>48</v>
      </c>
      <c r="AG378" t="s">
        <v>48</v>
      </c>
      <c r="AH378" t="s">
        <v>93</v>
      </c>
      <c r="AI378" t="s">
        <v>48</v>
      </c>
      <c r="AJ378" t="s">
        <v>48</v>
      </c>
      <c r="AK378" t="s">
        <v>48</v>
      </c>
      <c r="AL378" t="s">
        <v>48</v>
      </c>
      <c r="AM378" t="s">
        <v>48</v>
      </c>
      <c r="AN378" t="s">
        <v>48</v>
      </c>
      <c r="AO378" t="s">
        <v>48</v>
      </c>
      <c r="AP378" s="46">
        <v>0</v>
      </c>
      <c r="AQ378" s="46">
        <v>0</v>
      </c>
      <c r="AR378" s="46">
        <v>0</v>
      </c>
      <c r="AS378" s="46">
        <v>0</v>
      </c>
      <c r="AT378" s="46">
        <v>0</v>
      </c>
      <c r="AU378" s="46">
        <v>0</v>
      </c>
      <c r="AV378" s="46">
        <v>0</v>
      </c>
      <c r="AW378" s="46">
        <v>0</v>
      </c>
      <c r="AX378" s="46">
        <v>0</v>
      </c>
      <c r="AY378" s="46">
        <v>0</v>
      </c>
      <c r="AZ378" s="46">
        <v>0</v>
      </c>
      <c r="BA378" s="46">
        <v>0</v>
      </c>
      <c r="BB378" s="46">
        <v>0</v>
      </c>
      <c r="BC378" s="46">
        <v>1</v>
      </c>
      <c r="BD378" s="46">
        <v>0</v>
      </c>
      <c r="BE378" s="46">
        <v>0</v>
      </c>
      <c r="BF378" s="46">
        <v>0</v>
      </c>
      <c r="BG378" s="46">
        <v>1</v>
      </c>
      <c r="BH378" s="46">
        <v>0</v>
      </c>
      <c r="BI378" s="46">
        <v>0</v>
      </c>
      <c r="BJ378" s="46">
        <v>0</v>
      </c>
      <c r="BK378" s="46">
        <v>0</v>
      </c>
      <c r="BL378" s="46">
        <v>0</v>
      </c>
      <c r="BM378" s="46">
        <v>0</v>
      </c>
      <c r="BN378" s="46">
        <v>0</v>
      </c>
    </row>
    <row r="379" spans="1:66" x14ac:dyDescent="0.35">
      <c r="A379" t="s">
        <v>667</v>
      </c>
      <c r="B379" t="s">
        <v>48</v>
      </c>
      <c r="C379" t="s">
        <v>12403</v>
      </c>
      <c r="D379" t="s">
        <v>585</v>
      </c>
      <c r="E379" t="s">
        <v>668</v>
      </c>
      <c r="F379" t="s">
        <v>619</v>
      </c>
      <c r="G379" t="s">
        <v>74</v>
      </c>
      <c r="H379">
        <v>0</v>
      </c>
      <c r="I379" s="60" t="s">
        <v>51</v>
      </c>
      <c r="J379" s="33" t="s">
        <v>45</v>
      </c>
      <c r="K379" s="46">
        <v>1</v>
      </c>
      <c r="L379">
        <v>100</v>
      </c>
      <c r="M379" t="s">
        <v>48</v>
      </c>
      <c r="N379" s="46">
        <v>1</v>
      </c>
      <c r="O379" s="46">
        <v>0</v>
      </c>
      <c r="P379" s="46">
        <v>0</v>
      </c>
      <c r="Q379" t="s">
        <v>48</v>
      </c>
      <c r="R379" t="s">
        <v>48</v>
      </c>
      <c r="S379" t="s">
        <v>669</v>
      </c>
      <c r="T379" t="s">
        <v>670</v>
      </c>
      <c r="U379" t="s">
        <v>669</v>
      </c>
      <c r="V379" s="47">
        <v>0</v>
      </c>
      <c r="W379" t="s">
        <v>48</v>
      </c>
      <c r="X379" t="s">
        <v>48</v>
      </c>
      <c r="Y379" t="s">
        <v>48</v>
      </c>
      <c r="Z379">
        <v>0</v>
      </c>
      <c r="AA379" t="s">
        <v>48</v>
      </c>
      <c r="AB379">
        <v>2016</v>
      </c>
      <c r="AC379" t="s">
        <v>49</v>
      </c>
      <c r="AD379" t="s">
        <v>93</v>
      </c>
      <c r="AE379" t="s">
        <v>4532</v>
      </c>
      <c r="AF379" t="s">
        <v>48</v>
      </c>
      <c r="AG379" t="s">
        <v>140</v>
      </c>
      <c r="AH379" t="s">
        <v>93</v>
      </c>
      <c r="AI379">
        <v>21739</v>
      </c>
      <c r="AJ379">
        <v>1946</v>
      </c>
      <c r="AK379" t="s">
        <v>8670</v>
      </c>
      <c r="AL379" t="s">
        <v>8671</v>
      </c>
      <c r="AM379">
        <v>-0.19500000000000001</v>
      </c>
      <c r="AN379">
        <v>0.17</v>
      </c>
      <c r="AO379">
        <v>-0.19500000000000001</v>
      </c>
      <c r="AP379" s="46">
        <v>0</v>
      </c>
      <c r="AQ379" s="46">
        <v>0</v>
      </c>
      <c r="AR379" s="46">
        <v>0</v>
      </c>
      <c r="AS379" s="46">
        <v>0</v>
      </c>
      <c r="AT379" s="46">
        <v>0</v>
      </c>
      <c r="AU379" s="46">
        <v>1</v>
      </c>
      <c r="AV379" s="46">
        <v>1</v>
      </c>
      <c r="AW379" s="46">
        <v>0</v>
      </c>
      <c r="AX379" s="46">
        <v>1</v>
      </c>
      <c r="AY379" s="46">
        <v>0</v>
      </c>
      <c r="AZ379" s="46">
        <v>0</v>
      </c>
      <c r="BA379" s="46">
        <v>1</v>
      </c>
      <c r="BB379" s="46">
        <v>0</v>
      </c>
      <c r="BC379" s="46">
        <v>0</v>
      </c>
      <c r="BD379" s="46">
        <v>0</v>
      </c>
      <c r="BE379" s="46">
        <v>0</v>
      </c>
      <c r="BF379" s="46">
        <v>0</v>
      </c>
      <c r="BG379" s="46" t="s">
        <v>48</v>
      </c>
      <c r="BH379" s="46">
        <v>0</v>
      </c>
      <c r="BI379" s="46">
        <v>0</v>
      </c>
      <c r="BJ379" s="46">
        <v>0</v>
      </c>
      <c r="BK379" s="46">
        <v>0</v>
      </c>
      <c r="BL379" s="46">
        <v>1</v>
      </c>
      <c r="BM379" s="46">
        <v>0</v>
      </c>
      <c r="BN379" s="46">
        <v>0</v>
      </c>
    </row>
    <row r="380" spans="1:66" x14ac:dyDescent="0.35">
      <c r="A380" t="s">
        <v>698</v>
      </c>
      <c r="B380" s="44" t="s">
        <v>48</v>
      </c>
      <c r="C380" t="s">
        <v>702</v>
      </c>
      <c r="D380" t="s">
        <v>701</v>
      </c>
      <c r="E380" t="s">
        <v>699</v>
      </c>
      <c r="F380" t="s">
        <v>693</v>
      </c>
      <c r="G380" t="s">
        <v>47</v>
      </c>
      <c r="H380">
        <v>0</v>
      </c>
      <c r="I380" s="60" t="s">
        <v>51</v>
      </c>
      <c r="J380" s="33" t="s">
        <v>45</v>
      </c>
      <c r="K380" s="46">
        <v>0</v>
      </c>
      <c r="L380">
        <v>100</v>
      </c>
      <c r="M380" t="s">
        <v>48</v>
      </c>
      <c r="N380" s="46">
        <v>1</v>
      </c>
      <c r="O380" s="46">
        <v>0</v>
      </c>
      <c r="P380" s="46">
        <v>0</v>
      </c>
      <c r="Q380" t="s">
        <v>48</v>
      </c>
      <c r="R380" t="s">
        <v>48</v>
      </c>
      <c r="S380" t="s">
        <v>700</v>
      </c>
      <c r="T380" t="s">
        <v>48</v>
      </c>
      <c r="U380" t="s">
        <v>700</v>
      </c>
      <c r="V380" s="47">
        <v>0</v>
      </c>
      <c r="W380" t="s">
        <v>48</v>
      </c>
      <c r="X380" t="s">
        <v>48</v>
      </c>
      <c r="Y380" t="s">
        <v>48</v>
      </c>
      <c r="Z380">
        <v>0</v>
      </c>
      <c r="AA380" t="s">
        <v>48</v>
      </c>
      <c r="AB380" t="s">
        <v>48</v>
      </c>
      <c r="AC380" t="s">
        <v>49</v>
      </c>
      <c r="AD380" t="s">
        <v>93</v>
      </c>
      <c r="AE380" t="s">
        <v>4532</v>
      </c>
      <c r="AF380" t="s">
        <v>48</v>
      </c>
      <c r="AG380" t="s">
        <v>48</v>
      </c>
      <c r="AH380" t="s">
        <v>48</v>
      </c>
      <c r="AI380" t="s">
        <v>48</v>
      </c>
      <c r="AJ380" t="s">
        <v>48</v>
      </c>
      <c r="AK380" t="s">
        <v>48</v>
      </c>
      <c r="AL380" t="s">
        <v>48</v>
      </c>
      <c r="AM380" t="s">
        <v>48</v>
      </c>
      <c r="AN380" t="s">
        <v>48</v>
      </c>
      <c r="AO380" t="s">
        <v>48</v>
      </c>
      <c r="AP380" s="46">
        <v>0</v>
      </c>
      <c r="AQ380" s="46">
        <v>0</v>
      </c>
      <c r="AR380" s="46">
        <v>0</v>
      </c>
      <c r="AS380" s="46">
        <v>0</v>
      </c>
      <c r="AT380" s="46">
        <v>0</v>
      </c>
      <c r="AU380" s="46">
        <v>0</v>
      </c>
      <c r="AV380" s="46">
        <v>0</v>
      </c>
      <c r="AW380" s="46">
        <v>0</v>
      </c>
      <c r="AX380" s="46">
        <v>0</v>
      </c>
      <c r="AY380" s="46">
        <v>0</v>
      </c>
      <c r="AZ380" s="46">
        <v>0</v>
      </c>
      <c r="BA380" s="46">
        <v>0</v>
      </c>
      <c r="BB380" s="46">
        <v>0</v>
      </c>
      <c r="BC380" s="46">
        <v>0</v>
      </c>
      <c r="BD380" s="46">
        <v>0</v>
      </c>
      <c r="BE380" s="46">
        <v>0</v>
      </c>
      <c r="BF380" s="46">
        <v>0</v>
      </c>
      <c r="BG380" s="46">
        <v>1</v>
      </c>
      <c r="BH380" s="46">
        <v>0</v>
      </c>
      <c r="BI380" s="46">
        <v>0</v>
      </c>
      <c r="BJ380" s="46">
        <v>0</v>
      </c>
      <c r="BK380" s="46">
        <v>0</v>
      </c>
      <c r="BL380" s="46">
        <v>0</v>
      </c>
      <c r="BM380" s="46">
        <v>0</v>
      </c>
      <c r="BN380" s="46">
        <v>0</v>
      </c>
    </row>
    <row r="381" spans="1:66" x14ac:dyDescent="0.35">
      <c r="A381" t="s">
        <v>692</v>
      </c>
      <c r="B381" s="44" t="s">
        <v>48</v>
      </c>
      <c r="C381" t="s">
        <v>697</v>
      </c>
      <c r="D381" t="s">
        <v>696</v>
      </c>
      <c r="E381" t="s">
        <v>9784</v>
      </c>
      <c r="F381" t="s">
        <v>693</v>
      </c>
      <c r="G381" t="s">
        <v>74</v>
      </c>
      <c r="H381">
        <v>0</v>
      </c>
      <c r="I381" s="60" t="s">
        <v>51</v>
      </c>
      <c r="J381" s="33" t="s">
        <v>45</v>
      </c>
      <c r="K381" s="46">
        <v>1</v>
      </c>
      <c r="L381">
        <v>100</v>
      </c>
      <c r="M381" t="s">
        <v>48</v>
      </c>
      <c r="N381" s="46">
        <v>1</v>
      </c>
      <c r="O381" s="46">
        <v>0</v>
      </c>
      <c r="P381" s="46">
        <v>0</v>
      </c>
      <c r="Q381" t="s">
        <v>48</v>
      </c>
      <c r="R381" t="s">
        <v>48</v>
      </c>
      <c r="S381" t="s">
        <v>779</v>
      </c>
      <c r="T381" t="s">
        <v>780</v>
      </c>
      <c r="U381" t="s">
        <v>779</v>
      </c>
      <c r="V381" s="47">
        <v>0</v>
      </c>
      <c r="W381" t="s">
        <v>48</v>
      </c>
      <c r="X381" t="s">
        <v>48</v>
      </c>
      <c r="Y381" t="s">
        <v>48</v>
      </c>
      <c r="Z381">
        <v>0</v>
      </c>
      <c r="AA381" t="s">
        <v>48</v>
      </c>
      <c r="AB381">
        <v>2002</v>
      </c>
      <c r="AC381" t="s">
        <v>49</v>
      </c>
      <c r="AD381" t="s">
        <v>951</v>
      </c>
      <c r="AE381" t="s">
        <v>11051</v>
      </c>
      <c r="AF381" t="s">
        <v>48</v>
      </c>
      <c r="AG381" t="s">
        <v>109</v>
      </c>
      <c r="AH381" t="s">
        <v>93</v>
      </c>
      <c r="AI381">
        <v>20305</v>
      </c>
      <c r="AJ381">
        <v>1948</v>
      </c>
      <c r="AK381" t="s">
        <v>8672</v>
      </c>
      <c r="AL381" t="s">
        <v>8673</v>
      </c>
      <c r="AM381">
        <v>-0.59799999999999998</v>
      </c>
      <c r="AN381">
        <v>-0.255</v>
      </c>
      <c r="AO381">
        <v>-0.59799999999999998</v>
      </c>
      <c r="AP381" s="46">
        <v>0</v>
      </c>
      <c r="AQ381" s="46">
        <v>0</v>
      </c>
      <c r="AR381" s="46">
        <v>0</v>
      </c>
      <c r="AS381" s="46">
        <v>0</v>
      </c>
      <c r="AT381" s="46">
        <v>1</v>
      </c>
      <c r="AU381" s="46">
        <v>0</v>
      </c>
      <c r="AV381" s="46">
        <v>0</v>
      </c>
      <c r="AW381" s="46">
        <v>0</v>
      </c>
      <c r="AX381" s="46">
        <v>0</v>
      </c>
      <c r="AY381" s="46">
        <v>0</v>
      </c>
      <c r="AZ381" s="46">
        <v>0</v>
      </c>
      <c r="BA381" s="46">
        <v>0</v>
      </c>
      <c r="BB381" s="46">
        <v>0</v>
      </c>
      <c r="BC381" s="46">
        <v>0</v>
      </c>
      <c r="BD381" s="46">
        <v>0</v>
      </c>
      <c r="BE381" s="46">
        <v>0</v>
      </c>
      <c r="BF381" s="46">
        <v>0</v>
      </c>
      <c r="BG381" s="46" t="s">
        <v>48</v>
      </c>
      <c r="BH381" s="46">
        <v>0</v>
      </c>
      <c r="BI381" s="46">
        <v>0</v>
      </c>
      <c r="BJ381" s="46">
        <v>0</v>
      </c>
      <c r="BK381" s="46">
        <v>1</v>
      </c>
      <c r="BL381" s="46">
        <v>0</v>
      </c>
      <c r="BM381" s="46">
        <v>0</v>
      </c>
      <c r="BN381" s="46">
        <v>0</v>
      </c>
    </row>
    <row r="382" spans="1:66" x14ac:dyDescent="0.35">
      <c r="A382" t="s">
        <v>725</v>
      </c>
      <c r="B382" t="s">
        <v>48</v>
      </c>
      <c r="C382" t="s">
        <v>730</v>
      </c>
      <c r="D382" t="s">
        <v>729</v>
      </c>
      <c r="E382" t="s">
        <v>726</v>
      </c>
      <c r="F382" t="s">
        <v>703</v>
      </c>
      <c r="G382" t="s">
        <v>74</v>
      </c>
      <c r="H382">
        <v>0</v>
      </c>
      <c r="I382" s="60" t="s">
        <v>51</v>
      </c>
      <c r="J382" s="33" t="s">
        <v>45</v>
      </c>
      <c r="K382" s="46">
        <v>1</v>
      </c>
      <c r="L382">
        <v>100</v>
      </c>
      <c r="M382" t="s">
        <v>48</v>
      </c>
      <c r="N382" s="46">
        <v>1</v>
      </c>
      <c r="O382" s="46">
        <v>0</v>
      </c>
      <c r="P382" s="46">
        <v>0</v>
      </c>
      <c r="Q382" t="s">
        <v>48</v>
      </c>
      <c r="R382" t="s">
        <v>48</v>
      </c>
      <c r="S382" t="s">
        <v>727</v>
      </c>
      <c r="T382" t="s">
        <v>728</v>
      </c>
      <c r="U382" t="s">
        <v>727</v>
      </c>
      <c r="V382" s="47">
        <v>0</v>
      </c>
      <c r="W382" t="s">
        <v>48</v>
      </c>
      <c r="X382" t="s">
        <v>48</v>
      </c>
      <c r="Y382" t="s">
        <v>48</v>
      </c>
      <c r="Z382">
        <v>0</v>
      </c>
      <c r="AA382" t="s">
        <v>48</v>
      </c>
      <c r="AB382">
        <v>2018</v>
      </c>
      <c r="AC382" t="s">
        <v>49</v>
      </c>
      <c r="AD382" t="s">
        <v>93</v>
      </c>
      <c r="AE382" t="s">
        <v>4532</v>
      </c>
      <c r="AF382" t="s">
        <v>48</v>
      </c>
      <c r="AG382" t="s">
        <v>140</v>
      </c>
      <c r="AH382" t="s">
        <v>93</v>
      </c>
      <c r="AI382">
        <v>21968</v>
      </c>
      <c r="AJ382">
        <v>1970</v>
      </c>
      <c r="AK382" t="s">
        <v>8684</v>
      </c>
      <c r="AL382" t="s">
        <v>8685</v>
      </c>
      <c r="AM382">
        <v>-0.28799999999999998</v>
      </c>
      <c r="AN382">
        <v>3.3000000000000002E-2</v>
      </c>
      <c r="AO382">
        <v>-0.28799999999999998</v>
      </c>
      <c r="AP382" s="46">
        <v>0</v>
      </c>
      <c r="AQ382" s="46">
        <v>0</v>
      </c>
      <c r="AR382" s="46">
        <v>0</v>
      </c>
      <c r="AS382" s="46">
        <v>0</v>
      </c>
      <c r="AT382" s="46">
        <v>0</v>
      </c>
      <c r="AU382" s="46">
        <v>1</v>
      </c>
      <c r="AV382" s="46">
        <v>0</v>
      </c>
      <c r="AW382" s="46">
        <v>0</v>
      </c>
      <c r="AX382" s="46">
        <v>0</v>
      </c>
      <c r="AY382" s="46">
        <v>0</v>
      </c>
      <c r="AZ382" s="46">
        <v>0</v>
      </c>
      <c r="BA382" s="46">
        <v>0</v>
      </c>
      <c r="BB382" s="46">
        <v>0</v>
      </c>
      <c r="BC382" s="46">
        <v>0</v>
      </c>
      <c r="BD382" s="46">
        <v>0</v>
      </c>
      <c r="BE382" s="46">
        <v>0</v>
      </c>
      <c r="BF382" s="46">
        <v>0</v>
      </c>
      <c r="BG382" s="46" t="s">
        <v>48</v>
      </c>
      <c r="BH382" s="46">
        <v>0</v>
      </c>
      <c r="BI382" s="46">
        <v>0</v>
      </c>
      <c r="BJ382" s="46">
        <v>0</v>
      </c>
      <c r="BK382" s="46">
        <v>0</v>
      </c>
      <c r="BL382" s="46">
        <v>0</v>
      </c>
      <c r="BM382" s="46">
        <v>0</v>
      </c>
      <c r="BN382" s="46">
        <v>0</v>
      </c>
    </row>
    <row r="383" spans="1:66" x14ac:dyDescent="0.35">
      <c r="A383" t="s">
        <v>797</v>
      </c>
      <c r="B383" s="44" t="s">
        <v>48</v>
      </c>
      <c r="C383" t="s">
        <v>800</v>
      </c>
      <c r="D383" t="s">
        <v>364</v>
      </c>
      <c r="E383" t="s">
        <v>798</v>
      </c>
      <c r="F383" t="s">
        <v>703</v>
      </c>
      <c r="G383" t="s">
        <v>47</v>
      </c>
      <c r="H383">
        <v>0</v>
      </c>
      <c r="I383" s="60" t="s">
        <v>716</v>
      </c>
      <c r="J383" s="33" t="s">
        <v>45</v>
      </c>
      <c r="K383" s="46">
        <v>0</v>
      </c>
      <c r="L383">
        <v>28.6</v>
      </c>
      <c r="M383" t="s">
        <v>48</v>
      </c>
      <c r="N383" s="46">
        <v>1</v>
      </c>
      <c r="O383" s="46">
        <v>0</v>
      </c>
      <c r="P383" s="46">
        <v>0</v>
      </c>
      <c r="Q383" t="s">
        <v>48</v>
      </c>
      <c r="R383" t="s">
        <v>48</v>
      </c>
      <c r="S383" t="s">
        <v>799</v>
      </c>
      <c r="T383" t="s">
        <v>48</v>
      </c>
      <c r="U383" t="s">
        <v>799</v>
      </c>
      <c r="V383" s="47">
        <v>0</v>
      </c>
      <c r="W383" t="s">
        <v>48</v>
      </c>
      <c r="X383" t="s">
        <v>48</v>
      </c>
      <c r="Y383" t="s">
        <v>48</v>
      </c>
      <c r="Z383">
        <v>0</v>
      </c>
      <c r="AA383" t="s">
        <v>48</v>
      </c>
      <c r="AB383" t="s">
        <v>48</v>
      </c>
      <c r="AC383" t="s">
        <v>49</v>
      </c>
      <c r="AD383" t="s">
        <v>93</v>
      </c>
      <c r="AE383" t="s">
        <v>4532</v>
      </c>
      <c r="AF383" t="s">
        <v>48</v>
      </c>
      <c r="AG383" t="s">
        <v>48</v>
      </c>
      <c r="AH383" t="s">
        <v>48</v>
      </c>
      <c r="AI383" t="s">
        <v>48</v>
      </c>
      <c r="AJ383" t="s">
        <v>48</v>
      </c>
      <c r="AK383" t="s">
        <v>48</v>
      </c>
      <c r="AL383" t="s">
        <v>48</v>
      </c>
      <c r="AM383" t="s">
        <v>48</v>
      </c>
      <c r="AN383" t="s">
        <v>48</v>
      </c>
      <c r="AO383" t="s">
        <v>48</v>
      </c>
      <c r="AP383" s="46">
        <v>0</v>
      </c>
      <c r="AQ383" s="46">
        <v>0</v>
      </c>
      <c r="AR383" s="46">
        <v>0</v>
      </c>
      <c r="AS383" s="46">
        <v>0</v>
      </c>
      <c r="AT383" s="46">
        <v>0</v>
      </c>
      <c r="AU383" s="46">
        <v>0</v>
      </c>
      <c r="AV383" s="46">
        <v>0</v>
      </c>
      <c r="AW383" s="46">
        <v>0</v>
      </c>
      <c r="AX383" s="46">
        <v>0</v>
      </c>
      <c r="AY383" s="46">
        <v>0</v>
      </c>
      <c r="AZ383" s="46">
        <v>0</v>
      </c>
      <c r="BA383" s="46">
        <v>0</v>
      </c>
      <c r="BB383" s="46">
        <v>0</v>
      </c>
      <c r="BC383" s="46">
        <v>0</v>
      </c>
      <c r="BD383" s="46">
        <v>0</v>
      </c>
      <c r="BE383" s="46">
        <v>0</v>
      </c>
      <c r="BF383" s="46">
        <v>0</v>
      </c>
      <c r="BG383" s="46">
        <v>1</v>
      </c>
      <c r="BH383" s="46">
        <v>0</v>
      </c>
      <c r="BI383" s="46">
        <v>0</v>
      </c>
      <c r="BJ383" s="46">
        <v>0</v>
      </c>
      <c r="BK383" s="46">
        <v>0</v>
      </c>
      <c r="BL383" s="46">
        <v>0</v>
      </c>
      <c r="BM383" s="46">
        <v>0</v>
      </c>
      <c r="BN383" s="46">
        <v>0</v>
      </c>
    </row>
    <row r="384" spans="1:66" x14ac:dyDescent="0.35">
      <c r="A384" t="s">
        <v>737</v>
      </c>
      <c r="B384" s="44" t="s">
        <v>48</v>
      </c>
      <c r="C384" t="s">
        <v>743</v>
      </c>
      <c r="D384" t="s">
        <v>684</v>
      </c>
      <c r="E384" t="s">
        <v>739</v>
      </c>
      <c r="F384" t="s">
        <v>738</v>
      </c>
      <c r="G384" t="s">
        <v>47</v>
      </c>
      <c r="H384">
        <v>0</v>
      </c>
      <c r="I384" s="60" t="s">
        <v>51</v>
      </c>
      <c r="J384" s="33" t="s">
        <v>45</v>
      </c>
      <c r="K384" s="46">
        <v>1</v>
      </c>
      <c r="L384">
        <v>100</v>
      </c>
      <c r="M384" t="s">
        <v>48</v>
      </c>
      <c r="N384" s="46">
        <v>1</v>
      </c>
      <c r="O384" s="46">
        <v>0</v>
      </c>
      <c r="P384" s="46">
        <v>0</v>
      </c>
      <c r="Q384" t="s">
        <v>48</v>
      </c>
      <c r="R384" t="s">
        <v>48</v>
      </c>
      <c r="S384" t="s">
        <v>740</v>
      </c>
      <c r="T384" t="s">
        <v>741</v>
      </c>
      <c r="U384" t="s">
        <v>740</v>
      </c>
      <c r="V384" s="47">
        <v>0</v>
      </c>
      <c r="W384" t="s">
        <v>48</v>
      </c>
      <c r="X384" t="s">
        <v>48</v>
      </c>
      <c r="Y384" t="s">
        <v>48</v>
      </c>
      <c r="Z384">
        <v>0</v>
      </c>
      <c r="AA384" t="s">
        <v>48</v>
      </c>
      <c r="AB384">
        <v>2016</v>
      </c>
      <c r="AC384" t="s">
        <v>49</v>
      </c>
      <c r="AD384" t="s">
        <v>93</v>
      </c>
      <c r="AE384" t="s">
        <v>4532</v>
      </c>
      <c r="AF384" t="s">
        <v>48</v>
      </c>
      <c r="AG384" t="s">
        <v>742</v>
      </c>
      <c r="AH384" t="s">
        <v>93</v>
      </c>
      <c r="AI384">
        <v>21705</v>
      </c>
      <c r="AJ384">
        <v>1958</v>
      </c>
      <c r="AK384" t="s">
        <v>8676</v>
      </c>
      <c r="AL384" t="s">
        <v>8677</v>
      </c>
      <c r="AM384">
        <v>0.85299999999999998</v>
      </c>
      <c r="AN384">
        <v>-0.52200000000000002</v>
      </c>
      <c r="AO384">
        <v>0.85299999999999998</v>
      </c>
      <c r="AP384" s="46">
        <v>0</v>
      </c>
      <c r="AQ384" s="46">
        <v>0</v>
      </c>
      <c r="AR384" s="46">
        <v>0</v>
      </c>
      <c r="AS384" s="46">
        <v>0</v>
      </c>
      <c r="AT384" s="46">
        <v>0</v>
      </c>
      <c r="AU384" s="46">
        <v>0</v>
      </c>
      <c r="AV384" s="46">
        <v>0</v>
      </c>
      <c r="AW384" s="46">
        <v>0</v>
      </c>
      <c r="AX384" s="46">
        <v>0</v>
      </c>
      <c r="AY384" s="46">
        <v>0</v>
      </c>
      <c r="AZ384" s="46">
        <v>0</v>
      </c>
      <c r="BA384" s="46">
        <v>0</v>
      </c>
      <c r="BB384" s="46">
        <v>0</v>
      </c>
      <c r="BC384" s="46">
        <v>0</v>
      </c>
      <c r="BD384" s="46">
        <v>0</v>
      </c>
      <c r="BE384" s="46">
        <v>1</v>
      </c>
      <c r="BF384" s="46">
        <v>1</v>
      </c>
      <c r="BG384" s="46">
        <v>1</v>
      </c>
      <c r="BH384" s="46">
        <v>0</v>
      </c>
      <c r="BI384" s="46">
        <v>0</v>
      </c>
      <c r="BJ384" s="46">
        <v>0</v>
      </c>
      <c r="BK384" s="46">
        <v>0</v>
      </c>
      <c r="BL384" s="46">
        <v>0</v>
      </c>
      <c r="BM384" s="46">
        <v>0</v>
      </c>
      <c r="BN384" s="46">
        <v>1</v>
      </c>
    </row>
    <row r="385" spans="1:66" x14ac:dyDescent="0.35">
      <c r="A385" s="44" t="s">
        <v>9799</v>
      </c>
      <c r="B385" s="44" t="s">
        <v>48</v>
      </c>
      <c r="C385" t="s">
        <v>80</v>
      </c>
      <c r="D385" t="s">
        <v>11608</v>
      </c>
      <c r="E385" t="s">
        <v>9800</v>
      </c>
      <c r="F385" t="s">
        <v>738</v>
      </c>
      <c r="G385" t="s">
        <v>83</v>
      </c>
      <c r="H385">
        <v>0</v>
      </c>
      <c r="I385" s="60" t="s">
        <v>48</v>
      </c>
      <c r="J385" s="33" t="s">
        <v>45</v>
      </c>
      <c r="K385" s="46">
        <v>0</v>
      </c>
      <c r="L385" t="s">
        <v>48</v>
      </c>
      <c r="M385" t="s">
        <v>48</v>
      </c>
      <c r="N385" s="46">
        <v>1</v>
      </c>
      <c r="O385" s="46">
        <v>0</v>
      </c>
      <c r="P385" s="46">
        <v>0</v>
      </c>
      <c r="Q385" t="s">
        <v>48</v>
      </c>
      <c r="R385" t="s">
        <v>48</v>
      </c>
      <c r="S385" t="str">
        <f>"@SmithforAZ"</f>
        <v>@SmithforAZ</v>
      </c>
      <c r="T385" t="s">
        <v>48</v>
      </c>
      <c r="U385" t="str">
        <f>"@SmithforAZ"</f>
        <v>@SmithforAZ</v>
      </c>
      <c r="V385" s="47" t="s">
        <v>48</v>
      </c>
      <c r="W385" t="s">
        <v>48</v>
      </c>
      <c r="X385" t="s">
        <v>48</v>
      </c>
      <c r="Y385" t="s">
        <v>48</v>
      </c>
      <c r="Z385" t="s">
        <v>48</v>
      </c>
      <c r="AA385" t="s">
        <v>48</v>
      </c>
      <c r="AB385" t="s">
        <v>48</v>
      </c>
      <c r="AC385" t="s">
        <v>49</v>
      </c>
      <c r="AD385" t="s">
        <v>93</v>
      </c>
      <c r="AE385" t="s">
        <v>4532</v>
      </c>
      <c r="AF385" t="s">
        <v>48</v>
      </c>
      <c r="AG385" t="s">
        <v>48</v>
      </c>
      <c r="AH385" t="s">
        <v>48</v>
      </c>
      <c r="AI385" t="s">
        <v>48</v>
      </c>
      <c r="AJ385" t="s">
        <v>48</v>
      </c>
      <c r="AK385" t="s">
        <v>48</v>
      </c>
      <c r="AL385" t="s">
        <v>48</v>
      </c>
      <c r="AM385" t="s">
        <v>48</v>
      </c>
      <c r="AN385" t="s">
        <v>48</v>
      </c>
      <c r="AO385" t="s">
        <v>48</v>
      </c>
      <c r="AP385" s="46">
        <v>0</v>
      </c>
      <c r="AQ385" s="46">
        <v>0</v>
      </c>
      <c r="AR385" s="46">
        <v>0</v>
      </c>
      <c r="AS385" s="46">
        <v>0</v>
      </c>
      <c r="AT385" s="46">
        <v>0</v>
      </c>
      <c r="AU385" s="46">
        <v>0</v>
      </c>
      <c r="AV385" s="46">
        <v>0</v>
      </c>
      <c r="AW385" s="46">
        <v>1</v>
      </c>
      <c r="AX385" s="46">
        <v>0</v>
      </c>
      <c r="AY385" s="46">
        <v>0</v>
      </c>
      <c r="AZ385" s="46">
        <v>0</v>
      </c>
      <c r="BA385" s="46">
        <v>0</v>
      </c>
      <c r="BB385" s="46">
        <v>0</v>
      </c>
      <c r="BC385" s="46">
        <v>0</v>
      </c>
      <c r="BD385" s="46">
        <v>0</v>
      </c>
      <c r="BE385" s="46">
        <v>0</v>
      </c>
      <c r="BF385" s="46">
        <v>0</v>
      </c>
      <c r="BG385" s="46" t="s">
        <v>48</v>
      </c>
      <c r="BH385" s="46">
        <v>0</v>
      </c>
      <c r="BI385" s="46">
        <v>0</v>
      </c>
      <c r="BJ385" s="46">
        <v>0</v>
      </c>
      <c r="BK385" s="46">
        <v>0</v>
      </c>
      <c r="BL385" s="46">
        <v>1</v>
      </c>
      <c r="BM385" s="46">
        <v>0</v>
      </c>
      <c r="BN385" s="46">
        <v>0</v>
      </c>
    </row>
    <row r="386" spans="1:66" x14ac:dyDescent="0.35">
      <c r="A386" t="s">
        <v>9810</v>
      </c>
      <c r="B386" s="44" t="s">
        <v>48</v>
      </c>
      <c r="C386" t="s">
        <v>2691</v>
      </c>
      <c r="D386" t="s">
        <v>11607</v>
      </c>
      <c r="E386" t="s">
        <v>9811</v>
      </c>
      <c r="F386" t="s">
        <v>738</v>
      </c>
      <c r="G386" t="s">
        <v>74</v>
      </c>
      <c r="H386">
        <v>0</v>
      </c>
      <c r="I386" s="61">
        <v>44778</v>
      </c>
      <c r="J386" s="33" t="s">
        <v>45</v>
      </c>
      <c r="K386" s="46">
        <v>0</v>
      </c>
      <c r="L386">
        <v>100</v>
      </c>
      <c r="M386" t="s">
        <v>48</v>
      </c>
      <c r="N386" s="46">
        <v>1</v>
      </c>
      <c r="O386" s="46">
        <v>0</v>
      </c>
      <c r="P386" s="46">
        <v>0</v>
      </c>
      <c r="Q386" t="s">
        <v>48</v>
      </c>
      <c r="R386" t="s">
        <v>48</v>
      </c>
      <c r="S386" s="43" t="s">
        <v>10004</v>
      </c>
      <c r="T386" s="43" t="s">
        <v>48</v>
      </c>
      <c r="U386" s="43" t="s">
        <v>10004</v>
      </c>
      <c r="V386" s="47">
        <v>1</v>
      </c>
      <c r="W386" t="s">
        <v>48</v>
      </c>
      <c r="X386" t="s">
        <v>48</v>
      </c>
      <c r="Y386" t="s">
        <v>48</v>
      </c>
      <c r="Z386" t="s">
        <v>48</v>
      </c>
      <c r="AA386" t="s">
        <v>48</v>
      </c>
      <c r="AB386" t="s">
        <v>48</v>
      </c>
      <c r="AC386" t="s">
        <v>49</v>
      </c>
      <c r="AD386" t="s">
        <v>951</v>
      </c>
      <c r="AE386" t="s">
        <v>11051</v>
      </c>
      <c r="AF386" t="s">
        <v>48</v>
      </c>
      <c r="AG386" t="s">
        <v>48</v>
      </c>
      <c r="AH386" t="s">
        <v>48</v>
      </c>
      <c r="AI386" t="s">
        <v>48</v>
      </c>
      <c r="AJ386" t="s">
        <v>48</v>
      </c>
      <c r="AK386" t="s">
        <v>48</v>
      </c>
      <c r="AL386" t="s">
        <v>48</v>
      </c>
      <c r="AM386" t="s">
        <v>48</v>
      </c>
      <c r="AN386" t="s">
        <v>48</v>
      </c>
      <c r="AO386" t="s">
        <v>48</v>
      </c>
      <c r="AP386" s="46">
        <v>0</v>
      </c>
      <c r="AQ386" s="46">
        <v>0</v>
      </c>
      <c r="AR386" s="46">
        <v>0</v>
      </c>
      <c r="AS386" s="46">
        <v>0</v>
      </c>
      <c r="AT386" s="46">
        <v>0</v>
      </c>
      <c r="AU386" s="46">
        <v>0</v>
      </c>
      <c r="AV386" s="46">
        <v>0</v>
      </c>
      <c r="AW386" s="46">
        <v>0</v>
      </c>
      <c r="AX386" s="46">
        <v>0</v>
      </c>
      <c r="AY386" s="46">
        <v>0</v>
      </c>
      <c r="AZ386" s="46">
        <v>0</v>
      </c>
      <c r="BA386" s="46">
        <v>0</v>
      </c>
      <c r="BB386" s="46">
        <v>0</v>
      </c>
      <c r="BC386" s="46">
        <v>0</v>
      </c>
      <c r="BD386" s="46">
        <v>0</v>
      </c>
      <c r="BE386" s="46">
        <v>0</v>
      </c>
      <c r="BF386" s="46">
        <v>0</v>
      </c>
      <c r="BG386" s="46" t="s">
        <v>48</v>
      </c>
      <c r="BH386" s="46">
        <v>0</v>
      </c>
      <c r="BI386" s="46">
        <v>0</v>
      </c>
      <c r="BJ386" s="46">
        <v>0</v>
      </c>
      <c r="BK386" s="46">
        <v>0</v>
      </c>
      <c r="BL386" s="46">
        <v>0</v>
      </c>
      <c r="BM386" s="46">
        <v>0</v>
      </c>
      <c r="BN386" s="46">
        <v>0</v>
      </c>
    </row>
    <row r="387" spans="1:66" x14ac:dyDescent="0.35">
      <c r="A387" t="s">
        <v>753</v>
      </c>
      <c r="B387" s="44" t="s">
        <v>48</v>
      </c>
      <c r="C387" t="s">
        <v>757</v>
      </c>
      <c r="D387" t="s">
        <v>756</v>
      </c>
      <c r="E387" t="s">
        <v>754</v>
      </c>
      <c r="F387" t="s">
        <v>635</v>
      </c>
      <c r="G387" t="s">
        <v>47</v>
      </c>
      <c r="H387">
        <v>0</v>
      </c>
      <c r="I387" s="60" t="s">
        <v>51</v>
      </c>
      <c r="J387" s="33" t="s">
        <v>45</v>
      </c>
      <c r="K387" s="46">
        <v>0</v>
      </c>
      <c r="L387">
        <v>47.3</v>
      </c>
      <c r="M387" t="s">
        <v>48</v>
      </c>
      <c r="N387" s="46">
        <v>1</v>
      </c>
      <c r="O387" s="46">
        <v>0</v>
      </c>
      <c r="P387" s="46">
        <v>0</v>
      </c>
      <c r="Q387" t="s">
        <v>48</v>
      </c>
      <c r="R387" t="s">
        <v>48</v>
      </c>
      <c r="S387" t="s">
        <v>755</v>
      </c>
      <c r="T387" t="s">
        <v>48</v>
      </c>
      <c r="U387" t="s">
        <v>755</v>
      </c>
      <c r="V387" s="47">
        <v>0</v>
      </c>
      <c r="W387" t="s">
        <v>48</v>
      </c>
      <c r="X387" t="s">
        <v>48</v>
      </c>
      <c r="Y387" t="s">
        <v>48</v>
      </c>
      <c r="Z387">
        <v>0</v>
      </c>
      <c r="AA387" t="s">
        <v>48</v>
      </c>
      <c r="AB387" t="s">
        <v>48</v>
      </c>
      <c r="AC387" t="s">
        <v>49</v>
      </c>
      <c r="AD387" t="s">
        <v>951</v>
      </c>
      <c r="AE387" t="s">
        <v>11051</v>
      </c>
      <c r="AF387" t="s">
        <v>48</v>
      </c>
      <c r="AG387" t="s">
        <v>48</v>
      </c>
      <c r="AH387" t="s">
        <v>48</v>
      </c>
      <c r="AI387" t="s">
        <v>48</v>
      </c>
      <c r="AJ387" t="s">
        <v>48</v>
      </c>
      <c r="AK387" t="s">
        <v>48</v>
      </c>
      <c r="AL387" t="s">
        <v>48</v>
      </c>
      <c r="AM387" t="s">
        <v>48</v>
      </c>
      <c r="AN387" t="s">
        <v>48</v>
      </c>
      <c r="AO387" t="s">
        <v>48</v>
      </c>
      <c r="AP387" s="46">
        <v>0</v>
      </c>
      <c r="AQ387" s="46">
        <v>0</v>
      </c>
      <c r="AR387" s="46">
        <v>0</v>
      </c>
      <c r="AS387" s="46">
        <v>0</v>
      </c>
      <c r="AT387" s="46">
        <v>0</v>
      </c>
      <c r="AU387" s="46">
        <v>0</v>
      </c>
      <c r="AV387" s="46">
        <v>0</v>
      </c>
      <c r="AW387" s="46">
        <v>0</v>
      </c>
      <c r="AX387" s="46">
        <v>0</v>
      </c>
      <c r="AY387" s="46">
        <v>0</v>
      </c>
      <c r="AZ387" s="46">
        <v>0</v>
      </c>
      <c r="BA387" s="46">
        <v>0</v>
      </c>
      <c r="BB387" s="46">
        <v>0</v>
      </c>
      <c r="BC387" s="46">
        <v>0</v>
      </c>
      <c r="BD387" s="46">
        <v>0</v>
      </c>
      <c r="BE387" s="46">
        <v>0</v>
      </c>
      <c r="BF387" s="46">
        <v>0</v>
      </c>
      <c r="BG387" s="46" t="s">
        <v>48</v>
      </c>
      <c r="BH387" s="46">
        <v>0</v>
      </c>
      <c r="BI387" s="46">
        <v>0</v>
      </c>
      <c r="BJ387" s="46">
        <v>0</v>
      </c>
      <c r="BK387" s="46">
        <v>0</v>
      </c>
      <c r="BL387" s="46">
        <v>0</v>
      </c>
      <c r="BM387" s="46">
        <v>0</v>
      </c>
      <c r="BN387" s="46">
        <v>0</v>
      </c>
    </row>
    <row r="388" spans="1:66" x14ac:dyDescent="0.35">
      <c r="A388" t="s">
        <v>758</v>
      </c>
      <c r="B388" s="44" t="s">
        <v>48</v>
      </c>
      <c r="C388" t="s">
        <v>762</v>
      </c>
      <c r="D388" t="s">
        <v>761</v>
      </c>
      <c r="E388" t="s">
        <v>759</v>
      </c>
      <c r="F388" t="s">
        <v>635</v>
      </c>
      <c r="G388" t="s">
        <v>74</v>
      </c>
      <c r="H388">
        <v>0</v>
      </c>
      <c r="I388" s="60" t="s">
        <v>51</v>
      </c>
      <c r="J388" s="33" t="s">
        <v>45</v>
      </c>
      <c r="K388" s="46">
        <v>0</v>
      </c>
      <c r="L388">
        <v>59.6</v>
      </c>
      <c r="M388" t="s">
        <v>48</v>
      </c>
      <c r="N388" s="46">
        <v>1</v>
      </c>
      <c r="O388" s="46">
        <v>0</v>
      </c>
      <c r="P388" s="46">
        <v>0</v>
      </c>
      <c r="Q388" t="s">
        <v>48</v>
      </c>
      <c r="R388" t="s">
        <v>48</v>
      </c>
      <c r="S388" t="s">
        <v>760</v>
      </c>
      <c r="T388" t="s">
        <v>48</v>
      </c>
      <c r="U388" t="s">
        <v>760</v>
      </c>
      <c r="V388" s="47">
        <v>0</v>
      </c>
      <c r="W388" t="s">
        <v>48</v>
      </c>
      <c r="X388" t="s">
        <v>48</v>
      </c>
      <c r="Y388" t="s">
        <v>48</v>
      </c>
      <c r="Z388">
        <v>0</v>
      </c>
      <c r="AA388" t="s">
        <v>48</v>
      </c>
      <c r="AB388" t="s">
        <v>48</v>
      </c>
      <c r="AC388" t="s">
        <v>63</v>
      </c>
      <c r="AD388" t="s">
        <v>93</v>
      </c>
      <c r="AE388" t="s">
        <v>4532</v>
      </c>
      <c r="AF388" t="s">
        <v>48</v>
      </c>
      <c r="AG388" t="s">
        <v>48</v>
      </c>
      <c r="AH388" t="s">
        <v>48</v>
      </c>
      <c r="AI388" t="s">
        <v>48</v>
      </c>
      <c r="AJ388" t="s">
        <v>48</v>
      </c>
      <c r="AK388" t="s">
        <v>48</v>
      </c>
      <c r="AL388" t="s">
        <v>48</v>
      </c>
      <c r="AM388" t="s">
        <v>48</v>
      </c>
      <c r="AN388" t="s">
        <v>48</v>
      </c>
      <c r="AO388" t="s">
        <v>48</v>
      </c>
      <c r="AP388" s="46">
        <v>0</v>
      </c>
      <c r="AQ388" s="46">
        <v>0</v>
      </c>
      <c r="AR388" s="46">
        <v>0</v>
      </c>
      <c r="AS388" s="46">
        <v>0</v>
      </c>
      <c r="AT388" s="46">
        <v>0</v>
      </c>
      <c r="AU388" s="46">
        <v>0</v>
      </c>
      <c r="AV388" s="46">
        <v>0</v>
      </c>
      <c r="AW388" s="46">
        <v>0</v>
      </c>
      <c r="AX388" s="46">
        <v>0</v>
      </c>
      <c r="AY388" s="46">
        <v>0</v>
      </c>
      <c r="AZ388" s="46">
        <v>0</v>
      </c>
      <c r="BA388" s="46">
        <v>0</v>
      </c>
      <c r="BB388" s="46">
        <v>0</v>
      </c>
      <c r="BC388" s="46">
        <v>0</v>
      </c>
      <c r="BD388" s="46">
        <v>0</v>
      </c>
      <c r="BE388" s="46">
        <v>0</v>
      </c>
      <c r="BF388" s="46">
        <v>0</v>
      </c>
      <c r="BG388" s="46" t="s">
        <v>48</v>
      </c>
      <c r="BH388" s="46">
        <v>0</v>
      </c>
      <c r="BI388" s="46">
        <v>0</v>
      </c>
      <c r="BJ388" s="46">
        <v>0</v>
      </c>
      <c r="BK388" s="46">
        <v>0</v>
      </c>
      <c r="BL388" s="46">
        <v>0</v>
      </c>
      <c r="BM388" s="46">
        <v>0</v>
      </c>
      <c r="BN388" s="46">
        <v>0</v>
      </c>
    </row>
    <row r="389" spans="1:66" x14ac:dyDescent="0.35">
      <c r="A389" t="s">
        <v>783</v>
      </c>
      <c r="B389" s="44" t="s">
        <v>48</v>
      </c>
      <c r="C389" t="s">
        <v>787</v>
      </c>
      <c r="D389" t="s">
        <v>786</v>
      </c>
      <c r="E389" t="s">
        <v>784</v>
      </c>
      <c r="F389" t="s">
        <v>687</v>
      </c>
      <c r="G389" t="s">
        <v>47</v>
      </c>
      <c r="H389">
        <v>0</v>
      </c>
      <c r="I389" s="60" t="s">
        <v>675</v>
      </c>
      <c r="J389" s="33" t="s">
        <v>45</v>
      </c>
      <c r="K389" s="46">
        <v>0</v>
      </c>
      <c r="L389">
        <v>68.5</v>
      </c>
      <c r="M389" t="s">
        <v>48</v>
      </c>
      <c r="N389" s="46">
        <v>1</v>
      </c>
      <c r="O389" s="46">
        <v>0</v>
      </c>
      <c r="P389" s="46">
        <v>0</v>
      </c>
      <c r="Q389" t="s">
        <v>48</v>
      </c>
      <c r="R389" t="s">
        <v>48</v>
      </c>
      <c r="S389" t="s">
        <v>785</v>
      </c>
      <c r="T389" t="s">
        <v>48</v>
      </c>
      <c r="U389" t="s">
        <v>785</v>
      </c>
      <c r="V389" s="47">
        <v>0</v>
      </c>
      <c r="W389" t="s">
        <v>48</v>
      </c>
      <c r="X389" t="s">
        <v>48</v>
      </c>
      <c r="Y389" t="s">
        <v>48</v>
      </c>
      <c r="Z389">
        <v>0</v>
      </c>
      <c r="AA389" t="s">
        <v>48</v>
      </c>
      <c r="AB389" t="s">
        <v>48</v>
      </c>
      <c r="AC389" t="s">
        <v>49</v>
      </c>
      <c r="AD389" t="s">
        <v>951</v>
      </c>
      <c r="AE389" t="s">
        <v>11051</v>
      </c>
      <c r="AF389" t="s">
        <v>48</v>
      </c>
      <c r="AG389" t="s">
        <v>48</v>
      </c>
      <c r="AH389" t="s">
        <v>48</v>
      </c>
      <c r="AI389" t="s">
        <v>48</v>
      </c>
      <c r="AJ389" t="s">
        <v>48</v>
      </c>
      <c r="AK389" t="s">
        <v>48</v>
      </c>
      <c r="AL389" t="s">
        <v>48</v>
      </c>
      <c r="AM389" t="s">
        <v>48</v>
      </c>
      <c r="AN389" t="s">
        <v>48</v>
      </c>
      <c r="AO389" t="s">
        <v>48</v>
      </c>
      <c r="AP389" s="46">
        <v>0</v>
      </c>
      <c r="AQ389" s="46">
        <v>0</v>
      </c>
      <c r="AR389" s="46">
        <v>0</v>
      </c>
      <c r="AS389" s="46">
        <v>0</v>
      </c>
      <c r="AT389" s="46">
        <v>0</v>
      </c>
      <c r="AU389" s="46">
        <v>0</v>
      </c>
      <c r="AV389" s="46">
        <v>0</v>
      </c>
      <c r="AW389" s="46">
        <v>0</v>
      </c>
      <c r="AX389" s="46">
        <v>0</v>
      </c>
      <c r="AY389" s="46">
        <v>0</v>
      </c>
      <c r="AZ389" s="46">
        <v>0</v>
      </c>
      <c r="BA389" s="46">
        <v>0</v>
      </c>
      <c r="BB389" s="46">
        <v>0</v>
      </c>
      <c r="BC389" s="46">
        <v>0</v>
      </c>
      <c r="BD389" s="46">
        <v>0</v>
      </c>
      <c r="BE389" s="46">
        <v>0</v>
      </c>
      <c r="BF389" s="46">
        <v>0</v>
      </c>
      <c r="BG389" s="46">
        <v>1</v>
      </c>
      <c r="BH389" s="46">
        <v>0</v>
      </c>
      <c r="BI389" s="46">
        <v>0</v>
      </c>
      <c r="BJ389" s="46">
        <v>0</v>
      </c>
      <c r="BK389" s="46">
        <v>0</v>
      </c>
      <c r="BL389" s="46">
        <v>0</v>
      </c>
      <c r="BM389" s="46">
        <v>0</v>
      </c>
      <c r="BN389" s="46">
        <v>0</v>
      </c>
    </row>
    <row r="390" spans="1:66" x14ac:dyDescent="0.35">
      <c r="A390" t="s">
        <v>778</v>
      </c>
      <c r="B390" s="44" t="s">
        <v>48</v>
      </c>
      <c r="C390" t="s">
        <v>782</v>
      </c>
      <c r="D390" t="s">
        <v>781</v>
      </c>
      <c r="E390" t="s">
        <v>9785</v>
      </c>
      <c r="F390" t="s">
        <v>687</v>
      </c>
      <c r="G390" t="s">
        <v>74</v>
      </c>
      <c r="H390">
        <v>0</v>
      </c>
      <c r="I390" s="60" t="s">
        <v>51</v>
      </c>
      <c r="J390" s="33" t="s">
        <v>45</v>
      </c>
      <c r="K390" s="46">
        <v>1</v>
      </c>
      <c r="L390">
        <v>100</v>
      </c>
      <c r="M390" t="s">
        <v>48</v>
      </c>
      <c r="N390" s="46">
        <v>1</v>
      </c>
      <c r="O390" s="46">
        <v>0</v>
      </c>
      <c r="P390" s="46">
        <v>0</v>
      </c>
      <c r="Q390" t="s">
        <v>48</v>
      </c>
      <c r="R390" t="s">
        <v>48</v>
      </c>
      <c r="S390" t="s">
        <v>694</v>
      </c>
      <c r="T390" t="s">
        <v>695</v>
      </c>
      <c r="U390" t="s">
        <v>694</v>
      </c>
      <c r="V390" s="47">
        <v>0</v>
      </c>
      <c r="W390" t="s">
        <v>48</v>
      </c>
      <c r="X390" t="s">
        <v>48</v>
      </c>
      <c r="Y390" t="s">
        <v>48</v>
      </c>
      <c r="Z390">
        <v>0</v>
      </c>
      <c r="AA390" t="s">
        <v>48</v>
      </c>
      <c r="AB390">
        <v>2014</v>
      </c>
      <c r="AC390" t="s">
        <v>49</v>
      </c>
      <c r="AD390" t="s">
        <v>951</v>
      </c>
      <c r="AE390" t="s">
        <v>11051</v>
      </c>
      <c r="AF390" t="s">
        <v>11055</v>
      </c>
      <c r="AG390" t="s">
        <v>140</v>
      </c>
      <c r="AH390" t="s">
        <v>93</v>
      </c>
      <c r="AI390">
        <v>21502</v>
      </c>
      <c r="AJ390">
        <v>1979</v>
      </c>
      <c r="AK390" t="s">
        <v>8680</v>
      </c>
      <c r="AL390" t="s">
        <v>8681</v>
      </c>
      <c r="AM390">
        <v>-0.44800000000000001</v>
      </c>
      <c r="AN390">
        <v>5.0000000000000001E-3</v>
      </c>
      <c r="AO390">
        <v>-0.44800000000000001</v>
      </c>
      <c r="AP390" s="46">
        <v>1</v>
      </c>
      <c r="AQ390" s="46">
        <v>0</v>
      </c>
      <c r="AR390" s="46">
        <v>0</v>
      </c>
      <c r="AS390" s="46">
        <v>0</v>
      </c>
      <c r="AT390" s="46">
        <v>1</v>
      </c>
      <c r="AU390" s="46">
        <v>0</v>
      </c>
      <c r="AV390" s="46">
        <v>0</v>
      </c>
      <c r="AW390" s="46">
        <v>0</v>
      </c>
      <c r="AX390" s="46">
        <v>0</v>
      </c>
      <c r="AY390" s="46">
        <v>0</v>
      </c>
      <c r="AZ390" s="46">
        <v>0</v>
      </c>
      <c r="BA390" s="46">
        <v>0</v>
      </c>
      <c r="BB390" s="46">
        <v>0</v>
      </c>
      <c r="BC390" s="46">
        <v>0</v>
      </c>
      <c r="BD390" s="46">
        <v>0</v>
      </c>
      <c r="BE390" s="46">
        <v>0</v>
      </c>
      <c r="BF390" s="46">
        <v>0</v>
      </c>
      <c r="BG390" s="46" t="s">
        <v>48</v>
      </c>
      <c r="BH390" s="46">
        <v>0</v>
      </c>
      <c r="BI390" s="46">
        <v>0</v>
      </c>
      <c r="BJ390" s="46">
        <v>0</v>
      </c>
      <c r="BK390" s="46">
        <v>1</v>
      </c>
      <c r="BL390" s="46">
        <v>0</v>
      </c>
      <c r="BM390" s="46">
        <v>0</v>
      </c>
      <c r="BN390" s="46">
        <v>0</v>
      </c>
    </row>
    <row r="391" spans="1:66" x14ac:dyDescent="0.35">
      <c r="A391" t="s">
        <v>790</v>
      </c>
      <c r="B391" s="44" t="s">
        <v>48</v>
      </c>
      <c r="C391" t="s">
        <v>796</v>
      </c>
      <c r="D391" t="s">
        <v>795</v>
      </c>
      <c r="E391" t="s">
        <v>791</v>
      </c>
      <c r="F391" t="s">
        <v>788</v>
      </c>
      <c r="G391" t="s">
        <v>47</v>
      </c>
      <c r="H391">
        <v>0</v>
      </c>
      <c r="I391" s="60" t="s">
        <v>51</v>
      </c>
      <c r="J391" s="33" t="s">
        <v>45</v>
      </c>
      <c r="K391" s="46">
        <v>1</v>
      </c>
      <c r="L391">
        <v>100</v>
      </c>
      <c r="M391" t="s">
        <v>48</v>
      </c>
      <c r="N391" s="46">
        <v>1</v>
      </c>
      <c r="O391" s="46">
        <v>0</v>
      </c>
      <c r="P391" s="46">
        <v>0</v>
      </c>
      <c r="Q391" t="s">
        <v>48</v>
      </c>
      <c r="R391" t="s">
        <v>48</v>
      </c>
      <c r="S391" t="s">
        <v>792</v>
      </c>
      <c r="T391" t="s">
        <v>793</v>
      </c>
      <c r="U391" t="s">
        <v>792</v>
      </c>
      <c r="V391" s="47">
        <v>0</v>
      </c>
      <c r="W391" t="s">
        <v>48</v>
      </c>
      <c r="X391" t="s">
        <v>48</v>
      </c>
      <c r="Y391" t="s">
        <v>48</v>
      </c>
      <c r="Z391">
        <v>0</v>
      </c>
      <c r="AA391" t="s">
        <v>48</v>
      </c>
      <c r="AB391" t="s">
        <v>794</v>
      </c>
      <c r="AC391" t="s">
        <v>63</v>
      </c>
      <c r="AD391" t="s">
        <v>93</v>
      </c>
      <c r="AE391" t="s">
        <v>4532</v>
      </c>
      <c r="AF391" t="s">
        <v>48</v>
      </c>
      <c r="AG391" t="s">
        <v>151</v>
      </c>
      <c r="AH391" t="s">
        <v>93</v>
      </c>
      <c r="AI391">
        <v>21757</v>
      </c>
      <c r="AJ391">
        <v>1958</v>
      </c>
      <c r="AK391" t="s">
        <v>8682</v>
      </c>
      <c r="AL391" t="s">
        <v>8683</v>
      </c>
      <c r="AM391">
        <v>0.60699999999999998</v>
      </c>
      <c r="AN391">
        <v>-5.8999999999999997E-2</v>
      </c>
      <c r="AO391">
        <v>0.60699999999999998</v>
      </c>
      <c r="AP391" s="46">
        <v>0</v>
      </c>
      <c r="AQ391" s="46">
        <v>0</v>
      </c>
      <c r="AR391" s="46">
        <v>0</v>
      </c>
      <c r="AS391" s="46">
        <v>0</v>
      </c>
      <c r="AT391" s="46">
        <v>0</v>
      </c>
      <c r="AU391" s="46">
        <v>0</v>
      </c>
      <c r="AV391" s="46">
        <v>0</v>
      </c>
      <c r="AW391" s="46">
        <v>0</v>
      </c>
      <c r="AX391" s="46">
        <v>0</v>
      </c>
      <c r="AY391" s="46">
        <v>0</v>
      </c>
      <c r="AZ391" s="46">
        <v>0</v>
      </c>
      <c r="BA391" s="46">
        <v>0</v>
      </c>
      <c r="BB391" s="46">
        <v>1</v>
      </c>
      <c r="BC391" s="46">
        <v>0</v>
      </c>
      <c r="BD391" s="46">
        <v>0</v>
      </c>
      <c r="BE391" s="46">
        <v>0</v>
      </c>
      <c r="BF391" s="46">
        <v>1</v>
      </c>
      <c r="BG391" s="46">
        <v>1</v>
      </c>
      <c r="BH391" s="46">
        <v>0</v>
      </c>
      <c r="BI391" s="46">
        <v>0</v>
      </c>
      <c r="BJ391" s="46">
        <v>0</v>
      </c>
      <c r="BK391" s="46">
        <v>0</v>
      </c>
      <c r="BL391" s="46">
        <v>0</v>
      </c>
      <c r="BM391" s="46">
        <v>0</v>
      </c>
      <c r="BN391" s="46">
        <v>1</v>
      </c>
    </row>
    <row r="392" spans="1:66" x14ac:dyDescent="0.35">
      <c r="A392" t="s">
        <v>801</v>
      </c>
      <c r="B392" s="44" t="s">
        <v>48</v>
      </c>
      <c r="C392" t="s">
        <v>805</v>
      </c>
      <c r="D392" t="s">
        <v>437</v>
      </c>
      <c r="E392" t="s">
        <v>802</v>
      </c>
      <c r="F392" t="s">
        <v>717</v>
      </c>
      <c r="G392" t="s">
        <v>47</v>
      </c>
      <c r="H392">
        <v>0</v>
      </c>
      <c r="I392" s="60" t="s">
        <v>51</v>
      </c>
      <c r="J392" s="33" t="s">
        <v>45</v>
      </c>
      <c r="K392" s="46">
        <v>1</v>
      </c>
      <c r="L392">
        <v>65.599999999999994</v>
      </c>
      <c r="M392" t="s">
        <v>48</v>
      </c>
      <c r="N392" s="46">
        <v>1</v>
      </c>
      <c r="O392" s="46">
        <v>0</v>
      </c>
      <c r="P392" s="46">
        <v>0</v>
      </c>
      <c r="Q392" t="s">
        <v>48</v>
      </c>
      <c r="R392" t="s">
        <v>48</v>
      </c>
      <c r="S392" t="s">
        <v>803</v>
      </c>
      <c r="T392" t="s">
        <v>804</v>
      </c>
      <c r="U392" t="s">
        <v>803</v>
      </c>
      <c r="V392" s="47">
        <v>0</v>
      </c>
      <c r="W392" t="s">
        <v>48</v>
      </c>
      <c r="X392" t="s">
        <v>48</v>
      </c>
      <c r="Y392" t="s">
        <v>48</v>
      </c>
      <c r="Z392">
        <v>0</v>
      </c>
      <c r="AA392" t="s">
        <v>48</v>
      </c>
      <c r="AB392">
        <v>2010</v>
      </c>
      <c r="AC392" t="s">
        <v>49</v>
      </c>
      <c r="AD392" t="s">
        <v>93</v>
      </c>
      <c r="AE392" t="s">
        <v>4532</v>
      </c>
      <c r="AF392" t="s">
        <v>48</v>
      </c>
      <c r="AG392" t="s">
        <v>140</v>
      </c>
      <c r="AH392" t="s">
        <v>93</v>
      </c>
      <c r="AI392">
        <v>21103</v>
      </c>
      <c r="AJ392">
        <v>1958</v>
      </c>
      <c r="AK392" t="s">
        <v>8674</v>
      </c>
      <c r="AL392" t="s">
        <v>8675</v>
      </c>
      <c r="AM392">
        <v>0.69699999999999995</v>
      </c>
      <c r="AN392">
        <v>-0.47799999999999998</v>
      </c>
      <c r="AO392">
        <v>0.69699999999999995</v>
      </c>
      <c r="AP392" s="46">
        <v>0</v>
      </c>
      <c r="AQ392" s="46">
        <v>0</v>
      </c>
      <c r="AR392" s="46">
        <v>0</v>
      </c>
      <c r="AS392" s="46">
        <v>0</v>
      </c>
      <c r="AT392" s="46">
        <v>0</v>
      </c>
      <c r="AU392" s="46">
        <v>0</v>
      </c>
      <c r="AV392" s="46">
        <v>0</v>
      </c>
      <c r="AW392" s="46">
        <v>0</v>
      </c>
      <c r="AX392" s="46">
        <v>0</v>
      </c>
      <c r="AY392" s="46">
        <v>0</v>
      </c>
      <c r="AZ392" s="46">
        <v>0</v>
      </c>
      <c r="BA392" s="46">
        <v>0</v>
      </c>
      <c r="BB392" s="46">
        <v>1</v>
      </c>
      <c r="BC392" s="46">
        <v>0</v>
      </c>
      <c r="BD392" s="46">
        <v>0</v>
      </c>
      <c r="BE392" s="46">
        <v>0</v>
      </c>
      <c r="BF392" s="46">
        <v>1</v>
      </c>
      <c r="BG392" s="46">
        <v>1</v>
      </c>
      <c r="BH392" s="46">
        <v>0</v>
      </c>
      <c r="BI392" s="46">
        <v>0</v>
      </c>
      <c r="BJ392" s="46">
        <v>0</v>
      </c>
      <c r="BK392" s="46">
        <v>0</v>
      </c>
      <c r="BL392" s="46">
        <v>0</v>
      </c>
      <c r="BM392" s="46">
        <v>0</v>
      </c>
      <c r="BN392" s="46">
        <v>1</v>
      </c>
    </row>
    <row r="393" spans="1:66" x14ac:dyDescent="0.35">
      <c r="A393" t="s">
        <v>854</v>
      </c>
      <c r="B393" s="44" t="s">
        <v>48</v>
      </c>
      <c r="C393" t="s">
        <v>859</v>
      </c>
      <c r="D393" t="s">
        <v>858</v>
      </c>
      <c r="E393" t="s">
        <v>855</v>
      </c>
      <c r="F393" t="s">
        <v>846</v>
      </c>
      <c r="G393" t="s">
        <v>47</v>
      </c>
      <c r="H393">
        <v>0</v>
      </c>
      <c r="I393" s="60" t="s">
        <v>51</v>
      </c>
      <c r="J393" s="33" t="s">
        <v>45</v>
      </c>
      <c r="K393" s="46">
        <v>1</v>
      </c>
      <c r="L393">
        <v>57</v>
      </c>
      <c r="M393" t="s">
        <v>48</v>
      </c>
      <c r="N393" s="46">
        <v>1</v>
      </c>
      <c r="O393" s="46">
        <v>0</v>
      </c>
      <c r="P393" s="46">
        <v>0</v>
      </c>
      <c r="Q393" t="s">
        <v>48</v>
      </c>
      <c r="R393" t="s">
        <v>48</v>
      </c>
      <c r="S393" t="s">
        <v>856</v>
      </c>
      <c r="T393" t="s">
        <v>857</v>
      </c>
      <c r="U393" t="s">
        <v>856</v>
      </c>
      <c r="V393" s="47">
        <v>0</v>
      </c>
      <c r="W393" t="s">
        <v>11318</v>
      </c>
      <c r="X393" t="s">
        <v>48</v>
      </c>
      <c r="Y393" t="s">
        <v>48</v>
      </c>
      <c r="Z393">
        <v>0</v>
      </c>
      <c r="AA393" t="s">
        <v>48</v>
      </c>
      <c r="AB393">
        <v>2012</v>
      </c>
      <c r="AC393" t="s">
        <v>49</v>
      </c>
      <c r="AD393" t="s">
        <v>93</v>
      </c>
      <c r="AE393" t="s">
        <v>4532</v>
      </c>
      <c r="AF393" t="s">
        <v>48</v>
      </c>
      <c r="AG393" t="s">
        <v>112</v>
      </c>
      <c r="AH393" t="s">
        <v>93</v>
      </c>
      <c r="AI393">
        <v>21302</v>
      </c>
      <c r="AJ393">
        <v>1960</v>
      </c>
      <c r="AK393" t="s">
        <v>8686</v>
      </c>
      <c r="AL393" t="s">
        <v>8687</v>
      </c>
      <c r="AM393">
        <v>0.53300000000000003</v>
      </c>
      <c r="AN393">
        <v>4.2000000000000003E-2</v>
      </c>
      <c r="AO393">
        <v>0.53300000000000003</v>
      </c>
      <c r="AP393" s="46">
        <v>0</v>
      </c>
      <c r="AQ393" s="46">
        <v>0</v>
      </c>
      <c r="AR393" s="46">
        <v>0</v>
      </c>
      <c r="AS393" s="46">
        <v>0</v>
      </c>
      <c r="AT393" s="46">
        <v>0</v>
      </c>
      <c r="AU393" s="46">
        <v>0</v>
      </c>
      <c r="AV393" s="46">
        <v>0</v>
      </c>
      <c r="AW393" s="46">
        <v>0</v>
      </c>
      <c r="AX393" s="46">
        <v>0</v>
      </c>
      <c r="AY393" s="46">
        <v>0</v>
      </c>
      <c r="AZ393" s="46">
        <v>0</v>
      </c>
      <c r="BA393" s="46">
        <v>0</v>
      </c>
      <c r="BB393" s="46">
        <v>1</v>
      </c>
      <c r="BC393" s="46">
        <v>0</v>
      </c>
      <c r="BD393" s="46">
        <v>0</v>
      </c>
      <c r="BE393" s="46">
        <v>0</v>
      </c>
      <c r="BF393" s="46">
        <v>0</v>
      </c>
      <c r="BG393" s="46">
        <v>1</v>
      </c>
      <c r="BH393" s="46">
        <v>0</v>
      </c>
      <c r="BI393" s="46">
        <v>0</v>
      </c>
      <c r="BJ393" s="46">
        <v>0</v>
      </c>
      <c r="BK393" s="46">
        <v>0</v>
      </c>
      <c r="BL393" s="46">
        <v>0</v>
      </c>
      <c r="BM393" s="46">
        <v>0</v>
      </c>
      <c r="BN393" s="46">
        <v>0</v>
      </c>
    </row>
    <row r="394" spans="1:66" x14ac:dyDescent="0.35">
      <c r="A394" t="s">
        <v>862</v>
      </c>
      <c r="B394" s="44" t="s">
        <v>48</v>
      </c>
      <c r="C394" t="s">
        <v>866</v>
      </c>
      <c r="D394" t="s">
        <v>865</v>
      </c>
      <c r="E394" t="s">
        <v>863</v>
      </c>
      <c r="F394" t="s">
        <v>846</v>
      </c>
      <c r="G394" t="s">
        <v>74</v>
      </c>
      <c r="H394">
        <v>0</v>
      </c>
      <c r="I394" s="60" t="s">
        <v>51</v>
      </c>
      <c r="J394" s="33" t="s">
        <v>45</v>
      </c>
      <c r="K394" s="46">
        <v>0</v>
      </c>
      <c r="L394">
        <v>32.9</v>
      </c>
      <c r="M394" t="s">
        <v>48</v>
      </c>
      <c r="N394" s="46">
        <v>1</v>
      </c>
      <c r="O394" s="46">
        <v>0</v>
      </c>
      <c r="P394" s="46">
        <v>0</v>
      </c>
      <c r="Q394" t="s">
        <v>48</v>
      </c>
      <c r="R394" t="s">
        <v>48</v>
      </c>
      <c r="S394" t="s">
        <v>864</v>
      </c>
      <c r="T394" t="s">
        <v>48</v>
      </c>
      <c r="U394" t="s">
        <v>864</v>
      </c>
      <c r="V394" s="47">
        <v>0</v>
      </c>
      <c r="W394" t="s">
        <v>48</v>
      </c>
      <c r="X394" t="s">
        <v>48</v>
      </c>
      <c r="Y394" t="s">
        <v>48</v>
      </c>
      <c r="Z394">
        <v>0</v>
      </c>
      <c r="AA394" t="s">
        <v>48</v>
      </c>
      <c r="AB394" t="s">
        <v>48</v>
      </c>
      <c r="AC394" t="s">
        <v>49</v>
      </c>
      <c r="AD394" t="s">
        <v>93</v>
      </c>
      <c r="AE394" t="s">
        <v>4532</v>
      </c>
      <c r="AF394" t="s">
        <v>48</v>
      </c>
      <c r="AG394" t="s">
        <v>48</v>
      </c>
      <c r="AH394" t="s">
        <v>48</v>
      </c>
      <c r="AI394" t="s">
        <v>48</v>
      </c>
      <c r="AJ394" t="s">
        <v>48</v>
      </c>
      <c r="AK394" t="s">
        <v>48</v>
      </c>
      <c r="AL394" t="s">
        <v>48</v>
      </c>
      <c r="AM394" t="s">
        <v>48</v>
      </c>
      <c r="AN394" t="s">
        <v>48</v>
      </c>
      <c r="AO394" t="s">
        <v>48</v>
      </c>
      <c r="AP394" s="46">
        <v>0</v>
      </c>
      <c r="AQ394" s="46">
        <v>0</v>
      </c>
      <c r="AR394" s="46">
        <v>0</v>
      </c>
      <c r="AS394" s="46">
        <v>0</v>
      </c>
      <c r="AT394" s="46">
        <v>0</v>
      </c>
      <c r="AU394" s="46">
        <v>0</v>
      </c>
      <c r="AV394" s="46">
        <v>0</v>
      </c>
      <c r="AW394" s="46">
        <v>0</v>
      </c>
      <c r="AX394" s="46">
        <v>0</v>
      </c>
      <c r="AY394" s="46">
        <v>0</v>
      </c>
      <c r="AZ394" s="46">
        <v>0</v>
      </c>
      <c r="BA394" s="46">
        <v>0</v>
      </c>
      <c r="BB394" s="46">
        <v>0</v>
      </c>
      <c r="BC394" s="46">
        <v>0</v>
      </c>
      <c r="BD394" s="46">
        <v>0</v>
      </c>
      <c r="BE394" s="46">
        <v>0</v>
      </c>
      <c r="BF394" s="46">
        <v>0</v>
      </c>
      <c r="BG394" s="46" t="s">
        <v>48</v>
      </c>
      <c r="BH394" s="46">
        <v>0</v>
      </c>
      <c r="BI394" s="46">
        <v>0</v>
      </c>
      <c r="BJ394" s="46">
        <v>0</v>
      </c>
      <c r="BK394" s="46">
        <v>0</v>
      </c>
      <c r="BL394" s="46">
        <v>0</v>
      </c>
      <c r="BM394" s="46">
        <v>0</v>
      </c>
      <c r="BN394" s="46">
        <v>0</v>
      </c>
    </row>
    <row r="395" spans="1:66" x14ac:dyDescent="0.35">
      <c r="A395" t="s">
        <v>8154</v>
      </c>
      <c r="B395" s="44" t="s">
        <v>48</v>
      </c>
      <c r="C395" t="s">
        <v>11615</v>
      </c>
      <c r="D395" t="s">
        <v>394</v>
      </c>
      <c r="E395" t="s">
        <v>8155</v>
      </c>
      <c r="F395" t="s">
        <v>868</v>
      </c>
      <c r="G395" t="s">
        <v>47</v>
      </c>
      <c r="H395">
        <v>0</v>
      </c>
      <c r="I395" s="61">
        <v>44729</v>
      </c>
      <c r="J395" s="33" t="s">
        <v>45</v>
      </c>
      <c r="K395" s="46">
        <v>0</v>
      </c>
      <c r="L395">
        <v>8.1999999999999993</v>
      </c>
      <c r="M395" t="s">
        <v>48</v>
      </c>
      <c r="N395" s="46">
        <v>1</v>
      </c>
      <c r="O395" s="46">
        <v>0</v>
      </c>
      <c r="P395" s="46">
        <v>0</v>
      </c>
      <c r="Q395" t="s">
        <v>48</v>
      </c>
      <c r="R395" t="s">
        <v>48</v>
      </c>
      <c r="S395" t="s">
        <v>48</v>
      </c>
      <c r="T395" t="s">
        <v>48</v>
      </c>
      <c r="U395" t="s">
        <v>48</v>
      </c>
      <c r="V395" s="47">
        <v>1</v>
      </c>
      <c r="W395" t="s">
        <v>11264</v>
      </c>
      <c r="X395" t="s">
        <v>48</v>
      </c>
      <c r="Y395" t="s">
        <v>48</v>
      </c>
      <c r="Z395" t="s">
        <v>48</v>
      </c>
      <c r="AA395" t="s">
        <v>48</v>
      </c>
      <c r="AB395" t="s">
        <v>48</v>
      </c>
      <c r="AC395" t="s">
        <v>49</v>
      </c>
      <c r="AD395" t="s">
        <v>93</v>
      </c>
      <c r="AE395" t="s">
        <v>4532</v>
      </c>
      <c r="AF395" t="s">
        <v>48</v>
      </c>
      <c r="AG395" t="s">
        <v>48</v>
      </c>
      <c r="AH395" t="s">
        <v>48</v>
      </c>
      <c r="AI395" t="s">
        <v>48</v>
      </c>
      <c r="AJ395" t="s">
        <v>48</v>
      </c>
      <c r="AK395" t="s">
        <v>48</v>
      </c>
      <c r="AL395" t="s">
        <v>48</v>
      </c>
      <c r="AM395" t="s">
        <v>48</v>
      </c>
      <c r="AN395" t="s">
        <v>48</v>
      </c>
      <c r="AO395" t="s">
        <v>48</v>
      </c>
      <c r="AP395" s="46">
        <v>0</v>
      </c>
      <c r="AQ395" s="46">
        <v>0</v>
      </c>
      <c r="AR395" s="46">
        <v>0</v>
      </c>
      <c r="AS395" s="46">
        <v>0</v>
      </c>
      <c r="AT395" s="46">
        <v>0</v>
      </c>
      <c r="AU395" s="46">
        <v>0</v>
      </c>
      <c r="AV395" s="46">
        <v>0</v>
      </c>
      <c r="AW395" s="46">
        <v>0</v>
      </c>
      <c r="AX395" s="46">
        <v>0</v>
      </c>
      <c r="AY395" s="46">
        <v>0</v>
      </c>
      <c r="AZ395" s="46">
        <v>0</v>
      </c>
      <c r="BA395" s="46">
        <v>0</v>
      </c>
      <c r="BB395" s="46">
        <v>0</v>
      </c>
      <c r="BC395" s="46">
        <v>0</v>
      </c>
      <c r="BD395" s="46">
        <v>0</v>
      </c>
      <c r="BE395" s="46">
        <v>0</v>
      </c>
      <c r="BF395" s="46">
        <v>0</v>
      </c>
      <c r="BG395" s="46" t="s">
        <v>48</v>
      </c>
      <c r="BH395" s="46">
        <v>0</v>
      </c>
      <c r="BI395" s="46">
        <v>0</v>
      </c>
      <c r="BJ395" s="46">
        <v>0</v>
      </c>
      <c r="BK395" s="46">
        <v>0</v>
      </c>
      <c r="BL395" s="46">
        <v>0</v>
      </c>
      <c r="BM395" s="46">
        <v>0</v>
      </c>
      <c r="BN395" s="46">
        <v>0</v>
      </c>
    </row>
    <row r="396" spans="1:66" x14ac:dyDescent="0.35">
      <c r="A396" t="s">
        <v>872</v>
      </c>
      <c r="B396" s="44" t="s">
        <v>48</v>
      </c>
      <c r="C396" t="s">
        <v>878</v>
      </c>
      <c r="D396" t="s">
        <v>877</v>
      </c>
      <c r="E396" t="s">
        <v>873</v>
      </c>
      <c r="F396" t="s">
        <v>868</v>
      </c>
      <c r="G396" t="s">
        <v>74</v>
      </c>
      <c r="H396">
        <v>0</v>
      </c>
      <c r="I396" s="60" t="s">
        <v>51</v>
      </c>
      <c r="J396" s="33" t="s">
        <v>45</v>
      </c>
      <c r="K396" s="46">
        <v>1</v>
      </c>
      <c r="L396">
        <v>69.2</v>
      </c>
      <c r="M396" t="s">
        <v>48</v>
      </c>
      <c r="N396" s="46">
        <v>1</v>
      </c>
      <c r="O396" s="46">
        <v>0</v>
      </c>
      <c r="P396" s="46">
        <v>0</v>
      </c>
      <c r="Q396" t="s">
        <v>48</v>
      </c>
      <c r="R396" t="s">
        <v>48</v>
      </c>
      <c r="S396" t="s">
        <v>874</v>
      </c>
      <c r="T396" t="s">
        <v>875</v>
      </c>
      <c r="U396" t="s">
        <v>874</v>
      </c>
      <c r="V396" s="47">
        <v>0</v>
      </c>
      <c r="W396" t="s">
        <v>48</v>
      </c>
      <c r="X396" t="s">
        <v>48</v>
      </c>
      <c r="Y396" t="s">
        <v>48</v>
      </c>
      <c r="Z396">
        <v>0</v>
      </c>
      <c r="AA396" t="s">
        <v>48</v>
      </c>
      <c r="AB396">
        <v>2012</v>
      </c>
      <c r="AC396" t="s">
        <v>49</v>
      </c>
      <c r="AD396" t="s">
        <v>93</v>
      </c>
      <c r="AE396" t="s">
        <v>4532</v>
      </c>
      <c r="AF396" t="s">
        <v>48</v>
      </c>
      <c r="AG396" t="s">
        <v>876</v>
      </c>
      <c r="AH396" t="s">
        <v>93</v>
      </c>
      <c r="AI396">
        <v>21303</v>
      </c>
      <c r="AJ396">
        <v>1964</v>
      </c>
      <c r="AK396" t="s">
        <v>8688</v>
      </c>
      <c r="AL396" t="s">
        <v>8689</v>
      </c>
      <c r="AM396">
        <v>-0.42899999999999999</v>
      </c>
      <c r="AN396">
        <v>-0.54500000000000004</v>
      </c>
      <c r="AO396">
        <v>-0.42899999999999999</v>
      </c>
      <c r="AP396" s="46">
        <v>0</v>
      </c>
      <c r="AQ396" s="46">
        <v>0</v>
      </c>
      <c r="AR396" s="46">
        <v>0</v>
      </c>
      <c r="AS396" s="46">
        <v>0</v>
      </c>
      <c r="AT396" s="46">
        <v>1</v>
      </c>
      <c r="AU396" s="46">
        <v>0</v>
      </c>
      <c r="AV396" s="46">
        <v>0</v>
      </c>
      <c r="AW396" s="46">
        <v>0</v>
      </c>
      <c r="AX396" s="46">
        <v>0</v>
      </c>
      <c r="AY396" s="46">
        <v>0</v>
      </c>
      <c r="AZ396" s="46">
        <v>0</v>
      </c>
      <c r="BA396" s="46">
        <v>0</v>
      </c>
      <c r="BB396" s="46">
        <v>0</v>
      </c>
      <c r="BC396" s="46">
        <v>0</v>
      </c>
      <c r="BD396" s="46">
        <v>0</v>
      </c>
      <c r="BE396" s="46">
        <v>0</v>
      </c>
      <c r="BF396" s="46">
        <v>0</v>
      </c>
      <c r="BG396" s="46" t="s">
        <v>48</v>
      </c>
      <c r="BH396" s="46">
        <v>0</v>
      </c>
      <c r="BI396" s="46">
        <v>0</v>
      </c>
      <c r="BJ396" s="46">
        <v>0</v>
      </c>
      <c r="BK396" s="46">
        <v>0</v>
      </c>
      <c r="BL396" s="46">
        <v>0</v>
      </c>
      <c r="BM396" s="46">
        <v>0</v>
      </c>
      <c r="BN396" s="46">
        <v>0</v>
      </c>
    </row>
    <row r="397" spans="1:66" x14ac:dyDescent="0.35">
      <c r="A397" t="s">
        <v>891</v>
      </c>
      <c r="B397" s="44" t="s">
        <v>48</v>
      </c>
      <c r="C397" t="s">
        <v>886</v>
      </c>
      <c r="D397" t="s">
        <v>893</v>
      </c>
      <c r="E397" t="s">
        <v>7997</v>
      </c>
      <c r="F397" t="s">
        <v>880</v>
      </c>
      <c r="G397" t="s">
        <v>74</v>
      </c>
      <c r="H397">
        <v>0</v>
      </c>
      <c r="I397" s="61">
        <v>44729</v>
      </c>
      <c r="J397" s="33" t="s">
        <v>45</v>
      </c>
      <c r="K397" s="46">
        <v>0</v>
      </c>
      <c r="L397">
        <v>40.1</v>
      </c>
      <c r="M397" s="41" t="s">
        <v>48</v>
      </c>
      <c r="N397" s="46">
        <v>1</v>
      </c>
      <c r="O397" s="46">
        <v>0</v>
      </c>
      <c r="P397" s="46">
        <v>0</v>
      </c>
      <c r="Q397" s="41" t="s">
        <v>48</v>
      </c>
      <c r="R397" s="41" t="s">
        <v>48</v>
      </c>
      <c r="S397" t="s">
        <v>10010</v>
      </c>
      <c r="T397" t="s">
        <v>48</v>
      </c>
      <c r="U397" t="s">
        <v>10010</v>
      </c>
      <c r="V397" s="47">
        <v>0</v>
      </c>
      <c r="W397" t="s">
        <v>48</v>
      </c>
      <c r="X397" t="s">
        <v>48</v>
      </c>
      <c r="Y397" t="s">
        <v>48</v>
      </c>
      <c r="Z397">
        <v>0</v>
      </c>
      <c r="AA397" t="s">
        <v>48</v>
      </c>
      <c r="AB397" t="s">
        <v>48</v>
      </c>
      <c r="AC397" t="s">
        <v>49</v>
      </c>
      <c r="AD397" t="s">
        <v>93</v>
      </c>
      <c r="AE397" t="s">
        <v>2471</v>
      </c>
      <c r="AF397" t="s">
        <v>48</v>
      </c>
      <c r="AG397" t="s">
        <v>48</v>
      </c>
      <c r="AH397" t="s">
        <v>48</v>
      </c>
      <c r="AI397" t="s">
        <v>48</v>
      </c>
      <c r="AJ397" t="s">
        <v>48</v>
      </c>
      <c r="AK397" t="s">
        <v>48</v>
      </c>
      <c r="AL397" t="s">
        <v>48</v>
      </c>
      <c r="AM397" t="s">
        <v>48</v>
      </c>
      <c r="AN397" t="s">
        <v>48</v>
      </c>
      <c r="AO397" t="s">
        <v>48</v>
      </c>
      <c r="AP397" s="46">
        <v>0</v>
      </c>
      <c r="AQ397" s="46">
        <v>0</v>
      </c>
      <c r="AR397" s="46">
        <v>0</v>
      </c>
      <c r="AS397" s="46">
        <v>0</v>
      </c>
      <c r="AT397" s="46">
        <v>0</v>
      </c>
      <c r="AU397" s="46">
        <v>0</v>
      </c>
      <c r="AV397" s="46">
        <v>0</v>
      </c>
      <c r="AW397" s="46">
        <v>0</v>
      </c>
      <c r="AX397" s="46">
        <v>0</v>
      </c>
      <c r="AY397" s="46">
        <v>0</v>
      </c>
      <c r="AZ397" s="46">
        <v>0</v>
      </c>
      <c r="BA397" s="46">
        <v>0</v>
      </c>
      <c r="BB397" s="46">
        <v>0</v>
      </c>
      <c r="BC397" s="46">
        <v>0</v>
      </c>
      <c r="BD397" s="46">
        <v>0</v>
      </c>
      <c r="BE397" s="46">
        <v>0</v>
      </c>
      <c r="BF397" s="46">
        <v>0</v>
      </c>
      <c r="BG397" s="46" t="s">
        <v>48</v>
      </c>
      <c r="BH397" s="46">
        <v>0</v>
      </c>
      <c r="BI397" s="46">
        <v>0</v>
      </c>
      <c r="BJ397" s="46">
        <v>0</v>
      </c>
      <c r="BK397" s="46">
        <v>0</v>
      </c>
      <c r="BL397" s="46">
        <v>0</v>
      </c>
      <c r="BM397" s="46">
        <v>0</v>
      </c>
      <c r="BN397" s="46">
        <v>0</v>
      </c>
    </row>
    <row r="398" spans="1:66" x14ac:dyDescent="0.35">
      <c r="A398" t="s">
        <v>887</v>
      </c>
      <c r="B398" s="44" t="s">
        <v>48</v>
      </c>
      <c r="C398" t="s">
        <v>890</v>
      </c>
      <c r="D398" t="s">
        <v>427</v>
      </c>
      <c r="E398" t="s">
        <v>888</v>
      </c>
      <c r="F398" t="s">
        <v>880</v>
      </c>
      <c r="G398" t="s">
        <v>47</v>
      </c>
      <c r="H398">
        <v>0</v>
      </c>
      <c r="I398" s="60" t="s">
        <v>125</v>
      </c>
      <c r="J398" s="33" t="s">
        <v>45</v>
      </c>
      <c r="K398" s="46">
        <v>0</v>
      </c>
      <c r="L398">
        <v>36.6</v>
      </c>
      <c r="M398" t="s">
        <v>48</v>
      </c>
      <c r="N398" s="46">
        <v>1</v>
      </c>
      <c r="O398" s="46">
        <v>0</v>
      </c>
      <c r="P398" s="46">
        <v>0</v>
      </c>
      <c r="Q398" t="s">
        <v>48</v>
      </c>
      <c r="R398" t="s">
        <v>48</v>
      </c>
      <c r="S398" t="s">
        <v>889</v>
      </c>
      <c r="T398" t="s">
        <v>48</v>
      </c>
      <c r="U398" t="s">
        <v>889</v>
      </c>
      <c r="V398" s="47">
        <v>0</v>
      </c>
      <c r="W398" t="s">
        <v>48</v>
      </c>
      <c r="X398" t="s">
        <v>48</v>
      </c>
      <c r="Y398" t="s">
        <v>48</v>
      </c>
      <c r="Z398">
        <v>0</v>
      </c>
      <c r="AA398" t="s">
        <v>48</v>
      </c>
      <c r="AB398" t="s">
        <v>48</v>
      </c>
      <c r="AC398" t="s">
        <v>49</v>
      </c>
      <c r="AD398" t="s">
        <v>93</v>
      </c>
      <c r="AE398" t="s">
        <v>4532</v>
      </c>
      <c r="AF398" t="s">
        <v>48</v>
      </c>
      <c r="AG398" t="s">
        <v>48</v>
      </c>
      <c r="AH398" t="s">
        <v>48</v>
      </c>
      <c r="AI398" t="s">
        <v>48</v>
      </c>
      <c r="AJ398" t="s">
        <v>48</v>
      </c>
      <c r="AK398" t="s">
        <v>48</v>
      </c>
      <c r="AL398" t="s">
        <v>48</v>
      </c>
      <c r="AM398" t="s">
        <v>48</v>
      </c>
      <c r="AN398" t="s">
        <v>48</v>
      </c>
      <c r="AO398" t="s">
        <v>48</v>
      </c>
      <c r="AP398" s="46">
        <v>0</v>
      </c>
      <c r="AQ398" s="46">
        <v>0</v>
      </c>
      <c r="AR398" s="46">
        <v>0</v>
      </c>
      <c r="AS398" s="46">
        <v>0</v>
      </c>
      <c r="AT398" s="46">
        <v>0</v>
      </c>
      <c r="AU398" s="46">
        <v>0</v>
      </c>
      <c r="AV398" s="46">
        <v>0</v>
      </c>
      <c r="AW398" s="46">
        <v>0</v>
      </c>
      <c r="AX398" s="46">
        <v>0</v>
      </c>
      <c r="AY398" s="46">
        <v>0</v>
      </c>
      <c r="AZ398" s="46">
        <v>0</v>
      </c>
      <c r="BA398" s="46">
        <v>0</v>
      </c>
      <c r="BB398" s="46">
        <v>0</v>
      </c>
      <c r="BC398" s="46">
        <v>1</v>
      </c>
      <c r="BD398" s="46">
        <v>0</v>
      </c>
      <c r="BE398" s="46">
        <v>0</v>
      </c>
      <c r="BF398" s="46">
        <v>0</v>
      </c>
      <c r="BG398" s="46" t="s">
        <v>48</v>
      </c>
      <c r="BH398" s="46">
        <v>0</v>
      </c>
      <c r="BI398" s="46">
        <v>0</v>
      </c>
      <c r="BJ398" s="46">
        <v>0</v>
      </c>
      <c r="BK398" s="46">
        <v>0</v>
      </c>
      <c r="BL398" s="46">
        <v>0</v>
      </c>
      <c r="BM398" s="46">
        <v>0</v>
      </c>
      <c r="BN398" s="46">
        <v>0</v>
      </c>
    </row>
    <row r="399" spans="1:66" x14ac:dyDescent="0.35">
      <c r="A399" t="s">
        <v>8164</v>
      </c>
      <c r="B399" s="44" t="s">
        <v>48</v>
      </c>
      <c r="C399" t="s">
        <v>11620</v>
      </c>
      <c r="D399" t="s">
        <v>1193</v>
      </c>
      <c r="E399" t="s">
        <v>8165</v>
      </c>
      <c r="F399" t="s">
        <v>892</v>
      </c>
      <c r="G399" t="s">
        <v>47</v>
      </c>
      <c r="H399">
        <v>0</v>
      </c>
      <c r="I399" s="61">
        <v>44729</v>
      </c>
      <c r="J399" s="33" t="s">
        <v>45</v>
      </c>
      <c r="K399" s="46">
        <v>0</v>
      </c>
      <c r="L399">
        <v>15.8</v>
      </c>
      <c r="M399" t="s">
        <v>48</v>
      </c>
      <c r="N399" s="46">
        <v>1</v>
      </c>
      <c r="O399" s="46">
        <v>0</v>
      </c>
      <c r="P399" s="46">
        <v>0</v>
      </c>
      <c r="Q399" t="s">
        <v>48</v>
      </c>
      <c r="R399" t="s">
        <v>48</v>
      </c>
      <c r="S399" t="s">
        <v>48</v>
      </c>
      <c r="T399" t="s">
        <v>48</v>
      </c>
      <c r="U399" t="s">
        <v>48</v>
      </c>
      <c r="V399" s="47">
        <v>1</v>
      </c>
      <c r="W399" t="s">
        <v>11264</v>
      </c>
      <c r="X399" t="s">
        <v>48</v>
      </c>
      <c r="Y399" t="s">
        <v>48</v>
      </c>
      <c r="Z399" t="s">
        <v>48</v>
      </c>
      <c r="AA399" t="s">
        <v>48</v>
      </c>
      <c r="AB399" t="s">
        <v>48</v>
      </c>
      <c r="AC399" t="s">
        <v>49</v>
      </c>
      <c r="AD399" t="s">
        <v>11050</v>
      </c>
      <c r="AE399" t="s">
        <v>4532</v>
      </c>
      <c r="AF399" t="s">
        <v>48</v>
      </c>
      <c r="AG399" t="s">
        <v>48</v>
      </c>
      <c r="AH399" t="s">
        <v>48</v>
      </c>
      <c r="AI399" t="s">
        <v>48</v>
      </c>
      <c r="AJ399" t="s">
        <v>48</v>
      </c>
      <c r="AK399" t="s">
        <v>48</v>
      </c>
      <c r="AL399" t="s">
        <v>48</v>
      </c>
      <c r="AM399" t="s">
        <v>48</v>
      </c>
      <c r="AN399" t="s">
        <v>48</v>
      </c>
      <c r="AO399" t="s">
        <v>48</v>
      </c>
      <c r="AP399" s="46">
        <v>0</v>
      </c>
      <c r="AQ399" s="46">
        <v>0</v>
      </c>
      <c r="AR399" s="46">
        <v>0</v>
      </c>
      <c r="AS399" s="46">
        <v>0</v>
      </c>
      <c r="AT399" s="46">
        <v>0</v>
      </c>
      <c r="AU399" s="46">
        <v>0</v>
      </c>
      <c r="AV399" s="46">
        <v>0</v>
      </c>
      <c r="AW399" s="46">
        <v>0</v>
      </c>
      <c r="AX399" s="46">
        <v>0</v>
      </c>
      <c r="AY399" s="46">
        <v>0</v>
      </c>
      <c r="AZ399" s="46">
        <v>0</v>
      </c>
      <c r="BA399" s="46">
        <v>0</v>
      </c>
      <c r="BB399" s="46">
        <v>0</v>
      </c>
      <c r="BC399" s="46">
        <v>0</v>
      </c>
      <c r="BD399" s="46">
        <v>0</v>
      </c>
      <c r="BE399" s="46">
        <v>0</v>
      </c>
      <c r="BF399" s="46">
        <v>0</v>
      </c>
      <c r="BG399" s="46" t="s">
        <v>48</v>
      </c>
      <c r="BH399" s="46">
        <v>0</v>
      </c>
      <c r="BI399" s="46">
        <v>0</v>
      </c>
      <c r="BJ399" s="46">
        <v>0</v>
      </c>
      <c r="BK399" s="46">
        <v>0</v>
      </c>
      <c r="BL399" s="46">
        <v>0</v>
      </c>
      <c r="BM399" s="46">
        <v>0</v>
      </c>
      <c r="BN399" s="46">
        <v>0</v>
      </c>
    </row>
    <row r="400" spans="1:66" x14ac:dyDescent="0.35">
      <c r="A400" t="s">
        <v>913</v>
      </c>
      <c r="B400" t="s">
        <v>48</v>
      </c>
      <c r="C400" t="s">
        <v>447</v>
      </c>
      <c r="D400" t="s">
        <v>288</v>
      </c>
      <c r="E400" t="s">
        <v>8001</v>
      </c>
      <c r="F400" t="s">
        <v>892</v>
      </c>
      <c r="G400" t="s">
        <v>74</v>
      </c>
      <c r="H400">
        <v>0</v>
      </c>
      <c r="I400" s="61">
        <v>44729</v>
      </c>
      <c r="J400" s="33" t="s">
        <v>45</v>
      </c>
      <c r="K400" s="46">
        <v>1</v>
      </c>
      <c r="L400">
        <v>67</v>
      </c>
      <c r="M400" s="41" t="s">
        <v>48</v>
      </c>
      <c r="N400" s="46">
        <v>1</v>
      </c>
      <c r="O400" s="46">
        <v>0</v>
      </c>
      <c r="P400" s="46">
        <v>0</v>
      </c>
      <c r="Q400" s="41" t="s">
        <v>48</v>
      </c>
      <c r="R400" s="41" t="s">
        <v>48</v>
      </c>
      <c r="S400" t="s">
        <v>914</v>
      </c>
      <c r="T400" t="s">
        <v>915</v>
      </c>
      <c r="U400" t="s">
        <v>914</v>
      </c>
      <c r="V400" s="47">
        <v>0</v>
      </c>
      <c r="W400" t="s">
        <v>48</v>
      </c>
      <c r="X400" t="s">
        <v>48</v>
      </c>
      <c r="Y400" t="s">
        <v>48</v>
      </c>
      <c r="Z400">
        <v>0</v>
      </c>
      <c r="AA400" t="s">
        <v>48</v>
      </c>
      <c r="AB400">
        <v>1998</v>
      </c>
      <c r="AC400" t="s">
        <v>49</v>
      </c>
      <c r="AD400" t="s">
        <v>93</v>
      </c>
      <c r="AE400" t="s">
        <v>4532</v>
      </c>
      <c r="AF400" t="s">
        <v>48</v>
      </c>
      <c r="AG400" t="s">
        <v>140</v>
      </c>
      <c r="AH400" t="s">
        <v>93</v>
      </c>
      <c r="AI400">
        <v>29901</v>
      </c>
      <c r="AJ400">
        <v>1951</v>
      </c>
      <c r="AK400" t="s">
        <v>8694</v>
      </c>
      <c r="AL400" t="s">
        <v>8695</v>
      </c>
      <c r="AM400">
        <v>-0.39500000000000002</v>
      </c>
      <c r="AN400">
        <v>6.6000000000000003E-2</v>
      </c>
      <c r="AO400">
        <v>-0.39500000000000002</v>
      </c>
      <c r="AP400" s="46">
        <v>0</v>
      </c>
      <c r="AQ400" s="46">
        <v>0</v>
      </c>
      <c r="AR400" s="46">
        <v>0</v>
      </c>
      <c r="AS400" s="46">
        <v>0</v>
      </c>
      <c r="AT400" s="46">
        <v>0</v>
      </c>
      <c r="AU400" s="46">
        <v>0</v>
      </c>
      <c r="AV400" s="46">
        <v>1</v>
      </c>
      <c r="AW400" s="46">
        <v>0</v>
      </c>
      <c r="AX400" s="46">
        <v>0</v>
      </c>
      <c r="AY400" s="46">
        <v>0</v>
      </c>
      <c r="AZ400" s="46">
        <v>0</v>
      </c>
      <c r="BA400" s="46">
        <v>0</v>
      </c>
      <c r="BB400" s="46">
        <v>0</v>
      </c>
      <c r="BC400" s="46">
        <v>0</v>
      </c>
      <c r="BD400" s="46">
        <v>0</v>
      </c>
      <c r="BE400" s="46">
        <v>0</v>
      </c>
      <c r="BF400" s="46">
        <v>0</v>
      </c>
      <c r="BG400" s="46" t="s">
        <v>48</v>
      </c>
      <c r="BH400" s="46">
        <v>0</v>
      </c>
      <c r="BI400" s="46">
        <v>0</v>
      </c>
      <c r="BJ400" s="46">
        <v>0</v>
      </c>
      <c r="BK400" s="46">
        <v>0</v>
      </c>
      <c r="BL400" s="46">
        <v>0</v>
      </c>
      <c r="BM400" s="46">
        <v>0</v>
      </c>
      <c r="BN400" s="46">
        <v>0</v>
      </c>
    </row>
    <row r="401" spans="1:66" x14ac:dyDescent="0.35">
      <c r="A401" t="s">
        <v>900</v>
      </c>
      <c r="B401" s="44" t="s">
        <v>48</v>
      </c>
      <c r="C401" t="s">
        <v>904</v>
      </c>
      <c r="D401" t="s">
        <v>288</v>
      </c>
      <c r="E401" t="s">
        <v>902</v>
      </c>
      <c r="F401" t="s">
        <v>901</v>
      </c>
      <c r="G401" t="s">
        <v>74</v>
      </c>
      <c r="H401">
        <v>0</v>
      </c>
      <c r="I401" s="60" t="s">
        <v>125</v>
      </c>
      <c r="J401" s="33" t="s">
        <v>45</v>
      </c>
      <c r="K401" s="46">
        <v>0</v>
      </c>
      <c r="L401">
        <v>33.6</v>
      </c>
      <c r="M401" t="s">
        <v>48</v>
      </c>
      <c r="N401" s="46">
        <v>1</v>
      </c>
      <c r="O401" s="46">
        <v>0</v>
      </c>
      <c r="P401" s="46">
        <v>0</v>
      </c>
      <c r="Q401" t="s">
        <v>48</v>
      </c>
      <c r="R401" t="s">
        <v>48</v>
      </c>
      <c r="S401" t="s">
        <v>903</v>
      </c>
      <c r="T401" t="s">
        <v>48</v>
      </c>
      <c r="U401" t="s">
        <v>903</v>
      </c>
      <c r="V401" s="47">
        <v>0</v>
      </c>
      <c r="W401" t="s">
        <v>48</v>
      </c>
      <c r="X401" t="s">
        <v>48</v>
      </c>
      <c r="Y401" t="s">
        <v>48</v>
      </c>
      <c r="Z401">
        <v>0</v>
      </c>
      <c r="AA401" t="s">
        <v>48</v>
      </c>
      <c r="AB401" t="s">
        <v>48</v>
      </c>
      <c r="AC401" t="s">
        <v>49</v>
      </c>
      <c r="AD401" t="s">
        <v>93</v>
      </c>
      <c r="AE401" t="s">
        <v>4532</v>
      </c>
      <c r="AF401" t="s">
        <v>48</v>
      </c>
      <c r="AG401" t="s">
        <v>48</v>
      </c>
      <c r="AH401" t="s">
        <v>48</v>
      </c>
      <c r="AI401" t="s">
        <v>48</v>
      </c>
      <c r="AJ401" t="s">
        <v>48</v>
      </c>
      <c r="AK401" t="s">
        <v>48</v>
      </c>
      <c r="AL401" t="s">
        <v>48</v>
      </c>
      <c r="AM401" t="s">
        <v>48</v>
      </c>
      <c r="AN401" t="s">
        <v>48</v>
      </c>
      <c r="AO401" t="s">
        <v>48</v>
      </c>
      <c r="AP401" s="46">
        <v>0</v>
      </c>
      <c r="AQ401" s="46">
        <v>0</v>
      </c>
      <c r="AR401" s="46">
        <v>0</v>
      </c>
      <c r="AS401" s="46">
        <v>0</v>
      </c>
      <c r="AT401" s="46">
        <v>0</v>
      </c>
      <c r="AU401" s="46">
        <v>0</v>
      </c>
      <c r="AV401" s="46">
        <v>0</v>
      </c>
      <c r="AW401" s="46">
        <v>0</v>
      </c>
      <c r="AX401" s="46">
        <v>0</v>
      </c>
      <c r="AY401" s="46">
        <v>0</v>
      </c>
      <c r="AZ401" s="46">
        <v>0</v>
      </c>
      <c r="BA401" s="46">
        <v>0</v>
      </c>
      <c r="BB401" s="46">
        <v>0</v>
      </c>
      <c r="BC401" s="46">
        <v>0</v>
      </c>
      <c r="BD401" s="46">
        <v>0</v>
      </c>
      <c r="BE401" s="46">
        <v>0</v>
      </c>
      <c r="BF401" s="46">
        <v>0</v>
      </c>
      <c r="BG401" s="46" t="s">
        <v>48</v>
      </c>
      <c r="BH401" s="46">
        <v>0</v>
      </c>
      <c r="BI401" s="46">
        <v>0</v>
      </c>
      <c r="BJ401" s="46">
        <v>0</v>
      </c>
      <c r="BK401" s="46">
        <v>0</v>
      </c>
      <c r="BL401" s="46">
        <v>0</v>
      </c>
      <c r="BM401" s="46">
        <v>0</v>
      </c>
      <c r="BN401" s="46">
        <v>0</v>
      </c>
    </row>
    <row r="402" spans="1:66" x14ac:dyDescent="0.35">
      <c r="A402" t="s">
        <v>894</v>
      </c>
      <c r="B402" s="44" t="s">
        <v>48</v>
      </c>
      <c r="C402" t="s">
        <v>897</v>
      </c>
      <c r="D402" t="s">
        <v>585</v>
      </c>
      <c r="E402" t="s">
        <v>8168</v>
      </c>
      <c r="F402" t="s">
        <v>901</v>
      </c>
      <c r="G402" t="s">
        <v>47</v>
      </c>
      <c r="H402">
        <v>0</v>
      </c>
      <c r="I402" s="61">
        <v>44729</v>
      </c>
      <c r="J402" s="33" t="s">
        <v>45</v>
      </c>
      <c r="K402" s="46">
        <v>1</v>
      </c>
      <c r="L402">
        <v>45.5</v>
      </c>
      <c r="M402" s="41" t="s">
        <v>48</v>
      </c>
      <c r="N402" s="46">
        <v>1</v>
      </c>
      <c r="O402" s="46">
        <v>0</v>
      </c>
      <c r="P402" s="46">
        <v>0</v>
      </c>
      <c r="Q402" s="41" t="s">
        <v>48</v>
      </c>
      <c r="R402" s="41" t="s">
        <v>48</v>
      </c>
      <c r="S402" t="s">
        <v>895</v>
      </c>
      <c r="T402" t="s">
        <v>896</v>
      </c>
      <c r="U402" t="s">
        <v>895</v>
      </c>
      <c r="V402" s="47">
        <v>0</v>
      </c>
      <c r="W402" t="s">
        <v>48</v>
      </c>
      <c r="X402" t="s">
        <v>48</v>
      </c>
      <c r="Y402" t="s">
        <v>48</v>
      </c>
      <c r="Z402">
        <v>0</v>
      </c>
      <c r="AA402" t="s">
        <v>48</v>
      </c>
      <c r="AB402">
        <v>2008</v>
      </c>
      <c r="AC402" t="s">
        <v>49</v>
      </c>
      <c r="AD402" t="s">
        <v>93</v>
      </c>
      <c r="AE402" t="s">
        <v>4532</v>
      </c>
      <c r="AF402" t="s">
        <v>48</v>
      </c>
      <c r="AG402" t="s">
        <v>151</v>
      </c>
      <c r="AH402" t="s">
        <v>93</v>
      </c>
      <c r="AI402">
        <v>20903</v>
      </c>
      <c r="AJ402">
        <v>1956</v>
      </c>
      <c r="AK402" t="s">
        <v>8692</v>
      </c>
      <c r="AL402" t="s">
        <v>8693</v>
      </c>
      <c r="AM402">
        <v>0.69699999999999995</v>
      </c>
      <c r="AN402">
        <v>-0.43099999999999999</v>
      </c>
      <c r="AO402">
        <v>0.69699999999999995</v>
      </c>
      <c r="AP402" s="46">
        <v>0</v>
      </c>
      <c r="AQ402" s="46">
        <v>0</v>
      </c>
      <c r="AR402" s="46">
        <v>0</v>
      </c>
      <c r="AS402" s="46">
        <v>0</v>
      </c>
      <c r="AT402" s="46">
        <v>0</v>
      </c>
      <c r="AU402" s="46">
        <v>0</v>
      </c>
      <c r="AV402" s="46">
        <v>0</v>
      </c>
      <c r="AW402" s="46">
        <v>0</v>
      </c>
      <c r="AX402" s="46">
        <v>0</v>
      </c>
      <c r="AY402" s="46">
        <v>0</v>
      </c>
      <c r="AZ402" s="46">
        <v>0</v>
      </c>
      <c r="BA402" s="46">
        <v>0</v>
      </c>
      <c r="BB402" s="46">
        <v>1</v>
      </c>
      <c r="BC402" s="46">
        <v>0</v>
      </c>
      <c r="BD402" s="46">
        <v>0</v>
      </c>
      <c r="BE402" s="46">
        <v>0</v>
      </c>
      <c r="BF402" s="46">
        <v>0</v>
      </c>
      <c r="BG402" s="46">
        <v>1</v>
      </c>
      <c r="BH402" s="46">
        <v>0</v>
      </c>
      <c r="BI402" s="46">
        <v>0</v>
      </c>
      <c r="BJ402" s="46">
        <v>0</v>
      </c>
      <c r="BK402" s="46">
        <v>0</v>
      </c>
      <c r="BL402" s="46">
        <v>0</v>
      </c>
      <c r="BM402" s="46">
        <v>0</v>
      </c>
      <c r="BN402" s="46">
        <v>1</v>
      </c>
    </row>
    <row r="403" spans="1:66" x14ac:dyDescent="0.35">
      <c r="A403" t="s">
        <v>926</v>
      </c>
      <c r="B403" t="s">
        <v>48</v>
      </c>
      <c r="C403" t="s">
        <v>932</v>
      </c>
      <c r="D403" t="s">
        <v>931</v>
      </c>
      <c r="E403" t="s">
        <v>8002</v>
      </c>
      <c r="F403" t="s">
        <v>917</v>
      </c>
      <c r="G403" t="s">
        <v>74</v>
      </c>
      <c r="H403">
        <v>0</v>
      </c>
      <c r="I403" s="61">
        <v>44729</v>
      </c>
      <c r="J403" s="33" t="s">
        <v>45</v>
      </c>
      <c r="K403" s="46">
        <v>1</v>
      </c>
      <c r="L403">
        <v>54.5</v>
      </c>
      <c r="M403" t="s">
        <v>48</v>
      </c>
      <c r="N403" s="46">
        <v>1</v>
      </c>
      <c r="O403" s="46">
        <v>0</v>
      </c>
      <c r="P403" s="46">
        <v>0</v>
      </c>
      <c r="Q403" t="s">
        <v>48</v>
      </c>
      <c r="R403" t="s">
        <v>48</v>
      </c>
      <c r="S403" t="s">
        <v>928</v>
      </c>
      <c r="T403" t="s">
        <v>929</v>
      </c>
      <c r="U403" t="s">
        <v>928</v>
      </c>
      <c r="V403" s="47">
        <v>0</v>
      </c>
      <c r="W403" t="s">
        <v>48</v>
      </c>
      <c r="X403" t="s">
        <v>48</v>
      </c>
      <c r="Y403" t="s">
        <v>48</v>
      </c>
      <c r="Z403">
        <v>0</v>
      </c>
      <c r="AA403" t="s">
        <v>48</v>
      </c>
      <c r="AB403">
        <v>2012</v>
      </c>
      <c r="AC403" t="s">
        <v>49</v>
      </c>
      <c r="AD403" t="s">
        <v>93</v>
      </c>
      <c r="AE403" t="s">
        <v>977</v>
      </c>
      <c r="AF403" t="s">
        <v>11053</v>
      </c>
      <c r="AG403" t="s">
        <v>930</v>
      </c>
      <c r="AH403" t="s">
        <v>93</v>
      </c>
      <c r="AI403">
        <v>21304</v>
      </c>
      <c r="AJ403">
        <v>1965</v>
      </c>
      <c r="AK403" t="s">
        <v>8698</v>
      </c>
      <c r="AL403" t="s">
        <v>8699</v>
      </c>
      <c r="AM403">
        <v>-0.23499999999999999</v>
      </c>
      <c r="AN403">
        <v>1.7000000000000001E-2</v>
      </c>
      <c r="AO403">
        <v>-0.23499999999999999</v>
      </c>
      <c r="AP403" s="46">
        <v>0</v>
      </c>
      <c r="AQ403" s="46">
        <v>0</v>
      </c>
      <c r="AR403" s="46">
        <v>0</v>
      </c>
      <c r="AS403" s="46">
        <v>0</v>
      </c>
      <c r="AT403" s="46">
        <v>0</v>
      </c>
      <c r="AU403" s="46">
        <v>1</v>
      </c>
      <c r="AV403" s="46">
        <v>0</v>
      </c>
      <c r="AW403" s="46">
        <v>0</v>
      </c>
      <c r="AX403" s="46">
        <v>0</v>
      </c>
      <c r="AY403" s="46">
        <v>0</v>
      </c>
      <c r="AZ403" s="46">
        <v>0</v>
      </c>
      <c r="BA403" s="46">
        <v>0</v>
      </c>
      <c r="BB403" s="46">
        <v>0</v>
      </c>
      <c r="BC403" s="46">
        <v>0</v>
      </c>
      <c r="BD403" s="46">
        <v>0</v>
      </c>
      <c r="BE403" s="46">
        <v>0</v>
      </c>
      <c r="BF403" s="46">
        <v>0</v>
      </c>
      <c r="BG403" s="46" t="s">
        <v>48</v>
      </c>
      <c r="BH403" s="46">
        <v>0</v>
      </c>
      <c r="BI403" s="46">
        <v>0</v>
      </c>
      <c r="BJ403" s="46">
        <v>0</v>
      </c>
      <c r="BK403" s="46">
        <v>0</v>
      </c>
      <c r="BL403" s="46">
        <v>1</v>
      </c>
      <c r="BM403" s="46">
        <v>0</v>
      </c>
      <c r="BN403" s="46">
        <v>0</v>
      </c>
    </row>
    <row r="404" spans="1:66" x14ac:dyDescent="0.35">
      <c r="A404" t="s">
        <v>8175</v>
      </c>
      <c r="B404" s="44" t="s">
        <v>48</v>
      </c>
      <c r="C404" t="s">
        <v>3373</v>
      </c>
      <c r="D404" t="s">
        <v>11627</v>
      </c>
      <c r="E404" t="s">
        <v>8176</v>
      </c>
      <c r="F404" t="s">
        <v>917</v>
      </c>
      <c r="G404" t="s">
        <v>47</v>
      </c>
      <c r="H404">
        <v>0</v>
      </c>
      <c r="I404" s="61">
        <v>44729</v>
      </c>
      <c r="J404" s="33" t="s">
        <v>45</v>
      </c>
      <c r="K404" s="46">
        <v>0</v>
      </c>
      <c r="L404">
        <v>17.399999999999999</v>
      </c>
      <c r="M404" t="s">
        <v>48</v>
      </c>
      <c r="N404" s="46">
        <v>1</v>
      </c>
      <c r="O404" s="46">
        <v>0</v>
      </c>
      <c r="P404" s="46">
        <v>0</v>
      </c>
      <c r="Q404" t="s">
        <v>48</v>
      </c>
      <c r="R404" t="s">
        <v>48</v>
      </c>
      <c r="S404" t="s">
        <v>10016</v>
      </c>
      <c r="T404" t="s">
        <v>48</v>
      </c>
      <c r="U404" t="s">
        <v>10016</v>
      </c>
      <c r="V404" s="47">
        <v>1</v>
      </c>
      <c r="W404" t="s">
        <v>48</v>
      </c>
      <c r="X404" t="s">
        <v>48</v>
      </c>
      <c r="Y404" t="s">
        <v>48</v>
      </c>
      <c r="Z404" t="s">
        <v>48</v>
      </c>
      <c r="AA404" t="s">
        <v>48</v>
      </c>
      <c r="AB404" t="s">
        <v>48</v>
      </c>
      <c r="AC404" t="s">
        <v>63</v>
      </c>
      <c r="AD404" t="s">
        <v>93</v>
      </c>
      <c r="AE404" t="s">
        <v>2471</v>
      </c>
      <c r="AF404" t="s">
        <v>48</v>
      </c>
      <c r="AG404" t="s">
        <v>48</v>
      </c>
      <c r="AH404" t="s">
        <v>48</v>
      </c>
      <c r="AI404" t="s">
        <v>48</v>
      </c>
      <c r="AJ404" t="s">
        <v>48</v>
      </c>
      <c r="AK404" t="s">
        <v>48</v>
      </c>
      <c r="AL404" t="s">
        <v>48</v>
      </c>
      <c r="AM404" t="s">
        <v>48</v>
      </c>
      <c r="AN404" t="s">
        <v>48</v>
      </c>
      <c r="AO404" t="s">
        <v>48</v>
      </c>
      <c r="AP404" s="46">
        <v>0</v>
      </c>
      <c r="AQ404" s="46">
        <v>0</v>
      </c>
      <c r="AR404" s="46">
        <v>0</v>
      </c>
      <c r="AS404" s="46">
        <v>0</v>
      </c>
      <c r="AT404" s="46">
        <v>0</v>
      </c>
      <c r="AU404" s="46">
        <v>0</v>
      </c>
      <c r="AV404" s="46">
        <v>0</v>
      </c>
      <c r="AW404" s="46">
        <v>0</v>
      </c>
      <c r="AX404" s="46">
        <v>0</v>
      </c>
      <c r="AY404" s="46">
        <v>0</v>
      </c>
      <c r="AZ404" s="46">
        <v>0</v>
      </c>
      <c r="BA404" s="46">
        <v>0</v>
      </c>
      <c r="BB404" s="46">
        <v>0</v>
      </c>
      <c r="BC404" s="46">
        <v>0</v>
      </c>
      <c r="BD404" s="46">
        <v>0</v>
      </c>
      <c r="BE404" s="46">
        <v>0</v>
      </c>
      <c r="BF404" s="46">
        <v>0</v>
      </c>
      <c r="BG404" s="46" t="s">
        <v>48</v>
      </c>
      <c r="BH404" s="46">
        <v>0</v>
      </c>
      <c r="BI404" s="46">
        <v>0</v>
      </c>
      <c r="BJ404" s="46">
        <v>0</v>
      </c>
      <c r="BK404" s="46">
        <v>0</v>
      </c>
      <c r="BL404" s="46">
        <v>0</v>
      </c>
      <c r="BM404" s="46">
        <v>0</v>
      </c>
      <c r="BN404" s="46">
        <v>0</v>
      </c>
    </row>
    <row r="405" spans="1:66" x14ac:dyDescent="0.35">
      <c r="A405" t="s">
        <v>920</v>
      </c>
      <c r="B405" s="44" t="s">
        <v>48</v>
      </c>
      <c r="C405" t="s">
        <v>925</v>
      </c>
      <c r="D405" t="s">
        <v>924</v>
      </c>
      <c r="E405" t="s">
        <v>8007</v>
      </c>
      <c r="F405" t="s">
        <v>927</v>
      </c>
      <c r="G405" t="s">
        <v>74</v>
      </c>
      <c r="H405">
        <v>0</v>
      </c>
      <c r="I405" s="61">
        <v>44729</v>
      </c>
      <c r="J405" s="33" t="s">
        <v>45</v>
      </c>
      <c r="K405" s="46">
        <v>1</v>
      </c>
      <c r="L405">
        <v>63.8</v>
      </c>
      <c r="M405" t="s">
        <v>48</v>
      </c>
      <c r="N405" s="46">
        <v>1</v>
      </c>
      <c r="O405" s="46">
        <v>0</v>
      </c>
      <c r="P405" s="46">
        <v>0</v>
      </c>
      <c r="Q405" t="s">
        <v>48</v>
      </c>
      <c r="R405" t="s">
        <v>48</v>
      </c>
      <c r="S405" t="s">
        <v>921</v>
      </c>
      <c r="T405" t="s">
        <v>922</v>
      </c>
      <c r="U405" t="s">
        <v>921</v>
      </c>
      <c r="V405" s="47">
        <v>0</v>
      </c>
      <c r="W405" t="s">
        <v>48</v>
      </c>
      <c r="X405" t="s">
        <v>48</v>
      </c>
      <c r="Y405" t="s">
        <v>48</v>
      </c>
      <c r="Z405">
        <v>0</v>
      </c>
      <c r="AA405" t="s">
        <v>48</v>
      </c>
      <c r="AB405" t="s">
        <v>923</v>
      </c>
      <c r="AC405" t="s">
        <v>63</v>
      </c>
      <c r="AD405" t="s">
        <v>93</v>
      </c>
      <c r="AE405" t="s">
        <v>977</v>
      </c>
      <c r="AF405" t="s">
        <v>11056</v>
      </c>
      <c r="AG405" t="s">
        <v>479</v>
      </c>
      <c r="AH405" t="s">
        <v>93</v>
      </c>
      <c r="AI405">
        <v>20538</v>
      </c>
      <c r="AJ405">
        <v>1944</v>
      </c>
      <c r="AK405" t="s">
        <v>8696</v>
      </c>
      <c r="AL405" t="s">
        <v>8697</v>
      </c>
      <c r="AM405">
        <v>-0.435</v>
      </c>
      <c r="AN405">
        <v>-0.159</v>
      </c>
      <c r="AO405">
        <v>-0.435</v>
      </c>
      <c r="AP405" s="46">
        <v>0</v>
      </c>
      <c r="AQ405" s="46">
        <v>0</v>
      </c>
      <c r="AR405" s="46">
        <v>0</v>
      </c>
      <c r="AS405" s="46">
        <v>0</v>
      </c>
      <c r="AT405" s="46">
        <v>0</v>
      </c>
      <c r="AU405" s="46">
        <v>0</v>
      </c>
      <c r="AV405" s="46">
        <v>0</v>
      </c>
      <c r="AW405" s="46">
        <v>0</v>
      </c>
      <c r="AX405" s="46">
        <v>0</v>
      </c>
      <c r="AY405" s="46">
        <v>0</v>
      </c>
      <c r="AZ405" s="46">
        <v>0</v>
      </c>
      <c r="BA405" s="46">
        <v>0</v>
      </c>
      <c r="BB405" s="46">
        <v>0</v>
      </c>
      <c r="BC405" s="46">
        <v>0</v>
      </c>
      <c r="BD405" s="46">
        <v>0</v>
      </c>
      <c r="BE405" s="46">
        <v>0</v>
      </c>
      <c r="BF405" s="46">
        <v>0</v>
      </c>
      <c r="BG405" s="46" t="s">
        <v>48</v>
      </c>
      <c r="BH405" s="46">
        <v>0</v>
      </c>
      <c r="BI405" s="46">
        <v>0</v>
      </c>
      <c r="BJ405" s="46">
        <v>0</v>
      </c>
      <c r="BK405" s="46">
        <v>0</v>
      </c>
      <c r="BL405" s="46">
        <v>0</v>
      </c>
      <c r="BM405" s="46">
        <v>0</v>
      </c>
      <c r="BN405" s="46">
        <v>0</v>
      </c>
    </row>
    <row r="406" spans="1:66" x14ac:dyDescent="0.35">
      <c r="A406" t="s">
        <v>936</v>
      </c>
      <c r="B406" s="44" t="s">
        <v>48</v>
      </c>
      <c r="C406" t="s">
        <v>938</v>
      </c>
      <c r="D406" t="s">
        <v>865</v>
      </c>
      <c r="E406" t="s">
        <v>937</v>
      </c>
      <c r="F406" t="s">
        <v>927</v>
      </c>
      <c r="G406" t="s">
        <v>47</v>
      </c>
      <c r="H406">
        <v>0</v>
      </c>
      <c r="I406" s="60" t="s">
        <v>125</v>
      </c>
      <c r="J406" s="33" t="s">
        <v>45</v>
      </c>
      <c r="K406" s="46">
        <v>0</v>
      </c>
      <c r="L406">
        <v>28.6</v>
      </c>
      <c r="M406" t="s">
        <v>48</v>
      </c>
      <c r="N406" s="46">
        <v>1</v>
      </c>
      <c r="O406" s="46">
        <v>0</v>
      </c>
      <c r="P406" s="46">
        <v>0</v>
      </c>
      <c r="Q406" t="s">
        <v>48</v>
      </c>
      <c r="R406" t="s">
        <v>48</v>
      </c>
      <c r="S406" t="s">
        <v>48</v>
      </c>
      <c r="T406" t="s">
        <v>48</v>
      </c>
      <c r="U406" t="s">
        <v>48</v>
      </c>
      <c r="V406" s="47">
        <v>1</v>
      </c>
      <c r="W406" t="s">
        <v>11264</v>
      </c>
      <c r="X406" t="s">
        <v>48</v>
      </c>
      <c r="Y406" t="s">
        <v>48</v>
      </c>
      <c r="Z406">
        <v>0</v>
      </c>
      <c r="AA406" t="s">
        <v>48</v>
      </c>
      <c r="AB406" t="s">
        <v>48</v>
      </c>
      <c r="AC406" t="s">
        <v>49</v>
      </c>
      <c r="AD406" t="s">
        <v>93</v>
      </c>
      <c r="AE406" t="s">
        <v>4532</v>
      </c>
      <c r="AF406" t="s">
        <v>48</v>
      </c>
      <c r="AG406" t="s">
        <v>48</v>
      </c>
      <c r="AH406" t="s">
        <v>48</v>
      </c>
      <c r="AI406" t="s">
        <v>48</v>
      </c>
      <c r="AJ406" t="s">
        <v>48</v>
      </c>
      <c r="AK406" t="s">
        <v>48</v>
      </c>
      <c r="AL406" t="s">
        <v>48</v>
      </c>
      <c r="AM406" t="s">
        <v>48</v>
      </c>
      <c r="AN406" t="s">
        <v>48</v>
      </c>
      <c r="AO406" t="s">
        <v>48</v>
      </c>
      <c r="AP406" s="46">
        <v>0</v>
      </c>
      <c r="AQ406" s="46">
        <v>0</v>
      </c>
      <c r="AR406" s="46">
        <v>0</v>
      </c>
      <c r="AS406" s="46">
        <v>0</v>
      </c>
      <c r="AT406" s="46">
        <v>0</v>
      </c>
      <c r="AU406" s="46">
        <v>0</v>
      </c>
      <c r="AV406" s="46">
        <v>0</v>
      </c>
      <c r="AW406" s="46">
        <v>0</v>
      </c>
      <c r="AX406" s="46">
        <v>0</v>
      </c>
      <c r="AY406" s="46">
        <v>0</v>
      </c>
      <c r="AZ406" s="46">
        <v>0</v>
      </c>
      <c r="BA406" s="46">
        <v>0</v>
      </c>
      <c r="BB406" s="46">
        <v>0</v>
      </c>
      <c r="BC406" s="46">
        <v>0</v>
      </c>
      <c r="BD406" s="46">
        <v>0</v>
      </c>
      <c r="BE406" s="46">
        <v>0</v>
      </c>
      <c r="BF406" s="46">
        <v>0</v>
      </c>
      <c r="BG406" s="46" t="s">
        <v>48</v>
      </c>
      <c r="BH406" s="46">
        <v>0</v>
      </c>
      <c r="BI406" s="46">
        <v>0</v>
      </c>
      <c r="BJ406" s="46">
        <v>0</v>
      </c>
      <c r="BK406" s="46">
        <v>0</v>
      </c>
      <c r="BL406" s="46">
        <v>0</v>
      </c>
      <c r="BM406" s="46">
        <v>0</v>
      </c>
      <c r="BN406" s="46">
        <v>0</v>
      </c>
    </row>
    <row r="407" spans="1:66" x14ac:dyDescent="0.35">
      <c r="A407" t="s">
        <v>939</v>
      </c>
      <c r="B407" s="44" t="s">
        <v>48</v>
      </c>
      <c r="C407" t="s">
        <v>944</v>
      </c>
      <c r="D407" t="s">
        <v>221</v>
      </c>
      <c r="E407" t="s">
        <v>9786</v>
      </c>
      <c r="F407" t="s">
        <v>940</v>
      </c>
      <c r="G407" t="s">
        <v>74</v>
      </c>
      <c r="H407">
        <v>0</v>
      </c>
      <c r="I407" s="60" t="s">
        <v>51</v>
      </c>
      <c r="J407" s="33" t="s">
        <v>45</v>
      </c>
      <c r="K407" s="46">
        <v>1</v>
      </c>
      <c r="L407">
        <v>63.3</v>
      </c>
      <c r="M407" t="s">
        <v>48</v>
      </c>
      <c r="N407" s="46">
        <v>1</v>
      </c>
      <c r="O407" s="46">
        <v>0</v>
      </c>
      <c r="P407" s="46">
        <v>0</v>
      </c>
      <c r="Q407" t="s">
        <v>48</v>
      </c>
      <c r="R407" t="s">
        <v>48</v>
      </c>
      <c r="S407" t="s">
        <v>941</v>
      </c>
      <c r="T407" t="s">
        <v>942</v>
      </c>
      <c r="U407" t="s">
        <v>941</v>
      </c>
      <c r="V407" s="47">
        <v>0</v>
      </c>
      <c r="W407" t="s">
        <v>48</v>
      </c>
      <c r="X407" t="s">
        <v>48</v>
      </c>
      <c r="Y407" t="s">
        <v>48</v>
      </c>
      <c r="Z407">
        <v>0</v>
      </c>
      <c r="AA407" t="s">
        <v>48</v>
      </c>
      <c r="AB407" t="s">
        <v>943</v>
      </c>
      <c r="AC407" t="s">
        <v>49</v>
      </c>
      <c r="AD407" t="s">
        <v>93</v>
      </c>
      <c r="AE407" t="s">
        <v>4532</v>
      </c>
      <c r="AF407" t="s">
        <v>48</v>
      </c>
      <c r="AG407" t="s">
        <v>112</v>
      </c>
      <c r="AH407" t="s">
        <v>93</v>
      </c>
      <c r="AI407">
        <v>20958</v>
      </c>
      <c r="AJ407">
        <v>1945</v>
      </c>
      <c r="AK407" t="s">
        <v>8690</v>
      </c>
      <c r="AL407" t="s">
        <v>8691</v>
      </c>
      <c r="AM407">
        <v>-0.308</v>
      </c>
      <c r="AN407">
        <v>-9.7000000000000003E-2</v>
      </c>
      <c r="AO407">
        <v>-0.308</v>
      </c>
      <c r="AP407" s="46">
        <v>0</v>
      </c>
      <c r="AQ407" s="46">
        <v>0</v>
      </c>
      <c r="AR407" s="46">
        <v>0</v>
      </c>
      <c r="AS407" s="46">
        <v>0</v>
      </c>
      <c r="AT407" s="46">
        <v>1</v>
      </c>
      <c r="AU407" s="46">
        <v>0</v>
      </c>
      <c r="AV407" s="46">
        <v>0</v>
      </c>
      <c r="AW407" s="46">
        <v>0</v>
      </c>
      <c r="AX407" s="46">
        <v>0</v>
      </c>
      <c r="AY407" s="46">
        <v>0</v>
      </c>
      <c r="AZ407" s="46">
        <v>0</v>
      </c>
      <c r="BA407" s="46">
        <v>0</v>
      </c>
      <c r="BB407" s="46">
        <v>0</v>
      </c>
      <c r="BC407" s="46">
        <v>0</v>
      </c>
      <c r="BD407" s="46">
        <v>0</v>
      </c>
      <c r="BE407" s="46">
        <v>0</v>
      </c>
      <c r="BF407" s="46">
        <v>0</v>
      </c>
      <c r="BG407" s="46" t="s">
        <v>48</v>
      </c>
      <c r="BH407" s="46">
        <v>0</v>
      </c>
      <c r="BI407" s="46">
        <v>0</v>
      </c>
      <c r="BJ407" s="46">
        <v>0</v>
      </c>
      <c r="BK407" s="46">
        <v>0</v>
      </c>
      <c r="BL407" s="46">
        <v>0</v>
      </c>
      <c r="BM407" s="46">
        <v>0</v>
      </c>
      <c r="BN407" s="46">
        <v>0</v>
      </c>
    </row>
    <row r="408" spans="1:66" x14ac:dyDescent="0.35">
      <c r="A408" t="s">
        <v>8177</v>
      </c>
      <c r="B408" s="44" t="s">
        <v>48</v>
      </c>
      <c r="C408" t="s">
        <v>11629</v>
      </c>
      <c r="D408" t="s">
        <v>1127</v>
      </c>
      <c r="E408" t="s">
        <v>8178</v>
      </c>
      <c r="F408" t="s">
        <v>940</v>
      </c>
      <c r="G408" t="s">
        <v>47</v>
      </c>
      <c r="H408">
        <v>0</v>
      </c>
      <c r="I408" s="61">
        <v>44729</v>
      </c>
      <c r="J408" s="33" t="s">
        <v>45</v>
      </c>
      <c r="K408" s="46">
        <v>0</v>
      </c>
      <c r="L408">
        <v>20.6</v>
      </c>
      <c r="M408" t="s">
        <v>48</v>
      </c>
      <c r="N408" s="46">
        <v>1</v>
      </c>
      <c r="O408" s="46">
        <v>0</v>
      </c>
      <c r="P408" s="46">
        <v>0</v>
      </c>
      <c r="Q408" t="s">
        <v>48</v>
      </c>
      <c r="R408" t="s">
        <v>48</v>
      </c>
      <c r="S408" t="s">
        <v>10019</v>
      </c>
      <c r="T408" t="s">
        <v>48</v>
      </c>
      <c r="U408" t="s">
        <v>10019</v>
      </c>
      <c r="V408" s="47">
        <v>1</v>
      </c>
      <c r="W408" t="s">
        <v>48</v>
      </c>
      <c r="X408" t="s">
        <v>48</v>
      </c>
      <c r="Y408" t="s">
        <v>48</v>
      </c>
      <c r="Z408" t="s">
        <v>48</v>
      </c>
      <c r="AA408" t="s">
        <v>48</v>
      </c>
      <c r="AB408" t="s">
        <v>48</v>
      </c>
      <c r="AC408" t="s">
        <v>49</v>
      </c>
      <c r="AD408" t="s">
        <v>93</v>
      </c>
      <c r="AE408" s="40" t="s">
        <v>11051</v>
      </c>
      <c r="AF408" t="s">
        <v>11057</v>
      </c>
      <c r="AG408" t="s">
        <v>48</v>
      </c>
      <c r="AH408" t="s">
        <v>48</v>
      </c>
      <c r="AI408" t="s">
        <v>48</v>
      </c>
      <c r="AJ408" t="s">
        <v>48</v>
      </c>
      <c r="AK408" t="s">
        <v>48</v>
      </c>
      <c r="AL408" t="s">
        <v>48</v>
      </c>
      <c r="AM408" t="s">
        <v>48</v>
      </c>
      <c r="AN408" t="s">
        <v>48</v>
      </c>
      <c r="AO408" t="s">
        <v>48</v>
      </c>
      <c r="AP408" s="46">
        <v>0</v>
      </c>
      <c r="AQ408" s="46">
        <v>0</v>
      </c>
      <c r="AR408" s="46">
        <v>0</v>
      </c>
      <c r="AS408" s="46">
        <v>0</v>
      </c>
      <c r="AT408" s="46">
        <v>0</v>
      </c>
      <c r="AU408" s="46">
        <v>0</v>
      </c>
      <c r="AV408" s="46">
        <v>0</v>
      </c>
      <c r="AW408" s="46">
        <v>0</v>
      </c>
      <c r="AX408" s="46">
        <v>0</v>
      </c>
      <c r="AY408" s="46">
        <v>0</v>
      </c>
      <c r="AZ408" s="46">
        <v>0</v>
      </c>
      <c r="BA408" s="46">
        <v>0</v>
      </c>
      <c r="BB408" s="46">
        <v>0</v>
      </c>
      <c r="BC408" s="46">
        <v>0</v>
      </c>
      <c r="BD408" s="46">
        <v>0</v>
      </c>
      <c r="BE408" s="46">
        <v>0</v>
      </c>
      <c r="BF408" s="46">
        <v>0</v>
      </c>
      <c r="BG408" s="46">
        <v>1</v>
      </c>
      <c r="BH408" s="46">
        <v>0</v>
      </c>
      <c r="BI408" s="46">
        <v>0</v>
      </c>
      <c r="BJ408" s="46">
        <v>0</v>
      </c>
      <c r="BK408" s="46">
        <v>0</v>
      </c>
      <c r="BL408" s="46">
        <v>0</v>
      </c>
      <c r="BM408" s="46">
        <v>0</v>
      </c>
      <c r="BN408" s="46">
        <v>0</v>
      </c>
    </row>
    <row r="409" spans="1:66" x14ac:dyDescent="0.35">
      <c r="A409" t="s">
        <v>989</v>
      </c>
      <c r="B409" t="s">
        <v>48</v>
      </c>
      <c r="C409" t="s">
        <v>992</v>
      </c>
      <c r="D409" t="s">
        <v>316</v>
      </c>
      <c r="E409" t="s">
        <v>8010</v>
      </c>
      <c r="F409" t="s">
        <v>969</v>
      </c>
      <c r="G409" t="s">
        <v>74</v>
      </c>
      <c r="H409">
        <v>0</v>
      </c>
      <c r="I409" s="61">
        <v>44729</v>
      </c>
      <c r="J409" s="33" t="s">
        <v>45</v>
      </c>
      <c r="K409" s="46">
        <v>1</v>
      </c>
      <c r="L409">
        <v>39</v>
      </c>
      <c r="M409" s="41" t="s">
        <v>48</v>
      </c>
      <c r="N409" s="46">
        <v>1</v>
      </c>
      <c r="O409" s="46">
        <v>0</v>
      </c>
      <c r="P409" s="46">
        <v>0</v>
      </c>
      <c r="Q409" s="41" t="s">
        <v>48</v>
      </c>
      <c r="R409" s="41" t="s">
        <v>48</v>
      </c>
      <c r="S409" t="s">
        <v>990</v>
      </c>
      <c r="T409" t="s">
        <v>991</v>
      </c>
      <c r="U409" t="s">
        <v>990</v>
      </c>
      <c r="V409" s="47">
        <v>0</v>
      </c>
      <c r="W409" t="s">
        <v>48</v>
      </c>
      <c r="X409" t="s">
        <v>48</v>
      </c>
      <c r="Y409" t="s">
        <v>48</v>
      </c>
      <c r="Z409">
        <v>0</v>
      </c>
      <c r="AA409" t="s">
        <v>48</v>
      </c>
      <c r="AB409">
        <v>2018</v>
      </c>
      <c r="AC409" t="s">
        <v>49</v>
      </c>
      <c r="AD409" t="s">
        <v>93</v>
      </c>
      <c r="AE409" t="s">
        <v>4532</v>
      </c>
      <c r="AF409" t="s">
        <v>48</v>
      </c>
      <c r="AG409" t="s">
        <v>112</v>
      </c>
      <c r="AH409" t="s">
        <v>93</v>
      </c>
      <c r="AI409">
        <v>21930</v>
      </c>
      <c r="AJ409">
        <v>1986</v>
      </c>
      <c r="AK409" t="s">
        <v>8702</v>
      </c>
      <c r="AL409" t="s">
        <v>8703</v>
      </c>
      <c r="AM409">
        <v>-0.39</v>
      </c>
      <c r="AN409">
        <v>0.72199999999999998</v>
      </c>
      <c r="AO409">
        <v>-0.39</v>
      </c>
      <c r="AP409" s="46">
        <v>0</v>
      </c>
      <c r="AQ409" s="46">
        <v>0</v>
      </c>
      <c r="AR409" s="46">
        <v>0</v>
      </c>
      <c r="AS409" s="46">
        <v>0</v>
      </c>
      <c r="AT409" s="46">
        <v>0</v>
      </c>
      <c r="AU409" s="46">
        <v>1</v>
      </c>
      <c r="AV409" s="46">
        <v>0</v>
      </c>
      <c r="AW409" s="46">
        <v>0</v>
      </c>
      <c r="AX409" s="46">
        <v>0</v>
      </c>
      <c r="AY409" s="46">
        <v>0</v>
      </c>
      <c r="AZ409" s="46">
        <v>0</v>
      </c>
      <c r="BA409" s="46">
        <v>1</v>
      </c>
      <c r="BB409" s="46">
        <v>0</v>
      </c>
      <c r="BC409" s="46">
        <v>0</v>
      </c>
      <c r="BD409" s="46">
        <v>0</v>
      </c>
      <c r="BE409" s="46">
        <v>0</v>
      </c>
      <c r="BF409" s="46">
        <v>0</v>
      </c>
      <c r="BG409" s="46" t="s">
        <v>48</v>
      </c>
      <c r="BH409" s="46">
        <v>0</v>
      </c>
      <c r="BI409" s="46">
        <v>0</v>
      </c>
      <c r="BJ409" s="46">
        <v>0</v>
      </c>
      <c r="BK409" s="46">
        <v>0</v>
      </c>
      <c r="BL409" s="46">
        <v>0</v>
      </c>
      <c r="BM409" s="46">
        <v>0</v>
      </c>
      <c r="BN409" s="46">
        <v>0</v>
      </c>
    </row>
    <row r="410" spans="1:66" x14ac:dyDescent="0.35">
      <c r="A410" t="s">
        <v>984</v>
      </c>
      <c r="B410" s="44" t="s">
        <v>48</v>
      </c>
      <c r="C410" t="s">
        <v>986</v>
      </c>
      <c r="D410" t="s">
        <v>585</v>
      </c>
      <c r="E410" t="s">
        <v>985</v>
      </c>
      <c r="F410" t="s">
        <v>969</v>
      </c>
      <c r="G410" t="s">
        <v>47</v>
      </c>
      <c r="H410">
        <v>0</v>
      </c>
      <c r="I410" s="60" t="s">
        <v>716</v>
      </c>
      <c r="J410" s="33" t="s">
        <v>45</v>
      </c>
      <c r="K410" s="46">
        <v>0</v>
      </c>
      <c r="L410">
        <v>28.2</v>
      </c>
      <c r="M410" t="s">
        <v>48</v>
      </c>
      <c r="N410" s="46">
        <v>1</v>
      </c>
      <c r="O410" s="46">
        <v>0</v>
      </c>
      <c r="P410" s="46">
        <v>0</v>
      </c>
      <c r="Q410" t="s">
        <v>48</v>
      </c>
      <c r="R410" t="s">
        <v>48</v>
      </c>
      <c r="S410" t="s">
        <v>10021</v>
      </c>
      <c r="T410" t="s">
        <v>48</v>
      </c>
      <c r="U410" t="s">
        <v>10021</v>
      </c>
      <c r="V410" s="47">
        <v>0</v>
      </c>
      <c r="W410" t="s">
        <v>48</v>
      </c>
      <c r="X410" t="s">
        <v>48</v>
      </c>
      <c r="Y410" t="s">
        <v>48</v>
      </c>
      <c r="Z410">
        <v>0</v>
      </c>
      <c r="AA410" t="s">
        <v>48</v>
      </c>
      <c r="AB410" t="s">
        <v>48</v>
      </c>
      <c r="AC410" t="s">
        <v>49</v>
      </c>
      <c r="AD410" t="s">
        <v>93</v>
      </c>
      <c r="AE410" t="s">
        <v>4532</v>
      </c>
      <c r="AF410" t="s">
        <v>48</v>
      </c>
      <c r="AG410" t="s">
        <v>48</v>
      </c>
      <c r="AH410" t="s">
        <v>48</v>
      </c>
      <c r="AI410" t="s">
        <v>48</v>
      </c>
      <c r="AJ410" t="s">
        <v>48</v>
      </c>
      <c r="AK410" t="s">
        <v>48</v>
      </c>
      <c r="AL410" t="s">
        <v>48</v>
      </c>
      <c r="AM410" t="s">
        <v>48</v>
      </c>
      <c r="AN410" t="s">
        <v>48</v>
      </c>
      <c r="AO410" t="s">
        <v>48</v>
      </c>
      <c r="AP410" s="46">
        <v>0</v>
      </c>
      <c r="AQ410" s="46">
        <v>0</v>
      </c>
      <c r="AR410" s="46">
        <v>0</v>
      </c>
      <c r="AS410" s="46">
        <v>0</v>
      </c>
      <c r="AT410" s="46">
        <v>0</v>
      </c>
      <c r="AU410" s="46">
        <v>0</v>
      </c>
      <c r="AV410" s="46">
        <v>0</v>
      </c>
      <c r="AW410" s="46">
        <v>0</v>
      </c>
      <c r="AX410" s="46">
        <v>0</v>
      </c>
      <c r="AY410" s="46">
        <v>0</v>
      </c>
      <c r="AZ410" s="46">
        <v>0</v>
      </c>
      <c r="BA410" s="46">
        <v>0</v>
      </c>
      <c r="BB410" s="46">
        <v>0</v>
      </c>
      <c r="BC410" s="46">
        <v>0</v>
      </c>
      <c r="BD410" s="46">
        <v>0</v>
      </c>
      <c r="BE410" s="46">
        <v>0</v>
      </c>
      <c r="BF410" s="46">
        <v>0</v>
      </c>
      <c r="BG410" s="46" t="s">
        <v>48</v>
      </c>
      <c r="BH410" s="46">
        <v>0</v>
      </c>
      <c r="BI410" s="46">
        <v>0</v>
      </c>
      <c r="BJ410" s="46">
        <v>0</v>
      </c>
      <c r="BK410" s="46">
        <v>0</v>
      </c>
      <c r="BL410" s="46">
        <v>0</v>
      </c>
      <c r="BM410" s="46">
        <v>0</v>
      </c>
      <c r="BN410" s="46">
        <v>0</v>
      </c>
    </row>
    <row r="411" spans="1:66" x14ac:dyDescent="0.35">
      <c r="A411" t="s">
        <v>995</v>
      </c>
      <c r="B411" s="44" t="s">
        <v>48</v>
      </c>
      <c r="C411" t="s">
        <v>999</v>
      </c>
      <c r="D411" t="s">
        <v>655</v>
      </c>
      <c r="E411" t="s">
        <v>8013</v>
      </c>
      <c r="F411" t="s">
        <v>987</v>
      </c>
      <c r="G411" t="s">
        <v>74</v>
      </c>
      <c r="H411">
        <v>0</v>
      </c>
      <c r="I411" s="61">
        <v>44729</v>
      </c>
      <c r="J411" s="33" t="s">
        <v>45</v>
      </c>
      <c r="K411" s="46">
        <v>1</v>
      </c>
      <c r="L411">
        <v>85</v>
      </c>
      <c r="M411" s="41" t="s">
        <v>48</v>
      </c>
      <c r="N411" s="46">
        <v>1</v>
      </c>
      <c r="O411" s="46">
        <v>1</v>
      </c>
      <c r="P411" s="46">
        <v>0</v>
      </c>
      <c r="Q411" s="41" t="s">
        <v>48</v>
      </c>
      <c r="R411" s="41" t="s">
        <v>48</v>
      </c>
      <c r="S411" t="s">
        <v>997</v>
      </c>
      <c r="T411" t="s">
        <v>998</v>
      </c>
      <c r="U411" t="s">
        <v>997</v>
      </c>
      <c r="V411" s="47">
        <v>0</v>
      </c>
      <c r="W411" t="s">
        <v>48</v>
      </c>
      <c r="X411" t="s">
        <v>48</v>
      </c>
      <c r="Y411" t="s">
        <v>48</v>
      </c>
      <c r="Z411">
        <v>0</v>
      </c>
      <c r="AA411" t="s">
        <v>11130</v>
      </c>
      <c r="AB411">
        <v>2014</v>
      </c>
      <c r="AC411" t="s">
        <v>49</v>
      </c>
      <c r="AD411" t="s">
        <v>93</v>
      </c>
      <c r="AE411" t="s">
        <v>4532</v>
      </c>
      <c r="AF411" t="s">
        <v>48</v>
      </c>
      <c r="AG411" t="s">
        <v>140</v>
      </c>
      <c r="AH411" t="s">
        <v>93</v>
      </c>
      <c r="AI411">
        <v>21504</v>
      </c>
      <c r="AJ411">
        <v>1952</v>
      </c>
      <c r="AK411" t="s">
        <v>8704</v>
      </c>
      <c r="AL411" t="s">
        <v>8705</v>
      </c>
      <c r="AM411">
        <v>-0.53</v>
      </c>
      <c r="AN411">
        <v>-0.36399999999999999</v>
      </c>
      <c r="AO411">
        <v>-0.53</v>
      </c>
      <c r="AP411" s="46">
        <v>0</v>
      </c>
      <c r="AQ411" s="46">
        <v>0</v>
      </c>
      <c r="AR411" s="46">
        <v>0</v>
      </c>
      <c r="AS411" s="46">
        <v>0</v>
      </c>
      <c r="AT411" s="46">
        <v>1</v>
      </c>
      <c r="AU411" s="46">
        <v>0</v>
      </c>
      <c r="AV411" s="46">
        <v>0</v>
      </c>
      <c r="AW411" s="46">
        <v>0</v>
      </c>
      <c r="AX411" s="46">
        <v>0</v>
      </c>
      <c r="AY411" s="46">
        <v>0</v>
      </c>
      <c r="AZ411" s="46">
        <v>0</v>
      </c>
      <c r="BA411" s="46">
        <v>0</v>
      </c>
      <c r="BB411" s="46">
        <v>0</v>
      </c>
      <c r="BC411" s="46">
        <v>0</v>
      </c>
      <c r="BD411" s="46">
        <v>0</v>
      </c>
      <c r="BE411" s="46">
        <v>0</v>
      </c>
      <c r="BF411" s="46">
        <v>0</v>
      </c>
      <c r="BG411" s="46" t="s">
        <v>48</v>
      </c>
      <c r="BH411" s="46">
        <v>0</v>
      </c>
      <c r="BI411" s="46">
        <v>0</v>
      </c>
      <c r="BJ411" s="46">
        <v>0</v>
      </c>
      <c r="BK411" s="46">
        <v>1</v>
      </c>
      <c r="BL411" s="46">
        <v>0</v>
      </c>
      <c r="BM411" s="46">
        <v>0</v>
      </c>
      <c r="BN411" s="46">
        <v>0</v>
      </c>
    </row>
    <row r="412" spans="1:66" x14ac:dyDescent="0.35">
      <c r="A412" t="s">
        <v>8179</v>
      </c>
      <c r="B412" s="44" t="s">
        <v>48</v>
      </c>
      <c r="C412" t="s">
        <v>11634</v>
      </c>
      <c r="D412" t="s">
        <v>396</v>
      </c>
      <c r="E412" t="s">
        <v>8180</v>
      </c>
      <c r="F412" t="s">
        <v>987</v>
      </c>
      <c r="G412" t="s">
        <v>185</v>
      </c>
      <c r="H412">
        <v>0</v>
      </c>
      <c r="I412" s="61">
        <v>44729</v>
      </c>
      <c r="J412" s="33" t="s">
        <v>45</v>
      </c>
      <c r="K412" s="46">
        <v>0</v>
      </c>
      <c r="L412">
        <v>15</v>
      </c>
      <c r="M412" t="s">
        <v>48</v>
      </c>
      <c r="N412" s="46">
        <v>1</v>
      </c>
      <c r="O412" s="46">
        <v>1</v>
      </c>
      <c r="P412" s="46">
        <v>0</v>
      </c>
      <c r="Q412" t="s">
        <v>48</v>
      </c>
      <c r="R412" t="s">
        <v>48</v>
      </c>
      <c r="S412" t="s">
        <v>48</v>
      </c>
      <c r="T412" t="s">
        <v>48</v>
      </c>
      <c r="U412" t="s">
        <v>48</v>
      </c>
      <c r="V412" s="47">
        <v>1</v>
      </c>
      <c r="W412" t="s">
        <v>48</v>
      </c>
      <c r="X412" t="s">
        <v>48</v>
      </c>
      <c r="Y412" t="s">
        <v>48</v>
      </c>
      <c r="Z412" t="s">
        <v>48</v>
      </c>
      <c r="AA412" t="s">
        <v>11130</v>
      </c>
      <c r="AB412" t="s">
        <v>48</v>
      </c>
      <c r="AC412" t="s">
        <v>49</v>
      </c>
      <c r="AD412" t="s">
        <v>93</v>
      </c>
      <c r="AE412" t="s">
        <v>4532</v>
      </c>
      <c r="AF412" t="s">
        <v>48</v>
      </c>
      <c r="AG412" t="s">
        <v>48</v>
      </c>
      <c r="AH412" t="s">
        <v>48</v>
      </c>
      <c r="AI412" t="s">
        <v>48</v>
      </c>
      <c r="AJ412" t="s">
        <v>48</v>
      </c>
      <c r="AK412" t="s">
        <v>48</v>
      </c>
      <c r="AL412" t="s">
        <v>48</v>
      </c>
      <c r="AM412" t="s">
        <v>48</v>
      </c>
      <c r="AN412" t="s">
        <v>48</v>
      </c>
      <c r="AO412" t="s">
        <v>48</v>
      </c>
      <c r="AP412" s="46">
        <v>0</v>
      </c>
      <c r="AQ412" s="46">
        <v>0</v>
      </c>
      <c r="AR412" s="46">
        <v>0</v>
      </c>
      <c r="AS412" s="46">
        <v>0</v>
      </c>
      <c r="AT412" s="46">
        <v>0</v>
      </c>
      <c r="AU412" s="46">
        <v>0</v>
      </c>
      <c r="AV412" s="46">
        <v>0</v>
      </c>
      <c r="AW412" s="46">
        <v>0</v>
      </c>
      <c r="AX412" s="46">
        <v>0</v>
      </c>
      <c r="AY412" s="46">
        <v>0</v>
      </c>
      <c r="AZ412" s="46">
        <v>0</v>
      </c>
      <c r="BA412" s="46">
        <v>0</v>
      </c>
      <c r="BB412" s="46">
        <v>0</v>
      </c>
      <c r="BC412" s="46">
        <v>0</v>
      </c>
      <c r="BD412" s="46">
        <v>0</v>
      </c>
      <c r="BE412" s="46">
        <v>0</v>
      </c>
      <c r="BF412" s="46">
        <v>0</v>
      </c>
      <c r="BG412" s="46" t="s">
        <v>48</v>
      </c>
      <c r="BH412" s="46">
        <v>0</v>
      </c>
      <c r="BI412" s="46">
        <v>0</v>
      </c>
      <c r="BJ412" s="46">
        <v>0</v>
      </c>
      <c r="BK412" s="46">
        <v>0</v>
      </c>
      <c r="BL412" s="46">
        <v>0</v>
      </c>
      <c r="BM412" s="46">
        <v>0</v>
      </c>
      <c r="BN412" s="46">
        <v>0</v>
      </c>
    </row>
    <row r="413" spans="1:66" x14ac:dyDescent="0.35">
      <c r="A413" t="s">
        <v>1009</v>
      </c>
      <c r="B413" s="44" t="s">
        <v>48</v>
      </c>
      <c r="C413" t="s">
        <v>191</v>
      </c>
      <c r="D413" t="s">
        <v>221</v>
      </c>
      <c r="E413" t="s">
        <v>8182</v>
      </c>
      <c r="F413" t="s">
        <v>996</v>
      </c>
      <c r="G413" t="s">
        <v>47</v>
      </c>
      <c r="H413">
        <v>0</v>
      </c>
      <c r="I413" s="61">
        <v>44729</v>
      </c>
      <c r="J413" s="33" t="s">
        <v>45</v>
      </c>
      <c r="K413" s="46">
        <v>0</v>
      </c>
      <c r="L413">
        <v>10.7</v>
      </c>
      <c r="M413" s="41" t="s">
        <v>48</v>
      </c>
      <c r="N413" s="46">
        <v>1</v>
      </c>
      <c r="O413" s="46">
        <v>0</v>
      </c>
      <c r="P413" s="46">
        <v>0</v>
      </c>
      <c r="Q413" s="41" t="s">
        <v>48</v>
      </c>
      <c r="R413" s="41" t="s">
        <v>48</v>
      </c>
      <c r="S413" t="s">
        <v>1010</v>
      </c>
      <c r="T413" t="s">
        <v>48</v>
      </c>
      <c r="U413" t="s">
        <v>1010</v>
      </c>
      <c r="V413" s="47">
        <v>0</v>
      </c>
      <c r="W413" t="s">
        <v>48</v>
      </c>
      <c r="X413" t="s">
        <v>48</v>
      </c>
      <c r="Y413" t="s">
        <v>48</v>
      </c>
      <c r="Z413">
        <v>0</v>
      </c>
      <c r="AA413" t="s">
        <v>48</v>
      </c>
      <c r="AB413" t="s">
        <v>48</v>
      </c>
      <c r="AC413" t="s">
        <v>49</v>
      </c>
      <c r="AD413" t="s">
        <v>93</v>
      </c>
      <c r="AE413" t="s">
        <v>4532</v>
      </c>
      <c r="AF413" t="s">
        <v>48</v>
      </c>
      <c r="AG413" t="s">
        <v>48</v>
      </c>
      <c r="AH413" t="s">
        <v>48</v>
      </c>
      <c r="AI413" t="s">
        <v>48</v>
      </c>
      <c r="AJ413" t="s">
        <v>48</v>
      </c>
      <c r="AK413" t="s">
        <v>48</v>
      </c>
      <c r="AL413" t="s">
        <v>48</v>
      </c>
      <c r="AM413" t="s">
        <v>48</v>
      </c>
      <c r="AN413" t="s">
        <v>48</v>
      </c>
      <c r="AO413" t="s">
        <v>48</v>
      </c>
      <c r="AP413" s="46">
        <v>0</v>
      </c>
      <c r="AQ413" s="46">
        <v>0</v>
      </c>
      <c r="AR413" s="46">
        <v>0</v>
      </c>
      <c r="AS413" s="46">
        <v>0</v>
      </c>
      <c r="AT413" s="46">
        <v>0</v>
      </c>
      <c r="AU413" s="46">
        <v>0</v>
      </c>
      <c r="AV413" s="46">
        <v>0</v>
      </c>
      <c r="AW413" s="46">
        <v>0</v>
      </c>
      <c r="AX413" s="46">
        <v>0</v>
      </c>
      <c r="AY413" s="46">
        <v>0</v>
      </c>
      <c r="AZ413" s="46">
        <v>0</v>
      </c>
      <c r="BA413" s="46">
        <v>0</v>
      </c>
      <c r="BB413" s="46">
        <v>0</v>
      </c>
      <c r="BC413" s="46">
        <v>0</v>
      </c>
      <c r="BD413" s="46">
        <v>0</v>
      </c>
      <c r="BE413" s="46">
        <v>0</v>
      </c>
      <c r="BF413" s="46">
        <v>0</v>
      </c>
      <c r="BG413" s="46">
        <v>1</v>
      </c>
      <c r="BH413" s="46">
        <v>0</v>
      </c>
      <c r="BI413" s="46">
        <v>0</v>
      </c>
      <c r="BJ413" s="46">
        <v>0</v>
      </c>
      <c r="BK413" s="46">
        <v>0</v>
      </c>
      <c r="BL413" s="46">
        <v>0</v>
      </c>
      <c r="BM413" s="46">
        <v>0</v>
      </c>
      <c r="BN413" s="46">
        <v>0</v>
      </c>
    </row>
    <row r="414" spans="1:66" x14ac:dyDescent="0.35">
      <c r="A414" t="s">
        <v>1011</v>
      </c>
      <c r="B414" s="44" t="s">
        <v>48</v>
      </c>
      <c r="C414" t="s">
        <v>1016</v>
      </c>
      <c r="D414" t="s">
        <v>1015</v>
      </c>
      <c r="E414" t="s">
        <v>8015</v>
      </c>
      <c r="F414" t="s">
        <v>996</v>
      </c>
      <c r="G414" t="s">
        <v>74</v>
      </c>
      <c r="H414">
        <v>1</v>
      </c>
      <c r="I414" s="61">
        <v>44729</v>
      </c>
      <c r="J414" s="33" t="s">
        <v>45</v>
      </c>
      <c r="K414" s="46">
        <v>1</v>
      </c>
      <c r="L414">
        <v>71.7</v>
      </c>
      <c r="M414" s="41" t="s">
        <v>48</v>
      </c>
      <c r="N414" s="46">
        <v>1</v>
      </c>
      <c r="O414" s="46">
        <v>0</v>
      </c>
      <c r="P414" s="46">
        <v>0</v>
      </c>
      <c r="Q414" s="41" t="s">
        <v>48</v>
      </c>
      <c r="R414" s="41" t="s">
        <v>48</v>
      </c>
      <c r="S414" t="s">
        <v>1012</v>
      </c>
      <c r="T414" t="s">
        <v>1013</v>
      </c>
      <c r="U414" t="s">
        <v>1012</v>
      </c>
      <c r="V414" s="47">
        <v>0</v>
      </c>
      <c r="W414" t="s">
        <v>48</v>
      </c>
      <c r="X414" t="s">
        <v>48</v>
      </c>
      <c r="Y414" t="s">
        <v>48</v>
      </c>
      <c r="Z414">
        <v>0</v>
      </c>
      <c r="AA414" t="s">
        <v>48</v>
      </c>
      <c r="AB414" t="s">
        <v>1014</v>
      </c>
      <c r="AC414" t="s">
        <v>63</v>
      </c>
      <c r="AD414" t="s">
        <v>93</v>
      </c>
      <c r="AE414" t="s">
        <v>4532</v>
      </c>
      <c r="AF414" t="s">
        <v>48</v>
      </c>
      <c r="AG414" t="s">
        <v>140</v>
      </c>
      <c r="AH414" t="s">
        <v>93</v>
      </c>
      <c r="AI414">
        <v>15448</v>
      </c>
      <c r="AJ414">
        <v>1940</v>
      </c>
      <c r="AK414" t="s">
        <v>8706</v>
      </c>
      <c r="AL414" t="s">
        <v>8707</v>
      </c>
      <c r="AM414">
        <v>-0.49</v>
      </c>
      <c r="AN414">
        <v>-0.20599999999999999</v>
      </c>
      <c r="AO414">
        <v>-0.49</v>
      </c>
      <c r="AP414" s="46">
        <v>0</v>
      </c>
      <c r="AQ414" s="46">
        <v>0</v>
      </c>
      <c r="AR414" s="46">
        <v>0</v>
      </c>
      <c r="AS414" s="46">
        <v>0</v>
      </c>
      <c r="AT414" s="46">
        <v>0</v>
      </c>
      <c r="AU414" s="46">
        <v>0</v>
      </c>
      <c r="AV414" s="46">
        <v>0</v>
      </c>
      <c r="AW414" s="46">
        <v>0</v>
      </c>
      <c r="AX414" s="46">
        <v>0</v>
      </c>
      <c r="AY414" s="46">
        <v>0</v>
      </c>
      <c r="AZ414" s="46">
        <v>0</v>
      </c>
      <c r="BA414" s="46">
        <v>0</v>
      </c>
      <c r="BB414" s="46">
        <v>0</v>
      </c>
      <c r="BC414" s="46">
        <v>0</v>
      </c>
      <c r="BD414" s="46">
        <v>0</v>
      </c>
      <c r="BE414" s="46">
        <v>0</v>
      </c>
      <c r="BF414" s="46">
        <v>0</v>
      </c>
      <c r="BG414" s="46" t="s">
        <v>48</v>
      </c>
      <c r="BH414" s="46">
        <v>0</v>
      </c>
      <c r="BI414" s="46">
        <v>0</v>
      </c>
      <c r="BJ414" s="46">
        <v>0</v>
      </c>
      <c r="BK414" s="46">
        <v>1</v>
      </c>
      <c r="BL414" s="46">
        <v>0</v>
      </c>
      <c r="BM414" s="46">
        <v>0</v>
      </c>
      <c r="BN414" s="46">
        <v>0</v>
      </c>
    </row>
    <row r="415" spans="1:66" x14ac:dyDescent="0.35">
      <c r="A415" t="s">
        <v>1029</v>
      </c>
      <c r="B415" s="44" t="s">
        <v>48</v>
      </c>
      <c r="C415" t="s">
        <v>1034</v>
      </c>
      <c r="D415" t="s">
        <v>1033</v>
      </c>
      <c r="E415" t="s">
        <v>8018</v>
      </c>
      <c r="F415" t="s">
        <v>1001</v>
      </c>
      <c r="G415" t="s">
        <v>74</v>
      </c>
      <c r="H415">
        <v>0</v>
      </c>
      <c r="I415" s="61">
        <v>44729</v>
      </c>
      <c r="J415" s="33" t="s">
        <v>45</v>
      </c>
      <c r="K415" s="46">
        <v>1</v>
      </c>
      <c r="L415">
        <v>87.7</v>
      </c>
      <c r="M415" t="s">
        <v>48</v>
      </c>
      <c r="N415" s="46">
        <v>1</v>
      </c>
      <c r="O415" s="46">
        <v>0</v>
      </c>
      <c r="P415" s="46">
        <v>0</v>
      </c>
      <c r="Q415" t="s">
        <v>48</v>
      </c>
      <c r="R415" t="s">
        <v>48</v>
      </c>
      <c r="S415" t="s">
        <v>1030</v>
      </c>
      <c r="T415" t="s">
        <v>1031</v>
      </c>
      <c r="U415" t="s">
        <v>1030</v>
      </c>
      <c r="V415" s="47">
        <v>0</v>
      </c>
      <c r="W415" t="s">
        <v>48</v>
      </c>
      <c r="X415" t="s">
        <v>48</v>
      </c>
      <c r="Y415" t="s">
        <v>48</v>
      </c>
      <c r="Z415">
        <v>0</v>
      </c>
      <c r="AA415" t="s">
        <v>48</v>
      </c>
      <c r="AB415" t="s">
        <v>1032</v>
      </c>
      <c r="AC415" t="s">
        <v>63</v>
      </c>
      <c r="AD415" t="s">
        <v>93</v>
      </c>
      <c r="AE415" t="s">
        <v>2471</v>
      </c>
      <c r="AF415" t="s">
        <v>48</v>
      </c>
      <c r="AG415" t="s">
        <v>151</v>
      </c>
      <c r="AH415" t="s">
        <v>93</v>
      </c>
      <c r="AI415">
        <v>29778</v>
      </c>
      <c r="AJ415">
        <v>1946</v>
      </c>
      <c r="AK415" t="s">
        <v>8708</v>
      </c>
      <c r="AL415" t="s">
        <v>8709</v>
      </c>
      <c r="AM415">
        <v>-0.68100000000000005</v>
      </c>
      <c r="AN415">
        <v>-0.58499999999999996</v>
      </c>
      <c r="AO415">
        <v>-0.68100000000000005</v>
      </c>
      <c r="AP415" s="46">
        <v>0</v>
      </c>
      <c r="AQ415" s="46">
        <v>0</v>
      </c>
      <c r="AR415" s="46">
        <v>0</v>
      </c>
      <c r="AS415" s="46">
        <v>0</v>
      </c>
      <c r="AT415" s="46">
        <v>1</v>
      </c>
      <c r="AU415" s="46">
        <v>0</v>
      </c>
      <c r="AV415" s="46">
        <v>0</v>
      </c>
      <c r="AW415" s="46">
        <v>0</v>
      </c>
      <c r="AX415" s="46">
        <v>0</v>
      </c>
      <c r="AY415" s="46">
        <v>0</v>
      </c>
      <c r="AZ415" s="46">
        <v>0</v>
      </c>
      <c r="BA415" s="46">
        <v>0</v>
      </c>
      <c r="BB415" s="46">
        <v>0</v>
      </c>
      <c r="BC415" s="46">
        <v>0</v>
      </c>
      <c r="BD415" s="46">
        <v>0</v>
      </c>
      <c r="BE415" s="46">
        <v>0</v>
      </c>
      <c r="BF415" s="46">
        <v>0</v>
      </c>
      <c r="BG415" s="46" t="s">
        <v>48</v>
      </c>
      <c r="BH415" s="46">
        <v>0</v>
      </c>
      <c r="BI415" s="46">
        <v>0</v>
      </c>
      <c r="BJ415" s="46">
        <v>0</v>
      </c>
      <c r="BK415" s="46">
        <v>1</v>
      </c>
      <c r="BL415" s="46">
        <v>0</v>
      </c>
      <c r="BM415" s="46">
        <v>0</v>
      </c>
      <c r="BN415" s="46">
        <v>0</v>
      </c>
    </row>
    <row r="416" spans="1:66" x14ac:dyDescent="0.35">
      <c r="A416" t="s">
        <v>8185</v>
      </c>
      <c r="B416" s="44" t="s">
        <v>48</v>
      </c>
      <c r="C416" t="s">
        <v>11640</v>
      </c>
      <c r="D416" t="s">
        <v>339</v>
      </c>
      <c r="E416" t="s">
        <v>8186</v>
      </c>
      <c r="F416" t="s">
        <v>1001</v>
      </c>
      <c r="G416" t="s">
        <v>47</v>
      </c>
      <c r="H416">
        <v>0</v>
      </c>
      <c r="I416" s="61">
        <v>44729</v>
      </c>
      <c r="J416" s="33" t="s">
        <v>45</v>
      </c>
      <c r="K416" s="46">
        <v>0</v>
      </c>
      <c r="L416">
        <v>5.3</v>
      </c>
      <c r="M416" t="s">
        <v>48</v>
      </c>
      <c r="N416" s="46">
        <v>1</v>
      </c>
      <c r="O416" s="46">
        <v>0</v>
      </c>
      <c r="P416" s="46">
        <v>0</v>
      </c>
      <c r="Q416" t="s">
        <v>48</v>
      </c>
      <c r="R416" t="s">
        <v>48</v>
      </c>
      <c r="S416" t="s">
        <v>48</v>
      </c>
      <c r="T416" t="s">
        <v>48</v>
      </c>
      <c r="U416" t="s">
        <v>48</v>
      </c>
      <c r="V416" s="47">
        <v>1</v>
      </c>
      <c r="W416" t="s">
        <v>11264</v>
      </c>
      <c r="X416" t="s">
        <v>48</v>
      </c>
      <c r="Y416" t="s">
        <v>48</v>
      </c>
      <c r="Z416" t="s">
        <v>48</v>
      </c>
      <c r="AA416" t="s">
        <v>48</v>
      </c>
      <c r="AB416" t="s">
        <v>48</v>
      </c>
      <c r="AC416" t="s">
        <v>49</v>
      </c>
      <c r="AD416" t="s">
        <v>48</v>
      </c>
      <c r="AE416" t="s">
        <v>48</v>
      </c>
      <c r="AF416" t="s">
        <v>48</v>
      </c>
      <c r="AG416" t="s">
        <v>48</v>
      </c>
      <c r="AH416" t="s">
        <v>48</v>
      </c>
      <c r="AI416" t="s">
        <v>48</v>
      </c>
      <c r="AJ416" t="s">
        <v>48</v>
      </c>
      <c r="AK416" t="s">
        <v>48</v>
      </c>
      <c r="AL416" t="s">
        <v>48</v>
      </c>
      <c r="AM416" t="s">
        <v>48</v>
      </c>
      <c r="AN416" t="s">
        <v>48</v>
      </c>
      <c r="AO416" t="s">
        <v>48</v>
      </c>
      <c r="AP416" s="46">
        <v>0</v>
      </c>
      <c r="AQ416" s="46">
        <v>0</v>
      </c>
      <c r="AR416" s="46">
        <v>0</v>
      </c>
      <c r="AS416" s="46">
        <v>0</v>
      </c>
      <c r="AT416" s="46">
        <v>0</v>
      </c>
      <c r="AU416" s="46">
        <v>0</v>
      </c>
      <c r="AV416" s="46">
        <v>0</v>
      </c>
      <c r="AW416" s="46">
        <v>0</v>
      </c>
      <c r="AX416" s="46">
        <v>0</v>
      </c>
      <c r="AY416" s="46">
        <v>0</v>
      </c>
      <c r="AZ416" s="46">
        <v>0</v>
      </c>
      <c r="BA416" s="46">
        <v>0</v>
      </c>
      <c r="BB416" s="46">
        <v>0</v>
      </c>
      <c r="BC416" s="46">
        <v>0</v>
      </c>
      <c r="BD416" s="46">
        <v>0</v>
      </c>
      <c r="BE416" s="46">
        <v>0</v>
      </c>
      <c r="BF416" s="46">
        <v>0</v>
      </c>
      <c r="BG416" s="46" t="s">
        <v>48</v>
      </c>
      <c r="BH416" s="46">
        <v>0</v>
      </c>
      <c r="BI416" s="46">
        <v>0</v>
      </c>
      <c r="BJ416" s="46">
        <v>0</v>
      </c>
      <c r="BK416" s="46">
        <v>0</v>
      </c>
      <c r="BL416" s="46">
        <v>0</v>
      </c>
      <c r="BM416" s="46">
        <v>0</v>
      </c>
      <c r="BN416" s="46">
        <v>0</v>
      </c>
    </row>
    <row r="417" spans="1:66" x14ac:dyDescent="0.35">
      <c r="A417" t="s">
        <v>1024</v>
      </c>
      <c r="B417" s="44" t="s">
        <v>48</v>
      </c>
      <c r="C417" t="s">
        <v>1028</v>
      </c>
      <c r="D417" t="s">
        <v>335</v>
      </c>
      <c r="E417" t="s">
        <v>1026</v>
      </c>
      <c r="F417" t="s">
        <v>1025</v>
      </c>
      <c r="G417" t="s">
        <v>74</v>
      </c>
      <c r="H417">
        <v>0</v>
      </c>
      <c r="I417" s="60" t="s">
        <v>125</v>
      </c>
      <c r="J417" s="33" t="s">
        <v>45</v>
      </c>
      <c r="K417" s="46">
        <v>0</v>
      </c>
      <c r="L417">
        <v>31</v>
      </c>
      <c r="M417" t="s">
        <v>48</v>
      </c>
      <c r="N417" s="46">
        <v>1</v>
      </c>
      <c r="O417" s="46">
        <v>0</v>
      </c>
      <c r="P417" s="46">
        <v>0</v>
      </c>
      <c r="Q417" t="s">
        <v>48</v>
      </c>
      <c r="R417" t="s">
        <v>48</v>
      </c>
      <c r="S417" t="s">
        <v>1027</v>
      </c>
      <c r="T417" t="s">
        <v>48</v>
      </c>
      <c r="U417" t="s">
        <v>1027</v>
      </c>
      <c r="V417" s="47">
        <v>0</v>
      </c>
      <c r="W417" t="s">
        <v>48</v>
      </c>
      <c r="X417" t="s">
        <v>48</v>
      </c>
      <c r="Y417" t="s">
        <v>48</v>
      </c>
      <c r="Z417">
        <v>0</v>
      </c>
      <c r="AA417" t="s">
        <v>48</v>
      </c>
      <c r="AB417" t="s">
        <v>48</v>
      </c>
      <c r="AC417" t="s">
        <v>49</v>
      </c>
      <c r="AD417" t="s">
        <v>93</v>
      </c>
      <c r="AE417" t="s">
        <v>4532</v>
      </c>
      <c r="AF417" t="s">
        <v>48</v>
      </c>
      <c r="AG417" t="s">
        <v>48</v>
      </c>
      <c r="AH417" t="s">
        <v>48</v>
      </c>
      <c r="AI417" t="s">
        <v>48</v>
      </c>
      <c r="AJ417" t="s">
        <v>48</v>
      </c>
      <c r="AK417" t="s">
        <v>48</v>
      </c>
      <c r="AL417" t="s">
        <v>48</v>
      </c>
      <c r="AM417" t="s">
        <v>48</v>
      </c>
      <c r="AN417" t="s">
        <v>48</v>
      </c>
      <c r="AO417" t="s">
        <v>48</v>
      </c>
      <c r="AP417" s="46">
        <v>0</v>
      </c>
      <c r="AQ417" s="46">
        <v>0</v>
      </c>
      <c r="AR417" s="46">
        <v>0</v>
      </c>
      <c r="AS417" s="46">
        <v>0</v>
      </c>
      <c r="AT417" s="46">
        <v>0</v>
      </c>
      <c r="AU417" s="46">
        <v>0</v>
      </c>
      <c r="AV417" s="46">
        <v>0</v>
      </c>
      <c r="AW417" s="46">
        <v>0</v>
      </c>
      <c r="AX417" s="46">
        <v>0</v>
      </c>
      <c r="AY417" s="46">
        <v>0</v>
      </c>
      <c r="AZ417" s="46">
        <v>0</v>
      </c>
      <c r="BA417" s="46">
        <v>0</v>
      </c>
      <c r="BB417" s="46">
        <v>0</v>
      </c>
      <c r="BC417" s="46">
        <v>0</v>
      </c>
      <c r="BD417" s="46">
        <v>0</v>
      </c>
      <c r="BE417" s="46">
        <v>0</v>
      </c>
      <c r="BF417" s="46">
        <v>0</v>
      </c>
      <c r="BG417" s="46" t="s">
        <v>48</v>
      </c>
      <c r="BH417" s="46">
        <v>0</v>
      </c>
      <c r="BI417" s="46">
        <v>0</v>
      </c>
      <c r="BJ417" s="46">
        <v>0</v>
      </c>
      <c r="BK417" s="46">
        <v>0</v>
      </c>
      <c r="BL417" s="46">
        <v>0</v>
      </c>
      <c r="BM417" s="46">
        <v>0</v>
      </c>
      <c r="BN417" s="46">
        <v>0</v>
      </c>
    </row>
    <row r="418" spans="1:66" x14ac:dyDescent="0.35">
      <c r="A418" t="s">
        <v>8187</v>
      </c>
      <c r="B418" s="44" t="s">
        <v>48</v>
      </c>
      <c r="C418" t="s">
        <v>11641</v>
      </c>
      <c r="D418" t="s">
        <v>221</v>
      </c>
      <c r="E418" t="s">
        <v>8188</v>
      </c>
      <c r="F418" t="s">
        <v>1025</v>
      </c>
      <c r="G418" t="s">
        <v>47</v>
      </c>
      <c r="H418">
        <v>0</v>
      </c>
      <c r="I418" s="61">
        <v>44729</v>
      </c>
      <c r="J418" s="33" t="s">
        <v>45</v>
      </c>
      <c r="K418" s="46">
        <v>0</v>
      </c>
      <c r="L418">
        <v>34.299999999999997</v>
      </c>
      <c r="M418" t="s">
        <v>48</v>
      </c>
      <c r="N418" s="46">
        <v>1</v>
      </c>
      <c r="O418" s="46">
        <v>0</v>
      </c>
      <c r="P418" s="46">
        <v>0</v>
      </c>
      <c r="Q418" t="s">
        <v>48</v>
      </c>
      <c r="R418" t="s">
        <v>48</v>
      </c>
      <c r="S418" t="s">
        <v>48</v>
      </c>
      <c r="T418" t="s">
        <v>48</v>
      </c>
      <c r="U418" t="s">
        <v>48</v>
      </c>
      <c r="V418" s="47">
        <v>1</v>
      </c>
      <c r="W418" t="s">
        <v>11264</v>
      </c>
      <c r="X418" t="s">
        <v>48</v>
      </c>
      <c r="Y418" t="s">
        <v>48</v>
      </c>
      <c r="Z418" t="s">
        <v>48</v>
      </c>
      <c r="AA418" t="s">
        <v>48</v>
      </c>
      <c r="AB418" t="s">
        <v>48</v>
      </c>
      <c r="AC418" t="s">
        <v>49</v>
      </c>
      <c r="AD418" t="s">
        <v>93</v>
      </c>
      <c r="AE418" t="s">
        <v>4532</v>
      </c>
      <c r="AF418" t="s">
        <v>48</v>
      </c>
      <c r="AG418" t="s">
        <v>48</v>
      </c>
      <c r="AH418" t="s">
        <v>48</v>
      </c>
      <c r="AI418" t="s">
        <v>48</v>
      </c>
      <c r="AJ418" t="s">
        <v>48</v>
      </c>
      <c r="AK418" t="s">
        <v>48</v>
      </c>
      <c r="AL418" t="s">
        <v>48</v>
      </c>
      <c r="AM418" t="s">
        <v>48</v>
      </c>
      <c r="AN418" t="s">
        <v>48</v>
      </c>
      <c r="AO418" t="s">
        <v>48</v>
      </c>
      <c r="AP418" s="46">
        <v>0</v>
      </c>
      <c r="AQ418" s="46">
        <v>0</v>
      </c>
      <c r="AR418" s="46">
        <v>0</v>
      </c>
      <c r="AS418" s="46">
        <v>0</v>
      </c>
      <c r="AT418" s="46">
        <v>0</v>
      </c>
      <c r="AU418" s="46">
        <v>0</v>
      </c>
      <c r="AV418" s="46">
        <v>0</v>
      </c>
      <c r="AW418" s="46">
        <v>0</v>
      </c>
      <c r="AX418" s="46">
        <v>0</v>
      </c>
      <c r="AY418" s="46">
        <v>0</v>
      </c>
      <c r="AZ418" s="46">
        <v>0</v>
      </c>
      <c r="BA418" s="46">
        <v>0</v>
      </c>
      <c r="BB418" s="46">
        <v>0</v>
      </c>
      <c r="BC418" s="46">
        <v>0</v>
      </c>
      <c r="BD418" s="46">
        <v>0</v>
      </c>
      <c r="BE418" s="46">
        <v>0</v>
      </c>
      <c r="BF418" s="46">
        <v>0</v>
      </c>
      <c r="BG418" s="46" t="s">
        <v>48</v>
      </c>
      <c r="BH418" s="46">
        <v>0</v>
      </c>
      <c r="BI418" s="46">
        <v>0</v>
      </c>
      <c r="BJ418" s="46">
        <v>0</v>
      </c>
      <c r="BK418" s="46">
        <v>0</v>
      </c>
      <c r="BL418" s="46">
        <v>0</v>
      </c>
      <c r="BM418" s="46">
        <v>0</v>
      </c>
      <c r="BN418" s="46">
        <v>0</v>
      </c>
    </row>
    <row r="419" spans="1:66" x14ac:dyDescent="0.35">
      <c r="A419" t="s">
        <v>1061</v>
      </c>
      <c r="B419" s="44" t="s">
        <v>48</v>
      </c>
      <c r="C419" t="s">
        <v>1064</v>
      </c>
      <c r="D419" t="s">
        <v>1063</v>
      </c>
      <c r="E419" t="s">
        <v>8192</v>
      </c>
      <c r="F419" t="s">
        <v>1036</v>
      </c>
      <c r="G419" t="s">
        <v>47</v>
      </c>
      <c r="H419">
        <v>0</v>
      </c>
      <c r="I419" s="61">
        <v>44729</v>
      </c>
      <c r="J419" s="33" t="s">
        <v>45</v>
      </c>
      <c r="K419" s="46">
        <v>0</v>
      </c>
      <c r="L419">
        <v>10.3</v>
      </c>
      <c r="M419" t="s">
        <v>48</v>
      </c>
      <c r="N419" s="46">
        <v>1</v>
      </c>
      <c r="O419" s="46">
        <v>0</v>
      </c>
      <c r="P419" s="46">
        <v>0</v>
      </c>
      <c r="Q419" t="s">
        <v>48</v>
      </c>
      <c r="R419" t="s">
        <v>48</v>
      </c>
      <c r="S419" t="s">
        <v>1062</v>
      </c>
      <c r="T419" t="s">
        <v>48</v>
      </c>
      <c r="U419" t="s">
        <v>1062</v>
      </c>
      <c r="V419" s="47">
        <v>0</v>
      </c>
      <c r="W419" t="s">
        <v>48</v>
      </c>
      <c r="X419" t="s">
        <v>48</v>
      </c>
      <c r="Y419" t="s">
        <v>48</v>
      </c>
      <c r="Z419">
        <v>0</v>
      </c>
      <c r="AA419" t="s">
        <v>48</v>
      </c>
      <c r="AB419" t="s">
        <v>48</v>
      </c>
      <c r="AC419" t="s">
        <v>63</v>
      </c>
      <c r="AD419" t="s">
        <v>93</v>
      </c>
      <c r="AE419" t="s">
        <v>4532</v>
      </c>
      <c r="AF419" t="s">
        <v>48</v>
      </c>
      <c r="AG419" t="s">
        <v>48</v>
      </c>
      <c r="AH419" t="s">
        <v>48</v>
      </c>
      <c r="AI419" t="s">
        <v>48</v>
      </c>
      <c r="AJ419" t="s">
        <v>48</v>
      </c>
      <c r="AK419" t="s">
        <v>48</v>
      </c>
      <c r="AL419" t="s">
        <v>48</v>
      </c>
      <c r="AM419" t="s">
        <v>48</v>
      </c>
      <c r="AN419" t="s">
        <v>48</v>
      </c>
      <c r="AO419" t="s">
        <v>48</v>
      </c>
      <c r="AP419" s="46">
        <v>0</v>
      </c>
      <c r="AQ419" s="46">
        <v>0</v>
      </c>
      <c r="AR419" s="46">
        <v>0</v>
      </c>
      <c r="AS419" s="46">
        <v>0</v>
      </c>
      <c r="AT419" s="46">
        <v>0</v>
      </c>
      <c r="AU419" s="46">
        <v>0</v>
      </c>
      <c r="AV419" s="46">
        <v>0</v>
      </c>
      <c r="AW419" s="46">
        <v>0</v>
      </c>
      <c r="AX419" s="46">
        <v>0</v>
      </c>
      <c r="AY419" s="46">
        <v>0</v>
      </c>
      <c r="AZ419" s="46">
        <v>0</v>
      </c>
      <c r="BA419" s="46">
        <v>0</v>
      </c>
      <c r="BB419" s="46">
        <v>0</v>
      </c>
      <c r="BC419" s="46">
        <v>0</v>
      </c>
      <c r="BD419" s="46">
        <v>0</v>
      </c>
      <c r="BE419" s="46">
        <v>0</v>
      </c>
      <c r="BF419" s="46">
        <v>0</v>
      </c>
      <c r="BG419" s="46">
        <v>1</v>
      </c>
      <c r="BH419" s="46">
        <v>0</v>
      </c>
      <c r="BI419" s="46">
        <v>0</v>
      </c>
      <c r="BJ419" s="46">
        <v>0</v>
      </c>
      <c r="BK419" s="46">
        <v>0</v>
      </c>
      <c r="BL419" s="46">
        <v>0</v>
      </c>
      <c r="BM419" s="46">
        <v>0</v>
      </c>
      <c r="BN419" s="46">
        <v>0</v>
      </c>
    </row>
    <row r="420" spans="1:66" x14ac:dyDescent="0.35">
      <c r="A420" t="s">
        <v>1065</v>
      </c>
      <c r="B420" s="44" t="s">
        <v>48</v>
      </c>
      <c r="C420" t="s">
        <v>1068</v>
      </c>
      <c r="D420" t="s">
        <v>1005</v>
      </c>
      <c r="E420" t="s">
        <v>8022</v>
      </c>
      <c r="F420" t="s">
        <v>1036</v>
      </c>
      <c r="G420" t="s">
        <v>74</v>
      </c>
      <c r="H420">
        <v>0</v>
      </c>
      <c r="I420" s="61">
        <v>44729</v>
      </c>
      <c r="J420" s="33" t="s">
        <v>45</v>
      </c>
      <c r="K420" s="46">
        <v>1</v>
      </c>
      <c r="L420">
        <v>63.6</v>
      </c>
      <c r="M420" t="s">
        <v>48</v>
      </c>
      <c r="N420" s="46">
        <v>1</v>
      </c>
      <c r="O420" s="46">
        <v>0</v>
      </c>
      <c r="P420" s="46">
        <v>0</v>
      </c>
      <c r="Q420" t="s">
        <v>48</v>
      </c>
      <c r="R420" t="s">
        <v>48</v>
      </c>
      <c r="S420" t="s">
        <v>1066</v>
      </c>
      <c r="T420" t="s">
        <v>1067</v>
      </c>
      <c r="U420" t="s">
        <v>1066</v>
      </c>
      <c r="V420" s="47">
        <v>0</v>
      </c>
      <c r="W420" t="s">
        <v>48</v>
      </c>
      <c r="X420" t="s">
        <v>48</v>
      </c>
      <c r="Y420" t="s">
        <v>48</v>
      </c>
      <c r="Z420">
        <v>0</v>
      </c>
      <c r="AA420" t="s">
        <v>48</v>
      </c>
      <c r="AB420">
        <v>2012</v>
      </c>
      <c r="AC420" t="s">
        <v>49</v>
      </c>
      <c r="AD420" t="s">
        <v>93</v>
      </c>
      <c r="AE420" t="s">
        <v>4532</v>
      </c>
      <c r="AF420" t="s">
        <v>48</v>
      </c>
      <c r="AG420" t="s">
        <v>112</v>
      </c>
      <c r="AH420" t="s">
        <v>93</v>
      </c>
      <c r="AI420">
        <v>21306</v>
      </c>
      <c r="AJ420">
        <v>1980</v>
      </c>
      <c r="AK420" t="s">
        <v>8710</v>
      </c>
      <c r="AL420" t="s">
        <v>8711</v>
      </c>
      <c r="AM420">
        <v>-0.36599999999999999</v>
      </c>
      <c r="AN420">
        <v>-9.9000000000000005E-2</v>
      </c>
      <c r="AO420">
        <v>-0.36599999999999999</v>
      </c>
      <c r="AP420" s="46">
        <v>0</v>
      </c>
      <c r="AQ420" s="46">
        <v>0</v>
      </c>
      <c r="AR420" s="46">
        <v>0</v>
      </c>
      <c r="AS420" s="46">
        <v>0</v>
      </c>
      <c r="AT420" s="46">
        <v>0</v>
      </c>
      <c r="AU420" s="46">
        <v>0</v>
      </c>
      <c r="AV420" s="46">
        <v>0</v>
      </c>
      <c r="AW420" s="46">
        <v>0</v>
      </c>
      <c r="AX420" s="46">
        <v>0</v>
      </c>
      <c r="AY420" s="46">
        <v>0</v>
      </c>
      <c r="AZ420" s="46">
        <v>0</v>
      </c>
      <c r="BA420" s="46">
        <v>0</v>
      </c>
      <c r="BB420" s="46">
        <v>0</v>
      </c>
      <c r="BC420" s="46">
        <v>0</v>
      </c>
      <c r="BD420" s="46">
        <v>0</v>
      </c>
      <c r="BE420" s="46">
        <v>0</v>
      </c>
      <c r="BF420" s="46">
        <v>0</v>
      </c>
      <c r="BG420" s="46" t="s">
        <v>48</v>
      </c>
      <c r="BH420" s="46">
        <v>0</v>
      </c>
      <c r="BI420" s="46">
        <v>0</v>
      </c>
      <c r="BJ420" s="46">
        <v>0</v>
      </c>
      <c r="BK420" s="46">
        <v>0</v>
      </c>
      <c r="BL420" s="46">
        <v>0</v>
      </c>
      <c r="BM420" s="46">
        <v>0</v>
      </c>
      <c r="BN420" s="46">
        <v>0</v>
      </c>
    </row>
    <row r="421" spans="1:66" x14ac:dyDescent="0.35">
      <c r="A421" t="s">
        <v>1040</v>
      </c>
      <c r="B421" s="44" t="s">
        <v>48</v>
      </c>
      <c r="C421" t="s">
        <v>1042</v>
      </c>
      <c r="D421" t="s">
        <v>268</v>
      </c>
      <c r="E421" t="s">
        <v>8024</v>
      </c>
      <c r="F421" t="s">
        <v>1060</v>
      </c>
      <c r="G421" t="s">
        <v>74</v>
      </c>
      <c r="H421">
        <v>0</v>
      </c>
      <c r="I421" s="61">
        <v>44729</v>
      </c>
      <c r="J421" s="33" t="s">
        <v>45</v>
      </c>
      <c r="K421" s="46">
        <v>0</v>
      </c>
      <c r="L421">
        <v>23.9</v>
      </c>
      <c r="M421" t="s">
        <v>48</v>
      </c>
      <c r="N421" s="46">
        <v>1</v>
      </c>
      <c r="O421" s="46">
        <v>1</v>
      </c>
      <c r="P421" s="46">
        <v>0</v>
      </c>
      <c r="Q421" t="s">
        <v>48</v>
      </c>
      <c r="R421" t="s">
        <v>48</v>
      </c>
      <c r="S421" t="s">
        <v>1041</v>
      </c>
      <c r="T421" t="s">
        <v>48</v>
      </c>
      <c r="U421" t="s">
        <v>1041</v>
      </c>
      <c r="V421" s="47">
        <v>0</v>
      </c>
      <c r="W421" t="s">
        <v>48</v>
      </c>
      <c r="X421" t="s">
        <v>48</v>
      </c>
      <c r="Y421" t="s">
        <v>48</v>
      </c>
      <c r="Z421">
        <v>0</v>
      </c>
      <c r="AA421" t="s">
        <v>48</v>
      </c>
      <c r="AB421" t="s">
        <v>48</v>
      </c>
      <c r="AC421" t="s">
        <v>49</v>
      </c>
      <c r="AD421" t="s">
        <v>951</v>
      </c>
      <c r="AE421" t="s">
        <v>11051</v>
      </c>
      <c r="AF421" t="s">
        <v>11054</v>
      </c>
      <c r="AG421" t="s">
        <v>48</v>
      </c>
      <c r="AH421" t="s">
        <v>48</v>
      </c>
      <c r="AI421" t="s">
        <v>48</v>
      </c>
      <c r="AJ421" t="s">
        <v>48</v>
      </c>
      <c r="AK421" t="s">
        <v>48</v>
      </c>
      <c r="AL421" t="s">
        <v>48</v>
      </c>
      <c r="AM421" t="s">
        <v>48</v>
      </c>
      <c r="AN421" t="s">
        <v>48</v>
      </c>
      <c r="AO421" t="s">
        <v>48</v>
      </c>
      <c r="AP421" s="46">
        <v>0</v>
      </c>
      <c r="AQ421" s="46">
        <v>0</v>
      </c>
      <c r="AR421" s="46">
        <v>0</v>
      </c>
      <c r="AS421" s="46">
        <v>0</v>
      </c>
      <c r="AT421" s="46">
        <v>0</v>
      </c>
      <c r="AU421" s="46">
        <v>0</v>
      </c>
      <c r="AV421" s="46">
        <v>0</v>
      </c>
      <c r="AW421" s="46">
        <v>0</v>
      </c>
      <c r="AX421" s="46">
        <v>0</v>
      </c>
      <c r="AY421" s="46">
        <v>0</v>
      </c>
      <c r="AZ421" s="46">
        <v>0</v>
      </c>
      <c r="BA421" s="46">
        <v>0</v>
      </c>
      <c r="BB421" s="46">
        <v>0</v>
      </c>
      <c r="BC421" s="46">
        <v>0</v>
      </c>
      <c r="BD421" s="46">
        <v>0</v>
      </c>
      <c r="BE421" s="46">
        <v>0</v>
      </c>
      <c r="BF421" s="46">
        <v>0</v>
      </c>
      <c r="BG421" s="46" t="s">
        <v>48</v>
      </c>
      <c r="BH421" s="46">
        <v>0</v>
      </c>
      <c r="BI421" s="46">
        <v>0</v>
      </c>
      <c r="BJ421" s="46">
        <v>0</v>
      </c>
      <c r="BK421" s="46">
        <v>0</v>
      </c>
      <c r="BL421" s="46">
        <v>0</v>
      </c>
      <c r="BM421" s="46">
        <v>0</v>
      </c>
      <c r="BN421" s="46">
        <v>0</v>
      </c>
    </row>
    <row r="422" spans="1:66" x14ac:dyDescent="0.35">
      <c r="A422" t="s">
        <v>1049</v>
      </c>
      <c r="B422" s="44" t="s">
        <v>48</v>
      </c>
      <c r="C422" t="s">
        <v>1051</v>
      </c>
      <c r="D422" t="s">
        <v>427</v>
      </c>
      <c r="E422" t="s">
        <v>8025</v>
      </c>
      <c r="F422" t="s">
        <v>1060</v>
      </c>
      <c r="G422" t="s">
        <v>74</v>
      </c>
      <c r="H422">
        <v>0</v>
      </c>
      <c r="I422" s="61">
        <v>44729</v>
      </c>
      <c r="J422" s="33" t="s">
        <v>45</v>
      </c>
      <c r="K422" s="46">
        <v>0</v>
      </c>
      <c r="L422">
        <v>41.7</v>
      </c>
      <c r="M422" s="41" t="s">
        <v>48</v>
      </c>
      <c r="N422" s="46">
        <v>1</v>
      </c>
      <c r="O422" s="46">
        <v>1</v>
      </c>
      <c r="P422" s="46">
        <v>0</v>
      </c>
      <c r="Q422" s="41" t="s">
        <v>48</v>
      </c>
      <c r="R422" s="41" t="s">
        <v>48</v>
      </c>
      <c r="S422" t="s">
        <v>1050</v>
      </c>
      <c r="T422" t="s">
        <v>48</v>
      </c>
      <c r="U422" t="s">
        <v>1050</v>
      </c>
      <c r="V422" s="47">
        <v>0</v>
      </c>
      <c r="W422" t="s">
        <v>48</v>
      </c>
      <c r="X422" t="s">
        <v>48</v>
      </c>
      <c r="Y422" t="s">
        <v>48</v>
      </c>
      <c r="Z422">
        <v>0</v>
      </c>
      <c r="AA422" t="s">
        <v>48</v>
      </c>
      <c r="AB422" t="s">
        <v>48</v>
      </c>
      <c r="AC422" t="s">
        <v>49</v>
      </c>
      <c r="AD422" t="s">
        <v>93</v>
      </c>
      <c r="AE422" t="s">
        <v>4532</v>
      </c>
      <c r="AF422" t="s">
        <v>48</v>
      </c>
      <c r="AG422" t="s">
        <v>48</v>
      </c>
      <c r="AH422" t="s">
        <v>48</v>
      </c>
      <c r="AI422" t="s">
        <v>48</v>
      </c>
      <c r="AJ422" t="s">
        <v>48</v>
      </c>
      <c r="AK422" t="s">
        <v>48</v>
      </c>
      <c r="AL422" t="s">
        <v>48</v>
      </c>
      <c r="AM422" t="s">
        <v>48</v>
      </c>
      <c r="AN422" t="s">
        <v>48</v>
      </c>
      <c r="AO422" t="s">
        <v>48</v>
      </c>
      <c r="AP422" s="46">
        <v>0</v>
      </c>
      <c r="AQ422" s="46">
        <v>0</v>
      </c>
      <c r="AR422" s="46">
        <v>0</v>
      </c>
      <c r="AS422" s="46">
        <v>0</v>
      </c>
      <c r="AT422" s="46">
        <v>0</v>
      </c>
      <c r="AU422" s="46">
        <v>0</v>
      </c>
      <c r="AV422" s="46">
        <v>0</v>
      </c>
      <c r="AW422" s="46">
        <v>0</v>
      </c>
      <c r="AX422" s="46">
        <v>0</v>
      </c>
      <c r="AY422" s="46">
        <v>0</v>
      </c>
      <c r="AZ422" s="46">
        <v>0</v>
      </c>
      <c r="BA422" s="46">
        <v>0</v>
      </c>
      <c r="BB422" s="46">
        <v>0</v>
      </c>
      <c r="BC422" s="46">
        <v>0</v>
      </c>
      <c r="BD422" s="46">
        <v>0</v>
      </c>
      <c r="BE422" s="46">
        <v>0</v>
      </c>
      <c r="BF422" s="46">
        <v>0</v>
      </c>
      <c r="BG422" s="46" t="s">
        <v>48</v>
      </c>
      <c r="BH422" s="46">
        <v>0</v>
      </c>
      <c r="BI422" s="46">
        <v>0</v>
      </c>
      <c r="BJ422" s="46">
        <v>0</v>
      </c>
      <c r="BK422" s="46">
        <v>0</v>
      </c>
      <c r="BL422" s="46">
        <v>0</v>
      </c>
      <c r="BM422" s="46">
        <v>0</v>
      </c>
      <c r="BN422" s="46">
        <v>0</v>
      </c>
    </row>
    <row r="423" spans="1:66" x14ac:dyDescent="0.35">
      <c r="A423" t="s">
        <v>1080</v>
      </c>
      <c r="B423" s="44" t="s">
        <v>48</v>
      </c>
      <c r="C423" t="s">
        <v>1085</v>
      </c>
      <c r="D423" t="s">
        <v>280</v>
      </c>
      <c r="E423" t="s">
        <v>8027</v>
      </c>
      <c r="F423" t="s">
        <v>1069</v>
      </c>
      <c r="G423" t="s">
        <v>74</v>
      </c>
      <c r="H423">
        <v>0</v>
      </c>
      <c r="I423" s="61">
        <v>44732</v>
      </c>
      <c r="J423" s="33" t="s">
        <v>45</v>
      </c>
      <c r="K423" s="46">
        <v>1</v>
      </c>
      <c r="L423">
        <v>47.6</v>
      </c>
      <c r="M423" t="s">
        <v>48</v>
      </c>
      <c r="N423" s="46">
        <v>1</v>
      </c>
      <c r="O423" s="46">
        <v>1</v>
      </c>
      <c r="P423" s="46">
        <v>0</v>
      </c>
      <c r="Q423" t="s">
        <v>48</v>
      </c>
      <c r="R423" t="s">
        <v>48</v>
      </c>
      <c r="S423" t="s">
        <v>1082</v>
      </c>
      <c r="T423" t="s">
        <v>1083</v>
      </c>
      <c r="U423" t="s">
        <v>1082</v>
      </c>
      <c r="V423" s="47">
        <v>0</v>
      </c>
      <c r="W423" t="s">
        <v>48</v>
      </c>
      <c r="X423" t="s">
        <v>48</v>
      </c>
      <c r="Y423" t="s">
        <v>48</v>
      </c>
      <c r="Z423">
        <v>0</v>
      </c>
      <c r="AA423" t="s">
        <v>48</v>
      </c>
      <c r="AB423">
        <v>1992</v>
      </c>
      <c r="AC423" t="s">
        <v>63</v>
      </c>
      <c r="AD423" t="s">
        <v>93</v>
      </c>
      <c r="AE423" t="s">
        <v>4532</v>
      </c>
      <c r="AF423" t="s">
        <v>48</v>
      </c>
      <c r="AG423" t="s">
        <v>1084</v>
      </c>
      <c r="AH423" t="s">
        <v>93</v>
      </c>
      <c r="AI423">
        <v>29312</v>
      </c>
      <c r="AJ423">
        <v>1942</v>
      </c>
      <c r="AK423" t="s">
        <v>8716</v>
      </c>
      <c r="AL423" t="s">
        <v>8717</v>
      </c>
      <c r="AM423">
        <v>-0.38100000000000001</v>
      </c>
      <c r="AN423">
        <v>-0.41799999999999998</v>
      </c>
      <c r="AO423">
        <v>-0.38100000000000001</v>
      </c>
      <c r="AP423" s="46">
        <v>0</v>
      </c>
      <c r="AQ423" s="46">
        <v>0</v>
      </c>
      <c r="AR423" s="46">
        <v>0</v>
      </c>
      <c r="AS423" s="46">
        <v>0</v>
      </c>
      <c r="AT423" s="46">
        <v>0</v>
      </c>
      <c r="AU423" s="46">
        <v>0</v>
      </c>
      <c r="AV423" s="46">
        <v>0</v>
      </c>
      <c r="AW423" s="46">
        <v>0</v>
      </c>
      <c r="AX423" s="46">
        <v>0</v>
      </c>
      <c r="AY423" s="46">
        <v>0</v>
      </c>
      <c r="AZ423" s="46">
        <v>0</v>
      </c>
      <c r="BA423" s="46">
        <v>0</v>
      </c>
      <c r="BB423" s="46">
        <v>0</v>
      </c>
      <c r="BC423" s="46">
        <v>0</v>
      </c>
      <c r="BD423" s="46">
        <v>0</v>
      </c>
      <c r="BE423" s="46">
        <v>0</v>
      </c>
      <c r="BF423" s="46">
        <v>0</v>
      </c>
      <c r="BG423" s="46" t="s">
        <v>48</v>
      </c>
      <c r="BH423" s="46">
        <v>0</v>
      </c>
      <c r="BI423" s="46">
        <v>0</v>
      </c>
      <c r="BJ423" s="46">
        <v>0</v>
      </c>
      <c r="BK423" s="46">
        <v>0</v>
      </c>
      <c r="BL423" s="46">
        <v>0</v>
      </c>
      <c r="BM423" s="46">
        <v>0</v>
      </c>
      <c r="BN423" s="46">
        <v>0</v>
      </c>
    </row>
    <row r="424" spans="1:66" x14ac:dyDescent="0.35">
      <c r="A424" t="s">
        <v>1086</v>
      </c>
      <c r="B424" s="44" t="s">
        <v>48</v>
      </c>
      <c r="C424" t="s">
        <v>562</v>
      </c>
      <c r="D424" t="s">
        <v>1088</v>
      </c>
      <c r="E424" t="s">
        <v>8028</v>
      </c>
      <c r="F424" t="s">
        <v>1069</v>
      </c>
      <c r="G424" t="s">
        <v>74</v>
      </c>
      <c r="H424">
        <v>0</v>
      </c>
      <c r="I424" s="61">
        <v>44732</v>
      </c>
      <c r="J424" s="33" t="s">
        <v>45</v>
      </c>
      <c r="K424" s="46">
        <v>0</v>
      </c>
      <c r="L424">
        <v>15.9</v>
      </c>
      <c r="M424" s="41" t="s">
        <v>48</v>
      </c>
      <c r="N424" s="46">
        <v>1</v>
      </c>
      <c r="O424" s="46">
        <v>1</v>
      </c>
      <c r="P424" s="46">
        <v>0</v>
      </c>
      <c r="Q424" s="41" t="s">
        <v>48</v>
      </c>
      <c r="R424" s="41" t="s">
        <v>48</v>
      </c>
      <c r="S424" t="s">
        <v>1087</v>
      </c>
      <c r="T424" t="s">
        <v>48</v>
      </c>
      <c r="U424" t="s">
        <v>1087</v>
      </c>
      <c r="V424" s="47">
        <v>0</v>
      </c>
      <c r="W424" t="s">
        <v>48</v>
      </c>
      <c r="X424" t="s">
        <v>48</v>
      </c>
      <c r="Y424" t="s">
        <v>48</v>
      </c>
      <c r="Z424">
        <v>0</v>
      </c>
      <c r="AA424" t="s">
        <v>48</v>
      </c>
      <c r="AB424" t="s">
        <v>48</v>
      </c>
      <c r="AC424" t="s">
        <v>49</v>
      </c>
      <c r="AD424" t="s">
        <v>93</v>
      </c>
      <c r="AE424" t="s">
        <v>977</v>
      </c>
      <c r="AF424" t="s">
        <v>11053</v>
      </c>
      <c r="AG424" t="s">
        <v>48</v>
      </c>
      <c r="AH424" t="s">
        <v>48</v>
      </c>
      <c r="AI424" t="s">
        <v>48</v>
      </c>
      <c r="AJ424" t="s">
        <v>48</v>
      </c>
      <c r="AK424" t="s">
        <v>48</v>
      </c>
      <c r="AL424" t="s">
        <v>48</v>
      </c>
      <c r="AM424" t="s">
        <v>48</v>
      </c>
      <c r="AN424" t="s">
        <v>48</v>
      </c>
      <c r="AO424" t="s">
        <v>48</v>
      </c>
      <c r="AP424" s="46">
        <v>0</v>
      </c>
      <c r="AQ424" s="46">
        <v>0</v>
      </c>
      <c r="AR424" s="46">
        <v>0</v>
      </c>
      <c r="AS424" s="46">
        <v>0</v>
      </c>
      <c r="AT424" s="46">
        <v>0</v>
      </c>
      <c r="AU424" s="46">
        <v>0</v>
      </c>
      <c r="AV424" s="46">
        <v>0</v>
      </c>
      <c r="AW424" s="46">
        <v>0</v>
      </c>
      <c r="AX424" s="46">
        <v>0</v>
      </c>
      <c r="AY424" s="46">
        <v>0</v>
      </c>
      <c r="AZ424" s="46">
        <v>0</v>
      </c>
      <c r="BA424" s="46">
        <v>0</v>
      </c>
      <c r="BB424" s="46">
        <v>0</v>
      </c>
      <c r="BC424" s="46">
        <v>0</v>
      </c>
      <c r="BD424" s="46">
        <v>0</v>
      </c>
      <c r="BE424" s="46">
        <v>0</v>
      </c>
      <c r="BF424" s="46">
        <v>0</v>
      </c>
      <c r="BG424" s="46" t="s">
        <v>48</v>
      </c>
      <c r="BH424" s="46">
        <v>0</v>
      </c>
      <c r="BI424" s="46">
        <v>0</v>
      </c>
      <c r="BJ424" s="46">
        <v>0</v>
      </c>
      <c r="BK424" s="46">
        <v>0</v>
      </c>
      <c r="BL424" s="46">
        <v>0</v>
      </c>
      <c r="BM424" s="46">
        <v>0</v>
      </c>
      <c r="BN424" s="46">
        <v>0</v>
      </c>
    </row>
    <row r="425" spans="1:66" x14ac:dyDescent="0.35">
      <c r="A425" t="s">
        <v>8198</v>
      </c>
      <c r="B425" s="44" t="s">
        <v>48</v>
      </c>
      <c r="C425" t="s">
        <v>11654</v>
      </c>
      <c r="D425" t="s">
        <v>11655</v>
      </c>
      <c r="E425" t="s">
        <v>8199</v>
      </c>
      <c r="F425" t="s">
        <v>100</v>
      </c>
      <c r="G425" t="s">
        <v>47</v>
      </c>
      <c r="H425">
        <v>0</v>
      </c>
      <c r="I425" s="61">
        <v>44732</v>
      </c>
      <c r="J425" s="33" t="s">
        <v>45</v>
      </c>
      <c r="K425" s="46">
        <v>0</v>
      </c>
      <c r="L425">
        <v>25.3</v>
      </c>
      <c r="M425" t="s">
        <v>48</v>
      </c>
      <c r="N425" s="46">
        <v>1</v>
      </c>
      <c r="O425" s="46">
        <v>0</v>
      </c>
      <c r="P425" s="46">
        <v>0</v>
      </c>
      <c r="Q425" t="s">
        <v>48</v>
      </c>
      <c r="R425" t="s">
        <v>48</v>
      </c>
      <c r="S425" t="s">
        <v>10031</v>
      </c>
      <c r="T425" t="s">
        <v>48</v>
      </c>
      <c r="U425" t="s">
        <v>10031</v>
      </c>
      <c r="V425" s="47">
        <v>1</v>
      </c>
      <c r="W425" t="s">
        <v>48</v>
      </c>
      <c r="X425" t="s">
        <v>48</v>
      </c>
      <c r="Y425" t="s">
        <v>48</v>
      </c>
      <c r="Z425" t="s">
        <v>48</v>
      </c>
      <c r="AA425" t="s">
        <v>48</v>
      </c>
      <c r="AB425" t="s">
        <v>48</v>
      </c>
      <c r="AC425" t="s">
        <v>49</v>
      </c>
      <c r="AD425" t="s">
        <v>93</v>
      </c>
      <c r="AE425" t="s">
        <v>977</v>
      </c>
      <c r="AF425" t="s">
        <v>11053</v>
      </c>
      <c r="AG425" t="s">
        <v>48</v>
      </c>
      <c r="AH425" t="s">
        <v>48</v>
      </c>
      <c r="AI425" t="s">
        <v>48</v>
      </c>
      <c r="AJ425" t="s">
        <v>48</v>
      </c>
      <c r="AK425" t="s">
        <v>48</v>
      </c>
      <c r="AL425" t="s">
        <v>48</v>
      </c>
      <c r="AM425" t="s">
        <v>48</v>
      </c>
      <c r="AN425" t="s">
        <v>48</v>
      </c>
      <c r="AO425" t="s">
        <v>48</v>
      </c>
      <c r="AP425" s="46">
        <v>0</v>
      </c>
      <c r="AQ425" s="46">
        <v>0</v>
      </c>
      <c r="AR425" s="46">
        <v>0</v>
      </c>
      <c r="AS425" s="46">
        <v>0</v>
      </c>
      <c r="AT425" s="46">
        <v>0</v>
      </c>
      <c r="AU425" s="46">
        <v>0</v>
      </c>
      <c r="AV425" s="46">
        <v>0</v>
      </c>
      <c r="AW425" s="46">
        <v>0</v>
      </c>
      <c r="AX425" s="46">
        <v>0</v>
      </c>
      <c r="AY425" s="46">
        <v>0</v>
      </c>
      <c r="AZ425" s="46">
        <v>0</v>
      </c>
      <c r="BA425" s="46">
        <v>0</v>
      </c>
      <c r="BB425" s="46">
        <v>0</v>
      </c>
      <c r="BC425" s="46">
        <v>0</v>
      </c>
      <c r="BD425" s="46">
        <v>0</v>
      </c>
      <c r="BE425" s="46">
        <v>0</v>
      </c>
      <c r="BF425" s="46">
        <v>0</v>
      </c>
      <c r="BG425" s="46" t="s">
        <v>48</v>
      </c>
      <c r="BH425" s="46">
        <v>0</v>
      </c>
      <c r="BI425" s="46">
        <v>0</v>
      </c>
      <c r="BJ425" s="46">
        <v>0</v>
      </c>
      <c r="BK425" s="46">
        <v>0</v>
      </c>
      <c r="BL425" s="46">
        <v>0</v>
      </c>
      <c r="BM425" s="46">
        <v>0</v>
      </c>
      <c r="BN425" s="46">
        <v>0</v>
      </c>
    </row>
    <row r="426" spans="1:66" x14ac:dyDescent="0.35">
      <c r="A426" t="s">
        <v>99</v>
      </c>
      <c r="B426" s="44" t="s">
        <v>48</v>
      </c>
      <c r="C426" t="s">
        <v>106</v>
      </c>
      <c r="D426" t="s">
        <v>105</v>
      </c>
      <c r="E426" t="s">
        <v>101</v>
      </c>
      <c r="F426" t="s">
        <v>100</v>
      </c>
      <c r="G426" t="s">
        <v>74</v>
      </c>
      <c r="H426">
        <v>0</v>
      </c>
      <c r="I426" s="60" t="s">
        <v>51</v>
      </c>
      <c r="J426" s="33" t="s">
        <v>45</v>
      </c>
      <c r="K426" s="46">
        <v>1</v>
      </c>
      <c r="L426">
        <v>66</v>
      </c>
      <c r="M426" t="s">
        <v>48</v>
      </c>
      <c r="N426" s="46">
        <v>1</v>
      </c>
      <c r="O426" s="46">
        <v>0</v>
      </c>
      <c r="P426" s="46">
        <v>0</v>
      </c>
      <c r="Q426" t="s">
        <v>48</v>
      </c>
      <c r="R426" t="s">
        <v>48</v>
      </c>
      <c r="S426" t="s">
        <v>102</v>
      </c>
      <c r="T426" t="s">
        <v>103</v>
      </c>
      <c r="U426" t="s">
        <v>102</v>
      </c>
      <c r="V426" s="47">
        <v>0</v>
      </c>
      <c r="W426" t="s">
        <v>48</v>
      </c>
      <c r="X426" t="s">
        <v>48</v>
      </c>
      <c r="Y426" t="s">
        <v>48</v>
      </c>
      <c r="Z426">
        <v>0</v>
      </c>
      <c r="AA426" t="s">
        <v>48</v>
      </c>
      <c r="AB426">
        <v>2016</v>
      </c>
      <c r="AC426" t="s">
        <v>49</v>
      </c>
      <c r="AD426" t="s">
        <v>93</v>
      </c>
      <c r="AE426" t="s">
        <v>977</v>
      </c>
      <c r="AF426" t="s">
        <v>11053</v>
      </c>
      <c r="AG426" t="s">
        <v>104</v>
      </c>
      <c r="AH426" t="s">
        <v>93</v>
      </c>
      <c r="AI426">
        <v>21728</v>
      </c>
      <c r="AJ426">
        <v>1976</v>
      </c>
      <c r="AK426" t="s">
        <v>8714</v>
      </c>
      <c r="AL426" t="s">
        <v>8715</v>
      </c>
      <c r="AM426">
        <v>-0.54600000000000004</v>
      </c>
      <c r="AN426">
        <v>-0.27</v>
      </c>
      <c r="AO426">
        <v>-0.54600000000000004</v>
      </c>
      <c r="AP426" s="46">
        <v>1</v>
      </c>
      <c r="AQ426" s="46">
        <v>0</v>
      </c>
      <c r="AR426" s="46">
        <v>0</v>
      </c>
      <c r="AS426" s="46">
        <v>0</v>
      </c>
      <c r="AT426" s="46">
        <v>1</v>
      </c>
      <c r="AU426" s="46">
        <v>0</v>
      </c>
      <c r="AV426" s="46">
        <v>0</v>
      </c>
      <c r="AW426" s="46">
        <v>0</v>
      </c>
      <c r="AX426" s="46">
        <v>0</v>
      </c>
      <c r="AY426" s="46">
        <v>0</v>
      </c>
      <c r="AZ426" s="46">
        <v>0</v>
      </c>
      <c r="BA426" s="46">
        <v>0</v>
      </c>
      <c r="BB426" s="46">
        <v>0</v>
      </c>
      <c r="BC426" s="46">
        <v>0</v>
      </c>
      <c r="BD426" s="46">
        <v>0</v>
      </c>
      <c r="BE426" s="46">
        <v>0</v>
      </c>
      <c r="BF426" s="46">
        <v>0</v>
      </c>
      <c r="BG426" s="46" t="s">
        <v>48</v>
      </c>
      <c r="BH426" s="46">
        <v>0</v>
      </c>
      <c r="BI426" s="46">
        <v>0</v>
      </c>
      <c r="BJ426" s="46">
        <v>0</v>
      </c>
      <c r="BK426" s="46">
        <v>1</v>
      </c>
      <c r="BL426" s="46">
        <v>0</v>
      </c>
      <c r="BM426" s="46">
        <v>0</v>
      </c>
      <c r="BN426" s="46">
        <v>0</v>
      </c>
    </row>
    <row r="427" spans="1:66" x14ac:dyDescent="0.35">
      <c r="A427" t="s">
        <v>8202</v>
      </c>
      <c r="B427" s="44" t="s">
        <v>48</v>
      </c>
      <c r="C427" t="s">
        <v>766</v>
      </c>
      <c r="D427" t="s">
        <v>367</v>
      </c>
      <c r="E427" t="s">
        <v>8203</v>
      </c>
      <c r="F427" t="s">
        <v>1081</v>
      </c>
      <c r="G427" t="s">
        <v>47</v>
      </c>
      <c r="H427">
        <v>0</v>
      </c>
      <c r="I427" s="61">
        <v>44732</v>
      </c>
      <c r="J427" s="33" t="s">
        <v>45</v>
      </c>
      <c r="K427" s="46">
        <v>0</v>
      </c>
      <c r="L427">
        <v>31.4</v>
      </c>
      <c r="M427" t="s">
        <v>48</v>
      </c>
      <c r="N427" s="46">
        <v>1</v>
      </c>
      <c r="O427" s="46">
        <v>0</v>
      </c>
      <c r="P427" s="46">
        <v>0</v>
      </c>
      <c r="Q427" t="s">
        <v>48</v>
      </c>
      <c r="R427" t="s">
        <v>48</v>
      </c>
      <c r="S427" t="s">
        <v>48</v>
      </c>
      <c r="T427" t="s">
        <v>48</v>
      </c>
      <c r="U427" t="s">
        <v>48</v>
      </c>
      <c r="V427" s="47">
        <v>1</v>
      </c>
      <c r="W427" t="s">
        <v>11264</v>
      </c>
      <c r="X427" t="s">
        <v>48</v>
      </c>
      <c r="Y427" t="s">
        <v>48</v>
      </c>
      <c r="Z427" t="s">
        <v>48</v>
      </c>
      <c r="AA427" t="s">
        <v>48</v>
      </c>
      <c r="AB427" t="s">
        <v>48</v>
      </c>
      <c r="AC427" t="s">
        <v>49</v>
      </c>
      <c r="AD427" t="s">
        <v>951</v>
      </c>
      <c r="AE427" t="s">
        <v>11051</v>
      </c>
      <c r="AF427" t="s">
        <v>48</v>
      </c>
      <c r="AG427" t="s">
        <v>48</v>
      </c>
      <c r="AH427" t="s">
        <v>48</v>
      </c>
      <c r="AI427" t="s">
        <v>48</v>
      </c>
      <c r="AJ427" t="s">
        <v>48</v>
      </c>
      <c r="AK427" t="s">
        <v>48</v>
      </c>
      <c r="AL427" t="s">
        <v>48</v>
      </c>
      <c r="AM427" t="s">
        <v>48</v>
      </c>
      <c r="AN427" t="s">
        <v>48</v>
      </c>
      <c r="AO427" t="s">
        <v>48</v>
      </c>
      <c r="AP427" s="46">
        <v>0</v>
      </c>
      <c r="AQ427" s="46">
        <v>0</v>
      </c>
      <c r="AR427" s="46">
        <v>0</v>
      </c>
      <c r="AS427" s="46">
        <v>0</v>
      </c>
      <c r="AT427" s="46">
        <v>0</v>
      </c>
      <c r="AU427" s="46">
        <v>0</v>
      </c>
      <c r="AV427" s="46">
        <v>0</v>
      </c>
      <c r="AW427" s="46">
        <v>0</v>
      </c>
      <c r="AX427" s="46">
        <v>0</v>
      </c>
      <c r="AY427" s="46">
        <v>0</v>
      </c>
      <c r="AZ427" s="46">
        <v>0</v>
      </c>
      <c r="BA427" s="46">
        <v>0</v>
      </c>
      <c r="BB427" s="46">
        <v>0</v>
      </c>
      <c r="BC427" s="46">
        <v>0</v>
      </c>
      <c r="BD427" s="46">
        <v>0</v>
      </c>
      <c r="BE427" s="46">
        <v>0</v>
      </c>
      <c r="BF427" s="46">
        <v>0</v>
      </c>
      <c r="BG427" s="46" t="s">
        <v>48</v>
      </c>
      <c r="BH427" s="46">
        <v>0</v>
      </c>
      <c r="BI427" s="46">
        <v>0</v>
      </c>
      <c r="BJ427" s="46">
        <v>0</v>
      </c>
      <c r="BK427" s="46">
        <v>0</v>
      </c>
      <c r="BL427" s="46">
        <v>0</v>
      </c>
      <c r="BM427" s="46">
        <v>0</v>
      </c>
      <c r="BN427" s="46">
        <v>0</v>
      </c>
    </row>
    <row r="428" spans="1:66" x14ac:dyDescent="0.35">
      <c r="A428" t="s">
        <v>1101</v>
      </c>
      <c r="B428" s="44" t="s">
        <v>48</v>
      </c>
      <c r="C428" t="s">
        <v>1107</v>
      </c>
      <c r="D428" t="s">
        <v>1106</v>
      </c>
      <c r="E428" t="s">
        <v>8036</v>
      </c>
      <c r="F428" t="s">
        <v>1081</v>
      </c>
      <c r="G428" t="s">
        <v>74</v>
      </c>
      <c r="H428">
        <v>0</v>
      </c>
      <c r="I428" s="61">
        <v>44732</v>
      </c>
      <c r="J428" s="33" t="s">
        <v>45</v>
      </c>
      <c r="K428" s="46">
        <v>1</v>
      </c>
      <c r="L428">
        <v>56.1</v>
      </c>
      <c r="M428" s="41" t="s">
        <v>48</v>
      </c>
      <c r="N428" s="46">
        <v>1</v>
      </c>
      <c r="O428" s="46">
        <v>0</v>
      </c>
      <c r="P428" s="46">
        <v>0</v>
      </c>
      <c r="Q428" s="41" t="s">
        <v>48</v>
      </c>
      <c r="R428" s="41" t="s">
        <v>48</v>
      </c>
      <c r="S428" t="s">
        <v>1103</v>
      </c>
      <c r="T428" t="s">
        <v>1104</v>
      </c>
      <c r="U428" t="s">
        <v>1103</v>
      </c>
      <c r="V428" s="47">
        <v>0</v>
      </c>
      <c r="W428" t="s">
        <v>48</v>
      </c>
      <c r="X428" t="s">
        <v>48</v>
      </c>
      <c r="Y428" t="s">
        <v>48</v>
      </c>
      <c r="Z428">
        <v>0</v>
      </c>
      <c r="AA428" t="s">
        <v>48</v>
      </c>
      <c r="AB428">
        <v>1994</v>
      </c>
      <c r="AC428" t="s">
        <v>63</v>
      </c>
      <c r="AD428" t="s">
        <v>93</v>
      </c>
      <c r="AE428" t="s">
        <v>4532</v>
      </c>
      <c r="AF428" t="s">
        <v>48</v>
      </c>
      <c r="AG428" t="s">
        <v>1105</v>
      </c>
      <c r="AH428" t="s">
        <v>93</v>
      </c>
      <c r="AI428">
        <v>29504</v>
      </c>
      <c r="AJ428">
        <v>1947</v>
      </c>
      <c r="AK428" t="s">
        <v>8718</v>
      </c>
      <c r="AL428" t="s">
        <v>8719</v>
      </c>
      <c r="AM428">
        <v>-0.40200000000000002</v>
      </c>
      <c r="AN428">
        <v>-0.435</v>
      </c>
      <c r="AO428">
        <v>-0.40200000000000002</v>
      </c>
      <c r="AP428" s="46">
        <v>0</v>
      </c>
      <c r="AQ428" s="46">
        <v>0</v>
      </c>
      <c r="AR428" s="46">
        <v>0</v>
      </c>
      <c r="AS428" s="46">
        <v>0</v>
      </c>
      <c r="AT428" s="46">
        <v>1</v>
      </c>
      <c r="AU428" s="46">
        <v>0</v>
      </c>
      <c r="AV428" s="46">
        <v>0</v>
      </c>
      <c r="AW428" s="46">
        <v>0</v>
      </c>
      <c r="AX428" s="46">
        <v>0</v>
      </c>
      <c r="AY428" s="46">
        <v>0</v>
      </c>
      <c r="AZ428" s="46">
        <v>0</v>
      </c>
      <c r="BA428" s="46">
        <v>0</v>
      </c>
      <c r="BB428" s="46">
        <v>0</v>
      </c>
      <c r="BC428" s="46">
        <v>0</v>
      </c>
      <c r="BD428" s="46">
        <v>0</v>
      </c>
      <c r="BE428" s="46">
        <v>0</v>
      </c>
      <c r="BF428" s="46">
        <v>0</v>
      </c>
      <c r="BG428" s="46" t="s">
        <v>48</v>
      </c>
      <c r="BH428" s="46">
        <v>0</v>
      </c>
      <c r="BI428" s="46">
        <v>0</v>
      </c>
      <c r="BJ428" s="46">
        <v>0</v>
      </c>
      <c r="BK428" s="46">
        <v>0</v>
      </c>
      <c r="BL428" s="46">
        <v>0</v>
      </c>
      <c r="BM428" s="46">
        <v>0</v>
      </c>
      <c r="BN428" s="46">
        <v>0</v>
      </c>
    </row>
    <row r="429" spans="1:66" x14ac:dyDescent="0.35">
      <c r="A429" t="s">
        <v>8205</v>
      </c>
      <c r="B429" s="44" t="s">
        <v>48</v>
      </c>
      <c r="C429" t="s">
        <v>6200</v>
      </c>
      <c r="D429" t="s">
        <v>273</v>
      </c>
      <c r="E429" t="s">
        <v>8206</v>
      </c>
      <c r="F429" t="s">
        <v>1102</v>
      </c>
      <c r="G429" t="s">
        <v>47</v>
      </c>
      <c r="H429">
        <v>0</v>
      </c>
      <c r="I429" s="61">
        <v>44732</v>
      </c>
      <c r="J429" s="33" t="s">
        <v>45</v>
      </c>
      <c r="K429" s="46">
        <v>0</v>
      </c>
      <c r="L429">
        <v>22.7</v>
      </c>
      <c r="M429" t="s">
        <v>48</v>
      </c>
      <c r="N429" s="46">
        <v>1</v>
      </c>
      <c r="O429" s="46">
        <v>0</v>
      </c>
      <c r="P429" s="46">
        <v>0</v>
      </c>
      <c r="Q429" t="s">
        <v>48</v>
      </c>
      <c r="R429" t="s">
        <v>48</v>
      </c>
      <c r="S429" t="s">
        <v>10033</v>
      </c>
      <c r="T429" t="s">
        <v>48</v>
      </c>
      <c r="U429" t="s">
        <v>10033</v>
      </c>
      <c r="V429" s="47">
        <v>1</v>
      </c>
      <c r="W429" t="s">
        <v>48</v>
      </c>
      <c r="X429" t="s">
        <v>48</v>
      </c>
      <c r="Y429" t="s">
        <v>48</v>
      </c>
      <c r="Z429" t="s">
        <v>48</v>
      </c>
      <c r="AA429" t="s">
        <v>48</v>
      </c>
      <c r="AB429" t="s">
        <v>48</v>
      </c>
      <c r="AC429" t="s">
        <v>49</v>
      </c>
      <c r="AD429" t="s">
        <v>93</v>
      </c>
      <c r="AE429" t="s">
        <v>4532</v>
      </c>
      <c r="AF429" t="s">
        <v>48</v>
      </c>
      <c r="AG429" t="s">
        <v>48</v>
      </c>
      <c r="AH429" t="s">
        <v>48</v>
      </c>
      <c r="AI429" t="s">
        <v>48</v>
      </c>
      <c r="AJ429" t="s">
        <v>48</v>
      </c>
      <c r="AK429" t="s">
        <v>48</v>
      </c>
      <c r="AL429" t="s">
        <v>48</v>
      </c>
      <c r="AM429" t="s">
        <v>48</v>
      </c>
      <c r="AN429" t="s">
        <v>48</v>
      </c>
      <c r="AO429" t="s">
        <v>48</v>
      </c>
      <c r="AP429" s="46">
        <v>0</v>
      </c>
      <c r="AQ429" s="46">
        <v>0</v>
      </c>
      <c r="AR429" s="46">
        <v>0</v>
      </c>
      <c r="AS429" s="46">
        <v>0</v>
      </c>
      <c r="AT429" s="46">
        <v>0</v>
      </c>
      <c r="AU429" s="46">
        <v>0</v>
      </c>
      <c r="AV429" s="46">
        <v>0</v>
      </c>
      <c r="AW429" s="46">
        <v>0</v>
      </c>
      <c r="AX429" s="46">
        <v>0</v>
      </c>
      <c r="AY429" s="46">
        <v>0</v>
      </c>
      <c r="AZ429" s="46">
        <v>0</v>
      </c>
      <c r="BA429" s="46">
        <v>0</v>
      </c>
      <c r="BB429" s="46">
        <v>0</v>
      </c>
      <c r="BC429" s="46">
        <v>0</v>
      </c>
      <c r="BD429" s="46">
        <v>0</v>
      </c>
      <c r="BE429" s="46">
        <v>0</v>
      </c>
      <c r="BF429" s="46">
        <v>0</v>
      </c>
      <c r="BG429" s="46">
        <v>1</v>
      </c>
      <c r="BH429" s="46">
        <v>0</v>
      </c>
      <c r="BI429" s="46">
        <v>0</v>
      </c>
      <c r="BJ429" s="46">
        <v>0</v>
      </c>
      <c r="BK429" s="46">
        <v>0</v>
      </c>
      <c r="BL429" s="46">
        <v>0</v>
      </c>
      <c r="BM429" s="46">
        <v>0</v>
      </c>
      <c r="BN429" s="46">
        <v>0</v>
      </c>
    </row>
    <row r="430" spans="1:66" x14ac:dyDescent="0.35">
      <c r="A430" t="s">
        <v>1115</v>
      </c>
      <c r="B430" t="s">
        <v>48</v>
      </c>
      <c r="C430" t="s">
        <v>1119</v>
      </c>
      <c r="D430" t="s">
        <v>1118</v>
      </c>
      <c r="E430" t="s">
        <v>8039</v>
      </c>
      <c r="F430" t="s">
        <v>1102</v>
      </c>
      <c r="G430" t="s">
        <v>74</v>
      </c>
      <c r="H430">
        <v>0</v>
      </c>
      <c r="I430" s="62">
        <v>44732</v>
      </c>
      <c r="J430" s="33" t="s">
        <v>45</v>
      </c>
      <c r="K430" s="46">
        <v>1</v>
      </c>
      <c r="L430">
        <v>68</v>
      </c>
      <c r="M430" s="41" t="s">
        <v>48</v>
      </c>
      <c r="N430" s="46">
        <v>1</v>
      </c>
      <c r="O430" s="46">
        <v>0</v>
      </c>
      <c r="P430" s="46">
        <v>0</v>
      </c>
      <c r="Q430" s="41" t="s">
        <v>48</v>
      </c>
      <c r="R430" s="41" t="s">
        <v>48</v>
      </c>
      <c r="S430" t="s">
        <v>1116</v>
      </c>
      <c r="T430" t="s">
        <v>1117</v>
      </c>
      <c r="U430" t="s">
        <v>1116</v>
      </c>
      <c r="V430" s="47">
        <v>0</v>
      </c>
      <c r="W430" t="s">
        <v>48</v>
      </c>
      <c r="X430" t="s">
        <v>48</v>
      </c>
      <c r="Y430" t="s">
        <v>48</v>
      </c>
      <c r="Z430">
        <v>0</v>
      </c>
      <c r="AA430" t="s">
        <v>48</v>
      </c>
      <c r="AB430">
        <v>2016</v>
      </c>
      <c r="AC430" t="s">
        <v>49</v>
      </c>
      <c r="AD430" t="s">
        <v>93</v>
      </c>
      <c r="AE430" t="s">
        <v>4532</v>
      </c>
      <c r="AF430" t="s">
        <v>48</v>
      </c>
      <c r="AG430" t="s">
        <v>140</v>
      </c>
      <c r="AH430" t="s">
        <v>93</v>
      </c>
      <c r="AI430">
        <v>21740</v>
      </c>
      <c r="AJ430">
        <v>1969</v>
      </c>
      <c r="AK430" t="s">
        <v>8720</v>
      </c>
      <c r="AL430" t="s">
        <v>8721</v>
      </c>
      <c r="AM430">
        <v>-0.30199999999999999</v>
      </c>
      <c r="AN430">
        <v>8.2000000000000003E-2</v>
      </c>
      <c r="AO430">
        <v>-0.30199999999999999</v>
      </c>
      <c r="AP430" s="46">
        <v>0</v>
      </c>
      <c r="AQ430" s="46">
        <v>0</v>
      </c>
      <c r="AR430" s="46">
        <v>0</v>
      </c>
      <c r="AS430" s="46">
        <v>0</v>
      </c>
      <c r="AT430" s="46">
        <v>1</v>
      </c>
      <c r="AU430" s="46">
        <v>1</v>
      </c>
      <c r="AV430" s="46">
        <v>0</v>
      </c>
      <c r="AW430" s="46">
        <v>0</v>
      </c>
      <c r="AX430" s="46">
        <v>0</v>
      </c>
      <c r="AY430" s="46">
        <v>0</v>
      </c>
      <c r="AZ430" s="46">
        <v>0</v>
      </c>
      <c r="BA430" s="46">
        <v>1</v>
      </c>
      <c r="BB430" s="46">
        <v>0</v>
      </c>
      <c r="BC430" s="46">
        <v>0</v>
      </c>
      <c r="BD430" s="46">
        <v>0</v>
      </c>
      <c r="BE430" s="46">
        <v>0</v>
      </c>
      <c r="BF430" s="46">
        <v>0</v>
      </c>
      <c r="BG430" s="46" t="s">
        <v>48</v>
      </c>
      <c r="BH430" s="46">
        <v>0</v>
      </c>
      <c r="BI430" s="46">
        <v>0</v>
      </c>
      <c r="BJ430" s="46">
        <v>0</v>
      </c>
      <c r="BK430" s="46">
        <v>0</v>
      </c>
      <c r="BL430" s="46">
        <v>0</v>
      </c>
      <c r="BM430" s="46">
        <v>0</v>
      </c>
      <c r="BN430" s="46">
        <v>0</v>
      </c>
    </row>
    <row r="431" spans="1:66" x14ac:dyDescent="0.35">
      <c r="A431" t="s">
        <v>1149</v>
      </c>
      <c r="B431" s="44" t="s">
        <v>48</v>
      </c>
      <c r="C431" t="s">
        <v>1152</v>
      </c>
      <c r="D431" t="s">
        <v>427</v>
      </c>
      <c r="E431" t="s">
        <v>8211</v>
      </c>
      <c r="F431" t="s">
        <v>1109</v>
      </c>
      <c r="G431" t="s">
        <v>47</v>
      </c>
      <c r="H431">
        <v>1</v>
      </c>
      <c r="I431" s="61">
        <v>44732</v>
      </c>
      <c r="J431" s="33" t="s">
        <v>45</v>
      </c>
      <c r="K431" s="46">
        <v>1</v>
      </c>
      <c r="L431">
        <v>59.4</v>
      </c>
      <c r="M431" s="41" t="s">
        <v>48</v>
      </c>
      <c r="N431" s="46">
        <v>1</v>
      </c>
      <c r="O431" s="46">
        <v>0</v>
      </c>
      <c r="P431" s="46">
        <v>0</v>
      </c>
      <c r="Q431" s="41" t="s">
        <v>48</v>
      </c>
      <c r="R431" s="41" t="s">
        <v>48</v>
      </c>
      <c r="S431" t="s">
        <v>1150</v>
      </c>
      <c r="T431" t="s">
        <v>1151</v>
      </c>
      <c r="U431" t="s">
        <v>1150</v>
      </c>
      <c r="V431" s="47">
        <v>0</v>
      </c>
      <c r="W431" t="s">
        <v>48</v>
      </c>
      <c r="X431" t="s">
        <v>48</v>
      </c>
      <c r="Y431" t="s">
        <v>48</v>
      </c>
      <c r="Z431">
        <v>0</v>
      </c>
      <c r="AA431" t="s">
        <v>48</v>
      </c>
      <c r="AB431">
        <v>2006</v>
      </c>
      <c r="AC431" t="s">
        <v>49</v>
      </c>
      <c r="AD431" t="s">
        <v>93</v>
      </c>
      <c r="AE431" t="s">
        <v>4532</v>
      </c>
      <c r="AF431" t="s">
        <v>48</v>
      </c>
      <c r="AG431" t="s">
        <v>151</v>
      </c>
      <c r="AH431" t="s">
        <v>93</v>
      </c>
      <c r="AI431">
        <v>20703</v>
      </c>
      <c r="AJ431">
        <v>1965</v>
      </c>
      <c r="AK431" t="s">
        <v>8724</v>
      </c>
      <c r="AL431" t="s">
        <v>8725</v>
      </c>
      <c r="AM431">
        <v>0.45400000000000001</v>
      </c>
      <c r="AN431">
        <v>0.23100000000000001</v>
      </c>
      <c r="AO431">
        <v>0.45400000000000001</v>
      </c>
      <c r="AP431" s="46">
        <v>0</v>
      </c>
      <c r="AQ431" s="46">
        <v>0</v>
      </c>
      <c r="AR431" s="46">
        <v>0</v>
      </c>
      <c r="AS431" s="46">
        <v>0</v>
      </c>
      <c r="AT431" s="46">
        <v>0</v>
      </c>
      <c r="AU431" s="46">
        <v>0</v>
      </c>
      <c r="AV431" s="46">
        <v>0</v>
      </c>
      <c r="AW431" s="46">
        <v>0</v>
      </c>
      <c r="AX431" s="46">
        <v>0</v>
      </c>
      <c r="AY431" s="46">
        <v>0</v>
      </c>
      <c r="AZ431" s="46">
        <v>0</v>
      </c>
      <c r="BA431" s="46">
        <v>0</v>
      </c>
      <c r="BB431" s="46">
        <v>0</v>
      </c>
      <c r="BC431" s="46">
        <v>0</v>
      </c>
      <c r="BD431" s="46">
        <v>0</v>
      </c>
      <c r="BE431" s="46">
        <v>0</v>
      </c>
      <c r="BF431" s="46">
        <v>0</v>
      </c>
      <c r="BG431" s="46">
        <v>1</v>
      </c>
      <c r="BH431" s="46">
        <v>0</v>
      </c>
      <c r="BI431" s="46">
        <v>0</v>
      </c>
      <c r="BJ431" s="46">
        <v>0</v>
      </c>
      <c r="BK431" s="46">
        <v>0</v>
      </c>
      <c r="BL431" s="46">
        <v>0</v>
      </c>
      <c r="BM431" s="46">
        <v>0</v>
      </c>
      <c r="BN431" s="46">
        <v>0</v>
      </c>
    </row>
    <row r="432" spans="1:66" x14ac:dyDescent="0.35">
      <c r="A432" t="s">
        <v>1153</v>
      </c>
      <c r="B432" s="44" t="s">
        <v>48</v>
      </c>
      <c r="C432" t="s">
        <v>1156</v>
      </c>
      <c r="D432" t="s">
        <v>1155</v>
      </c>
      <c r="E432" t="s">
        <v>8040</v>
      </c>
      <c r="F432" t="s">
        <v>1109</v>
      </c>
      <c r="G432" t="s">
        <v>74</v>
      </c>
      <c r="H432">
        <v>0</v>
      </c>
      <c r="I432" s="61">
        <v>44732</v>
      </c>
      <c r="J432" s="33" t="s">
        <v>45</v>
      </c>
      <c r="K432" s="46">
        <v>0</v>
      </c>
      <c r="L432">
        <v>25</v>
      </c>
      <c r="M432" s="41" t="s">
        <v>48</v>
      </c>
      <c r="N432" s="46">
        <v>1</v>
      </c>
      <c r="O432" s="46">
        <v>0</v>
      </c>
      <c r="P432" s="46">
        <v>0</v>
      </c>
      <c r="Q432" s="41" t="s">
        <v>48</v>
      </c>
      <c r="R432" s="41" t="s">
        <v>48</v>
      </c>
      <c r="S432" t="s">
        <v>1154</v>
      </c>
      <c r="T432" t="s">
        <v>48</v>
      </c>
      <c r="U432" t="s">
        <v>1154</v>
      </c>
      <c r="V432" s="47">
        <v>0</v>
      </c>
      <c r="W432" t="s">
        <v>48</v>
      </c>
      <c r="X432" t="s">
        <v>48</v>
      </c>
      <c r="Y432" t="s">
        <v>48</v>
      </c>
      <c r="Z432">
        <v>0</v>
      </c>
      <c r="AA432" t="s">
        <v>48</v>
      </c>
      <c r="AB432" t="s">
        <v>48</v>
      </c>
      <c r="AC432" t="s">
        <v>63</v>
      </c>
      <c r="AD432" t="s">
        <v>93</v>
      </c>
      <c r="AE432" t="s">
        <v>4532</v>
      </c>
      <c r="AF432" t="s">
        <v>48</v>
      </c>
      <c r="AG432" t="s">
        <v>48</v>
      </c>
      <c r="AH432" t="s">
        <v>48</v>
      </c>
      <c r="AI432" t="s">
        <v>48</v>
      </c>
      <c r="AJ432" t="s">
        <v>48</v>
      </c>
      <c r="AK432" t="s">
        <v>48</v>
      </c>
      <c r="AL432" t="s">
        <v>48</v>
      </c>
      <c r="AM432" t="s">
        <v>48</v>
      </c>
      <c r="AN432" t="s">
        <v>48</v>
      </c>
      <c r="AO432" t="s">
        <v>48</v>
      </c>
      <c r="AP432" s="46">
        <v>0</v>
      </c>
      <c r="AQ432" s="46">
        <v>0</v>
      </c>
      <c r="AR432" s="46">
        <v>0</v>
      </c>
      <c r="AS432" s="46">
        <v>0</v>
      </c>
      <c r="AT432" s="46">
        <v>0</v>
      </c>
      <c r="AU432" s="46">
        <v>0</v>
      </c>
      <c r="AV432" s="46">
        <v>0</v>
      </c>
      <c r="AW432" s="46">
        <v>0</v>
      </c>
      <c r="AX432" s="46">
        <v>0</v>
      </c>
      <c r="AY432" s="46">
        <v>0</v>
      </c>
      <c r="AZ432" s="46">
        <v>0</v>
      </c>
      <c r="BA432" s="46">
        <v>0</v>
      </c>
      <c r="BB432" s="46">
        <v>0</v>
      </c>
      <c r="BC432" s="46">
        <v>0</v>
      </c>
      <c r="BD432" s="46">
        <v>0</v>
      </c>
      <c r="BE432" s="46">
        <v>0</v>
      </c>
      <c r="BF432" s="46">
        <v>0</v>
      </c>
      <c r="BG432" s="46" t="s">
        <v>48</v>
      </c>
      <c r="BH432" s="46">
        <v>0</v>
      </c>
      <c r="BI432" s="46">
        <v>0</v>
      </c>
      <c r="BJ432" s="46">
        <v>0</v>
      </c>
      <c r="BK432" s="46">
        <v>0</v>
      </c>
      <c r="BL432" s="46">
        <v>0</v>
      </c>
      <c r="BM432" s="46">
        <v>0</v>
      </c>
      <c r="BN432" s="46">
        <v>0</v>
      </c>
    </row>
    <row r="433" spans="1:66" x14ac:dyDescent="0.35">
      <c r="A433" t="s">
        <v>1071</v>
      </c>
      <c r="B433" t="s">
        <v>48</v>
      </c>
      <c r="C433" t="s">
        <v>1073</v>
      </c>
      <c r="D433" t="s">
        <v>829</v>
      </c>
      <c r="E433" t="s">
        <v>8041</v>
      </c>
      <c r="F433" t="s">
        <v>107</v>
      </c>
      <c r="G433" t="s">
        <v>74</v>
      </c>
      <c r="H433">
        <v>0</v>
      </c>
      <c r="I433" s="61">
        <v>44732</v>
      </c>
      <c r="J433" s="33" t="s">
        <v>45</v>
      </c>
      <c r="K433" s="46">
        <v>1</v>
      </c>
      <c r="L433">
        <v>46.9</v>
      </c>
      <c r="M433" s="41" t="s">
        <v>48</v>
      </c>
      <c r="N433" s="46">
        <v>1</v>
      </c>
      <c r="O433" s="46">
        <v>0</v>
      </c>
      <c r="P433" s="46">
        <v>0</v>
      </c>
      <c r="Q433" s="41" t="s">
        <v>48</v>
      </c>
      <c r="R433" s="41" t="s">
        <v>48</v>
      </c>
      <c r="S433" t="s">
        <v>48</v>
      </c>
      <c r="T433" t="s">
        <v>1072</v>
      </c>
      <c r="U433" t="s">
        <v>48</v>
      </c>
      <c r="V433" s="47">
        <v>0</v>
      </c>
      <c r="W433" t="s">
        <v>48</v>
      </c>
      <c r="X433" t="s">
        <v>48</v>
      </c>
      <c r="Y433" t="s">
        <v>48</v>
      </c>
      <c r="Z433">
        <v>0</v>
      </c>
      <c r="AA433" t="s">
        <v>48</v>
      </c>
      <c r="AB433">
        <v>2004</v>
      </c>
      <c r="AC433" t="s">
        <v>49</v>
      </c>
      <c r="AD433" t="s">
        <v>93</v>
      </c>
      <c r="AE433" t="s">
        <v>4532</v>
      </c>
      <c r="AF433" t="s">
        <v>48</v>
      </c>
      <c r="AG433" t="s">
        <v>140</v>
      </c>
      <c r="AH433" t="s">
        <v>93</v>
      </c>
      <c r="AI433">
        <v>20501</v>
      </c>
      <c r="AJ433">
        <v>1952</v>
      </c>
      <c r="AK433" t="s">
        <v>8712</v>
      </c>
      <c r="AL433" t="s">
        <v>8713</v>
      </c>
      <c r="AM433">
        <v>-0.192</v>
      </c>
      <c r="AN433">
        <v>0.45800000000000002</v>
      </c>
      <c r="AO433">
        <v>-0.192</v>
      </c>
      <c r="AP433" s="46">
        <v>0</v>
      </c>
      <c r="AQ433" s="46">
        <v>0</v>
      </c>
      <c r="AR433" s="46">
        <v>0</v>
      </c>
      <c r="AS433" s="46">
        <v>0</v>
      </c>
      <c r="AT433" s="46">
        <v>0</v>
      </c>
      <c r="AU433" s="46">
        <v>1</v>
      </c>
      <c r="AV433" s="46">
        <v>1</v>
      </c>
      <c r="AW433" s="46">
        <v>0</v>
      </c>
      <c r="AX433" s="46">
        <v>0</v>
      </c>
      <c r="AY433" s="46">
        <v>0</v>
      </c>
      <c r="AZ433" s="46">
        <v>0</v>
      </c>
      <c r="BA433" s="46">
        <v>1</v>
      </c>
      <c r="BB433" s="46">
        <v>0</v>
      </c>
      <c r="BC433" s="46">
        <v>0</v>
      </c>
      <c r="BD433" s="46">
        <v>0</v>
      </c>
      <c r="BE433" s="46">
        <v>0</v>
      </c>
      <c r="BF433" s="46">
        <v>0</v>
      </c>
      <c r="BG433" s="46" t="s">
        <v>48</v>
      </c>
      <c r="BH433" s="46">
        <v>0</v>
      </c>
      <c r="BI433" s="46">
        <v>0</v>
      </c>
      <c r="BJ433" s="46">
        <v>0</v>
      </c>
      <c r="BK433" s="46">
        <v>0</v>
      </c>
      <c r="BL433" s="46">
        <v>1</v>
      </c>
      <c r="BM433" s="46">
        <v>0</v>
      </c>
      <c r="BN433" s="46">
        <v>0</v>
      </c>
    </row>
    <row r="434" spans="1:66" x14ac:dyDescent="0.35">
      <c r="A434" t="s">
        <v>1145</v>
      </c>
      <c r="B434" s="44" t="s">
        <v>48</v>
      </c>
      <c r="C434" t="s">
        <v>1146</v>
      </c>
      <c r="D434" t="s">
        <v>396</v>
      </c>
      <c r="E434" t="s">
        <v>8212</v>
      </c>
      <c r="F434" t="s">
        <v>107</v>
      </c>
      <c r="G434" t="s">
        <v>47</v>
      </c>
      <c r="H434">
        <v>0</v>
      </c>
      <c r="I434" s="61">
        <v>44732</v>
      </c>
      <c r="J434" s="33" t="s">
        <v>45</v>
      </c>
      <c r="K434" s="46">
        <v>0</v>
      </c>
      <c r="L434">
        <v>26.5</v>
      </c>
      <c r="M434" s="41" t="s">
        <v>48</v>
      </c>
      <c r="N434" s="46">
        <v>1</v>
      </c>
      <c r="O434" s="46">
        <v>0</v>
      </c>
      <c r="P434" s="46">
        <v>0</v>
      </c>
      <c r="Q434" s="41" t="s">
        <v>48</v>
      </c>
      <c r="R434" s="41" t="s">
        <v>48</v>
      </c>
      <c r="S434" t="s">
        <v>10037</v>
      </c>
      <c r="T434" t="s">
        <v>48</v>
      </c>
      <c r="U434" t="s">
        <v>10037</v>
      </c>
      <c r="V434" s="47">
        <v>0</v>
      </c>
      <c r="W434" t="s">
        <v>48</v>
      </c>
      <c r="X434" t="s">
        <v>48</v>
      </c>
      <c r="Y434" t="s">
        <v>48</v>
      </c>
      <c r="Z434">
        <v>0</v>
      </c>
      <c r="AA434" t="s">
        <v>48</v>
      </c>
      <c r="AB434" t="s">
        <v>48</v>
      </c>
      <c r="AC434" t="s">
        <v>49</v>
      </c>
      <c r="AD434" t="s">
        <v>93</v>
      </c>
      <c r="AE434" t="s">
        <v>4532</v>
      </c>
      <c r="AF434" t="s">
        <v>48</v>
      </c>
      <c r="AG434" t="s">
        <v>48</v>
      </c>
      <c r="AH434" t="s">
        <v>48</v>
      </c>
      <c r="AI434" t="s">
        <v>48</v>
      </c>
      <c r="AJ434" t="s">
        <v>48</v>
      </c>
      <c r="AK434" t="s">
        <v>48</v>
      </c>
      <c r="AL434" t="s">
        <v>48</v>
      </c>
      <c r="AM434" t="s">
        <v>48</v>
      </c>
      <c r="AN434" t="s">
        <v>48</v>
      </c>
      <c r="AO434" t="s">
        <v>48</v>
      </c>
      <c r="AP434" s="46">
        <v>0</v>
      </c>
      <c r="AQ434" s="46">
        <v>0</v>
      </c>
      <c r="AR434" s="46">
        <v>0</v>
      </c>
      <c r="AS434" s="46">
        <v>0</v>
      </c>
      <c r="AT434" s="46">
        <v>0</v>
      </c>
      <c r="AU434" s="46">
        <v>0</v>
      </c>
      <c r="AV434" s="46">
        <v>0</v>
      </c>
      <c r="AW434" s="46">
        <v>0</v>
      </c>
      <c r="AX434" s="46">
        <v>0</v>
      </c>
      <c r="AY434" s="46">
        <v>0</v>
      </c>
      <c r="AZ434" s="46">
        <v>0</v>
      </c>
      <c r="BA434" s="46">
        <v>0</v>
      </c>
      <c r="BB434" s="46">
        <v>0</v>
      </c>
      <c r="BC434" s="46">
        <v>0</v>
      </c>
      <c r="BD434" s="46">
        <v>0</v>
      </c>
      <c r="BE434" s="46">
        <v>0</v>
      </c>
      <c r="BF434" s="46">
        <v>0</v>
      </c>
      <c r="BG434" s="46" t="s">
        <v>48</v>
      </c>
      <c r="BH434" s="46">
        <v>0</v>
      </c>
      <c r="BI434" s="46">
        <v>0</v>
      </c>
      <c r="BJ434" s="46">
        <v>0</v>
      </c>
      <c r="BK434" s="46">
        <v>0</v>
      </c>
      <c r="BL434" s="46">
        <v>0</v>
      </c>
      <c r="BM434" s="46">
        <v>0</v>
      </c>
      <c r="BN434" s="46">
        <v>0</v>
      </c>
    </row>
    <row r="435" spans="1:66" x14ac:dyDescent="0.35">
      <c r="A435" t="s">
        <v>1129</v>
      </c>
      <c r="B435" t="s">
        <v>48</v>
      </c>
      <c r="C435" t="s">
        <v>1133</v>
      </c>
      <c r="D435" t="s">
        <v>268</v>
      </c>
      <c r="E435" t="s">
        <v>8218</v>
      </c>
      <c r="F435" t="s">
        <v>1135</v>
      </c>
      <c r="G435" t="s">
        <v>47</v>
      </c>
      <c r="H435">
        <v>0</v>
      </c>
      <c r="I435" s="61">
        <v>44732</v>
      </c>
      <c r="J435" s="33" t="s">
        <v>45</v>
      </c>
      <c r="K435" s="46">
        <v>1</v>
      </c>
      <c r="L435">
        <v>25.9</v>
      </c>
      <c r="M435" s="41" t="s">
        <v>48</v>
      </c>
      <c r="N435" s="46">
        <v>1</v>
      </c>
      <c r="O435" s="46">
        <v>0</v>
      </c>
      <c r="P435" s="46">
        <v>0</v>
      </c>
      <c r="Q435" s="41" t="s">
        <v>48</v>
      </c>
      <c r="R435" s="41" t="s">
        <v>48</v>
      </c>
      <c r="S435" t="s">
        <v>1130</v>
      </c>
      <c r="T435" t="s">
        <v>1131</v>
      </c>
      <c r="U435" t="s">
        <v>1130</v>
      </c>
      <c r="V435" s="47">
        <v>0</v>
      </c>
      <c r="W435" t="s">
        <v>48</v>
      </c>
      <c r="X435" t="s">
        <v>48</v>
      </c>
      <c r="Y435" t="s">
        <v>48</v>
      </c>
      <c r="Z435">
        <v>1</v>
      </c>
      <c r="AA435" t="s">
        <v>48</v>
      </c>
      <c r="AB435" t="s">
        <v>1132</v>
      </c>
      <c r="AC435" t="s">
        <v>49</v>
      </c>
      <c r="AD435" t="s">
        <v>951</v>
      </c>
      <c r="AE435" t="s">
        <v>11051</v>
      </c>
      <c r="AF435" t="s">
        <v>11060</v>
      </c>
      <c r="AG435" t="s">
        <v>48</v>
      </c>
      <c r="AH435" t="s">
        <v>48</v>
      </c>
      <c r="AI435">
        <v>21307</v>
      </c>
      <c r="AJ435">
        <v>1977</v>
      </c>
      <c r="AK435" t="s">
        <v>8722</v>
      </c>
      <c r="AL435" t="s">
        <v>8723</v>
      </c>
      <c r="AM435">
        <v>0.26</v>
      </c>
      <c r="AN435">
        <v>0.39400000000000002</v>
      </c>
      <c r="AO435">
        <v>0.26</v>
      </c>
      <c r="AP435" s="46">
        <v>0</v>
      </c>
      <c r="AQ435" s="46">
        <v>0</v>
      </c>
      <c r="AR435" s="46">
        <v>0</v>
      </c>
      <c r="AS435" s="46">
        <v>0</v>
      </c>
      <c r="AT435" s="46">
        <v>0</v>
      </c>
      <c r="AU435" s="46">
        <v>0</v>
      </c>
      <c r="AV435" s="46">
        <v>0</v>
      </c>
      <c r="AW435" s="46">
        <v>0</v>
      </c>
      <c r="AX435" s="46">
        <v>0</v>
      </c>
      <c r="AY435" s="46">
        <v>1</v>
      </c>
      <c r="AZ435" s="46">
        <v>1</v>
      </c>
      <c r="BA435" s="46">
        <v>1</v>
      </c>
      <c r="BB435" s="46">
        <v>0</v>
      </c>
      <c r="BC435" s="46">
        <v>0</v>
      </c>
      <c r="BD435" s="46">
        <v>0</v>
      </c>
      <c r="BE435" s="46">
        <v>0</v>
      </c>
      <c r="BF435" s="46">
        <v>0</v>
      </c>
      <c r="BG435" s="46" t="s">
        <v>48</v>
      </c>
      <c r="BH435" s="46">
        <v>0</v>
      </c>
      <c r="BI435" s="46">
        <v>0</v>
      </c>
      <c r="BJ435" s="46">
        <v>0</v>
      </c>
      <c r="BK435" s="46">
        <v>0</v>
      </c>
      <c r="BL435" s="46">
        <v>0</v>
      </c>
      <c r="BM435" s="46">
        <v>1</v>
      </c>
      <c r="BN435" s="46">
        <v>0</v>
      </c>
    </row>
    <row r="436" spans="1:66" x14ac:dyDescent="0.35">
      <c r="A436" t="s">
        <v>1126</v>
      </c>
      <c r="B436" s="44" t="s">
        <v>48</v>
      </c>
      <c r="C436" t="s">
        <v>1128</v>
      </c>
      <c r="D436" t="s">
        <v>1127</v>
      </c>
      <c r="E436" t="s">
        <v>8043</v>
      </c>
      <c r="F436" t="s">
        <v>1135</v>
      </c>
      <c r="G436" t="s">
        <v>74</v>
      </c>
      <c r="H436">
        <v>0</v>
      </c>
      <c r="I436" s="61">
        <v>44732</v>
      </c>
      <c r="J436" s="33" t="s">
        <v>45</v>
      </c>
      <c r="K436" s="46">
        <v>0</v>
      </c>
      <c r="L436">
        <v>44.9</v>
      </c>
      <c r="M436" s="41" t="s">
        <v>48</v>
      </c>
      <c r="N436" s="46">
        <v>1</v>
      </c>
      <c r="O436" s="46">
        <v>0</v>
      </c>
      <c r="P436" s="46">
        <v>0</v>
      </c>
      <c r="Q436" s="41" t="s">
        <v>48</v>
      </c>
      <c r="R436" s="41" t="s">
        <v>48</v>
      </c>
      <c r="S436" t="s">
        <v>10038</v>
      </c>
      <c r="T436" t="s">
        <v>48</v>
      </c>
      <c r="U436" t="s">
        <v>10038</v>
      </c>
      <c r="V436" s="47">
        <v>0</v>
      </c>
      <c r="W436" t="s">
        <v>48</v>
      </c>
      <c r="X436" t="s">
        <v>48</v>
      </c>
      <c r="Y436" t="s">
        <v>48</v>
      </c>
      <c r="Z436">
        <v>0</v>
      </c>
      <c r="AA436" t="s">
        <v>48</v>
      </c>
      <c r="AB436" t="s">
        <v>48</v>
      </c>
      <c r="AC436" t="s">
        <v>49</v>
      </c>
      <c r="AD436" t="s">
        <v>951</v>
      </c>
      <c r="AE436" s="40" t="s">
        <v>11051</v>
      </c>
      <c r="AF436" t="s">
        <v>108</v>
      </c>
      <c r="AG436" t="s">
        <v>48</v>
      </c>
      <c r="AH436" t="s">
        <v>48</v>
      </c>
      <c r="AI436" t="s">
        <v>48</v>
      </c>
      <c r="AJ436" t="s">
        <v>48</v>
      </c>
      <c r="AK436" t="s">
        <v>48</v>
      </c>
      <c r="AL436" t="s">
        <v>48</v>
      </c>
      <c r="AM436" t="s">
        <v>48</v>
      </c>
      <c r="AN436" t="s">
        <v>48</v>
      </c>
      <c r="AO436" t="s">
        <v>48</v>
      </c>
      <c r="AP436" s="46">
        <v>0</v>
      </c>
      <c r="AQ436" s="46">
        <v>0</v>
      </c>
      <c r="AR436" s="46">
        <v>0</v>
      </c>
      <c r="AS436" s="46">
        <v>0</v>
      </c>
      <c r="AT436" s="46">
        <v>0</v>
      </c>
      <c r="AU436" s="46">
        <v>0</v>
      </c>
      <c r="AV436" s="46">
        <v>0</v>
      </c>
      <c r="AW436" s="46">
        <v>0</v>
      </c>
      <c r="AX436" s="46">
        <v>0</v>
      </c>
      <c r="AY436" s="46">
        <v>0</v>
      </c>
      <c r="AZ436" s="46">
        <v>0</v>
      </c>
      <c r="BA436" s="46">
        <v>0</v>
      </c>
      <c r="BB436" s="46">
        <v>0</v>
      </c>
      <c r="BC436" s="46">
        <v>0</v>
      </c>
      <c r="BD436" s="46">
        <v>0</v>
      </c>
      <c r="BE436" s="46">
        <v>0</v>
      </c>
      <c r="BF436" s="46">
        <v>0</v>
      </c>
      <c r="BG436" s="46" t="s">
        <v>48</v>
      </c>
      <c r="BH436" s="46">
        <v>0</v>
      </c>
      <c r="BI436" s="46">
        <v>0</v>
      </c>
      <c r="BJ436" s="46">
        <v>0</v>
      </c>
      <c r="BK436" s="46">
        <v>0</v>
      </c>
      <c r="BL436" s="46">
        <v>0</v>
      </c>
      <c r="BM436" s="46">
        <v>0</v>
      </c>
      <c r="BN436" s="46">
        <v>0</v>
      </c>
    </row>
    <row r="437" spans="1:66" x14ac:dyDescent="0.35">
      <c r="A437" t="s">
        <v>949</v>
      </c>
      <c r="B437" s="44" t="s">
        <v>48</v>
      </c>
      <c r="C437" t="s">
        <v>953</v>
      </c>
      <c r="D437" t="s">
        <v>952</v>
      </c>
      <c r="E437" t="s">
        <v>8045</v>
      </c>
      <c r="F437" t="s">
        <v>1147</v>
      </c>
      <c r="G437" t="s">
        <v>74</v>
      </c>
      <c r="H437">
        <v>0</v>
      </c>
      <c r="I437" s="61">
        <v>44732</v>
      </c>
      <c r="J437" s="33" t="s">
        <v>45</v>
      </c>
      <c r="K437" s="46">
        <v>0</v>
      </c>
      <c r="L437">
        <v>21.8</v>
      </c>
      <c r="M437" s="41" t="s">
        <v>48</v>
      </c>
      <c r="N437" s="46">
        <v>1</v>
      </c>
      <c r="O437" s="46">
        <v>0</v>
      </c>
      <c r="P437" s="46">
        <v>0</v>
      </c>
      <c r="Q437" s="41" t="s">
        <v>48</v>
      </c>
      <c r="R437" s="41" t="s">
        <v>48</v>
      </c>
      <c r="S437" t="s">
        <v>10039</v>
      </c>
      <c r="T437" t="s">
        <v>48</v>
      </c>
      <c r="U437" t="s">
        <v>10039</v>
      </c>
      <c r="V437" s="47">
        <v>0</v>
      </c>
      <c r="W437" t="s">
        <v>48</v>
      </c>
      <c r="X437" t="s">
        <v>48</v>
      </c>
      <c r="Y437" t="s">
        <v>48</v>
      </c>
      <c r="Z437">
        <v>0</v>
      </c>
      <c r="AA437" t="s">
        <v>48</v>
      </c>
      <c r="AB437" t="s">
        <v>48</v>
      </c>
      <c r="AC437" t="s">
        <v>49</v>
      </c>
      <c r="AD437" t="s">
        <v>93</v>
      </c>
      <c r="AE437" t="s">
        <v>4532</v>
      </c>
      <c r="AF437" t="s">
        <v>48</v>
      </c>
      <c r="AG437" t="s">
        <v>950</v>
      </c>
      <c r="AH437" t="s">
        <v>951</v>
      </c>
      <c r="AI437" t="s">
        <v>48</v>
      </c>
      <c r="AJ437" t="s">
        <v>48</v>
      </c>
      <c r="AK437" t="s">
        <v>48</v>
      </c>
      <c r="AL437" t="s">
        <v>48</v>
      </c>
      <c r="AM437" t="s">
        <v>48</v>
      </c>
      <c r="AN437" t="s">
        <v>48</v>
      </c>
      <c r="AO437" t="s">
        <v>48</v>
      </c>
      <c r="AP437" s="46">
        <v>0</v>
      </c>
      <c r="AQ437" s="46">
        <v>0</v>
      </c>
      <c r="AR437" s="46">
        <v>0</v>
      </c>
      <c r="AS437" s="46">
        <v>0</v>
      </c>
      <c r="AT437" s="46">
        <v>0</v>
      </c>
      <c r="AU437" s="46">
        <v>0</v>
      </c>
      <c r="AV437" s="46">
        <v>0</v>
      </c>
      <c r="AW437" s="46">
        <v>0</v>
      </c>
      <c r="AX437" s="46">
        <v>0</v>
      </c>
      <c r="AY437" s="46">
        <v>0</v>
      </c>
      <c r="AZ437" s="46">
        <v>0</v>
      </c>
      <c r="BA437" s="46">
        <v>0</v>
      </c>
      <c r="BB437" s="46">
        <v>0</v>
      </c>
      <c r="BC437" s="46">
        <v>0</v>
      </c>
      <c r="BD437" s="46">
        <v>0</v>
      </c>
      <c r="BE437" s="46">
        <v>0</v>
      </c>
      <c r="BF437" s="46">
        <v>0</v>
      </c>
      <c r="BG437" s="46" t="s">
        <v>48</v>
      </c>
      <c r="BH437" s="46">
        <v>0</v>
      </c>
      <c r="BI437" s="46">
        <v>0</v>
      </c>
      <c r="BJ437" s="46">
        <v>0</v>
      </c>
      <c r="BK437" s="46">
        <v>0</v>
      </c>
      <c r="BL437" s="46">
        <v>0</v>
      </c>
      <c r="BM437" s="46">
        <v>0</v>
      </c>
      <c r="BN437" s="46">
        <v>0</v>
      </c>
    </row>
    <row r="438" spans="1:66" x14ac:dyDescent="0.35">
      <c r="A438" t="s">
        <v>954</v>
      </c>
      <c r="B438" t="s">
        <v>48</v>
      </c>
      <c r="C438" t="s">
        <v>957</v>
      </c>
      <c r="D438" t="s">
        <v>193</v>
      </c>
      <c r="E438" t="s">
        <v>8219</v>
      </c>
      <c r="F438" t="s">
        <v>1147</v>
      </c>
      <c r="G438" t="s">
        <v>47</v>
      </c>
      <c r="H438">
        <v>0</v>
      </c>
      <c r="I438" s="61">
        <v>44732</v>
      </c>
      <c r="J438" s="33" t="s">
        <v>45</v>
      </c>
      <c r="K438" s="46">
        <v>1</v>
      </c>
      <c r="L438">
        <v>60.9</v>
      </c>
      <c r="M438" s="41" t="s">
        <v>48</v>
      </c>
      <c r="N438" s="46">
        <v>1</v>
      </c>
      <c r="O438" s="46">
        <v>0</v>
      </c>
      <c r="P438" s="46">
        <v>0</v>
      </c>
      <c r="Q438" s="41" t="s">
        <v>48</v>
      </c>
      <c r="R438" s="41" t="s">
        <v>48</v>
      </c>
      <c r="S438" t="s">
        <v>955</v>
      </c>
      <c r="T438" t="s">
        <v>956</v>
      </c>
      <c r="U438" t="s">
        <v>955</v>
      </c>
      <c r="V438" s="47">
        <v>0</v>
      </c>
      <c r="W438" t="s">
        <v>48</v>
      </c>
      <c r="X438" t="s">
        <v>48</v>
      </c>
      <c r="Y438" t="s">
        <v>48</v>
      </c>
      <c r="Z438">
        <v>1</v>
      </c>
      <c r="AA438" t="s">
        <v>48</v>
      </c>
      <c r="AB438">
        <v>2020</v>
      </c>
      <c r="AC438" t="s">
        <v>49</v>
      </c>
      <c r="AD438" t="s">
        <v>93</v>
      </c>
      <c r="AE438" t="s">
        <v>4532</v>
      </c>
      <c r="AF438" t="s">
        <v>48</v>
      </c>
      <c r="AG438" t="s">
        <v>48</v>
      </c>
      <c r="AH438" t="s">
        <v>48</v>
      </c>
      <c r="AI438">
        <v>22145</v>
      </c>
      <c r="AJ438">
        <v>1970</v>
      </c>
      <c r="AK438" t="s">
        <v>8700</v>
      </c>
      <c r="AL438" t="s">
        <v>8701</v>
      </c>
      <c r="AM438">
        <v>0.307</v>
      </c>
      <c r="AN438">
        <v>0.27200000000000002</v>
      </c>
      <c r="AO438">
        <v>0.307</v>
      </c>
      <c r="AP438" s="46">
        <v>0</v>
      </c>
      <c r="AQ438" s="46">
        <v>0</v>
      </c>
      <c r="AR438" s="46">
        <v>0</v>
      </c>
      <c r="AS438" s="46">
        <v>0</v>
      </c>
      <c r="AT438" s="46">
        <v>0</v>
      </c>
      <c r="AU438" s="46">
        <v>0</v>
      </c>
      <c r="AV438" s="46">
        <v>0</v>
      </c>
      <c r="AW438" s="46">
        <v>0</v>
      </c>
      <c r="AX438" s="46">
        <v>0</v>
      </c>
      <c r="AY438" s="46">
        <v>1</v>
      </c>
      <c r="AZ438" s="46">
        <v>1</v>
      </c>
      <c r="BA438" s="46">
        <v>0</v>
      </c>
      <c r="BB438" s="46">
        <v>1</v>
      </c>
      <c r="BC438" s="46">
        <v>0</v>
      </c>
      <c r="BD438" s="46">
        <v>0</v>
      </c>
      <c r="BE438" s="46">
        <v>0</v>
      </c>
      <c r="BF438" s="46">
        <v>0</v>
      </c>
      <c r="BG438" s="46">
        <v>1</v>
      </c>
      <c r="BH438" s="46">
        <v>0</v>
      </c>
      <c r="BI438" s="46">
        <v>0</v>
      </c>
      <c r="BJ438" s="46">
        <v>0</v>
      </c>
      <c r="BK438" s="46">
        <v>0</v>
      </c>
      <c r="BL438" s="46">
        <v>0</v>
      </c>
      <c r="BM438" s="46">
        <v>1</v>
      </c>
      <c r="BN438" s="46">
        <v>0</v>
      </c>
    </row>
    <row r="439" spans="1:66" x14ac:dyDescent="0.35">
      <c r="A439" t="s">
        <v>8220</v>
      </c>
      <c r="B439" s="44" t="s">
        <v>48</v>
      </c>
      <c r="C439" t="s">
        <v>2183</v>
      </c>
      <c r="D439" t="s">
        <v>1252</v>
      </c>
      <c r="E439" t="s">
        <v>8221</v>
      </c>
      <c r="F439" t="s">
        <v>1158</v>
      </c>
      <c r="G439" t="s">
        <v>47</v>
      </c>
      <c r="H439">
        <v>0</v>
      </c>
      <c r="I439" s="61">
        <v>44732</v>
      </c>
      <c r="J439" s="33" t="s">
        <v>45</v>
      </c>
      <c r="K439" s="46">
        <v>0</v>
      </c>
      <c r="L439">
        <v>30.3</v>
      </c>
      <c r="M439" t="s">
        <v>48</v>
      </c>
      <c r="N439" s="46">
        <v>1</v>
      </c>
      <c r="O439" s="46">
        <v>0</v>
      </c>
      <c r="P439" s="46">
        <v>0</v>
      </c>
      <c r="Q439" t="s">
        <v>48</v>
      </c>
      <c r="R439" t="s">
        <v>48</v>
      </c>
      <c r="S439" t="s">
        <v>48</v>
      </c>
      <c r="T439" t="s">
        <v>48</v>
      </c>
      <c r="U439" t="s">
        <v>48</v>
      </c>
      <c r="V439" s="47">
        <v>1</v>
      </c>
      <c r="W439" t="s">
        <v>11264</v>
      </c>
      <c r="X439" t="s">
        <v>48</v>
      </c>
      <c r="Y439" t="s">
        <v>48</v>
      </c>
      <c r="Z439" t="s">
        <v>48</v>
      </c>
      <c r="AA439" t="s">
        <v>48</v>
      </c>
      <c r="AB439" t="s">
        <v>48</v>
      </c>
      <c r="AC439" t="s">
        <v>49</v>
      </c>
      <c r="AD439" t="s">
        <v>93</v>
      </c>
      <c r="AE439" t="s">
        <v>4532</v>
      </c>
      <c r="AF439" t="s">
        <v>48</v>
      </c>
      <c r="AG439" t="s">
        <v>48</v>
      </c>
      <c r="AH439" t="s">
        <v>48</v>
      </c>
      <c r="AI439" t="s">
        <v>48</v>
      </c>
      <c r="AJ439" t="s">
        <v>48</v>
      </c>
      <c r="AK439" t="s">
        <v>48</v>
      </c>
      <c r="AL439" t="s">
        <v>48</v>
      </c>
      <c r="AM439" t="s">
        <v>48</v>
      </c>
      <c r="AN439" t="s">
        <v>48</v>
      </c>
      <c r="AO439" t="s">
        <v>48</v>
      </c>
      <c r="AP439" s="46">
        <v>0</v>
      </c>
      <c r="AQ439" s="46">
        <v>0</v>
      </c>
      <c r="AR439" s="46">
        <v>0</v>
      </c>
      <c r="AS439" s="46">
        <v>0</v>
      </c>
      <c r="AT439" s="46">
        <v>0</v>
      </c>
      <c r="AU439" s="46">
        <v>0</v>
      </c>
      <c r="AV439" s="46">
        <v>0</v>
      </c>
      <c r="AW439" s="46">
        <v>0</v>
      </c>
      <c r="AX439" s="46">
        <v>0</v>
      </c>
      <c r="AY439" s="46">
        <v>0</v>
      </c>
      <c r="AZ439" s="46">
        <v>0</v>
      </c>
      <c r="BA439" s="46">
        <v>0</v>
      </c>
      <c r="BB439" s="46">
        <v>0</v>
      </c>
      <c r="BC439" s="46">
        <v>0</v>
      </c>
      <c r="BD439" s="46">
        <v>0</v>
      </c>
      <c r="BE439" s="46">
        <v>0</v>
      </c>
      <c r="BF439" s="46">
        <v>0</v>
      </c>
      <c r="BG439" s="46" t="s">
        <v>48</v>
      </c>
      <c r="BH439" s="46">
        <v>0</v>
      </c>
      <c r="BI439" s="46">
        <v>0</v>
      </c>
      <c r="BJ439" s="46">
        <v>0</v>
      </c>
      <c r="BK439" s="46">
        <v>0</v>
      </c>
      <c r="BL439" s="46">
        <v>0</v>
      </c>
      <c r="BM439" s="46">
        <v>0</v>
      </c>
      <c r="BN439" s="46">
        <v>0</v>
      </c>
    </row>
    <row r="440" spans="1:66" x14ac:dyDescent="0.35">
      <c r="A440" t="s">
        <v>1157</v>
      </c>
      <c r="B440" t="s">
        <v>48</v>
      </c>
      <c r="C440" t="s">
        <v>1163</v>
      </c>
      <c r="D440" t="s">
        <v>1162</v>
      </c>
      <c r="E440" t="s">
        <v>1159</v>
      </c>
      <c r="F440" t="s">
        <v>1158</v>
      </c>
      <c r="G440" t="s">
        <v>74</v>
      </c>
      <c r="H440">
        <v>0</v>
      </c>
      <c r="I440" s="60" t="s">
        <v>51</v>
      </c>
      <c r="J440" s="33" t="s">
        <v>45</v>
      </c>
      <c r="K440" s="46">
        <v>1</v>
      </c>
      <c r="L440">
        <v>60.8</v>
      </c>
      <c r="M440" t="s">
        <v>48</v>
      </c>
      <c r="N440" s="46">
        <v>1</v>
      </c>
      <c r="O440" s="46">
        <v>0</v>
      </c>
      <c r="P440" s="46">
        <v>0</v>
      </c>
      <c r="Q440" t="s">
        <v>48</v>
      </c>
      <c r="R440" t="s">
        <v>48</v>
      </c>
      <c r="S440" t="s">
        <v>1160</v>
      </c>
      <c r="T440" t="s">
        <v>1161</v>
      </c>
      <c r="U440" t="s">
        <v>1160</v>
      </c>
      <c r="V440" s="47">
        <v>0</v>
      </c>
      <c r="W440" t="s">
        <v>48</v>
      </c>
      <c r="X440" t="s">
        <v>48</v>
      </c>
      <c r="Y440" t="s">
        <v>48</v>
      </c>
      <c r="Z440">
        <v>0</v>
      </c>
      <c r="AA440" t="s">
        <v>48</v>
      </c>
      <c r="AB440">
        <v>2016</v>
      </c>
      <c r="AC440" t="s">
        <v>49</v>
      </c>
      <c r="AD440" t="s">
        <v>951</v>
      </c>
      <c r="AE440" s="40" t="s">
        <v>11051</v>
      </c>
      <c r="AF440" t="s">
        <v>11054</v>
      </c>
      <c r="AG440" t="s">
        <v>140</v>
      </c>
      <c r="AH440" t="s">
        <v>93</v>
      </c>
      <c r="AI440">
        <v>21709</v>
      </c>
      <c r="AJ440">
        <v>1964</v>
      </c>
      <c r="AK440" t="s">
        <v>8726</v>
      </c>
      <c r="AL440" t="s">
        <v>8727</v>
      </c>
      <c r="AM440">
        <v>-0.3</v>
      </c>
      <c r="AN440">
        <v>0.13600000000000001</v>
      </c>
      <c r="AO440">
        <v>-0.3</v>
      </c>
      <c r="AP440" s="46">
        <v>0</v>
      </c>
      <c r="AQ440" s="46">
        <v>0</v>
      </c>
      <c r="AR440" s="46">
        <v>0</v>
      </c>
      <c r="AS440" s="46">
        <v>0</v>
      </c>
      <c r="AT440" s="46">
        <v>0</v>
      </c>
      <c r="AU440" s="46">
        <v>1</v>
      </c>
      <c r="AV440" s="46">
        <v>0</v>
      </c>
      <c r="AW440" s="46">
        <v>0</v>
      </c>
      <c r="AX440" s="46">
        <v>0</v>
      </c>
      <c r="AY440" s="46">
        <v>0</v>
      </c>
      <c r="AZ440" s="46">
        <v>0</v>
      </c>
      <c r="BA440" s="46">
        <v>1</v>
      </c>
      <c r="BB440" s="46">
        <v>0</v>
      </c>
      <c r="BC440" s="46">
        <v>0</v>
      </c>
      <c r="BD440" s="46">
        <v>0</v>
      </c>
      <c r="BE440" s="46">
        <v>0</v>
      </c>
      <c r="BF440" s="46">
        <v>0</v>
      </c>
      <c r="BG440" s="46" t="s">
        <v>48</v>
      </c>
      <c r="BH440" s="46">
        <v>0</v>
      </c>
      <c r="BI440" s="46">
        <v>0</v>
      </c>
      <c r="BJ440" s="46">
        <v>0</v>
      </c>
      <c r="BK440" s="46">
        <v>0</v>
      </c>
      <c r="BL440" s="46">
        <v>0</v>
      </c>
      <c r="BM440" s="46">
        <v>0</v>
      </c>
      <c r="BN440" s="46">
        <v>0</v>
      </c>
    </row>
    <row r="441" spans="1:66" x14ac:dyDescent="0.35">
      <c r="A441" t="s">
        <v>851</v>
      </c>
      <c r="B441" s="44" t="s">
        <v>48</v>
      </c>
      <c r="C441" t="s">
        <v>853</v>
      </c>
      <c r="D441" t="s">
        <v>195</v>
      </c>
      <c r="E441" t="s">
        <v>8225</v>
      </c>
      <c r="F441" t="s">
        <v>1164</v>
      </c>
      <c r="G441" t="s">
        <v>47</v>
      </c>
      <c r="H441">
        <v>0</v>
      </c>
      <c r="I441" s="61">
        <v>44732</v>
      </c>
      <c r="J441" s="33" t="s">
        <v>45</v>
      </c>
      <c r="K441" s="46">
        <v>0</v>
      </c>
      <c r="L441">
        <v>16.5</v>
      </c>
      <c r="M441" t="s">
        <v>48</v>
      </c>
      <c r="N441" s="46">
        <v>1</v>
      </c>
      <c r="O441" s="46">
        <v>0</v>
      </c>
      <c r="P441" s="46">
        <v>0</v>
      </c>
      <c r="Q441" t="s">
        <v>48</v>
      </c>
      <c r="R441" t="s">
        <v>48</v>
      </c>
      <c r="S441" t="s">
        <v>852</v>
      </c>
      <c r="T441" t="s">
        <v>48</v>
      </c>
      <c r="U441" t="s">
        <v>852</v>
      </c>
      <c r="V441" s="47">
        <v>0</v>
      </c>
      <c r="W441" t="s">
        <v>48</v>
      </c>
      <c r="X441" t="s">
        <v>48</v>
      </c>
      <c r="Y441" t="s">
        <v>48</v>
      </c>
      <c r="Z441">
        <v>0</v>
      </c>
      <c r="AA441" t="s">
        <v>48</v>
      </c>
      <c r="AB441" t="s">
        <v>48</v>
      </c>
      <c r="AC441" t="s">
        <v>49</v>
      </c>
      <c r="AD441" t="s">
        <v>93</v>
      </c>
      <c r="AE441" s="40" t="s">
        <v>2471</v>
      </c>
      <c r="AF441" t="s">
        <v>11061</v>
      </c>
      <c r="AG441" t="s">
        <v>266</v>
      </c>
      <c r="AH441" t="s">
        <v>48</v>
      </c>
      <c r="AI441" t="s">
        <v>48</v>
      </c>
      <c r="AJ441" t="s">
        <v>48</v>
      </c>
      <c r="AK441" t="s">
        <v>48</v>
      </c>
      <c r="AL441" t="s">
        <v>48</v>
      </c>
      <c r="AM441" t="s">
        <v>48</v>
      </c>
      <c r="AN441" t="s">
        <v>48</v>
      </c>
      <c r="AO441" t="s">
        <v>48</v>
      </c>
      <c r="AP441" s="46">
        <v>0</v>
      </c>
      <c r="AQ441" s="46">
        <v>0</v>
      </c>
      <c r="AR441" s="46">
        <v>0</v>
      </c>
      <c r="AS441" s="46">
        <v>0</v>
      </c>
      <c r="AT441" s="46">
        <v>0</v>
      </c>
      <c r="AU441" s="46">
        <v>0</v>
      </c>
      <c r="AV441" s="46">
        <v>0</v>
      </c>
      <c r="AW441" s="46">
        <v>0</v>
      </c>
      <c r="AX441" s="46">
        <v>0</v>
      </c>
      <c r="AY441" s="46">
        <v>0</v>
      </c>
      <c r="AZ441" s="46">
        <v>0</v>
      </c>
      <c r="BA441" s="46">
        <v>0</v>
      </c>
      <c r="BB441" s="46">
        <v>0</v>
      </c>
      <c r="BC441" s="46">
        <v>0</v>
      </c>
      <c r="BD441" s="46">
        <v>0</v>
      </c>
      <c r="BE441" s="46">
        <v>0</v>
      </c>
      <c r="BF441" s="46">
        <v>0</v>
      </c>
      <c r="BG441" s="46">
        <v>1</v>
      </c>
      <c r="BH441" s="46">
        <v>0</v>
      </c>
      <c r="BI441" s="46">
        <v>0</v>
      </c>
      <c r="BJ441" s="46">
        <v>0</v>
      </c>
      <c r="BK441" s="46">
        <v>0</v>
      </c>
      <c r="BL441" s="46">
        <v>0</v>
      </c>
      <c r="BM441" s="46">
        <v>0</v>
      </c>
      <c r="BN441" s="46">
        <v>0</v>
      </c>
    </row>
    <row r="442" spans="1:66" x14ac:dyDescent="0.35">
      <c r="A442" t="s">
        <v>1311</v>
      </c>
      <c r="B442" t="s">
        <v>48</v>
      </c>
      <c r="C442" t="s">
        <v>1315</v>
      </c>
      <c r="D442" t="s">
        <v>781</v>
      </c>
      <c r="E442" t="s">
        <v>8046</v>
      </c>
      <c r="F442" t="s">
        <v>1164</v>
      </c>
      <c r="G442" t="s">
        <v>74</v>
      </c>
      <c r="H442">
        <v>0</v>
      </c>
      <c r="I442" s="61">
        <v>44732</v>
      </c>
      <c r="J442" s="33" t="s">
        <v>45</v>
      </c>
      <c r="K442" s="46">
        <v>1</v>
      </c>
      <c r="L442">
        <v>56.5</v>
      </c>
      <c r="M442" s="41" t="s">
        <v>48</v>
      </c>
      <c r="N442" s="46">
        <v>1</v>
      </c>
      <c r="O442" s="46">
        <v>0</v>
      </c>
      <c r="P442" s="46">
        <v>0</v>
      </c>
      <c r="Q442" s="41" t="s">
        <v>48</v>
      </c>
      <c r="R442" s="41" t="s">
        <v>48</v>
      </c>
      <c r="S442" t="s">
        <v>1312</v>
      </c>
      <c r="T442" t="s">
        <v>1313</v>
      </c>
      <c r="U442" t="s">
        <v>1312</v>
      </c>
      <c r="V442" s="47">
        <v>0</v>
      </c>
      <c r="W442" t="s">
        <v>48</v>
      </c>
      <c r="X442" t="s">
        <v>48</v>
      </c>
      <c r="Y442" t="s">
        <v>48</v>
      </c>
      <c r="Z442">
        <v>0</v>
      </c>
      <c r="AA442" t="s">
        <v>48</v>
      </c>
      <c r="AB442">
        <v>2012</v>
      </c>
      <c r="AC442" t="s">
        <v>49</v>
      </c>
      <c r="AD442" t="s">
        <v>951</v>
      </c>
      <c r="AE442" s="40" t="s">
        <v>11051</v>
      </c>
      <c r="AF442" t="s">
        <v>11054</v>
      </c>
      <c r="AG442" t="s">
        <v>1314</v>
      </c>
      <c r="AH442" t="s">
        <v>93</v>
      </c>
      <c r="AI442">
        <v>21311</v>
      </c>
      <c r="AJ442">
        <v>1972</v>
      </c>
      <c r="AK442" t="s">
        <v>8750</v>
      </c>
      <c r="AL442" t="s">
        <v>8751</v>
      </c>
      <c r="AM442">
        <v>-0.246</v>
      </c>
      <c r="AN442">
        <v>0.06</v>
      </c>
      <c r="AO442">
        <v>-0.246</v>
      </c>
      <c r="AP442" s="46">
        <v>0</v>
      </c>
      <c r="AQ442" s="46">
        <v>0</v>
      </c>
      <c r="AR442" s="46">
        <v>0</v>
      </c>
      <c r="AS442" s="46">
        <v>0</v>
      </c>
      <c r="AT442" s="46">
        <v>0</v>
      </c>
      <c r="AU442" s="46">
        <v>1</v>
      </c>
      <c r="AV442" s="46">
        <v>0</v>
      </c>
      <c r="AW442" s="46">
        <v>0</v>
      </c>
      <c r="AX442" s="46">
        <v>0</v>
      </c>
      <c r="AY442" s="46">
        <v>0</v>
      </c>
      <c r="AZ442" s="46">
        <v>0</v>
      </c>
      <c r="BA442" s="46">
        <v>0</v>
      </c>
      <c r="BB442" s="46">
        <v>0</v>
      </c>
      <c r="BC442" s="46">
        <v>0</v>
      </c>
      <c r="BD442" s="46">
        <v>0</v>
      </c>
      <c r="BE442" s="46">
        <v>0</v>
      </c>
      <c r="BF442" s="46">
        <v>0</v>
      </c>
      <c r="BG442" s="46" t="s">
        <v>48</v>
      </c>
      <c r="BH442" s="46">
        <v>0</v>
      </c>
      <c r="BI442" s="46">
        <v>0</v>
      </c>
      <c r="BJ442" s="46">
        <v>0</v>
      </c>
      <c r="BK442" s="46">
        <v>0</v>
      </c>
      <c r="BL442" s="46">
        <v>1</v>
      </c>
      <c r="BM442" s="46">
        <v>0</v>
      </c>
      <c r="BN442" s="46">
        <v>0</v>
      </c>
    </row>
    <row r="443" spans="1:66" x14ac:dyDescent="0.35">
      <c r="A443" t="s">
        <v>1184</v>
      </c>
      <c r="B443" t="s">
        <v>48</v>
      </c>
      <c r="C443" t="s">
        <v>1189</v>
      </c>
      <c r="D443" t="s">
        <v>1188</v>
      </c>
      <c r="E443" t="s">
        <v>1185</v>
      </c>
      <c r="F443" t="s">
        <v>1181</v>
      </c>
      <c r="G443" t="s">
        <v>74</v>
      </c>
      <c r="H443">
        <v>0</v>
      </c>
      <c r="I443" s="60" t="s">
        <v>51</v>
      </c>
      <c r="J443" s="33" t="s">
        <v>45</v>
      </c>
      <c r="K443" s="46">
        <v>1</v>
      </c>
      <c r="L443">
        <v>54.3</v>
      </c>
      <c r="M443" t="s">
        <v>48</v>
      </c>
      <c r="N443" s="46">
        <v>1</v>
      </c>
      <c r="O443" s="46">
        <v>0</v>
      </c>
      <c r="P443" s="46">
        <v>0</v>
      </c>
      <c r="Q443" t="s">
        <v>48</v>
      </c>
      <c r="R443" t="s">
        <v>48</v>
      </c>
      <c r="S443" t="s">
        <v>1186</v>
      </c>
      <c r="T443" t="s">
        <v>1187</v>
      </c>
      <c r="U443" t="s">
        <v>1186</v>
      </c>
      <c r="V443" s="47">
        <v>0</v>
      </c>
      <c r="W443" t="s">
        <v>48</v>
      </c>
      <c r="X443" t="s">
        <v>48</v>
      </c>
      <c r="Y443" t="s">
        <v>48</v>
      </c>
      <c r="Z443">
        <v>0</v>
      </c>
      <c r="AA443" t="s">
        <v>48</v>
      </c>
      <c r="AB443">
        <v>2012</v>
      </c>
      <c r="AC443" t="s">
        <v>63</v>
      </c>
      <c r="AD443" t="s">
        <v>93</v>
      </c>
      <c r="AE443" t="s">
        <v>4532</v>
      </c>
      <c r="AF443" t="s">
        <v>48</v>
      </c>
      <c r="AG443" t="s">
        <v>119</v>
      </c>
      <c r="AH443" t="s">
        <v>93</v>
      </c>
      <c r="AI443">
        <v>21308</v>
      </c>
      <c r="AJ443">
        <v>1952</v>
      </c>
      <c r="AK443" t="s">
        <v>8730</v>
      </c>
      <c r="AL443" t="s">
        <v>8731</v>
      </c>
      <c r="AM443">
        <v>-0.28699999999999998</v>
      </c>
      <c r="AN443">
        <v>5.3999999999999999E-2</v>
      </c>
      <c r="AO443">
        <v>-0.28699999999999998</v>
      </c>
      <c r="AP443" s="46">
        <v>0</v>
      </c>
      <c r="AQ443" s="46">
        <v>0</v>
      </c>
      <c r="AR443" s="46">
        <v>0</v>
      </c>
      <c r="AS443" s="46">
        <v>0</v>
      </c>
      <c r="AT443" s="46">
        <v>0</v>
      </c>
      <c r="AU443" s="46">
        <v>1</v>
      </c>
      <c r="AV443" s="46">
        <v>0</v>
      </c>
      <c r="AW443" s="46">
        <v>0</v>
      </c>
      <c r="AX443" s="46">
        <v>0</v>
      </c>
      <c r="AY443" s="46">
        <v>0</v>
      </c>
      <c r="AZ443" s="46">
        <v>0</v>
      </c>
      <c r="BA443" s="46">
        <v>0</v>
      </c>
      <c r="BB443" s="46">
        <v>0</v>
      </c>
      <c r="BC443" s="46">
        <v>0</v>
      </c>
      <c r="BD443" s="46">
        <v>0</v>
      </c>
      <c r="BE443" s="46">
        <v>0</v>
      </c>
      <c r="BF443" s="46">
        <v>0</v>
      </c>
      <c r="BG443" s="46" t="s">
        <v>48</v>
      </c>
      <c r="BH443" s="46">
        <v>0</v>
      </c>
      <c r="BI443" s="46">
        <v>0</v>
      </c>
      <c r="BJ443" s="46">
        <v>0</v>
      </c>
      <c r="BK443" s="46">
        <v>0</v>
      </c>
      <c r="BL443" s="46">
        <v>0</v>
      </c>
      <c r="BM443" s="46">
        <v>0</v>
      </c>
      <c r="BN443" s="46">
        <v>0</v>
      </c>
    </row>
    <row r="444" spans="1:66" x14ac:dyDescent="0.35">
      <c r="A444" t="s">
        <v>1190</v>
      </c>
      <c r="B444" s="44" t="s">
        <v>48</v>
      </c>
      <c r="C444" t="s">
        <v>1194</v>
      </c>
      <c r="D444" t="s">
        <v>1193</v>
      </c>
      <c r="E444" t="s">
        <v>1191</v>
      </c>
      <c r="F444" t="s">
        <v>1181</v>
      </c>
      <c r="G444" t="s">
        <v>47</v>
      </c>
      <c r="H444">
        <v>0</v>
      </c>
      <c r="I444" s="60" t="s">
        <v>51</v>
      </c>
      <c r="J444" s="33" t="s">
        <v>45</v>
      </c>
      <c r="K444" s="46">
        <v>0</v>
      </c>
      <c r="L444">
        <v>38.4</v>
      </c>
      <c r="M444" t="s">
        <v>48</v>
      </c>
      <c r="N444" s="46">
        <v>1</v>
      </c>
      <c r="O444" s="46">
        <v>0</v>
      </c>
      <c r="P444" s="46">
        <v>0</v>
      </c>
      <c r="Q444" t="s">
        <v>48</v>
      </c>
      <c r="R444" t="s">
        <v>48</v>
      </c>
      <c r="S444" t="s">
        <v>1192</v>
      </c>
      <c r="T444" t="s">
        <v>48</v>
      </c>
      <c r="U444" t="s">
        <v>1192</v>
      </c>
      <c r="V444" s="47">
        <v>0</v>
      </c>
      <c r="W444" t="s">
        <v>48</v>
      </c>
      <c r="X444" t="s">
        <v>48</v>
      </c>
      <c r="Y444" t="s">
        <v>48</v>
      </c>
      <c r="Z444">
        <v>0</v>
      </c>
      <c r="AA444" t="s">
        <v>48</v>
      </c>
      <c r="AB444" t="s">
        <v>48</v>
      </c>
      <c r="AC444" t="s">
        <v>49</v>
      </c>
      <c r="AD444" t="s">
        <v>93</v>
      </c>
      <c r="AE444" t="s">
        <v>4532</v>
      </c>
      <c r="AF444" t="s">
        <v>48</v>
      </c>
      <c r="AG444" t="s">
        <v>48</v>
      </c>
      <c r="AH444" t="s">
        <v>48</v>
      </c>
      <c r="AI444" t="s">
        <v>48</v>
      </c>
      <c r="AJ444" t="s">
        <v>48</v>
      </c>
      <c r="AK444" t="s">
        <v>48</v>
      </c>
      <c r="AL444" t="s">
        <v>48</v>
      </c>
      <c r="AM444" t="s">
        <v>48</v>
      </c>
      <c r="AN444" t="s">
        <v>48</v>
      </c>
      <c r="AO444" t="s">
        <v>48</v>
      </c>
      <c r="AP444" s="46">
        <v>0</v>
      </c>
      <c r="AQ444" s="46">
        <v>0</v>
      </c>
      <c r="AR444" s="46">
        <v>0</v>
      </c>
      <c r="AS444" s="46">
        <v>0</v>
      </c>
      <c r="AT444" s="46">
        <v>0</v>
      </c>
      <c r="AU444" s="46">
        <v>0</v>
      </c>
      <c r="AV444" s="46">
        <v>0</v>
      </c>
      <c r="AW444" s="46">
        <v>0</v>
      </c>
      <c r="AX444" s="46">
        <v>0</v>
      </c>
      <c r="AY444" s="46">
        <v>0</v>
      </c>
      <c r="AZ444" s="46">
        <v>0</v>
      </c>
      <c r="BA444" s="46">
        <v>0</v>
      </c>
      <c r="BB444" s="46">
        <v>0</v>
      </c>
      <c r="BC444" s="46">
        <v>0</v>
      </c>
      <c r="BD444" s="46">
        <v>0</v>
      </c>
      <c r="BE444" s="46">
        <v>0</v>
      </c>
      <c r="BF444" s="46">
        <v>0</v>
      </c>
      <c r="BG444" s="46" t="s">
        <v>48</v>
      </c>
      <c r="BH444" s="46">
        <v>0</v>
      </c>
      <c r="BI444" s="46">
        <v>0</v>
      </c>
      <c r="BJ444" s="46">
        <v>0</v>
      </c>
      <c r="BK444" s="46">
        <v>0</v>
      </c>
      <c r="BL444" s="46">
        <v>0</v>
      </c>
      <c r="BM444" s="46">
        <v>0</v>
      </c>
      <c r="BN444" s="46">
        <v>0</v>
      </c>
    </row>
    <row r="445" spans="1:66" x14ac:dyDescent="0.35">
      <c r="A445" t="s">
        <v>1174</v>
      </c>
      <c r="B445" s="44" t="s">
        <v>48</v>
      </c>
      <c r="C445" t="s">
        <v>80</v>
      </c>
      <c r="D445" t="s">
        <v>1176</v>
      </c>
      <c r="E445" t="s">
        <v>8050</v>
      </c>
      <c r="F445" t="s">
        <v>1203</v>
      </c>
      <c r="G445" t="s">
        <v>74</v>
      </c>
      <c r="H445">
        <v>0</v>
      </c>
      <c r="I445" s="61">
        <v>44732</v>
      </c>
      <c r="J445" s="33" t="s">
        <v>45</v>
      </c>
      <c r="K445" s="46">
        <v>0</v>
      </c>
      <c r="L445">
        <v>37.299999999999997</v>
      </c>
      <c r="M445" t="s">
        <v>48</v>
      </c>
      <c r="N445" s="46">
        <v>1</v>
      </c>
      <c r="O445" s="46">
        <v>0</v>
      </c>
      <c r="P445" s="46">
        <v>0</v>
      </c>
      <c r="Q445" t="s">
        <v>48</v>
      </c>
      <c r="R445" t="s">
        <v>48</v>
      </c>
      <c r="S445" t="s">
        <v>10043</v>
      </c>
      <c r="T445" t="s">
        <v>48</v>
      </c>
      <c r="U445" t="s">
        <v>10043</v>
      </c>
      <c r="V445" s="47">
        <v>0</v>
      </c>
      <c r="W445" t="s">
        <v>48</v>
      </c>
      <c r="X445" t="s">
        <v>48</v>
      </c>
      <c r="Y445" t="s">
        <v>48</v>
      </c>
      <c r="Z445">
        <v>0</v>
      </c>
      <c r="AA445" t="s">
        <v>1175</v>
      </c>
      <c r="AB445" t="s">
        <v>48</v>
      </c>
      <c r="AC445" t="s">
        <v>63</v>
      </c>
      <c r="AD445" t="s">
        <v>93</v>
      </c>
      <c r="AE445" t="s">
        <v>4532</v>
      </c>
      <c r="AF445" t="s">
        <v>48</v>
      </c>
      <c r="AG445" t="s">
        <v>48</v>
      </c>
      <c r="AH445" t="s">
        <v>48</v>
      </c>
      <c r="AI445" t="s">
        <v>48</v>
      </c>
      <c r="AJ445" t="s">
        <v>48</v>
      </c>
      <c r="AK445" t="s">
        <v>48</v>
      </c>
      <c r="AL445" t="s">
        <v>48</v>
      </c>
      <c r="AM445" t="s">
        <v>48</v>
      </c>
      <c r="AN445" t="s">
        <v>48</v>
      </c>
      <c r="AO445" t="s">
        <v>48</v>
      </c>
      <c r="AP445" s="46">
        <v>0</v>
      </c>
      <c r="AQ445" s="46">
        <v>0</v>
      </c>
      <c r="AR445" s="46">
        <v>0</v>
      </c>
      <c r="AS445" s="46">
        <v>0</v>
      </c>
      <c r="AT445" s="46">
        <v>0</v>
      </c>
      <c r="AU445" s="46">
        <v>0</v>
      </c>
      <c r="AV445" s="46">
        <v>0</v>
      </c>
      <c r="AW445" s="46">
        <v>0</v>
      </c>
      <c r="AX445" s="46">
        <v>0</v>
      </c>
      <c r="AY445" s="46">
        <v>0</v>
      </c>
      <c r="AZ445" s="46">
        <v>0</v>
      </c>
      <c r="BA445" s="46">
        <v>0</v>
      </c>
      <c r="BB445" s="46">
        <v>0</v>
      </c>
      <c r="BC445" s="46">
        <v>0</v>
      </c>
      <c r="BD445" s="46">
        <v>0</v>
      </c>
      <c r="BE445" s="46">
        <v>0</v>
      </c>
      <c r="BF445" s="46">
        <v>0</v>
      </c>
      <c r="BG445" s="46" t="s">
        <v>48</v>
      </c>
      <c r="BH445" s="46">
        <v>0</v>
      </c>
      <c r="BI445" s="46">
        <v>0</v>
      </c>
      <c r="BJ445" s="46">
        <v>0</v>
      </c>
      <c r="BK445" s="46">
        <v>0</v>
      </c>
      <c r="BL445" s="46">
        <v>0</v>
      </c>
      <c r="BM445" s="46">
        <v>0</v>
      </c>
      <c r="BN445" s="46">
        <v>0</v>
      </c>
    </row>
    <row r="446" spans="1:66" x14ac:dyDescent="0.35">
      <c r="A446" t="s">
        <v>1166</v>
      </c>
      <c r="B446" s="44" t="s">
        <v>48</v>
      </c>
      <c r="C446" t="s">
        <v>1140</v>
      </c>
      <c r="D446" t="s">
        <v>288</v>
      </c>
      <c r="E446" t="s">
        <v>8230</v>
      </c>
      <c r="F446" t="s">
        <v>1203</v>
      </c>
      <c r="G446" t="s">
        <v>47</v>
      </c>
      <c r="H446">
        <v>0</v>
      </c>
      <c r="I446" s="61">
        <v>44732</v>
      </c>
      <c r="J446" s="33" t="s">
        <v>45</v>
      </c>
      <c r="K446" s="46">
        <v>1</v>
      </c>
      <c r="L446">
        <v>47.2</v>
      </c>
      <c r="M446" s="41" t="s">
        <v>48</v>
      </c>
      <c r="N446" s="46">
        <v>1</v>
      </c>
      <c r="O446" s="46">
        <v>0</v>
      </c>
      <c r="P446" s="46">
        <v>0</v>
      </c>
      <c r="Q446" s="41" t="s">
        <v>48</v>
      </c>
      <c r="R446" s="41" t="s">
        <v>48</v>
      </c>
      <c r="S446" t="s">
        <v>10045</v>
      </c>
      <c r="T446" t="s">
        <v>1167</v>
      </c>
      <c r="U446" t="s">
        <v>10045</v>
      </c>
      <c r="V446" s="47">
        <v>0</v>
      </c>
      <c r="W446" t="s">
        <v>48</v>
      </c>
      <c r="X446" t="s">
        <v>48</v>
      </c>
      <c r="Y446" t="s">
        <v>48</v>
      </c>
      <c r="Z446">
        <v>0</v>
      </c>
      <c r="AA446" t="s">
        <v>10409</v>
      </c>
      <c r="AB446" t="s">
        <v>1168</v>
      </c>
      <c r="AC446" t="s">
        <v>49</v>
      </c>
      <c r="AD446" t="s">
        <v>951</v>
      </c>
      <c r="AE446" s="40" t="s">
        <v>11051</v>
      </c>
      <c r="AF446" t="s">
        <v>11054</v>
      </c>
      <c r="AG446" t="s">
        <v>266</v>
      </c>
      <c r="AH446" t="s">
        <v>93</v>
      </c>
      <c r="AI446">
        <v>21988</v>
      </c>
      <c r="AJ446">
        <v>1976</v>
      </c>
      <c r="AK446" t="s">
        <v>8728</v>
      </c>
      <c r="AL446" t="s">
        <v>8729</v>
      </c>
      <c r="AM446">
        <v>0.375</v>
      </c>
      <c r="AN446">
        <v>0.121</v>
      </c>
      <c r="AO446">
        <v>0.375</v>
      </c>
      <c r="AP446" s="46">
        <v>0</v>
      </c>
      <c r="AQ446" s="46">
        <v>0</v>
      </c>
      <c r="AR446" s="46">
        <v>0</v>
      </c>
      <c r="AS446" s="46">
        <v>0</v>
      </c>
      <c r="AT446" s="46">
        <v>0</v>
      </c>
      <c r="AU446" s="46">
        <v>0</v>
      </c>
      <c r="AV446" s="46">
        <v>0</v>
      </c>
      <c r="AW446" s="46">
        <v>0</v>
      </c>
      <c r="AX446" s="46">
        <v>0</v>
      </c>
      <c r="AY446" s="46">
        <v>0</v>
      </c>
      <c r="AZ446" s="46">
        <v>0</v>
      </c>
      <c r="BA446" s="46">
        <v>0</v>
      </c>
      <c r="BB446" s="46">
        <v>1</v>
      </c>
      <c r="BC446" s="46">
        <v>0</v>
      </c>
      <c r="BD446" s="46">
        <v>0</v>
      </c>
      <c r="BE446" s="46">
        <v>0</v>
      </c>
      <c r="BF446" s="46">
        <v>0</v>
      </c>
      <c r="BG446" s="46">
        <v>1</v>
      </c>
      <c r="BH446" s="46">
        <v>0</v>
      </c>
      <c r="BI446" s="46">
        <v>0</v>
      </c>
      <c r="BJ446" s="46">
        <v>0</v>
      </c>
      <c r="BK446" s="46">
        <v>0</v>
      </c>
      <c r="BL446" s="46">
        <v>0</v>
      </c>
      <c r="BM446" s="46">
        <v>0</v>
      </c>
      <c r="BN446" s="46">
        <v>0</v>
      </c>
    </row>
    <row r="447" spans="1:66" x14ac:dyDescent="0.35">
      <c r="A447" t="s">
        <v>1202</v>
      </c>
      <c r="B447" s="44" t="s">
        <v>48</v>
      </c>
      <c r="C447" t="s">
        <v>1206</v>
      </c>
      <c r="D447" t="s">
        <v>724</v>
      </c>
      <c r="E447" t="s">
        <v>8053</v>
      </c>
      <c r="F447" t="s">
        <v>1208</v>
      </c>
      <c r="G447" t="s">
        <v>74</v>
      </c>
      <c r="H447">
        <v>0</v>
      </c>
      <c r="I447" s="61">
        <v>44732</v>
      </c>
      <c r="J447" s="33" t="s">
        <v>45</v>
      </c>
      <c r="K447" s="46">
        <v>1</v>
      </c>
      <c r="L447">
        <v>63</v>
      </c>
      <c r="M447" t="s">
        <v>48</v>
      </c>
      <c r="N447" s="46">
        <v>1</v>
      </c>
      <c r="O447" s="46">
        <v>0</v>
      </c>
      <c r="P447" s="46">
        <v>0</v>
      </c>
      <c r="Q447" t="s">
        <v>48</v>
      </c>
      <c r="R447" t="s">
        <v>48</v>
      </c>
      <c r="S447" t="s">
        <v>1204</v>
      </c>
      <c r="T447" t="s">
        <v>1205</v>
      </c>
      <c r="U447" t="s">
        <v>1204</v>
      </c>
      <c r="V447" s="47">
        <v>0</v>
      </c>
      <c r="W447" t="s">
        <v>48</v>
      </c>
      <c r="X447" t="s">
        <v>48</v>
      </c>
      <c r="Y447" t="s">
        <v>48</v>
      </c>
      <c r="Z447">
        <v>0</v>
      </c>
      <c r="AA447" t="s">
        <v>48</v>
      </c>
      <c r="AB447" t="s">
        <v>943</v>
      </c>
      <c r="AC447" t="s">
        <v>63</v>
      </c>
      <c r="AD447" t="s">
        <v>93</v>
      </c>
      <c r="AE447" t="s">
        <v>977</v>
      </c>
      <c r="AF447" t="s">
        <v>11062</v>
      </c>
      <c r="AG447" t="s">
        <v>930</v>
      </c>
      <c r="AH447" t="s">
        <v>93</v>
      </c>
      <c r="AI447">
        <v>20955</v>
      </c>
      <c r="AJ447">
        <v>1953</v>
      </c>
      <c r="AK447" t="s">
        <v>8732</v>
      </c>
      <c r="AL447" t="s">
        <v>8733</v>
      </c>
      <c r="AM447">
        <v>-0.48799999999999999</v>
      </c>
      <c r="AN447">
        <v>-0.374</v>
      </c>
      <c r="AO447">
        <v>-0.48799999999999999</v>
      </c>
      <c r="AP447" s="46">
        <v>0</v>
      </c>
      <c r="AQ447" s="46">
        <v>0</v>
      </c>
      <c r="AR447" s="46">
        <v>0</v>
      </c>
      <c r="AS447" s="46">
        <v>0</v>
      </c>
      <c r="AT447" s="46">
        <v>1</v>
      </c>
      <c r="AU447" s="46">
        <v>0</v>
      </c>
      <c r="AV447" s="46">
        <v>0</v>
      </c>
      <c r="AW447" s="46">
        <v>0</v>
      </c>
      <c r="AX447" s="46">
        <v>0</v>
      </c>
      <c r="AY447" s="46">
        <v>0</v>
      </c>
      <c r="AZ447" s="46">
        <v>0</v>
      </c>
      <c r="BA447" s="46">
        <v>0</v>
      </c>
      <c r="BB447" s="46">
        <v>0</v>
      </c>
      <c r="BC447" s="46">
        <v>0</v>
      </c>
      <c r="BD447" s="46">
        <v>0</v>
      </c>
      <c r="BE447" s="46">
        <v>0</v>
      </c>
      <c r="BF447" s="46">
        <v>0</v>
      </c>
      <c r="BG447" s="46" t="s">
        <v>48</v>
      </c>
      <c r="BH447" s="46">
        <v>0</v>
      </c>
      <c r="BI447" s="46">
        <v>0</v>
      </c>
      <c r="BJ447" s="46">
        <v>0</v>
      </c>
      <c r="BK447" s="46">
        <v>1</v>
      </c>
      <c r="BL447" s="46">
        <v>0</v>
      </c>
      <c r="BM447" s="46">
        <v>0</v>
      </c>
      <c r="BN447" s="46">
        <v>0</v>
      </c>
    </row>
    <row r="448" spans="1:66" x14ac:dyDescent="0.35">
      <c r="A448" t="s">
        <v>8235</v>
      </c>
      <c r="B448" s="44" t="s">
        <v>48</v>
      </c>
      <c r="C448" t="s">
        <v>11673</v>
      </c>
      <c r="D448" t="s">
        <v>11674</v>
      </c>
      <c r="E448" t="s">
        <v>8236</v>
      </c>
      <c r="F448" t="s">
        <v>1208</v>
      </c>
      <c r="G448" t="s">
        <v>47</v>
      </c>
      <c r="H448">
        <v>0</v>
      </c>
      <c r="I448" s="61">
        <v>44732</v>
      </c>
      <c r="J448" s="33" t="s">
        <v>45</v>
      </c>
      <c r="K448" s="46">
        <v>0</v>
      </c>
      <c r="L448">
        <v>29.4</v>
      </c>
      <c r="M448" t="s">
        <v>48</v>
      </c>
      <c r="N448" s="46">
        <v>1</v>
      </c>
      <c r="O448" s="46">
        <v>0</v>
      </c>
      <c r="P448" s="46">
        <v>0</v>
      </c>
      <c r="Q448" t="s">
        <v>48</v>
      </c>
      <c r="R448" t="s">
        <v>48</v>
      </c>
      <c r="S448" t="s">
        <v>48</v>
      </c>
      <c r="T448" t="s">
        <v>48</v>
      </c>
      <c r="U448" t="s">
        <v>48</v>
      </c>
      <c r="V448" s="47">
        <v>1</v>
      </c>
      <c r="W448" t="s">
        <v>11264</v>
      </c>
      <c r="X448" t="s">
        <v>48</v>
      </c>
      <c r="Y448" t="s">
        <v>48</v>
      </c>
      <c r="Z448" t="s">
        <v>48</v>
      </c>
      <c r="AA448" t="s">
        <v>48</v>
      </c>
      <c r="AB448" t="s">
        <v>48</v>
      </c>
      <c r="AC448" t="s">
        <v>49</v>
      </c>
      <c r="AD448" t="s">
        <v>93</v>
      </c>
      <c r="AE448" t="s">
        <v>4532</v>
      </c>
      <c r="AF448" t="s">
        <v>48</v>
      </c>
      <c r="AG448" t="s">
        <v>48</v>
      </c>
      <c r="AH448" t="s">
        <v>48</v>
      </c>
      <c r="AI448" t="s">
        <v>48</v>
      </c>
      <c r="AJ448" t="s">
        <v>48</v>
      </c>
      <c r="AK448" t="s">
        <v>48</v>
      </c>
      <c r="AL448" t="s">
        <v>48</v>
      </c>
      <c r="AM448" t="s">
        <v>48</v>
      </c>
      <c r="AN448" t="s">
        <v>48</v>
      </c>
      <c r="AO448" t="s">
        <v>48</v>
      </c>
      <c r="AP448" s="46">
        <v>0</v>
      </c>
      <c r="AQ448" s="46">
        <v>0</v>
      </c>
      <c r="AR448" s="46">
        <v>0</v>
      </c>
      <c r="AS448" s="46">
        <v>0</v>
      </c>
      <c r="AT448" s="46">
        <v>0</v>
      </c>
      <c r="AU448" s="46">
        <v>0</v>
      </c>
      <c r="AV448" s="46">
        <v>0</v>
      </c>
      <c r="AW448" s="46">
        <v>0</v>
      </c>
      <c r="AX448" s="46">
        <v>0</v>
      </c>
      <c r="AY448" s="46">
        <v>0</v>
      </c>
      <c r="AZ448" s="46">
        <v>0</v>
      </c>
      <c r="BA448" s="46">
        <v>0</v>
      </c>
      <c r="BB448" s="46">
        <v>0</v>
      </c>
      <c r="BC448" s="46">
        <v>0</v>
      </c>
      <c r="BD448" s="46">
        <v>0</v>
      </c>
      <c r="BE448" s="46">
        <v>0</v>
      </c>
      <c r="BF448" s="46">
        <v>0</v>
      </c>
      <c r="BG448" s="46" t="s">
        <v>48</v>
      </c>
      <c r="BH448" s="46">
        <v>0</v>
      </c>
      <c r="BI448" s="46">
        <v>0</v>
      </c>
      <c r="BJ448" s="46">
        <v>0</v>
      </c>
      <c r="BK448" s="46">
        <v>0</v>
      </c>
      <c r="BL448" s="46">
        <v>0</v>
      </c>
      <c r="BM448" s="46">
        <v>0</v>
      </c>
      <c r="BN448" s="46">
        <v>0</v>
      </c>
    </row>
    <row r="449" spans="1:66" x14ac:dyDescent="0.35">
      <c r="A449" t="s">
        <v>1224</v>
      </c>
      <c r="B449" s="44" t="s">
        <v>48</v>
      </c>
      <c r="C449" t="s">
        <v>1229</v>
      </c>
      <c r="D449" t="s">
        <v>1228</v>
      </c>
      <c r="E449" t="s">
        <v>1225</v>
      </c>
      <c r="F449" t="s">
        <v>1217</v>
      </c>
      <c r="G449" t="s">
        <v>74</v>
      </c>
      <c r="H449">
        <v>0</v>
      </c>
      <c r="I449" s="60" t="s">
        <v>51</v>
      </c>
      <c r="J449" s="33" t="s">
        <v>45</v>
      </c>
      <c r="K449" s="46">
        <v>0</v>
      </c>
      <c r="L449">
        <v>22.5</v>
      </c>
      <c r="M449" t="s">
        <v>48</v>
      </c>
      <c r="N449" s="46">
        <v>1</v>
      </c>
      <c r="O449" s="46">
        <v>1</v>
      </c>
      <c r="P449" s="46">
        <v>0</v>
      </c>
      <c r="Q449" t="s">
        <v>48</v>
      </c>
      <c r="R449" t="s">
        <v>48</v>
      </c>
      <c r="S449" t="s">
        <v>1226</v>
      </c>
      <c r="T449" t="s">
        <v>48</v>
      </c>
      <c r="U449" t="s">
        <v>1226</v>
      </c>
      <c r="V449" s="47">
        <v>0</v>
      </c>
      <c r="W449" t="s">
        <v>48</v>
      </c>
      <c r="X449" t="s">
        <v>48</v>
      </c>
      <c r="Y449" t="s">
        <v>48</v>
      </c>
      <c r="Z449">
        <v>0</v>
      </c>
      <c r="AA449" t="s">
        <v>1227</v>
      </c>
      <c r="AB449" t="s">
        <v>48</v>
      </c>
      <c r="AC449" t="s">
        <v>63</v>
      </c>
      <c r="AD449" t="s">
        <v>951</v>
      </c>
      <c r="AE449" s="40" t="s">
        <v>11051</v>
      </c>
      <c r="AF449" t="s">
        <v>11054</v>
      </c>
      <c r="AG449" t="s">
        <v>48</v>
      </c>
      <c r="AH449" t="s">
        <v>48</v>
      </c>
      <c r="AI449" t="s">
        <v>48</v>
      </c>
      <c r="AJ449" t="s">
        <v>48</v>
      </c>
      <c r="AK449" t="s">
        <v>48</v>
      </c>
      <c r="AL449" t="s">
        <v>48</v>
      </c>
      <c r="AM449" t="s">
        <v>48</v>
      </c>
      <c r="AN449" t="s">
        <v>48</v>
      </c>
      <c r="AO449" t="s">
        <v>48</v>
      </c>
      <c r="AP449" s="46">
        <v>0</v>
      </c>
      <c r="AQ449" s="46">
        <v>0</v>
      </c>
      <c r="AR449" s="46">
        <v>0</v>
      </c>
      <c r="AS449" s="46">
        <v>1</v>
      </c>
      <c r="AT449" s="46">
        <v>0</v>
      </c>
      <c r="AU449" s="46">
        <v>0</v>
      </c>
      <c r="AV449" s="46">
        <v>0</v>
      </c>
      <c r="AW449" s="46">
        <v>0</v>
      </c>
      <c r="AX449" s="46">
        <v>0</v>
      </c>
      <c r="AY449" s="46">
        <v>0</v>
      </c>
      <c r="AZ449" s="46">
        <v>0</v>
      </c>
      <c r="BA449" s="46">
        <v>0</v>
      </c>
      <c r="BB449" s="46">
        <v>0</v>
      </c>
      <c r="BC449" s="46">
        <v>0</v>
      </c>
      <c r="BD449" s="46">
        <v>0</v>
      </c>
      <c r="BE449" s="46">
        <v>0</v>
      </c>
      <c r="BF449" s="46">
        <v>0</v>
      </c>
      <c r="BG449" s="46" t="s">
        <v>48</v>
      </c>
      <c r="BH449" s="46">
        <v>0</v>
      </c>
      <c r="BI449" s="46">
        <v>0</v>
      </c>
      <c r="BJ449" s="46">
        <v>0</v>
      </c>
      <c r="BK449" s="46">
        <v>1</v>
      </c>
      <c r="BL449" s="46">
        <v>0</v>
      </c>
      <c r="BM449" s="46">
        <v>0</v>
      </c>
      <c r="BN449" s="46">
        <v>0</v>
      </c>
    </row>
    <row r="450" spans="1:66" x14ac:dyDescent="0.35">
      <c r="A450" t="s">
        <v>12413</v>
      </c>
      <c r="B450" t="s">
        <v>48</v>
      </c>
      <c r="C450" s="39" t="s">
        <v>1223</v>
      </c>
      <c r="D450" s="39" t="s">
        <v>1222</v>
      </c>
      <c r="E450" t="s">
        <v>1218</v>
      </c>
      <c r="F450" t="s">
        <v>1217</v>
      </c>
      <c r="G450" t="s">
        <v>74</v>
      </c>
      <c r="H450">
        <v>0</v>
      </c>
      <c r="I450" s="60" t="s">
        <v>51</v>
      </c>
      <c r="J450" s="33" t="s">
        <v>45</v>
      </c>
      <c r="K450" s="46">
        <v>1</v>
      </c>
      <c r="L450">
        <v>56.9</v>
      </c>
      <c r="M450" t="s">
        <v>48</v>
      </c>
      <c r="N450" s="46">
        <v>1</v>
      </c>
      <c r="O450" s="46">
        <v>1</v>
      </c>
      <c r="P450" s="46">
        <v>0</v>
      </c>
      <c r="Q450" t="s">
        <v>48</v>
      </c>
      <c r="R450" t="s">
        <v>48</v>
      </c>
      <c r="S450" t="s">
        <v>1219</v>
      </c>
      <c r="T450" t="s">
        <v>1220</v>
      </c>
      <c r="U450" t="s">
        <v>1219</v>
      </c>
      <c r="V450" s="47">
        <v>0</v>
      </c>
      <c r="W450" t="s">
        <v>48</v>
      </c>
      <c r="X450" t="s">
        <v>48</v>
      </c>
      <c r="Y450" t="s">
        <v>48</v>
      </c>
      <c r="Z450">
        <v>0</v>
      </c>
      <c r="AA450" t="s">
        <v>1221</v>
      </c>
      <c r="AB450">
        <v>2012</v>
      </c>
      <c r="AC450" t="s">
        <v>49</v>
      </c>
      <c r="AD450" t="s">
        <v>951</v>
      </c>
      <c r="AE450" s="40" t="s">
        <v>11051</v>
      </c>
      <c r="AF450" t="s">
        <v>11054</v>
      </c>
      <c r="AG450" t="s">
        <v>112</v>
      </c>
      <c r="AH450" t="s">
        <v>93</v>
      </c>
      <c r="AI450">
        <v>21309</v>
      </c>
      <c r="AJ450">
        <v>1963</v>
      </c>
      <c r="AK450" t="s">
        <v>8736</v>
      </c>
      <c r="AL450" t="s">
        <v>8737</v>
      </c>
      <c r="AM450">
        <v>-0.38500000000000001</v>
      </c>
      <c r="AN450">
        <v>1.7000000000000001E-2</v>
      </c>
      <c r="AO450">
        <v>-0.38500000000000001</v>
      </c>
      <c r="AP450" s="46">
        <v>0</v>
      </c>
      <c r="AQ450" s="46">
        <v>0</v>
      </c>
      <c r="AR450" s="46">
        <v>0</v>
      </c>
      <c r="AS450" s="46">
        <v>0</v>
      </c>
      <c r="AT450" s="46">
        <v>0</v>
      </c>
      <c r="AU450" s="46">
        <v>1</v>
      </c>
      <c r="AV450" s="46">
        <v>0</v>
      </c>
      <c r="AW450" s="46">
        <v>0</v>
      </c>
      <c r="AX450" s="46">
        <v>0</v>
      </c>
      <c r="AY450" s="46">
        <v>0</v>
      </c>
      <c r="AZ450" s="46">
        <v>0</v>
      </c>
      <c r="BA450" s="46">
        <v>0</v>
      </c>
      <c r="BB450" s="46">
        <v>0</v>
      </c>
      <c r="BC450" s="46">
        <v>0</v>
      </c>
      <c r="BD450" s="46">
        <v>0</v>
      </c>
      <c r="BE450" s="46">
        <v>0</v>
      </c>
      <c r="BF450" s="46">
        <v>0</v>
      </c>
      <c r="BG450" s="46" t="s">
        <v>48</v>
      </c>
      <c r="BH450" s="46">
        <v>0</v>
      </c>
      <c r="BI450" s="46">
        <v>0</v>
      </c>
      <c r="BJ450" s="46">
        <v>0</v>
      </c>
      <c r="BK450" s="46">
        <v>0</v>
      </c>
      <c r="BL450" s="46">
        <v>0</v>
      </c>
      <c r="BM450" s="46">
        <v>0</v>
      </c>
      <c r="BN450" s="46">
        <v>0</v>
      </c>
    </row>
    <row r="451" spans="1:66" x14ac:dyDescent="0.35">
      <c r="A451" t="s">
        <v>1212</v>
      </c>
      <c r="B451" t="s">
        <v>48</v>
      </c>
      <c r="C451" t="s">
        <v>1216</v>
      </c>
      <c r="D451" t="s">
        <v>335</v>
      </c>
      <c r="E451" t="s">
        <v>8058</v>
      </c>
      <c r="F451" t="s">
        <v>1231</v>
      </c>
      <c r="G451" t="s">
        <v>74</v>
      </c>
      <c r="H451">
        <v>0</v>
      </c>
      <c r="I451" s="61">
        <v>44732</v>
      </c>
      <c r="J451" s="33" t="s">
        <v>45</v>
      </c>
      <c r="K451" s="46">
        <v>1</v>
      </c>
      <c r="L451">
        <v>62.4</v>
      </c>
      <c r="M451" t="s">
        <v>48</v>
      </c>
      <c r="N451" s="46">
        <v>1</v>
      </c>
      <c r="O451" s="46">
        <v>1</v>
      </c>
      <c r="P451" s="46">
        <v>0</v>
      </c>
      <c r="Q451" t="s">
        <v>48</v>
      </c>
      <c r="R451" t="s">
        <v>48</v>
      </c>
      <c r="S451" t="s">
        <v>1213</v>
      </c>
      <c r="T451" t="s">
        <v>1214</v>
      </c>
      <c r="U451" t="s">
        <v>1213</v>
      </c>
      <c r="V451" s="47">
        <v>0</v>
      </c>
      <c r="W451" t="s">
        <v>48</v>
      </c>
      <c r="X451" t="s">
        <v>48</v>
      </c>
      <c r="Y451" t="s">
        <v>48</v>
      </c>
      <c r="Z451">
        <v>0</v>
      </c>
      <c r="AA451" t="s">
        <v>1215</v>
      </c>
      <c r="AB451">
        <v>2000</v>
      </c>
      <c r="AC451" t="s">
        <v>49</v>
      </c>
      <c r="AD451" t="s">
        <v>93</v>
      </c>
      <c r="AE451" t="s">
        <v>4532</v>
      </c>
      <c r="AF451" t="s">
        <v>48</v>
      </c>
      <c r="AG451" t="s">
        <v>633</v>
      </c>
      <c r="AH451" t="s">
        <v>93</v>
      </c>
      <c r="AI451">
        <v>20104</v>
      </c>
      <c r="AJ451">
        <v>1960</v>
      </c>
      <c r="AK451" t="s">
        <v>8734</v>
      </c>
      <c r="AL451" t="s">
        <v>8735</v>
      </c>
      <c r="AM451">
        <v>-0.35</v>
      </c>
      <c r="AN451">
        <v>-0.13</v>
      </c>
      <c r="AO451">
        <v>-0.35</v>
      </c>
      <c r="AP451" s="46">
        <v>0</v>
      </c>
      <c r="AQ451" s="46">
        <v>0</v>
      </c>
      <c r="AR451" s="46">
        <v>0</v>
      </c>
      <c r="AS451" s="46">
        <v>0</v>
      </c>
      <c r="AT451" s="46">
        <v>0</v>
      </c>
      <c r="AU451" s="46">
        <v>1</v>
      </c>
      <c r="AV451" s="46">
        <v>0</v>
      </c>
      <c r="AW451" s="46">
        <v>0</v>
      </c>
      <c r="AX451" s="46">
        <v>0</v>
      </c>
      <c r="AY451" s="46">
        <v>0</v>
      </c>
      <c r="AZ451" s="46">
        <v>0</v>
      </c>
      <c r="BA451" s="46">
        <v>0</v>
      </c>
      <c r="BB451" s="46">
        <v>0</v>
      </c>
      <c r="BC451" s="46">
        <v>0</v>
      </c>
      <c r="BD451" s="46">
        <v>0</v>
      </c>
      <c r="BE451" s="46">
        <v>0</v>
      </c>
      <c r="BF451" s="46">
        <v>0</v>
      </c>
      <c r="BG451" s="46" t="s">
        <v>48</v>
      </c>
      <c r="BH451" s="46">
        <v>0</v>
      </c>
      <c r="BI451" s="46">
        <v>0</v>
      </c>
      <c r="BJ451" s="46">
        <v>0</v>
      </c>
      <c r="BK451" s="46">
        <v>0</v>
      </c>
      <c r="BL451" s="46">
        <v>0</v>
      </c>
      <c r="BM451" s="46">
        <v>0</v>
      </c>
      <c r="BN451" s="46">
        <v>0</v>
      </c>
    </row>
    <row r="452" spans="1:66" x14ac:dyDescent="0.35">
      <c r="A452" t="s">
        <v>8056</v>
      </c>
      <c r="B452" s="44" t="s">
        <v>48</v>
      </c>
      <c r="C452" t="s">
        <v>11682</v>
      </c>
      <c r="D452" t="s">
        <v>11683</v>
      </c>
      <c r="E452" t="s">
        <v>8057</v>
      </c>
      <c r="F452" t="s">
        <v>1231</v>
      </c>
      <c r="G452" t="s">
        <v>74</v>
      </c>
      <c r="H452">
        <v>0</v>
      </c>
      <c r="I452" s="61">
        <v>44732</v>
      </c>
      <c r="J452" s="33" t="s">
        <v>45</v>
      </c>
      <c r="K452" s="46">
        <v>0</v>
      </c>
      <c r="L452">
        <v>12.6</v>
      </c>
      <c r="M452" t="s">
        <v>48</v>
      </c>
      <c r="N452" s="46">
        <v>1</v>
      </c>
      <c r="O452" s="46">
        <v>1</v>
      </c>
      <c r="P452" s="46">
        <v>0</v>
      </c>
      <c r="Q452" t="s">
        <v>48</v>
      </c>
      <c r="R452" t="s">
        <v>48</v>
      </c>
      <c r="S452" t="s">
        <v>48</v>
      </c>
      <c r="T452" t="s">
        <v>48</v>
      </c>
      <c r="U452" t="s">
        <v>48</v>
      </c>
      <c r="V452" s="47">
        <v>1</v>
      </c>
      <c r="W452" t="s">
        <v>48</v>
      </c>
      <c r="X452" t="s">
        <v>48</v>
      </c>
      <c r="Y452" t="s">
        <v>48</v>
      </c>
      <c r="Z452" t="s">
        <v>48</v>
      </c>
      <c r="AA452" t="s">
        <v>48</v>
      </c>
      <c r="AB452" t="s">
        <v>48</v>
      </c>
      <c r="AC452" t="s">
        <v>11064</v>
      </c>
      <c r="AD452" t="s">
        <v>48</v>
      </c>
      <c r="AE452" t="s">
        <v>48</v>
      </c>
      <c r="AF452" t="s">
        <v>48</v>
      </c>
      <c r="AG452" t="s">
        <v>48</v>
      </c>
      <c r="AH452" t="s">
        <v>48</v>
      </c>
      <c r="AI452" t="s">
        <v>48</v>
      </c>
      <c r="AJ452" t="s">
        <v>48</v>
      </c>
      <c r="AK452" t="s">
        <v>48</v>
      </c>
      <c r="AL452" t="s">
        <v>48</v>
      </c>
      <c r="AM452" t="s">
        <v>48</v>
      </c>
      <c r="AN452" t="s">
        <v>48</v>
      </c>
      <c r="AO452" t="s">
        <v>48</v>
      </c>
      <c r="AP452" s="46">
        <v>0</v>
      </c>
      <c r="AQ452" s="46">
        <v>0</v>
      </c>
      <c r="AR452" s="46">
        <v>0</v>
      </c>
      <c r="AS452" s="46">
        <v>0</v>
      </c>
      <c r="AT452" s="46">
        <v>0</v>
      </c>
      <c r="AU452" s="46">
        <v>0</v>
      </c>
      <c r="AV452" s="46">
        <v>0</v>
      </c>
      <c r="AW452" s="46">
        <v>0</v>
      </c>
      <c r="AX452" s="46">
        <v>0</v>
      </c>
      <c r="AY452" s="46">
        <v>0</v>
      </c>
      <c r="AZ452" s="46">
        <v>0</v>
      </c>
      <c r="BA452" s="46">
        <v>0</v>
      </c>
      <c r="BB452" s="46">
        <v>0</v>
      </c>
      <c r="BC452" s="46">
        <v>0</v>
      </c>
      <c r="BD452" s="46">
        <v>0</v>
      </c>
      <c r="BE452" s="46">
        <v>0</v>
      </c>
      <c r="BF452" s="46">
        <v>0</v>
      </c>
      <c r="BG452" s="46" t="s">
        <v>48</v>
      </c>
      <c r="BH452" s="46">
        <v>0</v>
      </c>
      <c r="BI452" s="46">
        <v>0</v>
      </c>
      <c r="BJ452" s="46">
        <v>0</v>
      </c>
      <c r="BK452" s="46">
        <v>0</v>
      </c>
      <c r="BL452" s="46">
        <v>0</v>
      </c>
      <c r="BM452" s="46">
        <v>0</v>
      </c>
      <c r="BN452" s="46">
        <v>0</v>
      </c>
    </row>
    <row r="453" spans="1:66" x14ac:dyDescent="0.35">
      <c r="A453" t="s">
        <v>1210</v>
      </c>
      <c r="B453" s="44" t="s">
        <v>48</v>
      </c>
      <c r="C453" t="s">
        <v>1211</v>
      </c>
      <c r="D453" t="s">
        <v>705</v>
      </c>
      <c r="E453" t="s">
        <v>8247</v>
      </c>
      <c r="F453" t="s">
        <v>1259</v>
      </c>
      <c r="G453" t="s">
        <v>47</v>
      </c>
      <c r="H453">
        <v>0</v>
      </c>
      <c r="I453" s="61">
        <v>44732</v>
      </c>
      <c r="J453" s="33" t="s">
        <v>45</v>
      </c>
      <c r="K453" s="46">
        <v>0</v>
      </c>
      <c r="L453">
        <v>36.799999999999997</v>
      </c>
      <c r="M453" s="41" t="s">
        <v>48</v>
      </c>
      <c r="N453" s="46">
        <v>1</v>
      </c>
      <c r="O453" s="46">
        <v>0</v>
      </c>
      <c r="P453" s="46">
        <v>0</v>
      </c>
      <c r="Q453" s="41" t="s">
        <v>48</v>
      </c>
      <c r="R453" s="41" t="s">
        <v>48</v>
      </c>
      <c r="S453" t="s">
        <v>48</v>
      </c>
      <c r="T453" t="s">
        <v>48</v>
      </c>
      <c r="U453" t="s">
        <v>48</v>
      </c>
      <c r="V453" s="47">
        <v>1</v>
      </c>
      <c r="W453" t="s">
        <v>11264</v>
      </c>
      <c r="X453" t="s">
        <v>48</v>
      </c>
      <c r="Y453" t="s">
        <v>48</v>
      </c>
      <c r="Z453">
        <v>0</v>
      </c>
      <c r="AA453" t="s">
        <v>48</v>
      </c>
      <c r="AB453" t="s">
        <v>48</v>
      </c>
      <c r="AC453" t="s">
        <v>49</v>
      </c>
      <c r="AD453" t="s">
        <v>951</v>
      </c>
      <c r="AE453" t="s">
        <v>4532</v>
      </c>
      <c r="AF453" t="s">
        <v>11065</v>
      </c>
      <c r="AG453" t="s">
        <v>48</v>
      </c>
      <c r="AH453" t="s">
        <v>48</v>
      </c>
      <c r="AI453" t="s">
        <v>48</v>
      </c>
      <c r="AJ453" t="s">
        <v>48</v>
      </c>
      <c r="AK453" t="s">
        <v>48</v>
      </c>
      <c r="AL453" t="s">
        <v>48</v>
      </c>
      <c r="AM453" t="s">
        <v>48</v>
      </c>
      <c r="AN453" t="s">
        <v>48</v>
      </c>
      <c r="AO453" t="s">
        <v>48</v>
      </c>
      <c r="AP453" s="46">
        <v>0</v>
      </c>
      <c r="AQ453" s="46">
        <v>0</v>
      </c>
      <c r="AR453" s="46">
        <v>0</v>
      </c>
      <c r="AS453" s="46">
        <v>0</v>
      </c>
      <c r="AT453" s="46">
        <v>0</v>
      </c>
      <c r="AU453" s="46">
        <v>0</v>
      </c>
      <c r="AV453" s="46">
        <v>0</v>
      </c>
      <c r="AW453" s="46">
        <v>0</v>
      </c>
      <c r="AX453" s="46">
        <v>0</v>
      </c>
      <c r="AY453" s="46">
        <v>0</v>
      </c>
      <c r="AZ453" s="46">
        <v>0</v>
      </c>
      <c r="BA453" s="46">
        <v>0</v>
      </c>
      <c r="BB453" s="46">
        <v>0</v>
      </c>
      <c r="BC453" s="46">
        <v>0</v>
      </c>
      <c r="BD453" s="46">
        <v>0</v>
      </c>
      <c r="BE453" s="46">
        <v>0</v>
      </c>
      <c r="BF453" s="46">
        <v>0</v>
      </c>
      <c r="BG453" s="46" t="s">
        <v>48</v>
      </c>
      <c r="BH453" s="46">
        <v>0</v>
      </c>
      <c r="BI453" s="46">
        <v>0</v>
      </c>
      <c r="BJ453" s="46">
        <v>0</v>
      </c>
      <c r="BK453" s="46">
        <v>0</v>
      </c>
      <c r="BL453" s="46">
        <v>0</v>
      </c>
      <c r="BM453" s="46">
        <v>0</v>
      </c>
      <c r="BN453" s="46">
        <v>0</v>
      </c>
    </row>
    <row r="454" spans="1:66" x14ac:dyDescent="0.35">
      <c r="A454" t="s">
        <v>1265</v>
      </c>
      <c r="B454" s="44" t="s">
        <v>48</v>
      </c>
      <c r="C454" t="s">
        <v>1269</v>
      </c>
      <c r="D454" t="s">
        <v>1268</v>
      </c>
      <c r="E454" t="s">
        <v>8061</v>
      </c>
      <c r="F454" t="s">
        <v>1259</v>
      </c>
      <c r="G454" t="s">
        <v>74</v>
      </c>
      <c r="H454">
        <v>0</v>
      </c>
      <c r="I454" s="61">
        <v>44732</v>
      </c>
      <c r="J454" s="33" t="s">
        <v>45</v>
      </c>
      <c r="K454" s="46">
        <v>1</v>
      </c>
      <c r="L454">
        <v>55.4</v>
      </c>
      <c r="M454" s="41" t="s">
        <v>48</v>
      </c>
      <c r="N454" s="46">
        <v>1</v>
      </c>
      <c r="O454" s="46">
        <v>0</v>
      </c>
      <c r="P454" s="46">
        <v>0</v>
      </c>
      <c r="Q454" s="41" t="s">
        <v>48</v>
      </c>
      <c r="R454" s="41" t="s">
        <v>48</v>
      </c>
      <c r="S454" t="s">
        <v>1266</v>
      </c>
      <c r="T454" t="s">
        <v>1267</v>
      </c>
      <c r="U454" t="s">
        <v>1266</v>
      </c>
      <c r="V454" s="47">
        <v>0</v>
      </c>
      <c r="W454" t="s">
        <v>48</v>
      </c>
      <c r="X454" t="s">
        <v>48</v>
      </c>
      <c r="Y454" t="s">
        <v>48</v>
      </c>
      <c r="Z454">
        <v>0</v>
      </c>
      <c r="AA454" t="s">
        <v>48</v>
      </c>
      <c r="AB454">
        <v>2020</v>
      </c>
      <c r="AC454" t="s">
        <v>63</v>
      </c>
      <c r="AD454" t="s">
        <v>951</v>
      </c>
      <c r="AE454" t="s">
        <v>11051</v>
      </c>
      <c r="AF454" t="s">
        <v>48</v>
      </c>
      <c r="AG454" t="s">
        <v>48</v>
      </c>
      <c r="AH454" t="s">
        <v>48</v>
      </c>
      <c r="AI454">
        <v>29903</v>
      </c>
      <c r="AJ454">
        <v>1936</v>
      </c>
      <c r="AK454" t="s">
        <v>8742</v>
      </c>
      <c r="AL454" t="s">
        <v>8743</v>
      </c>
      <c r="AM454">
        <v>-0.44800000000000001</v>
      </c>
      <c r="AN454">
        <v>-0.246</v>
      </c>
      <c r="AO454">
        <v>-0.44800000000000001</v>
      </c>
      <c r="AP454" s="46">
        <v>0</v>
      </c>
      <c r="AQ454" s="46">
        <v>0</v>
      </c>
      <c r="AR454" s="46">
        <v>0</v>
      </c>
      <c r="AS454" s="46">
        <v>0</v>
      </c>
      <c r="AT454" s="46">
        <v>1</v>
      </c>
      <c r="AU454" s="46">
        <v>0</v>
      </c>
      <c r="AV454" s="46">
        <v>0</v>
      </c>
      <c r="AW454" s="46">
        <v>0</v>
      </c>
      <c r="AX454" s="46">
        <v>0</v>
      </c>
      <c r="AY454" s="46">
        <v>0</v>
      </c>
      <c r="AZ454" s="46">
        <v>0</v>
      </c>
      <c r="BA454" s="46">
        <v>0</v>
      </c>
      <c r="BB454" s="46">
        <v>0</v>
      </c>
      <c r="BC454" s="46">
        <v>0</v>
      </c>
      <c r="BD454" s="46">
        <v>0</v>
      </c>
      <c r="BE454" s="46">
        <v>0</v>
      </c>
      <c r="BF454" s="46">
        <v>0</v>
      </c>
      <c r="BG454" s="46" t="s">
        <v>48</v>
      </c>
      <c r="BH454" s="46">
        <v>0</v>
      </c>
      <c r="BI454" s="46">
        <v>0</v>
      </c>
      <c r="BJ454" s="46">
        <v>0</v>
      </c>
      <c r="BK454" s="46">
        <v>1</v>
      </c>
      <c r="BL454" s="46">
        <v>0</v>
      </c>
      <c r="BM454" s="46">
        <v>0</v>
      </c>
      <c r="BN454" s="46">
        <v>0</v>
      </c>
    </row>
    <row r="455" spans="1:66" x14ac:dyDescent="0.35">
      <c r="A455" t="s">
        <v>1250</v>
      </c>
      <c r="B455" s="44" t="s">
        <v>48</v>
      </c>
      <c r="C455" t="s">
        <v>1253</v>
      </c>
      <c r="D455" t="s">
        <v>1252</v>
      </c>
      <c r="E455" t="s">
        <v>8066</v>
      </c>
      <c r="F455" t="s">
        <v>110</v>
      </c>
      <c r="G455" t="s">
        <v>74</v>
      </c>
      <c r="H455">
        <v>0</v>
      </c>
      <c r="I455" s="61" t="s">
        <v>11160</v>
      </c>
      <c r="J455" s="33" t="s">
        <v>45</v>
      </c>
      <c r="K455" s="46">
        <v>1</v>
      </c>
      <c r="L455">
        <v>53.7</v>
      </c>
      <c r="M455" t="s">
        <v>48</v>
      </c>
      <c r="N455" s="46">
        <v>1</v>
      </c>
      <c r="O455" s="46">
        <v>0</v>
      </c>
      <c r="P455" s="46">
        <v>0</v>
      </c>
      <c r="Q455" t="s">
        <v>48</v>
      </c>
      <c r="R455" t="s">
        <v>48</v>
      </c>
      <c r="S455" t="s">
        <v>11328</v>
      </c>
      <c r="T455" t="s">
        <v>1251</v>
      </c>
      <c r="U455" t="s">
        <v>10052</v>
      </c>
      <c r="V455" s="47">
        <v>0</v>
      </c>
      <c r="W455" t="s">
        <v>48</v>
      </c>
      <c r="X455" t="s">
        <v>48</v>
      </c>
      <c r="Y455" t="s">
        <v>48</v>
      </c>
      <c r="Z455">
        <v>0</v>
      </c>
      <c r="AA455" t="s">
        <v>48</v>
      </c>
      <c r="AB455">
        <v>1996</v>
      </c>
      <c r="AC455" t="s">
        <v>49</v>
      </c>
      <c r="AD455" t="s">
        <v>93</v>
      </c>
      <c r="AE455" t="s">
        <v>4532</v>
      </c>
      <c r="AF455" t="s">
        <v>48</v>
      </c>
      <c r="AG455" t="s">
        <v>633</v>
      </c>
      <c r="AH455" t="s">
        <v>93</v>
      </c>
      <c r="AI455">
        <v>29707</v>
      </c>
      <c r="AJ455">
        <v>1954</v>
      </c>
      <c r="AK455" t="s">
        <v>8738</v>
      </c>
      <c r="AL455" t="s">
        <v>8739</v>
      </c>
      <c r="AM455">
        <v>-0.34300000000000003</v>
      </c>
      <c r="AN455">
        <v>-0.14399999999999999</v>
      </c>
      <c r="AO455">
        <v>-0.34300000000000003</v>
      </c>
      <c r="AP455" s="46">
        <v>0</v>
      </c>
      <c r="AQ455" s="46">
        <v>0</v>
      </c>
      <c r="AR455" s="46">
        <v>0</v>
      </c>
      <c r="AS455" s="46">
        <v>0</v>
      </c>
      <c r="AT455" s="46">
        <v>1</v>
      </c>
      <c r="AU455" s="46">
        <v>0</v>
      </c>
      <c r="AV455" s="46">
        <v>0</v>
      </c>
      <c r="AW455" s="46">
        <v>0</v>
      </c>
      <c r="AX455" s="46">
        <v>0</v>
      </c>
      <c r="AY455" s="46">
        <v>0</v>
      </c>
      <c r="AZ455" s="46">
        <v>0</v>
      </c>
      <c r="BA455" s="46">
        <v>0</v>
      </c>
      <c r="BB455" s="46">
        <v>0</v>
      </c>
      <c r="BC455" s="46">
        <v>0</v>
      </c>
      <c r="BD455" s="46">
        <v>0</v>
      </c>
      <c r="BE455" s="46">
        <v>0</v>
      </c>
      <c r="BF455" s="46">
        <v>0</v>
      </c>
      <c r="BG455" s="46" t="s">
        <v>48</v>
      </c>
      <c r="BH455" s="46">
        <v>0</v>
      </c>
      <c r="BI455" s="46">
        <v>0</v>
      </c>
      <c r="BJ455" s="46">
        <v>0</v>
      </c>
      <c r="BK455" s="46">
        <v>0</v>
      </c>
      <c r="BL455" s="46">
        <v>0</v>
      </c>
      <c r="BM455" s="46">
        <v>0</v>
      </c>
      <c r="BN455" s="46">
        <v>0</v>
      </c>
    </row>
    <row r="456" spans="1:66" x14ac:dyDescent="0.35">
      <c r="A456" t="s">
        <v>1254</v>
      </c>
      <c r="B456" s="44" t="s">
        <v>48</v>
      </c>
      <c r="C456" t="s">
        <v>1257</v>
      </c>
      <c r="D456" t="s">
        <v>1256</v>
      </c>
      <c r="E456" t="s">
        <v>8248</v>
      </c>
      <c r="F456" t="s">
        <v>110</v>
      </c>
      <c r="G456" t="s">
        <v>47</v>
      </c>
      <c r="H456">
        <v>0</v>
      </c>
      <c r="I456" s="61">
        <v>44732</v>
      </c>
      <c r="J456" s="33" t="s">
        <v>45</v>
      </c>
      <c r="K456" s="46">
        <v>0</v>
      </c>
      <c r="L456">
        <v>19.899999999999999</v>
      </c>
      <c r="M456" s="41" t="s">
        <v>48</v>
      </c>
      <c r="N456" s="46">
        <v>1</v>
      </c>
      <c r="O456" s="46">
        <v>0</v>
      </c>
      <c r="P456" s="46">
        <v>0</v>
      </c>
      <c r="Q456" s="41" t="s">
        <v>48</v>
      </c>
      <c r="R456" s="41" t="s">
        <v>48</v>
      </c>
      <c r="S456" t="s">
        <v>1255</v>
      </c>
      <c r="T456" t="s">
        <v>48</v>
      </c>
      <c r="U456" t="s">
        <v>1255</v>
      </c>
      <c r="V456" s="47">
        <v>0</v>
      </c>
      <c r="W456" t="s">
        <v>48</v>
      </c>
      <c r="X456" t="s">
        <v>48</v>
      </c>
      <c r="Y456" t="s">
        <v>48</v>
      </c>
      <c r="Z456">
        <v>0</v>
      </c>
      <c r="AA456" t="s">
        <v>48</v>
      </c>
      <c r="AB456" t="s">
        <v>48</v>
      </c>
      <c r="AC456" t="s">
        <v>63</v>
      </c>
      <c r="AD456" t="s">
        <v>48</v>
      </c>
      <c r="AE456" t="s">
        <v>48</v>
      </c>
      <c r="AF456" t="s">
        <v>48</v>
      </c>
      <c r="AG456" t="s">
        <v>48</v>
      </c>
      <c r="AH456" t="s">
        <v>48</v>
      </c>
      <c r="AI456" t="s">
        <v>48</v>
      </c>
      <c r="AJ456" t="s">
        <v>48</v>
      </c>
      <c r="AK456" t="s">
        <v>48</v>
      </c>
      <c r="AL456" t="s">
        <v>48</v>
      </c>
      <c r="AM456" t="s">
        <v>48</v>
      </c>
      <c r="AN456" t="s">
        <v>48</v>
      </c>
      <c r="AO456" t="s">
        <v>48</v>
      </c>
      <c r="AP456" s="46">
        <v>0</v>
      </c>
      <c r="AQ456" s="46">
        <v>0</v>
      </c>
      <c r="AR456" s="46">
        <v>0</v>
      </c>
      <c r="AS456" s="46">
        <v>0</v>
      </c>
      <c r="AT456" s="46">
        <v>0</v>
      </c>
      <c r="AU456" s="46">
        <v>0</v>
      </c>
      <c r="AV456" s="46">
        <v>0</v>
      </c>
      <c r="AW456" s="46">
        <v>0</v>
      </c>
      <c r="AX456" s="46">
        <v>0</v>
      </c>
      <c r="AY456" s="46">
        <v>0</v>
      </c>
      <c r="AZ456" s="46">
        <v>0</v>
      </c>
      <c r="BA456" s="46">
        <v>0</v>
      </c>
      <c r="BB456" s="46">
        <v>0</v>
      </c>
      <c r="BC456" s="46">
        <v>0</v>
      </c>
      <c r="BD456" s="46">
        <v>0</v>
      </c>
      <c r="BE456" s="46">
        <v>0</v>
      </c>
      <c r="BF456" s="46">
        <v>0</v>
      </c>
      <c r="BG456" s="46">
        <v>1</v>
      </c>
      <c r="BH456" s="46">
        <v>0</v>
      </c>
      <c r="BI456" s="46">
        <v>0</v>
      </c>
      <c r="BJ456" s="46">
        <v>0</v>
      </c>
      <c r="BK456" s="46">
        <v>0</v>
      </c>
      <c r="BL456" s="46">
        <v>0</v>
      </c>
      <c r="BM456" s="46">
        <v>0</v>
      </c>
      <c r="BN456" s="46">
        <v>0</v>
      </c>
    </row>
    <row r="457" spans="1:66" x14ac:dyDescent="0.35">
      <c r="A457" t="s">
        <v>8253</v>
      </c>
      <c r="B457" s="44" t="s">
        <v>48</v>
      </c>
      <c r="C457" t="s">
        <v>1444</v>
      </c>
      <c r="D457" t="s">
        <v>221</v>
      </c>
      <c r="E457" t="s">
        <v>8254</v>
      </c>
      <c r="F457" t="s">
        <v>1271</v>
      </c>
      <c r="G457" t="s">
        <v>47</v>
      </c>
      <c r="H457">
        <v>0</v>
      </c>
      <c r="I457" s="61">
        <v>44733</v>
      </c>
      <c r="J457" s="33" t="s">
        <v>45</v>
      </c>
      <c r="K457" s="46">
        <v>0</v>
      </c>
      <c r="L457">
        <v>17.600000000000001</v>
      </c>
      <c r="M457" t="s">
        <v>48</v>
      </c>
      <c r="N457" s="46">
        <v>1</v>
      </c>
      <c r="O457" s="46">
        <v>0</v>
      </c>
      <c r="P457" s="46">
        <v>0</v>
      </c>
      <c r="Q457" t="s">
        <v>48</v>
      </c>
      <c r="R457" t="s">
        <v>48</v>
      </c>
      <c r="S457" t="s">
        <v>48</v>
      </c>
      <c r="T457" t="s">
        <v>48</v>
      </c>
      <c r="U457" t="s">
        <v>48</v>
      </c>
      <c r="V457" s="47">
        <v>1</v>
      </c>
      <c r="W457" t="s">
        <v>11264</v>
      </c>
      <c r="X457" t="s">
        <v>48</v>
      </c>
      <c r="Y457" t="s">
        <v>48</v>
      </c>
      <c r="Z457" t="s">
        <v>48</v>
      </c>
      <c r="AA457" t="s">
        <v>48</v>
      </c>
      <c r="AB457" t="s">
        <v>48</v>
      </c>
      <c r="AC457" t="s">
        <v>49</v>
      </c>
      <c r="AD457" t="s">
        <v>48</v>
      </c>
      <c r="AE457" t="s">
        <v>48</v>
      </c>
      <c r="AF457" t="s">
        <v>48</v>
      </c>
      <c r="AG457" t="s">
        <v>48</v>
      </c>
      <c r="AH457" t="s">
        <v>48</v>
      </c>
      <c r="AI457" t="s">
        <v>48</v>
      </c>
      <c r="AJ457" t="s">
        <v>48</v>
      </c>
      <c r="AK457" t="s">
        <v>48</v>
      </c>
      <c r="AL457" t="s">
        <v>48</v>
      </c>
      <c r="AM457" t="s">
        <v>48</v>
      </c>
      <c r="AN457" t="s">
        <v>48</v>
      </c>
      <c r="AO457" t="s">
        <v>48</v>
      </c>
      <c r="AP457" s="46">
        <v>0</v>
      </c>
      <c r="AQ457" s="46">
        <v>0</v>
      </c>
      <c r="AR457" s="46">
        <v>0</v>
      </c>
      <c r="AS457" s="46">
        <v>0</v>
      </c>
      <c r="AT457" s="46">
        <v>0</v>
      </c>
      <c r="AU457" s="46">
        <v>0</v>
      </c>
      <c r="AV457" s="46">
        <v>0</v>
      </c>
      <c r="AW457" s="46">
        <v>0</v>
      </c>
      <c r="AX457" s="46">
        <v>0</v>
      </c>
      <c r="AY457" s="46">
        <v>0</v>
      </c>
      <c r="AZ457" s="46">
        <v>0</v>
      </c>
      <c r="BA457" s="46">
        <v>0</v>
      </c>
      <c r="BB457" s="46">
        <v>0</v>
      </c>
      <c r="BC457" s="46">
        <v>0</v>
      </c>
      <c r="BD457" s="46">
        <v>0</v>
      </c>
      <c r="BE457" s="46">
        <v>0</v>
      </c>
      <c r="BF457" s="46">
        <v>0</v>
      </c>
      <c r="BG457" s="46" t="s">
        <v>48</v>
      </c>
      <c r="BH457" s="46">
        <v>0</v>
      </c>
      <c r="BI457" s="46">
        <v>0</v>
      </c>
      <c r="BJ457" s="46">
        <v>0</v>
      </c>
      <c r="BK457" s="46">
        <v>0</v>
      </c>
      <c r="BL457" s="46">
        <v>0</v>
      </c>
      <c r="BM457" s="46">
        <v>0</v>
      </c>
      <c r="BN457" s="46">
        <v>0</v>
      </c>
    </row>
    <row r="458" spans="1:66" x14ac:dyDescent="0.35">
      <c r="A458" t="s">
        <v>1258</v>
      </c>
      <c r="B458" t="s">
        <v>48</v>
      </c>
      <c r="C458" t="s">
        <v>1263</v>
      </c>
      <c r="D458" t="s">
        <v>1262</v>
      </c>
      <c r="E458" t="s">
        <v>8067</v>
      </c>
      <c r="F458" t="s">
        <v>1271</v>
      </c>
      <c r="G458" t="s">
        <v>74</v>
      </c>
      <c r="H458">
        <v>0</v>
      </c>
      <c r="I458" s="61">
        <v>44733</v>
      </c>
      <c r="J458" s="33" t="s">
        <v>45</v>
      </c>
      <c r="K458" s="46">
        <v>1</v>
      </c>
      <c r="L458">
        <v>59.9</v>
      </c>
      <c r="M458" s="41" t="s">
        <v>48</v>
      </c>
      <c r="N458" s="46">
        <v>1</v>
      </c>
      <c r="O458" s="46">
        <v>0</v>
      </c>
      <c r="P458" s="46">
        <v>0</v>
      </c>
      <c r="Q458" s="41" t="s">
        <v>48</v>
      </c>
      <c r="R458" s="41" t="s">
        <v>48</v>
      </c>
      <c r="S458" t="s">
        <v>1260</v>
      </c>
      <c r="T458" t="s">
        <v>1261</v>
      </c>
      <c r="U458" t="s">
        <v>1260</v>
      </c>
      <c r="V458" s="47">
        <v>0</v>
      </c>
      <c r="W458" t="s">
        <v>48</v>
      </c>
      <c r="X458" t="s">
        <v>48</v>
      </c>
      <c r="Y458" t="s">
        <v>48</v>
      </c>
      <c r="Z458">
        <v>0</v>
      </c>
      <c r="AA458" t="s">
        <v>48</v>
      </c>
      <c r="AB458">
        <v>2014</v>
      </c>
      <c r="AC458" t="s">
        <v>49</v>
      </c>
      <c r="AD458" t="s">
        <v>951</v>
      </c>
      <c r="AE458" s="40" t="s">
        <v>11051</v>
      </c>
      <c r="AF458" t="s">
        <v>11054</v>
      </c>
      <c r="AG458" t="s">
        <v>140</v>
      </c>
      <c r="AH458" t="s">
        <v>93</v>
      </c>
      <c r="AI458">
        <v>21506</v>
      </c>
      <c r="AJ458">
        <v>1979</v>
      </c>
      <c r="AK458" t="s">
        <v>8740</v>
      </c>
      <c r="AL458" t="s">
        <v>8741</v>
      </c>
      <c r="AM458">
        <v>-0.29599999999999999</v>
      </c>
      <c r="AN458">
        <v>0.14000000000000001</v>
      </c>
      <c r="AO458">
        <v>-0.29599999999999999</v>
      </c>
      <c r="AP458" s="46">
        <v>0</v>
      </c>
      <c r="AQ458" s="46">
        <v>0</v>
      </c>
      <c r="AR458" s="46">
        <v>0</v>
      </c>
      <c r="AS458" s="46">
        <v>0</v>
      </c>
      <c r="AT458" s="46">
        <v>0</v>
      </c>
      <c r="AU458" s="46">
        <v>1</v>
      </c>
      <c r="AV458" s="46">
        <v>0</v>
      </c>
      <c r="AW458" s="46">
        <v>0</v>
      </c>
      <c r="AX458" s="46">
        <v>0</v>
      </c>
      <c r="AY458" s="46">
        <v>0</v>
      </c>
      <c r="AZ458" s="46">
        <v>0</v>
      </c>
      <c r="BA458" s="46">
        <v>0</v>
      </c>
      <c r="BB458" s="46">
        <v>0</v>
      </c>
      <c r="BC458" s="46">
        <v>0</v>
      </c>
      <c r="BD458" s="46">
        <v>0</v>
      </c>
      <c r="BE458" s="46">
        <v>0</v>
      </c>
      <c r="BF458" s="46">
        <v>0</v>
      </c>
      <c r="BG458" s="46" t="s">
        <v>48</v>
      </c>
      <c r="BH458" s="46">
        <v>0</v>
      </c>
      <c r="BI458" s="46">
        <v>0</v>
      </c>
      <c r="BJ458" s="46">
        <v>0</v>
      </c>
      <c r="BK458" s="46">
        <v>0</v>
      </c>
      <c r="BL458" s="46">
        <v>0</v>
      </c>
      <c r="BM458" s="46">
        <v>0</v>
      </c>
      <c r="BN458" s="46">
        <v>0</v>
      </c>
    </row>
    <row r="459" spans="1:66" x14ac:dyDescent="0.35">
      <c r="A459" t="s">
        <v>1289</v>
      </c>
      <c r="B459" s="44" t="s">
        <v>48</v>
      </c>
      <c r="C459" t="s">
        <v>1292</v>
      </c>
      <c r="D459" t="s">
        <v>268</v>
      </c>
      <c r="E459" t="s">
        <v>1290</v>
      </c>
      <c r="F459" t="s">
        <v>1284</v>
      </c>
      <c r="G459" t="s">
        <v>74</v>
      </c>
      <c r="H459">
        <v>0</v>
      </c>
      <c r="I459" s="60" t="s">
        <v>149</v>
      </c>
      <c r="J459" s="33" t="s">
        <v>45</v>
      </c>
      <c r="K459" s="46">
        <v>0</v>
      </c>
      <c r="L459">
        <v>38.700000000000003</v>
      </c>
      <c r="M459" t="s">
        <v>48</v>
      </c>
      <c r="N459" s="46">
        <v>1</v>
      </c>
      <c r="O459" s="46">
        <v>1</v>
      </c>
      <c r="P459" s="46">
        <v>0</v>
      </c>
      <c r="Q459" t="s">
        <v>48</v>
      </c>
      <c r="R459" t="s">
        <v>48</v>
      </c>
      <c r="S459" t="s">
        <v>1291</v>
      </c>
      <c r="T459" t="s">
        <v>48</v>
      </c>
      <c r="U459" t="s">
        <v>1291</v>
      </c>
      <c r="V459" s="47">
        <v>0</v>
      </c>
      <c r="W459" t="s">
        <v>48</v>
      </c>
      <c r="X459" t="s">
        <v>48</v>
      </c>
      <c r="Y459" t="s">
        <v>48</v>
      </c>
      <c r="Z459">
        <v>0</v>
      </c>
      <c r="AA459" t="s">
        <v>48</v>
      </c>
      <c r="AB459" t="s">
        <v>48</v>
      </c>
      <c r="AC459" t="s">
        <v>49</v>
      </c>
      <c r="AD459" t="s">
        <v>93</v>
      </c>
      <c r="AE459" t="s">
        <v>977</v>
      </c>
      <c r="AF459" t="s">
        <v>11067</v>
      </c>
      <c r="AG459" t="s">
        <v>266</v>
      </c>
      <c r="AH459" t="s">
        <v>48</v>
      </c>
      <c r="AI459" t="s">
        <v>48</v>
      </c>
      <c r="AJ459" t="s">
        <v>48</v>
      </c>
      <c r="AK459" t="s">
        <v>48</v>
      </c>
      <c r="AL459" t="s">
        <v>48</v>
      </c>
      <c r="AM459" t="s">
        <v>48</v>
      </c>
      <c r="AN459" t="s">
        <v>48</v>
      </c>
      <c r="AO459" t="s">
        <v>48</v>
      </c>
      <c r="AP459" s="46">
        <v>0</v>
      </c>
      <c r="AQ459" s="46">
        <v>0</v>
      </c>
      <c r="AR459" s="46">
        <v>0</v>
      </c>
      <c r="AS459" s="46">
        <v>0</v>
      </c>
      <c r="AT459" s="46">
        <v>0</v>
      </c>
      <c r="AU459" s="46">
        <v>0</v>
      </c>
      <c r="AV459" s="46">
        <v>0</v>
      </c>
      <c r="AW459" s="46">
        <v>0</v>
      </c>
      <c r="AX459" s="46">
        <v>0</v>
      </c>
      <c r="AY459" s="46">
        <v>0</v>
      </c>
      <c r="AZ459" s="46">
        <v>0</v>
      </c>
      <c r="BA459" s="46">
        <v>0</v>
      </c>
      <c r="BB459" s="46">
        <v>0</v>
      </c>
      <c r="BC459" s="46">
        <v>0</v>
      </c>
      <c r="BD459" s="46">
        <v>0</v>
      </c>
      <c r="BE459" s="46">
        <v>0</v>
      </c>
      <c r="BF459" s="46">
        <v>0</v>
      </c>
      <c r="BG459" s="46" t="s">
        <v>48</v>
      </c>
      <c r="BH459" s="46">
        <v>0</v>
      </c>
      <c r="BI459" s="46">
        <v>0</v>
      </c>
      <c r="BJ459" s="46">
        <v>0</v>
      </c>
      <c r="BK459" s="46">
        <v>0</v>
      </c>
      <c r="BL459" s="46">
        <v>0</v>
      </c>
      <c r="BM459" s="46">
        <v>0</v>
      </c>
      <c r="BN459" s="46">
        <v>0</v>
      </c>
    </row>
    <row r="460" spans="1:66" x14ac:dyDescent="0.35">
      <c r="A460" t="s">
        <v>1283</v>
      </c>
      <c r="B460" s="44" t="s">
        <v>48</v>
      </c>
      <c r="C460" t="s">
        <v>948</v>
      </c>
      <c r="D460" t="s">
        <v>1118</v>
      </c>
      <c r="E460" t="s">
        <v>1285</v>
      </c>
      <c r="F460" t="s">
        <v>1284</v>
      </c>
      <c r="G460" t="s">
        <v>74</v>
      </c>
      <c r="H460">
        <v>0</v>
      </c>
      <c r="I460" s="60" t="s">
        <v>51</v>
      </c>
      <c r="J460" s="33" t="s">
        <v>45</v>
      </c>
      <c r="K460" s="46">
        <v>1</v>
      </c>
      <c r="L460">
        <v>50.9</v>
      </c>
      <c r="M460" t="s">
        <v>48</v>
      </c>
      <c r="N460" s="46">
        <v>1</v>
      </c>
      <c r="O460" s="46">
        <v>1</v>
      </c>
      <c r="P460" s="46">
        <v>0</v>
      </c>
      <c r="Q460" t="s">
        <v>48</v>
      </c>
      <c r="R460" t="s">
        <v>48</v>
      </c>
      <c r="S460" t="s">
        <v>1286</v>
      </c>
      <c r="T460" t="s">
        <v>1287</v>
      </c>
      <c r="U460" t="s">
        <v>1286</v>
      </c>
      <c r="V460" s="47">
        <v>0</v>
      </c>
      <c r="W460" t="s">
        <v>48</v>
      </c>
      <c r="X460" t="s">
        <v>48</v>
      </c>
      <c r="Y460" t="s">
        <v>48</v>
      </c>
      <c r="Z460">
        <v>0</v>
      </c>
      <c r="AA460" t="s">
        <v>48</v>
      </c>
      <c r="AB460" t="s">
        <v>1288</v>
      </c>
      <c r="AC460" t="s">
        <v>49</v>
      </c>
      <c r="AD460" t="s">
        <v>951</v>
      </c>
      <c r="AE460" s="40" t="s">
        <v>11051</v>
      </c>
      <c r="AF460" t="s">
        <v>11054</v>
      </c>
      <c r="AG460" t="s">
        <v>140</v>
      </c>
      <c r="AH460" t="s">
        <v>93</v>
      </c>
      <c r="AI460">
        <v>21754</v>
      </c>
      <c r="AJ460">
        <v>1974</v>
      </c>
      <c r="AK460" t="s">
        <v>8746</v>
      </c>
      <c r="AL460" t="s">
        <v>8747</v>
      </c>
      <c r="AM460">
        <v>-0.57499999999999996</v>
      </c>
      <c r="AN460">
        <v>-0.17699999999999999</v>
      </c>
      <c r="AO460">
        <v>-0.57499999999999996</v>
      </c>
      <c r="AP460" s="46">
        <v>0</v>
      </c>
      <c r="AQ460" s="46">
        <v>0</v>
      </c>
      <c r="AR460" s="46">
        <v>0</v>
      </c>
      <c r="AS460" s="46">
        <v>0</v>
      </c>
      <c r="AT460" s="46">
        <v>1</v>
      </c>
      <c r="AU460" s="46">
        <v>0</v>
      </c>
      <c r="AV460" s="46">
        <v>0</v>
      </c>
      <c r="AW460" s="46">
        <v>0</v>
      </c>
      <c r="AX460" s="46">
        <v>0</v>
      </c>
      <c r="AY460" s="46">
        <v>0</v>
      </c>
      <c r="AZ460" s="46">
        <v>0</v>
      </c>
      <c r="BA460" s="46">
        <v>0</v>
      </c>
      <c r="BB460" s="46">
        <v>0</v>
      </c>
      <c r="BC460" s="46">
        <v>0</v>
      </c>
      <c r="BD460" s="46">
        <v>0</v>
      </c>
      <c r="BE460" s="46">
        <v>0</v>
      </c>
      <c r="BF460" s="46">
        <v>0</v>
      </c>
      <c r="BG460" s="46" t="s">
        <v>48</v>
      </c>
      <c r="BH460" s="46">
        <v>0</v>
      </c>
      <c r="BI460" s="46">
        <v>0</v>
      </c>
      <c r="BJ460" s="46">
        <v>0</v>
      </c>
      <c r="BK460" s="46">
        <v>1</v>
      </c>
      <c r="BL460" s="46">
        <v>0</v>
      </c>
      <c r="BM460" s="46">
        <v>0</v>
      </c>
      <c r="BN460" s="46">
        <v>0</v>
      </c>
    </row>
    <row r="461" spans="1:66" x14ac:dyDescent="0.35">
      <c r="A461" t="s">
        <v>8259</v>
      </c>
      <c r="B461" s="44" t="s">
        <v>48</v>
      </c>
      <c r="C461" t="s">
        <v>11693</v>
      </c>
      <c r="D461" t="s">
        <v>288</v>
      </c>
      <c r="E461" t="s">
        <v>8260</v>
      </c>
      <c r="F461" t="s">
        <v>1294</v>
      </c>
      <c r="G461" t="s">
        <v>47</v>
      </c>
      <c r="H461">
        <v>0</v>
      </c>
      <c r="I461" s="61">
        <v>44733</v>
      </c>
      <c r="J461" s="33" t="s">
        <v>45</v>
      </c>
      <c r="K461" s="46">
        <v>0</v>
      </c>
      <c r="L461">
        <v>25.2</v>
      </c>
      <c r="M461" t="s">
        <v>48</v>
      </c>
      <c r="N461" s="46">
        <v>1</v>
      </c>
      <c r="O461" s="46">
        <v>0</v>
      </c>
      <c r="P461" s="46">
        <v>0</v>
      </c>
      <c r="Q461" t="s">
        <v>48</v>
      </c>
      <c r="R461" t="s">
        <v>48</v>
      </c>
      <c r="S461" t="s">
        <v>10055</v>
      </c>
      <c r="T461" t="s">
        <v>48</v>
      </c>
      <c r="U461" t="s">
        <v>10055</v>
      </c>
      <c r="V461" s="47">
        <v>1</v>
      </c>
      <c r="W461" t="s">
        <v>48</v>
      </c>
      <c r="X461" t="s">
        <v>48</v>
      </c>
      <c r="Y461" t="s">
        <v>48</v>
      </c>
      <c r="Z461" t="s">
        <v>48</v>
      </c>
      <c r="AA461" t="s">
        <v>48</v>
      </c>
      <c r="AB461" t="s">
        <v>48</v>
      </c>
      <c r="AC461" t="s">
        <v>49</v>
      </c>
      <c r="AD461" t="s">
        <v>93</v>
      </c>
      <c r="AE461" t="s">
        <v>4532</v>
      </c>
      <c r="AF461" t="s">
        <v>48</v>
      </c>
      <c r="AG461" t="s">
        <v>48</v>
      </c>
      <c r="AH461" t="s">
        <v>48</v>
      </c>
      <c r="AI461" t="s">
        <v>48</v>
      </c>
      <c r="AJ461" t="s">
        <v>48</v>
      </c>
      <c r="AK461" t="s">
        <v>48</v>
      </c>
      <c r="AL461" t="s">
        <v>48</v>
      </c>
      <c r="AM461" t="s">
        <v>48</v>
      </c>
      <c r="AN461" t="s">
        <v>48</v>
      </c>
      <c r="AO461" t="s">
        <v>48</v>
      </c>
      <c r="AP461" s="46">
        <v>0</v>
      </c>
      <c r="AQ461" s="46">
        <v>0</v>
      </c>
      <c r="AR461" s="46">
        <v>0</v>
      </c>
      <c r="AS461" s="46">
        <v>0</v>
      </c>
      <c r="AT461" s="46">
        <v>0</v>
      </c>
      <c r="AU461" s="46">
        <v>0</v>
      </c>
      <c r="AV461" s="46">
        <v>0</v>
      </c>
      <c r="AW461" s="46">
        <v>0</v>
      </c>
      <c r="AX461" s="46">
        <v>0</v>
      </c>
      <c r="AY461" s="46">
        <v>0</v>
      </c>
      <c r="AZ461" s="46">
        <v>0</v>
      </c>
      <c r="BA461" s="46">
        <v>0</v>
      </c>
      <c r="BB461" s="46">
        <v>0</v>
      </c>
      <c r="BC461" s="46">
        <v>0</v>
      </c>
      <c r="BD461" s="46">
        <v>0</v>
      </c>
      <c r="BE461" s="46">
        <v>0</v>
      </c>
      <c r="BF461" s="46">
        <v>0</v>
      </c>
      <c r="BG461" s="46">
        <v>1</v>
      </c>
      <c r="BH461" s="46">
        <v>0</v>
      </c>
      <c r="BI461" s="46">
        <v>0</v>
      </c>
      <c r="BJ461" s="46">
        <v>0</v>
      </c>
      <c r="BK461" s="46">
        <v>0</v>
      </c>
      <c r="BL461" s="46">
        <v>0</v>
      </c>
      <c r="BM461" s="46">
        <v>0</v>
      </c>
      <c r="BN461" s="46">
        <v>0</v>
      </c>
    </row>
    <row r="462" spans="1:66" x14ac:dyDescent="0.35">
      <c r="A462" t="s">
        <v>1301</v>
      </c>
      <c r="B462" t="s">
        <v>48</v>
      </c>
      <c r="C462" t="s">
        <v>646</v>
      </c>
      <c r="D462" t="s">
        <v>1306</v>
      </c>
      <c r="E462" t="s">
        <v>1302</v>
      </c>
      <c r="F462" t="s">
        <v>1294</v>
      </c>
      <c r="G462" t="s">
        <v>74</v>
      </c>
      <c r="H462">
        <v>0</v>
      </c>
      <c r="I462" s="60" t="s">
        <v>51</v>
      </c>
      <c r="J462" s="33" t="s">
        <v>45</v>
      </c>
      <c r="K462" s="46">
        <v>1</v>
      </c>
      <c r="L462">
        <v>54.3</v>
      </c>
      <c r="M462" t="s">
        <v>48</v>
      </c>
      <c r="N462" s="46">
        <v>1</v>
      </c>
      <c r="O462" s="46">
        <v>0</v>
      </c>
      <c r="P462" s="46">
        <v>0</v>
      </c>
      <c r="Q462" t="s">
        <v>48</v>
      </c>
      <c r="R462" t="s">
        <v>48</v>
      </c>
      <c r="S462" t="s">
        <v>1303</v>
      </c>
      <c r="T462" t="s">
        <v>1304</v>
      </c>
      <c r="U462" t="s">
        <v>1303</v>
      </c>
      <c r="V462" s="47">
        <v>0</v>
      </c>
      <c r="W462" t="s">
        <v>48</v>
      </c>
      <c r="X462" t="s">
        <v>48</v>
      </c>
      <c r="Y462" t="s">
        <v>48</v>
      </c>
      <c r="Z462">
        <v>0</v>
      </c>
      <c r="AA462" t="s">
        <v>1305</v>
      </c>
      <c r="AB462">
        <v>2014</v>
      </c>
      <c r="AC462" t="s">
        <v>63</v>
      </c>
      <c r="AD462" t="s">
        <v>951</v>
      </c>
      <c r="AE462" s="40" t="s">
        <v>11051</v>
      </c>
      <c r="AF462" t="s">
        <v>11068</v>
      </c>
      <c r="AG462" t="s">
        <v>140</v>
      </c>
      <c r="AH462" t="s">
        <v>93</v>
      </c>
      <c r="AI462">
        <v>21508</v>
      </c>
      <c r="AJ462">
        <v>1965</v>
      </c>
      <c r="AK462" t="s">
        <v>8748</v>
      </c>
      <c r="AL462" t="s">
        <v>8749</v>
      </c>
      <c r="AM462">
        <v>-0.36399999999999999</v>
      </c>
      <c r="AN462">
        <v>4.2999999999999997E-2</v>
      </c>
      <c r="AO462">
        <v>-0.36399999999999999</v>
      </c>
      <c r="AP462" s="46">
        <v>0</v>
      </c>
      <c r="AQ462" s="46">
        <v>0</v>
      </c>
      <c r="AR462" s="46">
        <v>0</v>
      </c>
      <c r="AS462" s="46">
        <v>0</v>
      </c>
      <c r="AT462" s="46">
        <v>0</v>
      </c>
      <c r="AU462" s="46">
        <v>1</v>
      </c>
      <c r="AV462" s="46">
        <v>0</v>
      </c>
      <c r="AW462" s="46">
        <v>0</v>
      </c>
      <c r="AX462" s="46">
        <v>0</v>
      </c>
      <c r="AY462" s="46">
        <v>0</v>
      </c>
      <c r="AZ462" s="46">
        <v>0</v>
      </c>
      <c r="BA462" s="46">
        <v>0</v>
      </c>
      <c r="BB462" s="46">
        <v>0</v>
      </c>
      <c r="BC462" s="46">
        <v>0</v>
      </c>
      <c r="BD462" s="46">
        <v>0</v>
      </c>
      <c r="BE462" s="46">
        <v>0</v>
      </c>
      <c r="BF462" s="46">
        <v>0</v>
      </c>
      <c r="BG462" s="46" t="s">
        <v>48</v>
      </c>
      <c r="BH462" s="46">
        <v>0</v>
      </c>
      <c r="BI462" s="46">
        <v>0</v>
      </c>
      <c r="BJ462" s="46">
        <v>0</v>
      </c>
      <c r="BK462" s="46">
        <v>0</v>
      </c>
      <c r="BL462" s="46">
        <v>0</v>
      </c>
      <c r="BM462" s="46">
        <v>0</v>
      </c>
      <c r="BN462" s="46">
        <v>0</v>
      </c>
    </row>
    <row r="463" spans="1:66" x14ac:dyDescent="0.35">
      <c r="A463" t="s">
        <v>1399</v>
      </c>
      <c r="B463" s="44" t="s">
        <v>48</v>
      </c>
      <c r="C463" t="s">
        <v>1403</v>
      </c>
      <c r="D463" t="s">
        <v>1402</v>
      </c>
      <c r="E463" t="s">
        <v>8263</v>
      </c>
      <c r="F463" t="s">
        <v>1307</v>
      </c>
      <c r="G463" t="s">
        <v>47</v>
      </c>
      <c r="H463">
        <v>0</v>
      </c>
      <c r="I463" s="61">
        <v>44733</v>
      </c>
      <c r="J463" s="33" t="s">
        <v>45</v>
      </c>
      <c r="K463" s="46">
        <v>0</v>
      </c>
      <c r="L463">
        <v>13.5</v>
      </c>
      <c r="M463" s="41" t="s">
        <v>48</v>
      </c>
      <c r="N463" s="46">
        <v>1</v>
      </c>
      <c r="O463" s="46">
        <v>0</v>
      </c>
      <c r="P463" s="46">
        <v>0</v>
      </c>
      <c r="Q463" s="41" t="s">
        <v>48</v>
      </c>
      <c r="R463" s="41" t="s">
        <v>48</v>
      </c>
      <c r="S463" t="s">
        <v>1401</v>
      </c>
      <c r="T463" t="s">
        <v>48</v>
      </c>
      <c r="U463" t="s">
        <v>1401</v>
      </c>
      <c r="V463" s="47">
        <v>0</v>
      </c>
      <c r="W463" t="s">
        <v>48</v>
      </c>
      <c r="X463" t="s">
        <v>48</v>
      </c>
      <c r="Y463" t="s">
        <v>48</v>
      </c>
      <c r="Z463">
        <v>0</v>
      </c>
      <c r="AA463" t="s">
        <v>48</v>
      </c>
      <c r="AB463" t="s">
        <v>48</v>
      </c>
      <c r="AC463" t="s">
        <v>49</v>
      </c>
      <c r="AD463" t="s">
        <v>93</v>
      </c>
      <c r="AE463" t="s">
        <v>2471</v>
      </c>
      <c r="AF463" t="s">
        <v>11061</v>
      </c>
      <c r="AG463" t="s">
        <v>48</v>
      </c>
      <c r="AH463" t="s">
        <v>48</v>
      </c>
      <c r="AI463" t="s">
        <v>48</v>
      </c>
      <c r="AJ463" t="s">
        <v>48</v>
      </c>
      <c r="AK463" t="s">
        <v>48</v>
      </c>
      <c r="AL463" t="s">
        <v>48</v>
      </c>
      <c r="AM463" t="s">
        <v>48</v>
      </c>
      <c r="AN463" t="s">
        <v>48</v>
      </c>
      <c r="AO463" t="s">
        <v>48</v>
      </c>
      <c r="AP463" s="46">
        <v>0</v>
      </c>
      <c r="AQ463" s="46">
        <v>0</v>
      </c>
      <c r="AR463" s="46">
        <v>0</v>
      </c>
      <c r="AS463" s="46">
        <v>0</v>
      </c>
      <c r="AT463" s="46">
        <v>0</v>
      </c>
      <c r="AU463" s="46">
        <v>0</v>
      </c>
      <c r="AV463" s="46">
        <v>0</v>
      </c>
      <c r="AW463" s="46">
        <v>0</v>
      </c>
      <c r="AX463" s="46">
        <v>0</v>
      </c>
      <c r="AY463" s="46">
        <v>0</v>
      </c>
      <c r="AZ463" s="46">
        <v>0</v>
      </c>
      <c r="BA463" s="46">
        <v>0</v>
      </c>
      <c r="BB463" s="46">
        <v>0</v>
      </c>
      <c r="BC463" s="46">
        <v>0</v>
      </c>
      <c r="BD463" s="46">
        <v>0</v>
      </c>
      <c r="BE463" s="46">
        <v>0</v>
      </c>
      <c r="BF463" s="46">
        <v>0</v>
      </c>
      <c r="BG463" s="46">
        <v>1</v>
      </c>
      <c r="BH463" s="46">
        <v>0</v>
      </c>
      <c r="BI463" s="46">
        <v>0</v>
      </c>
      <c r="BJ463" s="46">
        <v>0</v>
      </c>
      <c r="BK463" s="46">
        <v>0</v>
      </c>
      <c r="BL463" s="46">
        <v>0</v>
      </c>
      <c r="BM463" s="46">
        <v>0</v>
      </c>
      <c r="BN463" s="46">
        <v>0</v>
      </c>
    </row>
    <row r="464" spans="1:66" x14ac:dyDescent="0.35">
      <c r="A464" t="s">
        <v>1274</v>
      </c>
      <c r="B464" s="44" t="s">
        <v>48</v>
      </c>
      <c r="C464" t="s">
        <v>1278</v>
      </c>
      <c r="D464" t="s">
        <v>261</v>
      </c>
      <c r="E464" t="s">
        <v>8070</v>
      </c>
      <c r="F464" t="s">
        <v>1307</v>
      </c>
      <c r="G464" t="s">
        <v>74</v>
      </c>
      <c r="H464">
        <v>0</v>
      </c>
      <c r="I464" s="61">
        <v>44733</v>
      </c>
      <c r="J464" s="33" t="s">
        <v>45</v>
      </c>
      <c r="K464" s="46">
        <v>1</v>
      </c>
      <c r="L464">
        <v>67</v>
      </c>
      <c r="M464" s="41" t="s">
        <v>48</v>
      </c>
      <c r="N464" s="46">
        <v>1</v>
      </c>
      <c r="O464" s="46">
        <v>0</v>
      </c>
      <c r="P464" s="46">
        <v>0</v>
      </c>
      <c r="Q464" s="41" t="s">
        <v>48</v>
      </c>
      <c r="R464" s="41" t="s">
        <v>48</v>
      </c>
      <c r="S464" t="s">
        <v>1275</v>
      </c>
      <c r="T464" t="s">
        <v>1276</v>
      </c>
      <c r="U464" t="s">
        <v>1275</v>
      </c>
      <c r="V464" s="47">
        <v>0</v>
      </c>
      <c r="W464" t="s">
        <v>48</v>
      </c>
      <c r="X464" t="s">
        <v>48</v>
      </c>
      <c r="Y464" t="s">
        <v>48</v>
      </c>
      <c r="Z464">
        <v>0</v>
      </c>
      <c r="AA464" t="s">
        <v>1277</v>
      </c>
      <c r="AB464">
        <v>2014</v>
      </c>
      <c r="AC464" t="s">
        <v>49</v>
      </c>
      <c r="AD464" t="s">
        <v>93</v>
      </c>
      <c r="AE464" t="s">
        <v>977</v>
      </c>
      <c r="AF464" t="s">
        <v>48</v>
      </c>
      <c r="AG464" t="s">
        <v>48</v>
      </c>
      <c r="AH464" t="s">
        <v>48</v>
      </c>
      <c r="AI464">
        <v>21507</v>
      </c>
      <c r="AJ464">
        <v>1969</v>
      </c>
      <c r="AK464" t="s">
        <v>8744</v>
      </c>
      <c r="AL464" t="s">
        <v>8745</v>
      </c>
      <c r="AM464">
        <v>-0.374</v>
      </c>
      <c r="AN464">
        <v>-0.246</v>
      </c>
      <c r="AO464">
        <v>-0.374</v>
      </c>
      <c r="AP464" s="46">
        <v>0</v>
      </c>
      <c r="AQ464" s="46">
        <v>0</v>
      </c>
      <c r="AR464" s="46">
        <v>0</v>
      </c>
      <c r="AS464" s="46">
        <v>0</v>
      </c>
      <c r="AT464" s="46">
        <v>1</v>
      </c>
      <c r="AU464" s="46">
        <v>0</v>
      </c>
      <c r="AV464" s="46">
        <v>0</v>
      </c>
      <c r="AW464" s="46">
        <v>0</v>
      </c>
      <c r="AX464" s="46">
        <v>0</v>
      </c>
      <c r="AY464" s="46">
        <v>0</v>
      </c>
      <c r="AZ464" s="46">
        <v>0</v>
      </c>
      <c r="BA464" s="46">
        <v>0</v>
      </c>
      <c r="BB464" s="46">
        <v>0</v>
      </c>
      <c r="BC464" s="46">
        <v>0</v>
      </c>
      <c r="BD464" s="46">
        <v>0</v>
      </c>
      <c r="BE464" s="46">
        <v>0</v>
      </c>
      <c r="BF464" s="46">
        <v>0</v>
      </c>
      <c r="BG464" s="46" t="s">
        <v>48</v>
      </c>
      <c r="BH464" s="46">
        <v>0</v>
      </c>
      <c r="BI464" s="46">
        <v>0</v>
      </c>
      <c r="BJ464" s="46">
        <v>0</v>
      </c>
      <c r="BK464" s="46">
        <v>0</v>
      </c>
      <c r="BL464" s="46">
        <v>0</v>
      </c>
      <c r="BM464" s="46">
        <v>0</v>
      </c>
      <c r="BN464" s="46">
        <v>0</v>
      </c>
    </row>
    <row r="465" spans="1:66" x14ac:dyDescent="0.35">
      <c r="A465" t="s">
        <v>1332</v>
      </c>
      <c r="B465" s="44" t="s">
        <v>48</v>
      </c>
      <c r="C465" t="s">
        <v>1335</v>
      </c>
      <c r="D465" t="s">
        <v>612</v>
      </c>
      <c r="E465" t="s">
        <v>1333</v>
      </c>
      <c r="F465" t="s">
        <v>1316</v>
      </c>
      <c r="G465" t="s">
        <v>74</v>
      </c>
      <c r="H465">
        <v>0</v>
      </c>
      <c r="I465" s="60" t="s">
        <v>125</v>
      </c>
      <c r="J465" s="33" t="s">
        <v>45</v>
      </c>
      <c r="K465" s="46">
        <v>0</v>
      </c>
      <c r="L465">
        <v>18.399999999999999</v>
      </c>
      <c r="M465" t="s">
        <v>48</v>
      </c>
      <c r="N465" s="46">
        <v>1</v>
      </c>
      <c r="O465" s="46">
        <v>1</v>
      </c>
      <c r="P465" s="46">
        <v>0</v>
      </c>
      <c r="Q465" t="s">
        <v>48</v>
      </c>
      <c r="R465" t="s">
        <v>48</v>
      </c>
      <c r="S465" t="s">
        <v>1334</v>
      </c>
      <c r="T465" t="s">
        <v>48</v>
      </c>
      <c r="U465" t="s">
        <v>1334</v>
      </c>
      <c r="V465" s="47">
        <v>0</v>
      </c>
      <c r="W465" t="s">
        <v>48</v>
      </c>
      <c r="X465" t="s">
        <v>48</v>
      </c>
      <c r="Y465" t="s">
        <v>48</v>
      </c>
      <c r="Z465">
        <v>0</v>
      </c>
      <c r="AA465" t="s">
        <v>48</v>
      </c>
      <c r="AB465" t="s">
        <v>48</v>
      </c>
      <c r="AC465" t="s">
        <v>63</v>
      </c>
      <c r="AD465" t="s">
        <v>93</v>
      </c>
      <c r="AE465" s="40" t="s">
        <v>2471</v>
      </c>
      <c r="AF465" t="s">
        <v>11061</v>
      </c>
      <c r="AG465" t="s">
        <v>48</v>
      </c>
      <c r="AH465" t="s">
        <v>48</v>
      </c>
      <c r="AI465" t="s">
        <v>48</v>
      </c>
      <c r="AJ465" t="s">
        <v>48</v>
      </c>
      <c r="AK465" t="s">
        <v>48</v>
      </c>
      <c r="AL465" t="s">
        <v>48</v>
      </c>
      <c r="AM465" t="s">
        <v>48</v>
      </c>
      <c r="AN465" t="s">
        <v>48</v>
      </c>
      <c r="AO465" t="s">
        <v>48</v>
      </c>
      <c r="AP465" s="46">
        <v>0</v>
      </c>
      <c r="AQ465" s="46">
        <v>0</v>
      </c>
      <c r="AR465" s="46">
        <v>0</v>
      </c>
      <c r="AS465" s="46">
        <v>0</v>
      </c>
      <c r="AT465" s="46">
        <v>0</v>
      </c>
      <c r="AU465" s="46">
        <v>0</v>
      </c>
      <c r="AV465" s="46">
        <v>0</v>
      </c>
      <c r="AW465" s="46">
        <v>0</v>
      </c>
      <c r="AX465" s="46">
        <v>0</v>
      </c>
      <c r="AY465" s="46">
        <v>0</v>
      </c>
      <c r="AZ465" s="46">
        <v>0</v>
      </c>
      <c r="BA465" s="46">
        <v>0</v>
      </c>
      <c r="BB465" s="46">
        <v>0</v>
      </c>
      <c r="BC465" s="46">
        <v>0</v>
      </c>
      <c r="BD465" s="46">
        <v>0</v>
      </c>
      <c r="BE465" s="46">
        <v>0</v>
      </c>
      <c r="BF465" s="46">
        <v>0</v>
      </c>
      <c r="BG465" s="46" t="s">
        <v>48</v>
      </c>
      <c r="BH465" s="46">
        <v>0</v>
      </c>
      <c r="BI465" s="46">
        <v>0</v>
      </c>
      <c r="BJ465" s="46">
        <v>0</v>
      </c>
      <c r="BK465" s="46">
        <v>0</v>
      </c>
      <c r="BL465" s="46">
        <v>0</v>
      </c>
      <c r="BM465" s="46">
        <v>0</v>
      </c>
      <c r="BN465" s="46">
        <v>0</v>
      </c>
    </row>
    <row r="466" spans="1:66" x14ac:dyDescent="0.35">
      <c r="A466" t="s">
        <v>1324</v>
      </c>
      <c r="B466" s="44" t="s">
        <v>48</v>
      </c>
      <c r="C466" t="s">
        <v>1328</v>
      </c>
      <c r="D466" t="s">
        <v>1327</v>
      </c>
      <c r="E466" t="s">
        <v>1325</v>
      </c>
      <c r="F466" t="s">
        <v>1316</v>
      </c>
      <c r="G466" t="s">
        <v>74</v>
      </c>
      <c r="H466">
        <v>0</v>
      </c>
      <c r="I466" s="60" t="s">
        <v>149</v>
      </c>
      <c r="J466" s="33" t="s">
        <v>45</v>
      </c>
      <c r="K466" s="46">
        <v>0</v>
      </c>
      <c r="L466">
        <v>43.8</v>
      </c>
      <c r="M466" t="s">
        <v>48</v>
      </c>
      <c r="N466" s="46">
        <v>1</v>
      </c>
      <c r="O466" s="46">
        <v>1</v>
      </c>
      <c r="P466" s="46">
        <v>0</v>
      </c>
      <c r="Q466" t="s">
        <v>48</v>
      </c>
      <c r="R466" t="s">
        <v>48</v>
      </c>
      <c r="S466" t="s">
        <v>1326</v>
      </c>
      <c r="T466" t="s">
        <v>48</v>
      </c>
      <c r="U466" t="s">
        <v>1326</v>
      </c>
      <c r="V466" s="47">
        <v>0</v>
      </c>
      <c r="W466" t="s">
        <v>48</v>
      </c>
      <c r="X466" t="s">
        <v>48</v>
      </c>
      <c r="Y466" t="s">
        <v>48</v>
      </c>
      <c r="Z466">
        <v>0</v>
      </c>
      <c r="AA466" t="s">
        <v>48</v>
      </c>
      <c r="AB466" t="s">
        <v>48</v>
      </c>
      <c r="AC466" t="s">
        <v>63</v>
      </c>
      <c r="AD466" t="s">
        <v>93</v>
      </c>
      <c r="AE466" s="40" t="s">
        <v>2471</v>
      </c>
      <c r="AF466" t="s">
        <v>11061</v>
      </c>
      <c r="AG466" t="s">
        <v>48</v>
      </c>
      <c r="AH466" t="s">
        <v>48</v>
      </c>
      <c r="AI466" t="s">
        <v>48</v>
      </c>
      <c r="AJ466" t="s">
        <v>48</v>
      </c>
      <c r="AK466" t="s">
        <v>48</v>
      </c>
      <c r="AL466" t="s">
        <v>48</v>
      </c>
      <c r="AM466" t="s">
        <v>48</v>
      </c>
      <c r="AN466" t="s">
        <v>48</v>
      </c>
      <c r="AO466" t="s">
        <v>48</v>
      </c>
      <c r="AP466" s="46">
        <v>0</v>
      </c>
      <c r="AQ466" s="46">
        <v>0</v>
      </c>
      <c r="AR466" s="46">
        <v>0</v>
      </c>
      <c r="AS466" s="46">
        <v>0</v>
      </c>
      <c r="AT466" s="46">
        <v>0</v>
      </c>
      <c r="AU466" s="46">
        <v>0</v>
      </c>
      <c r="AV466" s="46">
        <v>0</v>
      </c>
      <c r="AW466" s="46">
        <v>0</v>
      </c>
      <c r="AX466" s="46">
        <v>0</v>
      </c>
      <c r="AY466" s="46">
        <v>0</v>
      </c>
      <c r="AZ466" s="46">
        <v>0</v>
      </c>
      <c r="BA466" s="46">
        <v>0</v>
      </c>
      <c r="BB466" s="46">
        <v>0</v>
      </c>
      <c r="BC466" s="46">
        <v>0</v>
      </c>
      <c r="BD466" s="46">
        <v>0</v>
      </c>
      <c r="BE466" s="46">
        <v>0</v>
      </c>
      <c r="BF466" s="46">
        <v>0</v>
      </c>
      <c r="BG466" s="46" t="s">
        <v>48</v>
      </c>
      <c r="BH466" s="46">
        <v>0</v>
      </c>
      <c r="BI466" s="46">
        <v>0</v>
      </c>
      <c r="BJ466" s="46">
        <v>0</v>
      </c>
      <c r="BK466" s="46">
        <v>0</v>
      </c>
      <c r="BL466" s="46">
        <v>0</v>
      </c>
      <c r="BM466" s="46">
        <v>0</v>
      </c>
      <c r="BN466" s="46">
        <v>0</v>
      </c>
    </row>
    <row r="467" spans="1:66" x14ac:dyDescent="0.35">
      <c r="A467" t="s">
        <v>1349</v>
      </c>
      <c r="B467" s="44" t="s">
        <v>48</v>
      </c>
      <c r="C467" t="s">
        <v>1351</v>
      </c>
      <c r="D467" t="s">
        <v>1005</v>
      </c>
      <c r="E467" t="s">
        <v>8271</v>
      </c>
      <c r="F467" t="s">
        <v>1336</v>
      </c>
      <c r="G467" t="s">
        <v>47</v>
      </c>
      <c r="H467">
        <v>0</v>
      </c>
      <c r="I467" s="61" t="s">
        <v>11160</v>
      </c>
      <c r="J467" s="33" t="s">
        <v>45</v>
      </c>
      <c r="K467" s="46">
        <v>0</v>
      </c>
      <c r="L467">
        <v>30.7</v>
      </c>
      <c r="M467" s="41" t="s">
        <v>48</v>
      </c>
      <c r="N467" s="46">
        <v>1</v>
      </c>
      <c r="O467" s="46">
        <v>0</v>
      </c>
      <c r="P467" s="46">
        <v>0</v>
      </c>
      <c r="Q467" s="41" t="s">
        <v>48</v>
      </c>
      <c r="R467" s="41" t="s">
        <v>48</v>
      </c>
      <c r="S467" t="s">
        <v>11342</v>
      </c>
      <c r="T467" t="s">
        <v>48</v>
      </c>
      <c r="U467" t="s">
        <v>1350</v>
      </c>
      <c r="V467" s="47">
        <v>0</v>
      </c>
      <c r="W467" t="s">
        <v>48</v>
      </c>
      <c r="X467" t="s">
        <v>48</v>
      </c>
      <c r="Y467" t="s">
        <v>48</v>
      </c>
      <c r="Z467">
        <v>0</v>
      </c>
      <c r="AA467" t="s">
        <v>48</v>
      </c>
      <c r="AB467" t="s">
        <v>48</v>
      </c>
      <c r="AC467" t="s">
        <v>49</v>
      </c>
      <c r="AD467" t="s">
        <v>93</v>
      </c>
      <c r="AE467" t="s">
        <v>977</v>
      </c>
      <c r="AF467" t="s">
        <v>11062</v>
      </c>
      <c r="AG467" t="s">
        <v>48</v>
      </c>
      <c r="AH467" t="s">
        <v>48</v>
      </c>
      <c r="AI467" t="s">
        <v>48</v>
      </c>
      <c r="AJ467" t="s">
        <v>48</v>
      </c>
      <c r="AK467" t="s">
        <v>48</v>
      </c>
      <c r="AL467" t="s">
        <v>48</v>
      </c>
      <c r="AM467" t="s">
        <v>48</v>
      </c>
      <c r="AN467" t="s">
        <v>48</v>
      </c>
      <c r="AO467" t="s">
        <v>48</v>
      </c>
      <c r="AP467" s="46">
        <v>0</v>
      </c>
      <c r="AQ467" s="46">
        <v>0</v>
      </c>
      <c r="AR467" s="46">
        <v>0</v>
      </c>
      <c r="AS467" s="46">
        <v>0</v>
      </c>
      <c r="AT467" s="46">
        <v>0</v>
      </c>
      <c r="AU467" s="46">
        <v>0</v>
      </c>
      <c r="AV467" s="46">
        <v>0</v>
      </c>
      <c r="AW467" s="46">
        <v>0</v>
      </c>
      <c r="AX467" s="46">
        <v>0</v>
      </c>
      <c r="AY467" s="46">
        <v>0</v>
      </c>
      <c r="AZ467" s="46">
        <v>0</v>
      </c>
      <c r="BA467" s="46">
        <v>0</v>
      </c>
      <c r="BB467" s="46">
        <v>0</v>
      </c>
      <c r="BC467" s="46">
        <v>0</v>
      </c>
      <c r="BD467" s="46">
        <v>0</v>
      </c>
      <c r="BE467" s="46">
        <v>0</v>
      </c>
      <c r="BF467" s="46">
        <v>0</v>
      </c>
      <c r="BG467" s="46">
        <v>1</v>
      </c>
      <c r="BH467" s="46">
        <v>0</v>
      </c>
      <c r="BI467" s="46">
        <v>0</v>
      </c>
      <c r="BJ467" s="46">
        <v>0</v>
      </c>
      <c r="BK467" s="46">
        <v>0</v>
      </c>
      <c r="BL467" s="46">
        <v>0</v>
      </c>
      <c r="BM467" s="46">
        <v>0</v>
      </c>
      <c r="BN467" s="46">
        <v>0</v>
      </c>
    </row>
    <row r="468" spans="1:66" x14ac:dyDescent="0.35">
      <c r="A468" t="s">
        <v>1339</v>
      </c>
      <c r="B468" s="44" t="s">
        <v>48</v>
      </c>
      <c r="C468" t="s">
        <v>1344</v>
      </c>
      <c r="D468" t="s">
        <v>1343</v>
      </c>
      <c r="E468" t="s">
        <v>1340</v>
      </c>
      <c r="F468" t="s">
        <v>1336</v>
      </c>
      <c r="G468" t="s">
        <v>74</v>
      </c>
      <c r="H468">
        <v>0</v>
      </c>
      <c r="I468" s="60" t="s">
        <v>51</v>
      </c>
      <c r="J468" s="33" t="s">
        <v>45</v>
      </c>
      <c r="K468" s="46">
        <v>1</v>
      </c>
      <c r="L468">
        <v>58.5</v>
      </c>
      <c r="M468" t="s">
        <v>48</v>
      </c>
      <c r="N468" s="46">
        <v>1</v>
      </c>
      <c r="O468" s="46">
        <v>0</v>
      </c>
      <c r="P468" s="46">
        <v>0</v>
      </c>
      <c r="Q468" t="s">
        <v>48</v>
      </c>
      <c r="R468" t="s">
        <v>48</v>
      </c>
      <c r="S468" t="s">
        <v>1341</v>
      </c>
      <c r="T468" t="s">
        <v>1342</v>
      </c>
      <c r="U468" t="s">
        <v>1341</v>
      </c>
      <c r="V468" s="47">
        <v>0</v>
      </c>
      <c r="W468" t="s">
        <v>48</v>
      </c>
      <c r="X468" t="s">
        <v>48</v>
      </c>
      <c r="Y468" t="s">
        <v>48</v>
      </c>
      <c r="Z468">
        <v>0</v>
      </c>
      <c r="AA468" t="s">
        <v>48</v>
      </c>
      <c r="AB468">
        <v>2020</v>
      </c>
      <c r="AC468" t="s">
        <v>63</v>
      </c>
      <c r="AD468" t="s">
        <v>951</v>
      </c>
      <c r="AE468" s="40" t="s">
        <v>11051</v>
      </c>
      <c r="AF468" t="s">
        <v>108</v>
      </c>
      <c r="AG468" t="s">
        <v>48</v>
      </c>
      <c r="AH468" t="s">
        <v>48</v>
      </c>
      <c r="AI468">
        <v>20310</v>
      </c>
      <c r="AJ468">
        <v>1969</v>
      </c>
      <c r="AK468" t="s">
        <v>8752</v>
      </c>
      <c r="AL468" t="s">
        <v>8753</v>
      </c>
      <c r="AM468">
        <v>-0.50700000000000001</v>
      </c>
      <c r="AN468">
        <v>-0.13500000000000001</v>
      </c>
      <c r="AO468">
        <v>-0.50700000000000001</v>
      </c>
      <c r="AP468" s="46">
        <v>0</v>
      </c>
      <c r="AQ468" s="46">
        <v>0</v>
      </c>
      <c r="AR468" s="46">
        <v>0</v>
      </c>
      <c r="AS468" s="46">
        <v>0</v>
      </c>
      <c r="AT468" s="46">
        <v>1</v>
      </c>
      <c r="AU468" s="46">
        <v>0</v>
      </c>
      <c r="AV468" s="46">
        <v>0</v>
      </c>
      <c r="AW468" s="46">
        <v>0</v>
      </c>
      <c r="AX468" s="46">
        <v>0</v>
      </c>
      <c r="AY468" s="46">
        <v>0</v>
      </c>
      <c r="AZ468" s="46">
        <v>0</v>
      </c>
      <c r="BA468" s="46">
        <v>0</v>
      </c>
      <c r="BB468" s="46">
        <v>0</v>
      </c>
      <c r="BC468" s="46">
        <v>0</v>
      </c>
      <c r="BD468" s="46">
        <v>0</v>
      </c>
      <c r="BE468" s="46">
        <v>0</v>
      </c>
      <c r="BF468" s="46">
        <v>0</v>
      </c>
      <c r="BG468" s="46" t="s">
        <v>48</v>
      </c>
      <c r="BH468" s="46">
        <v>0</v>
      </c>
      <c r="BI468" s="46">
        <v>0</v>
      </c>
      <c r="BJ468" s="46">
        <v>0</v>
      </c>
      <c r="BK468" s="46">
        <v>1</v>
      </c>
      <c r="BL468" s="46">
        <v>0</v>
      </c>
      <c r="BM468" s="46">
        <v>0</v>
      </c>
      <c r="BN468" s="46">
        <v>0</v>
      </c>
    </row>
    <row r="469" spans="1:66" x14ac:dyDescent="0.35">
      <c r="A469" t="s">
        <v>8280</v>
      </c>
      <c r="B469" s="44" t="s">
        <v>48</v>
      </c>
      <c r="C469" t="s">
        <v>80</v>
      </c>
      <c r="D469" t="s">
        <v>11707</v>
      </c>
      <c r="E469" t="s">
        <v>8281</v>
      </c>
      <c r="F469" t="s">
        <v>1346</v>
      </c>
      <c r="G469" t="s">
        <v>47</v>
      </c>
      <c r="H469">
        <v>0</v>
      </c>
      <c r="I469" s="61">
        <v>44733</v>
      </c>
      <c r="J469" s="33" t="s">
        <v>45</v>
      </c>
      <c r="K469" s="46">
        <v>0</v>
      </c>
      <c r="L469">
        <v>12.6</v>
      </c>
      <c r="M469" t="s">
        <v>48</v>
      </c>
      <c r="N469" s="46">
        <v>1</v>
      </c>
      <c r="O469" s="46">
        <v>0</v>
      </c>
      <c r="P469" s="46">
        <v>0</v>
      </c>
      <c r="Q469" t="s">
        <v>48</v>
      </c>
      <c r="R469" t="s">
        <v>48</v>
      </c>
      <c r="S469" t="s">
        <v>10060</v>
      </c>
      <c r="T469" t="s">
        <v>48</v>
      </c>
      <c r="U469" t="s">
        <v>10060</v>
      </c>
      <c r="V469" s="47">
        <v>1</v>
      </c>
      <c r="W469" t="s">
        <v>48</v>
      </c>
      <c r="X469" t="s">
        <v>48</v>
      </c>
      <c r="Y469" t="s">
        <v>48</v>
      </c>
      <c r="Z469" t="s">
        <v>48</v>
      </c>
      <c r="AA469" t="s">
        <v>48</v>
      </c>
      <c r="AB469" t="s">
        <v>48</v>
      </c>
      <c r="AC469" t="s">
        <v>63</v>
      </c>
      <c r="AD469" t="s">
        <v>93</v>
      </c>
      <c r="AE469" t="s">
        <v>2471</v>
      </c>
      <c r="AF469" t="s">
        <v>11061</v>
      </c>
      <c r="AG469" t="s">
        <v>48</v>
      </c>
      <c r="AH469" t="s">
        <v>48</v>
      </c>
      <c r="AI469" t="s">
        <v>48</v>
      </c>
      <c r="AJ469" t="s">
        <v>48</v>
      </c>
      <c r="AK469" t="s">
        <v>48</v>
      </c>
      <c r="AL469" t="s">
        <v>48</v>
      </c>
      <c r="AM469" t="s">
        <v>48</v>
      </c>
      <c r="AN469" t="s">
        <v>48</v>
      </c>
      <c r="AO469" t="s">
        <v>48</v>
      </c>
      <c r="AP469" s="46">
        <v>0</v>
      </c>
      <c r="AQ469" s="46">
        <v>0</v>
      </c>
      <c r="AR469" s="46">
        <v>0</v>
      </c>
      <c r="AS469" s="46">
        <v>0</v>
      </c>
      <c r="AT469" s="46">
        <v>0</v>
      </c>
      <c r="AU469" s="46">
        <v>0</v>
      </c>
      <c r="AV469" s="46">
        <v>0</v>
      </c>
      <c r="AW469" s="46">
        <v>0</v>
      </c>
      <c r="AX469" s="46">
        <v>0</v>
      </c>
      <c r="AY469" s="46">
        <v>0</v>
      </c>
      <c r="AZ469" s="46">
        <v>0</v>
      </c>
      <c r="BA469" s="46">
        <v>0</v>
      </c>
      <c r="BB469" s="46">
        <v>0</v>
      </c>
      <c r="BC469" s="46">
        <v>0</v>
      </c>
      <c r="BD469" s="46">
        <v>0</v>
      </c>
      <c r="BE469" s="46">
        <v>0</v>
      </c>
      <c r="BF469" s="46">
        <v>0</v>
      </c>
      <c r="BG469" s="46" t="s">
        <v>48</v>
      </c>
      <c r="BH469" s="46">
        <v>0</v>
      </c>
      <c r="BI469" s="46">
        <v>0</v>
      </c>
      <c r="BJ469" s="46">
        <v>0</v>
      </c>
      <c r="BK469" s="46">
        <v>0</v>
      </c>
      <c r="BL469" s="46">
        <v>0</v>
      </c>
      <c r="BM469" s="46">
        <v>0</v>
      </c>
      <c r="BN469" s="46">
        <v>0</v>
      </c>
    </row>
    <row r="470" spans="1:66" x14ac:dyDescent="0.35">
      <c r="A470" t="s">
        <v>1372</v>
      </c>
      <c r="B470" s="44" t="s">
        <v>48</v>
      </c>
      <c r="C470" t="s">
        <v>1375</v>
      </c>
      <c r="D470" t="s">
        <v>655</v>
      </c>
      <c r="E470" t="s">
        <v>8077</v>
      </c>
      <c r="F470" t="s">
        <v>1346</v>
      </c>
      <c r="G470" t="s">
        <v>74</v>
      </c>
      <c r="H470">
        <v>0</v>
      </c>
      <c r="I470" s="61">
        <v>44733</v>
      </c>
      <c r="J470" s="33" t="s">
        <v>45</v>
      </c>
      <c r="K470" s="46">
        <v>1</v>
      </c>
      <c r="L470">
        <v>57.2</v>
      </c>
      <c r="M470" s="41" t="s">
        <v>48</v>
      </c>
      <c r="N470" s="46">
        <v>1</v>
      </c>
      <c r="O470" s="46">
        <v>0</v>
      </c>
      <c r="P470" s="46">
        <v>0</v>
      </c>
      <c r="Q470" s="41" t="s">
        <v>48</v>
      </c>
      <c r="R470" s="41" t="s">
        <v>48</v>
      </c>
      <c r="S470" t="s">
        <v>1373</v>
      </c>
      <c r="T470" t="s">
        <v>1374</v>
      </c>
      <c r="U470" t="s">
        <v>1373</v>
      </c>
      <c r="V470" s="47">
        <v>0</v>
      </c>
      <c r="W470" t="s">
        <v>48</v>
      </c>
      <c r="X470" t="s">
        <v>48</v>
      </c>
      <c r="Y470" t="s">
        <v>48</v>
      </c>
      <c r="Z470">
        <v>0</v>
      </c>
      <c r="AA470" t="s">
        <v>48</v>
      </c>
      <c r="AB470">
        <v>2012</v>
      </c>
      <c r="AC470" t="s">
        <v>49</v>
      </c>
      <c r="AD470" t="s">
        <v>93</v>
      </c>
      <c r="AE470" t="s">
        <v>977</v>
      </c>
      <c r="AF470" t="s">
        <v>11056</v>
      </c>
      <c r="AG470" t="s">
        <v>479</v>
      </c>
      <c r="AH470" t="s">
        <v>426</v>
      </c>
      <c r="AI470">
        <v>21312</v>
      </c>
      <c r="AJ470">
        <v>1960</v>
      </c>
      <c r="AK470" t="s">
        <v>8756</v>
      </c>
      <c r="AL470" t="s">
        <v>8757</v>
      </c>
      <c r="AM470">
        <v>-0.46400000000000002</v>
      </c>
      <c r="AN470">
        <v>-0.26400000000000001</v>
      </c>
      <c r="AO470">
        <v>-0.46400000000000002</v>
      </c>
      <c r="AP470" s="46">
        <v>0</v>
      </c>
      <c r="AQ470" s="46">
        <v>0</v>
      </c>
      <c r="AR470" s="46">
        <v>0</v>
      </c>
      <c r="AS470" s="46">
        <v>0</v>
      </c>
      <c r="AT470" s="46">
        <v>1</v>
      </c>
      <c r="AU470" s="46">
        <v>0</v>
      </c>
      <c r="AV470" s="46">
        <v>0</v>
      </c>
      <c r="AW470" s="46">
        <v>0</v>
      </c>
      <c r="AX470" s="46">
        <v>0</v>
      </c>
      <c r="AY470" s="46">
        <v>0</v>
      </c>
      <c r="AZ470" s="46">
        <v>0</v>
      </c>
      <c r="BA470" s="46">
        <v>0</v>
      </c>
      <c r="BB470" s="46">
        <v>0</v>
      </c>
      <c r="BC470" s="46">
        <v>0</v>
      </c>
      <c r="BD470" s="46">
        <v>0</v>
      </c>
      <c r="BE470" s="46">
        <v>0</v>
      </c>
      <c r="BF470" s="46">
        <v>0</v>
      </c>
      <c r="BG470" s="46" t="s">
        <v>48</v>
      </c>
      <c r="BH470" s="46">
        <v>0</v>
      </c>
      <c r="BI470" s="46">
        <v>0</v>
      </c>
      <c r="BJ470" s="46">
        <v>0</v>
      </c>
      <c r="BK470" s="46">
        <v>1</v>
      </c>
      <c r="BL470" s="46">
        <v>0</v>
      </c>
      <c r="BM470" s="46">
        <v>0</v>
      </c>
      <c r="BN470" s="46">
        <v>0</v>
      </c>
    </row>
    <row r="471" spans="1:66" x14ac:dyDescent="0.35">
      <c r="A471" t="s">
        <v>1358</v>
      </c>
      <c r="B471" s="44" t="s">
        <v>48</v>
      </c>
      <c r="C471" t="s">
        <v>1362</v>
      </c>
      <c r="D471" t="s">
        <v>1361</v>
      </c>
      <c r="E471" t="s">
        <v>1359</v>
      </c>
      <c r="F471" t="s">
        <v>1356</v>
      </c>
      <c r="G471" t="s">
        <v>74</v>
      </c>
      <c r="H471">
        <v>0</v>
      </c>
      <c r="I471" s="61" t="s">
        <v>11160</v>
      </c>
      <c r="J471" s="33" t="s">
        <v>45</v>
      </c>
      <c r="K471" s="46">
        <v>0</v>
      </c>
      <c r="L471">
        <v>40.9</v>
      </c>
      <c r="M471" t="s">
        <v>48</v>
      </c>
      <c r="N471" s="46">
        <v>1</v>
      </c>
      <c r="O471" s="46">
        <v>0</v>
      </c>
      <c r="P471" s="46">
        <v>0</v>
      </c>
      <c r="Q471" t="s">
        <v>48</v>
      </c>
      <c r="R471" t="s">
        <v>48</v>
      </c>
      <c r="S471" t="s">
        <v>11341</v>
      </c>
      <c r="T471" t="s">
        <v>48</v>
      </c>
      <c r="U471" t="s">
        <v>1360</v>
      </c>
      <c r="V471" s="47">
        <v>0</v>
      </c>
      <c r="W471" t="s">
        <v>48</v>
      </c>
      <c r="X471" t="s">
        <v>48</v>
      </c>
      <c r="Y471" t="s">
        <v>48</v>
      </c>
      <c r="Z471">
        <v>0</v>
      </c>
      <c r="AA471" t="s">
        <v>48</v>
      </c>
      <c r="AB471" t="s">
        <v>48</v>
      </c>
      <c r="AC471" t="s">
        <v>49</v>
      </c>
      <c r="AD471" t="s">
        <v>93</v>
      </c>
      <c r="AE471" t="s">
        <v>11051</v>
      </c>
      <c r="AF471" t="s">
        <v>11058</v>
      </c>
      <c r="AG471" t="s">
        <v>48</v>
      </c>
      <c r="AH471" t="s">
        <v>48</v>
      </c>
      <c r="AI471" t="s">
        <v>48</v>
      </c>
      <c r="AJ471" t="s">
        <v>48</v>
      </c>
      <c r="AK471" t="s">
        <v>48</v>
      </c>
      <c r="AL471" t="s">
        <v>48</v>
      </c>
      <c r="AM471" t="s">
        <v>48</v>
      </c>
      <c r="AN471" t="s">
        <v>48</v>
      </c>
      <c r="AO471" t="s">
        <v>48</v>
      </c>
      <c r="AP471" s="46">
        <v>0</v>
      </c>
      <c r="AQ471" s="46">
        <v>0</v>
      </c>
      <c r="AR471" s="46">
        <v>0</v>
      </c>
      <c r="AS471" s="46">
        <v>0</v>
      </c>
      <c r="AT471" s="46">
        <v>0</v>
      </c>
      <c r="AU471" s="46">
        <v>0</v>
      </c>
      <c r="AV471" s="46">
        <v>0</v>
      </c>
      <c r="AW471" s="46">
        <v>0</v>
      </c>
      <c r="AX471" s="46">
        <v>0</v>
      </c>
      <c r="AY471" s="46">
        <v>0</v>
      </c>
      <c r="AZ471" s="46">
        <v>0</v>
      </c>
      <c r="BA471" s="46">
        <v>0</v>
      </c>
      <c r="BB471" s="46">
        <v>0</v>
      </c>
      <c r="BC471" s="46">
        <v>0</v>
      </c>
      <c r="BD471" s="46">
        <v>0</v>
      </c>
      <c r="BE471" s="46">
        <v>0</v>
      </c>
      <c r="BF471" s="46">
        <v>0</v>
      </c>
      <c r="BG471" s="46" t="s">
        <v>48</v>
      </c>
      <c r="BH471" s="46">
        <v>0</v>
      </c>
      <c r="BI471" s="46">
        <v>0</v>
      </c>
      <c r="BJ471" s="46">
        <v>0</v>
      </c>
      <c r="BK471" s="46">
        <v>0</v>
      </c>
      <c r="BL471" s="46">
        <v>0</v>
      </c>
      <c r="BM471" s="46">
        <v>0</v>
      </c>
      <c r="BN471" s="46">
        <v>0</v>
      </c>
    </row>
    <row r="472" spans="1:66" x14ac:dyDescent="0.35">
      <c r="A472" t="s">
        <v>1352</v>
      </c>
      <c r="B472" t="s">
        <v>48</v>
      </c>
      <c r="C472" t="s">
        <v>1292</v>
      </c>
      <c r="D472" t="s">
        <v>341</v>
      </c>
      <c r="E472" t="s">
        <v>8285</v>
      </c>
      <c r="F472" t="s">
        <v>1356</v>
      </c>
      <c r="G472" t="s">
        <v>47</v>
      </c>
      <c r="H472">
        <v>0</v>
      </c>
      <c r="I472" s="61">
        <v>44733</v>
      </c>
      <c r="J472" s="33" t="s">
        <v>45</v>
      </c>
      <c r="K472" s="46">
        <v>1</v>
      </c>
      <c r="L472">
        <v>34.700000000000003</v>
      </c>
      <c r="M472" s="41" t="s">
        <v>48</v>
      </c>
      <c r="N472" s="46">
        <v>1</v>
      </c>
      <c r="O472" s="46">
        <v>0</v>
      </c>
      <c r="P472" s="46">
        <v>0</v>
      </c>
      <c r="Q472" s="41" t="s">
        <v>48</v>
      </c>
      <c r="R472" s="41" t="s">
        <v>48</v>
      </c>
      <c r="S472" t="s">
        <v>1353</v>
      </c>
      <c r="T472" t="s">
        <v>1354</v>
      </c>
      <c r="U472" t="s">
        <v>1353</v>
      </c>
      <c r="V472" s="47">
        <v>0</v>
      </c>
      <c r="W472" t="s">
        <v>48</v>
      </c>
      <c r="X472" t="s">
        <v>48</v>
      </c>
      <c r="Y472" t="s">
        <v>48</v>
      </c>
      <c r="Z472">
        <v>1</v>
      </c>
      <c r="AA472" t="s">
        <v>48</v>
      </c>
      <c r="AB472">
        <v>2020</v>
      </c>
      <c r="AC472" t="s">
        <v>63</v>
      </c>
      <c r="AD472" t="s">
        <v>93</v>
      </c>
      <c r="AE472" t="s">
        <v>977</v>
      </c>
      <c r="AF472" t="s">
        <v>11067</v>
      </c>
      <c r="AG472" t="s">
        <v>48</v>
      </c>
      <c r="AH472" t="s">
        <v>93</v>
      </c>
      <c r="AI472">
        <v>22129</v>
      </c>
      <c r="AJ472">
        <v>1962</v>
      </c>
      <c r="AK472" t="s">
        <v>8754</v>
      </c>
      <c r="AL472" t="s">
        <v>8755</v>
      </c>
      <c r="AM472">
        <v>0.26900000000000002</v>
      </c>
      <c r="AN472">
        <v>0.22800000000000001</v>
      </c>
      <c r="AO472">
        <v>0.26900000000000002</v>
      </c>
      <c r="AP472" s="46">
        <v>0</v>
      </c>
      <c r="AQ472" s="46">
        <v>0</v>
      </c>
      <c r="AR472" s="46">
        <v>0</v>
      </c>
      <c r="AS472" s="46">
        <v>0</v>
      </c>
      <c r="AT472" s="46">
        <v>0</v>
      </c>
      <c r="AU472" s="46">
        <v>0</v>
      </c>
      <c r="AV472" s="46">
        <v>0</v>
      </c>
      <c r="AW472" s="46">
        <v>0</v>
      </c>
      <c r="AX472" s="46">
        <v>0</v>
      </c>
      <c r="AY472" s="46">
        <v>1</v>
      </c>
      <c r="AZ472" s="46">
        <v>1</v>
      </c>
      <c r="BA472" s="46">
        <v>1</v>
      </c>
      <c r="BB472" s="46">
        <v>0</v>
      </c>
      <c r="BC472" s="46">
        <v>0</v>
      </c>
      <c r="BD472" s="46">
        <v>0</v>
      </c>
      <c r="BE472" s="46">
        <v>0</v>
      </c>
      <c r="BF472" s="46">
        <v>0</v>
      </c>
      <c r="BG472" s="46" t="s">
        <v>48</v>
      </c>
      <c r="BH472" s="46">
        <v>0</v>
      </c>
      <c r="BI472" s="46">
        <v>0</v>
      </c>
      <c r="BJ472" s="46">
        <v>0</v>
      </c>
      <c r="BK472" s="46">
        <v>0</v>
      </c>
      <c r="BL472" s="46">
        <v>0</v>
      </c>
      <c r="BM472" s="46">
        <v>1</v>
      </c>
      <c r="BN472" s="46">
        <v>0</v>
      </c>
    </row>
    <row r="473" spans="1:66" x14ac:dyDescent="0.35">
      <c r="A473" t="s">
        <v>1376</v>
      </c>
      <c r="B473" t="s">
        <v>48</v>
      </c>
      <c r="C473" t="s">
        <v>1381</v>
      </c>
      <c r="D473" t="s">
        <v>1380</v>
      </c>
      <c r="E473" t="s">
        <v>8288</v>
      </c>
      <c r="F473" t="s">
        <v>1367</v>
      </c>
      <c r="G473" t="s">
        <v>47</v>
      </c>
      <c r="H473">
        <v>0</v>
      </c>
      <c r="I473" s="61">
        <v>44733</v>
      </c>
      <c r="J473" s="33" t="s">
        <v>45</v>
      </c>
      <c r="K473" s="46">
        <v>1</v>
      </c>
      <c r="L473">
        <v>48.2</v>
      </c>
      <c r="M473" s="41" t="s">
        <v>48</v>
      </c>
      <c r="N473" s="46">
        <v>1</v>
      </c>
      <c r="O473" s="46">
        <v>0</v>
      </c>
      <c r="P473" s="46">
        <v>0</v>
      </c>
      <c r="Q473" s="41" t="s">
        <v>48</v>
      </c>
      <c r="R473" s="41" t="s">
        <v>48</v>
      </c>
      <c r="S473" t="s">
        <v>1378</v>
      </c>
      <c r="T473" t="s">
        <v>1379</v>
      </c>
      <c r="U473" t="s">
        <v>1378</v>
      </c>
      <c r="V473" s="47">
        <v>0</v>
      </c>
      <c r="W473" t="s">
        <v>48</v>
      </c>
      <c r="X473" t="s">
        <v>48</v>
      </c>
      <c r="Y473" t="s">
        <v>48</v>
      </c>
      <c r="Z473">
        <v>0</v>
      </c>
      <c r="AA473" t="s">
        <v>48</v>
      </c>
      <c r="AB473">
        <v>1992</v>
      </c>
      <c r="AC473" t="s">
        <v>49</v>
      </c>
      <c r="AD473" t="s">
        <v>93</v>
      </c>
      <c r="AE473" t="s">
        <v>4532</v>
      </c>
      <c r="AF473" t="s">
        <v>48</v>
      </c>
      <c r="AG473" t="s">
        <v>119</v>
      </c>
      <c r="AH473" t="s">
        <v>93</v>
      </c>
      <c r="AI473">
        <v>29323</v>
      </c>
      <c r="AJ473">
        <v>1953</v>
      </c>
      <c r="AK473" t="s">
        <v>8758</v>
      </c>
      <c r="AL473" t="s">
        <v>8759</v>
      </c>
      <c r="AM473">
        <v>0.34899999999999998</v>
      </c>
      <c r="AN473">
        <v>0.22900000000000001</v>
      </c>
      <c r="AO473">
        <v>0.34899999999999998</v>
      </c>
      <c r="AP473" s="46">
        <v>0</v>
      </c>
      <c r="AQ473" s="46">
        <v>0</v>
      </c>
      <c r="AR473" s="46">
        <v>0</v>
      </c>
      <c r="AS473" s="46">
        <v>0</v>
      </c>
      <c r="AT473" s="46">
        <v>0</v>
      </c>
      <c r="AU473" s="46">
        <v>0</v>
      </c>
      <c r="AV473" s="46">
        <v>0</v>
      </c>
      <c r="AW473" s="46">
        <v>0</v>
      </c>
      <c r="AX473" s="46">
        <v>0</v>
      </c>
      <c r="AY473" s="46">
        <v>0</v>
      </c>
      <c r="AZ473" s="46">
        <v>1</v>
      </c>
      <c r="BA473" s="46">
        <v>0</v>
      </c>
      <c r="BB473" s="46">
        <v>0</v>
      </c>
      <c r="BC473" s="46">
        <v>0</v>
      </c>
      <c r="BD473" s="46">
        <v>0</v>
      </c>
      <c r="BE473" s="46">
        <v>0</v>
      </c>
      <c r="BF473" s="46">
        <v>0</v>
      </c>
      <c r="BG473" s="46">
        <v>1</v>
      </c>
      <c r="BH473" s="46">
        <v>0</v>
      </c>
      <c r="BI473" s="46">
        <v>0</v>
      </c>
      <c r="BJ473" s="46">
        <v>0</v>
      </c>
      <c r="BK473" s="46">
        <v>0</v>
      </c>
      <c r="BL473" s="46">
        <v>0</v>
      </c>
      <c r="BM473" s="46">
        <v>1</v>
      </c>
      <c r="BN473" s="46">
        <v>0</v>
      </c>
    </row>
    <row r="474" spans="1:66" x14ac:dyDescent="0.35">
      <c r="A474" t="s">
        <v>1392</v>
      </c>
      <c r="B474" s="44" t="s">
        <v>48</v>
      </c>
      <c r="C474" t="s">
        <v>1394</v>
      </c>
      <c r="D474" t="s">
        <v>496</v>
      </c>
      <c r="E474" t="s">
        <v>8078</v>
      </c>
      <c r="F474" t="s">
        <v>1367</v>
      </c>
      <c r="G474" t="s">
        <v>74</v>
      </c>
      <c r="H474">
        <v>0</v>
      </c>
      <c r="I474" s="61">
        <v>44733</v>
      </c>
      <c r="J474" s="33" t="s">
        <v>45</v>
      </c>
      <c r="K474" s="46">
        <v>0</v>
      </c>
      <c r="L474">
        <v>30.5</v>
      </c>
      <c r="M474" s="41" t="s">
        <v>48</v>
      </c>
      <c r="N474" s="46">
        <v>1</v>
      </c>
      <c r="O474" s="46">
        <v>0</v>
      </c>
      <c r="P474" s="46">
        <v>0</v>
      </c>
      <c r="Q474" s="41" t="s">
        <v>48</v>
      </c>
      <c r="R474" s="41" t="s">
        <v>48</v>
      </c>
      <c r="S474" t="s">
        <v>1393</v>
      </c>
      <c r="T474" t="s">
        <v>48</v>
      </c>
      <c r="U474" t="s">
        <v>1393</v>
      </c>
      <c r="V474" s="47">
        <v>0</v>
      </c>
      <c r="W474" t="s">
        <v>48</v>
      </c>
      <c r="X474" t="s">
        <v>48</v>
      </c>
      <c r="Y474" t="s">
        <v>48</v>
      </c>
      <c r="Z474">
        <v>0</v>
      </c>
      <c r="AA474" t="s">
        <v>48</v>
      </c>
      <c r="AB474" t="s">
        <v>48</v>
      </c>
      <c r="AC474" t="s">
        <v>49</v>
      </c>
      <c r="AD474" t="s">
        <v>93</v>
      </c>
      <c r="AE474" t="s">
        <v>4532</v>
      </c>
      <c r="AF474" t="s">
        <v>48</v>
      </c>
      <c r="AG474" t="s">
        <v>48</v>
      </c>
      <c r="AH474" t="s">
        <v>426</v>
      </c>
      <c r="AI474" t="s">
        <v>48</v>
      </c>
      <c r="AJ474" t="s">
        <v>48</v>
      </c>
      <c r="AK474" t="s">
        <v>48</v>
      </c>
      <c r="AL474" t="s">
        <v>48</v>
      </c>
      <c r="AM474" t="s">
        <v>48</v>
      </c>
      <c r="AN474" t="s">
        <v>48</v>
      </c>
      <c r="AO474" t="s">
        <v>48</v>
      </c>
      <c r="AP474" s="46">
        <v>0</v>
      </c>
      <c r="AQ474" s="46">
        <v>0</v>
      </c>
      <c r="AR474" s="46">
        <v>0</v>
      </c>
      <c r="AS474" s="46">
        <v>0</v>
      </c>
      <c r="AT474" s="46">
        <v>0</v>
      </c>
      <c r="AU474" s="46">
        <v>0</v>
      </c>
      <c r="AV474" s="46">
        <v>0</v>
      </c>
      <c r="AW474" s="46">
        <v>0</v>
      </c>
      <c r="AX474" s="46">
        <v>0</v>
      </c>
      <c r="AY474" s="46">
        <v>0</v>
      </c>
      <c r="AZ474" s="46">
        <v>0</v>
      </c>
      <c r="BA474" s="46">
        <v>0</v>
      </c>
      <c r="BB474" s="46">
        <v>0</v>
      </c>
      <c r="BC474" s="46">
        <v>0</v>
      </c>
      <c r="BD474" s="46">
        <v>0</v>
      </c>
      <c r="BE474" s="46">
        <v>0</v>
      </c>
      <c r="BF474" s="46">
        <v>0</v>
      </c>
      <c r="BG474" s="46" t="s">
        <v>48</v>
      </c>
      <c r="BH474" s="46">
        <v>0</v>
      </c>
      <c r="BI474" s="46">
        <v>0</v>
      </c>
      <c r="BJ474" s="46">
        <v>0</v>
      </c>
      <c r="BK474" s="46">
        <v>0</v>
      </c>
      <c r="BL474" s="46">
        <v>0</v>
      </c>
      <c r="BM474" s="46">
        <v>0</v>
      </c>
      <c r="BN474" s="46">
        <v>0</v>
      </c>
    </row>
    <row r="475" spans="1:66" x14ac:dyDescent="0.35">
      <c r="A475" t="s">
        <v>8291</v>
      </c>
      <c r="B475" s="44" t="s">
        <v>48</v>
      </c>
      <c r="C475" t="s">
        <v>11716</v>
      </c>
      <c r="D475" t="s">
        <v>221</v>
      </c>
      <c r="E475" t="s">
        <v>8292</v>
      </c>
      <c r="F475" t="s">
        <v>1377</v>
      </c>
      <c r="G475" t="s">
        <v>47</v>
      </c>
      <c r="H475">
        <v>0</v>
      </c>
      <c r="I475" s="61">
        <v>44733</v>
      </c>
      <c r="J475" s="33" t="s">
        <v>45</v>
      </c>
      <c r="K475" s="46">
        <v>0</v>
      </c>
      <c r="L475">
        <v>26.4</v>
      </c>
      <c r="M475" t="s">
        <v>48</v>
      </c>
      <c r="N475" s="46">
        <v>1</v>
      </c>
      <c r="O475" s="46">
        <v>0</v>
      </c>
      <c r="P475" s="46">
        <v>0</v>
      </c>
      <c r="Q475" t="s">
        <v>48</v>
      </c>
      <c r="R475" t="s">
        <v>48</v>
      </c>
      <c r="S475" t="s">
        <v>10064</v>
      </c>
      <c r="T475" t="s">
        <v>48</v>
      </c>
      <c r="U475" t="s">
        <v>10064</v>
      </c>
      <c r="V475" s="47">
        <v>1</v>
      </c>
      <c r="W475" t="s">
        <v>48</v>
      </c>
      <c r="X475" t="s">
        <v>48</v>
      </c>
      <c r="Y475" t="s">
        <v>48</v>
      </c>
      <c r="Z475" t="s">
        <v>48</v>
      </c>
      <c r="AA475" t="s">
        <v>48</v>
      </c>
      <c r="AB475" t="s">
        <v>48</v>
      </c>
      <c r="AC475" t="s">
        <v>49</v>
      </c>
      <c r="AD475" t="s">
        <v>93</v>
      </c>
      <c r="AE475" t="s">
        <v>4532</v>
      </c>
      <c r="AF475" t="s">
        <v>48</v>
      </c>
      <c r="AG475" t="s">
        <v>48</v>
      </c>
      <c r="AH475" t="s">
        <v>48</v>
      </c>
      <c r="AI475" t="s">
        <v>48</v>
      </c>
      <c r="AJ475" t="s">
        <v>48</v>
      </c>
      <c r="AK475" t="s">
        <v>48</v>
      </c>
      <c r="AL475" t="s">
        <v>48</v>
      </c>
      <c r="AM475" t="s">
        <v>48</v>
      </c>
      <c r="AN475" t="s">
        <v>48</v>
      </c>
      <c r="AO475" t="s">
        <v>48</v>
      </c>
      <c r="AP475" s="46">
        <v>0</v>
      </c>
      <c r="AQ475" s="46">
        <v>0</v>
      </c>
      <c r="AR475" s="46">
        <v>0</v>
      </c>
      <c r="AS475" s="46">
        <v>0</v>
      </c>
      <c r="AT475" s="46">
        <v>0</v>
      </c>
      <c r="AU475" s="46">
        <v>0</v>
      </c>
      <c r="AV475" s="46">
        <v>0</v>
      </c>
      <c r="AW475" s="46">
        <v>0</v>
      </c>
      <c r="AX475" s="46">
        <v>0</v>
      </c>
      <c r="AY475" s="46">
        <v>0</v>
      </c>
      <c r="AZ475" s="46">
        <v>0</v>
      </c>
      <c r="BA475" s="46">
        <v>0</v>
      </c>
      <c r="BB475" s="46">
        <v>0</v>
      </c>
      <c r="BC475" s="46">
        <v>0</v>
      </c>
      <c r="BD475" s="46">
        <v>0</v>
      </c>
      <c r="BE475" s="46">
        <v>0</v>
      </c>
      <c r="BF475" s="46">
        <v>0</v>
      </c>
      <c r="BG475" s="46">
        <v>1</v>
      </c>
      <c r="BH475" s="46">
        <v>0</v>
      </c>
      <c r="BI475" s="46">
        <v>0</v>
      </c>
      <c r="BJ475" s="46">
        <v>0</v>
      </c>
      <c r="BK475" s="46">
        <v>0</v>
      </c>
      <c r="BL475" s="46">
        <v>0</v>
      </c>
      <c r="BM475" s="46">
        <v>0</v>
      </c>
      <c r="BN475" s="46">
        <v>0</v>
      </c>
    </row>
    <row r="476" spans="1:66" x14ac:dyDescent="0.35">
      <c r="A476" t="s">
        <v>1465</v>
      </c>
      <c r="B476" s="44" t="s">
        <v>48</v>
      </c>
      <c r="C476" t="s">
        <v>1140</v>
      </c>
      <c r="D476" t="s">
        <v>210</v>
      </c>
      <c r="E476" t="s">
        <v>8081</v>
      </c>
      <c r="F476" t="s">
        <v>1377</v>
      </c>
      <c r="G476" t="s">
        <v>74</v>
      </c>
      <c r="H476">
        <v>0</v>
      </c>
      <c r="I476" s="61">
        <v>44733</v>
      </c>
      <c r="J476" s="33" t="s">
        <v>45</v>
      </c>
      <c r="K476" s="46">
        <v>0</v>
      </c>
      <c r="L476">
        <v>46.6</v>
      </c>
      <c r="M476" s="41" t="s">
        <v>48</v>
      </c>
      <c r="N476" s="46">
        <v>1</v>
      </c>
      <c r="O476" s="46">
        <v>0</v>
      </c>
      <c r="P476" s="46">
        <v>0</v>
      </c>
      <c r="Q476" s="41" t="s">
        <v>48</v>
      </c>
      <c r="R476" s="41" t="s">
        <v>48</v>
      </c>
      <c r="S476" t="s">
        <v>1466</v>
      </c>
      <c r="T476" t="s">
        <v>48</v>
      </c>
      <c r="U476" t="s">
        <v>1466</v>
      </c>
      <c r="V476" s="47">
        <v>0</v>
      </c>
      <c r="W476" t="s">
        <v>48</v>
      </c>
      <c r="X476" t="s">
        <v>48</v>
      </c>
      <c r="Y476" t="s">
        <v>48</v>
      </c>
      <c r="Z476">
        <v>0</v>
      </c>
      <c r="AA476" t="s">
        <v>48</v>
      </c>
      <c r="AB476" t="s">
        <v>48</v>
      </c>
      <c r="AC476" t="s">
        <v>49</v>
      </c>
      <c r="AD476" t="s">
        <v>951</v>
      </c>
      <c r="AE476" s="40" t="s">
        <v>11051</v>
      </c>
      <c r="AF476" t="s">
        <v>11071</v>
      </c>
      <c r="AG476" t="s">
        <v>48</v>
      </c>
      <c r="AH476" t="s">
        <v>48</v>
      </c>
      <c r="AI476" t="s">
        <v>48</v>
      </c>
      <c r="AJ476" t="s">
        <v>48</v>
      </c>
      <c r="AK476" t="s">
        <v>48</v>
      </c>
      <c r="AL476" t="s">
        <v>48</v>
      </c>
      <c r="AM476" t="s">
        <v>48</v>
      </c>
      <c r="AN476" t="s">
        <v>48</v>
      </c>
      <c r="AO476" t="s">
        <v>48</v>
      </c>
      <c r="AP476" s="46">
        <v>0</v>
      </c>
      <c r="AQ476" s="46">
        <v>0</v>
      </c>
      <c r="AR476" s="46">
        <v>0</v>
      </c>
      <c r="AS476" s="46">
        <v>0</v>
      </c>
      <c r="AT476" s="46">
        <v>0</v>
      </c>
      <c r="AU476" s="46">
        <v>0</v>
      </c>
      <c r="AV476" s="46">
        <v>0</v>
      </c>
      <c r="AW476" s="46">
        <v>0</v>
      </c>
      <c r="AX476" s="46">
        <v>0</v>
      </c>
      <c r="AY476" s="46">
        <v>0</v>
      </c>
      <c r="AZ476" s="46">
        <v>0</v>
      </c>
      <c r="BA476" s="46">
        <v>0</v>
      </c>
      <c r="BB476" s="46">
        <v>0</v>
      </c>
      <c r="BC476" s="46">
        <v>0</v>
      </c>
      <c r="BD476" s="46">
        <v>0</v>
      </c>
      <c r="BE476" s="46">
        <v>0</v>
      </c>
      <c r="BF476" s="46">
        <v>0</v>
      </c>
      <c r="BG476" s="46" t="s">
        <v>48</v>
      </c>
      <c r="BH476" s="46">
        <v>0</v>
      </c>
      <c r="BI476" s="46">
        <v>0</v>
      </c>
      <c r="BJ476" s="46">
        <v>0</v>
      </c>
      <c r="BK476" s="46">
        <v>0</v>
      </c>
      <c r="BL476" s="46">
        <v>0</v>
      </c>
      <c r="BM476" s="46">
        <v>0</v>
      </c>
      <c r="BN476" s="46">
        <v>0</v>
      </c>
    </row>
    <row r="477" spans="1:66" x14ac:dyDescent="0.35">
      <c r="A477" t="s">
        <v>1413</v>
      </c>
      <c r="B477" s="44" t="s">
        <v>48</v>
      </c>
      <c r="C477" t="s">
        <v>1417</v>
      </c>
      <c r="D477" t="s">
        <v>1416</v>
      </c>
      <c r="E477" t="s">
        <v>1414</v>
      </c>
      <c r="F477" t="s">
        <v>1400</v>
      </c>
      <c r="G477" t="s">
        <v>74</v>
      </c>
      <c r="H477">
        <v>0</v>
      </c>
      <c r="I477" s="60" t="s">
        <v>51</v>
      </c>
      <c r="J477" s="33" t="s">
        <v>45</v>
      </c>
      <c r="K477" s="46">
        <v>1</v>
      </c>
      <c r="L477">
        <v>74.099999999999994</v>
      </c>
      <c r="M477" t="s">
        <v>48</v>
      </c>
      <c r="N477" s="46">
        <v>1</v>
      </c>
      <c r="O477" s="46">
        <v>0</v>
      </c>
      <c r="P477" s="46">
        <v>0</v>
      </c>
      <c r="Q477" t="s">
        <v>48</v>
      </c>
      <c r="R477" t="s">
        <v>48</v>
      </c>
      <c r="S477" t="s">
        <v>48</v>
      </c>
      <c r="T477" t="s">
        <v>1415</v>
      </c>
      <c r="U477" t="s">
        <v>48</v>
      </c>
      <c r="V477" s="47">
        <v>0</v>
      </c>
      <c r="W477" t="s">
        <v>48</v>
      </c>
      <c r="X477" t="s">
        <v>48</v>
      </c>
      <c r="Y477" t="s">
        <v>48</v>
      </c>
      <c r="Z477">
        <v>0</v>
      </c>
      <c r="AA477" t="s">
        <v>48</v>
      </c>
      <c r="AB477">
        <v>1990</v>
      </c>
      <c r="AC477" t="s">
        <v>63</v>
      </c>
      <c r="AD477" t="s">
        <v>93</v>
      </c>
      <c r="AE477" s="40" t="s">
        <v>2471</v>
      </c>
      <c r="AF477" t="s">
        <v>11061</v>
      </c>
      <c r="AG477" t="s">
        <v>112</v>
      </c>
      <c r="AH477" t="s">
        <v>93</v>
      </c>
      <c r="AI477">
        <v>29106</v>
      </c>
      <c r="AJ477">
        <v>1938</v>
      </c>
      <c r="AK477" t="s">
        <v>8760</v>
      </c>
      <c r="AL477" t="s">
        <v>8761</v>
      </c>
      <c r="AM477">
        <v>-0.65600000000000003</v>
      </c>
      <c r="AN477">
        <v>-7.8E-2</v>
      </c>
      <c r="AO477">
        <v>-0.65600000000000003</v>
      </c>
      <c r="AP477" s="46">
        <v>0</v>
      </c>
      <c r="AQ477" s="46">
        <v>0</v>
      </c>
      <c r="AR477" s="46">
        <v>0</v>
      </c>
      <c r="AS477" s="46">
        <v>0</v>
      </c>
      <c r="AT477" s="46">
        <v>1</v>
      </c>
      <c r="AU477" s="46">
        <v>0</v>
      </c>
      <c r="AV477" s="46">
        <v>0</v>
      </c>
      <c r="AW477" s="46">
        <v>0</v>
      </c>
      <c r="AX477" s="46">
        <v>0</v>
      </c>
      <c r="AY477" s="46">
        <v>0</v>
      </c>
      <c r="AZ477" s="46">
        <v>0</v>
      </c>
      <c r="BA477" s="46">
        <v>0</v>
      </c>
      <c r="BB477" s="46">
        <v>0</v>
      </c>
      <c r="BC477" s="46">
        <v>0</v>
      </c>
      <c r="BD477" s="46">
        <v>0</v>
      </c>
      <c r="BE477" s="46">
        <v>0</v>
      </c>
      <c r="BF477" s="46">
        <v>0</v>
      </c>
      <c r="BG477" s="46" t="s">
        <v>48</v>
      </c>
      <c r="BH477" s="46">
        <v>0</v>
      </c>
      <c r="BI477" s="46">
        <v>0</v>
      </c>
      <c r="BJ477" s="46">
        <v>0</v>
      </c>
      <c r="BK477" s="46">
        <v>1</v>
      </c>
      <c r="BL477" s="46">
        <v>0</v>
      </c>
      <c r="BM477" s="46">
        <v>0</v>
      </c>
      <c r="BN477" s="46">
        <v>0</v>
      </c>
    </row>
    <row r="478" spans="1:66" x14ac:dyDescent="0.35">
      <c r="A478" t="s">
        <v>1404</v>
      </c>
      <c r="B478" s="44" t="s">
        <v>48</v>
      </c>
      <c r="C478" t="s">
        <v>1408</v>
      </c>
      <c r="D478" t="s">
        <v>1407</v>
      </c>
      <c r="E478" t="s">
        <v>1405</v>
      </c>
      <c r="F478" t="s">
        <v>1400</v>
      </c>
      <c r="G478" t="s">
        <v>47</v>
      </c>
      <c r="H478">
        <v>0</v>
      </c>
      <c r="I478" s="60" t="s">
        <v>51</v>
      </c>
      <c r="J478" s="33" t="s">
        <v>45</v>
      </c>
      <c r="K478" s="46">
        <v>0</v>
      </c>
      <c r="L478">
        <v>11.9</v>
      </c>
      <c r="M478" t="s">
        <v>48</v>
      </c>
      <c r="N478" s="46">
        <v>1</v>
      </c>
      <c r="O478" s="46">
        <v>0</v>
      </c>
      <c r="P478" s="46">
        <v>0</v>
      </c>
      <c r="Q478" t="s">
        <v>48</v>
      </c>
      <c r="R478" t="s">
        <v>48</v>
      </c>
      <c r="S478" t="s">
        <v>1406</v>
      </c>
      <c r="T478" t="s">
        <v>48</v>
      </c>
      <c r="U478" t="s">
        <v>1406</v>
      </c>
      <c r="V478" s="47">
        <v>0</v>
      </c>
      <c r="W478" t="s">
        <v>48</v>
      </c>
      <c r="X478" t="s">
        <v>48</v>
      </c>
      <c r="Y478" t="s">
        <v>48</v>
      </c>
      <c r="Z478">
        <v>0</v>
      </c>
      <c r="AA478" t="s">
        <v>48</v>
      </c>
      <c r="AB478" t="s">
        <v>48</v>
      </c>
      <c r="AC478" t="s">
        <v>49</v>
      </c>
      <c r="AD478" t="s">
        <v>951</v>
      </c>
      <c r="AE478" t="s">
        <v>11051</v>
      </c>
      <c r="AF478" t="s">
        <v>48</v>
      </c>
      <c r="AG478" t="s">
        <v>48</v>
      </c>
      <c r="AH478" t="s">
        <v>48</v>
      </c>
      <c r="AI478" t="s">
        <v>48</v>
      </c>
      <c r="AJ478">
        <v>1989</v>
      </c>
      <c r="AK478" t="s">
        <v>48</v>
      </c>
      <c r="AL478" t="s">
        <v>48</v>
      </c>
      <c r="AM478" t="s">
        <v>48</v>
      </c>
      <c r="AN478" t="s">
        <v>48</v>
      </c>
      <c r="AO478" t="s">
        <v>48</v>
      </c>
      <c r="AP478" s="46">
        <v>0</v>
      </c>
      <c r="AQ478" s="46">
        <v>0</v>
      </c>
      <c r="AR478" s="46">
        <v>0</v>
      </c>
      <c r="AS478" s="46">
        <v>0</v>
      </c>
      <c r="AT478" s="46">
        <v>0</v>
      </c>
      <c r="AU478" s="46">
        <v>0</v>
      </c>
      <c r="AV478" s="46">
        <v>0</v>
      </c>
      <c r="AW478" s="46">
        <v>0</v>
      </c>
      <c r="AX478" s="46">
        <v>0</v>
      </c>
      <c r="AY478" s="46">
        <v>0</v>
      </c>
      <c r="AZ478" s="46">
        <v>0</v>
      </c>
      <c r="BA478" s="46">
        <v>0</v>
      </c>
      <c r="BB478" s="46">
        <v>0</v>
      </c>
      <c r="BC478" s="46">
        <v>0</v>
      </c>
      <c r="BD478" s="46">
        <v>0</v>
      </c>
      <c r="BE478" s="46">
        <v>0</v>
      </c>
      <c r="BF478" s="46">
        <v>0</v>
      </c>
      <c r="BG478" s="46">
        <v>1</v>
      </c>
      <c r="BH478" s="46">
        <v>0</v>
      </c>
      <c r="BI478" s="46">
        <v>0</v>
      </c>
      <c r="BJ478" s="46">
        <v>0</v>
      </c>
      <c r="BK478" s="46">
        <v>0</v>
      </c>
      <c r="BL478" s="46">
        <v>0</v>
      </c>
      <c r="BM478" s="46">
        <v>0</v>
      </c>
      <c r="BN478" s="46">
        <v>0</v>
      </c>
    </row>
    <row r="479" spans="1:66" x14ac:dyDescent="0.35">
      <c r="A479" t="s">
        <v>1418</v>
      </c>
      <c r="B479" s="44" t="s">
        <v>48</v>
      </c>
      <c r="C479" t="s">
        <v>1424</v>
      </c>
      <c r="D479" t="s">
        <v>1423</v>
      </c>
      <c r="E479" t="s">
        <v>1420</v>
      </c>
      <c r="F479" t="s">
        <v>1419</v>
      </c>
      <c r="G479" t="s">
        <v>74</v>
      </c>
      <c r="H479">
        <v>0</v>
      </c>
      <c r="I479" s="60" t="s">
        <v>51</v>
      </c>
      <c r="J479" s="33" t="s">
        <v>45</v>
      </c>
      <c r="K479" s="46">
        <v>1</v>
      </c>
      <c r="L479">
        <v>68.5</v>
      </c>
      <c r="M479" t="s">
        <v>48</v>
      </c>
      <c r="N479" s="46">
        <v>1</v>
      </c>
      <c r="O479" s="46">
        <v>0</v>
      </c>
      <c r="P479" s="46">
        <v>0</v>
      </c>
      <c r="Q479" t="s">
        <v>48</v>
      </c>
      <c r="R479" t="s">
        <v>48</v>
      </c>
      <c r="S479" t="s">
        <v>1421</v>
      </c>
      <c r="T479" t="s">
        <v>1422</v>
      </c>
      <c r="U479" t="s">
        <v>1421</v>
      </c>
      <c r="V479" s="47">
        <v>0</v>
      </c>
      <c r="W479" t="s">
        <v>48</v>
      </c>
      <c r="X479" t="s">
        <v>48</v>
      </c>
      <c r="Y479" t="s">
        <v>48</v>
      </c>
      <c r="Z479">
        <v>0</v>
      </c>
      <c r="AA479" t="s">
        <v>48</v>
      </c>
      <c r="AB479">
        <v>2020</v>
      </c>
      <c r="AC479" t="s">
        <v>63</v>
      </c>
      <c r="AD479" t="s">
        <v>951</v>
      </c>
      <c r="AE479" t="s">
        <v>11051</v>
      </c>
      <c r="AF479" t="s">
        <v>48</v>
      </c>
      <c r="AG479" t="s">
        <v>48</v>
      </c>
      <c r="AH479" t="s">
        <v>48</v>
      </c>
      <c r="AI479">
        <v>21703</v>
      </c>
      <c r="AJ479">
        <v>1976</v>
      </c>
      <c r="AK479" t="s">
        <v>8762</v>
      </c>
      <c r="AL479" t="s">
        <v>8763</v>
      </c>
      <c r="AM479">
        <v>-0.51700000000000002</v>
      </c>
      <c r="AN479">
        <v>1.9E-2</v>
      </c>
      <c r="AO479">
        <v>-0.51700000000000002</v>
      </c>
      <c r="AP479" s="46">
        <v>0</v>
      </c>
      <c r="AQ479" s="46">
        <v>0</v>
      </c>
      <c r="AR479" s="46">
        <v>0</v>
      </c>
      <c r="AS479" s="46">
        <v>0</v>
      </c>
      <c r="AT479" s="46">
        <v>1</v>
      </c>
      <c r="AU479" s="46">
        <v>0</v>
      </c>
      <c r="AV479" s="46">
        <v>0</v>
      </c>
      <c r="AW479" s="46">
        <v>0</v>
      </c>
      <c r="AX479" s="46">
        <v>0</v>
      </c>
      <c r="AY479" s="46">
        <v>0</v>
      </c>
      <c r="AZ479" s="46">
        <v>0</v>
      </c>
      <c r="BA479" s="46">
        <v>0</v>
      </c>
      <c r="BB479" s="46">
        <v>0</v>
      </c>
      <c r="BC479" s="46">
        <v>0</v>
      </c>
      <c r="BD479" s="46">
        <v>0</v>
      </c>
      <c r="BE479" s="46">
        <v>0</v>
      </c>
      <c r="BF479" s="46">
        <v>0</v>
      </c>
      <c r="BG479" s="46" t="s">
        <v>48</v>
      </c>
      <c r="BH479" s="46">
        <v>0</v>
      </c>
      <c r="BI479" s="46">
        <v>0</v>
      </c>
      <c r="BJ479" s="46">
        <v>0</v>
      </c>
      <c r="BK479" s="46">
        <v>1</v>
      </c>
      <c r="BL479" s="46">
        <v>0</v>
      </c>
      <c r="BM479" s="46">
        <v>0</v>
      </c>
      <c r="BN479" s="46">
        <v>0</v>
      </c>
    </row>
    <row r="480" spans="1:66" ht="15" x14ac:dyDescent="0.4">
      <c r="A480" t="s">
        <v>8293</v>
      </c>
      <c r="B480" s="44" t="s">
        <v>48</v>
      </c>
      <c r="C480" t="s">
        <v>886</v>
      </c>
      <c r="D480" t="s">
        <v>437</v>
      </c>
      <c r="E480" t="s">
        <v>8294</v>
      </c>
      <c r="F480" t="s">
        <v>1419</v>
      </c>
      <c r="G480" t="s">
        <v>47</v>
      </c>
      <c r="H480">
        <v>0</v>
      </c>
      <c r="I480" s="61" t="s">
        <v>11160</v>
      </c>
      <c r="J480" s="33" t="s">
        <v>45</v>
      </c>
      <c r="K480" s="46">
        <v>0</v>
      </c>
      <c r="L480">
        <v>24.3</v>
      </c>
      <c r="M480" t="s">
        <v>48</v>
      </c>
      <c r="N480" s="46">
        <v>1</v>
      </c>
      <c r="O480" s="46">
        <v>0</v>
      </c>
      <c r="P480" s="46">
        <v>0</v>
      </c>
      <c r="Q480" t="s">
        <v>48</v>
      </c>
      <c r="R480" t="s">
        <v>48</v>
      </c>
      <c r="S480" s="55" t="s">
        <v>11291</v>
      </c>
      <c r="T480" t="s">
        <v>48</v>
      </c>
      <c r="U480" s="55" t="s">
        <v>11291</v>
      </c>
      <c r="V480" s="47">
        <v>1</v>
      </c>
      <c r="W480" t="s">
        <v>48</v>
      </c>
      <c r="X480" t="s">
        <v>48</v>
      </c>
      <c r="Y480" t="s">
        <v>48</v>
      </c>
      <c r="Z480" t="s">
        <v>48</v>
      </c>
      <c r="AA480" t="s">
        <v>48</v>
      </c>
      <c r="AB480" t="s">
        <v>48</v>
      </c>
      <c r="AC480" t="s">
        <v>49</v>
      </c>
      <c r="AD480" t="s">
        <v>48</v>
      </c>
      <c r="AE480" t="s">
        <v>48</v>
      </c>
      <c r="AF480" t="s">
        <v>48</v>
      </c>
      <c r="AG480" t="s">
        <v>48</v>
      </c>
      <c r="AH480" t="s">
        <v>48</v>
      </c>
      <c r="AI480" t="s">
        <v>48</v>
      </c>
      <c r="AJ480" t="s">
        <v>48</v>
      </c>
      <c r="AK480" t="s">
        <v>48</v>
      </c>
      <c r="AL480" t="s">
        <v>48</v>
      </c>
      <c r="AM480" t="s">
        <v>48</v>
      </c>
      <c r="AN480" t="s">
        <v>48</v>
      </c>
      <c r="AO480" t="s">
        <v>48</v>
      </c>
      <c r="AP480" s="46">
        <v>0</v>
      </c>
      <c r="AQ480" s="46">
        <v>0</v>
      </c>
      <c r="AR480" s="46">
        <v>0</v>
      </c>
      <c r="AS480" s="46">
        <v>0</v>
      </c>
      <c r="AT480" s="46">
        <v>0</v>
      </c>
      <c r="AU480" s="46">
        <v>0</v>
      </c>
      <c r="AV480" s="46">
        <v>0</v>
      </c>
      <c r="AW480" s="46">
        <v>0</v>
      </c>
      <c r="AX480" s="46">
        <v>0</v>
      </c>
      <c r="AY480" s="46">
        <v>0</v>
      </c>
      <c r="AZ480" s="46">
        <v>0</v>
      </c>
      <c r="BA480" s="46">
        <v>0</v>
      </c>
      <c r="BB480" s="46">
        <v>0</v>
      </c>
      <c r="BC480" s="46">
        <v>0</v>
      </c>
      <c r="BD480" s="46">
        <v>0</v>
      </c>
      <c r="BE480" s="46">
        <v>0</v>
      </c>
      <c r="BF480" s="46">
        <v>0</v>
      </c>
      <c r="BG480" s="46" t="s">
        <v>48</v>
      </c>
      <c r="BH480" s="46">
        <v>0</v>
      </c>
      <c r="BI480" s="46">
        <v>0</v>
      </c>
      <c r="BJ480" s="46">
        <v>0</v>
      </c>
      <c r="BK480" s="46">
        <v>0</v>
      </c>
      <c r="BL480" s="46">
        <v>0</v>
      </c>
      <c r="BM480" s="46">
        <v>0</v>
      </c>
      <c r="BN480" s="46">
        <v>0</v>
      </c>
    </row>
    <row r="481" spans="1:66" x14ac:dyDescent="0.35">
      <c r="A481" t="s">
        <v>1345</v>
      </c>
      <c r="B481" s="44" t="s">
        <v>48</v>
      </c>
      <c r="C481" t="s">
        <v>1348</v>
      </c>
      <c r="D481" t="s">
        <v>193</v>
      </c>
      <c r="E481" t="s">
        <v>8087</v>
      </c>
      <c r="F481" t="s">
        <v>1426</v>
      </c>
      <c r="G481" t="s">
        <v>74</v>
      </c>
      <c r="H481">
        <v>0</v>
      </c>
      <c r="I481" s="61">
        <v>44733</v>
      </c>
      <c r="J481" s="33" t="s">
        <v>45</v>
      </c>
      <c r="K481" s="46">
        <v>0</v>
      </c>
      <c r="L481">
        <v>43.1</v>
      </c>
      <c r="M481" s="41" t="s">
        <v>48</v>
      </c>
      <c r="N481" s="46">
        <v>1</v>
      </c>
      <c r="O481" s="46">
        <v>0</v>
      </c>
      <c r="P481" s="46">
        <v>0</v>
      </c>
      <c r="Q481" s="41" t="s">
        <v>48</v>
      </c>
      <c r="R481" s="41" t="s">
        <v>48</v>
      </c>
      <c r="S481" t="s">
        <v>1347</v>
      </c>
      <c r="T481" t="s">
        <v>48</v>
      </c>
      <c r="U481" t="s">
        <v>1347</v>
      </c>
      <c r="V481" s="47">
        <v>0</v>
      </c>
      <c r="W481" t="s">
        <v>48</v>
      </c>
      <c r="X481" t="s">
        <v>48</v>
      </c>
      <c r="Y481" t="s">
        <v>48</v>
      </c>
      <c r="Z481">
        <v>0</v>
      </c>
      <c r="AA481" t="s">
        <v>48</v>
      </c>
      <c r="AB481" t="s">
        <v>48</v>
      </c>
      <c r="AC481" t="s">
        <v>49</v>
      </c>
      <c r="AD481" t="s">
        <v>93</v>
      </c>
      <c r="AE481" t="s">
        <v>977</v>
      </c>
      <c r="AF481" t="s">
        <v>11062</v>
      </c>
      <c r="AG481" t="s">
        <v>48</v>
      </c>
      <c r="AH481" t="s">
        <v>48</v>
      </c>
      <c r="AI481" t="s">
        <v>48</v>
      </c>
      <c r="AJ481" t="s">
        <v>48</v>
      </c>
      <c r="AK481" t="s">
        <v>48</v>
      </c>
      <c r="AL481" t="s">
        <v>48</v>
      </c>
      <c r="AM481" t="s">
        <v>48</v>
      </c>
      <c r="AN481" t="s">
        <v>48</v>
      </c>
      <c r="AO481" t="s">
        <v>48</v>
      </c>
      <c r="AP481" s="46">
        <v>0</v>
      </c>
      <c r="AQ481" s="46">
        <v>0</v>
      </c>
      <c r="AR481" s="46">
        <v>0</v>
      </c>
      <c r="AS481" s="46">
        <v>0</v>
      </c>
      <c r="AT481" s="46">
        <v>0</v>
      </c>
      <c r="AU481" s="46">
        <v>0</v>
      </c>
      <c r="AV481" s="46">
        <v>0</v>
      </c>
      <c r="AW481" s="46">
        <v>0</v>
      </c>
      <c r="AX481" s="46">
        <v>0</v>
      </c>
      <c r="AY481" s="46">
        <v>0</v>
      </c>
      <c r="AZ481" s="46">
        <v>0</v>
      </c>
      <c r="BA481" s="46">
        <v>0</v>
      </c>
      <c r="BB481" s="46">
        <v>0</v>
      </c>
      <c r="BC481" s="46">
        <v>0</v>
      </c>
      <c r="BD481" s="46">
        <v>0</v>
      </c>
      <c r="BE481" s="46">
        <v>0</v>
      </c>
      <c r="BF481" s="46">
        <v>0</v>
      </c>
      <c r="BG481" s="46" t="s">
        <v>48</v>
      </c>
      <c r="BH481" s="46">
        <v>0</v>
      </c>
      <c r="BI481" s="46">
        <v>0</v>
      </c>
      <c r="BJ481" s="46">
        <v>0</v>
      </c>
      <c r="BK481" s="46">
        <v>0</v>
      </c>
      <c r="BL481" s="46">
        <v>0</v>
      </c>
      <c r="BM481" s="46">
        <v>0</v>
      </c>
      <c r="BN481" s="46">
        <v>0</v>
      </c>
    </row>
    <row r="482" spans="1:66" x14ac:dyDescent="0.35">
      <c r="A482" t="s">
        <v>1476</v>
      </c>
      <c r="B482" t="s">
        <v>48</v>
      </c>
      <c r="C482" t="s">
        <v>1479</v>
      </c>
      <c r="D482" t="s">
        <v>1469</v>
      </c>
      <c r="E482" t="s">
        <v>8295</v>
      </c>
      <c r="F482" t="s">
        <v>1426</v>
      </c>
      <c r="G482" t="s">
        <v>47</v>
      </c>
      <c r="H482">
        <v>0</v>
      </c>
      <c r="I482" s="61">
        <v>44733</v>
      </c>
      <c r="J482" s="33" t="s">
        <v>45</v>
      </c>
      <c r="K482" s="46">
        <v>1</v>
      </c>
      <c r="L482">
        <v>48.3</v>
      </c>
      <c r="M482" s="41" t="s">
        <v>48</v>
      </c>
      <c r="N482" s="46">
        <v>1</v>
      </c>
      <c r="O482" s="46">
        <v>0</v>
      </c>
      <c r="P482" s="46">
        <v>0</v>
      </c>
      <c r="Q482" s="41" t="s">
        <v>48</v>
      </c>
      <c r="R482" s="41" t="s">
        <v>48</v>
      </c>
      <c r="S482" t="s">
        <v>1477</v>
      </c>
      <c r="T482" t="s">
        <v>1478</v>
      </c>
      <c r="U482" t="s">
        <v>1477</v>
      </c>
      <c r="V482" s="47">
        <v>0</v>
      </c>
      <c r="W482" t="s">
        <v>48</v>
      </c>
      <c r="X482" t="s">
        <v>48</v>
      </c>
      <c r="Y482" t="s">
        <v>48</v>
      </c>
      <c r="Z482">
        <v>1</v>
      </c>
      <c r="AA482" t="s">
        <v>48</v>
      </c>
      <c r="AB482">
        <v>2020</v>
      </c>
      <c r="AC482" t="s">
        <v>63</v>
      </c>
      <c r="AD482" t="s">
        <v>93</v>
      </c>
      <c r="AE482" t="s">
        <v>977</v>
      </c>
      <c r="AF482" t="s">
        <v>11067</v>
      </c>
      <c r="AG482" t="s">
        <v>48</v>
      </c>
      <c r="AH482" t="s">
        <v>48</v>
      </c>
      <c r="AI482">
        <v>22152</v>
      </c>
      <c r="AJ482">
        <v>1955</v>
      </c>
      <c r="AK482" t="s">
        <v>8768</v>
      </c>
      <c r="AL482" t="s">
        <v>8769</v>
      </c>
      <c r="AM482">
        <v>0.36</v>
      </c>
      <c r="AN482">
        <v>0.35</v>
      </c>
      <c r="AO482">
        <v>0.36</v>
      </c>
      <c r="AP482" s="46">
        <v>0</v>
      </c>
      <c r="AQ482" s="46">
        <v>0</v>
      </c>
      <c r="AR482" s="46">
        <v>0</v>
      </c>
      <c r="AS482" s="46">
        <v>0</v>
      </c>
      <c r="AT482" s="46">
        <v>0</v>
      </c>
      <c r="AU482" s="46">
        <v>0</v>
      </c>
      <c r="AV482" s="46">
        <v>0</v>
      </c>
      <c r="AW482" s="46">
        <v>0</v>
      </c>
      <c r="AX482" s="46">
        <v>0</v>
      </c>
      <c r="AY482" s="46">
        <v>1</v>
      </c>
      <c r="AZ482" s="46">
        <v>0</v>
      </c>
      <c r="BA482" s="46">
        <v>0</v>
      </c>
      <c r="BB482" s="46">
        <v>0</v>
      </c>
      <c r="BC482" s="46">
        <v>0</v>
      </c>
      <c r="BD482" s="46">
        <v>0</v>
      </c>
      <c r="BE482" s="46">
        <v>0</v>
      </c>
      <c r="BF482" s="46">
        <v>0</v>
      </c>
      <c r="BG482" s="46" t="s">
        <v>48</v>
      </c>
      <c r="BH482" s="46">
        <v>0</v>
      </c>
      <c r="BI482" s="46">
        <v>0</v>
      </c>
      <c r="BJ482" s="46">
        <v>0</v>
      </c>
      <c r="BK482" s="46">
        <v>0</v>
      </c>
      <c r="BL482" s="46">
        <v>0</v>
      </c>
      <c r="BM482" s="46">
        <v>1</v>
      </c>
      <c r="BN482" s="46">
        <v>0</v>
      </c>
    </row>
    <row r="483" spans="1:66" x14ac:dyDescent="0.35">
      <c r="A483" t="s">
        <v>1430</v>
      </c>
      <c r="B483" s="44" t="s">
        <v>48</v>
      </c>
      <c r="C483" t="s">
        <v>1432</v>
      </c>
      <c r="D483" t="s">
        <v>237</v>
      </c>
      <c r="E483" t="s">
        <v>8296</v>
      </c>
      <c r="F483" t="s">
        <v>1447</v>
      </c>
      <c r="G483" t="s">
        <v>47</v>
      </c>
      <c r="H483">
        <v>0</v>
      </c>
      <c r="I483" s="61" t="s">
        <v>11160</v>
      </c>
      <c r="J483" s="33" t="s">
        <v>45</v>
      </c>
      <c r="K483" s="46">
        <v>0</v>
      </c>
      <c r="L483">
        <v>15.6</v>
      </c>
      <c r="M483" t="s">
        <v>48</v>
      </c>
      <c r="N483" s="46">
        <v>1</v>
      </c>
      <c r="O483" s="46">
        <v>0</v>
      </c>
      <c r="P483" s="46">
        <v>0</v>
      </c>
      <c r="Q483" t="s">
        <v>48</v>
      </c>
      <c r="R483" t="s">
        <v>48</v>
      </c>
      <c r="S483" t="s">
        <v>11347</v>
      </c>
      <c r="T483" t="s">
        <v>48</v>
      </c>
      <c r="U483" t="s">
        <v>1431</v>
      </c>
      <c r="V483" s="47">
        <v>0</v>
      </c>
      <c r="W483" t="s">
        <v>48</v>
      </c>
      <c r="X483" t="s">
        <v>48</v>
      </c>
      <c r="Y483" t="s">
        <v>48</v>
      </c>
      <c r="Z483">
        <v>0</v>
      </c>
      <c r="AA483" t="s">
        <v>48</v>
      </c>
      <c r="AB483" t="s">
        <v>48</v>
      </c>
      <c r="AC483" t="s">
        <v>49</v>
      </c>
      <c r="AD483" t="s">
        <v>951</v>
      </c>
      <c r="AE483" t="s">
        <v>11051</v>
      </c>
      <c r="AF483" t="s">
        <v>11073</v>
      </c>
      <c r="AG483" t="s">
        <v>48</v>
      </c>
      <c r="AH483" t="s">
        <v>48</v>
      </c>
      <c r="AI483" t="s">
        <v>48</v>
      </c>
      <c r="AJ483" t="s">
        <v>48</v>
      </c>
      <c r="AK483" t="s">
        <v>48</v>
      </c>
      <c r="AL483" t="s">
        <v>48</v>
      </c>
      <c r="AM483" t="s">
        <v>48</v>
      </c>
      <c r="AN483" t="s">
        <v>48</v>
      </c>
      <c r="AO483" t="s">
        <v>48</v>
      </c>
      <c r="AP483" s="46">
        <v>0</v>
      </c>
      <c r="AQ483" s="46">
        <v>0</v>
      </c>
      <c r="AR483" s="46">
        <v>0</v>
      </c>
      <c r="AS483" s="46">
        <v>0</v>
      </c>
      <c r="AT483" s="46">
        <v>0</v>
      </c>
      <c r="AU483" s="46">
        <v>0</v>
      </c>
      <c r="AV483" s="46">
        <v>0</v>
      </c>
      <c r="AW483" s="46">
        <v>0</v>
      </c>
      <c r="AX483" s="46">
        <v>0</v>
      </c>
      <c r="AY483" s="46">
        <v>0</v>
      </c>
      <c r="AZ483" s="46">
        <v>0</v>
      </c>
      <c r="BA483" s="46">
        <v>0</v>
      </c>
      <c r="BB483" s="46">
        <v>0</v>
      </c>
      <c r="BC483" s="46">
        <v>0</v>
      </c>
      <c r="BD483" s="46">
        <v>0</v>
      </c>
      <c r="BE483" s="46">
        <v>0</v>
      </c>
      <c r="BF483" s="46">
        <v>0</v>
      </c>
      <c r="BG483" s="46" t="s">
        <v>48</v>
      </c>
      <c r="BH483" s="46">
        <v>0</v>
      </c>
      <c r="BI483" s="46">
        <v>0</v>
      </c>
      <c r="BJ483" s="46">
        <v>0</v>
      </c>
      <c r="BK483" s="46">
        <v>0</v>
      </c>
      <c r="BL483" s="46">
        <v>0</v>
      </c>
      <c r="BM483" s="46">
        <v>0</v>
      </c>
      <c r="BN483" s="46">
        <v>0</v>
      </c>
    </row>
    <row r="484" spans="1:66" x14ac:dyDescent="0.35">
      <c r="A484" t="s">
        <v>1446</v>
      </c>
      <c r="B484" t="s">
        <v>48</v>
      </c>
      <c r="C484" t="s">
        <v>1452</v>
      </c>
      <c r="D484" t="s">
        <v>1451</v>
      </c>
      <c r="E484" t="s">
        <v>1448</v>
      </c>
      <c r="F484" t="s">
        <v>1447</v>
      </c>
      <c r="G484" t="s">
        <v>74</v>
      </c>
      <c r="H484">
        <v>0</v>
      </c>
      <c r="I484" s="60" t="s">
        <v>51</v>
      </c>
      <c r="J484" s="33" t="s">
        <v>45</v>
      </c>
      <c r="K484" s="46">
        <v>1</v>
      </c>
      <c r="L484">
        <v>49.1</v>
      </c>
      <c r="M484" t="s">
        <v>48</v>
      </c>
      <c r="N484" s="46">
        <v>1</v>
      </c>
      <c r="O484" s="46">
        <v>0</v>
      </c>
      <c r="P484" s="46">
        <v>0</v>
      </c>
      <c r="Q484" t="s">
        <v>48</v>
      </c>
      <c r="R484" t="s">
        <v>48</v>
      </c>
      <c r="S484" t="s">
        <v>1449</v>
      </c>
      <c r="T484" t="s">
        <v>1450</v>
      </c>
      <c r="U484" t="s">
        <v>1449</v>
      </c>
      <c r="V484" s="47">
        <v>0</v>
      </c>
      <c r="W484" t="s">
        <v>48</v>
      </c>
      <c r="X484" t="s">
        <v>48</v>
      </c>
      <c r="Y484" t="s">
        <v>48</v>
      </c>
      <c r="Z484">
        <v>0</v>
      </c>
      <c r="AA484" t="s">
        <v>48</v>
      </c>
      <c r="AB484">
        <v>2016</v>
      </c>
      <c r="AC484" t="s">
        <v>49</v>
      </c>
      <c r="AD484" t="s">
        <v>951</v>
      </c>
      <c r="AE484" s="40" t="s">
        <v>11051</v>
      </c>
      <c r="AF484" t="s">
        <v>11054</v>
      </c>
      <c r="AG484" t="s">
        <v>140</v>
      </c>
      <c r="AH484" t="s">
        <v>93</v>
      </c>
      <c r="AI484">
        <v>21711</v>
      </c>
      <c r="AJ484">
        <v>1958</v>
      </c>
      <c r="AK484" t="s">
        <v>8766</v>
      </c>
      <c r="AL484" t="s">
        <v>8767</v>
      </c>
      <c r="AM484">
        <v>-0.28599999999999998</v>
      </c>
      <c r="AN484">
        <v>0.27600000000000002</v>
      </c>
      <c r="AO484">
        <v>-0.28599999999999998</v>
      </c>
      <c r="AP484" s="46">
        <v>0</v>
      </c>
      <c r="AQ484" s="46">
        <v>0</v>
      </c>
      <c r="AR484" s="46">
        <v>0</v>
      </c>
      <c r="AS484" s="46">
        <v>0</v>
      </c>
      <c r="AT484" s="46">
        <v>0</v>
      </c>
      <c r="AU484" s="46">
        <v>1</v>
      </c>
      <c r="AV484" s="46">
        <v>1</v>
      </c>
      <c r="AW484" s="46">
        <v>0</v>
      </c>
      <c r="AX484" s="46">
        <v>0</v>
      </c>
      <c r="AY484" s="46">
        <v>0</v>
      </c>
      <c r="AZ484" s="46">
        <v>0</v>
      </c>
      <c r="BA484" s="46">
        <v>1</v>
      </c>
      <c r="BB484" s="46">
        <v>0</v>
      </c>
      <c r="BC484" s="46">
        <v>0</v>
      </c>
      <c r="BD484" s="46">
        <v>0</v>
      </c>
      <c r="BE484" s="46">
        <v>0</v>
      </c>
      <c r="BF484" s="46">
        <v>0</v>
      </c>
      <c r="BG484" s="46" t="s">
        <v>48</v>
      </c>
      <c r="BH484" s="46">
        <v>0</v>
      </c>
      <c r="BI484" s="46">
        <v>0</v>
      </c>
      <c r="BJ484" s="46">
        <v>0</v>
      </c>
      <c r="BK484" s="46">
        <v>0</v>
      </c>
      <c r="BL484" s="46">
        <v>0</v>
      </c>
      <c r="BM484" s="46">
        <v>0</v>
      </c>
      <c r="BN484" s="46">
        <v>0</v>
      </c>
    </row>
    <row r="485" spans="1:66" x14ac:dyDescent="0.35">
      <c r="A485" t="s">
        <v>1441</v>
      </c>
      <c r="B485" s="44" t="s">
        <v>48</v>
      </c>
      <c r="C485" t="s">
        <v>1444</v>
      </c>
      <c r="D485" t="s">
        <v>501</v>
      </c>
      <c r="E485" t="s">
        <v>8088</v>
      </c>
      <c r="F485" t="s">
        <v>1461</v>
      </c>
      <c r="G485" t="s">
        <v>74</v>
      </c>
      <c r="H485">
        <v>0</v>
      </c>
      <c r="I485" s="61">
        <v>44733</v>
      </c>
      <c r="J485" s="33" t="s">
        <v>45</v>
      </c>
      <c r="K485" s="46">
        <v>1</v>
      </c>
      <c r="L485">
        <v>51.7</v>
      </c>
      <c r="M485" s="41" t="s">
        <v>48</v>
      </c>
      <c r="N485" s="46">
        <v>1</v>
      </c>
      <c r="O485" s="46">
        <v>0</v>
      </c>
      <c r="P485" s="46">
        <v>0</v>
      </c>
      <c r="Q485" s="41" t="s">
        <v>48</v>
      </c>
      <c r="R485" s="41" t="s">
        <v>48</v>
      </c>
      <c r="S485" t="s">
        <v>1442</v>
      </c>
      <c r="T485" t="s">
        <v>1443</v>
      </c>
      <c r="U485" t="s">
        <v>1442</v>
      </c>
      <c r="V485" s="47">
        <v>0</v>
      </c>
      <c r="W485" t="s">
        <v>48</v>
      </c>
      <c r="X485" t="s">
        <v>48</v>
      </c>
      <c r="Y485" t="s">
        <v>48</v>
      </c>
      <c r="Z485">
        <v>0</v>
      </c>
      <c r="AA485" t="s">
        <v>48</v>
      </c>
      <c r="AB485">
        <v>2018</v>
      </c>
      <c r="AC485" t="s">
        <v>63</v>
      </c>
      <c r="AD485" t="s">
        <v>93</v>
      </c>
      <c r="AE485" t="s">
        <v>4532</v>
      </c>
      <c r="AF485" t="s">
        <v>48</v>
      </c>
      <c r="AG485" t="s">
        <v>119</v>
      </c>
      <c r="AH485" t="s">
        <v>93</v>
      </c>
      <c r="AI485">
        <v>21954</v>
      </c>
      <c r="AJ485">
        <v>1974</v>
      </c>
      <c r="AK485" t="s">
        <v>8764</v>
      </c>
      <c r="AL485" t="s">
        <v>8765</v>
      </c>
      <c r="AM485">
        <v>-0.19</v>
      </c>
      <c r="AN485">
        <v>-0.11</v>
      </c>
      <c r="AO485">
        <v>-0.19</v>
      </c>
      <c r="AP485" s="46">
        <v>0</v>
      </c>
      <c r="AQ485" s="46">
        <v>1</v>
      </c>
      <c r="AR485" s="46">
        <v>1</v>
      </c>
      <c r="AS485" s="46">
        <v>0</v>
      </c>
      <c r="AT485" s="46">
        <v>1</v>
      </c>
      <c r="AU485" s="46">
        <v>0</v>
      </c>
      <c r="AV485" s="46">
        <v>0</v>
      </c>
      <c r="AW485" s="46">
        <v>0</v>
      </c>
      <c r="AX485" s="46">
        <v>0</v>
      </c>
      <c r="AY485" s="46">
        <v>0</v>
      </c>
      <c r="AZ485" s="46">
        <v>0</v>
      </c>
      <c r="BA485" s="46">
        <v>0</v>
      </c>
      <c r="BB485" s="46">
        <v>0</v>
      </c>
      <c r="BC485" s="46">
        <v>0</v>
      </c>
      <c r="BD485" s="46">
        <v>0</v>
      </c>
      <c r="BE485" s="46">
        <v>0</v>
      </c>
      <c r="BF485" s="46">
        <v>0</v>
      </c>
      <c r="BG485" s="46" t="s">
        <v>48</v>
      </c>
      <c r="BH485" s="46">
        <v>0</v>
      </c>
      <c r="BI485" s="46">
        <v>0</v>
      </c>
      <c r="BJ485" s="46">
        <v>0</v>
      </c>
      <c r="BK485" s="46">
        <v>0</v>
      </c>
      <c r="BL485" s="46">
        <v>1</v>
      </c>
      <c r="BM485" s="46">
        <v>0</v>
      </c>
      <c r="BN485" s="46">
        <v>0</v>
      </c>
    </row>
    <row r="486" spans="1:66" x14ac:dyDescent="0.35">
      <c r="A486" t="s">
        <v>1460</v>
      </c>
      <c r="B486" s="44" t="s">
        <v>48</v>
      </c>
      <c r="C486" t="s">
        <v>1464</v>
      </c>
      <c r="D486" t="s">
        <v>885</v>
      </c>
      <c r="E486" t="s">
        <v>1462</v>
      </c>
      <c r="F486" t="s">
        <v>1461</v>
      </c>
      <c r="G486" t="s">
        <v>47</v>
      </c>
      <c r="H486">
        <v>0</v>
      </c>
      <c r="I486" s="60" t="s">
        <v>78</v>
      </c>
      <c r="J486" s="33" t="s">
        <v>45</v>
      </c>
      <c r="K486" s="46">
        <v>0</v>
      </c>
      <c r="L486">
        <v>30.9</v>
      </c>
      <c r="M486" t="s">
        <v>48</v>
      </c>
      <c r="N486" s="46">
        <v>1</v>
      </c>
      <c r="O486" s="46">
        <v>0</v>
      </c>
      <c r="P486" s="46">
        <v>0</v>
      </c>
      <c r="Q486" t="s">
        <v>48</v>
      </c>
      <c r="R486" t="s">
        <v>48</v>
      </c>
      <c r="S486" t="s">
        <v>1463</v>
      </c>
      <c r="T486" t="s">
        <v>48</v>
      </c>
      <c r="U486" t="s">
        <v>1463</v>
      </c>
      <c r="V486" s="47">
        <v>0</v>
      </c>
      <c r="W486" t="s">
        <v>48</v>
      </c>
      <c r="X486" t="s">
        <v>48</v>
      </c>
      <c r="Y486" t="s">
        <v>48</v>
      </c>
      <c r="Z486">
        <v>0</v>
      </c>
      <c r="AA486" t="s">
        <v>48</v>
      </c>
      <c r="AB486" t="s">
        <v>48</v>
      </c>
      <c r="AC486" t="s">
        <v>49</v>
      </c>
      <c r="AD486" t="s">
        <v>93</v>
      </c>
      <c r="AE486" t="s">
        <v>4532</v>
      </c>
      <c r="AF486" t="s">
        <v>48</v>
      </c>
      <c r="AG486" t="s">
        <v>48</v>
      </c>
      <c r="AH486" t="s">
        <v>48</v>
      </c>
      <c r="AI486" t="s">
        <v>48</v>
      </c>
      <c r="AJ486" t="s">
        <v>48</v>
      </c>
      <c r="AK486" t="s">
        <v>48</v>
      </c>
      <c r="AL486" t="s">
        <v>48</v>
      </c>
      <c r="AM486" t="s">
        <v>48</v>
      </c>
      <c r="AN486" t="s">
        <v>48</v>
      </c>
      <c r="AO486" t="s">
        <v>48</v>
      </c>
      <c r="AP486" s="46">
        <v>0</v>
      </c>
      <c r="AQ486" s="46">
        <v>0</v>
      </c>
      <c r="AR486" s="46">
        <v>0</v>
      </c>
      <c r="AS486" s="46">
        <v>0</v>
      </c>
      <c r="AT486" s="46">
        <v>0</v>
      </c>
      <c r="AU486" s="46">
        <v>0</v>
      </c>
      <c r="AV486" s="46">
        <v>0</v>
      </c>
      <c r="AW486" s="46">
        <v>0</v>
      </c>
      <c r="AX486" s="46">
        <v>0</v>
      </c>
      <c r="AY486" s="46">
        <v>0</v>
      </c>
      <c r="AZ486" s="46">
        <v>0</v>
      </c>
      <c r="BA486" s="46">
        <v>0</v>
      </c>
      <c r="BB486" s="46">
        <v>0</v>
      </c>
      <c r="BC486" s="46">
        <v>0</v>
      </c>
      <c r="BD486" s="46">
        <v>0</v>
      </c>
      <c r="BE486" s="46">
        <v>0</v>
      </c>
      <c r="BF486" s="46">
        <v>0</v>
      </c>
      <c r="BG486" s="46" t="s">
        <v>48</v>
      </c>
      <c r="BH486" s="46">
        <v>0</v>
      </c>
      <c r="BI486" s="46">
        <v>0</v>
      </c>
      <c r="BJ486" s="46">
        <v>0</v>
      </c>
      <c r="BK486" s="46">
        <v>0</v>
      </c>
      <c r="BL486" s="46">
        <v>0</v>
      </c>
      <c r="BM486" s="46">
        <v>0</v>
      </c>
      <c r="BN486" s="46">
        <v>0</v>
      </c>
    </row>
    <row r="487" spans="1:66" x14ac:dyDescent="0.35">
      <c r="A487" t="s">
        <v>1500</v>
      </c>
      <c r="B487" s="44" t="s">
        <v>48</v>
      </c>
      <c r="C487" t="s">
        <v>1504</v>
      </c>
      <c r="D487" t="s">
        <v>1503</v>
      </c>
      <c r="E487" t="s">
        <v>8303</v>
      </c>
      <c r="F487" t="s">
        <v>1475</v>
      </c>
      <c r="G487" t="s">
        <v>47</v>
      </c>
      <c r="H487">
        <v>0</v>
      </c>
      <c r="I487" s="61" t="s">
        <v>11160</v>
      </c>
      <c r="J487" s="33" t="s">
        <v>45</v>
      </c>
      <c r="K487" s="46">
        <v>1</v>
      </c>
      <c r="L487">
        <v>61.5</v>
      </c>
      <c r="M487" s="41" t="s">
        <v>48</v>
      </c>
      <c r="N487" s="46">
        <v>1</v>
      </c>
      <c r="O487" s="46">
        <v>0</v>
      </c>
      <c r="P487" s="46">
        <v>0</v>
      </c>
      <c r="Q487" s="41" t="s">
        <v>48</v>
      </c>
      <c r="R487" s="41" t="s">
        <v>48</v>
      </c>
      <c r="S487" t="s">
        <v>11336</v>
      </c>
      <c r="T487" t="s">
        <v>1502</v>
      </c>
      <c r="U487" t="s">
        <v>1501</v>
      </c>
      <c r="V487" s="47">
        <v>0</v>
      </c>
      <c r="W487" t="s">
        <v>48</v>
      </c>
      <c r="X487" t="s">
        <v>48</v>
      </c>
      <c r="Y487" t="s">
        <v>48</v>
      </c>
      <c r="Z487">
        <v>1</v>
      </c>
      <c r="AA487" t="s">
        <v>48</v>
      </c>
      <c r="AB487">
        <v>2020</v>
      </c>
      <c r="AC487" t="s">
        <v>49</v>
      </c>
      <c r="AD487" t="s">
        <v>93</v>
      </c>
      <c r="AE487" t="s">
        <v>11051</v>
      </c>
      <c r="AF487" t="s">
        <v>11076</v>
      </c>
      <c r="AG487" t="s">
        <v>48</v>
      </c>
      <c r="AH487" t="s">
        <v>48</v>
      </c>
      <c r="AI487">
        <v>20107</v>
      </c>
      <c r="AJ487">
        <v>1953</v>
      </c>
      <c r="AK487" t="s">
        <v>8772</v>
      </c>
      <c r="AL487" t="s">
        <v>8773</v>
      </c>
      <c r="AM487">
        <v>0.498</v>
      </c>
      <c r="AN487">
        <v>-5.1999999999999998E-2</v>
      </c>
      <c r="AO487">
        <v>0.498</v>
      </c>
      <c r="AP487" s="46">
        <v>0</v>
      </c>
      <c r="AQ487" s="46">
        <v>0</v>
      </c>
      <c r="AR487" s="46">
        <v>0</v>
      </c>
      <c r="AS487" s="46">
        <v>0</v>
      </c>
      <c r="AT487" s="46">
        <v>0</v>
      </c>
      <c r="AU487" s="46">
        <v>0</v>
      </c>
      <c r="AV487" s="46">
        <v>0</v>
      </c>
      <c r="AW487" s="46">
        <v>0</v>
      </c>
      <c r="AX487" s="46">
        <v>0</v>
      </c>
      <c r="AY487" s="46">
        <v>0</v>
      </c>
      <c r="AZ487" s="46">
        <v>0</v>
      </c>
      <c r="BA487" s="46">
        <v>0</v>
      </c>
      <c r="BB487" s="46">
        <v>1</v>
      </c>
      <c r="BC487" s="46">
        <v>0</v>
      </c>
      <c r="BD487" s="46">
        <v>0</v>
      </c>
      <c r="BE487" s="46">
        <v>0</v>
      </c>
      <c r="BF487" s="46">
        <v>0</v>
      </c>
      <c r="BG487" s="46">
        <v>1</v>
      </c>
      <c r="BH487" s="46">
        <v>0</v>
      </c>
      <c r="BI487" s="46">
        <v>0</v>
      </c>
      <c r="BJ487" s="46">
        <v>0</v>
      </c>
      <c r="BK487" s="46">
        <v>0</v>
      </c>
      <c r="BL487" s="46">
        <v>0</v>
      </c>
      <c r="BM487" s="46">
        <v>0</v>
      </c>
      <c r="BN487" s="46">
        <v>0</v>
      </c>
    </row>
    <row r="488" spans="1:66" x14ac:dyDescent="0.35">
      <c r="A488" t="s">
        <v>1497</v>
      </c>
      <c r="B488" s="44" t="s">
        <v>48</v>
      </c>
      <c r="C488" t="s">
        <v>1499</v>
      </c>
      <c r="D488" t="s">
        <v>339</v>
      </c>
      <c r="E488" t="s">
        <v>8089</v>
      </c>
      <c r="F488" t="s">
        <v>1475</v>
      </c>
      <c r="G488" t="s">
        <v>74</v>
      </c>
      <c r="H488">
        <v>0</v>
      </c>
      <c r="I488" s="61">
        <v>44733</v>
      </c>
      <c r="J488" s="33" t="s">
        <v>45</v>
      </c>
      <c r="K488" s="46">
        <v>0</v>
      </c>
      <c r="L488">
        <v>27.8</v>
      </c>
      <c r="M488" s="41" t="s">
        <v>48</v>
      </c>
      <c r="N488" s="46">
        <v>1</v>
      </c>
      <c r="O488" s="46">
        <v>0</v>
      </c>
      <c r="P488" s="46">
        <v>0</v>
      </c>
      <c r="Q488" s="41" t="s">
        <v>48</v>
      </c>
      <c r="R488" s="41" t="s">
        <v>48</v>
      </c>
      <c r="S488" t="s">
        <v>1498</v>
      </c>
      <c r="T488" t="s">
        <v>48</v>
      </c>
      <c r="U488" t="s">
        <v>1498</v>
      </c>
      <c r="V488" s="47">
        <v>0</v>
      </c>
      <c r="W488" t="s">
        <v>48</v>
      </c>
      <c r="X488" t="s">
        <v>48</v>
      </c>
      <c r="Y488" t="s">
        <v>48</v>
      </c>
      <c r="Z488">
        <v>0</v>
      </c>
      <c r="AA488" t="s">
        <v>48</v>
      </c>
      <c r="AB488" t="s">
        <v>48</v>
      </c>
      <c r="AC488" t="s">
        <v>49</v>
      </c>
      <c r="AD488" t="s">
        <v>93</v>
      </c>
      <c r="AE488" t="s">
        <v>4532</v>
      </c>
      <c r="AF488" t="s">
        <v>48</v>
      </c>
      <c r="AG488" t="s">
        <v>48</v>
      </c>
      <c r="AH488" t="s">
        <v>48</v>
      </c>
      <c r="AI488" t="s">
        <v>48</v>
      </c>
      <c r="AJ488" t="s">
        <v>48</v>
      </c>
      <c r="AK488" t="s">
        <v>48</v>
      </c>
      <c r="AL488" t="s">
        <v>48</v>
      </c>
      <c r="AM488" t="s">
        <v>48</v>
      </c>
      <c r="AN488" t="s">
        <v>48</v>
      </c>
      <c r="AO488" t="s">
        <v>48</v>
      </c>
      <c r="AP488" s="46">
        <v>0</v>
      </c>
      <c r="AQ488" s="46">
        <v>0</v>
      </c>
      <c r="AR488" s="46">
        <v>0</v>
      </c>
      <c r="AS488" s="46">
        <v>0</v>
      </c>
      <c r="AT488" s="46">
        <v>0</v>
      </c>
      <c r="AU488" s="46">
        <v>0</v>
      </c>
      <c r="AV488" s="46">
        <v>0</v>
      </c>
      <c r="AW488" s="46">
        <v>0</v>
      </c>
      <c r="AX488" s="46">
        <v>0</v>
      </c>
      <c r="AY488" s="46">
        <v>0</v>
      </c>
      <c r="AZ488" s="46">
        <v>0</v>
      </c>
      <c r="BA488" s="46">
        <v>0</v>
      </c>
      <c r="BB488" s="46">
        <v>0</v>
      </c>
      <c r="BC488" s="46">
        <v>0</v>
      </c>
      <c r="BD488" s="46">
        <v>0</v>
      </c>
      <c r="BE488" s="46">
        <v>0</v>
      </c>
      <c r="BF488" s="46">
        <v>0</v>
      </c>
      <c r="BG488" s="46" t="s">
        <v>48</v>
      </c>
      <c r="BH488" s="46">
        <v>0</v>
      </c>
      <c r="BI488" s="46">
        <v>0</v>
      </c>
      <c r="BJ488" s="46">
        <v>0</v>
      </c>
      <c r="BK488" s="46">
        <v>0</v>
      </c>
      <c r="BL488" s="46">
        <v>0</v>
      </c>
      <c r="BM488" s="46">
        <v>0</v>
      </c>
      <c r="BN488" s="46">
        <v>0</v>
      </c>
    </row>
    <row r="489" spans="1:66" x14ac:dyDescent="0.35">
      <c r="A489" t="s">
        <v>1489</v>
      </c>
      <c r="B489" s="44" t="s">
        <v>48</v>
      </c>
      <c r="C489" t="s">
        <v>1492</v>
      </c>
      <c r="D489" t="s">
        <v>195</v>
      </c>
      <c r="E489" t="s">
        <v>1490</v>
      </c>
      <c r="F489" t="s">
        <v>1481</v>
      </c>
      <c r="G489" t="s">
        <v>47</v>
      </c>
      <c r="H489">
        <v>0</v>
      </c>
      <c r="I489" s="60" t="s">
        <v>51</v>
      </c>
      <c r="J489" s="33" t="s">
        <v>45</v>
      </c>
      <c r="K489" s="46">
        <v>0</v>
      </c>
      <c r="L489">
        <v>19</v>
      </c>
      <c r="M489" t="s">
        <v>48</v>
      </c>
      <c r="N489" s="46">
        <v>1</v>
      </c>
      <c r="O489" s="46">
        <v>0</v>
      </c>
      <c r="P489" s="46">
        <v>0</v>
      </c>
      <c r="Q489" t="s">
        <v>48</v>
      </c>
      <c r="R489" t="s">
        <v>48</v>
      </c>
      <c r="S489" t="s">
        <v>1491</v>
      </c>
      <c r="T489" t="s">
        <v>48</v>
      </c>
      <c r="U489" t="s">
        <v>1491</v>
      </c>
      <c r="V489" s="47">
        <v>0</v>
      </c>
      <c r="W489" t="s">
        <v>48</v>
      </c>
      <c r="X489" t="s">
        <v>48</v>
      </c>
      <c r="Y489" t="s">
        <v>48</v>
      </c>
      <c r="Z489">
        <v>0</v>
      </c>
      <c r="AA489" t="s">
        <v>48</v>
      </c>
      <c r="AB489" t="s">
        <v>48</v>
      </c>
      <c r="AC489" t="s">
        <v>49</v>
      </c>
      <c r="AD489" t="s">
        <v>93</v>
      </c>
      <c r="AE489" t="s">
        <v>4532</v>
      </c>
      <c r="AF489" t="s">
        <v>48</v>
      </c>
      <c r="AG489" t="s">
        <v>48</v>
      </c>
      <c r="AH489" t="s">
        <v>48</v>
      </c>
      <c r="AI489" t="s">
        <v>48</v>
      </c>
      <c r="AJ489" t="s">
        <v>48</v>
      </c>
      <c r="AK489" t="s">
        <v>48</v>
      </c>
      <c r="AL489" t="s">
        <v>48</v>
      </c>
      <c r="AM489" t="s">
        <v>48</v>
      </c>
      <c r="AN489" t="s">
        <v>48</v>
      </c>
      <c r="AO489" t="s">
        <v>48</v>
      </c>
      <c r="AP489" s="46">
        <v>0</v>
      </c>
      <c r="AQ489" s="46">
        <v>0</v>
      </c>
      <c r="AR489" s="46">
        <v>0</v>
      </c>
      <c r="AS489" s="46">
        <v>0</v>
      </c>
      <c r="AT489" s="46">
        <v>0</v>
      </c>
      <c r="AU489" s="46">
        <v>0</v>
      </c>
      <c r="AV489" s="46">
        <v>0</v>
      </c>
      <c r="AW489" s="46">
        <v>0</v>
      </c>
      <c r="AX489" s="46">
        <v>0</v>
      </c>
      <c r="AY489" s="46">
        <v>0</v>
      </c>
      <c r="AZ489" s="46">
        <v>0</v>
      </c>
      <c r="BA489" s="46">
        <v>0</v>
      </c>
      <c r="BB489" s="46">
        <v>0</v>
      </c>
      <c r="BC489" s="46">
        <v>0</v>
      </c>
      <c r="BD489" s="46">
        <v>0</v>
      </c>
      <c r="BE489" s="46">
        <v>0</v>
      </c>
      <c r="BF489" s="46">
        <v>0</v>
      </c>
      <c r="BG489" s="46" t="s">
        <v>48</v>
      </c>
      <c r="BH489" s="46">
        <v>0</v>
      </c>
      <c r="BI489" s="46">
        <v>0</v>
      </c>
      <c r="BJ489" s="46">
        <v>0</v>
      </c>
      <c r="BK489" s="46">
        <v>0</v>
      </c>
      <c r="BL489" s="46">
        <v>0</v>
      </c>
      <c r="BM489" s="46">
        <v>0</v>
      </c>
      <c r="BN489" s="46">
        <v>0</v>
      </c>
    </row>
    <row r="490" spans="1:66" x14ac:dyDescent="0.35">
      <c r="A490" t="s">
        <v>1484</v>
      </c>
      <c r="B490" s="44" t="s">
        <v>48</v>
      </c>
      <c r="C490" t="s">
        <v>1488</v>
      </c>
      <c r="D490" t="s">
        <v>288</v>
      </c>
      <c r="E490" t="s">
        <v>1485</v>
      </c>
      <c r="F490" t="s">
        <v>1481</v>
      </c>
      <c r="G490" t="s">
        <v>74</v>
      </c>
      <c r="H490">
        <v>0</v>
      </c>
      <c r="I490" s="60" t="s">
        <v>51</v>
      </c>
      <c r="J490" s="33" t="s">
        <v>45</v>
      </c>
      <c r="K490" s="46">
        <v>1</v>
      </c>
      <c r="L490">
        <v>48.9</v>
      </c>
      <c r="M490" t="s">
        <v>48</v>
      </c>
      <c r="N490" s="46">
        <v>1</v>
      </c>
      <c r="O490" s="46">
        <v>0</v>
      </c>
      <c r="P490" s="46">
        <v>0</v>
      </c>
      <c r="Q490" t="s">
        <v>48</v>
      </c>
      <c r="R490" t="s">
        <v>48</v>
      </c>
      <c r="S490" t="s">
        <v>1486</v>
      </c>
      <c r="T490" t="s">
        <v>1487</v>
      </c>
      <c r="U490" t="s">
        <v>1486</v>
      </c>
      <c r="V490" s="47">
        <v>0</v>
      </c>
      <c r="W490" t="s">
        <v>48</v>
      </c>
      <c r="X490" t="s">
        <v>48</v>
      </c>
      <c r="Y490" t="s">
        <v>48</v>
      </c>
      <c r="Z490">
        <v>0</v>
      </c>
      <c r="AA490" t="s">
        <v>48</v>
      </c>
      <c r="AB490">
        <v>2018</v>
      </c>
      <c r="AC490" t="s">
        <v>49</v>
      </c>
      <c r="AD490" t="s">
        <v>951</v>
      </c>
      <c r="AE490" s="40" t="s">
        <v>11051</v>
      </c>
      <c r="AF490" t="s">
        <v>11054</v>
      </c>
      <c r="AG490" t="s">
        <v>11142</v>
      </c>
      <c r="AH490" t="s">
        <v>93</v>
      </c>
      <c r="AI490">
        <v>21939</v>
      </c>
      <c r="AJ490">
        <v>1978</v>
      </c>
      <c r="AK490" t="s">
        <v>8770</v>
      </c>
      <c r="AL490" t="s">
        <v>8771</v>
      </c>
      <c r="AM490">
        <v>-0.36699999999999999</v>
      </c>
      <c r="AN490">
        <v>0.192</v>
      </c>
      <c r="AO490">
        <v>-0.36699999999999999</v>
      </c>
      <c r="AP490" s="46">
        <v>0</v>
      </c>
      <c r="AQ490" s="46">
        <v>1</v>
      </c>
      <c r="AR490" s="46">
        <v>0</v>
      </c>
      <c r="AS490" s="46">
        <v>0</v>
      </c>
      <c r="AT490" s="46">
        <v>1</v>
      </c>
      <c r="AU490" s="46">
        <v>0</v>
      </c>
      <c r="AV490" s="46">
        <v>0</v>
      </c>
      <c r="AW490" s="46">
        <v>0</v>
      </c>
      <c r="AX490" s="46">
        <v>0</v>
      </c>
      <c r="AY490" s="46">
        <v>0</v>
      </c>
      <c r="AZ490" s="46">
        <v>0</v>
      </c>
      <c r="BA490" s="46">
        <v>0</v>
      </c>
      <c r="BB490" s="46">
        <v>0</v>
      </c>
      <c r="BC490" s="46">
        <v>0</v>
      </c>
      <c r="BD490" s="46">
        <v>0</v>
      </c>
      <c r="BE490" s="46">
        <v>0</v>
      </c>
      <c r="BF490" s="46">
        <v>0</v>
      </c>
      <c r="BG490" s="46" t="s">
        <v>48</v>
      </c>
      <c r="BH490" s="46">
        <v>0</v>
      </c>
      <c r="BI490" s="46">
        <v>0</v>
      </c>
      <c r="BJ490" s="46">
        <v>0</v>
      </c>
      <c r="BK490" s="46">
        <v>0</v>
      </c>
      <c r="BL490" s="46">
        <v>0</v>
      </c>
      <c r="BM490" s="46">
        <v>0</v>
      </c>
      <c r="BN490" s="46">
        <v>0</v>
      </c>
    </row>
    <row r="491" spans="1:66" x14ac:dyDescent="0.35">
      <c r="A491" t="s">
        <v>8307</v>
      </c>
      <c r="B491" s="44" t="s">
        <v>48</v>
      </c>
      <c r="C491" t="s">
        <v>11729</v>
      </c>
      <c r="D491" t="s">
        <v>7491</v>
      </c>
      <c r="E491" t="s">
        <v>8308</v>
      </c>
      <c r="F491" t="s">
        <v>1496</v>
      </c>
      <c r="G491" t="s">
        <v>47</v>
      </c>
      <c r="H491">
        <v>0</v>
      </c>
      <c r="I491" s="61">
        <v>44733</v>
      </c>
      <c r="J491" s="33" t="s">
        <v>45</v>
      </c>
      <c r="K491" s="46">
        <v>0</v>
      </c>
      <c r="L491">
        <v>29.9</v>
      </c>
      <c r="M491" t="s">
        <v>48</v>
      </c>
      <c r="N491" s="46">
        <v>1</v>
      </c>
      <c r="O491" s="46">
        <v>0</v>
      </c>
      <c r="P491" s="46">
        <v>0</v>
      </c>
      <c r="Q491" t="s">
        <v>48</v>
      </c>
      <c r="R491" t="s">
        <v>48</v>
      </c>
      <c r="S491" t="s">
        <v>10070</v>
      </c>
      <c r="T491" t="s">
        <v>48</v>
      </c>
      <c r="U491" t="s">
        <v>10070</v>
      </c>
      <c r="V491" s="47">
        <v>1</v>
      </c>
      <c r="W491" t="s">
        <v>48</v>
      </c>
      <c r="X491" t="s">
        <v>48</v>
      </c>
      <c r="Y491" t="s">
        <v>48</v>
      </c>
      <c r="Z491" t="s">
        <v>48</v>
      </c>
      <c r="AA491" t="s">
        <v>48</v>
      </c>
      <c r="AB491" t="s">
        <v>48</v>
      </c>
      <c r="AC491" t="s">
        <v>49</v>
      </c>
      <c r="AD491" t="s">
        <v>93</v>
      </c>
      <c r="AE491" t="s">
        <v>4532</v>
      </c>
      <c r="AF491" t="s">
        <v>48</v>
      </c>
      <c r="AG491" t="s">
        <v>48</v>
      </c>
      <c r="AH491" t="s">
        <v>48</v>
      </c>
      <c r="AI491" t="s">
        <v>48</v>
      </c>
      <c r="AJ491" t="s">
        <v>48</v>
      </c>
      <c r="AK491" t="s">
        <v>48</v>
      </c>
      <c r="AL491" t="s">
        <v>48</v>
      </c>
      <c r="AM491" t="s">
        <v>48</v>
      </c>
      <c r="AN491" t="s">
        <v>48</v>
      </c>
      <c r="AO491" t="s">
        <v>48</v>
      </c>
      <c r="AP491" s="46">
        <v>0</v>
      </c>
      <c r="AQ491" s="46">
        <v>0</v>
      </c>
      <c r="AR491" s="46">
        <v>0</v>
      </c>
      <c r="AS491" s="46">
        <v>0</v>
      </c>
      <c r="AT491" s="46">
        <v>0</v>
      </c>
      <c r="AU491" s="46">
        <v>0</v>
      </c>
      <c r="AV491" s="46">
        <v>0</v>
      </c>
      <c r="AW491" s="46">
        <v>0</v>
      </c>
      <c r="AX491" s="46">
        <v>0</v>
      </c>
      <c r="AY491" s="46">
        <v>0</v>
      </c>
      <c r="AZ491" s="46">
        <v>0</v>
      </c>
      <c r="BA491" s="46">
        <v>0</v>
      </c>
      <c r="BB491" s="46">
        <v>0</v>
      </c>
      <c r="BC491" s="46">
        <v>0</v>
      </c>
      <c r="BD491" s="46">
        <v>0</v>
      </c>
      <c r="BE491" s="46">
        <v>0</v>
      </c>
      <c r="BF491" s="46">
        <v>0</v>
      </c>
      <c r="BG491" s="46" t="s">
        <v>48</v>
      </c>
      <c r="BH491" s="46">
        <v>0</v>
      </c>
      <c r="BI491" s="46">
        <v>0</v>
      </c>
      <c r="BJ491" s="46">
        <v>0</v>
      </c>
      <c r="BK491" s="46">
        <v>0</v>
      </c>
      <c r="BL491" s="46">
        <v>0</v>
      </c>
      <c r="BM491" s="46">
        <v>0</v>
      </c>
      <c r="BN491" s="46">
        <v>0</v>
      </c>
    </row>
    <row r="492" spans="1:66" x14ac:dyDescent="0.35">
      <c r="A492" t="s">
        <v>1521</v>
      </c>
      <c r="B492" t="s">
        <v>48</v>
      </c>
      <c r="C492" t="s">
        <v>1054</v>
      </c>
      <c r="D492" t="s">
        <v>885</v>
      </c>
      <c r="E492" t="s">
        <v>8094</v>
      </c>
      <c r="F492" t="s">
        <v>1496</v>
      </c>
      <c r="G492" t="s">
        <v>74</v>
      </c>
      <c r="H492">
        <v>0</v>
      </c>
      <c r="I492" s="61">
        <v>44733</v>
      </c>
      <c r="J492" s="33" t="s">
        <v>45</v>
      </c>
      <c r="K492" s="46">
        <v>1</v>
      </c>
      <c r="L492">
        <v>52.4</v>
      </c>
      <c r="M492" t="s">
        <v>48</v>
      </c>
      <c r="N492" s="46">
        <v>1</v>
      </c>
      <c r="O492" s="46">
        <v>0</v>
      </c>
      <c r="P492" s="46">
        <v>0</v>
      </c>
      <c r="Q492" t="s">
        <v>48</v>
      </c>
      <c r="R492" t="s">
        <v>48</v>
      </c>
      <c r="S492" t="s">
        <v>1522</v>
      </c>
      <c r="T492" t="s">
        <v>1523</v>
      </c>
      <c r="U492" t="s">
        <v>1522</v>
      </c>
      <c r="V492" s="47">
        <v>0</v>
      </c>
      <c r="W492" t="s">
        <v>48</v>
      </c>
      <c r="X492" t="s">
        <v>48</v>
      </c>
      <c r="Y492" t="s">
        <v>48</v>
      </c>
      <c r="Z492">
        <v>0</v>
      </c>
      <c r="AA492" t="s">
        <v>48</v>
      </c>
      <c r="AB492">
        <v>2020</v>
      </c>
      <c r="AC492" t="s">
        <v>49</v>
      </c>
      <c r="AD492" t="s">
        <v>93</v>
      </c>
      <c r="AE492" t="s">
        <v>4532</v>
      </c>
      <c r="AF492" t="s">
        <v>48</v>
      </c>
      <c r="AG492" t="s">
        <v>1105</v>
      </c>
      <c r="AH492" t="s">
        <v>93</v>
      </c>
      <c r="AI492">
        <v>21315</v>
      </c>
      <c r="AJ492">
        <v>1958</v>
      </c>
      <c r="AK492" t="s">
        <v>8776</v>
      </c>
      <c r="AL492" t="s">
        <v>8777</v>
      </c>
      <c r="AM492">
        <v>-0.182</v>
      </c>
      <c r="AN492">
        <v>-0.03</v>
      </c>
      <c r="AO492">
        <v>-0.182</v>
      </c>
      <c r="AP492" s="46">
        <v>0</v>
      </c>
      <c r="AQ492" s="46">
        <v>0</v>
      </c>
      <c r="AR492" s="46">
        <v>0</v>
      </c>
      <c r="AS492" s="46">
        <v>0</v>
      </c>
      <c r="AT492" s="46">
        <v>0</v>
      </c>
      <c r="AU492" s="46">
        <v>1</v>
      </c>
      <c r="AV492" s="46">
        <v>0</v>
      </c>
      <c r="AW492" s="46">
        <v>0</v>
      </c>
      <c r="AX492" s="46">
        <v>0</v>
      </c>
      <c r="AY492" s="46">
        <v>0</v>
      </c>
      <c r="AZ492" s="46">
        <v>0</v>
      </c>
      <c r="BA492" s="46">
        <v>1</v>
      </c>
      <c r="BB492" s="46">
        <v>0</v>
      </c>
      <c r="BC492" s="46">
        <v>0</v>
      </c>
      <c r="BD492" s="46">
        <v>0</v>
      </c>
      <c r="BE492" s="46">
        <v>0</v>
      </c>
      <c r="BF492" s="46">
        <v>0</v>
      </c>
      <c r="BG492" s="46" t="s">
        <v>48</v>
      </c>
      <c r="BH492" s="46">
        <v>0</v>
      </c>
      <c r="BI492" s="46">
        <v>0</v>
      </c>
      <c r="BJ492" s="46">
        <v>0</v>
      </c>
      <c r="BK492" s="46">
        <v>0</v>
      </c>
      <c r="BL492" s="46">
        <v>1</v>
      </c>
      <c r="BM492" s="46">
        <v>0</v>
      </c>
      <c r="BN492" s="46">
        <v>0</v>
      </c>
    </row>
    <row r="493" spans="1:66" x14ac:dyDescent="0.35">
      <c r="A493" t="s">
        <v>1529</v>
      </c>
      <c r="B493" t="s">
        <v>48</v>
      </c>
      <c r="C493" t="s">
        <v>1194</v>
      </c>
      <c r="D493" t="s">
        <v>1532</v>
      </c>
      <c r="E493" t="s">
        <v>8097</v>
      </c>
      <c r="F493" t="s">
        <v>1511</v>
      </c>
      <c r="G493" t="s">
        <v>74</v>
      </c>
      <c r="H493">
        <v>0</v>
      </c>
      <c r="I493" s="61">
        <v>44733</v>
      </c>
      <c r="J493" s="33" t="s">
        <v>45</v>
      </c>
      <c r="K493" s="46">
        <v>1</v>
      </c>
      <c r="L493">
        <v>60.6</v>
      </c>
      <c r="M493" s="41" t="s">
        <v>48</v>
      </c>
      <c r="N493" s="46">
        <v>1</v>
      </c>
      <c r="O493" s="46">
        <v>0</v>
      </c>
      <c r="P493" s="46">
        <v>0</v>
      </c>
      <c r="Q493" s="41" t="s">
        <v>48</v>
      </c>
      <c r="R493" s="41" t="s">
        <v>48</v>
      </c>
      <c r="S493" t="s">
        <v>1530</v>
      </c>
      <c r="T493" t="s">
        <v>1531</v>
      </c>
      <c r="U493" t="s">
        <v>1530</v>
      </c>
      <c r="V493" s="47">
        <v>0</v>
      </c>
      <c r="W493" t="s">
        <v>48</v>
      </c>
      <c r="X493" t="s">
        <v>48</v>
      </c>
      <c r="Y493" t="s">
        <v>48</v>
      </c>
      <c r="Z493">
        <v>1</v>
      </c>
      <c r="AA493" t="s">
        <v>48</v>
      </c>
      <c r="AB493">
        <v>2020</v>
      </c>
      <c r="AC493" t="s">
        <v>63</v>
      </c>
      <c r="AD493" t="s">
        <v>93</v>
      </c>
      <c r="AE493" t="s">
        <v>4532</v>
      </c>
      <c r="AF493" t="s">
        <v>48</v>
      </c>
      <c r="AG493" t="s">
        <v>48</v>
      </c>
      <c r="AH493" t="s">
        <v>48</v>
      </c>
      <c r="AI493">
        <v>22126</v>
      </c>
      <c r="AJ493">
        <v>1989</v>
      </c>
      <c r="AK493" t="s">
        <v>8778</v>
      </c>
      <c r="AL493" t="s">
        <v>8779</v>
      </c>
      <c r="AM493">
        <v>-0.31900000000000001</v>
      </c>
      <c r="AN493">
        <v>-0.505</v>
      </c>
      <c r="AO493">
        <v>-0.31900000000000001</v>
      </c>
      <c r="AP493" s="46">
        <v>0</v>
      </c>
      <c r="AQ493" s="46">
        <v>0</v>
      </c>
      <c r="AR493" s="46">
        <v>0</v>
      </c>
      <c r="AS493" s="46">
        <v>0</v>
      </c>
      <c r="AT493" s="46">
        <v>1</v>
      </c>
      <c r="AU493" s="46">
        <v>1</v>
      </c>
      <c r="AV493" s="46">
        <v>0</v>
      </c>
      <c r="AW493" s="46">
        <v>0</v>
      </c>
      <c r="AX493" s="46">
        <v>0</v>
      </c>
      <c r="AY493" s="46">
        <v>0</v>
      </c>
      <c r="AZ493" s="46">
        <v>0</v>
      </c>
      <c r="BA493" s="46">
        <v>0</v>
      </c>
      <c r="BB493" s="46">
        <v>0</v>
      </c>
      <c r="BC493" s="46">
        <v>0</v>
      </c>
      <c r="BD493" s="46">
        <v>0</v>
      </c>
      <c r="BE493" s="46">
        <v>0</v>
      </c>
      <c r="BF493" s="46">
        <v>0</v>
      </c>
      <c r="BG493" s="46" t="s">
        <v>48</v>
      </c>
      <c r="BH493" s="46">
        <v>0</v>
      </c>
      <c r="BI493" s="46">
        <v>0</v>
      </c>
      <c r="BJ493" s="46">
        <v>0</v>
      </c>
      <c r="BK493" s="46">
        <v>0</v>
      </c>
      <c r="BL493" s="46">
        <v>0</v>
      </c>
      <c r="BM493" s="46">
        <v>0</v>
      </c>
      <c r="BN493" s="46">
        <v>0</v>
      </c>
    </row>
    <row r="494" spans="1:66" x14ac:dyDescent="0.35">
      <c r="A494" t="s">
        <v>1510</v>
      </c>
      <c r="B494" s="44" t="s">
        <v>48</v>
      </c>
      <c r="C494" t="s">
        <v>1514</v>
      </c>
      <c r="D494" t="s">
        <v>1513</v>
      </c>
      <c r="E494" t="s">
        <v>1512</v>
      </c>
      <c r="F494" t="s">
        <v>1511</v>
      </c>
      <c r="G494" t="s">
        <v>47</v>
      </c>
      <c r="H494">
        <v>0</v>
      </c>
      <c r="I494" s="60" t="s">
        <v>78</v>
      </c>
      <c r="J494" s="33" t="s">
        <v>45</v>
      </c>
      <c r="K494" s="46">
        <v>0</v>
      </c>
      <c r="L494">
        <v>37.200000000000003</v>
      </c>
      <c r="M494" t="s">
        <v>48</v>
      </c>
      <c r="N494" s="46">
        <v>1</v>
      </c>
      <c r="O494" s="46">
        <v>0</v>
      </c>
      <c r="P494" s="46">
        <v>0</v>
      </c>
      <c r="Q494" t="s">
        <v>48</v>
      </c>
      <c r="R494" t="s">
        <v>48</v>
      </c>
      <c r="S494" t="s">
        <v>48</v>
      </c>
      <c r="T494" t="s">
        <v>48</v>
      </c>
      <c r="U494" t="s">
        <v>48</v>
      </c>
      <c r="V494" s="47">
        <v>1</v>
      </c>
      <c r="W494" t="s">
        <v>11264</v>
      </c>
      <c r="X494" t="s">
        <v>48</v>
      </c>
      <c r="Y494" t="s">
        <v>48</v>
      </c>
      <c r="Z494">
        <v>0</v>
      </c>
      <c r="AA494" t="s">
        <v>48</v>
      </c>
      <c r="AB494" t="s">
        <v>48</v>
      </c>
      <c r="AC494" t="s">
        <v>49</v>
      </c>
      <c r="AD494" t="s">
        <v>93</v>
      </c>
      <c r="AE494" t="s">
        <v>4532</v>
      </c>
      <c r="AF494" t="s">
        <v>48</v>
      </c>
      <c r="AG494" t="s">
        <v>48</v>
      </c>
      <c r="AH494" t="s">
        <v>48</v>
      </c>
      <c r="AI494" t="s">
        <v>48</v>
      </c>
      <c r="AJ494" t="s">
        <v>48</v>
      </c>
      <c r="AK494" t="s">
        <v>48</v>
      </c>
      <c r="AL494" t="s">
        <v>48</v>
      </c>
      <c r="AM494" t="s">
        <v>48</v>
      </c>
      <c r="AN494" t="s">
        <v>48</v>
      </c>
      <c r="AO494" t="s">
        <v>48</v>
      </c>
      <c r="AP494" s="46">
        <v>0</v>
      </c>
      <c r="AQ494" s="46">
        <v>0</v>
      </c>
      <c r="AR494" s="46">
        <v>0</v>
      </c>
      <c r="AS494" s="46">
        <v>0</v>
      </c>
      <c r="AT494" s="46">
        <v>0</v>
      </c>
      <c r="AU494" s="46">
        <v>0</v>
      </c>
      <c r="AV494" s="46">
        <v>0</v>
      </c>
      <c r="AW494" s="46">
        <v>0</v>
      </c>
      <c r="AX494" s="46">
        <v>0</v>
      </c>
      <c r="AY494" s="46">
        <v>0</v>
      </c>
      <c r="AZ494" s="46">
        <v>0</v>
      </c>
      <c r="BA494" s="46">
        <v>0</v>
      </c>
      <c r="BB494" s="46">
        <v>0</v>
      </c>
      <c r="BC494" s="46">
        <v>0</v>
      </c>
      <c r="BD494" s="46">
        <v>0</v>
      </c>
      <c r="BE494" s="46">
        <v>0</v>
      </c>
      <c r="BF494" s="46">
        <v>0</v>
      </c>
      <c r="BG494" s="46" t="s">
        <v>48</v>
      </c>
      <c r="BH494" s="46">
        <v>0</v>
      </c>
      <c r="BI494" s="46">
        <v>0</v>
      </c>
      <c r="BJ494" s="46">
        <v>0</v>
      </c>
      <c r="BK494" s="46">
        <v>0</v>
      </c>
      <c r="BL494" s="46">
        <v>0</v>
      </c>
      <c r="BM494" s="46">
        <v>0</v>
      </c>
      <c r="BN494" s="46">
        <v>0</v>
      </c>
    </row>
    <row r="495" spans="1:66" x14ac:dyDescent="0.35">
      <c r="A495" t="s">
        <v>1516</v>
      </c>
      <c r="B495" t="s">
        <v>48</v>
      </c>
      <c r="C495" t="s">
        <v>1518</v>
      </c>
      <c r="D495" t="s">
        <v>756</v>
      </c>
      <c r="E495" t="s">
        <v>8098</v>
      </c>
      <c r="F495" t="s">
        <v>1519</v>
      </c>
      <c r="G495" t="s">
        <v>74</v>
      </c>
      <c r="H495">
        <v>0</v>
      </c>
      <c r="I495" s="61">
        <v>44733</v>
      </c>
      <c r="J495" s="33" t="s">
        <v>45</v>
      </c>
      <c r="K495" s="46">
        <v>1</v>
      </c>
      <c r="L495">
        <v>59.1</v>
      </c>
      <c r="M495" s="41" t="s">
        <v>48</v>
      </c>
      <c r="N495" s="46">
        <v>1</v>
      </c>
      <c r="O495" s="46">
        <v>0</v>
      </c>
      <c r="P495" s="46">
        <v>0</v>
      </c>
      <c r="Q495" s="41" t="s">
        <v>48</v>
      </c>
      <c r="R495" s="41" t="s">
        <v>48</v>
      </c>
      <c r="S495" t="s">
        <v>10073</v>
      </c>
      <c r="T495" t="s">
        <v>1517</v>
      </c>
      <c r="U495" t="s">
        <v>10073</v>
      </c>
      <c r="V495" s="47">
        <v>0</v>
      </c>
      <c r="W495" t="s">
        <v>48</v>
      </c>
      <c r="X495" t="s">
        <v>48</v>
      </c>
      <c r="Y495" t="s">
        <v>48</v>
      </c>
      <c r="Z495">
        <v>0</v>
      </c>
      <c r="AA495" t="s">
        <v>48</v>
      </c>
      <c r="AB495">
        <v>2012</v>
      </c>
      <c r="AC495" t="s">
        <v>49</v>
      </c>
      <c r="AD495" t="s">
        <v>951</v>
      </c>
      <c r="AE495" s="40" t="s">
        <v>11051</v>
      </c>
      <c r="AF495" t="s">
        <v>11054</v>
      </c>
      <c r="AG495" t="s">
        <v>140</v>
      </c>
      <c r="AH495" t="s">
        <v>93</v>
      </c>
      <c r="AI495">
        <v>21314</v>
      </c>
      <c r="AJ495">
        <v>1961</v>
      </c>
      <c r="AK495" t="s">
        <v>8774</v>
      </c>
      <c r="AL495" t="s">
        <v>8775</v>
      </c>
      <c r="AM495">
        <v>-0.40200000000000002</v>
      </c>
      <c r="AN495">
        <v>8.5000000000000006E-2</v>
      </c>
      <c r="AO495">
        <v>-0.40200000000000002</v>
      </c>
      <c r="AP495" s="46">
        <v>0</v>
      </c>
      <c r="AQ495" s="46">
        <v>0</v>
      </c>
      <c r="AR495" s="46">
        <v>0</v>
      </c>
      <c r="AS495" s="46">
        <v>0</v>
      </c>
      <c r="AT495" s="46">
        <v>1</v>
      </c>
      <c r="AU495" s="46">
        <v>1</v>
      </c>
      <c r="AV495" s="46">
        <v>0</v>
      </c>
      <c r="AW495" s="46">
        <v>0</v>
      </c>
      <c r="AX495" s="46">
        <v>0</v>
      </c>
      <c r="AY495" s="46">
        <v>0</v>
      </c>
      <c r="AZ495" s="46">
        <v>0</v>
      </c>
      <c r="BA495" s="46">
        <v>0</v>
      </c>
      <c r="BB495" s="46">
        <v>0</v>
      </c>
      <c r="BC495" s="46">
        <v>0</v>
      </c>
      <c r="BD495" s="46">
        <v>0</v>
      </c>
      <c r="BE495" s="46">
        <v>0</v>
      </c>
      <c r="BF495" s="46">
        <v>0</v>
      </c>
      <c r="BG495" s="46" t="s">
        <v>48</v>
      </c>
      <c r="BH495" s="46">
        <v>0</v>
      </c>
      <c r="BI495" s="46">
        <v>0</v>
      </c>
      <c r="BJ495" s="46">
        <v>0</v>
      </c>
      <c r="BK495" s="46">
        <v>0</v>
      </c>
      <c r="BL495" s="46">
        <v>0</v>
      </c>
      <c r="BM495" s="46">
        <v>0</v>
      </c>
      <c r="BN495" s="46">
        <v>0</v>
      </c>
    </row>
    <row r="496" spans="1:66" x14ac:dyDescent="0.35">
      <c r="A496" t="s">
        <v>8309</v>
      </c>
      <c r="B496" s="44" t="s">
        <v>48</v>
      </c>
      <c r="C496" t="s">
        <v>11733</v>
      </c>
      <c r="D496" t="s">
        <v>1684</v>
      </c>
      <c r="E496" t="s">
        <v>8310</v>
      </c>
      <c r="F496" t="s">
        <v>1519</v>
      </c>
      <c r="G496" t="s">
        <v>47</v>
      </c>
      <c r="H496">
        <v>0</v>
      </c>
      <c r="I496" s="61">
        <v>44733</v>
      </c>
      <c r="J496" s="33" t="s">
        <v>45</v>
      </c>
      <c r="K496" s="46">
        <v>0</v>
      </c>
      <c r="L496">
        <v>30.5</v>
      </c>
      <c r="M496" t="s">
        <v>48</v>
      </c>
      <c r="N496" s="46">
        <v>1</v>
      </c>
      <c r="O496" s="46">
        <v>0</v>
      </c>
      <c r="P496" s="46">
        <v>0</v>
      </c>
      <c r="Q496" t="s">
        <v>48</v>
      </c>
      <c r="R496" t="s">
        <v>48</v>
      </c>
      <c r="S496" t="s">
        <v>48</v>
      </c>
      <c r="T496" t="s">
        <v>48</v>
      </c>
      <c r="U496" t="s">
        <v>48</v>
      </c>
      <c r="V496" s="47">
        <v>1</v>
      </c>
      <c r="W496" t="s">
        <v>11264</v>
      </c>
      <c r="X496" t="s">
        <v>48</v>
      </c>
      <c r="Y496" t="s">
        <v>48</v>
      </c>
      <c r="Z496" t="s">
        <v>48</v>
      </c>
      <c r="AA496" t="s">
        <v>48</v>
      </c>
      <c r="AB496" t="s">
        <v>48</v>
      </c>
      <c r="AC496" t="s">
        <v>49</v>
      </c>
      <c r="AD496" t="s">
        <v>48</v>
      </c>
      <c r="AE496" t="s">
        <v>48</v>
      </c>
      <c r="AF496" t="s">
        <v>48</v>
      </c>
      <c r="AG496" t="s">
        <v>48</v>
      </c>
      <c r="AH496" t="s">
        <v>48</v>
      </c>
      <c r="AI496" t="s">
        <v>48</v>
      </c>
      <c r="AJ496" t="s">
        <v>48</v>
      </c>
      <c r="AK496" t="s">
        <v>48</v>
      </c>
      <c r="AL496" t="s">
        <v>48</v>
      </c>
      <c r="AM496" t="s">
        <v>48</v>
      </c>
      <c r="AN496" t="s">
        <v>48</v>
      </c>
      <c r="AO496" t="s">
        <v>48</v>
      </c>
      <c r="AP496" s="46">
        <v>0</v>
      </c>
      <c r="AQ496" s="46">
        <v>0</v>
      </c>
      <c r="AR496" s="46">
        <v>0</v>
      </c>
      <c r="AS496" s="46">
        <v>0</v>
      </c>
      <c r="AT496" s="46">
        <v>0</v>
      </c>
      <c r="AU496" s="46">
        <v>0</v>
      </c>
      <c r="AV496" s="46">
        <v>0</v>
      </c>
      <c r="AW496" s="46">
        <v>0</v>
      </c>
      <c r="AX496" s="46">
        <v>0</v>
      </c>
      <c r="AY496" s="46">
        <v>0</v>
      </c>
      <c r="AZ496" s="46">
        <v>0</v>
      </c>
      <c r="BA496" s="46">
        <v>0</v>
      </c>
      <c r="BB496" s="46">
        <v>0</v>
      </c>
      <c r="BC496" s="46">
        <v>0</v>
      </c>
      <c r="BD496" s="46">
        <v>0</v>
      </c>
      <c r="BE496" s="46">
        <v>0</v>
      </c>
      <c r="BF496" s="46">
        <v>0</v>
      </c>
      <c r="BG496" s="46">
        <v>1</v>
      </c>
      <c r="BH496" s="46">
        <v>0</v>
      </c>
      <c r="BI496" s="46">
        <v>0</v>
      </c>
      <c r="BJ496" s="46">
        <v>0</v>
      </c>
      <c r="BK496" s="46">
        <v>0</v>
      </c>
      <c r="BL496" s="46">
        <v>0</v>
      </c>
      <c r="BM496" s="46">
        <v>0</v>
      </c>
      <c r="BN496" s="46">
        <v>0</v>
      </c>
    </row>
    <row r="497" spans="1:66" x14ac:dyDescent="0.35">
      <c r="A497" t="s">
        <v>1584</v>
      </c>
      <c r="B497" s="44" t="s">
        <v>48</v>
      </c>
      <c r="C497" t="s">
        <v>1590</v>
      </c>
      <c r="D497" t="s">
        <v>1589</v>
      </c>
      <c r="E497" t="s">
        <v>1586</v>
      </c>
      <c r="F497" t="s">
        <v>1585</v>
      </c>
      <c r="G497" t="s">
        <v>74</v>
      </c>
      <c r="H497">
        <v>0</v>
      </c>
      <c r="I497" s="60" t="s">
        <v>51</v>
      </c>
      <c r="J497" s="33" t="s">
        <v>45</v>
      </c>
      <c r="K497" s="46">
        <v>1</v>
      </c>
      <c r="L497">
        <v>83.5</v>
      </c>
      <c r="M497" t="s">
        <v>48</v>
      </c>
      <c r="N497" s="46">
        <v>1</v>
      </c>
      <c r="O497" s="46">
        <v>0</v>
      </c>
      <c r="P497" s="46">
        <v>0</v>
      </c>
      <c r="Q497" t="s">
        <v>48</v>
      </c>
      <c r="R497" t="s">
        <v>48</v>
      </c>
      <c r="S497" t="s">
        <v>1587</v>
      </c>
      <c r="T497" t="s">
        <v>1588</v>
      </c>
      <c r="U497" t="s">
        <v>1587</v>
      </c>
      <c r="V497" s="47">
        <v>0</v>
      </c>
      <c r="W497" t="s">
        <v>48</v>
      </c>
      <c r="X497" t="s">
        <v>48</v>
      </c>
      <c r="Y497" t="s">
        <v>48</v>
      </c>
      <c r="Z497">
        <v>0</v>
      </c>
      <c r="AA497" t="s">
        <v>48</v>
      </c>
      <c r="AB497">
        <v>1996</v>
      </c>
      <c r="AC497" t="s">
        <v>63</v>
      </c>
      <c r="AD497" t="s">
        <v>93</v>
      </c>
      <c r="AE497" t="s">
        <v>4532</v>
      </c>
      <c r="AF497" t="s">
        <v>48</v>
      </c>
      <c r="AG497" t="s">
        <v>466</v>
      </c>
      <c r="AH497" t="s">
        <v>93</v>
      </c>
      <c r="AI497">
        <v>29710</v>
      </c>
      <c r="AJ497">
        <v>1957</v>
      </c>
      <c r="AK497" t="s">
        <v>8780</v>
      </c>
      <c r="AL497" t="s">
        <v>8781</v>
      </c>
      <c r="AM497">
        <v>-0.43099999999999999</v>
      </c>
      <c r="AN497">
        <v>-0.309</v>
      </c>
      <c r="AO497">
        <v>-0.43099999999999999</v>
      </c>
      <c r="AP497" s="46">
        <v>0</v>
      </c>
      <c r="AQ497" s="46">
        <v>0</v>
      </c>
      <c r="AR497" s="46">
        <v>0</v>
      </c>
      <c r="AS497" s="46">
        <v>0</v>
      </c>
      <c r="AT497" s="46">
        <v>1</v>
      </c>
      <c r="AU497" s="46">
        <v>0</v>
      </c>
      <c r="AV497" s="46">
        <v>0</v>
      </c>
      <c r="AW497" s="46">
        <v>0</v>
      </c>
      <c r="AX497" s="46">
        <v>0</v>
      </c>
      <c r="AY497" s="46">
        <v>0</v>
      </c>
      <c r="AZ497" s="46">
        <v>0</v>
      </c>
      <c r="BA497" s="46">
        <v>0</v>
      </c>
      <c r="BB497" s="46">
        <v>0</v>
      </c>
      <c r="BC497" s="46">
        <v>0</v>
      </c>
      <c r="BD497" s="46">
        <v>0</v>
      </c>
      <c r="BE497" s="46">
        <v>0</v>
      </c>
      <c r="BF497" s="46">
        <v>0</v>
      </c>
      <c r="BG497" s="46" t="s">
        <v>48</v>
      </c>
      <c r="BH497" s="46">
        <v>0</v>
      </c>
      <c r="BI497" s="46">
        <v>0</v>
      </c>
      <c r="BJ497" s="46">
        <v>0</v>
      </c>
      <c r="BK497" s="46">
        <v>0</v>
      </c>
      <c r="BL497" s="46">
        <v>0</v>
      </c>
      <c r="BM497" s="46">
        <v>0</v>
      </c>
      <c r="BN497" s="46">
        <v>0</v>
      </c>
    </row>
    <row r="498" spans="1:66" ht="15" x14ac:dyDescent="0.4">
      <c r="A498" t="s">
        <v>9780</v>
      </c>
      <c r="B498" s="44" t="s">
        <v>48</v>
      </c>
      <c r="C498" t="s">
        <v>11747</v>
      </c>
      <c r="D498" t="s">
        <v>1445</v>
      </c>
      <c r="E498" t="s">
        <v>9781</v>
      </c>
      <c r="F498" t="s">
        <v>1585</v>
      </c>
      <c r="G498" t="s">
        <v>47</v>
      </c>
      <c r="H498">
        <v>0</v>
      </c>
      <c r="I498" s="61" t="s">
        <v>11160</v>
      </c>
      <c r="J498" s="33" t="s">
        <v>45</v>
      </c>
      <c r="K498" s="51">
        <v>0</v>
      </c>
      <c r="L498">
        <v>100</v>
      </c>
      <c r="M498" s="41" t="s">
        <v>48</v>
      </c>
      <c r="N498" s="46">
        <v>1</v>
      </c>
      <c r="O498" s="51">
        <v>0</v>
      </c>
      <c r="P498" s="46">
        <v>0</v>
      </c>
      <c r="Q498" s="41" t="s">
        <v>48</v>
      </c>
      <c r="R498" s="41" t="s">
        <v>48</v>
      </c>
      <c r="S498" s="55" t="s">
        <v>11292</v>
      </c>
      <c r="T498" t="s">
        <v>48</v>
      </c>
      <c r="U498" s="55" t="s">
        <v>11292</v>
      </c>
      <c r="V498" s="47">
        <v>1</v>
      </c>
      <c r="W498" s="41" t="s">
        <v>48</v>
      </c>
      <c r="X498" t="s">
        <v>48</v>
      </c>
      <c r="Y498" t="s">
        <v>48</v>
      </c>
      <c r="Z498" s="41" t="s">
        <v>48</v>
      </c>
      <c r="AA498" s="41" t="s">
        <v>48</v>
      </c>
      <c r="AB498" s="41" t="s">
        <v>48</v>
      </c>
      <c r="AC498" s="41" t="s">
        <v>63</v>
      </c>
      <c r="AD498" s="41" t="s">
        <v>48</v>
      </c>
      <c r="AE498" s="41" t="s">
        <v>48</v>
      </c>
      <c r="AF498" s="41" t="s">
        <v>48</v>
      </c>
      <c r="AG498" s="41" t="s">
        <v>48</v>
      </c>
      <c r="AH498" s="41" t="s">
        <v>48</v>
      </c>
      <c r="AI498" s="41" t="s">
        <v>48</v>
      </c>
      <c r="AJ498" s="41" t="s">
        <v>48</v>
      </c>
      <c r="AK498" s="41" t="s">
        <v>48</v>
      </c>
      <c r="AL498" s="41" t="s">
        <v>48</v>
      </c>
      <c r="AM498" s="41" t="s">
        <v>48</v>
      </c>
      <c r="AN498" s="41" t="s">
        <v>48</v>
      </c>
      <c r="AO498" s="41" t="s">
        <v>48</v>
      </c>
      <c r="AP498" s="46">
        <v>0</v>
      </c>
      <c r="AQ498" s="46">
        <v>0</v>
      </c>
      <c r="AR498" s="46">
        <v>0</v>
      </c>
      <c r="AS498" s="46">
        <v>0</v>
      </c>
      <c r="AT498" s="46">
        <v>0</v>
      </c>
      <c r="AU498" s="46">
        <v>0</v>
      </c>
      <c r="AV498" s="46">
        <v>0</v>
      </c>
      <c r="AW498" s="46">
        <v>0</v>
      </c>
      <c r="AX498" s="46">
        <v>0</v>
      </c>
      <c r="AY498" s="46">
        <v>0</v>
      </c>
      <c r="AZ498" s="46">
        <v>0</v>
      </c>
      <c r="BA498" s="46">
        <v>0</v>
      </c>
      <c r="BB498" s="46">
        <v>0</v>
      </c>
      <c r="BC498" s="46">
        <v>0</v>
      </c>
      <c r="BD498" s="46">
        <v>0</v>
      </c>
      <c r="BE498" s="46">
        <v>0</v>
      </c>
      <c r="BF498" s="46">
        <v>0</v>
      </c>
      <c r="BG498" s="46">
        <v>1</v>
      </c>
      <c r="BH498" s="46">
        <v>0</v>
      </c>
      <c r="BI498" s="46">
        <v>0</v>
      </c>
      <c r="BJ498" s="46">
        <v>0</v>
      </c>
      <c r="BK498" s="46">
        <v>0</v>
      </c>
      <c r="BL498" s="46">
        <v>0</v>
      </c>
      <c r="BM498" s="46">
        <v>0</v>
      </c>
      <c r="BN498" s="46">
        <v>0</v>
      </c>
    </row>
    <row r="499" spans="1:66" x14ac:dyDescent="0.35">
      <c r="A499" t="s">
        <v>1596</v>
      </c>
      <c r="B499" s="44" t="s">
        <v>48</v>
      </c>
      <c r="C499" t="s">
        <v>1601</v>
      </c>
      <c r="D499" t="s">
        <v>1402</v>
      </c>
      <c r="E499" t="s">
        <v>1598</v>
      </c>
      <c r="F499" t="s">
        <v>1597</v>
      </c>
      <c r="G499" t="s">
        <v>74</v>
      </c>
      <c r="H499">
        <v>0</v>
      </c>
      <c r="I499" s="60" t="s">
        <v>51</v>
      </c>
      <c r="J499" s="33" t="s">
        <v>45</v>
      </c>
      <c r="K499" s="46">
        <v>1</v>
      </c>
      <c r="L499">
        <v>100</v>
      </c>
      <c r="M499" t="s">
        <v>48</v>
      </c>
      <c r="N499" s="46">
        <v>1</v>
      </c>
      <c r="O499" s="46">
        <v>0</v>
      </c>
      <c r="P499" s="46">
        <v>0</v>
      </c>
      <c r="Q499" t="s">
        <v>48</v>
      </c>
      <c r="R499" t="s">
        <v>48</v>
      </c>
      <c r="S499" t="s">
        <v>1599</v>
      </c>
      <c r="T499" t="s">
        <v>1600</v>
      </c>
      <c r="U499" t="s">
        <v>1599</v>
      </c>
      <c r="V499" s="47">
        <v>0</v>
      </c>
      <c r="W499" t="s">
        <v>48</v>
      </c>
      <c r="X499" t="s">
        <v>48</v>
      </c>
      <c r="Y499" t="s">
        <v>48</v>
      </c>
      <c r="Z499">
        <v>0</v>
      </c>
      <c r="AA499" t="s">
        <v>48</v>
      </c>
      <c r="AB499">
        <v>2018</v>
      </c>
      <c r="AC499" t="s">
        <v>49</v>
      </c>
      <c r="AD499" t="s">
        <v>93</v>
      </c>
      <c r="AE499" s="40" t="s">
        <v>2471</v>
      </c>
      <c r="AF499" t="s">
        <v>11079</v>
      </c>
      <c r="AG499" t="s">
        <v>112</v>
      </c>
      <c r="AH499" t="s">
        <v>93</v>
      </c>
      <c r="AI499">
        <v>21948</v>
      </c>
      <c r="AJ499">
        <v>1984</v>
      </c>
      <c r="AK499" t="s">
        <v>8782</v>
      </c>
      <c r="AL499" t="s">
        <v>8783</v>
      </c>
      <c r="AM499">
        <v>-0.373</v>
      </c>
      <c r="AN499">
        <v>-0.376</v>
      </c>
      <c r="AO499">
        <v>-0.373</v>
      </c>
      <c r="AP499" s="46">
        <v>0</v>
      </c>
      <c r="AQ499" s="46">
        <v>0</v>
      </c>
      <c r="AR499" s="46">
        <v>0</v>
      </c>
      <c r="AS499" s="46">
        <v>0</v>
      </c>
      <c r="AT499" s="46">
        <v>1</v>
      </c>
      <c r="AU499" s="46">
        <v>0</v>
      </c>
      <c r="AV499" s="46">
        <v>0</v>
      </c>
      <c r="AW499" s="46">
        <v>0</v>
      </c>
      <c r="AX499" s="46">
        <v>0</v>
      </c>
      <c r="AY499" s="46">
        <v>0</v>
      </c>
      <c r="AZ499" s="46">
        <v>0</v>
      </c>
      <c r="BA499" s="46">
        <v>0</v>
      </c>
      <c r="BB499" s="46">
        <v>0</v>
      </c>
      <c r="BC499" s="46">
        <v>0</v>
      </c>
      <c r="BD499" s="46">
        <v>0</v>
      </c>
      <c r="BE499" s="46">
        <v>0</v>
      </c>
      <c r="BF499" s="46">
        <v>0</v>
      </c>
      <c r="BG499" s="46" t="s">
        <v>48</v>
      </c>
      <c r="BH499" s="46">
        <v>0</v>
      </c>
      <c r="BI499" s="46">
        <v>0</v>
      </c>
      <c r="BJ499" s="46">
        <v>0</v>
      </c>
      <c r="BK499" s="46">
        <v>0</v>
      </c>
      <c r="BL499" s="46">
        <v>0</v>
      </c>
      <c r="BM499" s="46">
        <v>0</v>
      </c>
      <c r="BN499" s="46">
        <v>0</v>
      </c>
    </row>
    <row r="500" spans="1:66" x14ac:dyDescent="0.35">
      <c r="A500" t="s">
        <v>9782</v>
      </c>
      <c r="B500" s="44" t="s">
        <v>48</v>
      </c>
      <c r="C500" t="s">
        <v>11748</v>
      </c>
      <c r="D500" t="s">
        <v>953</v>
      </c>
      <c r="E500" t="s">
        <v>9783</v>
      </c>
      <c r="F500" t="s">
        <v>1597</v>
      </c>
      <c r="G500" t="s">
        <v>47</v>
      </c>
      <c r="H500">
        <v>0</v>
      </c>
      <c r="I500" s="61">
        <v>44741</v>
      </c>
      <c r="J500" s="33" t="s">
        <v>45</v>
      </c>
      <c r="K500" s="46">
        <v>0</v>
      </c>
      <c r="L500">
        <v>100</v>
      </c>
      <c r="M500" t="s">
        <v>48</v>
      </c>
      <c r="N500" s="46">
        <v>1</v>
      </c>
      <c r="O500" s="46">
        <v>0</v>
      </c>
      <c r="P500" s="46">
        <v>0</v>
      </c>
      <c r="Q500" t="s">
        <v>48</v>
      </c>
      <c r="R500" t="s">
        <v>48</v>
      </c>
      <c r="S500" t="s">
        <v>48</v>
      </c>
      <c r="T500" t="s">
        <v>48</v>
      </c>
      <c r="U500" t="s">
        <v>48</v>
      </c>
      <c r="V500" s="47">
        <v>1</v>
      </c>
      <c r="W500" t="s">
        <v>11264</v>
      </c>
      <c r="X500" t="s">
        <v>48</v>
      </c>
      <c r="Y500" t="s">
        <v>48</v>
      </c>
      <c r="Z500" t="s">
        <v>48</v>
      </c>
      <c r="AA500" t="s">
        <v>48</v>
      </c>
      <c r="AB500" t="s">
        <v>48</v>
      </c>
      <c r="AC500" t="s">
        <v>49</v>
      </c>
      <c r="AD500" t="s">
        <v>93</v>
      </c>
      <c r="AE500" t="s">
        <v>4532</v>
      </c>
      <c r="AF500" t="s">
        <v>48</v>
      </c>
      <c r="AG500" t="s">
        <v>48</v>
      </c>
      <c r="AH500" t="s">
        <v>48</v>
      </c>
      <c r="AI500" t="s">
        <v>48</v>
      </c>
      <c r="AJ500" t="s">
        <v>48</v>
      </c>
      <c r="AK500" t="s">
        <v>48</v>
      </c>
      <c r="AL500" t="s">
        <v>48</v>
      </c>
      <c r="AM500" t="s">
        <v>48</v>
      </c>
      <c r="AN500" t="s">
        <v>48</v>
      </c>
      <c r="AO500" t="s">
        <v>48</v>
      </c>
      <c r="AP500" s="46">
        <v>0</v>
      </c>
      <c r="AQ500" s="46">
        <v>0</v>
      </c>
      <c r="AR500" s="46">
        <v>0</v>
      </c>
      <c r="AS500" s="46">
        <v>0</v>
      </c>
      <c r="AT500" s="46">
        <v>0</v>
      </c>
      <c r="AU500" s="46">
        <v>0</v>
      </c>
      <c r="AV500" s="46">
        <v>0</v>
      </c>
      <c r="AW500" s="46">
        <v>0</v>
      </c>
      <c r="AX500" s="46">
        <v>0</v>
      </c>
      <c r="AY500" s="46">
        <v>0</v>
      </c>
      <c r="AZ500" s="46">
        <v>0</v>
      </c>
      <c r="BA500" s="46">
        <v>0</v>
      </c>
      <c r="BB500" s="46">
        <v>0</v>
      </c>
      <c r="BC500" s="46">
        <v>0</v>
      </c>
      <c r="BD500" s="46">
        <v>0</v>
      </c>
      <c r="BE500" s="46">
        <v>0</v>
      </c>
      <c r="BF500" s="46">
        <v>0</v>
      </c>
      <c r="BG500" s="46" t="s">
        <v>48</v>
      </c>
      <c r="BH500" s="46">
        <v>0</v>
      </c>
      <c r="BI500" s="46">
        <v>0</v>
      </c>
      <c r="BJ500" s="46">
        <v>0</v>
      </c>
      <c r="BK500" s="46">
        <v>0</v>
      </c>
      <c r="BL500" s="46">
        <v>0</v>
      </c>
      <c r="BM500" s="46">
        <v>0</v>
      </c>
      <c r="BN500" s="46">
        <v>0</v>
      </c>
    </row>
    <row r="501" spans="1:66" ht="15" x14ac:dyDescent="0.4">
      <c r="A501" t="s">
        <v>9444</v>
      </c>
      <c r="B501" t="s">
        <v>48</v>
      </c>
      <c r="C501" t="s">
        <v>11749</v>
      </c>
      <c r="D501" t="s">
        <v>335</v>
      </c>
      <c r="E501" t="s">
        <v>9445</v>
      </c>
      <c r="F501" t="s">
        <v>1603</v>
      </c>
      <c r="G501" t="s">
        <v>74</v>
      </c>
      <c r="H501">
        <v>0</v>
      </c>
      <c r="I501" s="61" t="s">
        <v>11160</v>
      </c>
      <c r="J501" s="33" t="s">
        <v>45</v>
      </c>
      <c r="K501" s="46">
        <v>0</v>
      </c>
      <c r="L501">
        <v>43.4</v>
      </c>
      <c r="M501" t="s">
        <v>48</v>
      </c>
      <c r="N501" s="46">
        <v>1</v>
      </c>
      <c r="O501" s="46">
        <v>0</v>
      </c>
      <c r="P501" s="46">
        <v>0</v>
      </c>
      <c r="Q501" t="s">
        <v>48</v>
      </c>
      <c r="R501" t="s">
        <v>48</v>
      </c>
      <c r="S501" s="55" t="s">
        <v>11262</v>
      </c>
      <c r="T501" t="s">
        <v>48</v>
      </c>
      <c r="U501" s="55" t="s">
        <v>11262</v>
      </c>
      <c r="V501" s="47">
        <v>1</v>
      </c>
      <c r="W501" t="s">
        <v>48</v>
      </c>
      <c r="X501" t="s">
        <v>48</v>
      </c>
      <c r="Y501" t="s">
        <v>48</v>
      </c>
      <c r="Z501" t="s">
        <v>48</v>
      </c>
      <c r="AA501" t="s">
        <v>48</v>
      </c>
      <c r="AB501" t="s">
        <v>48</v>
      </c>
      <c r="AC501" t="s">
        <v>49</v>
      </c>
      <c r="AD501" t="s">
        <v>93</v>
      </c>
      <c r="AE501" t="s">
        <v>4532</v>
      </c>
      <c r="AF501" t="s">
        <v>48</v>
      </c>
      <c r="AG501" t="s">
        <v>48</v>
      </c>
      <c r="AH501" t="s">
        <v>48</v>
      </c>
      <c r="AI501" t="s">
        <v>48</v>
      </c>
      <c r="AJ501" t="s">
        <v>48</v>
      </c>
      <c r="AK501" t="s">
        <v>48</v>
      </c>
      <c r="AL501" t="s">
        <v>48</v>
      </c>
      <c r="AM501" t="s">
        <v>48</v>
      </c>
      <c r="AN501" t="s">
        <v>48</v>
      </c>
      <c r="AO501" t="s">
        <v>48</v>
      </c>
      <c r="AP501" s="46">
        <v>0</v>
      </c>
      <c r="AQ501" s="46">
        <v>0</v>
      </c>
      <c r="AR501" s="46">
        <v>0</v>
      </c>
      <c r="AS501" s="46">
        <v>0</v>
      </c>
      <c r="AT501" s="46">
        <v>0</v>
      </c>
      <c r="AU501" s="46">
        <v>0</v>
      </c>
      <c r="AV501" s="46">
        <v>0</v>
      </c>
      <c r="AW501" s="46">
        <v>1</v>
      </c>
      <c r="AX501" s="46">
        <v>0</v>
      </c>
      <c r="AY501" s="46">
        <v>0</v>
      </c>
      <c r="AZ501" s="46">
        <v>0</v>
      </c>
      <c r="BA501" s="46">
        <v>0</v>
      </c>
      <c r="BB501" s="46">
        <v>0</v>
      </c>
      <c r="BC501" s="46">
        <v>0</v>
      </c>
      <c r="BD501" s="46">
        <v>0</v>
      </c>
      <c r="BE501" s="46">
        <v>0</v>
      </c>
      <c r="BF501" s="46">
        <v>0</v>
      </c>
      <c r="BG501" s="46" t="s">
        <v>48</v>
      </c>
      <c r="BH501" s="46">
        <v>0</v>
      </c>
      <c r="BI501" s="46">
        <v>0</v>
      </c>
      <c r="BJ501" s="46">
        <v>0</v>
      </c>
      <c r="BK501" s="46">
        <v>0</v>
      </c>
      <c r="BL501" s="46">
        <v>1</v>
      </c>
      <c r="BM501" s="46">
        <v>0</v>
      </c>
      <c r="BN501" s="46">
        <v>0</v>
      </c>
    </row>
    <row r="502" spans="1:66" x14ac:dyDescent="0.35">
      <c r="A502" t="s">
        <v>1602</v>
      </c>
      <c r="B502" s="44" t="s">
        <v>48</v>
      </c>
      <c r="C502" t="s">
        <v>1607</v>
      </c>
      <c r="D502" t="s">
        <v>566</v>
      </c>
      <c r="E502" t="s">
        <v>1604</v>
      </c>
      <c r="F502" t="s">
        <v>1603</v>
      </c>
      <c r="G502" t="s">
        <v>47</v>
      </c>
      <c r="H502">
        <v>0</v>
      </c>
      <c r="I502" s="60" t="s">
        <v>51</v>
      </c>
      <c r="J502" s="33" t="s">
        <v>45</v>
      </c>
      <c r="K502" s="46">
        <v>1</v>
      </c>
      <c r="L502">
        <v>65.5</v>
      </c>
      <c r="M502" t="s">
        <v>48</v>
      </c>
      <c r="N502" s="46">
        <v>1</v>
      </c>
      <c r="O502" s="46">
        <v>0</v>
      </c>
      <c r="P502" s="46">
        <v>0</v>
      </c>
      <c r="Q502" t="s">
        <v>48</v>
      </c>
      <c r="R502" t="s">
        <v>48</v>
      </c>
      <c r="S502" t="s">
        <v>1605</v>
      </c>
      <c r="T502" t="s">
        <v>1606</v>
      </c>
      <c r="U502" t="s">
        <v>1605</v>
      </c>
      <c r="V502" s="47">
        <v>0</v>
      </c>
      <c r="W502" t="s">
        <v>48</v>
      </c>
      <c r="X502" t="s">
        <v>48</v>
      </c>
      <c r="Y502" t="s">
        <v>48</v>
      </c>
      <c r="Z502">
        <v>1</v>
      </c>
      <c r="AA502" t="s">
        <v>48</v>
      </c>
      <c r="AB502">
        <v>2020</v>
      </c>
      <c r="AC502" t="s">
        <v>63</v>
      </c>
      <c r="AD502" t="s">
        <v>93</v>
      </c>
      <c r="AE502" t="s">
        <v>4532</v>
      </c>
      <c r="AF502" t="s">
        <v>48</v>
      </c>
      <c r="AG502" t="s">
        <v>48</v>
      </c>
      <c r="AH502" t="s">
        <v>48</v>
      </c>
      <c r="AI502">
        <v>22103</v>
      </c>
      <c r="AJ502">
        <v>1986</v>
      </c>
      <c r="AK502" t="s">
        <v>8784</v>
      </c>
      <c r="AL502" t="s">
        <v>8785</v>
      </c>
      <c r="AM502">
        <v>0.78700000000000003</v>
      </c>
      <c r="AN502">
        <v>-0.56799999999999995</v>
      </c>
      <c r="AO502">
        <v>0.78700000000000003</v>
      </c>
      <c r="AP502" s="46">
        <v>0</v>
      </c>
      <c r="AQ502" s="46">
        <v>0</v>
      </c>
      <c r="AR502" s="46">
        <v>0</v>
      </c>
      <c r="AS502" s="46">
        <v>0</v>
      </c>
      <c r="AT502" s="46">
        <v>0</v>
      </c>
      <c r="AU502" s="46">
        <v>0</v>
      </c>
      <c r="AV502" s="46">
        <v>0</v>
      </c>
      <c r="AW502" s="46">
        <v>0</v>
      </c>
      <c r="AX502" s="46">
        <v>0</v>
      </c>
      <c r="AY502" s="46">
        <v>0</v>
      </c>
      <c r="AZ502" s="46">
        <v>0</v>
      </c>
      <c r="BA502" s="46">
        <v>0</v>
      </c>
      <c r="BB502" s="46">
        <v>1</v>
      </c>
      <c r="BC502" s="46">
        <v>0</v>
      </c>
      <c r="BD502" s="46">
        <v>1</v>
      </c>
      <c r="BE502" s="46">
        <v>1</v>
      </c>
      <c r="BF502" s="46">
        <v>1</v>
      </c>
      <c r="BG502" s="46">
        <v>1</v>
      </c>
      <c r="BH502" s="46">
        <v>0</v>
      </c>
      <c r="BI502" s="46">
        <v>0</v>
      </c>
      <c r="BJ502" s="46">
        <v>0</v>
      </c>
      <c r="BK502" s="46">
        <v>0</v>
      </c>
      <c r="BL502" s="46">
        <v>0</v>
      </c>
      <c r="BM502" s="46">
        <v>0</v>
      </c>
      <c r="BN502" s="46">
        <v>1</v>
      </c>
    </row>
    <row r="503" spans="1:66" x14ac:dyDescent="0.35">
      <c r="A503" t="s">
        <v>1625</v>
      </c>
      <c r="B503" s="44" t="s">
        <v>48</v>
      </c>
      <c r="C503" t="s">
        <v>1629</v>
      </c>
      <c r="D503" t="s">
        <v>1628</v>
      </c>
      <c r="E503" t="s">
        <v>1626</v>
      </c>
      <c r="F503" t="s">
        <v>1620</v>
      </c>
      <c r="G503" t="s">
        <v>74</v>
      </c>
      <c r="H503">
        <v>0</v>
      </c>
      <c r="I503" s="60" t="s">
        <v>149</v>
      </c>
      <c r="J503" s="33" t="s">
        <v>45</v>
      </c>
      <c r="K503" s="46">
        <v>0</v>
      </c>
      <c r="L503">
        <v>100</v>
      </c>
      <c r="M503" t="s">
        <v>48</v>
      </c>
      <c r="N503" s="46">
        <v>1</v>
      </c>
      <c r="O503" s="46">
        <v>0</v>
      </c>
      <c r="P503" s="46">
        <v>0</v>
      </c>
      <c r="Q503" t="s">
        <v>48</v>
      </c>
      <c r="R503" t="s">
        <v>48</v>
      </c>
      <c r="S503" t="s">
        <v>1627</v>
      </c>
      <c r="T503" t="s">
        <v>48</v>
      </c>
      <c r="U503" t="s">
        <v>1627</v>
      </c>
      <c r="V503" s="47">
        <v>0</v>
      </c>
      <c r="W503" t="s">
        <v>48</v>
      </c>
      <c r="X503" t="s">
        <v>48</v>
      </c>
      <c r="Y503" t="s">
        <v>48</v>
      </c>
      <c r="Z503">
        <v>0</v>
      </c>
      <c r="AA503" t="s">
        <v>1165</v>
      </c>
      <c r="AB503" t="s">
        <v>48</v>
      </c>
      <c r="AC503" t="s">
        <v>49</v>
      </c>
      <c r="AD503" t="s">
        <v>93</v>
      </c>
      <c r="AE503" t="s">
        <v>4532</v>
      </c>
      <c r="AF503" t="s">
        <v>48</v>
      </c>
      <c r="AG503" t="s">
        <v>48</v>
      </c>
      <c r="AH503" t="s">
        <v>48</v>
      </c>
      <c r="AI503" t="s">
        <v>48</v>
      </c>
      <c r="AJ503" t="s">
        <v>48</v>
      </c>
      <c r="AK503" t="s">
        <v>48</v>
      </c>
      <c r="AL503" t="s">
        <v>48</v>
      </c>
      <c r="AM503" t="s">
        <v>48</v>
      </c>
      <c r="AN503" t="s">
        <v>48</v>
      </c>
      <c r="AO503" t="s">
        <v>48</v>
      </c>
      <c r="AP503" s="46">
        <v>0</v>
      </c>
      <c r="AQ503" s="46">
        <v>0</v>
      </c>
      <c r="AR503" s="46">
        <v>0</v>
      </c>
      <c r="AS503" s="46">
        <v>0</v>
      </c>
      <c r="AT503" s="46">
        <v>0</v>
      </c>
      <c r="AU503" s="46">
        <v>0</v>
      </c>
      <c r="AV503" s="46">
        <v>0</v>
      </c>
      <c r="AW503" s="46">
        <v>0</v>
      </c>
      <c r="AX503" s="46">
        <v>0</v>
      </c>
      <c r="AY503" s="46">
        <v>0</v>
      </c>
      <c r="AZ503" s="46">
        <v>0</v>
      </c>
      <c r="BA503" s="46">
        <v>0</v>
      </c>
      <c r="BB503" s="46">
        <v>0</v>
      </c>
      <c r="BC503" s="46">
        <v>0</v>
      </c>
      <c r="BD503" s="46">
        <v>0</v>
      </c>
      <c r="BE503" s="46">
        <v>0</v>
      </c>
      <c r="BF503" s="46">
        <v>0</v>
      </c>
      <c r="BG503" s="46" t="s">
        <v>48</v>
      </c>
      <c r="BH503" s="46">
        <v>0</v>
      </c>
      <c r="BI503" s="46">
        <v>0</v>
      </c>
      <c r="BJ503" s="46">
        <v>0</v>
      </c>
      <c r="BK503" s="46">
        <v>0</v>
      </c>
      <c r="BL503" s="46">
        <v>0</v>
      </c>
      <c r="BM503" s="46">
        <v>0</v>
      </c>
      <c r="BN503" s="46">
        <v>0</v>
      </c>
    </row>
    <row r="504" spans="1:66" x14ac:dyDescent="0.35">
      <c r="A504" t="s">
        <v>1619</v>
      </c>
      <c r="B504" s="44" t="s">
        <v>48</v>
      </c>
      <c r="C504" t="s">
        <v>1624</v>
      </c>
      <c r="D504" t="s">
        <v>1380</v>
      </c>
      <c r="E504" t="s">
        <v>1621</v>
      </c>
      <c r="F504" t="s">
        <v>1620</v>
      </c>
      <c r="G504" t="s">
        <v>47</v>
      </c>
      <c r="H504">
        <v>0</v>
      </c>
      <c r="I504" s="60" t="s">
        <v>51</v>
      </c>
      <c r="J504" s="33" t="s">
        <v>45</v>
      </c>
      <c r="K504" s="46">
        <v>1</v>
      </c>
      <c r="L504">
        <v>74.400000000000006</v>
      </c>
      <c r="M504" t="s">
        <v>48</v>
      </c>
      <c r="N504" s="46">
        <v>1</v>
      </c>
      <c r="O504" s="46">
        <v>0</v>
      </c>
      <c r="P504" s="46">
        <v>0</v>
      </c>
      <c r="Q504" t="s">
        <v>48</v>
      </c>
      <c r="R504" t="s">
        <v>48</v>
      </c>
      <c r="S504" t="s">
        <v>1622</v>
      </c>
      <c r="T504" t="s">
        <v>1623</v>
      </c>
      <c r="U504" t="s">
        <v>1622</v>
      </c>
      <c r="V504" s="47">
        <v>0</v>
      </c>
      <c r="W504" t="s">
        <v>48</v>
      </c>
      <c r="X504" t="s">
        <v>48</v>
      </c>
      <c r="Y504" t="s">
        <v>48</v>
      </c>
      <c r="Z504">
        <v>0</v>
      </c>
      <c r="AA504" t="s">
        <v>48</v>
      </c>
      <c r="AB504">
        <v>2014</v>
      </c>
      <c r="AC504" t="s">
        <v>49</v>
      </c>
      <c r="AD504" t="s">
        <v>93</v>
      </c>
      <c r="AE504" t="s">
        <v>4532</v>
      </c>
      <c r="AF504" t="s">
        <v>48</v>
      </c>
      <c r="AG504" t="s">
        <v>112</v>
      </c>
      <c r="AH504" t="s">
        <v>93</v>
      </c>
      <c r="AI504">
        <v>21510</v>
      </c>
      <c r="AJ504">
        <v>1959</v>
      </c>
      <c r="AK504" t="s">
        <v>8786</v>
      </c>
      <c r="AL504" t="s">
        <v>8787</v>
      </c>
      <c r="AM504">
        <v>0.71699999999999997</v>
      </c>
      <c r="AN504">
        <v>-0.42099999999999999</v>
      </c>
      <c r="AO504">
        <v>0.71699999999999997</v>
      </c>
      <c r="AP504" s="46">
        <v>0</v>
      </c>
      <c r="AQ504" s="46">
        <v>0</v>
      </c>
      <c r="AR504" s="46">
        <v>0</v>
      </c>
      <c r="AS504" s="46">
        <v>0</v>
      </c>
      <c r="AT504" s="46">
        <v>0</v>
      </c>
      <c r="AU504" s="46">
        <v>0</v>
      </c>
      <c r="AV504" s="46">
        <v>0</v>
      </c>
      <c r="AW504" s="46">
        <v>0</v>
      </c>
      <c r="AX504" s="46">
        <v>0</v>
      </c>
      <c r="AY504" s="46">
        <v>0</v>
      </c>
      <c r="AZ504" s="46">
        <v>0</v>
      </c>
      <c r="BA504" s="46">
        <v>0</v>
      </c>
      <c r="BB504" s="46">
        <v>1</v>
      </c>
      <c r="BC504" s="46">
        <v>0</v>
      </c>
      <c r="BD504" s="46">
        <v>0</v>
      </c>
      <c r="BE504" s="46">
        <v>0</v>
      </c>
      <c r="BF504" s="46">
        <v>1</v>
      </c>
      <c r="BG504" s="46" t="s">
        <v>48</v>
      </c>
      <c r="BH504" s="46">
        <v>0</v>
      </c>
      <c r="BI504" s="46">
        <v>0</v>
      </c>
      <c r="BJ504" s="46">
        <v>0</v>
      </c>
      <c r="BK504" s="46">
        <v>0</v>
      </c>
      <c r="BL504" s="46">
        <v>0</v>
      </c>
      <c r="BM504" s="46">
        <v>0</v>
      </c>
      <c r="BN504" s="46">
        <v>1</v>
      </c>
    </row>
    <row r="505" spans="1:66" ht="15" x14ac:dyDescent="0.4">
      <c r="A505" t="s">
        <v>9452</v>
      </c>
      <c r="B505" s="44" t="s">
        <v>48</v>
      </c>
      <c r="C505" t="s">
        <v>646</v>
      </c>
      <c r="D505" t="s">
        <v>268</v>
      </c>
      <c r="E505" t="s">
        <v>9453</v>
      </c>
      <c r="F505" t="s">
        <v>1630</v>
      </c>
      <c r="G505" t="s">
        <v>74</v>
      </c>
      <c r="H505">
        <v>0</v>
      </c>
      <c r="I505" s="61" t="s">
        <v>11160</v>
      </c>
      <c r="J505" s="33" t="s">
        <v>45</v>
      </c>
      <c r="K505" s="46">
        <v>0</v>
      </c>
      <c r="L505">
        <v>54.6</v>
      </c>
      <c r="M505" t="s">
        <v>48</v>
      </c>
      <c r="N505" s="46">
        <v>1</v>
      </c>
      <c r="O505" s="46">
        <v>0</v>
      </c>
      <c r="P505" s="46">
        <v>0</v>
      </c>
      <c r="Q505" t="s">
        <v>48</v>
      </c>
      <c r="R505" t="s">
        <v>48</v>
      </c>
      <c r="S505" s="55" t="s">
        <v>11263</v>
      </c>
      <c r="T505" t="s">
        <v>48</v>
      </c>
      <c r="U505" s="55" t="s">
        <v>11263</v>
      </c>
      <c r="V505" s="47">
        <v>1</v>
      </c>
      <c r="W505" t="s">
        <v>48</v>
      </c>
      <c r="X505" t="s">
        <v>48</v>
      </c>
      <c r="Y505" t="s">
        <v>48</v>
      </c>
      <c r="Z505" t="s">
        <v>48</v>
      </c>
      <c r="AA505" s="73" t="s">
        <v>12414</v>
      </c>
      <c r="AB505" t="s">
        <v>48</v>
      </c>
      <c r="AC505" t="s">
        <v>49</v>
      </c>
      <c r="AD505" t="s">
        <v>951</v>
      </c>
      <c r="AE505" t="s">
        <v>11051</v>
      </c>
      <c r="AF505" t="s">
        <v>11074</v>
      </c>
      <c r="AG505" t="s">
        <v>48</v>
      </c>
      <c r="AH505" t="s">
        <v>48</v>
      </c>
      <c r="AI505" t="s">
        <v>48</v>
      </c>
      <c r="AJ505" t="s">
        <v>48</v>
      </c>
      <c r="AK505" t="s">
        <v>48</v>
      </c>
      <c r="AL505" t="s">
        <v>48</v>
      </c>
      <c r="AM505" t="s">
        <v>48</v>
      </c>
      <c r="AN505" t="s">
        <v>48</v>
      </c>
      <c r="AO505" t="s">
        <v>48</v>
      </c>
      <c r="AP505" s="46">
        <v>0</v>
      </c>
      <c r="AQ505" s="46">
        <v>0</v>
      </c>
      <c r="AR505" s="46">
        <v>0</v>
      </c>
      <c r="AS505" s="46">
        <v>0</v>
      </c>
      <c r="AT505" s="46">
        <v>0</v>
      </c>
      <c r="AU505" s="46">
        <v>0</v>
      </c>
      <c r="AV505" s="46">
        <v>0</v>
      </c>
      <c r="AW505" s="46">
        <v>0</v>
      </c>
      <c r="AX505" s="46">
        <v>0</v>
      </c>
      <c r="AY505" s="46">
        <v>0</v>
      </c>
      <c r="AZ505" s="46">
        <v>0</v>
      </c>
      <c r="BA505" s="46">
        <v>0</v>
      </c>
      <c r="BB505" s="46">
        <v>0</v>
      </c>
      <c r="BC505" s="46">
        <v>0</v>
      </c>
      <c r="BD505" s="46">
        <v>0</v>
      </c>
      <c r="BE505" s="46">
        <v>0</v>
      </c>
      <c r="BF505" s="46">
        <v>0</v>
      </c>
      <c r="BG505" s="46" t="s">
        <v>48</v>
      </c>
      <c r="BH505" s="46">
        <v>0</v>
      </c>
      <c r="BI505" s="46">
        <v>0</v>
      </c>
      <c r="BJ505" s="46">
        <v>0</v>
      </c>
      <c r="BK505" s="46">
        <v>0</v>
      </c>
      <c r="BL505" s="46">
        <v>0</v>
      </c>
      <c r="BM505" s="46">
        <v>0</v>
      </c>
      <c r="BN505" s="46">
        <v>0</v>
      </c>
    </row>
    <row r="506" spans="1:66" x14ac:dyDescent="0.35">
      <c r="A506" t="s">
        <v>1645</v>
      </c>
      <c r="B506" s="44" t="s">
        <v>48</v>
      </c>
      <c r="C506" t="s">
        <v>1648</v>
      </c>
      <c r="D506" t="s">
        <v>858</v>
      </c>
      <c r="E506" t="s">
        <v>1646</v>
      </c>
      <c r="F506" t="s">
        <v>1630</v>
      </c>
      <c r="G506" t="s">
        <v>47</v>
      </c>
      <c r="H506">
        <v>0</v>
      </c>
      <c r="I506" s="60" t="s">
        <v>51</v>
      </c>
      <c r="J506" s="33" t="s">
        <v>45</v>
      </c>
      <c r="K506" s="46">
        <v>1</v>
      </c>
      <c r="L506">
        <v>48.3</v>
      </c>
      <c r="M506" t="s">
        <v>48</v>
      </c>
      <c r="N506" s="46">
        <v>1</v>
      </c>
      <c r="O506" s="46">
        <v>0</v>
      </c>
      <c r="P506" s="46">
        <v>0</v>
      </c>
      <c r="Q506" t="s">
        <v>48</v>
      </c>
      <c r="R506" t="s">
        <v>48</v>
      </c>
      <c r="S506" t="s">
        <v>48</v>
      </c>
      <c r="T506" t="s">
        <v>1647</v>
      </c>
      <c r="U506" t="s">
        <v>48</v>
      </c>
      <c r="V506" s="47">
        <v>0</v>
      </c>
      <c r="W506" t="s">
        <v>48</v>
      </c>
      <c r="X506" t="s">
        <v>48</v>
      </c>
      <c r="Y506" t="s">
        <v>48</v>
      </c>
      <c r="Z506">
        <v>0</v>
      </c>
      <c r="AA506" t="s">
        <v>48</v>
      </c>
      <c r="AB506">
        <v>2006</v>
      </c>
      <c r="AC506" t="s">
        <v>49</v>
      </c>
      <c r="AD506" t="s">
        <v>93</v>
      </c>
      <c r="AE506" t="s">
        <v>4532</v>
      </c>
      <c r="AF506" t="s">
        <v>48</v>
      </c>
      <c r="AG506" t="s">
        <v>112</v>
      </c>
      <c r="AH506" t="s">
        <v>93</v>
      </c>
      <c r="AI506">
        <v>20704</v>
      </c>
      <c r="AJ506">
        <v>1954</v>
      </c>
      <c r="AK506" t="s">
        <v>8788</v>
      </c>
      <c r="AL506" t="s">
        <v>8789</v>
      </c>
      <c r="AM506">
        <v>0.67100000000000004</v>
      </c>
      <c r="AN506">
        <v>0.21099999999999999</v>
      </c>
      <c r="AO506">
        <v>0.67100000000000004</v>
      </c>
      <c r="AP506" s="46">
        <v>0</v>
      </c>
      <c r="AQ506" s="46">
        <v>0</v>
      </c>
      <c r="AR506" s="46">
        <v>0</v>
      </c>
      <c r="AS506" s="46">
        <v>0</v>
      </c>
      <c r="AT506" s="46">
        <v>0</v>
      </c>
      <c r="AU506" s="46">
        <v>0</v>
      </c>
      <c r="AV506" s="46">
        <v>0</v>
      </c>
      <c r="AW506" s="46">
        <v>0</v>
      </c>
      <c r="AX506" s="46">
        <v>0</v>
      </c>
      <c r="AY506" s="46">
        <v>0</v>
      </c>
      <c r="AZ506" s="46">
        <v>0</v>
      </c>
      <c r="BA506" s="46">
        <v>0</v>
      </c>
      <c r="BB506" s="46">
        <v>1</v>
      </c>
      <c r="BC506" s="46">
        <v>0</v>
      </c>
      <c r="BD506" s="46">
        <v>0</v>
      </c>
      <c r="BE506" s="46">
        <v>0</v>
      </c>
      <c r="BF506" s="46">
        <v>0</v>
      </c>
      <c r="BG506" s="46">
        <v>1</v>
      </c>
      <c r="BH506" s="46">
        <v>0</v>
      </c>
      <c r="BI506" s="46">
        <v>0</v>
      </c>
      <c r="BJ506" s="46">
        <v>0</v>
      </c>
      <c r="BK506" s="46">
        <v>0</v>
      </c>
      <c r="BL506" s="46">
        <v>0</v>
      </c>
      <c r="BM506" s="46">
        <v>0</v>
      </c>
      <c r="BN506" s="46">
        <v>1</v>
      </c>
    </row>
    <row r="507" spans="1:66" x14ac:dyDescent="0.35">
      <c r="A507" t="s">
        <v>1662</v>
      </c>
      <c r="B507" s="44" t="s">
        <v>48</v>
      </c>
      <c r="C507" t="s">
        <v>1665</v>
      </c>
      <c r="D507" t="s">
        <v>1005</v>
      </c>
      <c r="E507" t="s">
        <v>1663</v>
      </c>
      <c r="F507" t="s">
        <v>1657</v>
      </c>
      <c r="G507" t="s">
        <v>214</v>
      </c>
      <c r="H507">
        <v>0</v>
      </c>
      <c r="I507" s="60" t="s">
        <v>51</v>
      </c>
      <c r="J507" s="33" t="s">
        <v>45</v>
      </c>
      <c r="K507" s="46">
        <v>0</v>
      </c>
      <c r="L507" t="s">
        <v>48</v>
      </c>
      <c r="M507" t="s">
        <v>48</v>
      </c>
      <c r="N507" s="46">
        <v>1</v>
      </c>
      <c r="O507" s="46">
        <v>0</v>
      </c>
      <c r="P507" s="46">
        <v>0</v>
      </c>
      <c r="Q507" t="s">
        <v>48</v>
      </c>
      <c r="R507" t="s">
        <v>48</v>
      </c>
      <c r="S507" t="s">
        <v>1664</v>
      </c>
      <c r="T507" t="s">
        <v>48</v>
      </c>
      <c r="U507" t="s">
        <v>1664</v>
      </c>
      <c r="V507" s="47">
        <v>0</v>
      </c>
      <c r="W507" t="s">
        <v>48</v>
      </c>
      <c r="X507" t="s">
        <v>48</v>
      </c>
      <c r="Y507" t="s">
        <v>48</v>
      </c>
      <c r="Z507">
        <v>0</v>
      </c>
      <c r="AA507" t="s">
        <v>48</v>
      </c>
      <c r="AB507" t="s">
        <v>48</v>
      </c>
      <c r="AC507" t="s">
        <v>49</v>
      </c>
      <c r="AD507" t="s">
        <v>93</v>
      </c>
      <c r="AE507" t="s">
        <v>4532</v>
      </c>
      <c r="AF507" t="s">
        <v>48</v>
      </c>
      <c r="AG507" t="s">
        <v>950</v>
      </c>
      <c r="AH507" t="s">
        <v>48</v>
      </c>
      <c r="AI507" t="s">
        <v>48</v>
      </c>
      <c r="AJ507" t="s">
        <v>48</v>
      </c>
      <c r="AK507" t="s">
        <v>48</v>
      </c>
      <c r="AL507" t="s">
        <v>48</v>
      </c>
      <c r="AM507" t="s">
        <v>48</v>
      </c>
      <c r="AN507" t="s">
        <v>48</v>
      </c>
      <c r="AO507" t="s">
        <v>48</v>
      </c>
      <c r="AP507" s="46">
        <v>0</v>
      </c>
      <c r="AQ507" s="46">
        <v>0</v>
      </c>
      <c r="AR507" s="46">
        <v>0</v>
      </c>
      <c r="AS507" s="46">
        <v>0</v>
      </c>
      <c r="AT507" s="46">
        <v>0</v>
      </c>
      <c r="AU507" s="46">
        <v>0</v>
      </c>
      <c r="AV507" s="46">
        <v>0</v>
      </c>
      <c r="AW507" s="46">
        <v>0</v>
      </c>
      <c r="AX507" s="46">
        <v>0</v>
      </c>
      <c r="AY507" s="46">
        <v>0</v>
      </c>
      <c r="AZ507" s="46">
        <v>0</v>
      </c>
      <c r="BA507" s="46">
        <v>0</v>
      </c>
      <c r="BB507" s="46">
        <v>0</v>
      </c>
      <c r="BC507" s="46">
        <v>0</v>
      </c>
      <c r="BD507" s="46">
        <v>0</v>
      </c>
      <c r="BE507" s="46">
        <v>0</v>
      </c>
      <c r="BF507" s="46">
        <v>0</v>
      </c>
      <c r="BG507" s="46" t="s">
        <v>48</v>
      </c>
      <c r="BH507" s="46">
        <v>0</v>
      </c>
      <c r="BI507" s="46">
        <v>0</v>
      </c>
      <c r="BJ507" s="46">
        <v>0</v>
      </c>
      <c r="BK507" s="46">
        <v>0</v>
      </c>
      <c r="BL507" s="46">
        <v>0</v>
      </c>
      <c r="BM507" s="46">
        <v>0</v>
      </c>
      <c r="BN507" s="46">
        <v>0</v>
      </c>
    </row>
    <row r="508" spans="1:66" x14ac:dyDescent="0.35">
      <c r="A508" t="s">
        <v>1656</v>
      </c>
      <c r="B508" t="s">
        <v>48</v>
      </c>
      <c r="C508" t="s">
        <v>1661</v>
      </c>
      <c r="D508" t="s">
        <v>331</v>
      </c>
      <c r="E508" t="s">
        <v>1658</v>
      </c>
      <c r="F508" t="s">
        <v>1657</v>
      </c>
      <c r="G508" t="s">
        <v>74</v>
      </c>
      <c r="H508">
        <v>0</v>
      </c>
      <c r="I508" s="61" t="s">
        <v>11160</v>
      </c>
      <c r="J508" s="33" t="s">
        <v>45</v>
      </c>
      <c r="K508" s="46">
        <v>1</v>
      </c>
      <c r="L508">
        <v>100</v>
      </c>
      <c r="M508" t="s">
        <v>48</v>
      </c>
      <c r="N508" s="46">
        <v>1</v>
      </c>
      <c r="O508" s="46">
        <v>0</v>
      </c>
      <c r="P508" s="46">
        <v>0</v>
      </c>
      <c r="Q508" t="s">
        <v>48</v>
      </c>
      <c r="R508" t="s">
        <v>48</v>
      </c>
      <c r="S508" t="s">
        <v>11353</v>
      </c>
      <c r="T508" t="s">
        <v>1660</v>
      </c>
      <c r="U508" t="s">
        <v>1659</v>
      </c>
      <c r="V508" s="47">
        <v>0</v>
      </c>
      <c r="W508" t="s">
        <v>48</v>
      </c>
      <c r="X508" t="s">
        <v>48</v>
      </c>
      <c r="Y508" t="s">
        <v>48</v>
      </c>
      <c r="Z508">
        <v>0</v>
      </c>
      <c r="AA508" t="s">
        <v>48</v>
      </c>
      <c r="AB508">
        <v>2018</v>
      </c>
      <c r="AC508" t="s">
        <v>49</v>
      </c>
      <c r="AD508" t="s">
        <v>93</v>
      </c>
      <c r="AE508" t="s">
        <v>4532</v>
      </c>
      <c r="AF508" t="s">
        <v>48</v>
      </c>
      <c r="AG508" t="s">
        <v>112</v>
      </c>
      <c r="AH508" t="s">
        <v>93</v>
      </c>
      <c r="AI508">
        <v>21912</v>
      </c>
      <c r="AJ508">
        <v>1979</v>
      </c>
      <c r="AK508" t="s">
        <v>8790</v>
      </c>
      <c r="AL508" t="s">
        <v>8791</v>
      </c>
      <c r="AM508">
        <v>-0.27900000000000003</v>
      </c>
      <c r="AN508">
        <v>0.36799999999999999</v>
      </c>
      <c r="AO508">
        <v>-0.27900000000000003</v>
      </c>
      <c r="AP508" s="46">
        <v>0</v>
      </c>
      <c r="AQ508" s="46">
        <v>0</v>
      </c>
      <c r="AR508" s="46">
        <v>0</v>
      </c>
      <c r="AS508" s="46">
        <v>0</v>
      </c>
      <c r="AT508" s="46">
        <v>0</v>
      </c>
      <c r="AU508" s="46">
        <v>1</v>
      </c>
      <c r="AV508" s="46">
        <v>0</v>
      </c>
      <c r="AW508" s="46">
        <v>0</v>
      </c>
      <c r="AX508" s="46">
        <v>0</v>
      </c>
      <c r="AY508" s="46">
        <v>0</v>
      </c>
      <c r="AZ508" s="46">
        <v>0</v>
      </c>
      <c r="BA508" s="46">
        <v>0</v>
      </c>
      <c r="BB508" s="46">
        <v>0</v>
      </c>
      <c r="BC508" s="46">
        <v>0</v>
      </c>
      <c r="BD508" s="46">
        <v>0</v>
      </c>
      <c r="BE508" s="46">
        <v>0</v>
      </c>
      <c r="BF508" s="46">
        <v>0</v>
      </c>
      <c r="BG508" s="46" t="s">
        <v>48</v>
      </c>
      <c r="BH508" s="46">
        <v>0</v>
      </c>
      <c r="BI508" s="46">
        <v>0</v>
      </c>
      <c r="BJ508" s="46">
        <v>0</v>
      </c>
      <c r="BK508" s="46">
        <v>0</v>
      </c>
      <c r="BL508" s="46">
        <v>0</v>
      </c>
      <c r="BM508" s="46">
        <v>0</v>
      </c>
      <c r="BN508" s="46">
        <v>0</v>
      </c>
    </row>
    <row r="509" spans="1:66" ht="15" x14ac:dyDescent="0.4">
      <c r="A509" t="s">
        <v>9454</v>
      </c>
      <c r="B509" s="44" t="s">
        <v>48</v>
      </c>
      <c r="C509" t="s">
        <v>11751</v>
      </c>
      <c r="D509" t="s">
        <v>76</v>
      </c>
      <c r="E509" t="s">
        <v>9455</v>
      </c>
      <c r="F509" t="s">
        <v>1657</v>
      </c>
      <c r="G509" t="s">
        <v>47</v>
      </c>
      <c r="H509">
        <v>0</v>
      </c>
      <c r="I509" s="61" t="s">
        <v>11160</v>
      </c>
      <c r="J509" s="33" t="s">
        <v>45</v>
      </c>
      <c r="K509" s="46">
        <v>0</v>
      </c>
      <c r="L509">
        <v>100</v>
      </c>
      <c r="M509" t="s">
        <v>48</v>
      </c>
      <c r="N509" s="46">
        <v>1</v>
      </c>
      <c r="O509" s="46">
        <v>0</v>
      </c>
      <c r="P509" s="46">
        <v>0</v>
      </c>
      <c r="Q509" t="s">
        <v>48</v>
      </c>
      <c r="R509" t="s">
        <v>48</v>
      </c>
      <c r="S509" s="55" t="s">
        <v>11293</v>
      </c>
      <c r="T509" t="s">
        <v>48</v>
      </c>
      <c r="U509" s="55" t="s">
        <v>11293</v>
      </c>
      <c r="V509" s="47">
        <v>1</v>
      </c>
      <c r="W509" t="s">
        <v>48</v>
      </c>
      <c r="X509" t="s">
        <v>48</v>
      </c>
      <c r="Y509" t="s">
        <v>48</v>
      </c>
      <c r="Z509" t="s">
        <v>48</v>
      </c>
      <c r="AA509" t="s">
        <v>48</v>
      </c>
      <c r="AB509" t="s">
        <v>48</v>
      </c>
      <c r="AC509" t="s">
        <v>49</v>
      </c>
      <c r="AD509" t="s">
        <v>93</v>
      </c>
      <c r="AE509" t="s">
        <v>4532</v>
      </c>
      <c r="AF509" t="s">
        <v>48</v>
      </c>
      <c r="AG509" t="s">
        <v>48</v>
      </c>
      <c r="AH509" t="s">
        <v>48</v>
      </c>
      <c r="AI509" t="s">
        <v>48</v>
      </c>
      <c r="AJ509" t="s">
        <v>48</v>
      </c>
      <c r="AK509" t="s">
        <v>48</v>
      </c>
      <c r="AL509" t="s">
        <v>48</v>
      </c>
      <c r="AM509" t="s">
        <v>48</v>
      </c>
      <c r="AN509" t="s">
        <v>48</v>
      </c>
      <c r="AO509" t="s">
        <v>48</v>
      </c>
      <c r="AP509" s="46">
        <v>0</v>
      </c>
      <c r="AQ509" s="46">
        <v>0</v>
      </c>
      <c r="AR509" s="46">
        <v>0</v>
      </c>
      <c r="AS509" s="46">
        <v>0</v>
      </c>
      <c r="AT509" s="46">
        <v>0</v>
      </c>
      <c r="AU509" s="46">
        <v>0</v>
      </c>
      <c r="AV509" s="46">
        <v>0</v>
      </c>
      <c r="AW509" s="46">
        <v>0</v>
      </c>
      <c r="AX509" s="46">
        <v>0</v>
      </c>
      <c r="AY509" s="46">
        <v>0</v>
      </c>
      <c r="AZ509" s="46">
        <v>0</v>
      </c>
      <c r="BA509" s="46">
        <v>0</v>
      </c>
      <c r="BB509" s="46">
        <v>0</v>
      </c>
      <c r="BC509" s="46">
        <v>0</v>
      </c>
      <c r="BD509" s="46">
        <v>0</v>
      </c>
      <c r="BE509" s="46">
        <v>0</v>
      </c>
      <c r="BF509" s="46">
        <v>0</v>
      </c>
      <c r="BG509" s="46" t="s">
        <v>48</v>
      </c>
      <c r="BH509" s="46">
        <v>0</v>
      </c>
      <c r="BI509" s="46">
        <v>0</v>
      </c>
      <c r="BJ509" s="46">
        <v>0</v>
      </c>
      <c r="BK509" s="46">
        <v>0</v>
      </c>
      <c r="BL509" s="46">
        <v>0</v>
      </c>
      <c r="BM509" s="46">
        <v>0</v>
      </c>
      <c r="BN509" s="46">
        <v>0</v>
      </c>
    </row>
    <row r="510" spans="1:66" x14ac:dyDescent="0.35">
      <c r="A510" t="s">
        <v>1671</v>
      </c>
      <c r="B510" s="44" t="s">
        <v>48</v>
      </c>
      <c r="C510" t="s">
        <v>1675</v>
      </c>
      <c r="D510" t="s">
        <v>1674</v>
      </c>
      <c r="E510" t="s">
        <v>1672</v>
      </c>
      <c r="F510" t="s">
        <v>111</v>
      </c>
      <c r="G510" t="s">
        <v>74</v>
      </c>
      <c r="H510">
        <v>0</v>
      </c>
      <c r="I510" s="60" t="s">
        <v>881</v>
      </c>
      <c r="J510" s="33" t="s">
        <v>45</v>
      </c>
      <c r="K510" s="46">
        <v>0</v>
      </c>
      <c r="L510">
        <v>100</v>
      </c>
      <c r="M510" t="s">
        <v>48</v>
      </c>
      <c r="N510" s="46">
        <v>1</v>
      </c>
      <c r="O510" s="46">
        <v>0</v>
      </c>
      <c r="P510" s="46">
        <v>0</v>
      </c>
      <c r="Q510" t="s">
        <v>48</v>
      </c>
      <c r="R510" t="s">
        <v>48</v>
      </c>
      <c r="S510" t="s">
        <v>1673</v>
      </c>
      <c r="T510" t="s">
        <v>48</v>
      </c>
      <c r="U510" t="s">
        <v>1673</v>
      </c>
      <c r="V510" s="47">
        <v>0</v>
      </c>
      <c r="W510" t="s">
        <v>48</v>
      </c>
      <c r="X510" t="s">
        <v>48</v>
      </c>
      <c r="Y510" t="s">
        <v>48</v>
      </c>
      <c r="Z510">
        <v>0</v>
      </c>
      <c r="AA510" t="s">
        <v>48</v>
      </c>
      <c r="AB510" t="s">
        <v>48</v>
      </c>
      <c r="AC510" t="s">
        <v>49</v>
      </c>
      <c r="AD510" t="s">
        <v>93</v>
      </c>
      <c r="AE510" t="s">
        <v>4532</v>
      </c>
      <c r="AF510" t="s">
        <v>48</v>
      </c>
      <c r="AG510" t="s">
        <v>48</v>
      </c>
      <c r="AH510" t="s">
        <v>48</v>
      </c>
      <c r="AI510" t="s">
        <v>48</v>
      </c>
      <c r="AJ510" t="s">
        <v>48</v>
      </c>
      <c r="AK510" t="s">
        <v>48</v>
      </c>
      <c r="AL510" t="s">
        <v>48</v>
      </c>
      <c r="AM510" t="s">
        <v>48</v>
      </c>
      <c r="AN510" t="s">
        <v>48</v>
      </c>
      <c r="AO510" t="s">
        <v>48</v>
      </c>
      <c r="AP510" s="46">
        <v>0</v>
      </c>
      <c r="AQ510" s="46">
        <v>0</v>
      </c>
      <c r="AR510" s="46">
        <v>0</v>
      </c>
      <c r="AS510" s="46">
        <v>0</v>
      </c>
      <c r="AT510" s="46">
        <v>0</v>
      </c>
      <c r="AU510" s="46">
        <v>0</v>
      </c>
      <c r="AV510" s="46">
        <v>0</v>
      </c>
      <c r="AW510" s="46">
        <v>0</v>
      </c>
      <c r="AX510" s="46">
        <v>0</v>
      </c>
      <c r="AY510" s="46">
        <v>0</v>
      </c>
      <c r="AZ510" s="46">
        <v>0</v>
      </c>
      <c r="BA510" s="46">
        <v>0</v>
      </c>
      <c r="BB510" s="46">
        <v>0</v>
      </c>
      <c r="BC510" s="46">
        <v>0</v>
      </c>
      <c r="BD510" s="46">
        <v>0</v>
      </c>
      <c r="BE510" s="46">
        <v>0</v>
      </c>
      <c r="BF510" s="46">
        <v>0</v>
      </c>
      <c r="BG510" s="46" t="s">
        <v>48</v>
      </c>
      <c r="BH510" s="46">
        <v>0</v>
      </c>
      <c r="BI510" s="46">
        <v>0</v>
      </c>
      <c r="BJ510" s="46">
        <v>0</v>
      </c>
      <c r="BK510" s="46">
        <v>0</v>
      </c>
      <c r="BL510" s="46">
        <v>0</v>
      </c>
      <c r="BM510" s="46">
        <v>0</v>
      </c>
      <c r="BN510" s="46">
        <v>0</v>
      </c>
    </row>
    <row r="511" spans="1:66" x14ac:dyDescent="0.35">
      <c r="A511" t="s">
        <v>1712</v>
      </c>
      <c r="B511" s="44" t="s">
        <v>48</v>
      </c>
      <c r="C511" t="s">
        <v>1715</v>
      </c>
      <c r="D511" t="s">
        <v>1578</v>
      </c>
      <c r="E511" t="s">
        <v>9456</v>
      </c>
      <c r="F511" t="s">
        <v>111</v>
      </c>
      <c r="G511" t="s">
        <v>47</v>
      </c>
      <c r="H511">
        <v>0</v>
      </c>
      <c r="I511" s="61">
        <v>44741</v>
      </c>
      <c r="J511" s="33" t="s">
        <v>45</v>
      </c>
      <c r="K511" s="46">
        <v>0</v>
      </c>
      <c r="L511">
        <v>47.9</v>
      </c>
      <c r="M511" t="s">
        <v>48</v>
      </c>
      <c r="N511" s="46">
        <v>1</v>
      </c>
      <c r="O511" s="46">
        <v>0</v>
      </c>
      <c r="P511" s="46">
        <v>0</v>
      </c>
      <c r="Q511" t="s">
        <v>48</v>
      </c>
      <c r="R511" t="s">
        <v>48</v>
      </c>
      <c r="S511" t="s">
        <v>1714</v>
      </c>
      <c r="T511" t="s">
        <v>48</v>
      </c>
      <c r="U511" t="s">
        <v>1714</v>
      </c>
      <c r="V511" s="47">
        <v>0</v>
      </c>
      <c r="W511" t="s">
        <v>48</v>
      </c>
      <c r="X511" t="s">
        <v>48</v>
      </c>
      <c r="Y511" t="s">
        <v>48</v>
      </c>
      <c r="Z511">
        <v>0</v>
      </c>
      <c r="AA511" t="s">
        <v>48</v>
      </c>
      <c r="AB511" t="s">
        <v>48</v>
      </c>
      <c r="AC511" t="s">
        <v>49</v>
      </c>
      <c r="AD511" t="s">
        <v>93</v>
      </c>
      <c r="AE511" t="s">
        <v>4532</v>
      </c>
      <c r="AF511" t="s">
        <v>48</v>
      </c>
      <c r="AG511" t="s">
        <v>48</v>
      </c>
      <c r="AH511" t="s">
        <v>48</v>
      </c>
      <c r="AI511" t="s">
        <v>48</v>
      </c>
      <c r="AJ511" t="s">
        <v>48</v>
      </c>
      <c r="AK511" t="s">
        <v>48</v>
      </c>
      <c r="AL511" t="s">
        <v>48</v>
      </c>
      <c r="AM511" t="s">
        <v>48</v>
      </c>
      <c r="AN511" t="s">
        <v>48</v>
      </c>
      <c r="AO511" t="s">
        <v>48</v>
      </c>
      <c r="AP511" s="46">
        <v>0</v>
      </c>
      <c r="AQ511" s="46">
        <v>0</v>
      </c>
      <c r="AR511" s="46">
        <v>0</v>
      </c>
      <c r="AS511" s="46">
        <v>0</v>
      </c>
      <c r="AT511" s="46">
        <v>0</v>
      </c>
      <c r="AU511" s="46">
        <v>0</v>
      </c>
      <c r="AV511" s="46">
        <v>0</v>
      </c>
      <c r="AW511" s="46">
        <v>0</v>
      </c>
      <c r="AX511" s="46">
        <v>0</v>
      </c>
      <c r="AY511" s="46">
        <v>0</v>
      </c>
      <c r="AZ511" s="46">
        <v>0</v>
      </c>
      <c r="BA511" s="46">
        <v>0</v>
      </c>
      <c r="BB511" s="46">
        <v>0</v>
      </c>
      <c r="BC511" s="46">
        <v>0</v>
      </c>
      <c r="BD511" s="46">
        <v>0</v>
      </c>
      <c r="BE511" s="46">
        <v>0</v>
      </c>
      <c r="BF511" s="46">
        <v>0</v>
      </c>
      <c r="BG511" s="46">
        <v>1</v>
      </c>
      <c r="BH511" s="46">
        <v>0</v>
      </c>
      <c r="BI511" s="46">
        <v>0</v>
      </c>
      <c r="BJ511" s="46">
        <v>0</v>
      </c>
      <c r="BK511" s="46">
        <v>0</v>
      </c>
      <c r="BL511" s="46">
        <v>0</v>
      </c>
      <c r="BM511" s="46">
        <v>0</v>
      </c>
      <c r="BN511" s="46">
        <v>0</v>
      </c>
    </row>
    <row r="512" spans="1:66" x14ac:dyDescent="0.35">
      <c r="A512" t="s">
        <v>1693</v>
      </c>
      <c r="B512" s="44" t="s">
        <v>48</v>
      </c>
      <c r="C512" t="s">
        <v>1696</v>
      </c>
      <c r="D512" t="s">
        <v>1033</v>
      </c>
      <c r="E512" t="s">
        <v>1694</v>
      </c>
      <c r="F512" t="s">
        <v>1680</v>
      </c>
      <c r="G512" t="s">
        <v>47</v>
      </c>
      <c r="H512">
        <v>0</v>
      </c>
      <c r="I512" s="60" t="s">
        <v>149</v>
      </c>
      <c r="J512" s="33" t="s">
        <v>45</v>
      </c>
      <c r="K512" s="46">
        <v>0</v>
      </c>
      <c r="L512">
        <v>40.1</v>
      </c>
      <c r="M512" t="s">
        <v>48</v>
      </c>
      <c r="N512" s="46">
        <v>1</v>
      </c>
      <c r="O512" s="46">
        <v>0</v>
      </c>
      <c r="P512" s="46">
        <v>0</v>
      </c>
      <c r="Q512" t="s">
        <v>48</v>
      </c>
      <c r="R512" t="s">
        <v>48</v>
      </c>
      <c r="S512" t="s">
        <v>1695</v>
      </c>
      <c r="T512" t="s">
        <v>48</v>
      </c>
      <c r="U512" t="s">
        <v>1695</v>
      </c>
      <c r="V512" s="47">
        <v>0</v>
      </c>
      <c r="W512" t="s">
        <v>48</v>
      </c>
      <c r="X512" t="s">
        <v>48</v>
      </c>
      <c r="Y512" t="s">
        <v>48</v>
      </c>
      <c r="Z512">
        <v>0</v>
      </c>
      <c r="AA512" t="s">
        <v>1683</v>
      </c>
      <c r="AB512" t="s">
        <v>48</v>
      </c>
      <c r="AC512" t="s">
        <v>63</v>
      </c>
      <c r="AD512" t="s">
        <v>93</v>
      </c>
      <c r="AE512" t="s">
        <v>4532</v>
      </c>
      <c r="AF512" t="s">
        <v>48</v>
      </c>
      <c r="AG512" t="s">
        <v>48</v>
      </c>
      <c r="AH512" t="s">
        <v>48</v>
      </c>
      <c r="AI512" t="s">
        <v>48</v>
      </c>
      <c r="AJ512" t="s">
        <v>48</v>
      </c>
      <c r="AK512" t="s">
        <v>48</v>
      </c>
      <c r="AL512" t="s">
        <v>48</v>
      </c>
      <c r="AM512" t="s">
        <v>48</v>
      </c>
      <c r="AN512" t="s">
        <v>48</v>
      </c>
      <c r="AO512" t="s">
        <v>48</v>
      </c>
      <c r="AP512" s="46">
        <v>0</v>
      </c>
      <c r="AQ512" s="46">
        <v>0</v>
      </c>
      <c r="AR512" s="46">
        <v>0</v>
      </c>
      <c r="AS512" s="46">
        <v>0</v>
      </c>
      <c r="AT512" s="46">
        <v>0</v>
      </c>
      <c r="AU512" s="46">
        <v>0</v>
      </c>
      <c r="AV512" s="46">
        <v>0</v>
      </c>
      <c r="AW512" s="46">
        <v>0</v>
      </c>
      <c r="AX512" s="46">
        <v>0</v>
      </c>
      <c r="AY512" s="46">
        <v>0</v>
      </c>
      <c r="AZ512" s="46">
        <v>0</v>
      </c>
      <c r="BA512" s="46">
        <v>0</v>
      </c>
      <c r="BB512" s="46">
        <v>0</v>
      </c>
      <c r="BC512" s="46">
        <v>0</v>
      </c>
      <c r="BD512" s="46">
        <v>0</v>
      </c>
      <c r="BE512" s="46">
        <v>0</v>
      </c>
      <c r="BF512" s="46">
        <v>0</v>
      </c>
      <c r="BG512" s="46" t="s">
        <v>48</v>
      </c>
      <c r="BH512" s="46">
        <v>0</v>
      </c>
      <c r="BI512" s="46">
        <v>0</v>
      </c>
      <c r="BJ512" s="46">
        <v>0</v>
      </c>
      <c r="BK512" s="46">
        <v>0</v>
      </c>
      <c r="BL512" s="46">
        <v>0</v>
      </c>
      <c r="BM512" s="46">
        <v>0</v>
      </c>
      <c r="BN512" s="46">
        <v>0</v>
      </c>
    </row>
    <row r="513" spans="1:66" x14ac:dyDescent="0.35">
      <c r="A513" t="s">
        <v>1686</v>
      </c>
      <c r="B513" s="44" t="s">
        <v>48</v>
      </c>
      <c r="C513" t="s">
        <v>1690</v>
      </c>
      <c r="D513" t="s">
        <v>1689</v>
      </c>
      <c r="E513" t="s">
        <v>1687</v>
      </c>
      <c r="F513" t="s">
        <v>1680</v>
      </c>
      <c r="G513" t="s">
        <v>74</v>
      </c>
      <c r="H513">
        <v>0</v>
      </c>
      <c r="I513" s="60" t="s">
        <v>51</v>
      </c>
      <c r="J513" s="33" t="s">
        <v>45</v>
      </c>
      <c r="K513" s="46">
        <v>0</v>
      </c>
      <c r="L513">
        <v>100</v>
      </c>
      <c r="M513" t="s">
        <v>48</v>
      </c>
      <c r="N513" s="46">
        <v>1</v>
      </c>
      <c r="O513" s="46">
        <v>0</v>
      </c>
      <c r="P513" s="46">
        <v>0</v>
      </c>
      <c r="Q513" t="s">
        <v>48</v>
      </c>
      <c r="R513" t="s">
        <v>48</v>
      </c>
      <c r="S513" t="s">
        <v>1688</v>
      </c>
      <c r="T513" t="s">
        <v>48</v>
      </c>
      <c r="U513" t="s">
        <v>1688</v>
      </c>
      <c r="V513" s="47">
        <v>0</v>
      </c>
      <c r="W513" t="s">
        <v>48</v>
      </c>
      <c r="X513" t="s">
        <v>48</v>
      </c>
      <c r="Y513" t="s">
        <v>48</v>
      </c>
      <c r="Z513">
        <v>0</v>
      </c>
      <c r="AA513" t="s">
        <v>1683</v>
      </c>
      <c r="AB513" t="s">
        <v>48</v>
      </c>
      <c r="AC513" t="s">
        <v>63</v>
      </c>
      <c r="AD513" t="s">
        <v>951</v>
      </c>
      <c r="AE513" s="40" t="s">
        <v>11051</v>
      </c>
      <c r="AF513" t="s">
        <v>11054</v>
      </c>
      <c r="AG513" t="s">
        <v>48</v>
      </c>
      <c r="AH513" t="s">
        <v>48</v>
      </c>
      <c r="AI513" t="s">
        <v>48</v>
      </c>
      <c r="AJ513" t="s">
        <v>48</v>
      </c>
      <c r="AK513" t="s">
        <v>48</v>
      </c>
      <c r="AL513" t="s">
        <v>48</v>
      </c>
      <c r="AM513" t="s">
        <v>48</v>
      </c>
      <c r="AN513" t="s">
        <v>48</v>
      </c>
      <c r="AO513" t="s">
        <v>48</v>
      </c>
      <c r="AP513" s="46">
        <v>0</v>
      </c>
      <c r="AQ513" s="46">
        <v>0</v>
      </c>
      <c r="AR513" s="46">
        <v>0</v>
      </c>
      <c r="AS513" s="46">
        <v>0</v>
      </c>
      <c r="AT513" s="46">
        <v>0</v>
      </c>
      <c r="AU513" s="46">
        <v>0</v>
      </c>
      <c r="AV513" s="46">
        <v>0</v>
      </c>
      <c r="AW513" s="46">
        <v>0</v>
      </c>
      <c r="AX513" s="46">
        <v>0</v>
      </c>
      <c r="AY513" s="46">
        <v>0</v>
      </c>
      <c r="AZ513" s="46">
        <v>0</v>
      </c>
      <c r="BA513" s="46">
        <v>0</v>
      </c>
      <c r="BB513" s="46">
        <v>0</v>
      </c>
      <c r="BC513" s="46">
        <v>0</v>
      </c>
      <c r="BD513" s="46">
        <v>0</v>
      </c>
      <c r="BE513" s="46">
        <v>0</v>
      </c>
      <c r="BF513" s="46">
        <v>0</v>
      </c>
      <c r="BG513" s="46" t="s">
        <v>48</v>
      </c>
      <c r="BH513" s="46">
        <v>0</v>
      </c>
      <c r="BI513" s="46">
        <v>0</v>
      </c>
      <c r="BJ513" s="46">
        <v>0</v>
      </c>
      <c r="BK513" s="46">
        <v>0</v>
      </c>
      <c r="BL513" s="46">
        <v>0</v>
      </c>
      <c r="BM513" s="46">
        <v>0</v>
      </c>
      <c r="BN513" s="46">
        <v>0</v>
      </c>
    </row>
    <row r="514" spans="1:66" x14ac:dyDescent="0.35">
      <c r="A514" t="s">
        <v>1732</v>
      </c>
      <c r="B514" s="44" t="s">
        <v>48</v>
      </c>
      <c r="C514" t="s">
        <v>1736</v>
      </c>
      <c r="D514" t="s">
        <v>221</v>
      </c>
      <c r="E514" t="s">
        <v>1733</v>
      </c>
      <c r="F514" t="s">
        <v>1731</v>
      </c>
      <c r="G514" t="s">
        <v>74</v>
      </c>
      <c r="H514">
        <v>0</v>
      </c>
      <c r="I514" s="60" t="s">
        <v>51</v>
      </c>
      <c r="J514" s="33" t="s">
        <v>45</v>
      </c>
      <c r="K514" s="46">
        <v>1</v>
      </c>
      <c r="L514">
        <v>100</v>
      </c>
      <c r="M514" t="s">
        <v>48</v>
      </c>
      <c r="N514" s="46">
        <v>1</v>
      </c>
      <c r="O514" s="46">
        <v>0</v>
      </c>
      <c r="P514" s="46">
        <v>0</v>
      </c>
      <c r="Q514" t="s">
        <v>48</v>
      </c>
      <c r="R514" t="s">
        <v>48</v>
      </c>
      <c r="S514" t="s">
        <v>1734</v>
      </c>
      <c r="T514" t="s">
        <v>1735</v>
      </c>
      <c r="U514" t="s">
        <v>1734</v>
      </c>
      <c r="V514" s="47">
        <v>0</v>
      </c>
      <c r="W514" t="s">
        <v>48</v>
      </c>
      <c r="X514" t="s">
        <v>48</v>
      </c>
      <c r="Y514" t="s">
        <v>48</v>
      </c>
      <c r="Z514">
        <v>0</v>
      </c>
      <c r="AA514" t="s">
        <v>48</v>
      </c>
      <c r="AB514">
        <v>1998</v>
      </c>
      <c r="AC514" t="s">
        <v>49</v>
      </c>
      <c r="AD514" t="s">
        <v>93</v>
      </c>
      <c r="AE514" t="s">
        <v>4532</v>
      </c>
      <c r="AF514" t="s">
        <v>48</v>
      </c>
      <c r="AG514" t="s">
        <v>140</v>
      </c>
      <c r="AH514" t="s">
        <v>93</v>
      </c>
      <c r="AI514">
        <v>29908</v>
      </c>
      <c r="AJ514">
        <v>1948</v>
      </c>
      <c r="AK514" t="s">
        <v>8792</v>
      </c>
      <c r="AL514" t="s">
        <v>8793</v>
      </c>
      <c r="AM514">
        <v>-0.39700000000000002</v>
      </c>
      <c r="AN514">
        <v>-5.0999999999999997E-2</v>
      </c>
      <c r="AO514">
        <v>-0.39700000000000002</v>
      </c>
      <c r="AP514" s="46">
        <v>0</v>
      </c>
      <c r="AQ514" s="46">
        <v>0</v>
      </c>
      <c r="AR514" s="46">
        <v>0</v>
      </c>
      <c r="AS514" s="46">
        <v>0</v>
      </c>
      <c r="AT514" s="46">
        <v>0</v>
      </c>
      <c r="AU514" s="46">
        <v>0</v>
      </c>
      <c r="AV514" s="46">
        <v>0</v>
      </c>
      <c r="AW514" s="46">
        <v>0</v>
      </c>
      <c r="AX514" s="46">
        <v>0</v>
      </c>
      <c r="AY514" s="46">
        <v>0</v>
      </c>
      <c r="AZ514" s="46">
        <v>0</v>
      </c>
      <c r="BA514" s="46">
        <v>0</v>
      </c>
      <c r="BB514" s="46">
        <v>0</v>
      </c>
      <c r="BC514" s="46">
        <v>0</v>
      </c>
      <c r="BD514" s="46">
        <v>0</v>
      </c>
      <c r="BE514" s="46">
        <v>0</v>
      </c>
      <c r="BF514" s="46">
        <v>0</v>
      </c>
      <c r="BG514" s="46" t="s">
        <v>48</v>
      </c>
      <c r="BH514" s="46">
        <v>0</v>
      </c>
      <c r="BI514" s="46">
        <v>0</v>
      </c>
      <c r="BJ514" s="46">
        <v>0</v>
      </c>
      <c r="BK514" s="46">
        <v>0</v>
      </c>
      <c r="BL514" s="46">
        <v>0</v>
      </c>
      <c r="BM514" s="46">
        <v>0</v>
      </c>
      <c r="BN514" s="46">
        <v>0</v>
      </c>
    </row>
    <row r="515" spans="1:66" x14ac:dyDescent="0.35">
      <c r="A515" t="s">
        <v>1737</v>
      </c>
      <c r="B515" s="44" t="s">
        <v>48</v>
      </c>
      <c r="C515" t="s">
        <v>1741</v>
      </c>
      <c r="D515" t="s">
        <v>1740</v>
      </c>
      <c r="E515" t="s">
        <v>1738</v>
      </c>
      <c r="F515" t="s">
        <v>1731</v>
      </c>
      <c r="G515" t="s">
        <v>47</v>
      </c>
      <c r="H515">
        <v>0</v>
      </c>
      <c r="I515" s="60" t="s">
        <v>51</v>
      </c>
      <c r="J515" s="33" t="s">
        <v>45</v>
      </c>
      <c r="K515" s="46">
        <v>0</v>
      </c>
      <c r="L515">
        <v>100</v>
      </c>
      <c r="M515" t="s">
        <v>48</v>
      </c>
      <c r="N515" s="46">
        <v>1</v>
      </c>
      <c r="O515" s="46">
        <v>0</v>
      </c>
      <c r="P515" s="46">
        <v>0</v>
      </c>
      <c r="Q515" t="s">
        <v>48</v>
      </c>
      <c r="R515" t="s">
        <v>48</v>
      </c>
      <c r="S515" t="s">
        <v>1739</v>
      </c>
      <c r="T515" t="s">
        <v>48</v>
      </c>
      <c r="U515" t="s">
        <v>1739</v>
      </c>
      <c r="V515" s="47">
        <v>0</v>
      </c>
      <c r="W515" t="s">
        <v>48</v>
      </c>
      <c r="X515" t="s">
        <v>48</v>
      </c>
      <c r="Y515" t="s">
        <v>48</v>
      </c>
      <c r="Z515">
        <v>0</v>
      </c>
      <c r="AA515" t="s">
        <v>48</v>
      </c>
      <c r="AB515" t="s">
        <v>48</v>
      </c>
      <c r="AC515" t="s">
        <v>49</v>
      </c>
      <c r="AD515" t="s">
        <v>93</v>
      </c>
      <c r="AE515" t="s">
        <v>4532</v>
      </c>
      <c r="AF515" t="s">
        <v>48</v>
      </c>
      <c r="AG515" t="s">
        <v>48</v>
      </c>
      <c r="AH515" t="s">
        <v>48</v>
      </c>
      <c r="AI515" t="s">
        <v>48</v>
      </c>
      <c r="AJ515" t="s">
        <v>48</v>
      </c>
      <c r="AK515" t="s">
        <v>48</v>
      </c>
      <c r="AL515" t="s">
        <v>48</v>
      </c>
      <c r="AM515" t="s">
        <v>48</v>
      </c>
      <c r="AN515" t="s">
        <v>48</v>
      </c>
      <c r="AO515" t="s">
        <v>48</v>
      </c>
      <c r="AP515" s="46">
        <v>0</v>
      </c>
      <c r="AQ515" s="46">
        <v>0</v>
      </c>
      <c r="AR515" s="46">
        <v>0</v>
      </c>
      <c r="AS515" s="46">
        <v>0</v>
      </c>
      <c r="AT515" s="46">
        <v>0</v>
      </c>
      <c r="AU515" s="46">
        <v>0</v>
      </c>
      <c r="AV515" s="46">
        <v>0</v>
      </c>
      <c r="AW515" s="46">
        <v>0</v>
      </c>
      <c r="AX515" s="46">
        <v>0</v>
      </c>
      <c r="AY515" s="46">
        <v>0</v>
      </c>
      <c r="AZ515" s="46">
        <v>0</v>
      </c>
      <c r="BA515" s="46">
        <v>0</v>
      </c>
      <c r="BB515" s="46">
        <v>0</v>
      </c>
      <c r="BC515" s="46">
        <v>0</v>
      </c>
      <c r="BD515" s="46">
        <v>0</v>
      </c>
      <c r="BE515" s="46">
        <v>0</v>
      </c>
      <c r="BF515" s="46">
        <v>0</v>
      </c>
      <c r="BG515" s="46" t="s">
        <v>48</v>
      </c>
      <c r="BH515" s="46">
        <v>0</v>
      </c>
      <c r="BI515" s="46">
        <v>0</v>
      </c>
      <c r="BJ515" s="46">
        <v>0</v>
      </c>
      <c r="BK515" s="46">
        <v>0</v>
      </c>
      <c r="BL515" s="46">
        <v>0</v>
      </c>
      <c r="BM515" s="46">
        <v>0</v>
      </c>
      <c r="BN515" s="46">
        <v>0</v>
      </c>
    </row>
    <row r="516" spans="1:66" x14ac:dyDescent="0.35">
      <c r="A516" t="s">
        <v>1742</v>
      </c>
      <c r="B516" s="44" t="s">
        <v>48</v>
      </c>
      <c r="C516" t="s">
        <v>1747</v>
      </c>
      <c r="D516" t="s">
        <v>1402</v>
      </c>
      <c r="E516" t="s">
        <v>1744</v>
      </c>
      <c r="F516" t="s">
        <v>1743</v>
      </c>
      <c r="G516" t="s">
        <v>74</v>
      </c>
      <c r="H516">
        <v>0</v>
      </c>
      <c r="I516" s="60" t="s">
        <v>51</v>
      </c>
      <c r="J516" s="33" t="s">
        <v>45</v>
      </c>
      <c r="K516" s="46">
        <v>1</v>
      </c>
      <c r="L516">
        <v>100</v>
      </c>
      <c r="M516" t="s">
        <v>48</v>
      </c>
      <c r="N516" s="46">
        <v>1</v>
      </c>
      <c r="O516" s="46">
        <v>0</v>
      </c>
      <c r="P516" s="46">
        <v>0</v>
      </c>
      <c r="Q516" t="s">
        <v>48</v>
      </c>
      <c r="R516" t="s">
        <v>48</v>
      </c>
      <c r="S516" t="s">
        <v>1745</v>
      </c>
      <c r="T516" t="s">
        <v>1746</v>
      </c>
      <c r="U516" t="s">
        <v>1745</v>
      </c>
      <c r="V516" s="47">
        <v>0</v>
      </c>
      <c r="W516" t="s">
        <v>48</v>
      </c>
      <c r="X516" t="s">
        <v>48</v>
      </c>
      <c r="Y516" t="s">
        <v>48</v>
      </c>
      <c r="Z516">
        <v>0</v>
      </c>
      <c r="AA516" t="s">
        <v>48</v>
      </c>
      <c r="AB516">
        <v>2006</v>
      </c>
      <c r="AC516" t="s">
        <v>49</v>
      </c>
      <c r="AD516" t="s">
        <v>93</v>
      </c>
      <c r="AE516" t="s">
        <v>4532</v>
      </c>
      <c r="AF516" t="s">
        <v>48</v>
      </c>
      <c r="AG516" t="s">
        <v>140</v>
      </c>
      <c r="AH516" t="s">
        <v>93</v>
      </c>
      <c r="AI516">
        <v>20706</v>
      </c>
      <c r="AJ516">
        <v>1953</v>
      </c>
      <c r="AK516" t="s">
        <v>8794</v>
      </c>
      <c r="AL516" t="s">
        <v>8795</v>
      </c>
      <c r="AM516">
        <v>-0.34300000000000003</v>
      </c>
      <c r="AN516">
        <v>1.4999999999999999E-2</v>
      </c>
      <c r="AO516">
        <v>-0.34300000000000003</v>
      </c>
      <c r="AP516" s="46">
        <v>0</v>
      </c>
      <c r="AQ516" s="46">
        <v>0</v>
      </c>
      <c r="AR516" s="46">
        <v>0</v>
      </c>
      <c r="AS516" s="46">
        <v>0</v>
      </c>
      <c r="AT516" s="46">
        <v>0</v>
      </c>
      <c r="AU516" s="46">
        <v>0</v>
      </c>
      <c r="AV516" s="46">
        <v>0</v>
      </c>
      <c r="AW516" s="46">
        <v>0</v>
      </c>
      <c r="AX516" s="46">
        <v>0</v>
      </c>
      <c r="AY516" s="46">
        <v>0</v>
      </c>
      <c r="AZ516" s="46">
        <v>0</v>
      </c>
      <c r="BA516" s="46">
        <v>0</v>
      </c>
      <c r="BB516" s="46">
        <v>0</v>
      </c>
      <c r="BC516" s="46">
        <v>0</v>
      </c>
      <c r="BD516" s="46">
        <v>0</v>
      </c>
      <c r="BE516" s="46">
        <v>0</v>
      </c>
      <c r="BF516" s="46">
        <v>0</v>
      </c>
      <c r="BG516" s="46" t="s">
        <v>48</v>
      </c>
      <c r="BH516" s="46">
        <v>0</v>
      </c>
      <c r="BI516" s="46">
        <v>0</v>
      </c>
      <c r="BJ516" s="46">
        <v>0</v>
      </c>
      <c r="BK516" s="46">
        <v>0</v>
      </c>
      <c r="BL516" s="46">
        <v>0</v>
      </c>
      <c r="BM516" s="46">
        <v>0</v>
      </c>
      <c r="BN516" s="46">
        <v>0</v>
      </c>
    </row>
    <row r="517" spans="1:66" x14ac:dyDescent="0.35">
      <c r="A517" t="s">
        <v>1749</v>
      </c>
      <c r="B517" s="44" t="s">
        <v>48</v>
      </c>
      <c r="C517" t="s">
        <v>1752</v>
      </c>
      <c r="D517" t="s">
        <v>288</v>
      </c>
      <c r="E517" t="s">
        <v>1750</v>
      </c>
      <c r="F517" t="s">
        <v>1743</v>
      </c>
      <c r="G517" t="s">
        <v>47</v>
      </c>
      <c r="H517">
        <v>0</v>
      </c>
      <c r="I517" s="60" t="s">
        <v>51</v>
      </c>
      <c r="J517" s="33" t="s">
        <v>45</v>
      </c>
      <c r="K517" s="46">
        <v>0</v>
      </c>
      <c r="L517">
        <v>100</v>
      </c>
      <c r="M517" t="s">
        <v>48</v>
      </c>
      <c r="N517" s="46">
        <v>1</v>
      </c>
      <c r="O517" s="46">
        <v>0</v>
      </c>
      <c r="P517" s="46">
        <v>0</v>
      </c>
      <c r="Q517" t="s">
        <v>48</v>
      </c>
      <c r="R517" t="s">
        <v>48</v>
      </c>
      <c r="S517" t="s">
        <v>1751</v>
      </c>
      <c r="T517" t="s">
        <v>48</v>
      </c>
      <c r="U517" t="s">
        <v>1751</v>
      </c>
      <c r="V517" s="47">
        <v>0</v>
      </c>
      <c r="W517" t="s">
        <v>48</v>
      </c>
      <c r="X517" t="s">
        <v>48</v>
      </c>
      <c r="Y517" t="s">
        <v>48</v>
      </c>
      <c r="Z517">
        <v>0</v>
      </c>
      <c r="AA517" t="s">
        <v>48</v>
      </c>
      <c r="AB517" t="s">
        <v>48</v>
      </c>
      <c r="AC517" t="s">
        <v>49</v>
      </c>
      <c r="AD517" t="s">
        <v>93</v>
      </c>
      <c r="AE517" t="s">
        <v>4532</v>
      </c>
      <c r="AF517" t="s">
        <v>48</v>
      </c>
      <c r="AG517" t="s">
        <v>48</v>
      </c>
      <c r="AH517" t="s">
        <v>48</v>
      </c>
      <c r="AI517" t="s">
        <v>48</v>
      </c>
      <c r="AJ517" t="s">
        <v>48</v>
      </c>
      <c r="AK517" t="s">
        <v>48</v>
      </c>
      <c r="AL517" t="s">
        <v>48</v>
      </c>
      <c r="AM517" t="s">
        <v>48</v>
      </c>
      <c r="AN517" t="s">
        <v>48</v>
      </c>
      <c r="AO517" t="s">
        <v>48</v>
      </c>
      <c r="AP517" s="46">
        <v>0</v>
      </c>
      <c r="AQ517" s="46">
        <v>0</v>
      </c>
      <c r="AR517" s="46">
        <v>0</v>
      </c>
      <c r="AS517" s="46">
        <v>0</v>
      </c>
      <c r="AT517" s="46">
        <v>0</v>
      </c>
      <c r="AU517" s="46">
        <v>0</v>
      </c>
      <c r="AV517" s="46">
        <v>0</v>
      </c>
      <c r="AW517" s="46">
        <v>0</v>
      </c>
      <c r="AX517" s="46">
        <v>0</v>
      </c>
      <c r="AY517" s="46">
        <v>0</v>
      </c>
      <c r="AZ517" s="46">
        <v>0</v>
      </c>
      <c r="BA517" s="46">
        <v>0</v>
      </c>
      <c r="BB517" s="46">
        <v>0</v>
      </c>
      <c r="BC517" s="46">
        <v>0</v>
      </c>
      <c r="BD517" s="46">
        <v>0</v>
      </c>
      <c r="BE517" s="46">
        <v>0</v>
      </c>
      <c r="BF517" s="46">
        <v>0</v>
      </c>
      <c r="BG517" s="46" t="s">
        <v>48</v>
      </c>
      <c r="BH517" s="46">
        <v>0</v>
      </c>
      <c r="BI517" s="46">
        <v>0</v>
      </c>
      <c r="BJ517" s="46">
        <v>0</v>
      </c>
      <c r="BK517" s="46">
        <v>0</v>
      </c>
      <c r="BL517" s="46">
        <v>0</v>
      </c>
      <c r="BM517" s="46">
        <v>0</v>
      </c>
      <c r="BN517" s="46">
        <v>0</v>
      </c>
    </row>
    <row r="518" spans="1:66" x14ac:dyDescent="0.35">
      <c r="A518" t="s">
        <v>1760</v>
      </c>
      <c r="B518" s="44" t="s">
        <v>48</v>
      </c>
      <c r="C518" t="s">
        <v>1763</v>
      </c>
      <c r="D518" t="s">
        <v>1762</v>
      </c>
      <c r="E518" t="s">
        <v>1761</v>
      </c>
      <c r="F518" t="s">
        <v>1754</v>
      </c>
      <c r="G518" t="s">
        <v>47</v>
      </c>
      <c r="H518">
        <v>0</v>
      </c>
      <c r="I518" s="60" t="s">
        <v>11552</v>
      </c>
      <c r="J518" s="33" t="s">
        <v>45</v>
      </c>
      <c r="K518" s="46">
        <v>0</v>
      </c>
      <c r="L518">
        <v>100</v>
      </c>
      <c r="M518" t="s">
        <v>48</v>
      </c>
      <c r="N518" s="46">
        <v>1</v>
      </c>
      <c r="O518" s="46">
        <v>0</v>
      </c>
      <c r="P518" s="46">
        <v>0</v>
      </c>
      <c r="Q518" t="s">
        <v>48</v>
      </c>
      <c r="R518" t="s">
        <v>48</v>
      </c>
      <c r="S518" t="s">
        <v>11551</v>
      </c>
      <c r="T518" t="s">
        <v>48</v>
      </c>
      <c r="U518" t="s">
        <v>10930</v>
      </c>
      <c r="V518" s="47">
        <v>0</v>
      </c>
      <c r="W518">
        <v>99</v>
      </c>
      <c r="X518" t="s">
        <v>48</v>
      </c>
      <c r="Y518" t="s">
        <v>48</v>
      </c>
      <c r="Z518">
        <v>0</v>
      </c>
      <c r="AA518" s="39" t="s">
        <v>10923</v>
      </c>
      <c r="AB518" t="s">
        <v>48</v>
      </c>
      <c r="AC518" t="s">
        <v>63</v>
      </c>
      <c r="AD518" t="s">
        <v>48</v>
      </c>
      <c r="AE518" t="s">
        <v>48</v>
      </c>
      <c r="AF518" t="s">
        <v>48</v>
      </c>
      <c r="AG518" t="s">
        <v>48</v>
      </c>
      <c r="AH518" t="s">
        <v>48</v>
      </c>
      <c r="AI518" t="s">
        <v>48</v>
      </c>
      <c r="AJ518" t="s">
        <v>48</v>
      </c>
      <c r="AK518" t="s">
        <v>48</v>
      </c>
      <c r="AL518" t="s">
        <v>48</v>
      </c>
      <c r="AM518" t="s">
        <v>48</v>
      </c>
      <c r="AN518" t="s">
        <v>48</v>
      </c>
      <c r="AO518" t="s">
        <v>48</v>
      </c>
      <c r="AP518" s="46">
        <v>0</v>
      </c>
      <c r="AQ518" s="46">
        <v>0</v>
      </c>
      <c r="AR518" s="46">
        <v>0</v>
      </c>
      <c r="AS518" s="46">
        <v>0</v>
      </c>
      <c r="AT518" s="46">
        <v>0</v>
      </c>
      <c r="AU518" s="46">
        <v>0</v>
      </c>
      <c r="AV518" s="46">
        <v>0</v>
      </c>
      <c r="AW518" s="46">
        <v>0</v>
      </c>
      <c r="AX518" s="46">
        <v>0</v>
      </c>
      <c r="AY518" s="46">
        <v>0</v>
      </c>
      <c r="AZ518" s="46">
        <v>0</v>
      </c>
      <c r="BA518" s="46">
        <v>0</v>
      </c>
      <c r="BB518" s="46">
        <v>0</v>
      </c>
      <c r="BC518" s="46">
        <v>0</v>
      </c>
      <c r="BD518" s="46">
        <v>0</v>
      </c>
      <c r="BE518" s="46">
        <v>0</v>
      </c>
      <c r="BF518" s="46">
        <v>0</v>
      </c>
      <c r="BG518" s="46" t="s">
        <v>48</v>
      </c>
      <c r="BH518" s="46">
        <v>0</v>
      </c>
      <c r="BI518" s="46">
        <v>0</v>
      </c>
      <c r="BJ518" s="46">
        <v>0</v>
      </c>
      <c r="BK518" s="46">
        <v>0</v>
      </c>
      <c r="BL518" s="46">
        <v>0</v>
      </c>
      <c r="BM518" s="46">
        <v>0</v>
      </c>
      <c r="BN518" s="46">
        <v>0</v>
      </c>
    </row>
    <row r="519" spans="1:66" x14ac:dyDescent="0.35">
      <c r="A519" t="s">
        <v>1753</v>
      </c>
      <c r="B519" s="44" t="s">
        <v>48</v>
      </c>
      <c r="C519" t="s">
        <v>1759</v>
      </c>
      <c r="D519" t="s">
        <v>1758</v>
      </c>
      <c r="E519" t="s">
        <v>1755</v>
      </c>
      <c r="F519" t="s">
        <v>1754</v>
      </c>
      <c r="G519" t="s">
        <v>74</v>
      </c>
      <c r="H519">
        <v>0</v>
      </c>
      <c r="I519" s="60" t="s">
        <v>51</v>
      </c>
      <c r="J519" s="33" t="s">
        <v>45</v>
      </c>
      <c r="K519" s="46">
        <v>1</v>
      </c>
      <c r="L519">
        <v>100</v>
      </c>
      <c r="M519" t="s">
        <v>48</v>
      </c>
      <c r="N519" s="46">
        <v>1</v>
      </c>
      <c r="O519" s="46">
        <v>0</v>
      </c>
      <c r="P519" s="46">
        <v>0</v>
      </c>
      <c r="Q519" t="s">
        <v>48</v>
      </c>
      <c r="R519" t="s">
        <v>48</v>
      </c>
      <c r="S519" t="s">
        <v>1756</v>
      </c>
      <c r="T519" t="s">
        <v>1757</v>
      </c>
      <c r="U519" t="s">
        <v>1756</v>
      </c>
      <c r="V519" s="47">
        <v>0</v>
      </c>
      <c r="W519" t="s">
        <v>48</v>
      </c>
      <c r="X519" t="s">
        <v>48</v>
      </c>
      <c r="Y519" t="s">
        <v>48</v>
      </c>
      <c r="Z519">
        <v>0</v>
      </c>
      <c r="AA519" t="s">
        <v>48</v>
      </c>
      <c r="AB519">
        <v>1990</v>
      </c>
      <c r="AC519" t="s">
        <v>63</v>
      </c>
      <c r="AD519" t="s">
        <v>93</v>
      </c>
      <c r="AE519" t="s">
        <v>4532</v>
      </c>
      <c r="AF519" t="s">
        <v>48</v>
      </c>
      <c r="AG519" t="s">
        <v>140</v>
      </c>
      <c r="AH519" t="s">
        <v>93</v>
      </c>
      <c r="AI519">
        <v>29109</v>
      </c>
      <c r="AJ519">
        <v>1943</v>
      </c>
      <c r="AK519" t="s">
        <v>8796</v>
      </c>
      <c r="AL519" t="s">
        <v>8797</v>
      </c>
      <c r="AM519">
        <v>-0.41499999999999998</v>
      </c>
      <c r="AN519">
        <v>-0.12</v>
      </c>
      <c r="AO519">
        <v>-0.41499999999999998</v>
      </c>
      <c r="AP519" s="46">
        <v>0</v>
      </c>
      <c r="AQ519" s="46">
        <v>0</v>
      </c>
      <c r="AR519" s="46">
        <v>0</v>
      </c>
      <c r="AS519" s="46">
        <v>0</v>
      </c>
      <c r="AT519" s="46">
        <v>1</v>
      </c>
      <c r="AU519" s="46">
        <v>0</v>
      </c>
      <c r="AV519" s="46">
        <v>0</v>
      </c>
      <c r="AW519" s="46">
        <v>0</v>
      </c>
      <c r="AX519" s="46">
        <v>0</v>
      </c>
      <c r="AY519" s="46">
        <v>0</v>
      </c>
      <c r="AZ519" s="46">
        <v>0</v>
      </c>
      <c r="BA519" s="46">
        <v>0</v>
      </c>
      <c r="BB519" s="46">
        <v>0</v>
      </c>
      <c r="BC519" s="46">
        <v>0</v>
      </c>
      <c r="BD519" s="46">
        <v>0</v>
      </c>
      <c r="BE519" s="46">
        <v>0</v>
      </c>
      <c r="BF519" s="46">
        <v>0</v>
      </c>
      <c r="BG519" s="46" t="s">
        <v>48</v>
      </c>
      <c r="BH519" s="46">
        <v>0</v>
      </c>
      <c r="BI519" s="46">
        <v>0</v>
      </c>
      <c r="BJ519" s="46">
        <v>0</v>
      </c>
      <c r="BK519" s="46">
        <v>0</v>
      </c>
      <c r="BL519" s="46">
        <v>0</v>
      </c>
      <c r="BM519" s="46">
        <v>0</v>
      </c>
      <c r="BN519" s="46">
        <v>0</v>
      </c>
    </row>
    <row r="520" spans="1:66" x14ac:dyDescent="0.35">
      <c r="A520" t="s">
        <v>10425</v>
      </c>
      <c r="B520" s="44" t="s">
        <v>48</v>
      </c>
      <c r="C520" t="s">
        <v>11752</v>
      </c>
      <c r="D520" t="s">
        <v>11753</v>
      </c>
      <c r="E520" t="s">
        <v>10426</v>
      </c>
      <c r="F520" t="s">
        <v>1765</v>
      </c>
      <c r="G520" t="s">
        <v>47</v>
      </c>
      <c r="H520">
        <v>0</v>
      </c>
      <c r="I520" s="60" t="s">
        <v>11552</v>
      </c>
      <c r="J520" s="33" t="s">
        <v>45</v>
      </c>
      <c r="K520" s="46">
        <v>0</v>
      </c>
      <c r="L520">
        <v>60.3</v>
      </c>
      <c r="M520" t="s">
        <v>48</v>
      </c>
      <c r="N520" s="46">
        <v>1</v>
      </c>
      <c r="O520" s="46">
        <v>0</v>
      </c>
      <c r="P520" s="46">
        <v>0</v>
      </c>
      <c r="Q520" t="s">
        <v>48</v>
      </c>
      <c r="R520" t="s">
        <v>48</v>
      </c>
      <c r="S520" t="s">
        <v>11406</v>
      </c>
      <c r="T520" t="s">
        <v>48</v>
      </c>
      <c r="U520" t="s">
        <v>10427</v>
      </c>
      <c r="V520" s="47">
        <v>0</v>
      </c>
      <c r="W520" t="s">
        <v>48</v>
      </c>
      <c r="X520" t="s">
        <v>48</v>
      </c>
      <c r="Y520" t="s">
        <v>48</v>
      </c>
      <c r="Z520">
        <v>0</v>
      </c>
      <c r="AA520" t="s">
        <v>48</v>
      </c>
      <c r="AB520" t="s">
        <v>48</v>
      </c>
      <c r="AC520" t="s">
        <v>63</v>
      </c>
      <c r="AD520" t="s">
        <v>93</v>
      </c>
      <c r="AE520" t="s">
        <v>4532</v>
      </c>
      <c r="AF520" t="s">
        <v>48</v>
      </c>
      <c r="AG520" t="s">
        <v>48</v>
      </c>
      <c r="AH520" t="s">
        <v>48</v>
      </c>
      <c r="AI520" t="s">
        <v>48</v>
      </c>
      <c r="AJ520" t="s">
        <v>48</v>
      </c>
      <c r="AK520" t="s">
        <v>48</v>
      </c>
      <c r="AL520" t="s">
        <v>48</v>
      </c>
      <c r="AM520" t="s">
        <v>48</v>
      </c>
      <c r="AN520" t="s">
        <v>48</v>
      </c>
      <c r="AO520" t="s">
        <v>48</v>
      </c>
      <c r="AP520" s="46">
        <v>0</v>
      </c>
      <c r="AQ520" s="46">
        <v>0</v>
      </c>
      <c r="AR520" s="46">
        <v>0</v>
      </c>
      <c r="AS520" s="46">
        <v>0</v>
      </c>
      <c r="AT520" s="46">
        <v>0</v>
      </c>
      <c r="AU520" s="46">
        <v>0</v>
      </c>
      <c r="AV520" s="46">
        <v>0</v>
      </c>
      <c r="AW520" s="46">
        <v>0</v>
      </c>
      <c r="AX520" s="46">
        <v>0</v>
      </c>
      <c r="AY520" s="46">
        <v>0</v>
      </c>
      <c r="AZ520" s="46">
        <v>0</v>
      </c>
      <c r="BA520" s="46">
        <v>0</v>
      </c>
      <c r="BB520" s="46">
        <v>0</v>
      </c>
      <c r="BC520" s="46">
        <v>0</v>
      </c>
      <c r="BD520" s="46">
        <v>0</v>
      </c>
      <c r="BE520" s="46">
        <v>0</v>
      </c>
      <c r="BF520" s="46">
        <v>0</v>
      </c>
      <c r="BG520" s="46" t="s">
        <v>48</v>
      </c>
      <c r="BH520" s="46">
        <v>0</v>
      </c>
      <c r="BI520" s="46">
        <v>0</v>
      </c>
      <c r="BJ520" s="46">
        <v>0</v>
      </c>
      <c r="BK520" s="46">
        <v>0</v>
      </c>
      <c r="BL520" s="46">
        <v>0</v>
      </c>
      <c r="BM520" s="46">
        <v>0</v>
      </c>
      <c r="BN520" s="46">
        <v>0</v>
      </c>
    </row>
    <row r="521" spans="1:66" x14ac:dyDescent="0.35">
      <c r="A521" t="s">
        <v>1769</v>
      </c>
      <c r="B521" t="s">
        <v>48</v>
      </c>
      <c r="C521" t="s">
        <v>1772</v>
      </c>
      <c r="D521" t="s">
        <v>829</v>
      </c>
      <c r="E521" t="s">
        <v>1770</v>
      </c>
      <c r="F521" t="s">
        <v>1765</v>
      </c>
      <c r="G521" t="s">
        <v>74</v>
      </c>
      <c r="H521">
        <v>0</v>
      </c>
      <c r="I521" s="60" t="s">
        <v>51</v>
      </c>
      <c r="J521" s="33" t="s">
        <v>45</v>
      </c>
      <c r="K521" s="46">
        <v>1</v>
      </c>
      <c r="L521">
        <v>100</v>
      </c>
      <c r="M521" t="s">
        <v>48</v>
      </c>
      <c r="N521" s="46">
        <v>1</v>
      </c>
      <c r="O521" s="46">
        <v>0</v>
      </c>
      <c r="P521" s="46">
        <v>0</v>
      </c>
      <c r="Q521" t="s">
        <v>48</v>
      </c>
      <c r="R521" t="s">
        <v>48</v>
      </c>
      <c r="S521" t="s">
        <v>48</v>
      </c>
      <c r="T521" t="s">
        <v>1771</v>
      </c>
      <c r="U521" t="s">
        <v>48</v>
      </c>
      <c r="V521" s="47">
        <v>0</v>
      </c>
      <c r="W521" t="s">
        <v>48</v>
      </c>
      <c r="X521" t="s">
        <v>48</v>
      </c>
      <c r="Y521" t="s">
        <v>48</v>
      </c>
      <c r="Z521">
        <v>0</v>
      </c>
      <c r="AA521" t="s">
        <v>48</v>
      </c>
      <c r="AB521">
        <v>2008</v>
      </c>
      <c r="AC521" t="s">
        <v>49</v>
      </c>
      <c r="AD521" t="s">
        <v>93</v>
      </c>
      <c r="AE521" t="s">
        <v>4532</v>
      </c>
      <c r="AF521" t="s">
        <v>48</v>
      </c>
      <c r="AG521" t="s">
        <v>466</v>
      </c>
      <c r="AH521" t="s">
        <v>93</v>
      </c>
      <c r="AI521">
        <v>20907</v>
      </c>
      <c r="AJ521">
        <v>1966</v>
      </c>
      <c r="AK521" t="s">
        <v>8798</v>
      </c>
      <c r="AL521" t="s">
        <v>8799</v>
      </c>
      <c r="AM521">
        <v>-0.24099999999999999</v>
      </c>
      <c r="AN521">
        <v>-0.23699999999999999</v>
      </c>
      <c r="AO521">
        <v>-0.24099999999999999</v>
      </c>
      <c r="AP521" s="46">
        <v>0</v>
      </c>
      <c r="AQ521" s="46">
        <v>0</v>
      </c>
      <c r="AR521" s="46">
        <v>0</v>
      </c>
      <c r="AS521" s="46">
        <v>0</v>
      </c>
      <c r="AT521" s="46">
        <v>0</v>
      </c>
      <c r="AU521" s="46">
        <v>1</v>
      </c>
      <c r="AV521" s="46">
        <v>0</v>
      </c>
      <c r="AW521" s="46">
        <v>0</v>
      </c>
      <c r="AX521" s="46">
        <v>0</v>
      </c>
      <c r="AY521" s="46">
        <v>0</v>
      </c>
      <c r="AZ521" s="46">
        <v>0</v>
      </c>
      <c r="BA521" s="46">
        <v>0</v>
      </c>
      <c r="BB521" s="46">
        <v>0</v>
      </c>
      <c r="BC521" s="46">
        <v>0</v>
      </c>
      <c r="BD521" s="46">
        <v>0</v>
      </c>
      <c r="BE521" s="46">
        <v>0</v>
      </c>
      <c r="BF521" s="46">
        <v>0</v>
      </c>
      <c r="BG521" s="46" t="s">
        <v>48</v>
      </c>
      <c r="BH521" s="46">
        <v>0</v>
      </c>
      <c r="BI521" s="46">
        <v>0</v>
      </c>
      <c r="BJ521" s="46">
        <v>0</v>
      </c>
      <c r="BK521" s="46">
        <v>0</v>
      </c>
      <c r="BL521" s="46">
        <v>1</v>
      </c>
      <c r="BM521" s="46">
        <v>0</v>
      </c>
      <c r="BN521" s="46">
        <v>0</v>
      </c>
    </row>
    <row r="522" spans="1:66" x14ac:dyDescent="0.35">
      <c r="A522" t="s">
        <v>1780</v>
      </c>
      <c r="B522" s="44" t="s">
        <v>48</v>
      </c>
      <c r="C522" t="s">
        <v>1784</v>
      </c>
      <c r="D522" t="s">
        <v>1783</v>
      </c>
      <c r="E522" t="s">
        <v>1781</v>
      </c>
      <c r="F522" t="s">
        <v>1773</v>
      </c>
      <c r="G522" t="s">
        <v>47</v>
      </c>
      <c r="H522">
        <v>0</v>
      </c>
      <c r="I522" s="60" t="s">
        <v>51</v>
      </c>
      <c r="J522" s="33" t="s">
        <v>45</v>
      </c>
      <c r="K522" s="46">
        <v>0</v>
      </c>
      <c r="L522">
        <v>100</v>
      </c>
      <c r="M522" t="s">
        <v>48</v>
      </c>
      <c r="N522" s="46">
        <v>1</v>
      </c>
      <c r="O522" s="46">
        <v>0</v>
      </c>
      <c r="P522" s="46">
        <v>0</v>
      </c>
      <c r="Q522" t="s">
        <v>48</v>
      </c>
      <c r="R522" t="s">
        <v>48</v>
      </c>
      <c r="S522" t="s">
        <v>1782</v>
      </c>
      <c r="T522" t="s">
        <v>48</v>
      </c>
      <c r="U522" t="s">
        <v>1782</v>
      </c>
      <c r="V522" s="47">
        <v>0</v>
      </c>
      <c r="W522" t="s">
        <v>48</v>
      </c>
      <c r="X522" t="s">
        <v>48</v>
      </c>
      <c r="Y522" t="s">
        <v>48</v>
      </c>
      <c r="Z522">
        <v>0</v>
      </c>
      <c r="AA522" t="s">
        <v>48</v>
      </c>
      <c r="AB522" t="s">
        <v>48</v>
      </c>
      <c r="AC522" t="s">
        <v>49</v>
      </c>
      <c r="AD522" t="s">
        <v>93</v>
      </c>
      <c r="AE522" s="40" t="s">
        <v>2471</v>
      </c>
      <c r="AF522" t="s">
        <v>11061</v>
      </c>
      <c r="AG522" t="s">
        <v>48</v>
      </c>
      <c r="AH522" t="s">
        <v>48</v>
      </c>
      <c r="AI522" t="s">
        <v>48</v>
      </c>
      <c r="AJ522" t="s">
        <v>48</v>
      </c>
      <c r="AK522" t="s">
        <v>48</v>
      </c>
      <c r="AL522" t="s">
        <v>48</v>
      </c>
      <c r="AM522" t="s">
        <v>48</v>
      </c>
      <c r="AN522" t="s">
        <v>48</v>
      </c>
      <c r="AO522" t="s">
        <v>48</v>
      </c>
      <c r="AP522" s="46">
        <v>0</v>
      </c>
      <c r="AQ522" s="46">
        <v>0</v>
      </c>
      <c r="AR522" s="46">
        <v>0</v>
      </c>
      <c r="AS522" s="46">
        <v>0</v>
      </c>
      <c r="AT522" s="46">
        <v>0</v>
      </c>
      <c r="AU522" s="46">
        <v>0</v>
      </c>
      <c r="AV522" s="46">
        <v>0</v>
      </c>
      <c r="AW522" s="46">
        <v>0</v>
      </c>
      <c r="AX522" s="46">
        <v>0</v>
      </c>
      <c r="AY522" s="46">
        <v>0</v>
      </c>
      <c r="AZ522" s="46">
        <v>0</v>
      </c>
      <c r="BA522" s="46">
        <v>0</v>
      </c>
      <c r="BB522" s="46">
        <v>0</v>
      </c>
      <c r="BC522" s="46">
        <v>0</v>
      </c>
      <c r="BD522" s="46">
        <v>0</v>
      </c>
      <c r="BE522" s="46">
        <v>0</v>
      </c>
      <c r="BF522" s="46">
        <v>0</v>
      </c>
      <c r="BG522" s="46" t="s">
        <v>48</v>
      </c>
      <c r="BH522" s="46">
        <v>0</v>
      </c>
      <c r="BI522" s="46">
        <v>0</v>
      </c>
      <c r="BJ522" s="46">
        <v>0</v>
      </c>
      <c r="BK522" s="46">
        <v>0</v>
      </c>
      <c r="BL522" s="46">
        <v>0</v>
      </c>
      <c r="BM522" s="46">
        <v>0</v>
      </c>
      <c r="BN522" s="46">
        <v>0</v>
      </c>
    </row>
    <row r="523" spans="1:66" x14ac:dyDescent="0.35">
      <c r="A523" t="s">
        <v>1774</v>
      </c>
      <c r="B523" s="44" t="s">
        <v>48</v>
      </c>
      <c r="C523" t="s">
        <v>1779</v>
      </c>
      <c r="D523" t="s">
        <v>1778</v>
      </c>
      <c r="E523" t="s">
        <v>1775</v>
      </c>
      <c r="F523" t="s">
        <v>1773</v>
      </c>
      <c r="G523" t="s">
        <v>74</v>
      </c>
      <c r="H523">
        <v>0</v>
      </c>
      <c r="I523" s="60" t="s">
        <v>51</v>
      </c>
      <c r="J523" s="33" t="s">
        <v>45</v>
      </c>
      <c r="K523" s="46">
        <v>1</v>
      </c>
      <c r="L523">
        <v>100</v>
      </c>
      <c r="M523" t="s">
        <v>48</v>
      </c>
      <c r="N523" s="46">
        <v>1</v>
      </c>
      <c r="O523" s="46">
        <v>0</v>
      </c>
      <c r="P523" s="46">
        <v>0</v>
      </c>
      <c r="Q523" t="s">
        <v>48</v>
      </c>
      <c r="R523" t="s">
        <v>48</v>
      </c>
      <c r="S523" t="s">
        <v>1776</v>
      </c>
      <c r="T523" t="s">
        <v>1777</v>
      </c>
      <c r="U523" t="s">
        <v>1776</v>
      </c>
      <c r="V523" s="47">
        <v>0</v>
      </c>
      <c r="W523" t="s">
        <v>48</v>
      </c>
      <c r="X523" t="s">
        <v>48</v>
      </c>
      <c r="Y523" t="s">
        <v>48</v>
      </c>
      <c r="Z523">
        <v>0</v>
      </c>
      <c r="AA523" t="s">
        <v>48</v>
      </c>
      <c r="AB523">
        <v>2018</v>
      </c>
      <c r="AC523" t="s">
        <v>63</v>
      </c>
      <c r="AD523" t="s">
        <v>93</v>
      </c>
      <c r="AE523" s="40" t="s">
        <v>2471</v>
      </c>
      <c r="AF523" t="s">
        <v>11061</v>
      </c>
      <c r="AG523" t="s">
        <v>479</v>
      </c>
      <c r="AH523" t="s">
        <v>93</v>
      </c>
      <c r="AI523">
        <v>21931</v>
      </c>
      <c r="AJ523">
        <v>1973</v>
      </c>
      <c r="AK523" t="s">
        <v>8800</v>
      </c>
      <c r="AL523" t="s">
        <v>8801</v>
      </c>
      <c r="AM523">
        <v>-0.36799999999999999</v>
      </c>
      <c r="AN523">
        <v>-8.5999999999999993E-2</v>
      </c>
      <c r="AO523">
        <v>-0.36799999999999999</v>
      </c>
      <c r="AP523" s="46">
        <v>0</v>
      </c>
      <c r="AQ523" s="46">
        <v>0</v>
      </c>
      <c r="AR523" s="46">
        <v>0</v>
      </c>
      <c r="AS523" s="46">
        <v>0</v>
      </c>
      <c r="AT523" s="46">
        <v>0</v>
      </c>
      <c r="AU523" s="46">
        <v>0</v>
      </c>
      <c r="AV523" s="46">
        <v>0</v>
      </c>
      <c r="AW523" s="46">
        <v>0</v>
      </c>
      <c r="AX523" s="46">
        <v>0</v>
      </c>
      <c r="AY523" s="46">
        <v>0</v>
      </c>
      <c r="AZ523" s="46">
        <v>0</v>
      </c>
      <c r="BA523" s="46">
        <v>0</v>
      </c>
      <c r="BB523" s="46">
        <v>0</v>
      </c>
      <c r="BC523" s="46">
        <v>0</v>
      </c>
      <c r="BD523" s="46">
        <v>0</v>
      </c>
      <c r="BE523" s="46">
        <v>0</v>
      </c>
      <c r="BF523" s="46">
        <v>0</v>
      </c>
      <c r="BG523" s="46" t="s">
        <v>48</v>
      </c>
      <c r="BH523" s="46">
        <v>0</v>
      </c>
      <c r="BI523" s="46">
        <v>0</v>
      </c>
      <c r="BJ523" s="46">
        <v>0</v>
      </c>
      <c r="BK523" s="46">
        <v>0</v>
      </c>
      <c r="BL523" s="46">
        <v>0</v>
      </c>
      <c r="BM523" s="46">
        <v>0</v>
      </c>
      <c r="BN523" s="46">
        <v>0</v>
      </c>
    </row>
    <row r="524" spans="1:66" x14ac:dyDescent="0.35">
      <c r="A524" t="s">
        <v>10974</v>
      </c>
      <c r="B524" s="44" t="s">
        <v>48</v>
      </c>
      <c r="C524" t="s">
        <v>1240</v>
      </c>
      <c r="D524" t="s">
        <v>1034</v>
      </c>
      <c r="E524" t="s">
        <v>10975</v>
      </c>
      <c r="F524" t="s">
        <v>1811</v>
      </c>
      <c r="G524" t="s">
        <v>47</v>
      </c>
      <c r="H524">
        <v>0</v>
      </c>
      <c r="I524" s="60" t="s">
        <v>11552</v>
      </c>
      <c r="J524" s="33" t="s">
        <v>45</v>
      </c>
      <c r="K524" s="46">
        <v>0</v>
      </c>
      <c r="L524">
        <v>100</v>
      </c>
      <c r="M524" t="s">
        <v>48</v>
      </c>
      <c r="N524" s="46">
        <v>1</v>
      </c>
      <c r="O524" s="46">
        <v>0</v>
      </c>
      <c r="P524" s="46">
        <v>0</v>
      </c>
      <c r="Q524" t="s">
        <v>48</v>
      </c>
      <c r="R524" t="s">
        <v>48</v>
      </c>
      <c r="S524" t="s">
        <v>11408</v>
      </c>
      <c r="T524" t="s">
        <v>48</v>
      </c>
      <c r="U524" t="s">
        <v>10976</v>
      </c>
      <c r="V524" s="47">
        <v>0</v>
      </c>
      <c r="W524" t="s">
        <v>48</v>
      </c>
      <c r="X524" t="s">
        <v>48</v>
      </c>
      <c r="Y524" t="s">
        <v>48</v>
      </c>
      <c r="Z524" t="s">
        <v>48</v>
      </c>
      <c r="AA524" t="s">
        <v>48</v>
      </c>
      <c r="AB524" t="s">
        <v>48</v>
      </c>
      <c r="AC524" t="s">
        <v>49</v>
      </c>
      <c r="AD524" t="s">
        <v>93</v>
      </c>
      <c r="AE524" t="s">
        <v>4532</v>
      </c>
      <c r="AF524" t="s">
        <v>48</v>
      </c>
      <c r="AG524" t="s">
        <v>48</v>
      </c>
      <c r="AH524" t="s">
        <v>48</v>
      </c>
      <c r="AI524" t="s">
        <v>48</v>
      </c>
      <c r="AJ524" t="s">
        <v>48</v>
      </c>
      <c r="AK524" t="s">
        <v>48</v>
      </c>
      <c r="AL524" t="s">
        <v>48</v>
      </c>
      <c r="AM524" t="s">
        <v>48</v>
      </c>
      <c r="AN524" t="s">
        <v>48</v>
      </c>
      <c r="AO524" t="s">
        <v>48</v>
      </c>
      <c r="AP524" s="46">
        <v>0</v>
      </c>
      <c r="AQ524" s="46">
        <v>0</v>
      </c>
      <c r="AR524" s="46">
        <v>0</v>
      </c>
      <c r="AS524" s="46">
        <v>0</v>
      </c>
      <c r="AT524" s="46">
        <v>0</v>
      </c>
      <c r="AU524" s="46">
        <v>0</v>
      </c>
      <c r="AV524" s="46">
        <v>0</v>
      </c>
      <c r="AW524" s="46">
        <v>0</v>
      </c>
      <c r="AX524" s="46">
        <v>0</v>
      </c>
      <c r="AY524" s="46">
        <v>0</v>
      </c>
      <c r="AZ524" s="46">
        <v>0</v>
      </c>
      <c r="BA524" s="46">
        <v>0</v>
      </c>
      <c r="BB524" s="46">
        <v>0</v>
      </c>
      <c r="BC524" s="46">
        <v>0</v>
      </c>
      <c r="BD524" s="46">
        <v>0</v>
      </c>
      <c r="BE524" s="46">
        <v>0</v>
      </c>
      <c r="BF524" s="46">
        <v>0</v>
      </c>
      <c r="BG524" s="46">
        <v>1</v>
      </c>
      <c r="BH524" s="46">
        <v>0</v>
      </c>
      <c r="BI524" s="46">
        <v>0</v>
      </c>
      <c r="BJ524" s="46">
        <v>0</v>
      </c>
      <c r="BK524" s="46">
        <v>0</v>
      </c>
      <c r="BL524" s="46">
        <v>0</v>
      </c>
      <c r="BM524" s="46">
        <v>0</v>
      </c>
      <c r="BN524" s="46">
        <v>0</v>
      </c>
    </row>
    <row r="525" spans="1:66" x14ac:dyDescent="0.35">
      <c r="A525" t="s">
        <v>1810</v>
      </c>
      <c r="B525" t="s">
        <v>48</v>
      </c>
      <c r="C525" t="s">
        <v>11754</v>
      </c>
      <c r="D525" t="s">
        <v>355</v>
      </c>
      <c r="E525" t="s">
        <v>1812</v>
      </c>
      <c r="F525" t="s">
        <v>1811</v>
      </c>
      <c r="G525" t="s">
        <v>74</v>
      </c>
      <c r="H525">
        <v>0</v>
      </c>
      <c r="I525" s="60" t="s">
        <v>51</v>
      </c>
      <c r="J525" s="33" t="s">
        <v>45</v>
      </c>
      <c r="K525" s="46">
        <v>1</v>
      </c>
      <c r="L525">
        <v>100</v>
      </c>
      <c r="M525" t="s">
        <v>48</v>
      </c>
      <c r="N525" s="46">
        <v>1</v>
      </c>
      <c r="O525" s="46">
        <v>0</v>
      </c>
      <c r="P525" s="46">
        <v>0</v>
      </c>
      <c r="Q525" t="s">
        <v>48</v>
      </c>
      <c r="R525" t="s">
        <v>48</v>
      </c>
      <c r="S525" t="s">
        <v>1813</v>
      </c>
      <c r="T525" t="s">
        <v>1814</v>
      </c>
      <c r="U525" t="s">
        <v>1813</v>
      </c>
      <c r="V525" s="47">
        <v>0</v>
      </c>
      <c r="W525" t="s">
        <v>48</v>
      </c>
      <c r="X525" t="s">
        <v>48</v>
      </c>
      <c r="Y525" t="s">
        <v>48</v>
      </c>
      <c r="Z525">
        <v>0</v>
      </c>
      <c r="AA525" t="s">
        <v>48</v>
      </c>
      <c r="AB525">
        <v>2016</v>
      </c>
      <c r="AC525" t="s">
        <v>63</v>
      </c>
      <c r="AD525" t="s">
        <v>93</v>
      </c>
      <c r="AE525" s="40" t="s">
        <v>2471</v>
      </c>
      <c r="AF525" t="s">
        <v>11061</v>
      </c>
      <c r="AG525" t="s">
        <v>112</v>
      </c>
      <c r="AH525" t="s">
        <v>93</v>
      </c>
      <c r="AI525">
        <v>21706</v>
      </c>
      <c r="AJ525">
        <v>1962</v>
      </c>
      <c r="AK525" t="s">
        <v>8802</v>
      </c>
      <c r="AL525" t="s">
        <v>8803</v>
      </c>
      <c r="AM525">
        <v>-0.33500000000000002</v>
      </c>
      <c r="AN525">
        <v>-0.13</v>
      </c>
      <c r="AO525">
        <v>-0.33500000000000002</v>
      </c>
      <c r="AP525" s="46">
        <v>0</v>
      </c>
      <c r="AQ525" s="46">
        <v>0</v>
      </c>
      <c r="AR525" s="46">
        <v>0</v>
      </c>
      <c r="AS525" s="46">
        <v>0</v>
      </c>
      <c r="AT525" s="46">
        <v>1</v>
      </c>
      <c r="AU525" s="46">
        <v>1</v>
      </c>
      <c r="AV525" s="46">
        <v>0</v>
      </c>
      <c r="AW525" s="46">
        <v>0</v>
      </c>
      <c r="AX525" s="46">
        <v>0</v>
      </c>
      <c r="AY525" s="46">
        <v>0</v>
      </c>
      <c r="AZ525" s="46">
        <v>0</v>
      </c>
      <c r="BA525" s="46">
        <v>0</v>
      </c>
      <c r="BB525" s="46">
        <v>0</v>
      </c>
      <c r="BC525" s="46">
        <v>0</v>
      </c>
      <c r="BD525" s="46">
        <v>0</v>
      </c>
      <c r="BE525" s="46">
        <v>0</v>
      </c>
      <c r="BF525" s="46">
        <v>0</v>
      </c>
      <c r="BG525" s="46" t="s">
        <v>48</v>
      </c>
      <c r="BH525" s="46">
        <v>0</v>
      </c>
      <c r="BI525" s="46">
        <v>0</v>
      </c>
      <c r="BJ525" s="46">
        <v>0</v>
      </c>
      <c r="BK525" s="46">
        <v>0</v>
      </c>
      <c r="BL525" s="46">
        <v>0</v>
      </c>
      <c r="BM525" s="46">
        <v>0</v>
      </c>
      <c r="BN525" s="46">
        <v>0</v>
      </c>
    </row>
    <row r="526" spans="1:66" x14ac:dyDescent="0.35">
      <c r="A526" t="s">
        <v>1826</v>
      </c>
      <c r="B526" s="44" t="s">
        <v>48</v>
      </c>
      <c r="C526" t="s">
        <v>1831</v>
      </c>
      <c r="D526" t="s">
        <v>1193</v>
      </c>
      <c r="E526" t="s">
        <v>1828</v>
      </c>
      <c r="F526" t="s">
        <v>1827</v>
      </c>
      <c r="G526" t="s">
        <v>47</v>
      </c>
      <c r="H526">
        <v>0</v>
      </c>
      <c r="I526" s="60" t="s">
        <v>51</v>
      </c>
      <c r="J526" s="33" t="s">
        <v>45</v>
      </c>
      <c r="K526" s="46">
        <v>1</v>
      </c>
      <c r="L526">
        <v>69.7</v>
      </c>
      <c r="M526" t="s">
        <v>48</v>
      </c>
      <c r="N526" s="46">
        <v>1</v>
      </c>
      <c r="O526" s="46">
        <v>0</v>
      </c>
      <c r="P526" s="46">
        <v>0</v>
      </c>
      <c r="Q526" t="s">
        <v>48</v>
      </c>
      <c r="R526" t="s">
        <v>48</v>
      </c>
      <c r="S526" t="s">
        <v>1829</v>
      </c>
      <c r="T526" t="s">
        <v>1830</v>
      </c>
      <c r="U526" t="s">
        <v>1829</v>
      </c>
      <c r="V526" s="47">
        <v>0</v>
      </c>
      <c r="W526" t="s">
        <v>48</v>
      </c>
      <c r="X526" t="s">
        <v>48</v>
      </c>
      <c r="Y526" t="s">
        <v>48</v>
      </c>
      <c r="Z526">
        <v>0</v>
      </c>
      <c r="AA526" t="s">
        <v>48</v>
      </c>
      <c r="AB526">
        <v>2016</v>
      </c>
      <c r="AC526" t="s">
        <v>49</v>
      </c>
      <c r="AD526" t="s">
        <v>93</v>
      </c>
      <c r="AE526" t="s">
        <v>4532</v>
      </c>
      <c r="AF526" t="s">
        <v>48</v>
      </c>
      <c r="AG526" t="s">
        <v>151</v>
      </c>
      <c r="AH526" t="s">
        <v>93</v>
      </c>
      <c r="AI526">
        <v>21719</v>
      </c>
      <c r="AJ526">
        <v>1982</v>
      </c>
      <c r="AK526" t="s">
        <v>8804</v>
      </c>
      <c r="AL526" t="s">
        <v>8805</v>
      </c>
      <c r="AM526">
        <v>0.61399999999999999</v>
      </c>
      <c r="AN526">
        <v>-0.64400000000000002</v>
      </c>
      <c r="AO526">
        <v>0.61399999999999999</v>
      </c>
      <c r="AP526" s="46">
        <v>0</v>
      </c>
      <c r="AQ526" s="46">
        <v>0</v>
      </c>
      <c r="AR526" s="46">
        <v>0</v>
      </c>
      <c r="AS526" s="46">
        <v>0</v>
      </c>
      <c r="AT526" s="46">
        <v>0</v>
      </c>
      <c r="AU526" s="46">
        <v>0</v>
      </c>
      <c r="AV526" s="46">
        <v>0</v>
      </c>
      <c r="AW526" s="46">
        <v>0</v>
      </c>
      <c r="AX526" s="46">
        <v>0</v>
      </c>
      <c r="AY526" s="46">
        <v>0</v>
      </c>
      <c r="AZ526" s="46">
        <v>0</v>
      </c>
      <c r="BA526" s="46">
        <v>0</v>
      </c>
      <c r="BB526" s="46">
        <v>0</v>
      </c>
      <c r="BC526" s="46">
        <v>0</v>
      </c>
      <c r="BD526" s="46">
        <v>0</v>
      </c>
      <c r="BE526" s="46">
        <v>1</v>
      </c>
      <c r="BF526" s="46">
        <v>1</v>
      </c>
      <c r="BG526" s="46">
        <v>1</v>
      </c>
      <c r="BH526" s="46">
        <v>0</v>
      </c>
      <c r="BI526" s="46">
        <v>0</v>
      </c>
      <c r="BJ526" s="46">
        <v>0</v>
      </c>
      <c r="BK526" s="46">
        <v>0</v>
      </c>
      <c r="BL526" s="46">
        <v>0</v>
      </c>
      <c r="BM526" s="46">
        <v>0</v>
      </c>
      <c r="BN526" s="46">
        <v>1</v>
      </c>
    </row>
    <row r="527" spans="1:66" x14ac:dyDescent="0.35">
      <c r="A527" t="s">
        <v>1832</v>
      </c>
      <c r="B527" s="44" t="s">
        <v>48</v>
      </c>
      <c r="C527" t="s">
        <v>886</v>
      </c>
      <c r="D527" t="s">
        <v>1834</v>
      </c>
      <c r="E527" t="s">
        <v>1833</v>
      </c>
      <c r="F527" t="s">
        <v>1827</v>
      </c>
      <c r="G527" t="s">
        <v>74</v>
      </c>
      <c r="H527">
        <v>0</v>
      </c>
      <c r="I527" s="60" t="s">
        <v>51</v>
      </c>
      <c r="J527" s="33" t="s">
        <v>45</v>
      </c>
      <c r="K527" s="46">
        <v>0</v>
      </c>
      <c r="L527">
        <v>62.6</v>
      </c>
      <c r="M527" t="s">
        <v>48</v>
      </c>
      <c r="N527" s="46">
        <v>1</v>
      </c>
      <c r="O527" s="46">
        <v>0</v>
      </c>
      <c r="P527" s="46">
        <v>0</v>
      </c>
      <c r="Q527" t="s">
        <v>48</v>
      </c>
      <c r="R527" t="s">
        <v>48</v>
      </c>
      <c r="S527" t="str">
        <f>"@GeoRebekah"</f>
        <v>@GeoRebekah</v>
      </c>
      <c r="T527" t="s">
        <v>48</v>
      </c>
      <c r="U527" t="str">
        <f>"@GeoRebekah"</f>
        <v>@GeoRebekah</v>
      </c>
      <c r="V527" s="47">
        <v>0</v>
      </c>
      <c r="W527">
        <v>99</v>
      </c>
      <c r="X527" t="s">
        <v>48</v>
      </c>
      <c r="Y527" t="s">
        <v>48</v>
      </c>
      <c r="Z527">
        <v>0</v>
      </c>
      <c r="AA527" t="s">
        <v>10923</v>
      </c>
      <c r="AB527" t="s">
        <v>48</v>
      </c>
      <c r="AC527" t="s">
        <v>63</v>
      </c>
      <c r="AD527" t="s">
        <v>93</v>
      </c>
      <c r="AE527" t="s">
        <v>4532</v>
      </c>
      <c r="AF527" t="s">
        <v>48</v>
      </c>
      <c r="AG527" t="s">
        <v>48</v>
      </c>
      <c r="AH527" t="s">
        <v>48</v>
      </c>
      <c r="AI527" t="s">
        <v>48</v>
      </c>
      <c r="AJ527" t="s">
        <v>48</v>
      </c>
      <c r="AK527" t="s">
        <v>48</v>
      </c>
      <c r="AL527" t="s">
        <v>48</v>
      </c>
      <c r="AM527" t="s">
        <v>48</v>
      </c>
      <c r="AN527" t="s">
        <v>48</v>
      </c>
      <c r="AO527" t="s">
        <v>48</v>
      </c>
      <c r="AP527" s="46">
        <v>0</v>
      </c>
      <c r="AQ527" s="46">
        <v>0</v>
      </c>
      <c r="AR527" s="46">
        <v>0</v>
      </c>
      <c r="AS527" s="46">
        <v>0</v>
      </c>
      <c r="AT527" s="46">
        <v>0</v>
      </c>
      <c r="AU527" s="46">
        <v>0</v>
      </c>
      <c r="AV527" s="46">
        <v>0</v>
      </c>
      <c r="AW527" s="46">
        <v>0</v>
      </c>
      <c r="AX527" s="46">
        <v>0</v>
      </c>
      <c r="AY527" s="46">
        <v>0</v>
      </c>
      <c r="AZ527" s="46">
        <v>0</v>
      </c>
      <c r="BA527" s="46">
        <v>0</v>
      </c>
      <c r="BB527" s="46">
        <v>0</v>
      </c>
      <c r="BC527" s="46">
        <v>0</v>
      </c>
      <c r="BD527" s="46">
        <v>0</v>
      </c>
      <c r="BE527" s="46">
        <v>0</v>
      </c>
      <c r="BF527" s="46">
        <v>0</v>
      </c>
      <c r="BG527" s="46" t="s">
        <v>48</v>
      </c>
      <c r="BH527" s="46">
        <v>0</v>
      </c>
      <c r="BI527" s="46">
        <v>0</v>
      </c>
      <c r="BJ527" s="46">
        <v>0</v>
      </c>
      <c r="BK527" s="46">
        <v>0</v>
      </c>
      <c r="BL527" s="46">
        <v>0</v>
      </c>
      <c r="BM527" s="46">
        <v>0</v>
      </c>
      <c r="BN527" s="46">
        <v>0</v>
      </c>
    </row>
    <row r="528" spans="1:66" x14ac:dyDescent="0.35">
      <c r="A528" t="s">
        <v>115</v>
      </c>
      <c r="B528" s="44" t="s">
        <v>48</v>
      </c>
      <c r="C528" t="s">
        <v>120</v>
      </c>
      <c r="D528" t="s">
        <v>85</v>
      </c>
      <c r="E528" t="s">
        <v>10433</v>
      </c>
      <c r="F528" t="s">
        <v>1839</v>
      </c>
      <c r="G528" t="s">
        <v>74</v>
      </c>
      <c r="H528">
        <v>0</v>
      </c>
      <c r="I528" s="61">
        <v>44797</v>
      </c>
      <c r="J528" s="33" t="s">
        <v>45</v>
      </c>
      <c r="K528" s="46">
        <v>0</v>
      </c>
      <c r="L528">
        <v>100</v>
      </c>
      <c r="M528" t="s">
        <v>48</v>
      </c>
      <c r="N528" s="46">
        <v>1</v>
      </c>
      <c r="O528" s="46">
        <v>0</v>
      </c>
      <c r="P528" s="46">
        <v>0</v>
      </c>
      <c r="Q528" t="s">
        <v>48</v>
      </c>
      <c r="R528" t="s">
        <v>48</v>
      </c>
      <c r="S528" t="s">
        <v>117</v>
      </c>
      <c r="T528" t="s">
        <v>118</v>
      </c>
      <c r="U528" t="s">
        <v>117</v>
      </c>
      <c r="V528" s="47">
        <v>0</v>
      </c>
      <c r="W528" t="s">
        <v>48</v>
      </c>
      <c r="X528" t="s">
        <v>48</v>
      </c>
      <c r="Y528" t="s">
        <v>48</v>
      </c>
      <c r="Z528">
        <v>0</v>
      </c>
      <c r="AA528" t="s">
        <v>48</v>
      </c>
      <c r="AB528" t="s">
        <v>48</v>
      </c>
      <c r="AC528" t="s">
        <v>49</v>
      </c>
      <c r="AD528" t="s">
        <v>93</v>
      </c>
      <c r="AE528" t="s">
        <v>2471</v>
      </c>
      <c r="AF528" t="s">
        <v>48</v>
      </c>
      <c r="AG528" t="s">
        <v>48</v>
      </c>
      <c r="AH528" t="s">
        <v>48</v>
      </c>
      <c r="AI528" t="s">
        <v>48</v>
      </c>
      <c r="AJ528" t="s">
        <v>48</v>
      </c>
      <c r="AK528" t="s">
        <v>48</v>
      </c>
      <c r="AL528" t="s">
        <v>48</v>
      </c>
      <c r="AM528" t="s">
        <v>48</v>
      </c>
      <c r="AN528" t="s">
        <v>48</v>
      </c>
      <c r="AO528" t="s">
        <v>48</v>
      </c>
      <c r="AP528" s="46">
        <v>0</v>
      </c>
      <c r="AQ528" s="46">
        <v>0</v>
      </c>
      <c r="AR528" s="46">
        <v>0</v>
      </c>
      <c r="AS528" s="46">
        <v>0</v>
      </c>
      <c r="AT528" s="46">
        <v>0</v>
      </c>
      <c r="AU528" s="46">
        <v>0</v>
      </c>
      <c r="AV528" s="46">
        <v>0</v>
      </c>
      <c r="AW528" s="46">
        <v>0</v>
      </c>
      <c r="AX528" s="46">
        <v>0</v>
      </c>
      <c r="AY528" s="46">
        <v>0</v>
      </c>
      <c r="AZ528" s="46">
        <v>0</v>
      </c>
      <c r="BA528" s="46">
        <v>0</v>
      </c>
      <c r="BB528" s="46">
        <v>0</v>
      </c>
      <c r="BC528" s="46">
        <v>0</v>
      </c>
      <c r="BD528" s="46">
        <v>0</v>
      </c>
      <c r="BE528" s="46">
        <v>0</v>
      </c>
      <c r="BF528" s="46">
        <v>0</v>
      </c>
      <c r="BG528" s="46" t="s">
        <v>48</v>
      </c>
      <c r="BH528" s="46">
        <v>0</v>
      </c>
      <c r="BI528" s="46">
        <v>0</v>
      </c>
      <c r="BJ528" s="46">
        <v>0</v>
      </c>
      <c r="BK528" s="46">
        <v>0</v>
      </c>
      <c r="BL528" s="46">
        <v>0</v>
      </c>
      <c r="BM528" s="46">
        <v>0</v>
      </c>
      <c r="BN528" s="46">
        <v>0</v>
      </c>
    </row>
    <row r="529" spans="1:66" x14ac:dyDescent="0.35">
      <c r="A529" t="s">
        <v>1840</v>
      </c>
      <c r="B529" s="44" t="s">
        <v>48</v>
      </c>
      <c r="C529" t="s">
        <v>504</v>
      </c>
      <c r="D529" t="s">
        <v>1594</v>
      </c>
      <c r="E529" t="s">
        <v>1841</v>
      </c>
      <c r="F529" t="s">
        <v>1839</v>
      </c>
      <c r="G529" t="s">
        <v>47</v>
      </c>
      <c r="H529">
        <v>0</v>
      </c>
      <c r="I529" s="60" t="s">
        <v>51</v>
      </c>
      <c r="J529" s="33" t="s">
        <v>45</v>
      </c>
      <c r="K529" s="46">
        <v>1</v>
      </c>
      <c r="L529">
        <v>100</v>
      </c>
      <c r="M529" t="s">
        <v>48</v>
      </c>
      <c r="N529" s="46">
        <v>1</v>
      </c>
      <c r="O529" s="46">
        <v>0</v>
      </c>
      <c r="P529" s="46">
        <v>0</v>
      </c>
      <c r="Q529" t="s">
        <v>48</v>
      </c>
      <c r="R529" t="s">
        <v>48</v>
      </c>
      <c r="S529" t="s">
        <v>1842</v>
      </c>
      <c r="T529" t="s">
        <v>1843</v>
      </c>
      <c r="U529" t="s">
        <v>1842</v>
      </c>
      <c r="V529" s="47">
        <v>0</v>
      </c>
      <c r="W529" t="s">
        <v>48</v>
      </c>
      <c r="X529" t="s">
        <v>48</v>
      </c>
      <c r="Y529" t="s">
        <v>48</v>
      </c>
      <c r="Z529">
        <v>0</v>
      </c>
      <c r="AA529" t="s">
        <v>1844</v>
      </c>
      <c r="AB529">
        <v>2016</v>
      </c>
      <c r="AC529" t="s">
        <v>49</v>
      </c>
      <c r="AD529" t="s">
        <v>93</v>
      </c>
      <c r="AE529" t="s">
        <v>4532</v>
      </c>
      <c r="AF529" t="s">
        <v>48</v>
      </c>
      <c r="AG529" t="s">
        <v>140</v>
      </c>
      <c r="AH529" t="s">
        <v>93</v>
      </c>
      <c r="AI529">
        <v>21714</v>
      </c>
      <c r="AJ529">
        <v>1953</v>
      </c>
      <c r="AK529" t="s">
        <v>8806</v>
      </c>
      <c r="AL529" t="s">
        <v>8807</v>
      </c>
      <c r="AM529">
        <v>0.51300000000000001</v>
      </c>
      <c r="AN529">
        <v>0.30499999999999999</v>
      </c>
      <c r="AO529">
        <v>0.51300000000000001</v>
      </c>
      <c r="AP529" s="46">
        <v>0</v>
      </c>
      <c r="AQ529" s="46">
        <v>0</v>
      </c>
      <c r="AR529" s="46">
        <v>0</v>
      </c>
      <c r="AS529" s="46">
        <v>0</v>
      </c>
      <c r="AT529" s="46">
        <v>0</v>
      </c>
      <c r="AU529" s="46">
        <v>0</v>
      </c>
      <c r="AV529" s="46">
        <v>0</v>
      </c>
      <c r="AW529" s="46">
        <v>0</v>
      </c>
      <c r="AX529" s="46">
        <v>0</v>
      </c>
      <c r="AY529" s="46">
        <v>0</v>
      </c>
      <c r="AZ529" s="46">
        <v>0</v>
      </c>
      <c r="BA529" s="46">
        <v>0</v>
      </c>
      <c r="BB529" s="46">
        <v>1</v>
      </c>
      <c r="BC529" s="46">
        <v>0</v>
      </c>
      <c r="BD529" s="46">
        <v>0</v>
      </c>
      <c r="BE529" s="46">
        <v>0</v>
      </c>
      <c r="BF529" s="46">
        <v>0</v>
      </c>
      <c r="BG529" s="46">
        <v>1</v>
      </c>
      <c r="BH529" s="46">
        <v>0</v>
      </c>
      <c r="BI529" s="46">
        <v>0</v>
      </c>
      <c r="BJ529" s="46">
        <v>0</v>
      </c>
      <c r="BK529" s="46">
        <v>0</v>
      </c>
      <c r="BL529" s="46">
        <v>0</v>
      </c>
      <c r="BM529" s="46">
        <v>0</v>
      </c>
      <c r="BN529" s="46">
        <v>0</v>
      </c>
    </row>
    <row r="530" spans="1:66" x14ac:dyDescent="0.35">
      <c r="A530" t="s">
        <v>1852</v>
      </c>
      <c r="B530" s="44" t="s">
        <v>48</v>
      </c>
      <c r="C530" t="s">
        <v>1856</v>
      </c>
      <c r="D530" t="s">
        <v>1855</v>
      </c>
      <c r="E530" t="s">
        <v>1853</v>
      </c>
      <c r="F530" t="s">
        <v>1845</v>
      </c>
      <c r="G530" t="s">
        <v>74</v>
      </c>
      <c r="H530">
        <v>0</v>
      </c>
      <c r="I530" s="60" t="s">
        <v>51</v>
      </c>
      <c r="J530" s="33" t="s">
        <v>45</v>
      </c>
      <c r="K530" s="46">
        <v>0</v>
      </c>
      <c r="L530">
        <v>67.599999999999994</v>
      </c>
      <c r="M530" t="s">
        <v>48</v>
      </c>
      <c r="N530" s="46">
        <v>1</v>
      </c>
      <c r="O530" s="46">
        <v>0</v>
      </c>
      <c r="P530" s="46">
        <v>0</v>
      </c>
      <c r="Q530" t="s">
        <v>48</v>
      </c>
      <c r="R530" t="s">
        <v>48</v>
      </c>
      <c r="S530" t="s">
        <v>1854</v>
      </c>
      <c r="T530" t="s">
        <v>48</v>
      </c>
      <c r="U530" t="s">
        <v>1854</v>
      </c>
      <c r="V530" s="47">
        <v>0</v>
      </c>
      <c r="W530" t="s">
        <v>48</v>
      </c>
      <c r="X530" t="s">
        <v>48</v>
      </c>
      <c r="Y530" t="s">
        <v>48</v>
      </c>
      <c r="Z530">
        <v>0</v>
      </c>
      <c r="AA530" t="s">
        <v>48</v>
      </c>
      <c r="AB530" t="s">
        <v>48</v>
      </c>
      <c r="AC530" t="s">
        <v>63</v>
      </c>
      <c r="AD530" t="s">
        <v>93</v>
      </c>
      <c r="AE530" t="s">
        <v>4532</v>
      </c>
      <c r="AF530" t="s">
        <v>48</v>
      </c>
      <c r="AG530" t="s">
        <v>48</v>
      </c>
      <c r="AH530" t="s">
        <v>48</v>
      </c>
      <c r="AI530" t="s">
        <v>48</v>
      </c>
      <c r="AJ530" t="s">
        <v>48</v>
      </c>
      <c r="AK530" t="s">
        <v>48</v>
      </c>
      <c r="AL530" t="s">
        <v>48</v>
      </c>
      <c r="AM530" t="s">
        <v>48</v>
      </c>
      <c r="AN530" t="s">
        <v>48</v>
      </c>
      <c r="AO530" t="s">
        <v>48</v>
      </c>
      <c r="AP530" s="46">
        <v>0</v>
      </c>
      <c r="AQ530" s="46">
        <v>0</v>
      </c>
      <c r="AR530" s="46">
        <v>0</v>
      </c>
      <c r="AS530" s="46">
        <v>0</v>
      </c>
      <c r="AT530" s="46">
        <v>0</v>
      </c>
      <c r="AU530" s="46">
        <v>0</v>
      </c>
      <c r="AV530" s="46">
        <v>0</v>
      </c>
      <c r="AW530" s="46">
        <v>0</v>
      </c>
      <c r="AX530" s="46">
        <v>0</v>
      </c>
      <c r="AY530" s="46">
        <v>0</v>
      </c>
      <c r="AZ530" s="46">
        <v>0</v>
      </c>
      <c r="BA530" s="46">
        <v>0</v>
      </c>
      <c r="BB530" s="46">
        <v>0</v>
      </c>
      <c r="BC530" s="46">
        <v>0</v>
      </c>
      <c r="BD530" s="46">
        <v>0</v>
      </c>
      <c r="BE530" s="46">
        <v>0</v>
      </c>
      <c r="BF530" s="46">
        <v>0</v>
      </c>
      <c r="BG530" s="46" t="s">
        <v>48</v>
      </c>
      <c r="BH530" s="46">
        <v>0</v>
      </c>
      <c r="BI530" s="46">
        <v>0</v>
      </c>
      <c r="BJ530" s="46">
        <v>0</v>
      </c>
      <c r="BK530" s="46">
        <v>0</v>
      </c>
      <c r="BL530" s="46">
        <v>0</v>
      </c>
      <c r="BM530" s="46">
        <v>0</v>
      </c>
      <c r="BN530" s="46">
        <v>0</v>
      </c>
    </row>
    <row r="531" spans="1:66" x14ac:dyDescent="0.35">
      <c r="A531" t="s">
        <v>1846</v>
      </c>
      <c r="B531" s="44" t="s">
        <v>48</v>
      </c>
      <c r="C531" t="s">
        <v>1851</v>
      </c>
      <c r="D531" t="s">
        <v>1850</v>
      </c>
      <c r="E531" t="s">
        <v>1847</v>
      </c>
      <c r="F531" t="s">
        <v>1845</v>
      </c>
      <c r="G531" t="s">
        <v>47</v>
      </c>
      <c r="H531">
        <v>0</v>
      </c>
      <c r="I531" s="60" t="s">
        <v>51</v>
      </c>
      <c r="J531" s="33" t="s">
        <v>45</v>
      </c>
      <c r="K531" s="46">
        <v>1</v>
      </c>
      <c r="L531">
        <v>85.2</v>
      </c>
      <c r="M531" t="s">
        <v>48</v>
      </c>
      <c r="N531" s="46">
        <v>1</v>
      </c>
      <c r="O531" s="46">
        <v>0</v>
      </c>
      <c r="P531" s="46">
        <v>0</v>
      </c>
      <c r="Q531" t="s">
        <v>48</v>
      </c>
      <c r="R531" t="s">
        <v>48</v>
      </c>
      <c r="S531" t="s">
        <v>1848</v>
      </c>
      <c r="T531" t="s">
        <v>1849</v>
      </c>
      <c r="U531" t="s">
        <v>1848</v>
      </c>
      <c r="V531" s="47">
        <v>0</v>
      </c>
      <c r="W531" t="s">
        <v>48</v>
      </c>
      <c r="X531" t="s">
        <v>48</v>
      </c>
      <c r="Y531" t="s">
        <v>48</v>
      </c>
      <c r="Z531">
        <v>1</v>
      </c>
      <c r="AA531" t="s">
        <v>48</v>
      </c>
      <c r="AB531">
        <v>2020</v>
      </c>
      <c r="AC531" t="s">
        <v>63</v>
      </c>
      <c r="AD531" t="s">
        <v>93</v>
      </c>
      <c r="AE531" t="s">
        <v>4532</v>
      </c>
      <c r="AF531" t="s">
        <v>48</v>
      </c>
      <c r="AG531" t="s">
        <v>48</v>
      </c>
      <c r="AH531" t="s">
        <v>48</v>
      </c>
      <c r="AI531">
        <v>22107</v>
      </c>
      <c r="AJ531">
        <v>1988</v>
      </c>
      <c r="AK531" t="s">
        <v>8808</v>
      </c>
      <c r="AL531" t="s">
        <v>8809</v>
      </c>
      <c r="AM531">
        <v>0.626</v>
      </c>
      <c r="AN531">
        <v>-0.14699999999999999</v>
      </c>
      <c r="AO531">
        <v>0.626</v>
      </c>
      <c r="AP531" s="46">
        <v>0</v>
      </c>
      <c r="AQ531" s="46">
        <v>0</v>
      </c>
      <c r="AR531" s="46">
        <v>0</v>
      </c>
      <c r="AS531" s="46">
        <v>0</v>
      </c>
      <c r="AT531" s="46">
        <v>0</v>
      </c>
      <c r="AU531" s="46">
        <v>0</v>
      </c>
      <c r="AV531" s="46">
        <v>0</v>
      </c>
      <c r="AW531" s="46">
        <v>0</v>
      </c>
      <c r="AX531" s="46">
        <v>0</v>
      </c>
      <c r="AY531" s="46">
        <v>0</v>
      </c>
      <c r="AZ531" s="46">
        <v>0</v>
      </c>
      <c r="BA531" s="46">
        <v>0</v>
      </c>
      <c r="BB531" s="46">
        <v>1</v>
      </c>
      <c r="BC531" s="46">
        <v>0</v>
      </c>
      <c r="BD531" s="46">
        <v>0</v>
      </c>
      <c r="BE531" s="46">
        <v>1</v>
      </c>
      <c r="BF531" s="46">
        <v>0</v>
      </c>
      <c r="BG531" s="46">
        <v>1</v>
      </c>
      <c r="BH531" s="46">
        <v>0</v>
      </c>
      <c r="BI531" s="46">
        <v>0</v>
      </c>
      <c r="BJ531" s="46">
        <v>0</v>
      </c>
      <c r="BK531" s="46">
        <v>0</v>
      </c>
      <c r="BL531" s="46">
        <v>0</v>
      </c>
      <c r="BM531" s="46">
        <v>0</v>
      </c>
      <c r="BN531" s="46">
        <v>1</v>
      </c>
    </row>
    <row r="532" spans="1:66" x14ac:dyDescent="0.35">
      <c r="A532" t="s">
        <v>10442</v>
      </c>
      <c r="B532" s="44" t="s">
        <v>48</v>
      </c>
      <c r="C532" t="s">
        <v>11758</v>
      </c>
      <c r="D532" t="s">
        <v>879</v>
      </c>
      <c r="E532" t="s">
        <v>10443</v>
      </c>
      <c r="F532" t="s">
        <v>62</v>
      </c>
      <c r="G532" t="s">
        <v>47</v>
      </c>
      <c r="H532">
        <v>0</v>
      </c>
      <c r="I532" s="60" t="s">
        <v>11552</v>
      </c>
      <c r="J532" s="33" t="s">
        <v>45</v>
      </c>
      <c r="K532" s="46">
        <v>0</v>
      </c>
      <c r="L532">
        <v>68.099999999999994</v>
      </c>
      <c r="M532" t="s">
        <v>48</v>
      </c>
      <c r="N532" s="46">
        <v>1</v>
      </c>
      <c r="O532" s="46">
        <v>0</v>
      </c>
      <c r="P532" s="46">
        <v>0</v>
      </c>
      <c r="Q532" t="s">
        <v>48</v>
      </c>
      <c r="R532" t="s">
        <v>48</v>
      </c>
      <c r="S532" t="s">
        <v>11413</v>
      </c>
      <c r="T532" t="s">
        <v>48</v>
      </c>
      <c r="U532" t="s">
        <v>10444</v>
      </c>
      <c r="V532" s="47">
        <v>0</v>
      </c>
      <c r="W532" t="s">
        <v>48</v>
      </c>
      <c r="X532" t="s">
        <v>48</v>
      </c>
      <c r="Y532" t="s">
        <v>48</v>
      </c>
      <c r="Z532">
        <v>0</v>
      </c>
      <c r="AA532" t="s">
        <v>48</v>
      </c>
      <c r="AB532" t="s">
        <v>48</v>
      </c>
      <c r="AC532" t="s">
        <v>49</v>
      </c>
      <c r="AD532" t="s">
        <v>93</v>
      </c>
      <c r="AE532" t="s">
        <v>4532</v>
      </c>
      <c r="AF532" t="s">
        <v>48</v>
      </c>
      <c r="AG532" t="s">
        <v>48</v>
      </c>
      <c r="AH532" t="s">
        <v>48</v>
      </c>
      <c r="AI532" t="s">
        <v>48</v>
      </c>
      <c r="AJ532" t="s">
        <v>48</v>
      </c>
      <c r="AK532" t="s">
        <v>48</v>
      </c>
      <c r="AL532" t="s">
        <v>48</v>
      </c>
      <c r="AM532" t="s">
        <v>48</v>
      </c>
      <c r="AN532" t="s">
        <v>48</v>
      </c>
      <c r="AO532" t="s">
        <v>48</v>
      </c>
      <c r="AP532" s="46">
        <v>0</v>
      </c>
      <c r="AQ532" s="46">
        <v>0</v>
      </c>
      <c r="AR532" s="46">
        <v>0</v>
      </c>
      <c r="AS532" s="46">
        <v>0</v>
      </c>
      <c r="AT532" s="46">
        <v>0</v>
      </c>
      <c r="AU532" s="46">
        <v>0</v>
      </c>
      <c r="AV532" s="46">
        <v>0</v>
      </c>
      <c r="AW532" s="46">
        <v>0</v>
      </c>
      <c r="AX532" s="46">
        <v>0</v>
      </c>
      <c r="AY532" s="46">
        <v>0</v>
      </c>
      <c r="AZ532" s="46">
        <v>0</v>
      </c>
      <c r="BA532" s="46">
        <v>0</v>
      </c>
      <c r="BB532" s="46">
        <v>0</v>
      </c>
      <c r="BC532" s="46">
        <v>0</v>
      </c>
      <c r="BD532" s="46">
        <v>0</v>
      </c>
      <c r="BE532" s="46">
        <v>0</v>
      </c>
      <c r="BF532" s="46">
        <v>0</v>
      </c>
      <c r="BG532" s="46" t="s">
        <v>48</v>
      </c>
      <c r="BH532" s="46">
        <v>0</v>
      </c>
      <c r="BI532" s="46">
        <v>0</v>
      </c>
      <c r="BJ532" s="46">
        <v>0</v>
      </c>
      <c r="BK532" s="46">
        <v>0</v>
      </c>
      <c r="BL532" s="46">
        <v>0</v>
      </c>
      <c r="BM532" s="46">
        <v>0</v>
      </c>
      <c r="BN532" s="46">
        <v>0</v>
      </c>
    </row>
    <row r="533" spans="1:66" x14ac:dyDescent="0.35">
      <c r="A533" t="s">
        <v>10437</v>
      </c>
      <c r="B533" s="44" t="s">
        <v>48</v>
      </c>
      <c r="C533" t="s">
        <v>11760</v>
      </c>
      <c r="D533" t="s">
        <v>11761</v>
      </c>
      <c r="E533" t="s">
        <v>10438</v>
      </c>
      <c r="F533" t="s">
        <v>62</v>
      </c>
      <c r="G533" t="s">
        <v>74</v>
      </c>
      <c r="H533">
        <v>0</v>
      </c>
      <c r="I533" s="60" t="s">
        <v>11552</v>
      </c>
      <c r="J533" s="33" t="s">
        <v>45</v>
      </c>
      <c r="K533" s="46">
        <v>0</v>
      </c>
      <c r="L533">
        <v>50.2</v>
      </c>
      <c r="M533" t="s">
        <v>48</v>
      </c>
      <c r="N533" s="46">
        <v>1</v>
      </c>
      <c r="O533" s="46">
        <v>0</v>
      </c>
      <c r="P533" s="46">
        <v>0</v>
      </c>
      <c r="Q533" t="s">
        <v>48</v>
      </c>
      <c r="R533" t="s">
        <v>48</v>
      </c>
      <c r="S533" t="s">
        <v>11412</v>
      </c>
      <c r="T533" t="s">
        <v>48</v>
      </c>
      <c r="U533" t="s">
        <v>10439</v>
      </c>
      <c r="V533" s="47">
        <v>0</v>
      </c>
      <c r="W533" t="s">
        <v>48</v>
      </c>
      <c r="X533" t="s">
        <v>48</v>
      </c>
      <c r="Y533" t="s">
        <v>48</v>
      </c>
      <c r="Z533">
        <v>0</v>
      </c>
      <c r="AA533" t="s">
        <v>48</v>
      </c>
      <c r="AB533" t="s">
        <v>48</v>
      </c>
      <c r="AC533" t="s">
        <v>63</v>
      </c>
      <c r="AD533" t="s">
        <v>93</v>
      </c>
      <c r="AE533" t="s">
        <v>2471</v>
      </c>
      <c r="AF533" t="s">
        <v>48</v>
      </c>
      <c r="AG533" t="s">
        <v>48</v>
      </c>
      <c r="AH533" t="s">
        <v>48</v>
      </c>
      <c r="AI533" t="s">
        <v>48</v>
      </c>
      <c r="AJ533" t="s">
        <v>48</v>
      </c>
      <c r="AK533" t="s">
        <v>48</v>
      </c>
      <c r="AL533" t="s">
        <v>48</v>
      </c>
      <c r="AM533" t="s">
        <v>48</v>
      </c>
      <c r="AN533" t="s">
        <v>48</v>
      </c>
      <c r="AO533" t="s">
        <v>48</v>
      </c>
      <c r="AP533" s="46">
        <v>0</v>
      </c>
      <c r="AQ533" s="46">
        <v>0</v>
      </c>
      <c r="AR533" s="46">
        <v>0</v>
      </c>
      <c r="AS533" s="46">
        <v>0</v>
      </c>
      <c r="AT533" s="46">
        <v>0</v>
      </c>
      <c r="AU533" s="46">
        <v>0</v>
      </c>
      <c r="AV533" s="46">
        <v>0</v>
      </c>
      <c r="AW533" s="46">
        <v>0</v>
      </c>
      <c r="AX533" s="46">
        <v>0</v>
      </c>
      <c r="AY533" s="46">
        <v>0</v>
      </c>
      <c r="AZ533" s="46">
        <v>0</v>
      </c>
      <c r="BA533" s="46">
        <v>0</v>
      </c>
      <c r="BB533" s="46">
        <v>0</v>
      </c>
      <c r="BC533" s="46">
        <v>0</v>
      </c>
      <c r="BD533" s="46">
        <v>0</v>
      </c>
      <c r="BE533" s="46">
        <v>0</v>
      </c>
      <c r="BF533" s="46">
        <v>0</v>
      </c>
      <c r="BG533" s="46" t="s">
        <v>48</v>
      </c>
      <c r="BH533" s="46">
        <v>0</v>
      </c>
      <c r="BI533" s="46">
        <v>0</v>
      </c>
      <c r="BJ533" s="46">
        <v>0</v>
      </c>
      <c r="BK533" s="46">
        <v>0</v>
      </c>
      <c r="BL533" s="46">
        <v>0</v>
      </c>
      <c r="BM533" s="46">
        <v>0</v>
      </c>
      <c r="BN533" s="46">
        <v>0</v>
      </c>
    </row>
    <row r="534" spans="1:66" x14ac:dyDescent="0.35">
      <c r="A534" t="s">
        <v>1864</v>
      </c>
      <c r="B534" s="44" t="s">
        <v>48</v>
      </c>
      <c r="C534" t="s">
        <v>11590</v>
      </c>
      <c r="D534" t="s">
        <v>221</v>
      </c>
      <c r="E534" t="s">
        <v>10447</v>
      </c>
      <c r="F534" t="s">
        <v>116</v>
      </c>
      <c r="G534" t="s">
        <v>47</v>
      </c>
      <c r="H534">
        <v>0</v>
      </c>
      <c r="I534" s="60" t="s">
        <v>11552</v>
      </c>
      <c r="J534" s="33" t="s">
        <v>45</v>
      </c>
      <c r="K534" s="46">
        <v>0</v>
      </c>
      <c r="L534">
        <v>65.7</v>
      </c>
      <c r="M534" t="s">
        <v>48</v>
      </c>
      <c r="N534" s="46">
        <v>1</v>
      </c>
      <c r="O534" s="46">
        <v>0</v>
      </c>
      <c r="P534" s="46">
        <v>0</v>
      </c>
      <c r="Q534" t="s">
        <v>48</v>
      </c>
      <c r="R534" t="s">
        <v>48</v>
      </c>
      <c r="S534" t="s">
        <v>11415</v>
      </c>
      <c r="T534" t="s">
        <v>1865</v>
      </c>
      <c r="U534" t="s">
        <v>10448</v>
      </c>
      <c r="V534" s="47">
        <v>0</v>
      </c>
      <c r="W534" t="s">
        <v>48</v>
      </c>
      <c r="X534" t="s">
        <v>48</v>
      </c>
      <c r="Y534" t="s">
        <v>48</v>
      </c>
      <c r="Z534">
        <v>0</v>
      </c>
      <c r="AA534" t="s">
        <v>48</v>
      </c>
      <c r="AB534" t="s">
        <v>48</v>
      </c>
      <c r="AC534" t="s">
        <v>49</v>
      </c>
      <c r="AD534" t="s">
        <v>93</v>
      </c>
      <c r="AE534" t="s">
        <v>4532</v>
      </c>
      <c r="AF534" t="s">
        <v>48</v>
      </c>
      <c r="AG534" t="s">
        <v>48</v>
      </c>
      <c r="AH534" t="s">
        <v>48</v>
      </c>
      <c r="AI534" t="s">
        <v>48</v>
      </c>
      <c r="AJ534" t="s">
        <v>48</v>
      </c>
      <c r="AK534" t="s">
        <v>48</v>
      </c>
      <c r="AL534" t="s">
        <v>48</v>
      </c>
      <c r="AM534" t="s">
        <v>48</v>
      </c>
      <c r="AN534" t="s">
        <v>48</v>
      </c>
      <c r="AO534" t="s">
        <v>48</v>
      </c>
      <c r="AP534" s="46">
        <v>0</v>
      </c>
      <c r="AQ534" s="46">
        <v>0</v>
      </c>
      <c r="AR534" s="46">
        <v>0</v>
      </c>
      <c r="AS534" s="46">
        <v>0</v>
      </c>
      <c r="AT534" s="46">
        <v>0</v>
      </c>
      <c r="AU534" s="46">
        <v>0</v>
      </c>
      <c r="AV534" s="46">
        <v>0</v>
      </c>
      <c r="AW534" s="46">
        <v>0</v>
      </c>
      <c r="AX534" s="46">
        <v>0</v>
      </c>
      <c r="AY534" s="46">
        <v>0</v>
      </c>
      <c r="AZ534" s="46">
        <v>0</v>
      </c>
      <c r="BA534" s="46">
        <v>0</v>
      </c>
      <c r="BB534" s="46">
        <v>0</v>
      </c>
      <c r="BC534" s="46">
        <v>0</v>
      </c>
      <c r="BD534" s="46">
        <v>0</v>
      </c>
      <c r="BE534" s="46">
        <v>0</v>
      </c>
      <c r="BF534" s="46">
        <v>0</v>
      </c>
      <c r="BG534" s="46">
        <v>1</v>
      </c>
      <c r="BH534" s="46">
        <v>0</v>
      </c>
      <c r="BI534" s="46">
        <v>0</v>
      </c>
      <c r="BJ534" s="46">
        <v>0</v>
      </c>
      <c r="BK534" s="46">
        <v>0</v>
      </c>
      <c r="BL534" s="46">
        <v>0</v>
      </c>
      <c r="BM534" s="46">
        <v>0</v>
      </c>
      <c r="BN534" s="46">
        <v>0</v>
      </c>
    </row>
    <row r="535" spans="1:66" x14ac:dyDescent="0.35">
      <c r="A535" t="s">
        <v>1869</v>
      </c>
      <c r="B535" t="s">
        <v>48</v>
      </c>
      <c r="C535" t="s">
        <v>1874</v>
      </c>
      <c r="D535" t="s">
        <v>396</v>
      </c>
      <c r="E535" t="s">
        <v>1871</v>
      </c>
      <c r="F535" t="s">
        <v>1870</v>
      </c>
      <c r="G535" t="s">
        <v>47</v>
      </c>
      <c r="H535">
        <v>0</v>
      </c>
      <c r="I535" s="60" t="s">
        <v>51</v>
      </c>
      <c r="J535" s="33" t="s">
        <v>45</v>
      </c>
      <c r="K535" s="46">
        <v>1</v>
      </c>
      <c r="L535">
        <v>77.400000000000006</v>
      </c>
      <c r="M535" t="s">
        <v>48</v>
      </c>
      <c r="N535" s="46">
        <v>1</v>
      </c>
      <c r="O535" s="46">
        <v>0</v>
      </c>
      <c r="P535" s="46">
        <v>0</v>
      </c>
      <c r="Q535" t="s">
        <v>48</v>
      </c>
      <c r="R535" t="s">
        <v>48</v>
      </c>
      <c r="S535" t="s">
        <v>1872</v>
      </c>
      <c r="T535" t="s">
        <v>1873</v>
      </c>
      <c r="U535" t="s">
        <v>1872</v>
      </c>
      <c r="V535" s="47">
        <v>0</v>
      </c>
      <c r="W535" t="s">
        <v>48</v>
      </c>
      <c r="X535" t="s">
        <v>48</v>
      </c>
      <c r="Y535" t="s">
        <v>48</v>
      </c>
      <c r="Z535">
        <v>0</v>
      </c>
      <c r="AA535" t="s">
        <v>48</v>
      </c>
      <c r="AB535">
        <v>2018</v>
      </c>
      <c r="AC535" t="s">
        <v>49</v>
      </c>
      <c r="AD535" t="s">
        <v>93</v>
      </c>
      <c r="AE535" t="s">
        <v>4532</v>
      </c>
      <c r="AF535" t="s">
        <v>48</v>
      </c>
      <c r="AG535" t="s">
        <v>112</v>
      </c>
      <c r="AH535" t="s">
        <v>93</v>
      </c>
      <c r="AI535">
        <v>21981</v>
      </c>
      <c r="AJ535">
        <v>1974</v>
      </c>
      <c r="AK535" t="s">
        <v>8810</v>
      </c>
      <c r="AL535" t="s">
        <v>8811</v>
      </c>
      <c r="AM535">
        <v>0.41</v>
      </c>
      <c r="AN535">
        <v>-4.9000000000000002E-2</v>
      </c>
      <c r="AO535">
        <v>0.41</v>
      </c>
      <c r="AP535" s="46">
        <v>0</v>
      </c>
      <c r="AQ535" s="46">
        <v>0</v>
      </c>
      <c r="AR535" s="46">
        <v>0</v>
      </c>
      <c r="AS535" s="46">
        <v>0</v>
      </c>
      <c r="AT535" s="46">
        <v>0</v>
      </c>
      <c r="AU535" s="46">
        <v>0</v>
      </c>
      <c r="AV535" s="46">
        <v>0</v>
      </c>
      <c r="AW535" s="46">
        <v>0</v>
      </c>
      <c r="AX535" s="46">
        <v>0</v>
      </c>
      <c r="AY535" s="46">
        <v>0</v>
      </c>
      <c r="AZ535" s="46">
        <v>1</v>
      </c>
      <c r="BA535" s="46">
        <v>0</v>
      </c>
      <c r="BB535" s="46">
        <v>1</v>
      </c>
      <c r="BC535" s="46">
        <v>0</v>
      </c>
      <c r="BD535" s="46">
        <v>0</v>
      </c>
      <c r="BE535" s="46">
        <v>0</v>
      </c>
      <c r="BF535" s="46">
        <v>0</v>
      </c>
      <c r="BG535" s="46">
        <v>1</v>
      </c>
      <c r="BH535" s="46">
        <v>0</v>
      </c>
      <c r="BI535" s="46">
        <v>0</v>
      </c>
      <c r="BJ535" s="46">
        <v>0</v>
      </c>
      <c r="BK535" s="46">
        <v>0</v>
      </c>
      <c r="BL535" s="46">
        <v>0</v>
      </c>
      <c r="BM535" s="46">
        <v>0</v>
      </c>
      <c r="BN535" s="46">
        <v>0</v>
      </c>
    </row>
    <row r="536" spans="1:66" x14ac:dyDescent="0.35">
      <c r="A536" t="s">
        <v>1887</v>
      </c>
      <c r="B536" s="44" t="s">
        <v>48</v>
      </c>
      <c r="C536" t="s">
        <v>1891</v>
      </c>
      <c r="D536" t="s">
        <v>1890</v>
      </c>
      <c r="E536" t="s">
        <v>1888</v>
      </c>
      <c r="F536" t="s">
        <v>122</v>
      </c>
      <c r="G536" t="s">
        <v>47</v>
      </c>
      <c r="H536">
        <v>0</v>
      </c>
      <c r="I536" s="60" t="s">
        <v>51</v>
      </c>
      <c r="J536" s="33" t="s">
        <v>45</v>
      </c>
      <c r="K536" s="46">
        <v>0</v>
      </c>
      <c r="L536">
        <v>37.9</v>
      </c>
      <c r="M536" t="s">
        <v>48</v>
      </c>
      <c r="N536" s="46">
        <v>1</v>
      </c>
      <c r="O536" s="46">
        <v>0</v>
      </c>
      <c r="P536" s="46">
        <v>0</v>
      </c>
      <c r="Q536" t="s">
        <v>48</v>
      </c>
      <c r="R536" t="s">
        <v>48</v>
      </c>
      <c r="S536" t="s">
        <v>1889</v>
      </c>
      <c r="T536" t="s">
        <v>48</v>
      </c>
      <c r="U536" t="s">
        <v>1889</v>
      </c>
      <c r="V536" s="47">
        <v>0</v>
      </c>
      <c r="W536" t="s">
        <v>48</v>
      </c>
      <c r="X536" t="s">
        <v>48</v>
      </c>
      <c r="Y536" t="s">
        <v>48</v>
      </c>
      <c r="Z536">
        <v>0</v>
      </c>
      <c r="AA536" t="s">
        <v>48</v>
      </c>
      <c r="AB536" t="s">
        <v>48</v>
      </c>
      <c r="AC536" t="s">
        <v>49</v>
      </c>
      <c r="AD536" t="s">
        <v>93</v>
      </c>
      <c r="AE536" t="s">
        <v>4532</v>
      </c>
      <c r="AF536" t="s">
        <v>48</v>
      </c>
      <c r="AG536" t="s">
        <v>48</v>
      </c>
      <c r="AH536" t="s">
        <v>48</v>
      </c>
      <c r="AI536" t="s">
        <v>48</v>
      </c>
      <c r="AJ536" t="s">
        <v>48</v>
      </c>
      <c r="AK536" t="s">
        <v>48</v>
      </c>
      <c r="AL536" t="s">
        <v>48</v>
      </c>
      <c r="AM536" t="s">
        <v>48</v>
      </c>
      <c r="AN536" t="s">
        <v>48</v>
      </c>
      <c r="AO536" t="s">
        <v>48</v>
      </c>
      <c r="AP536" s="46">
        <v>0</v>
      </c>
      <c r="AQ536" s="46">
        <v>0</v>
      </c>
      <c r="AR536" s="46">
        <v>0</v>
      </c>
      <c r="AS536" s="46">
        <v>0</v>
      </c>
      <c r="AT536" s="46">
        <v>0</v>
      </c>
      <c r="AU536" s="46">
        <v>0</v>
      </c>
      <c r="AV536" s="46">
        <v>0</v>
      </c>
      <c r="AW536" s="46">
        <v>0</v>
      </c>
      <c r="AX536" s="46">
        <v>0</v>
      </c>
      <c r="AY536" s="46">
        <v>0</v>
      </c>
      <c r="AZ536" s="46">
        <v>0</v>
      </c>
      <c r="BA536" s="46">
        <v>0</v>
      </c>
      <c r="BB536" s="46">
        <v>0</v>
      </c>
      <c r="BC536" s="46">
        <v>0</v>
      </c>
      <c r="BD536" s="46">
        <v>0</v>
      </c>
      <c r="BE536" s="46">
        <v>0</v>
      </c>
      <c r="BF536" s="46">
        <v>0</v>
      </c>
      <c r="BG536" s="46">
        <v>1</v>
      </c>
      <c r="BH536" s="46">
        <v>0</v>
      </c>
      <c r="BI536" s="46">
        <v>0</v>
      </c>
      <c r="BJ536" s="46">
        <v>0</v>
      </c>
      <c r="BK536" s="46">
        <v>0</v>
      </c>
      <c r="BL536" s="46">
        <v>0</v>
      </c>
      <c r="BM536" s="46">
        <v>0</v>
      </c>
      <c r="BN536" s="46">
        <v>0</v>
      </c>
    </row>
    <row r="537" spans="1:66" x14ac:dyDescent="0.35">
      <c r="A537" t="s">
        <v>10456</v>
      </c>
      <c r="B537" s="44" t="s">
        <v>48</v>
      </c>
      <c r="C537" t="s">
        <v>185</v>
      </c>
      <c r="D537" t="s">
        <v>1317</v>
      </c>
      <c r="E537" t="s">
        <v>10457</v>
      </c>
      <c r="F537" t="s">
        <v>122</v>
      </c>
      <c r="G537" t="s">
        <v>74</v>
      </c>
      <c r="H537">
        <v>0</v>
      </c>
      <c r="I537" s="60" t="s">
        <v>11552</v>
      </c>
      <c r="J537" s="33" t="s">
        <v>45</v>
      </c>
      <c r="K537" s="46">
        <v>0</v>
      </c>
      <c r="L537">
        <v>44.9</v>
      </c>
      <c r="M537" t="s">
        <v>48</v>
      </c>
      <c r="N537" s="46">
        <v>1</v>
      </c>
      <c r="O537" s="46">
        <v>0</v>
      </c>
      <c r="P537" s="46">
        <v>0</v>
      </c>
      <c r="Q537" t="s">
        <v>48</v>
      </c>
      <c r="R537" t="s">
        <v>48</v>
      </c>
      <c r="S537" t="s">
        <v>11420</v>
      </c>
      <c r="T537" t="s">
        <v>48</v>
      </c>
      <c r="U537" t="s">
        <v>10458</v>
      </c>
      <c r="V537" s="47">
        <v>0</v>
      </c>
      <c r="W537" t="s">
        <v>48</v>
      </c>
      <c r="X537" t="s">
        <v>48</v>
      </c>
      <c r="Y537" t="s">
        <v>48</v>
      </c>
      <c r="Z537">
        <v>0</v>
      </c>
      <c r="AA537" t="s">
        <v>48</v>
      </c>
      <c r="AB537" t="s">
        <v>48</v>
      </c>
      <c r="AC537" t="s">
        <v>63</v>
      </c>
      <c r="AD537" t="s">
        <v>93</v>
      </c>
      <c r="AE537" t="s">
        <v>2471</v>
      </c>
      <c r="AF537" t="s">
        <v>11075</v>
      </c>
      <c r="AG537" t="s">
        <v>48</v>
      </c>
      <c r="AH537" t="s">
        <v>48</v>
      </c>
      <c r="AI537" t="s">
        <v>48</v>
      </c>
      <c r="AJ537" t="s">
        <v>48</v>
      </c>
      <c r="AK537" t="s">
        <v>48</v>
      </c>
      <c r="AL537" t="s">
        <v>48</v>
      </c>
      <c r="AM537" t="s">
        <v>48</v>
      </c>
      <c r="AN537" t="s">
        <v>48</v>
      </c>
      <c r="AO537" t="s">
        <v>48</v>
      </c>
      <c r="AP537" s="46">
        <v>0</v>
      </c>
      <c r="AQ537" s="46">
        <v>0</v>
      </c>
      <c r="AR537" s="46">
        <v>0</v>
      </c>
      <c r="AS537" s="46">
        <v>0</v>
      </c>
      <c r="AT537" s="46">
        <v>0</v>
      </c>
      <c r="AU537" s="46">
        <v>0</v>
      </c>
      <c r="AV537" s="46">
        <v>0</v>
      </c>
      <c r="AW537" s="46">
        <v>0</v>
      </c>
      <c r="AX537" s="46">
        <v>0</v>
      </c>
      <c r="AY537" s="46">
        <v>0</v>
      </c>
      <c r="AZ537" s="46">
        <v>0</v>
      </c>
      <c r="BA537" s="46">
        <v>0</v>
      </c>
      <c r="BB537" s="46">
        <v>0</v>
      </c>
      <c r="BC537" s="46">
        <v>0</v>
      </c>
      <c r="BD537" s="46">
        <v>0</v>
      </c>
      <c r="BE537" s="46">
        <v>0</v>
      </c>
      <c r="BF537" s="46">
        <v>0</v>
      </c>
      <c r="BG537" s="46" t="s">
        <v>48</v>
      </c>
      <c r="BH537" s="46">
        <v>0</v>
      </c>
      <c r="BI537" s="46">
        <v>0</v>
      </c>
      <c r="BJ537" s="46">
        <v>0</v>
      </c>
      <c r="BK537" s="46">
        <v>0</v>
      </c>
      <c r="BL537" s="46">
        <v>0</v>
      </c>
      <c r="BM537" s="46">
        <v>0</v>
      </c>
      <c r="BN537" s="46">
        <v>0</v>
      </c>
    </row>
    <row r="538" spans="1:66" x14ac:dyDescent="0.35">
      <c r="A538" t="s">
        <v>1911</v>
      </c>
      <c r="B538" s="44" t="s">
        <v>48</v>
      </c>
      <c r="C538" t="s">
        <v>1916</v>
      </c>
      <c r="D538" t="s">
        <v>1915</v>
      </c>
      <c r="E538" t="s">
        <v>1912</v>
      </c>
      <c r="F538" t="s">
        <v>1906</v>
      </c>
      <c r="G538" t="s">
        <v>47</v>
      </c>
      <c r="H538">
        <v>0</v>
      </c>
      <c r="I538" s="60" t="s">
        <v>51</v>
      </c>
      <c r="J538" s="33" t="s">
        <v>45</v>
      </c>
      <c r="K538" s="46">
        <v>1</v>
      </c>
      <c r="L538">
        <v>100</v>
      </c>
      <c r="M538" t="s">
        <v>48</v>
      </c>
      <c r="N538" s="46">
        <v>1</v>
      </c>
      <c r="O538" s="46">
        <v>0</v>
      </c>
      <c r="P538" s="46">
        <v>0</v>
      </c>
      <c r="Q538" t="s">
        <v>48</v>
      </c>
      <c r="R538" t="s">
        <v>48</v>
      </c>
      <c r="S538" t="s">
        <v>1913</v>
      </c>
      <c r="T538" t="s">
        <v>1914</v>
      </c>
      <c r="U538" t="s">
        <v>1913</v>
      </c>
      <c r="V538" s="47">
        <v>0</v>
      </c>
      <c r="W538" t="s">
        <v>48</v>
      </c>
      <c r="X538" t="s">
        <v>48</v>
      </c>
      <c r="Y538" t="s">
        <v>48</v>
      </c>
      <c r="Z538">
        <v>0</v>
      </c>
      <c r="AA538" t="s">
        <v>48</v>
      </c>
      <c r="AB538">
        <v>2008</v>
      </c>
      <c r="AC538" t="s">
        <v>49</v>
      </c>
      <c r="AD538" t="s">
        <v>93</v>
      </c>
      <c r="AE538" t="s">
        <v>4532</v>
      </c>
      <c r="AF538" t="s">
        <v>48</v>
      </c>
      <c r="AG538" t="s">
        <v>479</v>
      </c>
      <c r="AH538" t="s">
        <v>93</v>
      </c>
      <c r="AI538">
        <v>20909</v>
      </c>
      <c r="AJ538">
        <v>1947</v>
      </c>
      <c r="AK538" t="s">
        <v>8814</v>
      </c>
      <c r="AL538" t="s">
        <v>8815</v>
      </c>
      <c r="AM538">
        <v>0.52500000000000002</v>
      </c>
      <c r="AN538">
        <v>-0.33400000000000002</v>
      </c>
      <c r="AO538">
        <v>0.52500000000000002</v>
      </c>
      <c r="AP538" s="46">
        <v>0</v>
      </c>
      <c r="AQ538" s="46">
        <v>0</v>
      </c>
      <c r="AR538" s="46">
        <v>0</v>
      </c>
      <c r="AS538" s="46">
        <v>0</v>
      </c>
      <c r="AT538" s="46">
        <v>0</v>
      </c>
      <c r="AU538" s="46">
        <v>0</v>
      </c>
      <c r="AV538" s="46">
        <v>0</v>
      </c>
      <c r="AW538" s="46">
        <v>0</v>
      </c>
      <c r="AX538" s="46">
        <v>0</v>
      </c>
      <c r="AY538" s="46">
        <v>0</v>
      </c>
      <c r="AZ538" s="46">
        <v>0</v>
      </c>
      <c r="BA538" s="46">
        <v>0</v>
      </c>
      <c r="BB538" s="46">
        <v>1</v>
      </c>
      <c r="BC538" s="46">
        <v>0</v>
      </c>
      <c r="BD538" s="46">
        <v>0</v>
      </c>
      <c r="BE538" s="46">
        <v>0</v>
      </c>
      <c r="BF538" s="46">
        <v>1</v>
      </c>
      <c r="BG538" s="46">
        <v>1</v>
      </c>
      <c r="BH538" s="46">
        <v>0</v>
      </c>
      <c r="BI538" s="46">
        <v>0</v>
      </c>
      <c r="BJ538" s="46">
        <v>0</v>
      </c>
      <c r="BK538" s="46">
        <v>0</v>
      </c>
      <c r="BL538" s="46">
        <v>0</v>
      </c>
      <c r="BM538" s="46">
        <v>0</v>
      </c>
      <c r="BN538" s="46">
        <v>0</v>
      </c>
    </row>
    <row r="539" spans="1:66" x14ac:dyDescent="0.35">
      <c r="A539" t="s">
        <v>1917</v>
      </c>
      <c r="B539" s="44" t="s">
        <v>48</v>
      </c>
      <c r="C539" t="s">
        <v>1429</v>
      </c>
      <c r="D539" t="s">
        <v>1919</v>
      </c>
      <c r="E539" t="s">
        <v>1918</v>
      </c>
      <c r="F539" t="s">
        <v>1906</v>
      </c>
      <c r="G539" t="s">
        <v>74</v>
      </c>
      <c r="H539">
        <v>0</v>
      </c>
      <c r="I539" s="60" t="s">
        <v>11552</v>
      </c>
      <c r="J539" s="33" t="s">
        <v>45</v>
      </c>
      <c r="K539" s="46">
        <v>0</v>
      </c>
      <c r="L539">
        <v>54.6</v>
      </c>
      <c r="M539" t="s">
        <v>48</v>
      </c>
      <c r="N539" s="46">
        <v>1</v>
      </c>
      <c r="O539" s="46">
        <v>0</v>
      </c>
      <c r="P539" s="46">
        <v>0</v>
      </c>
      <c r="Q539" t="s">
        <v>48</v>
      </c>
      <c r="R539" t="s">
        <v>48</v>
      </c>
      <c r="S539" t="s">
        <v>11422</v>
      </c>
      <c r="T539" t="s">
        <v>48</v>
      </c>
      <c r="U539" t="s">
        <v>10934</v>
      </c>
      <c r="V539" s="47">
        <v>0</v>
      </c>
      <c r="W539" t="s">
        <v>48</v>
      </c>
      <c r="X539" t="s">
        <v>48</v>
      </c>
      <c r="Y539" t="s">
        <v>48</v>
      </c>
      <c r="Z539">
        <v>0</v>
      </c>
      <c r="AA539" t="s">
        <v>48</v>
      </c>
      <c r="AB539" t="s">
        <v>48</v>
      </c>
      <c r="AC539" t="s">
        <v>63</v>
      </c>
      <c r="AD539" t="s">
        <v>93</v>
      </c>
      <c r="AE539" t="s">
        <v>4532</v>
      </c>
      <c r="AF539" t="s">
        <v>48</v>
      </c>
      <c r="AG539" t="s">
        <v>48</v>
      </c>
      <c r="AH539" t="s">
        <v>48</v>
      </c>
      <c r="AI539" t="s">
        <v>48</v>
      </c>
      <c r="AJ539" t="s">
        <v>48</v>
      </c>
      <c r="AK539" t="s">
        <v>48</v>
      </c>
      <c r="AL539" t="s">
        <v>48</v>
      </c>
      <c r="AM539" t="s">
        <v>48</v>
      </c>
      <c r="AN539" t="s">
        <v>48</v>
      </c>
      <c r="AO539" t="s">
        <v>48</v>
      </c>
      <c r="AP539" s="46">
        <v>0</v>
      </c>
      <c r="AQ539" s="46">
        <v>0</v>
      </c>
      <c r="AR539" s="46">
        <v>0</v>
      </c>
      <c r="AS539" s="46">
        <v>0</v>
      </c>
      <c r="AT539" s="46">
        <v>0</v>
      </c>
      <c r="AU539" s="46">
        <v>0</v>
      </c>
      <c r="AV539" s="46">
        <v>0</v>
      </c>
      <c r="AW539" s="46">
        <v>0</v>
      </c>
      <c r="AX539" s="46">
        <v>0</v>
      </c>
      <c r="AY539" s="46">
        <v>0</v>
      </c>
      <c r="AZ539" s="46">
        <v>0</v>
      </c>
      <c r="BA539" s="46">
        <v>0</v>
      </c>
      <c r="BB539" s="46">
        <v>0</v>
      </c>
      <c r="BC539" s="46">
        <v>0</v>
      </c>
      <c r="BD539" s="46">
        <v>0</v>
      </c>
      <c r="BE539" s="46">
        <v>0</v>
      </c>
      <c r="BF539" s="46">
        <v>0</v>
      </c>
      <c r="BG539" s="46" t="s">
        <v>48</v>
      </c>
      <c r="BH539" s="46">
        <v>0</v>
      </c>
      <c r="BI539" s="46">
        <v>0</v>
      </c>
      <c r="BJ539" s="46">
        <v>0</v>
      </c>
      <c r="BK539" s="46">
        <v>0</v>
      </c>
      <c r="BL539" s="46">
        <v>0</v>
      </c>
      <c r="BM539" s="46">
        <v>0</v>
      </c>
      <c r="BN539" s="46">
        <v>0</v>
      </c>
    </row>
    <row r="540" spans="1:66" x14ac:dyDescent="0.35">
      <c r="A540" t="s">
        <v>1935</v>
      </c>
      <c r="B540" t="s">
        <v>48</v>
      </c>
      <c r="C540" t="s">
        <v>1940</v>
      </c>
      <c r="D540" t="s">
        <v>1939</v>
      </c>
      <c r="E540" t="s">
        <v>1936</v>
      </c>
      <c r="F540" t="s">
        <v>1920</v>
      </c>
      <c r="G540" t="s">
        <v>74</v>
      </c>
      <c r="H540">
        <v>0</v>
      </c>
      <c r="I540" s="60" t="s">
        <v>51</v>
      </c>
      <c r="J540" s="33" t="s">
        <v>45</v>
      </c>
      <c r="K540" s="46">
        <v>1</v>
      </c>
      <c r="L540">
        <v>100</v>
      </c>
      <c r="M540" t="s">
        <v>48</v>
      </c>
      <c r="N540" s="46">
        <v>1</v>
      </c>
      <c r="O540" s="46">
        <v>0</v>
      </c>
      <c r="P540" s="46">
        <v>0</v>
      </c>
      <c r="Q540" t="s">
        <v>48</v>
      </c>
      <c r="R540" t="s">
        <v>48</v>
      </c>
      <c r="S540" t="s">
        <v>1937</v>
      </c>
      <c r="T540" t="s">
        <v>1938</v>
      </c>
      <c r="U540" t="s">
        <v>1937</v>
      </c>
      <c r="V540" s="47">
        <v>0</v>
      </c>
      <c r="W540" t="s">
        <v>48</v>
      </c>
      <c r="X540" t="s">
        <v>48</v>
      </c>
      <c r="Y540" t="s">
        <v>48</v>
      </c>
      <c r="Z540">
        <v>0</v>
      </c>
      <c r="AA540" t="s">
        <v>48</v>
      </c>
      <c r="AB540">
        <v>2016</v>
      </c>
      <c r="AC540" t="s">
        <v>49</v>
      </c>
      <c r="AD540" t="s">
        <v>951</v>
      </c>
      <c r="AE540" s="40" t="s">
        <v>11051</v>
      </c>
      <c r="AF540" t="s">
        <v>11074</v>
      </c>
      <c r="AG540" t="s">
        <v>140</v>
      </c>
      <c r="AH540" t="s">
        <v>93</v>
      </c>
      <c r="AI540">
        <v>21746</v>
      </c>
      <c r="AJ540">
        <v>1978</v>
      </c>
      <c r="AK540" t="s">
        <v>8816</v>
      </c>
      <c r="AL540" t="s">
        <v>8817</v>
      </c>
      <c r="AM540">
        <v>-0.376</v>
      </c>
      <c r="AN540">
        <v>0.13</v>
      </c>
      <c r="AO540">
        <v>-0.376</v>
      </c>
      <c r="AP540" s="46">
        <v>0</v>
      </c>
      <c r="AQ540" s="46">
        <v>0</v>
      </c>
      <c r="AR540" s="46">
        <v>0</v>
      </c>
      <c r="AS540" s="46">
        <v>0</v>
      </c>
      <c r="AT540" s="46">
        <v>1</v>
      </c>
      <c r="AU540" s="46">
        <v>1</v>
      </c>
      <c r="AV540" s="46">
        <v>0</v>
      </c>
      <c r="AW540" s="46">
        <v>0</v>
      </c>
      <c r="AX540" s="46">
        <v>0</v>
      </c>
      <c r="AY540" s="46">
        <v>0</v>
      </c>
      <c r="AZ540" s="46">
        <v>0</v>
      </c>
      <c r="BA540" s="46">
        <v>1</v>
      </c>
      <c r="BB540" s="46">
        <v>0</v>
      </c>
      <c r="BC540" s="46">
        <v>0</v>
      </c>
      <c r="BD540" s="46">
        <v>0</v>
      </c>
      <c r="BE540" s="46">
        <v>0</v>
      </c>
      <c r="BF540" s="46">
        <v>0</v>
      </c>
      <c r="BG540" s="46" t="s">
        <v>48</v>
      </c>
      <c r="BH540" s="46">
        <v>0</v>
      </c>
      <c r="BI540" s="46">
        <v>0</v>
      </c>
      <c r="BJ540" s="46">
        <v>0</v>
      </c>
      <c r="BK540" s="46">
        <v>0</v>
      </c>
      <c r="BL540" s="46">
        <v>0</v>
      </c>
      <c r="BM540" s="46">
        <v>0</v>
      </c>
      <c r="BN540" s="46">
        <v>0</v>
      </c>
    </row>
    <row r="541" spans="1:66" x14ac:dyDescent="0.35">
      <c r="A541" t="s">
        <v>1927</v>
      </c>
      <c r="B541" s="44" t="s">
        <v>48</v>
      </c>
      <c r="C541" t="s">
        <v>385</v>
      </c>
      <c r="D541" t="s">
        <v>1929</v>
      </c>
      <c r="E541" t="s">
        <v>1928</v>
      </c>
      <c r="F541" t="s">
        <v>1920</v>
      </c>
      <c r="G541" t="s">
        <v>47</v>
      </c>
      <c r="H541">
        <v>0</v>
      </c>
      <c r="I541" s="60" t="s">
        <v>11552</v>
      </c>
      <c r="J541" s="33" t="s">
        <v>45</v>
      </c>
      <c r="K541" s="46">
        <v>0</v>
      </c>
      <c r="L541">
        <v>55.9</v>
      </c>
      <c r="M541" t="s">
        <v>48</v>
      </c>
      <c r="N541" s="46">
        <v>1</v>
      </c>
      <c r="O541" s="46">
        <v>0</v>
      </c>
      <c r="P541" s="46">
        <v>0</v>
      </c>
      <c r="Q541" t="s">
        <v>48</v>
      </c>
      <c r="R541" t="s">
        <v>48</v>
      </c>
      <c r="S541" t="s">
        <v>11423</v>
      </c>
      <c r="T541" t="s">
        <v>48</v>
      </c>
      <c r="U541" t="s">
        <v>10935</v>
      </c>
      <c r="V541" s="47">
        <v>0</v>
      </c>
      <c r="W541" t="s">
        <v>48</v>
      </c>
      <c r="X541" t="s">
        <v>48</v>
      </c>
      <c r="Y541" t="s">
        <v>48</v>
      </c>
      <c r="Z541">
        <v>0</v>
      </c>
      <c r="AA541" t="s">
        <v>48</v>
      </c>
      <c r="AB541" t="s">
        <v>48</v>
      </c>
      <c r="AC541" t="s">
        <v>49</v>
      </c>
      <c r="AD541" t="s">
        <v>93</v>
      </c>
      <c r="AE541" t="s">
        <v>4532</v>
      </c>
      <c r="AF541" t="s">
        <v>48</v>
      </c>
      <c r="AG541" t="s">
        <v>48</v>
      </c>
      <c r="AH541" t="s">
        <v>48</v>
      </c>
      <c r="AI541" t="s">
        <v>48</v>
      </c>
      <c r="AJ541" t="s">
        <v>48</v>
      </c>
      <c r="AK541" t="s">
        <v>48</v>
      </c>
      <c r="AL541" t="s">
        <v>48</v>
      </c>
      <c r="AM541" t="s">
        <v>48</v>
      </c>
      <c r="AN541" t="s">
        <v>48</v>
      </c>
      <c r="AO541" t="s">
        <v>48</v>
      </c>
      <c r="AP541" s="46">
        <v>0</v>
      </c>
      <c r="AQ541" s="46">
        <v>0</v>
      </c>
      <c r="AR541" s="46">
        <v>0</v>
      </c>
      <c r="AS541" s="46">
        <v>0</v>
      </c>
      <c r="AT541" s="46">
        <v>0</v>
      </c>
      <c r="AU541" s="46">
        <v>0</v>
      </c>
      <c r="AV541" s="46">
        <v>0</v>
      </c>
      <c r="AW541" s="46">
        <v>0</v>
      </c>
      <c r="AX541" s="46">
        <v>0</v>
      </c>
      <c r="AY541" s="46">
        <v>0</v>
      </c>
      <c r="AZ541" s="46">
        <v>0</v>
      </c>
      <c r="BA541" s="46">
        <v>0</v>
      </c>
      <c r="BB541" s="46">
        <v>0</v>
      </c>
      <c r="BC541" s="46">
        <v>0</v>
      </c>
      <c r="BD541" s="46">
        <v>0</v>
      </c>
      <c r="BE541" s="46">
        <v>0</v>
      </c>
      <c r="BF541" s="46">
        <v>0</v>
      </c>
      <c r="BG541" s="46">
        <v>1</v>
      </c>
      <c r="BH541" s="46">
        <v>0</v>
      </c>
      <c r="BI541" s="46">
        <v>0</v>
      </c>
      <c r="BJ541" s="46">
        <v>0</v>
      </c>
      <c r="BK541" s="46">
        <v>0</v>
      </c>
      <c r="BL541" s="46">
        <v>0</v>
      </c>
      <c r="BM541" s="46">
        <v>0</v>
      </c>
      <c r="BN541" s="46">
        <v>0</v>
      </c>
    </row>
    <row r="542" spans="1:66" x14ac:dyDescent="0.35">
      <c r="A542" t="s">
        <v>1985</v>
      </c>
      <c r="B542" s="44" t="s">
        <v>48</v>
      </c>
      <c r="C542" t="s">
        <v>1988</v>
      </c>
      <c r="D542" t="s">
        <v>1987</v>
      </c>
      <c r="E542" t="s">
        <v>1986</v>
      </c>
      <c r="F542" t="s">
        <v>1942</v>
      </c>
      <c r="G542" t="s">
        <v>47</v>
      </c>
      <c r="H542">
        <v>0</v>
      </c>
      <c r="I542" s="60" t="s">
        <v>11552</v>
      </c>
      <c r="J542" s="33" t="s">
        <v>45</v>
      </c>
      <c r="K542" s="46">
        <v>0</v>
      </c>
      <c r="L542">
        <v>44.4</v>
      </c>
      <c r="M542" t="s">
        <v>48</v>
      </c>
      <c r="N542" s="46">
        <v>1</v>
      </c>
      <c r="O542" s="46">
        <v>0</v>
      </c>
      <c r="P542" s="46">
        <v>0</v>
      </c>
      <c r="Q542" t="s">
        <v>48</v>
      </c>
      <c r="R542" t="s">
        <v>48</v>
      </c>
      <c r="S542" t="s">
        <v>11426</v>
      </c>
      <c r="T542" t="s">
        <v>48</v>
      </c>
      <c r="U542" t="s">
        <v>10936</v>
      </c>
      <c r="V542" s="47">
        <v>0</v>
      </c>
      <c r="W542" t="s">
        <v>48</v>
      </c>
      <c r="X542" t="s">
        <v>48</v>
      </c>
      <c r="Y542" t="s">
        <v>48</v>
      </c>
      <c r="Z542">
        <v>0</v>
      </c>
      <c r="AA542" t="s">
        <v>48</v>
      </c>
      <c r="AB542" t="s">
        <v>48</v>
      </c>
      <c r="AC542" t="s">
        <v>49</v>
      </c>
      <c r="AD542" t="s">
        <v>93</v>
      </c>
      <c r="AE542" s="40" t="s">
        <v>2471</v>
      </c>
      <c r="AF542" t="s">
        <v>11061</v>
      </c>
      <c r="AG542" t="s">
        <v>48</v>
      </c>
      <c r="AH542" t="s">
        <v>48</v>
      </c>
      <c r="AI542" t="s">
        <v>48</v>
      </c>
      <c r="AJ542" t="s">
        <v>48</v>
      </c>
      <c r="AK542" t="s">
        <v>48</v>
      </c>
      <c r="AL542" t="s">
        <v>48</v>
      </c>
      <c r="AM542" t="s">
        <v>48</v>
      </c>
      <c r="AN542" t="s">
        <v>48</v>
      </c>
      <c r="AO542" t="s">
        <v>48</v>
      </c>
      <c r="AP542" s="46">
        <v>0</v>
      </c>
      <c r="AQ542" s="46">
        <v>0</v>
      </c>
      <c r="AR542" s="46">
        <v>0</v>
      </c>
      <c r="AS542" s="46">
        <v>0</v>
      </c>
      <c r="AT542" s="46">
        <v>0</v>
      </c>
      <c r="AU542" s="46">
        <v>0</v>
      </c>
      <c r="AV542" s="46">
        <v>0</v>
      </c>
      <c r="AW542" s="46">
        <v>0</v>
      </c>
      <c r="AX542" s="46">
        <v>0</v>
      </c>
      <c r="AY542" s="46">
        <v>0</v>
      </c>
      <c r="AZ542" s="46">
        <v>0</v>
      </c>
      <c r="BA542" s="46">
        <v>0</v>
      </c>
      <c r="BB542" s="46">
        <v>0</v>
      </c>
      <c r="BC542" s="46">
        <v>0</v>
      </c>
      <c r="BD542" s="46">
        <v>0</v>
      </c>
      <c r="BE542" s="46">
        <v>0</v>
      </c>
      <c r="BF542" s="46">
        <v>0</v>
      </c>
      <c r="BG542" s="46">
        <v>1</v>
      </c>
      <c r="BH542" s="46">
        <v>0</v>
      </c>
      <c r="BI542" s="46">
        <v>0</v>
      </c>
      <c r="BJ542" s="46">
        <v>0</v>
      </c>
      <c r="BK542" s="46">
        <v>0</v>
      </c>
      <c r="BL542" s="46">
        <v>0</v>
      </c>
      <c r="BM542" s="46">
        <v>0</v>
      </c>
      <c r="BN542" s="46">
        <v>0</v>
      </c>
    </row>
    <row r="543" spans="1:66" x14ac:dyDescent="0.35">
      <c r="A543" t="s">
        <v>1957</v>
      </c>
      <c r="B543" s="44" t="s">
        <v>48</v>
      </c>
      <c r="C543" t="s">
        <v>1960</v>
      </c>
      <c r="D543" t="s">
        <v>58</v>
      </c>
      <c r="E543" t="s">
        <v>1958</v>
      </c>
      <c r="F543" t="s">
        <v>1942</v>
      </c>
      <c r="G543" t="s">
        <v>74</v>
      </c>
      <c r="H543">
        <v>0</v>
      </c>
      <c r="I543" s="60" t="s">
        <v>51</v>
      </c>
      <c r="J543" s="33" t="s">
        <v>45</v>
      </c>
      <c r="K543" s="46">
        <v>0</v>
      </c>
      <c r="L543">
        <v>34.700000000000003</v>
      </c>
      <c r="M543" t="s">
        <v>48</v>
      </c>
      <c r="N543" s="46">
        <v>1</v>
      </c>
      <c r="O543" s="46">
        <v>0</v>
      </c>
      <c r="P543" s="46">
        <v>0</v>
      </c>
      <c r="Q543" t="s">
        <v>48</v>
      </c>
      <c r="R543" t="s">
        <v>48</v>
      </c>
      <c r="S543" t="s">
        <v>1959</v>
      </c>
      <c r="T543" t="s">
        <v>48</v>
      </c>
      <c r="U543" t="s">
        <v>1959</v>
      </c>
      <c r="V543" s="47">
        <v>0</v>
      </c>
      <c r="W543" t="s">
        <v>48</v>
      </c>
      <c r="X543" t="s">
        <v>48</v>
      </c>
      <c r="Y543" t="s">
        <v>48</v>
      </c>
      <c r="Z543">
        <v>0</v>
      </c>
      <c r="AA543" t="s">
        <v>48</v>
      </c>
      <c r="AB543" t="s">
        <v>48</v>
      </c>
      <c r="AC543" t="s">
        <v>49</v>
      </c>
      <c r="AD543" t="s">
        <v>93</v>
      </c>
      <c r="AE543" s="40" t="s">
        <v>2471</v>
      </c>
      <c r="AF543" t="s">
        <v>11061</v>
      </c>
      <c r="AG543" t="s">
        <v>48</v>
      </c>
      <c r="AH543" t="s">
        <v>48</v>
      </c>
      <c r="AI543" t="s">
        <v>48</v>
      </c>
      <c r="AJ543" t="s">
        <v>48</v>
      </c>
      <c r="AK543" t="s">
        <v>48</v>
      </c>
      <c r="AL543" t="s">
        <v>48</v>
      </c>
      <c r="AM543" t="s">
        <v>48</v>
      </c>
      <c r="AN543" t="s">
        <v>48</v>
      </c>
      <c r="AO543" t="s">
        <v>48</v>
      </c>
      <c r="AP543" s="46">
        <v>0</v>
      </c>
      <c r="AQ543" s="46">
        <v>1</v>
      </c>
      <c r="AR543" s="46">
        <v>0</v>
      </c>
      <c r="AS543" s="46">
        <v>0</v>
      </c>
      <c r="AT543" s="46">
        <v>0</v>
      </c>
      <c r="AU543" s="46">
        <v>0</v>
      </c>
      <c r="AV543" s="46">
        <v>0</v>
      </c>
      <c r="AW543" s="46">
        <v>0</v>
      </c>
      <c r="AX543" s="46">
        <v>0</v>
      </c>
      <c r="AY543" s="46">
        <v>0</v>
      </c>
      <c r="AZ543" s="46">
        <v>0</v>
      </c>
      <c r="BA543" s="46">
        <v>0</v>
      </c>
      <c r="BB543" s="46">
        <v>0</v>
      </c>
      <c r="BC543" s="46">
        <v>0</v>
      </c>
      <c r="BD543" s="46">
        <v>0</v>
      </c>
      <c r="BE543" s="46">
        <v>0</v>
      </c>
      <c r="BF543" s="46">
        <v>0</v>
      </c>
      <c r="BG543" s="46" t="s">
        <v>48</v>
      </c>
      <c r="BH543" s="46">
        <v>0</v>
      </c>
      <c r="BI543" s="46">
        <v>0</v>
      </c>
      <c r="BJ543" s="46">
        <v>0</v>
      </c>
      <c r="BK543" s="46">
        <v>1</v>
      </c>
      <c r="BL543" s="46">
        <v>0</v>
      </c>
      <c r="BM543" s="46">
        <v>0</v>
      </c>
      <c r="BN543" s="46">
        <v>0</v>
      </c>
    </row>
    <row r="544" spans="1:66" x14ac:dyDescent="0.35">
      <c r="A544" t="s">
        <v>1991</v>
      </c>
      <c r="B544" s="44" t="s">
        <v>48</v>
      </c>
      <c r="C544" t="s">
        <v>1995</v>
      </c>
      <c r="D544" t="s">
        <v>705</v>
      </c>
      <c r="E544" t="s">
        <v>1992</v>
      </c>
      <c r="F544" t="s">
        <v>126</v>
      </c>
      <c r="G544" t="s">
        <v>47</v>
      </c>
      <c r="H544">
        <v>0</v>
      </c>
      <c r="I544" s="60" t="s">
        <v>51</v>
      </c>
      <c r="J544" s="33" t="s">
        <v>45</v>
      </c>
      <c r="K544" s="46">
        <v>1</v>
      </c>
      <c r="L544">
        <v>51.1</v>
      </c>
      <c r="M544" t="s">
        <v>48</v>
      </c>
      <c r="N544" s="46">
        <v>1</v>
      </c>
      <c r="O544" s="46">
        <v>0</v>
      </c>
      <c r="P544" s="46">
        <v>0</v>
      </c>
      <c r="Q544" t="s">
        <v>48</v>
      </c>
      <c r="R544" t="s">
        <v>48</v>
      </c>
      <c r="S544" t="s">
        <v>1993</v>
      </c>
      <c r="T544" t="s">
        <v>1994</v>
      </c>
      <c r="U544" t="s">
        <v>1993</v>
      </c>
      <c r="V544" s="47">
        <v>0</v>
      </c>
      <c r="W544" t="s">
        <v>48</v>
      </c>
      <c r="X544" t="s">
        <v>48</v>
      </c>
      <c r="Y544" t="s">
        <v>48</v>
      </c>
      <c r="Z544">
        <v>0</v>
      </c>
      <c r="AA544" t="s">
        <v>48</v>
      </c>
      <c r="AB544">
        <v>2010</v>
      </c>
      <c r="AC544" t="s">
        <v>49</v>
      </c>
      <c r="AD544" t="s">
        <v>93</v>
      </c>
      <c r="AE544" t="s">
        <v>4532</v>
      </c>
      <c r="AF544" t="s">
        <v>48</v>
      </c>
      <c r="AG544" t="s">
        <v>184</v>
      </c>
      <c r="AH544" t="s">
        <v>93</v>
      </c>
      <c r="AI544">
        <v>21116</v>
      </c>
      <c r="AJ544">
        <v>1949</v>
      </c>
      <c r="AK544" t="s">
        <v>8818</v>
      </c>
      <c r="AL544" t="s">
        <v>8819</v>
      </c>
      <c r="AM544">
        <v>0.51800000000000002</v>
      </c>
      <c r="AN544">
        <v>-6.7000000000000004E-2</v>
      </c>
      <c r="AO544">
        <v>0.51800000000000002</v>
      </c>
      <c r="AP544" s="46">
        <v>0</v>
      </c>
      <c r="AQ544" s="46">
        <v>0</v>
      </c>
      <c r="AR544" s="46">
        <v>0</v>
      </c>
      <c r="AS544" s="46">
        <v>0</v>
      </c>
      <c r="AT544" s="46">
        <v>0</v>
      </c>
      <c r="AU544" s="46">
        <v>0</v>
      </c>
      <c r="AV544" s="46">
        <v>0</v>
      </c>
      <c r="AW544" s="46">
        <v>0</v>
      </c>
      <c r="AX544" s="46">
        <v>0</v>
      </c>
      <c r="AY544" s="46">
        <v>0</v>
      </c>
      <c r="AZ544" s="46">
        <v>0</v>
      </c>
      <c r="BA544" s="46">
        <v>0</v>
      </c>
      <c r="BB544" s="46">
        <v>1</v>
      </c>
      <c r="BC544" s="46">
        <v>0</v>
      </c>
      <c r="BD544" s="46">
        <v>0</v>
      </c>
      <c r="BE544" s="46">
        <v>0</v>
      </c>
      <c r="BF544" s="46">
        <v>0</v>
      </c>
      <c r="BG544" s="46">
        <v>1</v>
      </c>
      <c r="BH544" s="46">
        <v>0</v>
      </c>
      <c r="BI544" s="46">
        <v>0</v>
      </c>
      <c r="BJ544" s="46">
        <v>0</v>
      </c>
      <c r="BK544" s="46">
        <v>0</v>
      </c>
      <c r="BL544" s="46">
        <v>0</v>
      </c>
      <c r="BM544" s="46">
        <v>0</v>
      </c>
      <c r="BN544" s="46">
        <v>0</v>
      </c>
    </row>
    <row r="545" spans="1:66" x14ac:dyDescent="0.35">
      <c r="A545" t="s">
        <v>10488</v>
      </c>
      <c r="B545" s="44" t="s">
        <v>48</v>
      </c>
      <c r="C545" t="s">
        <v>11782</v>
      </c>
      <c r="D545" t="s">
        <v>11783</v>
      </c>
      <c r="E545" t="s">
        <v>10489</v>
      </c>
      <c r="F545" t="s">
        <v>126</v>
      </c>
      <c r="G545" t="s">
        <v>74</v>
      </c>
      <c r="H545">
        <v>0</v>
      </c>
      <c r="I545" s="60" t="s">
        <v>11552</v>
      </c>
      <c r="J545" s="33" t="s">
        <v>45</v>
      </c>
      <c r="K545" s="46">
        <v>0</v>
      </c>
      <c r="L545">
        <v>100</v>
      </c>
      <c r="M545" t="s">
        <v>48</v>
      </c>
      <c r="N545" s="46">
        <v>1</v>
      </c>
      <c r="O545" s="46">
        <v>0</v>
      </c>
      <c r="P545" s="46">
        <v>0</v>
      </c>
      <c r="Q545" t="s">
        <v>48</v>
      </c>
      <c r="R545" t="s">
        <v>48</v>
      </c>
      <c r="S545" t="s">
        <v>11430</v>
      </c>
      <c r="T545" t="s">
        <v>48</v>
      </c>
      <c r="U545" t="s">
        <v>10490</v>
      </c>
      <c r="V545" s="47">
        <v>0</v>
      </c>
      <c r="W545" t="s">
        <v>48</v>
      </c>
      <c r="X545" t="s">
        <v>48</v>
      </c>
      <c r="Y545" t="s">
        <v>48</v>
      </c>
      <c r="Z545">
        <v>0</v>
      </c>
      <c r="AA545" t="s">
        <v>48</v>
      </c>
      <c r="AB545" t="s">
        <v>48</v>
      </c>
      <c r="AC545" t="s">
        <v>63</v>
      </c>
      <c r="AD545" t="s">
        <v>93</v>
      </c>
      <c r="AE545" t="s">
        <v>2471</v>
      </c>
      <c r="AF545" t="s">
        <v>48</v>
      </c>
      <c r="AG545" t="s">
        <v>48</v>
      </c>
      <c r="AH545" t="s">
        <v>48</v>
      </c>
      <c r="AI545" t="s">
        <v>48</v>
      </c>
      <c r="AJ545" t="s">
        <v>48</v>
      </c>
      <c r="AK545" t="s">
        <v>48</v>
      </c>
      <c r="AL545" t="s">
        <v>48</v>
      </c>
      <c r="AM545" t="s">
        <v>48</v>
      </c>
      <c r="AN545" t="s">
        <v>48</v>
      </c>
      <c r="AO545" t="s">
        <v>48</v>
      </c>
      <c r="AP545" s="46">
        <v>0</v>
      </c>
      <c r="AQ545" s="46">
        <v>0</v>
      </c>
      <c r="AR545" s="46">
        <v>0</v>
      </c>
      <c r="AS545" s="46">
        <v>0</v>
      </c>
      <c r="AT545" s="46">
        <v>0</v>
      </c>
      <c r="AU545" s="46">
        <v>0</v>
      </c>
      <c r="AV545" s="46">
        <v>0</v>
      </c>
      <c r="AW545" s="46">
        <v>0</v>
      </c>
      <c r="AX545" s="46">
        <v>0</v>
      </c>
      <c r="AY545" s="46">
        <v>0</v>
      </c>
      <c r="AZ545" s="46">
        <v>0</v>
      </c>
      <c r="BA545" s="46">
        <v>0</v>
      </c>
      <c r="BB545" s="46">
        <v>0</v>
      </c>
      <c r="BC545" s="46">
        <v>0</v>
      </c>
      <c r="BD545" s="46">
        <v>0</v>
      </c>
      <c r="BE545" s="46">
        <v>0</v>
      </c>
      <c r="BF545" s="46">
        <v>0</v>
      </c>
      <c r="BG545" s="46" t="s">
        <v>48</v>
      </c>
      <c r="BH545" s="46">
        <v>0</v>
      </c>
      <c r="BI545" s="46">
        <v>0</v>
      </c>
      <c r="BJ545" s="46">
        <v>0</v>
      </c>
      <c r="BK545" s="46">
        <v>0</v>
      </c>
      <c r="BL545" s="46">
        <v>0</v>
      </c>
      <c r="BM545" s="46">
        <v>0</v>
      </c>
      <c r="BN545" s="46">
        <v>0</v>
      </c>
    </row>
    <row r="546" spans="1:66" x14ac:dyDescent="0.35">
      <c r="A546" t="s">
        <v>1996</v>
      </c>
      <c r="B546" s="44" t="s">
        <v>48</v>
      </c>
      <c r="C546" t="s">
        <v>2001</v>
      </c>
      <c r="D546" t="s">
        <v>1047</v>
      </c>
      <c r="E546" t="s">
        <v>1998</v>
      </c>
      <c r="F546" t="s">
        <v>1997</v>
      </c>
      <c r="G546" t="s">
        <v>47</v>
      </c>
      <c r="H546">
        <v>0</v>
      </c>
      <c r="I546" s="60" t="s">
        <v>51</v>
      </c>
      <c r="J546" s="33" t="s">
        <v>45</v>
      </c>
      <c r="K546" s="46">
        <v>1</v>
      </c>
      <c r="L546">
        <v>79.7</v>
      </c>
      <c r="M546" t="s">
        <v>48</v>
      </c>
      <c r="N546" s="46">
        <v>1</v>
      </c>
      <c r="O546" s="46">
        <v>0</v>
      </c>
      <c r="P546" s="46">
        <v>0</v>
      </c>
      <c r="Q546" t="s">
        <v>48</v>
      </c>
      <c r="R546" t="s">
        <v>48</v>
      </c>
      <c r="S546" t="s">
        <v>1999</v>
      </c>
      <c r="T546" t="s">
        <v>2000</v>
      </c>
      <c r="U546" t="s">
        <v>1999</v>
      </c>
      <c r="V546" s="47">
        <v>0</v>
      </c>
      <c r="W546" t="s">
        <v>48</v>
      </c>
      <c r="X546" t="s">
        <v>48</v>
      </c>
      <c r="Y546" t="s">
        <v>48</v>
      </c>
      <c r="Z546">
        <v>0</v>
      </c>
      <c r="AA546" t="s">
        <v>48</v>
      </c>
      <c r="AB546">
        <v>2006</v>
      </c>
      <c r="AC546" t="s">
        <v>49</v>
      </c>
      <c r="AD546" t="s">
        <v>93</v>
      </c>
      <c r="AE546" t="s">
        <v>4532</v>
      </c>
      <c r="AF546" t="s">
        <v>48</v>
      </c>
      <c r="AG546" t="s">
        <v>988</v>
      </c>
      <c r="AH546" t="s">
        <v>93</v>
      </c>
      <c r="AI546">
        <v>20758</v>
      </c>
      <c r="AJ546">
        <v>1963</v>
      </c>
      <c r="AK546" t="s">
        <v>8820</v>
      </c>
      <c r="AL546" t="s">
        <v>8821</v>
      </c>
      <c r="AM546">
        <v>0.40500000000000003</v>
      </c>
      <c r="AN546">
        <v>2.5999999999999999E-2</v>
      </c>
      <c r="AO546">
        <v>0.40500000000000003</v>
      </c>
      <c r="AP546" s="46">
        <v>0</v>
      </c>
      <c r="AQ546" s="46">
        <v>0</v>
      </c>
      <c r="AR546" s="46">
        <v>0</v>
      </c>
      <c r="AS546" s="46">
        <v>0</v>
      </c>
      <c r="AT546" s="46">
        <v>0</v>
      </c>
      <c r="AU546" s="46">
        <v>0</v>
      </c>
      <c r="AV546" s="46">
        <v>0</v>
      </c>
      <c r="AW546" s="46">
        <v>0</v>
      </c>
      <c r="AX546" s="46">
        <v>0</v>
      </c>
      <c r="AY546" s="46">
        <v>0</v>
      </c>
      <c r="AZ546" s="46">
        <v>0</v>
      </c>
      <c r="BA546" s="46">
        <v>0</v>
      </c>
      <c r="BB546" s="46">
        <v>1</v>
      </c>
      <c r="BC546" s="46">
        <v>0</v>
      </c>
      <c r="BD546" s="46">
        <v>0</v>
      </c>
      <c r="BE546" s="46">
        <v>0</v>
      </c>
      <c r="BF546" s="46">
        <v>0</v>
      </c>
      <c r="BG546" s="46">
        <v>1</v>
      </c>
      <c r="BH546" s="46">
        <v>0</v>
      </c>
      <c r="BI546" s="46">
        <v>0</v>
      </c>
      <c r="BJ546" s="46">
        <v>0</v>
      </c>
      <c r="BK546" s="46">
        <v>0</v>
      </c>
      <c r="BL546" s="46">
        <v>0</v>
      </c>
      <c r="BM546" s="46">
        <v>0</v>
      </c>
      <c r="BN546" s="46">
        <v>0</v>
      </c>
    </row>
    <row r="547" spans="1:66" x14ac:dyDescent="0.35">
      <c r="A547" t="s">
        <v>10495</v>
      </c>
      <c r="B547" s="44" t="s">
        <v>48</v>
      </c>
      <c r="C547" t="s">
        <v>2492</v>
      </c>
      <c r="D547" t="s">
        <v>11787</v>
      </c>
      <c r="E547" t="s">
        <v>10496</v>
      </c>
      <c r="F547" t="s">
        <v>1997</v>
      </c>
      <c r="G547" t="s">
        <v>74</v>
      </c>
      <c r="H547">
        <v>0</v>
      </c>
      <c r="I547" s="60" t="s">
        <v>11552</v>
      </c>
      <c r="J547" s="33" t="s">
        <v>45</v>
      </c>
      <c r="K547" s="46">
        <v>0</v>
      </c>
      <c r="L547">
        <v>100</v>
      </c>
      <c r="M547" t="s">
        <v>48</v>
      </c>
      <c r="N547" s="46">
        <v>1</v>
      </c>
      <c r="O547" s="46">
        <v>0</v>
      </c>
      <c r="P547" s="46">
        <v>0</v>
      </c>
      <c r="Q547" t="s">
        <v>48</v>
      </c>
      <c r="R547" t="s">
        <v>48</v>
      </c>
      <c r="S547" t="s">
        <v>11432</v>
      </c>
      <c r="T547" t="s">
        <v>48</v>
      </c>
      <c r="U547" t="s">
        <v>10497</v>
      </c>
      <c r="V547" s="47">
        <v>0</v>
      </c>
      <c r="W547" t="s">
        <v>48</v>
      </c>
      <c r="X547" t="s">
        <v>48</v>
      </c>
      <c r="Y547" t="s">
        <v>48</v>
      </c>
      <c r="Z547">
        <v>0</v>
      </c>
      <c r="AA547" t="s">
        <v>48</v>
      </c>
      <c r="AB547" t="s">
        <v>48</v>
      </c>
      <c r="AC547" t="s">
        <v>63</v>
      </c>
      <c r="AD547" t="s">
        <v>93</v>
      </c>
      <c r="AE547" t="s">
        <v>2471</v>
      </c>
      <c r="AF547" t="s">
        <v>11061</v>
      </c>
      <c r="AG547" t="s">
        <v>48</v>
      </c>
      <c r="AH547" t="s">
        <v>48</v>
      </c>
      <c r="AI547" t="s">
        <v>48</v>
      </c>
      <c r="AJ547" t="s">
        <v>48</v>
      </c>
      <c r="AK547" t="s">
        <v>48</v>
      </c>
      <c r="AL547" t="s">
        <v>48</v>
      </c>
      <c r="AM547" t="s">
        <v>48</v>
      </c>
      <c r="AN547" t="s">
        <v>48</v>
      </c>
      <c r="AO547" t="s">
        <v>48</v>
      </c>
      <c r="AP547" s="46">
        <v>0</v>
      </c>
      <c r="AQ547" s="46">
        <v>0</v>
      </c>
      <c r="AR547" s="46">
        <v>0</v>
      </c>
      <c r="AS547" s="46">
        <v>0</v>
      </c>
      <c r="AT547" s="46">
        <v>0</v>
      </c>
      <c r="AU547" s="46">
        <v>0</v>
      </c>
      <c r="AV547" s="46">
        <v>0</v>
      </c>
      <c r="AW547" s="46">
        <v>0</v>
      </c>
      <c r="AX547" s="46">
        <v>0</v>
      </c>
      <c r="AY547" s="46">
        <v>0</v>
      </c>
      <c r="AZ547" s="46">
        <v>0</v>
      </c>
      <c r="BA547" s="46">
        <v>0</v>
      </c>
      <c r="BB547" s="46">
        <v>0</v>
      </c>
      <c r="BC547" s="46">
        <v>0</v>
      </c>
      <c r="BD547" s="46">
        <v>0</v>
      </c>
      <c r="BE547" s="46">
        <v>0</v>
      </c>
      <c r="BF547" s="46">
        <v>0</v>
      </c>
      <c r="BG547" s="46" t="s">
        <v>48</v>
      </c>
      <c r="BH547" s="46">
        <v>0</v>
      </c>
      <c r="BI547" s="46">
        <v>0</v>
      </c>
      <c r="BJ547" s="46">
        <v>0</v>
      </c>
      <c r="BK547" s="46">
        <v>0</v>
      </c>
      <c r="BL547" s="46">
        <v>0</v>
      </c>
      <c r="BM547" s="46">
        <v>0</v>
      </c>
      <c r="BN547" s="46">
        <v>0</v>
      </c>
    </row>
    <row r="548" spans="1:66" x14ac:dyDescent="0.35">
      <c r="A548" t="s">
        <v>2026</v>
      </c>
      <c r="B548" s="44" t="s">
        <v>48</v>
      </c>
      <c r="C548" t="s">
        <v>11788</v>
      </c>
      <c r="D548" t="s">
        <v>280</v>
      </c>
      <c r="E548" t="s">
        <v>2027</v>
      </c>
      <c r="F548" t="s">
        <v>2011</v>
      </c>
      <c r="G548" t="s">
        <v>47</v>
      </c>
      <c r="H548">
        <v>0</v>
      </c>
      <c r="I548" s="60" t="s">
        <v>51</v>
      </c>
      <c r="J548" s="33" t="s">
        <v>45</v>
      </c>
      <c r="K548" s="46">
        <v>0</v>
      </c>
      <c r="L548">
        <v>44.5</v>
      </c>
      <c r="M548" t="s">
        <v>48</v>
      </c>
      <c r="N548" s="46">
        <v>1</v>
      </c>
      <c r="O548" s="46">
        <v>0</v>
      </c>
      <c r="P548" s="46">
        <v>0</v>
      </c>
      <c r="Q548" t="s">
        <v>48</v>
      </c>
      <c r="R548" t="s">
        <v>48</v>
      </c>
      <c r="S548" t="s">
        <v>2028</v>
      </c>
      <c r="T548" t="s">
        <v>48</v>
      </c>
      <c r="U548" t="s">
        <v>2028</v>
      </c>
      <c r="V548" s="47">
        <v>0</v>
      </c>
      <c r="W548" t="s">
        <v>48</v>
      </c>
      <c r="X548" t="s">
        <v>48</v>
      </c>
      <c r="Y548" t="s">
        <v>48</v>
      </c>
      <c r="Z548">
        <v>0</v>
      </c>
      <c r="AA548" t="s">
        <v>48</v>
      </c>
      <c r="AB548" t="s">
        <v>48</v>
      </c>
      <c r="AC548" t="s">
        <v>63</v>
      </c>
      <c r="AD548" t="s">
        <v>951</v>
      </c>
      <c r="AE548" s="40" t="s">
        <v>11051</v>
      </c>
      <c r="AF548" t="s">
        <v>11054</v>
      </c>
      <c r="AG548" t="s">
        <v>48</v>
      </c>
      <c r="AH548" t="s">
        <v>48</v>
      </c>
      <c r="AI548" t="s">
        <v>48</v>
      </c>
      <c r="AJ548" t="s">
        <v>48</v>
      </c>
      <c r="AK548" t="s">
        <v>48</v>
      </c>
      <c r="AL548" t="s">
        <v>48</v>
      </c>
      <c r="AM548" t="s">
        <v>48</v>
      </c>
      <c r="AN548" t="s">
        <v>48</v>
      </c>
      <c r="AO548" t="s">
        <v>48</v>
      </c>
      <c r="AP548" s="46">
        <v>0</v>
      </c>
      <c r="AQ548" s="46">
        <v>0</v>
      </c>
      <c r="AR548" s="46">
        <v>0</v>
      </c>
      <c r="AS548" s="46">
        <v>0</v>
      </c>
      <c r="AT548" s="46">
        <v>0</v>
      </c>
      <c r="AU548" s="46">
        <v>0</v>
      </c>
      <c r="AV548" s="46">
        <v>0</v>
      </c>
      <c r="AW548" s="46">
        <v>0</v>
      </c>
      <c r="AX548" s="46">
        <v>0</v>
      </c>
      <c r="AY548" s="46">
        <v>0</v>
      </c>
      <c r="AZ548" s="46">
        <v>0</v>
      </c>
      <c r="BA548" s="46">
        <v>0</v>
      </c>
      <c r="BB548" s="46">
        <v>0</v>
      </c>
      <c r="BC548" s="46">
        <v>1</v>
      </c>
      <c r="BD548" s="46">
        <v>1</v>
      </c>
      <c r="BE548" s="46">
        <v>0</v>
      </c>
      <c r="BF548" s="46">
        <v>0</v>
      </c>
      <c r="BG548" s="46">
        <v>1</v>
      </c>
      <c r="BH548" s="46">
        <v>0</v>
      </c>
      <c r="BI548" s="46">
        <v>0</v>
      </c>
      <c r="BJ548" s="46">
        <v>0</v>
      </c>
      <c r="BK548" s="46">
        <v>0</v>
      </c>
      <c r="BL548" s="46">
        <v>0</v>
      </c>
      <c r="BM548" s="46">
        <v>0</v>
      </c>
      <c r="BN548" s="46">
        <v>1</v>
      </c>
    </row>
    <row r="549" spans="1:66" x14ac:dyDescent="0.35">
      <c r="A549" t="s">
        <v>2029</v>
      </c>
      <c r="B549" s="44" t="s">
        <v>48</v>
      </c>
      <c r="C549" t="s">
        <v>2032</v>
      </c>
      <c r="D549" t="s">
        <v>1005</v>
      </c>
      <c r="E549" t="s">
        <v>2030</v>
      </c>
      <c r="F549" t="s">
        <v>2011</v>
      </c>
      <c r="G549" t="s">
        <v>74</v>
      </c>
      <c r="H549">
        <v>0</v>
      </c>
      <c r="I549" s="60" t="s">
        <v>51</v>
      </c>
      <c r="J549" s="33" t="s">
        <v>45</v>
      </c>
      <c r="K549" s="46">
        <v>0</v>
      </c>
      <c r="L549">
        <v>100</v>
      </c>
      <c r="M549" t="s">
        <v>48</v>
      </c>
      <c r="N549" s="46">
        <v>1</v>
      </c>
      <c r="O549" s="46">
        <v>0</v>
      </c>
      <c r="P549" s="46">
        <v>0</v>
      </c>
      <c r="Q549" t="s">
        <v>48</v>
      </c>
      <c r="R549" t="s">
        <v>48</v>
      </c>
      <c r="S549" t="s">
        <v>2031</v>
      </c>
      <c r="T549" t="s">
        <v>48</v>
      </c>
      <c r="U549" t="s">
        <v>2031</v>
      </c>
      <c r="V549" s="47">
        <v>0</v>
      </c>
      <c r="W549" t="s">
        <v>48</v>
      </c>
      <c r="X549" t="s">
        <v>48</v>
      </c>
      <c r="Y549" t="s">
        <v>48</v>
      </c>
      <c r="Z549">
        <v>0</v>
      </c>
      <c r="AA549" t="s">
        <v>48</v>
      </c>
      <c r="AB549" t="s">
        <v>48</v>
      </c>
      <c r="AC549" t="s">
        <v>49</v>
      </c>
      <c r="AD549" t="s">
        <v>93</v>
      </c>
      <c r="AE549" t="s">
        <v>4532</v>
      </c>
      <c r="AF549" t="s">
        <v>48</v>
      </c>
      <c r="AG549" t="s">
        <v>48</v>
      </c>
      <c r="AH549" t="s">
        <v>48</v>
      </c>
      <c r="AI549" t="s">
        <v>48</v>
      </c>
      <c r="AJ549" t="s">
        <v>48</v>
      </c>
      <c r="AK549" t="s">
        <v>48</v>
      </c>
      <c r="AL549" t="s">
        <v>48</v>
      </c>
      <c r="AM549" t="s">
        <v>48</v>
      </c>
      <c r="AN549" t="s">
        <v>48</v>
      </c>
      <c r="AO549" t="s">
        <v>48</v>
      </c>
      <c r="AP549" s="46">
        <v>0</v>
      </c>
      <c r="AQ549" s="46">
        <v>0</v>
      </c>
      <c r="AR549" s="46">
        <v>0</v>
      </c>
      <c r="AS549" s="46">
        <v>0</v>
      </c>
      <c r="AT549" s="46">
        <v>0</v>
      </c>
      <c r="AU549" s="46">
        <v>0</v>
      </c>
      <c r="AV549" s="46">
        <v>0</v>
      </c>
      <c r="AW549" s="46">
        <v>0</v>
      </c>
      <c r="AX549" s="46">
        <v>0</v>
      </c>
      <c r="AY549" s="46">
        <v>0</v>
      </c>
      <c r="AZ549" s="46">
        <v>0</v>
      </c>
      <c r="BA549" s="46">
        <v>0</v>
      </c>
      <c r="BB549" s="46">
        <v>0</v>
      </c>
      <c r="BC549" s="46">
        <v>0</v>
      </c>
      <c r="BD549" s="46">
        <v>0</v>
      </c>
      <c r="BE549" s="46">
        <v>0</v>
      </c>
      <c r="BF549" s="46">
        <v>0</v>
      </c>
      <c r="BG549" s="46" t="s">
        <v>48</v>
      </c>
      <c r="BH549" s="46">
        <v>0</v>
      </c>
      <c r="BI549" s="46">
        <v>0</v>
      </c>
      <c r="BJ549" s="46">
        <v>0</v>
      </c>
      <c r="BK549" s="46">
        <v>0</v>
      </c>
      <c r="BL549" s="46">
        <v>0</v>
      </c>
      <c r="BM549" s="46">
        <v>0</v>
      </c>
      <c r="BN549" s="46">
        <v>0</v>
      </c>
    </row>
    <row r="550" spans="1:66" x14ac:dyDescent="0.35">
      <c r="A550" t="s">
        <v>10503</v>
      </c>
      <c r="B550" s="44" t="s">
        <v>48</v>
      </c>
      <c r="C550" t="s">
        <v>11789</v>
      </c>
      <c r="D550" t="s">
        <v>603</v>
      </c>
      <c r="E550" t="s">
        <v>10504</v>
      </c>
      <c r="F550" t="s">
        <v>2046</v>
      </c>
      <c r="G550" t="s">
        <v>47</v>
      </c>
      <c r="H550">
        <v>0</v>
      </c>
      <c r="I550" s="60" t="s">
        <v>11552</v>
      </c>
      <c r="J550" s="33" t="s">
        <v>45</v>
      </c>
      <c r="K550" s="46">
        <v>0</v>
      </c>
      <c r="L550">
        <v>53.1</v>
      </c>
      <c r="M550" t="s">
        <v>48</v>
      </c>
      <c r="N550" s="46">
        <v>1</v>
      </c>
      <c r="O550" s="46">
        <v>0</v>
      </c>
      <c r="P550" s="46">
        <v>0</v>
      </c>
      <c r="Q550" t="s">
        <v>48</v>
      </c>
      <c r="R550" t="s">
        <v>48</v>
      </c>
      <c r="S550" t="s">
        <v>11437</v>
      </c>
      <c r="T550" t="s">
        <v>48</v>
      </c>
      <c r="U550" t="s">
        <v>10505</v>
      </c>
      <c r="V550" s="47">
        <v>0</v>
      </c>
      <c r="W550" t="s">
        <v>48</v>
      </c>
      <c r="X550" t="s">
        <v>48</v>
      </c>
      <c r="Y550" t="s">
        <v>48</v>
      </c>
      <c r="Z550">
        <v>0</v>
      </c>
      <c r="AA550" t="s">
        <v>48</v>
      </c>
      <c r="AB550" t="s">
        <v>48</v>
      </c>
      <c r="AC550" t="s">
        <v>49</v>
      </c>
      <c r="AD550" t="s">
        <v>93</v>
      </c>
      <c r="AE550" t="s">
        <v>4532</v>
      </c>
      <c r="AF550" t="s">
        <v>48</v>
      </c>
      <c r="AG550" t="s">
        <v>48</v>
      </c>
      <c r="AH550" t="s">
        <v>48</v>
      </c>
      <c r="AI550" t="s">
        <v>48</v>
      </c>
      <c r="AJ550" t="s">
        <v>48</v>
      </c>
      <c r="AK550" t="s">
        <v>48</v>
      </c>
      <c r="AL550" t="s">
        <v>48</v>
      </c>
      <c r="AM550" t="s">
        <v>48</v>
      </c>
      <c r="AN550" t="s">
        <v>48</v>
      </c>
      <c r="AO550" t="s">
        <v>48</v>
      </c>
      <c r="AP550" s="46">
        <v>0</v>
      </c>
      <c r="AQ550" s="46">
        <v>0</v>
      </c>
      <c r="AR550" s="46">
        <v>0</v>
      </c>
      <c r="AS550" s="46">
        <v>0</v>
      </c>
      <c r="AT550" s="46">
        <v>0</v>
      </c>
      <c r="AU550" s="46">
        <v>0</v>
      </c>
      <c r="AV550" s="46">
        <v>0</v>
      </c>
      <c r="AW550" s="46">
        <v>0</v>
      </c>
      <c r="AX550" s="46">
        <v>0</v>
      </c>
      <c r="AY550" s="46">
        <v>0</v>
      </c>
      <c r="AZ550" s="46">
        <v>0</v>
      </c>
      <c r="BA550" s="46">
        <v>0</v>
      </c>
      <c r="BB550" s="46">
        <v>0</v>
      </c>
      <c r="BC550" s="46">
        <v>0</v>
      </c>
      <c r="BD550" s="46">
        <v>0</v>
      </c>
      <c r="BE550" s="46">
        <v>0</v>
      </c>
      <c r="BF550" s="46">
        <v>0</v>
      </c>
      <c r="BG550" s="46" t="s">
        <v>48</v>
      </c>
      <c r="BH550" s="46">
        <v>0</v>
      </c>
      <c r="BI550" s="46">
        <v>0</v>
      </c>
      <c r="BJ550" s="46">
        <v>0</v>
      </c>
      <c r="BK550" s="46">
        <v>0</v>
      </c>
      <c r="BL550" s="46">
        <v>0</v>
      </c>
      <c r="BM550" s="46">
        <v>0</v>
      </c>
      <c r="BN550" s="46">
        <v>0</v>
      </c>
    </row>
    <row r="551" spans="1:66" x14ac:dyDescent="0.35">
      <c r="A551" t="s">
        <v>2048</v>
      </c>
      <c r="B551" s="44" t="s">
        <v>48</v>
      </c>
      <c r="C551" t="s">
        <v>2052</v>
      </c>
      <c r="D551" t="s">
        <v>456</v>
      </c>
      <c r="E551" t="s">
        <v>2049</v>
      </c>
      <c r="F551" t="s">
        <v>2046</v>
      </c>
      <c r="G551" t="s">
        <v>74</v>
      </c>
      <c r="H551">
        <v>0</v>
      </c>
      <c r="I551" s="60" t="s">
        <v>51</v>
      </c>
      <c r="J551" s="33" t="s">
        <v>45</v>
      </c>
      <c r="K551" s="46">
        <v>1</v>
      </c>
      <c r="L551">
        <v>90.4</v>
      </c>
      <c r="M551" t="s">
        <v>48</v>
      </c>
      <c r="N551" s="46">
        <v>1</v>
      </c>
      <c r="O551" s="46">
        <v>0</v>
      </c>
      <c r="P551" s="46">
        <v>0</v>
      </c>
      <c r="Q551" t="s">
        <v>48</v>
      </c>
      <c r="R551" t="s">
        <v>48</v>
      </c>
      <c r="S551" t="s">
        <v>2050</v>
      </c>
      <c r="T551" t="s">
        <v>2051</v>
      </c>
      <c r="U551" t="s">
        <v>2050</v>
      </c>
      <c r="V551" s="47">
        <v>0</v>
      </c>
      <c r="W551" t="s">
        <v>48</v>
      </c>
      <c r="X551" t="s">
        <v>48</v>
      </c>
      <c r="Y551" t="s">
        <v>48</v>
      </c>
      <c r="Z551">
        <v>0</v>
      </c>
      <c r="AA551" t="s">
        <v>48</v>
      </c>
      <c r="AB551">
        <v>2006</v>
      </c>
      <c r="AC551" t="s">
        <v>63</v>
      </c>
      <c r="AD551" t="s">
        <v>93</v>
      </c>
      <c r="AE551" t="s">
        <v>4532</v>
      </c>
      <c r="AF551" t="s">
        <v>48</v>
      </c>
      <c r="AG551" t="s">
        <v>466</v>
      </c>
      <c r="AH551" t="s">
        <v>93</v>
      </c>
      <c r="AI551">
        <v>20708</v>
      </c>
      <c r="AJ551">
        <v>1966</v>
      </c>
      <c r="AK551" t="s">
        <v>8824</v>
      </c>
      <c r="AL551" t="s">
        <v>8825</v>
      </c>
      <c r="AM551">
        <v>-0.438</v>
      </c>
      <c r="AN551">
        <v>4.9000000000000002E-2</v>
      </c>
      <c r="AO551">
        <v>-0.438</v>
      </c>
      <c r="AP551" s="46">
        <v>0</v>
      </c>
      <c r="AQ551" s="46">
        <v>0</v>
      </c>
      <c r="AR551" s="46">
        <v>0</v>
      </c>
      <c r="AS551" s="46">
        <v>0</v>
      </c>
      <c r="AT551" s="46">
        <v>0</v>
      </c>
      <c r="AU551" s="46">
        <v>0</v>
      </c>
      <c r="AV551" s="46">
        <v>0</v>
      </c>
      <c r="AW551" s="46">
        <v>0</v>
      </c>
      <c r="AX551" s="46">
        <v>0</v>
      </c>
      <c r="AY551" s="46">
        <v>0</v>
      </c>
      <c r="AZ551" s="46">
        <v>0</v>
      </c>
      <c r="BA551" s="46">
        <v>0</v>
      </c>
      <c r="BB551" s="46">
        <v>0</v>
      </c>
      <c r="BC551" s="46">
        <v>0</v>
      </c>
      <c r="BD551" s="46">
        <v>0</v>
      </c>
      <c r="BE551" s="46">
        <v>0</v>
      </c>
      <c r="BF551" s="46">
        <v>0</v>
      </c>
      <c r="BG551" s="46" t="s">
        <v>48</v>
      </c>
      <c r="BH551" s="46">
        <v>0</v>
      </c>
      <c r="BI551" s="46">
        <v>0</v>
      </c>
      <c r="BJ551" s="46">
        <v>0</v>
      </c>
      <c r="BK551" s="46">
        <v>0</v>
      </c>
      <c r="BL551" s="46">
        <v>0</v>
      </c>
      <c r="BM551" s="46">
        <v>0</v>
      </c>
      <c r="BN551" s="46">
        <v>0</v>
      </c>
    </row>
    <row r="552" spans="1:66" x14ac:dyDescent="0.35">
      <c r="A552" t="s">
        <v>10511</v>
      </c>
      <c r="B552" s="44" t="s">
        <v>48</v>
      </c>
      <c r="C552" t="s">
        <v>11792</v>
      </c>
      <c r="D552" t="s">
        <v>1468</v>
      </c>
      <c r="E552" t="s">
        <v>10512</v>
      </c>
      <c r="F552" t="s">
        <v>2054</v>
      </c>
      <c r="G552" t="s">
        <v>74</v>
      </c>
      <c r="H552">
        <v>0</v>
      </c>
      <c r="I552" s="60" t="s">
        <v>11552</v>
      </c>
      <c r="J552" s="33" t="s">
        <v>45</v>
      </c>
      <c r="K552" s="46">
        <v>0</v>
      </c>
      <c r="L552">
        <v>33.1</v>
      </c>
      <c r="M552" t="s">
        <v>48</v>
      </c>
      <c r="N552" s="46">
        <v>1</v>
      </c>
      <c r="O552" s="46">
        <v>0</v>
      </c>
      <c r="P552" s="46">
        <v>0</v>
      </c>
      <c r="Q552" t="s">
        <v>48</v>
      </c>
      <c r="R552" t="s">
        <v>48</v>
      </c>
      <c r="S552" t="s">
        <v>11439</v>
      </c>
      <c r="T552" t="s">
        <v>48</v>
      </c>
      <c r="U552" t="s">
        <v>10513</v>
      </c>
      <c r="V552" s="47">
        <v>0</v>
      </c>
      <c r="W552" t="s">
        <v>48</v>
      </c>
      <c r="X552" t="s">
        <v>48</v>
      </c>
      <c r="Y552" t="s">
        <v>48</v>
      </c>
      <c r="Z552">
        <v>0</v>
      </c>
      <c r="AA552" t="s">
        <v>48</v>
      </c>
      <c r="AB552" t="s">
        <v>48</v>
      </c>
      <c r="AC552" t="s">
        <v>49</v>
      </c>
      <c r="AD552" t="s">
        <v>93</v>
      </c>
      <c r="AE552" t="s">
        <v>4532</v>
      </c>
      <c r="AF552" t="s">
        <v>48</v>
      </c>
      <c r="AG552" t="s">
        <v>48</v>
      </c>
      <c r="AH552" t="s">
        <v>48</v>
      </c>
      <c r="AI552" t="s">
        <v>48</v>
      </c>
      <c r="AJ552" t="s">
        <v>48</v>
      </c>
      <c r="AK552" t="s">
        <v>48</v>
      </c>
      <c r="AL552" t="s">
        <v>48</v>
      </c>
      <c r="AM552" t="s">
        <v>48</v>
      </c>
      <c r="AN552" t="s">
        <v>48</v>
      </c>
      <c r="AO552" t="s">
        <v>48</v>
      </c>
      <c r="AP552" s="46">
        <v>0</v>
      </c>
      <c r="AQ552" s="46">
        <v>0</v>
      </c>
      <c r="AR552" s="46">
        <v>0</v>
      </c>
      <c r="AS552" s="46">
        <v>0</v>
      </c>
      <c r="AT552" s="46">
        <v>0</v>
      </c>
      <c r="AU552" s="46">
        <v>0</v>
      </c>
      <c r="AV552" s="46">
        <v>0</v>
      </c>
      <c r="AW552" s="46">
        <v>0</v>
      </c>
      <c r="AX552" s="46">
        <v>0</v>
      </c>
      <c r="AY552" s="46">
        <v>0</v>
      </c>
      <c r="AZ552" s="46">
        <v>0</v>
      </c>
      <c r="BA552" s="46">
        <v>0</v>
      </c>
      <c r="BB552" s="46">
        <v>0</v>
      </c>
      <c r="BC552" s="46">
        <v>0</v>
      </c>
      <c r="BD552" s="46">
        <v>0</v>
      </c>
      <c r="BE552" s="46">
        <v>0</v>
      </c>
      <c r="BF552" s="46">
        <v>0</v>
      </c>
      <c r="BG552" s="46" t="s">
        <v>48</v>
      </c>
      <c r="BH552" s="46">
        <v>0</v>
      </c>
      <c r="BI552" s="46">
        <v>0</v>
      </c>
      <c r="BJ552" s="46">
        <v>0</v>
      </c>
      <c r="BK552" s="46">
        <v>0</v>
      </c>
      <c r="BL552" s="46">
        <v>0</v>
      </c>
      <c r="BM552" s="46">
        <v>0</v>
      </c>
      <c r="BN552" s="46">
        <v>0</v>
      </c>
    </row>
    <row r="553" spans="1:66" x14ac:dyDescent="0.35">
      <c r="A553" t="s">
        <v>10521</v>
      </c>
      <c r="B553" s="44" t="s">
        <v>48</v>
      </c>
      <c r="C553" t="s">
        <v>1034</v>
      </c>
      <c r="D553" t="s">
        <v>249</v>
      </c>
      <c r="E553" t="s">
        <v>10522</v>
      </c>
      <c r="F553" t="s">
        <v>2054</v>
      </c>
      <c r="G553" t="s">
        <v>47</v>
      </c>
      <c r="H553">
        <v>0</v>
      </c>
      <c r="I553" s="60" t="s">
        <v>11552</v>
      </c>
      <c r="J553" s="33" t="s">
        <v>45</v>
      </c>
      <c r="K553" s="46">
        <v>0</v>
      </c>
      <c r="L553">
        <v>41.5</v>
      </c>
      <c r="M553" t="s">
        <v>48</v>
      </c>
      <c r="N553" s="46">
        <v>1</v>
      </c>
      <c r="O553" s="46">
        <v>0</v>
      </c>
      <c r="P553" s="46">
        <v>0</v>
      </c>
      <c r="Q553" t="s">
        <v>48</v>
      </c>
      <c r="R553" t="s">
        <v>48</v>
      </c>
      <c r="S553" t="s">
        <v>11444</v>
      </c>
      <c r="T553" t="s">
        <v>48</v>
      </c>
      <c r="U553" t="s">
        <v>10523</v>
      </c>
      <c r="V553" s="47">
        <v>0</v>
      </c>
      <c r="W553" t="s">
        <v>48</v>
      </c>
      <c r="X553" t="s">
        <v>48</v>
      </c>
      <c r="Y553" t="s">
        <v>48</v>
      </c>
      <c r="Z553">
        <v>0</v>
      </c>
      <c r="AA553" t="s">
        <v>48</v>
      </c>
      <c r="AB553" t="s">
        <v>48</v>
      </c>
      <c r="AC553" t="s">
        <v>63</v>
      </c>
      <c r="AD553" t="s">
        <v>93</v>
      </c>
      <c r="AE553" t="s">
        <v>4532</v>
      </c>
      <c r="AF553" t="s">
        <v>48</v>
      </c>
      <c r="AG553" t="s">
        <v>48</v>
      </c>
      <c r="AH553" t="s">
        <v>48</v>
      </c>
      <c r="AI553" t="s">
        <v>48</v>
      </c>
      <c r="AJ553" t="s">
        <v>48</v>
      </c>
      <c r="AK553" t="s">
        <v>48</v>
      </c>
      <c r="AL553" t="s">
        <v>48</v>
      </c>
      <c r="AM553" t="s">
        <v>48</v>
      </c>
      <c r="AN553" t="s">
        <v>48</v>
      </c>
      <c r="AO553" t="s">
        <v>48</v>
      </c>
      <c r="AP553" s="46">
        <v>0</v>
      </c>
      <c r="AQ553" s="46">
        <v>0</v>
      </c>
      <c r="AR553" s="46">
        <v>0</v>
      </c>
      <c r="AS553" s="46">
        <v>0</v>
      </c>
      <c r="AT553" s="46">
        <v>0</v>
      </c>
      <c r="AU553" s="46">
        <v>0</v>
      </c>
      <c r="AV553" s="46">
        <v>0</v>
      </c>
      <c r="AW553" s="46">
        <v>0</v>
      </c>
      <c r="AX553" s="46">
        <v>0</v>
      </c>
      <c r="AY553" s="46">
        <v>0</v>
      </c>
      <c r="AZ553" s="46">
        <v>0</v>
      </c>
      <c r="BA553" s="46">
        <v>0</v>
      </c>
      <c r="BB553" s="46">
        <v>0</v>
      </c>
      <c r="BC553" s="46">
        <v>0</v>
      </c>
      <c r="BD553" s="46">
        <v>0</v>
      </c>
      <c r="BE553" s="46">
        <v>0</v>
      </c>
      <c r="BF553" s="46">
        <v>0</v>
      </c>
      <c r="BG553" s="46" t="s">
        <v>48</v>
      </c>
      <c r="BH553" s="46">
        <v>0</v>
      </c>
      <c r="BI553" s="46">
        <v>0</v>
      </c>
      <c r="BJ553" s="46">
        <v>0</v>
      </c>
      <c r="BK553" s="46">
        <v>0</v>
      </c>
      <c r="BL553" s="46">
        <v>0</v>
      </c>
      <c r="BM553" s="46">
        <v>0</v>
      </c>
      <c r="BN553" s="46">
        <v>0</v>
      </c>
    </row>
    <row r="554" spans="1:66" x14ac:dyDescent="0.35">
      <c r="A554" t="s">
        <v>10534</v>
      </c>
      <c r="B554" s="44" t="s">
        <v>48</v>
      </c>
      <c r="C554" t="s">
        <v>2786</v>
      </c>
      <c r="D554" t="s">
        <v>612</v>
      </c>
      <c r="E554" t="s">
        <v>10535</v>
      </c>
      <c r="F554" t="s">
        <v>2062</v>
      </c>
      <c r="G554" t="s">
        <v>74</v>
      </c>
      <c r="H554">
        <v>0</v>
      </c>
      <c r="I554" s="61">
        <v>44798</v>
      </c>
      <c r="J554" s="33" t="s">
        <v>45</v>
      </c>
      <c r="K554" s="46">
        <v>0</v>
      </c>
      <c r="L554">
        <v>100</v>
      </c>
      <c r="M554" t="s">
        <v>48</v>
      </c>
      <c r="N554" s="46">
        <v>1</v>
      </c>
      <c r="O554" s="46">
        <v>0</v>
      </c>
      <c r="P554" s="46">
        <v>0</v>
      </c>
      <c r="Q554" t="s">
        <v>48</v>
      </c>
      <c r="R554" t="s">
        <v>48</v>
      </c>
      <c r="S554" t="s">
        <v>48</v>
      </c>
      <c r="T554" t="s">
        <v>48</v>
      </c>
      <c r="U554" t="s">
        <v>48</v>
      </c>
      <c r="V554" s="47">
        <v>1</v>
      </c>
      <c r="W554" t="s">
        <v>11264</v>
      </c>
      <c r="X554" t="s">
        <v>48</v>
      </c>
      <c r="Y554" t="s">
        <v>48</v>
      </c>
      <c r="Z554">
        <v>0</v>
      </c>
      <c r="AA554" t="s">
        <v>48</v>
      </c>
      <c r="AB554" t="s">
        <v>48</v>
      </c>
      <c r="AC554" t="s">
        <v>63</v>
      </c>
      <c r="AD554" t="s">
        <v>93</v>
      </c>
      <c r="AE554" t="s">
        <v>4532</v>
      </c>
      <c r="AF554" t="s">
        <v>48</v>
      </c>
      <c r="AG554" t="s">
        <v>48</v>
      </c>
      <c r="AH554" t="s">
        <v>48</v>
      </c>
      <c r="AI554" t="s">
        <v>48</v>
      </c>
      <c r="AJ554" t="s">
        <v>48</v>
      </c>
      <c r="AK554" t="s">
        <v>48</v>
      </c>
      <c r="AL554" t="s">
        <v>48</v>
      </c>
      <c r="AM554" t="s">
        <v>48</v>
      </c>
      <c r="AN554" t="s">
        <v>48</v>
      </c>
      <c r="AO554" t="s">
        <v>48</v>
      </c>
      <c r="AP554" s="46">
        <v>0</v>
      </c>
      <c r="AQ554" s="46">
        <v>0</v>
      </c>
      <c r="AR554" s="46">
        <v>0</v>
      </c>
      <c r="AS554" s="46">
        <v>0</v>
      </c>
      <c r="AT554" s="46">
        <v>0</v>
      </c>
      <c r="AU554" s="46">
        <v>0</v>
      </c>
      <c r="AV554" s="46">
        <v>0</v>
      </c>
      <c r="AW554" s="46">
        <v>0</v>
      </c>
      <c r="AX554" s="46">
        <v>0</v>
      </c>
      <c r="AY554" s="46">
        <v>0</v>
      </c>
      <c r="AZ554" s="46">
        <v>0</v>
      </c>
      <c r="BA554" s="46">
        <v>0</v>
      </c>
      <c r="BB554" s="46">
        <v>0</v>
      </c>
      <c r="BC554" s="46">
        <v>0</v>
      </c>
      <c r="BD554" s="46">
        <v>0</v>
      </c>
      <c r="BE554" s="46">
        <v>0</v>
      </c>
      <c r="BF554" s="46">
        <v>0</v>
      </c>
      <c r="BG554" s="46" t="s">
        <v>48</v>
      </c>
      <c r="BH554" s="46">
        <v>0</v>
      </c>
      <c r="BI554" s="46">
        <v>0</v>
      </c>
      <c r="BJ554" s="46">
        <v>0</v>
      </c>
      <c r="BK554" s="46">
        <v>0</v>
      </c>
      <c r="BL554" s="46">
        <v>0</v>
      </c>
      <c r="BM554" s="46">
        <v>0</v>
      </c>
      <c r="BN554" s="46">
        <v>0</v>
      </c>
    </row>
    <row r="555" spans="1:66" x14ac:dyDescent="0.35">
      <c r="A555" t="s">
        <v>2061</v>
      </c>
      <c r="B555" s="44" t="s">
        <v>48</v>
      </c>
      <c r="C555" t="s">
        <v>2067</v>
      </c>
      <c r="D555" t="s">
        <v>2066</v>
      </c>
      <c r="E555" t="s">
        <v>2063</v>
      </c>
      <c r="F555" t="s">
        <v>2062</v>
      </c>
      <c r="G555" t="s">
        <v>47</v>
      </c>
      <c r="H555">
        <v>0</v>
      </c>
      <c r="I555" s="60" t="s">
        <v>51</v>
      </c>
      <c r="J555" s="33" t="s">
        <v>45</v>
      </c>
      <c r="K555" s="46">
        <v>1</v>
      </c>
      <c r="L555">
        <v>86.2</v>
      </c>
      <c r="M555" t="s">
        <v>48</v>
      </c>
      <c r="N555" s="46">
        <v>1</v>
      </c>
      <c r="O555" s="46">
        <v>0</v>
      </c>
      <c r="P555" s="46">
        <v>0</v>
      </c>
      <c r="Q555" t="s">
        <v>48</v>
      </c>
      <c r="R555" t="s">
        <v>48</v>
      </c>
      <c r="S555" t="s">
        <v>2064</v>
      </c>
      <c r="T555" t="s">
        <v>2065</v>
      </c>
      <c r="U555" t="s">
        <v>2064</v>
      </c>
      <c r="V555" s="47">
        <v>0</v>
      </c>
      <c r="W555" t="s">
        <v>48</v>
      </c>
      <c r="X555" t="s">
        <v>48</v>
      </c>
      <c r="Y555" t="s">
        <v>48</v>
      </c>
      <c r="Z555">
        <v>0</v>
      </c>
      <c r="AA555" t="s">
        <v>48</v>
      </c>
      <c r="AB555">
        <v>2006</v>
      </c>
      <c r="AC555" t="s">
        <v>49</v>
      </c>
      <c r="AD555" t="s">
        <v>93</v>
      </c>
      <c r="AE555" t="s">
        <v>4532</v>
      </c>
      <c r="AF555" t="s">
        <v>48</v>
      </c>
      <c r="AG555" t="s">
        <v>184</v>
      </c>
      <c r="AH555" t="s">
        <v>93</v>
      </c>
      <c r="AI555">
        <v>20709</v>
      </c>
      <c r="AJ555">
        <v>1951</v>
      </c>
      <c r="AK555" t="s">
        <v>8826</v>
      </c>
      <c r="AL555" t="s">
        <v>8827</v>
      </c>
      <c r="AM555">
        <v>0.36199999999999999</v>
      </c>
      <c r="AN555">
        <v>-0.11600000000000001</v>
      </c>
      <c r="AO555">
        <v>0.36199999999999999</v>
      </c>
      <c r="AP555" s="46">
        <v>0</v>
      </c>
      <c r="AQ555" s="46">
        <v>0</v>
      </c>
      <c r="AR555" s="46">
        <v>0</v>
      </c>
      <c r="AS555" s="46">
        <v>0</v>
      </c>
      <c r="AT555" s="46">
        <v>0</v>
      </c>
      <c r="AU555" s="46">
        <v>0</v>
      </c>
      <c r="AV555" s="46">
        <v>0</v>
      </c>
      <c r="AW555" s="46">
        <v>0</v>
      </c>
      <c r="AX555" s="46">
        <v>0</v>
      </c>
      <c r="AY555" s="46">
        <v>0</v>
      </c>
      <c r="AZ555" s="46">
        <v>0</v>
      </c>
      <c r="BA555" s="46">
        <v>0</v>
      </c>
      <c r="BB555" s="46">
        <v>1</v>
      </c>
      <c r="BC555" s="46">
        <v>0</v>
      </c>
      <c r="BD555" s="46">
        <v>0</v>
      </c>
      <c r="BE555" s="46">
        <v>0</v>
      </c>
      <c r="BF555" s="46">
        <v>0</v>
      </c>
      <c r="BG555" s="46" t="s">
        <v>48</v>
      </c>
      <c r="BH555" s="46">
        <v>0</v>
      </c>
      <c r="BI555" s="46">
        <v>0</v>
      </c>
      <c r="BJ555" s="46">
        <v>0</v>
      </c>
      <c r="BK555" s="46">
        <v>0</v>
      </c>
      <c r="BL555" s="46">
        <v>0</v>
      </c>
      <c r="BM555" s="46">
        <v>1</v>
      </c>
      <c r="BN555" s="46">
        <v>0</v>
      </c>
    </row>
    <row r="556" spans="1:66" ht="15" x14ac:dyDescent="0.4">
      <c r="A556" t="s">
        <v>10536</v>
      </c>
      <c r="B556" s="44" t="s">
        <v>48</v>
      </c>
      <c r="C556" t="s">
        <v>11800</v>
      </c>
      <c r="D556" t="s">
        <v>2799</v>
      </c>
      <c r="E556" t="s">
        <v>10537</v>
      </c>
      <c r="F556" t="s">
        <v>2070</v>
      </c>
      <c r="G556" t="s">
        <v>74</v>
      </c>
      <c r="H556">
        <v>0</v>
      </c>
      <c r="I556" s="61" t="s">
        <v>11160</v>
      </c>
      <c r="J556" s="33" t="s">
        <v>45</v>
      </c>
      <c r="K556" s="46">
        <v>0</v>
      </c>
      <c r="L556">
        <v>100</v>
      </c>
      <c r="M556" t="s">
        <v>48</v>
      </c>
      <c r="N556" s="46">
        <v>1</v>
      </c>
      <c r="O556" s="46">
        <v>0</v>
      </c>
      <c r="P556" s="46">
        <v>0</v>
      </c>
      <c r="Q556" t="s">
        <v>48</v>
      </c>
      <c r="R556" t="s">
        <v>48</v>
      </c>
      <c r="S556" s="55" t="s">
        <v>11265</v>
      </c>
      <c r="T556" t="s">
        <v>48</v>
      </c>
      <c r="U556" s="55" t="s">
        <v>11265</v>
      </c>
      <c r="V556" s="47">
        <v>1</v>
      </c>
      <c r="W556" t="s">
        <v>48</v>
      </c>
      <c r="X556" t="s">
        <v>48</v>
      </c>
      <c r="Y556" t="s">
        <v>48</v>
      </c>
      <c r="Z556">
        <v>0</v>
      </c>
      <c r="AA556" t="s">
        <v>48</v>
      </c>
      <c r="AB556" t="s">
        <v>48</v>
      </c>
      <c r="AC556" t="s">
        <v>63</v>
      </c>
      <c r="AD556" t="s">
        <v>93</v>
      </c>
      <c r="AE556" t="s">
        <v>4532</v>
      </c>
      <c r="AF556" t="s">
        <v>48</v>
      </c>
      <c r="AG556" t="s">
        <v>48</v>
      </c>
      <c r="AH556" t="s">
        <v>48</v>
      </c>
      <c r="AI556" t="s">
        <v>48</v>
      </c>
      <c r="AJ556" t="s">
        <v>48</v>
      </c>
      <c r="AK556" t="s">
        <v>48</v>
      </c>
      <c r="AL556" t="s">
        <v>48</v>
      </c>
      <c r="AM556" t="s">
        <v>48</v>
      </c>
      <c r="AN556" t="s">
        <v>48</v>
      </c>
      <c r="AO556" t="s">
        <v>48</v>
      </c>
      <c r="AP556" s="46">
        <v>0</v>
      </c>
      <c r="AQ556" s="46">
        <v>0</v>
      </c>
      <c r="AR556" s="46">
        <v>0</v>
      </c>
      <c r="AS556" s="46">
        <v>0</v>
      </c>
      <c r="AT556" s="46">
        <v>0</v>
      </c>
      <c r="AU556" s="46">
        <v>0</v>
      </c>
      <c r="AV556" s="46">
        <v>0</v>
      </c>
      <c r="AW556" s="46">
        <v>0</v>
      </c>
      <c r="AX556" s="46">
        <v>0</v>
      </c>
      <c r="AY556" s="46">
        <v>0</v>
      </c>
      <c r="AZ556" s="46">
        <v>0</v>
      </c>
      <c r="BA556" s="46">
        <v>0</v>
      </c>
      <c r="BB556" s="46">
        <v>0</v>
      </c>
      <c r="BC556" s="46">
        <v>0</v>
      </c>
      <c r="BD556" s="46">
        <v>0</v>
      </c>
      <c r="BE556" s="46">
        <v>0</v>
      </c>
      <c r="BF556" s="46">
        <v>0</v>
      </c>
      <c r="BG556" s="46" t="s">
        <v>48</v>
      </c>
      <c r="BH556" s="46">
        <v>0</v>
      </c>
      <c r="BI556" s="46">
        <v>0</v>
      </c>
      <c r="BJ556" s="46">
        <v>0</v>
      </c>
      <c r="BK556" s="46">
        <v>0</v>
      </c>
      <c r="BL556" s="46">
        <v>0</v>
      </c>
      <c r="BM556" s="46">
        <v>0</v>
      </c>
      <c r="BN556" s="46">
        <v>0</v>
      </c>
    </row>
    <row r="557" spans="1:66" x14ac:dyDescent="0.35">
      <c r="A557" t="s">
        <v>2071</v>
      </c>
      <c r="B557" s="44" t="s">
        <v>48</v>
      </c>
      <c r="C557" t="s">
        <v>2075</v>
      </c>
      <c r="D557" t="s">
        <v>729</v>
      </c>
      <c r="E557" t="s">
        <v>2072</v>
      </c>
      <c r="F557" t="s">
        <v>2070</v>
      </c>
      <c r="G557" t="s">
        <v>47</v>
      </c>
      <c r="H557">
        <v>0</v>
      </c>
      <c r="I557" s="60" t="s">
        <v>51</v>
      </c>
      <c r="J557" s="33" t="s">
        <v>45</v>
      </c>
      <c r="K557" s="46">
        <v>1</v>
      </c>
      <c r="L557">
        <v>100</v>
      </c>
      <c r="M557" t="s">
        <v>48</v>
      </c>
      <c r="N557" s="46">
        <v>1</v>
      </c>
      <c r="O557" s="46">
        <v>0</v>
      </c>
      <c r="P557" s="46">
        <v>0</v>
      </c>
      <c r="Q557" t="s">
        <v>48</v>
      </c>
      <c r="R557" t="s">
        <v>48</v>
      </c>
      <c r="S557" t="s">
        <v>2073</v>
      </c>
      <c r="T557" t="s">
        <v>2074</v>
      </c>
      <c r="U557" t="s">
        <v>2073</v>
      </c>
      <c r="V557" s="47">
        <v>0</v>
      </c>
      <c r="W557" t="s">
        <v>48</v>
      </c>
      <c r="X557" t="s">
        <v>48</v>
      </c>
      <c r="Y557" t="s">
        <v>48</v>
      </c>
      <c r="Z557">
        <v>0</v>
      </c>
      <c r="AA557" t="s">
        <v>48</v>
      </c>
      <c r="AB557">
        <v>2018</v>
      </c>
      <c r="AC557" t="s">
        <v>49</v>
      </c>
      <c r="AD557" t="s">
        <v>93</v>
      </c>
      <c r="AE557" t="s">
        <v>4532</v>
      </c>
      <c r="AF557" t="s">
        <v>48</v>
      </c>
      <c r="AG557" t="s">
        <v>479</v>
      </c>
      <c r="AH557" t="s">
        <v>93</v>
      </c>
      <c r="AI557">
        <v>21971</v>
      </c>
      <c r="AJ557">
        <v>1978</v>
      </c>
      <c r="AK557" t="s">
        <v>8828</v>
      </c>
      <c r="AL557" t="s">
        <v>8829</v>
      </c>
      <c r="AM557">
        <v>0.68</v>
      </c>
      <c r="AN557">
        <v>-0.29899999999999999</v>
      </c>
      <c r="AO557">
        <v>0.68</v>
      </c>
      <c r="AP557" s="46">
        <v>0</v>
      </c>
      <c r="AQ557" s="46">
        <v>0</v>
      </c>
      <c r="AR557" s="46">
        <v>0</v>
      </c>
      <c r="AS557" s="46">
        <v>0</v>
      </c>
      <c r="AT557" s="46">
        <v>0</v>
      </c>
      <c r="AU557" s="46">
        <v>0</v>
      </c>
      <c r="AV557" s="46">
        <v>0</v>
      </c>
      <c r="AW557" s="46">
        <v>0</v>
      </c>
      <c r="AX557" s="46">
        <v>0</v>
      </c>
      <c r="AY557" s="46">
        <v>0</v>
      </c>
      <c r="AZ557" s="46">
        <v>0</v>
      </c>
      <c r="BA557" s="46">
        <v>0</v>
      </c>
      <c r="BB557" s="46">
        <v>1</v>
      </c>
      <c r="BC557" s="46">
        <v>0</v>
      </c>
      <c r="BD557" s="46">
        <v>0</v>
      </c>
      <c r="BE557" s="46">
        <v>0</v>
      </c>
      <c r="BF557" s="46">
        <v>1</v>
      </c>
      <c r="BG557" s="46">
        <v>1</v>
      </c>
      <c r="BH557" s="46">
        <v>0</v>
      </c>
      <c r="BI557" s="46">
        <v>0</v>
      </c>
      <c r="BJ557" s="46">
        <v>0</v>
      </c>
      <c r="BK557" s="46">
        <v>0</v>
      </c>
      <c r="BL557" s="46">
        <v>0</v>
      </c>
      <c r="BM557" s="46">
        <v>0</v>
      </c>
      <c r="BN557" s="46">
        <v>1</v>
      </c>
    </row>
    <row r="558" spans="1:66" x14ac:dyDescent="0.35">
      <c r="A558" t="s">
        <v>2053</v>
      </c>
      <c r="B558" s="44" t="s">
        <v>48</v>
      </c>
      <c r="C558" t="s">
        <v>11801</v>
      </c>
      <c r="D558" t="s">
        <v>885</v>
      </c>
      <c r="E558" t="s">
        <v>10538</v>
      </c>
      <c r="F558" t="s">
        <v>2077</v>
      </c>
      <c r="G558" t="s">
        <v>47</v>
      </c>
      <c r="H558">
        <v>0</v>
      </c>
      <c r="I558" s="60" t="s">
        <v>11552</v>
      </c>
      <c r="J558" s="33" t="s">
        <v>45</v>
      </c>
      <c r="K558" s="46">
        <v>0</v>
      </c>
      <c r="L558">
        <v>73.099999999999994</v>
      </c>
      <c r="M558" t="s">
        <v>48</v>
      </c>
      <c r="N558" s="46">
        <v>1</v>
      </c>
      <c r="O558" s="46">
        <v>0</v>
      </c>
      <c r="P558" s="46">
        <v>0</v>
      </c>
      <c r="Q558" t="s">
        <v>48</v>
      </c>
      <c r="R558" t="s">
        <v>48</v>
      </c>
      <c r="S558" t="s">
        <v>11447</v>
      </c>
      <c r="T558" t="s">
        <v>10540</v>
      </c>
      <c r="U558" t="s">
        <v>10539</v>
      </c>
      <c r="V558" s="47">
        <v>0</v>
      </c>
      <c r="W558" t="s">
        <v>48</v>
      </c>
      <c r="X558" t="s">
        <v>48</v>
      </c>
      <c r="Y558" t="s">
        <v>48</v>
      </c>
      <c r="Z558">
        <v>0</v>
      </c>
      <c r="AA558" t="s">
        <v>48</v>
      </c>
      <c r="AB558" t="s">
        <v>48</v>
      </c>
      <c r="AC558" t="s">
        <v>49</v>
      </c>
      <c r="AD558" t="s">
        <v>93</v>
      </c>
      <c r="AE558" t="s">
        <v>4532</v>
      </c>
      <c r="AF558" t="s">
        <v>48</v>
      </c>
      <c r="AG558" t="s">
        <v>48</v>
      </c>
      <c r="AH558" t="s">
        <v>48</v>
      </c>
      <c r="AI558" t="s">
        <v>48</v>
      </c>
      <c r="AJ558" t="s">
        <v>48</v>
      </c>
      <c r="AK558" t="s">
        <v>48</v>
      </c>
      <c r="AL558" t="s">
        <v>48</v>
      </c>
      <c r="AM558" t="s">
        <v>48</v>
      </c>
      <c r="AN558" t="s">
        <v>48</v>
      </c>
      <c r="AO558" t="s">
        <v>48</v>
      </c>
      <c r="AP558" s="46">
        <v>0</v>
      </c>
      <c r="AQ558" s="46">
        <v>0</v>
      </c>
      <c r="AR558" s="46">
        <v>0</v>
      </c>
      <c r="AS558" s="46">
        <v>0</v>
      </c>
      <c r="AT558" s="46">
        <v>0</v>
      </c>
      <c r="AU558" s="46">
        <v>0</v>
      </c>
      <c r="AV558" s="46">
        <v>0</v>
      </c>
      <c r="AW558" s="46">
        <v>0</v>
      </c>
      <c r="AX558" s="46">
        <v>0</v>
      </c>
      <c r="AY558" s="46">
        <v>0</v>
      </c>
      <c r="AZ558" s="46">
        <v>0</v>
      </c>
      <c r="BA558" s="46">
        <v>0</v>
      </c>
      <c r="BB558" s="46">
        <v>0</v>
      </c>
      <c r="BC558" s="46">
        <v>0</v>
      </c>
      <c r="BD558" s="46">
        <v>0</v>
      </c>
      <c r="BE558" s="46">
        <v>0</v>
      </c>
      <c r="BF558" s="46">
        <v>0</v>
      </c>
      <c r="BG558" s="46">
        <v>1</v>
      </c>
      <c r="BH558" s="46">
        <v>0</v>
      </c>
      <c r="BI558" s="46">
        <v>0</v>
      </c>
      <c r="BJ558" s="46">
        <v>0</v>
      </c>
      <c r="BK558" s="46">
        <v>0</v>
      </c>
      <c r="BL558" s="46">
        <v>0</v>
      </c>
      <c r="BM558" s="46">
        <v>0</v>
      </c>
      <c r="BN558" s="46">
        <v>0</v>
      </c>
    </row>
    <row r="559" spans="1:66" x14ac:dyDescent="0.35">
      <c r="A559" t="s">
        <v>2087</v>
      </c>
      <c r="B559" s="44" t="s">
        <v>48</v>
      </c>
      <c r="C559" t="s">
        <v>2092</v>
      </c>
      <c r="D559" t="s">
        <v>2091</v>
      </c>
      <c r="E559" t="s">
        <v>2088</v>
      </c>
      <c r="F559" t="s">
        <v>2082</v>
      </c>
      <c r="G559" t="s">
        <v>47</v>
      </c>
      <c r="H559">
        <v>0</v>
      </c>
      <c r="I559" s="60" t="s">
        <v>51</v>
      </c>
      <c r="J559" s="33" t="s">
        <v>45</v>
      </c>
      <c r="K559" s="46">
        <v>1</v>
      </c>
      <c r="L559">
        <v>83.8</v>
      </c>
      <c r="M559" t="s">
        <v>48</v>
      </c>
      <c r="N559" s="46">
        <v>1</v>
      </c>
      <c r="O559" s="46">
        <v>0</v>
      </c>
      <c r="P559" s="46">
        <v>0</v>
      </c>
      <c r="Q559" t="s">
        <v>48</v>
      </c>
      <c r="R559" t="s">
        <v>48</v>
      </c>
      <c r="S559" t="s">
        <v>2089</v>
      </c>
      <c r="T559" t="s">
        <v>2090</v>
      </c>
      <c r="U559" t="s">
        <v>2089</v>
      </c>
      <c r="V559" s="47">
        <v>0</v>
      </c>
      <c r="W559" t="s">
        <v>48</v>
      </c>
      <c r="X559" t="s">
        <v>48</v>
      </c>
      <c r="Y559" t="s">
        <v>48</v>
      </c>
      <c r="Z559">
        <v>1</v>
      </c>
      <c r="AA559" t="s">
        <v>48</v>
      </c>
      <c r="AB559">
        <v>2020</v>
      </c>
      <c r="AC559" t="s">
        <v>49</v>
      </c>
      <c r="AD559" t="s">
        <v>93</v>
      </c>
      <c r="AE559" t="s">
        <v>2471</v>
      </c>
      <c r="AF559" t="s">
        <v>10957</v>
      </c>
      <c r="AG559" t="s">
        <v>48</v>
      </c>
      <c r="AH559" t="s">
        <v>48</v>
      </c>
      <c r="AI559">
        <v>22111</v>
      </c>
      <c r="AJ559">
        <v>1978</v>
      </c>
      <c r="AK559" t="s">
        <v>8830</v>
      </c>
      <c r="AL559" t="s">
        <v>8831</v>
      </c>
      <c r="AM559">
        <v>0.66300000000000003</v>
      </c>
      <c r="AN559">
        <v>-0.13300000000000001</v>
      </c>
      <c r="AO559">
        <v>0.66300000000000003</v>
      </c>
      <c r="AP559" s="46">
        <v>0</v>
      </c>
      <c r="AQ559" s="46">
        <v>0</v>
      </c>
      <c r="AR559" s="46">
        <v>0</v>
      </c>
      <c r="AS559" s="46">
        <v>0</v>
      </c>
      <c r="AT559" s="46">
        <v>0</v>
      </c>
      <c r="AU559" s="46">
        <v>0</v>
      </c>
      <c r="AV559" s="46">
        <v>0</v>
      </c>
      <c r="AW559" s="46">
        <v>0</v>
      </c>
      <c r="AX559" s="46">
        <v>0</v>
      </c>
      <c r="AY559" s="46">
        <v>0</v>
      </c>
      <c r="AZ559" s="46">
        <v>0</v>
      </c>
      <c r="BA559" s="46">
        <v>0</v>
      </c>
      <c r="BB559" s="46">
        <v>1</v>
      </c>
      <c r="BC559" s="46">
        <v>0</v>
      </c>
      <c r="BD559" s="46">
        <v>0</v>
      </c>
      <c r="BE559" s="46">
        <v>1</v>
      </c>
      <c r="BF559" s="46">
        <v>1</v>
      </c>
      <c r="BG559" s="46">
        <v>1</v>
      </c>
      <c r="BH559" s="46">
        <v>0</v>
      </c>
      <c r="BI559" s="46">
        <v>0</v>
      </c>
      <c r="BJ559" s="46">
        <v>0</v>
      </c>
      <c r="BK559" s="46">
        <v>0</v>
      </c>
      <c r="BL559" s="46">
        <v>0</v>
      </c>
      <c r="BM559" s="46">
        <v>0</v>
      </c>
      <c r="BN559" s="46">
        <v>1</v>
      </c>
    </row>
    <row r="560" spans="1:66" x14ac:dyDescent="0.35">
      <c r="A560" t="s">
        <v>2081</v>
      </c>
      <c r="B560" s="44" t="s">
        <v>48</v>
      </c>
      <c r="C560" t="s">
        <v>2086</v>
      </c>
      <c r="D560" t="s">
        <v>2085</v>
      </c>
      <c r="E560" t="s">
        <v>2083</v>
      </c>
      <c r="F560" t="s">
        <v>2082</v>
      </c>
      <c r="G560" t="s">
        <v>74</v>
      </c>
      <c r="H560">
        <v>0</v>
      </c>
      <c r="I560" s="60" t="s">
        <v>149</v>
      </c>
      <c r="J560" s="33" t="s">
        <v>45</v>
      </c>
      <c r="K560" s="46">
        <v>0</v>
      </c>
      <c r="L560">
        <v>100</v>
      </c>
      <c r="M560" t="s">
        <v>48</v>
      </c>
      <c r="N560" s="46">
        <v>1</v>
      </c>
      <c r="O560" s="46">
        <v>0</v>
      </c>
      <c r="P560" s="46">
        <v>0</v>
      </c>
      <c r="Q560" t="s">
        <v>48</v>
      </c>
      <c r="R560" t="s">
        <v>48</v>
      </c>
      <c r="S560" t="s">
        <v>2084</v>
      </c>
      <c r="T560" t="s">
        <v>48</v>
      </c>
      <c r="U560" t="s">
        <v>2084</v>
      </c>
      <c r="V560" s="47">
        <v>0</v>
      </c>
      <c r="W560" t="s">
        <v>48</v>
      </c>
      <c r="X560" t="s">
        <v>48</v>
      </c>
      <c r="Y560" t="s">
        <v>48</v>
      </c>
      <c r="Z560">
        <v>0</v>
      </c>
      <c r="AA560" t="s">
        <v>48</v>
      </c>
      <c r="AB560" t="s">
        <v>48</v>
      </c>
      <c r="AC560" t="s">
        <v>63</v>
      </c>
      <c r="AD560" t="s">
        <v>93</v>
      </c>
      <c r="AE560" t="s">
        <v>4532</v>
      </c>
      <c r="AF560" t="s">
        <v>48</v>
      </c>
      <c r="AG560" t="s">
        <v>109</v>
      </c>
      <c r="AH560" t="s">
        <v>48</v>
      </c>
      <c r="AI560" t="s">
        <v>48</v>
      </c>
      <c r="AJ560" t="s">
        <v>48</v>
      </c>
      <c r="AK560" t="s">
        <v>48</v>
      </c>
      <c r="AL560" t="s">
        <v>48</v>
      </c>
      <c r="AM560" t="s">
        <v>48</v>
      </c>
      <c r="AN560" t="s">
        <v>48</v>
      </c>
      <c r="AO560" t="s">
        <v>48</v>
      </c>
      <c r="AP560" s="46">
        <v>0</v>
      </c>
      <c r="AQ560" s="46">
        <v>0</v>
      </c>
      <c r="AR560" s="46">
        <v>0</v>
      </c>
      <c r="AS560" s="46">
        <v>0</v>
      </c>
      <c r="AT560" s="46">
        <v>0</v>
      </c>
      <c r="AU560" s="46">
        <v>0</v>
      </c>
      <c r="AV560" s="46">
        <v>0</v>
      </c>
      <c r="AW560" s="46">
        <v>0</v>
      </c>
      <c r="AX560" s="46">
        <v>0</v>
      </c>
      <c r="AY560" s="46">
        <v>0</v>
      </c>
      <c r="AZ560" s="46">
        <v>0</v>
      </c>
      <c r="BA560" s="46">
        <v>0</v>
      </c>
      <c r="BB560" s="46">
        <v>0</v>
      </c>
      <c r="BC560" s="46">
        <v>0</v>
      </c>
      <c r="BD560" s="46">
        <v>0</v>
      </c>
      <c r="BE560" s="46">
        <v>0</v>
      </c>
      <c r="BF560" s="46">
        <v>0</v>
      </c>
      <c r="BG560" s="46" t="s">
        <v>48</v>
      </c>
      <c r="BH560" s="46">
        <v>0</v>
      </c>
      <c r="BI560" s="46">
        <v>0</v>
      </c>
      <c r="BJ560" s="46">
        <v>0</v>
      </c>
      <c r="BK560" s="46">
        <v>0</v>
      </c>
      <c r="BL560" s="46">
        <v>0</v>
      </c>
      <c r="BM560" s="46">
        <v>0</v>
      </c>
      <c r="BN560" s="46">
        <v>0</v>
      </c>
    </row>
    <row r="561" spans="1:66" x14ac:dyDescent="0.35">
      <c r="A561" t="s">
        <v>2149</v>
      </c>
      <c r="B561" s="44" t="s">
        <v>48</v>
      </c>
      <c r="C561" t="s">
        <v>2150</v>
      </c>
      <c r="D561" t="s">
        <v>11807</v>
      </c>
      <c r="E561" t="s">
        <v>10556</v>
      </c>
      <c r="F561" t="s">
        <v>2093</v>
      </c>
      <c r="G561" t="s">
        <v>47</v>
      </c>
      <c r="H561">
        <v>0</v>
      </c>
      <c r="I561" s="60" t="s">
        <v>11552</v>
      </c>
      <c r="J561" s="33" t="s">
        <v>45</v>
      </c>
      <c r="K561" s="46">
        <v>0</v>
      </c>
      <c r="L561">
        <v>100</v>
      </c>
      <c r="M561" t="s">
        <v>48</v>
      </c>
      <c r="N561" s="46">
        <v>1</v>
      </c>
      <c r="O561" s="46">
        <v>0</v>
      </c>
      <c r="P561" s="46">
        <v>0</v>
      </c>
      <c r="Q561" t="s">
        <v>48</v>
      </c>
      <c r="R561" t="s">
        <v>48</v>
      </c>
      <c r="S561" t="s">
        <v>11450</v>
      </c>
      <c r="T561" t="s">
        <v>48</v>
      </c>
      <c r="U561" t="s">
        <v>10557</v>
      </c>
      <c r="V561" s="47">
        <v>0</v>
      </c>
      <c r="W561" t="s">
        <v>48</v>
      </c>
      <c r="X561" t="s">
        <v>48</v>
      </c>
      <c r="Y561" t="s">
        <v>48</v>
      </c>
      <c r="Z561">
        <v>0</v>
      </c>
      <c r="AA561" t="s">
        <v>48</v>
      </c>
      <c r="AB561" t="s">
        <v>48</v>
      </c>
      <c r="AC561" t="s">
        <v>49</v>
      </c>
      <c r="AD561" t="s">
        <v>93</v>
      </c>
      <c r="AE561" t="s">
        <v>2471</v>
      </c>
      <c r="AF561" t="s">
        <v>48</v>
      </c>
      <c r="AG561" t="s">
        <v>48</v>
      </c>
      <c r="AH561" t="s">
        <v>48</v>
      </c>
      <c r="AI561" t="s">
        <v>48</v>
      </c>
      <c r="AJ561" t="s">
        <v>48</v>
      </c>
      <c r="AK561" t="s">
        <v>48</v>
      </c>
      <c r="AL561" t="s">
        <v>48</v>
      </c>
      <c r="AM561" t="s">
        <v>48</v>
      </c>
      <c r="AN561" t="s">
        <v>48</v>
      </c>
      <c r="AO561" t="s">
        <v>48</v>
      </c>
      <c r="AP561" s="46">
        <v>0</v>
      </c>
      <c r="AQ561" s="46">
        <v>0</v>
      </c>
      <c r="AR561" s="46">
        <v>0</v>
      </c>
      <c r="AS561" s="46">
        <v>0</v>
      </c>
      <c r="AT561" s="46">
        <v>0</v>
      </c>
      <c r="AU561" s="46">
        <v>0</v>
      </c>
      <c r="AV561" s="46">
        <v>0</v>
      </c>
      <c r="AW561" s="46">
        <v>0</v>
      </c>
      <c r="AX561" s="46">
        <v>0</v>
      </c>
      <c r="AY561" s="46">
        <v>0</v>
      </c>
      <c r="AZ561" s="46">
        <v>0</v>
      </c>
      <c r="BA561" s="46">
        <v>0</v>
      </c>
      <c r="BB561" s="46">
        <v>0</v>
      </c>
      <c r="BC561" s="46">
        <v>0</v>
      </c>
      <c r="BD561" s="46">
        <v>0</v>
      </c>
      <c r="BE561" s="46">
        <v>0</v>
      </c>
      <c r="BF561" s="46">
        <v>0</v>
      </c>
      <c r="BG561" s="46">
        <v>1</v>
      </c>
      <c r="BH561" s="46">
        <v>0</v>
      </c>
      <c r="BI561" s="46">
        <v>0</v>
      </c>
      <c r="BJ561" s="46">
        <v>0</v>
      </c>
      <c r="BK561" s="46">
        <v>0</v>
      </c>
      <c r="BL561" s="46">
        <v>0</v>
      </c>
      <c r="BM561" s="46">
        <v>0</v>
      </c>
      <c r="BN561" s="46">
        <v>0</v>
      </c>
    </row>
    <row r="562" spans="1:66" x14ac:dyDescent="0.35">
      <c r="A562" t="s">
        <v>9440</v>
      </c>
      <c r="B562" s="44" t="s">
        <v>48</v>
      </c>
      <c r="C562" t="s">
        <v>9443</v>
      </c>
      <c r="D562" t="s">
        <v>6630</v>
      </c>
      <c r="E562" t="s">
        <v>10410</v>
      </c>
      <c r="F562" t="s">
        <v>2093</v>
      </c>
      <c r="G562" t="s">
        <v>74</v>
      </c>
      <c r="H562">
        <v>0</v>
      </c>
      <c r="I562" s="60" t="str">
        <f>"2022-06-29"</f>
        <v>2022-06-29</v>
      </c>
      <c r="J562" s="33" t="s">
        <v>45</v>
      </c>
      <c r="K562" s="51">
        <v>1</v>
      </c>
      <c r="L562">
        <v>65.599999999999994</v>
      </c>
      <c r="M562" s="41" t="s">
        <v>48</v>
      </c>
      <c r="N562" s="46">
        <v>1</v>
      </c>
      <c r="O562" s="51">
        <v>0</v>
      </c>
      <c r="P562" s="46">
        <v>0</v>
      </c>
      <c r="Q562" s="41" t="s">
        <v>48</v>
      </c>
      <c r="R562" s="41" t="s">
        <v>48</v>
      </c>
      <c r="S562" s="41" t="s">
        <v>48</v>
      </c>
      <c r="T562" s="41" t="str">
        <f>"@CongresswomanSC"</f>
        <v>@CongresswomanSC</v>
      </c>
      <c r="U562" s="41" t="s">
        <v>48</v>
      </c>
      <c r="V562" s="47">
        <v>0</v>
      </c>
      <c r="W562" s="41" t="s">
        <v>48</v>
      </c>
      <c r="X562" t="s">
        <v>48</v>
      </c>
      <c r="Y562" t="s">
        <v>48</v>
      </c>
      <c r="Z562" s="41" t="s">
        <v>48</v>
      </c>
      <c r="AA562" s="41" t="s">
        <v>48</v>
      </c>
      <c r="AB562" s="41" t="s">
        <v>48</v>
      </c>
      <c r="AC562" s="41" t="s">
        <v>63</v>
      </c>
      <c r="AD562" s="41" t="s">
        <v>93</v>
      </c>
      <c r="AE562" s="41" t="s">
        <v>2471</v>
      </c>
      <c r="AF562" s="41" t="s">
        <v>48</v>
      </c>
      <c r="AG562" s="41" t="s">
        <v>48</v>
      </c>
      <c r="AH562" s="41" t="s">
        <v>48</v>
      </c>
      <c r="AI562">
        <v>22163</v>
      </c>
      <c r="AJ562">
        <v>1979</v>
      </c>
      <c r="AK562" t="s">
        <v>8832</v>
      </c>
      <c r="AL562" t="s">
        <v>8833</v>
      </c>
      <c r="AM562">
        <v>-0.56299999999999994</v>
      </c>
      <c r="AN562">
        <v>0.15</v>
      </c>
      <c r="AO562">
        <v>-0.56299999999999994</v>
      </c>
      <c r="AP562" s="46">
        <v>0</v>
      </c>
      <c r="AQ562" s="46">
        <v>0</v>
      </c>
      <c r="AR562" s="46">
        <v>0</v>
      </c>
      <c r="AS562" s="46">
        <v>1</v>
      </c>
      <c r="AT562" s="46">
        <v>1</v>
      </c>
      <c r="AU562" s="46">
        <v>0</v>
      </c>
      <c r="AV562" s="46">
        <v>0</v>
      </c>
      <c r="AW562" s="46">
        <v>0</v>
      </c>
      <c r="AX562" s="46">
        <v>0</v>
      </c>
      <c r="AY562" s="46">
        <v>0</v>
      </c>
      <c r="AZ562" s="46">
        <v>0</v>
      </c>
      <c r="BA562" s="46">
        <v>0</v>
      </c>
      <c r="BB562" s="46">
        <v>0</v>
      </c>
      <c r="BC562" s="46">
        <v>0</v>
      </c>
      <c r="BD562" s="46">
        <v>0</v>
      </c>
      <c r="BE562" s="46">
        <v>0</v>
      </c>
      <c r="BF562" s="46">
        <v>0</v>
      </c>
      <c r="BG562" s="46" t="s">
        <v>48</v>
      </c>
      <c r="BH562" s="46">
        <v>0</v>
      </c>
      <c r="BI562" s="46">
        <v>0</v>
      </c>
      <c r="BJ562" s="46">
        <v>0</v>
      </c>
      <c r="BK562" s="46">
        <v>1</v>
      </c>
      <c r="BL562" s="46">
        <v>0</v>
      </c>
      <c r="BM562" s="46">
        <v>0</v>
      </c>
      <c r="BN562" s="46">
        <v>0</v>
      </c>
    </row>
    <row r="563" spans="1:66" x14ac:dyDescent="0.35">
      <c r="A563" t="s">
        <v>2078</v>
      </c>
      <c r="B563" s="44" t="s">
        <v>48</v>
      </c>
      <c r="C563" t="s">
        <v>11813</v>
      </c>
      <c r="D563" t="s">
        <v>195</v>
      </c>
      <c r="E563" t="s">
        <v>10558</v>
      </c>
      <c r="F563" t="s">
        <v>2102</v>
      </c>
      <c r="G563" t="s">
        <v>47</v>
      </c>
      <c r="H563">
        <v>0</v>
      </c>
      <c r="I563" s="61">
        <v>44802</v>
      </c>
      <c r="J563" s="33" t="s">
        <v>45</v>
      </c>
      <c r="K563" s="46">
        <v>0</v>
      </c>
      <c r="L563">
        <v>78.099999999999994</v>
      </c>
      <c r="M563" t="s">
        <v>48</v>
      </c>
      <c r="N563" s="46">
        <v>1</v>
      </c>
      <c r="O563" s="46">
        <v>0</v>
      </c>
      <c r="P563" s="46">
        <v>0</v>
      </c>
      <c r="Q563" t="s">
        <v>48</v>
      </c>
      <c r="R563" t="s">
        <v>48</v>
      </c>
      <c r="S563" t="s">
        <v>2079</v>
      </c>
      <c r="T563" t="s">
        <v>2080</v>
      </c>
      <c r="U563" t="s">
        <v>2079</v>
      </c>
      <c r="V563" s="47">
        <v>0</v>
      </c>
      <c r="W563" t="s">
        <v>48</v>
      </c>
      <c r="X563" t="s">
        <v>48</v>
      </c>
      <c r="Y563" t="s">
        <v>48</v>
      </c>
      <c r="Z563">
        <v>0</v>
      </c>
      <c r="AA563" t="s">
        <v>48</v>
      </c>
      <c r="AB563" t="s">
        <v>48</v>
      </c>
      <c r="AC563" t="s">
        <v>49</v>
      </c>
      <c r="AD563" t="s">
        <v>951</v>
      </c>
      <c r="AE563" t="s">
        <v>11051</v>
      </c>
      <c r="AF563" t="s">
        <v>11054</v>
      </c>
      <c r="AG563" t="s">
        <v>48</v>
      </c>
      <c r="AH563" t="s">
        <v>48</v>
      </c>
      <c r="AI563" t="s">
        <v>48</v>
      </c>
      <c r="AJ563" t="s">
        <v>48</v>
      </c>
      <c r="AK563" t="s">
        <v>48</v>
      </c>
      <c r="AL563" t="s">
        <v>48</v>
      </c>
      <c r="AM563" t="s">
        <v>48</v>
      </c>
      <c r="AN563" t="s">
        <v>48</v>
      </c>
      <c r="AO563" t="s">
        <v>48</v>
      </c>
      <c r="AP563" s="46">
        <v>0</v>
      </c>
      <c r="AQ563" s="46">
        <v>0</v>
      </c>
      <c r="AR563" s="46">
        <v>0</v>
      </c>
      <c r="AS563" s="46">
        <v>0</v>
      </c>
      <c r="AT563" s="46">
        <v>0</v>
      </c>
      <c r="AU563" s="46">
        <v>0</v>
      </c>
      <c r="AV563" s="46">
        <v>0</v>
      </c>
      <c r="AW563" s="46">
        <v>0</v>
      </c>
      <c r="AX563" s="46">
        <v>0</v>
      </c>
      <c r="AY563" s="46">
        <v>0</v>
      </c>
      <c r="AZ563" s="46">
        <v>0</v>
      </c>
      <c r="BA563" s="46">
        <v>0</v>
      </c>
      <c r="BB563" s="46">
        <v>0</v>
      </c>
      <c r="BC563" s="46">
        <v>0</v>
      </c>
      <c r="BD563" s="46">
        <v>0</v>
      </c>
      <c r="BE563" s="46">
        <v>0</v>
      </c>
      <c r="BF563" s="46">
        <v>0</v>
      </c>
      <c r="BG563" s="46">
        <v>1</v>
      </c>
      <c r="BH563" s="46">
        <v>0</v>
      </c>
      <c r="BI563" s="46">
        <v>0</v>
      </c>
      <c r="BJ563" s="46">
        <v>0</v>
      </c>
      <c r="BK563" s="46">
        <v>0</v>
      </c>
      <c r="BL563" s="46">
        <v>0</v>
      </c>
      <c r="BM563" s="46">
        <v>0</v>
      </c>
      <c r="BN563" s="46">
        <v>0</v>
      </c>
    </row>
    <row r="564" spans="1:66" ht="15" x14ac:dyDescent="0.4">
      <c r="A564" t="s">
        <v>10924</v>
      </c>
      <c r="B564" s="44" t="s">
        <v>48</v>
      </c>
      <c r="C564" t="s">
        <v>11810</v>
      </c>
      <c r="D564" t="s">
        <v>11811</v>
      </c>
      <c r="E564" t="s">
        <v>10925</v>
      </c>
      <c r="F564" t="s">
        <v>2102</v>
      </c>
      <c r="G564" t="s">
        <v>74</v>
      </c>
      <c r="H564">
        <v>0</v>
      </c>
      <c r="I564" s="61" t="s">
        <v>11160</v>
      </c>
      <c r="J564" s="33" t="s">
        <v>45</v>
      </c>
      <c r="K564" s="46">
        <v>0</v>
      </c>
      <c r="L564">
        <v>100</v>
      </c>
      <c r="M564" t="s">
        <v>48</v>
      </c>
      <c r="N564" s="46">
        <v>1</v>
      </c>
      <c r="O564" s="46">
        <v>0</v>
      </c>
      <c r="P564" s="46">
        <v>0</v>
      </c>
      <c r="Q564" t="s">
        <v>48</v>
      </c>
      <c r="R564" t="s">
        <v>48</v>
      </c>
      <c r="S564" s="55" t="s">
        <v>11266</v>
      </c>
      <c r="T564" t="s">
        <v>48</v>
      </c>
      <c r="U564" s="55" t="s">
        <v>11266</v>
      </c>
      <c r="V564" s="47">
        <v>0</v>
      </c>
      <c r="W564" t="s">
        <v>48</v>
      </c>
      <c r="X564" t="s">
        <v>48</v>
      </c>
      <c r="Y564" t="s">
        <v>48</v>
      </c>
      <c r="Z564">
        <v>0</v>
      </c>
      <c r="AA564" t="s">
        <v>48</v>
      </c>
      <c r="AB564" t="s">
        <v>48</v>
      </c>
      <c r="AC564" t="s">
        <v>63</v>
      </c>
      <c r="AD564" t="s">
        <v>951</v>
      </c>
      <c r="AE564" t="s">
        <v>11144</v>
      </c>
      <c r="AF564" t="s">
        <v>48</v>
      </c>
      <c r="AG564" t="s">
        <v>48</v>
      </c>
      <c r="AH564" t="s">
        <v>48</v>
      </c>
      <c r="AI564" t="s">
        <v>48</v>
      </c>
      <c r="AJ564" t="s">
        <v>48</v>
      </c>
      <c r="AK564" t="s">
        <v>48</v>
      </c>
      <c r="AL564" t="s">
        <v>48</v>
      </c>
      <c r="AM564" t="s">
        <v>48</v>
      </c>
      <c r="AN564" t="s">
        <v>48</v>
      </c>
      <c r="AO564" t="s">
        <v>48</v>
      </c>
      <c r="AP564" s="46">
        <v>0</v>
      </c>
      <c r="AQ564" s="46">
        <v>0</v>
      </c>
      <c r="AR564" s="46">
        <v>0</v>
      </c>
      <c r="AS564" s="46">
        <v>0</v>
      </c>
      <c r="AT564" s="46">
        <v>0</v>
      </c>
      <c r="AU564" s="46">
        <v>0</v>
      </c>
      <c r="AV564" s="46">
        <v>0</v>
      </c>
      <c r="AW564" s="46">
        <v>0</v>
      </c>
      <c r="AX564" s="46">
        <v>0</v>
      </c>
      <c r="AY564" s="46">
        <v>0</v>
      </c>
      <c r="AZ564" s="46">
        <v>0</v>
      </c>
      <c r="BA564" s="46">
        <v>0</v>
      </c>
      <c r="BB564" s="46">
        <v>0</v>
      </c>
      <c r="BC564" s="46">
        <v>0</v>
      </c>
      <c r="BD564" s="46">
        <v>0</v>
      </c>
      <c r="BE564" s="46">
        <v>0</v>
      </c>
      <c r="BF564" s="46">
        <v>0</v>
      </c>
      <c r="BG564" s="46" t="s">
        <v>48</v>
      </c>
      <c r="BH564" s="46">
        <v>0</v>
      </c>
      <c r="BI564" s="46">
        <v>0</v>
      </c>
      <c r="BJ564" s="46">
        <v>0</v>
      </c>
      <c r="BK564" s="46">
        <v>0</v>
      </c>
      <c r="BL564" s="46">
        <v>0</v>
      </c>
      <c r="BM564" s="46">
        <v>0</v>
      </c>
      <c r="BN564" s="46">
        <v>0</v>
      </c>
    </row>
    <row r="565" spans="1:66" x14ac:dyDescent="0.35">
      <c r="A565" t="s">
        <v>2112</v>
      </c>
      <c r="B565" s="44" t="s">
        <v>48</v>
      </c>
      <c r="C565" t="s">
        <v>11819</v>
      </c>
      <c r="D565" t="s">
        <v>347</v>
      </c>
      <c r="E565" t="s">
        <v>10564</v>
      </c>
      <c r="F565" t="s">
        <v>2121</v>
      </c>
      <c r="G565" t="s">
        <v>47</v>
      </c>
      <c r="H565">
        <v>0</v>
      </c>
      <c r="I565" s="60" t="s">
        <v>11552</v>
      </c>
      <c r="J565" s="33" t="s">
        <v>45</v>
      </c>
      <c r="K565" s="46">
        <v>0</v>
      </c>
      <c r="L565">
        <v>34.700000000000003</v>
      </c>
      <c r="M565" t="s">
        <v>48</v>
      </c>
      <c r="N565" s="46">
        <v>1</v>
      </c>
      <c r="O565" s="46">
        <v>0</v>
      </c>
      <c r="P565" s="46">
        <v>0</v>
      </c>
      <c r="Q565" t="s">
        <v>48</v>
      </c>
      <c r="R565" t="s">
        <v>48</v>
      </c>
      <c r="S565" t="s">
        <v>11452</v>
      </c>
      <c r="T565" t="s">
        <v>48</v>
      </c>
      <c r="U565" t="s">
        <v>10565</v>
      </c>
      <c r="V565" s="47">
        <v>0</v>
      </c>
      <c r="W565" t="s">
        <v>48</v>
      </c>
      <c r="X565" t="s">
        <v>48</v>
      </c>
      <c r="Y565" t="s">
        <v>48</v>
      </c>
      <c r="Z565">
        <v>0</v>
      </c>
      <c r="AA565" t="s">
        <v>48</v>
      </c>
      <c r="AB565" t="s">
        <v>48</v>
      </c>
      <c r="AC565" t="s">
        <v>49</v>
      </c>
      <c r="AD565" t="s">
        <v>93</v>
      </c>
      <c r="AE565" t="s">
        <v>4532</v>
      </c>
      <c r="AF565" t="s">
        <v>48</v>
      </c>
      <c r="AG565" t="s">
        <v>48</v>
      </c>
      <c r="AH565" t="s">
        <v>48</v>
      </c>
      <c r="AI565" t="s">
        <v>48</v>
      </c>
      <c r="AJ565" t="s">
        <v>48</v>
      </c>
      <c r="AK565" t="s">
        <v>48</v>
      </c>
      <c r="AL565" t="s">
        <v>48</v>
      </c>
      <c r="AM565" t="s">
        <v>48</v>
      </c>
      <c r="AN565" t="s">
        <v>48</v>
      </c>
      <c r="AO565" t="s">
        <v>48</v>
      </c>
      <c r="AP565" s="46">
        <v>0</v>
      </c>
      <c r="AQ565" s="46">
        <v>0</v>
      </c>
      <c r="AR565" s="46">
        <v>0</v>
      </c>
      <c r="AS565" s="46">
        <v>0</v>
      </c>
      <c r="AT565" s="46">
        <v>0</v>
      </c>
      <c r="AU565" s="46">
        <v>0</v>
      </c>
      <c r="AV565" s="46">
        <v>0</v>
      </c>
      <c r="AW565" s="46">
        <v>0</v>
      </c>
      <c r="AX565" s="46">
        <v>0</v>
      </c>
      <c r="AY565" s="46">
        <v>0</v>
      </c>
      <c r="AZ565" s="46">
        <v>0</v>
      </c>
      <c r="BA565" s="46">
        <v>0</v>
      </c>
      <c r="BB565" s="46">
        <v>0</v>
      </c>
      <c r="BC565" s="46">
        <v>0</v>
      </c>
      <c r="BD565" s="46">
        <v>0</v>
      </c>
      <c r="BE565" s="46">
        <v>0</v>
      </c>
      <c r="BF565" s="46">
        <v>0</v>
      </c>
      <c r="BG565" s="46">
        <v>1</v>
      </c>
      <c r="BH565" s="46">
        <v>0</v>
      </c>
      <c r="BI565" s="46">
        <v>0</v>
      </c>
      <c r="BJ565" s="46">
        <v>0</v>
      </c>
      <c r="BK565" s="46">
        <v>0</v>
      </c>
      <c r="BL565" s="46">
        <v>0</v>
      </c>
      <c r="BM565" s="46">
        <v>0</v>
      </c>
      <c r="BN565" s="46">
        <v>0</v>
      </c>
    </row>
    <row r="566" spans="1:66" x14ac:dyDescent="0.35">
      <c r="A566" t="s">
        <v>2111</v>
      </c>
      <c r="B566" s="44" t="s">
        <v>48</v>
      </c>
      <c r="C566" t="s">
        <v>11817</v>
      </c>
      <c r="D566" t="s">
        <v>11818</v>
      </c>
      <c r="E566" t="s">
        <v>10561</v>
      </c>
      <c r="F566" t="s">
        <v>2121</v>
      </c>
      <c r="G566" t="s">
        <v>74</v>
      </c>
      <c r="H566">
        <v>0</v>
      </c>
      <c r="I566" s="60" t="s">
        <v>11552</v>
      </c>
      <c r="J566" s="33" t="s">
        <v>45</v>
      </c>
      <c r="K566" s="46">
        <v>0</v>
      </c>
      <c r="L566">
        <v>100</v>
      </c>
      <c r="M566" t="s">
        <v>48</v>
      </c>
      <c r="N566" s="46">
        <v>1</v>
      </c>
      <c r="O566" s="46">
        <v>0</v>
      </c>
      <c r="P566" s="46">
        <v>0</v>
      </c>
      <c r="Q566" t="s">
        <v>48</v>
      </c>
      <c r="R566" t="s">
        <v>48</v>
      </c>
      <c r="S566" t="s">
        <v>11451</v>
      </c>
      <c r="T566" t="s">
        <v>10563</v>
      </c>
      <c r="U566" t="s">
        <v>10562</v>
      </c>
      <c r="V566" s="47">
        <v>0</v>
      </c>
      <c r="W566" t="s">
        <v>48</v>
      </c>
      <c r="X566" t="s">
        <v>48</v>
      </c>
      <c r="Y566" t="s">
        <v>48</v>
      </c>
      <c r="Z566">
        <v>0</v>
      </c>
      <c r="AA566" t="s">
        <v>48</v>
      </c>
      <c r="AB566" t="s">
        <v>48</v>
      </c>
      <c r="AC566" t="s">
        <v>63</v>
      </c>
      <c r="AD566" t="s">
        <v>93</v>
      </c>
      <c r="AE566" t="s">
        <v>4532</v>
      </c>
      <c r="AF566" t="s">
        <v>48</v>
      </c>
      <c r="AG566" t="s">
        <v>48</v>
      </c>
      <c r="AH566" t="s">
        <v>48</v>
      </c>
      <c r="AI566" t="s">
        <v>48</v>
      </c>
      <c r="AJ566" t="s">
        <v>48</v>
      </c>
      <c r="AK566" t="s">
        <v>48</v>
      </c>
      <c r="AL566" t="s">
        <v>48</v>
      </c>
      <c r="AM566" t="s">
        <v>48</v>
      </c>
      <c r="AN566" t="s">
        <v>48</v>
      </c>
      <c r="AO566" t="s">
        <v>48</v>
      </c>
      <c r="AP566" s="46">
        <v>0</v>
      </c>
      <c r="AQ566" s="46">
        <v>0</v>
      </c>
      <c r="AR566" s="46">
        <v>0</v>
      </c>
      <c r="AS566" s="46">
        <v>0</v>
      </c>
      <c r="AT566" s="46">
        <v>0</v>
      </c>
      <c r="AU566" s="46">
        <v>0</v>
      </c>
      <c r="AV566" s="46">
        <v>0</v>
      </c>
      <c r="AW566" s="46">
        <v>0</v>
      </c>
      <c r="AX566" s="46">
        <v>0</v>
      </c>
      <c r="AY566" s="46">
        <v>0</v>
      </c>
      <c r="AZ566" s="46">
        <v>0</v>
      </c>
      <c r="BA566" s="46">
        <v>0</v>
      </c>
      <c r="BB566" s="46">
        <v>0</v>
      </c>
      <c r="BC566" s="46">
        <v>0</v>
      </c>
      <c r="BD566" s="46">
        <v>0</v>
      </c>
      <c r="BE566" s="46">
        <v>0</v>
      </c>
      <c r="BF566" s="46">
        <v>0</v>
      </c>
      <c r="BG566" s="46" t="s">
        <v>48</v>
      </c>
      <c r="BH566" s="46">
        <v>0</v>
      </c>
      <c r="BI566" s="46">
        <v>0</v>
      </c>
      <c r="BJ566" s="46">
        <v>0</v>
      </c>
      <c r="BK566" s="46">
        <v>0</v>
      </c>
      <c r="BL566" s="46">
        <v>0</v>
      </c>
      <c r="BM566" s="46">
        <v>0</v>
      </c>
      <c r="BN566" s="46">
        <v>0</v>
      </c>
    </row>
    <row r="567" spans="1:66" x14ac:dyDescent="0.35">
      <c r="A567" t="s">
        <v>10574</v>
      </c>
      <c r="B567" s="44" t="s">
        <v>48</v>
      </c>
      <c r="C567" t="s">
        <v>11827</v>
      </c>
      <c r="D567" t="s">
        <v>877</v>
      </c>
      <c r="E567" t="s">
        <v>10575</v>
      </c>
      <c r="F567" t="s">
        <v>2130</v>
      </c>
      <c r="G567" t="s">
        <v>74</v>
      </c>
      <c r="H567">
        <v>0</v>
      </c>
      <c r="I567" s="60" t="s">
        <v>11552</v>
      </c>
      <c r="J567" s="33" t="s">
        <v>45</v>
      </c>
      <c r="K567" s="46">
        <v>0</v>
      </c>
      <c r="L567">
        <v>61.1</v>
      </c>
      <c r="M567" t="s">
        <v>48</v>
      </c>
      <c r="N567" s="46">
        <v>1</v>
      </c>
      <c r="O567" s="46">
        <v>0</v>
      </c>
      <c r="P567" s="46">
        <v>0</v>
      </c>
      <c r="Q567" t="s">
        <v>48</v>
      </c>
      <c r="R567" t="s">
        <v>48</v>
      </c>
      <c r="S567" t="s">
        <v>11458</v>
      </c>
      <c r="T567" t="s">
        <v>48</v>
      </c>
      <c r="U567" t="s">
        <v>10576</v>
      </c>
      <c r="V567" s="47">
        <v>0</v>
      </c>
      <c r="W567" t="s">
        <v>48</v>
      </c>
      <c r="X567" t="s">
        <v>48</v>
      </c>
      <c r="Y567" t="s">
        <v>48</v>
      </c>
      <c r="Z567">
        <v>0</v>
      </c>
      <c r="AA567" t="s">
        <v>48</v>
      </c>
      <c r="AB567" t="s">
        <v>48</v>
      </c>
      <c r="AC567" t="s">
        <v>49</v>
      </c>
      <c r="AD567" t="s">
        <v>93</v>
      </c>
      <c r="AE567" t="s">
        <v>4532</v>
      </c>
      <c r="AF567" t="s">
        <v>48</v>
      </c>
      <c r="AG567" t="s">
        <v>48</v>
      </c>
      <c r="AH567" t="s">
        <v>48</v>
      </c>
      <c r="AI567" t="s">
        <v>48</v>
      </c>
      <c r="AJ567" t="s">
        <v>48</v>
      </c>
      <c r="AK567" t="s">
        <v>48</v>
      </c>
      <c r="AL567" t="s">
        <v>48</v>
      </c>
      <c r="AM567" t="s">
        <v>48</v>
      </c>
      <c r="AN567" t="s">
        <v>48</v>
      </c>
      <c r="AO567" t="s">
        <v>48</v>
      </c>
      <c r="AP567" s="46">
        <v>0</v>
      </c>
      <c r="AQ567" s="46">
        <v>0</v>
      </c>
      <c r="AR567" s="46">
        <v>0</v>
      </c>
      <c r="AS567" s="46">
        <v>0</v>
      </c>
      <c r="AT567" s="46">
        <v>0</v>
      </c>
      <c r="AU567" s="46">
        <v>0</v>
      </c>
      <c r="AV567" s="46">
        <v>0</v>
      </c>
      <c r="AW567" s="46">
        <v>0</v>
      </c>
      <c r="AX567" s="46">
        <v>0</v>
      </c>
      <c r="AY567" s="46">
        <v>0</v>
      </c>
      <c r="AZ567" s="46">
        <v>0</v>
      </c>
      <c r="BA567" s="46">
        <v>0</v>
      </c>
      <c r="BB567" s="46">
        <v>0</v>
      </c>
      <c r="BC567" s="46">
        <v>0</v>
      </c>
      <c r="BD567" s="46">
        <v>0</v>
      </c>
      <c r="BE567" s="46">
        <v>0</v>
      </c>
      <c r="BF567" s="46">
        <v>0</v>
      </c>
      <c r="BG567" s="46" t="s">
        <v>48</v>
      </c>
      <c r="BH567" s="46">
        <v>0</v>
      </c>
      <c r="BI567" s="46">
        <v>0</v>
      </c>
      <c r="BJ567" s="46">
        <v>0</v>
      </c>
      <c r="BK567" s="46">
        <v>0</v>
      </c>
      <c r="BL567" s="46">
        <v>0</v>
      </c>
      <c r="BM567" s="46">
        <v>0</v>
      </c>
      <c r="BN567" s="46">
        <v>0</v>
      </c>
    </row>
    <row r="568" spans="1:66" x14ac:dyDescent="0.35">
      <c r="A568" t="s">
        <v>10591</v>
      </c>
      <c r="B568" s="44" t="s">
        <v>48</v>
      </c>
      <c r="C568" t="s">
        <v>4395</v>
      </c>
      <c r="D568" t="s">
        <v>1402</v>
      </c>
      <c r="E568" t="s">
        <v>10592</v>
      </c>
      <c r="F568" t="s">
        <v>2130</v>
      </c>
      <c r="G568" t="s">
        <v>47</v>
      </c>
      <c r="H568">
        <v>0</v>
      </c>
      <c r="I568" s="60" t="s">
        <v>11552</v>
      </c>
      <c r="J568" s="33" t="s">
        <v>45</v>
      </c>
      <c r="K568" s="46">
        <v>0</v>
      </c>
      <c r="L568">
        <v>37.6</v>
      </c>
      <c r="M568" t="s">
        <v>48</v>
      </c>
      <c r="N568" s="46">
        <v>1</v>
      </c>
      <c r="O568" s="46">
        <v>0</v>
      </c>
      <c r="P568" s="46">
        <v>0</v>
      </c>
      <c r="Q568" t="s">
        <v>48</v>
      </c>
      <c r="R568" t="s">
        <v>48</v>
      </c>
      <c r="S568" t="s">
        <v>11464</v>
      </c>
      <c r="T568" t="s">
        <v>48</v>
      </c>
      <c r="U568" t="s">
        <v>10593</v>
      </c>
      <c r="V568" s="47">
        <v>0</v>
      </c>
      <c r="W568" t="s">
        <v>48</v>
      </c>
      <c r="X568" t="s">
        <v>48</v>
      </c>
      <c r="Y568" t="s">
        <v>48</v>
      </c>
      <c r="Z568">
        <v>0</v>
      </c>
      <c r="AA568" t="s">
        <v>48</v>
      </c>
      <c r="AB568" t="s">
        <v>48</v>
      </c>
      <c r="AC568" t="s">
        <v>49</v>
      </c>
      <c r="AD568" t="s">
        <v>93</v>
      </c>
      <c r="AE568" t="s">
        <v>4532</v>
      </c>
      <c r="AF568" t="s">
        <v>48</v>
      </c>
      <c r="AG568" t="s">
        <v>48</v>
      </c>
      <c r="AH568" t="s">
        <v>48</v>
      </c>
      <c r="AI568" t="s">
        <v>48</v>
      </c>
      <c r="AJ568" t="s">
        <v>48</v>
      </c>
      <c r="AK568" t="s">
        <v>48</v>
      </c>
      <c r="AL568" t="s">
        <v>48</v>
      </c>
      <c r="AM568" t="s">
        <v>48</v>
      </c>
      <c r="AN568" t="s">
        <v>48</v>
      </c>
      <c r="AO568" t="s">
        <v>48</v>
      </c>
      <c r="AP568" s="46">
        <v>0</v>
      </c>
      <c r="AQ568" s="46">
        <v>0</v>
      </c>
      <c r="AR568" s="46">
        <v>0</v>
      </c>
      <c r="AS568" s="46">
        <v>0</v>
      </c>
      <c r="AT568" s="46">
        <v>0</v>
      </c>
      <c r="AU568" s="46">
        <v>0</v>
      </c>
      <c r="AV568" s="46">
        <v>0</v>
      </c>
      <c r="AW568" s="46">
        <v>0</v>
      </c>
      <c r="AX568" s="46">
        <v>0</v>
      </c>
      <c r="AY568" s="46">
        <v>0</v>
      </c>
      <c r="AZ568" s="46">
        <v>0</v>
      </c>
      <c r="BA568" s="46">
        <v>0</v>
      </c>
      <c r="BB568" s="46">
        <v>0</v>
      </c>
      <c r="BC568" s="46">
        <v>0</v>
      </c>
      <c r="BD568" s="46">
        <v>0</v>
      </c>
      <c r="BE568" s="46">
        <v>0</v>
      </c>
      <c r="BF568" s="46">
        <v>0</v>
      </c>
      <c r="BG568" s="46" t="s">
        <v>48</v>
      </c>
      <c r="BH568" s="46">
        <v>0</v>
      </c>
      <c r="BI568" s="46">
        <v>0</v>
      </c>
      <c r="BJ568" s="46">
        <v>0</v>
      </c>
      <c r="BK568" s="46">
        <v>0</v>
      </c>
      <c r="BL568" s="46">
        <v>0</v>
      </c>
      <c r="BM568" s="46">
        <v>0</v>
      </c>
      <c r="BN568" s="46">
        <v>0</v>
      </c>
    </row>
    <row r="569" spans="1:66" x14ac:dyDescent="0.35">
      <c r="A569" t="s">
        <v>2142</v>
      </c>
      <c r="B569" s="44" t="s">
        <v>48</v>
      </c>
      <c r="C569" t="s">
        <v>1201</v>
      </c>
      <c r="D569" t="s">
        <v>2146</v>
      </c>
      <c r="E569" t="s">
        <v>2143</v>
      </c>
      <c r="F569" t="s">
        <v>2137</v>
      </c>
      <c r="G569" t="s">
        <v>74</v>
      </c>
      <c r="H569">
        <v>0</v>
      </c>
      <c r="I569" s="60" t="s">
        <v>51</v>
      </c>
      <c r="J569" s="33" t="s">
        <v>45</v>
      </c>
      <c r="K569" s="46">
        <v>1</v>
      </c>
      <c r="L569">
        <v>89.3</v>
      </c>
      <c r="M569" t="s">
        <v>48</v>
      </c>
      <c r="N569" s="46">
        <v>1</v>
      </c>
      <c r="O569" s="46">
        <v>0</v>
      </c>
      <c r="P569" s="46">
        <v>0</v>
      </c>
      <c r="Q569" t="s">
        <v>48</v>
      </c>
      <c r="R569" t="s">
        <v>48</v>
      </c>
      <c r="S569" t="s">
        <v>2144</v>
      </c>
      <c r="T569" t="s">
        <v>2145</v>
      </c>
      <c r="U569" t="s">
        <v>2144</v>
      </c>
      <c r="V569" s="47">
        <v>0</v>
      </c>
      <c r="W569" t="s">
        <v>48</v>
      </c>
      <c r="X569" t="s">
        <v>48</v>
      </c>
      <c r="Y569" t="s">
        <v>48</v>
      </c>
      <c r="Z569">
        <v>0</v>
      </c>
      <c r="AA569" t="s">
        <v>48</v>
      </c>
      <c r="AB569">
        <v>2010</v>
      </c>
      <c r="AC569" t="s">
        <v>63</v>
      </c>
      <c r="AD569" t="s">
        <v>93</v>
      </c>
      <c r="AE569" s="40" t="s">
        <v>2471</v>
      </c>
      <c r="AF569" t="s">
        <v>11061</v>
      </c>
      <c r="AG569" t="s">
        <v>119</v>
      </c>
      <c r="AH569" t="s">
        <v>93</v>
      </c>
      <c r="AI569">
        <v>21118</v>
      </c>
      <c r="AJ569">
        <v>1942</v>
      </c>
      <c r="AK569" t="s">
        <v>8836</v>
      </c>
      <c r="AL569" t="s">
        <v>8837</v>
      </c>
      <c r="AM569">
        <v>-0.47899999999999998</v>
      </c>
      <c r="AN569">
        <v>-1.7999999999999999E-2</v>
      </c>
      <c r="AO569">
        <v>-0.47899999999999998</v>
      </c>
      <c r="AP569" s="46">
        <v>0</v>
      </c>
      <c r="AQ569" s="46">
        <v>0</v>
      </c>
      <c r="AR569" s="46">
        <v>0</v>
      </c>
      <c r="AS569" s="46">
        <v>0</v>
      </c>
      <c r="AT569" s="46">
        <v>1</v>
      </c>
      <c r="AU569" s="46">
        <v>0</v>
      </c>
      <c r="AV569" s="46">
        <v>0</v>
      </c>
      <c r="AW569" s="46">
        <v>0</v>
      </c>
      <c r="AX569" s="46">
        <v>0</v>
      </c>
      <c r="AY569" s="46">
        <v>0</v>
      </c>
      <c r="AZ569" s="46">
        <v>0</v>
      </c>
      <c r="BA569" s="46">
        <v>0</v>
      </c>
      <c r="BB569" s="46">
        <v>0</v>
      </c>
      <c r="BC569" s="46">
        <v>0</v>
      </c>
      <c r="BD569" s="46">
        <v>0</v>
      </c>
      <c r="BE569" s="46">
        <v>0</v>
      </c>
      <c r="BF569" s="46">
        <v>0</v>
      </c>
      <c r="BG569" s="46" t="s">
        <v>48</v>
      </c>
      <c r="BH569" s="46">
        <v>0</v>
      </c>
      <c r="BI569" s="46">
        <v>0</v>
      </c>
      <c r="BJ569" s="46">
        <v>0</v>
      </c>
      <c r="BK569" s="46">
        <v>1</v>
      </c>
      <c r="BL569" s="46">
        <v>0</v>
      </c>
      <c r="BM569" s="46">
        <v>0</v>
      </c>
      <c r="BN569" s="46">
        <v>0</v>
      </c>
    </row>
    <row r="570" spans="1:66" x14ac:dyDescent="0.35">
      <c r="A570" t="s">
        <v>10608</v>
      </c>
      <c r="B570" s="44" t="s">
        <v>48</v>
      </c>
      <c r="C570" t="s">
        <v>1408</v>
      </c>
      <c r="D570" t="s">
        <v>11835</v>
      </c>
      <c r="E570" t="s">
        <v>10609</v>
      </c>
      <c r="F570" t="s">
        <v>2137</v>
      </c>
      <c r="G570" t="s">
        <v>47</v>
      </c>
      <c r="H570">
        <v>0</v>
      </c>
      <c r="I570" s="60" t="s">
        <v>11552</v>
      </c>
      <c r="J570" s="33" t="s">
        <v>45</v>
      </c>
      <c r="K570" s="46">
        <v>0</v>
      </c>
      <c r="L570">
        <v>64.5</v>
      </c>
      <c r="M570" t="s">
        <v>48</v>
      </c>
      <c r="N570" s="46">
        <v>1</v>
      </c>
      <c r="O570" s="46">
        <v>0</v>
      </c>
      <c r="P570" s="46">
        <v>0</v>
      </c>
      <c r="Q570" t="s">
        <v>48</v>
      </c>
      <c r="R570" t="s">
        <v>48</v>
      </c>
      <c r="S570" t="s">
        <v>11466</v>
      </c>
      <c r="T570" t="s">
        <v>48</v>
      </c>
      <c r="U570" t="s">
        <v>10610</v>
      </c>
      <c r="V570" s="47">
        <v>0</v>
      </c>
      <c r="W570" t="s">
        <v>48</v>
      </c>
      <c r="X570" t="s">
        <v>48</v>
      </c>
      <c r="Y570" t="s">
        <v>48</v>
      </c>
      <c r="Z570">
        <v>0</v>
      </c>
      <c r="AA570" t="s">
        <v>48</v>
      </c>
      <c r="AB570" t="s">
        <v>48</v>
      </c>
      <c r="AC570" t="s">
        <v>49</v>
      </c>
      <c r="AD570" t="s">
        <v>93</v>
      </c>
      <c r="AE570" t="s">
        <v>4532</v>
      </c>
      <c r="AF570" t="s">
        <v>48</v>
      </c>
      <c r="AG570" t="s">
        <v>48</v>
      </c>
      <c r="AH570" t="s">
        <v>48</v>
      </c>
      <c r="AI570" t="s">
        <v>48</v>
      </c>
      <c r="AJ570" t="s">
        <v>48</v>
      </c>
      <c r="AK570" t="s">
        <v>48</v>
      </c>
      <c r="AL570" t="s">
        <v>48</v>
      </c>
      <c r="AM570" t="s">
        <v>48</v>
      </c>
      <c r="AN570" t="s">
        <v>48</v>
      </c>
      <c r="AO570" t="s">
        <v>48</v>
      </c>
      <c r="AP570" s="46">
        <v>0</v>
      </c>
      <c r="AQ570" s="46">
        <v>0</v>
      </c>
      <c r="AR570" s="46">
        <v>0</v>
      </c>
      <c r="AS570" s="46">
        <v>0</v>
      </c>
      <c r="AT570" s="46">
        <v>0</v>
      </c>
      <c r="AU570" s="46">
        <v>0</v>
      </c>
      <c r="AV570" s="46">
        <v>0</v>
      </c>
      <c r="AW570" s="46">
        <v>0</v>
      </c>
      <c r="AX570" s="46">
        <v>0</v>
      </c>
      <c r="AY570" s="46">
        <v>0</v>
      </c>
      <c r="AZ570" s="46">
        <v>0</v>
      </c>
      <c r="BA570" s="46">
        <v>0</v>
      </c>
      <c r="BB570" s="46">
        <v>0</v>
      </c>
      <c r="BC570" s="46">
        <v>0</v>
      </c>
      <c r="BD570" s="46">
        <v>0</v>
      </c>
      <c r="BE570" s="46">
        <v>0</v>
      </c>
      <c r="BF570" s="46">
        <v>0</v>
      </c>
      <c r="BG570" s="46">
        <v>1</v>
      </c>
      <c r="BH570" s="46">
        <v>0</v>
      </c>
      <c r="BI570" s="46">
        <v>0</v>
      </c>
      <c r="BJ570" s="46">
        <v>0</v>
      </c>
      <c r="BK570" s="46">
        <v>0</v>
      </c>
      <c r="BL570" s="46">
        <v>0</v>
      </c>
      <c r="BM570" s="46">
        <v>0</v>
      </c>
      <c r="BN570" s="46">
        <v>0</v>
      </c>
    </row>
    <row r="571" spans="1:66" x14ac:dyDescent="0.35">
      <c r="A571" t="s">
        <v>2131</v>
      </c>
      <c r="B571" s="44" t="s">
        <v>48</v>
      </c>
      <c r="C571" t="s">
        <v>11839</v>
      </c>
      <c r="D571" t="s">
        <v>2132</v>
      </c>
      <c r="E571" t="s">
        <v>10618</v>
      </c>
      <c r="F571" t="s">
        <v>2148</v>
      </c>
      <c r="G571" t="s">
        <v>47</v>
      </c>
      <c r="H571">
        <v>0</v>
      </c>
      <c r="I571" s="60" t="s">
        <v>11552</v>
      </c>
      <c r="J571" s="33" t="s">
        <v>45</v>
      </c>
      <c r="K571" s="46">
        <v>0</v>
      </c>
      <c r="L571">
        <v>71.599999999999994</v>
      </c>
      <c r="M571" t="s">
        <v>48</v>
      </c>
      <c r="N571" s="46">
        <v>1</v>
      </c>
      <c r="O571" s="46">
        <v>0</v>
      </c>
      <c r="P571" s="46">
        <v>0</v>
      </c>
      <c r="Q571" t="s">
        <v>48</v>
      </c>
      <c r="R571" t="s">
        <v>48</v>
      </c>
      <c r="S571" t="s">
        <v>11469</v>
      </c>
      <c r="T571" t="s">
        <v>48</v>
      </c>
      <c r="U571" t="s">
        <v>10619</v>
      </c>
      <c r="V571" s="47">
        <v>0</v>
      </c>
      <c r="W571" t="s">
        <v>48</v>
      </c>
      <c r="X571" t="s">
        <v>48</v>
      </c>
      <c r="Y571" t="s">
        <v>48</v>
      </c>
      <c r="Z571">
        <v>0</v>
      </c>
      <c r="AA571" t="s">
        <v>48</v>
      </c>
      <c r="AB571" t="s">
        <v>48</v>
      </c>
      <c r="AC571" t="s">
        <v>63</v>
      </c>
      <c r="AD571" t="s">
        <v>93</v>
      </c>
      <c r="AE571" t="s">
        <v>2471</v>
      </c>
      <c r="AF571" t="s">
        <v>48</v>
      </c>
      <c r="AG571" t="s">
        <v>48</v>
      </c>
      <c r="AH571" t="s">
        <v>48</v>
      </c>
      <c r="AI571" t="s">
        <v>48</v>
      </c>
      <c r="AJ571" t="s">
        <v>48</v>
      </c>
      <c r="AK571" t="s">
        <v>48</v>
      </c>
      <c r="AL571" t="s">
        <v>48</v>
      </c>
      <c r="AM571" t="s">
        <v>48</v>
      </c>
      <c r="AN571" t="s">
        <v>48</v>
      </c>
      <c r="AO571" t="s">
        <v>48</v>
      </c>
      <c r="AP571" s="46">
        <v>0</v>
      </c>
      <c r="AQ571" s="46">
        <v>0</v>
      </c>
      <c r="AR571" s="46">
        <v>0</v>
      </c>
      <c r="AS571" s="46">
        <v>0</v>
      </c>
      <c r="AT571" s="46">
        <v>0</v>
      </c>
      <c r="AU571" s="46">
        <v>0</v>
      </c>
      <c r="AV571" s="46">
        <v>0</v>
      </c>
      <c r="AW571" s="46">
        <v>0</v>
      </c>
      <c r="AX571" s="46">
        <v>0</v>
      </c>
      <c r="AY571" s="46">
        <v>0</v>
      </c>
      <c r="AZ571" s="46">
        <v>0</v>
      </c>
      <c r="BA571" s="46">
        <v>0</v>
      </c>
      <c r="BB571" s="46">
        <v>0</v>
      </c>
      <c r="BC571" s="46">
        <v>0</v>
      </c>
      <c r="BD571" s="46">
        <v>0</v>
      </c>
      <c r="BE571" s="46">
        <v>0</v>
      </c>
      <c r="BF571" s="46">
        <v>0</v>
      </c>
      <c r="BG571" s="46">
        <v>1</v>
      </c>
      <c r="BH571" s="46">
        <v>0</v>
      </c>
      <c r="BI571" s="46">
        <v>0</v>
      </c>
      <c r="BJ571" s="46">
        <v>0</v>
      </c>
      <c r="BK571" s="46">
        <v>0</v>
      </c>
      <c r="BL571" s="46">
        <v>0</v>
      </c>
      <c r="BM571" s="46">
        <v>0</v>
      </c>
      <c r="BN571" s="46">
        <v>0</v>
      </c>
    </row>
    <row r="572" spans="1:66" x14ac:dyDescent="0.35">
      <c r="A572" t="s">
        <v>2133</v>
      </c>
      <c r="B572" s="44" t="s">
        <v>48</v>
      </c>
      <c r="C572" t="s">
        <v>11840</v>
      </c>
      <c r="D572" t="s">
        <v>795</v>
      </c>
      <c r="E572" t="s">
        <v>10614</v>
      </c>
      <c r="F572" t="s">
        <v>2148</v>
      </c>
      <c r="G572" t="s">
        <v>74</v>
      </c>
      <c r="H572">
        <v>0</v>
      </c>
      <c r="I572" s="61">
        <v>44799</v>
      </c>
      <c r="J572" s="33" t="s">
        <v>45</v>
      </c>
      <c r="K572" s="46">
        <v>0</v>
      </c>
      <c r="L572">
        <v>89</v>
      </c>
      <c r="M572" t="s">
        <v>48</v>
      </c>
      <c r="N572" s="46">
        <v>1</v>
      </c>
      <c r="O572" s="46">
        <v>0</v>
      </c>
      <c r="P572" s="46">
        <v>0</v>
      </c>
      <c r="Q572" t="s">
        <v>48</v>
      </c>
      <c r="R572" t="s">
        <v>48</v>
      </c>
      <c r="S572" t="s">
        <v>2134</v>
      </c>
      <c r="T572" t="s">
        <v>2135</v>
      </c>
      <c r="U572" t="s">
        <v>2134</v>
      </c>
      <c r="V572" s="47">
        <v>0</v>
      </c>
      <c r="W572" t="s">
        <v>48</v>
      </c>
      <c r="X572" t="s">
        <v>48</v>
      </c>
      <c r="Y572" t="s">
        <v>48</v>
      </c>
      <c r="Z572">
        <v>0</v>
      </c>
      <c r="AA572" t="s">
        <v>48</v>
      </c>
      <c r="AB572" t="s">
        <v>48</v>
      </c>
      <c r="AC572" t="s">
        <v>63</v>
      </c>
      <c r="AD572" t="s">
        <v>93</v>
      </c>
      <c r="AE572" t="s">
        <v>4532</v>
      </c>
      <c r="AF572" t="s">
        <v>48</v>
      </c>
      <c r="AG572" t="s">
        <v>48</v>
      </c>
      <c r="AH572" t="s">
        <v>48</v>
      </c>
      <c r="AI572" t="s">
        <v>48</v>
      </c>
      <c r="AJ572" t="s">
        <v>48</v>
      </c>
      <c r="AK572" t="s">
        <v>48</v>
      </c>
      <c r="AL572" t="s">
        <v>48</v>
      </c>
      <c r="AM572" t="s">
        <v>48</v>
      </c>
      <c r="AN572" t="s">
        <v>48</v>
      </c>
      <c r="AO572" t="s">
        <v>48</v>
      </c>
      <c r="AP572" s="46">
        <v>0</v>
      </c>
      <c r="AQ572" s="46">
        <v>0</v>
      </c>
      <c r="AR572" s="46">
        <v>0</v>
      </c>
      <c r="AS572" s="46">
        <v>0</v>
      </c>
      <c r="AT572" s="46">
        <v>0</v>
      </c>
      <c r="AU572" s="46">
        <v>0</v>
      </c>
      <c r="AV572" s="46">
        <v>0</v>
      </c>
      <c r="AW572" s="46">
        <v>0</v>
      </c>
      <c r="AX572" s="46">
        <v>0</v>
      </c>
      <c r="AY572" s="46">
        <v>0</v>
      </c>
      <c r="AZ572" s="46">
        <v>0</v>
      </c>
      <c r="BA572" s="46">
        <v>0</v>
      </c>
      <c r="BB572" s="46">
        <v>0</v>
      </c>
      <c r="BC572" s="46">
        <v>0</v>
      </c>
      <c r="BD572" s="46">
        <v>0</v>
      </c>
      <c r="BE572" s="46">
        <v>0</v>
      </c>
      <c r="BF572" s="46">
        <v>0</v>
      </c>
      <c r="BG572" s="46" t="s">
        <v>48</v>
      </c>
      <c r="BH572" s="46">
        <v>0</v>
      </c>
      <c r="BI572" s="46">
        <v>0</v>
      </c>
      <c r="BJ572" s="46">
        <v>0</v>
      </c>
      <c r="BK572" s="46">
        <v>0</v>
      </c>
      <c r="BL572" s="46">
        <v>0</v>
      </c>
      <c r="BM572" s="46">
        <v>0</v>
      </c>
      <c r="BN572" s="46">
        <v>0</v>
      </c>
    </row>
    <row r="573" spans="1:66" x14ac:dyDescent="0.35">
      <c r="A573" t="s">
        <v>2141</v>
      </c>
      <c r="B573" s="44" t="s">
        <v>48</v>
      </c>
      <c r="C573" t="s">
        <v>11844</v>
      </c>
      <c r="D573" t="s">
        <v>2041</v>
      </c>
      <c r="E573" t="s">
        <v>10622</v>
      </c>
      <c r="F573" t="s">
        <v>2156</v>
      </c>
      <c r="G573" t="s">
        <v>74</v>
      </c>
      <c r="H573">
        <v>0</v>
      </c>
      <c r="I573" s="61" t="s">
        <v>11160</v>
      </c>
      <c r="J573" s="33" t="s">
        <v>45</v>
      </c>
      <c r="K573" s="46">
        <v>0</v>
      </c>
      <c r="L573">
        <v>100</v>
      </c>
      <c r="M573" t="s">
        <v>48</v>
      </c>
      <c r="N573" s="46">
        <v>1</v>
      </c>
      <c r="O573" s="46">
        <v>0</v>
      </c>
      <c r="P573" s="46">
        <v>0</v>
      </c>
      <c r="Q573" t="s">
        <v>48</v>
      </c>
      <c r="R573" t="s">
        <v>48</v>
      </c>
      <c r="S573" t="s">
        <v>11333</v>
      </c>
      <c r="T573" t="s">
        <v>48</v>
      </c>
      <c r="U573" t="s">
        <v>10623</v>
      </c>
      <c r="V573" s="47">
        <v>0</v>
      </c>
      <c r="W573" t="s">
        <v>48</v>
      </c>
      <c r="X573" t="s">
        <v>48</v>
      </c>
      <c r="Y573" t="s">
        <v>48</v>
      </c>
      <c r="Z573">
        <v>0</v>
      </c>
      <c r="AA573" t="s">
        <v>48</v>
      </c>
      <c r="AB573" t="s">
        <v>48</v>
      </c>
      <c r="AC573" t="s">
        <v>63</v>
      </c>
      <c r="AD573" t="s">
        <v>951</v>
      </c>
      <c r="AE573" t="s">
        <v>2471</v>
      </c>
      <c r="AF573" t="s">
        <v>11145</v>
      </c>
      <c r="AG573" t="s">
        <v>48</v>
      </c>
      <c r="AH573" t="s">
        <v>48</v>
      </c>
      <c r="AI573" t="s">
        <v>48</v>
      </c>
      <c r="AJ573" t="s">
        <v>48</v>
      </c>
      <c r="AK573" t="s">
        <v>48</v>
      </c>
      <c r="AL573" t="s">
        <v>48</v>
      </c>
      <c r="AM573" t="s">
        <v>48</v>
      </c>
      <c r="AN573" t="s">
        <v>48</v>
      </c>
      <c r="AO573" t="s">
        <v>48</v>
      </c>
      <c r="AP573" s="46">
        <v>0</v>
      </c>
      <c r="AQ573" s="46">
        <v>0</v>
      </c>
      <c r="AR573" s="46">
        <v>0</v>
      </c>
      <c r="AS573" s="46">
        <v>0</v>
      </c>
      <c r="AT573" s="46">
        <v>0</v>
      </c>
      <c r="AU573" s="46">
        <v>0</v>
      </c>
      <c r="AV573" s="46">
        <v>0</v>
      </c>
      <c r="AW573" s="46">
        <v>0</v>
      </c>
      <c r="AX573" s="46">
        <v>0</v>
      </c>
      <c r="AY573" s="46">
        <v>0</v>
      </c>
      <c r="AZ573" s="46">
        <v>0</v>
      </c>
      <c r="BA573" s="46">
        <v>0</v>
      </c>
      <c r="BB573" s="46">
        <v>0</v>
      </c>
      <c r="BC573" s="46">
        <v>0</v>
      </c>
      <c r="BD573" s="46">
        <v>0</v>
      </c>
      <c r="BE573" s="46">
        <v>0</v>
      </c>
      <c r="BF573" s="46">
        <v>0</v>
      </c>
      <c r="BG573" s="46" t="s">
        <v>48</v>
      </c>
      <c r="BH573" s="46">
        <v>0</v>
      </c>
      <c r="BI573" s="46">
        <v>0</v>
      </c>
      <c r="BJ573" s="46">
        <v>0</v>
      </c>
      <c r="BK573" s="46">
        <v>0</v>
      </c>
      <c r="BL573" s="46">
        <v>0</v>
      </c>
      <c r="BM573" s="46">
        <v>0</v>
      </c>
      <c r="BN573" s="46">
        <v>0</v>
      </c>
    </row>
    <row r="574" spans="1:66" x14ac:dyDescent="0.35">
      <c r="A574" t="s">
        <v>2151</v>
      </c>
      <c r="B574" s="44" t="s">
        <v>48</v>
      </c>
      <c r="C574" t="s">
        <v>11843</v>
      </c>
      <c r="D574" t="s">
        <v>2154</v>
      </c>
      <c r="E574" t="s">
        <v>10624</v>
      </c>
      <c r="F574" t="s">
        <v>2156</v>
      </c>
      <c r="G574" t="s">
        <v>47</v>
      </c>
      <c r="H574">
        <v>0</v>
      </c>
      <c r="I574" s="61">
        <v>44799</v>
      </c>
      <c r="J574" s="33" t="s">
        <v>45</v>
      </c>
      <c r="K574" s="46">
        <v>0</v>
      </c>
      <c r="L574">
        <v>84.3</v>
      </c>
      <c r="M574" t="s">
        <v>48</v>
      </c>
      <c r="N574" s="46">
        <v>1</v>
      </c>
      <c r="O574" s="46">
        <v>0</v>
      </c>
      <c r="P574" s="46">
        <v>0</v>
      </c>
      <c r="Q574" t="s">
        <v>48</v>
      </c>
      <c r="R574" t="s">
        <v>48</v>
      </c>
      <c r="S574" t="s">
        <v>2152</v>
      </c>
      <c r="T574" t="s">
        <v>2153</v>
      </c>
      <c r="U574" t="s">
        <v>2152</v>
      </c>
      <c r="V574" s="47">
        <v>0</v>
      </c>
      <c r="W574" t="s">
        <v>48</v>
      </c>
      <c r="X574" t="s">
        <v>48</v>
      </c>
      <c r="Y574" t="s">
        <v>48</v>
      </c>
      <c r="Z574">
        <v>0</v>
      </c>
      <c r="AA574" t="s">
        <v>48</v>
      </c>
      <c r="AB574" t="s">
        <v>48</v>
      </c>
      <c r="AC574" t="s">
        <v>49</v>
      </c>
      <c r="AD574" t="s">
        <v>951</v>
      </c>
      <c r="AE574" t="s">
        <v>11051</v>
      </c>
      <c r="AF574" t="s">
        <v>11063</v>
      </c>
      <c r="AG574" t="s">
        <v>48</v>
      </c>
      <c r="AH574" t="s">
        <v>48</v>
      </c>
      <c r="AI574" t="s">
        <v>48</v>
      </c>
      <c r="AJ574" t="s">
        <v>48</v>
      </c>
      <c r="AK574" t="s">
        <v>48</v>
      </c>
      <c r="AL574" t="s">
        <v>48</v>
      </c>
      <c r="AM574" t="s">
        <v>48</v>
      </c>
      <c r="AN574" t="s">
        <v>48</v>
      </c>
      <c r="AO574" t="s">
        <v>48</v>
      </c>
      <c r="AP574" s="46">
        <v>0</v>
      </c>
      <c r="AQ574" s="46">
        <v>0</v>
      </c>
      <c r="AR574" s="46">
        <v>0</v>
      </c>
      <c r="AS574" s="46">
        <v>0</v>
      </c>
      <c r="AT574" s="46">
        <v>0</v>
      </c>
      <c r="AU574" s="46">
        <v>0</v>
      </c>
      <c r="AV574" s="46">
        <v>0</v>
      </c>
      <c r="AW574" s="46">
        <v>0</v>
      </c>
      <c r="AX574" s="46">
        <v>0</v>
      </c>
      <c r="AY574" s="46">
        <v>0</v>
      </c>
      <c r="AZ574" s="46">
        <v>0</v>
      </c>
      <c r="BA574" s="46">
        <v>0</v>
      </c>
      <c r="BB574" s="46">
        <v>0</v>
      </c>
      <c r="BC574" s="46">
        <v>0</v>
      </c>
      <c r="BD574" s="46">
        <v>0</v>
      </c>
      <c r="BE574" s="46">
        <v>0</v>
      </c>
      <c r="BF574" s="46">
        <v>0</v>
      </c>
      <c r="BG574" s="46">
        <v>1</v>
      </c>
      <c r="BH574" s="46">
        <v>0</v>
      </c>
      <c r="BI574" s="46">
        <v>0</v>
      </c>
      <c r="BJ574" s="46">
        <v>0</v>
      </c>
      <c r="BK574" s="46">
        <v>0</v>
      </c>
      <c r="BL574" s="46">
        <v>0</v>
      </c>
      <c r="BM574" s="46">
        <v>0</v>
      </c>
      <c r="BN574" s="46">
        <v>0</v>
      </c>
    </row>
    <row r="575" spans="1:66" x14ac:dyDescent="0.35">
      <c r="A575" t="s">
        <v>10627</v>
      </c>
      <c r="B575" s="44" t="s">
        <v>48</v>
      </c>
      <c r="C575" t="s">
        <v>11845</v>
      </c>
      <c r="D575" t="s">
        <v>11846</v>
      </c>
      <c r="E575" t="s">
        <v>10628</v>
      </c>
      <c r="F575" t="s">
        <v>2162</v>
      </c>
      <c r="G575" t="s">
        <v>74</v>
      </c>
      <c r="H575">
        <v>0</v>
      </c>
      <c r="I575" s="60" t="s">
        <v>11552</v>
      </c>
      <c r="J575" s="33" t="s">
        <v>45</v>
      </c>
      <c r="K575" s="46">
        <v>0</v>
      </c>
      <c r="L575">
        <v>67.8</v>
      </c>
      <c r="M575" t="s">
        <v>48</v>
      </c>
      <c r="N575" s="46">
        <v>1</v>
      </c>
      <c r="O575" s="46">
        <v>0</v>
      </c>
      <c r="P575" s="46">
        <v>0</v>
      </c>
      <c r="Q575" t="s">
        <v>48</v>
      </c>
      <c r="R575" t="s">
        <v>48</v>
      </c>
      <c r="S575" t="s">
        <v>11471</v>
      </c>
      <c r="T575" t="s">
        <v>48</v>
      </c>
      <c r="U575" t="s">
        <v>10629</v>
      </c>
      <c r="V575" s="47">
        <v>0</v>
      </c>
      <c r="W575" t="s">
        <v>48</v>
      </c>
      <c r="X575" t="s">
        <v>48</v>
      </c>
      <c r="Y575" t="s">
        <v>48</v>
      </c>
      <c r="Z575">
        <v>0</v>
      </c>
      <c r="AA575" t="s">
        <v>48</v>
      </c>
      <c r="AB575" t="s">
        <v>48</v>
      </c>
      <c r="AC575" t="s">
        <v>63</v>
      </c>
      <c r="AD575" t="s">
        <v>951</v>
      </c>
      <c r="AE575" t="s">
        <v>11051</v>
      </c>
      <c r="AF575" t="s">
        <v>11093</v>
      </c>
      <c r="AG575" t="s">
        <v>48</v>
      </c>
      <c r="AH575" t="s">
        <v>48</v>
      </c>
      <c r="AI575" t="s">
        <v>48</v>
      </c>
      <c r="AJ575" t="s">
        <v>48</v>
      </c>
      <c r="AK575" t="s">
        <v>48</v>
      </c>
      <c r="AL575" t="s">
        <v>48</v>
      </c>
      <c r="AM575" t="s">
        <v>48</v>
      </c>
      <c r="AN575" t="s">
        <v>48</v>
      </c>
      <c r="AO575" t="s">
        <v>48</v>
      </c>
      <c r="AP575" s="46">
        <v>0</v>
      </c>
      <c r="AQ575" s="46">
        <v>0</v>
      </c>
      <c r="AR575" s="46">
        <v>0</v>
      </c>
      <c r="AS575" s="46">
        <v>0</v>
      </c>
      <c r="AT575" s="46">
        <v>0</v>
      </c>
      <c r="AU575" s="46">
        <v>0</v>
      </c>
      <c r="AV575" s="46">
        <v>0</v>
      </c>
      <c r="AW575" s="46">
        <v>0</v>
      </c>
      <c r="AX575" s="46">
        <v>0</v>
      </c>
      <c r="AY575" s="46">
        <v>0</v>
      </c>
      <c r="AZ575" s="46">
        <v>0</v>
      </c>
      <c r="BA575" s="46">
        <v>0</v>
      </c>
      <c r="BB575" s="46">
        <v>0</v>
      </c>
      <c r="BC575" s="46">
        <v>0</v>
      </c>
      <c r="BD575" s="46">
        <v>0</v>
      </c>
      <c r="BE575" s="46">
        <v>0</v>
      </c>
      <c r="BF575" s="46">
        <v>0</v>
      </c>
      <c r="BG575" s="46" t="s">
        <v>48</v>
      </c>
      <c r="BH575" s="46">
        <v>0</v>
      </c>
      <c r="BI575" s="46">
        <v>0</v>
      </c>
      <c r="BJ575" s="46">
        <v>0</v>
      </c>
      <c r="BK575" s="46">
        <v>0</v>
      </c>
      <c r="BL575" s="46">
        <v>0</v>
      </c>
      <c r="BM575" s="46">
        <v>0</v>
      </c>
      <c r="BN575" s="46">
        <v>0</v>
      </c>
    </row>
    <row r="576" spans="1:66" x14ac:dyDescent="0.35">
      <c r="A576" t="s">
        <v>2171</v>
      </c>
      <c r="B576" t="s">
        <v>48</v>
      </c>
      <c r="C576" t="s">
        <v>2176</v>
      </c>
      <c r="D576" t="s">
        <v>2175</v>
      </c>
      <c r="E576" t="s">
        <v>2172</v>
      </c>
      <c r="F576" t="s">
        <v>2162</v>
      </c>
      <c r="G576" t="s">
        <v>47</v>
      </c>
      <c r="H576">
        <v>0</v>
      </c>
      <c r="I576" s="60" t="s">
        <v>51</v>
      </c>
      <c r="J576" s="33" t="s">
        <v>45</v>
      </c>
      <c r="K576" s="46">
        <v>1</v>
      </c>
      <c r="L576">
        <v>80.8</v>
      </c>
      <c r="M576" t="s">
        <v>48</v>
      </c>
      <c r="N576" s="46">
        <v>1</v>
      </c>
      <c r="O576" s="46">
        <v>0</v>
      </c>
      <c r="P576" s="46">
        <v>0</v>
      </c>
      <c r="Q576" t="s">
        <v>48</v>
      </c>
      <c r="R576" t="s">
        <v>48</v>
      </c>
      <c r="S576" t="s">
        <v>2173</v>
      </c>
      <c r="T576" t="s">
        <v>2174</v>
      </c>
      <c r="U576" t="s">
        <v>2173</v>
      </c>
      <c r="V576" s="47">
        <v>0</v>
      </c>
      <c r="W576" t="s">
        <v>48</v>
      </c>
      <c r="X576" t="s">
        <v>48</v>
      </c>
      <c r="Y576" t="s">
        <v>48</v>
      </c>
      <c r="Z576">
        <v>1</v>
      </c>
      <c r="AA576" t="s">
        <v>48</v>
      </c>
      <c r="AB576">
        <v>2020</v>
      </c>
      <c r="AC576" t="s">
        <v>63</v>
      </c>
      <c r="AD576" t="s">
        <v>951</v>
      </c>
      <c r="AE576" t="s">
        <v>11051</v>
      </c>
      <c r="AF576" t="s">
        <v>11063</v>
      </c>
      <c r="AG576" t="s">
        <v>48</v>
      </c>
      <c r="AH576" t="s">
        <v>48</v>
      </c>
      <c r="AI576">
        <v>22150</v>
      </c>
      <c r="AJ576">
        <v>1961</v>
      </c>
      <c r="AK576" t="s">
        <v>8838</v>
      </c>
      <c r="AL576" t="s">
        <v>8839</v>
      </c>
      <c r="AM576">
        <v>0.26400000000000001</v>
      </c>
      <c r="AN576">
        <v>5.1999999999999998E-2</v>
      </c>
      <c r="AO576">
        <v>0.26400000000000001</v>
      </c>
      <c r="AP576" s="46">
        <v>0</v>
      </c>
      <c r="AQ576" s="46">
        <v>0</v>
      </c>
      <c r="AR576" s="46">
        <v>0</v>
      </c>
      <c r="AS576" s="46">
        <v>0</v>
      </c>
      <c r="AT576" s="46">
        <v>0</v>
      </c>
      <c r="AU576" s="46">
        <v>0</v>
      </c>
      <c r="AV576" s="46">
        <v>0</v>
      </c>
      <c r="AW576" s="46">
        <v>0</v>
      </c>
      <c r="AX576" s="46">
        <v>0</v>
      </c>
      <c r="AY576" s="46">
        <v>1</v>
      </c>
      <c r="AZ576" s="46">
        <v>1</v>
      </c>
      <c r="BA576" s="46">
        <v>1</v>
      </c>
      <c r="BB576" s="46">
        <v>0</v>
      </c>
      <c r="BC576" s="46">
        <v>0</v>
      </c>
      <c r="BD576" s="46">
        <v>0</v>
      </c>
      <c r="BE576" s="46">
        <v>0</v>
      </c>
      <c r="BF576" s="46">
        <v>0</v>
      </c>
      <c r="BG576" s="46">
        <v>1</v>
      </c>
      <c r="BH576" s="46">
        <v>0</v>
      </c>
      <c r="BI576" s="46">
        <v>0</v>
      </c>
      <c r="BJ576" s="46">
        <v>0</v>
      </c>
      <c r="BK576" s="46">
        <v>0</v>
      </c>
      <c r="BL576" s="46">
        <v>0</v>
      </c>
      <c r="BM576" s="46">
        <v>1</v>
      </c>
      <c r="BN576" s="46">
        <v>0</v>
      </c>
    </row>
    <row r="577" spans="1:66" x14ac:dyDescent="0.35">
      <c r="A577" t="s">
        <v>2155</v>
      </c>
      <c r="B577" s="44" t="s">
        <v>48</v>
      </c>
      <c r="C577" t="s">
        <v>11849</v>
      </c>
      <c r="D577" t="s">
        <v>2159</v>
      </c>
      <c r="E577" t="s">
        <v>10917</v>
      </c>
      <c r="F577" t="s">
        <v>10912</v>
      </c>
      <c r="G577" t="s">
        <v>47</v>
      </c>
      <c r="H577">
        <v>0</v>
      </c>
      <c r="I577" s="61">
        <v>44799</v>
      </c>
      <c r="J577" s="33" t="s">
        <v>45</v>
      </c>
      <c r="K577" s="46">
        <v>0</v>
      </c>
      <c r="L577">
        <v>73.400000000000006</v>
      </c>
      <c r="M577" t="s">
        <v>48</v>
      </c>
      <c r="N577" s="46">
        <v>1</v>
      </c>
      <c r="O577" s="46">
        <v>0</v>
      </c>
      <c r="P577" s="46">
        <v>0</v>
      </c>
      <c r="Q577" t="s">
        <v>48</v>
      </c>
      <c r="R577" t="s">
        <v>48</v>
      </c>
      <c r="S577" t="s">
        <v>2157</v>
      </c>
      <c r="T577" t="s">
        <v>2158</v>
      </c>
      <c r="U577" t="s">
        <v>2157</v>
      </c>
      <c r="V577" s="47">
        <v>0</v>
      </c>
      <c r="W577" t="s">
        <v>48</v>
      </c>
      <c r="X577" t="s">
        <v>48</v>
      </c>
      <c r="Y577" t="s">
        <v>48</v>
      </c>
      <c r="Z577">
        <v>0</v>
      </c>
      <c r="AA577" t="s">
        <v>48</v>
      </c>
      <c r="AB577" t="s">
        <v>48</v>
      </c>
      <c r="AC577" t="s">
        <v>49</v>
      </c>
      <c r="AD577" t="s">
        <v>951</v>
      </c>
      <c r="AE577" t="s">
        <v>11051</v>
      </c>
      <c r="AF577" t="s">
        <v>11063</v>
      </c>
      <c r="AG577" t="s">
        <v>48</v>
      </c>
      <c r="AH577" t="s">
        <v>48</v>
      </c>
      <c r="AI577" t="s">
        <v>48</v>
      </c>
      <c r="AJ577" t="s">
        <v>48</v>
      </c>
      <c r="AK577" t="s">
        <v>48</v>
      </c>
      <c r="AL577" t="s">
        <v>48</v>
      </c>
      <c r="AM577" t="s">
        <v>48</v>
      </c>
      <c r="AN577" t="s">
        <v>48</v>
      </c>
      <c r="AO577" t="s">
        <v>48</v>
      </c>
      <c r="AP577" s="46">
        <v>0</v>
      </c>
      <c r="AQ577" s="46">
        <v>0</v>
      </c>
      <c r="AR577" s="46">
        <v>0</v>
      </c>
      <c r="AS577" s="46">
        <v>0</v>
      </c>
      <c r="AT577" s="46">
        <v>0</v>
      </c>
      <c r="AU577" s="46">
        <v>0</v>
      </c>
      <c r="AV577" s="46">
        <v>0</v>
      </c>
      <c r="AW577" s="46">
        <v>0</v>
      </c>
      <c r="AX577" s="46">
        <v>0</v>
      </c>
      <c r="AY577" s="46">
        <v>0</v>
      </c>
      <c r="AZ577" s="46">
        <v>0</v>
      </c>
      <c r="BA577" s="46">
        <v>0</v>
      </c>
      <c r="BB577" s="46">
        <v>0</v>
      </c>
      <c r="BC577" s="46">
        <v>0</v>
      </c>
      <c r="BD577" s="46">
        <v>0</v>
      </c>
      <c r="BE577" s="46">
        <v>0</v>
      </c>
      <c r="BF577" s="46">
        <v>0</v>
      </c>
      <c r="BG577" s="46">
        <v>1</v>
      </c>
      <c r="BH577" s="46">
        <v>0</v>
      </c>
      <c r="BI577" s="46">
        <v>0</v>
      </c>
      <c r="BJ577" s="46">
        <v>0</v>
      </c>
      <c r="BK577" s="46">
        <v>0</v>
      </c>
      <c r="BL577" s="46">
        <v>0</v>
      </c>
      <c r="BM577" s="46">
        <v>0</v>
      </c>
      <c r="BN577" s="46">
        <v>0</v>
      </c>
    </row>
    <row r="578" spans="1:66" x14ac:dyDescent="0.35">
      <c r="A578" t="s">
        <v>10911</v>
      </c>
      <c r="B578" s="44" t="s">
        <v>48</v>
      </c>
      <c r="C578" t="s">
        <v>11847</v>
      </c>
      <c r="D578" t="s">
        <v>210</v>
      </c>
      <c r="E578" t="s">
        <v>10913</v>
      </c>
      <c r="F578" t="s">
        <v>10912</v>
      </c>
      <c r="G578" t="s">
        <v>74</v>
      </c>
      <c r="H578">
        <v>0</v>
      </c>
      <c r="I578" s="60" t="s">
        <v>11552</v>
      </c>
      <c r="J578" s="33" t="s">
        <v>45</v>
      </c>
      <c r="K578" s="46">
        <v>0</v>
      </c>
      <c r="L578">
        <v>69.3</v>
      </c>
      <c r="M578" t="s">
        <v>48</v>
      </c>
      <c r="N578" s="46">
        <v>1</v>
      </c>
      <c r="O578" s="46">
        <v>0</v>
      </c>
      <c r="P578" s="46">
        <v>0</v>
      </c>
      <c r="Q578" t="s">
        <v>48</v>
      </c>
      <c r="R578" t="s">
        <v>48</v>
      </c>
      <c r="S578" t="s">
        <v>11474</v>
      </c>
      <c r="T578" t="s">
        <v>48</v>
      </c>
      <c r="U578" t="s">
        <v>10914</v>
      </c>
      <c r="V578" s="47">
        <v>0</v>
      </c>
      <c r="W578" t="s">
        <v>48</v>
      </c>
      <c r="X578" t="s">
        <v>48</v>
      </c>
      <c r="Y578" t="s">
        <v>48</v>
      </c>
      <c r="Z578">
        <v>0</v>
      </c>
      <c r="AA578" t="s">
        <v>48</v>
      </c>
      <c r="AB578" t="s">
        <v>48</v>
      </c>
      <c r="AC578" t="s">
        <v>49</v>
      </c>
      <c r="AD578" t="s">
        <v>951</v>
      </c>
      <c r="AE578" t="s">
        <v>11051</v>
      </c>
      <c r="AF578" t="s">
        <v>48</v>
      </c>
      <c r="AG578" t="s">
        <v>48</v>
      </c>
      <c r="AH578" t="s">
        <v>48</v>
      </c>
      <c r="AI578" t="s">
        <v>48</v>
      </c>
      <c r="AJ578" t="s">
        <v>48</v>
      </c>
      <c r="AK578" t="s">
        <v>48</v>
      </c>
      <c r="AL578" t="s">
        <v>48</v>
      </c>
      <c r="AM578" t="s">
        <v>48</v>
      </c>
      <c r="AN578" t="s">
        <v>48</v>
      </c>
      <c r="AO578" t="s">
        <v>48</v>
      </c>
      <c r="AP578" s="46">
        <v>0</v>
      </c>
      <c r="AQ578" s="46">
        <v>0</v>
      </c>
      <c r="AR578" s="46">
        <v>0</v>
      </c>
      <c r="AS578" s="46">
        <v>0</v>
      </c>
      <c r="AT578" s="46">
        <v>0</v>
      </c>
      <c r="AU578" s="46">
        <v>0</v>
      </c>
      <c r="AV578" s="46">
        <v>0</v>
      </c>
      <c r="AW578" s="46">
        <v>0</v>
      </c>
      <c r="AX578" s="46">
        <v>0</v>
      </c>
      <c r="AY578" s="46">
        <v>0</v>
      </c>
      <c r="AZ578" s="46">
        <v>0</v>
      </c>
      <c r="BA578" s="46">
        <v>0</v>
      </c>
      <c r="BB578" s="46">
        <v>0</v>
      </c>
      <c r="BC578" s="46">
        <v>0</v>
      </c>
      <c r="BD578" s="46">
        <v>0</v>
      </c>
      <c r="BE578" s="46">
        <v>0</v>
      </c>
      <c r="BF578" s="46">
        <v>0</v>
      </c>
      <c r="BG578" s="46" t="s">
        <v>48</v>
      </c>
      <c r="BH578" s="46">
        <v>0</v>
      </c>
      <c r="BI578" s="46">
        <v>0</v>
      </c>
      <c r="BJ578" s="46">
        <v>0</v>
      </c>
      <c r="BK578" s="46">
        <v>0</v>
      </c>
      <c r="BL578" s="46">
        <v>0</v>
      </c>
      <c r="BM578" s="46">
        <v>0</v>
      </c>
      <c r="BN578" s="46">
        <v>0</v>
      </c>
    </row>
    <row r="579" spans="1:66" x14ac:dyDescent="0.35">
      <c r="A579" t="s">
        <v>2198</v>
      </c>
      <c r="B579" s="44" t="s">
        <v>48</v>
      </c>
      <c r="C579" t="s">
        <v>1974</v>
      </c>
      <c r="D579" t="s">
        <v>2203</v>
      </c>
      <c r="E579" t="s">
        <v>2200</v>
      </c>
      <c r="F579" t="s">
        <v>2199</v>
      </c>
      <c r="G579" t="s">
        <v>47</v>
      </c>
      <c r="H579">
        <v>0</v>
      </c>
      <c r="I579" s="60" t="s">
        <v>51</v>
      </c>
      <c r="J579" s="33" t="s">
        <v>45</v>
      </c>
      <c r="K579" s="46">
        <v>1</v>
      </c>
      <c r="L579">
        <v>100</v>
      </c>
      <c r="M579" t="s">
        <v>48</v>
      </c>
      <c r="N579" s="46">
        <v>1</v>
      </c>
      <c r="O579" s="46">
        <v>0</v>
      </c>
      <c r="P579" s="46">
        <v>0</v>
      </c>
      <c r="Q579" t="s">
        <v>48</v>
      </c>
      <c r="R579" t="s">
        <v>48</v>
      </c>
      <c r="S579" t="s">
        <v>2201</v>
      </c>
      <c r="T579" t="s">
        <v>2202</v>
      </c>
      <c r="U579" t="s">
        <v>2201</v>
      </c>
      <c r="V579" s="47">
        <v>0</v>
      </c>
      <c r="W579" t="s">
        <v>48</v>
      </c>
      <c r="X579" t="s">
        <v>48</v>
      </c>
      <c r="Y579" t="s">
        <v>48</v>
      </c>
      <c r="Z579">
        <v>0</v>
      </c>
      <c r="AA579" t="s">
        <v>48</v>
      </c>
      <c r="AB579">
        <v>2014</v>
      </c>
      <c r="AC579" t="s">
        <v>49</v>
      </c>
      <c r="AD579" t="s">
        <v>93</v>
      </c>
      <c r="AE579" t="s">
        <v>4532</v>
      </c>
      <c r="AF579" t="s">
        <v>48</v>
      </c>
      <c r="AG579" t="s">
        <v>479</v>
      </c>
      <c r="AH579" t="s">
        <v>93</v>
      </c>
      <c r="AI579">
        <v>21513</v>
      </c>
      <c r="AJ579">
        <v>1957</v>
      </c>
      <c r="AK579" t="s">
        <v>8840</v>
      </c>
      <c r="AL579" t="s">
        <v>8841</v>
      </c>
      <c r="AM579">
        <v>0.57099999999999995</v>
      </c>
      <c r="AN579">
        <v>0.29799999999999999</v>
      </c>
      <c r="AO579">
        <v>0.57099999999999995</v>
      </c>
      <c r="AP579" s="46">
        <v>0</v>
      </c>
      <c r="AQ579" s="46">
        <v>0</v>
      </c>
      <c r="AR579" s="46">
        <v>0</v>
      </c>
      <c r="AS579" s="46">
        <v>0</v>
      </c>
      <c r="AT579" s="46">
        <v>0</v>
      </c>
      <c r="AU579" s="46">
        <v>0</v>
      </c>
      <c r="AV579" s="46">
        <v>0</v>
      </c>
      <c r="AW579" s="46">
        <v>0</v>
      </c>
      <c r="AX579" s="46">
        <v>0</v>
      </c>
      <c r="AY579" s="46">
        <v>0</v>
      </c>
      <c r="AZ579" s="46">
        <v>0</v>
      </c>
      <c r="BA579" s="46">
        <v>0</v>
      </c>
      <c r="BB579" s="46">
        <v>1</v>
      </c>
      <c r="BC579" s="46">
        <v>0</v>
      </c>
      <c r="BD579" s="46">
        <v>0</v>
      </c>
      <c r="BE579" s="46">
        <v>0</v>
      </c>
      <c r="BF579" s="46">
        <v>0</v>
      </c>
      <c r="BG579" s="46">
        <v>1</v>
      </c>
      <c r="BH579" s="46">
        <v>0</v>
      </c>
      <c r="BI579" s="46">
        <v>0</v>
      </c>
      <c r="BJ579" s="46">
        <v>0</v>
      </c>
      <c r="BK579" s="46">
        <v>0</v>
      </c>
      <c r="BL579" s="46">
        <v>0</v>
      </c>
      <c r="BM579" s="46">
        <v>0</v>
      </c>
      <c r="BN579" s="46">
        <v>0</v>
      </c>
    </row>
    <row r="580" spans="1:66" x14ac:dyDescent="0.35">
      <c r="A580" t="s">
        <v>2204</v>
      </c>
      <c r="B580" s="44" t="s">
        <v>48</v>
      </c>
      <c r="C580" t="s">
        <v>2208</v>
      </c>
      <c r="D580" t="s">
        <v>2207</v>
      </c>
      <c r="E580" t="s">
        <v>2205</v>
      </c>
      <c r="F580" t="s">
        <v>2199</v>
      </c>
      <c r="G580" t="s">
        <v>74</v>
      </c>
      <c r="H580">
        <v>0</v>
      </c>
      <c r="I580" s="60" t="s">
        <v>51</v>
      </c>
      <c r="J580" s="33" t="s">
        <v>45</v>
      </c>
      <c r="K580" s="46">
        <v>0</v>
      </c>
      <c r="L580">
        <v>38</v>
      </c>
      <c r="M580">
        <v>61.9</v>
      </c>
      <c r="N580" s="46">
        <v>1</v>
      </c>
      <c r="O580" s="46">
        <v>0</v>
      </c>
      <c r="P580" s="46">
        <v>0</v>
      </c>
      <c r="Q580" t="s">
        <v>48</v>
      </c>
      <c r="R580" t="s">
        <v>48</v>
      </c>
      <c r="S580" t="s">
        <v>2206</v>
      </c>
      <c r="T580" t="s">
        <v>48</v>
      </c>
      <c r="U580" t="s">
        <v>2206</v>
      </c>
      <c r="V580" s="47">
        <v>0</v>
      </c>
      <c r="W580" t="s">
        <v>11317</v>
      </c>
      <c r="X580" t="s">
        <v>48</v>
      </c>
      <c r="Y580" t="s">
        <v>48</v>
      </c>
      <c r="Z580">
        <v>0</v>
      </c>
      <c r="AA580" t="s">
        <v>48</v>
      </c>
      <c r="AB580" t="s">
        <v>48</v>
      </c>
      <c r="AC580" t="s">
        <v>49</v>
      </c>
      <c r="AD580" t="s">
        <v>93</v>
      </c>
      <c r="AE580" t="s">
        <v>4532</v>
      </c>
      <c r="AF580" t="s">
        <v>48</v>
      </c>
      <c r="AG580" t="s">
        <v>479</v>
      </c>
      <c r="AH580" t="s">
        <v>48</v>
      </c>
      <c r="AI580" t="s">
        <v>48</v>
      </c>
      <c r="AJ580" t="s">
        <v>48</v>
      </c>
      <c r="AK580" t="s">
        <v>48</v>
      </c>
      <c r="AL580" t="s">
        <v>48</v>
      </c>
      <c r="AM580" t="s">
        <v>48</v>
      </c>
      <c r="AN580" t="s">
        <v>48</v>
      </c>
      <c r="AO580" t="s">
        <v>48</v>
      </c>
      <c r="AP580" s="46">
        <v>0</v>
      </c>
      <c r="AQ580" s="46">
        <v>0</v>
      </c>
      <c r="AR580" s="46">
        <v>0</v>
      </c>
      <c r="AS580" s="46">
        <v>0</v>
      </c>
      <c r="AT580" s="46">
        <v>0</v>
      </c>
      <c r="AU580" s="46">
        <v>0</v>
      </c>
      <c r="AV580" s="46">
        <v>0</v>
      </c>
      <c r="AW580" s="46">
        <v>0</v>
      </c>
      <c r="AX580" s="46">
        <v>0</v>
      </c>
      <c r="AY580" s="46">
        <v>0</v>
      </c>
      <c r="AZ580" s="46">
        <v>0</v>
      </c>
      <c r="BA580" s="46">
        <v>0</v>
      </c>
      <c r="BB580" s="46">
        <v>0</v>
      </c>
      <c r="BC580" s="46">
        <v>0</v>
      </c>
      <c r="BD580" s="46">
        <v>0</v>
      </c>
      <c r="BE580" s="46">
        <v>0</v>
      </c>
      <c r="BF580" s="46">
        <v>0</v>
      </c>
      <c r="BG580" s="46" t="s">
        <v>48</v>
      </c>
      <c r="BH580" s="46">
        <v>0</v>
      </c>
      <c r="BI580" s="46">
        <v>0</v>
      </c>
      <c r="BJ580" s="46">
        <v>0</v>
      </c>
      <c r="BK580" s="46">
        <v>0</v>
      </c>
      <c r="BL580" s="46">
        <v>0</v>
      </c>
      <c r="BM580" s="46">
        <v>0</v>
      </c>
      <c r="BN580" s="46">
        <v>0</v>
      </c>
    </row>
    <row r="581" spans="1:66" x14ac:dyDescent="0.35">
      <c r="A581" t="s">
        <v>2234</v>
      </c>
      <c r="B581" s="44" t="s">
        <v>48</v>
      </c>
      <c r="C581" t="s">
        <v>1440</v>
      </c>
      <c r="D581" t="s">
        <v>216</v>
      </c>
      <c r="E581" t="s">
        <v>2235</v>
      </c>
      <c r="F581" t="s">
        <v>2212</v>
      </c>
      <c r="G581" t="s">
        <v>47</v>
      </c>
      <c r="H581">
        <v>0</v>
      </c>
      <c r="I581" s="60" t="s">
        <v>149</v>
      </c>
      <c r="J581" s="33" t="s">
        <v>45</v>
      </c>
      <c r="K581" s="46">
        <v>0</v>
      </c>
      <c r="L581">
        <v>30.1</v>
      </c>
      <c r="M581">
        <v>51.3</v>
      </c>
      <c r="N581" s="46">
        <v>1</v>
      </c>
      <c r="O581" s="46">
        <v>0</v>
      </c>
      <c r="P581" s="46">
        <v>0</v>
      </c>
      <c r="Q581" t="s">
        <v>48</v>
      </c>
      <c r="R581" t="s">
        <v>48</v>
      </c>
      <c r="S581" t="s">
        <v>2236</v>
      </c>
      <c r="T581" t="s">
        <v>48</v>
      </c>
      <c r="U581" t="s">
        <v>2236</v>
      </c>
      <c r="V581" s="47">
        <v>0</v>
      </c>
      <c r="W581" t="s">
        <v>48</v>
      </c>
      <c r="X581" t="s">
        <v>48</v>
      </c>
      <c r="Y581" t="s">
        <v>48</v>
      </c>
      <c r="Z581">
        <v>0</v>
      </c>
      <c r="AA581" t="s">
        <v>48</v>
      </c>
      <c r="AB581" t="s">
        <v>48</v>
      </c>
      <c r="AC581" t="s">
        <v>49</v>
      </c>
      <c r="AD581" t="s">
        <v>93</v>
      </c>
      <c r="AE581" t="s">
        <v>4532</v>
      </c>
      <c r="AF581" t="s">
        <v>48</v>
      </c>
      <c r="AG581" t="s">
        <v>48</v>
      </c>
      <c r="AH581" t="s">
        <v>48</v>
      </c>
      <c r="AI581" t="s">
        <v>48</v>
      </c>
      <c r="AJ581" t="s">
        <v>48</v>
      </c>
      <c r="AK581" t="s">
        <v>48</v>
      </c>
      <c r="AL581" t="s">
        <v>48</v>
      </c>
      <c r="AM581" t="s">
        <v>48</v>
      </c>
      <c r="AN581" t="s">
        <v>48</v>
      </c>
      <c r="AO581" t="s">
        <v>48</v>
      </c>
      <c r="AP581" s="46">
        <v>0</v>
      </c>
      <c r="AQ581" s="46">
        <v>0</v>
      </c>
      <c r="AR581" s="46">
        <v>0</v>
      </c>
      <c r="AS581" s="46">
        <v>0</v>
      </c>
      <c r="AT581" s="46">
        <v>0</v>
      </c>
      <c r="AU581" s="46">
        <v>0</v>
      </c>
      <c r="AV581" s="46">
        <v>0</v>
      </c>
      <c r="AW581" s="46">
        <v>0</v>
      </c>
      <c r="AX581" s="46">
        <v>0</v>
      </c>
      <c r="AY581" s="46">
        <v>0</v>
      </c>
      <c r="AZ581" s="46">
        <v>0</v>
      </c>
      <c r="BA581" s="46">
        <v>0</v>
      </c>
      <c r="BB581" s="46">
        <v>0</v>
      </c>
      <c r="BC581" s="46">
        <v>0</v>
      </c>
      <c r="BD581" s="46">
        <v>0</v>
      </c>
      <c r="BE581" s="46">
        <v>0</v>
      </c>
      <c r="BF581" s="46">
        <v>0</v>
      </c>
      <c r="BG581" s="46" t="s">
        <v>48</v>
      </c>
      <c r="BH581" s="46">
        <v>0</v>
      </c>
      <c r="BI581" s="46">
        <v>0</v>
      </c>
      <c r="BJ581" s="46">
        <v>0</v>
      </c>
      <c r="BK581" s="46">
        <v>0</v>
      </c>
      <c r="BL581" s="46">
        <v>0</v>
      </c>
      <c r="BM581" s="46">
        <v>0</v>
      </c>
      <c r="BN581" s="46">
        <v>0</v>
      </c>
    </row>
    <row r="582" spans="1:66" x14ac:dyDescent="0.35">
      <c r="A582" t="s">
        <v>2213</v>
      </c>
      <c r="B582" t="s">
        <v>48</v>
      </c>
      <c r="C582" t="s">
        <v>2216</v>
      </c>
      <c r="D582" t="s">
        <v>438</v>
      </c>
      <c r="E582" t="s">
        <v>2214</v>
      </c>
      <c r="F582" t="s">
        <v>2212</v>
      </c>
      <c r="G582" t="s">
        <v>74</v>
      </c>
      <c r="H582">
        <v>0</v>
      </c>
      <c r="I582" s="60" t="s">
        <v>51</v>
      </c>
      <c r="J582" s="33" t="s">
        <v>45</v>
      </c>
      <c r="K582" s="46">
        <v>1</v>
      </c>
      <c r="L582">
        <v>93.6</v>
      </c>
      <c r="M582" t="s">
        <v>48</v>
      </c>
      <c r="N582" s="46">
        <v>1</v>
      </c>
      <c r="O582" s="46">
        <v>0</v>
      </c>
      <c r="P582" s="46">
        <v>0</v>
      </c>
      <c r="Q582" t="s">
        <v>48</v>
      </c>
      <c r="R582" t="s">
        <v>48</v>
      </c>
      <c r="S582" t="s">
        <v>48</v>
      </c>
      <c r="T582" t="s">
        <v>2215</v>
      </c>
      <c r="U582" t="s">
        <v>48</v>
      </c>
      <c r="V582" s="47">
        <v>0</v>
      </c>
      <c r="W582" t="s">
        <v>48</v>
      </c>
      <c r="X582" t="s">
        <v>48</v>
      </c>
      <c r="Y582" t="s">
        <v>48</v>
      </c>
      <c r="Z582">
        <v>0</v>
      </c>
      <c r="AA582" t="s">
        <v>48</v>
      </c>
      <c r="AB582">
        <v>1992</v>
      </c>
      <c r="AC582" t="s">
        <v>49</v>
      </c>
      <c r="AD582" t="s">
        <v>93</v>
      </c>
      <c r="AE582" s="40" t="s">
        <v>2471</v>
      </c>
      <c r="AF582" t="s">
        <v>11061</v>
      </c>
      <c r="AG582" t="s">
        <v>151</v>
      </c>
      <c r="AH582" t="s">
        <v>93</v>
      </c>
      <c r="AI582">
        <v>29339</v>
      </c>
      <c r="AJ582">
        <v>1947</v>
      </c>
      <c r="AK582" t="s">
        <v>8842</v>
      </c>
      <c r="AL582" t="s">
        <v>8843</v>
      </c>
      <c r="AM582">
        <v>-0.28299999999999997</v>
      </c>
      <c r="AN582">
        <v>0.46100000000000002</v>
      </c>
      <c r="AO582">
        <v>-0.28299999999999997</v>
      </c>
      <c r="AP582" s="46">
        <v>0</v>
      </c>
      <c r="AQ582" s="46">
        <v>0</v>
      </c>
      <c r="AR582" s="46">
        <v>0</v>
      </c>
      <c r="AS582" s="46">
        <v>0</v>
      </c>
      <c r="AT582" s="46">
        <v>0</v>
      </c>
      <c r="AU582" s="46">
        <v>0</v>
      </c>
      <c r="AV582" s="46">
        <v>1</v>
      </c>
      <c r="AW582" s="46">
        <v>0</v>
      </c>
      <c r="AX582" s="46">
        <v>0</v>
      </c>
      <c r="AY582" s="46">
        <v>0</v>
      </c>
      <c r="AZ582" s="46">
        <v>0</v>
      </c>
      <c r="BA582" s="46">
        <v>0</v>
      </c>
      <c r="BB582" s="46">
        <v>0</v>
      </c>
      <c r="BC582" s="46">
        <v>0</v>
      </c>
      <c r="BD582" s="46">
        <v>0</v>
      </c>
      <c r="BE582" s="46">
        <v>0</v>
      </c>
      <c r="BF582" s="46">
        <v>0</v>
      </c>
      <c r="BG582" s="46" t="s">
        <v>48</v>
      </c>
      <c r="BH582" s="46">
        <v>0</v>
      </c>
      <c r="BI582" s="46">
        <v>0</v>
      </c>
      <c r="BJ582" s="46">
        <v>0</v>
      </c>
      <c r="BK582" s="46">
        <v>0</v>
      </c>
      <c r="BL582" s="46">
        <v>0</v>
      </c>
      <c r="BM582" s="46">
        <v>0</v>
      </c>
      <c r="BN582" s="46">
        <v>0</v>
      </c>
    </row>
    <row r="583" spans="1:66" x14ac:dyDescent="0.35">
      <c r="A583" t="s">
        <v>2242</v>
      </c>
      <c r="B583" s="44" t="s">
        <v>48</v>
      </c>
      <c r="C583" t="s">
        <v>2248</v>
      </c>
      <c r="D583" t="s">
        <v>2247</v>
      </c>
      <c r="E583" t="s">
        <v>2243</v>
      </c>
      <c r="F583" t="s">
        <v>2238</v>
      </c>
      <c r="G583" t="s">
        <v>47</v>
      </c>
      <c r="H583">
        <v>0</v>
      </c>
      <c r="I583" s="60" t="s">
        <v>51</v>
      </c>
      <c r="J583" s="33" t="s">
        <v>45</v>
      </c>
      <c r="K583" s="46">
        <v>1</v>
      </c>
      <c r="L583">
        <v>82.7</v>
      </c>
      <c r="M583" t="s">
        <v>48</v>
      </c>
      <c r="N583" s="46">
        <v>1</v>
      </c>
      <c r="O583" s="46">
        <v>0</v>
      </c>
      <c r="P583" s="46">
        <v>0</v>
      </c>
      <c r="Q583" t="s">
        <v>48</v>
      </c>
      <c r="R583" t="s">
        <v>48</v>
      </c>
      <c r="S583" t="s">
        <v>2244</v>
      </c>
      <c r="T583" t="s">
        <v>2245</v>
      </c>
      <c r="U583" t="s">
        <v>2244</v>
      </c>
      <c r="V583" s="47">
        <v>0</v>
      </c>
      <c r="W583" t="s">
        <v>48</v>
      </c>
      <c r="X583" t="s">
        <v>48</v>
      </c>
      <c r="Y583" t="s">
        <v>48</v>
      </c>
      <c r="Z583">
        <v>0</v>
      </c>
      <c r="AA583" t="s">
        <v>48</v>
      </c>
      <c r="AB583">
        <v>2016</v>
      </c>
      <c r="AC583" t="s">
        <v>49</v>
      </c>
      <c r="AD583" t="s">
        <v>93</v>
      </c>
      <c r="AE583" t="s">
        <v>4532</v>
      </c>
      <c r="AF583" t="s">
        <v>48</v>
      </c>
      <c r="AG583" t="s">
        <v>2246</v>
      </c>
      <c r="AH583" t="s">
        <v>93</v>
      </c>
      <c r="AI583">
        <v>21717</v>
      </c>
      <c r="AJ583">
        <v>1966</v>
      </c>
      <c r="AK583" t="s">
        <v>8844</v>
      </c>
      <c r="AL583" t="s">
        <v>8845</v>
      </c>
      <c r="AM583">
        <v>0.59899999999999998</v>
      </c>
      <c r="AN583">
        <v>0.13200000000000001</v>
      </c>
      <c r="AO583">
        <v>0.59899999999999998</v>
      </c>
      <c r="AP583" s="46">
        <v>0</v>
      </c>
      <c r="AQ583" s="46">
        <v>0</v>
      </c>
      <c r="AR583" s="46">
        <v>0</v>
      </c>
      <c r="AS583" s="46">
        <v>0</v>
      </c>
      <c r="AT583" s="46">
        <v>0</v>
      </c>
      <c r="AU583" s="46">
        <v>0</v>
      </c>
      <c r="AV583" s="46">
        <v>0</v>
      </c>
      <c r="AW583" s="46">
        <v>0</v>
      </c>
      <c r="AX583" s="46">
        <v>0</v>
      </c>
      <c r="AY583" s="46">
        <v>0</v>
      </c>
      <c r="AZ583" s="46">
        <v>0</v>
      </c>
      <c r="BA583" s="46">
        <v>0</v>
      </c>
      <c r="BB583" s="46">
        <v>1</v>
      </c>
      <c r="BC583" s="46">
        <v>0</v>
      </c>
      <c r="BD583" s="46">
        <v>0</v>
      </c>
      <c r="BE583" s="46">
        <v>0</v>
      </c>
      <c r="BF583" s="46">
        <v>0</v>
      </c>
      <c r="BG583" s="46">
        <v>1</v>
      </c>
      <c r="BH583" s="46">
        <v>0</v>
      </c>
      <c r="BI583" s="46">
        <v>0</v>
      </c>
      <c r="BJ583" s="46">
        <v>0</v>
      </c>
      <c r="BK583" s="46">
        <v>0</v>
      </c>
      <c r="BL583" s="46">
        <v>0</v>
      </c>
      <c r="BM583" s="46">
        <v>0</v>
      </c>
      <c r="BN583" s="46">
        <v>0</v>
      </c>
    </row>
    <row r="584" spans="1:66" x14ac:dyDescent="0.35">
      <c r="A584" t="s">
        <v>2237</v>
      </c>
      <c r="B584" s="44" t="s">
        <v>48</v>
      </c>
      <c r="C584" t="s">
        <v>2241</v>
      </c>
      <c r="D584" t="s">
        <v>1956</v>
      </c>
      <c r="E584" t="s">
        <v>2239</v>
      </c>
      <c r="F584" t="s">
        <v>2238</v>
      </c>
      <c r="G584" t="s">
        <v>74</v>
      </c>
      <c r="H584">
        <v>0</v>
      </c>
      <c r="I584" s="60" t="s">
        <v>149</v>
      </c>
      <c r="J584" s="33" t="s">
        <v>45</v>
      </c>
      <c r="K584" s="46">
        <v>0</v>
      </c>
      <c r="L584">
        <v>100</v>
      </c>
      <c r="M584" t="s">
        <v>48</v>
      </c>
      <c r="N584" s="46">
        <v>1</v>
      </c>
      <c r="O584" s="46">
        <v>0</v>
      </c>
      <c r="P584" s="46">
        <v>0</v>
      </c>
      <c r="Q584" t="s">
        <v>48</v>
      </c>
      <c r="R584" t="s">
        <v>48</v>
      </c>
      <c r="S584" t="s">
        <v>2240</v>
      </c>
      <c r="T584" t="s">
        <v>48</v>
      </c>
      <c r="U584" t="s">
        <v>2240</v>
      </c>
      <c r="V584" s="47">
        <v>0</v>
      </c>
      <c r="W584" t="s">
        <v>48</v>
      </c>
      <c r="X584" t="s">
        <v>48</v>
      </c>
      <c r="Y584" t="s">
        <v>48</v>
      </c>
      <c r="Z584">
        <v>0</v>
      </c>
      <c r="AA584" t="s">
        <v>48</v>
      </c>
      <c r="AB584" t="s">
        <v>48</v>
      </c>
      <c r="AC584" t="s">
        <v>49</v>
      </c>
      <c r="AD584" t="s">
        <v>93</v>
      </c>
      <c r="AE584" s="40" t="s">
        <v>2471</v>
      </c>
      <c r="AF584" t="s">
        <v>11061</v>
      </c>
      <c r="AG584" t="s">
        <v>48</v>
      </c>
      <c r="AH584" t="s">
        <v>48</v>
      </c>
      <c r="AI584" t="s">
        <v>48</v>
      </c>
      <c r="AJ584" t="s">
        <v>48</v>
      </c>
      <c r="AK584" t="s">
        <v>48</v>
      </c>
      <c r="AL584" t="s">
        <v>48</v>
      </c>
      <c r="AM584" t="s">
        <v>48</v>
      </c>
      <c r="AN584" t="s">
        <v>48</v>
      </c>
      <c r="AO584" t="s">
        <v>48</v>
      </c>
      <c r="AP584" s="46">
        <v>0</v>
      </c>
      <c r="AQ584" s="46">
        <v>0</v>
      </c>
      <c r="AR584" s="46">
        <v>0</v>
      </c>
      <c r="AS584" s="46">
        <v>0</v>
      </c>
      <c r="AT584" s="46">
        <v>0</v>
      </c>
      <c r="AU584" s="46">
        <v>0</v>
      </c>
      <c r="AV584" s="46">
        <v>0</v>
      </c>
      <c r="AW584" s="46">
        <v>0</v>
      </c>
      <c r="AX584" s="46">
        <v>0</v>
      </c>
      <c r="AY584" s="46">
        <v>0</v>
      </c>
      <c r="AZ584" s="46">
        <v>0</v>
      </c>
      <c r="BA584" s="46">
        <v>0</v>
      </c>
      <c r="BB584" s="46">
        <v>0</v>
      </c>
      <c r="BC584" s="46">
        <v>0</v>
      </c>
      <c r="BD584" s="46">
        <v>0</v>
      </c>
      <c r="BE584" s="46">
        <v>0</v>
      </c>
      <c r="BF584" s="46">
        <v>0</v>
      </c>
      <c r="BG584" s="46" t="s">
        <v>48</v>
      </c>
      <c r="BH584" s="46">
        <v>0</v>
      </c>
      <c r="BI584" s="46">
        <v>0</v>
      </c>
      <c r="BJ584" s="46">
        <v>0</v>
      </c>
      <c r="BK584" s="46">
        <v>0</v>
      </c>
      <c r="BL584" s="46">
        <v>0</v>
      </c>
      <c r="BM584" s="46">
        <v>0</v>
      </c>
      <c r="BN584" s="46">
        <v>0</v>
      </c>
    </row>
    <row r="585" spans="1:66" x14ac:dyDescent="0.35">
      <c r="A585" t="s">
        <v>2251</v>
      </c>
      <c r="B585" s="44" t="s">
        <v>48</v>
      </c>
      <c r="C585" t="s">
        <v>718</v>
      </c>
      <c r="D585" t="s">
        <v>2256</v>
      </c>
      <c r="E585" t="s">
        <v>2252</v>
      </c>
      <c r="F585" t="s">
        <v>66</v>
      </c>
      <c r="G585" t="s">
        <v>74</v>
      </c>
      <c r="H585">
        <v>0</v>
      </c>
      <c r="I585" s="60" t="s">
        <v>51</v>
      </c>
      <c r="J585" s="33" t="s">
        <v>45</v>
      </c>
      <c r="K585" s="46">
        <v>1</v>
      </c>
      <c r="L585">
        <v>100</v>
      </c>
      <c r="M585" t="s">
        <v>48</v>
      </c>
      <c r="N585" s="46">
        <v>1</v>
      </c>
      <c r="O585" s="46">
        <v>0</v>
      </c>
      <c r="P585" s="46">
        <v>0</v>
      </c>
      <c r="Q585" t="s">
        <v>48</v>
      </c>
      <c r="R585" t="s">
        <v>48</v>
      </c>
      <c r="S585" t="s">
        <v>2253</v>
      </c>
      <c r="T585" t="s">
        <v>2254</v>
      </c>
      <c r="U585" t="s">
        <v>2253</v>
      </c>
      <c r="V585" s="47">
        <v>0</v>
      </c>
      <c r="W585" t="s">
        <v>48</v>
      </c>
      <c r="X585" t="s">
        <v>48</v>
      </c>
      <c r="Y585" t="s">
        <v>48</v>
      </c>
      <c r="Z585">
        <v>0</v>
      </c>
      <c r="AA585" t="s">
        <v>48</v>
      </c>
      <c r="AB585">
        <v>2006</v>
      </c>
      <c r="AC585" t="s">
        <v>49</v>
      </c>
      <c r="AD585" t="s">
        <v>93</v>
      </c>
      <c r="AE585" s="40" t="s">
        <v>2471</v>
      </c>
      <c r="AF585" t="s">
        <v>11061</v>
      </c>
      <c r="AG585" t="s">
        <v>2255</v>
      </c>
      <c r="AH585" t="s">
        <v>93</v>
      </c>
      <c r="AI585">
        <v>20712</v>
      </c>
      <c r="AJ585">
        <v>1954</v>
      </c>
      <c r="AK585" t="s">
        <v>8846</v>
      </c>
      <c r="AL585" t="s">
        <v>8847</v>
      </c>
      <c r="AM585">
        <v>-0.46800000000000003</v>
      </c>
      <c r="AN585">
        <v>3.0000000000000001E-3</v>
      </c>
      <c r="AO585">
        <v>-0.46800000000000003</v>
      </c>
      <c r="AP585" s="46">
        <v>0</v>
      </c>
      <c r="AQ585" s="46">
        <v>0</v>
      </c>
      <c r="AR585" s="46">
        <v>0</v>
      </c>
      <c r="AS585" s="46">
        <v>0</v>
      </c>
      <c r="AT585" s="46">
        <v>1</v>
      </c>
      <c r="AU585" s="46">
        <v>0</v>
      </c>
      <c r="AV585" s="46">
        <v>0</v>
      </c>
      <c r="AW585" s="46">
        <v>0</v>
      </c>
      <c r="AX585" s="46">
        <v>0</v>
      </c>
      <c r="AY585" s="46">
        <v>0</v>
      </c>
      <c r="AZ585" s="46">
        <v>0</v>
      </c>
      <c r="BA585" s="46">
        <v>0</v>
      </c>
      <c r="BB585" s="46">
        <v>0</v>
      </c>
      <c r="BC585" s="46">
        <v>0</v>
      </c>
      <c r="BD585" s="46">
        <v>0</v>
      </c>
      <c r="BE585" s="46">
        <v>0</v>
      </c>
      <c r="BF585" s="46">
        <v>0</v>
      </c>
      <c r="BG585" s="46" t="s">
        <v>48</v>
      </c>
      <c r="BH585" s="46">
        <v>0</v>
      </c>
      <c r="BI585" s="46">
        <v>0</v>
      </c>
      <c r="BJ585" s="46">
        <v>0</v>
      </c>
      <c r="BK585" s="46">
        <v>1</v>
      </c>
      <c r="BL585" s="46">
        <v>0</v>
      </c>
      <c r="BM585" s="46">
        <v>0</v>
      </c>
      <c r="BN585" s="46">
        <v>0</v>
      </c>
    </row>
    <row r="586" spans="1:66" ht="15" x14ac:dyDescent="0.4">
      <c r="A586" t="s">
        <v>2266</v>
      </c>
      <c r="B586" s="44" t="s">
        <v>48</v>
      </c>
      <c r="C586" t="s">
        <v>2268</v>
      </c>
      <c r="D586" t="s">
        <v>982</v>
      </c>
      <c r="E586" t="s">
        <v>11561</v>
      </c>
      <c r="F586" t="s">
        <v>66</v>
      </c>
      <c r="G586" t="s">
        <v>47</v>
      </c>
      <c r="H586">
        <v>0</v>
      </c>
      <c r="I586" s="61" t="s">
        <v>11160</v>
      </c>
      <c r="J586" s="33" t="s">
        <v>45</v>
      </c>
      <c r="K586" s="46">
        <v>0</v>
      </c>
      <c r="L586">
        <v>78.3</v>
      </c>
      <c r="M586" t="s">
        <v>48</v>
      </c>
      <c r="N586" s="46">
        <v>1</v>
      </c>
      <c r="O586" s="46">
        <v>0</v>
      </c>
      <c r="P586" s="46">
        <v>0</v>
      </c>
      <c r="Q586" t="s">
        <v>48</v>
      </c>
      <c r="R586" t="s">
        <v>48</v>
      </c>
      <c r="S586" s="55" t="s">
        <v>11294</v>
      </c>
      <c r="T586" t="s">
        <v>48</v>
      </c>
      <c r="U586" s="55" t="s">
        <v>11294</v>
      </c>
      <c r="V586" s="47">
        <v>1</v>
      </c>
      <c r="W586" t="s">
        <v>48</v>
      </c>
      <c r="X586" t="s">
        <v>48</v>
      </c>
      <c r="Y586" t="s">
        <v>48</v>
      </c>
      <c r="Z586">
        <v>0</v>
      </c>
      <c r="AA586" t="s">
        <v>48</v>
      </c>
      <c r="AB586" t="s">
        <v>48</v>
      </c>
      <c r="AC586" t="s">
        <v>49</v>
      </c>
      <c r="AD586" t="s">
        <v>951</v>
      </c>
      <c r="AE586" t="s">
        <v>11051</v>
      </c>
      <c r="AF586" t="s">
        <v>48</v>
      </c>
      <c r="AG586" t="s">
        <v>48</v>
      </c>
      <c r="AH586" t="s">
        <v>48</v>
      </c>
      <c r="AI586" t="s">
        <v>48</v>
      </c>
      <c r="AJ586" t="s">
        <v>48</v>
      </c>
      <c r="AK586" t="s">
        <v>48</v>
      </c>
      <c r="AL586" t="s">
        <v>48</v>
      </c>
      <c r="AM586" t="s">
        <v>48</v>
      </c>
      <c r="AN586" t="s">
        <v>48</v>
      </c>
      <c r="AO586" t="s">
        <v>48</v>
      </c>
      <c r="AP586" s="46">
        <v>0</v>
      </c>
      <c r="AQ586" s="46">
        <v>0</v>
      </c>
      <c r="AR586" s="46">
        <v>0</v>
      </c>
      <c r="AS586" s="46">
        <v>0</v>
      </c>
      <c r="AT586" s="46">
        <v>0</v>
      </c>
      <c r="AU586" s="46">
        <v>0</v>
      </c>
      <c r="AV586" s="46">
        <v>0</v>
      </c>
      <c r="AW586" s="46">
        <v>0</v>
      </c>
      <c r="AX586" s="46">
        <v>0</v>
      </c>
      <c r="AY586" s="46">
        <v>0</v>
      </c>
      <c r="AZ586" s="46">
        <v>0</v>
      </c>
      <c r="BA586" s="46">
        <v>0</v>
      </c>
      <c r="BB586" s="46">
        <v>0</v>
      </c>
      <c r="BC586" s="46">
        <v>0</v>
      </c>
      <c r="BD586" s="46">
        <v>0</v>
      </c>
      <c r="BE586" s="46">
        <v>0</v>
      </c>
      <c r="BF586" s="46">
        <v>0</v>
      </c>
      <c r="BG586" s="46" t="s">
        <v>48</v>
      </c>
      <c r="BH586" s="46">
        <v>0</v>
      </c>
      <c r="BI586" s="46">
        <v>0</v>
      </c>
      <c r="BJ586" s="46">
        <v>0</v>
      </c>
      <c r="BK586" s="46">
        <v>0</v>
      </c>
      <c r="BL586" s="46">
        <v>0</v>
      </c>
      <c r="BM586" s="46">
        <v>0</v>
      </c>
      <c r="BN586" s="46">
        <v>0</v>
      </c>
    </row>
    <row r="587" spans="1:66" x14ac:dyDescent="0.35">
      <c r="A587" t="s">
        <v>2263</v>
      </c>
      <c r="B587" s="44" t="s">
        <v>48</v>
      </c>
      <c r="C587" t="s">
        <v>2265</v>
      </c>
      <c r="D587" t="s">
        <v>266</v>
      </c>
      <c r="E587" t="s">
        <v>2264</v>
      </c>
      <c r="F587" t="s">
        <v>2257</v>
      </c>
      <c r="G587" t="s">
        <v>47</v>
      </c>
      <c r="H587">
        <v>0</v>
      </c>
      <c r="I587" s="60" t="s">
        <v>78</v>
      </c>
      <c r="J587" s="33" t="s">
        <v>45</v>
      </c>
      <c r="K587" s="46">
        <v>0</v>
      </c>
      <c r="L587">
        <v>100</v>
      </c>
      <c r="M587" t="s">
        <v>48</v>
      </c>
      <c r="N587" s="46">
        <v>1</v>
      </c>
      <c r="O587" s="46">
        <v>0</v>
      </c>
      <c r="P587" s="46">
        <v>0</v>
      </c>
      <c r="Q587" t="s">
        <v>48</v>
      </c>
      <c r="R587" t="s">
        <v>48</v>
      </c>
      <c r="S587" t="s">
        <v>10084</v>
      </c>
      <c r="T587" t="s">
        <v>48</v>
      </c>
      <c r="U587" t="s">
        <v>10084</v>
      </c>
      <c r="V587" s="47">
        <v>1</v>
      </c>
      <c r="W587" t="s">
        <v>48</v>
      </c>
      <c r="X587" t="s">
        <v>48</v>
      </c>
      <c r="Y587" t="s">
        <v>48</v>
      </c>
      <c r="Z587">
        <v>0</v>
      </c>
      <c r="AA587" t="s">
        <v>48</v>
      </c>
      <c r="AB587" t="s">
        <v>48</v>
      </c>
      <c r="AC587" t="s">
        <v>49</v>
      </c>
      <c r="AD587" t="s">
        <v>93</v>
      </c>
      <c r="AE587" t="s">
        <v>4532</v>
      </c>
      <c r="AF587" t="s">
        <v>48</v>
      </c>
      <c r="AG587" t="s">
        <v>48</v>
      </c>
      <c r="AH587" t="s">
        <v>48</v>
      </c>
      <c r="AI587" t="s">
        <v>48</v>
      </c>
      <c r="AJ587" t="s">
        <v>48</v>
      </c>
      <c r="AK587" t="s">
        <v>48</v>
      </c>
      <c r="AL587" t="s">
        <v>48</v>
      </c>
      <c r="AM587" t="s">
        <v>48</v>
      </c>
      <c r="AN587" t="s">
        <v>48</v>
      </c>
      <c r="AO587" t="s">
        <v>48</v>
      </c>
      <c r="AP587" s="46">
        <v>0</v>
      </c>
      <c r="AQ587" s="46">
        <v>0</v>
      </c>
      <c r="AR587" s="46">
        <v>0</v>
      </c>
      <c r="AS587" s="46">
        <v>0</v>
      </c>
      <c r="AT587" s="46">
        <v>0</v>
      </c>
      <c r="AU587" s="46">
        <v>0</v>
      </c>
      <c r="AV587" s="46">
        <v>0</v>
      </c>
      <c r="AW587" s="46">
        <v>0</v>
      </c>
      <c r="AX587" s="46">
        <v>0</v>
      </c>
      <c r="AY587" s="46">
        <v>0</v>
      </c>
      <c r="AZ587" s="46">
        <v>0</v>
      </c>
      <c r="BA587" s="46">
        <v>0</v>
      </c>
      <c r="BB587" s="46">
        <v>0</v>
      </c>
      <c r="BC587" s="46">
        <v>0</v>
      </c>
      <c r="BD587" s="46">
        <v>0</v>
      </c>
      <c r="BE587" s="46">
        <v>0</v>
      </c>
      <c r="BF587" s="46">
        <v>0</v>
      </c>
      <c r="BG587" s="46" t="s">
        <v>48</v>
      </c>
      <c r="BH587" s="46">
        <v>0</v>
      </c>
      <c r="BI587" s="46">
        <v>0</v>
      </c>
      <c r="BJ587" s="46">
        <v>0</v>
      </c>
      <c r="BK587" s="46">
        <v>0</v>
      </c>
      <c r="BL587" s="46">
        <v>0</v>
      </c>
      <c r="BM587" s="46">
        <v>0</v>
      </c>
      <c r="BN587" s="46">
        <v>0</v>
      </c>
    </row>
    <row r="588" spans="1:66" x14ac:dyDescent="0.35">
      <c r="A588" t="s">
        <v>2258</v>
      </c>
      <c r="B588" t="s">
        <v>48</v>
      </c>
      <c r="C588" t="s">
        <v>332</v>
      </c>
      <c r="D588" t="s">
        <v>2262</v>
      </c>
      <c r="E588" t="s">
        <v>2259</v>
      </c>
      <c r="F588" t="s">
        <v>2257</v>
      </c>
      <c r="G588" t="s">
        <v>74</v>
      </c>
      <c r="H588">
        <v>0</v>
      </c>
      <c r="I588" s="60" t="s">
        <v>51</v>
      </c>
      <c r="J588" s="33" t="s">
        <v>45</v>
      </c>
      <c r="K588" s="46">
        <v>1</v>
      </c>
      <c r="L588">
        <v>86.3</v>
      </c>
      <c r="M588" t="s">
        <v>48</v>
      </c>
      <c r="N588" s="46">
        <v>1</v>
      </c>
      <c r="O588" s="46">
        <v>0</v>
      </c>
      <c r="P588" s="46">
        <v>0</v>
      </c>
      <c r="Q588" t="s">
        <v>48</v>
      </c>
      <c r="R588" t="s">
        <v>48</v>
      </c>
      <c r="S588" t="s">
        <v>2260</v>
      </c>
      <c r="T588" t="s">
        <v>2261</v>
      </c>
      <c r="U588" t="s">
        <v>2260</v>
      </c>
      <c r="V588" s="47">
        <v>0</v>
      </c>
      <c r="W588" t="s">
        <v>48</v>
      </c>
      <c r="X588" t="s">
        <v>48</v>
      </c>
      <c r="Y588" t="s">
        <v>48</v>
      </c>
      <c r="Z588">
        <v>1</v>
      </c>
      <c r="AA588" t="s">
        <v>48</v>
      </c>
      <c r="AB588">
        <v>2020</v>
      </c>
      <c r="AC588" t="s">
        <v>63</v>
      </c>
      <c r="AD588" t="s">
        <v>93</v>
      </c>
      <c r="AE588" t="s">
        <v>2471</v>
      </c>
      <c r="AF588" t="s">
        <v>48</v>
      </c>
      <c r="AG588" t="s">
        <v>48</v>
      </c>
      <c r="AH588" t="s">
        <v>48</v>
      </c>
      <c r="AI588">
        <v>22156</v>
      </c>
      <c r="AJ588">
        <v>1978</v>
      </c>
      <c r="AK588" t="s">
        <v>8848</v>
      </c>
      <c r="AL588" t="s">
        <v>8849</v>
      </c>
      <c r="AM588">
        <v>-0.39100000000000001</v>
      </c>
      <c r="AN588">
        <v>-0.34799999999999998</v>
      </c>
      <c r="AO588">
        <v>-0.39100000000000001</v>
      </c>
      <c r="AP588" s="46">
        <v>0</v>
      </c>
      <c r="AQ588" s="46">
        <v>0</v>
      </c>
      <c r="AR588" s="46">
        <v>0</v>
      </c>
      <c r="AS588" s="46">
        <v>0</v>
      </c>
      <c r="AT588" s="46">
        <v>1</v>
      </c>
      <c r="AU588" s="46">
        <v>1</v>
      </c>
      <c r="AV588" s="46">
        <v>0</v>
      </c>
      <c r="AW588" s="46">
        <v>0</v>
      </c>
      <c r="AX588" s="46">
        <v>0</v>
      </c>
      <c r="AY588" s="46">
        <v>0</v>
      </c>
      <c r="AZ588" s="46">
        <v>0</v>
      </c>
      <c r="BA588" s="46">
        <v>0</v>
      </c>
      <c r="BB588" s="46">
        <v>0</v>
      </c>
      <c r="BC588" s="46">
        <v>0</v>
      </c>
      <c r="BD588" s="46">
        <v>0</v>
      </c>
      <c r="BE588" s="46">
        <v>0</v>
      </c>
      <c r="BF588" s="46">
        <v>0</v>
      </c>
      <c r="BG588" s="46" t="s">
        <v>48</v>
      </c>
      <c r="BH588" s="46">
        <v>0</v>
      </c>
      <c r="BI588" s="46">
        <v>0</v>
      </c>
      <c r="BJ588" s="46">
        <v>0</v>
      </c>
      <c r="BK588" s="46">
        <v>0</v>
      </c>
      <c r="BL588" s="46">
        <v>0</v>
      </c>
      <c r="BM588" s="46">
        <v>0</v>
      </c>
      <c r="BN588" s="46">
        <v>0</v>
      </c>
    </row>
    <row r="589" spans="1:66" ht="15" x14ac:dyDescent="0.4">
      <c r="A589" t="s">
        <v>7971</v>
      </c>
      <c r="B589" s="44" t="s">
        <v>48</v>
      </c>
      <c r="C589" t="s">
        <v>266</v>
      </c>
      <c r="D589" t="s">
        <v>2513</v>
      </c>
      <c r="E589" t="s">
        <v>7972</v>
      </c>
      <c r="F589" t="s">
        <v>2267</v>
      </c>
      <c r="G589" t="s">
        <v>74</v>
      </c>
      <c r="H589">
        <v>0</v>
      </c>
      <c r="I589" s="61" t="s">
        <v>11160</v>
      </c>
      <c r="J589" s="33" t="s">
        <v>45</v>
      </c>
      <c r="K589" s="46">
        <v>0</v>
      </c>
      <c r="L589">
        <v>55.6</v>
      </c>
      <c r="M589" t="s">
        <v>48</v>
      </c>
      <c r="N589" s="46">
        <v>1</v>
      </c>
      <c r="O589" s="46">
        <v>0</v>
      </c>
      <c r="P589" s="46">
        <v>0</v>
      </c>
      <c r="Q589" t="s">
        <v>48</v>
      </c>
      <c r="R589" t="s">
        <v>48</v>
      </c>
      <c r="S589" s="55" t="s">
        <v>11267</v>
      </c>
      <c r="T589" t="s">
        <v>48</v>
      </c>
      <c r="U589" s="55" t="s">
        <v>11267</v>
      </c>
      <c r="V589" s="47">
        <v>0</v>
      </c>
      <c r="W589" t="s">
        <v>48</v>
      </c>
      <c r="X589" t="s">
        <v>48</v>
      </c>
      <c r="Y589" t="s">
        <v>48</v>
      </c>
      <c r="Z589" t="s">
        <v>48</v>
      </c>
      <c r="AA589" t="s">
        <v>48</v>
      </c>
      <c r="AB589" t="s">
        <v>48</v>
      </c>
      <c r="AC589" t="s">
        <v>49</v>
      </c>
      <c r="AD589" t="s">
        <v>93</v>
      </c>
      <c r="AE589" t="s">
        <v>4532</v>
      </c>
      <c r="AF589" t="s">
        <v>48</v>
      </c>
      <c r="AG589" t="s">
        <v>48</v>
      </c>
      <c r="AH589" t="s">
        <v>48</v>
      </c>
      <c r="AI589" t="s">
        <v>48</v>
      </c>
      <c r="AJ589" t="s">
        <v>48</v>
      </c>
      <c r="AK589" t="s">
        <v>48</v>
      </c>
      <c r="AL589" t="s">
        <v>48</v>
      </c>
      <c r="AM589" t="s">
        <v>48</v>
      </c>
      <c r="AN589" t="s">
        <v>48</v>
      </c>
      <c r="AO589" t="s">
        <v>48</v>
      </c>
      <c r="AP589" s="46">
        <v>0</v>
      </c>
      <c r="AQ589" s="46">
        <v>0</v>
      </c>
      <c r="AR589" s="46">
        <v>0</v>
      </c>
      <c r="AS589" s="46">
        <v>0</v>
      </c>
      <c r="AT589" s="46">
        <v>0</v>
      </c>
      <c r="AU589" s="46">
        <v>0</v>
      </c>
      <c r="AV589" s="46">
        <v>0</v>
      </c>
      <c r="AW589" s="46">
        <v>0</v>
      </c>
      <c r="AX589" s="46">
        <v>0</v>
      </c>
      <c r="AY589" s="46">
        <v>0</v>
      </c>
      <c r="AZ589" s="46">
        <v>0</v>
      </c>
      <c r="BA589" s="46">
        <v>0</v>
      </c>
      <c r="BB589" s="46">
        <v>0</v>
      </c>
      <c r="BC589" s="46">
        <v>0</v>
      </c>
      <c r="BD589" s="46">
        <v>0</v>
      </c>
      <c r="BE589" s="46">
        <v>0</v>
      </c>
      <c r="BF589" s="46">
        <v>0</v>
      </c>
      <c r="BG589" s="46" t="s">
        <v>48</v>
      </c>
      <c r="BH589" s="46">
        <v>0</v>
      </c>
      <c r="BI589" s="46">
        <v>0</v>
      </c>
      <c r="BJ589" s="46">
        <v>0</v>
      </c>
      <c r="BK589" s="46">
        <v>0</v>
      </c>
      <c r="BL589" s="46">
        <v>0</v>
      </c>
      <c r="BM589" s="46">
        <v>0</v>
      </c>
      <c r="BN589" s="46">
        <v>0</v>
      </c>
    </row>
    <row r="590" spans="1:66" x14ac:dyDescent="0.35">
      <c r="A590" t="s">
        <v>2285</v>
      </c>
      <c r="B590" s="44" t="s">
        <v>48</v>
      </c>
      <c r="C590" t="s">
        <v>2288</v>
      </c>
      <c r="D590" t="s">
        <v>11859</v>
      </c>
      <c r="E590" t="s">
        <v>2286</v>
      </c>
      <c r="F590" t="s">
        <v>2267</v>
      </c>
      <c r="G590" t="s">
        <v>47</v>
      </c>
      <c r="H590">
        <v>0</v>
      </c>
      <c r="I590" s="60" t="s">
        <v>149</v>
      </c>
      <c r="J590" s="33" t="s">
        <v>45</v>
      </c>
      <c r="K590" s="46">
        <v>0</v>
      </c>
      <c r="L590">
        <v>43.1</v>
      </c>
      <c r="M590">
        <v>66.5</v>
      </c>
      <c r="N590" s="46">
        <v>1</v>
      </c>
      <c r="O590" s="46">
        <v>0</v>
      </c>
      <c r="P590" s="46">
        <v>0</v>
      </c>
      <c r="Q590" t="s">
        <v>48</v>
      </c>
      <c r="R590" t="s">
        <v>48</v>
      </c>
      <c r="S590" t="s">
        <v>2287</v>
      </c>
      <c r="T590" t="s">
        <v>48</v>
      </c>
      <c r="U590" t="s">
        <v>2287</v>
      </c>
      <c r="V590" s="47">
        <v>0</v>
      </c>
      <c r="W590" t="s">
        <v>48</v>
      </c>
      <c r="X590" t="s">
        <v>48</v>
      </c>
      <c r="Y590" t="s">
        <v>48</v>
      </c>
      <c r="Z590">
        <v>0</v>
      </c>
      <c r="AA590" t="s">
        <v>48</v>
      </c>
      <c r="AB590" t="s">
        <v>48</v>
      </c>
      <c r="AC590" t="s">
        <v>49</v>
      </c>
      <c r="AD590" t="s">
        <v>93</v>
      </c>
      <c r="AE590" t="s">
        <v>4532</v>
      </c>
      <c r="AF590" t="s">
        <v>48</v>
      </c>
      <c r="AG590" t="s">
        <v>48</v>
      </c>
      <c r="AH590" t="s">
        <v>48</v>
      </c>
      <c r="AI590" t="s">
        <v>48</v>
      </c>
      <c r="AJ590" t="s">
        <v>48</v>
      </c>
      <c r="AK590" t="s">
        <v>48</v>
      </c>
      <c r="AL590" t="s">
        <v>48</v>
      </c>
      <c r="AM590" t="s">
        <v>48</v>
      </c>
      <c r="AN590" t="s">
        <v>48</v>
      </c>
      <c r="AO590" t="s">
        <v>48</v>
      </c>
      <c r="AP590" s="46">
        <v>0</v>
      </c>
      <c r="AQ590" s="46">
        <v>0</v>
      </c>
      <c r="AR590" s="46">
        <v>0</v>
      </c>
      <c r="AS590" s="46">
        <v>0</v>
      </c>
      <c r="AT590" s="46">
        <v>0</v>
      </c>
      <c r="AU590" s="46">
        <v>0</v>
      </c>
      <c r="AV590" s="46">
        <v>0</v>
      </c>
      <c r="AW590" s="46">
        <v>0</v>
      </c>
      <c r="AX590" s="46">
        <v>0</v>
      </c>
      <c r="AY590" s="46">
        <v>0</v>
      </c>
      <c r="AZ590" s="46">
        <v>0</v>
      </c>
      <c r="BA590" s="46">
        <v>0</v>
      </c>
      <c r="BB590" s="46">
        <v>0</v>
      </c>
      <c r="BC590" s="46">
        <v>0</v>
      </c>
      <c r="BD590" s="46">
        <v>0</v>
      </c>
      <c r="BE590" s="46">
        <v>0</v>
      </c>
      <c r="BF590" s="46">
        <v>0</v>
      </c>
      <c r="BG590" s="46">
        <v>1</v>
      </c>
      <c r="BH590" s="46">
        <v>0</v>
      </c>
      <c r="BI590" s="46">
        <v>0</v>
      </c>
      <c r="BJ590" s="46">
        <v>0</v>
      </c>
      <c r="BK590" s="46">
        <v>0</v>
      </c>
      <c r="BL590" s="46">
        <v>0</v>
      </c>
      <c r="BM590" s="46">
        <v>0</v>
      </c>
      <c r="BN590" s="46">
        <v>0</v>
      </c>
    </row>
    <row r="591" spans="1:66" x14ac:dyDescent="0.35">
      <c r="A591" t="s">
        <v>2315</v>
      </c>
      <c r="B591" t="s">
        <v>48</v>
      </c>
      <c r="C591" t="s">
        <v>2319</v>
      </c>
      <c r="D591" t="s">
        <v>2318</v>
      </c>
      <c r="E591" t="s">
        <v>9787</v>
      </c>
      <c r="F591" t="s">
        <v>2302</v>
      </c>
      <c r="G591" t="s">
        <v>74</v>
      </c>
      <c r="H591">
        <v>0</v>
      </c>
      <c r="I591" s="60" t="str">
        <f>"2022-06-29"</f>
        <v>2022-06-29</v>
      </c>
      <c r="J591" s="33" t="s">
        <v>45</v>
      </c>
      <c r="K591" s="46">
        <v>1</v>
      </c>
      <c r="L591">
        <v>63</v>
      </c>
      <c r="M591" t="s">
        <v>48</v>
      </c>
      <c r="N591" s="46">
        <v>1</v>
      </c>
      <c r="O591" s="46">
        <v>0</v>
      </c>
      <c r="P591" s="46">
        <v>0</v>
      </c>
      <c r="Q591" t="s">
        <v>48</v>
      </c>
      <c r="R591" t="s">
        <v>48</v>
      </c>
      <c r="S591" t="s">
        <v>2316</v>
      </c>
      <c r="T591" t="s">
        <v>2317</v>
      </c>
      <c r="U591" t="s">
        <v>2316</v>
      </c>
      <c r="V591" s="47">
        <v>0</v>
      </c>
      <c r="W591" t="s">
        <v>48</v>
      </c>
      <c r="X591" t="s">
        <v>48</v>
      </c>
      <c r="Y591" t="s">
        <v>48</v>
      </c>
      <c r="Z591">
        <v>0</v>
      </c>
      <c r="AA591" t="s">
        <v>48</v>
      </c>
      <c r="AB591">
        <v>2018</v>
      </c>
      <c r="AC591" t="s">
        <v>63</v>
      </c>
      <c r="AD591" t="s">
        <v>93</v>
      </c>
      <c r="AE591" s="40" t="s">
        <v>2471</v>
      </c>
      <c r="AF591" t="s">
        <v>11061</v>
      </c>
      <c r="AG591" t="s">
        <v>112</v>
      </c>
      <c r="AH591" t="s">
        <v>93</v>
      </c>
      <c r="AI591">
        <v>21944</v>
      </c>
      <c r="AJ591">
        <v>1960</v>
      </c>
      <c r="AK591" t="s">
        <v>8850</v>
      </c>
      <c r="AL591" t="s">
        <v>8851</v>
      </c>
      <c r="AM591">
        <v>-0.27900000000000003</v>
      </c>
      <c r="AN591">
        <v>0.39400000000000002</v>
      </c>
      <c r="AO591">
        <v>-0.27900000000000003</v>
      </c>
      <c r="AP591" s="46">
        <v>0</v>
      </c>
      <c r="AQ591" s="46">
        <v>0</v>
      </c>
      <c r="AR591" s="46">
        <v>0</v>
      </c>
      <c r="AS591" s="46">
        <v>0</v>
      </c>
      <c r="AT591" s="46">
        <v>0</v>
      </c>
      <c r="AU591" s="46">
        <v>1</v>
      </c>
      <c r="AV591" s="46">
        <v>0</v>
      </c>
      <c r="AW591" s="46">
        <v>0</v>
      </c>
      <c r="AX591" s="46">
        <v>0</v>
      </c>
      <c r="AY591" s="46">
        <v>0</v>
      </c>
      <c r="AZ591" s="46">
        <v>0</v>
      </c>
      <c r="BA591" s="46">
        <v>0</v>
      </c>
      <c r="BB591" s="46">
        <v>0</v>
      </c>
      <c r="BC591" s="46">
        <v>0</v>
      </c>
      <c r="BD591" s="46">
        <v>0</v>
      </c>
      <c r="BE591" s="46">
        <v>0</v>
      </c>
      <c r="BF591" s="46">
        <v>0</v>
      </c>
      <c r="BG591" s="46" t="s">
        <v>48</v>
      </c>
      <c r="BH591" s="46">
        <v>0</v>
      </c>
      <c r="BI591" s="46">
        <v>0</v>
      </c>
      <c r="BJ591" s="46">
        <v>0</v>
      </c>
      <c r="BK591" s="46">
        <v>0</v>
      </c>
      <c r="BL591" s="46">
        <v>0</v>
      </c>
      <c r="BM591" s="46">
        <v>0</v>
      </c>
      <c r="BN591" s="46">
        <v>0</v>
      </c>
    </row>
    <row r="592" spans="1:66" x14ac:dyDescent="0.35">
      <c r="A592" t="s">
        <v>2307</v>
      </c>
      <c r="B592" s="44" t="s">
        <v>48</v>
      </c>
      <c r="C592" t="s">
        <v>2310</v>
      </c>
      <c r="D592" t="s">
        <v>396</v>
      </c>
      <c r="E592" t="s">
        <v>2308</v>
      </c>
      <c r="F592" t="s">
        <v>2302</v>
      </c>
      <c r="G592" t="s">
        <v>47</v>
      </c>
      <c r="H592">
        <v>0</v>
      </c>
      <c r="I592" s="60" t="s">
        <v>51</v>
      </c>
      <c r="J592" s="33" t="s">
        <v>45</v>
      </c>
      <c r="K592" s="46">
        <v>0</v>
      </c>
      <c r="L592">
        <v>41.2</v>
      </c>
      <c r="M592">
        <v>29.9</v>
      </c>
      <c r="N592" s="46">
        <v>1</v>
      </c>
      <c r="O592" s="46">
        <v>0</v>
      </c>
      <c r="P592" s="46">
        <v>0</v>
      </c>
      <c r="Q592" t="s">
        <v>48</v>
      </c>
      <c r="R592" t="s">
        <v>48</v>
      </c>
      <c r="S592" t="s">
        <v>2309</v>
      </c>
      <c r="T592" t="s">
        <v>48</v>
      </c>
      <c r="U592" t="s">
        <v>2309</v>
      </c>
      <c r="V592" s="47">
        <v>1</v>
      </c>
      <c r="W592" t="s">
        <v>48</v>
      </c>
      <c r="X592" t="s">
        <v>48</v>
      </c>
      <c r="Y592" t="s">
        <v>48</v>
      </c>
      <c r="Z592">
        <v>0</v>
      </c>
      <c r="AA592" t="s">
        <v>48</v>
      </c>
      <c r="AB592" t="s">
        <v>48</v>
      </c>
      <c r="AC592" t="s">
        <v>49</v>
      </c>
      <c r="AD592" t="s">
        <v>93</v>
      </c>
      <c r="AE592" t="s">
        <v>4532</v>
      </c>
      <c r="AF592" t="s">
        <v>48</v>
      </c>
      <c r="AG592" t="s">
        <v>48</v>
      </c>
      <c r="AH592" t="s">
        <v>48</v>
      </c>
      <c r="AI592" t="s">
        <v>48</v>
      </c>
      <c r="AJ592" t="s">
        <v>48</v>
      </c>
      <c r="AK592" t="s">
        <v>48</v>
      </c>
      <c r="AL592" t="s">
        <v>48</v>
      </c>
      <c r="AM592" t="s">
        <v>48</v>
      </c>
      <c r="AN592" t="s">
        <v>48</v>
      </c>
      <c r="AO592" t="s">
        <v>48</v>
      </c>
      <c r="AP592" s="46">
        <v>0</v>
      </c>
      <c r="AQ592" s="46">
        <v>0</v>
      </c>
      <c r="AR592" s="46">
        <v>0</v>
      </c>
      <c r="AS592" s="46">
        <v>0</v>
      </c>
      <c r="AT592" s="46">
        <v>0</v>
      </c>
      <c r="AU592" s="46">
        <v>0</v>
      </c>
      <c r="AV592" s="46">
        <v>0</v>
      </c>
      <c r="AW592" s="46">
        <v>0</v>
      </c>
      <c r="AX592" s="46">
        <v>0</v>
      </c>
      <c r="AY592" s="46">
        <v>0</v>
      </c>
      <c r="AZ592" s="46">
        <v>0</v>
      </c>
      <c r="BA592" s="46">
        <v>0</v>
      </c>
      <c r="BB592" s="46">
        <v>0</v>
      </c>
      <c r="BC592" s="46">
        <v>0</v>
      </c>
      <c r="BD592" s="46">
        <v>0</v>
      </c>
      <c r="BE592" s="46">
        <v>0</v>
      </c>
      <c r="BF592" s="46">
        <v>0</v>
      </c>
      <c r="BG592" s="46" t="s">
        <v>48</v>
      </c>
      <c r="BH592" s="46">
        <v>0</v>
      </c>
      <c r="BI592" s="46">
        <v>0</v>
      </c>
      <c r="BJ592" s="46">
        <v>0</v>
      </c>
      <c r="BK592" s="46">
        <v>0</v>
      </c>
      <c r="BL592" s="46">
        <v>0</v>
      </c>
      <c r="BM592" s="46">
        <v>0</v>
      </c>
      <c r="BN592" s="46">
        <v>0</v>
      </c>
    </row>
    <row r="593" spans="1:66" x14ac:dyDescent="0.35">
      <c r="A593" t="s">
        <v>2330</v>
      </c>
      <c r="B593" s="44" t="s">
        <v>48</v>
      </c>
      <c r="C593" t="s">
        <v>885</v>
      </c>
      <c r="D593" t="s">
        <v>2334</v>
      </c>
      <c r="E593" t="s">
        <v>2331</v>
      </c>
      <c r="F593" t="s">
        <v>2325</v>
      </c>
      <c r="G593" t="s">
        <v>47</v>
      </c>
      <c r="H593">
        <v>0</v>
      </c>
      <c r="I593" s="60" t="s">
        <v>51</v>
      </c>
      <c r="J593" s="33" t="s">
        <v>45</v>
      </c>
      <c r="K593" s="46">
        <v>1</v>
      </c>
      <c r="L593">
        <v>100</v>
      </c>
      <c r="M593" t="s">
        <v>48</v>
      </c>
      <c r="N593" s="46">
        <v>1</v>
      </c>
      <c r="O593" s="46">
        <v>0</v>
      </c>
      <c r="P593" s="46">
        <v>0</v>
      </c>
      <c r="Q593" t="s">
        <v>48</v>
      </c>
      <c r="R593" t="s">
        <v>48</v>
      </c>
      <c r="S593" t="s">
        <v>2332</v>
      </c>
      <c r="T593" t="s">
        <v>2333</v>
      </c>
      <c r="U593" t="s">
        <v>2332</v>
      </c>
      <c r="V593" s="47">
        <v>0</v>
      </c>
      <c r="W593" t="s">
        <v>48</v>
      </c>
      <c r="X593" t="s">
        <v>48</v>
      </c>
      <c r="Y593" t="s">
        <v>48</v>
      </c>
      <c r="Z593">
        <v>0</v>
      </c>
      <c r="AA593" t="s">
        <v>48</v>
      </c>
      <c r="AB593">
        <v>2010</v>
      </c>
      <c r="AC593" t="s">
        <v>49</v>
      </c>
      <c r="AD593" t="s">
        <v>93</v>
      </c>
      <c r="AE593" t="s">
        <v>4532</v>
      </c>
      <c r="AF593" t="s">
        <v>48</v>
      </c>
      <c r="AG593" t="s">
        <v>184</v>
      </c>
      <c r="AH593" t="s">
        <v>93</v>
      </c>
      <c r="AI593">
        <v>21123</v>
      </c>
      <c r="AJ593">
        <v>1969</v>
      </c>
      <c r="AK593" t="s">
        <v>8854</v>
      </c>
      <c r="AL593" t="s">
        <v>8855</v>
      </c>
      <c r="AM593">
        <v>0.56000000000000005</v>
      </c>
      <c r="AN593">
        <v>0.22500000000000001</v>
      </c>
      <c r="AO593">
        <v>0.56000000000000005</v>
      </c>
      <c r="AP593" s="46">
        <v>0</v>
      </c>
      <c r="AQ593" s="46">
        <v>0</v>
      </c>
      <c r="AR593" s="46">
        <v>0</v>
      </c>
      <c r="AS593" s="46">
        <v>0</v>
      </c>
      <c r="AT593" s="46">
        <v>0</v>
      </c>
      <c r="AU593" s="46">
        <v>0</v>
      </c>
      <c r="AV593" s="46">
        <v>0</v>
      </c>
      <c r="AW593" s="46">
        <v>0</v>
      </c>
      <c r="AX593" s="46">
        <v>0</v>
      </c>
      <c r="AY593" s="46">
        <v>0</v>
      </c>
      <c r="AZ593" s="46">
        <v>0</v>
      </c>
      <c r="BA593" s="46">
        <v>0</v>
      </c>
      <c r="BB593" s="46">
        <v>1</v>
      </c>
      <c r="BC593" s="46">
        <v>0</v>
      </c>
      <c r="BD593" s="46">
        <v>0</v>
      </c>
      <c r="BE593" s="46">
        <v>0</v>
      </c>
      <c r="BF593" s="46">
        <v>0</v>
      </c>
      <c r="BG593" s="46">
        <v>1</v>
      </c>
      <c r="BH593" s="46">
        <v>0</v>
      </c>
      <c r="BI593" s="46">
        <v>0</v>
      </c>
      <c r="BJ593" s="46">
        <v>0</v>
      </c>
      <c r="BK593" s="46">
        <v>0</v>
      </c>
      <c r="BL593" s="46">
        <v>0</v>
      </c>
      <c r="BM593" s="46">
        <v>0</v>
      </c>
      <c r="BN593" s="46">
        <v>0</v>
      </c>
    </row>
    <row r="594" spans="1:66" x14ac:dyDescent="0.35">
      <c r="A594" t="s">
        <v>2324</v>
      </c>
      <c r="B594" s="44" t="s">
        <v>48</v>
      </c>
      <c r="C594" t="s">
        <v>2329</v>
      </c>
      <c r="D594" t="s">
        <v>2328</v>
      </c>
      <c r="E594" t="s">
        <v>2326</v>
      </c>
      <c r="F594" t="s">
        <v>2325</v>
      </c>
      <c r="G594" t="s">
        <v>74</v>
      </c>
      <c r="H594">
        <v>0</v>
      </c>
      <c r="I594" s="60" t="s">
        <v>125</v>
      </c>
      <c r="J594" s="33" t="s">
        <v>45</v>
      </c>
      <c r="K594" s="46">
        <v>0</v>
      </c>
      <c r="L594">
        <v>100</v>
      </c>
      <c r="M594" t="s">
        <v>48</v>
      </c>
      <c r="N594" s="46">
        <v>1</v>
      </c>
      <c r="O594" s="46">
        <v>0</v>
      </c>
      <c r="P594" s="46">
        <v>0</v>
      </c>
      <c r="Q594" t="s">
        <v>48</v>
      </c>
      <c r="R594" t="s">
        <v>48</v>
      </c>
      <c r="S594" t="s">
        <v>2327</v>
      </c>
      <c r="T594" t="s">
        <v>48</v>
      </c>
      <c r="U594" t="s">
        <v>2327</v>
      </c>
      <c r="V594" s="47">
        <v>0</v>
      </c>
      <c r="W594" t="s">
        <v>48</v>
      </c>
      <c r="X594" t="s">
        <v>48</v>
      </c>
      <c r="Y594" t="s">
        <v>48</v>
      </c>
      <c r="Z594">
        <v>0</v>
      </c>
      <c r="AA594" t="s">
        <v>48</v>
      </c>
      <c r="AB594" t="s">
        <v>48</v>
      </c>
      <c r="AC594" t="s">
        <v>49</v>
      </c>
      <c r="AD594" t="s">
        <v>93</v>
      </c>
      <c r="AE594" s="40" t="s">
        <v>2471</v>
      </c>
      <c r="AF594" t="s">
        <v>11061</v>
      </c>
      <c r="AG594" t="s">
        <v>48</v>
      </c>
      <c r="AH594" t="s">
        <v>48</v>
      </c>
      <c r="AI594" t="s">
        <v>48</v>
      </c>
      <c r="AJ594" t="s">
        <v>48</v>
      </c>
      <c r="AK594" t="s">
        <v>48</v>
      </c>
      <c r="AL594" t="s">
        <v>48</v>
      </c>
      <c r="AM594" t="s">
        <v>48</v>
      </c>
      <c r="AN594" t="s">
        <v>48</v>
      </c>
      <c r="AO594" t="s">
        <v>48</v>
      </c>
      <c r="AP594" s="46">
        <v>0</v>
      </c>
      <c r="AQ594" s="46">
        <v>0</v>
      </c>
      <c r="AR594" s="46">
        <v>0</v>
      </c>
      <c r="AS594" s="46">
        <v>0</v>
      </c>
      <c r="AT594" s="46">
        <v>0</v>
      </c>
      <c r="AU594" s="46">
        <v>0</v>
      </c>
      <c r="AV594" s="46">
        <v>0</v>
      </c>
      <c r="AW594" s="46">
        <v>0</v>
      </c>
      <c r="AX594" s="46">
        <v>0</v>
      </c>
      <c r="AY594" s="46">
        <v>0</v>
      </c>
      <c r="AZ594" s="46">
        <v>0</v>
      </c>
      <c r="BA594" s="46">
        <v>0</v>
      </c>
      <c r="BB594" s="46">
        <v>0</v>
      </c>
      <c r="BC594" s="46">
        <v>0</v>
      </c>
      <c r="BD594" s="46">
        <v>0</v>
      </c>
      <c r="BE594" s="46">
        <v>0</v>
      </c>
      <c r="BF594" s="46">
        <v>0</v>
      </c>
      <c r="BG594" s="46" t="s">
        <v>48</v>
      </c>
      <c r="BH594" s="46">
        <v>0</v>
      </c>
      <c r="BI594" s="46">
        <v>0</v>
      </c>
      <c r="BJ594" s="46">
        <v>0</v>
      </c>
      <c r="BK594" s="46">
        <v>0</v>
      </c>
      <c r="BL594" s="46">
        <v>0</v>
      </c>
      <c r="BM594" s="46">
        <v>0</v>
      </c>
      <c r="BN594" s="46">
        <v>0</v>
      </c>
    </row>
    <row r="595" spans="1:66" x14ac:dyDescent="0.35">
      <c r="A595" t="s">
        <v>2335</v>
      </c>
      <c r="B595" s="44" t="s">
        <v>48</v>
      </c>
      <c r="C595" t="s">
        <v>2338</v>
      </c>
      <c r="D595" t="s">
        <v>259</v>
      </c>
      <c r="E595" t="s">
        <v>2337</v>
      </c>
      <c r="F595" t="s">
        <v>2336</v>
      </c>
      <c r="G595" t="s">
        <v>47</v>
      </c>
      <c r="H595">
        <v>0</v>
      </c>
      <c r="I595" s="60" t="s">
        <v>51</v>
      </c>
      <c r="J595" s="33" t="s">
        <v>45</v>
      </c>
      <c r="K595" s="46">
        <v>1</v>
      </c>
      <c r="L595">
        <v>76.400000000000006</v>
      </c>
      <c r="M595" t="s">
        <v>48</v>
      </c>
      <c r="N595" s="46">
        <v>1</v>
      </c>
      <c r="O595" s="46">
        <v>0</v>
      </c>
      <c r="P595" s="46">
        <v>0</v>
      </c>
      <c r="Q595" t="s">
        <v>48</v>
      </c>
      <c r="R595" t="s">
        <v>48</v>
      </c>
      <c r="S595" t="s">
        <v>48</v>
      </c>
      <c r="T595" t="s">
        <v>10086</v>
      </c>
      <c r="U595" t="s">
        <v>48</v>
      </c>
      <c r="V595" s="47">
        <v>0</v>
      </c>
      <c r="W595" t="s">
        <v>48</v>
      </c>
      <c r="X595" t="s">
        <v>48</v>
      </c>
      <c r="Y595" t="s">
        <v>48</v>
      </c>
      <c r="Z595">
        <v>1</v>
      </c>
      <c r="AA595" t="s">
        <v>48</v>
      </c>
      <c r="AB595">
        <v>2020</v>
      </c>
      <c r="AC595" t="s">
        <v>49</v>
      </c>
      <c r="AD595" t="s">
        <v>93</v>
      </c>
      <c r="AE595" t="s">
        <v>4532</v>
      </c>
      <c r="AF595" t="s">
        <v>48</v>
      </c>
      <c r="AG595" t="s">
        <v>48</v>
      </c>
      <c r="AH595" t="s">
        <v>48</v>
      </c>
      <c r="AI595">
        <v>22110</v>
      </c>
      <c r="AJ595">
        <v>1963</v>
      </c>
      <c r="AK595" t="s">
        <v>8856</v>
      </c>
      <c r="AL595" t="s">
        <v>8857</v>
      </c>
      <c r="AM595">
        <v>0.77100000000000002</v>
      </c>
      <c r="AN595">
        <v>-0.161</v>
      </c>
      <c r="AO595">
        <v>0.77100000000000002</v>
      </c>
      <c r="AP595" s="46">
        <v>0</v>
      </c>
      <c r="AQ595" s="46">
        <v>0</v>
      </c>
      <c r="AR595" s="46">
        <v>0</v>
      </c>
      <c r="AS595" s="46">
        <v>0</v>
      </c>
      <c r="AT595" s="46">
        <v>0</v>
      </c>
      <c r="AU595" s="46">
        <v>0</v>
      </c>
      <c r="AV595" s="46">
        <v>0</v>
      </c>
      <c r="AW595" s="46">
        <v>0</v>
      </c>
      <c r="AX595" s="46">
        <v>0</v>
      </c>
      <c r="AY595" s="46">
        <v>0</v>
      </c>
      <c r="AZ595" s="46">
        <v>0</v>
      </c>
      <c r="BA595" s="46">
        <v>0</v>
      </c>
      <c r="BB595" s="46">
        <v>1</v>
      </c>
      <c r="BC595" s="46">
        <v>0</v>
      </c>
      <c r="BD595" s="46">
        <v>0</v>
      </c>
      <c r="BE595" s="46">
        <v>0</v>
      </c>
      <c r="BF595" s="46">
        <v>1</v>
      </c>
      <c r="BG595" s="46">
        <v>1</v>
      </c>
      <c r="BH595" s="46">
        <v>0</v>
      </c>
      <c r="BI595" s="46">
        <v>0</v>
      </c>
      <c r="BJ595" s="46">
        <v>0</v>
      </c>
      <c r="BK595" s="46">
        <v>0</v>
      </c>
      <c r="BL595" s="46">
        <v>0</v>
      </c>
      <c r="BM595" s="46">
        <v>0</v>
      </c>
      <c r="BN595" s="46">
        <v>1</v>
      </c>
    </row>
    <row r="596" spans="1:66" ht="17.5" x14ac:dyDescent="0.45">
      <c r="A596" t="s">
        <v>2339</v>
      </c>
      <c r="B596" s="44" t="s">
        <v>48</v>
      </c>
      <c r="C596" t="s">
        <v>2341</v>
      </c>
      <c r="D596" t="s">
        <v>396</v>
      </c>
      <c r="E596" t="s">
        <v>2340</v>
      </c>
      <c r="F596" t="s">
        <v>2336</v>
      </c>
      <c r="G596" t="s">
        <v>74</v>
      </c>
      <c r="H596">
        <v>0</v>
      </c>
      <c r="I596" s="60" t="s">
        <v>125</v>
      </c>
      <c r="J596" s="33" t="s">
        <v>45</v>
      </c>
      <c r="K596" s="46">
        <v>0</v>
      </c>
      <c r="L596">
        <v>100</v>
      </c>
      <c r="M596" t="s">
        <v>48</v>
      </c>
      <c r="N596" s="46">
        <v>1</v>
      </c>
      <c r="O596" s="46">
        <v>0</v>
      </c>
      <c r="P596" s="46">
        <v>0</v>
      </c>
      <c r="Q596" t="s">
        <v>48</v>
      </c>
      <c r="R596" t="s">
        <v>48</v>
      </c>
      <c r="S596" s="64" t="s">
        <v>11268</v>
      </c>
      <c r="T596" t="s">
        <v>48</v>
      </c>
      <c r="U596" s="64" t="s">
        <v>11268</v>
      </c>
      <c r="V596" s="47">
        <v>99</v>
      </c>
      <c r="W596" t="s">
        <v>11167</v>
      </c>
      <c r="X596" t="s">
        <v>48</v>
      </c>
      <c r="Y596" t="s">
        <v>48</v>
      </c>
      <c r="Z596">
        <v>0</v>
      </c>
      <c r="AA596" t="s">
        <v>48</v>
      </c>
      <c r="AB596" t="s">
        <v>48</v>
      </c>
      <c r="AC596" t="s">
        <v>49</v>
      </c>
      <c r="AD596" t="s">
        <v>93</v>
      </c>
      <c r="AE596" t="s">
        <v>4532</v>
      </c>
      <c r="AF596" t="s">
        <v>48</v>
      </c>
      <c r="AG596" t="s">
        <v>48</v>
      </c>
      <c r="AH596" t="s">
        <v>48</v>
      </c>
      <c r="AI596" t="s">
        <v>48</v>
      </c>
      <c r="AJ596" t="s">
        <v>48</v>
      </c>
      <c r="AK596" t="s">
        <v>48</v>
      </c>
      <c r="AL596" t="s">
        <v>48</v>
      </c>
      <c r="AM596" t="s">
        <v>48</v>
      </c>
      <c r="AN596" t="s">
        <v>48</v>
      </c>
      <c r="AO596" t="s">
        <v>48</v>
      </c>
      <c r="AP596" s="46">
        <v>0</v>
      </c>
      <c r="AQ596" s="46">
        <v>0</v>
      </c>
      <c r="AR596" s="46">
        <v>0</v>
      </c>
      <c r="AS596" s="46">
        <v>0</v>
      </c>
      <c r="AT596" s="46">
        <v>0</v>
      </c>
      <c r="AU596" s="46">
        <v>0</v>
      </c>
      <c r="AV596" s="46">
        <v>0</v>
      </c>
      <c r="AW596" s="46">
        <v>0</v>
      </c>
      <c r="AX596" s="46">
        <v>0</v>
      </c>
      <c r="AY596" s="46">
        <v>0</v>
      </c>
      <c r="AZ596" s="46">
        <v>0</v>
      </c>
      <c r="BA596" s="46">
        <v>0</v>
      </c>
      <c r="BB596" s="46">
        <v>0</v>
      </c>
      <c r="BC596" s="46">
        <v>0</v>
      </c>
      <c r="BD596" s="46">
        <v>0</v>
      </c>
      <c r="BE596" s="46">
        <v>0</v>
      </c>
      <c r="BF596" s="46">
        <v>0</v>
      </c>
      <c r="BG596" s="46" t="s">
        <v>48</v>
      </c>
      <c r="BH596" s="46">
        <v>0</v>
      </c>
      <c r="BI596" s="46">
        <v>0</v>
      </c>
      <c r="BJ596" s="46">
        <v>0</v>
      </c>
      <c r="BK596" s="46">
        <v>0</v>
      </c>
      <c r="BL596" s="46">
        <v>0</v>
      </c>
      <c r="BM596" s="46">
        <v>0</v>
      </c>
      <c r="BN596" s="46">
        <v>0</v>
      </c>
    </row>
    <row r="597" spans="1:66" x14ac:dyDescent="0.35">
      <c r="A597" t="s">
        <v>2357</v>
      </c>
      <c r="B597" s="44" t="s">
        <v>48</v>
      </c>
      <c r="C597" t="s">
        <v>1403</v>
      </c>
      <c r="D597" t="s">
        <v>288</v>
      </c>
      <c r="E597" t="s">
        <v>2358</v>
      </c>
      <c r="F597" t="s">
        <v>2348</v>
      </c>
      <c r="G597" t="s">
        <v>47</v>
      </c>
      <c r="H597">
        <v>0</v>
      </c>
      <c r="I597" s="60" t="s">
        <v>51</v>
      </c>
      <c r="J597" s="33" t="s">
        <v>45</v>
      </c>
      <c r="K597" s="46">
        <v>0</v>
      </c>
      <c r="L597">
        <v>25.6</v>
      </c>
      <c r="M597">
        <v>74.5</v>
      </c>
      <c r="N597" s="46">
        <v>1</v>
      </c>
      <c r="O597" s="46">
        <v>0</v>
      </c>
      <c r="P597" s="46">
        <v>0</v>
      </c>
      <c r="Q597" t="s">
        <v>48</v>
      </c>
      <c r="R597" t="s">
        <v>48</v>
      </c>
      <c r="S597" t="s">
        <v>2359</v>
      </c>
      <c r="T597" t="s">
        <v>48</v>
      </c>
      <c r="U597" t="s">
        <v>2359</v>
      </c>
      <c r="V597" s="47">
        <v>0</v>
      </c>
      <c r="W597" t="s">
        <v>48</v>
      </c>
      <c r="X597" t="s">
        <v>48</v>
      </c>
      <c r="Y597" t="s">
        <v>48</v>
      </c>
      <c r="Z597">
        <v>0</v>
      </c>
      <c r="AA597" t="s">
        <v>48</v>
      </c>
      <c r="AB597" t="s">
        <v>48</v>
      </c>
      <c r="AC597" t="s">
        <v>49</v>
      </c>
      <c r="AD597" t="s">
        <v>93</v>
      </c>
      <c r="AE597" t="s">
        <v>4532</v>
      </c>
      <c r="AF597" t="s">
        <v>48</v>
      </c>
      <c r="AG597" t="s">
        <v>151</v>
      </c>
      <c r="AH597" t="s">
        <v>48</v>
      </c>
      <c r="AI597" t="s">
        <v>48</v>
      </c>
      <c r="AJ597" t="s">
        <v>48</v>
      </c>
      <c r="AK597" t="s">
        <v>48</v>
      </c>
      <c r="AL597" t="s">
        <v>48</v>
      </c>
      <c r="AM597" t="s">
        <v>48</v>
      </c>
      <c r="AN597" t="s">
        <v>48</v>
      </c>
      <c r="AO597" t="s">
        <v>48</v>
      </c>
      <c r="AP597" s="46">
        <v>0</v>
      </c>
      <c r="AQ597" s="46">
        <v>0</v>
      </c>
      <c r="AR597" s="46">
        <v>0</v>
      </c>
      <c r="AS597" s="46">
        <v>0</v>
      </c>
      <c r="AT597" s="46">
        <v>0</v>
      </c>
      <c r="AU597" s="46">
        <v>0</v>
      </c>
      <c r="AV597" s="46">
        <v>0</v>
      </c>
      <c r="AW597" s="46">
        <v>0</v>
      </c>
      <c r="AX597" s="46">
        <v>0</v>
      </c>
      <c r="AY597" s="46">
        <v>0</v>
      </c>
      <c r="AZ597" s="46">
        <v>0</v>
      </c>
      <c r="BA597" s="46">
        <v>0</v>
      </c>
      <c r="BB597" s="46">
        <v>0</v>
      </c>
      <c r="BC597" s="46">
        <v>0</v>
      </c>
      <c r="BD597" s="46">
        <v>0</v>
      </c>
      <c r="BE597" s="46">
        <v>0</v>
      </c>
      <c r="BF597" s="46">
        <v>0</v>
      </c>
      <c r="BG597" s="46">
        <v>1</v>
      </c>
      <c r="BH597" s="46">
        <v>0</v>
      </c>
      <c r="BI597" s="46">
        <v>0</v>
      </c>
      <c r="BJ597" s="46">
        <v>0</v>
      </c>
      <c r="BK597" s="46">
        <v>0</v>
      </c>
      <c r="BL597" s="46">
        <v>0</v>
      </c>
      <c r="BM597" s="46">
        <v>0</v>
      </c>
      <c r="BN597" s="46">
        <v>0</v>
      </c>
    </row>
    <row r="598" spans="1:66" x14ac:dyDescent="0.35">
      <c r="A598" t="s">
        <v>7982</v>
      </c>
      <c r="B598" s="44" t="s">
        <v>48</v>
      </c>
      <c r="C598" t="s">
        <v>11865</v>
      </c>
      <c r="D598" t="s">
        <v>11866</v>
      </c>
      <c r="E598" t="s">
        <v>7983</v>
      </c>
      <c r="F598" t="s">
        <v>2348</v>
      </c>
      <c r="G598" t="s">
        <v>74</v>
      </c>
      <c r="H598">
        <v>0</v>
      </c>
      <c r="I598" s="61">
        <v>44719</v>
      </c>
      <c r="J598" s="33" t="s">
        <v>45</v>
      </c>
      <c r="K598" s="46">
        <v>0</v>
      </c>
      <c r="L598">
        <v>42</v>
      </c>
      <c r="M598">
        <v>64.400000000000006</v>
      </c>
      <c r="N598" s="46">
        <v>1</v>
      </c>
      <c r="O598" s="46">
        <v>0</v>
      </c>
      <c r="P598" s="46">
        <v>0</v>
      </c>
      <c r="Q598" t="s">
        <v>48</v>
      </c>
      <c r="R598" t="s">
        <v>48</v>
      </c>
      <c r="S598" t="s">
        <v>10089</v>
      </c>
      <c r="T598" t="s">
        <v>48</v>
      </c>
      <c r="U598" t="s">
        <v>10089</v>
      </c>
      <c r="V598" s="47">
        <v>0</v>
      </c>
      <c r="W598" t="s">
        <v>11317</v>
      </c>
      <c r="X598" t="s">
        <v>48</v>
      </c>
      <c r="Y598" t="s">
        <v>48</v>
      </c>
      <c r="Z598" t="s">
        <v>48</v>
      </c>
      <c r="AA598" t="s">
        <v>48</v>
      </c>
      <c r="AB598" t="s">
        <v>48</v>
      </c>
      <c r="AC598" t="s">
        <v>63</v>
      </c>
      <c r="AD598" t="s">
        <v>93</v>
      </c>
      <c r="AE598" t="s">
        <v>2471</v>
      </c>
      <c r="AF598" t="s">
        <v>48</v>
      </c>
      <c r="AG598" t="s">
        <v>48</v>
      </c>
      <c r="AH598" t="s">
        <v>48</v>
      </c>
      <c r="AI598" t="s">
        <v>48</v>
      </c>
      <c r="AJ598" t="s">
        <v>48</v>
      </c>
      <c r="AK598" t="s">
        <v>48</v>
      </c>
      <c r="AL598" t="s">
        <v>48</v>
      </c>
      <c r="AM598" t="s">
        <v>48</v>
      </c>
      <c r="AN598" t="s">
        <v>48</v>
      </c>
      <c r="AO598" t="s">
        <v>48</v>
      </c>
      <c r="AP598" s="46">
        <v>0</v>
      </c>
      <c r="AQ598" s="46">
        <v>0</v>
      </c>
      <c r="AR598" s="46">
        <v>0</v>
      </c>
      <c r="AS598" s="46">
        <v>0</v>
      </c>
      <c r="AT598" s="46">
        <v>0</v>
      </c>
      <c r="AU598" s="46">
        <v>0</v>
      </c>
      <c r="AV598" s="46">
        <v>0</v>
      </c>
      <c r="AW598" s="46">
        <v>0</v>
      </c>
      <c r="AX598" s="46">
        <v>0</v>
      </c>
      <c r="AY598" s="46">
        <v>0</v>
      </c>
      <c r="AZ598" s="46">
        <v>0</v>
      </c>
      <c r="BA598" s="46">
        <v>0</v>
      </c>
      <c r="BB598" s="46">
        <v>0</v>
      </c>
      <c r="BC598" s="46">
        <v>0</v>
      </c>
      <c r="BD598" s="46">
        <v>0</v>
      </c>
      <c r="BE598" s="46">
        <v>0</v>
      </c>
      <c r="BF598" s="46">
        <v>0</v>
      </c>
      <c r="BG598" s="46" t="s">
        <v>48</v>
      </c>
      <c r="BH598" s="46">
        <v>0</v>
      </c>
      <c r="BI598" s="46">
        <v>0</v>
      </c>
      <c r="BJ598" s="46">
        <v>0</v>
      </c>
      <c r="BK598" s="46">
        <v>0</v>
      </c>
      <c r="BL598" s="46">
        <v>0</v>
      </c>
      <c r="BM598" s="46">
        <v>0</v>
      </c>
      <c r="BN598" s="46">
        <v>0</v>
      </c>
    </row>
    <row r="599" spans="1:66" x14ac:dyDescent="0.35">
      <c r="A599" t="s">
        <v>2391</v>
      </c>
      <c r="B599" s="44" t="s">
        <v>48</v>
      </c>
      <c r="C599" t="s">
        <v>11869</v>
      </c>
      <c r="D599" t="s">
        <v>1990</v>
      </c>
      <c r="E599" t="s">
        <v>2392</v>
      </c>
      <c r="F599" t="s">
        <v>2389</v>
      </c>
      <c r="G599" t="s">
        <v>74</v>
      </c>
      <c r="H599">
        <v>0</v>
      </c>
      <c r="I599" s="60" t="s">
        <v>51</v>
      </c>
      <c r="J599" s="33" t="s">
        <v>45</v>
      </c>
      <c r="K599" s="46">
        <v>0</v>
      </c>
      <c r="L599">
        <v>100</v>
      </c>
      <c r="M599" t="s">
        <v>48</v>
      </c>
      <c r="N599" s="46">
        <v>1</v>
      </c>
      <c r="O599" s="46">
        <v>0</v>
      </c>
      <c r="P599" s="46">
        <v>0</v>
      </c>
      <c r="Q599" t="s">
        <v>48</v>
      </c>
      <c r="R599" t="s">
        <v>48</v>
      </c>
      <c r="S599" t="s">
        <v>2393</v>
      </c>
      <c r="T599" t="s">
        <v>48</v>
      </c>
      <c r="U599" t="s">
        <v>2393</v>
      </c>
      <c r="V599" s="47">
        <v>0</v>
      </c>
      <c r="W599" t="s">
        <v>48</v>
      </c>
      <c r="X599" t="s">
        <v>48</v>
      </c>
      <c r="Y599" t="s">
        <v>48</v>
      </c>
      <c r="Z599">
        <v>0</v>
      </c>
      <c r="AA599" t="s">
        <v>48</v>
      </c>
      <c r="AB599" t="s">
        <v>48</v>
      </c>
      <c r="AC599" t="s">
        <v>49</v>
      </c>
      <c r="AD599" t="s">
        <v>951</v>
      </c>
      <c r="AE599" s="40" t="s">
        <v>11051</v>
      </c>
      <c r="AF599" t="s">
        <v>11074</v>
      </c>
      <c r="AG599" t="s">
        <v>48</v>
      </c>
      <c r="AH599" t="s">
        <v>951</v>
      </c>
      <c r="AI599" t="s">
        <v>48</v>
      </c>
      <c r="AJ599" t="s">
        <v>48</v>
      </c>
      <c r="AK599" t="s">
        <v>48</v>
      </c>
      <c r="AL599" t="s">
        <v>48</v>
      </c>
      <c r="AM599" t="s">
        <v>48</v>
      </c>
      <c r="AN599" t="s">
        <v>48</v>
      </c>
      <c r="AO599" t="s">
        <v>48</v>
      </c>
      <c r="AP599" s="46">
        <v>0</v>
      </c>
      <c r="AQ599" s="46">
        <v>0</v>
      </c>
      <c r="AR599" s="46">
        <v>0</v>
      </c>
      <c r="AS599" s="46">
        <v>0</v>
      </c>
      <c r="AT599" s="46">
        <v>0</v>
      </c>
      <c r="AU599" s="46">
        <v>0</v>
      </c>
      <c r="AV599" s="46">
        <v>0</v>
      </c>
      <c r="AW599" s="46">
        <v>0</v>
      </c>
      <c r="AX599" s="46">
        <v>0</v>
      </c>
      <c r="AY599" s="46">
        <v>0</v>
      </c>
      <c r="AZ599" s="46">
        <v>0</v>
      </c>
      <c r="BA599" s="46">
        <v>0</v>
      </c>
      <c r="BB599" s="46">
        <v>0</v>
      </c>
      <c r="BC599" s="46">
        <v>0</v>
      </c>
      <c r="BD599" s="46">
        <v>0</v>
      </c>
      <c r="BE599" s="46">
        <v>0</v>
      </c>
      <c r="BF599" s="46">
        <v>0</v>
      </c>
      <c r="BG599" s="46" t="s">
        <v>48</v>
      </c>
      <c r="BH599" s="46">
        <v>0</v>
      </c>
      <c r="BI599" s="46">
        <v>0</v>
      </c>
      <c r="BJ599" s="46">
        <v>0</v>
      </c>
      <c r="BK599" s="46">
        <v>0</v>
      </c>
      <c r="BL599" s="46">
        <v>0</v>
      </c>
      <c r="BM599" s="46">
        <v>0</v>
      </c>
      <c r="BN599" s="46">
        <v>0</v>
      </c>
    </row>
    <row r="600" spans="1:66" x14ac:dyDescent="0.35">
      <c r="A600" t="s">
        <v>2395</v>
      </c>
      <c r="B600" s="44" t="s">
        <v>48</v>
      </c>
      <c r="C600" t="s">
        <v>2399</v>
      </c>
      <c r="D600" t="s">
        <v>384</v>
      </c>
      <c r="E600" t="s">
        <v>2396</v>
      </c>
      <c r="F600" t="s">
        <v>2389</v>
      </c>
      <c r="G600" t="s">
        <v>47</v>
      </c>
      <c r="H600">
        <v>0</v>
      </c>
      <c r="I600" s="60" t="s">
        <v>51</v>
      </c>
      <c r="J600" s="33" t="s">
        <v>45</v>
      </c>
      <c r="K600" s="46">
        <v>1</v>
      </c>
      <c r="L600">
        <v>100</v>
      </c>
      <c r="M600" t="s">
        <v>48</v>
      </c>
      <c r="N600" s="46">
        <v>1</v>
      </c>
      <c r="O600" s="46">
        <v>0</v>
      </c>
      <c r="P600" s="46">
        <v>0</v>
      </c>
      <c r="Q600" t="s">
        <v>48</v>
      </c>
      <c r="R600" t="s">
        <v>48</v>
      </c>
      <c r="S600" t="s">
        <v>2397</v>
      </c>
      <c r="T600" t="s">
        <v>2398</v>
      </c>
      <c r="U600" t="s">
        <v>2397</v>
      </c>
      <c r="V600" s="47">
        <v>0</v>
      </c>
      <c r="W600" t="s">
        <v>48</v>
      </c>
      <c r="X600" t="s">
        <v>48</v>
      </c>
      <c r="Y600" t="s">
        <v>48</v>
      </c>
      <c r="Z600">
        <v>0</v>
      </c>
      <c r="AA600" t="s">
        <v>48</v>
      </c>
      <c r="AB600">
        <v>2014</v>
      </c>
      <c r="AC600" t="s">
        <v>49</v>
      </c>
      <c r="AD600" t="s">
        <v>93</v>
      </c>
      <c r="AE600" t="s">
        <v>4532</v>
      </c>
      <c r="AF600" t="s">
        <v>48</v>
      </c>
      <c r="AG600" t="s">
        <v>151</v>
      </c>
      <c r="AH600" t="s">
        <v>93</v>
      </c>
      <c r="AI600">
        <v>21515</v>
      </c>
      <c r="AJ600">
        <v>1963</v>
      </c>
      <c r="AK600" t="s">
        <v>8858</v>
      </c>
      <c r="AL600" t="s">
        <v>8859</v>
      </c>
      <c r="AM600">
        <v>0.68600000000000005</v>
      </c>
      <c r="AN600">
        <v>-2E-3</v>
      </c>
      <c r="AO600">
        <v>0.68600000000000005</v>
      </c>
      <c r="AP600" s="46">
        <v>0</v>
      </c>
      <c r="AQ600" s="46">
        <v>0</v>
      </c>
      <c r="AR600" s="46">
        <v>0</v>
      </c>
      <c r="AS600" s="46">
        <v>0</v>
      </c>
      <c r="AT600" s="46">
        <v>0</v>
      </c>
      <c r="AU600" s="46">
        <v>0</v>
      </c>
      <c r="AV600" s="46">
        <v>0</v>
      </c>
      <c r="AW600" s="46">
        <v>0</v>
      </c>
      <c r="AX600" s="46">
        <v>0</v>
      </c>
      <c r="AY600" s="46">
        <v>0</v>
      </c>
      <c r="AZ600" s="46">
        <v>0</v>
      </c>
      <c r="BA600" s="46">
        <v>0</v>
      </c>
      <c r="BB600" s="46">
        <v>1</v>
      </c>
      <c r="BC600" s="46">
        <v>0</v>
      </c>
      <c r="BD600" s="46">
        <v>0</v>
      </c>
      <c r="BE600" s="46">
        <v>0</v>
      </c>
      <c r="BF600" s="46">
        <v>0</v>
      </c>
      <c r="BG600" s="46">
        <v>1</v>
      </c>
      <c r="BH600" s="46">
        <v>0</v>
      </c>
      <c r="BI600" s="46">
        <v>0</v>
      </c>
      <c r="BJ600" s="46">
        <v>0</v>
      </c>
      <c r="BK600" s="46">
        <v>0</v>
      </c>
      <c r="BL600" s="46">
        <v>0</v>
      </c>
      <c r="BM600" s="46">
        <v>0</v>
      </c>
      <c r="BN600" s="46">
        <v>1</v>
      </c>
    </row>
    <row r="601" spans="1:66" x14ac:dyDescent="0.35">
      <c r="A601" t="s">
        <v>2405</v>
      </c>
      <c r="B601" s="44" t="s">
        <v>48</v>
      </c>
      <c r="C601" t="s">
        <v>718</v>
      </c>
      <c r="D601" t="s">
        <v>2408</v>
      </c>
      <c r="E601" t="s">
        <v>2406</v>
      </c>
      <c r="F601" t="s">
        <v>2401</v>
      </c>
      <c r="G601" t="s">
        <v>74</v>
      </c>
      <c r="H601">
        <v>0</v>
      </c>
      <c r="I601" s="60" t="s">
        <v>51</v>
      </c>
      <c r="J601" s="33" t="s">
        <v>45</v>
      </c>
      <c r="K601" s="46">
        <v>0</v>
      </c>
      <c r="L601">
        <v>100</v>
      </c>
      <c r="M601" t="s">
        <v>48</v>
      </c>
      <c r="N601" s="46">
        <v>1</v>
      </c>
      <c r="O601" s="46">
        <v>0</v>
      </c>
      <c r="P601" s="46">
        <v>0</v>
      </c>
      <c r="Q601" t="s">
        <v>48</v>
      </c>
      <c r="R601" t="s">
        <v>48</v>
      </c>
      <c r="S601" t="s">
        <v>2407</v>
      </c>
      <c r="T601" t="s">
        <v>48</v>
      </c>
      <c r="U601" t="s">
        <v>2407</v>
      </c>
      <c r="V601" s="47">
        <v>1</v>
      </c>
      <c r="W601" t="s">
        <v>48</v>
      </c>
      <c r="X601" t="s">
        <v>48</v>
      </c>
      <c r="Y601" t="s">
        <v>48</v>
      </c>
      <c r="Z601">
        <v>0</v>
      </c>
      <c r="AA601" t="s">
        <v>48</v>
      </c>
      <c r="AB601" t="s">
        <v>48</v>
      </c>
      <c r="AC601" t="s">
        <v>63</v>
      </c>
      <c r="AD601" t="s">
        <v>93</v>
      </c>
      <c r="AE601" s="40" t="s">
        <v>2471</v>
      </c>
      <c r="AF601" t="s">
        <v>11061</v>
      </c>
      <c r="AG601" t="s">
        <v>48</v>
      </c>
      <c r="AH601" t="s">
        <v>48</v>
      </c>
      <c r="AI601" t="s">
        <v>48</v>
      </c>
      <c r="AJ601" t="s">
        <v>48</v>
      </c>
      <c r="AK601" t="s">
        <v>48</v>
      </c>
      <c r="AL601" t="s">
        <v>48</v>
      </c>
      <c r="AM601" t="s">
        <v>48</v>
      </c>
      <c r="AN601" t="s">
        <v>48</v>
      </c>
      <c r="AO601" t="s">
        <v>48</v>
      </c>
      <c r="AP601" s="46">
        <v>0</v>
      </c>
      <c r="AQ601" s="46">
        <v>0</v>
      </c>
      <c r="AR601" s="46">
        <v>0</v>
      </c>
      <c r="AS601" s="46">
        <v>0</v>
      </c>
      <c r="AT601" s="46">
        <v>0</v>
      </c>
      <c r="AU601" s="46">
        <v>0</v>
      </c>
      <c r="AV601" s="46">
        <v>0</v>
      </c>
      <c r="AW601" s="46">
        <v>0</v>
      </c>
      <c r="AX601" s="46">
        <v>0</v>
      </c>
      <c r="AY601" s="46">
        <v>0</v>
      </c>
      <c r="AZ601" s="46">
        <v>0</v>
      </c>
      <c r="BA601" s="46">
        <v>0</v>
      </c>
      <c r="BB601" s="46">
        <v>0</v>
      </c>
      <c r="BC601" s="46">
        <v>0</v>
      </c>
      <c r="BD601" s="46">
        <v>0</v>
      </c>
      <c r="BE601" s="46">
        <v>0</v>
      </c>
      <c r="BF601" s="46">
        <v>0</v>
      </c>
      <c r="BG601" s="46" t="s">
        <v>48</v>
      </c>
      <c r="BH601" s="46">
        <v>0</v>
      </c>
      <c r="BI601" s="46">
        <v>0</v>
      </c>
      <c r="BJ601" s="46">
        <v>0</v>
      </c>
      <c r="BK601" s="46">
        <v>0</v>
      </c>
      <c r="BL601" s="46">
        <v>0</v>
      </c>
      <c r="BM601" s="46">
        <v>0</v>
      </c>
      <c r="BN601" s="46">
        <v>0</v>
      </c>
    </row>
    <row r="602" spans="1:66" x14ac:dyDescent="0.35">
      <c r="A602" t="s">
        <v>2400</v>
      </c>
      <c r="B602" s="44" t="s">
        <v>48</v>
      </c>
      <c r="C602" t="s">
        <v>2183</v>
      </c>
      <c r="D602" t="s">
        <v>421</v>
      </c>
      <c r="E602" t="s">
        <v>2402</v>
      </c>
      <c r="F602" t="s">
        <v>2401</v>
      </c>
      <c r="G602" t="s">
        <v>47</v>
      </c>
      <c r="H602">
        <v>0</v>
      </c>
      <c r="I602" s="60" t="s">
        <v>51</v>
      </c>
      <c r="J602" s="33" t="s">
        <v>45</v>
      </c>
      <c r="K602" s="46">
        <v>1</v>
      </c>
      <c r="L602">
        <v>100</v>
      </c>
      <c r="M602" t="s">
        <v>48</v>
      </c>
      <c r="N602" s="46">
        <v>1</v>
      </c>
      <c r="O602" s="46">
        <v>0</v>
      </c>
      <c r="P602" s="46">
        <v>0</v>
      </c>
      <c r="Q602" t="s">
        <v>48</v>
      </c>
      <c r="R602" t="s">
        <v>48</v>
      </c>
      <c r="S602" t="s">
        <v>2403</v>
      </c>
      <c r="T602" t="s">
        <v>2404</v>
      </c>
      <c r="U602" t="s">
        <v>2403</v>
      </c>
      <c r="V602" s="47">
        <v>0</v>
      </c>
      <c r="W602" t="s">
        <v>48</v>
      </c>
      <c r="X602" t="s">
        <v>48</v>
      </c>
      <c r="Y602" t="s">
        <v>48</v>
      </c>
      <c r="Z602">
        <v>0</v>
      </c>
      <c r="AA602" t="s">
        <v>48</v>
      </c>
      <c r="AB602">
        <v>2014</v>
      </c>
      <c r="AC602" t="s">
        <v>49</v>
      </c>
      <c r="AD602" t="s">
        <v>93</v>
      </c>
      <c r="AE602" t="s">
        <v>4532</v>
      </c>
      <c r="AF602" t="s">
        <v>48</v>
      </c>
      <c r="AG602" t="s">
        <v>479</v>
      </c>
      <c r="AH602" t="s">
        <v>93</v>
      </c>
      <c r="AI602">
        <v>21516</v>
      </c>
      <c r="AJ602">
        <v>1951</v>
      </c>
      <c r="AK602" t="s">
        <v>8860</v>
      </c>
      <c r="AL602" t="s">
        <v>8861</v>
      </c>
      <c r="AM602">
        <v>0.69599999999999995</v>
      </c>
      <c r="AN602">
        <v>0.217</v>
      </c>
      <c r="AO602">
        <v>0.69599999999999995</v>
      </c>
      <c r="AP602" s="46">
        <v>0</v>
      </c>
      <c r="AQ602" s="46">
        <v>0</v>
      </c>
      <c r="AR602" s="46">
        <v>0</v>
      </c>
      <c r="AS602" s="46">
        <v>0</v>
      </c>
      <c r="AT602" s="46">
        <v>0</v>
      </c>
      <c r="AU602" s="46">
        <v>0</v>
      </c>
      <c r="AV602" s="46">
        <v>0</v>
      </c>
      <c r="AW602" s="46">
        <v>0</v>
      </c>
      <c r="AX602" s="46">
        <v>0</v>
      </c>
      <c r="AY602" s="46">
        <v>0</v>
      </c>
      <c r="AZ602" s="46">
        <v>0</v>
      </c>
      <c r="BA602" s="46">
        <v>0</v>
      </c>
      <c r="BB602" s="46">
        <v>1</v>
      </c>
      <c r="BC602" s="46">
        <v>0</v>
      </c>
      <c r="BD602" s="46">
        <v>0</v>
      </c>
      <c r="BE602" s="46">
        <v>0</v>
      </c>
      <c r="BF602" s="46">
        <v>0</v>
      </c>
      <c r="BG602" s="46">
        <v>1</v>
      </c>
      <c r="BH602" s="46">
        <v>0</v>
      </c>
      <c r="BI602" s="46">
        <v>0</v>
      </c>
      <c r="BJ602" s="46">
        <v>0</v>
      </c>
      <c r="BK602" s="46">
        <v>0</v>
      </c>
      <c r="BL602" s="46">
        <v>0</v>
      </c>
      <c r="BM602" s="46">
        <v>0</v>
      </c>
      <c r="BN602" s="46">
        <v>1</v>
      </c>
    </row>
    <row r="603" spans="1:66" ht="15" x14ac:dyDescent="0.4">
      <c r="A603" t="s">
        <v>7984</v>
      </c>
      <c r="B603" s="44" t="s">
        <v>48</v>
      </c>
      <c r="C603" t="s">
        <v>1432</v>
      </c>
      <c r="D603" t="s">
        <v>11872</v>
      </c>
      <c r="E603" t="s">
        <v>7985</v>
      </c>
      <c r="F603" t="s">
        <v>2410</v>
      </c>
      <c r="G603" t="s">
        <v>47</v>
      </c>
      <c r="H603">
        <v>0</v>
      </c>
      <c r="I603" s="61" t="s">
        <v>11160</v>
      </c>
      <c r="J603" s="33" t="s">
        <v>45</v>
      </c>
      <c r="K603" s="46">
        <v>0</v>
      </c>
      <c r="L603">
        <v>57.3</v>
      </c>
      <c r="M603" t="s">
        <v>48</v>
      </c>
      <c r="N603" s="46">
        <v>1</v>
      </c>
      <c r="O603" s="46">
        <v>0</v>
      </c>
      <c r="P603" s="46">
        <v>0</v>
      </c>
      <c r="Q603" t="s">
        <v>48</v>
      </c>
      <c r="R603" t="s">
        <v>48</v>
      </c>
      <c r="S603" s="55" t="s">
        <v>11295</v>
      </c>
      <c r="T603" t="s">
        <v>48</v>
      </c>
      <c r="U603" s="55" t="s">
        <v>11295</v>
      </c>
      <c r="V603" s="47">
        <v>0</v>
      </c>
      <c r="W603" t="s">
        <v>48</v>
      </c>
      <c r="X603" t="s">
        <v>48</v>
      </c>
      <c r="Y603" t="s">
        <v>48</v>
      </c>
      <c r="Z603" t="s">
        <v>48</v>
      </c>
      <c r="AA603" t="s">
        <v>48</v>
      </c>
      <c r="AB603" t="s">
        <v>48</v>
      </c>
      <c r="AC603" t="s">
        <v>49</v>
      </c>
      <c r="AD603" t="s">
        <v>951</v>
      </c>
      <c r="AE603" s="40" t="s">
        <v>11051</v>
      </c>
      <c r="AF603" t="s">
        <v>48</v>
      </c>
      <c r="AG603" t="s">
        <v>48</v>
      </c>
      <c r="AH603" t="s">
        <v>48</v>
      </c>
      <c r="AI603" t="s">
        <v>48</v>
      </c>
      <c r="AJ603" t="s">
        <v>48</v>
      </c>
      <c r="AK603" t="s">
        <v>48</v>
      </c>
      <c r="AL603" t="s">
        <v>48</v>
      </c>
      <c r="AM603" t="s">
        <v>48</v>
      </c>
      <c r="AN603" t="s">
        <v>48</v>
      </c>
      <c r="AO603" t="s">
        <v>48</v>
      </c>
      <c r="AP603" s="46">
        <v>0</v>
      </c>
      <c r="AQ603" s="46">
        <v>0</v>
      </c>
      <c r="AR603" s="46">
        <v>0</v>
      </c>
      <c r="AS603" s="46">
        <v>0</v>
      </c>
      <c r="AT603" s="46">
        <v>0</v>
      </c>
      <c r="AU603" s="46">
        <v>0</v>
      </c>
      <c r="AV603" s="46">
        <v>0</v>
      </c>
      <c r="AW603" s="46">
        <v>0</v>
      </c>
      <c r="AX603" s="46">
        <v>0</v>
      </c>
      <c r="AY603" s="46">
        <v>0</v>
      </c>
      <c r="AZ603" s="46">
        <v>0</v>
      </c>
      <c r="BA603" s="46">
        <v>0</v>
      </c>
      <c r="BB603" s="46">
        <v>0</v>
      </c>
      <c r="BC603" s="46">
        <v>0</v>
      </c>
      <c r="BD603" s="46">
        <v>0</v>
      </c>
      <c r="BE603" s="46">
        <v>0</v>
      </c>
      <c r="BF603" s="46">
        <v>0</v>
      </c>
      <c r="BG603" s="46">
        <v>1</v>
      </c>
      <c r="BH603" s="46">
        <v>0</v>
      </c>
      <c r="BI603" s="46">
        <v>0</v>
      </c>
      <c r="BJ603" s="46">
        <v>0</v>
      </c>
      <c r="BK603" s="46">
        <v>0</v>
      </c>
      <c r="BL603" s="46">
        <v>0</v>
      </c>
      <c r="BM603" s="46">
        <v>0</v>
      </c>
      <c r="BN603" s="46">
        <v>0</v>
      </c>
    </row>
    <row r="604" spans="1:66" x14ac:dyDescent="0.35">
      <c r="A604" t="s">
        <v>2423</v>
      </c>
      <c r="B604" t="s">
        <v>48</v>
      </c>
      <c r="C604" t="s">
        <v>885</v>
      </c>
      <c r="D604" t="s">
        <v>268</v>
      </c>
      <c r="E604" t="s">
        <v>2424</v>
      </c>
      <c r="F604" t="s">
        <v>2410</v>
      </c>
      <c r="G604" t="s">
        <v>74</v>
      </c>
      <c r="H604">
        <v>0</v>
      </c>
      <c r="I604" s="60" t="s">
        <v>51</v>
      </c>
      <c r="J604" s="33" t="s">
        <v>45</v>
      </c>
      <c r="K604" s="46">
        <v>1</v>
      </c>
      <c r="L604">
        <v>65.7</v>
      </c>
      <c r="M604" t="s">
        <v>48</v>
      </c>
      <c r="N604" s="46">
        <v>1</v>
      </c>
      <c r="O604" s="46">
        <v>0</v>
      </c>
      <c r="P604" s="46">
        <v>0</v>
      </c>
      <c r="Q604" t="s">
        <v>48</v>
      </c>
      <c r="R604" t="s">
        <v>48</v>
      </c>
      <c r="S604" t="s">
        <v>2425</v>
      </c>
      <c r="T604" t="s">
        <v>2426</v>
      </c>
      <c r="U604" t="s">
        <v>2425</v>
      </c>
      <c r="V604" s="47">
        <v>0</v>
      </c>
      <c r="W604" t="s">
        <v>48</v>
      </c>
      <c r="X604" t="s">
        <v>48</v>
      </c>
      <c r="Y604" t="s">
        <v>48</v>
      </c>
      <c r="Z604">
        <v>0</v>
      </c>
      <c r="AA604" t="s">
        <v>48</v>
      </c>
      <c r="AB604">
        <v>2002</v>
      </c>
      <c r="AC604" t="s">
        <v>49</v>
      </c>
      <c r="AD604" t="s">
        <v>93</v>
      </c>
      <c r="AE604" s="40" t="s">
        <v>2471</v>
      </c>
      <c r="AF604" t="s">
        <v>11061</v>
      </c>
      <c r="AG604" t="s">
        <v>151</v>
      </c>
      <c r="AH604" t="s">
        <v>93</v>
      </c>
      <c r="AI604">
        <v>20321</v>
      </c>
      <c r="AJ604">
        <v>1945</v>
      </c>
      <c r="AK604" t="s">
        <v>8862</v>
      </c>
      <c r="AL604" t="s">
        <v>8863</v>
      </c>
      <c r="AM604">
        <v>-0.30199999999999999</v>
      </c>
      <c r="AN604">
        <v>0.16200000000000001</v>
      </c>
      <c r="AO604">
        <v>-0.30199999999999999</v>
      </c>
      <c r="AP604" s="46">
        <v>0</v>
      </c>
      <c r="AQ604" s="46">
        <v>0</v>
      </c>
      <c r="AR604" s="46">
        <v>0</v>
      </c>
      <c r="AS604" s="46">
        <v>0</v>
      </c>
      <c r="AT604" s="46">
        <v>0</v>
      </c>
      <c r="AU604" s="46">
        <v>1</v>
      </c>
      <c r="AV604" s="46">
        <v>1</v>
      </c>
      <c r="AW604" s="46">
        <v>0</v>
      </c>
      <c r="AX604" s="46">
        <v>0</v>
      </c>
      <c r="AY604" s="46">
        <v>0</v>
      </c>
      <c r="AZ604" s="46">
        <v>0</v>
      </c>
      <c r="BA604" s="46">
        <v>0</v>
      </c>
      <c r="BB604" s="46">
        <v>0</v>
      </c>
      <c r="BC604" s="46">
        <v>0</v>
      </c>
      <c r="BD604" s="46">
        <v>0</v>
      </c>
      <c r="BE604" s="46">
        <v>0</v>
      </c>
      <c r="BF604" s="46">
        <v>0</v>
      </c>
      <c r="BG604" s="46" t="s">
        <v>48</v>
      </c>
      <c r="BH604" s="46">
        <v>0</v>
      </c>
      <c r="BI604" s="46">
        <v>0</v>
      </c>
      <c r="BJ604" s="46">
        <v>0</v>
      </c>
      <c r="BK604" s="46">
        <v>0</v>
      </c>
      <c r="BL604" s="46">
        <v>0</v>
      </c>
      <c r="BM604" s="46">
        <v>0</v>
      </c>
      <c r="BN604" s="46">
        <v>0</v>
      </c>
    </row>
    <row r="605" spans="1:66" x14ac:dyDescent="0.35">
      <c r="A605" t="s">
        <v>2438</v>
      </c>
      <c r="B605" s="44" t="s">
        <v>48</v>
      </c>
      <c r="C605" t="s">
        <v>2442</v>
      </c>
      <c r="D605" t="s">
        <v>2441</v>
      </c>
      <c r="E605" t="s">
        <v>2439</v>
      </c>
      <c r="F605" t="s">
        <v>2427</v>
      </c>
      <c r="G605" t="s">
        <v>74</v>
      </c>
      <c r="H605">
        <v>0</v>
      </c>
      <c r="I605" s="60" t="s">
        <v>51</v>
      </c>
      <c r="J605" s="33" t="s">
        <v>45</v>
      </c>
      <c r="K605" s="46">
        <v>0</v>
      </c>
      <c r="L605">
        <v>74.7</v>
      </c>
      <c r="M605" t="s">
        <v>48</v>
      </c>
      <c r="N605" s="46">
        <v>1</v>
      </c>
      <c r="O605" s="46">
        <v>0</v>
      </c>
      <c r="P605" s="46">
        <v>0</v>
      </c>
      <c r="Q605" t="s">
        <v>48</v>
      </c>
      <c r="R605" t="s">
        <v>48</v>
      </c>
      <c r="S605" t="s">
        <v>2440</v>
      </c>
      <c r="T605" t="s">
        <v>48</v>
      </c>
      <c r="U605" t="s">
        <v>2440</v>
      </c>
      <c r="V605" s="47">
        <v>1</v>
      </c>
      <c r="W605" t="s">
        <v>48</v>
      </c>
      <c r="X605" t="s">
        <v>48</v>
      </c>
      <c r="Y605" t="s">
        <v>48</v>
      </c>
      <c r="Z605">
        <v>0</v>
      </c>
      <c r="AA605" t="s">
        <v>48</v>
      </c>
      <c r="AB605" t="s">
        <v>48</v>
      </c>
      <c r="AC605" t="s">
        <v>49</v>
      </c>
      <c r="AD605" t="s">
        <v>93</v>
      </c>
      <c r="AE605" s="40" t="s">
        <v>2471</v>
      </c>
      <c r="AF605" t="s">
        <v>11061</v>
      </c>
      <c r="AG605" t="s">
        <v>48</v>
      </c>
      <c r="AH605" t="s">
        <v>48</v>
      </c>
      <c r="AI605" t="s">
        <v>48</v>
      </c>
      <c r="AJ605" t="s">
        <v>48</v>
      </c>
      <c r="AK605" t="s">
        <v>48</v>
      </c>
      <c r="AL605" t="s">
        <v>48</v>
      </c>
      <c r="AM605" t="s">
        <v>48</v>
      </c>
      <c r="AN605" t="s">
        <v>48</v>
      </c>
      <c r="AO605" t="s">
        <v>48</v>
      </c>
      <c r="AP605" s="46">
        <v>0</v>
      </c>
      <c r="AQ605" s="46">
        <v>0</v>
      </c>
      <c r="AR605" s="46">
        <v>0</v>
      </c>
      <c r="AS605" s="46">
        <v>0</v>
      </c>
      <c r="AT605" s="46">
        <v>0</v>
      </c>
      <c r="AU605" s="46">
        <v>0</v>
      </c>
      <c r="AV605" s="46">
        <v>0</v>
      </c>
      <c r="AW605" s="46">
        <v>0</v>
      </c>
      <c r="AX605" s="46">
        <v>0</v>
      </c>
      <c r="AY605" s="46">
        <v>0</v>
      </c>
      <c r="AZ605" s="46">
        <v>0</v>
      </c>
      <c r="BA605" s="46">
        <v>0</v>
      </c>
      <c r="BB605" s="46">
        <v>0</v>
      </c>
      <c r="BC605" s="46">
        <v>0</v>
      </c>
      <c r="BD605" s="46">
        <v>0</v>
      </c>
      <c r="BE605" s="46">
        <v>0</v>
      </c>
      <c r="BF605" s="46">
        <v>0</v>
      </c>
      <c r="BG605" s="46" t="s">
        <v>48</v>
      </c>
      <c r="BH605" s="46">
        <v>0</v>
      </c>
      <c r="BI605" s="46">
        <v>0</v>
      </c>
      <c r="BJ605" s="46">
        <v>0</v>
      </c>
      <c r="BK605" s="46">
        <v>0</v>
      </c>
      <c r="BL605" s="46">
        <v>0</v>
      </c>
      <c r="BM605" s="46">
        <v>0</v>
      </c>
      <c r="BN605" s="46">
        <v>0</v>
      </c>
    </row>
    <row r="606" spans="1:66" x14ac:dyDescent="0.35">
      <c r="A606" t="s">
        <v>2443</v>
      </c>
      <c r="B606" s="44" t="s">
        <v>48</v>
      </c>
      <c r="C606" t="s">
        <v>2448</v>
      </c>
      <c r="D606" t="s">
        <v>2447</v>
      </c>
      <c r="E606" t="s">
        <v>2444</v>
      </c>
      <c r="F606" t="s">
        <v>2427</v>
      </c>
      <c r="G606" t="s">
        <v>47</v>
      </c>
      <c r="H606">
        <v>0</v>
      </c>
      <c r="I606" s="60" t="s">
        <v>51</v>
      </c>
      <c r="J606" s="33" t="s">
        <v>45</v>
      </c>
      <c r="K606" s="46">
        <v>1</v>
      </c>
      <c r="L606">
        <v>69.5</v>
      </c>
      <c r="M606" t="s">
        <v>48</v>
      </c>
      <c r="N606" s="46">
        <v>1</v>
      </c>
      <c r="O606" s="46">
        <v>0</v>
      </c>
      <c r="P606" s="46">
        <v>0</v>
      </c>
      <c r="Q606" t="s">
        <v>48</v>
      </c>
      <c r="R606" t="s">
        <v>48</v>
      </c>
      <c r="S606" t="s">
        <v>2445</v>
      </c>
      <c r="T606" t="s">
        <v>2446</v>
      </c>
      <c r="U606" t="s">
        <v>2445</v>
      </c>
      <c r="V606" s="47">
        <v>0</v>
      </c>
      <c r="W606" t="s">
        <v>48</v>
      </c>
      <c r="X606" t="s">
        <v>48</v>
      </c>
      <c r="Y606" t="s">
        <v>48</v>
      </c>
      <c r="Z606">
        <v>1</v>
      </c>
      <c r="AA606" t="s">
        <v>48</v>
      </c>
      <c r="AB606">
        <v>2020</v>
      </c>
      <c r="AC606" t="s">
        <v>63</v>
      </c>
      <c r="AD606" t="s">
        <v>93</v>
      </c>
      <c r="AE606" t="s">
        <v>4532</v>
      </c>
      <c r="AF606" t="s">
        <v>48</v>
      </c>
      <c r="AG606" t="s">
        <v>48</v>
      </c>
      <c r="AH606" t="s">
        <v>48</v>
      </c>
      <c r="AI606">
        <v>22121</v>
      </c>
      <c r="AJ606">
        <v>1974</v>
      </c>
      <c r="AK606" t="s">
        <v>8864</v>
      </c>
      <c r="AL606" t="s">
        <v>8865</v>
      </c>
      <c r="AM606">
        <v>0.8</v>
      </c>
      <c r="AN606">
        <v>-0.6</v>
      </c>
      <c r="AO606">
        <v>0.8</v>
      </c>
      <c r="AP606" s="46">
        <v>0</v>
      </c>
      <c r="AQ606" s="46">
        <v>0</v>
      </c>
      <c r="AR606" s="46">
        <v>0</v>
      </c>
      <c r="AS606" s="46">
        <v>0</v>
      </c>
      <c r="AT606" s="46">
        <v>0</v>
      </c>
      <c r="AU606" s="46">
        <v>0</v>
      </c>
      <c r="AV606" s="46">
        <v>0</v>
      </c>
      <c r="AW606" s="46">
        <v>0</v>
      </c>
      <c r="AX606" s="46">
        <v>0</v>
      </c>
      <c r="AY606" s="46">
        <v>0</v>
      </c>
      <c r="AZ606" s="46">
        <v>0</v>
      </c>
      <c r="BA606" s="46">
        <v>0</v>
      </c>
      <c r="BB606" s="46">
        <v>1</v>
      </c>
      <c r="BC606" s="46">
        <v>0</v>
      </c>
      <c r="BD606" s="46">
        <v>0</v>
      </c>
      <c r="BE606" s="46">
        <v>1</v>
      </c>
      <c r="BF606" s="46">
        <v>1</v>
      </c>
      <c r="BG606" s="46">
        <v>1</v>
      </c>
      <c r="BH606" s="46">
        <v>0</v>
      </c>
      <c r="BI606" s="46">
        <v>0</v>
      </c>
      <c r="BJ606" s="46">
        <v>0</v>
      </c>
      <c r="BK606" s="46">
        <v>0</v>
      </c>
      <c r="BL606" s="46">
        <v>0</v>
      </c>
      <c r="BM606" s="46">
        <v>0</v>
      </c>
      <c r="BN606" s="46">
        <v>1</v>
      </c>
    </row>
    <row r="607" spans="1:66" x14ac:dyDescent="0.35">
      <c r="A607" t="s">
        <v>2503</v>
      </c>
      <c r="B607" s="44" t="s">
        <v>48</v>
      </c>
      <c r="C607" t="s">
        <v>11878</v>
      </c>
      <c r="D607" t="s">
        <v>555</v>
      </c>
      <c r="E607" t="s">
        <v>10642</v>
      </c>
      <c r="F607" t="s">
        <v>128</v>
      </c>
      <c r="G607" t="s">
        <v>47</v>
      </c>
      <c r="H607">
        <v>0</v>
      </c>
      <c r="I607" s="60" t="s">
        <v>11552</v>
      </c>
      <c r="J607" s="33" t="s">
        <v>45</v>
      </c>
      <c r="K607" s="46">
        <v>0</v>
      </c>
      <c r="L607">
        <v>50.4</v>
      </c>
      <c r="M607" t="s">
        <v>48</v>
      </c>
      <c r="N607" s="46">
        <v>1</v>
      </c>
      <c r="O607" s="46">
        <v>0</v>
      </c>
      <c r="P607" s="46">
        <v>0</v>
      </c>
      <c r="Q607" t="s">
        <v>48</v>
      </c>
      <c r="R607" t="s">
        <v>48</v>
      </c>
      <c r="S607" t="s">
        <v>11479</v>
      </c>
      <c r="T607" t="s">
        <v>48</v>
      </c>
      <c r="U607" t="s">
        <v>10643</v>
      </c>
      <c r="V607" s="47">
        <v>0</v>
      </c>
      <c r="W607" t="s">
        <v>48</v>
      </c>
      <c r="X607" t="s">
        <v>48</v>
      </c>
      <c r="Y607" t="s">
        <v>48</v>
      </c>
      <c r="Z607">
        <v>0</v>
      </c>
      <c r="AA607" t="s">
        <v>48</v>
      </c>
      <c r="AB607" t="s">
        <v>48</v>
      </c>
      <c r="AC607" t="s">
        <v>49</v>
      </c>
      <c r="AD607" t="s">
        <v>93</v>
      </c>
      <c r="AE607" t="s">
        <v>4532</v>
      </c>
      <c r="AF607" t="s">
        <v>48</v>
      </c>
      <c r="AG607" t="s">
        <v>48</v>
      </c>
      <c r="AH607" t="s">
        <v>48</v>
      </c>
      <c r="AI607" t="s">
        <v>48</v>
      </c>
      <c r="AJ607" t="s">
        <v>48</v>
      </c>
      <c r="AK607" t="s">
        <v>48</v>
      </c>
      <c r="AL607" t="s">
        <v>48</v>
      </c>
      <c r="AM607" t="s">
        <v>48</v>
      </c>
      <c r="AN607" t="s">
        <v>48</v>
      </c>
      <c r="AO607" t="s">
        <v>48</v>
      </c>
      <c r="AP607" s="46">
        <v>0</v>
      </c>
      <c r="AQ607" s="46">
        <v>0</v>
      </c>
      <c r="AR607" s="46">
        <v>0</v>
      </c>
      <c r="AS607" s="46">
        <v>0</v>
      </c>
      <c r="AT607" s="46">
        <v>0</v>
      </c>
      <c r="AU607" s="46">
        <v>0</v>
      </c>
      <c r="AV607" s="46">
        <v>0</v>
      </c>
      <c r="AW607" s="46">
        <v>0</v>
      </c>
      <c r="AX607" s="46">
        <v>0</v>
      </c>
      <c r="AY607" s="46">
        <v>0</v>
      </c>
      <c r="AZ607" s="46">
        <v>0</v>
      </c>
      <c r="BA607" s="46">
        <v>0</v>
      </c>
      <c r="BB607" s="46">
        <v>0</v>
      </c>
      <c r="BC607" s="46">
        <v>0</v>
      </c>
      <c r="BD607" s="46">
        <v>0</v>
      </c>
      <c r="BE607" s="46">
        <v>0</v>
      </c>
      <c r="BF607" s="46">
        <v>0</v>
      </c>
      <c r="BG607" s="46" t="s">
        <v>48</v>
      </c>
      <c r="BH607" s="46">
        <v>0</v>
      </c>
      <c r="BI607" s="46">
        <v>0</v>
      </c>
      <c r="BJ607" s="46">
        <v>0</v>
      </c>
      <c r="BK607" s="46">
        <v>0</v>
      </c>
      <c r="BL607" s="46">
        <v>0</v>
      </c>
      <c r="BM607" s="46">
        <v>0</v>
      </c>
      <c r="BN607" s="46">
        <v>0</v>
      </c>
    </row>
    <row r="608" spans="1:66" x14ac:dyDescent="0.35">
      <c r="A608" t="s">
        <v>127</v>
      </c>
      <c r="B608" t="s">
        <v>48</v>
      </c>
      <c r="C608" t="s">
        <v>133</v>
      </c>
      <c r="D608" t="s">
        <v>113</v>
      </c>
      <c r="E608" t="s">
        <v>129</v>
      </c>
      <c r="F608" t="s">
        <v>128</v>
      </c>
      <c r="G608" t="s">
        <v>74</v>
      </c>
      <c r="H608">
        <v>0</v>
      </c>
      <c r="I608" s="60" t="s">
        <v>51</v>
      </c>
      <c r="J608" s="33" t="s">
        <v>45</v>
      </c>
      <c r="K608" s="46">
        <v>1</v>
      </c>
      <c r="L608">
        <v>83.2</v>
      </c>
      <c r="M608" t="s">
        <v>48</v>
      </c>
      <c r="N608" s="46">
        <v>1</v>
      </c>
      <c r="O608" s="46">
        <v>0</v>
      </c>
      <c r="P608" s="46">
        <v>0</v>
      </c>
      <c r="Q608" t="s">
        <v>48</v>
      </c>
      <c r="R608" t="s">
        <v>48</v>
      </c>
      <c r="S608" t="s">
        <v>130</v>
      </c>
      <c r="T608" t="s">
        <v>131</v>
      </c>
      <c r="U608" t="s">
        <v>130</v>
      </c>
      <c r="V608" s="47">
        <v>0</v>
      </c>
      <c r="W608" t="s">
        <v>48</v>
      </c>
      <c r="X608" t="s">
        <v>48</v>
      </c>
      <c r="Y608" t="s">
        <v>48</v>
      </c>
      <c r="Z608">
        <v>0</v>
      </c>
      <c r="AA608" t="s">
        <v>48</v>
      </c>
      <c r="AB608" t="s">
        <v>132</v>
      </c>
      <c r="AC608" t="s">
        <v>49</v>
      </c>
      <c r="AD608" t="s">
        <v>93</v>
      </c>
      <c r="AE608" t="s">
        <v>4532</v>
      </c>
      <c r="AF608" t="s">
        <v>48</v>
      </c>
      <c r="AG608" t="s">
        <v>112</v>
      </c>
      <c r="AH608" t="s">
        <v>93</v>
      </c>
      <c r="AI608">
        <v>20322</v>
      </c>
      <c r="AJ608">
        <v>1952</v>
      </c>
      <c r="AK608" t="s">
        <v>8866</v>
      </c>
      <c r="AL608" t="s">
        <v>8867</v>
      </c>
      <c r="AM608">
        <v>-0.19600000000000001</v>
      </c>
      <c r="AN608">
        <v>-0.10199999999999999</v>
      </c>
      <c r="AO608">
        <v>-0.19600000000000001</v>
      </c>
      <c r="AP608" s="46">
        <v>0</v>
      </c>
      <c r="AQ608" s="46">
        <v>0</v>
      </c>
      <c r="AR608" s="46">
        <v>0</v>
      </c>
      <c r="AS608" s="46">
        <v>0</v>
      </c>
      <c r="AT608" s="46">
        <v>0</v>
      </c>
      <c r="AU608" s="46">
        <v>1</v>
      </c>
      <c r="AV608" s="46">
        <v>1</v>
      </c>
      <c r="AW608" s="46">
        <v>0</v>
      </c>
      <c r="AX608" s="46">
        <v>0</v>
      </c>
      <c r="AY608" s="46">
        <v>0</v>
      </c>
      <c r="AZ608" s="46">
        <v>0</v>
      </c>
      <c r="BA608" s="46">
        <v>1</v>
      </c>
      <c r="BB608" s="46">
        <v>0</v>
      </c>
      <c r="BC608" s="46">
        <v>0</v>
      </c>
      <c r="BD608" s="46">
        <v>0</v>
      </c>
      <c r="BE608" s="46">
        <v>0</v>
      </c>
      <c r="BF608" s="46">
        <v>0</v>
      </c>
      <c r="BG608" s="46" t="s">
        <v>48</v>
      </c>
      <c r="BH608" s="46">
        <v>0</v>
      </c>
      <c r="BI608" s="46">
        <v>0</v>
      </c>
      <c r="BJ608" s="46">
        <v>0</v>
      </c>
      <c r="BK608" s="46">
        <v>0</v>
      </c>
      <c r="BL608" s="46">
        <v>1</v>
      </c>
      <c r="BM608" s="46">
        <v>0</v>
      </c>
      <c r="BN608" s="46">
        <v>0</v>
      </c>
    </row>
    <row r="609" spans="1:66" x14ac:dyDescent="0.35">
      <c r="A609" t="s">
        <v>10648</v>
      </c>
      <c r="B609" s="44" t="s">
        <v>48</v>
      </c>
      <c r="C609" t="s">
        <v>11887</v>
      </c>
      <c r="D609" t="s">
        <v>11888</v>
      </c>
      <c r="E609" t="s">
        <v>10649</v>
      </c>
      <c r="F609" t="s">
        <v>2502</v>
      </c>
      <c r="G609" t="s">
        <v>74</v>
      </c>
      <c r="H609">
        <v>0</v>
      </c>
      <c r="I609" s="60" t="s">
        <v>11552</v>
      </c>
      <c r="J609" s="33" t="s">
        <v>45</v>
      </c>
      <c r="K609" s="46">
        <v>0</v>
      </c>
      <c r="L609">
        <v>58.4</v>
      </c>
      <c r="M609" t="s">
        <v>48</v>
      </c>
      <c r="N609" s="46">
        <v>1</v>
      </c>
      <c r="O609" s="46">
        <v>0</v>
      </c>
      <c r="P609" s="46">
        <v>1</v>
      </c>
      <c r="Q609" t="s">
        <v>48</v>
      </c>
      <c r="R609" t="s">
        <v>48</v>
      </c>
      <c r="S609" t="s">
        <v>11480</v>
      </c>
      <c r="T609" t="s">
        <v>48</v>
      </c>
      <c r="U609" t="s">
        <v>10650</v>
      </c>
      <c r="V609" s="47">
        <v>0</v>
      </c>
      <c r="W609" t="s">
        <v>48</v>
      </c>
      <c r="X609" t="s">
        <v>48</v>
      </c>
      <c r="Y609" t="s">
        <v>48</v>
      </c>
      <c r="Z609">
        <v>0</v>
      </c>
      <c r="AA609" t="s">
        <v>48</v>
      </c>
      <c r="AB609" t="s">
        <v>48</v>
      </c>
      <c r="AC609" t="s">
        <v>63</v>
      </c>
      <c r="AD609" t="s">
        <v>93</v>
      </c>
      <c r="AE609" t="s">
        <v>977</v>
      </c>
      <c r="AF609" t="s">
        <v>48</v>
      </c>
      <c r="AG609" t="s">
        <v>48</v>
      </c>
      <c r="AH609" t="s">
        <v>48</v>
      </c>
      <c r="AI609" t="s">
        <v>48</v>
      </c>
      <c r="AJ609" t="s">
        <v>48</v>
      </c>
      <c r="AK609" t="s">
        <v>48</v>
      </c>
      <c r="AL609" t="s">
        <v>48</v>
      </c>
      <c r="AM609" t="s">
        <v>48</v>
      </c>
      <c r="AN609" t="s">
        <v>48</v>
      </c>
      <c r="AO609" t="s">
        <v>48</v>
      </c>
      <c r="AP609" s="46">
        <v>0</v>
      </c>
      <c r="AQ609" s="46">
        <v>0</v>
      </c>
      <c r="AR609" s="46">
        <v>0</v>
      </c>
      <c r="AS609" s="46">
        <v>0</v>
      </c>
      <c r="AT609" s="46">
        <v>0</v>
      </c>
      <c r="AU609" s="46">
        <v>0</v>
      </c>
      <c r="AV609" s="46">
        <v>0</v>
      </c>
      <c r="AW609" s="46">
        <v>0</v>
      </c>
      <c r="AX609" s="46">
        <v>0</v>
      </c>
      <c r="AY609" s="46">
        <v>0</v>
      </c>
      <c r="AZ609" s="46">
        <v>0</v>
      </c>
      <c r="BA609" s="46">
        <v>0</v>
      </c>
      <c r="BB609" s="46">
        <v>0</v>
      </c>
      <c r="BC609" s="46">
        <v>0</v>
      </c>
      <c r="BD609" s="46">
        <v>0</v>
      </c>
      <c r="BE609" s="46">
        <v>0</v>
      </c>
      <c r="BF609" s="46">
        <v>0</v>
      </c>
      <c r="BG609" s="46" t="s">
        <v>48</v>
      </c>
      <c r="BH609" s="46">
        <v>0</v>
      </c>
      <c r="BI609" s="46">
        <v>0</v>
      </c>
      <c r="BJ609" s="46">
        <v>0</v>
      </c>
      <c r="BK609" s="46">
        <v>0</v>
      </c>
      <c r="BL609" s="46">
        <v>0</v>
      </c>
      <c r="BM609" s="46">
        <v>0</v>
      </c>
      <c r="BN609" s="46">
        <v>0</v>
      </c>
    </row>
    <row r="610" spans="1:66" x14ac:dyDescent="0.35">
      <c r="A610" t="s">
        <v>10656</v>
      </c>
      <c r="B610" s="44" t="s">
        <v>48</v>
      </c>
      <c r="C610" t="s">
        <v>11882</v>
      </c>
      <c r="D610" t="s">
        <v>1402</v>
      </c>
      <c r="E610" t="s">
        <v>10657</v>
      </c>
      <c r="F610" t="s">
        <v>2502</v>
      </c>
      <c r="G610" t="s">
        <v>47</v>
      </c>
      <c r="H610">
        <v>0</v>
      </c>
      <c r="I610" s="60" t="s">
        <v>11552</v>
      </c>
      <c r="J610" s="33" t="s">
        <v>45</v>
      </c>
      <c r="K610" s="46">
        <v>0</v>
      </c>
      <c r="L610">
        <v>83.9</v>
      </c>
      <c r="M610" t="s">
        <v>48</v>
      </c>
      <c r="N610" s="46">
        <v>1</v>
      </c>
      <c r="O610" s="46">
        <v>0</v>
      </c>
      <c r="P610" s="46">
        <v>0</v>
      </c>
      <c r="Q610" t="s">
        <v>48</v>
      </c>
      <c r="R610" t="s">
        <v>48</v>
      </c>
      <c r="S610" t="s">
        <v>11482</v>
      </c>
      <c r="T610" t="s">
        <v>48</v>
      </c>
      <c r="U610" t="s">
        <v>10658</v>
      </c>
      <c r="V610" s="47">
        <v>0</v>
      </c>
      <c r="W610" t="s">
        <v>48</v>
      </c>
      <c r="X610" t="s">
        <v>48</v>
      </c>
      <c r="Y610" t="s">
        <v>48</v>
      </c>
      <c r="Z610">
        <v>0</v>
      </c>
      <c r="AA610" t="s">
        <v>48</v>
      </c>
      <c r="AB610" t="s">
        <v>48</v>
      </c>
      <c r="AC610" t="s">
        <v>49</v>
      </c>
      <c r="AD610" t="s">
        <v>93</v>
      </c>
      <c r="AE610" t="s">
        <v>977</v>
      </c>
      <c r="AF610" t="s">
        <v>48</v>
      </c>
      <c r="AG610" t="s">
        <v>48</v>
      </c>
      <c r="AH610" t="s">
        <v>48</v>
      </c>
      <c r="AI610" t="s">
        <v>48</v>
      </c>
      <c r="AJ610" t="s">
        <v>48</v>
      </c>
      <c r="AK610" t="s">
        <v>48</v>
      </c>
      <c r="AL610" t="s">
        <v>48</v>
      </c>
      <c r="AM610" t="s">
        <v>48</v>
      </c>
      <c r="AN610" t="s">
        <v>48</v>
      </c>
      <c r="AO610" t="s">
        <v>48</v>
      </c>
      <c r="AP610" s="46">
        <v>0</v>
      </c>
      <c r="AQ610" s="46">
        <v>0</v>
      </c>
      <c r="AR610" s="46">
        <v>0</v>
      </c>
      <c r="AS610" s="46">
        <v>0</v>
      </c>
      <c r="AT610" s="46">
        <v>0</v>
      </c>
      <c r="AU610" s="46">
        <v>0</v>
      </c>
      <c r="AV610" s="46">
        <v>0</v>
      </c>
      <c r="AW610" s="46">
        <v>0</v>
      </c>
      <c r="AX610" s="46">
        <v>0</v>
      </c>
      <c r="AY610" s="46">
        <v>0</v>
      </c>
      <c r="AZ610" s="46">
        <v>0</v>
      </c>
      <c r="BA610" s="46">
        <v>0</v>
      </c>
      <c r="BB610" s="46">
        <v>0</v>
      </c>
      <c r="BC610" s="46">
        <v>0</v>
      </c>
      <c r="BD610" s="46">
        <v>0</v>
      </c>
      <c r="BE610" s="46">
        <v>0</v>
      </c>
      <c r="BF610" s="46">
        <v>0</v>
      </c>
      <c r="BG610" s="46">
        <v>1</v>
      </c>
      <c r="BH610" s="46">
        <v>0</v>
      </c>
      <c r="BI610" s="46">
        <v>0</v>
      </c>
      <c r="BJ610" s="46">
        <v>0</v>
      </c>
      <c r="BK610" s="46">
        <v>0</v>
      </c>
      <c r="BL610" s="46">
        <v>0</v>
      </c>
      <c r="BM610" s="46">
        <v>0</v>
      </c>
      <c r="BN610" s="46">
        <v>0</v>
      </c>
    </row>
    <row r="611" spans="1:66" x14ac:dyDescent="0.35">
      <c r="A611" t="s">
        <v>2528</v>
      </c>
      <c r="B611" s="44" t="s">
        <v>48</v>
      </c>
      <c r="C611" t="s">
        <v>2532</v>
      </c>
      <c r="D611" t="s">
        <v>2531</v>
      </c>
      <c r="E611" t="s">
        <v>9465</v>
      </c>
      <c r="F611" t="s">
        <v>2520</v>
      </c>
      <c r="G611" t="s">
        <v>74</v>
      </c>
      <c r="H611">
        <v>0</v>
      </c>
      <c r="I611" s="61" t="s">
        <v>11160</v>
      </c>
      <c r="J611" s="33" t="s">
        <v>45</v>
      </c>
      <c r="K611" s="46">
        <v>0</v>
      </c>
      <c r="L611">
        <v>100</v>
      </c>
      <c r="M611" t="s">
        <v>48</v>
      </c>
      <c r="N611" s="46">
        <v>1</v>
      </c>
      <c r="O611" s="46">
        <v>0</v>
      </c>
      <c r="P611" s="46">
        <v>0</v>
      </c>
      <c r="Q611" t="s">
        <v>48</v>
      </c>
      <c r="R611" t="s">
        <v>48</v>
      </c>
      <c r="S611" t="s">
        <v>11327</v>
      </c>
      <c r="T611" t="s">
        <v>48</v>
      </c>
      <c r="U611" t="s">
        <v>2530</v>
      </c>
      <c r="V611" s="47">
        <v>0</v>
      </c>
      <c r="W611" t="s">
        <v>48</v>
      </c>
      <c r="X611" t="s">
        <v>48</v>
      </c>
      <c r="Y611" t="s">
        <v>48</v>
      </c>
      <c r="Z611">
        <v>0</v>
      </c>
      <c r="AA611" t="s">
        <v>1165</v>
      </c>
      <c r="AB611" t="s">
        <v>48</v>
      </c>
      <c r="AC611" t="s">
        <v>63</v>
      </c>
      <c r="AD611" t="s">
        <v>93</v>
      </c>
      <c r="AE611" t="s">
        <v>4532</v>
      </c>
      <c r="AF611" t="s">
        <v>48</v>
      </c>
      <c r="AG611" t="s">
        <v>48</v>
      </c>
      <c r="AH611" t="s">
        <v>48</v>
      </c>
      <c r="AI611" t="s">
        <v>48</v>
      </c>
      <c r="AJ611" t="s">
        <v>48</v>
      </c>
      <c r="AK611" t="s">
        <v>48</v>
      </c>
      <c r="AL611" t="s">
        <v>48</v>
      </c>
      <c r="AM611" t="s">
        <v>48</v>
      </c>
      <c r="AN611" t="s">
        <v>48</v>
      </c>
      <c r="AO611" t="s">
        <v>48</v>
      </c>
      <c r="AP611" s="46">
        <v>0</v>
      </c>
      <c r="AQ611" s="46">
        <v>0</v>
      </c>
      <c r="AR611" s="46">
        <v>0</v>
      </c>
      <c r="AS611" s="46">
        <v>0</v>
      </c>
      <c r="AT611" s="46">
        <v>0</v>
      </c>
      <c r="AU611" s="46">
        <v>0</v>
      </c>
      <c r="AV611" s="46">
        <v>0</v>
      </c>
      <c r="AW611" s="46">
        <v>0</v>
      </c>
      <c r="AX611" s="46">
        <v>0</v>
      </c>
      <c r="AY611" s="46">
        <v>0</v>
      </c>
      <c r="AZ611" s="46">
        <v>0</v>
      </c>
      <c r="BA611" s="46">
        <v>0</v>
      </c>
      <c r="BB611" s="46">
        <v>0</v>
      </c>
      <c r="BC611" s="46">
        <v>0</v>
      </c>
      <c r="BD611" s="46">
        <v>0</v>
      </c>
      <c r="BE611" s="46">
        <v>0</v>
      </c>
      <c r="BF611" s="46">
        <v>0</v>
      </c>
      <c r="BG611" s="46" t="s">
        <v>48</v>
      </c>
      <c r="BH611" s="46">
        <v>0</v>
      </c>
      <c r="BI611" s="46">
        <v>0</v>
      </c>
      <c r="BJ611" s="46">
        <v>0</v>
      </c>
      <c r="BK611" s="46">
        <v>0</v>
      </c>
      <c r="BL611" s="46">
        <v>0</v>
      </c>
      <c r="BM611" s="46">
        <v>0</v>
      </c>
      <c r="BN611" s="46">
        <v>0</v>
      </c>
    </row>
    <row r="612" spans="1:66" x14ac:dyDescent="0.35">
      <c r="A612" t="s">
        <v>2534</v>
      </c>
      <c r="B612" t="s">
        <v>48</v>
      </c>
      <c r="C612" t="s">
        <v>2538</v>
      </c>
      <c r="D612" t="s">
        <v>2537</v>
      </c>
      <c r="E612" t="s">
        <v>9466</v>
      </c>
      <c r="F612" t="s">
        <v>2520</v>
      </c>
      <c r="G612" t="s">
        <v>47</v>
      </c>
      <c r="H612">
        <v>0</v>
      </c>
      <c r="I612" s="61">
        <v>44724</v>
      </c>
      <c r="J612" s="33" t="s">
        <v>45</v>
      </c>
      <c r="K612" s="46">
        <v>1</v>
      </c>
      <c r="L612">
        <v>100</v>
      </c>
      <c r="M612" t="s">
        <v>48</v>
      </c>
      <c r="N612" s="46">
        <v>1</v>
      </c>
      <c r="O612" s="46">
        <v>0</v>
      </c>
      <c r="P612" s="46">
        <v>0</v>
      </c>
      <c r="Q612" t="s">
        <v>48</v>
      </c>
      <c r="R612" t="s">
        <v>48</v>
      </c>
      <c r="S612" t="s">
        <v>2535</v>
      </c>
      <c r="T612" t="s">
        <v>2536</v>
      </c>
      <c r="U612" t="s">
        <v>2535</v>
      </c>
      <c r="V612" s="47">
        <v>0</v>
      </c>
      <c r="W612" t="s">
        <v>48</v>
      </c>
      <c r="X612" t="s">
        <v>48</v>
      </c>
      <c r="Y612" t="s">
        <v>48</v>
      </c>
      <c r="Z612">
        <v>1</v>
      </c>
      <c r="AA612" t="s">
        <v>48</v>
      </c>
      <c r="AB612">
        <v>2020</v>
      </c>
      <c r="AC612" t="s">
        <v>63</v>
      </c>
      <c r="AD612" t="s">
        <v>93</v>
      </c>
      <c r="AE612" t="s">
        <v>4532</v>
      </c>
      <c r="AF612" t="s">
        <v>48</v>
      </c>
      <c r="AG612" t="s">
        <v>48</v>
      </c>
      <c r="AH612" t="s">
        <v>48</v>
      </c>
      <c r="AI612">
        <v>22139</v>
      </c>
      <c r="AJ612">
        <v>1955</v>
      </c>
      <c r="AK612" t="s">
        <v>8870</v>
      </c>
      <c r="AL612" t="s">
        <v>8871</v>
      </c>
      <c r="AM612">
        <v>0.28999999999999998</v>
      </c>
      <c r="AN612">
        <v>0.40600000000000003</v>
      </c>
      <c r="AO612">
        <v>0.28999999999999998</v>
      </c>
      <c r="AP612" s="46">
        <v>0</v>
      </c>
      <c r="AQ612" s="46">
        <v>0</v>
      </c>
      <c r="AR612" s="46">
        <v>0</v>
      </c>
      <c r="AS612" s="46">
        <v>0</v>
      </c>
      <c r="AT612" s="46">
        <v>0</v>
      </c>
      <c r="AU612" s="46">
        <v>0</v>
      </c>
      <c r="AV612" s="46">
        <v>0</v>
      </c>
      <c r="AW612" s="46">
        <v>0</v>
      </c>
      <c r="AX612" s="46">
        <v>0</v>
      </c>
      <c r="AY612" s="46">
        <v>1</v>
      </c>
      <c r="AZ612" s="46">
        <v>1</v>
      </c>
      <c r="BA612" s="46">
        <v>0</v>
      </c>
      <c r="BB612" s="46">
        <v>0</v>
      </c>
      <c r="BC612" s="46">
        <v>0</v>
      </c>
      <c r="BD612" s="46">
        <v>0</v>
      </c>
      <c r="BE612" s="46">
        <v>0</v>
      </c>
      <c r="BF612" s="46">
        <v>0</v>
      </c>
      <c r="BG612" s="46" t="s">
        <v>48</v>
      </c>
      <c r="BH612" s="46">
        <v>0</v>
      </c>
      <c r="BI612" s="46">
        <v>0</v>
      </c>
      <c r="BJ612" s="46">
        <v>0</v>
      </c>
      <c r="BK612" s="46">
        <v>0</v>
      </c>
      <c r="BL612" s="46">
        <v>0</v>
      </c>
      <c r="BM612" s="46">
        <v>1</v>
      </c>
      <c r="BN612" s="46">
        <v>0</v>
      </c>
    </row>
    <row r="613" spans="1:66" x14ac:dyDescent="0.35">
      <c r="A613" t="s">
        <v>2519</v>
      </c>
      <c r="B613" t="s">
        <v>48</v>
      </c>
      <c r="C613" t="s">
        <v>2524</v>
      </c>
      <c r="D613" t="s">
        <v>2523</v>
      </c>
      <c r="E613" t="s">
        <v>9467</v>
      </c>
      <c r="F613" t="s">
        <v>2529</v>
      </c>
      <c r="G613" t="s">
        <v>47</v>
      </c>
      <c r="H613">
        <v>0</v>
      </c>
      <c r="I613" s="61">
        <v>44724</v>
      </c>
      <c r="J613" s="33" t="s">
        <v>45</v>
      </c>
      <c r="K613" s="46">
        <v>1</v>
      </c>
      <c r="L613">
        <v>100</v>
      </c>
      <c r="M613" t="s">
        <v>48</v>
      </c>
      <c r="N613" s="46">
        <v>1</v>
      </c>
      <c r="O613" s="46">
        <v>0</v>
      </c>
      <c r="P613" s="46">
        <v>0</v>
      </c>
      <c r="Q613" t="s">
        <v>48</v>
      </c>
      <c r="R613" t="s">
        <v>48</v>
      </c>
      <c r="S613" t="s">
        <v>2521</v>
      </c>
      <c r="T613" t="s">
        <v>2522</v>
      </c>
      <c r="U613" t="s">
        <v>2521</v>
      </c>
      <c r="V613" s="47">
        <v>0</v>
      </c>
      <c r="W613" t="s">
        <v>48</v>
      </c>
      <c r="X613" t="s">
        <v>48</v>
      </c>
      <c r="Y613" t="s">
        <v>48</v>
      </c>
      <c r="Z613">
        <v>1</v>
      </c>
      <c r="AA613" t="s">
        <v>48</v>
      </c>
      <c r="AB613">
        <v>2020</v>
      </c>
      <c r="AC613" t="s">
        <v>63</v>
      </c>
      <c r="AD613" t="s">
        <v>93</v>
      </c>
      <c r="AE613" t="s">
        <v>4532</v>
      </c>
      <c r="AF613" t="s">
        <v>48</v>
      </c>
      <c r="AG613" t="s">
        <v>48</v>
      </c>
      <c r="AH613" t="s">
        <v>48</v>
      </c>
      <c r="AI613">
        <v>22124</v>
      </c>
      <c r="AJ613">
        <v>1983</v>
      </c>
      <c r="AK613" t="s">
        <v>8868</v>
      </c>
      <c r="AL613" t="s">
        <v>8869</v>
      </c>
      <c r="AM613">
        <v>0.374</v>
      </c>
      <c r="AN613">
        <v>6.7000000000000004E-2</v>
      </c>
      <c r="AO613">
        <v>0.374</v>
      </c>
      <c r="AP613" s="46">
        <v>0</v>
      </c>
      <c r="AQ613" s="46">
        <v>0</v>
      </c>
      <c r="AR613" s="46">
        <v>0</v>
      </c>
      <c r="AS613" s="46">
        <v>0</v>
      </c>
      <c r="AT613" s="46">
        <v>0</v>
      </c>
      <c r="AU613" s="46">
        <v>0</v>
      </c>
      <c r="AV613" s="46">
        <v>0</v>
      </c>
      <c r="AW613" s="46">
        <v>0</v>
      </c>
      <c r="AX613" s="46">
        <v>0</v>
      </c>
      <c r="AY613" s="46">
        <v>0</v>
      </c>
      <c r="AZ613" s="46">
        <v>1</v>
      </c>
      <c r="BA613" s="46">
        <v>0</v>
      </c>
      <c r="BB613" s="46">
        <v>1</v>
      </c>
      <c r="BC613" s="46">
        <v>0</v>
      </c>
      <c r="BD613" s="46">
        <v>0</v>
      </c>
      <c r="BE613" s="46">
        <v>0</v>
      </c>
      <c r="BF613" s="46">
        <v>0</v>
      </c>
      <c r="BG613" s="46" t="s">
        <v>48</v>
      </c>
      <c r="BH613" s="46">
        <v>0</v>
      </c>
      <c r="BI613" s="46">
        <v>0</v>
      </c>
      <c r="BJ613" s="46">
        <v>0</v>
      </c>
      <c r="BK613" s="46">
        <v>0</v>
      </c>
      <c r="BL613" s="46">
        <v>0</v>
      </c>
      <c r="BM613" s="46">
        <v>0</v>
      </c>
      <c r="BN613" s="46">
        <v>0</v>
      </c>
    </row>
    <row r="614" spans="1:66" x14ac:dyDescent="0.35">
      <c r="A614" t="s">
        <v>2525</v>
      </c>
      <c r="B614" s="44" t="s">
        <v>48</v>
      </c>
      <c r="C614" t="s">
        <v>2527</v>
      </c>
      <c r="D614" t="s">
        <v>2408</v>
      </c>
      <c r="E614" t="s">
        <v>9788</v>
      </c>
      <c r="F614" t="s">
        <v>2529</v>
      </c>
      <c r="G614" t="s">
        <v>74</v>
      </c>
      <c r="H614">
        <v>0</v>
      </c>
      <c r="I614" s="61">
        <v>44724</v>
      </c>
      <c r="J614" s="33" t="s">
        <v>45</v>
      </c>
      <c r="K614" s="46">
        <v>0</v>
      </c>
      <c r="L614">
        <v>100</v>
      </c>
      <c r="M614" t="s">
        <v>48</v>
      </c>
      <c r="N614" s="46">
        <v>1</v>
      </c>
      <c r="O614" s="46">
        <v>0</v>
      </c>
      <c r="P614" s="46">
        <v>0</v>
      </c>
      <c r="Q614" t="s">
        <v>48</v>
      </c>
      <c r="R614" t="s">
        <v>48</v>
      </c>
      <c r="S614" t="s">
        <v>2526</v>
      </c>
      <c r="T614" t="s">
        <v>48</v>
      </c>
      <c r="U614" t="s">
        <v>2526</v>
      </c>
      <c r="V614" s="47">
        <v>0</v>
      </c>
      <c r="W614" t="s">
        <v>48</v>
      </c>
      <c r="X614" t="s">
        <v>48</v>
      </c>
      <c r="Y614" t="s">
        <v>48</v>
      </c>
      <c r="Z614">
        <v>0</v>
      </c>
      <c r="AA614" t="s">
        <v>48</v>
      </c>
      <c r="AB614" t="s">
        <v>48</v>
      </c>
      <c r="AC614" t="s">
        <v>63</v>
      </c>
      <c r="AD614" t="s">
        <v>93</v>
      </c>
      <c r="AE614" t="s">
        <v>4532</v>
      </c>
      <c r="AF614" t="s">
        <v>48</v>
      </c>
      <c r="AG614" t="s">
        <v>48</v>
      </c>
      <c r="AH614" t="s">
        <v>48</v>
      </c>
      <c r="AI614" t="s">
        <v>48</v>
      </c>
      <c r="AJ614" t="s">
        <v>48</v>
      </c>
      <c r="AK614" t="s">
        <v>48</v>
      </c>
      <c r="AL614" t="s">
        <v>48</v>
      </c>
      <c r="AM614" t="s">
        <v>48</v>
      </c>
      <c r="AN614" t="s">
        <v>48</v>
      </c>
      <c r="AO614" t="s">
        <v>48</v>
      </c>
      <c r="AP614" s="46">
        <v>0</v>
      </c>
      <c r="AQ614" s="46">
        <v>0</v>
      </c>
      <c r="AR614" s="46">
        <v>0</v>
      </c>
      <c r="AS614" s="46">
        <v>0</v>
      </c>
      <c r="AT614" s="46">
        <v>0</v>
      </c>
      <c r="AU614" s="46">
        <v>0</v>
      </c>
      <c r="AV614" s="46">
        <v>0</v>
      </c>
      <c r="AW614" s="46">
        <v>0</v>
      </c>
      <c r="AX614" s="46">
        <v>0</v>
      </c>
      <c r="AY614" s="46">
        <v>0</v>
      </c>
      <c r="AZ614" s="46">
        <v>0</v>
      </c>
      <c r="BA614" s="46">
        <v>0</v>
      </c>
      <c r="BB614" s="46">
        <v>0</v>
      </c>
      <c r="BC614" s="46">
        <v>0</v>
      </c>
      <c r="BD614" s="46">
        <v>0</v>
      </c>
      <c r="BE614" s="46">
        <v>0</v>
      </c>
      <c r="BF614" s="46">
        <v>0</v>
      </c>
      <c r="BG614" s="46" t="s">
        <v>48</v>
      </c>
      <c r="BH614" s="46">
        <v>0</v>
      </c>
      <c r="BI614" s="46">
        <v>0</v>
      </c>
      <c r="BJ614" s="46">
        <v>0</v>
      </c>
      <c r="BK614" s="46">
        <v>0</v>
      </c>
      <c r="BL614" s="46">
        <v>0</v>
      </c>
      <c r="BM614" s="46">
        <v>0</v>
      </c>
      <c r="BN614" s="46">
        <v>0</v>
      </c>
    </row>
    <row r="615" spans="1:66" x14ac:dyDescent="0.35">
      <c r="A615" t="s">
        <v>2539</v>
      </c>
      <c r="B615" t="s">
        <v>48</v>
      </c>
      <c r="C615" t="s">
        <v>2544</v>
      </c>
      <c r="D615" t="s">
        <v>2085</v>
      </c>
      <c r="E615" t="s">
        <v>2541</v>
      </c>
      <c r="F615" t="s">
        <v>2540</v>
      </c>
      <c r="G615" t="s">
        <v>74</v>
      </c>
      <c r="H615">
        <v>0</v>
      </c>
      <c r="I615" s="60" t="s">
        <v>51</v>
      </c>
      <c r="J615" s="33" t="s">
        <v>45</v>
      </c>
      <c r="K615" s="46">
        <v>1</v>
      </c>
      <c r="L615">
        <v>100</v>
      </c>
      <c r="M615" t="s">
        <v>48</v>
      </c>
      <c r="N615" s="46">
        <v>1</v>
      </c>
      <c r="O615" s="46">
        <v>0</v>
      </c>
      <c r="P615" s="46">
        <v>0</v>
      </c>
      <c r="Q615" t="s">
        <v>48</v>
      </c>
      <c r="R615" t="s">
        <v>48</v>
      </c>
      <c r="S615" t="s">
        <v>2542</v>
      </c>
      <c r="T615" t="s">
        <v>2543</v>
      </c>
      <c r="U615" t="s">
        <v>2542</v>
      </c>
      <c r="V615" s="47">
        <v>0</v>
      </c>
      <c r="W615" t="s">
        <v>48</v>
      </c>
      <c r="X615" t="s">
        <v>48</v>
      </c>
      <c r="Y615" t="s">
        <v>48</v>
      </c>
      <c r="Z615">
        <v>0</v>
      </c>
      <c r="AA615" t="s">
        <v>48</v>
      </c>
      <c r="AB615">
        <v>2018</v>
      </c>
      <c r="AC615" t="s">
        <v>63</v>
      </c>
      <c r="AD615" t="s">
        <v>93</v>
      </c>
      <c r="AE615" t="s">
        <v>4532</v>
      </c>
      <c r="AF615" t="s">
        <v>48</v>
      </c>
      <c r="AG615" t="s">
        <v>140</v>
      </c>
      <c r="AH615" t="s">
        <v>93</v>
      </c>
      <c r="AI615">
        <v>21902</v>
      </c>
      <c r="AJ615">
        <v>1965</v>
      </c>
      <c r="AK615" t="s">
        <v>8872</v>
      </c>
      <c r="AL615" t="s">
        <v>8873</v>
      </c>
      <c r="AM615">
        <v>-0.248</v>
      </c>
      <c r="AN615">
        <v>0.54600000000000004</v>
      </c>
      <c r="AO615">
        <v>-0.248</v>
      </c>
      <c r="AP615" s="46">
        <v>0</v>
      </c>
      <c r="AQ615" s="46">
        <v>0</v>
      </c>
      <c r="AR615" s="46">
        <v>0</v>
      </c>
      <c r="AS615" s="46">
        <v>0</v>
      </c>
      <c r="AT615" s="46">
        <v>0</v>
      </c>
      <c r="AU615" s="46">
        <v>1</v>
      </c>
      <c r="AV615" s="46">
        <v>0</v>
      </c>
      <c r="AW615" s="46">
        <v>0</v>
      </c>
      <c r="AX615" s="46">
        <v>1</v>
      </c>
      <c r="AY615" s="46">
        <v>0</v>
      </c>
      <c r="AZ615" s="46">
        <v>0</v>
      </c>
      <c r="BA615" s="46">
        <v>0</v>
      </c>
      <c r="BB615" s="46">
        <v>0</v>
      </c>
      <c r="BC615" s="46">
        <v>0</v>
      </c>
      <c r="BD615" s="46">
        <v>0</v>
      </c>
      <c r="BE615" s="46">
        <v>0</v>
      </c>
      <c r="BF615" s="46">
        <v>0</v>
      </c>
      <c r="BG615" s="46" t="s">
        <v>48</v>
      </c>
      <c r="BH615" s="46">
        <v>0</v>
      </c>
      <c r="BI615" s="46">
        <v>0</v>
      </c>
      <c r="BJ615" s="46">
        <v>0</v>
      </c>
      <c r="BK615" s="46">
        <v>0</v>
      </c>
      <c r="BL615" s="46">
        <v>1</v>
      </c>
      <c r="BM615" s="46">
        <v>0</v>
      </c>
      <c r="BN615" s="46">
        <v>0</v>
      </c>
    </row>
    <row r="616" spans="1:66" x14ac:dyDescent="0.35">
      <c r="A616" t="s">
        <v>2552</v>
      </c>
      <c r="B616" s="44" t="s">
        <v>48</v>
      </c>
      <c r="C616" t="s">
        <v>2556</v>
      </c>
      <c r="D616" t="s">
        <v>2555</v>
      </c>
      <c r="E616" t="s">
        <v>2553</v>
      </c>
      <c r="F616" t="s">
        <v>2540</v>
      </c>
      <c r="G616" t="s">
        <v>47</v>
      </c>
      <c r="H616">
        <v>0</v>
      </c>
      <c r="I616" s="60" t="s">
        <v>51</v>
      </c>
      <c r="J616" s="33" t="s">
        <v>45</v>
      </c>
      <c r="K616" s="46">
        <v>0</v>
      </c>
      <c r="L616">
        <v>65.900000000000006</v>
      </c>
      <c r="M616" t="s">
        <v>48</v>
      </c>
      <c r="N616" s="46">
        <v>1</v>
      </c>
      <c r="O616" s="46">
        <v>0</v>
      </c>
      <c r="P616" s="46">
        <v>0</v>
      </c>
      <c r="Q616" t="s">
        <v>48</v>
      </c>
      <c r="R616" t="s">
        <v>48</v>
      </c>
      <c r="S616" t="s">
        <v>2554</v>
      </c>
      <c r="T616" t="s">
        <v>48</v>
      </c>
      <c r="U616" t="s">
        <v>2554</v>
      </c>
      <c r="V616" s="47">
        <v>0</v>
      </c>
      <c r="W616" t="s">
        <v>48</v>
      </c>
      <c r="X616" t="s">
        <v>48</v>
      </c>
      <c r="Y616" t="s">
        <v>48</v>
      </c>
      <c r="Z616">
        <v>0</v>
      </c>
      <c r="AA616" t="s">
        <v>48</v>
      </c>
      <c r="AB616" t="s">
        <v>48</v>
      </c>
      <c r="AC616" t="s">
        <v>49</v>
      </c>
      <c r="AD616" t="s">
        <v>93</v>
      </c>
      <c r="AE616" t="s">
        <v>4532</v>
      </c>
      <c r="AF616" t="s">
        <v>48</v>
      </c>
      <c r="AG616" t="s">
        <v>48</v>
      </c>
      <c r="AH616" t="s">
        <v>48</v>
      </c>
      <c r="AI616" t="s">
        <v>48</v>
      </c>
      <c r="AJ616" t="s">
        <v>48</v>
      </c>
      <c r="AK616" t="s">
        <v>48</v>
      </c>
      <c r="AL616" t="s">
        <v>48</v>
      </c>
      <c r="AM616" t="s">
        <v>48</v>
      </c>
      <c r="AN616" t="s">
        <v>48</v>
      </c>
      <c r="AO616" t="s">
        <v>48</v>
      </c>
      <c r="AP616" s="46">
        <v>0</v>
      </c>
      <c r="AQ616" s="46">
        <v>0</v>
      </c>
      <c r="AR616" s="46">
        <v>0</v>
      </c>
      <c r="AS616" s="46">
        <v>0</v>
      </c>
      <c r="AT616" s="46">
        <v>0</v>
      </c>
      <c r="AU616" s="46">
        <v>0</v>
      </c>
      <c r="AV616" s="46">
        <v>0</v>
      </c>
      <c r="AW616" s="46">
        <v>0</v>
      </c>
      <c r="AX616" s="46">
        <v>0</v>
      </c>
      <c r="AY616" s="46">
        <v>0</v>
      </c>
      <c r="AZ616" s="46">
        <v>0</v>
      </c>
      <c r="BA616" s="46">
        <v>0</v>
      </c>
      <c r="BB616" s="46">
        <v>0</v>
      </c>
      <c r="BC616" s="46">
        <v>1</v>
      </c>
      <c r="BD616" s="46">
        <v>0</v>
      </c>
      <c r="BE616" s="46">
        <v>0</v>
      </c>
      <c r="BF616" s="46">
        <v>0</v>
      </c>
      <c r="BG616" s="46" t="s">
        <v>48</v>
      </c>
      <c r="BH616" s="46">
        <v>0</v>
      </c>
      <c r="BI616" s="46">
        <v>0</v>
      </c>
      <c r="BJ616" s="46">
        <v>0</v>
      </c>
      <c r="BK616" s="46">
        <v>0</v>
      </c>
      <c r="BL616" s="46">
        <v>0</v>
      </c>
      <c r="BM616" s="46">
        <v>0</v>
      </c>
      <c r="BN616" s="46">
        <v>0</v>
      </c>
    </row>
    <row r="617" spans="1:66" x14ac:dyDescent="0.35">
      <c r="A617" t="s">
        <v>2557</v>
      </c>
      <c r="B617" t="s">
        <v>48</v>
      </c>
      <c r="C617" t="s">
        <v>2562</v>
      </c>
      <c r="D617" t="s">
        <v>54</v>
      </c>
      <c r="E617" t="s">
        <v>2559</v>
      </c>
      <c r="F617" t="s">
        <v>2558</v>
      </c>
      <c r="G617" t="s">
        <v>47</v>
      </c>
      <c r="H617">
        <v>0</v>
      </c>
      <c r="I617" s="60" t="s">
        <v>51</v>
      </c>
      <c r="J617" s="33" t="s">
        <v>45</v>
      </c>
      <c r="K617" s="46">
        <v>1</v>
      </c>
      <c r="L617">
        <v>100</v>
      </c>
      <c r="M617" t="s">
        <v>48</v>
      </c>
      <c r="N617" s="46">
        <v>1</v>
      </c>
      <c r="O617" s="46">
        <v>0</v>
      </c>
      <c r="P617" s="46">
        <v>0</v>
      </c>
      <c r="Q617" t="s">
        <v>48</v>
      </c>
      <c r="R617" t="s">
        <v>48</v>
      </c>
      <c r="S617" t="s">
        <v>2560</v>
      </c>
      <c r="T617" t="s">
        <v>2561</v>
      </c>
      <c r="U617" t="s">
        <v>2560</v>
      </c>
      <c r="V617" s="47">
        <v>0</v>
      </c>
      <c r="W617" t="s">
        <v>48</v>
      </c>
      <c r="X617" t="s">
        <v>48</v>
      </c>
      <c r="Y617" t="s">
        <v>48</v>
      </c>
      <c r="Z617">
        <v>1</v>
      </c>
      <c r="AA617" t="s">
        <v>48</v>
      </c>
      <c r="AB617">
        <v>2020</v>
      </c>
      <c r="AC617" t="s">
        <v>49</v>
      </c>
      <c r="AD617" t="s">
        <v>93</v>
      </c>
      <c r="AE617" t="s">
        <v>4532</v>
      </c>
      <c r="AF617" t="s">
        <v>48</v>
      </c>
      <c r="AG617" t="s">
        <v>48</v>
      </c>
      <c r="AH617" t="s">
        <v>48</v>
      </c>
      <c r="AI617">
        <v>22113</v>
      </c>
      <c r="AJ617">
        <v>1969</v>
      </c>
      <c r="AK617" t="s">
        <v>8874</v>
      </c>
      <c r="AL617" t="s">
        <v>8875</v>
      </c>
      <c r="AM617">
        <v>0.44</v>
      </c>
      <c r="AN617">
        <v>0.311</v>
      </c>
      <c r="AO617">
        <v>0.44</v>
      </c>
      <c r="AP617" s="46">
        <v>0</v>
      </c>
      <c r="AQ617" s="46">
        <v>0</v>
      </c>
      <c r="AR617" s="46">
        <v>0</v>
      </c>
      <c r="AS617" s="46">
        <v>0</v>
      </c>
      <c r="AT617" s="46">
        <v>0</v>
      </c>
      <c r="AU617" s="46">
        <v>0</v>
      </c>
      <c r="AV617" s="46">
        <v>0</v>
      </c>
      <c r="AW617" s="46">
        <v>0</v>
      </c>
      <c r="AX617" s="46">
        <v>0</v>
      </c>
      <c r="AY617" s="46">
        <v>0</v>
      </c>
      <c r="AZ617" s="46">
        <v>1</v>
      </c>
      <c r="BA617" s="46">
        <v>0</v>
      </c>
      <c r="BB617" s="46">
        <v>1</v>
      </c>
      <c r="BC617" s="46">
        <v>0</v>
      </c>
      <c r="BD617" s="46">
        <v>0</v>
      </c>
      <c r="BE617" s="46">
        <v>0</v>
      </c>
      <c r="BF617" s="46">
        <v>0</v>
      </c>
      <c r="BG617" s="46" t="s">
        <v>48</v>
      </c>
      <c r="BH617" s="46">
        <v>0</v>
      </c>
      <c r="BI617" s="46">
        <v>0</v>
      </c>
      <c r="BJ617" s="46">
        <v>0</v>
      </c>
      <c r="BK617" s="46">
        <v>0</v>
      </c>
      <c r="BL617" s="46">
        <v>0</v>
      </c>
      <c r="BM617" s="46">
        <v>0</v>
      </c>
      <c r="BN617" s="46">
        <v>0</v>
      </c>
    </row>
    <row r="618" spans="1:66" x14ac:dyDescent="0.35">
      <c r="A618" t="s">
        <v>7885</v>
      </c>
      <c r="B618" s="44" t="s">
        <v>48</v>
      </c>
      <c r="C618" t="s">
        <v>2564</v>
      </c>
      <c r="D618" t="s">
        <v>1652</v>
      </c>
      <c r="E618" t="s">
        <v>2563</v>
      </c>
      <c r="F618" t="s">
        <v>2558</v>
      </c>
      <c r="G618" t="s">
        <v>74</v>
      </c>
      <c r="H618">
        <v>0</v>
      </c>
      <c r="I618" s="60" t="s">
        <v>125</v>
      </c>
      <c r="J618" s="33" t="s">
        <v>45</v>
      </c>
      <c r="K618" s="46">
        <v>0</v>
      </c>
      <c r="L618">
        <v>100</v>
      </c>
      <c r="M618" t="s">
        <v>48</v>
      </c>
      <c r="N618" s="46">
        <v>1</v>
      </c>
      <c r="O618" s="46">
        <v>0</v>
      </c>
      <c r="P618" s="46">
        <v>0</v>
      </c>
      <c r="Q618" t="s">
        <v>48</v>
      </c>
      <c r="R618" t="s">
        <v>48</v>
      </c>
      <c r="S618" t="s">
        <v>10093</v>
      </c>
      <c r="T618" t="s">
        <v>48</v>
      </c>
      <c r="U618" t="s">
        <v>10093</v>
      </c>
      <c r="V618" s="47">
        <v>0</v>
      </c>
      <c r="W618" t="s">
        <v>48</v>
      </c>
      <c r="X618" t="s">
        <v>48</v>
      </c>
      <c r="Y618" t="s">
        <v>48</v>
      </c>
      <c r="Z618">
        <v>0</v>
      </c>
      <c r="AA618" t="s">
        <v>48</v>
      </c>
      <c r="AB618" t="s">
        <v>48</v>
      </c>
      <c r="AC618" t="s">
        <v>49</v>
      </c>
      <c r="AD618" t="s">
        <v>93</v>
      </c>
      <c r="AE618" t="s">
        <v>4532</v>
      </c>
      <c r="AF618" t="s">
        <v>48</v>
      </c>
      <c r="AG618" t="s">
        <v>48</v>
      </c>
      <c r="AH618" t="s">
        <v>48</v>
      </c>
      <c r="AI618" t="s">
        <v>48</v>
      </c>
      <c r="AJ618" t="s">
        <v>48</v>
      </c>
      <c r="AK618" t="s">
        <v>48</v>
      </c>
      <c r="AL618" t="s">
        <v>48</v>
      </c>
      <c r="AM618" t="s">
        <v>48</v>
      </c>
      <c r="AN618" t="s">
        <v>48</v>
      </c>
      <c r="AO618" t="s">
        <v>48</v>
      </c>
      <c r="AP618" s="46">
        <v>0</v>
      </c>
      <c r="AQ618" s="46">
        <v>0</v>
      </c>
      <c r="AR618" s="46">
        <v>0</v>
      </c>
      <c r="AS618" s="46">
        <v>0</v>
      </c>
      <c r="AT618" s="46">
        <v>0</v>
      </c>
      <c r="AU618" s="46">
        <v>0</v>
      </c>
      <c r="AV618" s="46">
        <v>0</v>
      </c>
      <c r="AW618" s="46">
        <v>0</v>
      </c>
      <c r="AX618" s="46">
        <v>0</v>
      </c>
      <c r="AY618" s="46">
        <v>0</v>
      </c>
      <c r="AZ618" s="46">
        <v>0</v>
      </c>
      <c r="BA618" s="46">
        <v>0</v>
      </c>
      <c r="BB618" s="46">
        <v>0</v>
      </c>
      <c r="BC618" s="46">
        <v>0</v>
      </c>
      <c r="BD618" s="46">
        <v>0</v>
      </c>
      <c r="BE618" s="46">
        <v>0</v>
      </c>
      <c r="BF618" s="46">
        <v>0</v>
      </c>
      <c r="BG618" s="46" t="s">
        <v>48</v>
      </c>
      <c r="BH618" s="46">
        <v>0</v>
      </c>
      <c r="BI618" s="46">
        <v>0</v>
      </c>
      <c r="BJ618" s="46">
        <v>0</v>
      </c>
      <c r="BK618" s="46">
        <v>0</v>
      </c>
      <c r="BL618" s="46">
        <v>0</v>
      </c>
      <c r="BM618" s="46">
        <v>0</v>
      </c>
      <c r="BN618" s="46">
        <v>0</v>
      </c>
    </row>
    <row r="619" spans="1:66" x14ac:dyDescent="0.35">
      <c r="A619" t="s">
        <v>7956</v>
      </c>
      <c r="B619" s="44" t="s">
        <v>48</v>
      </c>
      <c r="C619" t="s">
        <v>861</v>
      </c>
      <c r="D619" t="s">
        <v>11896</v>
      </c>
      <c r="E619" t="s">
        <v>7955</v>
      </c>
      <c r="F619" t="s">
        <v>2595</v>
      </c>
      <c r="G619" t="s">
        <v>74</v>
      </c>
      <c r="H619">
        <v>0</v>
      </c>
      <c r="I619" s="61">
        <v>44720</v>
      </c>
      <c r="J619" s="33" t="s">
        <v>45</v>
      </c>
      <c r="K619" s="46">
        <v>0</v>
      </c>
      <c r="L619">
        <v>100</v>
      </c>
      <c r="M619" t="s">
        <v>48</v>
      </c>
      <c r="N619" s="46">
        <v>1</v>
      </c>
      <c r="O619" s="46">
        <v>0</v>
      </c>
      <c r="P619" s="46">
        <v>0</v>
      </c>
      <c r="Q619" t="s">
        <v>48</v>
      </c>
      <c r="R619" t="s">
        <v>48</v>
      </c>
      <c r="S619" t="s">
        <v>48</v>
      </c>
      <c r="T619" t="s">
        <v>48</v>
      </c>
      <c r="U619" t="s">
        <v>48</v>
      </c>
      <c r="V619" s="47">
        <v>1</v>
      </c>
      <c r="W619" t="s">
        <v>11264</v>
      </c>
      <c r="X619" t="s">
        <v>48</v>
      </c>
      <c r="Y619" t="s">
        <v>48</v>
      </c>
      <c r="Z619" t="s">
        <v>48</v>
      </c>
      <c r="AA619" t="s">
        <v>48</v>
      </c>
      <c r="AB619" t="s">
        <v>48</v>
      </c>
      <c r="AC619" t="s">
        <v>63</v>
      </c>
      <c r="AD619" t="s">
        <v>93</v>
      </c>
      <c r="AE619" t="s">
        <v>4532</v>
      </c>
      <c r="AF619" t="s">
        <v>48</v>
      </c>
      <c r="AG619" t="s">
        <v>48</v>
      </c>
      <c r="AH619" t="s">
        <v>48</v>
      </c>
      <c r="AI619" t="s">
        <v>48</v>
      </c>
      <c r="AJ619" t="s">
        <v>48</v>
      </c>
      <c r="AK619" t="s">
        <v>48</v>
      </c>
      <c r="AL619" t="s">
        <v>48</v>
      </c>
      <c r="AM619" t="s">
        <v>48</v>
      </c>
      <c r="AN619" t="s">
        <v>48</v>
      </c>
      <c r="AO619" t="s">
        <v>48</v>
      </c>
      <c r="AP619" s="46">
        <v>0</v>
      </c>
      <c r="AQ619" s="46">
        <v>0</v>
      </c>
      <c r="AR619" s="46">
        <v>0</v>
      </c>
      <c r="AS619" s="46">
        <v>0</v>
      </c>
      <c r="AT619" s="46">
        <v>0</v>
      </c>
      <c r="AU619" s="46">
        <v>0</v>
      </c>
      <c r="AV619" s="46">
        <v>0</v>
      </c>
      <c r="AW619" s="46">
        <v>0</v>
      </c>
      <c r="AX619" s="46">
        <v>0</v>
      </c>
      <c r="AY619" s="46">
        <v>0</v>
      </c>
      <c r="AZ619" s="46">
        <v>0</v>
      </c>
      <c r="BA619" s="46">
        <v>0</v>
      </c>
      <c r="BB619" s="46">
        <v>0</v>
      </c>
      <c r="BC619" s="46">
        <v>0</v>
      </c>
      <c r="BD619" s="46">
        <v>0</v>
      </c>
      <c r="BE619" s="46">
        <v>0</v>
      </c>
      <c r="BF619" s="46">
        <v>0</v>
      </c>
      <c r="BG619" s="46" t="s">
        <v>48</v>
      </c>
      <c r="BH619" s="46">
        <v>0</v>
      </c>
      <c r="BI619" s="46">
        <v>0</v>
      </c>
      <c r="BJ619" s="46">
        <v>0</v>
      </c>
      <c r="BK619" s="46">
        <v>0</v>
      </c>
      <c r="BL619" s="46">
        <v>0</v>
      </c>
      <c r="BM619" s="46">
        <v>0</v>
      </c>
      <c r="BN619" s="46">
        <v>0</v>
      </c>
    </row>
    <row r="620" spans="1:66" x14ac:dyDescent="0.35">
      <c r="A620" t="s">
        <v>2596</v>
      </c>
      <c r="B620" s="44" t="s">
        <v>48</v>
      </c>
      <c r="C620" t="s">
        <v>2601</v>
      </c>
      <c r="D620" t="s">
        <v>2600</v>
      </c>
      <c r="E620" t="s">
        <v>2597</v>
      </c>
      <c r="F620" t="s">
        <v>2595</v>
      </c>
      <c r="G620" t="s">
        <v>47</v>
      </c>
      <c r="H620">
        <v>0</v>
      </c>
      <c r="I620" s="60" t="s">
        <v>51</v>
      </c>
      <c r="J620" s="33" t="s">
        <v>45</v>
      </c>
      <c r="K620" s="46">
        <v>1</v>
      </c>
      <c r="L620">
        <v>100</v>
      </c>
      <c r="M620" t="s">
        <v>48</v>
      </c>
      <c r="N620" s="46">
        <v>1</v>
      </c>
      <c r="O620" s="46">
        <v>0</v>
      </c>
      <c r="P620" s="46">
        <v>0</v>
      </c>
      <c r="Q620" t="s">
        <v>48</v>
      </c>
      <c r="R620" t="s">
        <v>48</v>
      </c>
      <c r="S620" t="s">
        <v>2598</v>
      </c>
      <c r="T620" t="s">
        <v>2599</v>
      </c>
      <c r="U620" t="s">
        <v>2598</v>
      </c>
      <c r="V620" s="47">
        <v>0</v>
      </c>
      <c r="W620" t="s">
        <v>48</v>
      </c>
      <c r="X620" t="s">
        <v>48</v>
      </c>
      <c r="Y620" t="s">
        <v>48</v>
      </c>
      <c r="Z620">
        <v>0</v>
      </c>
      <c r="AA620" t="s">
        <v>48</v>
      </c>
      <c r="AB620">
        <v>2018</v>
      </c>
      <c r="AC620" t="s">
        <v>49</v>
      </c>
      <c r="AD620" t="s">
        <v>93</v>
      </c>
      <c r="AE620" t="s">
        <v>4532</v>
      </c>
      <c r="AF620" t="s">
        <v>48</v>
      </c>
      <c r="AG620" t="s">
        <v>112</v>
      </c>
      <c r="AH620" t="s">
        <v>93</v>
      </c>
      <c r="AI620">
        <v>21920</v>
      </c>
      <c r="AJ620">
        <v>1962</v>
      </c>
      <c r="AK620" t="s">
        <v>8876</v>
      </c>
      <c r="AL620" t="s">
        <v>8877</v>
      </c>
      <c r="AM620">
        <v>0.64100000000000001</v>
      </c>
      <c r="AN620">
        <v>0.01</v>
      </c>
      <c r="AO620">
        <v>0.64100000000000001</v>
      </c>
      <c r="AP620" s="46">
        <v>0</v>
      </c>
      <c r="AQ620" s="46">
        <v>0</v>
      </c>
      <c r="AR620" s="46">
        <v>0</v>
      </c>
      <c r="AS620" s="46">
        <v>0</v>
      </c>
      <c r="AT620" s="46">
        <v>0</v>
      </c>
      <c r="AU620" s="46">
        <v>0</v>
      </c>
      <c r="AV620" s="46">
        <v>0</v>
      </c>
      <c r="AW620" s="46">
        <v>0</v>
      </c>
      <c r="AX620" s="46">
        <v>0</v>
      </c>
      <c r="AY620" s="46">
        <v>0</v>
      </c>
      <c r="AZ620" s="46">
        <v>0</v>
      </c>
      <c r="BA620" s="46">
        <v>0</v>
      </c>
      <c r="BB620" s="46">
        <v>1</v>
      </c>
      <c r="BC620" s="46">
        <v>0</v>
      </c>
      <c r="BD620" s="46">
        <v>0</v>
      </c>
      <c r="BE620" s="46">
        <v>0</v>
      </c>
      <c r="BF620" s="46">
        <v>1</v>
      </c>
      <c r="BG620" s="46">
        <v>1</v>
      </c>
      <c r="BH620" s="46">
        <v>0</v>
      </c>
      <c r="BI620" s="46">
        <v>0</v>
      </c>
      <c r="BJ620" s="46">
        <v>0</v>
      </c>
      <c r="BK620" s="46">
        <v>0</v>
      </c>
      <c r="BL620" s="46">
        <v>0</v>
      </c>
      <c r="BM620" s="46">
        <v>0</v>
      </c>
      <c r="BN620" s="46">
        <v>1</v>
      </c>
    </row>
    <row r="621" spans="1:66" x14ac:dyDescent="0.35">
      <c r="A621" t="s">
        <v>2602</v>
      </c>
      <c r="B621" t="s">
        <v>48</v>
      </c>
      <c r="C621" t="s">
        <v>2250</v>
      </c>
      <c r="D621" t="s">
        <v>288</v>
      </c>
      <c r="E621" t="s">
        <v>2604</v>
      </c>
      <c r="F621" t="s">
        <v>2603</v>
      </c>
      <c r="G621" t="s">
        <v>47</v>
      </c>
      <c r="H621">
        <v>0</v>
      </c>
      <c r="I621" s="60" t="s">
        <v>51</v>
      </c>
      <c r="J621" s="33" t="s">
        <v>45</v>
      </c>
      <c r="K621" s="46">
        <v>1</v>
      </c>
      <c r="L621">
        <v>54.6</v>
      </c>
      <c r="M621" t="s">
        <v>48</v>
      </c>
      <c r="N621" s="46">
        <v>1</v>
      </c>
      <c r="O621" s="46">
        <v>0</v>
      </c>
      <c r="P621" s="46">
        <v>0</v>
      </c>
      <c r="Q621" t="s">
        <v>48</v>
      </c>
      <c r="R621" t="s">
        <v>48</v>
      </c>
      <c r="S621" t="s">
        <v>2605</v>
      </c>
      <c r="T621" t="s">
        <v>2606</v>
      </c>
      <c r="U621" t="s">
        <v>2605</v>
      </c>
      <c r="V621" s="47">
        <v>0</v>
      </c>
      <c r="W621" t="s">
        <v>48</v>
      </c>
      <c r="X621" t="s">
        <v>48</v>
      </c>
      <c r="Y621" t="s">
        <v>48</v>
      </c>
      <c r="Z621">
        <v>0</v>
      </c>
      <c r="AA621" t="s">
        <v>48</v>
      </c>
      <c r="AB621">
        <v>1998</v>
      </c>
      <c r="AC621" t="s">
        <v>49</v>
      </c>
      <c r="AD621" t="s">
        <v>93</v>
      </c>
      <c r="AE621" t="s">
        <v>4532</v>
      </c>
      <c r="AF621" t="s">
        <v>48</v>
      </c>
      <c r="AG621" t="s">
        <v>742</v>
      </c>
      <c r="AH621" t="s">
        <v>93</v>
      </c>
      <c r="AI621">
        <v>29910</v>
      </c>
      <c r="AJ621">
        <v>1950</v>
      </c>
      <c r="AK621" t="s">
        <v>8878</v>
      </c>
      <c r="AL621" t="s">
        <v>8879</v>
      </c>
      <c r="AM621">
        <v>0.29799999999999999</v>
      </c>
      <c r="AN621">
        <v>0.29099999999999998</v>
      </c>
      <c r="AO621">
        <v>0.29799999999999999</v>
      </c>
      <c r="AP621" s="46">
        <v>0</v>
      </c>
      <c r="AQ621" s="46">
        <v>0</v>
      </c>
      <c r="AR621" s="46">
        <v>0</v>
      </c>
      <c r="AS621" s="46">
        <v>0</v>
      </c>
      <c r="AT621" s="46">
        <v>0</v>
      </c>
      <c r="AU621" s="46">
        <v>0</v>
      </c>
      <c r="AV621" s="46">
        <v>0</v>
      </c>
      <c r="AW621" s="46">
        <v>0</v>
      </c>
      <c r="AX621" s="46">
        <v>0</v>
      </c>
      <c r="AY621" s="46">
        <v>0</v>
      </c>
      <c r="AZ621" s="46">
        <v>1</v>
      </c>
      <c r="BA621" s="46">
        <v>0</v>
      </c>
      <c r="BB621" s="46">
        <v>0</v>
      </c>
      <c r="BC621" s="46">
        <v>0</v>
      </c>
      <c r="BD621" s="46">
        <v>0</v>
      </c>
      <c r="BE621" s="46">
        <v>0</v>
      </c>
      <c r="BF621" s="46">
        <v>0</v>
      </c>
      <c r="BG621" s="46">
        <v>1</v>
      </c>
      <c r="BH621" s="46">
        <v>0</v>
      </c>
      <c r="BI621" s="46">
        <v>0</v>
      </c>
      <c r="BJ621" s="46">
        <v>0</v>
      </c>
      <c r="BK621" s="46">
        <v>0</v>
      </c>
      <c r="BL621" s="46">
        <v>0</v>
      </c>
      <c r="BM621" s="46">
        <v>1</v>
      </c>
      <c r="BN621" s="46">
        <v>0</v>
      </c>
    </row>
    <row r="622" spans="1:66" x14ac:dyDescent="0.35">
      <c r="A622" t="s">
        <v>7948</v>
      </c>
      <c r="B622" s="44" t="s">
        <v>48</v>
      </c>
      <c r="C622" t="s">
        <v>6088</v>
      </c>
      <c r="D622" t="s">
        <v>2436</v>
      </c>
      <c r="E622" t="s">
        <v>7947</v>
      </c>
      <c r="F622" t="s">
        <v>2603</v>
      </c>
      <c r="G622" t="s">
        <v>74</v>
      </c>
      <c r="H622">
        <v>0</v>
      </c>
      <c r="I622" s="61">
        <v>44720</v>
      </c>
      <c r="J622" s="33" t="s">
        <v>45</v>
      </c>
      <c r="K622" s="46">
        <v>0</v>
      </c>
      <c r="L622">
        <v>100</v>
      </c>
      <c r="M622" t="s">
        <v>48</v>
      </c>
      <c r="N622" s="46">
        <v>1</v>
      </c>
      <c r="O622" s="46">
        <v>0</v>
      </c>
      <c r="P622" s="46">
        <v>0</v>
      </c>
      <c r="Q622" t="s">
        <v>48</v>
      </c>
      <c r="R622" t="s">
        <v>48</v>
      </c>
      <c r="S622" t="s">
        <v>48</v>
      </c>
      <c r="T622" t="s">
        <v>48</v>
      </c>
      <c r="U622" t="s">
        <v>48</v>
      </c>
      <c r="V622" s="47">
        <v>1</v>
      </c>
      <c r="W622" t="s">
        <v>11264</v>
      </c>
      <c r="X622" t="s">
        <v>48</v>
      </c>
      <c r="Y622" t="s">
        <v>48</v>
      </c>
      <c r="Z622" t="s">
        <v>48</v>
      </c>
      <c r="AA622" t="s">
        <v>48</v>
      </c>
      <c r="AB622" t="s">
        <v>48</v>
      </c>
      <c r="AC622" t="s">
        <v>63</v>
      </c>
      <c r="AD622" t="s">
        <v>93</v>
      </c>
      <c r="AE622" t="s">
        <v>4532</v>
      </c>
      <c r="AF622" t="s">
        <v>48</v>
      </c>
      <c r="AG622" t="s">
        <v>48</v>
      </c>
      <c r="AH622" t="s">
        <v>48</v>
      </c>
      <c r="AI622" t="s">
        <v>48</v>
      </c>
      <c r="AJ622" t="s">
        <v>48</v>
      </c>
      <c r="AK622" t="s">
        <v>48</v>
      </c>
      <c r="AL622" t="s">
        <v>48</v>
      </c>
      <c r="AM622" t="s">
        <v>48</v>
      </c>
      <c r="AN622" t="s">
        <v>48</v>
      </c>
      <c r="AO622" t="s">
        <v>48</v>
      </c>
      <c r="AP622" s="46">
        <v>0</v>
      </c>
      <c r="AQ622" s="46">
        <v>0</v>
      </c>
      <c r="AR622" s="46">
        <v>0</v>
      </c>
      <c r="AS622" s="46">
        <v>0</v>
      </c>
      <c r="AT622" s="46">
        <v>0</v>
      </c>
      <c r="AU622" s="46">
        <v>0</v>
      </c>
      <c r="AV622" s="46">
        <v>0</v>
      </c>
      <c r="AW622" s="46">
        <v>0</v>
      </c>
      <c r="AX622" s="46">
        <v>0</v>
      </c>
      <c r="AY622" s="46">
        <v>0</v>
      </c>
      <c r="AZ622" s="46">
        <v>0</v>
      </c>
      <c r="BA622" s="46">
        <v>0</v>
      </c>
      <c r="BB622" s="46">
        <v>0</v>
      </c>
      <c r="BC622" s="46">
        <v>0</v>
      </c>
      <c r="BD622" s="46">
        <v>0</v>
      </c>
      <c r="BE622" s="46">
        <v>0</v>
      </c>
      <c r="BF622" s="46">
        <v>0</v>
      </c>
      <c r="BG622" s="46" t="s">
        <v>48</v>
      </c>
      <c r="BH622" s="46">
        <v>0</v>
      </c>
      <c r="BI622" s="46">
        <v>0</v>
      </c>
      <c r="BJ622" s="46">
        <v>0</v>
      </c>
      <c r="BK622" s="46">
        <v>0</v>
      </c>
      <c r="BL622" s="46">
        <v>0</v>
      </c>
      <c r="BM622" s="46">
        <v>0</v>
      </c>
      <c r="BN622" s="46">
        <v>0</v>
      </c>
    </row>
    <row r="623" spans="1:66" x14ac:dyDescent="0.35">
      <c r="A623" t="s">
        <v>2636</v>
      </c>
      <c r="B623" s="44" t="s">
        <v>48</v>
      </c>
      <c r="C623" t="s">
        <v>2639</v>
      </c>
      <c r="D623" t="s">
        <v>1005</v>
      </c>
      <c r="E623" t="s">
        <v>2637</v>
      </c>
      <c r="F623" t="s">
        <v>2628</v>
      </c>
      <c r="G623" t="s">
        <v>47</v>
      </c>
      <c r="H623">
        <v>0</v>
      </c>
      <c r="I623" s="60" t="s">
        <v>881</v>
      </c>
      <c r="J623" s="33" t="s">
        <v>45</v>
      </c>
      <c r="K623" s="46">
        <v>0</v>
      </c>
      <c r="L623">
        <v>40.6</v>
      </c>
      <c r="M623" t="s">
        <v>48</v>
      </c>
      <c r="N623" s="46">
        <v>1</v>
      </c>
      <c r="O623" s="46">
        <v>0</v>
      </c>
      <c r="P623" s="46">
        <v>0</v>
      </c>
      <c r="Q623" t="s">
        <v>48</v>
      </c>
      <c r="R623" t="s">
        <v>48</v>
      </c>
      <c r="S623" t="s">
        <v>2638</v>
      </c>
      <c r="T623" t="s">
        <v>48</v>
      </c>
      <c r="U623" t="s">
        <v>2638</v>
      </c>
      <c r="V623" s="47">
        <v>0</v>
      </c>
      <c r="W623" t="s">
        <v>48</v>
      </c>
      <c r="X623" t="s">
        <v>48</v>
      </c>
      <c r="Y623" t="s">
        <v>48</v>
      </c>
      <c r="Z623">
        <v>0</v>
      </c>
      <c r="AA623" t="s">
        <v>48</v>
      </c>
      <c r="AB623" t="s">
        <v>48</v>
      </c>
      <c r="AC623" t="s">
        <v>49</v>
      </c>
      <c r="AD623" t="s">
        <v>93</v>
      </c>
      <c r="AE623" t="s">
        <v>4532</v>
      </c>
      <c r="AF623" t="s">
        <v>48</v>
      </c>
      <c r="AG623" t="s">
        <v>48</v>
      </c>
      <c r="AH623" t="s">
        <v>48</v>
      </c>
      <c r="AI623" t="s">
        <v>48</v>
      </c>
      <c r="AJ623" t="s">
        <v>48</v>
      </c>
      <c r="AK623" t="s">
        <v>48</v>
      </c>
      <c r="AL623" t="s">
        <v>48</v>
      </c>
      <c r="AM623" t="s">
        <v>48</v>
      </c>
      <c r="AN623" t="s">
        <v>48</v>
      </c>
      <c r="AO623" t="s">
        <v>48</v>
      </c>
      <c r="AP623" s="46">
        <v>0</v>
      </c>
      <c r="AQ623" s="46">
        <v>0</v>
      </c>
      <c r="AR623" s="46">
        <v>0</v>
      </c>
      <c r="AS623" s="46">
        <v>0</v>
      </c>
      <c r="AT623" s="46">
        <v>0</v>
      </c>
      <c r="AU623" s="46">
        <v>0</v>
      </c>
      <c r="AV623" s="46">
        <v>0</v>
      </c>
      <c r="AW623" s="46">
        <v>0</v>
      </c>
      <c r="AX623" s="46">
        <v>0</v>
      </c>
      <c r="AY623" s="46">
        <v>0</v>
      </c>
      <c r="AZ623" s="46">
        <v>0</v>
      </c>
      <c r="BA623" s="46">
        <v>0</v>
      </c>
      <c r="BB623" s="46">
        <v>0</v>
      </c>
      <c r="BC623" s="46">
        <v>0</v>
      </c>
      <c r="BD623" s="46">
        <v>0</v>
      </c>
      <c r="BE623" s="46">
        <v>0</v>
      </c>
      <c r="BF623" s="46">
        <v>0</v>
      </c>
      <c r="BG623" s="46" t="s">
        <v>48</v>
      </c>
      <c r="BH623" s="46">
        <v>0</v>
      </c>
      <c r="BI623" s="46">
        <v>0</v>
      </c>
      <c r="BJ623" s="46">
        <v>0</v>
      </c>
      <c r="BK623" s="46">
        <v>0</v>
      </c>
      <c r="BL623" s="46">
        <v>0</v>
      </c>
      <c r="BM623" s="46">
        <v>0</v>
      </c>
      <c r="BN623" s="46">
        <v>0</v>
      </c>
    </row>
    <row r="624" spans="1:66" x14ac:dyDescent="0.35">
      <c r="A624" t="s">
        <v>2656</v>
      </c>
      <c r="B624" s="44" t="s">
        <v>48</v>
      </c>
      <c r="C624" t="s">
        <v>350</v>
      </c>
      <c r="D624" t="s">
        <v>982</v>
      </c>
      <c r="E624" t="s">
        <v>2657</v>
      </c>
      <c r="F624" t="s">
        <v>2628</v>
      </c>
      <c r="G624" t="s">
        <v>74</v>
      </c>
      <c r="H624">
        <v>0</v>
      </c>
      <c r="I624" s="60" t="s">
        <v>125</v>
      </c>
      <c r="J624" s="33" t="s">
        <v>45</v>
      </c>
      <c r="K624" s="46">
        <v>0</v>
      </c>
      <c r="L624">
        <v>28.2</v>
      </c>
      <c r="M624" t="s">
        <v>48</v>
      </c>
      <c r="N624" s="46">
        <v>1</v>
      </c>
      <c r="O624" s="46">
        <v>0</v>
      </c>
      <c r="P624" s="46">
        <v>0</v>
      </c>
      <c r="Q624" t="s">
        <v>48</v>
      </c>
      <c r="R624" t="s">
        <v>48</v>
      </c>
      <c r="S624" t="s">
        <v>10099</v>
      </c>
      <c r="T624" t="s">
        <v>48</v>
      </c>
      <c r="U624" t="s">
        <v>10099</v>
      </c>
      <c r="V624" s="47">
        <v>0</v>
      </c>
      <c r="W624" t="s">
        <v>48</v>
      </c>
      <c r="X624" t="s">
        <v>48</v>
      </c>
      <c r="Y624" t="s">
        <v>48</v>
      </c>
      <c r="Z624">
        <v>0</v>
      </c>
      <c r="AA624" t="s">
        <v>48</v>
      </c>
      <c r="AB624" t="s">
        <v>48</v>
      </c>
      <c r="AC624" t="s">
        <v>49</v>
      </c>
      <c r="AD624" t="s">
        <v>93</v>
      </c>
      <c r="AE624" s="40" t="s">
        <v>2471</v>
      </c>
      <c r="AF624" t="s">
        <v>11061</v>
      </c>
      <c r="AG624" t="s">
        <v>48</v>
      </c>
      <c r="AH624" t="s">
        <v>48</v>
      </c>
      <c r="AI624" t="s">
        <v>48</v>
      </c>
      <c r="AJ624" t="s">
        <v>48</v>
      </c>
      <c r="AK624" t="s">
        <v>48</v>
      </c>
      <c r="AL624" t="s">
        <v>48</v>
      </c>
      <c r="AM624" t="s">
        <v>48</v>
      </c>
      <c r="AN624" t="s">
        <v>48</v>
      </c>
      <c r="AO624" t="s">
        <v>48</v>
      </c>
      <c r="AP624" s="46">
        <v>0</v>
      </c>
      <c r="AQ624" s="46">
        <v>0</v>
      </c>
      <c r="AR624" s="46">
        <v>0</v>
      </c>
      <c r="AS624" s="46">
        <v>0</v>
      </c>
      <c r="AT624" s="46">
        <v>0</v>
      </c>
      <c r="AU624" s="46">
        <v>0</v>
      </c>
      <c r="AV624" s="46">
        <v>0</v>
      </c>
      <c r="AW624" s="46">
        <v>0</v>
      </c>
      <c r="AX624" s="46">
        <v>0</v>
      </c>
      <c r="AY624" s="46">
        <v>0</v>
      </c>
      <c r="AZ624" s="46">
        <v>0</v>
      </c>
      <c r="BA624" s="46">
        <v>0</v>
      </c>
      <c r="BB624" s="46">
        <v>0</v>
      </c>
      <c r="BC624" s="46">
        <v>0</v>
      </c>
      <c r="BD624" s="46">
        <v>0</v>
      </c>
      <c r="BE624" s="46">
        <v>0</v>
      </c>
      <c r="BF624" s="46">
        <v>0</v>
      </c>
      <c r="BG624" s="46" t="s">
        <v>48</v>
      </c>
      <c r="BH624" s="46">
        <v>0</v>
      </c>
      <c r="BI624" s="46">
        <v>0</v>
      </c>
      <c r="BJ624" s="46">
        <v>0</v>
      </c>
      <c r="BK624" s="46">
        <v>0</v>
      </c>
      <c r="BL624" s="46">
        <v>0</v>
      </c>
      <c r="BM624" s="46">
        <v>0</v>
      </c>
      <c r="BN624" s="46">
        <v>0</v>
      </c>
    </row>
    <row r="625" spans="1:66" x14ac:dyDescent="0.35">
      <c r="A625" t="s">
        <v>2683</v>
      </c>
      <c r="B625" s="44" t="s">
        <v>48</v>
      </c>
      <c r="C625" t="s">
        <v>364</v>
      </c>
      <c r="D625" t="s">
        <v>2688</v>
      </c>
      <c r="E625" t="s">
        <v>2685</v>
      </c>
      <c r="F625" t="s">
        <v>2684</v>
      </c>
      <c r="G625" t="s">
        <v>74</v>
      </c>
      <c r="H625">
        <v>0</v>
      </c>
      <c r="I625" s="60" t="s">
        <v>51</v>
      </c>
      <c r="J625" s="33" t="s">
        <v>45</v>
      </c>
      <c r="K625" s="46">
        <v>1</v>
      </c>
      <c r="L625">
        <v>100</v>
      </c>
      <c r="M625" t="s">
        <v>48</v>
      </c>
      <c r="N625" s="46">
        <v>1</v>
      </c>
      <c r="O625" s="46">
        <v>0</v>
      </c>
      <c r="P625" s="46">
        <v>0</v>
      </c>
      <c r="Q625" t="s">
        <v>48</v>
      </c>
      <c r="R625" t="s">
        <v>48</v>
      </c>
      <c r="S625" t="s">
        <v>2686</v>
      </c>
      <c r="T625" t="s">
        <v>2687</v>
      </c>
      <c r="U625" t="s">
        <v>2686</v>
      </c>
      <c r="V625" s="47">
        <v>0</v>
      </c>
      <c r="W625" t="s">
        <v>48</v>
      </c>
      <c r="X625" t="s">
        <v>48</v>
      </c>
      <c r="Y625" t="s">
        <v>48</v>
      </c>
      <c r="Z625">
        <v>0</v>
      </c>
      <c r="AA625" t="s">
        <v>48</v>
      </c>
      <c r="AB625" t="s">
        <v>139</v>
      </c>
      <c r="AC625" t="s">
        <v>63</v>
      </c>
      <c r="AD625" t="s">
        <v>93</v>
      </c>
      <c r="AE625" s="40" t="s">
        <v>2471</v>
      </c>
      <c r="AF625" t="s">
        <v>11061</v>
      </c>
      <c r="AG625" t="s">
        <v>92</v>
      </c>
      <c r="AH625" t="s">
        <v>93</v>
      </c>
      <c r="AI625">
        <v>21371</v>
      </c>
      <c r="AJ625">
        <v>1956</v>
      </c>
      <c r="AK625" t="s">
        <v>8880</v>
      </c>
      <c r="AL625" t="s">
        <v>8881</v>
      </c>
      <c r="AM625">
        <v>-0.46300000000000002</v>
      </c>
      <c r="AN625">
        <v>-0.01</v>
      </c>
      <c r="AO625">
        <v>-0.46300000000000002</v>
      </c>
      <c r="AP625" s="46">
        <v>0</v>
      </c>
      <c r="AQ625" s="46">
        <v>0</v>
      </c>
      <c r="AR625" s="46">
        <v>0</v>
      </c>
      <c r="AS625" s="46">
        <v>0</v>
      </c>
      <c r="AT625" s="46">
        <v>0</v>
      </c>
      <c r="AU625" s="46">
        <v>0</v>
      </c>
      <c r="AV625" s="46">
        <v>0</v>
      </c>
      <c r="AW625" s="46">
        <v>0</v>
      </c>
      <c r="AX625" s="46">
        <v>0</v>
      </c>
      <c r="AY625" s="46">
        <v>0</v>
      </c>
      <c r="AZ625" s="46">
        <v>0</v>
      </c>
      <c r="BA625" s="46">
        <v>0</v>
      </c>
      <c r="BB625" s="46">
        <v>0</v>
      </c>
      <c r="BC625" s="46">
        <v>0</v>
      </c>
      <c r="BD625" s="46">
        <v>0</v>
      </c>
      <c r="BE625" s="46">
        <v>0</v>
      </c>
      <c r="BF625" s="46">
        <v>0</v>
      </c>
      <c r="BG625" s="46" t="s">
        <v>48</v>
      </c>
      <c r="BH625" s="46">
        <v>0</v>
      </c>
      <c r="BI625" s="46">
        <v>0</v>
      </c>
      <c r="BJ625" s="46">
        <v>0</v>
      </c>
      <c r="BK625" s="46">
        <v>0</v>
      </c>
      <c r="BL625" s="46">
        <v>0</v>
      </c>
      <c r="BM625" s="46">
        <v>0</v>
      </c>
      <c r="BN625" s="46">
        <v>0</v>
      </c>
    </row>
    <row r="626" spans="1:66" x14ac:dyDescent="0.35">
      <c r="A626" t="s">
        <v>9481</v>
      </c>
      <c r="B626" s="44" t="s">
        <v>48</v>
      </c>
      <c r="C626" t="s">
        <v>3531</v>
      </c>
      <c r="D626" t="s">
        <v>253</v>
      </c>
      <c r="E626" t="s">
        <v>9482</v>
      </c>
      <c r="F626" t="s">
        <v>2684</v>
      </c>
      <c r="G626" t="s">
        <v>47</v>
      </c>
      <c r="H626">
        <v>0</v>
      </c>
      <c r="I626" s="61">
        <v>44748</v>
      </c>
      <c r="J626" s="33" t="s">
        <v>45</v>
      </c>
      <c r="K626" s="46">
        <v>0</v>
      </c>
      <c r="L626">
        <v>37.299999999999997</v>
      </c>
      <c r="M626" t="s">
        <v>48</v>
      </c>
      <c r="N626" s="46">
        <v>1</v>
      </c>
      <c r="O626" s="46">
        <v>0</v>
      </c>
      <c r="P626" s="46">
        <v>0</v>
      </c>
      <c r="Q626" t="s">
        <v>48</v>
      </c>
      <c r="R626" t="s">
        <v>48</v>
      </c>
      <c r="S626" t="s">
        <v>48</v>
      </c>
      <c r="T626" t="s">
        <v>48</v>
      </c>
      <c r="U626" t="s">
        <v>48</v>
      </c>
      <c r="V626" s="47">
        <v>1</v>
      </c>
      <c r="W626" t="s">
        <v>11264</v>
      </c>
      <c r="X626" t="s">
        <v>48</v>
      </c>
      <c r="Y626" t="s">
        <v>48</v>
      </c>
      <c r="Z626" t="s">
        <v>48</v>
      </c>
      <c r="AA626" t="s">
        <v>48</v>
      </c>
      <c r="AB626" t="s">
        <v>48</v>
      </c>
      <c r="AC626" t="s">
        <v>49</v>
      </c>
      <c r="AD626" t="s">
        <v>93</v>
      </c>
      <c r="AE626" s="40" t="s">
        <v>4532</v>
      </c>
      <c r="AF626" t="s">
        <v>48</v>
      </c>
      <c r="AG626" t="s">
        <v>48</v>
      </c>
      <c r="AH626" t="s">
        <v>48</v>
      </c>
      <c r="AI626" t="s">
        <v>48</v>
      </c>
      <c r="AJ626" t="s">
        <v>48</v>
      </c>
      <c r="AK626" t="s">
        <v>48</v>
      </c>
      <c r="AL626" t="s">
        <v>48</v>
      </c>
      <c r="AM626" t="s">
        <v>48</v>
      </c>
      <c r="AN626" t="s">
        <v>48</v>
      </c>
      <c r="AO626" t="s">
        <v>48</v>
      </c>
      <c r="AP626" s="46">
        <v>0</v>
      </c>
      <c r="AQ626" s="46">
        <v>0</v>
      </c>
      <c r="AR626" s="46">
        <v>0</v>
      </c>
      <c r="AS626" s="46">
        <v>0</v>
      </c>
      <c r="AT626" s="46">
        <v>0</v>
      </c>
      <c r="AU626" s="46">
        <v>0</v>
      </c>
      <c r="AV626" s="46">
        <v>0</v>
      </c>
      <c r="AW626" s="46">
        <v>0</v>
      </c>
      <c r="AX626" s="46">
        <v>0</v>
      </c>
      <c r="AY626" s="46">
        <v>0</v>
      </c>
      <c r="AZ626" s="46">
        <v>0</v>
      </c>
      <c r="BA626" s="46">
        <v>0</v>
      </c>
      <c r="BB626" s="46">
        <v>0</v>
      </c>
      <c r="BC626" s="46">
        <v>0</v>
      </c>
      <c r="BD626" s="46">
        <v>0</v>
      </c>
      <c r="BE626" s="46">
        <v>0</v>
      </c>
      <c r="BF626" s="46">
        <v>0</v>
      </c>
      <c r="BG626" s="46" t="s">
        <v>48</v>
      </c>
      <c r="BH626" s="46">
        <v>0</v>
      </c>
      <c r="BI626" s="46">
        <v>0</v>
      </c>
      <c r="BJ626" s="46">
        <v>0</v>
      </c>
      <c r="BK626" s="46">
        <v>0</v>
      </c>
      <c r="BL626" s="46">
        <v>0</v>
      </c>
      <c r="BM626" s="46">
        <v>0</v>
      </c>
      <c r="BN626" s="46">
        <v>0</v>
      </c>
    </row>
    <row r="627" spans="1:66" x14ac:dyDescent="0.35">
      <c r="A627" t="s">
        <v>2703</v>
      </c>
      <c r="B627" s="44" t="s">
        <v>48</v>
      </c>
      <c r="C627" t="s">
        <v>2707</v>
      </c>
      <c r="D627" t="s">
        <v>2706</v>
      </c>
      <c r="E627" t="s">
        <v>2704</v>
      </c>
      <c r="F627" t="s">
        <v>2693</v>
      </c>
      <c r="G627" t="s">
        <v>74</v>
      </c>
      <c r="H627">
        <v>0</v>
      </c>
      <c r="I627" s="60" t="s">
        <v>149</v>
      </c>
      <c r="J627" s="33" t="s">
        <v>45</v>
      </c>
      <c r="K627" s="46">
        <v>0</v>
      </c>
      <c r="L627">
        <v>65.599999999999994</v>
      </c>
      <c r="M627" t="s">
        <v>48</v>
      </c>
      <c r="N627" s="46">
        <v>1</v>
      </c>
      <c r="O627" s="46">
        <v>0</v>
      </c>
      <c r="P627" s="46">
        <v>0</v>
      </c>
      <c r="Q627" t="s">
        <v>48</v>
      </c>
      <c r="R627" t="s">
        <v>48</v>
      </c>
      <c r="S627" t="s">
        <v>2705</v>
      </c>
      <c r="T627" t="s">
        <v>48</v>
      </c>
      <c r="U627" t="s">
        <v>2705</v>
      </c>
      <c r="V627" s="47">
        <v>0</v>
      </c>
      <c r="W627" t="s">
        <v>48</v>
      </c>
      <c r="X627" t="s">
        <v>48</v>
      </c>
      <c r="Y627" t="s">
        <v>48</v>
      </c>
      <c r="Z627">
        <v>0</v>
      </c>
      <c r="AA627" t="s">
        <v>48</v>
      </c>
      <c r="AB627" t="s">
        <v>48</v>
      </c>
      <c r="AC627" t="s">
        <v>63</v>
      </c>
      <c r="AD627" t="s">
        <v>951</v>
      </c>
      <c r="AE627" s="40" t="s">
        <v>11051</v>
      </c>
      <c r="AF627" t="s">
        <v>11068</v>
      </c>
      <c r="AG627" t="s">
        <v>48</v>
      </c>
      <c r="AH627" t="s">
        <v>48</v>
      </c>
      <c r="AI627" t="s">
        <v>48</v>
      </c>
      <c r="AJ627" t="s">
        <v>48</v>
      </c>
      <c r="AK627" t="s">
        <v>48</v>
      </c>
      <c r="AL627" t="s">
        <v>48</v>
      </c>
      <c r="AM627" t="s">
        <v>48</v>
      </c>
      <c r="AN627" t="s">
        <v>48</v>
      </c>
      <c r="AO627" t="s">
        <v>48</v>
      </c>
      <c r="AP627" s="46">
        <v>0</v>
      </c>
      <c r="AQ627" s="46">
        <v>0</v>
      </c>
      <c r="AR627" s="46">
        <v>1</v>
      </c>
      <c r="AS627" s="46">
        <v>0</v>
      </c>
      <c r="AT627" s="46">
        <v>0</v>
      </c>
      <c r="AU627" s="46">
        <v>0</v>
      </c>
      <c r="AV627" s="46">
        <v>0</v>
      </c>
      <c r="AW627" s="46">
        <v>0</v>
      </c>
      <c r="AX627" s="46">
        <v>0</v>
      </c>
      <c r="AY627" s="46">
        <v>0</v>
      </c>
      <c r="AZ627" s="46">
        <v>0</v>
      </c>
      <c r="BA627" s="46">
        <v>0</v>
      </c>
      <c r="BB627" s="46">
        <v>0</v>
      </c>
      <c r="BC627" s="46">
        <v>0</v>
      </c>
      <c r="BD627" s="46">
        <v>0</v>
      </c>
      <c r="BE627" s="46">
        <v>0</v>
      </c>
      <c r="BF627" s="46">
        <v>0</v>
      </c>
      <c r="BG627" s="46" t="s">
        <v>48</v>
      </c>
      <c r="BH627" s="46">
        <v>0</v>
      </c>
      <c r="BI627" s="46">
        <v>0</v>
      </c>
      <c r="BJ627" s="46">
        <v>0</v>
      </c>
      <c r="BK627" s="46">
        <v>1</v>
      </c>
      <c r="BL627" s="46">
        <v>0</v>
      </c>
      <c r="BM627" s="46">
        <v>0</v>
      </c>
      <c r="BN627" s="46">
        <v>0</v>
      </c>
    </row>
    <row r="628" spans="1:66" ht="15" x14ac:dyDescent="0.4">
      <c r="A628" t="s">
        <v>2724</v>
      </c>
      <c r="B628" s="44" t="s">
        <v>48</v>
      </c>
      <c r="C628" t="s">
        <v>2726</v>
      </c>
      <c r="D628" t="s">
        <v>843</v>
      </c>
      <c r="E628" t="s">
        <v>9485</v>
      </c>
      <c r="F628" t="s">
        <v>2693</v>
      </c>
      <c r="G628" t="s">
        <v>47</v>
      </c>
      <c r="H628">
        <v>0</v>
      </c>
      <c r="I628" s="61" t="s">
        <v>11160</v>
      </c>
      <c r="J628" s="33" t="s">
        <v>45</v>
      </c>
      <c r="K628" s="46">
        <v>0</v>
      </c>
      <c r="L628">
        <v>100</v>
      </c>
      <c r="M628" t="s">
        <v>48</v>
      </c>
      <c r="N628" s="46">
        <v>1</v>
      </c>
      <c r="O628" s="46">
        <v>0</v>
      </c>
      <c r="P628" s="46">
        <v>0</v>
      </c>
      <c r="Q628" t="s">
        <v>48</v>
      </c>
      <c r="R628" t="s">
        <v>48</v>
      </c>
      <c r="S628" s="55" t="s">
        <v>11296</v>
      </c>
      <c r="T628" t="s">
        <v>48</v>
      </c>
      <c r="U628" s="55" t="s">
        <v>11296</v>
      </c>
      <c r="V628" s="47">
        <v>1</v>
      </c>
      <c r="W628" t="s">
        <v>48</v>
      </c>
      <c r="X628" t="s">
        <v>48</v>
      </c>
      <c r="Y628" t="s">
        <v>48</v>
      </c>
      <c r="Z628">
        <v>0</v>
      </c>
      <c r="AA628" t="s">
        <v>48</v>
      </c>
      <c r="AB628" t="s">
        <v>48</v>
      </c>
      <c r="AC628" t="s">
        <v>49</v>
      </c>
      <c r="AD628" t="s">
        <v>93</v>
      </c>
      <c r="AE628" t="s">
        <v>4532</v>
      </c>
      <c r="AF628" t="s">
        <v>48</v>
      </c>
      <c r="AG628" t="s">
        <v>266</v>
      </c>
      <c r="AH628" t="s">
        <v>93</v>
      </c>
      <c r="AI628" t="s">
        <v>48</v>
      </c>
      <c r="AJ628" t="s">
        <v>48</v>
      </c>
      <c r="AK628" t="s">
        <v>48</v>
      </c>
      <c r="AL628" t="s">
        <v>48</v>
      </c>
      <c r="AM628" t="s">
        <v>48</v>
      </c>
      <c r="AN628" t="s">
        <v>48</v>
      </c>
      <c r="AO628" t="s">
        <v>48</v>
      </c>
      <c r="AP628" s="46">
        <v>0</v>
      </c>
      <c r="AQ628" s="46">
        <v>0</v>
      </c>
      <c r="AR628" s="46">
        <v>0</v>
      </c>
      <c r="AS628" s="46">
        <v>0</v>
      </c>
      <c r="AT628" s="46">
        <v>0</v>
      </c>
      <c r="AU628" s="46">
        <v>0</v>
      </c>
      <c r="AV628" s="46">
        <v>0</v>
      </c>
      <c r="AW628" s="46">
        <v>0</v>
      </c>
      <c r="AX628" s="46">
        <v>0</v>
      </c>
      <c r="AY628" s="46">
        <v>0</v>
      </c>
      <c r="AZ628" s="46">
        <v>0</v>
      </c>
      <c r="BA628" s="46">
        <v>0</v>
      </c>
      <c r="BB628" s="46">
        <v>0</v>
      </c>
      <c r="BC628" s="46">
        <v>0</v>
      </c>
      <c r="BD628" s="46">
        <v>0</v>
      </c>
      <c r="BE628" s="46">
        <v>0</v>
      </c>
      <c r="BF628" s="46">
        <v>0</v>
      </c>
      <c r="BG628" s="46" t="s">
        <v>48</v>
      </c>
      <c r="BH628" s="46">
        <v>0</v>
      </c>
      <c r="BI628" s="46">
        <v>0</v>
      </c>
      <c r="BJ628" s="46">
        <v>0</v>
      </c>
      <c r="BK628" s="46">
        <v>0</v>
      </c>
      <c r="BL628" s="46">
        <v>0</v>
      </c>
      <c r="BM628" s="46">
        <v>0</v>
      </c>
      <c r="BN628" s="46">
        <v>0</v>
      </c>
    </row>
    <row r="629" spans="1:66" x14ac:dyDescent="0.35">
      <c r="A629" t="s">
        <v>2711</v>
      </c>
      <c r="B629" s="44" t="s">
        <v>48</v>
      </c>
      <c r="C629" t="s">
        <v>1140</v>
      </c>
      <c r="D629" t="s">
        <v>2716</v>
      </c>
      <c r="E629" t="s">
        <v>2713</v>
      </c>
      <c r="F629" t="s">
        <v>2712</v>
      </c>
      <c r="G629" t="s">
        <v>74</v>
      </c>
      <c r="H629">
        <v>0</v>
      </c>
      <c r="I629" s="60" t="s">
        <v>51</v>
      </c>
      <c r="J629" s="33" t="s">
        <v>45</v>
      </c>
      <c r="K629" s="46">
        <v>1</v>
      </c>
      <c r="L629">
        <v>100</v>
      </c>
      <c r="M629" t="s">
        <v>48</v>
      </c>
      <c r="N629" s="46">
        <v>1</v>
      </c>
      <c r="O629" s="46">
        <v>0</v>
      </c>
      <c r="P629" s="46">
        <v>0</v>
      </c>
      <c r="Q629" t="s">
        <v>48</v>
      </c>
      <c r="R629" t="s">
        <v>48</v>
      </c>
      <c r="S629" t="s">
        <v>2714</v>
      </c>
      <c r="T629" t="s">
        <v>2715</v>
      </c>
      <c r="U629" t="s">
        <v>2714</v>
      </c>
      <c r="V629" s="47">
        <v>0</v>
      </c>
      <c r="W629" t="s">
        <v>48</v>
      </c>
      <c r="X629" t="s">
        <v>48</v>
      </c>
      <c r="Y629" t="s">
        <v>48</v>
      </c>
      <c r="Z629">
        <v>0</v>
      </c>
      <c r="AA629" t="s">
        <v>48</v>
      </c>
      <c r="AB629">
        <v>2018</v>
      </c>
      <c r="AC629" t="s">
        <v>49</v>
      </c>
      <c r="AD629" t="s">
        <v>951</v>
      </c>
      <c r="AE629" s="40" t="s">
        <v>11051</v>
      </c>
      <c r="AF629" t="s">
        <v>11054</v>
      </c>
      <c r="AG629" t="s">
        <v>140</v>
      </c>
      <c r="AH629" t="s">
        <v>93</v>
      </c>
      <c r="AI629">
        <v>21921</v>
      </c>
      <c r="AJ629">
        <v>1956</v>
      </c>
      <c r="AK629" t="s">
        <v>8884</v>
      </c>
      <c r="AL629" t="s">
        <v>8885</v>
      </c>
      <c r="AM629">
        <v>-0.45600000000000002</v>
      </c>
      <c r="AN629">
        <v>-0.85399999999999998</v>
      </c>
      <c r="AO629">
        <v>-0.45600000000000002</v>
      </c>
      <c r="AP629" s="46">
        <v>0</v>
      </c>
      <c r="AQ629" s="46">
        <v>0</v>
      </c>
      <c r="AR629" s="46">
        <v>0</v>
      </c>
      <c r="AS629" s="46">
        <v>0</v>
      </c>
      <c r="AT629" s="46">
        <v>1</v>
      </c>
      <c r="AU629" s="46">
        <v>0</v>
      </c>
      <c r="AV629" s="46">
        <v>0</v>
      </c>
      <c r="AW629" s="46">
        <v>0</v>
      </c>
      <c r="AX629" s="46">
        <v>0</v>
      </c>
      <c r="AY629" s="46">
        <v>0</v>
      </c>
      <c r="AZ629" s="46">
        <v>0</v>
      </c>
      <c r="BA629" s="46">
        <v>0</v>
      </c>
      <c r="BB629" s="46">
        <v>0</v>
      </c>
      <c r="BC629" s="46">
        <v>0</v>
      </c>
      <c r="BD629" s="46">
        <v>0</v>
      </c>
      <c r="BE629" s="46">
        <v>0</v>
      </c>
      <c r="BF629" s="46">
        <v>0</v>
      </c>
      <c r="BG629" s="46" t="s">
        <v>48</v>
      </c>
      <c r="BH629" s="46">
        <v>0</v>
      </c>
      <c r="BI629" s="46">
        <v>0</v>
      </c>
      <c r="BJ629" s="46">
        <v>0</v>
      </c>
      <c r="BK629" s="46">
        <v>1</v>
      </c>
      <c r="BL629" s="46">
        <v>0</v>
      </c>
      <c r="BM629" s="46">
        <v>0</v>
      </c>
      <c r="BN629" s="46">
        <v>0</v>
      </c>
    </row>
    <row r="630" spans="1:66" x14ac:dyDescent="0.35">
      <c r="A630" t="s">
        <v>9486</v>
      </c>
      <c r="B630" s="44" t="s">
        <v>48</v>
      </c>
      <c r="C630" t="s">
        <v>11913</v>
      </c>
      <c r="D630" t="s">
        <v>603</v>
      </c>
      <c r="E630" t="s">
        <v>9487</v>
      </c>
      <c r="F630" t="s">
        <v>2712</v>
      </c>
      <c r="G630" t="s">
        <v>47</v>
      </c>
      <c r="H630">
        <v>0</v>
      </c>
      <c r="I630" s="61">
        <v>44748</v>
      </c>
      <c r="J630" s="33" t="s">
        <v>45</v>
      </c>
      <c r="K630" s="46">
        <v>0</v>
      </c>
      <c r="L630">
        <v>100</v>
      </c>
      <c r="M630" t="s">
        <v>48</v>
      </c>
      <c r="N630" s="46">
        <v>1</v>
      </c>
      <c r="O630" s="46">
        <v>0</v>
      </c>
      <c r="P630" s="46">
        <v>0</v>
      </c>
      <c r="Q630" t="s">
        <v>48</v>
      </c>
      <c r="R630" t="s">
        <v>48</v>
      </c>
      <c r="S630" t="s">
        <v>48</v>
      </c>
      <c r="T630" t="s">
        <v>48</v>
      </c>
      <c r="U630" t="s">
        <v>48</v>
      </c>
      <c r="V630" s="47">
        <v>1</v>
      </c>
      <c r="W630" t="s">
        <v>11264</v>
      </c>
      <c r="X630" t="s">
        <v>48</v>
      </c>
      <c r="Y630" t="s">
        <v>48</v>
      </c>
      <c r="Z630" t="s">
        <v>48</v>
      </c>
      <c r="AA630" t="s">
        <v>48</v>
      </c>
      <c r="AB630" t="s">
        <v>48</v>
      </c>
      <c r="AC630" t="s">
        <v>49</v>
      </c>
      <c r="AD630" t="s">
        <v>93</v>
      </c>
      <c r="AE630" t="s">
        <v>4532</v>
      </c>
      <c r="AF630" t="s">
        <v>11146</v>
      </c>
      <c r="AG630" t="s">
        <v>48</v>
      </c>
      <c r="AH630" t="s">
        <v>48</v>
      </c>
      <c r="AI630" t="s">
        <v>48</v>
      </c>
      <c r="AJ630" t="s">
        <v>48</v>
      </c>
      <c r="AK630" t="s">
        <v>48</v>
      </c>
      <c r="AL630" t="s">
        <v>48</v>
      </c>
      <c r="AM630" t="s">
        <v>48</v>
      </c>
      <c r="AN630" t="s">
        <v>48</v>
      </c>
      <c r="AO630" t="s">
        <v>48</v>
      </c>
      <c r="AP630" s="46">
        <v>0</v>
      </c>
      <c r="AQ630" s="46">
        <v>0</v>
      </c>
      <c r="AR630" s="46">
        <v>0</v>
      </c>
      <c r="AS630" s="46">
        <v>0</v>
      </c>
      <c r="AT630" s="46">
        <v>0</v>
      </c>
      <c r="AU630" s="46">
        <v>0</v>
      </c>
      <c r="AV630" s="46">
        <v>0</v>
      </c>
      <c r="AW630" s="46">
        <v>0</v>
      </c>
      <c r="AX630" s="46">
        <v>0</v>
      </c>
      <c r="AY630" s="46">
        <v>0</v>
      </c>
      <c r="AZ630" s="46">
        <v>0</v>
      </c>
      <c r="BA630" s="46">
        <v>0</v>
      </c>
      <c r="BB630" s="46">
        <v>0</v>
      </c>
      <c r="BC630" s="46">
        <v>0</v>
      </c>
      <c r="BD630" s="46">
        <v>0</v>
      </c>
      <c r="BE630" s="46">
        <v>0</v>
      </c>
      <c r="BF630" s="46">
        <v>0</v>
      </c>
      <c r="BG630" s="46" t="s">
        <v>48</v>
      </c>
      <c r="BH630" s="46">
        <v>0</v>
      </c>
      <c r="BI630" s="46">
        <v>0</v>
      </c>
      <c r="BJ630" s="46">
        <v>0</v>
      </c>
      <c r="BK630" s="46">
        <v>0</v>
      </c>
      <c r="BL630" s="46">
        <v>0</v>
      </c>
      <c r="BM630" s="46">
        <v>0</v>
      </c>
      <c r="BN630" s="46">
        <v>0</v>
      </c>
    </row>
    <row r="631" spans="1:66" x14ac:dyDescent="0.35">
      <c r="A631" t="s">
        <v>2719</v>
      </c>
      <c r="B631" t="s">
        <v>48</v>
      </c>
      <c r="C631" t="s">
        <v>2723</v>
      </c>
      <c r="D631" t="s">
        <v>288</v>
      </c>
      <c r="E631" t="s">
        <v>2720</v>
      </c>
      <c r="F631" t="s">
        <v>2717</v>
      </c>
      <c r="G631" t="s">
        <v>74</v>
      </c>
      <c r="H631">
        <v>0</v>
      </c>
      <c r="I631" s="60" t="s">
        <v>51</v>
      </c>
      <c r="J631" s="33" t="s">
        <v>45</v>
      </c>
      <c r="K631" s="46">
        <v>1</v>
      </c>
      <c r="L631">
        <v>100</v>
      </c>
      <c r="M631" t="s">
        <v>48</v>
      </c>
      <c r="N631" s="46">
        <v>1</v>
      </c>
      <c r="O631" s="46">
        <v>0</v>
      </c>
      <c r="P631" s="46">
        <v>0</v>
      </c>
      <c r="Q631" t="s">
        <v>48</v>
      </c>
      <c r="R631" t="s">
        <v>48</v>
      </c>
      <c r="S631" t="s">
        <v>2721</v>
      </c>
      <c r="T631" t="s">
        <v>2722</v>
      </c>
      <c r="U631" t="s">
        <v>2721</v>
      </c>
      <c r="V631" s="47">
        <v>0</v>
      </c>
      <c r="W631" t="s">
        <v>48</v>
      </c>
      <c r="X631" t="s">
        <v>48</v>
      </c>
      <c r="Y631" t="s">
        <v>48</v>
      </c>
      <c r="Z631">
        <v>0</v>
      </c>
      <c r="AA631" t="s">
        <v>48</v>
      </c>
      <c r="AB631">
        <v>2008</v>
      </c>
      <c r="AC631" t="s">
        <v>49</v>
      </c>
      <c r="AD631" t="s">
        <v>93</v>
      </c>
      <c r="AE631" t="s">
        <v>4532</v>
      </c>
      <c r="AF631" t="s">
        <v>48</v>
      </c>
      <c r="AG631" t="s">
        <v>112</v>
      </c>
      <c r="AH631" t="s">
        <v>93</v>
      </c>
      <c r="AI631">
        <v>20954</v>
      </c>
      <c r="AJ631">
        <v>1958</v>
      </c>
      <c r="AK631" t="s">
        <v>8886</v>
      </c>
      <c r="AL631" t="s">
        <v>8887</v>
      </c>
      <c r="AM631">
        <v>-0.32200000000000001</v>
      </c>
      <c r="AN631">
        <v>-0.26700000000000002</v>
      </c>
      <c r="AO631">
        <v>-0.32200000000000001</v>
      </c>
      <c r="AP631" s="46">
        <v>0</v>
      </c>
      <c r="AQ631" s="46">
        <v>0</v>
      </c>
      <c r="AR631" s="46">
        <v>0</v>
      </c>
      <c r="AS631" s="46">
        <v>0</v>
      </c>
      <c r="AT631" s="46">
        <v>0</v>
      </c>
      <c r="AU631" s="46">
        <v>1</v>
      </c>
      <c r="AV631" s="46">
        <v>0</v>
      </c>
      <c r="AW631" s="46">
        <v>0</v>
      </c>
      <c r="AX631" s="46">
        <v>0</v>
      </c>
      <c r="AY631" s="46">
        <v>0</v>
      </c>
      <c r="AZ631" s="46">
        <v>0</v>
      </c>
      <c r="BA631" s="46">
        <v>0</v>
      </c>
      <c r="BB631" s="46">
        <v>0</v>
      </c>
      <c r="BC631" s="46">
        <v>0</v>
      </c>
      <c r="BD631" s="46">
        <v>0</v>
      </c>
      <c r="BE631" s="46">
        <v>0</v>
      </c>
      <c r="BF631" s="46">
        <v>0</v>
      </c>
      <c r="BG631" s="46" t="s">
        <v>48</v>
      </c>
      <c r="BH631" s="46">
        <v>0</v>
      </c>
      <c r="BI631" s="46">
        <v>0</v>
      </c>
      <c r="BJ631" s="46">
        <v>0</v>
      </c>
      <c r="BK631" s="46">
        <v>0</v>
      </c>
      <c r="BL631" s="46">
        <v>0</v>
      </c>
      <c r="BM631" s="46">
        <v>0</v>
      </c>
      <c r="BN631" s="46">
        <v>0</v>
      </c>
    </row>
    <row r="632" spans="1:66" x14ac:dyDescent="0.35">
      <c r="A632" t="s">
        <v>9490</v>
      </c>
      <c r="B632" s="44" t="s">
        <v>48</v>
      </c>
      <c r="C632" t="s">
        <v>2280</v>
      </c>
      <c r="D632" t="s">
        <v>487</v>
      </c>
      <c r="E632" t="s">
        <v>9491</v>
      </c>
      <c r="F632" t="s">
        <v>2717</v>
      </c>
      <c r="G632" t="s">
        <v>47</v>
      </c>
      <c r="H632">
        <v>0</v>
      </c>
      <c r="I632" s="61">
        <v>44748</v>
      </c>
      <c r="J632" s="33" t="s">
        <v>45</v>
      </c>
      <c r="K632" s="46">
        <v>0</v>
      </c>
      <c r="L632">
        <v>55.4</v>
      </c>
      <c r="M632" t="s">
        <v>48</v>
      </c>
      <c r="N632" s="46">
        <v>1</v>
      </c>
      <c r="O632" s="46">
        <v>0</v>
      </c>
      <c r="P632" s="46">
        <v>0</v>
      </c>
      <c r="Q632" t="s">
        <v>48</v>
      </c>
      <c r="R632" t="s">
        <v>48</v>
      </c>
      <c r="S632" t="s">
        <v>48</v>
      </c>
      <c r="T632" t="s">
        <v>48</v>
      </c>
      <c r="U632" t="s">
        <v>48</v>
      </c>
      <c r="V632" s="47">
        <v>1</v>
      </c>
      <c r="W632" t="s">
        <v>11264</v>
      </c>
      <c r="X632" t="s">
        <v>48</v>
      </c>
      <c r="Y632" t="s">
        <v>48</v>
      </c>
      <c r="Z632" t="s">
        <v>48</v>
      </c>
      <c r="AA632" t="s">
        <v>48</v>
      </c>
      <c r="AB632" t="s">
        <v>48</v>
      </c>
      <c r="AC632" t="s">
        <v>49</v>
      </c>
      <c r="AD632" t="s">
        <v>93</v>
      </c>
      <c r="AE632" s="40" t="s">
        <v>4532</v>
      </c>
      <c r="AF632" t="s">
        <v>48</v>
      </c>
      <c r="AG632" t="s">
        <v>48</v>
      </c>
      <c r="AH632" t="s">
        <v>48</v>
      </c>
      <c r="AI632" t="s">
        <v>48</v>
      </c>
      <c r="AJ632" t="s">
        <v>48</v>
      </c>
      <c r="AK632" t="s">
        <v>48</v>
      </c>
      <c r="AL632" t="s">
        <v>48</v>
      </c>
      <c r="AM632" t="s">
        <v>48</v>
      </c>
      <c r="AN632" t="s">
        <v>48</v>
      </c>
      <c r="AO632" t="s">
        <v>48</v>
      </c>
      <c r="AP632" s="46">
        <v>0</v>
      </c>
      <c r="AQ632" s="46">
        <v>0</v>
      </c>
      <c r="AR632" s="46">
        <v>0</v>
      </c>
      <c r="AS632" s="46">
        <v>0</v>
      </c>
      <c r="AT632" s="46">
        <v>0</v>
      </c>
      <c r="AU632" s="46">
        <v>0</v>
      </c>
      <c r="AV632" s="46">
        <v>0</v>
      </c>
      <c r="AW632" s="46">
        <v>0</v>
      </c>
      <c r="AX632" s="46">
        <v>0</v>
      </c>
      <c r="AY632" s="46">
        <v>0</v>
      </c>
      <c r="AZ632" s="46">
        <v>0</v>
      </c>
      <c r="BA632" s="46">
        <v>0</v>
      </c>
      <c r="BB632" s="46">
        <v>0</v>
      </c>
      <c r="BC632" s="46">
        <v>0</v>
      </c>
      <c r="BD632" s="46">
        <v>0</v>
      </c>
      <c r="BE632" s="46">
        <v>0</v>
      </c>
      <c r="BF632" s="46">
        <v>0</v>
      </c>
      <c r="BG632" s="46" t="s">
        <v>48</v>
      </c>
      <c r="BH632" s="46">
        <v>0</v>
      </c>
      <c r="BI632" s="46">
        <v>0</v>
      </c>
      <c r="BJ632" s="46">
        <v>0</v>
      </c>
      <c r="BK632" s="46">
        <v>0</v>
      </c>
      <c r="BL632" s="46">
        <v>0</v>
      </c>
      <c r="BM632" s="46">
        <v>0</v>
      </c>
      <c r="BN632" s="46">
        <v>0</v>
      </c>
    </row>
    <row r="633" spans="1:66" x14ac:dyDescent="0.35">
      <c r="A633" t="s">
        <v>2744</v>
      </c>
      <c r="B633" s="44" t="s">
        <v>48</v>
      </c>
      <c r="C633" t="s">
        <v>2747</v>
      </c>
      <c r="D633" t="s">
        <v>2110</v>
      </c>
      <c r="E633" t="s">
        <v>2745</v>
      </c>
      <c r="F633" t="s">
        <v>2725</v>
      </c>
      <c r="G633" t="s">
        <v>47</v>
      </c>
      <c r="H633">
        <v>0</v>
      </c>
      <c r="I633" s="60" t="s">
        <v>149</v>
      </c>
      <c r="J633" s="33" t="s">
        <v>45</v>
      </c>
      <c r="K633" s="46">
        <v>0</v>
      </c>
      <c r="L633">
        <v>38.799999999999997</v>
      </c>
      <c r="M633" t="s">
        <v>48</v>
      </c>
      <c r="N633" s="46">
        <v>1</v>
      </c>
      <c r="O633" s="46">
        <v>0</v>
      </c>
      <c r="P633" s="46">
        <v>0</v>
      </c>
      <c r="Q633" t="s">
        <v>48</v>
      </c>
      <c r="R633" t="s">
        <v>48</v>
      </c>
      <c r="S633" t="s">
        <v>2746</v>
      </c>
      <c r="T633" t="s">
        <v>48</v>
      </c>
      <c r="U633" t="s">
        <v>2746</v>
      </c>
      <c r="V633" s="47">
        <v>0</v>
      </c>
      <c r="W633" t="s">
        <v>48</v>
      </c>
      <c r="X633" t="s">
        <v>48</v>
      </c>
      <c r="Y633" t="s">
        <v>48</v>
      </c>
      <c r="Z633">
        <v>0</v>
      </c>
      <c r="AA633" t="s">
        <v>1165</v>
      </c>
      <c r="AB633" t="s">
        <v>48</v>
      </c>
      <c r="AC633" t="s">
        <v>49</v>
      </c>
      <c r="AD633" t="s">
        <v>93</v>
      </c>
      <c r="AE633" t="s">
        <v>4532</v>
      </c>
      <c r="AF633" t="s">
        <v>48</v>
      </c>
      <c r="AG633" t="s">
        <v>48</v>
      </c>
      <c r="AH633" t="s">
        <v>48</v>
      </c>
      <c r="AI633" t="s">
        <v>48</v>
      </c>
      <c r="AJ633" t="s">
        <v>48</v>
      </c>
      <c r="AK633" t="s">
        <v>48</v>
      </c>
      <c r="AL633" t="s">
        <v>48</v>
      </c>
      <c r="AM633" t="s">
        <v>48</v>
      </c>
      <c r="AN633" t="s">
        <v>48</v>
      </c>
      <c r="AO633" t="s">
        <v>48</v>
      </c>
      <c r="AP633" s="46">
        <v>0</v>
      </c>
      <c r="AQ633" s="46">
        <v>0</v>
      </c>
      <c r="AR633" s="46">
        <v>0</v>
      </c>
      <c r="AS633" s="46">
        <v>0</v>
      </c>
      <c r="AT633" s="46">
        <v>0</v>
      </c>
      <c r="AU633" s="46">
        <v>0</v>
      </c>
      <c r="AV633" s="46">
        <v>0</v>
      </c>
      <c r="AW633" s="46">
        <v>0</v>
      </c>
      <c r="AX633" s="46">
        <v>0</v>
      </c>
      <c r="AY633" s="46">
        <v>0</v>
      </c>
      <c r="AZ633" s="46">
        <v>0</v>
      </c>
      <c r="BA633" s="46">
        <v>0</v>
      </c>
      <c r="BB633" s="46">
        <v>0</v>
      </c>
      <c r="BC633" s="46">
        <v>0</v>
      </c>
      <c r="BD633" s="46">
        <v>0</v>
      </c>
      <c r="BE633" s="46">
        <v>0</v>
      </c>
      <c r="BF633" s="46">
        <v>0</v>
      </c>
      <c r="BG633" s="46" t="s">
        <v>48</v>
      </c>
      <c r="BH633" s="46">
        <v>0</v>
      </c>
      <c r="BI633" s="46">
        <v>0</v>
      </c>
      <c r="BJ633" s="46">
        <v>0</v>
      </c>
      <c r="BK633" s="46">
        <v>0</v>
      </c>
      <c r="BL633" s="46">
        <v>0</v>
      </c>
      <c r="BM633" s="46">
        <v>0</v>
      </c>
      <c r="BN633" s="46">
        <v>0</v>
      </c>
    </row>
    <row r="634" spans="1:66" x14ac:dyDescent="0.35">
      <c r="A634" t="s">
        <v>2727</v>
      </c>
      <c r="B634" t="s">
        <v>48</v>
      </c>
      <c r="C634" t="s">
        <v>2731</v>
      </c>
      <c r="D634" t="s">
        <v>993</v>
      </c>
      <c r="E634" t="s">
        <v>2728</v>
      </c>
      <c r="F634" t="s">
        <v>2725</v>
      </c>
      <c r="G634" t="s">
        <v>74</v>
      </c>
      <c r="H634">
        <v>0</v>
      </c>
      <c r="I634" s="60" t="s">
        <v>51</v>
      </c>
      <c r="J634" s="33" t="s">
        <v>45</v>
      </c>
      <c r="K634" s="46">
        <v>1</v>
      </c>
      <c r="L634">
        <v>68.099999999999994</v>
      </c>
      <c r="M634" t="s">
        <v>48</v>
      </c>
      <c r="N634" s="46">
        <v>1</v>
      </c>
      <c r="O634" s="46">
        <v>0</v>
      </c>
      <c r="P634" s="46">
        <v>0</v>
      </c>
      <c r="Q634" t="s">
        <v>48</v>
      </c>
      <c r="R634" t="s">
        <v>48</v>
      </c>
      <c r="S634" t="s">
        <v>2729</v>
      </c>
      <c r="T634" t="s">
        <v>2730</v>
      </c>
      <c r="U634" t="s">
        <v>2729</v>
      </c>
      <c r="V634" s="47">
        <v>0</v>
      </c>
      <c r="W634" t="s">
        <v>48</v>
      </c>
      <c r="X634" t="s">
        <v>48</v>
      </c>
      <c r="Y634" t="s">
        <v>48</v>
      </c>
      <c r="Z634">
        <v>0</v>
      </c>
      <c r="AA634" t="s">
        <v>48</v>
      </c>
      <c r="AB634">
        <v>2018</v>
      </c>
      <c r="AC634" t="s">
        <v>49</v>
      </c>
      <c r="AD634" t="s">
        <v>93</v>
      </c>
      <c r="AE634" t="s">
        <v>4532</v>
      </c>
      <c r="AF634" t="s">
        <v>48</v>
      </c>
      <c r="AG634" t="s">
        <v>876</v>
      </c>
      <c r="AH634" t="s">
        <v>93</v>
      </c>
      <c r="AI634">
        <v>21906</v>
      </c>
      <c r="AJ634">
        <v>1971</v>
      </c>
      <c r="AK634" t="s">
        <v>8888</v>
      </c>
      <c r="AL634" t="s">
        <v>8889</v>
      </c>
      <c r="AM634">
        <v>-0.66</v>
      </c>
      <c r="AN634">
        <v>0.56599999999999995</v>
      </c>
      <c r="AO634">
        <v>-0.66</v>
      </c>
      <c r="AP634" s="46">
        <v>0</v>
      </c>
      <c r="AQ634" s="46">
        <v>0</v>
      </c>
      <c r="AR634" s="46">
        <v>0</v>
      </c>
      <c r="AS634" s="46">
        <v>0</v>
      </c>
      <c r="AT634" s="46">
        <v>0</v>
      </c>
      <c r="AU634" s="46">
        <v>1</v>
      </c>
      <c r="AV634" s="46">
        <v>0</v>
      </c>
      <c r="AW634" s="46">
        <v>0</v>
      </c>
      <c r="AX634" s="46">
        <v>0</v>
      </c>
      <c r="AY634" s="46">
        <v>0</v>
      </c>
      <c r="AZ634" s="46">
        <v>0</v>
      </c>
      <c r="BA634" s="46">
        <v>0</v>
      </c>
      <c r="BB634" s="46">
        <v>0</v>
      </c>
      <c r="BC634" s="46">
        <v>0</v>
      </c>
      <c r="BD634" s="46">
        <v>0</v>
      </c>
      <c r="BE634" s="46">
        <v>0</v>
      </c>
      <c r="BF634" s="46">
        <v>0</v>
      </c>
      <c r="BG634" s="46" t="s">
        <v>48</v>
      </c>
      <c r="BH634" s="46">
        <v>0</v>
      </c>
      <c r="BI634" s="46">
        <v>0</v>
      </c>
      <c r="BJ634" s="46">
        <v>0</v>
      </c>
      <c r="BK634" s="46">
        <v>1</v>
      </c>
      <c r="BL634" s="46">
        <v>0</v>
      </c>
      <c r="BM634" s="46">
        <v>0</v>
      </c>
      <c r="BN634" s="46">
        <v>0</v>
      </c>
    </row>
    <row r="635" spans="1:66" x14ac:dyDescent="0.35">
      <c r="A635" t="s">
        <v>2753</v>
      </c>
      <c r="B635" s="44" t="s">
        <v>48</v>
      </c>
      <c r="C635" t="s">
        <v>2437</v>
      </c>
      <c r="D635" t="s">
        <v>1550</v>
      </c>
      <c r="E635" t="s">
        <v>2754</v>
      </c>
      <c r="F635" t="s">
        <v>2749</v>
      </c>
      <c r="G635" t="s">
        <v>74</v>
      </c>
      <c r="H635">
        <v>0</v>
      </c>
      <c r="I635" s="60" t="s">
        <v>51</v>
      </c>
      <c r="J635" s="33" t="s">
        <v>45</v>
      </c>
      <c r="K635" s="46">
        <v>1</v>
      </c>
      <c r="L635">
        <v>52.1</v>
      </c>
      <c r="M635" t="s">
        <v>48</v>
      </c>
      <c r="N635" s="46">
        <v>1</v>
      </c>
      <c r="O635" s="46">
        <v>0</v>
      </c>
      <c r="P635" s="46">
        <v>0</v>
      </c>
      <c r="Q635" t="s">
        <v>48</v>
      </c>
      <c r="R635" t="s">
        <v>48</v>
      </c>
      <c r="S635" t="s">
        <v>2755</v>
      </c>
      <c r="T635" t="s">
        <v>2756</v>
      </c>
      <c r="U635" t="s">
        <v>2755</v>
      </c>
      <c r="V635" s="47">
        <v>0</v>
      </c>
      <c r="W635" t="s">
        <v>48</v>
      </c>
      <c r="X635" t="s">
        <v>48</v>
      </c>
      <c r="Y635" t="s">
        <v>48</v>
      </c>
      <c r="Z635">
        <v>0</v>
      </c>
      <c r="AA635" t="s">
        <v>48</v>
      </c>
      <c r="AB635">
        <v>1996</v>
      </c>
      <c r="AC635" t="s">
        <v>49</v>
      </c>
      <c r="AD635" t="s">
        <v>93</v>
      </c>
      <c r="AE635" s="40" t="s">
        <v>2471</v>
      </c>
      <c r="AF635" t="s">
        <v>11061</v>
      </c>
      <c r="AG635" t="s">
        <v>151</v>
      </c>
      <c r="AH635" t="s">
        <v>93</v>
      </c>
      <c r="AI635">
        <v>29717</v>
      </c>
      <c r="AJ635">
        <v>1941</v>
      </c>
      <c r="AK635" t="s">
        <v>8890</v>
      </c>
      <c r="AL635" t="s">
        <v>8891</v>
      </c>
      <c r="AM635">
        <v>-0.48599999999999999</v>
      </c>
      <c r="AN635">
        <v>-0.26500000000000001</v>
      </c>
      <c r="AO635">
        <v>-0.48599999999999999</v>
      </c>
      <c r="AP635" s="46">
        <v>0</v>
      </c>
      <c r="AQ635" s="46">
        <v>0</v>
      </c>
      <c r="AR635" s="46">
        <v>0</v>
      </c>
      <c r="AS635" s="46">
        <v>0</v>
      </c>
      <c r="AT635" s="46">
        <v>1</v>
      </c>
      <c r="AU635" s="46">
        <v>0</v>
      </c>
      <c r="AV635" s="46">
        <v>0</v>
      </c>
      <c r="AW635" s="46">
        <v>0</v>
      </c>
      <c r="AX635" s="46">
        <v>0</v>
      </c>
      <c r="AY635" s="46">
        <v>0</v>
      </c>
      <c r="AZ635" s="46">
        <v>0</v>
      </c>
      <c r="BA635" s="46">
        <v>0</v>
      </c>
      <c r="BB635" s="46">
        <v>0</v>
      </c>
      <c r="BC635" s="46">
        <v>0</v>
      </c>
      <c r="BD635" s="46">
        <v>0</v>
      </c>
      <c r="BE635" s="46">
        <v>0</v>
      </c>
      <c r="BF635" s="46">
        <v>0</v>
      </c>
      <c r="BG635" s="46" t="s">
        <v>48</v>
      </c>
      <c r="BH635" s="46">
        <v>0</v>
      </c>
      <c r="BI635" s="46">
        <v>0</v>
      </c>
      <c r="BJ635" s="46">
        <v>0</v>
      </c>
      <c r="BK635" s="46">
        <v>1</v>
      </c>
      <c r="BL635" s="46">
        <v>0</v>
      </c>
      <c r="BM635" s="46">
        <v>0</v>
      </c>
      <c r="BN635" s="46">
        <v>0</v>
      </c>
    </row>
    <row r="636" spans="1:66" x14ac:dyDescent="0.35">
      <c r="A636" t="s">
        <v>9503</v>
      </c>
      <c r="B636" s="44" t="s">
        <v>48</v>
      </c>
      <c r="C636" t="s">
        <v>11918</v>
      </c>
      <c r="D636" t="s">
        <v>216</v>
      </c>
      <c r="E636" t="s">
        <v>9504</v>
      </c>
      <c r="F636" t="s">
        <v>2758</v>
      </c>
      <c r="G636" t="s">
        <v>47</v>
      </c>
      <c r="H636">
        <v>0</v>
      </c>
      <c r="I636" s="61">
        <v>44748</v>
      </c>
      <c r="J636" s="33" t="s">
        <v>45</v>
      </c>
      <c r="K636" s="46">
        <v>0</v>
      </c>
      <c r="L636">
        <v>31.9</v>
      </c>
      <c r="M636" t="s">
        <v>48</v>
      </c>
      <c r="N636" s="46">
        <v>1</v>
      </c>
      <c r="O636" s="46">
        <v>0</v>
      </c>
      <c r="P636" s="46">
        <v>0</v>
      </c>
      <c r="Q636" t="s">
        <v>48</v>
      </c>
      <c r="R636" t="s">
        <v>48</v>
      </c>
      <c r="S636" t="s">
        <v>48</v>
      </c>
      <c r="T636" t="s">
        <v>48</v>
      </c>
      <c r="U636" t="s">
        <v>48</v>
      </c>
      <c r="V636" s="47">
        <v>1</v>
      </c>
      <c r="W636" t="s">
        <v>11264</v>
      </c>
      <c r="X636" t="s">
        <v>48</v>
      </c>
      <c r="Y636" t="s">
        <v>48</v>
      </c>
      <c r="Z636" t="s">
        <v>48</v>
      </c>
      <c r="AA636" t="s">
        <v>48</v>
      </c>
      <c r="AB636" t="s">
        <v>48</v>
      </c>
      <c r="AC636" t="s">
        <v>49</v>
      </c>
      <c r="AD636" t="s">
        <v>93</v>
      </c>
      <c r="AE636" s="40" t="s">
        <v>4532</v>
      </c>
      <c r="AF636" t="s">
        <v>48</v>
      </c>
      <c r="AG636" t="s">
        <v>48</v>
      </c>
      <c r="AH636" t="s">
        <v>48</v>
      </c>
      <c r="AI636" t="s">
        <v>48</v>
      </c>
      <c r="AJ636" t="s">
        <v>48</v>
      </c>
      <c r="AK636" t="s">
        <v>48</v>
      </c>
      <c r="AL636" t="s">
        <v>48</v>
      </c>
      <c r="AM636" t="s">
        <v>48</v>
      </c>
      <c r="AN636" t="s">
        <v>48</v>
      </c>
      <c r="AO636" t="s">
        <v>48</v>
      </c>
      <c r="AP636" s="46">
        <v>0</v>
      </c>
      <c r="AQ636" s="46">
        <v>0</v>
      </c>
      <c r="AR636" s="46">
        <v>0</v>
      </c>
      <c r="AS636" s="46">
        <v>0</v>
      </c>
      <c r="AT636" s="46">
        <v>0</v>
      </c>
      <c r="AU636" s="46">
        <v>0</v>
      </c>
      <c r="AV636" s="46">
        <v>0</v>
      </c>
      <c r="AW636" s="46">
        <v>0</v>
      </c>
      <c r="AX636" s="46">
        <v>0</v>
      </c>
      <c r="AY636" s="46">
        <v>0</v>
      </c>
      <c r="AZ636" s="46">
        <v>0</v>
      </c>
      <c r="BA636" s="46">
        <v>0</v>
      </c>
      <c r="BB636" s="46">
        <v>0</v>
      </c>
      <c r="BC636" s="46">
        <v>0</v>
      </c>
      <c r="BD636" s="46">
        <v>0</v>
      </c>
      <c r="BE636" s="46">
        <v>0</v>
      </c>
      <c r="BF636" s="46">
        <v>0</v>
      </c>
      <c r="BG636" s="46" t="s">
        <v>48</v>
      </c>
      <c r="BH636" s="46">
        <v>0</v>
      </c>
      <c r="BI636" s="46">
        <v>0</v>
      </c>
      <c r="BJ636" s="46">
        <v>0</v>
      </c>
      <c r="BK636" s="46">
        <v>0</v>
      </c>
      <c r="BL636" s="46">
        <v>0</v>
      </c>
      <c r="BM636" s="46">
        <v>0</v>
      </c>
      <c r="BN636" s="46">
        <v>0</v>
      </c>
    </row>
    <row r="637" spans="1:66" x14ac:dyDescent="0.35">
      <c r="A637" t="s">
        <v>2769</v>
      </c>
      <c r="B637" t="s">
        <v>48</v>
      </c>
      <c r="C637" t="s">
        <v>2774</v>
      </c>
      <c r="D637" t="s">
        <v>2773</v>
      </c>
      <c r="E637" t="s">
        <v>2770</v>
      </c>
      <c r="F637" t="s">
        <v>2758</v>
      </c>
      <c r="G637" t="s">
        <v>74</v>
      </c>
      <c r="H637">
        <v>0</v>
      </c>
      <c r="I637" s="60" t="s">
        <v>51</v>
      </c>
      <c r="J637" s="33" t="s">
        <v>45</v>
      </c>
      <c r="K637" s="46">
        <v>1</v>
      </c>
      <c r="L637">
        <v>70.5</v>
      </c>
      <c r="M637" t="s">
        <v>48</v>
      </c>
      <c r="N637" s="46">
        <v>1</v>
      </c>
      <c r="O637" s="46">
        <v>0</v>
      </c>
      <c r="P637" s="46">
        <v>0</v>
      </c>
      <c r="Q637" t="s">
        <v>48</v>
      </c>
      <c r="R637" t="s">
        <v>48</v>
      </c>
      <c r="S637" t="s">
        <v>2771</v>
      </c>
      <c r="T637" t="s">
        <v>2772</v>
      </c>
      <c r="U637" t="s">
        <v>2771</v>
      </c>
      <c r="V637" s="47">
        <v>0</v>
      </c>
      <c r="W637" t="s">
        <v>48</v>
      </c>
      <c r="X637" t="s">
        <v>48</v>
      </c>
      <c r="Y637" t="s">
        <v>48</v>
      </c>
      <c r="Z637">
        <v>0</v>
      </c>
      <c r="AA637" t="s">
        <v>48</v>
      </c>
      <c r="AB637">
        <v>2016</v>
      </c>
      <c r="AC637" t="s">
        <v>49</v>
      </c>
      <c r="AD637" t="s">
        <v>93</v>
      </c>
      <c r="AE637" t="s">
        <v>977</v>
      </c>
      <c r="AF637" t="s">
        <v>11053</v>
      </c>
      <c r="AG637" t="s">
        <v>104</v>
      </c>
      <c r="AH637" t="s">
        <v>93</v>
      </c>
      <c r="AI637">
        <v>21730</v>
      </c>
      <c r="AJ637">
        <v>1973</v>
      </c>
      <c r="AK637" t="s">
        <v>8892</v>
      </c>
      <c r="AL637" t="s">
        <v>8893</v>
      </c>
      <c r="AM637">
        <v>-0.318</v>
      </c>
      <c r="AN637">
        <v>-0.10299999999999999</v>
      </c>
      <c r="AO637">
        <v>-0.318</v>
      </c>
      <c r="AP637" s="46">
        <v>0</v>
      </c>
      <c r="AQ637" s="46">
        <v>0</v>
      </c>
      <c r="AR637" s="46">
        <v>0</v>
      </c>
      <c r="AS637" s="46">
        <v>0</v>
      </c>
      <c r="AT637" s="46">
        <v>0</v>
      </c>
      <c r="AU637" s="46">
        <v>1</v>
      </c>
      <c r="AV637" s="46">
        <v>0</v>
      </c>
      <c r="AW637" s="46">
        <v>0</v>
      </c>
      <c r="AX637" s="46">
        <v>0</v>
      </c>
      <c r="AY637" s="46">
        <v>0</v>
      </c>
      <c r="AZ637" s="46">
        <v>0</v>
      </c>
      <c r="BA637" s="46">
        <v>0</v>
      </c>
      <c r="BB637" s="46">
        <v>0</v>
      </c>
      <c r="BC637" s="46">
        <v>0</v>
      </c>
      <c r="BD637" s="46">
        <v>0</v>
      </c>
      <c r="BE637" s="46">
        <v>0</v>
      </c>
      <c r="BF637" s="46">
        <v>0</v>
      </c>
      <c r="BG637" s="46" t="s">
        <v>48</v>
      </c>
      <c r="BH637" s="46">
        <v>0</v>
      </c>
      <c r="BI637" s="46">
        <v>0</v>
      </c>
      <c r="BJ637" s="46">
        <v>0</v>
      </c>
      <c r="BK637" s="46">
        <v>0</v>
      </c>
      <c r="BL637" s="46">
        <v>0</v>
      </c>
      <c r="BM637" s="46">
        <v>0</v>
      </c>
      <c r="BN637" s="46">
        <v>0</v>
      </c>
    </row>
    <row r="638" spans="1:66" x14ac:dyDescent="0.35">
      <c r="A638" t="s">
        <v>2776</v>
      </c>
      <c r="B638" s="44" t="s">
        <v>48</v>
      </c>
      <c r="C638" t="s">
        <v>2780</v>
      </c>
      <c r="D638" t="s">
        <v>612</v>
      </c>
      <c r="E638" t="s">
        <v>2777</v>
      </c>
      <c r="F638" t="s">
        <v>2775</v>
      </c>
      <c r="G638" t="s">
        <v>74</v>
      </c>
      <c r="H638">
        <v>0</v>
      </c>
      <c r="I638" s="60" t="s">
        <v>51</v>
      </c>
      <c r="J638" s="33" t="s">
        <v>45</v>
      </c>
      <c r="K638" s="46">
        <v>1</v>
      </c>
      <c r="L638">
        <v>100</v>
      </c>
      <c r="M638" t="s">
        <v>48</v>
      </c>
      <c r="N638" s="46">
        <v>1</v>
      </c>
      <c r="O638" s="46">
        <v>0</v>
      </c>
      <c r="P638" s="46">
        <v>0</v>
      </c>
      <c r="Q638" t="s">
        <v>48</v>
      </c>
      <c r="R638" t="s">
        <v>48</v>
      </c>
      <c r="S638" t="s">
        <v>2778</v>
      </c>
      <c r="T638" t="s">
        <v>2779</v>
      </c>
      <c r="U638" t="s">
        <v>2778</v>
      </c>
      <c r="V638" s="47">
        <v>0</v>
      </c>
      <c r="W638" t="s">
        <v>48</v>
      </c>
      <c r="X638" t="s">
        <v>48</v>
      </c>
      <c r="Y638" t="s">
        <v>48</v>
      </c>
      <c r="Z638">
        <v>0</v>
      </c>
      <c r="AA638" t="s">
        <v>48</v>
      </c>
      <c r="AB638">
        <v>1998</v>
      </c>
      <c r="AC638" t="s">
        <v>63</v>
      </c>
      <c r="AD638" t="s">
        <v>93</v>
      </c>
      <c r="AE638" t="s">
        <v>4532</v>
      </c>
      <c r="AF638" t="s">
        <v>48</v>
      </c>
      <c r="AG638" t="s">
        <v>633</v>
      </c>
      <c r="AH638" t="s">
        <v>93</v>
      </c>
      <c r="AI638">
        <v>29911</v>
      </c>
      <c r="AJ638">
        <v>1944</v>
      </c>
      <c r="AK638" t="s">
        <v>8894</v>
      </c>
      <c r="AL638" t="s">
        <v>8895</v>
      </c>
      <c r="AM638">
        <v>-0.60399999999999998</v>
      </c>
      <c r="AN638">
        <v>-0.26700000000000002</v>
      </c>
      <c r="AO638">
        <v>-0.60399999999999998</v>
      </c>
      <c r="AP638" s="46">
        <v>0</v>
      </c>
      <c r="AQ638" s="46">
        <v>0</v>
      </c>
      <c r="AR638" s="46">
        <v>0</v>
      </c>
      <c r="AS638" s="46">
        <v>0</v>
      </c>
      <c r="AT638" s="46">
        <v>1</v>
      </c>
      <c r="AU638" s="46">
        <v>0</v>
      </c>
      <c r="AV638" s="46">
        <v>0</v>
      </c>
      <c r="AW638" s="46">
        <v>0</v>
      </c>
      <c r="AX638" s="46">
        <v>0</v>
      </c>
      <c r="AY638" s="46">
        <v>0</v>
      </c>
      <c r="AZ638" s="46">
        <v>0</v>
      </c>
      <c r="BA638" s="46">
        <v>0</v>
      </c>
      <c r="BB638" s="46">
        <v>0</v>
      </c>
      <c r="BC638" s="46">
        <v>0</v>
      </c>
      <c r="BD638" s="46">
        <v>0</v>
      </c>
      <c r="BE638" s="46">
        <v>0</v>
      </c>
      <c r="BF638" s="46">
        <v>0</v>
      </c>
      <c r="BG638" s="46" t="s">
        <v>48</v>
      </c>
      <c r="BH638" s="46">
        <v>0</v>
      </c>
      <c r="BI638" s="46">
        <v>0</v>
      </c>
      <c r="BJ638" s="46">
        <v>0</v>
      </c>
      <c r="BK638" s="46">
        <v>1</v>
      </c>
      <c r="BL638" s="46">
        <v>0</v>
      </c>
      <c r="BM638" s="46">
        <v>0</v>
      </c>
      <c r="BN638" s="46">
        <v>0</v>
      </c>
    </row>
    <row r="639" spans="1:66" ht="15" x14ac:dyDescent="0.4">
      <c r="A639" t="s">
        <v>9507</v>
      </c>
      <c r="B639" s="44" t="s">
        <v>48</v>
      </c>
      <c r="C639" t="s">
        <v>5106</v>
      </c>
      <c r="D639" t="s">
        <v>58</v>
      </c>
      <c r="E639" t="s">
        <v>9508</v>
      </c>
      <c r="F639" t="s">
        <v>2775</v>
      </c>
      <c r="G639" t="s">
        <v>47</v>
      </c>
      <c r="H639">
        <v>0</v>
      </c>
      <c r="I639" s="61" t="s">
        <v>11160</v>
      </c>
      <c r="J639" s="33" t="s">
        <v>45</v>
      </c>
      <c r="K639" s="46">
        <v>0</v>
      </c>
      <c r="L639">
        <v>100</v>
      </c>
      <c r="M639" t="s">
        <v>48</v>
      </c>
      <c r="N639" s="46">
        <v>1</v>
      </c>
      <c r="O639" s="46">
        <v>0</v>
      </c>
      <c r="P639" s="46">
        <v>0</v>
      </c>
      <c r="Q639" t="s">
        <v>48</v>
      </c>
      <c r="R639" t="s">
        <v>48</v>
      </c>
      <c r="S639" s="55" t="s">
        <v>11297</v>
      </c>
      <c r="T639" t="s">
        <v>48</v>
      </c>
      <c r="U639" s="55" t="s">
        <v>11297</v>
      </c>
      <c r="V639" s="47">
        <v>1</v>
      </c>
      <c r="W639" t="s">
        <v>48</v>
      </c>
      <c r="X639" t="s">
        <v>48</v>
      </c>
      <c r="Y639" t="s">
        <v>48</v>
      </c>
      <c r="Z639" t="s">
        <v>48</v>
      </c>
      <c r="AA639" t="s">
        <v>48</v>
      </c>
      <c r="AB639" t="s">
        <v>48</v>
      </c>
      <c r="AC639" t="s">
        <v>49</v>
      </c>
      <c r="AD639" t="s">
        <v>93</v>
      </c>
      <c r="AE639" t="s">
        <v>4532</v>
      </c>
      <c r="AF639" t="s">
        <v>48</v>
      </c>
      <c r="AG639" t="s">
        <v>48</v>
      </c>
      <c r="AH639" t="s">
        <v>48</v>
      </c>
      <c r="AI639" t="s">
        <v>48</v>
      </c>
      <c r="AJ639" t="s">
        <v>48</v>
      </c>
      <c r="AK639" t="s">
        <v>48</v>
      </c>
      <c r="AL639" t="s">
        <v>48</v>
      </c>
      <c r="AM639" t="s">
        <v>48</v>
      </c>
      <c r="AN639" t="s">
        <v>48</v>
      </c>
      <c r="AO639" t="s">
        <v>48</v>
      </c>
      <c r="AP639" s="46">
        <v>0</v>
      </c>
      <c r="AQ639" s="46">
        <v>0</v>
      </c>
      <c r="AR639" s="46">
        <v>0</v>
      </c>
      <c r="AS639" s="46">
        <v>0</v>
      </c>
      <c r="AT639" s="46">
        <v>0</v>
      </c>
      <c r="AU639" s="46">
        <v>0</v>
      </c>
      <c r="AV639" s="46">
        <v>0</v>
      </c>
      <c r="AW639" s="46">
        <v>0</v>
      </c>
      <c r="AX639" s="46">
        <v>0</v>
      </c>
      <c r="AY639" s="46">
        <v>0</v>
      </c>
      <c r="AZ639" s="46">
        <v>0</v>
      </c>
      <c r="BA639" s="46">
        <v>0</v>
      </c>
      <c r="BB639" s="46">
        <v>0</v>
      </c>
      <c r="BC639" s="46">
        <v>0</v>
      </c>
      <c r="BD639" s="46">
        <v>0</v>
      </c>
      <c r="BE639" s="46">
        <v>0</v>
      </c>
      <c r="BF639" s="46">
        <v>0</v>
      </c>
      <c r="BG639" s="46" t="s">
        <v>48</v>
      </c>
      <c r="BH639" s="46">
        <v>0</v>
      </c>
      <c r="BI639" s="46">
        <v>0</v>
      </c>
      <c r="BJ639" s="46">
        <v>0</v>
      </c>
      <c r="BK639" s="46">
        <v>0</v>
      </c>
      <c r="BL639" s="46">
        <v>0</v>
      </c>
      <c r="BM639" s="46">
        <v>0</v>
      </c>
      <c r="BN639" s="46">
        <v>0</v>
      </c>
    </row>
    <row r="640" spans="1:66" x14ac:dyDescent="0.35">
      <c r="A640" t="s">
        <v>2782</v>
      </c>
      <c r="B640" t="s">
        <v>48</v>
      </c>
      <c r="C640" t="s">
        <v>2786</v>
      </c>
      <c r="D640" t="s">
        <v>1252</v>
      </c>
      <c r="E640" t="s">
        <v>2783</v>
      </c>
      <c r="F640" t="s">
        <v>2781</v>
      </c>
      <c r="G640" t="s">
        <v>74</v>
      </c>
      <c r="H640">
        <v>0</v>
      </c>
      <c r="I640" s="60" t="s">
        <v>51</v>
      </c>
      <c r="J640" s="33" t="s">
        <v>45</v>
      </c>
      <c r="K640" s="46">
        <v>1</v>
      </c>
      <c r="L640">
        <v>100</v>
      </c>
      <c r="M640" t="s">
        <v>48</v>
      </c>
      <c r="N640" s="46">
        <v>1</v>
      </c>
      <c r="O640" s="46">
        <v>0</v>
      </c>
      <c r="P640" s="46">
        <v>0</v>
      </c>
      <c r="Q640" t="s">
        <v>48</v>
      </c>
      <c r="R640" t="s">
        <v>48</v>
      </c>
      <c r="S640" t="s">
        <v>2784</v>
      </c>
      <c r="T640" t="s">
        <v>2785</v>
      </c>
      <c r="U640" t="s">
        <v>2784</v>
      </c>
      <c r="V640" s="47">
        <v>0</v>
      </c>
      <c r="W640" t="s">
        <v>48</v>
      </c>
      <c r="X640" t="s">
        <v>48</v>
      </c>
      <c r="Y640" t="s">
        <v>48</v>
      </c>
      <c r="Z640">
        <v>0</v>
      </c>
      <c r="AA640" t="s">
        <v>48</v>
      </c>
      <c r="AB640">
        <v>2016</v>
      </c>
      <c r="AC640" t="s">
        <v>49</v>
      </c>
      <c r="AD640" t="s">
        <v>93</v>
      </c>
      <c r="AE640" t="s">
        <v>4532</v>
      </c>
      <c r="AF640" t="s">
        <v>48</v>
      </c>
      <c r="AG640" t="s">
        <v>633</v>
      </c>
      <c r="AH640" t="s">
        <v>93</v>
      </c>
      <c r="AI640">
        <v>21326</v>
      </c>
      <c r="AJ640">
        <v>1961</v>
      </c>
      <c r="AK640" t="s">
        <v>8896</v>
      </c>
      <c r="AL640" t="s">
        <v>8897</v>
      </c>
      <c r="AM640">
        <v>-0.18</v>
      </c>
      <c r="AN640">
        <v>-0.17</v>
      </c>
      <c r="AO640">
        <v>-0.18</v>
      </c>
      <c r="AP640" s="46">
        <v>0</v>
      </c>
      <c r="AQ640" s="46">
        <v>0</v>
      </c>
      <c r="AR640" s="46">
        <v>0</v>
      </c>
      <c r="AS640" s="46">
        <v>0</v>
      </c>
      <c r="AT640" s="46">
        <v>0</v>
      </c>
      <c r="AU640" s="46">
        <v>1</v>
      </c>
      <c r="AV640" s="46">
        <v>1</v>
      </c>
      <c r="AW640" s="46">
        <v>0</v>
      </c>
      <c r="AX640" s="46">
        <v>0</v>
      </c>
      <c r="AY640" s="46">
        <v>0</v>
      </c>
      <c r="AZ640" s="46">
        <v>0</v>
      </c>
      <c r="BA640" s="46">
        <v>1</v>
      </c>
      <c r="BB640" s="46">
        <v>0</v>
      </c>
      <c r="BC640" s="46">
        <v>0</v>
      </c>
      <c r="BD640" s="46">
        <v>0</v>
      </c>
      <c r="BE640" s="46">
        <v>0</v>
      </c>
      <c r="BF640" s="46">
        <v>0</v>
      </c>
      <c r="BG640" s="46" t="s">
        <v>48</v>
      </c>
      <c r="BH640" s="46">
        <v>0</v>
      </c>
      <c r="BI640" s="46">
        <v>0</v>
      </c>
      <c r="BJ640" s="46">
        <v>0</v>
      </c>
      <c r="BK640" s="46">
        <v>0</v>
      </c>
      <c r="BL640" s="46">
        <v>1</v>
      </c>
      <c r="BM640" s="46">
        <v>0</v>
      </c>
      <c r="BN640" s="46">
        <v>0</v>
      </c>
    </row>
    <row r="641" spans="1:66" ht="15" x14ac:dyDescent="0.4">
      <c r="A641" t="s">
        <v>9509</v>
      </c>
      <c r="B641" s="44" t="s">
        <v>48</v>
      </c>
      <c r="C641" t="s">
        <v>11920</v>
      </c>
      <c r="D641" t="s">
        <v>1505</v>
      </c>
      <c r="E641" t="s">
        <v>9510</v>
      </c>
      <c r="F641" t="s">
        <v>2781</v>
      </c>
      <c r="G641" t="s">
        <v>47</v>
      </c>
      <c r="H641">
        <v>0</v>
      </c>
      <c r="I641" s="61" t="s">
        <v>11160</v>
      </c>
      <c r="J641" s="33" t="s">
        <v>45</v>
      </c>
      <c r="K641" s="46">
        <v>0</v>
      </c>
      <c r="L641">
        <v>100</v>
      </c>
      <c r="M641" t="s">
        <v>48</v>
      </c>
      <c r="N641" s="46">
        <v>1</v>
      </c>
      <c r="O641" s="46">
        <v>0</v>
      </c>
      <c r="P641" s="46">
        <v>0</v>
      </c>
      <c r="Q641" t="s">
        <v>48</v>
      </c>
      <c r="R641" t="s">
        <v>48</v>
      </c>
      <c r="S641" s="55" t="s">
        <v>11298</v>
      </c>
      <c r="T641" t="s">
        <v>48</v>
      </c>
      <c r="U641" s="55" t="s">
        <v>11298</v>
      </c>
      <c r="V641" s="47">
        <v>0</v>
      </c>
      <c r="W641" t="s">
        <v>48</v>
      </c>
      <c r="X641" t="s">
        <v>48</v>
      </c>
      <c r="Y641" t="s">
        <v>48</v>
      </c>
      <c r="Z641" t="s">
        <v>48</v>
      </c>
      <c r="AA641" t="s">
        <v>48</v>
      </c>
      <c r="AB641" t="s">
        <v>48</v>
      </c>
      <c r="AC641" t="s">
        <v>49</v>
      </c>
      <c r="AD641" t="s">
        <v>93</v>
      </c>
      <c r="AE641" t="s">
        <v>4532</v>
      </c>
      <c r="AF641" t="s">
        <v>48</v>
      </c>
      <c r="AG641" t="s">
        <v>48</v>
      </c>
      <c r="AH641" t="s">
        <v>48</v>
      </c>
      <c r="AI641" t="s">
        <v>48</v>
      </c>
      <c r="AJ641" t="s">
        <v>48</v>
      </c>
      <c r="AK641" t="s">
        <v>48</v>
      </c>
      <c r="AL641" t="s">
        <v>48</v>
      </c>
      <c r="AM641" t="s">
        <v>48</v>
      </c>
      <c r="AN641" t="s">
        <v>48</v>
      </c>
      <c r="AO641" t="s">
        <v>48</v>
      </c>
      <c r="AP641" s="46">
        <v>0</v>
      </c>
      <c r="AQ641" s="46">
        <v>0</v>
      </c>
      <c r="AR641" s="46">
        <v>0</v>
      </c>
      <c r="AS641" s="46">
        <v>0</v>
      </c>
      <c r="AT641" s="46">
        <v>0</v>
      </c>
      <c r="AU641" s="46">
        <v>0</v>
      </c>
      <c r="AV641" s="46">
        <v>0</v>
      </c>
      <c r="AW641" s="46">
        <v>0</v>
      </c>
      <c r="AX641" s="46">
        <v>0</v>
      </c>
      <c r="AY641" s="46">
        <v>0</v>
      </c>
      <c r="AZ641" s="46">
        <v>0</v>
      </c>
      <c r="BA641" s="46">
        <v>0</v>
      </c>
      <c r="BB641" s="46">
        <v>0</v>
      </c>
      <c r="BC641" s="46">
        <v>0</v>
      </c>
      <c r="BD641" s="46">
        <v>0</v>
      </c>
      <c r="BE641" s="46">
        <v>0</v>
      </c>
      <c r="BF641" s="46">
        <v>0</v>
      </c>
      <c r="BG641" s="46" t="s">
        <v>48</v>
      </c>
      <c r="BH641" s="46">
        <v>0</v>
      </c>
      <c r="BI641" s="46">
        <v>0</v>
      </c>
      <c r="BJ641" s="46">
        <v>0</v>
      </c>
      <c r="BK641" s="46">
        <v>0</v>
      </c>
      <c r="BL641" s="46">
        <v>0</v>
      </c>
      <c r="BM641" s="46">
        <v>0</v>
      </c>
      <c r="BN641" s="46">
        <v>0</v>
      </c>
    </row>
    <row r="642" spans="1:66" x14ac:dyDescent="0.35">
      <c r="A642" t="s">
        <v>2791</v>
      </c>
      <c r="B642" t="s">
        <v>48</v>
      </c>
      <c r="C642" t="s">
        <v>250</v>
      </c>
      <c r="D642" t="s">
        <v>1915</v>
      </c>
      <c r="E642" t="s">
        <v>2792</v>
      </c>
      <c r="F642" t="s">
        <v>2788</v>
      </c>
      <c r="G642" t="s">
        <v>74</v>
      </c>
      <c r="H642">
        <v>0</v>
      </c>
      <c r="I642" s="60" t="s">
        <v>51</v>
      </c>
      <c r="J642" s="33" t="s">
        <v>45</v>
      </c>
      <c r="K642" s="46">
        <v>1</v>
      </c>
      <c r="L642">
        <v>100</v>
      </c>
      <c r="M642" t="s">
        <v>48</v>
      </c>
      <c r="N642" s="46">
        <v>1</v>
      </c>
      <c r="O642" s="46">
        <v>0</v>
      </c>
      <c r="P642" s="46">
        <v>0</v>
      </c>
      <c r="Q642" t="s">
        <v>48</v>
      </c>
      <c r="R642" t="s">
        <v>48</v>
      </c>
      <c r="S642" t="s">
        <v>2793</v>
      </c>
      <c r="T642" t="s">
        <v>2794</v>
      </c>
      <c r="U642" t="s">
        <v>2793</v>
      </c>
      <c r="V642" s="47">
        <v>0</v>
      </c>
      <c r="W642" t="s">
        <v>48</v>
      </c>
      <c r="X642" t="s">
        <v>48</v>
      </c>
      <c r="Y642" t="s">
        <v>48</v>
      </c>
      <c r="Z642">
        <v>0</v>
      </c>
      <c r="AA642" t="s">
        <v>48</v>
      </c>
      <c r="AB642" t="s">
        <v>2795</v>
      </c>
      <c r="AC642" t="s">
        <v>49</v>
      </c>
      <c r="AD642" t="s">
        <v>93</v>
      </c>
      <c r="AE642" t="s">
        <v>4532</v>
      </c>
      <c r="AF642" t="s">
        <v>48</v>
      </c>
      <c r="AG642" t="s">
        <v>876</v>
      </c>
      <c r="AH642" t="s">
        <v>93</v>
      </c>
      <c r="AI642">
        <v>20749</v>
      </c>
      <c r="AJ642">
        <v>1955</v>
      </c>
      <c r="AK642" t="s">
        <v>8898</v>
      </c>
      <c r="AL642" t="s">
        <v>8899</v>
      </c>
      <c r="AM642">
        <v>-0.23</v>
      </c>
      <c r="AN642">
        <v>-0.22</v>
      </c>
      <c r="AO642">
        <v>-0.23</v>
      </c>
      <c r="AP642" s="46">
        <v>0</v>
      </c>
      <c r="AQ642" s="46">
        <v>0</v>
      </c>
      <c r="AR642" s="46">
        <v>0</v>
      </c>
      <c r="AS642" s="46">
        <v>0</v>
      </c>
      <c r="AT642" s="46">
        <v>0</v>
      </c>
      <c r="AU642" s="46">
        <v>1</v>
      </c>
      <c r="AV642" s="46">
        <v>0</v>
      </c>
      <c r="AW642" s="46">
        <v>0</v>
      </c>
      <c r="AX642" s="46">
        <v>0</v>
      </c>
      <c r="AY642" s="46">
        <v>0</v>
      </c>
      <c r="AZ642" s="46">
        <v>0</v>
      </c>
      <c r="BA642" s="46">
        <v>0</v>
      </c>
      <c r="BB642" s="46">
        <v>0</v>
      </c>
      <c r="BC642" s="46">
        <v>0</v>
      </c>
      <c r="BD642" s="46">
        <v>0</v>
      </c>
      <c r="BE642" s="46">
        <v>0</v>
      </c>
      <c r="BF642" s="46">
        <v>0</v>
      </c>
      <c r="BG642" s="46" t="s">
        <v>48</v>
      </c>
      <c r="BH642" s="46">
        <v>0</v>
      </c>
      <c r="BI642" s="46">
        <v>0</v>
      </c>
      <c r="BJ642" s="46">
        <v>0</v>
      </c>
      <c r="BK642" s="46">
        <v>0</v>
      </c>
      <c r="BL642" s="46">
        <v>1</v>
      </c>
      <c r="BM642" s="46">
        <v>0</v>
      </c>
      <c r="BN642" s="46">
        <v>0</v>
      </c>
    </row>
    <row r="643" spans="1:66" x14ac:dyDescent="0.35">
      <c r="A643" t="s">
        <v>2859</v>
      </c>
      <c r="B643" s="44" t="s">
        <v>48</v>
      </c>
      <c r="C643" t="s">
        <v>2862</v>
      </c>
      <c r="D643" t="s">
        <v>2861</v>
      </c>
      <c r="E643" t="s">
        <v>9511</v>
      </c>
      <c r="F643" t="s">
        <v>2788</v>
      </c>
      <c r="G643" t="s">
        <v>47</v>
      </c>
      <c r="H643">
        <v>0</v>
      </c>
      <c r="I643" s="61">
        <v>44748</v>
      </c>
      <c r="J643" s="33" t="s">
        <v>45</v>
      </c>
      <c r="K643" s="46">
        <v>0</v>
      </c>
      <c r="L643">
        <v>31</v>
      </c>
      <c r="M643" t="s">
        <v>48</v>
      </c>
      <c r="N643" s="46">
        <v>1</v>
      </c>
      <c r="O643" s="46">
        <v>0</v>
      </c>
      <c r="P643" s="46">
        <v>0</v>
      </c>
      <c r="Q643" t="s">
        <v>48</v>
      </c>
      <c r="R643" t="s">
        <v>48</v>
      </c>
      <c r="S643" t="s">
        <v>2860</v>
      </c>
      <c r="T643" t="s">
        <v>48</v>
      </c>
      <c r="U643" t="s">
        <v>2860</v>
      </c>
      <c r="V643" s="47">
        <v>0</v>
      </c>
      <c r="W643" t="s">
        <v>48</v>
      </c>
      <c r="X643" t="s">
        <v>48</v>
      </c>
      <c r="Y643" t="s">
        <v>48</v>
      </c>
      <c r="Z643">
        <v>0</v>
      </c>
      <c r="AA643" t="s">
        <v>48</v>
      </c>
      <c r="AB643" t="s">
        <v>48</v>
      </c>
      <c r="AC643" t="s">
        <v>63</v>
      </c>
      <c r="AD643" t="s">
        <v>951</v>
      </c>
      <c r="AE643" t="s">
        <v>11051</v>
      </c>
      <c r="AF643" t="s">
        <v>48</v>
      </c>
      <c r="AG643" t="s">
        <v>48</v>
      </c>
      <c r="AH643" t="s">
        <v>48</v>
      </c>
      <c r="AI643" t="s">
        <v>48</v>
      </c>
      <c r="AJ643" t="s">
        <v>48</v>
      </c>
      <c r="AK643" t="s">
        <v>48</v>
      </c>
      <c r="AL643" t="s">
        <v>48</v>
      </c>
      <c r="AM643" t="s">
        <v>48</v>
      </c>
      <c r="AN643" t="s">
        <v>48</v>
      </c>
      <c r="AO643" t="s">
        <v>48</v>
      </c>
      <c r="AP643" s="46">
        <v>0</v>
      </c>
      <c r="AQ643" s="46">
        <v>0</v>
      </c>
      <c r="AR643" s="46">
        <v>0</v>
      </c>
      <c r="AS643" s="46">
        <v>0</v>
      </c>
      <c r="AT643" s="46">
        <v>0</v>
      </c>
      <c r="AU643" s="46">
        <v>0</v>
      </c>
      <c r="AV643" s="46">
        <v>0</v>
      </c>
      <c r="AW643" s="46">
        <v>0</v>
      </c>
      <c r="AX643" s="46">
        <v>0</v>
      </c>
      <c r="AY643" s="46">
        <v>0</v>
      </c>
      <c r="AZ643" s="46">
        <v>0</v>
      </c>
      <c r="BA643" s="46">
        <v>0</v>
      </c>
      <c r="BB643" s="46">
        <v>0</v>
      </c>
      <c r="BC643" s="46">
        <v>0</v>
      </c>
      <c r="BD643" s="46">
        <v>0</v>
      </c>
      <c r="BE643" s="46">
        <v>0</v>
      </c>
      <c r="BF643" s="46">
        <v>0</v>
      </c>
      <c r="BG643" s="46">
        <v>1</v>
      </c>
      <c r="BH643" s="46">
        <v>0</v>
      </c>
      <c r="BI643" s="46">
        <v>0</v>
      </c>
      <c r="BJ643" s="46">
        <v>0</v>
      </c>
      <c r="BK643" s="46">
        <v>0</v>
      </c>
      <c r="BL643" s="46">
        <v>0</v>
      </c>
      <c r="BM643" s="46">
        <v>0</v>
      </c>
      <c r="BN643" s="46">
        <v>0</v>
      </c>
    </row>
    <row r="644" spans="1:66" x14ac:dyDescent="0.35">
      <c r="A644" t="s">
        <v>9516</v>
      </c>
      <c r="B644" s="44" t="s">
        <v>48</v>
      </c>
      <c r="C644" t="s">
        <v>11923</v>
      </c>
      <c r="D644" t="s">
        <v>11924</v>
      </c>
      <c r="E644" t="s">
        <v>9517</v>
      </c>
      <c r="F644" t="s">
        <v>2805</v>
      </c>
      <c r="G644" t="s">
        <v>74</v>
      </c>
      <c r="H644">
        <v>0</v>
      </c>
      <c r="I644" s="61">
        <v>44748</v>
      </c>
      <c r="J644" s="33" t="s">
        <v>45</v>
      </c>
      <c r="K644" s="46">
        <v>0</v>
      </c>
      <c r="L644">
        <v>56.8</v>
      </c>
      <c r="M644" t="s">
        <v>48</v>
      </c>
      <c r="N644" s="46">
        <v>1</v>
      </c>
      <c r="O644" s="46">
        <v>0</v>
      </c>
      <c r="P644" s="46">
        <v>0</v>
      </c>
      <c r="Q644" t="s">
        <v>48</v>
      </c>
      <c r="R644" t="s">
        <v>48</v>
      </c>
      <c r="S644" t="s">
        <v>48</v>
      </c>
      <c r="T644" t="s">
        <v>48</v>
      </c>
      <c r="U644" t="s">
        <v>48</v>
      </c>
      <c r="V644" s="47">
        <v>1</v>
      </c>
      <c r="W644" t="s">
        <v>11264</v>
      </c>
      <c r="X644" t="s">
        <v>48</v>
      </c>
      <c r="Y644" t="s">
        <v>48</v>
      </c>
      <c r="Z644" t="s">
        <v>48</v>
      </c>
      <c r="AA644" t="s">
        <v>48</v>
      </c>
      <c r="AB644" t="s">
        <v>48</v>
      </c>
      <c r="AC644" t="s">
        <v>49</v>
      </c>
      <c r="AD644" t="s">
        <v>93</v>
      </c>
      <c r="AE644" t="s">
        <v>4532</v>
      </c>
      <c r="AF644" t="s">
        <v>48</v>
      </c>
      <c r="AG644" t="s">
        <v>48</v>
      </c>
      <c r="AH644" t="s">
        <v>48</v>
      </c>
      <c r="AI644" t="s">
        <v>48</v>
      </c>
      <c r="AJ644" t="s">
        <v>48</v>
      </c>
      <c r="AK644" t="s">
        <v>48</v>
      </c>
      <c r="AL644" t="s">
        <v>48</v>
      </c>
      <c r="AM644" t="s">
        <v>48</v>
      </c>
      <c r="AN644" t="s">
        <v>48</v>
      </c>
      <c r="AO644" t="s">
        <v>48</v>
      </c>
      <c r="AP644" s="46">
        <v>0</v>
      </c>
      <c r="AQ644" s="46">
        <v>0</v>
      </c>
      <c r="AR644" s="46">
        <v>0</v>
      </c>
      <c r="AS644" s="46">
        <v>0</v>
      </c>
      <c r="AT644" s="46">
        <v>0</v>
      </c>
      <c r="AU644" s="46">
        <v>0</v>
      </c>
      <c r="AV644" s="46">
        <v>0</v>
      </c>
      <c r="AW644" s="46">
        <v>0</v>
      </c>
      <c r="AX644" s="46">
        <v>0</v>
      </c>
      <c r="AY644" s="46">
        <v>0</v>
      </c>
      <c r="AZ644" s="46">
        <v>0</v>
      </c>
      <c r="BA644" s="46">
        <v>0</v>
      </c>
      <c r="BB644" s="46">
        <v>0</v>
      </c>
      <c r="BC644" s="46">
        <v>0</v>
      </c>
      <c r="BD644" s="46">
        <v>0</v>
      </c>
      <c r="BE644" s="46">
        <v>0</v>
      </c>
      <c r="BF644" s="46">
        <v>0</v>
      </c>
      <c r="BG644" s="46" t="s">
        <v>48</v>
      </c>
      <c r="BH644" s="46">
        <v>0</v>
      </c>
      <c r="BI644" s="46">
        <v>0</v>
      </c>
      <c r="BJ644" s="46">
        <v>0</v>
      </c>
      <c r="BK644" s="46">
        <v>0</v>
      </c>
      <c r="BL644" s="46">
        <v>0</v>
      </c>
      <c r="BM644" s="46">
        <v>0</v>
      </c>
      <c r="BN644" s="46">
        <v>0</v>
      </c>
    </row>
    <row r="645" spans="1:66" x14ac:dyDescent="0.35">
      <c r="A645" t="s">
        <v>2804</v>
      </c>
      <c r="B645" t="s">
        <v>48</v>
      </c>
      <c r="C645" t="s">
        <v>2809</v>
      </c>
      <c r="D645" t="s">
        <v>288</v>
      </c>
      <c r="E645" t="s">
        <v>2806</v>
      </c>
      <c r="F645" t="s">
        <v>2805</v>
      </c>
      <c r="G645" t="s">
        <v>47</v>
      </c>
      <c r="H645">
        <v>0</v>
      </c>
      <c r="I645" s="60" t="s">
        <v>51</v>
      </c>
      <c r="J645" s="33" t="s">
        <v>45</v>
      </c>
      <c r="K645" s="46">
        <v>1</v>
      </c>
      <c r="L645">
        <v>100</v>
      </c>
      <c r="M645" t="s">
        <v>48</v>
      </c>
      <c r="N645" s="46">
        <v>1</v>
      </c>
      <c r="O645" s="46">
        <v>0</v>
      </c>
      <c r="P645" s="46">
        <v>0</v>
      </c>
      <c r="Q645" t="s">
        <v>48</v>
      </c>
      <c r="R645" t="s">
        <v>48</v>
      </c>
      <c r="S645" t="s">
        <v>2807</v>
      </c>
      <c r="T645" t="s">
        <v>2808</v>
      </c>
      <c r="U645" t="s">
        <v>2807</v>
      </c>
      <c r="V645" s="47">
        <v>0</v>
      </c>
      <c r="W645" t="s">
        <v>48</v>
      </c>
      <c r="X645" t="s">
        <v>48</v>
      </c>
      <c r="Y645" t="s">
        <v>48</v>
      </c>
      <c r="Z645">
        <v>0</v>
      </c>
      <c r="AA645" t="s">
        <v>48</v>
      </c>
      <c r="AB645">
        <v>2014</v>
      </c>
      <c r="AC645" t="s">
        <v>49</v>
      </c>
      <c r="AD645" t="s">
        <v>93</v>
      </c>
      <c r="AE645" t="s">
        <v>4532</v>
      </c>
      <c r="AF645" t="s">
        <v>48</v>
      </c>
      <c r="AG645" t="s">
        <v>184</v>
      </c>
      <c r="AH645" t="s">
        <v>93</v>
      </c>
      <c r="AI645">
        <v>21519</v>
      </c>
      <c r="AJ645">
        <v>1960</v>
      </c>
      <c r="AK645" t="s">
        <v>8900</v>
      </c>
      <c r="AL645" t="s">
        <v>8901</v>
      </c>
      <c r="AM645">
        <v>0.28799999999999998</v>
      </c>
      <c r="AN645">
        <v>0.41699999999999998</v>
      </c>
      <c r="AO645">
        <v>0.28799999999999998</v>
      </c>
      <c r="AP645" s="46">
        <v>0</v>
      </c>
      <c r="AQ645" s="46">
        <v>0</v>
      </c>
      <c r="AR645" s="46">
        <v>0</v>
      </c>
      <c r="AS645" s="46">
        <v>0</v>
      </c>
      <c r="AT645" s="46">
        <v>0</v>
      </c>
      <c r="AU645" s="46">
        <v>0</v>
      </c>
      <c r="AV645" s="46">
        <v>0</v>
      </c>
      <c r="AW645" s="46">
        <v>0</v>
      </c>
      <c r="AX645" s="46">
        <v>0</v>
      </c>
      <c r="AY645" s="46">
        <v>1</v>
      </c>
      <c r="AZ645" s="46">
        <v>1</v>
      </c>
      <c r="BA645" s="46">
        <v>1</v>
      </c>
      <c r="BB645" s="46">
        <v>1</v>
      </c>
      <c r="BC645" s="46">
        <v>0</v>
      </c>
      <c r="BD645" s="46">
        <v>0</v>
      </c>
      <c r="BE645" s="46">
        <v>0</v>
      </c>
      <c r="BF645" s="46">
        <v>0</v>
      </c>
      <c r="BG645" s="46">
        <v>1</v>
      </c>
      <c r="BH645" s="46">
        <v>0</v>
      </c>
      <c r="BI645" s="46">
        <v>0</v>
      </c>
      <c r="BJ645" s="46">
        <v>0</v>
      </c>
      <c r="BK645" s="46">
        <v>0</v>
      </c>
      <c r="BL645" s="46">
        <v>0</v>
      </c>
      <c r="BM645" s="46">
        <v>1</v>
      </c>
      <c r="BN645" s="46">
        <v>0</v>
      </c>
    </row>
    <row r="646" spans="1:66" x14ac:dyDescent="0.35">
      <c r="A646" t="s">
        <v>2811</v>
      </c>
      <c r="B646" s="44" t="s">
        <v>48</v>
      </c>
      <c r="C646" t="s">
        <v>2816</v>
      </c>
      <c r="D646" t="s">
        <v>2815</v>
      </c>
      <c r="E646" t="s">
        <v>2813</v>
      </c>
      <c r="F646" t="s">
        <v>2812</v>
      </c>
      <c r="G646" t="s">
        <v>74</v>
      </c>
      <c r="H646">
        <v>0</v>
      </c>
      <c r="I646" s="60" t="s">
        <v>51</v>
      </c>
      <c r="J646" s="33" t="s">
        <v>45</v>
      </c>
      <c r="K646" s="46">
        <v>0</v>
      </c>
      <c r="L646">
        <v>75.8</v>
      </c>
      <c r="M646" t="s">
        <v>48</v>
      </c>
      <c r="N646" s="46">
        <v>1</v>
      </c>
      <c r="O646" s="46">
        <v>0</v>
      </c>
      <c r="P646" s="46">
        <v>0</v>
      </c>
      <c r="Q646" t="s">
        <v>48</v>
      </c>
      <c r="R646" t="s">
        <v>48</v>
      </c>
      <c r="S646" t="s">
        <v>2814</v>
      </c>
      <c r="T646" t="s">
        <v>48</v>
      </c>
      <c r="U646" t="s">
        <v>2814</v>
      </c>
      <c r="V646" s="47">
        <v>0</v>
      </c>
      <c r="W646" t="s">
        <v>48</v>
      </c>
      <c r="X646" t="s">
        <v>48</v>
      </c>
      <c r="Y646" t="s">
        <v>48</v>
      </c>
      <c r="Z646">
        <v>0</v>
      </c>
      <c r="AA646" t="s">
        <v>48</v>
      </c>
      <c r="AB646" t="s">
        <v>48</v>
      </c>
      <c r="AC646" t="s">
        <v>63</v>
      </c>
      <c r="AD646" t="s">
        <v>93</v>
      </c>
      <c r="AE646" t="s">
        <v>4532</v>
      </c>
      <c r="AF646" t="s">
        <v>48</v>
      </c>
      <c r="AG646" t="s">
        <v>48</v>
      </c>
      <c r="AH646" t="s">
        <v>48</v>
      </c>
      <c r="AI646" t="s">
        <v>48</v>
      </c>
      <c r="AJ646" t="s">
        <v>48</v>
      </c>
      <c r="AK646" t="s">
        <v>48</v>
      </c>
      <c r="AL646" t="s">
        <v>48</v>
      </c>
      <c r="AM646" t="s">
        <v>48</v>
      </c>
      <c r="AN646" t="s">
        <v>48</v>
      </c>
      <c r="AO646" t="s">
        <v>48</v>
      </c>
      <c r="AP646" s="46">
        <v>0</v>
      </c>
      <c r="AQ646" s="46">
        <v>0</v>
      </c>
      <c r="AR646" s="46">
        <v>0</v>
      </c>
      <c r="AS646" s="46">
        <v>0</v>
      </c>
      <c r="AT646" s="46">
        <v>0</v>
      </c>
      <c r="AU646" s="46">
        <v>0</v>
      </c>
      <c r="AV646" s="46">
        <v>0</v>
      </c>
      <c r="AW646" s="46">
        <v>0</v>
      </c>
      <c r="AX646" s="46">
        <v>0</v>
      </c>
      <c r="AY646" s="46">
        <v>0</v>
      </c>
      <c r="AZ646" s="46">
        <v>0</v>
      </c>
      <c r="BA646" s="46">
        <v>0</v>
      </c>
      <c r="BB646" s="46">
        <v>0</v>
      </c>
      <c r="BC646" s="46">
        <v>0</v>
      </c>
      <c r="BD646" s="46">
        <v>0</v>
      </c>
      <c r="BE646" s="46">
        <v>0</v>
      </c>
      <c r="BF646" s="46">
        <v>0</v>
      </c>
      <c r="BG646" s="46" t="s">
        <v>48</v>
      </c>
      <c r="BH646" s="46">
        <v>0</v>
      </c>
      <c r="BI646" s="46">
        <v>0</v>
      </c>
      <c r="BJ646" s="46">
        <v>0</v>
      </c>
      <c r="BK646" s="46">
        <v>0</v>
      </c>
      <c r="BL646" s="46">
        <v>0</v>
      </c>
      <c r="BM646" s="46">
        <v>0</v>
      </c>
      <c r="BN646" s="46">
        <v>0</v>
      </c>
    </row>
    <row r="647" spans="1:66" x14ac:dyDescent="0.35">
      <c r="A647" t="s">
        <v>2820</v>
      </c>
      <c r="B647" s="44" t="s">
        <v>48</v>
      </c>
      <c r="C647" t="s">
        <v>2824</v>
      </c>
      <c r="D647" t="s">
        <v>2823</v>
      </c>
      <c r="E647" t="s">
        <v>2821</v>
      </c>
      <c r="F647" t="s">
        <v>2812</v>
      </c>
      <c r="G647" t="s">
        <v>47</v>
      </c>
      <c r="H647">
        <v>0</v>
      </c>
      <c r="I647" s="60" t="s">
        <v>125</v>
      </c>
      <c r="J647" s="33" t="s">
        <v>45</v>
      </c>
      <c r="K647" s="46">
        <v>0</v>
      </c>
      <c r="L647">
        <v>34.700000000000003</v>
      </c>
      <c r="M647" t="s">
        <v>48</v>
      </c>
      <c r="N647" s="46">
        <v>1</v>
      </c>
      <c r="O647" s="46">
        <v>0</v>
      </c>
      <c r="P647" s="46">
        <v>0</v>
      </c>
      <c r="Q647" t="s">
        <v>48</v>
      </c>
      <c r="R647" t="s">
        <v>48</v>
      </c>
      <c r="S647" t="s">
        <v>2822</v>
      </c>
      <c r="T647" t="s">
        <v>48</v>
      </c>
      <c r="U647" t="s">
        <v>2822</v>
      </c>
      <c r="V647" s="47">
        <v>1</v>
      </c>
      <c r="W647" t="s">
        <v>48</v>
      </c>
      <c r="X647" t="s">
        <v>48</v>
      </c>
      <c r="Y647" t="s">
        <v>48</v>
      </c>
      <c r="Z647">
        <v>0</v>
      </c>
      <c r="AA647" t="s">
        <v>48</v>
      </c>
      <c r="AB647" t="s">
        <v>48</v>
      </c>
      <c r="AC647" t="s">
        <v>63</v>
      </c>
      <c r="AD647" t="s">
        <v>93</v>
      </c>
      <c r="AE647" t="s">
        <v>4532</v>
      </c>
      <c r="AF647" t="s">
        <v>48</v>
      </c>
      <c r="AG647" t="s">
        <v>48</v>
      </c>
      <c r="AH647" t="s">
        <v>48</v>
      </c>
      <c r="AI647" t="s">
        <v>48</v>
      </c>
      <c r="AJ647" t="s">
        <v>48</v>
      </c>
      <c r="AK647" t="s">
        <v>48</v>
      </c>
      <c r="AL647" t="s">
        <v>48</v>
      </c>
      <c r="AM647" t="s">
        <v>48</v>
      </c>
      <c r="AN647" t="s">
        <v>48</v>
      </c>
      <c r="AO647" t="s">
        <v>48</v>
      </c>
      <c r="AP647" s="46">
        <v>0</v>
      </c>
      <c r="AQ647" s="46">
        <v>0</v>
      </c>
      <c r="AR647" s="46">
        <v>0</v>
      </c>
      <c r="AS647" s="46">
        <v>0</v>
      </c>
      <c r="AT647" s="46">
        <v>0</v>
      </c>
      <c r="AU647" s="46">
        <v>0</v>
      </c>
      <c r="AV647" s="46">
        <v>0</v>
      </c>
      <c r="AW647" s="46">
        <v>0</v>
      </c>
      <c r="AX647" s="46">
        <v>0</v>
      </c>
      <c r="AY647" s="46">
        <v>0</v>
      </c>
      <c r="AZ647" s="46">
        <v>0</v>
      </c>
      <c r="BA647" s="46">
        <v>0</v>
      </c>
      <c r="BB647" s="46">
        <v>0</v>
      </c>
      <c r="BC647" s="46">
        <v>0</v>
      </c>
      <c r="BD647" s="46">
        <v>0</v>
      </c>
      <c r="BE647" s="46">
        <v>0</v>
      </c>
      <c r="BF647" s="46">
        <v>0</v>
      </c>
      <c r="BG647" s="46">
        <v>1</v>
      </c>
      <c r="BH647" s="46">
        <v>0</v>
      </c>
      <c r="BI647" s="46">
        <v>0</v>
      </c>
      <c r="BJ647" s="46">
        <v>0</v>
      </c>
      <c r="BK647" s="46">
        <v>0</v>
      </c>
      <c r="BL647" s="46">
        <v>0</v>
      </c>
      <c r="BM647" s="46">
        <v>0</v>
      </c>
      <c r="BN647" s="46">
        <v>0</v>
      </c>
    </row>
    <row r="648" spans="1:66" x14ac:dyDescent="0.35">
      <c r="A648" t="s">
        <v>2848</v>
      </c>
      <c r="B648" s="44" t="s">
        <v>48</v>
      </c>
      <c r="C648" t="s">
        <v>2852</v>
      </c>
      <c r="D648" t="s">
        <v>566</v>
      </c>
      <c r="E648" t="s">
        <v>2849</v>
      </c>
      <c r="F648" t="s">
        <v>2837</v>
      </c>
      <c r="G648" t="s">
        <v>74</v>
      </c>
      <c r="H648">
        <v>0</v>
      </c>
      <c r="I648" s="60" t="s">
        <v>51</v>
      </c>
      <c r="J648" s="33" t="s">
        <v>45</v>
      </c>
      <c r="K648" s="46">
        <v>1</v>
      </c>
      <c r="L648">
        <v>100</v>
      </c>
      <c r="M648" t="s">
        <v>48</v>
      </c>
      <c r="N648" s="46">
        <v>1</v>
      </c>
      <c r="O648" s="46">
        <v>0</v>
      </c>
      <c r="P648" s="46">
        <v>0</v>
      </c>
      <c r="Q648" t="s">
        <v>48</v>
      </c>
      <c r="R648" t="s">
        <v>48</v>
      </c>
      <c r="S648" t="s">
        <v>2850</v>
      </c>
      <c r="T648" t="s">
        <v>2851</v>
      </c>
      <c r="U648" t="s">
        <v>2850</v>
      </c>
      <c r="V648" s="47">
        <v>0</v>
      </c>
      <c r="W648" t="s">
        <v>48</v>
      </c>
      <c r="X648" t="s">
        <v>48</v>
      </c>
      <c r="Y648" t="s">
        <v>48</v>
      </c>
      <c r="Z648">
        <v>0</v>
      </c>
      <c r="AA648" t="s">
        <v>48</v>
      </c>
      <c r="AB648">
        <v>2018</v>
      </c>
      <c r="AC648" t="s">
        <v>63</v>
      </c>
      <c r="AD648" t="s">
        <v>93</v>
      </c>
      <c r="AE648" s="40" t="s">
        <v>2471</v>
      </c>
      <c r="AF648" t="s">
        <v>11061</v>
      </c>
      <c r="AG648" t="s">
        <v>112</v>
      </c>
      <c r="AH648" t="s">
        <v>93</v>
      </c>
      <c r="AI648">
        <v>21979</v>
      </c>
      <c r="AJ648">
        <v>1986</v>
      </c>
      <c r="AK648" t="s">
        <v>8904</v>
      </c>
      <c r="AL648" t="s">
        <v>8905</v>
      </c>
      <c r="AM648">
        <v>-0.52500000000000002</v>
      </c>
      <c r="AN648">
        <v>0.59799999999999998</v>
      </c>
      <c r="AO648">
        <v>-0.52500000000000002</v>
      </c>
      <c r="AP648" s="46">
        <v>0</v>
      </c>
      <c r="AQ648" s="46">
        <v>0</v>
      </c>
      <c r="AR648" s="46">
        <v>0</v>
      </c>
      <c r="AS648" s="46">
        <v>0</v>
      </c>
      <c r="AT648" s="46">
        <v>0</v>
      </c>
      <c r="AU648" s="46">
        <v>0</v>
      </c>
      <c r="AV648" s="46">
        <v>0</v>
      </c>
      <c r="AW648" s="46">
        <v>0</v>
      </c>
      <c r="AX648" s="46">
        <v>0</v>
      </c>
      <c r="AY648" s="46">
        <v>0</v>
      </c>
      <c r="AZ648" s="46">
        <v>0</v>
      </c>
      <c r="BA648" s="46">
        <v>0</v>
      </c>
      <c r="BB648" s="46">
        <v>0</v>
      </c>
      <c r="BC648" s="46">
        <v>0</v>
      </c>
      <c r="BD648" s="46">
        <v>0</v>
      </c>
      <c r="BE648" s="46">
        <v>0</v>
      </c>
      <c r="BF648" s="46">
        <v>0</v>
      </c>
      <c r="BG648" s="46" t="s">
        <v>48</v>
      </c>
      <c r="BH648" s="46">
        <v>0</v>
      </c>
      <c r="BI648" s="46">
        <v>0</v>
      </c>
      <c r="BJ648" s="46">
        <v>0</v>
      </c>
      <c r="BK648" s="46">
        <v>1</v>
      </c>
      <c r="BL648" s="46">
        <v>0</v>
      </c>
      <c r="BM648" s="46">
        <v>0</v>
      </c>
      <c r="BN648" s="46">
        <v>0</v>
      </c>
    </row>
    <row r="649" spans="1:66" x14ac:dyDescent="0.35">
      <c r="A649" t="s">
        <v>2836</v>
      </c>
      <c r="B649" s="44" t="s">
        <v>48</v>
      </c>
      <c r="C649" t="s">
        <v>2839</v>
      </c>
      <c r="D649" t="s">
        <v>885</v>
      </c>
      <c r="E649" t="s">
        <v>2838</v>
      </c>
      <c r="F649" t="s">
        <v>2837</v>
      </c>
      <c r="G649" t="s">
        <v>47</v>
      </c>
      <c r="H649">
        <v>0</v>
      </c>
      <c r="I649" s="60" t="s">
        <v>125</v>
      </c>
      <c r="J649" s="33" t="s">
        <v>45</v>
      </c>
      <c r="K649" s="46">
        <v>0</v>
      </c>
      <c r="L649">
        <v>30.9</v>
      </c>
      <c r="M649" t="s">
        <v>48</v>
      </c>
      <c r="N649" s="46">
        <v>1</v>
      </c>
      <c r="O649" s="46">
        <v>0</v>
      </c>
      <c r="P649" s="46">
        <v>0</v>
      </c>
      <c r="Q649" t="s">
        <v>48</v>
      </c>
      <c r="R649" t="s">
        <v>48</v>
      </c>
      <c r="S649" t="s">
        <v>10104</v>
      </c>
      <c r="T649" t="s">
        <v>48</v>
      </c>
      <c r="U649" t="s">
        <v>10104</v>
      </c>
      <c r="V649" s="47">
        <v>1</v>
      </c>
      <c r="W649" t="s">
        <v>48</v>
      </c>
      <c r="X649" t="s">
        <v>48</v>
      </c>
      <c r="Y649" t="s">
        <v>48</v>
      </c>
      <c r="Z649">
        <v>0</v>
      </c>
      <c r="AA649" t="s">
        <v>48</v>
      </c>
      <c r="AB649" t="s">
        <v>48</v>
      </c>
      <c r="AC649" t="s">
        <v>49</v>
      </c>
      <c r="AD649" t="s">
        <v>93</v>
      </c>
      <c r="AE649" t="s">
        <v>4532</v>
      </c>
      <c r="AF649" t="s">
        <v>48</v>
      </c>
      <c r="AG649" t="s">
        <v>48</v>
      </c>
      <c r="AH649" t="s">
        <v>48</v>
      </c>
      <c r="AI649" t="s">
        <v>48</v>
      </c>
      <c r="AJ649" t="s">
        <v>48</v>
      </c>
      <c r="AK649" t="s">
        <v>48</v>
      </c>
      <c r="AL649" t="s">
        <v>48</v>
      </c>
      <c r="AM649" t="s">
        <v>48</v>
      </c>
      <c r="AN649" t="s">
        <v>48</v>
      </c>
      <c r="AO649" t="s">
        <v>48</v>
      </c>
      <c r="AP649" s="46">
        <v>0</v>
      </c>
      <c r="AQ649" s="46">
        <v>0</v>
      </c>
      <c r="AR649" s="46">
        <v>0</v>
      </c>
      <c r="AS649" s="46">
        <v>0</v>
      </c>
      <c r="AT649" s="46">
        <v>0</v>
      </c>
      <c r="AU649" s="46">
        <v>0</v>
      </c>
      <c r="AV649" s="46">
        <v>0</v>
      </c>
      <c r="AW649" s="46">
        <v>0</v>
      </c>
      <c r="AX649" s="46">
        <v>0</v>
      </c>
      <c r="AY649" s="46">
        <v>0</v>
      </c>
      <c r="AZ649" s="46">
        <v>0</v>
      </c>
      <c r="BA649" s="46">
        <v>0</v>
      </c>
      <c r="BB649" s="46">
        <v>0</v>
      </c>
      <c r="BC649" s="46">
        <v>0</v>
      </c>
      <c r="BD649" s="46">
        <v>0</v>
      </c>
      <c r="BE649" s="46">
        <v>0</v>
      </c>
      <c r="BF649" s="46">
        <v>0</v>
      </c>
      <c r="BG649" s="46" t="s">
        <v>48</v>
      </c>
      <c r="BH649" s="46">
        <v>0</v>
      </c>
      <c r="BI649" s="46">
        <v>0</v>
      </c>
      <c r="BJ649" s="46">
        <v>0</v>
      </c>
      <c r="BK649" s="46">
        <v>0</v>
      </c>
      <c r="BL649" s="46">
        <v>0</v>
      </c>
      <c r="BM649" s="46">
        <v>0</v>
      </c>
      <c r="BN649" s="46">
        <v>0</v>
      </c>
    </row>
    <row r="650" spans="1:66" x14ac:dyDescent="0.35">
      <c r="A650" t="s">
        <v>2853</v>
      </c>
      <c r="B650" s="44" t="s">
        <v>48</v>
      </c>
      <c r="C650" t="s">
        <v>2185</v>
      </c>
      <c r="D650" t="s">
        <v>311</v>
      </c>
      <c r="E650" t="s">
        <v>2855</v>
      </c>
      <c r="F650" t="s">
        <v>2854</v>
      </c>
      <c r="G650" t="s">
        <v>47</v>
      </c>
      <c r="H650">
        <v>0</v>
      </c>
      <c r="I650" s="60" t="s">
        <v>51</v>
      </c>
      <c r="J650" s="33" t="s">
        <v>45</v>
      </c>
      <c r="K650" s="46">
        <v>1</v>
      </c>
      <c r="L650">
        <v>57.6</v>
      </c>
      <c r="M650" t="s">
        <v>48</v>
      </c>
      <c r="N650" s="46">
        <v>1</v>
      </c>
      <c r="O650" s="46">
        <v>0</v>
      </c>
      <c r="P650" s="46">
        <v>0</v>
      </c>
      <c r="Q650" t="s">
        <v>48</v>
      </c>
      <c r="R650" t="s">
        <v>48</v>
      </c>
      <c r="S650" t="s">
        <v>2856</v>
      </c>
      <c r="T650" t="s">
        <v>2857</v>
      </c>
      <c r="U650" t="s">
        <v>2856</v>
      </c>
      <c r="V650" s="47">
        <v>0</v>
      </c>
      <c r="W650" t="s">
        <v>48</v>
      </c>
      <c r="X650" t="s">
        <v>48</v>
      </c>
      <c r="Y650" t="s">
        <v>48</v>
      </c>
      <c r="Z650">
        <v>1</v>
      </c>
      <c r="AA650" t="s">
        <v>48</v>
      </c>
      <c r="AB650">
        <v>2020</v>
      </c>
      <c r="AC650" t="s">
        <v>63</v>
      </c>
      <c r="AD650" t="s">
        <v>93</v>
      </c>
      <c r="AE650" t="s">
        <v>4532</v>
      </c>
      <c r="AF650" t="s">
        <v>48</v>
      </c>
      <c r="AG650" t="s">
        <v>48</v>
      </c>
      <c r="AH650" t="s">
        <v>48</v>
      </c>
      <c r="AI650">
        <v>22138</v>
      </c>
      <c r="AJ650">
        <v>1959</v>
      </c>
      <c r="AK650" t="s">
        <v>8906</v>
      </c>
      <c r="AL650" t="s">
        <v>8907</v>
      </c>
      <c r="AM650">
        <v>0.79500000000000004</v>
      </c>
      <c r="AN650">
        <v>-0.254</v>
      </c>
      <c r="AO650">
        <v>0.79500000000000004</v>
      </c>
      <c r="AP650" s="46">
        <v>0</v>
      </c>
      <c r="AQ650" s="46">
        <v>0</v>
      </c>
      <c r="AR650" s="46">
        <v>0</v>
      </c>
      <c r="AS650" s="46">
        <v>0</v>
      </c>
      <c r="AT650" s="46">
        <v>0</v>
      </c>
      <c r="AU650" s="46">
        <v>0</v>
      </c>
      <c r="AV650" s="46">
        <v>0</v>
      </c>
      <c r="AW650" s="46">
        <v>0</v>
      </c>
      <c r="AX650" s="46">
        <v>0</v>
      </c>
      <c r="AY650" s="46">
        <v>0</v>
      </c>
      <c r="AZ650" s="46">
        <v>0</v>
      </c>
      <c r="BA650" s="46">
        <v>0</v>
      </c>
      <c r="BB650" s="46">
        <v>1</v>
      </c>
      <c r="BC650" s="46">
        <v>0</v>
      </c>
      <c r="BD650" s="46">
        <v>1</v>
      </c>
      <c r="BE650" s="46">
        <v>1</v>
      </c>
      <c r="BF650" s="46">
        <v>1</v>
      </c>
      <c r="BG650" s="46">
        <v>1</v>
      </c>
      <c r="BH650" s="46">
        <v>0</v>
      </c>
      <c r="BI650" s="46">
        <v>0</v>
      </c>
      <c r="BJ650" s="46">
        <v>0</v>
      </c>
      <c r="BK650" s="46">
        <v>0</v>
      </c>
      <c r="BL650" s="46">
        <v>0</v>
      </c>
      <c r="BM650" s="46">
        <v>0</v>
      </c>
      <c r="BN650" s="46">
        <v>1</v>
      </c>
    </row>
    <row r="651" spans="1:66" x14ac:dyDescent="0.35">
      <c r="A651" t="s">
        <v>9525</v>
      </c>
      <c r="B651" s="44" t="s">
        <v>48</v>
      </c>
      <c r="C651" t="s">
        <v>11927</v>
      </c>
      <c r="D651" t="s">
        <v>437</v>
      </c>
      <c r="E651" t="s">
        <v>9526</v>
      </c>
      <c r="F651" t="s">
        <v>2854</v>
      </c>
      <c r="G651" t="s">
        <v>74</v>
      </c>
      <c r="H651">
        <v>0</v>
      </c>
      <c r="I651" s="61">
        <v>44748</v>
      </c>
      <c r="J651" s="33" t="s">
        <v>45</v>
      </c>
      <c r="K651" s="46">
        <v>0</v>
      </c>
      <c r="L651">
        <v>100</v>
      </c>
      <c r="M651" t="s">
        <v>48</v>
      </c>
      <c r="N651" s="46">
        <v>1</v>
      </c>
      <c r="O651" s="46">
        <v>0</v>
      </c>
      <c r="P651" s="46">
        <v>0</v>
      </c>
      <c r="Q651" t="s">
        <v>48</v>
      </c>
      <c r="R651" t="s">
        <v>48</v>
      </c>
      <c r="S651" t="s">
        <v>48</v>
      </c>
      <c r="T651" t="s">
        <v>48</v>
      </c>
      <c r="U651" t="s">
        <v>48</v>
      </c>
      <c r="V651" s="47">
        <v>1</v>
      </c>
      <c r="W651" t="s">
        <v>11264</v>
      </c>
      <c r="X651" t="s">
        <v>48</v>
      </c>
      <c r="Y651" t="s">
        <v>48</v>
      </c>
      <c r="Z651" t="s">
        <v>48</v>
      </c>
      <c r="AA651" t="s">
        <v>48</v>
      </c>
      <c r="AB651" t="s">
        <v>48</v>
      </c>
      <c r="AC651" t="s">
        <v>49</v>
      </c>
      <c r="AD651" t="s">
        <v>93</v>
      </c>
      <c r="AE651" t="s">
        <v>4532</v>
      </c>
      <c r="AF651" t="s">
        <v>48</v>
      </c>
      <c r="AG651" t="s">
        <v>48</v>
      </c>
      <c r="AH651" t="s">
        <v>48</v>
      </c>
      <c r="AI651" t="s">
        <v>48</v>
      </c>
      <c r="AJ651" t="s">
        <v>48</v>
      </c>
      <c r="AK651" t="s">
        <v>48</v>
      </c>
      <c r="AL651" t="s">
        <v>48</v>
      </c>
      <c r="AM651" t="s">
        <v>48</v>
      </c>
      <c r="AN651" t="s">
        <v>48</v>
      </c>
      <c r="AO651" t="s">
        <v>48</v>
      </c>
      <c r="AP651" s="46">
        <v>0</v>
      </c>
      <c r="AQ651" s="46">
        <v>0</v>
      </c>
      <c r="AR651" s="46">
        <v>0</v>
      </c>
      <c r="AS651" s="46">
        <v>0</v>
      </c>
      <c r="AT651" s="46">
        <v>0</v>
      </c>
      <c r="AU651" s="46">
        <v>0</v>
      </c>
      <c r="AV651" s="46">
        <v>0</v>
      </c>
      <c r="AW651" s="46">
        <v>0</v>
      </c>
      <c r="AX651" s="46">
        <v>0</v>
      </c>
      <c r="AY651" s="46">
        <v>0</v>
      </c>
      <c r="AZ651" s="46">
        <v>0</v>
      </c>
      <c r="BA651" s="46">
        <v>0</v>
      </c>
      <c r="BB651" s="46">
        <v>0</v>
      </c>
      <c r="BC651" s="46">
        <v>0</v>
      </c>
      <c r="BD651" s="46">
        <v>0</v>
      </c>
      <c r="BE651" s="46">
        <v>0</v>
      </c>
      <c r="BF651" s="46">
        <v>0</v>
      </c>
      <c r="BG651" s="46" t="s">
        <v>48</v>
      </c>
      <c r="BH651" s="46">
        <v>0</v>
      </c>
      <c r="BI651" s="46">
        <v>0</v>
      </c>
      <c r="BJ651" s="46">
        <v>0</v>
      </c>
      <c r="BK651" s="46">
        <v>0</v>
      </c>
      <c r="BL651" s="46">
        <v>0</v>
      </c>
      <c r="BM651" s="46">
        <v>0</v>
      </c>
      <c r="BN651" s="46">
        <v>0</v>
      </c>
    </row>
    <row r="652" spans="1:66" x14ac:dyDescent="0.35">
      <c r="A652" t="s">
        <v>2906</v>
      </c>
      <c r="B652" s="44" t="s">
        <v>48</v>
      </c>
      <c r="C652" t="s">
        <v>2911</v>
      </c>
      <c r="D652" t="s">
        <v>2910</v>
      </c>
      <c r="E652" t="s">
        <v>9528</v>
      </c>
      <c r="F652" t="s">
        <v>2858</v>
      </c>
      <c r="G652" t="s">
        <v>47</v>
      </c>
      <c r="H652">
        <v>0</v>
      </c>
      <c r="I652" s="61" t="s">
        <v>11160</v>
      </c>
      <c r="J652" s="33" t="s">
        <v>45</v>
      </c>
      <c r="K652" s="46">
        <v>1</v>
      </c>
      <c r="L652">
        <v>66.3</v>
      </c>
      <c r="M652" t="s">
        <v>48</v>
      </c>
      <c r="N652" s="46">
        <v>1</v>
      </c>
      <c r="O652" s="46">
        <v>0</v>
      </c>
      <c r="P652" s="46">
        <v>0</v>
      </c>
      <c r="Q652" t="s">
        <v>48</v>
      </c>
      <c r="R652" t="s">
        <v>48</v>
      </c>
      <c r="S652" t="s">
        <v>11335</v>
      </c>
      <c r="T652" t="s">
        <v>2908</v>
      </c>
      <c r="U652" t="s">
        <v>2907</v>
      </c>
      <c r="V652" s="47">
        <v>0</v>
      </c>
      <c r="W652" t="s">
        <v>48</v>
      </c>
      <c r="X652" t="s">
        <v>48</v>
      </c>
      <c r="Y652" t="s">
        <v>48</v>
      </c>
      <c r="Z652">
        <v>0</v>
      </c>
      <c r="AA652" t="s">
        <v>48</v>
      </c>
      <c r="AB652" t="s">
        <v>2909</v>
      </c>
      <c r="AC652" t="s">
        <v>49</v>
      </c>
      <c r="AD652" t="s">
        <v>93</v>
      </c>
      <c r="AE652" t="s">
        <v>11051</v>
      </c>
      <c r="AF652" t="s">
        <v>11084</v>
      </c>
      <c r="AG652" t="s">
        <v>140</v>
      </c>
      <c r="AH652" t="s">
        <v>93</v>
      </c>
      <c r="AI652">
        <v>21562</v>
      </c>
      <c r="AJ652">
        <v>1968</v>
      </c>
      <c r="AK652" t="s">
        <v>8908</v>
      </c>
      <c r="AL652" t="s">
        <v>8909</v>
      </c>
      <c r="AM652">
        <v>0.46300000000000002</v>
      </c>
      <c r="AN652">
        <v>0.20499999999999999</v>
      </c>
      <c r="AO652">
        <v>0.46300000000000002</v>
      </c>
      <c r="AP652" s="46">
        <v>0</v>
      </c>
      <c r="AQ652" s="46">
        <v>0</v>
      </c>
      <c r="AR652" s="46">
        <v>0</v>
      </c>
      <c r="AS652" s="46">
        <v>0</v>
      </c>
      <c r="AT652" s="46">
        <v>0</v>
      </c>
      <c r="AU652" s="46">
        <v>0</v>
      </c>
      <c r="AV652" s="46">
        <v>0</v>
      </c>
      <c r="AW652" s="46">
        <v>0</v>
      </c>
      <c r="AX652" s="46">
        <v>0</v>
      </c>
      <c r="AY652" s="46">
        <v>0</v>
      </c>
      <c r="AZ652" s="46">
        <v>0</v>
      </c>
      <c r="BA652" s="46">
        <v>0</v>
      </c>
      <c r="BB652" s="46">
        <v>1</v>
      </c>
      <c r="BC652" s="46">
        <v>0</v>
      </c>
      <c r="BD652" s="46">
        <v>0</v>
      </c>
      <c r="BE652" s="46">
        <v>0</v>
      </c>
      <c r="BF652" s="46">
        <v>0</v>
      </c>
      <c r="BG652" s="46">
        <v>1</v>
      </c>
      <c r="BH652" s="46">
        <v>0</v>
      </c>
      <c r="BI652" s="46">
        <v>0</v>
      </c>
      <c r="BJ652" s="46">
        <v>0</v>
      </c>
      <c r="BK652" s="46">
        <v>0</v>
      </c>
      <c r="BL652" s="46">
        <v>0</v>
      </c>
      <c r="BM652" s="46">
        <v>0</v>
      </c>
      <c r="BN652" s="46">
        <v>0</v>
      </c>
    </row>
    <row r="653" spans="1:66" x14ac:dyDescent="0.35">
      <c r="A653" t="s">
        <v>11180</v>
      </c>
      <c r="B653" s="44" t="s">
        <v>48</v>
      </c>
      <c r="C653" t="s">
        <v>11930</v>
      </c>
      <c r="D653" t="s">
        <v>1338</v>
      </c>
      <c r="E653" t="s">
        <v>11181</v>
      </c>
      <c r="F653" t="s">
        <v>2858</v>
      </c>
      <c r="G653" t="s">
        <v>74</v>
      </c>
      <c r="H653">
        <v>0</v>
      </c>
      <c r="I653" s="61" t="s">
        <v>11160</v>
      </c>
      <c r="J653" s="33" t="s">
        <v>45</v>
      </c>
      <c r="K653" s="46">
        <v>0</v>
      </c>
      <c r="L653">
        <v>100</v>
      </c>
      <c r="M653" t="s">
        <v>48</v>
      </c>
      <c r="N653" s="46">
        <v>1</v>
      </c>
      <c r="O653" s="46">
        <v>0</v>
      </c>
      <c r="P653" s="46">
        <v>0</v>
      </c>
      <c r="Q653" t="s">
        <v>48</v>
      </c>
      <c r="R653" t="s">
        <v>48</v>
      </c>
      <c r="S653" t="str">
        <f>"@LisaHaderlein"</f>
        <v>@LisaHaderlein</v>
      </c>
      <c r="T653" t="s">
        <v>48</v>
      </c>
      <c r="U653" t="str">
        <f>"@LisaHaderlein"</f>
        <v>@LisaHaderlein</v>
      </c>
      <c r="V653" s="47">
        <v>1</v>
      </c>
      <c r="W653" t="s">
        <v>11182</v>
      </c>
      <c r="X653" t="s">
        <v>48</v>
      </c>
      <c r="Y653" t="s">
        <v>48</v>
      </c>
      <c r="Z653" t="s">
        <v>48</v>
      </c>
      <c r="AA653" t="s">
        <v>48</v>
      </c>
      <c r="AB653" t="s">
        <v>48</v>
      </c>
      <c r="AC653" t="s">
        <v>48</v>
      </c>
      <c r="AD653" t="s">
        <v>48</v>
      </c>
      <c r="AE653" t="s">
        <v>48</v>
      </c>
      <c r="AF653" t="s">
        <v>48</v>
      </c>
      <c r="AG653" t="s">
        <v>48</v>
      </c>
      <c r="AH653" t="s">
        <v>48</v>
      </c>
      <c r="AI653" t="s">
        <v>48</v>
      </c>
      <c r="AJ653" t="s">
        <v>48</v>
      </c>
      <c r="AK653" t="s">
        <v>48</v>
      </c>
      <c r="AL653" t="s">
        <v>48</v>
      </c>
      <c r="AM653" t="s">
        <v>48</v>
      </c>
      <c r="AN653" t="s">
        <v>48</v>
      </c>
      <c r="AO653" t="s">
        <v>48</v>
      </c>
      <c r="AP653" s="46">
        <v>0</v>
      </c>
      <c r="AQ653" s="46">
        <v>0</v>
      </c>
      <c r="AR653" s="46">
        <v>0</v>
      </c>
      <c r="AS653" s="46">
        <v>0</v>
      </c>
      <c r="AT653" s="46">
        <v>0</v>
      </c>
      <c r="AU653" s="46">
        <v>0</v>
      </c>
      <c r="AV653" s="46">
        <v>0</v>
      </c>
      <c r="AW653" s="46">
        <v>0</v>
      </c>
      <c r="AX653" s="46">
        <v>0</v>
      </c>
      <c r="AY653" s="46">
        <v>0</v>
      </c>
      <c r="AZ653" s="46">
        <v>0</v>
      </c>
      <c r="BA653" s="46">
        <v>0</v>
      </c>
      <c r="BB653" s="46">
        <v>0</v>
      </c>
      <c r="BC653" s="46">
        <v>0</v>
      </c>
      <c r="BD653" s="46">
        <v>0</v>
      </c>
      <c r="BE653" s="46">
        <v>0</v>
      </c>
      <c r="BF653" s="46">
        <v>0</v>
      </c>
      <c r="BG653" s="46" t="s">
        <v>48</v>
      </c>
      <c r="BH653" s="46">
        <v>0</v>
      </c>
      <c r="BI653" s="46">
        <v>0</v>
      </c>
      <c r="BJ653" s="46">
        <v>0</v>
      </c>
      <c r="BK653" s="46">
        <v>0</v>
      </c>
      <c r="BL653" s="46">
        <v>0</v>
      </c>
      <c r="BM653" s="46">
        <v>0</v>
      </c>
      <c r="BN653" s="46">
        <v>0</v>
      </c>
    </row>
    <row r="654" spans="1:66" x14ac:dyDescent="0.35">
      <c r="A654" t="s">
        <v>2897</v>
      </c>
      <c r="B654" s="44" t="s">
        <v>48</v>
      </c>
      <c r="C654" t="s">
        <v>2900</v>
      </c>
      <c r="D654" t="s">
        <v>1005</v>
      </c>
      <c r="E654" t="s">
        <v>2898</v>
      </c>
      <c r="F654" t="s">
        <v>2875</v>
      </c>
      <c r="G654" t="s">
        <v>74</v>
      </c>
      <c r="H654">
        <v>0</v>
      </c>
      <c r="I654" s="60" t="s">
        <v>149</v>
      </c>
      <c r="J654" s="33" t="s">
        <v>45</v>
      </c>
      <c r="K654" s="46">
        <v>0</v>
      </c>
      <c r="L654">
        <v>37.9</v>
      </c>
      <c r="M654" t="s">
        <v>48</v>
      </c>
      <c r="N654" s="46">
        <v>1</v>
      </c>
      <c r="O654" s="46">
        <v>0</v>
      </c>
      <c r="P654" s="46">
        <v>0</v>
      </c>
      <c r="Q654" t="s">
        <v>48</v>
      </c>
      <c r="R654" t="s">
        <v>48</v>
      </c>
      <c r="S654" t="s">
        <v>2899</v>
      </c>
      <c r="T654" t="s">
        <v>48</v>
      </c>
      <c r="U654" t="s">
        <v>2899</v>
      </c>
      <c r="V654" s="47">
        <v>0</v>
      </c>
      <c r="W654" t="s">
        <v>48</v>
      </c>
      <c r="X654" t="s">
        <v>48</v>
      </c>
      <c r="Y654" t="s">
        <v>48</v>
      </c>
      <c r="Z654">
        <v>0</v>
      </c>
      <c r="AA654" t="s">
        <v>48</v>
      </c>
      <c r="AB654" t="s">
        <v>48</v>
      </c>
      <c r="AC654" t="s">
        <v>49</v>
      </c>
      <c r="AD654" t="s">
        <v>93</v>
      </c>
      <c r="AE654" t="s">
        <v>4532</v>
      </c>
      <c r="AF654" t="s">
        <v>48</v>
      </c>
      <c r="AG654" t="s">
        <v>48</v>
      </c>
      <c r="AH654" t="s">
        <v>426</v>
      </c>
      <c r="AI654" t="s">
        <v>48</v>
      </c>
      <c r="AJ654" t="s">
        <v>48</v>
      </c>
      <c r="AK654" t="s">
        <v>48</v>
      </c>
      <c r="AL654" t="s">
        <v>48</v>
      </c>
      <c r="AM654" t="s">
        <v>48</v>
      </c>
      <c r="AN654" t="s">
        <v>48</v>
      </c>
      <c r="AO654" t="s">
        <v>48</v>
      </c>
      <c r="AP654" s="46">
        <v>0</v>
      </c>
      <c r="AQ654" s="46">
        <v>0</v>
      </c>
      <c r="AR654" s="46">
        <v>0</v>
      </c>
      <c r="AS654" s="46">
        <v>0</v>
      </c>
      <c r="AT654" s="46">
        <v>0</v>
      </c>
      <c r="AU654" s="46">
        <v>0</v>
      </c>
      <c r="AV654" s="46">
        <v>0</v>
      </c>
      <c r="AW654" s="46">
        <v>0</v>
      </c>
      <c r="AX654" s="46">
        <v>0</v>
      </c>
      <c r="AY654" s="46">
        <v>0</v>
      </c>
      <c r="AZ654" s="46">
        <v>0</v>
      </c>
      <c r="BA654" s="46">
        <v>0</v>
      </c>
      <c r="BB654" s="46">
        <v>0</v>
      </c>
      <c r="BC654" s="46">
        <v>0</v>
      </c>
      <c r="BD654" s="46">
        <v>0</v>
      </c>
      <c r="BE654" s="46">
        <v>0</v>
      </c>
      <c r="BF654" s="46">
        <v>0</v>
      </c>
      <c r="BG654" s="46" t="s">
        <v>48</v>
      </c>
      <c r="BH654" s="46">
        <v>0</v>
      </c>
      <c r="BI654" s="46">
        <v>0</v>
      </c>
      <c r="BJ654" s="46">
        <v>0</v>
      </c>
      <c r="BK654" s="46">
        <v>0</v>
      </c>
      <c r="BL654" s="46">
        <v>0</v>
      </c>
      <c r="BM654" s="46">
        <v>0</v>
      </c>
      <c r="BN654" s="46">
        <v>0</v>
      </c>
    </row>
    <row r="655" spans="1:66" x14ac:dyDescent="0.35">
      <c r="A655" t="s">
        <v>2880</v>
      </c>
      <c r="B655" s="44" t="s">
        <v>48</v>
      </c>
      <c r="C655" t="s">
        <v>1968</v>
      </c>
      <c r="D655" t="s">
        <v>2883</v>
      </c>
      <c r="E655" t="s">
        <v>2881</v>
      </c>
      <c r="F655" t="s">
        <v>2875</v>
      </c>
      <c r="G655" t="s">
        <v>47</v>
      </c>
      <c r="H655">
        <v>0</v>
      </c>
      <c r="I655" s="60" t="s">
        <v>51</v>
      </c>
      <c r="J655" s="33" t="s">
        <v>45</v>
      </c>
      <c r="K655" s="46">
        <v>0</v>
      </c>
      <c r="L655">
        <v>68.7</v>
      </c>
      <c r="M655" t="s">
        <v>48</v>
      </c>
      <c r="N655" s="46">
        <v>1</v>
      </c>
      <c r="O655" s="46">
        <v>0</v>
      </c>
      <c r="P655" s="46">
        <v>0</v>
      </c>
      <c r="Q655" t="s">
        <v>48</v>
      </c>
      <c r="R655" t="s">
        <v>48</v>
      </c>
      <c r="S655" t="s">
        <v>2882</v>
      </c>
      <c r="T655" t="s">
        <v>48</v>
      </c>
      <c r="U655" t="s">
        <v>2882</v>
      </c>
      <c r="V655" s="47">
        <v>0</v>
      </c>
      <c r="W655" t="s">
        <v>48</v>
      </c>
      <c r="X655" t="s">
        <v>48</v>
      </c>
      <c r="Y655" t="s">
        <v>48</v>
      </c>
      <c r="Z655">
        <v>0</v>
      </c>
      <c r="AA655" t="s">
        <v>48</v>
      </c>
      <c r="AB655" t="s">
        <v>48</v>
      </c>
      <c r="AC655" t="s">
        <v>63</v>
      </c>
      <c r="AD655" t="s">
        <v>93</v>
      </c>
      <c r="AE655" t="s">
        <v>4532</v>
      </c>
      <c r="AF655" t="s">
        <v>48</v>
      </c>
      <c r="AG655" t="s">
        <v>48</v>
      </c>
      <c r="AH655" t="s">
        <v>48</v>
      </c>
      <c r="AI655" t="s">
        <v>48</v>
      </c>
      <c r="AJ655" t="s">
        <v>48</v>
      </c>
      <c r="AK655" t="s">
        <v>48</v>
      </c>
      <c r="AL655" t="s">
        <v>48</v>
      </c>
      <c r="AM655" t="s">
        <v>48</v>
      </c>
      <c r="AN655" t="s">
        <v>48</v>
      </c>
      <c r="AO655" t="s">
        <v>48</v>
      </c>
      <c r="AP655" s="46">
        <v>0</v>
      </c>
      <c r="AQ655" s="46">
        <v>0</v>
      </c>
      <c r="AR655" s="46">
        <v>0</v>
      </c>
      <c r="AS655" s="46">
        <v>0</v>
      </c>
      <c r="AT655" s="46">
        <v>0</v>
      </c>
      <c r="AU655" s="46">
        <v>0</v>
      </c>
      <c r="AV655" s="46">
        <v>0</v>
      </c>
      <c r="AW655" s="46">
        <v>0</v>
      </c>
      <c r="AX655" s="46">
        <v>0</v>
      </c>
      <c r="AY655" s="46">
        <v>0</v>
      </c>
      <c r="AZ655" s="46">
        <v>0</v>
      </c>
      <c r="BA655" s="46">
        <v>0</v>
      </c>
      <c r="BB655" s="46">
        <v>0</v>
      </c>
      <c r="BC655" s="46">
        <v>0</v>
      </c>
      <c r="BD655" s="46">
        <v>0</v>
      </c>
      <c r="BE655" s="46">
        <v>0</v>
      </c>
      <c r="BF655" s="46">
        <v>0</v>
      </c>
      <c r="BG655" s="46" t="s">
        <v>48</v>
      </c>
      <c r="BH655" s="46">
        <v>0</v>
      </c>
      <c r="BI655" s="46">
        <v>0</v>
      </c>
      <c r="BJ655" s="46">
        <v>0</v>
      </c>
      <c r="BK655" s="46">
        <v>0</v>
      </c>
      <c r="BL655" s="46">
        <v>0</v>
      </c>
      <c r="BM655" s="46">
        <v>0</v>
      </c>
      <c r="BN655" s="46">
        <v>0</v>
      </c>
    </row>
    <row r="656" spans="1:66" x14ac:dyDescent="0.35">
      <c r="A656" t="s">
        <v>2959</v>
      </c>
      <c r="B656" t="s">
        <v>48</v>
      </c>
      <c r="C656" t="s">
        <v>2963</v>
      </c>
      <c r="D656" t="s">
        <v>817</v>
      </c>
      <c r="E656" t="s">
        <v>2960</v>
      </c>
      <c r="F656" t="s">
        <v>2942</v>
      </c>
      <c r="G656" t="s">
        <v>74</v>
      </c>
      <c r="H656">
        <v>0</v>
      </c>
      <c r="I656" s="60" t="s">
        <v>51</v>
      </c>
      <c r="J656" s="33" t="s">
        <v>45</v>
      </c>
      <c r="K656" s="46">
        <v>1</v>
      </c>
      <c r="L656">
        <v>86.4</v>
      </c>
      <c r="M656" t="s">
        <v>48</v>
      </c>
      <c r="N656" s="46">
        <v>1</v>
      </c>
      <c r="O656" s="46">
        <v>0</v>
      </c>
      <c r="P656" s="46">
        <v>0</v>
      </c>
      <c r="Q656" t="s">
        <v>48</v>
      </c>
      <c r="R656" t="s">
        <v>48</v>
      </c>
      <c r="S656" t="s">
        <v>2961</v>
      </c>
      <c r="T656" t="s">
        <v>2962</v>
      </c>
      <c r="U656" t="s">
        <v>2961</v>
      </c>
      <c r="V656" s="47">
        <v>0</v>
      </c>
      <c r="W656" t="s">
        <v>48</v>
      </c>
      <c r="X656" t="s">
        <v>48</v>
      </c>
      <c r="Y656" t="s">
        <v>48</v>
      </c>
      <c r="Z656">
        <v>1</v>
      </c>
      <c r="AA656" t="s">
        <v>48</v>
      </c>
      <c r="AB656">
        <v>2020</v>
      </c>
      <c r="AC656" t="s">
        <v>49</v>
      </c>
      <c r="AD656" t="s">
        <v>93</v>
      </c>
      <c r="AE656" t="s">
        <v>4532</v>
      </c>
      <c r="AF656" t="s">
        <v>48</v>
      </c>
      <c r="AG656" t="s">
        <v>48</v>
      </c>
      <c r="AH656" t="s">
        <v>48</v>
      </c>
      <c r="AI656">
        <v>22142</v>
      </c>
      <c r="AJ656">
        <v>1969</v>
      </c>
      <c r="AK656" t="s">
        <v>8910</v>
      </c>
      <c r="AL656" t="s">
        <v>8911</v>
      </c>
      <c r="AM656">
        <v>-0.28299999999999997</v>
      </c>
      <c r="AN656">
        <v>0.127</v>
      </c>
      <c r="AO656">
        <v>-0.28299999999999997</v>
      </c>
      <c r="AP656" s="46">
        <v>0</v>
      </c>
      <c r="AQ656" s="46">
        <v>0</v>
      </c>
      <c r="AR656" s="46">
        <v>0</v>
      </c>
      <c r="AS656" s="46">
        <v>0</v>
      </c>
      <c r="AT656" s="46">
        <v>0</v>
      </c>
      <c r="AU656" s="46">
        <v>1</v>
      </c>
      <c r="AV656" s="46">
        <v>0</v>
      </c>
      <c r="AW656" s="46">
        <v>0</v>
      </c>
      <c r="AX656" s="46">
        <v>0</v>
      </c>
      <c r="AY656" s="46">
        <v>0</v>
      </c>
      <c r="AZ656" s="46">
        <v>0</v>
      </c>
      <c r="BA656" s="46">
        <v>0</v>
      </c>
      <c r="BB656" s="46">
        <v>0</v>
      </c>
      <c r="BC656" s="46">
        <v>0</v>
      </c>
      <c r="BD656" s="46">
        <v>0</v>
      </c>
      <c r="BE656" s="46">
        <v>0</v>
      </c>
      <c r="BF656" s="46">
        <v>0</v>
      </c>
      <c r="BG656" s="46" t="s">
        <v>48</v>
      </c>
      <c r="BH656" s="46">
        <v>0</v>
      </c>
      <c r="BI656" s="46">
        <v>0</v>
      </c>
      <c r="BJ656" s="46">
        <v>0</v>
      </c>
      <c r="BK656" s="46">
        <v>0</v>
      </c>
      <c r="BL656" s="46">
        <v>0</v>
      </c>
      <c r="BM656" s="46">
        <v>0</v>
      </c>
      <c r="BN656" s="46">
        <v>0</v>
      </c>
    </row>
    <row r="657" spans="1:66" x14ac:dyDescent="0.35">
      <c r="A657" t="s">
        <v>2945</v>
      </c>
      <c r="B657" s="44" t="s">
        <v>48</v>
      </c>
      <c r="C657" t="s">
        <v>185</v>
      </c>
      <c r="D657" t="s">
        <v>11934</v>
      </c>
      <c r="E657" t="s">
        <v>2946</v>
      </c>
      <c r="F657" t="s">
        <v>2942</v>
      </c>
      <c r="G657" t="s">
        <v>47</v>
      </c>
      <c r="H657">
        <v>0</v>
      </c>
      <c r="I657" s="60" t="s">
        <v>51</v>
      </c>
      <c r="J657" s="33" t="s">
        <v>45</v>
      </c>
      <c r="K657" s="46">
        <v>0</v>
      </c>
      <c r="L657">
        <v>47.1</v>
      </c>
      <c r="M657" t="s">
        <v>48</v>
      </c>
      <c r="N657" s="46">
        <v>1</v>
      </c>
      <c r="O657" s="46">
        <v>0</v>
      </c>
      <c r="P657" s="46">
        <v>0</v>
      </c>
      <c r="Q657" t="s">
        <v>48</v>
      </c>
      <c r="R657" t="s">
        <v>48</v>
      </c>
      <c r="S657" t="s">
        <v>2947</v>
      </c>
      <c r="T657" t="s">
        <v>48</v>
      </c>
      <c r="U657" t="s">
        <v>2947</v>
      </c>
      <c r="V657" s="47">
        <v>0</v>
      </c>
      <c r="W657" t="s">
        <v>48</v>
      </c>
      <c r="X657" t="s">
        <v>48</v>
      </c>
      <c r="Y657" t="s">
        <v>48</v>
      </c>
      <c r="Z657">
        <v>0</v>
      </c>
      <c r="AA657" t="s">
        <v>48</v>
      </c>
      <c r="AB657" t="s">
        <v>48</v>
      </c>
      <c r="AC657" t="s">
        <v>63</v>
      </c>
      <c r="AD657" t="s">
        <v>93</v>
      </c>
      <c r="AE657" s="40" t="s">
        <v>2471</v>
      </c>
      <c r="AF657" t="s">
        <v>11061</v>
      </c>
      <c r="AG657" t="s">
        <v>48</v>
      </c>
      <c r="AH657" t="s">
        <v>48</v>
      </c>
      <c r="AI657" t="s">
        <v>48</v>
      </c>
      <c r="AJ657" t="s">
        <v>48</v>
      </c>
      <c r="AK657" t="s">
        <v>48</v>
      </c>
      <c r="AL657" t="s">
        <v>48</v>
      </c>
      <c r="AM657" t="s">
        <v>48</v>
      </c>
      <c r="AN657" t="s">
        <v>48</v>
      </c>
      <c r="AO657" t="s">
        <v>48</v>
      </c>
      <c r="AP657" s="46">
        <v>0</v>
      </c>
      <c r="AQ657" s="46">
        <v>0</v>
      </c>
      <c r="AR657" s="46">
        <v>0</v>
      </c>
      <c r="AS657" s="46">
        <v>0</v>
      </c>
      <c r="AT657" s="46">
        <v>0</v>
      </c>
      <c r="AU657" s="46">
        <v>0</v>
      </c>
      <c r="AV657" s="46">
        <v>0</v>
      </c>
      <c r="AW657" s="46">
        <v>0</v>
      </c>
      <c r="AX657" s="46">
        <v>0</v>
      </c>
      <c r="AY657" s="46">
        <v>0</v>
      </c>
      <c r="AZ657" s="46">
        <v>0</v>
      </c>
      <c r="BA657" s="46">
        <v>0</v>
      </c>
      <c r="BB657" s="46">
        <v>0</v>
      </c>
      <c r="BC657" s="46">
        <v>0</v>
      </c>
      <c r="BD657" s="46">
        <v>0</v>
      </c>
      <c r="BE657" s="46">
        <v>0</v>
      </c>
      <c r="BF657" s="46">
        <v>0</v>
      </c>
      <c r="BG657" s="46" t="s">
        <v>48</v>
      </c>
      <c r="BH657" s="46">
        <v>0</v>
      </c>
      <c r="BI657" s="46">
        <v>0</v>
      </c>
      <c r="BJ657" s="46">
        <v>0</v>
      </c>
      <c r="BK657" s="46">
        <v>0</v>
      </c>
      <c r="BL657" s="46">
        <v>0</v>
      </c>
      <c r="BM657" s="46">
        <v>0</v>
      </c>
      <c r="BN657" s="46">
        <v>0</v>
      </c>
    </row>
    <row r="658" spans="1:66" x14ac:dyDescent="0.35">
      <c r="A658" t="s">
        <v>2973</v>
      </c>
      <c r="B658" s="44" t="s">
        <v>48</v>
      </c>
      <c r="C658" t="s">
        <v>2975</v>
      </c>
      <c r="D658" t="s">
        <v>437</v>
      </c>
      <c r="E658" t="s">
        <v>2974</v>
      </c>
      <c r="F658" t="s">
        <v>2972</v>
      </c>
      <c r="G658" t="s">
        <v>74</v>
      </c>
      <c r="H658">
        <v>0</v>
      </c>
      <c r="I658" s="60" t="s">
        <v>125</v>
      </c>
      <c r="J658" s="33" t="s">
        <v>45</v>
      </c>
      <c r="K658" s="46">
        <v>0</v>
      </c>
      <c r="L658">
        <v>100</v>
      </c>
      <c r="M658" t="s">
        <v>48</v>
      </c>
      <c r="N658" s="46">
        <v>1</v>
      </c>
      <c r="O658" s="46">
        <v>0</v>
      </c>
      <c r="P658" s="46">
        <v>0</v>
      </c>
      <c r="Q658" t="s">
        <v>48</v>
      </c>
      <c r="R658" t="s">
        <v>48</v>
      </c>
      <c r="S658" t="s">
        <v>10109</v>
      </c>
      <c r="T658" t="s">
        <v>48</v>
      </c>
      <c r="U658" t="s">
        <v>10109</v>
      </c>
      <c r="V658" s="47">
        <v>0</v>
      </c>
      <c r="W658" t="s">
        <v>48</v>
      </c>
      <c r="X658" t="s">
        <v>48</v>
      </c>
      <c r="Y658" t="s">
        <v>48</v>
      </c>
      <c r="Z658">
        <v>0</v>
      </c>
      <c r="AA658" t="s">
        <v>48</v>
      </c>
      <c r="AB658" t="s">
        <v>48</v>
      </c>
      <c r="AC658" t="s">
        <v>49</v>
      </c>
      <c r="AD658" t="s">
        <v>93</v>
      </c>
      <c r="AE658" s="40" t="s">
        <v>4532</v>
      </c>
      <c r="AF658" t="s">
        <v>48</v>
      </c>
      <c r="AG658" t="s">
        <v>48</v>
      </c>
      <c r="AH658" t="s">
        <v>48</v>
      </c>
      <c r="AI658" t="s">
        <v>48</v>
      </c>
      <c r="AJ658" t="s">
        <v>48</v>
      </c>
      <c r="AK658" t="s">
        <v>48</v>
      </c>
      <c r="AL658" t="s">
        <v>48</v>
      </c>
      <c r="AM658" t="s">
        <v>48</v>
      </c>
      <c r="AN658" t="s">
        <v>48</v>
      </c>
      <c r="AO658" t="s">
        <v>48</v>
      </c>
      <c r="AP658" s="46">
        <v>0</v>
      </c>
      <c r="AQ658" s="46">
        <v>0</v>
      </c>
      <c r="AR658" s="46">
        <v>0</v>
      </c>
      <c r="AS658" s="46">
        <v>0</v>
      </c>
      <c r="AT658" s="46">
        <v>0</v>
      </c>
      <c r="AU658" s="46">
        <v>0</v>
      </c>
      <c r="AV658" s="46">
        <v>0</v>
      </c>
      <c r="AW658" s="46">
        <v>0</v>
      </c>
      <c r="AX658" s="46">
        <v>0</v>
      </c>
      <c r="AY658" s="46">
        <v>0</v>
      </c>
      <c r="AZ658" s="46">
        <v>0</v>
      </c>
      <c r="BA658" s="46">
        <v>0</v>
      </c>
      <c r="BB658" s="46">
        <v>0</v>
      </c>
      <c r="BC658" s="46">
        <v>0</v>
      </c>
      <c r="BD658" s="46">
        <v>0</v>
      </c>
      <c r="BE658" s="46">
        <v>0</v>
      </c>
      <c r="BF658" s="46">
        <v>0</v>
      </c>
      <c r="BG658" s="46" t="s">
        <v>48</v>
      </c>
      <c r="BH658" s="46">
        <v>0</v>
      </c>
      <c r="BI658" s="46">
        <v>0</v>
      </c>
      <c r="BJ658" s="46">
        <v>0</v>
      </c>
      <c r="BK658" s="46">
        <v>0</v>
      </c>
      <c r="BL658" s="46">
        <v>0</v>
      </c>
      <c r="BM658" s="46">
        <v>0</v>
      </c>
      <c r="BN658" s="46">
        <v>0</v>
      </c>
    </row>
    <row r="659" spans="1:66" ht="15" x14ac:dyDescent="0.4">
      <c r="A659" t="s">
        <v>11232</v>
      </c>
      <c r="B659" s="44" t="s">
        <v>48</v>
      </c>
      <c r="C659" t="s">
        <v>11935</v>
      </c>
      <c r="D659" t="s">
        <v>1127</v>
      </c>
      <c r="E659" t="s">
        <v>11233</v>
      </c>
      <c r="F659" t="s">
        <v>2972</v>
      </c>
      <c r="G659" t="s">
        <v>47</v>
      </c>
      <c r="H659">
        <v>0</v>
      </c>
      <c r="I659" s="60" t="s">
        <v>11160</v>
      </c>
      <c r="J659" s="33" t="s">
        <v>45</v>
      </c>
      <c r="K659" s="46">
        <v>0</v>
      </c>
      <c r="L659" t="s">
        <v>48</v>
      </c>
      <c r="M659" t="s">
        <v>48</v>
      </c>
      <c r="N659" s="46">
        <v>1</v>
      </c>
      <c r="O659" s="46">
        <v>0</v>
      </c>
      <c r="P659" s="46">
        <v>0</v>
      </c>
      <c r="Q659" t="s">
        <v>48</v>
      </c>
      <c r="R659" t="s">
        <v>48</v>
      </c>
      <c r="S659" s="55" t="s">
        <v>11235</v>
      </c>
      <c r="T659" t="s">
        <v>48</v>
      </c>
      <c r="U659" s="55" t="s">
        <v>11235</v>
      </c>
      <c r="V659" s="47" t="s">
        <v>48</v>
      </c>
      <c r="W659" t="s">
        <v>48</v>
      </c>
      <c r="X659" t="s">
        <v>48</v>
      </c>
      <c r="Y659" t="s">
        <v>48</v>
      </c>
      <c r="Z659" t="s">
        <v>48</v>
      </c>
      <c r="AA659" t="s">
        <v>11234</v>
      </c>
      <c r="AB659" t="s">
        <v>48</v>
      </c>
      <c r="AC659" t="s">
        <v>48</v>
      </c>
      <c r="AD659" t="s">
        <v>48</v>
      </c>
      <c r="AE659" s="40" t="s">
        <v>48</v>
      </c>
      <c r="AF659" t="s">
        <v>48</v>
      </c>
      <c r="AG659" t="s">
        <v>48</v>
      </c>
      <c r="AH659" t="s">
        <v>48</v>
      </c>
      <c r="AI659" t="s">
        <v>48</v>
      </c>
      <c r="AJ659" t="s">
        <v>48</v>
      </c>
      <c r="AK659" t="s">
        <v>48</v>
      </c>
      <c r="AL659" t="s">
        <v>48</v>
      </c>
      <c r="AM659" t="s">
        <v>48</v>
      </c>
      <c r="AN659" t="s">
        <v>48</v>
      </c>
      <c r="AO659" t="s">
        <v>48</v>
      </c>
      <c r="AP659" s="46" t="s">
        <v>48</v>
      </c>
      <c r="AQ659" s="46" t="s">
        <v>48</v>
      </c>
      <c r="AR659" s="46" t="s">
        <v>48</v>
      </c>
      <c r="AS659" s="46" t="s">
        <v>48</v>
      </c>
      <c r="AT659" s="46" t="s">
        <v>48</v>
      </c>
      <c r="AU659" s="46" t="s">
        <v>48</v>
      </c>
      <c r="AV659" s="46" t="s">
        <v>48</v>
      </c>
      <c r="AW659" s="46" t="s">
        <v>48</v>
      </c>
      <c r="AX659" s="46" t="s">
        <v>48</v>
      </c>
      <c r="AY659" s="46" t="s">
        <v>48</v>
      </c>
      <c r="AZ659" s="46" t="s">
        <v>48</v>
      </c>
      <c r="BA659" s="46" t="s">
        <v>48</v>
      </c>
      <c r="BB659" s="46" t="s">
        <v>48</v>
      </c>
      <c r="BC659" s="46" t="s">
        <v>48</v>
      </c>
      <c r="BD659" s="46" t="s">
        <v>48</v>
      </c>
      <c r="BE659" s="46" t="s">
        <v>48</v>
      </c>
      <c r="BF659" s="46" t="s">
        <v>48</v>
      </c>
      <c r="BG659" s="46" t="s">
        <v>48</v>
      </c>
      <c r="BH659" s="46">
        <v>0</v>
      </c>
      <c r="BI659" s="46">
        <v>0</v>
      </c>
      <c r="BJ659" s="46">
        <v>0</v>
      </c>
      <c r="BK659" s="46">
        <v>0</v>
      </c>
      <c r="BL659" s="46">
        <v>0</v>
      </c>
      <c r="BM659" s="46">
        <v>0</v>
      </c>
      <c r="BN659" s="46">
        <v>0</v>
      </c>
    </row>
    <row r="660" spans="1:66" x14ac:dyDescent="0.35">
      <c r="A660" t="s">
        <v>2996</v>
      </c>
      <c r="B660" s="44" t="s">
        <v>48</v>
      </c>
      <c r="C660" t="s">
        <v>2999</v>
      </c>
      <c r="D660" t="s">
        <v>467</v>
      </c>
      <c r="E660" t="s">
        <v>2997</v>
      </c>
      <c r="F660" t="s">
        <v>2983</v>
      </c>
      <c r="G660" t="s">
        <v>74</v>
      </c>
      <c r="H660">
        <v>0</v>
      </c>
      <c r="I660" s="60" t="s">
        <v>881</v>
      </c>
      <c r="J660" s="33" t="s">
        <v>45</v>
      </c>
      <c r="K660" s="46">
        <v>0</v>
      </c>
      <c r="L660">
        <v>56.2</v>
      </c>
      <c r="M660" t="s">
        <v>48</v>
      </c>
      <c r="N660" s="46">
        <v>1</v>
      </c>
      <c r="O660" s="46">
        <v>0</v>
      </c>
      <c r="P660" s="46">
        <v>0</v>
      </c>
      <c r="Q660" t="s">
        <v>48</v>
      </c>
      <c r="R660" t="s">
        <v>48</v>
      </c>
      <c r="S660" t="s">
        <v>2998</v>
      </c>
      <c r="T660" t="s">
        <v>48</v>
      </c>
      <c r="U660" t="s">
        <v>2998</v>
      </c>
      <c r="V660" s="47">
        <v>0</v>
      </c>
      <c r="W660" t="s">
        <v>48</v>
      </c>
      <c r="X660" t="s">
        <v>48</v>
      </c>
      <c r="Y660" t="s">
        <v>48</v>
      </c>
      <c r="Z660">
        <v>0</v>
      </c>
      <c r="AA660" t="s">
        <v>48</v>
      </c>
      <c r="AB660" t="s">
        <v>48</v>
      </c>
      <c r="AC660" t="s">
        <v>49</v>
      </c>
      <c r="AD660" t="s">
        <v>93</v>
      </c>
      <c r="AE660" t="s">
        <v>4532</v>
      </c>
      <c r="AF660" t="s">
        <v>48</v>
      </c>
      <c r="AG660" t="s">
        <v>48</v>
      </c>
      <c r="AH660" t="s">
        <v>48</v>
      </c>
      <c r="AI660" t="s">
        <v>48</v>
      </c>
      <c r="AJ660" t="s">
        <v>48</v>
      </c>
      <c r="AK660" t="s">
        <v>48</v>
      </c>
      <c r="AL660" t="s">
        <v>48</v>
      </c>
      <c r="AM660" t="s">
        <v>48</v>
      </c>
      <c r="AN660" t="s">
        <v>48</v>
      </c>
      <c r="AO660" t="s">
        <v>48</v>
      </c>
      <c r="AP660" s="46">
        <v>0</v>
      </c>
      <c r="AQ660" s="46">
        <v>0</v>
      </c>
      <c r="AR660" s="46">
        <v>0</v>
      </c>
      <c r="AS660" s="46">
        <v>0</v>
      </c>
      <c r="AT660" s="46">
        <v>0</v>
      </c>
      <c r="AU660" s="46">
        <v>0</v>
      </c>
      <c r="AV660" s="46">
        <v>0</v>
      </c>
      <c r="AW660" s="46">
        <v>0</v>
      </c>
      <c r="AX660" s="46">
        <v>0</v>
      </c>
      <c r="AY660" s="46">
        <v>0</v>
      </c>
      <c r="AZ660" s="46">
        <v>0</v>
      </c>
      <c r="BA660" s="46">
        <v>0</v>
      </c>
      <c r="BB660" s="46">
        <v>0</v>
      </c>
      <c r="BC660" s="46">
        <v>0</v>
      </c>
      <c r="BD660" s="46">
        <v>0</v>
      </c>
      <c r="BE660" s="46">
        <v>0</v>
      </c>
      <c r="BF660" s="46">
        <v>0</v>
      </c>
      <c r="BG660" s="46" t="s">
        <v>48</v>
      </c>
      <c r="BH660" s="46">
        <v>0</v>
      </c>
      <c r="BI660" s="46">
        <v>0</v>
      </c>
      <c r="BJ660" s="46">
        <v>0</v>
      </c>
      <c r="BK660" s="46">
        <v>0</v>
      </c>
      <c r="BL660" s="46">
        <v>0</v>
      </c>
      <c r="BM660" s="46">
        <v>0</v>
      </c>
      <c r="BN660" s="46">
        <v>0</v>
      </c>
    </row>
    <row r="661" spans="1:66" x14ac:dyDescent="0.35">
      <c r="A661" t="s">
        <v>2982</v>
      </c>
      <c r="B661" s="44" t="s">
        <v>48</v>
      </c>
      <c r="C661" t="s">
        <v>2987</v>
      </c>
      <c r="D661" t="s">
        <v>829</v>
      </c>
      <c r="E661" t="s">
        <v>2984</v>
      </c>
      <c r="F661" t="s">
        <v>2983</v>
      </c>
      <c r="G661" t="s">
        <v>47</v>
      </c>
      <c r="H661">
        <v>0</v>
      </c>
      <c r="I661" s="60" t="s">
        <v>51</v>
      </c>
      <c r="J661" s="33" t="s">
        <v>45</v>
      </c>
      <c r="K661" s="46">
        <v>1</v>
      </c>
      <c r="L661">
        <v>100</v>
      </c>
      <c r="M661" t="s">
        <v>48</v>
      </c>
      <c r="N661" s="46">
        <v>1</v>
      </c>
      <c r="O661" s="46">
        <v>0</v>
      </c>
      <c r="P661" s="46">
        <v>0</v>
      </c>
      <c r="Q661" t="s">
        <v>48</v>
      </c>
      <c r="R661" t="s">
        <v>48</v>
      </c>
      <c r="S661" t="s">
        <v>2985</v>
      </c>
      <c r="T661" t="s">
        <v>2986</v>
      </c>
      <c r="U661" t="s">
        <v>2985</v>
      </c>
      <c r="V661" s="47">
        <v>0</v>
      </c>
      <c r="W661" t="s">
        <v>48</v>
      </c>
      <c r="X661" t="s">
        <v>48</v>
      </c>
      <c r="Y661" t="s">
        <v>48</v>
      </c>
      <c r="Z661">
        <v>0</v>
      </c>
      <c r="AA661" t="s">
        <v>48</v>
      </c>
      <c r="AB661">
        <v>2016</v>
      </c>
      <c r="AC661" t="s">
        <v>49</v>
      </c>
      <c r="AD661" t="s">
        <v>93</v>
      </c>
      <c r="AE661" t="s">
        <v>4532</v>
      </c>
      <c r="AF661" t="s">
        <v>48</v>
      </c>
      <c r="AG661" t="s">
        <v>112</v>
      </c>
      <c r="AH661" t="s">
        <v>93</v>
      </c>
      <c r="AI661">
        <v>21702</v>
      </c>
      <c r="AJ661">
        <v>1979</v>
      </c>
      <c r="AK661" t="s">
        <v>8914</v>
      </c>
      <c r="AL661" t="s">
        <v>8915</v>
      </c>
      <c r="AM661">
        <v>0.64600000000000002</v>
      </c>
      <c r="AN661">
        <v>1E-3</v>
      </c>
      <c r="AO661">
        <v>0.64600000000000002</v>
      </c>
      <c r="AP661" s="46">
        <v>0</v>
      </c>
      <c r="AQ661" s="46">
        <v>0</v>
      </c>
      <c r="AR661" s="46">
        <v>0</v>
      </c>
      <c r="AS661" s="46">
        <v>0</v>
      </c>
      <c r="AT661" s="46">
        <v>0</v>
      </c>
      <c r="AU661" s="46">
        <v>0</v>
      </c>
      <c r="AV661" s="46">
        <v>0</v>
      </c>
      <c r="AW661" s="46">
        <v>0</v>
      </c>
      <c r="AX661" s="46">
        <v>0</v>
      </c>
      <c r="AY661" s="46">
        <v>0</v>
      </c>
      <c r="AZ661" s="46">
        <v>0</v>
      </c>
      <c r="BA661" s="46">
        <v>0</v>
      </c>
      <c r="BB661" s="46">
        <v>1</v>
      </c>
      <c r="BC661" s="46">
        <v>0</v>
      </c>
      <c r="BD661" s="46">
        <v>0</v>
      </c>
      <c r="BE661" s="46">
        <v>0</v>
      </c>
      <c r="BF661" s="46">
        <v>0</v>
      </c>
      <c r="BG661" s="46">
        <v>1</v>
      </c>
      <c r="BH661" s="46">
        <v>0</v>
      </c>
      <c r="BI661" s="46">
        <v>0</v>
      </c>
      <c r="BJ661" s="46">
        <v>0</v>
      </c>
      <c r="BK661" s="46">
        <v>0</v>
      </c>
      <c r="BL661" s="46">
        <v>0</v>
      </c>
      <c r="BM661" s="46">
        <v>0</v>
      </c>
      <c r="BN661" s="46">
        <v>1</v>
      </c>
    </row>
    <row r="662" spans="1:66" x14ac:dyDescent="0.35">
      <c r="A662" t="s">
        <v>3000</v>
      </c>
      <c r="B662" s="44" t="s">
        <v>48</v>
      </c>
      <c r="C662" t="s">
        <v>3005</v>
      </c>
      <c r="D662" t="s">
        <v>829</v>
      </c>
      <c r="E662" t="s">
        <v>3002</v>
      </c>
      <c r="F662" t="s">
        <v>3001</v>
      </c>
      <c r="G662" t="s">
        <v>47</v>
      </c>
      <c r="H662">
        <v>0</v>
      </c>
      <c r="I662" s="60" t="s">
        <v>51</v>
      </c>
      <c r="J662" s="33" t="s">
        <v>45</v>
      </c>
      <c r="K662" s="46">
        <v>1</v>
      </c>
      <c r="L662">
        <v>100</v>
      </c>
      <c r="M662" t="s">
        <v>48</v>
      </c>
      <c r="N662" s="46">
        <v>1</v>
      </c>
      <c r="O662" s="46">
        <v>0</v>
      </c>
      <c r="P662" s="46">
        <v>0</v>
      </c>
      <c r="Q662" t="s">
        <v>48</v>
      </c>
      <c r="R662" t="s">
        <v>48</v>
      </c>
      <c r="S662" t="s">
        <v>3003</v>
      </c>
      <c r="T662" t="s">
        <v>3004</v>
      </c>
      <c r="U662" t="s">
        <v>3003</v>
      </c>
      <c r="V662" s="47">
        <v>0</v>
      </c>
      <c r="W662" t="s">
        <v>48</v>
      </c>
      <c r="X662" t="s">
        <v>48</v>
      </c>
      <c r="Y662" t="s">
        <v>48</v>
      </c>
      <c r="Z662">
        <v>0</v>
      </c>
      <c r="AA662" t="s">
        <v>48</v>
      </c>
      <c r="AB662">
        <v>2018</v>
      </c>
      <c r="AC662" t="s">
        <v>49</v>
      </c>
      <c r="AD662" t="s">
        <v>93</v>
      </c>
      <c r="AE662" t="s">
        <v>4532</v>
      </c>
      <c r="AF662" t="s">
        <v>48</v>
      </c>
      <c r="AG662" t="s">
        <v>112</v>
      </c>
      <c r="AH662" t="s">
        <v>93</v>
      </c>
      <c r="AI662">
        <v>21903</v>
      </c>
      <c r="AJ662">
        <v>1945</v>
      </c>
      <c r="AK662" t="s">
        <v>8916</v>
      </c>
      <c r="AL662" t="s">
        <v>8917</v>
      </c>
      <c r="AM662">
        <v>0.46899999999999997</v>
      </c>
      <c r="AN662">
        <v>0.39900000000000002</v>
      </c>
      <c r="AO662">
        <v>0.46899999999999997</v>
      </c>
      <c r="AP662" s="46">
        <v>0</v>
      </c>
      <c r="AQ662" s="46">
        <v>0</v>
      </c>
      <c r="AR662" s="46">
        <v>0</v>
      </c>
      <c r="AS662" s="46">
        <v>0</v>
      </c>
      <c r="AT662" s="46">
        <v>0</v>
      </c>
      <c r="AU662" s="46">
        <v>0</v>
      </c>
      <c r="AV662" s="46">
        <v>0</v>
      </c>
      <c r="AW662" s="46">
        <v>0</v>
      </c>
      <c r="AX662" s="46">
        <v>0</v>
      </c>
      <c r="AY662" s="46">
        <v>0</v>
      </c>
      <c r="AZ662" s="46">
        <v>0</v>
      </c>
      <c r="BA662" s="46">
        <v>0</v>
      </c>
      <c r="BB662" s="46">
        <v>1</v>
      </c>
      <c r="BC662" s="46">
        <v>0</v>
      </c>
      <c r="BD662" s="46">
        <v>0</v>
      </c>
      <c r="BE662" s="46">
        <v>0</v>
      </c>
      <c r="BF662" s="46">
        <v>0</v>
      </c>
      <c r="BG662" s="46">
        <v>1</v>
      </c>
      <c r="BH662" s="46">
        <v>0</v>
      </c>
      <c r="BI662" s="46">
        <v>0</v>
      </c>
      <c r="BJ662" s="46">
        <v>0</v>
      </c>
      <c r="BK662" s="46">
        <v>0</v>
      </c>
      <c r="BL662" s="46">
        <v>0</v>
      </c>
      <c r="BM662" s="46">
        <v>0</v>
      </c>
      <c r="BN662" s="46">
        <v>0</v>
      </c>
    </row>
    <row r="663" spans="1:66" x14ac:dyDescent="0.35">
      <c r="A663" t="s">
        <v>3006</v>
      </c>
      <c r="B663" s="44" t="s">
        <v>48</v>
      </c>
      <c r="C663" t="s">
        <v>3010</v>
      </c>
      <c r="D663" t="s">
        <v>3009</v>
      </c>
      <c r="E663" t="s">
        <v>3007</v>
      </c>
      <c r="F663" t="s">
        <v>3001</v>
      </c>
      <c r="G663" t="s">
        <v>74</v>
      </c>
      <c r="H663">
        <v>0</v>
      </c>
      <c r="I663" s="60" t="s">
        <v>125</v>
      </c>
      <c r="J663" s="33" t="s">
        <v>45</v>
      </c>
      <c r="K663" s="46">
        <v>0</v>
      </c>
      <c r="L663">
        <v>68.2</v>
      </c>
      <c r="M663" t="s">
        <v>48</v>
      </c>
      <c r="N663" s="46">
        <v>1</v>
      </c>
      <c r="O663" s="46">
        <v>0</v>
      </c>
      <c r="P663" s="46">
        <v>0</v>
      </c>
      <c r="Q663" t="s">
        <v>48</v>
      </c>
      <c r="R663" t="s">
        <v>48</v>
      </c>
      <c r="S663" t="s">
        <v>3008</v>
      </c>
      <c r="T663" t="s">
        <v>48</v>
      </c>
      <c r="U663" t="s">
        <v>3008</v>
      </c>
      <c r="V663" s="47">
        <v>0</v>
      </c>
      <c r="W663" t="s">
        <v>48</v>
      </c>
      <c r="X663" t="s">
        <v>48</v>
      </c>
      <c r="Y663" t="s">
        <v>48</v>
      </c>
      <c r="Z663">
        <v>0</v>
      </c>
      <c r="AA663" t="s">
        <v>48</v>
      </c>
      <c r="AB663" t="s">
        <v>48</v>
      </c>
      <c r="AC663" t="s">
        <v>49</v>
      </c>
      <c r="AD663" t="s">
        <v>48</v>
      </c>
      <c r="AE663" t="s">
        <v>48</v>
      </c>
      <c r="AF663" t="s">
        <v>48</v>
      </c>
      <c r="AG663" t="s">
        <v>48</v>
      </c>
      <c r="AH663" t="s">
        <v>48</v>
      </c>
      <c r="AI663" t="s">
        <v>48</v>
      </c>
      <c r="AJ663" t="s">
        <v>48</v>
      </c>
      <c r="AK663" t="s">
        <v>48</v>
      </c>
      <c r="AL663" t="s">
        <v>48</v>
      </c>
      <c r="AM663" t="s">
        <v>48</v>
      </c>
      <c r="AN663" t="s">
        <v>48</v>
      </c>
      <c r="AO663" t="s">
        <v>48</v>
      </c>
      <c r="AP663" s="46">
        <v>0</v>
      </c>
      <c r="AQ663" s="46">
        <v>0</v>
      </c>
      <c r="AR663" s="46">
        <v>0</v>
      </c>
      <c r="AS663" s="46">
        <v>0</v>
      </c>
      <c r="AT663" s="46">
        <v>0</v>
      </c>
      <c r="AU663" s="46">
        <v>0</v>
      </c>
      <c r="AV663" s="46">
        <v>0</v>
      </c>
      <c r="AW663" s="46">
        <v>0</v>
      </c>
      <c r="AX663" s="46">
        <v>0</v>
      </c>
      <c r="AY663" s="46">
        <v>0</v>
      </c>
      <c r="AZ663" s="46">
        <v>0</v>
      </c>
      <c r="BA663" s="46">
        <v>0</v>
      </c>
      <c r="BB663" s="46">
        <v>0</v>
      </c>
      <c r="BC663" s="46">
        <v>0</v>
      </c>
      <c r="BD663" s="46">
        <v>0</v>
      </c>
      <c r="BE663" s="46">
        <v>0</v>
      </c>
      <c r="BF663" s="46">
        <v>0</v>
      </c>
      <c r="BG663" s="46" t="s">
        <v>48</v>
      </c>
      <c r="BH663" s="46">
        <v>0</v>
      </c>
      <c r="BI663" s="46">
        <v>0</v>
      </c>
      <c r="BJ663" s="46">
        <v>0</v>
      </c>
      <c r="BK663" s="46">
        <v>0</v>
      </c>
      <c r="BL663" s="46">
        <v>0</v>
      </c>
      <c r="BM663" s="46">
        <v>0</v>
      </c>
      <c r="BN663" s="46">
        <v>0</v>
      </c>
    </row>
    <row r="664" spans="1:66" x14ac:dyDescent="0.35">
      <c r="A664" t="s">
        <v>3019</v>
      </c>
      <c r="B664" s="44" t="s">
        <v>48</v>
      </c>
      <c r="C664" t="s">
        <v>11936</v>
      </c>
      <c r="D664" t="s">
        <v>3022</v>
      </c>
      <c r="E664" t="s">
        <v>3020</v>
      </c>
      <c r="F664" t="s">
        <v>3016</v>
      </c>
      <c r="G664" t="s">
        <v>74</v>
      </c>
      <c r="H664">
        <v>0</v>
      </c>
      <c r="I664" s="60" t="s">
        <v>125</v>
      </c>
      <c r="J664" s="33" t="s">
        <v>45</v>
      </c>
      <c r="K664" s="46">
        <v>0</v>
      </c>
      <c r="L664">
        <v>60</v>
      </c>
      <c r="M664" t="s">
        <v>48</v>
      </c>
      <c r="N664" s="46">
        <v>1</v>
      </c>
      <c r="O664" s="46">
        <v>0</v>
      </c>
      <c r="P664" s="46">
        <v>0</v>
      </c>
      <c r="Q664" t="s">
        <v>48</v>
      </c>
      <c r="R664" t="s">
        <v>48</v>
      </c>
      <c r="S664" t="s">
        <v>3021</v>
      </c>
      <c r="T664" t="s">
        <v>48</v>
      </c>
      <c r="U664" t="s">
        <v>3021</v>
      </c>
      <c r="V664" s="47">
        <v>0</v>
      </c>
      <c r="W664" t="s">
        <v>48</v>
      </c>
      <c r="X664" t="s">
        <v>48</v>
      </c>
      <c r="Y664" t="s">
        <v>48</v>
      </c>
      <c r="Z664">
        <v>0</v>
      </c>
      <c r="AA664" t="s">
        <v>48</v>
      </c>
      <c r="AB664" t="s">
        <v>48</v>
      </c>
      <c r="AC664" t="s">
        <v>63</v>
      </c>
      <c r="AD664" t="s">
        <v>93</v>
      </c>
      <c r="AE664" s="40" t="s">
        <v>2471</v>
      </c>
      <c r="AF664" t="s">
        <v>11061</v>
      </c>
      <c r="AG664" t="s">
        <v>48</v>
      </c>
      <c r="AH664" t="s">
        <v>48</v>
      </c>
      <c r="AI664" t="s">
        <v>48</v>
      </c>
      <c r="AJ664" t="s">
        <v>48</v>
      </c>
      <c r="AK664" t="s">
        <v>48</v>
      </c>
      <c r="AL664" t="s">
        <v>48</v>
      </c>
      <c r="AM664" t="s">
        <v>48</v>
      </c>
      <c r="AN664" t="s">
        <v>48</v>
      </c>
      <c r="AO664" t="s">
        <v>48</v>
      </c>
      <c r="AP664" s="46">
        <v>0</v>
      </c>
      <c r="AQ664" s="46">
        <v>0</v>
      </c>
      <c r="AR664" s="46">
        <v>0</v>
      </c>
      <c r="AS664" s="46">
        <v>0</v>
      </c>
      <c r="AT664" s="46">
        <v>0</v>
      </c>
      <c r="AU664" s="46">
        <v>0</v>
      </c>
      <c r="AV664" s="46">
        <v>0</v>
      </c>
      <c r="AW664" s="46">
        <v>0</v>
      </c>
      <c r="AX664" s="46">
        <v>0</v>
      </c>
      <c r="AY664" s="46">
        <v>0</v>
      </c>
      <c r="AZ664" s="46">
        <v>0</v>
      </c>
      <c r="BA664" s="46">
        <v>0</v>
      </c>
      <c r="BB664" s="46">
        <v>0</v>
      </c>
      <c r="BC664" s="46">
        <v>0</v>
      </c>
      <c r="BD664" s="46">
        <v>0</v>
      </c>
      <c r="BE664" s="46">
        <v>0</v>
      </c>
      <c r="BF664" s="46">
        <v>0</v>
      </c>
      <c r="BG664" s="46" t="s">
        <v>48</v>
      </c>
      <c r="BH664" s="46">
        <v>0</v>
      </c>
      <c r="BI664" s="46">
        <v>0</v>
      </c>
      <c r="BJ664" s="46">
        <v>0</v>
      </c>
      <c r="BK664" s="46">
        <v>0</v>
      </c>
      <c r="BL664" s="46">
        <v>0</v>
      </c>
      <c r="BM664" s="46">
        <v>0</v>
      </c>
      <c r="BN664" s="46">
        <v>0</v>
      </c>
    </row>
    <row r="665" spans="1:66" x14ac:dyDescent="0.35">
      <c r="A665" t="s">
        <v>3023</v>
      </c>
      <c r="B665" s="44" t="s">
        <v>48</v>
      </c>
      <c r="C665" t="s">
        <v>3028</v>
      </c>
      <c r="D665" t="s">
        <v>3027</v>
      </c>
      <c r="E665" t="s">
        <v>3024</v>
      </c>
      <c r="F665" t="s">
        <v>3016</v>
      </c>
      <c r="G665" t="s">
        <v>47</v>
      </c>
      <c r="H665">
        <v>0</v>
      </c>
      <c r="I665" s="60" t="s">
        <v>51</v>
      </c>
      <c r="J665" s="33" t="s">
        <v>45</v>
      </c>
      <c r="K665" s="46">
        <v>1</v>
      </c>
      <c r="L665">
        <v>100</v>
      </c>
      <c r="M665" t="s">
        <v>48</v>
      </c>
      <c r="N665" s="46">
        <v>1</v>
      </c>
      <c r="O665" s="46">
        <v>0</v>
      </c>
      <c r="P665" s="46">
        <v>0</v>
      </c>
      <c r="Q665" t="s">
        <v>48</v>
      </c>
      <c r="R665" t="s">
        <v>48</v>
      </c>
      <c r="S665" t="s">
        <v>3025</v>
      </c>
      <c r="T665" t="s">
        <v>3026</v>
      </c>
      <c r="U665" t="s">
        <v>3025</v>
      </c>
      <c r="V665" s="47">
        <v>0</v>
      </c>
      <c r="W665" t="s">
        <v>48</v>
      </c>
      <c r="X665" t="s">
        <v>48</v>
      </c>
      <c r="Y665" t="s">
        <v>48</v>
      </c>
      <c r="Z665">
        <v>1</v>
      </c>
      <c r="AA665" t="s">
        <v>48</v>
      </c>
      <c r="AB665">
        <v>2020</v>
      </c>
      <c r="AC665" t="s">
        <v>63</v>
      </c>
      <c r="AD665" t="s">
        <v>93</v>
      </c>
      <c r="AE665" t="s">
        <v>4532</v>
      </c>
      <c r="AF665" t="s">
        <v>48</v>
      </c>
      <c r="AG665" t="s">
        <v>48</v>
      </c>
      <c r="AH665" t="s">
        <v>48</v>
      </c>
      <c r="AI665">
        <v>22151</v>
      </c>
      <c r="AJ665">
        <v>1978</v>
      </c>
      <c r="AK665" t="s">
        <v>8918</v>
      </c>
      <c r="AL665" t="s">
        <v>8919</v>
      </c>
      <c r="AM665">
        <v>0.42799999999999999</v>
      </c>
      <c r="AN665">
        <v>3.5000000000000003E-2</v>
      </c>
      <c r="AO665">
        <v>0.42799999999999999</v>
      </c>
      <c r="AP665" s="46">
        <v>0</v>
      </c>
      <c r="AQ665" s="46">
        <v>0</v>
      </c>
      <c r="AR665" s="46">
        <v>0</v>
      </c>
      <c r="AS665" s="46">
        <v>0</v>
      </c>
      <c r="AT665" s="46">
        <v>0</v>
      </c>
      <c r="AU665" s="46">
        <v>0</v>
      </c>
      <c r="AV665" s="46">
        <v>0</v>
      </c>
      <c r="AW665" s="46">
        <v>0</v>
      </c>
      <c r="AX665" s="46">
        <v>0</v>
      </c>
      <c r="AY665" s="46">
        <v>0</v>
      </c>
      <c r="AZ665" s="46">
        <v>0</v>
      </c>
      <c r="BA665" s="46">
        <v>0</v>
      </c>
      <c r="BB665" s="46">
        <v>1</v>
      </c>
      <c r="BC665" s="46">
        <v>0</v>
      </c>
      <c r="BD665" s="46">
        <v>0</v>
      </c>
      <c r="BE665" s="46">
        <v>0</v>
      </c>
      <c r="BF665" s="46">
        <v>0</v>
      </c>
      <c r="BG665" s="46" t="s">
        <v>48</v>
      </c>
      <c r="BH665" s="46">
        <v>0</v>
      </c>
      <c r="BI665" s="46">
        <v>0</v>
      </c>
      <c r="BJ665" s="46">
        <v>0</v>
      </c>
      <c r="BK665" s="46">
        <v>0</v>
      </c>
      <c r="BL665" s="46">
        <v>0</v>
      </c>
      <c r="BM665" s="46">
        <v>0</v>
      </c>
      <c r="BN665" s="46">
        <v>0</v>
      </c>
    </row>
    <row r="666" spans="1:66" x14ac:dyDescent="0.35">
      <c r="A666" t="s">
        <v>3044</v>
      </c>
      <c r="B666" s="44" t="s">
        <v>48</v>
      </c>
      <c r="C666" t="s">
        <v>3047</v>
      </c>
      <c r="D666" t="s">
        <v>3046</v>
      </c>
      <c r="E666" t="s">
        <v>3045</v>
      </c>
      <c r="F666" t="s">
        <v>3030</v>
      </c>
      <c r="G666" t="s">
        <v>74</v>
      </c>
      <c r="H666">
        <v>0</v>
      </c>
      <c r="I666" s="60" t="s">
        <v>125</v>
      </c>
      <c r="J666" s="33" t="s">
        <v>45</v>
      </c>
      <c r="K666" s="46">
        <v>0</v>
      </c>
      <c r="L666">
        <v>73.099999999999994</v>
      </c>
      <c r="M666" t="s">
        <v>48</v>
      </c>
      <c r="N666" s="46">
        <v>1</v>
      </c>
      <c r="O666" s="46">
        <v>0</v>
      </c>
      <c r="P666" s="46">
        <v>0</v>
      </c>
      <c r="Q666" t="s">
        <v>48</v>
      </c>
      <c r="R666" t="s">
        <v>48</v>
      </c>
      <c r="S666" t="s">
        <v>10111</v>
      </c>
      <c r="T666" t="s">
        <v>48</v>
      </c>
      <c r="U666" t="s">
        <v>10111</v>
      </c>
      <c r="V666" s="47">
        <v>0</v>
      </c>
      <c r="W666" t="s">
        <v>48</v>
      </c>
      <c r="X666" t="s">
        <v>48</v>
      </c>
      <c r="Y666" t="s">
        <v>48</v>
      </c>
      <c r="Z666">
        <v>0</v>
      </c>
      <c r="AA666" t="s">
        <v>48</v>
      </c>
      <c r="AB666" t="s">
        <v>48</v>
      </c>
      <c r="AC666" t="s">
        <v>63</v>
      </c>
      <c r="AD666" t="s">
        <v>93</v>
      </c>
      <c r="AE666" t="s">
        <v>4532</v>
      </c>
      <c r="AF666" t="s">
        <v>48</v>
      </c>
      <c r="AG666" t="s">
        <v>48</v>
      </c>
      <c r="AH666" t="s">
        <v>48</v>
      </c>
      <c r="AI666" t="s">
        <v>48</v>
      </c>
      <c r="AJ666" t="s">
        <v>48</v>
      </c>
      <c r="AK666" t="s">
        <v>48</v>
      </c>
      <c r="AL666" t="s">
        <v>48</v>
      </c>
      <c r="AM666" t="s">
        <v>48</v>
      </c>
      <c r="AN666" t="s">
        <v>48</v>
      </c>
      <c r="AO666" t="s">
        <v>48</v>
      </c>
      <c r="AP666" s="46">
        <v>0</v>
      </c>
      <c r="AQ666" s="46">
        <v>0</v>
      </c>
      <c r="AR666" s="46">
        <v>0</v>
      </c>
      <c r="AS666" s="46">
        <v>0</v>
      </c>
      <c r="AT666" s="46">
        <v>0</v>
      </c>
      <c r="AU666" s="46">
        <v>0</v>
      </c>
      <c r="AV666" s="46">
        <v>0</v>
      </c>
      <c r="AW666" s="46">
        <v>0</v>
      </c>
      <c r="AX666" s="46">
        <v>0</v>
      </c>
      <c r="AY666" s="46">
        <v>0</v>
      </c>
      <c r="AZ666" s="46">
        <v>0</v>
      </c>
      <c r="BA666" s="46">
        <v>0</v>
      </c>
      <c r="BB666" s="46">
        <v>0</v>
      </c>
      <c r="BC666" s="46">
        <v>0</v>
      </c>
      <c r="BD666" s="46">
        <v>0</v>
      </c>
      <c r="BE666" s="46">
        <v>0</v>
      </c>
      <c r="BF666" s="46">
        <v>0</v>
      </c>
      <c r="BG666" s="46" t="s">
        <v>48</v>
      </c>
      <c r="BH666" s="46">
        <v>0</v>
      </c>
      <c r="BI666" s="46">
        <v>0</v>
      </c>
      <c r="BJ666" s="46">
        <v>0</v>
      </c>
      <c r="BK666" s="46">
        <v>0</v>
      </c>
      <c r="BL666" s="46">
        <v>0</v>
      </c>
      <c r="BM666" s="46">
        <v>0</v>
      </c>
      <c r="BN666" s="46">
        <v>0</v>
      </c>
    </row>
    <row r="667" spans="1:66" x14ac:dyDescent="0.35">
      <c r="A667" t="s">
        <v>3038</v>
      </c>
      <c r="B667" s="44" t="s">
        <v>48</v>
      </c>
      <c r="C667" t="s">
        <v>3042</v>
      </c>
      <c r="D667" t="s">
        <v>729</v>
      </c>
      <c r="E667" t="s">
        <v>3039</v>
      </c>
      <c r="F667" t="s">
        <v>3030</v>
      </c>
      <c r="G667" t="s">
        <v>47</v>
      </c>
      <c r="H667">
        <v>0</v>
      </c>
      <c r="I667" s="60" t="s">
        <v>51</v>
      </c>
      <c r="J667" s="33" t="s">
        <v>45</v>
      </c>
      <c r="K667" s="46">
        <v>1</v>
      </c>
      <c r="L667">
        <v>77.599999999999994</v>
      </c>
      <c r="M667" t="s">
        <v>48</v>
      </c>
      <c r="N667" s="46">
        <v>1</v>
      </c>
      <c r="O667" s="46">
        <v>0</v>
      </c>
      <c r="P667" s="46">
        <v>0</v>
      </c>
      <c r="Q667" t="s">
        <v>48</v>
      </c>
      <c r="R667" t="s">
        <v>48</v>
      </c>
      <c r="S667" t="s">
        <v>3040</v>
      </c>
      <c r="T667" t="s">
        <v>3041</v>
      </c>
      <c r="U667" t="s">
        <v>3040</v>
      </c>
      <c r="V667" s="47">
        <v>0</v>
      </c>
      <c r="W667" t="s">
        <v>48</v>
      </c>
      <c r="X667" t="s">
        <v>48</v>
      </c>
      <c r="Y667" t="s">
        <v>48</v>
      </c>
      <c r="Z667">
        <v>0</v>
      </c>
      <c r="AA667" t="s">
        <v>48</v>
      </c>
      <c r="AB667">
        <v>2018</v>
      </c>
      <c r="AC667" t="s">
        <v>49</v>
      </c>
      <c r="AD667" t="s">
        <v>93</v>
      </c>
      <c r="AE667" t="s">
        <v>4532</v>
      </c>
      <c r="AF667" t="s">
        <v>48</v>
      </c>
      <c r="AG667" t="s">
        <v>140</v>
      </c>
      <c r="AH667" t="s">
        <v>93</v>
      </c>
      <c r="AI667">
        <v>21952</v>
      </c>
      <c r="AJ667">
        <v>1956</v>
      </c>
      <c r="AK667" t="s">
        <v>8920</v>
      </c>
      <c r="AL667" t="s">
        <v>8921</v>
      </c>
      <c r="AM667">
        <v>0.52700000000000002</v>
      </c>
      <c r="AN667">
        <v>6.6000000000000003E-2</v>
      </c>
      <c r="AO667">
        <v>0.52700000000000002</v>
      </c>
      <c r="AP667" s="46">
        <v>0</v>
      </c>
      <c r="AQ667" s="46">
        <v>0</v>
      </c>
      <c r="AR667" s="46">
        <v>0</v>
      </c>
      <c r="AS667" s="46">
        <v>0</v>
      </c>
      <c r="AT667" s="46">
        <v>0</v>
      </c>
      <c r="AU667" s="46">
        <v>0</v>
      </c>
      <c r="AV667" s="46">
        <v>0</v>
      </c>
      <c r="AW667" s="46">
        <v>0</v>
      </c>
      <c r="AX667" s="46">
        <v>0</v>
      </c>
      <c r="AY667" s="46">
        <v>0</v>
      </c>
      <c r="AZ667" s="46">
        <v>0</v>
      </c>
      <c r="BA667" s="46">
        <v>0</v>
      </c>
      <c r="BB667" s="46">
        <v>0</v>
      </c>
      <c r="BC667" s="46">
        <v>0</v>
      </c>
      <c r="BD667" s="46">
        <v>0</v>
      </c>
      <c r="BE667" s="46">
        <v>0</v>
      </c>
      <c r="BF667" s="46">
        <v>0</v>
      </c>
      <c r="BG667" s="46">
        <v>1</v>
      </c>
      <c r="BH667" s="46">
        <v>0</v>
      </c>
      <c r="BI667" s="46">
        <v>0</v>
      </c>
      <c r="BJ667" s="46">
        <v>0</v>
      </c>
      <c r="BK667" s="46">
        <v>0</v>
      </c>
      <c r="BL667" s="46">
        <v>0</v>
      </c>
      <c r="BM667" s="46">
        <v>0</v>
      </c>
      <c r="BN667" s="46">
        <v>0</v>
      </c>
    </row>
    <row r="668" spans="1:66" x14ac:dyDescent="0.35">
      <c r="A668" t="s">
        <v>3051</v>
      </c>
      <c r="B668" t="s">
        <v>48</v>
      </c>
      <c r="C668" t="s">
        <v>3057</v>
      </c>
      <c r="D668" t="s">
        <v>3056</v>
      </c>
      <c r="E668" t="s">
        <v>3052</v>
      </c>
      <c r="F668" t="s">
        <v>3049</v>
      </c>
      <c r="G668" t="s">
        <v>74</v>
      </c>
      <c r="H668">
        <v>0</v>
      </c>
      <c r="I668" s="60" t="s">
        <v>51</v>
      </c>
      <c r="J668" s="33" t="s">
        <v>45</v>
      </c>
      <c r="K668" s="46">
        <v>1</v>
      </c>
      <c r="L668">
        <v>93.9</v>
      </c>
      <c r="M668" t="s">
        <v>48</v>
      </c>
      <c r="N668" s="46">
        <v>1</v>
      </c>
      <c r="O668" s="46">
        <v>0</v>
      </c>
      <c r="P668" s="46">
        <v>0</v>
      </c>
      <c r="Q668" t="s">
        <v>48</v>
      </c>
      <c r="R668" t="s">
        <v>48</v>
      </c>
      <c r="S668" t="s">
        <v>3053</v>
      </c>
      <c r="T668" t="s">
        <v>3054</v>
      </c>
      <c r="U668" t="s">
        <v>3053</v>
      </c>
      <c r="V668" s="47">
        <v>0</v>
      </c>
      <c r="W668" t="s">
        <v>48</v>
      </c>
      <c r="X668" t="s">
        <v>48</v>
      </c>
      <c r="Y668" t="s">
        <v>48</v>
      </c>
      <c r="Z668">
        <v>0</v>
      </c>
      <c r="AA668" t="s">
        <v>48</v>
      </c>
      <c r="AB668">
        <v>2008</v>
      </c>
      <c r="AC668" t="s">
        <v>49</v>
      </c>
      <c r="AD668" t="s">
        <v>93</v>
      </c>
      <c r="AE668" s="40" t="s">
        <v>2471</v>
      </c>
      <c r="AF668" t="s">
        <v>11061</v>
      </c>
      <c r="AG668" t="s">
        <v>3055</v>
      </c>
      <c r="AH668" t="s">
        <v>93</v>
      </c>
      <c r="AI668">
        <v>20757</v>
      </c>
      <c r="AJ668">
        <v>1974</v>
      </c>
      <c r="AK668" t="s">
        <v>8922</v>
      </c>
      <c r="AL668" t="s">
        <v>8923</v>
      </c>
      <c r="AM668">
        <v>-0.42899999999999999</v>
      </c>
      <c r="AN668">
        <v>5.7000000000000002E-2</v>
      </c>
      <c r="AO668">
        <v>-0.42899999999999999</v>
      </c>
      <c r="AP668" s="46">
        <v>0</v>
      </c>
      <c r="AQ668" s="46">
        <v>0</v>
      </c>
      <c r="AR668" s="46">
        <v>0</v>
      </c>
      <c r="AS668" s="46">
        <v>0</v>
      </c>
      <c r="AT668" s="46">
        <v>1</v>
      </c>
      <c r="AU668" s="46">
        <v>1</v>
      </c>
      <c r="AV668" s="46">
        <v>0</v>
      </c>
      <c r="AW668" s="46">
        <v>0</v>
      </c>
      <c r="AX668" s="46">
        <v>0</v>
      </c>
      <c r="AY668" s="46">
        <v>0</v>
      </c>
      <c r="AZ668" s="46">
        <v>0</v>
      </c>
      <c r="BA668" s="46">
        <v>0</v>
      </c>
      <c r="BB668" s="46">
        <v>0</v>
      </c>
      <c r="BC668" s="46">
        <v>0</v>
      </c>
      <c r="BD668" s="46">
        <v>0</v>
      </c>
      <c r="BE668" s="46">
        <v>0</v>
      </c>
      <c r="BF668" s="46">
        <v>0</v>
      </c>
      <c r="BG668" s="46" t="s">
        <v>48</v>
      </c>
      <c r="BH668" s="46">
        <v>0</v>
      </c>
      <c r="BI668" s="46">
        <v>0</v>
      </c>
      <c r="BJ668" s="46">
        <v>0</v>
      </c>
      <c r="BK668" s="46">
        <v>0</v>
      </c>
      <c r="BL668" s="46">
        <v>0</v>
      </c>
      <c r="BM668" s="46">
        <v>0</v>
      </c>
      <c r="BN668" s="46">
        <v>0</v>
      </c>
    </row>
    <row r="669" spans="1:66" x14ac:dyDescent="0.35">
      <c r="A669" t="s">
        <v>3062</v>
      </c>
      <c r="B669" s="44" t="s">
        <v>48</v>
      </c>
      <c r="C669" t="s">
        <v>3065</v>
      </c>
      <c r="D669" t="s">
        <v>1981</v>
      </c>
      <c r="E669" t="s">
        <v>3063</v>
      </c>
      <c r="F669" t="s">
        <v>3049</v>
      </c>
      <c r="G669" t="s">
        <v>47</v>
      </c>
      <c r="H669">
        <v>0</v>
      </c>
      <c r="I669" s="60" t="s">
        <v>125</v>
      </c>
      <c r="J669" s="33" t="s">
        <v>45</v>
      </c>
      <c r="K669" s="46">
        <v>0</v>
      </c>
      <c r="L669">
        <v>53.7</v>
      </c>
      <c r="M669" t="s">
        <v>48</v>
      </c>
      <c r="N669" s="46">
        <v>1</v>
      </c>
      <c r="O669" s="46">
        <v>0</v>
      </c>
      <c r="P669" s="46">
        <v>0</v>
      </c>
      <c r="Q669" t="s">
        <v>48</v>
      </c>
      <c r="R669" t="s">
        <v>48</v>
      </c>
      <c r="S669" t="s">
        <v>3064</v>
      </c>
      <c r="T669" t="s">
        <v>48</v>
      </c>
      <c r="U669" t="s">
        <v>3064</v>
      </c>
      <c r="V669" s="47">
        <v>0</v>
      </c>
      <c r="W669" t="s">
        <v>48</v>
      </c>
      <c r="X669" t="s">
        <v>48</v>
      </c>
      <c r="Y669" t="s">
        <v>48</v>
      </c>
      <c r="Z669">
        <v>0</v>
      </c>
      <c r="AA669" t="s">
        <v>48</v>
      </c>
      <c r="AB669" t="s">
        <v>48</v>
      </c>
      <c r="AC669" t="s">
        <v>63</v>
      </c>
      <c r="AD669" t="s">
        <v>93</v>
      </c>
      <c r="AE669" t="s">
        <v>4532</v>
      </c>
      <c r="AF669" t="s">
        <v>11148</v>
      </c>
      <c r="AG669" t="s">
        <v>48</v>
      </c>
      <c r="AH669" t="s">
        <v>48</v>
      </c>
      <c r="AI669" t="s">
        <v>48</v>
      </c>
      <c r="AJ669" t="s">
        <v>48</v>
      </c>
      <c r="AK669" t="s">
        <v>48</v>
      </c>
      <c r="AL669" t="s">
        <v>48</v>
      </c>
      <c r="AM669" t="s">
        <v>48</v>
      </c>
      <c r="AN669" t="s">
        <v>48</v>
      </c>
      <c r="AO669" t="s">
        <v>48</v>
      </c>
      <c r="AP669" s="46">
        <v>0</v>
      </c>
      <c r="AQ669" s="46">
        <v>0</v>
      </c>
      <c r="AR669" s="46">
        <v>0</v>
      </c>
      <c r="AS669" s="46">
        <v>0</v>
      </c>
      <c r="AT669" s="46">
        <v>0</v>
      </c>
      <c r="AU669" s="46">
        <v>0</v>
      </c>
      <c r="AV669" s="46">
        <v>0</v>
      </c>
      <c r="AW669" s="46">
        <v>0</v>
      </c>
      <c r="AX669" s="46">
        <v>0</v>
      </c>
      <c r="AY669" s="46">
        <v>0</v>
      </c>
      <c r="AZ669" s="46">
        <v>0</v>
      </c>
      <c r="BA669" s="46">
        <v>0</v>
      </c>
      <c r="BB669" s="46">
        <v>0</v>
      </c>
      <c r="BC669" s="46">
        <v>0</v>
      </c>
      <c r="BD669" s="46">
        <v>0</v>
      </c>
      <c r="BE669" s="46">
        <v>0</v>
      </c>
      <c r="BF669" s="46">
        <v>0</v>
      </c>
      <c r="BG669" s="46" t="s">
        <v>48</v>
      </c>
      <c r="BH669" s="46">
        <v>0</v>
      </c>
      <c r="BI669" s="46">
        <v>0</v>
      </c>
      <c r="BJ669" s="46">
        <v>0</v>
      </c>
      <c r="BK669" s="46">
        <v>0</v>
      </c>
      <c r="BL669" s="46">
        <v>0</v>
      </c>
      <c r="BM669" s="46">
        <v>0</v>
      </c>
      <c r="BN669" s="46">
        <v>0</v>
      </c>
    </row>
    <row r="670" spans="1:66" x14ac:dyDescent="0.35">
      <c r="A670" t="s">
        <v>3080</v>
      </c>
      <c r="B670" t="s">
        <v>48</v>
      </c>
      <c r="C670" t="s">
        <v>3085</v>
      </c>
      <c r="D670" t="s">
        <v>1740</v>
      </c>
      <c r="E670" t="s">
        <v>3082</v>
      </c>
      <c r="F670" t="s">
        <v>3081</v>
      </c>
      <c r="G670" t="s">
        <v>47</v>
      </c>
      <c r="H670">
        <v>0</v>
      </c>
      <c r="I670" s="60" t="s">
        <v>51</v>
      </c>
      <c r="J670" s="33" t="s">
        <v>45</v>
      </c>
      <c r="K670" s="46">
        <v>1</v>
      </c>
      <c r="L670">
        <v>100</v>
      </c>
      <c r="M670" t="s">
        <v>48</v>
      </c>
      <c r="N670" s="46">
        <v>1</v>
      </c>
      <c r="O670" s="46">
        <v>0</v>
      </c>
      <c r="P670" s="46">
        <v>0</v>
      </c>
      <c r="Q670" t="s">
        <v>48</v>
      </c>
      <c r="R670" t="s">
        <v>48</v>
      </c>
      <c r="S670" t="s">
        <v>3083</v>
      </c>
      <c r="T670" t="s">
        <v>3084</v>
      </c>
      <c r="U670" t="s">
        <v>3083</v>
      </c>
      <c r="V670" s="47">
        <v>0</v>
      </c>
      <c r="W670" t="s">
        <v>48</v>
      </c>
      <c r="X670" t="s">
        <v>48</v>
      </c>
      <c r="Y670" t="s">
        <v>48</v>
      </c>
      <c r="Z670">
        <v>0</v>
      </c>
      <c r="AA670" t="s">
        <v>48</v>
      </c>
      <c r="AB670">
        <v>2010</v>
      </c>
      <c r="AC670" t="s">
        <v>49</v>
      </c>
      <c r="AD670" t="s">
        <v>93</v>
      </c>
      <c r="AE670" t="s">
        <v>4532</v>
      </c>
      <c r="AF670" t="s">
        <v>48</v>
      </c>
      <c r="AG670" t="s">
        <v>1105</v>
      </c>
      <c r="AH670" t="s">
        <v>93</v>
      </c>
      <c r="AI670">
        <v>21132</v>
      </c>
      <c r="AJ670">
        <v>1962</v>
      </c>
      <c r="AK670" t="s">
        <v>8924</v>
      </c>
      <c r="AL670" t="s">
        <v>8925</v>
      </c>
      <c r="AM670">
        <v>0.41</v>
      </c>
      <c r="AN670">
        <v>0.25700000000000001</v>
      </c>
      <c r="AO670">
        <v>0.41</v>
      </c>
      <c r="AP670" s="46">
        <v>0</v>
      </c>
      <c r="AQ670" s="46">
        <v>0</v>
      </c>
      <c r="AR670" s="46">
        <v>0</v>
      </c>
      <c r="AS670" s="46">
        <v>0</v>
      </c>
      <c r="AT670" s="46">
        <v>0</v>
      </c>
      <c r="AU670" s="46">
        <v>0</v>
      </c>
      <c r="AV670" s="46">
        <v>0</v>
      </c>
      <c r="AW670" s="46">
        <v>0</v>
      </c>
      <c r="AX670" s="46">
        <v>0</v>
      </c>
      <c r="AY670" s="46">
        <v>0</v>
      </c>
      <c r="AZ670" s="46">
        <v>1</v>
      </c>
      <c r="BA670" s="46">
        <v>0</v>
      </c>
      <c r="BB670" s="46">
        <v>1</v>
      </c>
      <c r="BC670" s="46">
        <v>0</v>
      </c>
      <c r="BD670" s="46">
        <v>0</v>
      </c>
      <c r="BE670" s="46">
        <v>0</v>
      </c>
      <c r="BF670" s="46">
        <v>0</v>
      </c>
      <c r="BG670" s="46" t="s">
        <v>48</v>
      </c>
      <c r="BH670" s="46">
        <v>0</v>
      </c>
      <c r="BI670" s="46">
        <v>0</v>
      </c>
      <c r="BJ670" s="46">
        <v>0</v>
      </c>
      <c r="BK670" s="46">
        <v>0</v>
      </c>
      <c r="BL670" s="46">
        <v>0</v>
      </c>
      <c r="BM670" s="46">
        <v>0</v>
      </c>
      <c r="BN670" s="46">
        <v>0</v>
      </c>
    </row>
    <row r="671" spans="1:66" x14ac:dyDescent="0.35">
      <c r="A671" t="s">
        <v>3090</v>
      </c>
      <c r="B671" s="44" t="s">
        <v>48</v>
      </c>
      <c r="C671" t="s">
        <v>2288</v>
      </c>
      <c r="D671" t="s">
        <v>3092</v>
      </c>
      <c r="E671" t="s">
        <v>3091</v>
      </c>
      <c r="F671" t="s">
        <v>3081</v>
      </c>
      <c r="G671" t="s">
        <v>74</v>
      </c>
      <c r="H671">
        <v>0</v>
      </c>
      <c r="I671" s="60" t="s">
        <v>125</v>
      </c>
      <c r="J671" s="33" t="s">
        <v>45</v>
      </c>
      <c r="K671" s="46">
        <v>0</v>
      </c>
      <c r="L671">
        <v>69.7</v>
      </c>
      <c r="M671" t="s">
        <v>48</v>
      </c>
      <c r="N671" s="46">
        <v>1</v>
      </c>
      <c r="O671" s="46">
        <v>0</v>
      </c>
      <c r="P671" s="46">
        <v>0</v>
      </c>
      <c r="Q671" t="s">
        <v>48</v>
      </c>
      <c r="R671" t="s">
        <v>48</v>
      </c>
      <c r="S671" t="s">
        <v>48</v>
      </c>
      <c r="T671" t="s">
        <v>48</v>
      </c>
      <c r="U671" t="s">
        <v>48</v>
      </c>
      <c r="V671" s="47">
        <v>1</v>
      </c>
      <c r="W671" t="s">
        <v>11264</v>
      </c>
      <c r="X671" t="s">
        <v>48</v>
      </c>
      <c r="Y671" t="s">
        <v>48</v>
      </c>
      <c r="Z671">
        <v>0</v>
      </c>
      <c r="AA671" t="s">
        <v>48</v>
      </c>
      <c r="AB671" t="s">
        <v>48</v>
      </c>
      <c r="AC671" t="s">
        <v>49</v>
      </c>
      <c r="AD671" t="s">
        <v>93</v>
      </c>
      <c r="AE671" t="s">
        <v>4532</v>
      </c>
      <c r="AF671" t="s">
        <v>48</v>
      </c>
      <c r="AG671" t="s">
        <v>48</v>
      </c>
      <c r="AH671" t="s">
        <v>48</v>
      </c>
      <c r="AI671" t="s">
        <v>48</v>
      </c>
      <c r="AJ671" t="s">
        <v>48</v>
      </c>
      <c r="AK671" t="s">
        <v>48</v>
      </c>
      <c r="AL671" t="s">
        <v>48</v>
      </c>
      <c r="AM671" t="s">
        <v>48</v>
      </c>
      <c r="AN671" t="s">
        <v>48</v>
      </c>
      <c r="AO671" t="s">
        <v>48</v>
      </c>
      <c r="AP671" s="46">
        <v>0</v>
      </c>
      <c r="AQ671" s="46">
        <v>0</v>
      </c>
      <c r="AR671" s="46">
        <v>0</v>
      </c>
      <c r="AS671" s="46">
        <v>0</v>
      </c>
      <c r="AT671" s="46">
        <v>0</v>
      </c>
      <c r="AU671" s="46">
        <v>0</v>
      </c>
      <c r="AV671" s="46">
        <v>0</v>
      </c>
      <c r="AW671" s="46">
        <v>0</v>
      </c>
      <c r="AX671" s="46">
        <v>0</v>
      </c>
      <c r="AY671" s="46">
        <v>0</v>
      </c>
      <c r="AZ671" s="46">
        <v>0</v>
      </c>
      <c r="BA671" s="46">
        <v>0</v>
      </c>
      <c r="BB671" s="46">
        <v>0</v>
      </c>
      <c r="BC671" s="46">
        <v>0</v>
      </c>
      <c r="BD671" s="46">
        <v>0</v>
      </c>
      <c r="BE671" s="46">
        <v>0</v>
      </c>
      <c r="BF671" s="46">
        <v>0</v>
      </c>
      <c r="BG671" s="46" t="s">
        <v>48</v>
      </c>
      <c r="BH671" s="46">
        <v>0</v>
      </c>
      <c r="BI671" s="46">
        <v>0</v>
      </c>
      <c r="BJ671" s="46">
        <v>0</v>
      </c>
      <c r="BK671" s="46">
        <v>0</v>
      </c>
      <c r="BL671" s="46">
        <v>0</v>
      </c>
      <c r="BM671" s="46">
        <v>0</v>
      </c>
      <c r="BN671" s="46">
        <v>0</v>
      </c>
    </row>
    <row r="672" spans="1:66" x14ac:dyDescent="0.35">
      <c r="A672" t="s">
        <v>3123</v>
      </c>
      <c r="B672" s="44" t="s">
        <v>48</v>
      </c>
      <c r="C672" t="s">
        <v>3127</v>
      </c>
      <c r="D672" t="s">
        <v>3126</v>
      </c>
      <c r="E672" t="s">
        <v>3124</v>
      </c>
      <c r="F672" t="s">
        <v>3098</v>
      </c>
      <c r="G672" t="s">
        <v>47</v>
      </c>
      <c r="H672">
        <v>0</v>
      </c>
      <c r="I672" s="60" t="s">
        <v>881</v>
      </c>
      <c r="J672" s="33" t="s">
        <v>45</v>
      </c>
      <c r="K672" s="46">
        <v>0</v>
      </c>
      <c r="L672">
        <v>37.299999999999997</v>
      </c>
      <c r="M672" t="s">
        <v>48</v>
      </c>
      <c r="N672" s="46">
        <v>1</v>
      </c>
      <c r="O672" s="46">
        <v>0</v>
      </c>
      <c r="P672" s="46">
        <v>0</v>
      </c>
      <c r="Q672" t="s">
        <v>48</v>
      </c>
      <c r="R672" t="s">
        <v>48</v>
      </c>
      <c r="S672" t="s">
        <v>3125</v>
      </c>
      <c r="T672" t="s">
        <v>48</v>
      </c>
      <c r="U672" t="s">
        <v>3125</v>
      </c>
      <c r="V672" s="47">
        <v>0</v>
      </c>
      <c r="W672" t="s">
        <v>48</v>
      </c>
      <c r="X672" t="s">
        <v>48</v>
      </c>
      <c r="Y672" t="s">
        <v>48</v>
      </c>
      <c r="Z672">
        <v>0</v>
      </c>
      <c r="AA672" t="s">
        <v>48</v>
      </c>
      <c r="AB672" t="s">
        <v>48</v>
      </c>
      <c r="AC672" t="s">
        <v>63</v>
      </c>
      <c r="AD672" t="s">
        <v>93</v>
      </c>
      <c r="AE672" t="s">
        <v>4532</v>
      </c>
      <c r="AF672" t="s">
        <v>48</v>
      </c>
      <c r="AG672" t="s">
        <v>48</v>
      </c>
      <c r="AH672" t="s">
        <v>48</v>
      </c>
      <c r="AI672" t="s">
        <v>48</v>
      </c>
      <c r="AJ672" t="s">
        <v>48</v>
      </c>
      <c r="AK672" t="s">
        <v>48</v>
      </c>
      <c r="AL672" t="s">
        <v>48</v>
      </c>
      <c r="AM672" t="s">
        <v>48</v>
      </c>
      <c r="AN672" t="s">
        <v>48</v>
      </c>
      <c r="AO672" t="s">
        <v>48</v>
      </c>
      <c r="AP672" s="46">
        <v>0</v>
      </c>
      <c r="AQ672" s="46">
        <v>0</v>
      </c>
      <c r="AR672" s="46">
        <v>0</v>
      </c>
      <c r="AS672" s="46">
        <v>0</v>
      </c>
      <c r="AT672" s="46">
        <v>0</v>
      </c>
      <c r="AU672" s="46">
        <v>0</v>
      </c>
      <c r="AV672" s="46">
        <v>0</v>
      </c>
      <c r="AW672" s="46">
        <v>0</v>
      </c>
      <c r="AX672" s="46">
        <v>0</v>
      </c>
      <c r="AY672" s="46">
        <v>0</v>
      </c>
      <c r="AZ672" s="46">
        <v>0</v>
      </c>
      <c r="BA672" s="46">
        <v>0</v>
      </c>
      <c r="BB672" s="46">
        <v>0</v>
      </c>
      <c r="BC672" s="46">
        <v>0</v>
      </c>
      <c r="BD672" s="46">
        <v>0</v>
      </c>
      <c r="BE672" s="46">
        <v>0</v>
      </c>
      <c r="BF672" s="46">
        <v>0</v>
      </c>
      <c r="BG672" s="46" t="s">
        <v>48</v>
      </c>
      <c r="BH672" s="46">
        <v>0</v>
      </c>
      <c r="BI672" s="46">
        <v>0</v>
      </c>
      <c r="BJ672" s="46">
        <v>0</v>
      </c>
      <c r="BK672" s="46">
        <v>0</v>
      </c>
      <c r="BL672" s="46">
        <v>0</v>
      </c>
      <c r="BM672" s="46">
        <v>0</v>
      </c>
      <c r="BN672" s="46">
        <v>0</v>
      </c>
    </row>
    <row r="673" spans="1:66" x14ac:dyDescent="0.35">
      <c r="A673" t="s">
        <v>3114</v>
      </c>
      <c r="B673" s="44" t="s">
        <v>48</v>
      </c>
      <c r="C673" t="s">
        <v>3117</v>
      </c>
      <c r="D673" t="s">
        <v>704</v>
      </c>
      <c r="E673" t="s">
        <v>3115</v>
      </c>
      <c r="F673" t="s">
        <v>3098</v>
      </c>
      <c r="G673" t="s">
        <v>74</v>
      </c>
      <c r="H673">
        <v>0</v>
      </c>
      <c r="I673" s="60" t="s">
        <v>51</v>
      </c>
      <c r="J673" s="33" t="s">
        <v>45</v>
      </c>
      <c r="K673" s="46">
        <v>0</v>
      </c>
      <c r="L673">
        <v>56.8</v>
      </c>
      <c r="M673" t="s">
        <v>48</v>
      </c>
      <c r="N673" s="46">
        <v>1</v>
      </c>
      <c r="O673" s="46">
        <v>0</v>
      </c>
      <c r="P673" s="46">
        <v>0</v>
      </c>
      <c r="Q673" t="s">
        <v>48</v>
      </c>
      <c r="R673" t="s">
        <v>48</v>
      </c>
      <c r="S673" t="s">
        <v>3116</v>
      </c>
      <c r="T673" t="s">
        <v>48</v>
      </c>
      <c r="U673" t="s">
        <v>3116</v>
      </c>
      <c r="V673" s="47">
        <v>0</v>
      </c>
      <c r="W673" t="s">
        <v>48</v>
      </c>
      <c r="X673" t="s">
        <v>48</v>
      </c>
      <c r="Y673" t="s">
        <v>48</v>
      </c>
      <c r="Z673">
        <v>0</v>
      </c>
      <c r="AA673" t="s">
        <v>48</v>
      </c>
      <c r="AB673" t="s">
        <v>48</v>
      </c>
      <c r="AC673" t="s">
        <v>49</v>
      </c>
      <c r="AD673" t="s">
        <v>93</v>
      </c>
      <c r="AE673" t="s">
        <v>4532</v>
      </c>
      <c r="AF673" t="s">
        <v>48</v>
      </c>
      <c r="AG673" t="s">
        <v>48</v>
      </c>
      <c r="AH673" t="s">
        <v>93</v>
      </c>
      <c r="AI673" t="s">
        <v>48</v>
      </c>
      <c r="AJ673" t="s">
        <v>48</v>
      </c>
      <c r="AK673" t="s">
        <v>48</v>
      </c>
      <c r="AL673" t="s">
        <v>48</v>
      </c>
      <c r="AM673" t="s">
        <v>48</v>
      </c>
      <c r="AN673" t="s">
        <v>48</v>
      </c>
      <c r="AO673" t="s">
        <v>48</v>
      </c>
      <c r="AP673" s="46">
        <v>0</v>
      </c>
      <c r="AQ673" s="46">
        <v>0</v>
      </c>
      <c r="AR673" s="46">
        <v>0</v>
      </c>
      <c r="AS673" s="46">
        <v>0</v>
      </c>
      <c r="AT673" s="46">
        <v>0</v>
      </c>
      <c r="AU673" s="46">
        <v>0</v>
      </c>
      <c r="AV673" s="46">
        <v>0</v>
      </c>
      <c r="AW673" s="46">
        <v>0</v>
      </c>
      <c r="AX673" s="46">
        <v>0</v>
      </c>
      <c r="AY673" s="46">
        <v>0</v>
      </c>
      <c r="AZ673" s="46">
        <v>0</v>
      </c>
      <c r="BA673" s="46">
        <v>0</v>
      </c>
      <c r="BB673" s="46">
        <v>0</v>
      </c>
      <c r="BC673" s="46">
        <v>0</v>
      </c>
      <c r="BD673" s="46">
        <v>0</v>
      </c>
      <c r="BE673" s="46">
        <v>0</v>
      </c>
      <c r="BF673" s="46">
        <v>0</v>
      </c>
      <c r="BG673" s="46" t="s">
        <v>48</v>
      </c>
      <c r="BH673" s="46">
        <v>0</v>
      </c>
      <c r="BI673" s="46">
        <v>0</v>
      </c>
      <c r="BJ673" s="46">
        <v>0</v>
      </c>
      <c r="BK673" s="46">
        <v>0</v>
      </c>
      <c r="BL673" s="46">
        <v>0</v>
      </c>
      <c r="BM673" s="46">
        <v>0</v>
      </c>
      <c r="BN673" s="46">
        <v>0</v>
      </c>
    </row>
    <row r="674" spans="1:66" x14ac:dyDescent="0.35">
      <c r="A674" t="s">
        <v>9814</v>
      </c>
      <c r="B674" s="44" t="s">
        <v>48</v>
      </c>
      <c r="C674" t="s">
        <v>11939</v>
      </c>
      <c r="D674" t="s">
        <v>603</v>
      </c>
      <c r="E674" t="s">
        <v>9815</v>
      </c>
      <c r="F674" t="s">
        <v>3159</v>
      </c>
      <c r="G674" t="s">
        <v>74</v>
      </c>
      <c r="H674">
        <v>0</v>
      </c>
      <c r="I674" s="61">
        <v>44780</v>
      </c>
      <c r="J674" s="33" t="s">
        <v>45</v>
      </c>
      <c r="K674" s="46">
        <v>0</v>
      </c>
      <c r="L674">
        <v>100</v>
      </c>
      <c r="M674" t="s">
        <v>48</v>
      </c>
      <c r="N674" s="46">
        <v>1</v>
      </c>
      <c r="O674" s="46">
        <v>0</v>
      </c>
      <c r="P674" s="46">
        <v>0</v>
      </c>
      <c r="Q674" t="s">
        <v>48</v>
      </c>
      <c r="R674" t="s">
        <v>48</v>
      </c>
      <c r="S674" s="43" t="s">
        <v>48</v>
      </c>
      <c r="T674" s="43" t="s">
        <v>48</v>
      </c>
      <c r="U674" s="43" t="s">
        <v>48</v>
      </c>
      <c r="V674" s="47">
        <v>1</v>
      </c>
      <c r="W674" t="s">
        <v>11264</v>
      </c>
      <c r="X674" t="s">
        <v>48</v>
      </c>
      <c r="Y674" t="s">
        <v>48</v>
      </c>
      <c r="Z674" t="s">
        <v>48</v>
      </c>
      <c r="AA674" t="s">
        <v>48</v>
      </c>
      <c r="AB674" t="s">
        <v>48</v>
      </c>
      <c r="AC674" t="s">
        <v>49</v>
      </c>
      <c r="AD674" t="s">
        <v>93</v>
      </c>
      <c r="AE674" t="s">
        <v>4532</v>
      </c>
      <c r="AF674" t="s">
        <v>48</v>
      </c>
      <c r="AG674" t="s">
        <v>48</v>
      </c>
      <c r="AH674" t="s">
        <v>48</v>
      </c>
      <c r="AI674" t="s">
        <v>48</v>
      </c>
      <c r="AJ674" t="s">
        <v>48</v>
      </c>
      <c r="AK674" t="s">
        <v>48</v>
      </c>
      <c r="AL674" t="s">
        <v>48</v>
      </c>
      <c r="AM674" t="s">
        <v>48</v>
      </c>
      <c r="AN674" t="s">
        <v>48</v>
      </c>
      <c r="AO674" t="s">
        <v>48</v>
      </c>
      <c r="AP674" s="46">
        <v>0</v>
      </c>
      <c r="AQ674" s="46">
        <v>0</v>
      </c>
      <c r="AR674" s="46">
        <v>0</v>
      </c>
      <c r="AS674" s="46">
        <v>0</v>
      </c>
      <c r="AT674" s="46">
        <v>0</v>
      </c>
      <c r="AU674" s="46">
        <v>0</v>
      </c>
      <c r="AV674" s="46">
        <v>0</v>
      </c>
      <c r="AW674" s="46">
        <v>0</v>
      </c>
      <c r="AX674" s="46">
        <v>0</v>
      </c>
      <c r="AY674" s="46">
        <v>0</v>
      </c>
      <c r="AZ674" s="46">
        <v>0</v>
      </c>
      <c r="BA674" s="46">
        <v>0</v>
      </c>
      <c r="BB674" s="46">
        <v>0</v>
      </c>
      <c r="BC674" s="46">
        <v>0</v>
      </c>
      <c r="BD674" s="46">
        <v>0</v>
      </c>
      <c r="BE674" s="46">
        <v>0</v>
      </c>
      <c r="BF674" s="46">
        <v>0</v>
      </c>
      <c r="BG674" s="46" t="s">
        <v>48</v>
      </c>
      <c r="BH674" s="46">
        <v>0</v>
      </c>
      <c r="BI674" s="46">
        <v>0</v>
      </c>
      <c r="BJ674" s="46">
        <v>0</v>
      </c>
      <c r="BK674" s="46">
        <v>0</v>
      </c>
      <c r="BL674" s="46">
        <v>0</v>
      </c>
      <c r="BM674" s="46">
        <v>0</v>
      </c>
      <c r="BN674" s="46">
        <v>0</v>
      </c>
    </row>
    <row r="675" spans="1:66" x14ac:dyDescent="0.35">
      <c r="A675" t="s">
        <v>3158</v>
      </c>
      <c r="B675" s="44" t="s">
        <v>48</v>
      </c>
      <c r="C675" t="s">
        <v>3164</v>
      </c>
      <c r="D675" t="s">
        <v>3163</v>
      </c>
      <c r="E675" t="s">
        <v>3160</v>
      </c>
      <c r="F675" t="s">
        <v>3159</v>
      </c>
      <c r="G675" t="s">
        <v>47</v>
      </c>
      <c r="H675">
        <v>0</v>
      </c>
      <c r="I675" s="60" t="s">
        <v>51</v>
      </c>
      <c r="J675" s="33" t="s">
        <v>45</v>
      </c>
      <c r="K675" s="46">
        <v>1</v>
      </c>
      <c r="L675">
        <v>100</v>
      </c>
      <c r="M675" t="s">
        <v>48</v>
      </c>
      <c r="N675" s="46">
        <v>1</v>
      </c>
      <c r="O675" s="46">
        <v>0</v>
      </c>
      <c r="P675" s="46">
        <v>0</v>
      </c>
      <c r="Q675" t="s">
        <v>48</v>
      </c>
      <c r="R675" t="s">
        <v>48</v>
      </c>
      <c r="S675" t="s">
        <v>3161</v>
      </c>
      <c r="T675" t="s">
        <v>3162</v>
      </c>
      <c r="U675" t="s">
        <v>3161</v>
      </c>
      <c r="V675" s="47">
        <v>0</v>
      </c>
      <c r="W675" t="s">
        <v>48</v>
      </c>
      <c r="X675" t="s">
        <v>48</v>
      </c>
      <c r="Y675" t="s">
        <v>48</v>
      </c>
      <c r="Z675">
        <v>1</v>
      </c>
      <c r="AA675" t="s">
        <v>48</v>
      </c>
      <c r="AB675">
        <v>2020</v>
      </c>
      <c r="AC675" t="s">
        <v>49</v>
      </c>
      <c r="AD675" t="s">
        <v>93</v>
      </c>
      <c r="AE675" t="s">
        <v>4532</v>
      </c>
      <c r="AF675" t="s">
        <v>48</v>
      </c>
      <c r="AG675" t="s">
        <v>48</v>
      </c>
      <c r="AH675" t="s">
        <v>48</v>
      </c>
      <c r="AI675">
        <v>22134</v>
      </c>
      <c r="AJ675">
        <v>1976</v>
      </c>
      <c r="AK675" t="s">
        <v>8926</v>
      </c>
      <c r="AL675" t="s">
        <v>8927</v>
      </c>
      <c r="AM675">
        <v>0.68400000000000005</v>
      </c>
      <c r="AN675">
        <v>0.25600000000000001</v>
      </c>
      <c r="AO675">
        <v>0.68400000000000005</v>
      </c>
      <c r="AP675" s="46">
        <v>0</v>
      </c>
      <c r="AQ675" s="46">
        <v>0</v>
      </c>
      <c r="AR675" s="46">
        <v>0</v>
      </c>
      <c r="AS675" s="46">
        <v>0</v>
      </c>
      <c r="AT675" s="46">
        <v>0</v>
      </c>
      <c r="AU675" s="46">
        <v>0</v>
      </c>
      <c r="AV675" s="46">
        <v>0</v>
      </c>
      <c r="AW675" s="46">
        <v>0</v>
      </c>
      <c r="AX675" s="46">
        <v>0</v>
      </c>
      <c r="AY675" s="46">
        <v>0</v>
      </c>
      <c r="AZ675" s="46">
        <v>0</v>
      </c>
      <c r="BA675" s="46">
        <v>0</v>
      </c>
      <c r="BB675" s="46">
        <v>1</v>
      </c>
      <c r="BC675" s="46">
        <v>0</v>
      </c>
      <c r="BD675" s="46">
        <v>0</v>
      </c>
      <c r="BE675" s="46">
        <v>0</v>
      </c>
      <c r="BF675" s="46">
        <v>0</v>
      </c>
      <c r="BG675" s="46">
        <v>1</v>
      </c>
      <c r="BH675" s="46">
        <v>0</v>
      </c>
      <c r="BI675" s="46">
        <v>0</v>
      </c>
      <c r="BJ675" s="46">
        <v>0</v>
      </c>
      <c r="BK675" s="46">
        <v>0</v>
      </c>
      <c r="BL675" s="46">
        <v>0</v>
      </c>
      <c r="BM675" s="46">
        <v>0</v>
      </c>
      <c r="BN675" s="46">
        <v>1</v>
      </c>
    </row>
    <row r="676" spans="1:66" x14ac:dyDescent="0.35">
      <c r="A676" t="s">
        <v>3166</v>
      </c>
      <c r="B676" s="44" t="s">
        <v>48</v>
      </c>
      <c r="C676" t="s">
        <v>3170</v>
      </c>
      <c r="D676" t="s">
        <v>518</v>
      </c>
      <c r="E676" t="s">
        <v>3167</v>
      </c>
      <c r="F676" t="s">
        <v>3165</v>
      </c>
      <c r="G676" t="s">
        <v>47</v>
      </c>
      <c r="H676">
        <v>0</v>
      </c>
      <c r="I676" s="60" t="s">
        <v>51</v>
      </c>
      <c r="J676" s="33" t="s">
        <v>45</v>
      </c>
      <c r="K676" s="46">
        <v>1</v>
      </c>
      <c r="L676">
        <v>100</v>
      </c>
      <c r="M676" t="s">
        <v>48</v>
      </c>
      <c r="N676" s="46">
        <v>1</v>
      </c>
      <c r="O676" s="46">
        <v>0</v>
      </c>
      <c r="P676" s="46">
        <v>0</v>
      </c>
      <c r="Q676" t="s">
        <v>48</v>
      </c>
      <c r="R676" t="s">
        <v>48</v>
      </c>
      <c r="S676" t="s">
        <v>3168</v>
      </c>
      <c r="T676" t="s">
        <v>3169</v>
      </c>
      <c r="U676" t="s">
        <v>3168</v>
      </c>
      <c r="V676" s="47">
        <v>0</v>
      </c>
      <c r="W676" t="s">
        <v>48</v>
      </c>
      <c r="X676" t="s">
        <v>48</v>
      </c>
      <c r="Y676" t="s">
        <v>48</v>
      </c>
      <c r="Z676">
        <v>1</v>
      </c>
      <c r="AA676" t="s">
        <v>48</v>
      </c>
      <c r="AB676">
        <v>2020</v>
      </c>
      <c r="AC676" t="s">
        <v>49</v>
      </c>
      <c r="AD676" t="s">
        <v>93</v>
      </c>
      <c r="AE676" t="s">
        <v>4532</v>
      </c>
      <c r="AF676" t="s">
        <v>48</v>
      </c>
      <c r="AG676" t="s">
        <v>48</v>
      </c>
      <c r="AH676" t="s">
        <v>48</v>
      </c>
      <c r="AI676">
        <v>22130</v>
      </c>
      <c r="AJ676">
        <v>1988</v>
      </c>
      <c r="AK676" t="s">
        <v>8928</v>
      </c>
      <c r="AL676" t="s">
        <v>8929</v>
      </c>
      <c r="AM676">
        <v>0.505</v>
      </c>
      <c r="AN676">
        <v>0.41899999999999998</v>
      </c>
      <c r="AO676">
        <v>0.505</v>
      </c>
      <c r="AP676" s="46">
        <v>0</v>
      </c>
      <c r="AQ676" s="46">
        <v>0</v>
      </c>
      <c r="AR676" s="46">
        <v>0</v>
      </c>
      <c r="AS676" s="46">
        <v>0</v>
      </c>
      <c r="AT676" s="46">
        <v>0</v>
      </c>
      <c r="AU676" s="46">
        <v>0</v>
      </c>
      <c r="AV676" s="46">
        <v>0</v>
      </c>
      <c r="AW676" s="46">
        <v>0</v>
      </c>
      <c r="AX676" s="46">
        <v>0</v>
      </c>
      <c r="AY676" s="46">
        <v>0</v>
      </c>
      <c r="AZ676" s="46">
        <v>0</v>
      </c>
      <c r="BA676" s="46">
        <v>0</v>
      </c>
      <c r="BB676" s="46">
        <v>1</v>
      </c>
      <c r="BC676" s="46">
        <v>0</v>
      </c>
      <c r="BD676" s="46">
        <v>0</v>
      </c>
      <c r="BE676" s="46">
        <v>0</v>
      </c>
      <c r="BF676" s="46">
        <v>0</v>
      </c>
      <c r="BG676" s="46">
        <v>1</v>
      </c>
      <c r="BH676" s="46">
        <v>0</v>
      </c>
      <c r="BI676" s="46">
        <v>0</v>
      </c>
      <c r="BJ676" s="46">
        <v>0</v>
      </c>
      <c r="BK676" s="46">
        <v>0</v>
      </c>
      <c r="BL676" s="46">
        <v>0</v>
      </c>
      <c r="BM676" s="46">
        <v>0</v>
      </c>
      <c r="BN676" s="46">
        <v>0</v>
      </c>
    </row>
    <row r="677" spans="1:66" x14ac:dyDescent="0.35">
      <c r="A677" t="s">
        <v>3171</v>
      </c>
      <c r="B677" t="s">
        <v>48</v>
      </c>
      <c r="C677" t="s">
        <v>3174</v>
      </c>
      <c r="D677" t="s">
        <v>1237</v>
      </c>
      <c r="E677" t="s">
        <v>3172</v>
      </c>
      <c r="F677" t="s">
        <v>3165</v>
      </c>
      <c r="G677" t="s">
        <v>74</v>
      </c>
      <c r="H677">
        <v>0</v>
      </c>
      <c r="I677" s="60" t="s">
        <v>51</v>
      </c>
      <c r="J677" s="33" t="s">
        <v>45</v>
      </c>
      <c r="K677" s="46">
        <v>0</v>
      </c>
      <c r="L677">
        <v>100</v>
      </c>
      <c r="M677" t="s">
        <v>48</v>
      </c>
      <c r="N677" s="46">
        <v>1</v>
      </c>
      <c r="O677" s="46">
        <v>0</v>
      </c>
      <c r="P677" s="46">
        <v>0</v>
      </c>
      <c r="Q677" t="s">
        <v>48</v>
      </c>
      <c r="R677" t="s">
        <v>48</v>
      </c>
      <c r="S677" t="s">
        <v>3173</v>
      </c>
      <c r="T677" t="s">
        <v>48</v>
      </c>
      <c r="U677" t="s">
        <v>3173</v>
      </c>
      <c r="V677" s="47">
        <v>0</v>
      </c>
      <c r="W677" t="s">
        <v>48</v>
      </c>
      <c r="X677" t="s">
        <v>48</v>
      </c>
      <c r="Y677" t="s">
        <v>48</v>
      </c>
      <c r="Z677">
        <v>0</v>
      </c>
      <c r="AA677" t="s">
        <v>48</v>
      </c>
      <c r="AB677" t="s">
        <v>48</v>
      </c>
      <c r="AC677" t="s">
        <v>49</v>
      </c>
      <c r="AD677" t="s">
        <v>93</v>
      </c>
      <c r="AE677" t="s">
        <v>4532</v>
      </c>
      <c r="AF677" t="s">
        <v>48</v>
      </c>
      <c r="AG677" t="s">
        <v>48</v>
      </c>
      <c r="AH677" t="s">
        <v>48</v>
      </c>
      <c r="AI677" t="s">
        <v>48</v>
      </c>
      <c r="AJ677" t="s">
        <v>48</v>
      </c>
      <c r="AK677" t="s">
        <v>48</v>
      </c>
      <c r="AL677" t="s">
        <v>48</v>
      </c>
      <c r="AM677" t="s">
        <v>48</v>
      </c>
      <c r="AN677" t="s">
        <v>48</v>
      </c>
      <c r="AO677" t="s">
        <v>48</v>
      </c>
      <c r="AP677" s="46">
        <v>0</v>
      </c>
      <c r="AQ677" s="46">
        <v>0</v>
      </c>
      <c r="AR677" s="46">
        <v>0</v>
      </c>
      <c r="AS677" s="46">
        <v>0</v>
      </c>
      <c r="AT677" s="46">
        <v>0</v>
      </c>
      <c r="AU677" s="46">
        <v>0</v>
      </c>
      <c r="AV677" s="46">
        <v>0</v>
      </c>
      <c r="AW677" s="46">
        <v>0</v>
      </c>
      <c r="AX677" s="46">
        <v>1</v>
      </c>
      <c r="AY677" s="46">
        <v>0</v>
      </c>
      <c r="AZ677" s="46">
        <v>0</v>
      </c>
      <c r="BA677" s="46">
        <v>0</v>
      </c>
      <c r="BB677" s="46">
        <v>0</v>
      </c>
      <c r="BC677" s="46">
        <v>0</v>
      </c>
      <c r="BD677" s="46">
        <v>0</v>
      </c>
      <c r="BE677" s="46">
        <v>0</v>
      </c>
      <c r="BF677" s="46">
        <v>0</v>
      </c>
      <c r="BG677" s="46" t="s">
        <v>48</v>
      </c>
      <c r="BH677" s="46">
        <v>0</v>
      </c>
      <c r="BI677" s="46">
        <v>0</v>
      </c>
      <c r="BJ677" s="46">
        <v>0</v>
      </c>
      <c r="BK677" s="46">
        <v>0</v>
      </c>
      <c r="BL677" s="46">
        <v>1</v>
      </c>
      <c r="BM677" s="46">
        <v>0</v>
      </c>
      <c r="BN677" s="46">
        <v>0</v>
      </c>
    </row>
    <row r="678" spans="1:66" x14ac:dyDescent="0.35">
      <c r="A678" t="s">
        <v>3175</v>
      </c>
      <c r="B678" s="44" t="s">
        <v>48</v>
      </c>
      <c r="C678" t="s">
        <v>3179</v>
      </c>
      <c r="D678" t="s">
        <v>2036</v>
      </c>
      <c r="E678" t="s">
        <v>3177</v>
      </c>
      <c r="F678" t="s">
        <v>3176</v>
      </c>
      <c r="G678" t="s">
        <v>47</v>
      </c>
      <c r="H678">
        <v>0</v>
      </c>
      <c r="I678" s="60" t="s">
        <v>51</v>
      </c>
      <c r="J678" s="33" t="s">
        <v>45</v>
      </c>
      <c r="K678" s="46">
        <v>0</v>
      </c>
      <c r="L678">
        <v>77.3</v>
      </c>
      <c r="M678" t="s">
        <v>48</v>
      </c>
      <c r="N678" s="46">
        <v>1</v>
      </c>
      <c r="O678" s="46">
        <v>0</v>
      </c>
      <c r="P678" s="46">
        <v>0</v>
      </c>
      <c r="Q678" t="s">
        <v>48</v>
      </c>
      <c r="R678" t="s">
        <v>48</v>
      </c>
      <c r="S678" t="s">
        <v>3178</v>
      </c>
      <c r="T678" t="s">
        <v>48</v>
      </c>
      <c r="U678" t="s">
        <v>3178</v>
      </c>
      <c r="V678" s="47">
        <v>0</v>
      </c>
      <c r="W678" t="s">
        <v>48</v>
      </c>
      <c r="X678" t="s">
        <v>48</v>
      </c>
      <c r="Y678" t="s">
        <v>48</v>
      </c>
      <c r="Z678">
        <v>0</v>
      </c>
      <c r="AA678" t="s">
        <v>48</v>
      </c>
      <c r="AB678" t="s">
        <v>48</v>
      </c>
      <c r="AC678" t="s">
        <v>63</v>
      </c>
      <c r="AD678" t="s">
        <v>93</v>
      </c>
      <c r="AE678" t="s">
        <v>4532</v>
      </c>
      <c r="AF678" t="s">
        <v>48</v>
      </c>
      <c r="AG678" t="s">
        <v>109</v>
      </c>
      <c r="AH678" t="s">
        <v>48</v>
      </c>
      <c r="AI678" t="s">
        <v>48</v>
      </c>
      <c r="AJ678" t="s">
        <v>48</v>
      </c>
      <c r="AK678" t="s">
        <v>48</v>
      </c>
      <c r="AL678" t="s">
        <v>48</v>
      </c>
      <c r="AM678" t="s">
        <v>48</v>
      </c>
      <c r="AN678" t="s">
        <v>48</v>
      </c>
      <c r="AO678" t="s">
        <v>48</v>
      </c>
      <c r="AP678" s="46">
        <v>0</v>
      </c>
      <c r="AQ678" s="46">
        <v>0</v>
      </c>
      <c r="AR678" s="46">
        <v>0</v>
      </c>
      <c r="AS678" s="46">
        <v>0</v>
      </c>
      <c r="AT678" s="46">
        <v>0</v>
      </c>
      <c r="AU678" s="46">
        <v>0</v>
      </c>
      <c r="AV678" s="46">
        <v>0</v>
      </c>
      <c r="AW678" s="46">
        <v>0</v>
      </c>
      <c r="AX678" s="46">
        <v>0</v>
      </c>
      <c r="AY678" s="46">
        <v>0</v>
      </c>
      <c r="AZ678" s="46">
        <v>0</v>
      </c>
      <c r="BA678" s="46">
        <v>0</v>
      </c>
      <c r="BB678" s="46">
        <v>0</v>
      </c>
      <c r="BC678" s="46">
        <v>0</v>
      </c>
      <c r="BD678" s="46">
        <v>0</v>
      </c>
      <c r="BE678" s="46">
        <v>0</v>
      </c>
      <c r="BF678" s="46">
        <v>0</v>
      </c>
      <c r="BG678" s="46" t="s">
        <v>48</v>
      </c>
      <c r="BH678" s="46">
        <v>0</v>
      </c>
      <c r="BI678" s="46">
        <v>0</v>
      </c>
      <c r="BJ678" s="46">
        <v>0</v>
      </c>
      <c r="BK678" s="46">
        <v>0</v>
      </c>
      <c r="BL678" s="46">
        <v>0</v>
      </c>
      <c r="BM678" s="46">
        <v>0</v>
      </c>
      <c r="BN678" s="46">
        <v>0</v>
      </c>
    </row>
    <row r="679" spans="1:66" x14ac:dyDescent="0.35">
      <c r="A679" t="s">
        <v>3180</v>
      </c>
      <c r="B679" t="s">
        <v>48</v>
      </c>
      <c r="C679" t="s">
        <v>3185</v>
      </c>
      <c r="D679" t="s">
        <v>3184</v>
      </c>
      <c r="E679" t="s">
        <v>3181</v>
      </c>
      <c r="F679" t="s">
        <v>3176</v>
      </c>
      <c r="G679" t="s">
        <v>74</v>
      </c>
      <c r="H679">
        <v>0</v>
      </c>
      <c r="I679" s="60" t="s">
        <v>51</v>
      </c>
      <c r="J679" s="33" t="s">
        <v>45</v>
      </c>
      <c r="K679" s="46">
        <v>1</v>
      </c>
      <c r="L679">
        <v>100</v>
      </c>
      <c r="M679" t="s">
        <v>48</v>
      </c>
      <c r="N679" s="46">
        <v>1</v>
      </c>
      <c r="O679" s="46">
        <v>0</v>
      </c>
      <c r="P679" s="46">
        <v>0</v>
      </c>
      <c r="Q679" t="s">
        <v>48</v>
      </c>
      <c r="R679" t="s">
        <v>48</v>
      </c>
      <c r="S679" t="s">
        <v>3182</v>
      </c>
      <c r="T679" t="s">
        <v>3183</v>
      </c>
      <c r="U679" t="s">
        <v>3182</v>
      </c>
      <c r="V679" s="47">
        <v>0</v>
      </c>
      <c r="W679" t="s">
        <v>48</v>
      </c>
      <c r="X679" t="s">
        <v>48</v>
      </c>
      <c r="Y679" t="s">
        <v>48</v>
      </c>
      <c r="Z679">
        <v>0</v>
      </c>
      <c r="AA679" t="s">
        <v>48</v>
      </c>
      <c r="AB679">
        <v>2018</v>
      </c>
      <c r="AC679" t="s">
        <v>63</v>
      </c>
      <c r="AD679" t="s">
        <v>93</v>
      </c>
      <c r="AE679" t="s">
        <v>11051</v>
      </c>
      <c r="AF679" t="s">
        <v>11086</v>
      </c>
      <c r="AG679" t="s">
        <v>876</v>
      </c>
      <c r="AH679" t="s">
        <v>2043</v>
      </c>
      <c r="AI679">
        <v>21914</v>
      </c>
      <c r="AJ679">
        <v>1980</v>
      </c>
      <c r="AK679" t="s">
        <v>8930</v>
      </c>
      <c r="AL679" t="s">
        <v>8931</v>
      </c>
      <c r="AM679">
        <v>-0.25800000000000001</v>
      </c>
      <c r="AN679">
        <v>0.247</v>
      </c>
      <c r="AO679">
        <v>-0.25800000000000001</v>
      </c>
      <c r="AP679" s="46">
        <v>0</v>
      </c>
      <c r="AQ679" s="46">
        <v>0</v>
      </c>
      <c r="AR679" s="46">
        <v>0</v>
      </c>
      <c r="AS679" s="46">
        <v>0</v>
      </c>
      <c r="AT679" s="46">
        <v>0</v>
      </c>
      <c r="AU679" s="46">
        <v>1</v>
      </c>
      <c r="AV679" s="46">
        <v>0</v>
      </c>
      <c r="AW679" s="46">
        <v>0</v>
      </c>
      <c r="AX679" s="46">
        <v>0</v>
      </c>
      <c r="AY679" s="46">
        <v>0</v>
      </c>
      <c r="AZ679" s="46">
        <v>0</v>
      </c>
      <c r="BA679" s="46">
        <v>0</v>
      </c>
      <c r="BB679" s="46">
        <v>0</v>
      </c>
      <c r="BC679" s="46">
        <v>0</v>
      </c>
      <c r="BD679" s="46">
        <v>0</v>
      </c>
      <c r="BE679" s="46">
        <v>0</v>
      </c>
      <c r="BF679" s="46">
        <v>0</v>
      </c>
      <c r="BG679" s="46" t="s">
        <v>48</v>
      </c>
      <c r="BH679" s="46">
        <v>0</v>
      </c>
      <c r="BI679" s="46">
        <v>0</v>
      </c>
      <c r="BJ679" s="46">
        <v>0</v>
      </c>
      <c r="BK679" s="46">
        <v>0</v>
      </c>
      <c r="BL679" s="46">
        <v>1</v>
      </c>
      <c r="BM679" s="46">
        <v>0</v>
      </c>
      <c r="BN679" s="46">
        <v>0</v>
      </c>
    </row>
    <row r="680" spans="1:66" x14ac:dyDescent="0.35">
      <c r="A680" t="s">
        <v>9816</v>
      </c>
      <c r="B680" s="44" t="s">
        <v>48</v>
      </c>
      <c r="C680" t="s">
        <v>766</v>
      </c>
      <c r="D680" t="s">
        <v>2513</v>
      </c>
      <c r="E680" t="s">
        <v>9817</v>
      </c>
      <c r="F680" t="s">
        <v>3190</v>
      </c>
      <c r="G680" t="s">
        <v>74</v>
      </c>
      <c r="H680">
        <v>0</v>
      </c>
      <c r="I680" s="61">
        <v>44780</v>
      </c>
      <c r="J680" s="33" t="s">
        <v>45</v>
      </c>
      <c r="K680" s="46">
        <v>0</v>
      </c>
      <c r="L680">
        <v>100</v>
      </c>
      <c r="M680" t="s">
        <v>48</v>
      </c>
      <c r="N680" s="46">
        <v>1</v>
      </c>
      <c r="O680" s="46">
        <v>0</v>
      </c>
      <c r="P680" s="46">
        <v>0</v>
      </c>
      <c r="Q680" t="s">
        <v>48</v>
      </c>
      <c r="R680" t="s">
        <v>48</v>
      </c>
      <c r="S680" s="43" t="s">
        <v>48</v>
      </c>
      <c r="T680" s="43" t="s">
        <v>48</v>
      </c>
      <c r="U680" s="43" t="s">
        <v>48</v>
      </c>
      <c r="V680" s="47">
        <v>1</v>
      </c>
      <c r="W680" t="s">
        <v>11264</v>
      </c>
      <c r="X680" t="s">
        <v>48</v>
      </c>
      <c r="Y680" t="s">
        <v>48</v>
      </c>
      <c r="Z680" t="s">
        <v>48</v>
      </c>
      <c r="AA680" t="s">
        <v>48</v>
      </c>
      <c r="AB680" t="s">
        <v>48</v>
      </c>
      <c r="AC680" t="s">
        <v>49</v>
      </c>
      <c r="AD680" t="s">
        <v>951</v>
      </c>
      <c r="AE680" t="s">
        <v>11051</v>
      </c>
      <c r="AF680" t="s">
        <v>48</v>
      </c>
      <c r="AG680" t="s">
        <v>48</v>
      </c>
      <c r="AH680" t="s">
        <v>48</v>
      </c>
      <c r="AI680" t="s">
        <v>48</v>
      </c>
      <c r="AJ680" t="s">
        <v>48</v>
      </c>
      <c r="AK680" t="s">
        <v>48</v>
      </c>
      <c r="AL680" t="s">
        <v>48</v>
      </c>
      <c r="AM680" t="s">
        <v>48</v>
      </c>
      <c r="AN680" t="s">
        <v>48</v>
      </c>
      <c r="AO680" t="s">
        <v>48</v>
      </c>
      <c r="AP680" s="46">
        <v>0</v>
      </c>
      <c r="AQ680" s="46">
        <v>0</v>
      </c>
      <c r="AR680" s="46">
        <v>0</v>
      </c>
      <c r="AS680" s="46">
        <v>0</v>
      </c>
      <c r="AT680" s="46">
        <v>0</v>
      </c>
      <c r="AU680" s="46">
        <v>0</v>
      </c>
      <c r="AV680" s="46">
        <v>0</v>
      </c>
      <c r="AW680" s="46">
        <v>0</v>
      </c>
      <c r="AX680" s="46">
        <v>0</v>
      </c>
      <c r="AY680" s="46">
        <v>0</v>
      </c>
      <c r="AZ680" s="46">
        <v>0</v>
      </c>
      <c r="BA680" s="46">
        <v>0</v>
      </c>
      <c r="BB680" s="46">
        <v>0</v>
      </c>
      <c r="BC680" s="46">
        <v>0</v>
      </c>
      <c r="BD680" s="46">
        <v>0</v>
      </c>
      <c r="BE680" s="46">
        <v>0</v>
      </c>
      <c r="BF680" s="46">
        <v>0</v>
      </c>
      <c r="BG680" s="46" t="s">
        <v>48</v>
      </c>
      <c r="BH680" s="46">
        <v>0</v>
      </c>
      <c r="BI680" s="46">
        <v>0</v>
      </c>
      <c r="BJ680" s="46">
        <v>0</v>
      </c>
      <c r="BK680" s="46">
        <v>0</v>
      </c>
      <c r="BL680" s="46">
        <v>0</v>
      </c>
      <c r="BM680" s="46">
        <v>0</v>
      </c>
      <c r="BN680" s="46">
        <v>0</v>
      </c>
    </row>
    <row r="681" spans="1:66" x14ac:dyDescent="0.35">
      <c r="A681" t="s">
        <v>3189</v>
      </c>
      <c r="B681" s="44" t="s">
        <v>48</v>
      </c>
      <c r="C681" t="s">
        <v>3194</v>
      </c>
      <c r="D681" t="s">
        <v>673</v>
      </c>
      <c r="E681" t="s">
        <v>3191</v>
      </c>
      <c r="F681" t="s">
        <v>3190</v>
      </c>
      <c r="G681" t="s">
        <v>47</v>
      </c>
      <c r="H681">
        <v>0</v>
      </c>
      <c r="I681" s="60" t="s">
        <v>51</v>
      </c>
      <c r="J681" s="33" t="s">
        <v>45</v>
      </c>
      <c r="K681" s="46">
        <v>1</v>
      </c>
      <c r="L681">
        <v>100</v>
      </c>
      <c r="M681" t="s">
        <v>48</v>
      </c>
      <c r="N681" s="46">
        <v>1</v>
      </c>
      <c r="O681" s="46">
        <v>0</v>
      </c>
      <c r="P681" s="46">
        <v>0</v>
      </c>
      <c r="Q681" t="s">
        <v>48</v>
      </c>
      <c r="R681" t="s">
        <v>48</v>
      </c>
      <c r="S681" t="s">
        <v>3192</v>
      </c>
      <c r="T681" t="s">
        <v>3193</v>
      </c>
      <c r="U681" t="s">
        <v>3192</v>
      </c>
      <c r="V681" s="47">
        <v>0</v>
      </c>
      <c r="W681" t="s">
        <v>48</v>
      </c>
      <c r="X681" t="s">
        <v>48</v>
      </c>
      <c r="Y681" t="s">
        <v>48</v>
      </c>
      <c r="Z681">
        <v>0</v>
      </c>
      <c r="AA681" t="s">
        <v>48</v>
      </c>
      <c r="AB681" t="s">
        <v>1288</v>
      </c>
      <c r="AC681" t="s">
        <v>49</v>
      </c>
      <c r="AD681" t="s">
        <v>93</v>
      </c>
      <c r="AE681" t="s">
        <v>4532</v>
      </c>
      <c r="AF681" t="s">
        <v>48</v>
      </c>
      <c r="AG681" t="s">
        <v>1105</v>
      </c>
      <c r="AH681" t="s">
        <v>93</v>
      </c>
      <c r="AI681">
        <v>21750</v>
      </c>
      <c r="AJ681">
        <v>1956</v>
      </c>
      <c r="AK681" t="s">
        <v>8932</v>
      </c>
      <c r="AL681" t="s">
        <v>8933</v>
      </c>
      <c r="AM681">
        <v>0.63400000000000001</v>
      </c>
      <c r="AN681">
        <v>3.6999999999999998E-2</v>
      </c>
      <c r="AO681">
        <v>0.63400000000000001</v>
      </c>
      <c r="AP681" s="46">
        <v>0</v>
      </c>
      <c r="AQ681" s="46">
        <v>0</v>
      </c>
      <c r="AR681" s="46">
        <v>0</v>
      </c>
      <c r="AS681" s="46">
        <v>0</v>
      </c>
      <c r="AT681" s="46">
        <v>0</v>
      </c>
      <c r="AU681" s="46">
        <v>0</v>
      </c>
      <c r="AV681" s="46">
        <v>0</v>
      </c>
      <c r="AW681" s="46">
        <v>0</v>
      </c>
      <c r="AX681" s="46">
        <v>0</v>
      </c>
      <c r="AY681" s="46">
        <v>0</v>
      </c>
      <c r="AZ681" s="46">
        <v>0</v>
      </c>
      <c r="BA681" s="46">
        <v>0</v>
      </c>
      <c r="BB681" s="46">
        <v>1</v>
      </c>
      <c r="BC681" s="46">
        <v>0</v>
      </c>
      <c r="BD681" s="46">
        <v>0</v>
      </c>
      <c r="BE681" s="46">
        <v>0</v>
      </c>
      <c r="BF681" s="46">
        <v>0</v>
      </c>
      <c r="BG681" s="46">
        <v>1</v>
      </c>
      <c r="BH681" s="46">
        <v>0</v>
      </c>
      <c r="BI681" s="46">
        <v>0</v>
      </c>
      <c r="BJ681" s="46">
        <v>0</v>
      </c>
      <c r="BK681" s="46">
        <v>0</v>
      </c>
      <c r="BL681" s="46">
        <v>0</v>
      </c>
      <c r="BM681" s="46">
        <v>0</v>
      </c>
      <c r="BN681" s="46">
        <v>1</v>
      </c>
    </row>
    <row r="682" spans="1:66" x14ac:dyDescent="0.35">
      <c r="A682" t="s">
        <v>3225</v>
      </c>
      <c r="B682" s="44" t="s">
        <v>48</v>
      </c>
      <c r="C682" t="s">
        <v>3229</v>
      </c>
      <c r="D682" t="s">
        <v>603</v>
      </c>
      <c r="E682" t="s">
        <v>3226</v>
      </c>
      <c r="F682" t="s">
        <v>3221</v>
      </c>
      <c r="G682" t="s">
        <v>47</v>
      </c>
      <c r="H682">
        <v>0</v>
      </c>
      <c r="I682" s="60" t="s">
        <v>51</v>
      </c>
      <c r="J682" s="33" t="s">
        <v>45</v>
      </c>
      <c r="K682" s="46">
        <v>1</v>
      </c>
      <c r="L682">
        <v>100</v>
      </c>
      <c r="M682" t="s">
        <v>48</v>
      </c>
      <c r="N682" s="46">
        <v>1</v>
      </c>
      <c r="O682" s="46">
        <v>0</v>
      </c>
      <c r="P682" s="46">
        <v>0</v>
      </c>
      <c r="Q682" t="s">
        <v>48</v>
      </c>
      <c r="R682" t="s">
        <v>48</v>
      </c>
      <c r="S682" t="s">
        <v>3227</v>
      </c>
      <c r="T682" t="s">
        <v>3228</v>
      </c>
      <c r="U682" t="s">
        <v>3227</v>
      </c>
      <c r="V682" s="47">
        <v>0</v>
      </c>
      <c r="W682" t="s">
        <v>48</v>
      </c>
      <c r="X682" t="s">
        <v>48</v>
      </c>
      <c r="Y682" t="s">
        <v>48</v>
      </c>
      <c r="Z682">
        <v>0</v>
      </c>
      <c r="AA682" t="s">
        <v>48</v>
      </c>
      <c r="AB682">
        <v>2016</v>
      </c>
      <c r="AC682" t="s">
        <v>49</v>
      </c>
      <c r="AD682" t="s">
        <v>93</v>
      </c>
      <c r="AE682" t="s">
        <v>4532</v>
      </c>
      <c r="AF682" t="s">
        <v>48</v>
      </c>
      <c r="AG682" t="s">
        <v>184</v>
      </c>
      <c r="AH682" t="s">
        <v>93</v>
      </c>
      <c r="AI682">
        <v>21565</v>
      </c>
      <c r="AJ682">
        <v>1972</v>
      </c>
      <c r="AK682" t="s">
        <v>8934</v>
      </c>
      <c r="AL682" t="s">
        <v>8935</v>
      </c>
      <c r="AM682">
        <v>0.59499999999999997</v>
      </c>
      <c r="AN682">
        <v>-1.0999999999999999E-2</v>
      </c>
      <c r="AO682">
        <v>0.59499999999999997</v>
      </c>
      <c r="AP682" s="46">
        <v>0</v>
      </c>
      <c r="AQ682" s="46">
        <v>0</v>
      </c>
      <c r="AR682" s="46">
        <v>0</v>
      </c>
      <c r="AS682" s="46">
        <v>0</v>
      </c>
      <c r="AT682" s="46">
        <v>0</v>
      </c>
      <c r="AU682" s="46">
        <v>0</v>
      </c>
      <c r="AV682" s="46">
        <v>0</v>
      </c>
      <c r="AW682" s="46">
        <v>0</v>
      </c>
      <c r="AX682" s="46">
        <v>0</v>
      </c>
      <c r="AY682" s="46">
        <v>0</v>
      </c>
      <c r="AZ682" s="46">
        <v>0</v>
      </c>
      <c r="BA682" s="46">
        <v>0</v>
      </c>
      <c r="BB682" s="46">
        <v>1</v>
      </c>
      <c r="BC682" s="46">
        <v>0</v>
      </c>
      <c r="BD682" s="46">
        <v>0</v>
      </c>
      <c r="BE682" s="46">
        <v>0</v>
      </c>
      <c r="BF682" s="46">
        <v>0</v>
      </c>
      <c r="BG682" s="46" t="s">
        <v>48</v>
      </c>
      <c r="BH682" s="46">
        <v>0</v>
      </c>
      <c r="BI682" s="46">
        <v>0</v>
      </c>
      <c r="BJ682" s="46">
        <v>0</v>
      </c>
      <c r="BK682" s="46">
        <v>0</v>
      </c>
      <c r="BL682" s="46">
        <v>0</v>
      </c>
      <c r="BM682" s="46">
        <v>0</v>
      </c>
      <c r="BN682" s="46">
        <v>0</v>
      </c>
    </row>
    <row r="683" spans="1:66" x14ac:dyDescent="0.35">
      <c r="A683" t="s">
        <v>3220</v>
      </c>
      <c r="B683" s="44" t="s">
        <v>48</v>
      </c>
      <c r="C683" t="s">
        <v>3224</v>
      </c>
      <c r="D683" t="s">
        <v>1118</v>
      </c>
      <c r="E683" t="s">
        <v>3222</v>
      </c>
      <c r="F683" t="s">
        <v>3221</v>
      </c>
      <c r="G683" t="s">
        <v>74</v>
      </c>
      <c r="H683">
        <v>0</v>
      </c>
      <c r="I683" s="60" t="s">
        <v>51</v>
      </c>
      <c r="J683" s="33" t="s">
        <v>45</v>
      </c>
      <c r="K683" s="46">
        <v>0</v>
      </c>
      <c r="L683">
        <v>100</v>
      </c>
      <c r="M683" t="s">
        <v>48</v>
      </c>
      <c r="N683" s="46">
        <v>1</v>
      </c>
      <c r="O683" s="46">
        <v>0</v>
      </c>
      <c r="P683" s="46">
        <v>0</v>
      </c>
      <c r="Q683" t="s">
        <v>48</v>
      </c>
      <c r="R683" t="s">
        <v>48</v>
      </c>
      <c r="S683" t="s">
        <v>3223</v>
      </c>
      <c r="T683" t="s">
        <v>48</v>
      </c>
      <c r="U683" t="s">
        <v>3223</v>
      </c>
      <c r="V683" s="47">
        <v>0</v>
      </c>
      <c r="W683" t="s">
        <v>48</v>
      </c>
      <c r="X683" t="s">
        <v>48</v>
      </c>
      <c r="Y683" t="s">
        <v>48</v>
      </c>
      <c r="Z683">
        <v>0</v>
      </c>
      <c r="AA683" t="s">
        <v>48</v>
      </c>
      <c r="AB683" t="s">
        <v>48</v>
      </c>
      <c r="AC683" t="s">
        <v>49</v>
      </c>
      <c r="AD683" t="s">
        <v>93</v>
      </c>
      <c r="AE683" t="s">
        <v>4532</v>
      </c>
      <c r="AF683" t="s">
        <v>48</v>
      </c>
      <c r="AG683" t="s">
        <v>48</v>
      </c>
      <c r="AH683" t="s">
        <v>426</v>
      </c>
      <c r="AI683" t="s">
        <v>48</v>
      </c>
      <c r="AJ683" t="s">
        <v>48</v>
      </c>
      <c r="AK683" t="s">
        <v>48</v>
      </c>
      <c r="AL683" t="s">
        <v>48</v>
      </c>
      <c r="AM683" t="s">
        <v>48</v>
      </c>
      <c r="AN683" t="s">
        <v>48</v>
      </c>
      <c r="AO683" t="s">
        <v>48</v>
      </c>
      <c r="AP683" s="46">
        <v>0</v>
      </c>
      <c r="AQ683" s="46">
        <v>0</v>
      </c>
      <c r="AR683" s="46">
        <v>0</v>
      </c>
      <c r="AS683" s="46">
        <v>0</v>
      </c>
      <c r="AT683" s="46">
        <v>0</v>
      </c>
      <c r="AU683" s="46">
        <v>0</v>
      </c>
      <c r="AV683" s="46">
        <v>0</v>
      </c>
      <c r="AW683" s="46">
        <v>0</v>
      </c>
      <c r="AX683" s="46">
        <v>0</v>
      </c>
      <c r="AY683" s="46">
        <v>0</v>
      </c>
      <c r="AZ683" s="46">
        <v>0</v>
      </c>
      <c r="BA683" s="46">
        <v>0</v>
      </c>
      <c r="BB683" s="46">
        <v>0</v>
      </c>
      <c r="BC683" s="46">
        <v>0</v>
      </c>
      <c r="BD683" s="46">
        <v>0</v>
      </c>
      <c r="BE683" s="46">
        <v>0</v>
      </c>
      <c r="BF683" s="46">
        <v>0</v>
      </c>
      <c r="BG683" s="46" t="s">
        <v>48</v>
      </c>
      <c r="BH683" s="46">
        <v>0</v>
      </c>
      <c r="BI683" s="46">
        <v>0</v>
      </c>
      <c r="BJ683" s="46">
        <v>0</v>
      </c>
      <c r="BK683" s="46">
        <v>0</v>
      </c>
      <c r="BL683" s="46">
        <v>0</v>
      </c>
      <c r="BM683" s="46">
        <v>0</v>
      </c>
      <c r="BN683" s="46">
        <v>0</v>
      </c>
    </row>
    <row r="684" spans="1:66" x14ac:dyDescent="0.35">
      <c r="A684" t="s">
        <v>3240</v>
      </c>
      <c r="B684" s="44" t="s">
        <v>48</v>
      </c>
      <c r="C684" t="s">
        <v>3246</v>
      </c>
      <c r="D684" t="s">
        <v>3245</v>
      </c>
      <c r="E684" t="s">
        <v>3241</v>
      </c>
      <c r="F684" t="s">
        <v>3231</v>
      </c>
      <c r="G684" t="s">
        <v>47</v>
      </c>
      <c r="H684">
        <v>0</v>
      </c>
      <c r="I684" s="60" t="s">
        <v>51</v>
      </c>
      <c r="J684" s="33" t="s">
        <v>45</v>
      </c>
      <c r="K684" s="46">
        <v>1</v>
      </c>
      <c r="L684">
        <v>78.099999999999994</v>
      </c>
      <c r="M684" t="s">
        <v>48</v>
      </c>
      <c r="N684" s="46">
        <v>1</v>
      </c>
      <c r="O684" s="46">
        <v>0</v>
      </c>
      <c r="P684" s="46">
        <v>0</v>
      </c>
      <c r="Q684" t="s">
        <v>48</v>
      </c>
      <c r="R684" t="s">
        <v>48</v>
      </c>
      <c r="S684" t="s">
        <v>3242</v>
      </c>
      <c r="T684" t="s">
        <v>3243</v>
      </c>
      <c r="U684" t="s">
        <v>3242</v>
      </c>
      <c r="V684" s="47">
        <v>0</v>
      </c>
      <c r="W684" t="s">
        <v>48</v>
      </c>
      <c r="X684" t="s">
        <v>48</v>
      </c>
      <c r="Y684" t="s">
        <v>48</v>
      </c>
      <c r="Z684">
        <v>0</v>
      </c>
      <c r="AA684" t="s">
        <v>48</v>
      </c>
      <c r="AB684">
        <v>2008</v>
      </c>
      <c r="AC684" t="s">
        <v>49</v>
      </c>
      <c r="AD684" t="s">
        <v>93</v>
      </c>
      <c r="AE684" t="s">
        <v>4532</v>
      </c>
      <c r="AF684" t="s">
        <v>48</v>
      </c>
      <c r="AG684" t="s">
        <v>3244</v>
      </c>
      <c r="AH684" t="s">
        <v>93</v>
      </c>
      <c r="AI684">
        <v>20916</v>
      </c>
      <c r="AJ684">
        <v>1964</v>
      </c>
      <c r="AK684" t="s">
        <v>8936</v>
      </c>
      <c r="AL684" t="s">
        <v>8937</v>
      </c>
      <c r="AM684">
        <v>0.42099999999999999</v>
      </c>
      <c r="AN684">
        <v>0.27700000000000002</v>
      </c>
      <c r="AO684">
        <v>0.42099999999999999</v>
      </c>
      <c r="AP684" s="46">
        <v>0</v>
      </c>
      <c r="AQ684" s="46">
        <v>0</v>
      </c>
      <c r="AR684" s="46">
        <v>0</v>
      </c>
      <c r="AS684" s="46">
        <v>0</v>
      </c>
      <c r="AT684" s="46">
        <v>0</v>
      </c>
      <c r="AU684" s="46">
        <v>0</v>
      </c>
      <c r="AV684" s="46">
        <v>0</v>
      </c>
      <c r="AW684" s="46">
        <v>0</v>
      </c>
      <c r="AX684" s="46">
        <v>0</v>
      </c>
      <c r="AY684" s="46">
        <v>0</v>
      </c>
      <c r="AZ684" s="46">
        <v>0</v>
      </c>
      <c r="BA684" s="46">
        <v>0</v>
      </c>
      <c r="BB684" s="46">
        <v>1</v>
      </c>
      <c r="BC684" s="46">
        <v>0</v>
      </c>
      <c r="BD684" s="46">
        <v>0</v>
      </c>
      <c r="BE684" s="46">
        <v>0</v>
      </c>
      <c r="BF684" s="46">
        <v>0</v>
      </c>
      <c r="BG684" s="46" t="s">
        <v>48</v>
      </c>
      <c r="BH684" s="46">
        <v>0</v>
      </c>
      <c r="BI684" s="46">
        <v>0</v>
      </c>
      <c r="BJ684" s="46">
        <v>0</v>
      </c>
      <c r="BK684" s="46">
        <v>0</v>
      </c>
      <c r="BL684" s="46">
        <v>0</v>
      </c>
      <c r="BM684" s="46">
        <v>0</v>
      </c>
      <c r="BN684" s="46">
        <v>0</v>
      </c>
    </row>
    <row r="685" spans="1:66" x14ac:dyDescent="0.35">
      <c r="A685" t="s">
        <v>3247</v>
      </c>
      <c r="B685" s="44" t="s">
        <v>48</v>
      </c>
      <c r="C685" t="s">
        <v>3250</v>
      </c>
      <c r="D685" t="s">
        <v>2256</v>
      </c>
      <c r="E685" t="s">
        <v>3248</v>
      </c>
      <c r="F685" t="s">
        <v>3231</v>
      </c>
      <c r="G685" t="s">
        <v>74</v>
      </c>
      <c r="H685">
        <v>0</v>
      </c>
      <c r="I685" s="60" t="s">
        <v>125</v>
      </c>
      <c r="J685" s="33" t="s">
        <v>45</v>
      </c>
      <c r="K685" s="46">
        <v>0</v>
      </c>
      <c r="L685">
        <v>58.2</v>
      </c>
      <c r="M685" t="s">
        <v>48</v>
      </c>
      <c r="N685" s="46">
        <v>1</v>
      </c>
      <c r="O685" s="46">
        <v>0</v>
      </c>
      <c r="P685" s="46">
        <v>0</v>
      </c>
      <c r="Q685" t="s">
        <v>48</v>
      </c>
      <c r="R685" t="s">
        <v>48</v>
      </c>
      <c r="S685" t="s">
        <v>3249</v>
      </c>
      <c r="T685" t="s">
        <v>48</v>
      </c>
      <c r="U685" t="s">
        <v>3249</v>
      </c>
      <c r="V685" s="47">
        <v>0</v>
      </c>
      <c r="W685" t="s">
        <v>48</v>
      </c>
      <c r="X685" t="s">
        <v>48</v>
      </c>
      <c r="Y685" t="s">
        <v>48</v>
      </c>
      <c r="Z685">
        <v>0</v>
      </c>
      <c r="AA685" t="s">
        <v>48</v>
      </c>
      <c r="AB685" t="s">
        <v>48</v>
      </c>
      <c r="AC685" t="s">
        <v>49</v>
      </c>
      <c r="AD685" t="s">
        <v>93</v>
      </c>
      <c r="AE685" t="s">
        <v>4532</v>
      </c>
      <c r="AF685" t="s">
        <v>48</v>
      </c>
      <c r="AG685" t="s">
        <v>48</v>
      </c>
      <c r="AH685" t="s">
        <v>48</v>
      </c>
      <c r="AI685" t="s">
        <v>48</v>
      </c>
      <c r="AJ685" t="s">
        <v>48</v>
      </c>
      <c r="AK685" t="s">
        <v>48</v>
      </c>
      <c r="AL685" t="s">
        <v>48</v>
      </c>
      <c r="AM685" t="s">
        <v>48</v>
      </c>
      <c r="AN685" t="s">
        <v>48</v>
      </c>
      <c r="AO685" t="s">
        <v>48</v>
      </c>
      <c r="AP685" s="46">
        <v>0</v>
      </c>
      <c r="AQ685" s="46">
        <v>0</v>
      </c>
      <c r="AR685" s="46">
        <v>0</v>
      </c>
      <c r="AS685" s="46">
        <v>0</v>
      </c>
      <c r="AT685" s="46">
        <v>0</v>
      </c>
      <c r="AU685" s="46">
        <v>0</v>
      </c>
      <c r="AV685" s="46">
        <v>0</v>
      </c>
      <c r="AW685" s="46">
        <v>0</v>
      </c>
      <c r="AX685" s="46">
        <v>0</v>
      </c>
      <c r="AY685" s="46">
        <v>0</v>
      </c>
      <c r="AZ685" s="46">
        <v>0</v>
      </c>
      <c r="BA685" s="46">
        <v>0</v>
      </c>
      <c r="BB685" s="46">
        <v>0</v>
      </c>
      <c r="BC685" s="46">
        <v>0</v>
      </c>
      <c r="BD685" s="46">
        <v>0</v>
      </c>
      <c r="BE685" s="46">
        <v>0</v>
      </c>
      <c r="BF685" s="46">
        <v>0</v>
      </c>
      <c r="BG685" s="46" t="s">
        <v>48</v>
      </c>
      <c r="BH685" s="46">
        <v>0</v>
      </c>
      <c r="BI685" s="46">
        <v>0</v>
      </c>
      <c r="BJ685" s="46">
        <v>0</v>
      </c>
      <c r="BK685" s="46">
        <v>0</v>
      </c>
      <c r="BL685" s="46">
        <v>0</v>
      </c>
      <c r="BM685" s="46">
        <v>0</v>
      </c>
      <c r="BN685" s="46">
        <v>0</v>
      </c>
    </row>
    <row r="686" spans="1:66" x14ac:dyDescent="0.35">
      <c r="A686" t="s">
        <v>3265</v>
      </c>
      <c r="B686" s="44" t="s">
        <v>48</v>
      </c>
      <c r="C686" t="s">
        <v>3268</v>
      </c>
      <c r="D686" t="s">
        <v>613</v>
      </c>
      <c r="E686" t="s">
        <v>3266</v>
      </c>
      <c r="F686" t="s">
        <v>3255</v>
      </c>
      <c r="G686" t="s">
        <v>74</v>
      </c>
      <c r="H686">
        <v>0</v>
      </c>
      <c r="I686" s="60" t="s">
        <v>51</v>
      </c>
      <c r="J686" s="33" t="s">
        <v>45</v>
      </c>
      <c r="K686" s="46">
        <v>0</v>
      </c>
      <c r="L686">
        <v>63.3</v>
      </c>
      <c r="M686" t="s">
        <v>48</v>
      </c>
      <c r="N686" s="46">
        <v>1</v>
      </c>
      <c r="O686" s="46">
        <v>0</v>
      </c>
      <c r="P686" s="46">
        <v>0</v>
      </c>
      <c r="Q686" t="s">
        <v>48</v>
      </c>
      <c r="R686" t="s">
        <v>48</v>
      </c>
      <c r="S686" t="s">
        <v>3267</v>
      </c>
      <c r="T686" t="s">
        <v>48</v>
      </c>
      <c r="U686" t="s">
        <v>3267</v>
      </c>
      <c r="V686" s="47">
        <v>0</v>
      </c>
      <c r="W686" t="s">
        <v>48</v>
      </c>
      <c r="X686" t="s">
        <v>48</v>
      </c>
      <c r="Y686" t="s">
        <v>48</v>
      </c>
      <c r="Z686">
        <v>0</v>
      </c>
      <c r="AA686" t="s">
        <v>48</v>
      </c>
      <c r="AB686" t="s">
        <v>48</v>
      </c>
      <c r="AC686" t="s">
        <v>49</v>
      </c>
      <c r="AD686" t="s">
        <v>93</v>
      </c>
      <c r="AE686" t="s">
        <v>4532</v>
      </c>
      <c r="AF686" t="s">
        <v>48</v>
      </c>
      <c r="AG686" t="s">
        <v>48</v>
      </c>
      <c r="AH686" t="s">
        <v>48</v>
      </c>
      <c r="AI686" t="s">
        <v>48</v>
      </c>
      <c r="AJ686" t="s">
        <v>48</v>
      </c>
      <c r="AK686" t="s">
        <v>48</v>
      </c>
      <c r="AL686" t="s">
        <v>48</v>
      </c>
      <c r="AM686" t="s">
        <v>48</v>
      </c>
      <c r="AN686" t="s">
        <v>48</v>
      </c>
      <c r="AO686" t="s">
        <v>48</v>
      </c>
      <c r="AP686" s="46">
        <v>0</v>
      </c>
      <c r="AQ686" s="46">
        <v>0</v>
      </c>
      <c r="AR686" s="46">
        <v>0</v>
      </c>
      <c r="AS686" s="46">
        <v>0</v>
      </c>
      <c r="AT686" s="46">
        <v>0</v>
      </c>
      <c r="AU686" s="46">
        <v>0</v>
      </c>
      <c r="AV686" s="46">
        <v>0</v>
      </c>
      <c r="AW686" s="46">
        <v>0</v>
      </c>
      <c r="AX686" s="46">
        <v>0</v>
      </c>
      <c r="AY686" s="46">
        <v>0</v>
      </c>
      <c r="AZ686" s="46">
        <v>0</v>
      </c>
      <c r="BA686" s="46">
        <v>0</v>
      </c>
      <c r="BB686" s="46">
        <v>0</v>
      </c>
      <c r="BC686" s="46">
        <v>0</v>
      </c>
      <c r="BD686" s="46">
        <v>0</v>
      </c>
      <c r="BE686" s="46">
        <v>0</v>
      </c>
      <c r="BF686" s="46">
        <v>0</v>
      </c>
      <c r="BG686" s="46" t="s">
        <v>48</v>
      </c>
      <c r="BH686" s="46">
        <v>0</v>
      </c>
      <c r="BI686" s="46">
        <v>0</v>
      </c>
      <c r="BJ686" s="46">
        <v>0</v>
      </c>
      <c r="BK686" s="46">
        <v>0</v>
      </c>
      <c r="BL686" s="46">
        <v>0</v>
      </c>
      <c r="BM686" s="46">
        <v>0</v>
      </c>
      <c r="BN686" s="46">
        <v>0</v>
      </c>
    </row>
    <row r="687" spans="1:66" x14ac:dyDescent="0.35">
      <c r="A687" t="s">
        <v>3276</v>
      </c>
      <c r="B687" s="44" t="s">
        <v>48</v>
      </c>
      <c r="C687" t="s">
        <v>3092</v>
      </c>
      <c r="D687" t="s">
        <v>3278</v>
      </c>
      <c r="E687" t="s">
        <v>3277</v>
      </c>
      <c r="F687" t="s">
        <v>3255</v>
      </c>
      <c r="G687" t="s">
        <v>47</v>
      </c>
      <c r="H687">
        <v>0</v>
      </c>
      <c r="I687" s="60" t="s">
        <v>149</v>
      </c>
      <c r="J687" s="33" t="s">
        <v>45</v>
      </c>
      <c r="K687" s="46">
        <v>0</v>
      </c>
      <c r="L687">
        <v>29.5</v>
      </c>
      <c r="M687" t="s">
        <v>48</v>
      </c>
      <c r="N687" s="46">
        <v>1</v>
      </c>
      <c r="O687" s="46">
        <v>0</v>
      </c>
      <c r="P687" s="46">
        <v>0</v>
      </c>
      <c r="Q687" t="s">
        <v>48</v>
      </c>
      <c r="R687" t="s">
        <v>48</v>
      </c>
      <c r="S687" t="s">
        <v>48</v>
      </c>
      <c r="T687" t="s">
        <v>48</v>
      </c>
      <c r="U687" t="s">
        <v>48</v>
      </c>
      <c r="V687" s="47">
        <v>1</v>
      </c>
      <c r="W687" t="s">
        <v>11264</v>
      </c>
      <c r="X687" t="s">
        <v>48</v>
      </c>
      <c r="Y687" t="s">
        <v>48</v>
      </c>
      <c r="Z687">
        <v>0</v>
      </c>
      <c r="AA687" t="s">
        <v>48</v>
      </c>
      <c r="AB687" t="s">
        <v>48</v>
      </c>
      <c r="AC687" t="s">
        <v>49</v>
      </c>
      <c r="AD687" t="s">
        <v>93</v>
      </c>
      <c r="AE687" t="s">
        <v>4532</v>
      </c>
      <c r="AF687" t="s">
        <v>48</v>
      </c>
      <c r="AG687" t="s">
        <v>48</v>
      </c>
      <c r="AH687" t="s">
        <v>48</v>
      </c>
      <c r="AI687" t="s">
        <v>48</v>
      </c>
      <c r="AJ687" t="s">
        <v>48</v>
      </c>
      <c r="AK687" t="s">
        <v>48</v>
      </c>
      <c r="AL687" t="s">
        <v>48</v>
      </c>
      <c r="AM687" t="s">
        <v>48</v>
      </c>
      <c r="AN687" t="s">
        <v>48</v>
      </c>
      <c r="AO687" t="s">
        <v>48</v>
      </c>
      <c r="AP687" s="46">
        <v>0</v>
      </c>
      <c r="AQ687" s="46">
        <v>0</v>
      </c>
      <c r="AR687" s="46">
        <v>0</v>
      </c>
      <c r="AS687" s="46">
        <v>0</v>
      </c>
      <c r="AT687" s="46">
        <v>0</v>
      </c>
      <c r="AU687" s="46">
        <v>0</v>
      </c>
      <c r="AV687" s="46">
        <v>0</v>
      </c>
      <c r="AW687" s="46">
        <v>0</v>
      </c>
      <c r="AX687" s="46">
        <v>0</v>
      </c>
      <c r="AY687" s="46">
        <v>0</v>
      </c>
      <c r="AZ687" s="46">
        <v>0</v>
      </c>
      <c r="BA687" s="46">
        <v>0</v>
      </c>
      <c r="BB687" s="46">
        <v>0</v>
      </c>
      <c r="BC687" s="46">
        <v>0</v>
      </c>
      <c r="BD687" s="46">
        <v>0</v>
      </c>
      <c r="BE687" s="46">
        <v>0</v>
      </c>
      <c r="BF687" s="46">
        <v>0</v>
      </c>
      <c r="BG687" s="46" t="s">
        <v>48</v>
      </c>
      <c r="BH687" s="46">
        <v>0</v>
      </c>
      <c r="BI687" s="46">
        <v>0</v>
      </c>
      <c r="BJ687" s="46">
        <v>0</v>
      </c>
      <c r="BK687" s="46">
        <v>0</v>
      </c>
      <c r="BL687" s="46">
        <v>0</v>
      </c>
      <c r="BM687" s="46">
        <v>0</v>
      </c>
      <c r="BN687" s="46">
        <v>0</v>
      </c>
    </row>
    <row r="688" spans="1:66" x14ac:dyDescent="0.35">
      <c r="A688" t="s">
        <v>3283</v>
      </c>
      <c r="B688" s="44" t="s">
        <v>48</v>
      </c>
      <c r="C688" t="s">
        <v>3287</v>
      </c>
      <c r="D688" t="s">
        <v>704</v>
      </c>
      <c r="E688" t="s">
        <v>3285</v>
      </c>
      <c r="F688" t="s">
        <v>3284</v>
      </c>
      <c r="G688" t="s">
        <v>74</v>
      </c>
      <c r="H688">
        <v>0</v>
      </c>
      <c r="I688" s="60" t="s">
        <v>125</v>
      </c>
      <c r="J688" s="33" t="s">
        <v>45</v>
      </c>
      <c r="K688" s="46">
        <v>0</v>
      </c>
      <c r="L688">
        <v>100</v>
      </c>
      <c r="M688" t="s">
        <v>48</v>
      </c>
      <c r="N688" s="46">
        <v>1</v>
      </c>
      <c r="O688" s="46">
        <v>0</v>
      </c>
      <c r="P688" s="46">
        <v>0</v>
      </c>
      <c r="Q688" t="s">
        <v>48</v>
      </c>
      <c r="R688" t="s">
        <v>48</v>
      </c>
      <c r="S688" t="s">
        <v>3286</v>
      </c>
      <c r="T688" t="s">
        <v>48</v>
      </c>
      <c r="U688" t="s">
        <v>3286</v>
      </c>
      <c r="V688" s="47">
        <v>0</v>
      </c>
      <c r="W688" t="s">
        <v>48</v>
      </c>
      <c r="X688" t="s">
        <v>48</v>
      </c>
      <c r="Y688" t="s">
        <v>48</v>
      </c>
      <c r="Z688">
        <v>0</v>
      </c>
      <c r="AA688" t="s">
        <v>48</v>
      </c>
      <c r="AB688" t="s">
        <v>48</v>
      </c>
      <c r="AC688" t="s">
        <v>49</v>
      </c>
      <c r="AD688" t="s">
        <v>93</v>
      </c>
      <c r="AE688" t="s">
        <v>4532</v>
      </c>
      <c r="AF688" t="s">
        <v>48</v>
      </c>
      <c r="AG688" t="s">
        <v>48</v>
      </c>
      <c r="AH688" t="s">
        <v>48</v>
      </c>
      <c r="AI688" t="s">
        <v>48</v>
      </c>
      <c r="AJ688" t="s">
        <v>48</v>
      </c>
      <c r="AK688" t="s">
        <v>48</v>
      </c>
      <c r="AL688" t="s">
        <v>48</v>
      </c>
      <c r="AM688" t="s">
        <v>48</v>
      </c>
      <c r="AN688" t="s">
        <v>48</v>
      </c>
      <c r="AO688" t="s">
        <v>48</v>
      </c>
      <c r="AP688" s="46">
        <v>0</v>
      </c>
      <c r="AQ688" s="46">
        <v>0</v>
      </c>
      <c r="AR688" s="46">
        <v>0</v>
      </c>
      <c r="AS688" s="46">
        <v>0</v>
      </c>
      <c r="AT688" s="46">
        <v>0</v>
      </c>
      <c r="AU688" s="46">
        <v>0</v>
      </c>
      <c r="AV688" s="46">
        <v>0</v>
      </c>
      <c r="AW688" s="46">
        <v>0</v>
      </c>
      <c r="AX688" s="46">
        <v>0</v>
      </c>
      <c r="AY688" s="46">
        <v>0</v>
      </c>
      <c r="AZ688" s="46">
        <v>0</v>
      </c>
      <c r="BA688" s="46">
        <v>0</v>
      </c>
      <c r="BB688" s="46">
        <v>0</v>
      </c>
      <c r="BC688" s="46">
        <v>0</v>
      </c>
      <c r="BD688" s="46">
        <v>0</v>
      </c>
      <c r="BE688" s="46">
        <v>0</v>
      </c>
      <c r="BF688" s="46">
        <v>0</v>
      </c>
      <c r="BG688" s="46" t="s">
        <v>48</v>
      </c>
      <c r="BH688" s="46">
        <v>0</v>
      </c>
      <c r="BI688" s="46">
        <v>0</v>
      </c>
      <c r="BJ688" s="46">
        <v>0</v>
      </c>
      <c r="BK688" s="46">
        <v>0</v>
      </c>
      <c r="BL688" s="46">
        <v>0</v>
      </c>
      <c r="BM688" s="46">
        <v>0</v>
      </c>
      <c r="BN688" s="46">
        <v>0</v>
      </c>
    </row>
    <row r="689" spans="1:66" x14ac:dyDescent="0.35">
      <c r="A689" t="s">
        <v>3288</v>
      </c>
      <c r="B689" s="44" t="s">
        <v>48</v>
      </c>
      <c r="C689" t="s">
        <v>3293</v>
      </c>
      <c r="D689" t="s">
        <v>253</v>
      </c>
      <c r="E689" t="s">
        <v>3289</v>
      </c>
      <c r="F689" t="s">
        <v>3284</v>
      </c>
      <c r="G689" t="s">
        <v>47</v>
      </c>
      <c r="H689">
        <v>0</v>
      </c>
      <c r="I689" s="60" t="s">
        <v>51</v>
      </c>
      <c r="J689" s="33" t="s">
        <v>45</v>
      </c>
      <c r="K689" s="46">
        <v>1</v>
      </c>
      <c r="L689">
        <v>75.2</v>
      </c>
      <c r="M689" t="s">
        <v>48</v>
      </c>
      <c r="N689" s="46">
        <v>1</v>
      </c>
      <c r="O689" s="46">
        <v>0</v>
      </c>
      <c r="P689" s="46">
        <v>0</v>
      </c>
      <c r="Q689" t="s">
        <v>48</v>
      </c>
      <c r="R689" t="s">
        <v>48</v>
      </c>
      <c r="S689" t="s">
        <v>3290</v>
      </c>
      <c r="T689" t="s">
        <v>3291</v>
      </c>
      <c r="U689" t="s">
        <v>3290</v>
      </c>
      <c r="V689" s="47">
        <v>0</v>
      </c>
      <c r="W689" t="s">
        <v>48</v>
      </c>
      <c r="X689" t="s">
        <v>48</v>
      </c>
      <c r="Y689" t="s">
        <v>48</v>
      </c>
      <c r="Z689">
        <v>0</v>
      </c>
      <c r="AA689" t="s">
        <v>48</v>
      </c>
      <c r="AB689" t="s">
        <v>3292</v>
      </c>
      <c r="AC689" t="s">
        <v>49</v>
      </c>
      <c r="AD689" t="s">
        <v>93</v>
      </c>
      <c r="AE689" t="s">
        <v>4532</v>
      </c>
      <c r="AF689" t="s">
        <v>48</v>
      </c>
      <c r="AG689" t="s">
        <v>479</v>
      </c>
      <c r="AH689" t="s">
        <v>93</v>
      </c>
      <c r="AI689">
        <v>31102</v>
      </c>
      <c r="AJ689">
        <v>1971</v>
      </c>
      <c r="AK689" t="s">
        <v>8938</v>
      </c>
      <c r="AL689" t="s">
        <v>8939</v>
      </c>
      <c r="AM689">
        <v>0.68</v>
      </c>
      <c r="AN689">
        <v>-0.73399999999999999</v>
      </c>
      <c r="AO689">
        <v>0.68</v>
      </c>
      <c r="AP689" s="46">
        <v>0</v>
      </c>
      <c r="AQ689" s="46">
        <v>0</v>
      </c>
      <c r="AR689" s="46">
        <v>0</v>
      </c>
      <c r="AS689" s="46">
        <v>0</v>
      </c>
      <c r="AT689" s="46">
        <v>0</v>
      </c>
      <c r="AU689" s="46">
        <v>0</v>
      </c>
      <c r="AV689" s="46">
        <v>0</v>
      </c>
      <c r="AW689" s="46">
        <v>0</v>
      </c>
      <c r="AX689" s="46">
        <v>0</v>
      </c>
      <c r="AY689" s="46">
        <v>0</v>
      </c>
      <c r="AZ689" s="46">
        <v>0</v>
      </c>
      <c r="BA689" s="46">
        <v>0</v>
      </c>
      <c r="BB689" s="46">
        <v>0</v>
      </c>
      <c r="BC689" s="46">
        <v>0</v>
      </c>
      <c r="BD689" s="46">
        <v>0</v>
      </c>
      <c r="BE689" s="46">
        <v>0</v>
      </c>
      <c r="BF689" s="46">
        <v>0</v>
      </c>
      <c r="BG689" s="46" t="s">
        <v>48</v>
      </c>
      <c r="BH689" s="46">
        <v>0</v>
      </c>
      <c r="BI689" s="46">
        <v>0</v>
      </c>
      <c r="BJ689" s="46">
        <v>0</v>
      </c>
      <c r="BK689" s="46">
        <v>0</v>
      </c>
      <c r="BL689" s="46">
        <v>0</v>
      </c>
      <c r="BM689" s="46">
        <v>0</v>
      </c>
      <c r="BN689" s="46">
        <v>1</v>
      </c>
    </row>
    <row r="690" spans="1:66" x14ac:dyDescent="0.35">
      <c r="A690" t="s">
        <v>3311</v>
      </c>
      <c r="B690" s="44" t="s">
        <v>48</v>
      </c>
      <c r="C690" t="s">
        <v>3315</v>
      </c>
      <c r="D690" t="s">
        <v>3314</v>
      </c>
      <c r="E690" t="s">
        <v>3312</v>
      </c>
      <c r="F690" t="s">
        <v>3308</v>
      </c>
      <c r="G690" t="s">
        <v>74</v>
      </c>
      <c r="H690">
        <v>0</v>
      </c>
      <c r="I690" s="60" t="s">
        <v>125</v>
      </c>
      <c r="J690" s="33" t="s">
        <v>45</v>
      </c>
      <c r="K690" s="46">
        <v>0</v>
      </c>
      <c r="L690">
        <v>100</v>
      </c>
      <c r="M690" t="s">
        <v>48</v>
      </c>
      <c r="N690" s="46">
        <v>1</v>
      </c>
      <c r="O690" s="46">
        <v>0</v>
      </c>
      <c r="P690" s="46">
        <v>0</v>
      </c>
      <c r="Q690" t="s">
        <v>48</v>
      </c>
      <c r="R690" t="s">
        <v>48</v>
      </c>
      <c r="S690" t="s">
        <v>3313</v>
      </c>
      <c r="T690" t="s">
        <v>48</v>
      </c>
      <c r="U690" t="s">
        <v>3313</v>
      </c>
      <c r="V690" s="47">
        <v>0</v>
      </c>
      <c r="W690" t="s">
        <v>48</v>
      </c>
      <c r="X690" t="s">
        <v>48</v>
      </c>
      <c r="Y690" t="s">
        <v>48</v>
      </c>
      <c r="Z690">
        <v>0</v>
      </c>
      <c r="AA690" t="s">
        <v>48</v>
      </c>
      <c r="AB690" t="s">
        <v>48</v>
      </c>
      <c r="AC690" t="s">
        <v>49</v>
      </c>
      <c r="AD690" t="s">
        <v>93</v>
      </c>
      <c r="AE690" t="s">
        <v>4532</v>
      </c>
      <c r="AF690" t="s">
        <v>48</v>
      </c>
      <c r="AG690" t="s">
        <v>48</v>
      </c>
      <c r="AH690" t="s">
        <v>48</v>
      </c>
      <c r="AI690" t="s">
        <v>48</v>
      </c>
      <c r="AJ690" t="s">
        <v>48</v>
      </c>
      <c r="AK690" t="s">
        <v>48</v>
      </c>
      <c r="AL690" t="s">
        <v>48</v>
      </c>
      <c r="AM690" t="s">
        <v>48</v>
      </c>
      <c r="AN690" t="s">
        <v>48</v>
      </c>
      <c r="AO690" t="s">
        <v>48</v>
      </c>
      <c r="AP690" s="46">
        <v>0</v>
      </c>
      <c r="AQ690" s="46">
        <v>0</v>
      </c>
      <c r="AR690" s="46">
        <v>0</v>
      </c>
      <c r="AS690" s="46">
        <v>0</v>
      </c>
      <c r="AT690" s="46">
        <v>0</v>
      </c>
      <c r="AU690" s="46">
        <v>0</v>
      </c>
      <c r="AV690" s="46">
        <v>0</v>
      </c>
      <c r="AW690" s="46">
        <v>0</v>
      </c>
      <c r="AX690" s="46">
        <v>0</v>
      </c>
      <c r="AY690" s="46">
        <v>0</v>
      </c>
      <c r="AZ690" s="46">
        <v>0</v>
      </c>
      <c r="BA690" s="46">
        <v>0</v>
      </c>
      <c r="BB690" s="46">
        <v>0</v>
      </c>
      <c r="BC690" s="46">
        <v>0</v>
      </c>
      <c r="BD690" s="46">
        <v>0</v>
      </c>
      <c r="BE690" s="46">
        <v>0</v>
      </c>
      <c r="BF690" s="46">
        <v>0</v>
      </c>
      <c r="BG690" s="46" t="s">
        <v>48</v>
      </c>
      <c r="BH690" s="46">
        <v>0</v>
      </c>
      <c r="BI690" s="46">
        <v>0</v>
      </c>
      <c r="BJ690" s="46">
        <v>0</v>
      </c>
      <c r="BK690" s="46">
        <v>0</v>
      </c>
      <c r="BL690" s="46">
        <v>0</v>
      </c>
      <c r="BM690" s="46">
        <v>0</v>
      </c>
      <c r="BN690" s="46">
        <v>0</v>
      </c>
    </row>
    <row r="691" spans="1:66" x14ac:dyDescent="0.35">
      <c r="A691" t="s">
        <v>3319</v>
      </c>
      <c r="B691" s="44" t="s">
        <v>48</v>
      </c>
      <c r="C691" t="s">
        <v>401</v>
      </c>
      <c r="D691" t="s">
        <v>3323</v>
      </c>
      <c r="E691" t="s">
        <v>3320</v>
      </c>
      <c r="F691" t="s">
        <v>3308</v>
      </c>
      <c r="G691" t="s">
        <v>47</v>
      </c>
      <c r="H691">
        <v>0</v>
      </c>
      <c r="I691" s="60" t="s">
        <v>51</v>
      </c>
      <c r="J691" s="33" t="s">
        <v>45</v>
      </c>
      <c r="K691" s="46">
        <v>1</v>
      </c>
      <c r="L691">
        <v>82.6</v>
      </c>
      <c r="M691" t="s">
        <v>48</v>
      </c>
      <c r="N691" s="46">
        <v>1</v>
      </c>
      <c r="O691" s="46">
        <v>0</v>
      </c>
      <c r="P691" s="46">
        <v>0</v>
      </c>
      <c r="Q691" t="s">
        <v>48</v>
      </c>
      <c r="R691" t="s">
        <v>48</v>
      </c>
      <c r="S691" t="s">
        <v>3321</v>
      </c>
      <c r="T691" t="s">
        <v>3322</v>
      </c>
      <c r="U691" t="s">
        <v>3321</v>
      </c>
      <c r="V691" s="47">
        <v>0</v>
      </c>
      <c r="W691" t="s">
        <v>48</v>
      </c>
      <c r="X691" t="s">
        <v>48</v>
      </c>
      <c r="Y691" t="s">
        <v>48</v>
      </c>
      <c r="Z691">
        <v>0</v>
      </c>
      <c r="AA691" t="s">
        <v>48</v>
      </c>
      <c r="AB691">
        <v>1980</v>
      </c>
      <c r="AC691" t="s">
        <v>49</v>
      </c>
      <c r="AD691" t="s">
        <v>93</v>
      </c>
      <c r="AE691" t="s">
        <v>4532</v>
      </c>
      <c r="AF691" t="s">
        <v>48</v>
      </c>
      <c r="AG691" t="s">
        <v>184</v>
      </c>
      <c r="AH691" t="s">
        <v>93</v>
      </c>
      <c r="AI691">
        <v>14854</v>
      </c>
      <c r="AJ691">
        <v>1937</v>
      </c>
      <c r="AK691" t="s">
        <v>8940</v>
      </c>
      <c r="AL691" t="s">
        <v>8941</v>
      </c>
      <c r="AM691">
        <v>0.33800000000000002</v>
      </c>
      <c r="AN691">
        <v>0.11899999999999999</v>
      </c>
      <c r="AO691">
        <v>0.33800000000000002</v>
      </c>
      <c r="AP691" s="46">
        <v>0</v>
      </c>
      <c r="AQ691" s="46">
        <v>0</v>
      </c>
      <c r="AR691" s="46">
        <v>0</v>
      </c>
      <c r="AS691" s="46">
        <v>0</v>
      </c>
      <c r="AT691" s="46">
        <v>0</v>
      </c>
      <c r="AU691" s="46">
        <v>0</v>
      </c>
      <c r="AV691" s="46">
        <v>0</v>
      </c>
      <c r="AW691" s="46">
        <v>0</v>
      </c>
      <c r="AX691" s="46">
        <v>0</v>
      </c>
      <c r="AY691" s="46">
        <v>0</v>
      </c>
      <c r="AZ691" s="46">
        <v>0</v>
      </c>
      <c r="BA691" s="46">
        <v>0</v>
      </c>
      <c r="BB691" s="46">
        <v>0</v>
      </c>
      <c r="BC691" s="46">
        <v>0</v>
      </c>
      <c r="BD691" s="46">
        <v>0</v>
      </c>
      <c r="BE691" s="46">
        <v>0</v>
      </c>
      <c r="BF691" s="46">
        <v>0</v>
      </c>
      <c r="BG691" s="46">
        <v>1</v>
      </c>
      <c r="BH691" s="46">
        <v>0</v>
      </c>
      <c r="BI691" s="46">
        <v>0</v>
      </c>
      <c r="BJ691" s="46">
        <v>0</v>
      </c>
      <c r="BK691" s="46">
        <v>0</v>
      </c>
      <c r="BL691" s="46">
        <v>0</v>
      </c>
      <c r="BM691" s="46">
        <v>1</v>
      </c>
      <c r="BN691" s="46">
        <v>0</v>
      </c>
    </row>
    <row r="692" spans="1:66" x14ac:dyDescent="0.35">
      <c r="A692" t="s">
        <v>3331</v>
      </c>
      <c r="B692" t="s">
        <v>48</v>
      </c>
      <c r="C692" t="s">
        <v>2352</v>
      </c>
      <c r="D692" t="s">
        <v>684</v>
      </c>
      <c r="E692" t="s">
        <v>3333</v>
      </c>
      <c r="F692" t="s">
        <v>3332</v>
      </c>
      <c r="G692" t="s">
        <v>47</v>
      </c>
      <c r="H692">
        <v>0</v>
      </c>
      <c r="I692" s="60" t="s">
        <v>51</v>
      </c>
      <c r="J692" s="33" t="s">
        <v>45</v>
      </c>
      <c r="K692" s="46">
        <v>1</v>
      </c>
      <c r="L692">
        <v>87.8</v>
      </c>
      <c r="M692" t="s">
        <v>48</v>
      </c>
      <c r="N692" s="46">
        <v>1</v>
      </c>
      <c r="O692" s="46">
        <v>0</v>
      </c>
      <c r="P692" s="46">
        <v>0</v>
      </c>
      <c r="Q692" t="s">
        <v>48</v>
      </c>
      <c r="R692" t="s">
        <v>48</v>
      </c>
      <c r="S692" t="s">
        <v>3334</v>
      </c>
      <c r="T692" t="s">
        <v>3335</v>
      </c>
      <c r="U692" t="s">
        <v>3334</v>
      </c>
      <c r="V692" s="47">
        <v>0</v>
      </c>
      <c r="W692" t="s">
        <v>48</v>
      </c>
      <c r="X692" t="s">
        <v>48</v>
      </c>
      <c r="Y692" t="s">
        <v>48</v>
      </c>
      <c r="Z692">
        <v>0</v>
      </c>
      <c r="AA692" t="s">
        <v>48</v>
      </c>
      <c r="AB692">
        <v>2012</v>
      </c>
      <c r="AC692" t="s">
        <v>49</v>
      </c>
      <c r="AD692" t="s">
        <v>93</v>
      </c>
      <c r="AE692" t="s">
        <v>4532</v>
      </c>
      <c r="AF692" t="s">
        <v>48</v>
      </c>
      <c r="AG692" t="s">
        <v>119</v>
      </c>
      <c r="AH692" t="s">
        <v>93</v>
      </c>
      <c r="AI692">
        <v>21333</v>
      </c>
      <c r="AJ692">
        <v>1973</v>
      </c>
      <c r="AK692" t="s">
        <v>8942</v>
      </c>
      <c r="AL692" t="s">
        <v>8943</v>
      </c>
      <c r="AM692">
        <v>0.47699999999999998</v>
      </c>
      <c r="AN692">
        <v>0.313</v>
      </c>
      <c r="AO692">
        <v>0.47699999999999998</v>
      </c>
      <c r="AP692" s="46">
        <v>0</v>
      </c>
      <c r="AQ692" s="46">
        <v>0</v>
      </c>
      <c r="AR692" s="46">
        <v>0</v>
      </c>
      <c r="AS692" s="46">
        <v>0</v>
      </c>
      <c r="AT692" s="46">
        <v>0</v>
      </c>
      <c r="AU692" s="46">
        <v>0</v>
      </c>
      <c r="AV692" s="46">
        <v>0</v>
      </c>
      <c r="AW692" s="46">
        <v>0</v>
      </c>
      <c r="AX692" s="46">
        <v>0</v>
      </c>
      <c r="AY692" s="46">
        <v>0</v>
      </c>
      <c r="AZ692" s="46">
        <v>1</v>
      </c>
      <c r="BA692" s="46">
        <v>0</v>
      </c>
      <c r="BB692" s="46">
        <v>1</v>
      </c>
      <c r="BC692" s="46">
        <v>0</v>
      </c>
      <c r="BD692" s="46">
        <v>0</v>
      </c>
      <c r="BE692" s="46">
        <v>0</v>
      </c>
      <c r="BF692" s="46">
        <v>0</v>
      </c>
      <c r="BG692" s="46" t="s">
        <v>48</v>
      </c>
      <c r="BH692" s="46">
        <v>0</v>
      </c>
      <c r="BI692" s="46">
        <v>0</v>
      </c>
      <c r="BJ692" s="46">
        <v>0</v>
      </c>
      <c r="BK692" s="46">
        <v>0</v>
      </c>
      <c r="BL692" s="46">
        <v>0</v>
      </c>
      <c r="BM692" s="46">
        <v>0</v>
      </c>
      <c r="BN692" s="46">
        <v>0</v>
      </c>
    </row>
    <row r="693" spans="1:66" x14ac:dyDescent="0.35">
      <c r="A693" t="s">
        <v>3343</v>
      </c>
      <c r="B693" s="44" t="s">
        <v>48</v>
      </c>
      <c r="C693" t="s">
        <v>341</v>
      </c>
      <c r="D693" t="s">
        <v>3345</v>
      </c>
      <c r="E693" t="s">
        <v>3344</v>
      </c>
      <c r="F693" t="s">
        <v>3332</v>
      </c>
      <c r="G693" t="s">
        <v>74</v>
      </c>
      <c r="H693">
        <v>0</v>
      </c>
      <c r="I693" s="60" t="s">
        <v>661</v>
      </c>
      <c r="J693" s="33" t="s">
        <v>45</v>
      </c>
      <c r="K693" s="46">
        <v>0</v>
      </c>
      <c r="L693">
        <v>51.7</v>
      </c>
      <c r="M693" t="s">
        <v>48</v>
      </c>
      <c r="N693" s="46">
        <v>1</v>
      </c>
      <c r="O693" s="46">
        <v>0</v>
      </c>
      <c r="P693" s="46">
        <v>0</v>
      </c>
      <c r="Q693" t="s">
        <v>48</v>
      </c>
      <c r="R693" t="s">
        <v>48</v>
      </c>
      <c r="S693" t="s">
        <v>48</v>
      </c>
      <c r="T693" t="s">
        <v>48</v>
      </c>
      <c r="U693" t="s">
        <v>48</v>
      </c>
      <c r="V693" s="47">
        <v>1</v>
      </c>
      <c r="W693" t="s">
        <v>11264</v>
      </c>
      <c r="X693" t="s">
        <v>48</v>
      </c>
      <c r="Y693" t="s">
        <v>48</v>
      </c>
      <c r="Z693">
        <v>0</v>
      </c>
      <c r="AA693" t="s">
        <v>48</v>
      </c>
      <c r="AB693" t="s">
        <v>48</v>
      </c>
      <c r="AC693" t="s">
        <v>49</v>
      </c>
      <c r="AD693" t="s">
        <v>93</v>
      </c>
      <c r="AE693" t="s">
        <v>4532</v>
      </c>
      <c r="AF693" t="s">
        <v>48</v>
      </c>
      <c r="AG693" t="s">
        <v>48</v>
      </c>
      <c r="AH693" t="s">
        <v>48</v>
      </c>
      <c r="AI693" t="s">
        <v>48</v>
      </c>
      <c r="AJ693" t="s">
        <v>48</v>
      </c>
      <c r="AK693" t="s">
        <v>48</v>
      </c>
      <c r="AL693" t="s">
        <v>48</v>
      </c>
      <c r="AM693" t="s">
        <v>48</v>
      </c>
      <c r="AN693" t="s">
        <v>48</v>
      </c>
      <c r="AO693" t="s">
        <v>48</v>
      </c>
      <c r="AP693" s="46">
        <v>0</v>
      </c>
      <c r="AQ693" s="46">
        <v>0</v>
      </c>
      <c r="AR693" s="46">
        <v>0</v>
      </c>
      <c r="AS693" s="46">
        <v>0</v>
      </c>
      <c r="AT693" s="46">
        <v>0</v>
      </c>
      <c r="AU693" s="46">
        <v>0</v>
      </c>
      <c r="AV693" s="46">
        <v>0</v>
      </c>
      <c r="AW693" s="46">
        <v>0</v>
      </c>
      <c r="AX693" s="46">
        <v>0</v>
      </c>
      <c r="AY693" s="46">
        <v>0</v>
      </c>
      <c r="AZ693" s="46">
        <v>0</v>
      </c>
      <c r="BA693" s="46">
        <v>0</v>
      </c>
      <c r="BB693" s="46">
        <v>0</v>
      </c>
      <c r="BC693" s="46">
        <v>0</v>
      </c>
      <c r="BD693" s="46">
        <v>0</v>
      </c>
      <c r="BE693" s="46">
        <v>0</v>
      </c>
      <c r="BF693" s="46">
        <v>0</v>
      </c>
      <c r="BG693" s="46" t="s">
        <v>48</v>
      </c>
      <c r="BH693" s="46">
        <v>0</v>
      </c>
      <c r="BI693" s="46">
        <v>0</v>
      </c>
      <c r="BJ693" s="46">
        <v>0</v>
      </c>
      <c r="BK693" s="46">
        <v>0</v>
      </c>
      <c r="BL693" s="46">
        <v>0</v>
      </c>
      <c r="BM693" s="46">
        <v>0</v>
      </c>
      <c r="BN693" s="46">
        <v>0</v>
      </c>
    </row>
    <row r="694" spans="1:66" ht="15" x14ac:dyDescent="0.4">
      <c r="A694" t="s">
        <v>12421</v>
      </c>
      <c r="B694" t="s">
        <v>48</v>
      </c>
      <c r="C694" t="s">
        <v>11944</v>
      </c>
      <c r="D694" t="s">
        <v>501</v>
      </c>
      <c r="E694" t="s">
        <v>11137</v>
      </c>
      <c r="F694" t="s">
        <v>3390</v>
      </c>
      <c r="G694" t="s">
        <v>74</v>
      </c>
      <c r="H694">
        <v>0</v>
      </c>
      <c r="I694" s="60" t="s">
        <v>11160</v>
      </c>
      <c r="J694" s="33" t="s">
        <v>45</v>
      </c>
      <c r="K694" s="46">
        <v>0</v>
      </c>
      <c r="L694" s="53">
        <v>25.1</v>
      </c>
      <c r="M694" t="s">
        <v>48</v>
      </c>
      <c r="N694" s="46">
        <v>1</v>
      </c>
      <c r="O694" s="46">
        <v>1</v>
      </c>
      <c r="P694" s="47" t="s">
        <v>48</v>
      </c>
      <c r="Q694" s="46" t="s">
        <v>48</v>
      </c>
      <c r="R694" s="46" t="s">
        <v>48</v>
      </c>
      <c r="S694" s="55" t="s">
        <v>11269</v>
      </c>
      <c r="T694" t="s">
        <v>48</v>
      </c>
      <c r="U694" s="55" t="s">
        <v>11269</v>
      </c>
      <c r="V694" t="s">
        <v>48</v>
      </c>
      <c r="W694" t="s">
        <v>48</v>
      </c>
      <c r="X694" t="s">
        <v>48</v>
      </c>
      <c r="Y694" t="s">
        <v>48</v>
      </c>
      <c r="Z694" t="s">
        <v>48</v>
      </c>
      <c r="AA694" t="s">
        <v>48</v>
      </c>
      <c r="AB694" t="s">
        <v>48</v>
      </c>
      <c r="AC694" t="s">
        <v>48</v>
      </c>
      <c r="AD694" t="s">
        <v>48</v>
      </c>
      <c r="AE694" t="s">
        <v>48</v>
      </c>
      <c r="AF694" t="s">
        <v>48</v>
      </c>
      <c r="AG694" t="s">
        <v>48</v>
      </c>
      <c r="AH694" t="s">
        <v>48</v>
      </c>
      <c r="AI694" t="s">
        <v>48</v>
      </c>
      <c r="AJ694" t="s">
        <v>48</v>
      </c>
      <c r="AK694" t="s">
        <v>48</v>
      </c>
      <c r="AL694" t="s">
        <v>48</v>
      </c>
      <c r="AM694" t="s">
        <v>48</v>
      </c>
      <c r="AN694" t="s">
        <v>48</v>
      </c>
      <c r="AO694" t="s">
        <v>48</v>
      </c>
      <c r="AP694" s="46">
        <v>0</v>
      </c>
      <c r="AQ694" s="46">
        <v>0</v>
      </c>
      <c r="AR694" s="46">
        <v>0</v>
      </c>
      <c r="AS694" s="46">
        <v>0</v>
      </c>
      <c r="AT694" s="46">
        <v>0</v>
      </c>
      <c r="AU694" s="46">
        <v>0</v>
      </c>
      <c r="AV694" s="46">
        <v>0</v>
      </c>
      <c r="AW694" s="46">
        <v>1</v>
      </c>
      <c r="AX694" s="46">
        <v>0</v>
      </c>
      <c r="AY694" s="46">
        <v>0</v>
      </c>
      <c r="AZ694" s="46">
        <v>0</v>
      </c>
      <c r="BA694" s="46">
        <v>0</v>
      </c>
      <c r="BB694" s="46">
        <v>0</v>
      </c>
      <c r="BC694" s="46">
        <v>0</v>
      </c>
      <c r="BD694" s="46">
        <v>0</v>
      </c>
      <c r="BE694" s="46">
        <v>0</v>
      </c>
      <c r="BF694" s="46">
        <v>0</v>
      </c>
      <c r="BG694" s="46" t="s">
        <v>48</v>
      </c>
      <c r="BH694" s="46">
        <v>0</v>
      </c>
      <c r="BI694" s="46">
        <v>0</v>
      </c>
      <c r="BJ694" s="46">
        <v>0</v>
      </c>
      <c r="BK694" s="46">
        <v>0</v>
      </c>
      <c r="BL694" s="46">
        <v>1</v>
      </c>
      <c r="BM694" s="46">
        <v>0</v>
      </c>
      <c r="BN694" s="46">
        <v>0</v>
      </c>
    </row>
    <row r="695" spans="1:66" x14ac:dyDescent="0.35">
      <c r="A695" t="s">
        <v>3389</v>
      </c>
      <c r="B695" s="44" t="s">
        <v>48</v>
      </c>
      <c r="C695" t="s">
        <v>3394</v>
      </c>
      <c r="D695" t="s">
        <v>571</v>
      </c>
      <c r="E695" t="s">
        <v>3391</v>
      </c>
      <c r="F695" t="s">
        <v>3390</v>
      </c>
      <c r="G695" t="s">
        <v>47</v>
      </c>
      <c r="H695">
        <v>1</v>
      </c>
      <c r="I695" s="60" t="s">
        <v>51</v>
      </c>
      <c r="J695" s="33" t="s">
        <v>45</v>
      </c>
      <c r="K695" s="46">
        <v>1</v>
      </c>
      <c r="L695">
        <v>72.900000000000006</v>
      </c>
      <c r="M695" t="s">
        <v>48</v>
      </c>
      <c r="N695" s="46">
        <v>1</v>
      </c>
      <c r="O695" s="46">
        <v>1</v>
      </c>
      <c r="P695" s="46">
        <v>0</v>
      </c>
      <c r="Q695" t="s">
        <v>48</v>
      </c>
      <c r="R695" t="s">
        <v>48</v>
      </c>
      <c r="S695" t="s">
        <v>3392</v>
      </c>
      <c r="T695" t="s">
        <v>3393</v>
      </c>
      <c r="U695" t="s">
        <v>3392</v>
      </c>
      <c r="V695" s="47">
        <v>0</v>
      </c>
      <c r="W695" t="s">
        <v>48</v>
      </c>
      <c r="X695" t="s">
        <v>48</v>
      </c>
      <c r="Y695" t="s">
        <v>48</v>
      </c>
      <c r="Z695">
        <v>0</v>
      </c>
      <c r="AA695" t="s">
        <v>48</v>
      </c>
      <c r="AB695" t="s">
        <v>1055</v>
      </c>
      <c r="AC695" t="s">
        <v>49</v>
      </c>
      <c r="AD695" t="s">
        <v>93</v>
      </c>
      <c r="AE695" t="s">
        <v>4532</v>
      </c>
      <c r="AF695" t="s">
        <v>48</v>
      </c>
      <c r="AG695" t="s">
        <v>140</v>
      </c>
      <c r="AH695" t="s">
        <v>93</v>
      </c>
      <c r="AI695">
        <v>20759</v>
      </c>
      <c r="AJ695">
        <v>1965</v>
      </c>
      <c r="AK695" t="s">
        <v>8944</v>
      </c>
      <c r="AL695" t="s">
        <v>8945</v>
      </c>
      <c r="AM695">
        <v>0.55500000000000005</v>
      </c>
      <c r="AN695">
        <v>0.17399999999999999</v>
      </c>
      <c r="AO695">
        <v>0.55500000000000005</v>
      </c>
      <c r="AP695" s="46">
        <v>0</v>
      </c>
      <c r="AQ695" s="46">
        <v>0</v>
      </c>
      <c r="AR695" s="46">
        <v>0</v>
      </c>
      <c r="AS695" s="46">
        <v>0</v>
      </c>
      <c r="AT695" s="46">
        <v>0</v>
      </c>
      <c r="AU695" s="46">
        <v>0</v>
      </c>
      <c r="AV695" s="46">
        <v>0</v>
      </c>
      <c r="AW695" s="46">
        <v>0</v>
      </c>
      <c r="AX695" s="46">
        <v>0</v>
      </c>
      <c r="AY695" s="46">
        <v>0</v>
      </c>
      <c r="AZ695" s="46">
        <v>0</v>
      </c>
      <c r="BA695" s="46">
        <v>0</v>
      </c>
      <c r="BB695" s="46">
        <v>1</v>
      </c>
      <c r="BC695" s="46">
        <v>0</v>
      </c>
      <c r="BD695" s="46">
        <v>0</v>
      </c>
      <c r="BE695" s="46">
        <v>0</v>
      </c>
      <c r="BF695" s="46">
        <v>0</v>
      </c>
      <c r="BG695" s="46" t="s">
        <v>48</v>
      </c>
      <c r="BH695" s="46">
        <v>0</v>
      </c>
      <c r="BI695" s="46">
        <v>0</v>
      </c>
      <c r="BJ695" s="46">
        <v>0</v>
      </c>
      <c r="BK695" s="46">
        <v>0</v>
      </c>
      <c r="BL695" s="46">
        <v>0</v>
      </c>
      <c r="BM695" s="46">
        <v>0</v>
      </c>
      <c r="BN695" s="46">
        <v>0</v>
      </c>
    </row>
    <row r="696" spans="1:66" ht="17.5" x14ac:dyDescent="0.45">
      <c r="A696" t="s">
        <v>11133</v>
      </c>
      <c r="B696" s="44" t="s">
        <v>48</v>
      </c>
      <c r="C696" t="s">
        <v>11945</v>
      </c>
      <c r="D696" t="s">
        <v>347</v>
      </c>
      <c r="E696" t="s">
        <v>11138</v>
      </c>
      <c r="F696" t="s">
        <v>3396</v>
      </c>
      <c r="G696" t="s">
        <v>47</v>
      </c>
      <c r="H696">
        <v>0</v>
      </c>
      <c r="I696" s="60" t="s">
        <v>48</v>
      </c>
      <c r="J696" s="33" t="s">
        <v>45</v>
      </c>
      <c r="K696" s="46">
        <v>0</v>
      </c>
      <c r="L696" s="53">
        <v>23.3</v>
      </c>
      <c r="M696" t="s">
        <v>48</v>
      </c>
      <c r="N696" s="46">
        <v>1</v>
      </c>
      <c r="O696" s="46">
        <v>1</v>
      </c>
      <c r="P696" t="s">
        <v>48</v>
      </c>
      <c r="Q696" t="s">
        <v>48</v>
      </c>
      <c r="R696" t="s">
        <v>48</v>
      </c>
      <c r="S696" s="63" t="s">
        <v>11299</v>
      </c>
      <c r="T696" t="s">
        <v>48</v>
      </c>
      <c r="U696" s="63" t="s">
        <v>11299</v>
      </c>
      <c r="V696" t="s">
        <v>48</v>
      </c>
      <c r="W696" t="s">
        <v>11167</v>
      </c>
      <c r="X696" t="s">
        <v>48</v>
      </c>
      <c r="Y696" t="s">
        <v>48</v>
      </c>
      <c r="Z696" t="s">
        <v>48</v>
      </c>
      <c r="AA696" t="s">
        <v>48</v>
      </c>
      <c r="AB696" t="s">
        <v>48</v>
      </c>
      <c r="AC696" t="s">
        <v>48</v>
      </c>
      <c r="AD696" t="s">
        <v>48</v>
      </c>
      <c r="AE696" t="s">
        <v>48</v>
      </c>
      <c r="AF696" t="s">
        <v>48</v>
      </c>
      <c r="AG696" t="s">
        <v>48</v>
      </c>
      <c r="AH696" t="s">
        <v>48</v>
      </c>
      <c r="AI696" t="s">
        <v>48</v>
      </c>
      <c r="AJ696" t="s">
        <v>48</v>
      </c>
      <c r="AK696" t="s">
        <v>48</v>
      </c>
      <c r="AL696" t="s">
        <v>48</v>
      </c>
      <c r="AM696" t="s">
        <v>48</v>
      </c>
      <c r="AN696" t="s">
        <v>48</v>
      </c>
      <c r="AO696" t="s">
        <v>48</v>
      </c>
      <c r="AP696" s="46">
        <v>0</v>
      </c>
      <c r="AQ696" s="46">
        <v>0</v>
      </c>
      <c r="AR696" s="46">
        <v>0</v>
      </c>
      <c r="AS696" s="46">
        <v>0</v>
      </c>
      <c r="AT696" s="46">
        <v>0</v>
      </c>
      <c r="AU696" s="46">
        <v>0</v>
      </c>
      <c r="AV696" s="46">
        <v>0</v>
      </c>
      <c r="AW696" s="46">
        <v>1</v>
      </c>
      <c r="AX696" s="46">
        <v>0</v>
      </c>
      <c r="AY696" s="46">
        <v>0</v>
      </c>
      <c r="AZ696" s="46">
        <v>0</v>
      </c>
      <c r="BA696" s="46">
        <v>0</v>
      </c>
      <c r="BB696" s="46">
        <v>0</v>
      </c>
      <c r="BC696" s="46">
        <v>0</v>
      </c>
      <c r="BD696" s="46">
        <v>0</v>
      </c>
      <c r="BE696" s="46">
        <v>0</v>
      </c>
      <c r="BF696" s="46">
        <v>0</v>
      </c>
      <c r="BG696" s="46" t="s">
        <v>48</v>
      </c>
      <c r="BH696" s="46">
        <v>0</v>
      </c>
      <c r="BI696" s="46">
        <v>0</v>
      </c>
      <c r="BJ696" s="46">
        <v>0</v>
      </c>
      <c r="BK696" s="46">
        <v>0</v>
      </c>
      <c r="BL696" s="46">
        <v>1</v>
      </c>
      <c r="BM696" s="46">
        <v>0</v>
      </c>
      <c r="BN696" s="46">
        <v>0</v>
      </c>
    </row>
    <row r="697" spans="1:66" x14ac:dyDescent="0.35">
      <c r="A697" t="s">
        <v>3395</v>
      </c>
      <c r="B697" t="s">
        <v>48</v>
      </c>
      <c r="C697" t="s">
        <v>1974</v>
      </c>
      <c r="D697" t="s">
        <v>1975</v>
      </c>
      <c r="E697" t="s">
        <v>3397</v>
      </c>
      <c r="F697" t="s">
        <v>3396</v>
      </c>
      <c r="G697" t="s">
        <v>74</v>
      </c>
      <c r="H697">
        <v>0</v>
      </c>
      <c r="I697" s="60" t="s">
        <v>51</v>
      </c>
      <c r="J697" s="33" t="s">
        <v>45</v>
      </c>
      <c r="K697" s="46">
        <v>1</v>
      </c>
      <c r="L697">
        <v>76.7</v>
      </c>
      <c r="M697" t="s">
        <v>48</v>
      </c>
      <c r="N697" s="46">
        <v>1</v>
      </c>
      <c r="O697" s="46">
        <v>1</v>
      </c>
      <c r="P697" s="46">
        <v>0</v>
      </c>
      <c r="Q697" t="s">
        <v>48</v>
      </c>
      <c r="R697" t="s">
        <v>48</v>
      </c>
      <c r="S697" t="s">
        <v>3398</v>
      </c>
      <c r="T697" t="s">
        <v>3399</v>
      </c>
      <c r="U697" t="s">
        <v>3398</v>
      </c>
      <c r="V697" s="47">
        <v>0</v>
      </c>
      <c r="W697" t="s">
        <v>48</v>
      </c>
      <c r="X697" t="s">
        <v>48</v>
      </c>
      <c r="Y697" t="s">
        <v>48</v>
      </c>
      <c r="Z697">
        <v>1</v>
      </c>
      <c r="AA697" t="s">
        <v>48</v>
      </c>
      <c r="AB697" t="s">
        <v>3400</v>
      </c>
      <c r="AC697" t="s">
        <v>49</v>
      </c>
      <c r="AD697" t="s">
        <v>93</v>
      </c>
      <c r="AE697" s="40" t="s">
        <v>2471</v>
      </c>
      <c r="AF697" t="s">
        <v>11061</v>
      </c>
      <c r="AG697" t="s">
        <v>48</v>
      </c>
      <c r="AH697" t="s">
        <v>93</v>
      </c>
      <c r="AI697">
        <v>22158</v>
      </c>
      <c r="AJ697">
        <v>1963</v>
      </c>
      <c r="AK697" t="s">
        <v>8946</v>
      </c>
      <c r="AL697" t="s">
        <v>8947</v>
      </c>
      <c r="AM697">
        <v>-0.35399999999999998</v>
      </c>
      <c r="AN697">
        <v>-0.06</v>
      </c>
      <c r="AO697">
        <v>-0.35399999999999998</v>
      </c>
      <c r="AP697" s="46">
        <v>0</v>
      </c>
      <c r="AQ697" s="46">
        <v>0</v>
      </c>
      <c r="AR697" s="46">
        <v>0</v>
      </c>
      <c r="AS697" s="46">
        <v>0</v>
      </c>
      <c r="AT697" s="46">
        <v>1</v>
      </c>
      <c r="AU697" s="46">
        <v>1</v>
      </c>
      <c r="AV697" s="46">
        <v>0</v>
      </c>
      <c r="AW697" s="46">
        <v>0</v>
      </c>
      <c r="AX697" s="46">
        <v>0</v>
      </c>
      <c r="AY697" s="46">
        <v>0</v>
      </c>
      <c r="AZ697" s="46">
        <v>0</v>
      </c>
      <c r="BA697" s="46">
        <v>0</v>
      </c>
      <c r="BB697" s="46">
        <v>0</v>
      </c>
      <c r="BC697" s="46">
        <v>0</v>
      </c>
      <c r="BD697" s="46">
        <v>0</v>
      </c>
      <c r="BE697" s="46">
        <v>0</v>
      </c>
      <c r="BF697" s="46">
        <v>0</v>
      </c>
      <c r="BG697" s="46" t="s">
        <v>48</v>
      </c>
      <c r="BH697" s="46">
        <v>0</v>
      </c>
      <c r="BI697" s="46">
        <v>0</v>
      </c>
      <c r="BJ697" s="46">
        <v>0</v>
      </c>
      <c r="BK697" s="46">
        <v>0</v>
      </c>
      <c r="BL697" s="46">
        <v>0</v>
      </c>
      <c r="BM697" s="46">
        <v>0</v>
      </c>
      <c r="BN697" s="46">
        <v>0</v>
      </c>
    </row>
    <row r="698" spans="1:66" x14ac:dyDescent="0.35">
      <c r="A698" t="s">
        <v>3401</v>
      </c>
      <c r="B698" s="44" t="s">
        <v>48</v>
      </c>
      <c r="C698" t="s">
        <v>3406</v>
      </c>
      <c r="D698" t="s">
        <v>2428</v>
      </c>
      <c r="E698" t="s">
        <v>3403</v>
      </c>
      <c r="F698" t="s">
        <v>3402</v>
      </c>
      <c r="G698" t="s">
        <v>47</v>
      </c>
      <c r="H698">
        <v>0</v>
      </c>
      <c r="I698" s="60" t="s">
        <v>51</v>
      </c>
      <c r="J698" s="33" t="s">
        <v>45</v>
      </c>
      <c r="K698" s="46">
        <v>1</v>
      </c>
      <c r="L698">
        <v>64.400000000000006</v>
      </c>
      <c r="M698" t="s">
        <v>48</v>
      </c>
      <c r="N698" s="46">
        <v>1</v>
      </c>
      <c r="O698" s="46">
        <v>1</v>
      </c>
      <c r="P698" s="46">
        <v>0</v>
      </c>
      <c r="Q698" t="s">
        <v>48</v>
      </c>
      <c r="R698" t="s">
        <v>48</v>
      </c>
      <c r="S698" t="s">
        <v>3404</v>
      </c>
      <c r="T698" t="s">
        <v>3405</v>
      </c>
      <c r="U698" t="s">
        <v>3404</v>
      </c>
      <c r="V698" s="47">
        <v>0</v>
      </c>
      <c r="W698" t="s">
        <v>48</v>
      </c>
      <c r="X698" t="s">
        <v>48</v>
      </c>
      <c r="Y698" t="s">
        <v>48</v>
      </c>
      <c r="Z698">
        <v>0</v>
      </c>
      <c r="AA698" t="s">
        <v>48</v>
      </c>
      <c r="AB698">
        <v>2016</v>
      </c>
      <c r="AC698" t="s">
        <v>49</v>
      </c>
      <c r="AD698" t="s">
        <v>93</v>
      </c>
      <c r="AE698" t="s">
        <v>4532</v>
      </c>
      <c r="AF698" t="s">
        <v>48</v>
      </c>
      <c r="AG698" t="s">
        <v>112</v>
      </c>
      <c r="AH698" t="s">
        <v>93</v>
      </c>
      <c r="AI698">
        <v>21724</v>
      </c>
      <c r="AJ698">
        <v>1961</v>
      </c>
      <c r="AK698" t="s">
        <v>8948</v>
      </c>
      <c r="AL698" t="s">
        <v>8949</v>
      </c>
      <c r="AM698">
        <v>0.61499999999999999</v>
      </c>
      <c r="AN698">
        <v>-0.30199999999999999</v>
      </c>
      <c r="AO698">
        <v>0.61499999999999999</v>
      </c>
      <c r="AP698" s="46">
        <v>0</v>
      </c>
      <c r="AQ698" s="46">
        <v>0</v>
      </c>
      <c r="AR698" s="46">
        <v>0</v>
      </c>
      <c r="AS698" s="46">
        <v>0</v>
      </c>
      <c r="AT698" s="46">
        <v>0</v>
      </c>
      <c r="AU698" s="46">
        <v>0</v>
      </c>
      <c r="AV698" s="46">
        <v>0</v>
      </c>
      <c r="AW698" s="46">
        <v>0</v>
      </c>
      <c r="AX698" s="46">
        <v>0</v>
      </c>
      <c r="AY698" s="46">
        <v>0</v>
      </c>
      <c r="AZ698" s="46">
        <v>0</v>
      </c>
      <c r="BA698" s="46">
        <v>0</v>
      </c>
      <c r="BB698" s="46">
        <v>1</v>
      </c>
      <c r="BC698" s="46">
        <v>0</v>
      </c>
      <c r="BD698" s="46">
        <v>0</v>
      </c>
      <c r="BE698" s="46">
        <v>0</v>
      </c>
      <c r="BF698" s="46">
        <v>1</v>
      </c>
      <c r="BG698" s="46" t="s">
        <v>48</v>
      </c>
      <c r="BH698" s="46">
        <v>0</v>
      </c>
      <c r="BI698" s="46">
        <v>0</v>
      </c>
      <c r="BJ698" s="46">
        <v>0</v>
      </c>
      <c r="BK698" s="46">
        <v>0</v>
      </c>
      <c r="BL698" s="46">
        <v>0</v>
      </c>
      <c r="BM698" s="46">
        <v>0</v>
      </c>
      <c r="BN698" s="46">
        <v>1</v>
      </c>
    </row>
    <row r="699" spans="1:66" ht="15" x14ac:dyDescent="0.4">
      <c r="A699" t="s">
        <v>12422</v>
      </c>
      <c r="B699" t="s">
        <v>48</v>
      </c>
      <c r="C699" t="s">
        <v>11947</v>
      </c>
      <c r="D699" t="s">
        <v>11948</v>
      </c>
      <c r="E699" t="s">
        <v>11139</v>
      </c>
      <c r="F699" t="s">
        <v>3402</v>
      </c>
      <c r="G699" t="s">
        <v>74</v>
      </c>
      <c r="H699">
        <v>0</v>
      </c>
      <c r="I699" s="60" t="s">
        <v>11160</v>
      </c>
      <c r="J699" s="33" t="s">
        <v>45</v>
      </c>
      <c r="K699" s="46">
        <v>0</v>
      </c>
      <c r="L699" s="53">
        <v>10.5</v>
      </c>
      <c r="M699" t="s">
        <v>48</v>
      </c>
      <c r="N699" s="46">
        <v>1</v>
      </c>
      <c r="O699" s="46">
        <v>1</v>
      </c>
      <c r="P699" t="s">
        <v>48</v>
      </c>
      <c r="Q699" t="s">
        <v>48</v>
      </c>
      <c r="R699" t="s">
        <v>48</v>
      </c>
      <c r="S699" s="55" t="s">
        <v>11270</v>
      </c>
      <c r="T699" t="s">
        <v>48</v>
      </c>
      <c r="U699" s="55" t="s">
        <v>11270</v>
      </c>
      <c r="V699" t="s">
        <v>48</v>
      </c>
      <c r="W699" t="s">
        <v>48</v>
      </c>
      <c r="X699" t="s">
        <v>48</v>
      </c>
      <c r="Y699" t="s">
        <v>48</v>
      </c>
      <c r="Z699" t="s">
        <v>48</v>
      </c>
      <c r="AA699" t="s">
        <v>48</v>
      </c>
      <c r="AB699" t="s">
        <v>48</v>
      </c>
      <c r="AC699" t="s">
        <v>48</v>
      </c>
      <c r="AD699" t="s">
        <v>48</v>
      </c>
      <c r="AE699" t="s">
        <v>48</v>
      </c>
      <c r="AF699" t="s">
        <v>48</v>
      </c>
      <c r="AG699" t="s">
        <v>48</v>
      </c>
      <c r="AH699" t="s">
        <v>48</v>
      </c>
      <c r="AI699" t="s">
        <v>48</v>
      </c>
      <c r="AJ699" t="s">
        <v>48</v>
      </c>
      <c r="AK699" t="s">
        <v>48</v>
      </c>
      <c r="AL699" t="s">
        <v>48</v>
      </c>
      <c r="AM699" t="s">
        <v>48</v>
      </c>
      <c r="AN699" t="s">
        <v>48</v>
      </c>
      <c r="AO699" t="s">
        <v>48</v>
      </c>
      <c r="AP699" s="46">
        <v>0</v>
      </c>
      <c r="AQ699" s="46">
        <v>0</v>
      </c>
      <c r="AR699" s="46">
        <v>0</v>
      </c>
      <c r="AS699" s="46">
        <v>0</v>
      </c>
      <c r="AT699" s="46">
        <v>0</v>
      </c>
      <c r="AU699" s="46">
        <v>0</v>
      </c>
      <c r="AV699" s="46">
        <v>0</v>
      </c>
      <c r="AW699" s="46">
        <v>1</v>
      </c>
      <c r="AX699" s="46">
        <v>0</v>
      </c>
      <c r="AY699" s="46">
        <v>0</v>
      </c>
      <c r="AZ699" s="46">
        <v>0</v>
      </c>
      <c r="BA699" s="46">
        <v>0</v>
      </c>
      <c r="BB699" s="46">
        <v>0</v>
      </c>
      <c r="BC699" s="46">
        <v>0</v>
      </c>
      <c r="BD699" s="46">
        <v>0</v>
      </c>
      <c r="BE699" s="46">
        <v>0</v>
      </c>
      <c r="BF699" s="46">
        <v>0</v>
      </c>
      <c r="BG699" s="46" t="s">
        <v>48</v>
      </c>
      <c r="BH699" s="46">
        <v>0</v>
      </c>
      <c r="BI699" s="46">
        <v>0</v>
      </c>
      <c r="BJ699" s="46">
        <v>0</v>
      </c>
      <c r="BK699" s="46">
        <v>0</v>
      </c>
      <c r="BL699" s="46">
        <v>1</v>
      </c>
      <c r="BM699" s="46">
        <v>0</v>
      </c>
      <c r="BN699" s="46">
        <v>0</v>
      </c>
    </row>
    <row r="700" spans="1:66" x14ac:dyDescent="0.35">
      <c r="A700" t="s">
        <v>3410</v>
      </c>
      <c r="B700" s="44" t="s">
        <v>48</v>
      </c>
      <c r="C700" t="s">
        <v>718</v>
      </c>
      <c r="D700" t="s">
        <v>288</v>
      </c>
      <c r="E700" t="s">
        <v>3412</v>
      </c>
      <c r="F700" t="s">
        <v>3411</v>
      </c>
      <c r="G700" t="s">
        <v>47</v>
      </c>
      <c r="H700">
        <v>0</v>
      </c>
      <c r="I700" s="60" t="s">
        <v>51</v>
      </c>
      <c r="J700" s="33" t="s">
        <v>45</v>
      </c>
      <c r="K700" s="46">
        <v>1</v>
      </c>
      <c r="L700" t="s">
        <v>48</v>
      </c>
      <c r="M700" t="s">
        <v>48</v>
      </c>
      <c r="N700" s="46">
        <v>1</v>
      </c>
      <c r="O700" s="46">
        <v>1</v>
      </c>
      <c r="P700" s="46">
        <v>0</v>
      </c>
      <c r="Q700" t="s">
        <v>48</v>
      </c>
      <c r="R700" t="s">
        <v>48</v>
      </c>
      <c r="S700" t="s">
        <v>3413</v>
      </c>
      <c r="T700" t="s">
        <v>3414</v>
      </c>
      <c r="U700" t="s">
        <v>3413</v>
      </c>
      <c r="V700" s="47">
        <v>0</v>
      </c>
      <c r="W700" t="s">
        <v>48</v>
      </c>
      <c r="X700" t="s">
        <v>48</v>
      </c>
      <c r="Y700" t="s">
        <v>48</v>
      </c>
      <c r="Z700">
        <v>0</v>
      </c>
      <c r="AA700" t="s">
        <v>11134</v>
      </c>
      <c r="AB700">
        <v>2016</v>
      </c>
      <c r="AC700" t="s">
        <v>49</v>
      </c>
      <c r="AD700" t="s">
        <v>93</v>
      </c>
      <c r="AE700" t="s">
        <v>4532</v>
      </c>
      <c r="AF700" t="s">
        <v>48</v>
      </c>
      <c r="AG700" t="s">
        <v>184</v>
      </c>
      <c r="AH700" t="s">
        <v>93</v>
      </c>
      <c r="AI700">
        <v>21727</v>
      </c>
      <c r="AJ700">
        <v>1972</v>
      </c>
      <c r="AK700" t="s">
        <v>8950</v>
      </c>
      <c r="AL700" t="s">
        <v>8951</v>
      </c>
      <c r="AM700">
        <v>0.55900000000000005</v>
      </c>
      <c r="AN700">
        <v>-5.0000000000000001E-3</v>
      </c>
      <c r="AO700">
        <v>0.55900000000000005</v>
      </c>
      <c r="AP700" s="46">
        <v>0</v>
      </c>
      <c r="AQ700" s="46">
        <v>0</v>
      </c>
      <c r="AR700" s="46">
        <v>0</v>
      </c>
      <c r="AS700" s="46">
        <v>0</v>
      </c>
      <c r="AT700" s="46">
        <v>0</v>
      </c>
      <c r="AU700" s="46">
        <v>0</v>
      </c>
      <c r="AV700" s="46">
        <v>0</v>
      </c>
      <c r="AW700" s="46">
        <v>0</v>
      </c>
      <c r="AX700" s="46">
        <v>0</v>
      </c>
      <c r="AY700" s="46">
        <v>0</v>
      </c>
      <c r="AZ700" s="46">
        <v>0</v>
      </c>
      <c r="BA700" s="46">
        <v>0</v>
      </c>
      <c r="BB700" s="46">
        <v>0</v>
      </c>
      <c r="BC700" s="46">
        <v>0</v>
      </c>
      <c r="BD700" s="46">
        <v>0</v>
      </c>
      <c r="BE700" s="46">
        <v>0</v>
      </c>
      <c r="BF700" s="46">
        <v>0</v>
      </c>
      <c r="BG700" s="46" t="s">
        <v>48</v>
      </c>
      <c r="BH700" s="46">
        <v>0</v>
      </c>
      <c r="BI700" s="46">
        <v>0</v>
      </c>
      <c r="BJ700" s="46">
        <v>0</v>
      </c>
      <c r="BK700" s="46">
        <v>0</v>
      </c>
      <c r="BL700" s="46">
        <v>0</v>
      </c>
      <c r="BM700" s="46">
        <v>0</v>
      </c>
      <c r="BN700" s="46">
        <v>0</v>
      </c>
    </row>
    <row r="701" spans="1:66" x14ac:dyDescent="0.35">
      <c r="A701" t="s">
        <v>3415</v>
      </c>
      <c r="B701" s="44" t="s">
        <v>48</v>
      </c>
      <c r="C701" t="s">
        <v>3420</v>
      </c>
      <c r="D701" t="s">
        <v>1188</v>
      </c>
      <c r="E701" t="s">
        <v>3417</v>
      </c>
      <c r="F701" t="s">
        <v>3416</v>
      </c>
      <c r="G701" t="s">
        <v>47</v>
      </c>
      <c r="H701">
        <v>0</v>
      </c>
      <c r="I701" s="60" t="s">
        <v>51</v>
      </c>
      <c r="J701" s="33" t="s">
        <v>45</v>
      </c>
      <c r="K701" s="46">
        <v>1</v>
      </c>
      <c r="L701">
        <v>67.7</v>
      </c>
      <c r="M701" t="s">
        <v>48</v>
      </c>
      <c r="N701" s="46">
        <v>1</v>
      </c>
      <c r="O701" s="46">
        <v>1</v>
      </c>
      <c r="P701" s="46">
        <v>0</v>
      </c>
      <c r="Q701" t="s">
        <v>48</v>
      </c>
      <c r="R701" t="s">
        <v>48</v>
      </c>
      <c r="S701" t="s">
        <v>3418</v>
      </c>
      <c r="T701" t="s">
        <v>3419</v>
      </c>
      <c r="U701" t="s">
        <v>3418</v>
      </c>
      <c r="V701" s="47">
        <v>0</v>
      </c>
      <c r="W701" t="s">
        <v>48</v>
      </c>
      <c r="X701" t="s">
        <v>48</v>
      </c>
      <c r="Y701" t="s">
        <v>48</v>
      </c>
      <c r="Z701">
        <v>1</v>
      </c>
      <c r="AA701" t="s">
        <v>48</v>
      </c>
      <c r="AB701" t="s">
        <v>3400</v>
      </c>
      <c r="AC701" t="s">
        <v>63</v>
      </c>
      <c r="AD701" t="s">
        <v>93</v>
      </c>
      <c r="AE701" t="s">
        <v>4532</v>
      </c>
      <c r="AF701" t="s">
        <v>48</v>
      </c>
      <c r="AG701" t="s">
        <v>48</v>
      </c>
      <c r="AH701" t="s">
        <v>93</v>
      </c>
      <c r="AI701">
        <v>22157</v>
      </c>
      <c r="AJ701">
        <v>1981</v>
      </c>
      <c r="AK701" t="s">
        <v>8952</v>
      </c>
      <c r="AL701" t="s">
        <v>8953</v>
      </c>
      <c r="AM701">
        <v>0.434</v>
      </c>
      <c r="AN701">
        <v>0.48099999999999998</v>
      </c>
      <c r="AO701">
        <v>0.434</v>
      </c>
      <c r="AP701" s="46">
        <v>0</v>
      </c>
      <c r="AQ701" s="46">
        <v>0</v>
      </c>
      <c r="AR701" s="46">
        <v>0</v>
      </c>
      <c r="AS701" s="46">
        <v>0</v>
      </c>
      <c r="AT701" s="46">
        <v>0</v>
      </c>
      <c r="AU701" s="46">
        <v>0</v>
      </c>
      <c r="AV701" s="46">
        <v>0</v>
      </c>
      <c r="AW701" s="46">
        <v>0</v>
      </c>
      <c r="AX701" s="46">
        <v>0</v>
      </c>
      <c r="AY701" s="46">
        <v>0</v>
      </c>
      <c r="AZ701" s="46">
        <v>0</v>
      </c>
      <c r="BA701" s="46">
        <v>0</v>
      </c>
      <c r="BB701" s="46">
        <v>0</v>
      </c>
      <c r="BC701" s="46">
        <v>0</v>
      </c>
      <c r="BD701" s="46">
        <v>0</v>
      </c>
      <c r="BE701" s="46">
        <v>0</v>
      </c>
      <c r="BF701" s="46">
        <v>0</v>
      </c>
      <c r="BG701" s="46" t="s">
        <v>48</v>
      </c>
      <c r="BH701" s="46">
        <v>0</v>
      </c>
      <c r="BI701" s="46">
        <v>0</v>
      </c>
      <c r="BJ701" s="46">
        <v>0</v>
      </c>
      <c r="BK701" s="46">
        <v>0</v>
      </c>
      <c r="BL701" s="46">
        <v>0</v>
      </c>
      <c r="BM701" s="46">
        <v>0</v>
      </c>
      <c r="BN701" s="46">
        <v>0</v>
      </c>
    </row>
    <row r="702" spans="1:66" x14ac:dyDescent="0.35">
      <c r="A702" t="s">
        <v>11135</v>
      </c>
      <c r="B702" s="44" t="s">
        <v>48</v>
      </c>
      <c r="C702" t="s">
        <v>11951</v>
      </c>
      <c r="D702" t="s">
        <v>11952</v>
      </c>
      <c r="E702" t="s">
        <v>11140</v>
      </c>
      <c r="F702" t="s">
        <v>3416</v>
      </c>
      <c r="G702" t="s">
        <v>74</v>
      </c>
      <c r="H702">
        <v>0</v>
      </c>
      <c r="I702" s="60" t="s">
        <v>48</v>
      </c>
      <c r="J702" s="33" t="s">
        <v>45</v>
      </c>
      <c r="K702" s="46">
        <v>0</v>
      </c>
      <c r="L702" s="53">
        <v>15.7</v>
      </c>
      <c r="M702" t="s">
        <v>48</v>
      </c>
      <c r="N702" s="46">
        <v>1</v>
      </c>
      <c r="O702" s="46">
        <v>1</v>
      </c>
      <c r="P702" s="46">
        <v>0</v>
      </c>
      <c r="Q702" t="s">
        <v>48</v>
      </c>
      <c r="R702" t="s">
        <v>48</v>
      </c>
      <c r="S702" t="s">
        <v>48</v>
      </c>
      <c r="T702" t="s">
        <v>48</v>
      </c>
      <c r="U702" t="s">
        <v>48</v>
      </c>
      <c r="V702">
        <v>1</v>
      </c>
      <c r="W702" t="s">
        <v>11264</v>
      </c>
      <c r="X702" t="s">
        <v>48</v>
      </c>
      <c r="Y702" t="s">
        <v>48</v>
      </c>
      <c r="Z702" t="s">
        <v>48</v>
      </c>
      <c r="AA702" t="s">
        <v>48</v>
      </c>
      <c r="AB702" t="s">
        <v>48</v>
      </c>
      <c r="AC702" t="s">
        <v>49</v>
      </c>
      <c r="AD702" t="s">
        <v>48</v>
      </c>
      <c r="AE702" t="s">
        <v>48</v>
      </c>
      <c r="AF702" t="s">
        <v>48</v>
      </c>
      <c r="AG702" t="s">
        <v>48</v>
      </c>
      <c r="AH702" t="s">
        <v>48</v>
      </c>
      <c r="AI702" t="s">
        <v>48</v>
      </c>
      <c r="AJ702" t="s">
        <v>48</v>
      </c>
      <c r="AK702" t="s">
        <v>48</v>
      </c>
      <c r="AL702" t="s">
        <v>48</v>
      </c>
      <c r="AM702" t="s">
        <v>48</v>
      </c>
      <c r="AN702" t="s">
        <v>48</v>
      </c>
      <c r="AO702" t="s">
        <v>48</v>
      </c>
      <c r="AP702" s="46">
        <v>0</v>
      </c>
      <c r="AQ702" s="46">
        <v>0</v>
      </c>
      <c r="AR702" s="46">
        <v>0</v>
      </c>
      <c r="AS702" s="46">
        <v>0</v>
      </c>
      <c r="AT702" s="46">
        <v>0</v>
      </c>
      <c r="AU702" s="46">
        <v>0</v>
      </c>
      <c r="AV702" s="46">
        <v>0</v>
      </c>
      <c r="AW702" s="46">
        <v>0</v>
      </c>
      <c r="AX702" s="46">
        <v>0</v>
      </c>
      <c r="AY702" s="46">
        <v>0</v>
      </c>
      <c r="AZ702" s="46">
        <v>0</v>
      </c>
      <c r="BA702" s="46">
        <v>0</v>
      </c>
      <c r="BB702" s="46">
        <v>0</v>
      </c>
      <c r="BC702" s="46">
        <v>0</v>
      </c>
      <c r="BD702" s="46">
        <v>0</v>
      </c>
      <c r="BE702" s="46">
        <v>0</v>
      </c>
      <c r="BF702" s="46">
        <v>0</v>
      </c>
      <c r="BG702" s="46" t="s">
        <v>48</v>
      </c>
      <c r="BH702" s="46">
        <v>0</v>
      </c>
      <c r="BI702" s="46">
        <v>0</v>
      </c>
      <c r="BJ702" s="46">
        <v>0</v>
      </c>
      <c r="BK702" s="46">
        <v>0</v>
      </c>
      <c r="BL702" s="46">
        <v>0</v>
      </c>
      <c r="BM702" s="46">
        <v>0</v>
      </c>
      <c r="BN702" s="46">
        <v>0</v>
      </c>
    </row>
    <row r="703" spans="1:66" x14ac:dyDescent="0.35">
      <c r="A703" t="s">
        <v>3427</v>
      </c>
      <c r="B703" s="44" t="s">
        <v>48</v>
      </c>
      <c r="C703" t="s">
        <v>3432</v>
      </c>
      <c r="D703" t="s">
        <v>3431</v>
      </c>
      <c r="E703" t="s">
        <v>3428</v>
      </c>
      <c r="F703" t="s">
        <v>3423</v>
      </c>
      <c r="G703" t="s">
        <v>47</v>
      </c>
      <c r="H703">
        <v>0</v>
      </c>
      <c r="I703" s="60" t="s">
        <v>51</v>
      </c>
      <c r="J703" s="33" t="s">
        <v>45</v>
      </c>
      <c r="K703" s="46">
        <v>1</v>
      </c>
      <c r="L703">
        <v>80.599999999999994</v>
      </c>
      <c r="M703" t="s">
        <v>48</v>
      </c>
      <c r="N703" s="46">
        <v>1</v>
      </c>
      <c r="O703" s="46">
        <v>1</v>
      </c>
      <c r="P703" s="46">
        <v>0</v>
      </c>
      <c r="Q703" t="s">
        <v>48</v>
      </c>
      <c r="R703" t="s">
        <v>48</v>
      </c>
      <c r="S703" t="s">
        <v>3429</v>
      </c>
      <c r="T703" t="s">
        <v>3430</v>
      </c>
      <c r="U703" t="s">
        <v>3429</v>
      </c>
      <c r="V703" s="47">
        <v>0</v>
      </c>
      <c r="W703" t="s">
        <v>48</v>
      </c>
      <c r="X703" t="s">
        <v>48</v>
      </c>
      <c r="Y703" t="s">
        <v>48</v>
      </c>
      <c r="Z703">
        <v>0</v>
      </c>
      <c r="AA703" t="s">
        <v>48</v>
      </c>
      <c r="AB703">
        <v>2014</v>
      </c>
      <c r="AC703" t="s">
        <v>49</v>
      </c>
      <c r="AD703" t="s">
        <v>93</v>
      </c>
      <c r="AE703" t="s">
        <v>4532</v>
      </c>
      <c r="AF703" t="s">
        <v>48</v>
      </c>
      <c r="AG703" t="s">
        <v>140</v>
      </c>
      <c r="AH703" t="s">
        <v>93</v>
      </c>
      <c r="AI703">
        <v>21523</v>
      </c>
      <c r="AJ703">
        <v>1972</v>
      </c>
      <c r="AK703" t="s">
        <v>8954</v>
      </c>
      <c r="AL703" t="s">
        <v>8955</v>
      </c>
      <c r="AM703">
        <v>0.44800000000000001</v>
      </c>
      <c r="AN703">
        <v>-1.0999999999999999E-2</v>
      </c>
      <c r="AO703">
        <v>0.44800000000000001</v>
      </c>
      <c r="AP703" s="46">
        <v>0</v>
      </c>
      <c r="AQ703" s="46">
        <v>0</v>
      </c>
      <c r="AR703" s="46">
        <v>0</v>
      </c>
      <c r="AS703" s="46">
        <v>0</v>
      </c>
      <c r="AT703" s="46">
        <v>0</v>
      </c>
      <c r="AU703" s="46">
        <v>0</v>
      </c>
      <c r="AV703" s="46">
        <v>0</v>
      </c>
      <c r="AW703" s="46">
        <v>0</v>
      </c>
      <c r="AX703" s="46">
        <v>0</v>
      </c>
      <c r="AY703" s="46">
        <v>0</v>
      </c>
      <c r="AZ703" s="46">
        <v>0</v>
      </c>
      <c r="BA703" s="46">
        <v>0</v>
      </c>
      <c r="BB703" s="46">
        <v>1</v>
      </c>
      <c r="BC703" s="46">
        <v>0</v>
      </c>
      <c r="BD703" s="46">
        <v>0</v>
      </c>
      <c r="BE703" s="46">
        <v>0</v>
      </c>
      <c r="BF703" s="46">
        <v>0</v>
      </c>
      <c r="BG703" s="46" t="s">
        <v>48</v>
      </c>
      <c r="BH703" s="46">
        <v>0</v>
      </c>
      <c r="BI703" s="46">
        <v>0</v>
      </c>
      <c r="BJ703" s="46">
        <v>0</v>
      </c>
      <c r="BK703" s="46">
        <v>0</v>
      </c>
      <c r="BL703" s="46">
        <v>0</v>
      </c>
      <c r="BM703" s="46">
        <v>0</v>
      </c>
      <c r="BN703" s="46">
        <v>0</v>
      </c>
    </row>
    <row r="704" spans="1:66" x14ac:dyDescent="0.35">
      <c r="A704" t="s">
        <v>10977</v>
      </c>
      <c r="B704" s="44" t="s">
        <v>48</v>
      </c>
      <c r="C704" t="s">
        <v>11956</v>
      </c>
      <c r="D704" t="s">
        <v>503</v>
      </c>
      <c r="E704" t="s">
        <v>10978</v>
      </c>
      <c r="F704" t="s">
        <v>3458</v>
      </c>
      <c r="G704" t="s">
        <v>47</v>
      </c>
      <c r="H704">
        <v>0</v>
      </c>
      <c r="I704" s="60" t="s">
        <v>11552</v>
      </c>
      <c r="J704" s="33" t="s">
        <v>45</v>
      </c>
      <c r="K704" s="46">
        <v>0</v>
      </c>
      <c r="L704" s="56">
        <v>99.2</v>
      </c>
      <c r="M704" t="s">
        <v>48</v>
      </c>
      <c r="N704" s="46">
        <v>1</v>
      </c>
      <c r="O704" s="46">
        <v>0</v>
      </c>
      <c r="P704" s="46">
        <v>0</v>
      </c>
      <c r="Q704" t="s">
        <v>48</v>
      </c>
      <c r="R704" t="s">
        <v>48</v>
      </c>
      <c r="S704" t="s">
        <v>11486</v>
      </c>
      <c r="T704" t="s">
        <v>48</v>
      </c>
      <c r="U704" t="s">
        <v>10979</v>
      </c>
      <c r="V704" s="47">
        <v>0</v>
      </c>
      <c r="W704" t="s">
        <v>48</v>
      </c>
      <c r="X704" t="s">
        <v>48</v>
      </c>
      <c r="Y704" t="s">
        <v>48</v>
      </c>
      <c r="Z704" t="s">
        <v>48</v>
      </c>
      <c r="AA704" t="s">
        <v>48</v>
      </c>
      <c r="AB704" t="s">
        <v>48</v>
      </c>
      <c r="AC704" t="s">
        <v>49</v>
      </c>
      <c r="AD704" t="s">
        <v>93</v>
      </c>
      <c r="AE704" t="s">
        <v>4532</v>
      </c>
      <c r="AF704" t="s">
        <v>48</v>
      </c>
      <c r="AG704" t="s">
        <v>48</v>
      </c>
      <c r="AH704" t="s">
        <v>48</v>
      </c>
      <c r="AI704" t="s">
        <v>48</v>
      </c>
      <c r="AJ704" t="s">
        <v>48</v>
      </c>
      <c r="AK704" t="s">
        <v>48</v>
      </c>
      <c r="AL704" t="s">
        <v>48</v>
      </c>
      <c r="AM704" t="s">
        <v>48</v>
      </c>
      <c r="AN704" t="s">
        <v>48</v>
      </c>
      <c r="AO704" t="s">
        <v>48</v>
      </c>
      <c r="AP704" s="46">
        <v>0</v>
      </c>
      <c r="AQ704" s="46">
        <v>0</v>
      </c>
      <c r="AR704" s="46">
        <v>0</v>
      </c>
      <c r="AS704" s="46">
        <v>0</v>
      </c>
      <c r="AT704" s="46">
        <v>0</v>
      </c>
      <c r="AU704" s="46">
        <v>0</v>
      </c>
      <c r="AV704" s="46">
        <v>0</v>
      </c>
      <c r="AW704" s="46">
        <v>0</v>
      </c>
      <c r="AX704" s="46">
        <v>0</v>
      </c>
      <c r="AY704" s="46">
        <v>0</v>
      </c>
      <c r="AZ704" s="46">
        <v>0</v>
      </c>
      <c r="BA704" s="46">
        <v>0</v>
      </c>
      <c r="BB704" s="46">
        <v>0</v>
      </c>
      <c r="BC704" s="46">
        <v>0</v>
      </c>
      <c r="BD704" s="46">
        <v>0</v>
      </c>
      <c r="BE704" s="46">
        <v>0</v>
      </c>
      <c r="BF704" s="46">
        <v>0</v>
      </c>
      <c r="BG704" s="46" t="s">
        <v>48</v>
      </c>
      <c r="BH704" s="46">
        <v>0</v>
      </c>
      <c r="BI704" s="46">
        <v>0</v>
      </c>
      <c r="BJ704" s="46">
        <v>0</v>
      </c>
      <c r="BK704" s="46">
        <v>0</v>
      </c>
      <c r="BL704" s="46">
        <v>0</v>
      </c>
      <c r="BM704" s="46">
        <v>0</v>
      </c>
      <c r="BN704" s="46">
        <v>0</v>
      </c>
    </row>
    <row r="705" spans="1:66" x14ac:dyDescent="0.35">
      <c r="A705" t="s">
        <v>3461</v>
      </c>
      <c r="B705" s="44" t="s">
        <v>48</v>
      </c>
      <c r="C705" t="s">
        <v>1594</v>
      </c>
      <c r="D705" t="s">
        <v>328</v>
      </c>
      <c r="E705" t="s">
        <v>3462</v>
      </c>
      <c r="F705" t="s">
        <v>3458</v>
      </c>
      <c r="G705" t="s">
        <v>74</v>
      </c>
      <c r="H705">
        <v>0</v>
      </c>
      <c r="I705" s="60" t="s">
        <v>51</v>
      </c>
      <c r="J705" s="33" t="s">
        <v>45</v>
      </c>
      <c r="K705" s="46">
        <v>1</v>
      </c>
      <c r="L705">
        <v>99.2</v>
      </c>
      <c r="M705" t="s">
        <v>48</v>
      </c>
      <c r="N705" s="46">
        <v>1</v>
      </c>
      <c r="O705" s="46">
        <v>0</v>
      </c>
      <c r="P705" s="46">
        <v>0</v>
      </c>
      <c r="Q705" t="s">
        <v>48</v>
      </c>
      <c r="R705" t="s">
        <v>48</v>
      </c>
      <c r="S705" t="s">
        <v>3463</v>
      </c>
      <c r="T705" t="s">
        <v>3464</v>
      </c>
      <c r="U705" t="s">
        <v>3463</v>
      </c>
      <c r="V705" s="47">
        <v>0</v>
      </c>
      <c r="W705" t="s">
        <v>48</v>
      </c>
      <c r="X705" t="s">
        <v>48</v>
      </c>
      <c r="Y705" t="s">
        <v>48</v>
      </c>
      <c r="Z705">
        <v>0</v>
      </c>
      <c r="AA705" t="s">
        <v>48</v>
      </c>
      <c r="AB705">
        <v>1988</v>
      </c>
      <c r="AC705" t="s">
        <v>49</v>
      </c>
      <c r="AD705" t="s">
        <v>93</v>
      </c>
      <c r="AE705" t="s">
        <v>4532</v>
      </c>
      <c r="AF705" t="s">
        <v>48</v>
      </c>
      <c r="AG705" t="s">
        <v>140</v>
      </c>
      <c r="AH705" t="s">
        <v>93</v>
      </c>
      <c r="AI705">
        <v>15616</v>
      </c>
      <c r="AJ705">
        <v>1949</v>
      </c>
      <c r="AK705" t="s">
        <v>8956</v>
      </c>
      <c r="AL705" t="s">
        <v>8957</v>
      </c>
      <c r="AM705">
        <v>-0.41699999999999998</v>
      </c>
      <c r="AN705">
        <v>-0.107</v>
      </c>
      <c r="AO705">
        <v>-0.41699999999999998</v>
      </c>
      <c r="AP705" s="46">
        <v>0</v>
      </c>
      <c r="AQ705" s="46">
        <v>0</v>
      </c>
      <c r="AR705" s="46">
        <v>0</v>
      </c>
      <c r="AS705" s="46">
        <v>0</v>
      </c>
      <c r="AT705" s="46">
        <v>0</v>
      </c>
      <c r="AU705" s="46">
        <v>0</v>
      </c>
      <c r="AV705" s="46">
        <v>0</v>
      </c>
      <c r="AW705" s="46">
        <v>0</v>
      </c>
      <c r="AX705" s="46">
        <v>0</v>
      </c>
      <c r="AY705" s="46">
        <v>0</v>
      </c>
      <c r="AZ705" s="46">
        <v>0</v>
      </c>
      <c r="BA705" s="46">
        <v>0</v>
      </c>
      <c r="BB705" s="46">
        <v>0</v>
      </c>
      <c r="BC705" s="46">
        <v>0</v>
      </c>
      <c r="BD705" s="46">
        <v>0</v>
      </c>
      <c r="BE705" s="46">
        <v>0</v>
      </c>
      <c r="BF705" s="46">
        <v>0</v>
      </c>
      <c r="BG705" s="46" t="s">
        <v>48</v>
      </c>
      <c r="BH705" s="46">
        <v>0</v>
      </c>
      <c r="BI705" s="46">
        <v>0</v>
      </c>
      <c r="BJ705" s="46">
        <v>0</v>
      </c>
      <c r="BK705" s="46">
        <v>0</v>
      </c>
      <c r="BL705" s="46">
        <v>0</v>
      </c>
      <c r="BM705" s="46">
        <v>0</v>
      </c>
      <c r="BN705" s="46">
        <v>0</v>
      </c>
    </row>
    <row r="706" spans="1:66" x14ac:dyDescent="0.35">
      <c r="A706" t="s">
        <v>3473</v>
      </c>
      <c r="B706" s="44" t="s">
        <v>48</v>
      </c>
      <c r="C706" t="s">
        <v>11957</v>
      </c>
      <c r="D706" t="s">
        <v>701</v>
      </c>
      <c r="E706" t="s">
        <v>3474</v>
      </c>
      <c r="F706" t="s">
        <v>3466</v>
      </c>
      <c r="G706" t="s">
        <v>47</v>
      </c>
      <c r="H706">
        <v>0</v>
      </c>
      <c r="I706" s="61" t="s">
        <v>11160</v>
      </c>
      <c r="J706" s="33" t="s">
        <v>45</v>
      </c>
      <c r="K706" s="46">
        <v>0</v>
      </c>
      <c r="L706">
        <v>99.4</v>
      </c>
      <c r="M706" t="s">
        <v>48</v>
      </c>
      <c r="N706" s="46">
        <v>1</v>
      </c>
      <c r="O706" s="46">
        <v>0</v>
      </c>
      <c r="P706" s="46">
        <v>0</v>
      </c>
      <c r="Q706" t="s">
        <v>48</v>
      </c>
      <c r="R706" t="s">
        <v>48</v>
      </c>
      <c r="S706" t="s">
        <v>11354</v>
      </c>
      <c r="T706" t="s">
        <v>48</v>
      </c>
      <c r="U706" t="s">
        <v>3475</v>
      </c>
      <c r="V706" s="47">
        <v>0</v>
      </c>
      <c r="W706" t="s">
        <v>48</v>
      </c>
      <c r="X706" t="s">
        <v>48</v>
      </c>
      <c r="Y706" t="s">
        <v>48</v>
      </c>
      <c r="Z706">
        <v>0</v>
      </c>
      <c r="AA706" t="s">
        <v>48</v>
      </c>
      <c r="AB706" t="s">
        <v>48</v>
      </c>
      <c r="AC706" t="s">
        <v>49</v>
      </c>
      <c r="AD706" t="s">
        <v>93</v>
      </c>
      <c r="AE706" t="s">
        <v>4532</v>
      </c>
      <c r="AF706" t="s">
        <v>48</v>
      </c>
      <c r="AG706" t="s">
        <v>48</v>
      </c>
      <c r="AH706" t="s">
        <v>426</v>
      </c>
      <c r="AI706" t="s">
        <v>48</v>
      </c>
      <c r="AJ706" t="s">
        <v>48</v>
      </c>
      <c r="AK706" t="s">
        <v>48</v>
      </c>
      <c r="AL706" t="s">
        <v>48</v>
      </c>
      <c r="AM706" t="s">
        <v>48</v>
      </c>
      <c r="AN706" t="s">
        <v>48</v>
      </c>
      <c r="AO706" t="s">
        <v>48</v>
      </c>
      <c r="AP706" s="46">
        <v>0</v>
      </c>
      <c r="AQ706" s="46">
        <v>0</v>
      </c>
      <c r="AR706" s="46">
        <v>0</v>
      </c>
      <c r="AS706" s="46">
        <v>0</v>
      </c>
      <c r="AT706" s="46">
        <v>0</v>
      </c>
      <c r="AU706" s="46">
        <v>0</v>
      </c>
      <c r="AV706" s="46">
        <v>0</v>
      </c>
      <c r="AW706" s="46">
        <v>0</v>
      </c>
      <c r="AX706" s="46">
        <v>0</v>
      </c>
      <c r="AY706" s="46">
        <v>0</v>
      </c>
      <c r="AZ706" s="46">
        <v>0</v>
      </c>
      <c r="BA706" s="46">
        <v>0</v>
      </c>
      <c r="BB706" s="46">
        <v>0</v>
      </c>
      <c r="BC706" s="46">
        <v>0</v>
      </c>
      <c r="BD706" s="46">
        <v>0</v>
      </c>
      <c r="BE706" s="46">
        <v>0</v>
      </c>
      <c r="BF706" s="46">
        <v>0</v>
      </c>
      <c r="BG706" s="46">
        <v>1</v>
      </c>
      <c r="BH706" s="46">
        <v>0</v>
      </c>
      <c r="BI706" s="46">
        <v>0</v>
      </c>
      <c r="BJ706" s="46">
        <v>0</v>
      </c>
      <c r="BK706" s="46">
        <v>0</v>
      </c>
      <c r="BL706" s="46">
        <v>0</v>
      </c>
      <c r="BM706" s="46">
        <v>0</v>
      </c>
      <c r="BN706" s="46">
        <v>0</v>
      </c>
    </row>
    <row r="707" spans="1:66" x14ac:dyDescent="0.35">
      <c r="A707" t="s">
        <v>3469</v>
      </c>
      <c r="B707" s="44" t="s">
        <v>48</v>
      </c>
      <c r="C707" t="s">
        <v>1886</v>
      </c>
      <c r="D707" t="s">
        <v>829</v>
      </c>
      <c r="E707" t="s">
        <v>3470</v>
      </c>
      <c r="F707" t="s">
        <v>3466</v>
      </c>
      <c r="G707" t="s">
        <v>74</v>
      </c>
      <c r="H707">
        <v>0</v>
      </c>
      <c r="I707" s="60" t="s">
        <v>51</v>
      </c>
      <c r="J707" s="33" t="s">
        <v>45</v>
      </c>
      <c r="K707" s="46">
        <v>1</v>
      </c>
      <c r="L707">
        <v>99.7</v>
      </c>
      <c r="M707" t="s">
        <v>48</v>
      </c>
      <c r="N707" s="46">
        <v>1</v>
      </c>
      <c r="O707" s="46">
        <v>0</v>
      </c>
      <c r="P707" s="46">
        <v>0</v>
      </c>
      <c r="Q707" t="s">
        <v>48</v>
      </c>
      <c r="R707" t="s">
        <v>48</v>
      </c>
      <c r="S707" t="s">
        <v>3471</v>
      </c>
      <c r="T707" t="s">
        <v>3472</v>
      </c>
      <c r="U707" t="s">
        <v>3471</v>
      </c>
      <c r="V707" s="47">
        <v>0</v>
      </c>
      <c r="W707" t="s">
        <v>48</v>
      </c>
      <c r="X707" t="s">
        <v>48</v>
      </c>
      <c r="Y707" t="s">
        <v>48</v>
      </c>
      <c r="Z707">
        <v>0</v>
      </c>
      <c r="AA707" t="s">
        <v>48</v>
      </c>
      <c r="AB707">
        <v>1996</v>
      </c>
      <c r="AC707" t="s">
        <v>49</v>
      </c>
      <c r="AD707" t="s">
        <v>93</v>
      </c>
      <c r="AE707" t="s">
        <v>4532</v>
      </c>
      <c r="AF707" t="s">
        <v>48</v>
      </c>
      <c r="AG707" t="s">
        <v>140</v>
      </c>
      <c r="AH707" t="s">
        <v>93</v>
      </c>
      <c r="AI707">
        <v>29729</v>
      </c>
      <c r="AJ707">
        <v>1959</v>
      </c>
      <c r="AK707" t="s">
        <v>8958</v>
      </c>
      <c r="AL707" t="s">
        <v>8959</v>
      </c>
      <c r="AM707">
        <v>-0.53900000000000003</v>
      </c>
      <c r="AN707">
        <v>-0.31</v>
      </c>
      <c r="AO707">
        <v>-0.53900000000000003</v>
      </c>
      <c r="AP707" s="46">
        <v>0</v>
      </c>
      <c r="AQ707" s="46">
        <v>0</v>
      </c>
      <c r="AR707" s="46">
        <v>0</v>
      </c>
      <c r="AS707" s="46">
        <v>0</v>
      </c>
      <c r="AT707" s="46">
        <v>1</v>
      </c>
      <c r="AU707" s="46">
        <v>0</v>
      </c>
      <c r="AV707" s="46">
        <v>0</v>
      </c>
      <c r="AW707" s="46">
        <v>0</v>
      </c>
      <c r="AX707" s="46">
        <v>0</v>
      </c>
      <c r="AY707" s="46">
        <v>0</v>
      </c>
      <c r="AZ707" s="46">
        <v>0</v>
      </c>
      <c r="BA707" s="46">
        <v>0</v>
      </c>
      <c r="BB707" s="46">
        <v>0</v>
      </c>
      <c r="BC707" s="46">
        <v>0</v>
      </c>
      <c r="BD707" s="46">
        <v>0</v>
      </c>
      <c r="BE707" s="46">
        <v>0</v>
      </c>
      <c r="BF707" s="46">
        <v>0</v>
      </c>
      <c r="BG707" s="46" t="s">
        <v>48</v>
      </c>
      <c r="BH707" s="46">
        <v>0</v>
      </c>
      <c r="BI707" s="46">
        <v>0</v>
      </c>
      <c r="BJ707" s="46">
        <v>0</v>
      </c>
      <c r="BK707" s="46">
        <v>1</v>
      </c>
      <c r="BL707" s="46">
        <v>0</v>
      </c>
      <c r="BM707" s="46">
        <v>0</v>
      </c>
      <c r="BN707" s="46">
        <v>0</v>
      </c>
    </row>
    <row r="708" spans="1:66" ht="15" x14ac:dyDescent="0.4">
      <c r="A708" t="s">
        <v>3487</v>
      </c>
      <c r="B708" s="44" t="s">
        <v>48</v>
      </c>
      <c r="C708" t="s">
        <v>3489</v>
      </c>
      <c r="D708" t="s">
        <v>503</v>
      </c>
      <c r="E708" t="s">
        <v>3488</v>
      </c>
      <c r="F708" t="s">
        <v>3477</v>
      </c>
      <c r="G708" t="s">
        <v>47</v>
      </c>
      <c r="H708">
        <v>0</v>
      </c>
      <c r="I708" s="60" t="s">
        <v>11160</v>
      </c>
      <c r="J708" s="33" t="s">
        <v>45</v>
      </c>
      <c r="K708" s="46">
        <v>0</v>
      </c>
      <c r="L708">
        <v>99.3</v>
      </c>
      <c r="M708" t="s">
        <v>48</v>
      </c>
      <c r="N708" s="46">
        <v>1</v>
      </c>
      <c r="O708" s="46">
        <v>0</v>
      </c>
      <c r="P708" s="46">
        <v>0</v>
      </c>
      <c r="Q708" t="s">
        <v>48</v>
      </c>
      <c r="R708" t="s">
        <v>48</v>
      </c>
      <c r="S708" s="55" t="s">
        <v>11300</v>
      </c>
      <c r="T708" t="s">
        <v>48</v>
      </c>
      <c r="U708" s="55" t="s">
        <v>11300</v>
      </c>
      <c r="V708" s="47">
        <v>0</v>
      </c>
      <c r="W708" t="s">
        <v>48</v>
      </c>
      <c r="X708" t="s">
        <v>48</v>
      </c>
      <c r="Y708" t="s">
        <v>48</v>
      </c>
      <c r="Z708">
        <v>0</v>
      </c>
      <c r="AA708" t="s">
        <v>48</v>
      </c>
      <c r="AB708" t="s">
        <v>48</v>
      </c>
      <c r="AC708" t="s">
        <v>49</v>
      </c>
      <c r="AD708" t="s">
        <v>93</v>
      </c>
      <c r="AE708" t="s">
        <v>977</v>
      </c>
      <c r="AF708" t="s">
        <v>11072</v>
      </c>
      <c r="AG708" t="s">
        <v>48</v>
      </c>
      <c r="AH708" t="s">
        <v>48</v>
      </c>
      <c r="AI708" t="s">
        <v>48</v>
      </c>
      <c r="AJ708" t="s">
        <v>48</v>
      </c>
      <c r="AK708" t="s">
        <v>48</v>
      </c>
      <c r="AL708" t="s">
        <v>48</v>
      </c>
      <c r="AM708" t="s">
        <v>48</v>
      </c>
      <c r="AN708" t="s">
        <v>48</v>
      </c>
      <c r="AO708" t="s">
        <v>48</v>
      </c>
      <c r="AP708" s="46">
        <v>0</v>
      </c>
      <c r="AQ708" s="46">
        <v>0</v>
      </c>
      <c r="AR708" s="46">
        <v>0</v>
      </c>
      <c r="AS708" s="46">
        <v>0</v>
      </c>
      <c r="AT708" s="46">
        <v>0</v>
      </c>
      <c r="AU708" s="46">
        <v>0</v>
      </c>
      <c r="AV708" s="46">
        <v>0</v>
      </c>
      <c r="AW708" s="46">
        <v>0</v>
      </c>
      <c r="AX708" s="46">
        <v>0</v>
      </c>
      <c r="AY708" s="46">
        <v>0</v>
      </c>
      <c r="AZ708" s="46">
        <v>0</v>
      </c>
      <c r="BA708" s="46">
        <v>0</v>
      </c>
      <c r="BB708" s="46">
        <v>0</v>
      </c>
      <c r="BC708" s="46">
        <v>0</v>
      </c>
      <c r="BD708" s="46">
        <v>0</v>
      </c>
      <c r="BE708" s="46">
        <v>0</v>
      </c>
      <c r="BF708" s="46">
        <v>0</v>
      </c>
      <c r="BG708" s="46" t="s">
        <v>48</v>
      </c>
      <c r="BH708" s="46">
        <v>0</v>
      </c>
      <c r="BI708" s="46">
        <v>0</v>
      </c>
      <c r="BJ708" s="46">
        <v>0</v>
      </c>
      <c r="BK708" s="46">
        <v>0</v>
      </c>
      <c r="BL708" s="46">
        <v>0</v>
      </c>
      <c r="BM708" s="46">
        <v>0</v>
      </c>
      <c r="BN708" s="46">
        <v>0</v>
      </c>
    </row>
    <row r="709" spans="1:66" x14ac:dyDescent="0.35">
      <c r="A709" t="s">
        <v>3482</v>
      </c>
      <c r="B709" t="s">
        <v>48</v>
      </c>
      <c r="C709" t="s">
        <v>3486</v>
      </c>
      <c r="D709" t="s">
        <v>1704</v>
      </c>
      <c r="E709" t="s">
        <v>3483</v>
      </c>
      <c r="F709" t="s">
        <v>3477</v>
      </c>
      <c r="G709" t="s">
        <v>74</v>
      </c>
      <c r="H709">
        <v>0</v>
      </c>
      <c r="I709" s="60" t="s">
        <v>51</v>
      </c>
      <c r="J709" s="33" t="s">
        <v>45</v>
      </c>
      <c r="K709" s="46">
        <v>1</v>
      </c>
      <c r="L709">
        <v>99.6</v>
      </c>
      <c r="M709" t="s">
        <v>48</v>
      </c>
      <c r="N709" s="46">
        <v>1</v>
      </c>
      <c r="O709" s="46">
        <v>0</v>
      </c>
      <c r="P709" s="46">
        <v>0</v>
      </c>
      <c r="Q709" t="s">
        <v>48</v>
      </c>
      <c r="R709" t="s">
        <v>48</v>
      </c>
      <c r="S709" t="s">
        <v>3484</v>
      </c>
      <c r="T709" t="s">
        <v>3485</v>
      </c>
      <c r="U709" t="s">
        <v>3484</v>
      </c>
      <c r="V709" s="47">
        <v>0</v>
      </c>
      <c r="W709" t="s">
        <v>48</v>
      </c>
      <c r="X709" t="s">
        <v>48</v>
      </c>
      <c r="Y709" t="s">
        <v>48</v>
      </c>
      <c r="Z709">
        <v>0</v>
      </c>
      <c r="AA709" t="s">
        <v>48</v>
      </c>
      <c r="AB709">
        <v>2018</v>
      </c>
      <c r="AC709" t="s">
        <v>63</v>
      </c>
      <c r="AD709" t="s">
        <v>951</v>
      </c>
      <c r="AE709" t="s">
        <v>11051</v>
      </c>
      <c r="AF709" t="s">
        <v>11060</v>
      </c>
      <c r="AG709" t="s">
        <v>140</v>
      </c>
      <c r="AH709" t="s">
        <v>93</v>
      </c>
      <c r="AI709">
        <v>21977</v>
      </c>
      <c r="AJ709">
        <v>1973</v>
      </c>
      <c r="AK709" t="s">
        <v>8960</v>
      </c>
      <c r="AL709" t="s">
        <v>8961</v>
      </c>
      <c r="AM709">
        <v>-0.47099999999999997</v>
      </c>
      <c r="AN709">
        <v>-9.6000000000000002E-2</v>
      </c>
      <c r="AO709">
        <v>-0.47099999999999997</v>
      </c>
      <c r="AP709" s="46">
        <v>0</v>
      </c>
      <c r="AQ709" s="46">
        <v>0</v>
      </c>
      <c r="AR709" s="46">
        <v>0</v>
      </c>
      <c r="AS709" s="46">
        <v>0</v>
      </c>
      <c r="AT709" s="46">
        <v>1</v>
      </c>
      <c r="AU709" s="46">
        <v>1</v>
      </c>
      <c r="AV709" s="46">
        <v>0</v>
      </c>
      <c r="AW709" s="46">
        <v>0</v>
      </c>
      <c r="AX709" s="46">
        <v>0</v>
      </c>
      <c r="AY709" s="46">
        <v>0</v>
      </c>
      <c r="AZ709" s="46">
        <v>0</v>
      </c>
      <c r="BA709" s="46">
        <v>0</v>
      </c>
      <c r="BB709" s="46">
        <v>0</v>
      </c>
      <c r="BC709" s="46">
        <v>0</v>
      </c>
      <c r="BD709" s="46">
        <v>0</v>
      </c>
      <c r="BE709" s="46">
        <v>0</v>
      </c>
      <c r="BF709" s="46">
        <v>0</v>
      </c>
      <c r="BG709" s="46" t="s">
        <v>48</v>
      </c>
      <c r="BH709" s="46">
        <v>0</v>
      </c>
      <c r="BI709" s="46">
        <v>0</v>
      </c>
      <c r="BJ709" s="46">
        <v>0</v>
      </c>
      <c r="BK709" s="46">
        <v>1</v>
      </c>
      <c r="BL709" s="46">
        <v>0</v>
      </c>
      <c r="BM709" s="46">
        <v>0</v>
      </c>
      <c r="BN709" s="46">
        <v>0</v>
      </c>
    </row>
    <row r="710" spans="1:66" x14ac:dyDescent="0.35">
      <c r="A710" t="s">
        <v>3490</v>
      </c>
      <c r="B710" s="44" t="s">
        <v>48</v>
      </c>
      <c r="C710" t="s">
        <v>3495</v>
      </c>
      <c r="D710" t="s">
        <v>518</v>
      </c>
      <c r="E710" t="s">
        <v>3492</v>
      </c>
      <c r="F710" t="s">
        <v>3491</v>
      </c>
      <c r="G710" t="s">
        <v>74</v>
      </c>
      <c r="H710">
        <v>0</v>
      </c>
      <c r="I710" s="60" t="s">
        <v>51</v>
      </c>
      <c r="J710" s="33" t="s">
        <v>45</v>
      </c>
      <c r="K710" s="46">
        <v>1</v>
      </c>
      <c r="L710">
        <v>99.3</v>
      </c>
      <c r="M710" t="s">
        <v>48</v>
      </c>
      <c r="N710" s="46">
        <v>1</v>
      </c>
      <c r="O710" s="46">
        <v>0</v>
      </c>
      <c r="P710" s="46">
        <v>0</v>
      </c>
      <c r="Q710" t="s">
        <v>48</v>
      </c>
      <c r="R710" t="s">
        <v>48</v>
      </c>
      <c r="S710" t="s">
        <v>3493</v>
      </c>
      <c r="T710" t="s">
        <v>3494</v>
      </c>
      <c r="U710" t="s">
        <v>3493</v>
      </c>
      <c r="V710" s="47">
        <v>0</v>
      </c>
      <c r="W710" t="s">
        <v>48</v>
      </c>
      <c r="X710" t="s">
        <v>48</v>
      </c>
      <c r="Y710" t="s">
        <v>48</v>
      </c>
      <c r="Z710">
        <v>1</v>
      </c>
      <c r="AA710" t="s">
        <v>48</v>
      </c>
      <c r="AB710">
        <v>2020</v>
      </c>
      <c r="AC710" t="s">
        <v>49</v>
      </c>
      <c r="AD710" t="s">
        <v>93</v>
      </c>
      <c r="AE710" t="s">
        <v>4532</v>
      </c>
      <c r="AF710" t="s">
        <v>48</v>
      </c>
      <c r="AG710" t="s">
        <v>48</v>
      </c>
      <c r="AH710" t="s">
        <v>48</v>
      </c>
      <c r="AI710">
        <v>22100</v>
      </c>
      <c r="AJ710">
        <v>1988</v>
      </c>
      <c r="AK710" t="s">
        <v>8962</v>
      </c>
      <c r="AL710" t="s">
        <v>8963</v>
      </c>
      <c r="AM710">
        <v>-0.29199999999999998</v>
      </c>
      <c r="AN710">
        <v>-0.49399999999999999</v>
      </c>
      <c r="AO710">
        <v>-0.29199999999999998</v>
      </c>
      <c r="AP710" s="46">
        <v>0</v>
      </c>
      <c r="AQ710" s="46">
        <v>0</v>
      </c>
      <c r="AR710" s="46">
        <v>0</v>
      </c>
      <c r="AS710" s="46">
        <v>0</v>
      </c>
      <c r="AT710" s="46">
        <v>0</v>
      </c>
      <c r="AU710" s="46">
        <v>0</v>
      </c>
      <c r="AV710" s="46">
        <v>0</v>
      </c>
      <c r="AW710" s="46">
        <v>0</v>
      </c>
      <c r="AX710" s="46">
        <v>0</v>
      </c>
      <c r="AY710" s="46">
        <v>0</v>
      </c>
      <c r="AZ710" s="46">
        <v>0</v>
      </c>
      <c r="BA710" s="46">
        <v>0</v>
      </c>
      <c r="BB710" s="46">
        <v>0</v>
      </c>
      <c r="BC710" s="46">
        <v>0</v>
      </c>
      <c r="BD710" s="46">
        <v>0</v>
      </c>
      <c r="BE710" s="46">
        <v>0</v>
      </c>
      <c r="BF710" s="46">
        <v>0</v>
      </c>
      <c r="BG710" s="46" t="s">
        <v>48</v>
      </c>
      <c r="BH710" s="46">
        <v>0</v>
      </c>
      <c r="BI710" s="46">
        <v>0</v>
      </c>
      <c r="BJ710" s="46">
        <v>0</v>
      </c>
      <c r="BK710" s="46">
        <v>0</v>
      </c>
      <c r="BL710" s="46">
        <v>0</v>
      </c>
      <c r="BM710" s="46">
        <v>0</v>
      </c>
      <c r="BN710" s="46">
        <v>0</v>
      </c>
    </row>
    <row r="711" spans="1:66" x14ac:dyDescent="0.35">
      <c r="A711" t="s">
        <v>10980</v>
      </c>
      <c r="B711" s="44" t="s">
        <v>48</v>
      </c>
      <c r="C711" t="s">
        <v>11959</v>
      </c>
      <c r="D711" t="s">
        <v>11960</v>
      </c>
      <c r="E711" t="s">
        <v>10981</v>
      </c>
      <c r="F711" t="s">
        <v>3505</v>
      </c>
      <c r="G711" t="s">
        <v>47</v>
      </c>
      <c r="H711">
        <v>0</v>
      </c>
      <c r="I711" s="60" t="s">
        <v>11552</v>
      </c>
      <c r="J711" s="33" t="s">
        <v>45</v>
      </c>
      <c r="K711" s="46">
        <v>0</v>
      </c>
      <c r="L711">
        <v>100</v>
      </c>
      <c r="M711" t="s">
        <v>48</v>
      </c>
      <c r="N711" s="46">
        <v>1</v>
      </c>
      <c r="O711" s="46">
        <v>0</v>
      </c>
      <c r="P711" s="46">
        <v>0</v>
      </c>
      <c r="Q711" t="s">
        <v>48</v>
      </c>
      <c r="R711" t="s">
        <v>48</v>
      </c>
      <c r="S711" t="s">
        <v>11487</v>
      </c>
      <c r="T711" t="s">
        <v>48</v>
      </c>
      <c r="U711" t="s">
        <v>10982</v>
      </c>
      <c r="V711" s="47">
        <v>0</v>
      </c>
      <c r="W711" t="s">
        <v>48</v>
      </c>
      <c r="X711" t="s">
        <v>48</v>
      </c>
      <c r="Y711" t="s">
        <v>48</v>
      </c>
      <c r="Z711" t="s">
        <v>48</v>
      </c>
      <c r="AA711" t="s">
        <v>48</v>
      </c>
      <c r="AB711" t="s">
        <v>48</v>
      </c>
      <c r="AC711" t="s">
        <v>63</v>
      </c>
      <c r="AD711" t="s">
        <v>93</v>
      </c>
      <c r="AE711" t="s">
        <v>4532</v>
      </c>
      <c r="AF711" t="s">
        <v>48</v>
      </c>
      <c r="AG711" t="s">
        <v>48</v>
      </c>
      <c r="AH711" t="s">
        <v>48</v>
      </c>
      <c r="AI711" t="s">
        <v>48</v>
      </c>
      <c r="AJ711" t="s">
        <v>48</v>
      </c>
      <c r="AK711" t="s">
        <v>48</v>
      </c>
      <c r="AL711" t="s">
        <v>48</v>
      </c>
      <c r="AM711" t="s">
        <v>48</v>
      </c>
      <c r="AN711" t="s">
        <v>48</v>
      </c>
      <c r="AO711" t="s">
        <v>48</v>
      </c>
      <c r="AP711" s="46">
        <v>0</v>
      </c>
      <c r="AQ711" s="46">
        <v>0</v>
      </c>
      <c r="AR711" s="46">
        <v>0</v>
      </c>
      <c r="AS711" s="46">
        <v>0</v>
      </c>
      <c r="AT711" s="46">
        <v>0</v>
      </c>
      <c r="AU711" s="46">
        <v>0</v>
      </c>
      <c r="AV711" s="46">
        <v>0</v>
      </c>
      <c r="AW711" s="46">
        <v>0</v>
      </c>
      <c r="AX711" s="46">
        <v>0</v>
      </c>
      <c r="AY711" s="46">
        <v>0</v>
      </c>
      <c r="AZ711" s="46">
        <v>0</v>
      </c>
      <c r="BA711" s="46">
        <v>0</v>
      </c>
      <c r="BB711" s="46">
        <v>0</v>
      </c>
      <c r="BC711" s="46">
        <v>0</v>
      </c>
      <c r="BD711" s="46">
        <v>0</v>
      </c>
      <c r="BE711" s="46">
        <v>0</v>
      </c>
      <c r="BF711" s="46">
        <v>0</v>
      </c>
      <c r="BG711" s="46">
        <v>1</v>
      </c>
      <c r="BH711" s="46">
        <v>0</v>
      </c>
      <c r="BI711" s="46">
        <v>0</v>
      </c>
      <c r="BJ711" s="46">
        <v>0</v>
      </c>
      <c r="BK711" s="46">
        <v>0</v>
      </c>
      <c r="BL711" s="46">
        <v>0</v>
      </c>
      <c r="BM711" s="46">
        <v>0</v>
      </c>
      <c r="BN711" s="46">
        <v>0</v>
      </c>
    </row>
    <row r="712" spans="1:66" x14ac:dyDescent="0.35">
      <c r="A712" t="s">
        <v>3504</v>
      </c>
      <c r="B712" s="44" t="s">
        <v>48</v>
      </c>
      <c r="C712" t="s">
        <v>2150</v>
      </c>
      <c r="D712" t="s">
        <v>663</v>
      </c>
      <c r="E712" t="s">
        <v>3506</v>
      </c>
      <c r="F712" t="s">
        <v>3505</v>
      </c>
      <c r="G712" t="s">
        <v>74</v>
      </c>
      <c r="H712">
        <v>1</v>
      </c>
      <c r="I712" s="60" t="s">
        <v>51</v>
      </c>
      <c r="J712" s="33" t="s">
        <v>45</v>
      </c>
      <c r="K712" s="46">
        <v>1</v>
      </c>
      <c r="L712">
        <v>99.6</v>
      </c>
      <c r="M712" t="s">
        <v>48</v>
      </c>
      <c r="N712" s="46">
        <v>1</v>
      </c>
      <c r="O712" s="46">
        <v>0</v>
      </c>
      <c r="P712" s="46">
        <v>0</v>
      </c>
      <c r="Q712" t="s">
        <v>48</v>
      </c>
      <c r="R712" t="s">
        <v>48</v>
      </c>
      <c r="S712" t="s">
        <v>3507</v>
      </c>
      <c r="T712" t="s">
        <v>3508</v>
      </c>
      <c r="U712" t="s">
        <v>3507</v>
      </c>
      <c r="V712" s="47">
        <v>0</v>
      </c>
      <c r="W712" t="s">
        <v>48</v>
      </c>
      <c r="X712" t="s">
        <v>48</v>
      </c>
      <c r="Y712" t="s">
        <v>48</v>
      </c>
      <c r="Z712">
        <v>0</v>
      </c>
      <c r="AA712" t="s">
        <v>48</v>
      </c>
      <c r="AB712" t="s">
        <v>139</v>
      </c>
      <c r="AC712" t="s">
        <v>63</v>
      </c>
      <c r="AD712" t="s">
        <v>93</v>
      </c>
      <c r="AE712" t="s">
        <v>4532</v>
      </c>
      <c r="AF712" t="s">
        <v>48</v>
      </c>
      <c r="AG712" t="s">
        <v>112</v>
      </c>
      <c r="AH712" t="s">
        <v>93</v>
      </c>
      <c r="AI712">
        <v>21375</v>
      </c>
      <c r="AJ712">
        <v>1963</v>
      </c>
      <c r="AK712" t="s">
        <v>8964</v>
      </c>
      <c r="AL712" t="s">
        <v>8965</v>
      </c>
      <c r="AM712">
        <v>-0.48299999999999998</v>
      </c>
      <c r="AN712">
        <v>-0.36599999999999999</v>
      </c>
      <c r="AO712">
        <v>-0.48299999999999998</v>
      </c>
      <c r="AP712" s="46">
        <v>0</v>
      </c>
      <c r="AQ712" s="46">
        <v>0</v>
      </c>
      <c r="AR712" s="46">
        <v>0</v>
      </c>
      <c r="AS712" s="46">
        <v>0</v>
      </c>
      <c r="AT712" s="46">
        <v>1</v>
      </c>
      <c r="AU712" s="46">
        <v>0</v>
      </c>
      <c r="AV712" s="46">
        <v>0</v>
      </c>
      <c r="AW712" s="46">
        <v>0</v>
      </c>
      <c r="AX712" s="46">
        <v>0</v>
      </c>
      <c r="AY712" s="46">
        <v>0</v>
      </c>
      <c r="AZ712" s="46">
        <v>0</v>
      </c>
      <c r="BA712" s="46">
        <v>0</v>
      </c>
      <c r="BB712" s="46">
        <v>0</v>
      </c>
      <c r="BC712" s="46">
        <v>0</v>
      </c>
      <c r="BD712" s="46">
        <v>0</v>
      </c>
      <c r="BE712" s="46">
        <v>0</v>
      </c>
      <c r="BF712" s="46">
        <v>0</v>
      </c>
      <c r="BG712" s="46" t="s">
        <v>48</v>
      </c>
      <c r="BH712" s="46">
        <v>0</v>
      </c>
      <c r="BI712" s="46">
        <v>0</v>
      </c>
      <c r="BJ712" s="46">
        <v>0</v>
      </c>
      <c r="BK712" s="46">
        <v>1</v>
      </c>
      <c r="BL712" s="46">
        <v>0</v>
      </c>
      <c r="BM712" s="46">
        <v>0</v>
      </c>
      <c r="BN712" s="46">
        <v>0</v>
      </c>
    </row>
    <row r="713" spans="1:66" ht="15" x14ac:dyDescent="0.4">
      <c r="A713" t="s">
        <v>3509</v>
      </c>
      <c r="B713" s="44" t="s">
        <v>48</v>
      </c>
      <c r="C713" t="s">
        <v>3512</v>
      </c>
      <c r="D713" t="s">
        <v>210</v>
      </c>
      <c r="E713" t="s">
        <v>3511</v>
      </c>
      <c r="F713" t="s">
        <v>3510</v>
      </c>
      <c r="G713" t="s">
        <v>47</v>
      </c>
      <c r="H713">
        <v>0</v>
      </c>
      <c r="I713" s="60" t="s">
        <v>11160</v>
      </c>
      <c r="J713" s="33" t="s">
        <v>45</v>
      </c>
      <c r="K713" s="46">
        <v>0</v>
      </c>
      <c r="L713">
        <v>99.2</v>
      </c>
      <c r="M713" t="s">
        <v>48</v>
      </c>
      <c r="N713" s="46">
        <v>1</v>
      </c>
      <c r="O713" s="46">
        <v>0</v>
      </c>
      <c r="P713" s="46">
        <v>0</v>
      </c>
      <c r="Q713" t="s">
        <v>48</v>
      </c>
      <c r="R713" t="s">
        <v>48</v>
      </c>
      <c r="S713" s="55" t="s">
        <v>11301</v>
      </c>
      <c r="T713" t="s">
        <v>48</v>
      </c>
      <c r="U713" s="55" t="s">
        <v>11301</v>
      </c>
      <c r="V713" s="47">
        <v>0</v>
      </c>
      <c r="W713" t="s">
        <v>48</v>
      </c>
      <c r="X713" t="s">
        <v>48</v>
      </c>
      <c r="Y713" t="s">
        <v>48</v>
      </c>
      <c r="Z713">
        <v>0</v>
      </c>
      <c r="AA713" t="s">
        <v>48</v>
      </c>
      <c r="AB713" t="s">
        <v>48</v>
      </c>
      <c r="AC713" t="s">
        <v>49</v>
      </c>
      <c r="AD713" t="s">
        <v>93</v>
      </c>
      <c r="AE713" t="s">
        <v>4532</v>
      </c>
      <c r="AF713" t="s">
        <v>48</v>
      </c>
      <c r="AG713" t="s">
        <v>48</v>
      </c>
      <c r="AH713" t="s">
        <v>48</v>
      </c>
      <c r="AI713" t="s">
        <v>48</v>
      </c>
      <c r="AJ713" t="s">
        <v>48</v>
      </c>
      <c r="AK713" t="s">
        <v>48</v>
      </c>
      <c r="AL713" t="s">
        <v>48</v>
      </c>
      <c r="AM713" t="s">
        <v>48</v>
      </c>
      <c r="AN713" t="s">
        <v>48</v>
      </c>
      <c r="AO713" t="s">
        <v>48</v>
      </c>
      <c r="AP713" s="46">
        <v>0</v>
      </c>
      <c r="AQ713" s="46">
        <v>0</v>
      </c>
      <c r="AR713" s="46">
        <v>0</v>
      </c>
      <c r="AS713" s="46">
        <v>0</v>
      </c>
      <c r="AT713" s="46">
        <v>0</v>
      </c>
      <c r="AU713" s="46">
        <v>0</v>
      </c>
      <c r="AV713" s="46">
        <v>0</v>
      </c>
      <c r="AW713" s="46">
        <v>0</v>
      </c>
      <c r="AX713" s="46">
        <v>0</v>
      </c>
      <c r="AY713" s="46">
        <v>0</v>
      </c>
      <c r="AZ713" s="46">
        <v>0</v>
      </c>
      <c r="BA713" s="46">
        <v>0</v>
      </c>
      <c r="BB713" s="46">
        <v>0</v>
      </c>
      <c r="BC713" s="46">
        <v>0</v>
      </c>
      <c r="BD713" s="46">
        <v>0</v>
      </c>
      <c r="BE713" s="46">
        <v>0</v>
      </c>
      <c r="BF713" s="46">
        <v>0</v>
      </c>
      <c r="BG713" s="46" t="s">
        <v>48</v>
      </c>
      <c r="BH713" s="46">
        <v>0</v>
      </c>
      <c r="BI713" s="46">
        <v>0</v>
      </c>
      <c r="BJ713" s="46">
        <v>0</v>
      </c>
      <c r="BK713" s="46">
        <v>0</v>
      </c>
      <c r="BL713" s="46">
        <v>0</v>
      </c>
      <c r="BM713" s="46">
        <v>0</v>
      </c>
      <c r="BN713" s="46">
        <v>0</v>
      </c>
    </row>
    <row r="714" spans="1:66" x14ac:dyDescent="0.35">
      <c r="A714" t="s">
        <v>3513</v>
      </c>
      <c r="B714" t="s">
        <v>48</v>
      </c>
      <c r="C714" t="s">
        <v>3517</v>
      </c>
      <c r="D714" t="s">
        <v>898</v>
      </c>
      <c r="E714" t="s">
        <v>3514</v>
      </c>
      <c r="F714" t="s">
        <v>3510</v>
      </c>
      <c r="G714" t="s">
        <v>74</v>
      </c>
      <c r="H714">
        <v>0</v>
      </c>
      <c r="I714" s="60" t="s">
        <v>51</v>
      </c>
      <c r="J714" s="33" t="s">
        <v>45</v>
      </c>
      <c r="K714" s="46">
        <v>1</v>
      </c>
      <c r="L714">
        <v>99.3</v>
      </c>
      <c r="M714" t="s">
        <v>48</v>
      </c>
      <c r="N714" s="46">
        <v>1</v>
      </c>
      <c r="O714" s="46">
        <v>0</v>
      </c>
      <c r="P714" s="46">
        <v>0</v>
      </c>
      <c r="Q714" t="s">
        <v>48</v>
      </c>
      <c r="R714" t="s">
        <v>48</v>
      </c>
      <c r="S714" t="s">
        <v>3515</v>
      </c>
      <c r="T714" t="s">
        <v>3516</v>
      </c>
      <c r="U714" t="s">
        <v>3515</v>
      </c>
      <c r="V714" s="47">
        <v>0</v>
      </c>
      <c r="W714" t="s">
        <v>48</v>
      </c>
      <c r="X714" t="s">
        <v>48</v>
      </c>
      <c r="Y714" t="s">
        <v>48</v>
      </c>
      <c r="Z714">
        <v>0</v>
      </c>
      <c r="AA714" t="s">
        <v>48</v>
      </c>
      <c r="AB714">
        <v>2014</v>
      </c>
      <c r="AC714" t="s">
        <v>49</v>
      </c>
      <c r="AD714" t="s">
        <v>93</v>
      </c>
      <c r="AE714" t="s">
        <v>4532</v>
      </c>
      <c r="AF714" t="s">
        <v>48</v>
      </c>
      <c r="AG714" t="s">
        <v>112</v>
      </c>
      <c r="AH714" t="s">
        <v>93</v>
      </c>
      <c r="AI714">
        <v>21525</v>
      </c>
      <c r="AJ714">
        <v>1978</v>
      </c>
      <c r="AK714" t="s">
        <v>8966</v>
      </c>
      <c r="AL714" t="s">
        <v>8967</v>
      </c>
      <c r="AM714">
        <v>-0.28399999999999997</v>
      </c>
      <c r="AN714">
        <v>-6.2E-2</v>
      </c>
      <c r="AO714">
        <v>-0.28399999999999997</v>
      </c>
      <c r="AP714" s="46">
        <v>0</v>
      </c>
      <c r="AQ714" s="46">
        <v>0</v>
      </c>
      <c r="AR714" s="46">
        <v>0</v>
      </c>
      <c r="AS714" s="46">
        <v>0</v>
      </c>
      <c r="AT714" s="46">
        <v>0</v>
      </c>
      <c r="AU714" s="46">
        <v>1</v>
      </c>
      <c r="AV714" s="46">
        <v>0</v>
      </c>
      <c r="AW714" s="46">
        <v>0</v>
      </c>
      <c r="AX714" s="46">
        <v>0</v>
      </c>
      <c r="AY714" s="46">
        <v>0</v>
      </c>
      <c r="AZ714" s="46">
        <v>0</v>
      </c>
      <c r="BA714" s="46">
        <v>0</v>
      </c>
      <c r="BB714" s="46">
        <v>0</v>
      </c>
      <c r="BC714" s="46">
        <v>0</v>
      </c>
      <c r="BD714" s="46">
        <v>0</v>
      </c>
      <c r="BE714" s="46">
        <v>0</v>
      </c>
      <c r="BF714" s="46">
        <v>0</v>
      </c>
      <c r="BG714" s="46" t="s">
        <v>48</v>
      </c>
      <c r="BH714" s="46">
        <v>0</v>
      </c>
      <c r="BI714" s="46">
        <v>0</v>
      </c>
      <c r="BJ714" s="46">
        <v>0</v>
      </c>
      <c r="BK714" s="46">
        <v>0</v>
      </c>
      <c r="BL714" s="46">
        <v>0</v>
      </c>
      <c r="BM714" s="46">
        <v>0</v>
      </c>
      <c r="BN714" s="46">
        <v>0</v>
      </c>
    </row>
    <row r="715" spans="1:66" x14ac:dyDescent="0.35">
      <c r="A715" t="s">
        <v>3518</v>
      </c>
      <c r="B715" s="44" t="s">
        <v>48</v>
      </c>
      <c r="C715" t="s">
        <v>3524</v>
      </c>
      <c r="D715" t="s">
        <v>3523</v>
      </c>
      <c r="E715" t="s">
        <v>3520</v>
      </c>
      <c r="F715" t="s">
        <v>3519</v>
      </c>
      <c r="G715" t="s">
        <v>74</v>
      </c>
      <c r="H715">
        <v>0</v>
      </c>
      <c r="I715" s="60" t="s">
        <v>51</v>
      </c>
      <c r="J715" s="33" t="s">
        <v>45</v>
      </c>
      <c r="K715" s="46">
        <v>1</v>
      </c>
      <c r="L715">
        <v>98.7</v>
      </c>
      <c r="M715" t="s">
        <v>48</v>
      </c>
      <c r="N715" s="46">
        <v>1</v>
      </c>
      <c r="O715" s="46">
        <v>0</v>
      </c>
      <c r="P715" s="46">
        <v>0</v>
      </c>
      <c r="Q715" t="s">
        <v>48</v>
      </c>
      <c r="R715" t="s">
        <v>48</v>
      </c>
      <c r="S715" t="s">
        <v>3521</v>
      </c>
      <c r="T715" t="s">
        <v>3522</v>
      </c>
      <c r="U715" t="s">
        <v>3521</v>
      </c>
      <c r="V715" s="47">
        <v>0</v>
      </c>
      <c r="W715" t="s">
        <v>48</v>
      </c>
      <c r="X715" t="s">
        <v>48</v>
      </c>
      <c r="Y715" t="s">
        <v>48</v>
      </c>
      <c r="Z715">
        <v>0</v>
      </c>
      <c r="AA715" t="s">
        <v>48</v>
      </c>
      <c r="AB715">
        <v>2018</v>
      </c>
      <c r="AC715" t="s">
        <v>63</v>
      </c>
      <c r="AD715" t="s">
        <v>93</v>
      </c>
      <c r="AE715" s="40" t="s">
        <v>2471</v>
      </c>
      <c r="AF715" t="s">
        <v>11061</v>
      </c>
      <c r="AG715" t="s">
        <v>151</v>
      </c>
      <c r="AH715" t="s">
        <v>93</v>
      </c>
      <c r="AI715">
        <v>21955</v>
      </c>
      <c r="AJ715">
        <v>1974</v>
      </c>
      <c r="AK715" t="s">
        <v>8968</v>
      </c>
      <c r="AL715" t="s">
        <v>8969</v>
      </c>
      <c r="AM715">
        <v>-0.32300000000000001</v>
      </c>
      <c r="AN715">
        <v>-0.94599999999999995</v>
      </c>
      <c r="AO715" s="39">
        <v>-0.8</v>
      </c>
      <c r="AP715" s="46">
        <v>1</v>
      </c>
      <c r="AQ715" s="46">
        <v>0</v>
      </c>
      <c r="AR715" s="46">
        <v>0</v>
      </c>
      <c r="AS715" s="46">
        <v>0</v>
      </c>
      <c r="AT715" s="46">
        <v>1</v>
      </c>
      <c r="AU715" s="46">
        <v>0</v>
      </c>
      <c r="AV715" s="46">
        <v>0</v>
      </c>
      <c r="AW715" s="46">
        <v>0</v>
      </c>
      <c r="AX715" s="46">
        <v>0</v>
      </c>
      <c r="AY715" s="46">
        <v>0</v>
      </c>
      <c r="AZ715" s="46">
        <v>0</v>
      </c>
      <c r="BA715" s="46">
        <v>0</v>
      </c>
      <c r="BB715" s="46">
        <v>0</v>
      </c>
      <c r="BC715" s="46">
        <v>0</v>
      </c>
      <c r="BD715" s="46">
        <v>0</v>
      </c>
      <c r="BE715" s="46">
        <v>0</v>
      </c>
      <c r="BF715" s="46">
        <v>0</v>
      </c>
      <c r="BG715" s="46" t="s">
        <v>48</v>
      </c>
      <c r="BH715" s="46">
        <v>0</v>
      </c>
      <c r="BI715" s="46">
        <v>0</v>
      </c>
      <c r="BJ715" s="46">
        <v>0</v>
      </c>
      <c r="BK715" s="46">
        <v>1</v>
      </c>
      <c r="BL715" s="46">
        <v>0</v>
      </c>
      <c r="BM715" s="46">
        <v>0</v>
      </c>
      <c r="BN715" s="46">
        <v>0</v>
      </c>
    </row>
    <row r="716" spans="1:66" x14ac:dyDescent="0.35">
      <c r="A716" t="s">
        <v>10983</v>
      </c>
      <c r="B716" s="44" t="s">
        <v>48</v>
      </c>
      <c r="C716" t="s">
        <v>468</v>
      </c>
      <c r="D716" t="s">
        <v>11961</v>
      </c>
      <c r="E716" t="s">
        <v>10984</v>
      </c>
      <c r="F716" t="s">
        <v>3519</v>
      </c>
      <c r="G716" t="s">
        <v>47</v>
      </c>
      <c r="H716">
        <v>0</v>
      </c>
      <c r="I716" s="60" t="s">
        <v>11552</v>
      </c>
      <c r="J716" s="33" t="s">
        <v>45</v>
      </c>
      <c r="K716" s="46">
        <v>0</v>
      </c>
      <c r="L716">
        <v>97.6</v>
      </c>
      <c r="M716" t="s">
        <v>48</v>
      </c>
      <c r="N716" s="46">
        <v>1</v>
      </c>
      <c r="O716" s="46">
        <v>0</v>
      </c>
      <c r="P716" s="46">
        <v>0</v>
      </c>
      <c r="Q716" t="s">
        <v>48</v>
      </c>
      <c r="R716" t="s">
        <v>48</v>
      </c>
      <c r="S716" t="s">
        <v>11488</v>
      </c>
      <c r="T716" t="s">
        <v>48</v>
      </c>
      <c r="U716" t="s">
        <v>10985</v>
      </c>
      <c r="V716" s="47">
        <v>0</v>
      </c>
      <c r="W716" t="s">
        <v>48</v>
      </c>
      <c r="X716" t="s">
        <v>48</v>
      </c>
      <c r="Y716" t="s">
        <v>48</v>
      </c>
      <c r="Z716" t="s">
        <v>48</v>
      </c>
      <c r="AA716" t="s">
        <v>48</v>
      </c>
      <c r="AB716" t="s">
        <v>48</v>
      </c>
      <c r="AC716" t="s">
        <v>63</v>
      </c>
      <c r="AD716" t="s">
        <v>93</v>
      </c>
      <c r="AE716" t="s">
        <v>2471</v>
      </c>
      <c r="AF716" t="s">
        <v>48</v>
      </c>
      <c r="AG716" t="s">
        <v>48</v>
      </c>
      <c r="AH716" t="s">
        <v>48</v>
      </c>
      <c r="AI716" t="s">
        <v>48</v>
      </c>
      <c r="AJ716" t="s">
        <v>48</v>
      </c>
      <c r="AK716" t="s">
        <v>48</v>
      </c>
      <c r="AL716" t="s">
        <v>48</v>
      </c>
      <c r="AM716" t="s">
        <v>48</v>
      </c>
      <c r="AN716" t="s">
        <v>48</v>
      </c>
      <c r="AO716" t="s">
        <v>48</v>
      </c>
      <c r="AP716" s="46">
        <v>0</v>
      </c>
      <c r="AQ716" s="46">
        <v>0</v>
      </c>
      <c r="AR716" s="46">
        <v>0</v>
      </c>
      <c r="AS716" s="46">
        <v>0</v>
      </c>
      <c r="AT716" s="46">
        <v>0</v>
      </c>
      <c r="AU716" s="46">
        <v>0</v>
      </c>
      <c r="AV716" s="46">
        <v>0</v>
      </c>
      <c r="AW716" s="46">
        <v>0</v>
      </c>
      <c r="AX716" s="46">
        <v>0</v>
      </c>
      <c r="AY716" s="46">
        <v>0</v>
      </c>
      <c r="AZ716" s="46">
        <v>0</v>
      </c>
      <c r="BA716" s="46">
        <v>0</v>
      </c>
      <c r="BB716" s="46">
        <v>0</v>
      </c>
      <c r="BC716" s="46">
        <v>0</v>
      </c>
      <c r="BD716" s="46">
        <v>0</v>
      </c>
      <c r="BE716" s="46">
        <v>0</v>
      </c>
      <c r="BF716" s="46">
        <v>0</v>
      </c>
      <c r="BG716" s="46">
        <v>1</v>
      </c>
      <c r="BH716" s="46">
        <v>0</v>
      </c>
      <c r="BI716" s="46">
        <v>0</v>
      </c>
      <c r="BJ716" s="46">
        <v>0</v>
      </c>
      <c r="BK716" s="46">
        <v>0</v>
      </c>
      <c r="BL716" s="46">
        <v>0</v>
      </c>
      <c r="BM716" s="46">
        <v>0</v>
      </c>
      <c r="BN716" s="46">
        <v>0</v>
      </c>
    </row>
    <row r="717" spans="1:66" x14ac:dyDescent="0.35">
      <c r="A717" t="s">
        <v>10988</v>
      </c>
      <c r="B717" s="44" t="s">
        <v>48</v>
      </c>
      <c r="C717" t="s">
        <v>11962</v>
      </c>
      <c r="D717" t="s">
        <v>210</v>
      </c>
      <c r="E717" t="s">
        <v>10989</v>
      </c>
      <c r="F717" t="s">
        <v>3526</v>
      </c>
      <c r="G717" t="s">
        <v>47</v>
      </c>
      <c r="H717">
        <v>0</v>
      </c>
      <c r="I717" s="61" t="s">
        <v>11160</v>
      </c>
      <c r="J717" s="33" t="s">
        <v>45</v>
      </c>
      <c r="K717" s="46">
        <v>0</v>
      </c>
      <c r="L717">
        <v>70.8</v>
      </c>
      <c r="M717" t="s">
        <v>48</v>
      </c>
      <c r="N717" s="46">
        <v>1</v>
      </c>
      <c r="O717" s="46">
        <v>0</v>
      </c>
      <c r="P717" s="46">
        <v>0</v>
      </c>
      <c r="Q717" t="s">
        <v>48</v>
      </c>
      <c r="R717" t="s">
        <v>48</v>
      </c>
      <c r="S717" t="str">
        <f>"@BurkcoEyes"</f>
        <v>@BurkcoEyes</v>
      </c>
      <c r="T717" t="s">
        <v>48</v>
      </c>
      <c r="U717" t="s">
        <v>10990</v>
      </c>
      <c r="V717" s="47">
        <v>0</v>
      </c>
      <c r="W717" t="s">
        <v>48</v>
      </c>
      <c r="X717" t="s">
        <v>48</v>
      </c>
      <c r="Y717" t="s">
        <v>48</v>
      </c>
      <c r="Z717" t="s">
        <v>48</v>
      </c>
      <c r="AA717" t="s">
        <v>48</v>
      </c>
      <c r="AB717" t="s">
        <v>48</v>
      </c>
      <c r="AC717" t="s">
        <v>49</v>
      </c>
      <c r="AD717" t="s">
        <v>93</v>
      </c>
      <c r="AE717" t="s">
        <v>4532</v>
      </c>
      <c r="AF717" t="s">
        <v>48</v>
      </c>
      <c r="AG717" t="s">
        <v>48</v>
      </c>
      <c r="AH717" t="s">
        <v>48</v>
      </c>
      <c r="AI717" t="s">
        <v>48</v>
      </c>
      <c r="AJ717" t="s">
        <v>48</v>
      </c>
      <c r="AK717" t="s">
        <v>48</v>
      </c>
      <c r="AL717" t="s">
        <v>48</v>
      </c>
      <c r="AM717" t="s">
        <v>48</v>
      </c>
      <c r="AN717" t="s">
        <v>48</v>
      </c>
      <c r="AO717" t="s">
        <v>48</v>
      </c>
      <c r="AP717" s="46">
        <v>0</v>
      </c>
      <c r="AQ717" s="46">
        <v>0</v>
      </c>
      <c r="AR717" s="46">
        <v>0</v>
      </c>
      <c r="AS717" s="46">
        <v>0</v>
      </c>
      <c r="AT717" s="46">
        <v>0</v>
      </c>
      <c r="AU717" s="46">
        <v>0</v>
      </c>
      <c r="AV717" s="46">
        <v>0</v>
      </c>
      <c r="AW717" s="46">
        <v>0</v>
      </c>
      <c r="AX717" s="46">
        <v>0</v>
      </c>
      <c r="AY717" s="46">
        <v>0</v>
      </c>
      <c r="AZ717" s="46">
        <v>0</v>
      </c>
      <c r="BA717" s="46">
        <v>0</v>
      </c>
      <c r="BB717" s="46">
        <v>0</v>
      </c>
      <c r="BC717" s="46">
        <v>0</v>
      </c>
      <c r="BD717" s="46">
        <v>0</v>
      </c>
      <c r="BE717" s="46">
        <v>0</v>
      </c>
      <c r="BF717" s="46">
        <v>0</v>
      </c>
      <c r="BG717" s="46" t="s">
        <v>48</v>
      </c>
      <c r="BH717" s="46">
        <v>0</v>
      </c>
      <c r="BI717" s="46">
        <v>0</v>
      </c>
      <c r="BJ717" s="46">
        <v>0</v>
      </c>
      <c r="BK717" s="46">
        <v>0</v>
      </c>
      <c r="BL717" s="46">
        <v>0</v>
      </c>
      <c r="BM717" s="46">
        <v>0</v>
      </c>
      <c r="BN717" s="46">
        <v>0</v>
      </c>
    </row>
    <row r="718" spans="1:66" x14ac:dyDescent="0.35">
      <c r="A718" t="s">
        <v>3525</v>
      </c>
      <c r="B718" s="44" t="s">
        <v>48</v>
      </c>
      <c r="C718" t="s">
        <v>3531</v>
      </c>
      <c r="D718" t="s">
        <v>339</v>
      </c>
      <c r="E718" t="s">
        <v>3527</v>
      </c>
      <c r="F718" t="s">
        <v>3526</v>
      </c>
      <c r="G718" t="s">
        <v>74</v>
      </c>
      <c r="H718">
        <v>0</v>
      </c>
      <c r="I718" s="60" t="s">
        <v>51</v>
      </c>
      <c r="J718" s="33" t="s">
        <v>45</v>
      </c>
      <c r="K718" s="46">
        <v>1</v>
      </c>
      <c r="L718">
        <v>99</v>
      </c>
      <c r="M718" t="s">
        <v>48</v>
      </c>
      <c r="N718" s="46">
        <v>1</v>
      </c>
      <c r="O718" s="46">
        <v>0</v>
      </c>
      <c r="P718" s="46">
        <v>0</v>
      </c>
      <c r="Q718" t="s">
        <v>48</v>
      </c>
      <c r="R718" t="s">
        <v>48</v>
      </c>
      <c r="S718" t="s">
        <v>3528</v>
      </c>
      <c r="T718" t="s">
        <v>3529</v>
      </c>
      <c r="U718" t="s">
        <v>3528</v>
      </c>
      <c r="V718" s="47">
        <v>0</v>
      </c>
      <c r="W718" t="s">
        <v>48</v>
      </c>
      <c r="X718" t="s">
        <v>48</v>
      </c>
      <c r="Y718" t="s">
        <v>48</v>
      </c>
      <c r="Z718">
        <v>0</v>
      </c>
      <c r="AA718" t="s">
        <v>48</v>
      </c>
      <c r="AB718" t="s">
        <v>3530</v>
      </c>
      <c r="AC718" t="s">
        <v>49</v>
      </c>
      <c r="AD718" t="s">
        <v>93</v>
      </c>
      <c r="AE718" t="s">
        <v>4532</v>
      </c>
      <c r="AF718" t="s">
        <v>48</v>
      </c>
      <c r="AG718" t="s">
        <v>140</v>
      </c>
      <c r="AH718" t="s">
        <v>93</v>
      </c>
      <c r="AI718">
        <v>20119</v>
      </c>
      <c r="AJ718">
        <v>1955</v>
      </c>
      <c r="AK718" t="s">
        <v>8970</v>
      </c>
      <c r="AL718" t="s">
        <v>8971</v>
      </c>
      <c r="AM718">
        <v>-0.35</v>
      </c>
      <c r="AN718">
        <v>4.1000000000000002E-2</v>
      </c>
      <c r="AO718">
        <v>-0.35</v>
      </c>
      <c r="AP718" s="46">
        <v>0</v>
      </c>
      <c r="AQ718" s="46">
        <v>0</v>
      </c>
      <c r="AR718" s="46">
        <v>0</v>
      </c>
      <c r="AS718" s="46">
        <v>0</v>
      </c>
      <c r="AT718" s="46">
        <v>0</v>
      </c>
      <c r="AU718" s="46">
        <v>0</v>
      </c>
      <c r="AV718" s="46">
        <v>0</v>
      </c>
      <c r="AW718" s="46">
        <v>0</v>
      </c>
      <c r="AX718" s="46">
        <v>0</v>
      </c>
      <c r="AY718" s="46">
        <v>0</v>
      </c>
      <c r="AZ718" s="46">
        <v>0</v>
      </c>
      <c r="BA718" s="46">
        <v>0</v>
      </c>
      <c r="BB718" s="46">
        <v>0</v>
      </c>
      <c r="BC718" s="46">
        <v>0</v>
      </c>
      <c r="BD718" s="46">
        <v>0</v>
      </c>
      <c r="BE718" s="46">
        <v>0</v>
      </c>
      <c r="BF718" s="46">
        <v>0</v>
      </c>
      <c r="BG718" s="46" t="s">
        <v>48</v>
      </c>
      <c r="BH718" s="46">
        <v>0</v>
      </c>
      <c r="BI718" s="46">
        <v>0</v>
      </c>
      <c r="BJ718" s="46">
        <v>0</v>
      </c>
      <c r="BK718" s="46">
        <v>0</v>
      </c>
      <c r="BL718" s="46">
        <v>0</v>
      </c>
      <c r="BM718" s="46">
        <v>0</v>
      </c>
      <c r="BN718" s="46">
        <v>0</v>
      </c>
    </row>
    <row r="719" spans="1:66" x14ac:dyDescent="0.35">
      <c r="A719" t="s">
        <v>3539</v>
      </c>
      <c r="B719" t="s">
        <v>48</v>
      </c>
      <c r="C719" t="s">
        <v>3543</v>
      </c>
      <c r="D719" t="s">
        <v>1915</v>
      </c>
      <c r="E719" t="s">
        <v>3540</v>
      </c>
      <c r="F719" t="s">
        <v>3536</v>
      </c>
      <c r="G719" t="s">
        <v>74</v>
      </c>
      <c r="H719">
        <v>0</v>
      </c>
      <c r="I719" s="60" t="s">
        <v>51</v>
      </c>
      <c r="J719" s="33" t="s">
        <v>45</v>
      </c>
      <c r="K719" s="46">
        <v>1</v>
      </c>
      <c r="L719">
        <v>99.7</v>
      </c>
      <c r="M719" t="s">
        <v>48</v>
      </c>
      <c r="N719" s="46">
        <v>1</v>
      </c>
      <c r="O719" s="46">
        <v>0</v>
      </c>
      <c r="P719" s="46">
        <v>0</v>
      </c>
      <c r="Q719" t="s">
        <v>48</v>
      </c>
      <c r="R719" t="s">
        <v>48</v>
      </c>
      <c r="S719" t="s">
        <v>3541</v>
      </c>
      <c r="T719" t="s">
        <v>3542</v>
      </c>
      <c r="U719" t="s">
        <v>3541</v>
      </c>
      <c r="V719" s="47">
        <v>0</v>
      </c>
      <c r="W719" t="s">
        <v>48</v>
      </c>
      <c r="X719" t="s">
        <v>48</v>
      </c>
      <c r="Y719" t="s">
        <v>48</v>
      </c>
      <c r="Z719">
        <v>0</v>
      </c>
      <c r="AA719" t="s">
        <v>48</v>
      </c>
      <c r="AB719">
        <v>2010</v>
      </c>
      <c r="AC719" t="s">
        <v>49</v>
      </c>
      <c r="AD719" t="s">
        <v>93</v>
      </c>
      <c r="AE719" t="s">
        <v>4532</v>
      </c>
      <c r="AF719" t="s">
        <v>48</v>
      </c>
      <c r="AG719" t="s">
        <v>140</v>
      </c>
      <c r="AH719" t="s">
        <v>93</v>
      </c>
      <c r="AI719">
        <v>21140</v>
      </c>
      <c r="AJ719">
        <v>1952</v>
      </c>
      <c r="AK719" t="s">
        <v>8972</v>
      </c>
      <c r="AL719" t="s">
        <v>8973</v>
      </c>
      <c r="AM719">
        <v>-0.32900000000000001</v>
      </c>
      <c r="AN719">
        <v>-0.123</v>
      </c>
      <c r="AO719">
        <v>-0.32900000000000001</v>
      </c>
      <c r="AP719" s="46">
        <v>0</v>
      </c>
      <c r="AQ719" s="46">
        <v>0</v>
      </c>
      <c r="AR719" s="46">
        <v>0</v>
      </c>
      <c r="AS719" s="46">
        <v>0</v>
      </c>
      <c r="AT719" s="46">
        <v>0</v>
      </c>
      <c r="AU719" s="46">
        <v>1</v>
      </c>
      <c r="AV719" s="46">
        <v>0</v>
      </c>
      <c r="AW719" s="46">
        <v>0</v>
      </c>
      <c r="AX719" s="46">
        <v>0</v>
      </c>
      <c r="AY719" s="46">
        <v>0</v>
      </c>
      <c r="AZ719" s="46">
        <v>0</v>
      </c>
      <c r="BA719" s="46">
        <v>0</v>
      </c>
      <c r="BB719" s="46">
        <v>0</v>
      </c>
      <c r="BC719" s="46">
        <v>0</v>
      </c>
      <c r="BD719" s="46">
        <v>0</v>
      </c>
      <c r="BE719" s="46">
        <v>0</v>
      </c>
      <c r="BF719" s="46">
        <v>0</v>
      </c>
      <c r="BG719" s="46" t="s">
        <v>48</v>
      </c>
      <c r="BH719" s="46">
        <v>0</v>
      </c>
      <c r="BI719" s="46">
        <v>0</v>
      </c>
      <c r="BJ719" s="46">
        <v>0</v>
      </c>
      <c r="BK719" s="46">
        <v>0</v>
      </c>
      <c r="BL719" s="46">
        <v>0</v>
      </c>
      <c r="BM719" s="46">
        <v>0</v>
      </c>
      <c r="BN719" s="46">
        <v>0</v>
      </c>
    </row>
    <row r="720" spans="1:66" x14ac:dyDescent="0.35">
      <c r="A720" t="s">
        <v>3535</v>
      </c>
      <c r="B720" s="44" t="s">
        <v>48</v>
      </c>
      <c r="C720" t="s">
        <v>211</v>
      </c>
      <c r="D720" t="s">
        <v>2060</v>
      </c>
      <c r="E720" t="s">
        <v>3537</v>
      </c>
      <c r="F720" t="s">
        <v>3536</v>
      </c>
      <c r="G720" t="s">
        <v>47</v>
      </c>
      <c r="H720">
        <v>0</v>
      </c>
      <c r="I720" s="60" t="s">
        <v>51</v>
      </c>
      <c r="J720" s="33" t="s">
        <v>45</v>
      </c>
      <c r="K720" s="46">
        <v>0</v>
      </c>
      <c r="L720">
        <v>51.4</v>
      </c>
      <c r="M720" t="s">
        <v>48</v>
      </c>
      <c r="N720" s="46">
        <v>1</v>
      </c>
      <c r="O720" s="46">
        <v>0</v>
      </c>
      <c r="P720" s="46">
        <v>0</v>
      </c>
      <c r="Q720" t="s">
        <v>48</v>
      </c>
      <c r="R720" t="s">
        <v>48</v>
      </c>
      <c r="S720" t="s">
        <v>3538</v>
      </c>
      <c r="T720" t="s">
        <v>48</v>
      </c>
      <c r="U720" t="s">
        <v>3538</v>
      </c>
      <c r="V720" s="47">
        <v>0</v>
      </c>
      <c r="W720" t="s">
        <v>48</v>
      </c>
      <c r="X720" t="s">
        <v>48</v>
      </c>
      <c r="Y720" t="s">
        <v>48</v>
      </c>
      <c r="Z720">
        <v>0</v>
      </c>
      <c r="AA720" t="s">
        <v>48</v>
      </c>
      <c r="AB720" t="s">
        <v>48</v>
      </c>
      <c r="AC720" t="s">
        <v>49</v>
      </c>
      <c r="AD720" t="s">
        <v>93</v>
      </c>
      <c r="AE720" t="s">
        <v>4532</v>
      </c>
      <c r="AF720" t="s">
        <v>48</v>
      </c>
      <c r="AG720" t="s">
        <v>48</v>
      </c>
      <c r="AH720" t="s">
        <v>48</v>
      </c>
      <c r="AI720" t="s">
        <v>48</v>
      </c>
      <c r="AJ720" t="s">
        <v>48</v>
      </c>
      <c r="AK720" t="s">
        <v>48</v>
      </c>
      <c r="AL720" t="s">
        <v>48</v>
      </c>
      <c r="AM720" t="s">
        <v>48</v>
      </c>
      <c r="AN720" t="s">
        <v>48</v>
      </c>
      <c r="AO720" t="s">
        <v>48</v>
      </c>
      <c r="AP720" s="46">
        <v>0</v>
      </c>
      <c r="AQ720" s="46">
        <v>0</v>
      </c>
      <c r="AR720" s="46">
        <v>0</v>
      </c>
      <c r="AS720" s="46">
        <v>0</v>
      </c>
      <c r="AT720" s="46">
        <v>0</v>
      </c>
      <c r="AU720" s="46">
        <v>0</v>
      </c>
      <c r="AV720" s="46">
        <v>0</v>
      </c>
      <c r="AW720" s="46">
        <v>0</v>
      </c>
      <c r="AX720" s="46">
        <v>0</v>
      </c>
      <c r="AY720" s="46">
        <v>0</v>
      </c>
      <c r="AZ720" s="46">
        <v>0</v>
      </c>
      <c r="BA720" s="46">
        <v>0</v>
      </c>
      <c r="BB720" s="46">
        <v>0</v>
      </c>
      <c r="BC720" s="46">
        <v>0</v>
      </c>
      <c r="BD720" s="46">
        <v>0</v>
      </c>
      <c r="BE720" s="46">
        <v>0</v>
      </c>
      <c r="BF720" s="46">
        <v>0</v>
      </c>
      <c r="BG720" s="46" t="s">
        <v>48</v>
      </c>
      <c r="BH720" s="46">
        <v>0</v>
      </c>
      <c r="BI720" s="46">
        <v>0</v>
      </c>
      <c r="BJ720" s="46">
        <v>0</v>
      </c>
      <c r="BK720" s="46">
        <v>0</v>
      </c>
      <c r="BL720" s="46">
        <v>0</v>
      </c>
      <c r="BM720" s="46">
        <v>0</v>
      </c>
      <c r="BN720" s="46">
        <v>0</v>
      </c>
    </row>
    <row r="721" spans="1:66" x14ac:dyDescent="0.35">
      <c r="A721" t="s">
        <v>3556</v>
      </c>
      <c r="B721" s="44" t="s">
        <v>48</v>
      </c>
      <c r="C721" t="s">
        <v>2140</v>
      </c>
      <c r="D721" t="s">
        <v>684</v>
      </c>
      <c r="E721" t="s">
        <v>3557</v>
      </c>
      <c r="F721" t="s">
        <v>3552</v>
      </c>
      <c r="G721" t="s">
        <v>47</v>
      </c>
      <c r="H721">
        <v>0</v>
      </c>
      <c r="I721" s="60" t="s">
        <v>51</v>
      </c>
      <c r="J721" s="33" t="s">
        <v>45</v>
      </c>
      <c r="K721" s="46">
        <v>1</v>
      </c>
      <c r="L721">
        <v>100</v>
      </c>
      <c r="M721" t="s">
        <v>48</v>
      </c>
      <c r="N721" s="46">
        <v>1</v>
      </c>
      <c r="O721" s="46">
        <v>0</v>
      </c>
      <c r="P721" s="46">
        <v>0</v>
      </c>
      <c r="Q721" t="s">
        <v>48</v>
      </c>
      <c r="R721" t="s">
        <v>48</v>
      </c>
      <c r="S721" t="s">
        <v>3558</v>
      </c>
      <c r="T721" t="s">
        <v>3559</v>
      </c>
      <c r="U721" t="s">
        <v>3558</v>
      </c>
      <c r="V721" s="47">
        <v>0</v>
      </c>
      <c r="W721" t="s">
        <v>48</v>
      </c>
      <c r="X721" t="s">
        <v>48</v>
      </c>
      <c r="Y721" t="s">
        <v>48</v>
      </c>
      <c r="Z721">
        <v>0</v>
      </c>
      <c r="AA721" t="s">
        <v>48</v>
      </c>
      <c r="AB721">
        <v>2010</v>
      </c>
      <c r="AC721" t="s">
        <v>49</v>
      </c>
      <c r="AD721" t="s">
        <v>93</v>
      </c>
      <c r="AE721" t="s">
        <v>4532</v>
      </c>
      <c r="AF721" t="s">
        <v>48</v>
      </c>
      <c r="AG721" t="s">
        <v>140</v>
      </c>
      <c r="AH721" t="s">
        <v>93</v>
      </c>
      <c r="AI721">
        <v>21139</v>
      </c>
      <c r="AJ721">
        <v>1957</v>
      </c>
      <c r="AK721" t="s">
        <v>8974</v>
      </c>
      <c r="AL721" t="s">
        <v>8975</v>
      </c>
      <c r="AM721">
        <v>0.67100000000000004</v>
      </c>
      <c r="AN721">
        <v>-0.39500000000000002</v>
      </c>
      <c r="AO721">
        <v>0.67100000000000004</v>
      </c>
      <c r="AP721" s="46">
        <v>0</v>
      </c>
      <c r="AQ721" s="46">
        <v>0</v>
      </c>
      <c r="AR721" s="46">
        <v>0</v>
      </c>
      <c r="AS721" s="46">
        <v>0</v>
      </c>
      <c r="AT721" s="46">
        <v>0</v>
      </c>
      <c r="AU721" s="46">
        <v>0</v>
      </c>
      <c r="AV721" s="46">
        <v>0</v>
      </c>
      <c r="AW721" s="46">
        <v>0</v>
      </c>
      <c r="AX721" s="46">
        <v>0</v>
      </c>
      <c r="AY721" s="46">
        <v>0</v>
      </c>
      <c r="AZ721" s="46">
        <v>0</v>
      </c>
      <c r="BA721" s="46">
        <v>0</v>
      </c>
      <c r="BB721" s="46">
        <v>0</v>
      </c>
      <c r="BC721" s="46">
        <v>0</v>
      </c>
      <c r="BD721" s="46">
        <v>0</v>
      </c>
      <c r="BE721" s="46">
        <v>0</v>
      </c>
      <c r="BF721" s="46">
        <v>1</v>
      </c>
      <c r="BG721" s="46">
        <v>1</v>
      </c>
      <c r="BH721" s="46">
        <v>0</v>
      </c>
      <c r="BI721" s="46">
        <v>0</v>
      </c>
      <c r="BJ721" s="46">
        <v>0</v>
      </c>
      <c r="BK721" s="46">
        <v>0</v>
      </c>
      <c r="BL721" s="46">
        <v>0</v>
      </c>
      <c r="BM721" s="46">
        <v>0</v>
      </c>
      <c r="BN721" s="46">
        <v>1</v>
      </c>
    </row>
    <row r="722" spans="1:66" x14ac:dyDescent="0.35">
      <c r="A722" t="s">
        <v>3561</v>
      </c>
      <c r="B722" s="44" t="s">
        <v>48</v>
      </c>
      <c r="C722" t="s">
        <v>3564</v>
      </c>
      <c r="D722" t="s">
        <v>2394</v>
      </c>
      <c r="E722" t="s">
        <v>3562</v>
      </c>
      <c r="F722" t="s">
        <v>3552</v>
      </c>
      <c r="G722" t="s">
        <v>74</v>
      </c>
      <c r="H722">
        <v>0</v>
      </c>
      <c r="I722" s="60" t="s">
        <v>51</v>
      </c>
      <c r="J722" s="33" t="s">
        <v>45</v>
      </c>
      <c r="K722" s="46">
        <v>0</v>
      </c>
      <c r="L722">
        <v>68.599999999999994</v>
      </c>
      <c r="M722" t="s">
        <v>48</v>
      </c>
      <c r="N722" s="46">
        <v>1</v>
      </c>
      <c r="O722" s="46">
        <v>0</v>
      </c>
      <c r="P722" s="46">
        <v>0</v>
      </c>
      <c r="Q722" t="s">
        <v>48</v>
      </c>
      <c r="R722" t="s">
        <v>48</v>
      </c>
      <c r="S722" t="s">
        <v>3563</v>
      </c>
      <c r="T722" t="s">
        <v>48</v>
      </c>
      <c r="U722" t="s">
        <v>3563</v>
      </c>
      <c r="V722" s="47">
        <v>0</v>
      </c>
      <c r="W722" t="s">
        <v>48</v>
      </c>
      <c r="X722" t="s">
        <v>48</v>
      </c>
      <c r="Y722" t="s">
        <v>48</v>
      </c>
      <c r="Z722">
        <v>0</v>
      </c>
      <c r="AA722" t="s">
        <v>48</v>
      </c>
      <c r="AB722" t="s">
        <v>48</v>
      </c>
      <c r="AC722" t="s">
        <v>63</v>
      </c>
      <c r="AD722" t="s">
        <v>93</v>
      </c>
      <c r="AE722" t="s">
        <v>4532</v>
      </c>
      <c r="AF722" t="s">
        <v>48</v>
      </c>
      <c r="AG722" t="s">
        <v>48</v>
      </c>
      <c r="AH722" t="s">
        <v>2043</v>
      </c>
      <c r="AI722" t="s">
        <v>48</v>
      </c>
      <c r="AJ722" t="s">
        <v>48</v>
      </c>
      <c r="AK722" t="s">
        <v>48</v>
      </c>
      <c r="AL722" t="s">
        <v>48</v>
      </c>
      <c r="AM722" t="s">
        <v>48</v>
      </c>
      <c r="AN722" t="s">
        <v>48</v>
      </c>
      <c r="AO722" t="s">
        <v>48</v>
      </c>
      <c r="AP722" s="46">
        <v>0</v>
      </c>
      <c r="AQ722" s="46">
        <v>0</v>
      </c>
      <c r="AR722" s="46">
        <v>0</v>
      </c>
      <c r="AS722" s="46">
        <v>0</v>
      </c>
      <c r="AT722" s="46">
        <v>0</v>
      </c>
      <c r="AU722" s="46">
        <v>0</v>
      </c>
      <c r="AV722" s="46">
        <v>0</v>
      </c>
      <c r="AW722" s="46">
        <v>0</v>
      </c>
      <c r="AX722" s="46">
        <v>0</v>
      </c>
      <c r="AY722" s="46">
        <v>0</v>
      </c>
      <c r="AZ722" s="46">
        <v>0</v>
      </c>
      <c r="BA722" s="46">
        <v>0</v>
      </c>
      <c r="BB722" s="46">
        <v>0</v>
      </c>
      <c r="BC722" s="46">
        <v>0</v>
      </c>
      <c r="BD722" s="46">
        <v>0</v>
      </c>
      <c r="BE722" s="46">
        <v>0</v>
      </c>
      <c r="BF722" s="46">
        <v>0</v>
      </c>
      <c r="BG722" s="46" t="s">
        <v>48</v>
      </c>
      <c r="BH722" s="46">
        <v>0</v>
      </c>
      <c r="BI722" s="46">
        <v>0</v>
      </c>
      <c r="BJ722" s="46">
        <v>0</v>
      </c>
      <c r="BK722" s="46">
        <v>0</v>
      </c>
      <c r="BL722" s="46">
        <v>0</v>
      </c>
      <c r="BM722" s="46">
        <v>0</v>
      </c>
      <c r="BN722" s="46">
        <v>0</v>
      </c>
    </row>
    <row r="723" spans="1:66" x14ac:dyDescent="0.35">
      <c r="A723" t="s">
        <v>3579</v>
      </c>
      <c r="B723" s="44" t="s">
        <v>48</v>
      </c>
      <c r="C723" t="s">
        <v>3584</v>
      </c>
      <c r="D723" t="s">
        <v>3583</v>
      </c>
      <c r="E723" t="s">
        <v>3580</v>
      </c>
      <c r="F723" t="s">
        <v>3566</v>
      </c>
      <c r="G723" t="s">
        <v>74</v>
      </c>
      <c r="H723">
        <v>0</v>
      </c>
      <c r="I723" s="60" t="s">
        <v>51</v>
      </c>
      <c r="J723" s="33" t="s">
        <v>45</v>
      </c>
      <c r="K723" s="46">
        <v>1</v>
      </c>
      <c r="L723">
        <v>75.400000000000006</v>
      </c>
      <c r="M723" t="s">
        <v>48</v>
      </c>
      <c r="N723" s="46">
        <v>1</v>
      </c>
      <c r="O723" s="46">
        <v>0</v>
      </c>
      <c r="P723" s="46">
        <v>0</v>
      </c>
      <c r="Q723" t="s">
        <v>48</v>
      </c>
      <c r="R723" t="s">
        <v>48</v>
      </c>
      <c r="S723" t="s">
        <v>3581</v>
      </c>
      <c r="T723" t="s">
        <v>3582</v>
      </c>
      <c r="U723" t="s">
        <v>3581</v>
      </c>
      <c r="V723" s="47">
        <v>0</v>
      </c>
      <c r="W723" t="s">
        <v>48</v>
      </c>
      <c r="X723" t="s">
        <v>48</v>
      </c>
      <c r="Y723" t="s">
        <v>48</v>
      </c>
      <c r="Z723">
        <v>0</v>
      </c>
      <c r="AA723" t="s">
        <v>48</v>
      </c>
      <c r="AB723">
        <v>2002</v>
      </c>
      <c r="AC723" t="s">
        <v>49</v>
      </c>
      <c r="AD723" t="s">
        <v>93</v>
      </c>
      <c r="AE723" t="s">
        <v>4532</v>
      </c>
      <c r="AF723" t="s">
        <v>48</v>
      </c>
      <c r="AG723" t="s">
        <v>479</v>
      </c>
      <c r="AH723" t="s">
        <v>93</v>
      </c>
      <c r="AI723">
        <v>20329</v>
      </c>
      <c r="AJ723">
        <v>1946</v>
      </c>
      <c r="AK723" t="s">
        <v>8976</v>
      </c>
      <c r="AL723" t="s">
        <v>8977</v>
      </c>
      <c r="AM723">
        <v>-0.29599999999999999</v>
      </c>
      <c r="AN723">
        <v>0.13100000000000001</v>
      </c>
      <c r="AO723">
        <v>-0.29599999999999999</v>
      </c>
      <c r="AP723" s="46">
        <v>0</v>
      </c>
      <c r="AQ723" s="46">
        <v>0</v>
      </c>
      <c r="AR723" s="46">
        <v>0</v>
      </c>
      <c r="AS723" s="46">
        <v>0</v>
      </c>
      <c r="AT723" s="46">
        <v>0</v>
      </c>
      <c r="AU723" s="46">
        <v>0</v>
      </c>
      <c r="AV723" s="46">
        <v>0</v>
      </c>
      <c r="AW723" s="46">
        <v>0</v>
      </c>
      <c r="AX723" s="46">
        <v>0</v>
      </c>
      <c r="AY723" s="46">
        <v>0</v>
      </c>
      <c r="AZ723" s="46">
        <v>0</v>
      </c>
      <c r="BA723" s="46">
        <v>0</v>
      </c>
      <c r="BB723" s="46">
        <v>0</v>
      </c>
      <c r="BC723" s="46">
        <v>0</v>
      </c>
      <c r="BD723" s="46">
        <v>0</v>
      </c>
      <c r="BE723" s="46">
        <v>0</v>
      </c>
      <c r="BF723" s="46">
        <v>0</v>
      </c>
      <c r="BG723" s="46" t="s">
        <v>48</v>
      </c>
      <c r="BH723" s="46">
        <v>0</v>
      </c>
      <c r="BI723" s="46">
        <v>0</v>
      </c>
      <c r="BJ723" s="46">
        <v>0</v>
      </c>
      <c r="BK723" s="46">
        <v>0</v>
      </c>
      <c r="BL723" s="46">
        <v>0</v>
      </c>
      <c r="BM723" s="46">
        <v>0</v>
      </c>
      <c r="BN723" s="46">
        <v>0</v>
      </c>
    </row>
    <row r="724" spans="1:66" x14ac:dyDescent="0.35">
      <c r="A724" t="s">
        <v>10127</v>
      </c>
      <c r="B724" s="44" t="s">
        <v>48</v>
      </c>
      <c r="C724" t="s">
        <v>11964</v>
      </c>
      <c r="D724" t="s">
        <v>11965</v>
      </c>
      <c r="E724" t="s">
        <v>10128</v>
      </c>
      <c r="F724" t="s">
        <v>3566</v>
      </c>
      <c r="G724" t="s">
        <v>47</v>
      </c>
      <c r="H724">
        <v>0</v>
      </c>
      <c r="I724" s="61">
        <v>44783</v>
      </c>
      <c r="J724" s="33" t="s">
        <v>45</v>
      </c>
      <c r="K724" s="46">
        <v>0</v>
      </c>
      <c r="L724">
        <v>32.5</v>
      </c>
      <c r="M724" t="s">
        <v>48</v>
      </c>
      <c r="N724" s="46">
        <v>1</v>
      </c>
      <c r="O724" s="46">
        <v>0</v>
      </c>
      <c r="P724" s="46">
        <v>0</v>
      </c>
      <c r="Q724" t="s">
        <v>48</v>
      </c>
      <c r="R724" t="s">
        <v>48</v>
      </c>
      <c r="S724" t="s">
        <v>10129</v>
      </c>
      <c r="T724" t="s">
        <v>48</v>
      </c>
      <c r="U724" t="s">
        <v>10129</v>
      </c>
      <c r="V724" s="47">
        <v>0</v>
      </c>
      <c r="W724" t="s">
        <v>48</v>
      </c>
      <c r="X724" t="s">
        <v>48</v>
      </c>
      <c r="Y724" t="s">
        <v>48</v>
      </c>
      <c r="Z724" t="s">
        <v>48</v>
      </c>
      <c r="AA724" t="s">
        <v>48</v>
      </c>
      <c r="AB724" t="s">
        <v>48</v>
      </c>
      <c r="AC724" t="s">
        <v>63</v>
      </c>
      <c r="AD724" t="s">
        <v>93</v>
      </c>
      <c r="AE724" t="s">
        <v>4532</v>
      </c>
      <c r="AF724" t="s">
        <v>48</v>
      </c>
      <c r="AG724" t="s">
        <v>48</v>
      </c>
      <c r="AH724" t="s">
        <v>48</v>
      </c>
      <c r="AI724" t="s">
        <v>48</v>
      </c>
      <c r="AJ724" t="s">
        <v>48</v>
      </c>
      <c r="AK724" t="s">
        <v>48</v>
      </c>
      <c r="AL724" t="s">
        <v>48</v>
      </c>
      <c r="AM724" t="s">
        <v>48</v>
      </c>
      <c r="AN724" t="s">
        <v>48</v>
      </c>
      <c r="AO724" t="s">
        <v>48</v>
      </c>
      <c r="AP724" s="46">
        <v>0</v>
      </c>
      <c r="AQ724" s="46">
        <v>0</v>
      </c>
      <c r="AR724" s="46">
        <v>0</v>
      </c>
      <c r="AS724" s="46">
        <v>0</v>
      </c>
      <c r="AT724" s="46">
        <v>0</v>
      </c>
      <c r="AU724" s="46">
        <v>0</v>
      </c>
      <c r="AV724" s="46">
        <v>0</v>
      </c>
      <c r="AW724" s="46">
        <v>0</v>
      </c>
      <c r="AX724" s="46">
        <v>0</v>
      </c>
      <c r="AY724" s="46">
        <v>0</v>
      </c>
      <c r="AZ724" s="46">
        <v>0</v>
      </c>
      <c r="BA724" s="46">
        <v>0</v>
      </c>
      <c r="BB724" s="46">
        <v>0</v>
      </c>
      <c r="BC724" s="46">
        <v>0</v>
      </c>
      <c r="BD724" s="46">
        <v>0</v>
      </c>
      <c r="BE724" s="46">
        <v>0</v>
      </c>
      <c r="BF724" s="46">
        <v>0</v>
      </c>
      <c r="BG724" s="46">
        <v>1</v>
      </c>
      <c r="BH724" s="46">
        <v>0</v>
      </c>
      <c r="BI724" s="46">
        <v>0</v>
      </c>
      <c r="BJ724" s="46">
        <v>0</v>
      </c>
      <c r="BK724" s="46">
        <v>0</v>
      </c>
      <c r="BL724" s="46">
        <v>0</v>
      </c>
      <c r="BM724" s="46">
        <v>0</v>
      </c>
      <c r="BN724" s="46">
        <v>0</v>
      </c>
    </row>
    <row r="725" spans="1:66" x14ac:dyDescent="0.35">
      <c r="A725" t="s">
        <v>3595</v>
      </c>
      <c r="B725" s="44" t="s">
        <v>48</v>
      </c>
      <c r="C725" t="s">
        <v>3599</v>
      </c>
      <c r="D725" t="s">
        <v>221</v>
      </c>
      <c r="E725" t="s">
        <v>3596</v>
      </c>
      <c r="F725" t="s">
        <v>3585</v>
      </c>
      <c r="G725" t="s">
        <v>74</v>
      </c>
      <c r="H725">
        <v>0</v>
      </c>
      <c r="I725" s="60" t="s">
        <v>51</v>
      </c>
      <c r="J725" s="33" t="s">
        <v>45</v>
      </c>
      <c r="K725" s="46">
        <v>1</v>
      </c>
      <c r="L725">
        <v>84.2</v>
      </c>
      <c r="M725" t="s">
        <v>48</v>
      </c>
      <c r="N725" s="46">
        <v>1</v>
      </c>
      <c r="O725" s="46">
        <v>0</v>
      </c>
      <c r="P725" s="46">
        <v>0</v>
      </c>
      <c r="Q725" t="s">
        <v>48</v>
      </c>
      <c r="R725" t="s">
        <v>48</v>
      </c>
      <c r="S725" t="s">
        <v>3597</v>
      </c>
      <c r="T725" t="s">
        <v>3598</v>
      </c>
      <c r="U725" t="s">
        <v>3597</v>
      </c>
      <c r="V725" s="47">
        <v>0</v>
      </c>
      <c r="W725" t="s">
        <v>48</v>
      </c>
      <c r="X725" t="s">
        <v>48</v>
      </c>
      <c r="Y725" t="s">
        <v>48</v>
      </c>
      <c r="Z725">
        <v>0</v>
      </c>
      <c r="AA725" t="s">
        <v>48</v>
      </c>
      <c r="AB725">
        <v>2006</v>
      </c>
      <c r="AC725" t="s">
        <v>49</v>
      </c>
      <c r="AD725" t="s">
        <v>93</v>
      </c>
      <c r="AE725" t="s">
        <v>4532</v>
      </c>
      <c r="AF725" t="s">
        <v>48</v>
      </c>
      <c r="AG725" t="s">
        <v>988</v>
      </c>
      <c r="AH725" t="s">
        <v>93</v>
      </c>
      <c r="AI725">
        <v>20724</v>
      </c>
      <c r="AJ725">
        <v>1962</v>
      </c>
      <c r="AK725" t="s">
        <v>8978</v>
      </c>
      <c r="AL725" t="s">
        <v>8979</v>
      </c>
      <c r="AM725">
        <v>-0.46700000000000003</v>
      </c>
      <c r="AN725">
        <v>-7.0000000000000007E-2</v>
      </c>
      <c r="AO725">
        <v>-0.46700000000000003</v>
      </c>
      <c r="AP725" s="46">
        <v>0</v>
      </c>
      <c r="AQ725" s="46">
        <v>0</v>
      </c>
      <c r="AR725" s="46">
        <v>0</v>
      </c>
      <c r="AS725" s="46">
        <v>0</v>
      </c>
      <c r="AT725" s="46">
        <v>0</v>
      </c>
      <c r="AU725" s="46">
        <v>0</v>
      </c>
      <c r="AV725" s="46">
        <v>0</v>
      </c>
      <c r="AW725" s="46">
        <v>0</v>
      </c>
      <c r="AX725" s="46">
        <v>0</v>
      </c>
      <c r="AY725" s="46">
        <v>0</v>
      </c>
      <c r="AZ725" s="46">
        <v>0</v>
      </c>
      <c r="BA725" s="46">
        <v>0</v>
      </c>
      <c r="BB725" s="46">
        <v>0</v>
      </c>
      <c r="BC725" s="46">
        <v>0</v>
      </c>
      <c r="BD725" s="46">
        <v>0</v>
      </c>
      <c r="BE725" s="46">
        <v>0</v>
      </c>
      <c r="BF725" s="46">
        <v>0</v>
      </c>
      <c r="BG725" s="46" t="s">
        <v>48</v>
      </c>
      <c r="BH725" s="46">
        <v>0</v>
      </c>
      <c r="BI725" s="46">
        <v>0</v>
      </c>
      <c r="BJ725" s="46">
        <v>0</v>
      </c>
      <c r="BK725" s="46">
        <v>0</v>
      </c>
      <c r="BL725" s="46">
        <v>0</v>
      </c>
      <c r="BM725" s="46">
        <v>0</v>
      </c>
      <c r="BN725" s="46">
        <v>0</v>
      </c>
    </row>
    <row r="726" spans="1:66" x14ac:dyDescent="0.35">
      <c r="A726" t="s">
        <v>3577</v>
      </c>
      <c r="B726" s="44" t="s">
        <v>48</v>
      </c>
      <c r="C726" t="s">
        <v>613</v>
      </c>
      <c r="D726" t="s">
        <v>3578</v>
      </c>
      <c r="E726" t="s">
        <v>10145</v>
      </c>
      <c r="F726" t="s">
        <v>3585</v>
      </c>
      <c r="G726" t="s">
        <v>47</v>
      </c>
      <c r="H726">
        <v>0</v>
      </c>
      <c r="I726" s="61">
        <v>44783</v>
      </c>
      <c r="J726" s="33" t="s">
        <v>45</v>
      </c>
      <c r="K726" s="46">
        <v>0</v>
      </c>
      <c r="L726">
        <v>33.1</v>
      </c>
      <c r="M726" t="s">
        <v>48</v>
      </c>
      <c r="N726" s="46">
        <v>1</v>
      </c>
      <c r="O726" s="46">
        <v>0</v>
      </c>
      <c r="P726" s="46">
        <v>0</v>
      </c>
      <c r="Q726" t="s">
        <v>48</v>
      </c>
      <c r="R726" t="s">
        <v>48</v>
      </c>
      <c r="S726" t="s">
        <v>10146</v>
      </c>
      <c r="T726" t="s">
        <v>48</v>
      </c>
      <c r="U726" t="s">
        <v>10146</v>
      </c>
      <c r="V726" s="47">
        <v>0</v>
      </c>
      <c r="W726" t="s">
        <v>48</v>
      </c>
      <c r="X726" t="s">
        <v>48</v>
      </c>
      <c r="Y726" t="s">
        <v>48</v>
      </c>
      <c r="Z726">
        <v>0</v>
      </c>
      <c r="AA726" t="s">
        <v>48</v>
      </c>
      <c r="AB726" t="s">
        <v>48</v>
      </c>
      <c r="AC726" t="s">
        <v>63</v>
      </c>
      <c r="AD726" t="s">
        <v>951</v>
      </c>
      <c r="AE726" s="40" t="s">
        <v>11051</v>
      </c>
      <c r="AF726" t="s">
        <v>108</v>
      </c>
      <c r="AG726" t="s">
        <v>48</v>
      </c>
      <c r="AH726" t="s">
        <v>48</v>
      </c>
      <c r="AI726" t="s">
        <v>48</v>
      </c>
      <c r="AJ726" t="s">
        <v>48</v>
      </c>
      <c r="AK726" t="s">
        <v>48</v>
      </c>
      <c r="AL726" t="s">
        <v>48</v>
      </c>
      <c r="AM726" t="s">
        <v>48</v>
      </c>
      <c r="AN726" t="s">
        <v>48</v>
      </c>
      <c r="AO726" t="s">
        <v>48</v>
      </c>
      <c r="AP726" s="46">
        <v>0</v>
      </c>
      <c r="AQ726" s="46">
        <v>0</v>
      </c>
      <c r="AR726" s="46">
        <v>0</v>
      </c>
      <c r="AS726" s="46">
        <v>0</v>
      </c>
      <c r="AT726" s="46">
        <v>0</v>
      </c>
      <c r="AU726" s="46">
        <v>0</v>
      </c>
      <c r="AV726" s="46">
        <v>0</v>
      </c>
      <c r="AW726" s="46">
        <v>0</v>
      </c>
      <c r="AX726" s="46">
        <v>0</v>
      </c>
      <c r="AY726" s="46">
        <v>0</v>
      </c>
      <c r="AZ726" s="46">
        <v>0</v>
      </c>
      <c r="BA726" s="46">
        <v>0</v>
      </c>
      <c r="BB726" s="46">
        <v>0</v>
      </c>
      <c r="BC726" s="46">
        <v>0</v>
      </c>
      <c r="BD726" s="46">
        <v>0</v>
      </c>
      <c r="BE726" s="46">
        <v>0</v>
      </c>
      <c r="BF726" s="46">
        <v>0</v>
      </c>
      <c r="BG726" s="46" t="s">
        <v>48</v>
      </c>
      <c r="BH726" s="46">
        <v>0</v>
      </c>
      <c r="BI726" s="46">
        <v>0</v>
      </c>
      <c r="BJ726" s="46">
        <v>0</v>
      </c>
      <c r="BK726" s="46">
        <v>0</v>
      </c>
      <c r="BL726" s="46">
        <v>0</v>
      </c>
      <c r="BM726" s="46">
        <v>0</v>
      </c>
      <c r="BN726" s="46">
        <v>0</v>
      </c>
    </row>
    <row r="727" spans="1:66" x14ac:dyDescent="0.35">
      <c r="A727" t="s">
        <v>3612</v>
      </c>
      <c r="B727" s="44" t="s">
        <v>48</v>
      </c>
      <c r="C727" t="s">
        <v>3614</v>
      </c>
      <c r="D727" t="s">
        <v>171</v>
      </c>
      <c r="E727" t="s">
        <v>3613</v>
      </c>
      <c r="F727" t="s">
        <v>3604</v>
      </c>
      <c r="G727" t="s">
        <v>74</v>
      </c>
      <c r="H727">
        <v>0</v>
      </c>
      <c r="I727" s="60" t="s">
        <v>716</v>
      </c>
      <c r="J727" s="33" t="s">
        <v>45</v>
      </c>
      <c r="K727" s="46">
        <v>0</v>
      </c>
      <c r="L727">
        <v>51.9</v>
      </c>
      <c r="M727" t="s">
        <v>48</v>
      </c>
      <c r="N727" s="46">
        <v>1</v>
      </c>
      <c r="O727" s="46">
        <v>0</v>
      </c>
      <c r="P727" s="46">
        <v>0</v>
      </c>
      <c r="Q727" t="s">
        <v>48</v>
      </c>
      <c r="R727" t="s">
        <v>48</v>
      </c>
      <c r="S727" t="s">
        <v>48</v>
      </c>
      <c r="T727" t="s">
        <v>48</v>
      </c>
      <c r="U727" t="s">
        <v>48</v>
      </c>
      <c r="V727" s="47">
        <v>1</v>
      </c>
      <c r="W727" t="s">
        <v>11264</v>
      </c>
      <c r="X727" t="s">
        <v>48</v>
      </c>
      <c r="Y727" t="s">
        <v>48</v>
      </c>
      <c r="Z727">
        <v>0</v>
      </c>
      <c r="AA727" t="s">
        <v>48</v>
      </c>
      <c r="AB727" t="s">
        <v>48</v>
      </c>
      <c r="AC727" t="s">
        <v>49</v>
      </c>
      <c r="AD727" t="s">
        <v>93</v>
      </c>
      <c r="AE727" s="40" t="s">
        <v>2471</v>
      </c>
      <c r="AF727" t="s">
        <v>11061</v>
      </c>
      <c r="AG727" t="s">
        <v>48</v>
      </c>
      <c r="AH727" t="s">
        <v>48</v>
      </c>
      <c r="AI727" t="s">
        <v>48</v>
      </c>
      <c r="AJ727" t="s">
        <v>48</v>
      </c>
      <c r="AK727" t="s">
        <v>48</v>
      </c>
      <c r="AL727" t="s">
        <v>48</v>
      </c>
      <c r="AM727" t="s">
        <v>48</v>
      </c>
      <c r="AN727" t="s">
        <v>48</v>
      </c>
      <c r="AO727" t="s">
        <v>48</v>
      </c>
      <c r="AP727" s="46">
        <v>0</v>
      </c>
      <c r="AQ727" s="46">
        <v>0</v>
      </c>
      <c r="AR727" s="46">
        <v>0</v>
      </c>
      <c r="AS727" s="46">
        <v>0</v>
      </c>
      <c r="AT727" s="46">
        <v>0</v>
      </c>
      <c r="AU727" s="46">
        <v>0</v>
      </c>
      <c r="AV727" s="46">
        <v>0</v>
      </c>
      <c r="AW727" s="46">
        <v>0</v>
      </c>
      <c r="AX727" s="46">
        <v>0</v>
      </c>
      <c r="AY727" s="46">
        <v>0</v>
      </c>
      <c r="AZ727" s="46">
        <v>0</v>
      </c>
      <c r="BA727" s="46">
        <v>0</v>
      </c>
      <c r="BB727" s="46">
        <v>0</v>
      </c>
      <c r="BC727" s="46">
        <v>0</v>
      </c>
      <c r="BD727" s="46">
        <v>0</v>
      </c>
      <c r="BE727" s="46">
        <v>0</v>
      </c>
      <c r="BF727" s="46">
        <v>0</v>
      </c>
      <c r="BG727" s="46" t="s">
        <v>48</v>
      </c>
      <c r="BH727" s="46">
        <v>0</v>
      </c>
      <c r="BI727" s="46">
        <v>0</v>
      </c>
      <c r="BJ727" s="46">
        <v>0</v>
      </c>
      <c r="BK727" s="46">
        <v>0</v>
      </c>
      <c r="BL727" s="46">
        <v>0</v>
      </c>
      <c r="BM727" s="46">
        <v>0</v>
      </c>
      <c r="BN727" s="46">
        <v>0</v>
      </c>
    </row>
    <row r="728" spans="1:66" x14ac:dyDescent="0.35">
      <c r="A728" t="s">
        <v>3615</v>
      </c>
      <c r="B728" s="44" t="s">
        <v>48</v>
      </c>
      <c r="C728" t="s">
        <v>457</v>
      </c>
      <c r="D728" t="s">
        <v>273</v>
      </c>
      <c r="E728" t="s">
        <v>3616</v>
      </c>
      <c r="F728" t="s">
        <v>3604</v>
      </c>
      <c r="G728" t="s">
        <v>47</v>
      </c>
      <c r="H728">
        <v>0</v>
      </c>
      <c r="I728" s="60" t="s">
        <v>51</v>
      </c>
      <c r="J728" s="33" t="s">
        <v>45</v>
      </c>
      <c r="K728" s="46">
        <v>0</v>
      </c>
      <c r="L728">
        <v>58.9</v>
      </c>
      <c r="M728" t="s">
        <v>48</v>
      </c>
      <c r="N728" s="46">
        <v>1</v>
      </c>
      <c r="O728" s="46">
        <v>0</v>
      </c>
      <c r="P728" s="46">
        <v>0</v>
      </c>
      <c r="Q728" t="s">
        <v>48</v>
      </c>
      <c r="R728" t="s">
        <v>48</v>
      </c>
      <c r="S728" t="s">
        <v>48</v>
      </c>
      <c r="T728" t="s">
        <v>48</v>
      </c>
      <c r="U728" t="s">
        <v>48</v>
      </c>
      <c r="V728" s="47">
        <v>1</v>
      </c>
      <c r="W728" t="s">
        <v>11264</v>
      </c>
      <c r="X728" t="s">
        <v>48</v>
      </c>
      <c r="Y728" t="s">
        <v>48</v>
      </c>
      <c r="Z728">
        <v>0</v>
      </c>
      <c r="AA728" t="s">
        <v>48</v>
      </c>
      <c r="AB728" t="s">
        <v>48</v>
      </c>
      <c r="AC728" t="s">
        <v>49</v>
      </c>
      <c r="AD728" t="s">
        <v>93</v>
      </c>
      <c r="AE728" s="40" t="s">
        <v>4532</v>
      </c>
      <c r="AF728" t="s">
        <v>48</v>
      </c>
      <c r="AG728" t="s">
        <v>48</v>
      </c>
      <c r="AH728" t="s">
        <v>48</v>
      </c>
      <c r="AI728" t="s">
        <v>48</v>
      </c>
      <c r="AJ728" t="s">
        <v>48</v>
      </c>
      <c r="AK728" t="s">
        <v>48</v>
      </c>
      <c r="AL728" t="s">
        <v>48</v>
      </c>
      <c r="AM728" t="s">
        <v>48</v>
      </c>
      <c r="AN728" t="s">
        <v>48</v>
      </c>
      <c r="AO728" t="s">
        <v>48</v>
      </c>
      <c r="AP728" s="46">
        <v>0</v>
      </c>
      <c r="AQ728" s="46">
        <v>0</v>
      </c>
      <c r="AR728" s="46">
        <v>0</v>
      </c>
      <c r="AS728" s="46">
        <v>0</v>
      </c>
      <c r="AT728" s="46">
        <v>0</v>
      </c>
      <c r="AU728" s="46">
        <v>0</v>
      </c>
      <c r="AV728" s="46">
        <v>0</v>
      </c>
      <c r="AW728" s="46">
        <v>0</v>
      </c>
      <c r="AX728" s="46">
        <v>0</v>
      </c>
      <c r="AY728" s="46">
        <v>0</v>
      </c>
      <c r="AZ728" s="46">
        <v>0</v>
      </c>
      <c r="BA728" s="46">
        <v>0</v>
      </c>
      <c r="BB728" s="46">
        <v>0</v>
      </c>
      <c r="BC728" s="46">
        <v>0</v>
      </c>
      <c r="BD728" s="46">
        <v>0</v>
      </c>
      <c r="BE728" s="46">
        <v>0</v>
      </c>
      <c r="BF728" s="46">
        <v>0</v>
      </c>
      <c r="BG728" s="46" t="s">
        <v>48</v>
      </c>
      <c r="BH728" s="46">
        <v>0</v>
      </c>
      <c r="BI728" s="46">
        <v>0</v>
      </c>
      <c r="BJ728" s="46">
        <v>0</v>
      </c>
      <c r="BK728" s="46">
        <v>0</v>
      </c>
      <c r="BL728" s="46">
        <v>0</v>
      </c>
      <c r="BM728" s="46">
        <v>0</v>
      </c>
      <c r="BN728" s="46">
        <v>0</v>
      </c>
    </row>
    <row r="729" spans="1:66" x14ac:dyDescent="0.35">
      <c r="A729" t="s">
        <v>10164</v>
      </c>
      <c r="B729" s="44" t="s">
        <v>48</v>
      </c>
      <c r="C729" t="s">
        <v>11981</v>
      </c>
      <c r="D729" t="s">
        <v>216</v>
      </c>
      <c r="E729" t="s">
        <v>10165</v>
      </c>
      <c r="F729" t="s">
        <v>3617</v>
      </c>
      <c r="G729" t="s">
        <v>47</v>
      </c>
      <c r="H729">
        <v>0</v>
      </c>
      <c r="I729" s="61">
        <v>44783</v>
      </c>
      <c r="J729" s="33" t="s">
        <v>45</v>
      </c>
      <c r="K729" s="46">
        <v>0</v>
      </c>
      <c r="L729">
        <v>68.599999999999994</v>
      </c>
      <c r="M729" t="s">
        <v>48</v>
      </c>
      <c r="N729" s="46">
        <v>1</v>
      </c>
      <c r="O729" s="46">
        <v>0</v>
      </c>
      <c r="P729" s="46">
        <v>0</v>
      </c>
      <c r="Q729" t="s">
        <v>48</v>
      </c>
      <c r="R729" t="s">
        <v>48</v>
      </c>
      <c r="S729" t="s">
        <v>10166</v>
      </c>
      <c r="T729" t="s">
        <v>48</v>
      </c>
      <c r="U729" t="s">
        <v>10166</v>
      </c>
      <c r="V729" s="47">
        <v>1</v>
      </c>
      <c r="W729" t="s">
        <v>48</v>
      </c>
      <c r="X729" t="s">
        <v>48</v>
      </c>
      <c r="Y729" t="s">
        <v>48</v>
      </c>
      <c r="Z729" t="s">
        <v>48</v>
      </c>
      <c r="AA729" t="s">
        <v>48</v>
      </c>
      <c r="AB729" t="s">
        <v>48</v>
      </c>
      <c r="AC729" t="s">
        <v>49</v>
      </c>
      <c r="AD729" t="s">
        <v>93</v>
      </c>
      <c r="AE729" s="40" t="s">
        <v>4532</v>
      </c>
      <c r="AF729" t="s">
        <v>48</v>
      </c>
      <c r="AG729" t="s">
        <v>48</v>
      </c>
      <c r="AH729" t="s">
        <v>48</v>
      </c>
      <c r="AI729" t="s">
        <v>48</v>
      </c>
      <c r="AJ729" t="s">
        <v>48</v>
      </c>
      <c r="AK729" t="s">
        <v>48</v>
      </c>
      <c r="AL729" t="s">
        <v>48</v>
      </c>
      <c r="AM729" t="s">
        <v>48</v>
      </c>
      <c r="AN729" t="s">
        <v>48</v>
      </c>
      <c r="AO729" t="s">
        <v>48</v>
      </c>
      <c r="AP729" s="46">
        <v>0</v>
      </c>
      <c r="AQ729" s="46">
        <v>0</v>
      </c>
      <c r="AR729" s="46">
        <v>0</v>
      </c>
      <c r="AS729" s="46">
        <v>0</v>
      </c>
      <c r="AT729" s="46">
        <v>0</v>
      </c>
      <c r="AU729" s="46">
        <v>0</v>
      </c>
      <c r="AV729" s="46">
        <v>0</v>
      </c>
      <c r="AW729" s="46">
        <v>0</v>
      </c>
      <c r="AX729" s="46">
        <v>0</v>
      </c>
      <c r="AY729" s="46">
        <v>0</v>
      </c>
      <c r="AZ729" s="46">
        <v>0</v>
      </c>
      <c r="BA729" s="46">
        <v>0</v>
      </c>
      <c r="BB729" s="46">
        <v>0</v>
      </c>
      <c r="BC729" s="46">
        <v>0</v>
      </c>
      <c r="BD729" s="46">
        <v>0</v>
      </c>
      <c r="BE729" s="46">
        <v>0</v>
      </c>
      <c r="BF729" s="46">
        <v>0</v>
      </c>
      <c r="BG729" s="46">
        <v>1</v>
      </c>
      <c r="BH729" s="46">
        <v>0</v>
      </c>
      <c r="BI729" s="46">
        <v>0</v>
      </c>
      <c r="BJ729" s="46">
        <v>0</v>
      </c>
      <c r="BK729" s="46">
        <v>0</v>
      </c>
      <c r="BL729" s="46">
        <v>0</v>
      </c>
      <c r="BM729" s="46">
        <v>0</v>
      </c>
      <c r="BN729" s="46">
        <v>0</v>
      </c>
    </row>
    <row r="730" spans="1:66" x14ac:dyDescent="0.35">
      <c r="A730" t="s">
        <v>3619</v>
      </c>
      <c r="B730" s="44" t="s">
        <v>48</v>
      </c>
      <c r="C730" t="s">
        <v>3625</v>
      </c>
      <c r="D730" t="s">
        <v>3624</v>
      </c>
      <c r="E730" t="s">
        <v>3620</v>
      </c>
      <c r="F730" t="s">
        <v>3617</v>
      </c>
      <c r="G730" t="s">
        <v>74</v>
      </c>
      <c r="H730">
        <v>1</v>
      </c>
      <c r="I730" s="60" t="s">
        <v>51</v>
      </c>
      <c r="J730" s="33" t="s">
        <v>45</v>
      </c>
      <c r="K730" s="46">
        <v>1</v>
      </c>
      <c r="L730">
        <v>71.3</v>
      </c>
      <c r="M730" t="s">
        <v>48</v>
      </c>
      <c r="N730" s="46">
        <v>1</v>
      </c>
      <c r="O730" s="46">
        <v>0</v>
      </c>
      <c r="P730" s="46">
        <v>0</v>
      </c>
      <c r="Q730" t="s">
        <v>48</v>
      </c>
      <c r="R730" t="s">
        <v>48</v>
      </c>
      <c r="S730" t="s">
        <v>3621</v>
      </c>
      <c r="T730" t="s">
        <v>3622</v>
      </c>
      <c r="U730" t="s">
        <v>3621</v>
      </c>
      <c r="V730" s="47">
        <v>0</v>
      </c>
      <c r="W730" t="s">
        <v>48</v>
      </c>
      <c r="X730" t="s">
        <v>48</v>
      </c>
      <c r="Y730" t="s">
        <v>48</v>
      </c>
      <c r="Z730">
        <v>0</v>
      </c>
      <c r="AA730" t="s">
        <v>48</v>
      </c>
      <c r="AB730" t="s">
        <v>3623</v>
      </c>
      <c r="AC730" t="s">
        <v>49</v>
      </c>
      <c r="AD730" t="s">
        <v>93</v>
      </c>
      <c r="AE730" t="s">
        <v>4532</v>
      </c>
      <c r="AF730" t="s">
        <v>48</v>
      </c>
      <c r="AG730" t="s">
        <v>151</v>
      </c>
      <c r="AH730" t="s">
        <v>93</v>
      </c>
      <c r="AI730">
        <v>14873</v>
      </c>
      <c r="AJ730">
        <v>1939</v>
      </c>
      <c r="AK730" t="s">
        <v>8980</v>
      </c>
      <c r="AL730" t="s">
        <v>8981</v>
      </c>
      <c r="AM730">
        <v>-0.38100000000000001</v>
      </c>
      <c r="AN730">
        <v>0.11799999999999999</v>
      </c>
      <c r="AO730">
        <v>-0.38100000000000001</v>
      </c>
      <c r="AP730" s="46">
        <v>0</v>
      </c>
      <c r="AQ730" s="46">
        <v>0</v>
      </c>
      <c r="AR730" s="46">
        <v>0</v>
      </c>
      <c r="AS730" s="46">
        <v>0</v>
      </c>
      <c r="AT730" s="46">
        <v>0</v>
      </c>
      <c r="AU730" s="46">
        <v>0</v>
      </c>
      <c r="AV730" s="46">
        <v>0</v>
      </c>
      <c r="AW730" s="46">
        <v>0</v>
      </c>
      <c r="AX730" s="46">
        <v>0</v>
      </c>
      <c r="AY730" s="46">
        <v>0</v>
      </c>
      <c r="AZ730" s="46">
        <v>0</v>
      </c>
      <c r="BA730" s="46">
        <v>0</v>
      </c>
      <c r="BB730" s="46">
        <v>0</v>
      </c>
      <c r="BC730" s="46">
        <v>0</v>
      </c>
      <c r="BD730" s="46">
        <v>0</v>
      </c>
      <c r="BE730" s="46">
        <v>0</v>
      </c>
      <c r="BF730" s="46">
        <v>0</v>
      </c>
      <c r="BG730" s="46" t="s">
        <v>48</v>
      </c>
      <c r="BH730" s="46">
        <v>0</v>
      </c>
      <c r="BI730" s="46">
        <v>0</v>
      </c>
      <c r="BJ730" s="46">
        <v>0</v>
      </c>
      <c r="BK730" s="46">
        <v>0</v>
      </c>
      <c r="BL730" s="46">
        <v>0</v>
      </c>
      <c r="BM730" s="46">
        <v>0</v>
      </c>
      <c r="BN730" s="46">
        <v>0</v>
      </c>
    </row>
    <row r="731" spans="1:66" x14ac:dyDescent="0.35">
      <c r="A731" t="s">
        <v>3650</v>
      </c>
      <c r="B731" t="s">
        <v>48</v>
      </c>
      <c r="C731" t="s">
        <v>3654</v>
      </c>
      <c r="D731" t="s">
        <v>268</v>
      </c>
      <c r="E731" t="s">
        <v>3651</v>
      </c>
      <c r="F731" t="s">
        <v>3636</v>
      </c>
      <c r="G731" t="s">
        <v>74</v>
      </c>
      <c r="H731">
        <v>0</v>
      </c>
      <c r="I731" s="60" t="s">
        <v>51</v>
      </c>
      <c r="J731" s="33" t="s">
        <v>45</v>
      </c>
      <c r="K731" s="46">
        <v>1</v>
      </c>
      <c r="L731">
        <v>79.3</v>
      </c>
      <c r="M731" t="s">
        <v>48</v>
      </c>
      <c r="N731" s="46">
        <v>1</v>
      </c>
      <c r="O731" s="46">
        <v>0</v>
      </c>
      <c r="P731" s="46">
        <v>0</v>
      </c>
      <c r="Q731" t="s">
        <v>48</v>
      </c>
      <c r="R731" t="s">
        <v>48</v>
      </c>
      <c r="S731" t="s">
        <v>3652</v>
      </c>
      <c r="T731" t="s">
        <v>3653</v>
      </c>
      <c r="U731" t="s">
        <v>3652</v>
      </c>
      <c r="V731" s="47">
        <v>0</v>
      </c>
      <c r="W731" t="s">
        <v>48</v>
      </c>
      <c r="X731" t="s">
        <v>48</v>
      </c>
      <c r="Y731" t="s">
        <v>48</v>
      </c>
      <c r="Z731">
        <v>0</v>
      </c>
      <c r="AA731" t="s">
        <v>48</v>
      </c>
      <c r="AB731">
        <v>2018</v>
      </c>
      <c r="AC731" t="s">
        <v>49</v>
      </c>
      <c r="AD731" t="s">
        <v>93</v>
      </c>
      <c r="AE731" t="s">
        <v>4532</v>
      </c>
      <c r="AF731" t="s">
        <v>48</v>
      </c>
      <c r="AG731" t="s">
        <v>1105</v>
      </c>
      <c r="AH731" t="s">
        <v>93</v>
      </c>
      <c r="AI731">
        <v>21978</v>
      </c>
      <c r="AJ731">
        <v>1955</v>
      </c>
      <c r="AK731" t="s">
        <v>8982</v>
      </c>
      <c r="AL731" t="s">
        <v>8983</v>
      </c>
      <c r="AM731">
        <v>-0.27100000000000002</v>
      </c>
      <c r="AN731">
        <v>6.5000000000000002E-2</v>
      </c>
      <c r="AO731">
        <v>-0.27100000000000002</v>
      </c>
      <c r="AP731" s="46">
        <v>0</v>
      </c>
      <c r="AQ731" s="46">
        <v>0</v>
      </c>
      <c r="AR731" s="46">
        <v>0</v>
      </c>
      <c r="AS731" s="46">
        <v>0</v>
      </c>
      <c r="AT731" s="46">
        <v>0</v>
      </c>
      <c r="AU731" s="46">
        <v>1</v>
      </c>
      <c r="AV731" s="46">
        <v>0</v>
      </c>
      <c r="AW731" s="46">
        <v>0</v>
      </c>
      <c r="AX731" s="46">
        <v>0</v>
      </c>
      <c r="AY731" s="46">
        <v>0</v>
      </c>
      <c r="AZ731" s="46">
        <v>0</v>
      </c>
      <c r="BA731" s="46">
        <v>0</v>
      </c>
      <c r="BB731" s="46">
        <v>0</v>
      </c>
      <c r="BC731" s="46">
        <v>0</v>
      </c>
      <c r="BD731" s="46">
        <v>0</v>
      </c>
      <c r="BE731" s="46">
        <v>0</v>
      </c>
      <c r="BF731" s="46">
        <v>0</v>
      </c>
      <c r="BG731" s="46" t="s">
        <v>48</v>
      </c>
      <c r="BH731" s="46">
        <v>0</v>
      </c>
      <c r="BI731" s="46">
        <v>0</v>
      </c>
      <c r="BJ731" s="46">
        <v>0</v>
      </c>
      <c r="BK731" s="46">
        <v>0</v>
      </c>
      <c r="BL731" s="46">
        <v>0</v>
      </c>
      <c r="BM731" s="46">
        <v>0</v>
      </c>
      <c r="BN731" s="46">
        <v>0</v>
      </c>
    </row>
    <row r="732" spans="1:66" x14ac:dyDescent="0.35">
      <c r="A732" t="s">
        <v>3639</v>
      </c>
      <c r="B732" s="44" t="s">
        <v>48</v>
      </c>
      <c r="C732" t="s">
        <v>3642</v>
      </c>
      <c r="D732" t="s">
        <v>561</v>
      </c>
      <c r="E732" t="s">
        <v>3640</v>
      </c>
      <c r="F732" t="s">
        <v>3636</v>
      </c>
      <c r="G732" t="s">
        <v>47</v>
      </c>
      <c r="H732">
        <v>0</v>
      </c>
      <c r="I732" s="60" t="s">
        <v>149</v>
      </c>
      <c r="J732" s="33" t="s">
        <v>45</v>
      </c>
      <c r="K732" s="46">
        <v>0</v>
      </c>
      <c r="L732">
        <v>63.2</v>
      </c>
      <c r="M732" t="s">
        <v>48</v>
      </c>
      <c r="N732" s="46">
        <v>1</v>
      </c>
      <c r="O732" s="46">
        <v>0</v>
      </c>
      <c r="P732" s="46">
        <v>0</v>
      </c>
      <c r="Q732" t="s">
        <v>48</v>
      </c>
      <c r="R732" t="s">
        <v>48</v>
      </c>
      <c r="S732" t="s">
        <v>3641</v>
      </c>
      <c r="T732" t="s">
        <v>48</v>
      </c>
      <c r="U732" t="s">
        <v>3641</v>
      </c>
      <c r="V732" s="47">
        <v>0</v>
      </c>
      <c r="W732" t="s">
        <v>48</v>
      </c>
      <c r="X732" t="s">
        <v>48</v>
      </c>
      <c r="Y732" t="s">
        <v>48</v>
      </c>
      <c r="Z732">
        <v>0</v>
      </c>
      <c r="AA732" t="s">
        <v>48</v>
      </c>
      <c r="AB732" t="s">
        <v>48</v>
      </c>
      <c r="AC732" t="s">
        <v>49</v>
      </c>
      <c r="AD732" t="s">
        <v>93</v>
      </c>
      <c r="AE732" t="s">
        <v>4532</v>
      </c>
      <c r="AF732" t="s">
        <v>48</v>
      </c>
      <c r="AG732" t="s">
        <v>48</v>
      </c>
      <c r="AH732" t="s">
        <v>48</v>
      </c>
      <c r="AI732" t="s">
        <v>48</v>
      </c>
      <c r="AJ732" t="s">
        <v>48</v>
      </c>
      <c r="AK732" t="s">
        <v>48</v>
      </c>
      <c r="AL732" t="s">
        <v>48</v>
      </c>
      <c r="AM732" t="s">
        <v>48</v>
      </c>
      <c r="AN732" t="s">
        <v>48</v>
      </c>
      <c r="AO732" t="s">
        <v>48</v>
      </c>
      <c r="AP732" s="46">
        <v>0</v>
      </c>
      <c r="AQ732" s="46">
        <v>0</v>
      </c>
      <c r="AR732" s="46">
        <v>0</v>
      </c>
      <c r="AS732" s="46">
        <v>0</v>
      </c>
      <c r="AT732" s="46">
        <v>0</v>
      </c>
      <c r="AU732" s="46">
        <v>0</v>
      </c>
      <c r="AV732" s="46">
        <v>0</v>
      </c>
      <c r="AW732" s="46">
        <v>0</v>
      </c>
      <c r="AX732" s="46">
        <v>0</v>
      </c>
      <c r="AY732" s="46">
        <v>0</v>
      </c>
      <c r="AZ732" s="46">
        <v>0</v>
      </c>
      <c r="BA732" s="46">
        <v>0</v>
      </c>
      <c r="BB732" s="46">
        <v>0</v>
      </c>
      <c r="BC732" s="46">
        <v>0</v>
      </c>
      <c r="BD732" s="46">
        <v>0</v>
      </c>
      <c r="BE732" s="46">
        <v>0</v>
      </c>
      <c r="BF732" s="46">
        <v>0</v>
      </c>
      <c r="BG732" s="46">
        <v>1</v>
      </c>
      <c r="BH732" s="46">
        <v>0</v>
      </c>
      <c r="BI732" s="46">
        <v>0</v>
      </c>
      <c r="BJ732" s="46">
        <v>0</v>
      </c>
      <c r="BK732" s="46">
        <v>0</v>
      </c>
      <c r="BL732" s="46">
        <v>0</v>
      </c>
      <c r="BM732" s="46">
        <v>0</v>
      </c>
      <c r="BN732" s="46">
        <v>0</v>
      </c>
    </row>
    <row r="733" spans="1:66" x14ac:dyDescent="0.35">
      <c r="A733" t="s">
        <v>3656</v>
      </c>
      <c r="B733" s="44" t="s">
        <v>48</v>
      </c>
      <c r="C733" t="s">
        <v>3663</v>
      </c>
      <c r="D733" t="s">
        <v>3662</v>
      </c>
      <c r="E733" t="s">
        <v>3658</v>
      </c>
      <c r="F733" t="s">
        <v>3657</v>
      </c>
      <c r="G733" t="s">
        <v>74</v>
      </c>
      <c r="H733">
        <v>0</v>
      </c>
      <c r="I733" s="60" t="s">
        <v>51</v>
      </c>
      <c r="J733" s="33" t="s">
        <v>45</v>
      </c>
      <c r="K733" s="46">
        <v>1</v>
      </c>
      <c r="L733">
        <v>85.2</v>
      </c>
      <c r="M733" t="s">
        <v>48</v>
      </c>
      <c r="N733" s="46">
        <v>1</v>
      </c>
      <c r="O733" s="46">
        <v>0</v>
      </c>
      <c r="P733" s="46">
        <v>0</v>
      </c>
      <c r="Q733" t="s">
        <v>48</v>
      </c>
      <c r="R733" t="s">
        <v>48</v>
      </c>
      <c r="S733" t="s">
        <v>3659</v>
      </c>
      <c r="T733" t="s">
        <v>3660</v>
      </c>
      <c r="U733" t="s">
        <v>3659</v>
      </c>
      <c r="V733" s="47">
        <v>0</v>
      </c>
      <c r="W733" t="s">
        <v>48</v>
      </c>
      <c r="X733" t="s">
        <v>48</v>
      </c>
      <c r="Y733" t="s">
        <v>48</v>
      </c>
      <c r="Z733">
        <v>0</v>
      </c>
      <c r="AA733" t="s">
        <v>48</v>
      </c>
      <c r="AB733" t="s">
        <v>3661</v>
      </c>
      <c r="AC733" t="s">
        <v>49</v>
      </c>
      <c r="AD733" t="s">
        <v>93</v>
      </c>
      <c r="AE733" s="40" t="s">
        <v>2471</v>
      </c>
      <c r="AF733" t="s">
        <v>11061</v>
      </c>
      <c r="AG733" t="s">
        <v>266</v>
      </c>
      <c r="AH733" t="s">
        <v>93</v>
      </c>
      <c r="AI733">
        <v>15433</v>
      </c>
      <c r="AJ733">
        <v>1948</v>
      </c>
      <c r="AK733" t="s">
        <v>8984</v>
      </c>
      <c r="AL733" t="s">
        <v>8985</v>
      </c>
      <c r="AM733">
        <v>-0.44700000000000001</v>
      </c>
      <c r="AN733">
        <v>-0.41299999999999998</v>
      </c>
      <c r="AO733">
        <v>-0.44700000000000001</v>
      </c>
      <c r="AP733" s="46">
        <v>0</v>
      </c>
      <c r="AQ733" s="46">
        <v>0</v>
      </c>
      <c r="AR733" s="46">
        <v>0</v>
      </c>
      <c r="AS733" s="46">
        <v>0</v>
      </c>
      <c r="AT733" s="46">
        <v>1</v>
      </c>
      <c r="AU733" s="46">
        <v>0</v>
      </c>
      <c r="AV733" s="46">
        <v>0</v>
      </c>
      <c r="AW733" s="46">
        <v>0</v>
      </c>
      <c r="AX733" s="46">
        <v>0</v>
      </c>
      <c r="AY733" s="46">
        <v>0</v>
      </c>
      <c r="AZ733" s="46">
        <v>0</v>
      </c>
      <c r="BA733" s="46">
        <v>0</v>
      </c>
      <c r="BB733" s="46">
        <v>0</v>
      </c>
      <c r="BC733" s="46">
        <v>0</v>
      </c>
      <c r="BD733" s="46">
        <v>0</v>
      </c>
      <c r="BE733" s="46">
        <v>0</v>
      </c>
      <c r="BF733" s="46">
        <v>0</v>
      </c>
      <c r="BG733" s="46" t="s">
        <v>48</v>
      </c>
      <c r="BH733" s="46">
        <v>0</v>
      </c>
      <c r="BI733" s="46">
        <v>0</v>
      </c>
      <c r="BJ733" s="46">
        <v>0</v>
      </c>
      <c r="BK733" s="46">
        <v>1</v>
      </c>
      <c r="BL733" s="46">
        <v>0</v>
      </c>
      <c r="BM733" s="46">
        <v>0</v>
      </c>
      <c r="BN733" s="46">
        <v>0</v>
      </c>
    </row>
    <row r="734" spans="1:66" ht="15" x14ac:dyDescent="0.4">
      <c r="A734" t="s">
        <v>10194</v>
      </c>
      <c r="B734" s="44" t="s">
        <v>48</v>
      </c>
      <c r="C734" t="s">
        <v>11985</v>
      </c>
      <c r="D734" t="s">
        <v>885</v>
      </c>
      <c r="E734" t="s">
        <v>10195</v>
      </c>
      <c r="F734" t="s">
        <v>3657</v>
      </c>
      <c r="G734" t="s">
        <v>47</v>
      </c>
      <c r="H734">
        <v>0</v>
      </c>
      <c r="I734" s="61" t="s">
        <v>11160</v>
      </c>
      <c r="J734" s="33" t="s">
        <v>45</v>
      </c>
      <c r="K734" s="46">
        <v>0</v>
      </c>
      <c r="L734">
        <v>35.200000000000003</v>
      </c>
      <c r="M734" t="s">
        <v>48</v>
      </c>
      <c r="N734" s="46">
        <v>1</v>
      </c>
      <c r="O734" s="46">
        <v>0</v>
      </c>
      <c r="P734" s="46">
        <v>0</v>
      </c>
      <c r="Q734" t="s">
        <v>48</v>
      </c>
      <c r="R734" t="s">
        <v>48</v>
      </c>
      <c r="S734" s="55" t="s">
        <v>11302</v>
      </c>
      <c r="T734" t="s">
        <v>48</v>
      </c>
      <c r="U734" s="55" t="s">
        <v>11302</v>
      </c>
      <c r="V734" s="47">
        <v>1</v>
      </c>
      <c r="W734" t="s">
        <v>48</v>
      </c>
      <c r="X734" t="s">
        <v>48</v>
      </c>
      <c r="Y734" t="s">
        <v>48</v>
      </c>
      <c r="Z734" t="s">
        <v>48</v>
      </c>
      <c r="AA734" t="s">
        <v>48</v>
      </c>
      <c r="AB734" t="s">
        <v>48</v>
      </c>
      <c r="AC734" t="s">
        <v>49</v>
      </c>
      <c r="AD734" t="s">
        <v>93</v>
      </c>
      <c r="AE734" t="s">
        <v>4532</v>
      </c>
      <c r="AF734" t="s">
        <v>48</v>
      </c>
      <c r="AG734" t="s">
        <v>48</v>
      </c>
      <c r="AH734" t="s">
        <v>48</v>
      </c>
      <c r="AI734" t="s">
        <v>48</v>
      </c>
      <c r="AJ734" t="s">
        <v>48</v>
      </c>
      <c r="AK734" t="s">
        <v>48</v>
      </c>
      <c r="AL734" t="s">
        <v>48</v>
      </c>
      <c r="AM734" t="s">
        <v>48</v>
      </c>
      <c r="AN734" t="s">
        <v>48</v>
      </c>
      <c r="AO734" t="s">
        <v>48</v>
      </c>
      <c r="AP734" s="46">
        <v>0</v>
      </c>
      <c r="AQ734" s="46">
        <v>0</v>
      </c>
      <c r="AR734" s="46">
        <v>0</v>
      </c>
      <c r="AS734" s="46">
        <v>0</v>
      </c>
      <c r="AT734" s="46">
        <v>0</v>
      </c>
      <c r="AU734" s="46">
        <v>0</v>
      </c>
      <c r="AV734" s="46">
        <v>0</v>
      </c>
      <c r="AW734" s="46">
        <v>0</v>
      </c>
      <c r="AX734" s="46">
        <v>0</v>
      </c>
      <c r="AY734" s="46">
        <v>0</v>
      </c>
      <c r="AZ734" s="46">
        <v>0</v>
      </c>
      <c r="BA734" s="46">
        <v>0</v>
      </c>
      <c r="BB734" s="46">
        <v>0</v>
      </c>
      <c r="BC734" s="46">
        <v>0</v>
      </c>
      <c r="BD734" s="46">
        <v>0</v>
      </c>
      <c r="BE734" s="46">
        <v>0</v>
      </c>
      <c r="BF734" s="46">
        <v>0</v>
      </c>
      <c r="BG734" s="46">
        <v>1</v>
      </c>
      <c r="BH734" s="46">
        <v>0</v>
      </c>
      <c r="BI734" s="46">
        <v>0</v>
      </c>
      <c r="BJ734" s="46">
        <v>0</v>
      </c>
      <c r="BK734" s="46">
        <v>0</v>
      </c>
      <c r="BL734" s="46">
        <v>0</v>
      </c>
      <c r="BM734" s="46">
        <v>0</v>
      </c>
      <c r="BN734" s="46">
        <v>0</v>
      </c>
    </row>
    <row r="735" spans="1:66" x14ac:dyDescent="0.35">
      <c r="A735" t="s">
        <v>10202</v>
      </c>
      <c r="B735" s="44" t="s">
        <v>48</v>
      </c>
      <c r="C735" t="s">
        <v>11992</v>
      </c>
      <c r="D735" t="s">
        <v>1726</v>
      </c>
      <c r="E735" t="s">
        <v>10203</v>
      </c>
      <c r="F735" t="s">
        <v>3665</v>
      </c>
      <c r="G735" t="s">
        <v>47</v>
      </c>
      <c r="H735">
        <v>0</v>
      </c>
      <c r="I735" s="61">
        <v>44783</v>
      </c>
      <c r="J735" s="33" t="s">
        <v>45</v>
      </c>
      <c r="K735" s="46">
        <v>0</v>
      </c>
      <c r="L735">
        <v>83.8</v>
      </c>
      <c r="M735" t="s">
        <v>48</v>
      </c>
      <c r="N735" s="46">
        <v>1</v>
      </c>
      <c r="O735" s="46">
        <v>0</v>
      </c>
      <c r="P735" s="46">
        <v>0</v>
      </c>
      <c r="Q735" t="s">
        <v>48</v>
      </c>
      <c r="R735" t="s">
        <v>48</v>
      </c>
      <c r="S735" t="s">
        <v>10204</v>
      </c>
      <c r="T735" t="s">
        <v>48</v>
      </c>
      <c r="U735" t="s">
        <v>10204</v>
      </c>
      <c r="V735" s="47">
        <v>1</v>
      </c>
      <c r="W735" t="s">
        <v>48</v>
      </c>
      <c r="X735" t="s">
        <v>48</v>
      </c>
      <c r="Y735" t="s">
        <v>48</v>
      </c>
      <c r="Z735" t="s">
        <v>48</v>
      </c>
      <c r="AA735" t="s">
        <v>48</v>
      </c>
      <c r="AB735" t="s">
        <v>48</v>
      </c>
      <c r="AC735" t="s">
        <v>49</v>
      </c>
      <c r="AD735" t="s">
        <v>93</v>
      </c>
      <c r="AE735" t="s">
        <v>4532</v>
      </c>
      <c r="AF735" t="s">
        <v>48</v>
      </c>
      <c r="AG735" t="s">
        <v>48</v>
      </c>
      <c r="AH735" t="s">
        <v>48</v>
      </c>
      <c r="AI735" t="s">
        <v>48</v>
      </c>
      <c r="AJ735" t="s">
        <v>48</v>
      </c>
      <c r="AK735" t="s">
        <v>48</v>
      </c>
      <c r="AL735" t="s">
        <v>48</v>
      </c>
      <c r="AM735" t="s">
        <v>48</v>
      </c>
      <c r="AN735" t="s">
        <v>48</v>
      </c>
      <c r="AO735" t="s">
        <v>48</v>
      </c>
      <c r="AP735" s="46">
        <v>0</v>
      </c>
      <c r="AQ735" s="46">
        <v>0</v>
      </c>
      <c r="AR735" s="46">
        <v>0</v>
      </c>
      <c r="AS735" s="46">
        <v>0</v>
      </c>
      <c r="AT735" s="46">
        <v>0</v>
      </c>
      <c r="AU735" s="46">
        <v>0</v>
      </c>
      <c r="AV735" s="46">
        <v>0</v>
      </c>
      <c r="AW735" s="46">
        <v>0</v>
      </c>
      <c r="AX735" s="46">
        <v>0</v>
      </c>
      <c r="AY735" s="46">
        <v>0</v>
      </c>
      <c r="AZ735" s="46">
        <v>0</v>
      </c>
      <c r="BA735" s="46">
        <v>0</v>
      </c>
      <c r="BB735" s="46">
        <v>0</v>
      </c>
      <c r="BC735" s="46">
        <v>0</v>
      </c>
      <c r="BD735" s="46">
        <v>0</v>
      </c>
      <c r="BE735" s="46">
        <v>0</v>
      </c>
      <c r="BF735" s="46">
        <v>0</v>
      </c>
      <c r="BG735" s="46" t="s">
        <v>48</v>
      </c>
      <c r="BH735" s="46">
        <v>0</v>
      </c>
      <c r="BI735" s="46">
        <v>0</v>
      </c>
      <c r="BJ735" s="46">
        <v>0</v>
      </c>
      <c r="BK735" s="46">
        <v>0</v>
      </c>
      <c r="BL735" s="46">
        <v>0</v>
      </c>
      <c r="BM735" s="46">
        <v>0</v>
      </c>
      <c r="BN735" s="46">
        <v>0</v>
      </c>
    </row>
    <row r="736" spans="1:66" x14ac:dyDescent="0.35">
      <c r="A736" t="s">
        <v>3671</v>
      </c>
      <c r="B736" s="44" t="s">
        <v>48</v>
      </c>
      <c r="C736" t="s">
        <v>3676</v>
      </c>
      <c r="D736" t="s">
        <v>3675</v>
      </c>
      <c r="E736" t="s">
        <v>3672</v>
      </c>
      <c r="F736" t="s">
        <v>3665</v>
      </c>
      <c r="G736" t="s">
        <v>74</v>
      </c>
      <c r="H736">
        <v>0</v>
      </c>
      <c r="I736" s="60" t="s">
        <v>51</v>
      </c>
      <c r="J736" s="33" t="s">
        <v>45</v>
      </c>
      <c r="K736" s="46">
        <v>1</v>
      </c>
      <c r="L736">
        <v>93.7</v>
      </c>
      <c r="M736" t="s">
        <v>48</v>
      </c>
      <c r="N736" s="46">
        <v>1</v>
      </c>
      <c r="O736" s="46">
        <v>0</v>
      </c>
      <c r="P736" s="46">
        <v>0</v>
      </c>
      <c r="Q736" t="s">
        <v>48</v>
      </c>
      <c r="R736" t="s">
        <v>48</v>
      </c>
      <c r="S736" t="s">
        <v>3673</v>
      </c>
      <c r="T736" t="s">
        <v>3674</v>
      </c>
      <c r="U736" t="s">
        <v>3673</v>
      </c>
      <c r="V736" s="47">
        <v>0</v>
      </c>
      <c r="W736" t="s">
        <v>48</v>
      </c>
      <c r="X736" t="s">
        <v>48</v>
      </c>
      <c r="Y736" t="s">
        <v>48</v>
      </c>
      <c r="Z736">
        <v>0</v>
      </c>
      <c r="AA736" t="s">
        <v>48</v>
      </c>
      <c r="AB736">
        <v>2016</v>
      </c>
      <c r="AC736" t="s">
        <v>49</v>
      </c>
      <c r="AD736" t="s">
        <v>93</v>
      </c>
      <c r="AE736" t="s">
        <v>4532</v>
      </c>
      <c r="AF736" t="s">
        <v>48</v>
      </c>
      <c r="AG736" t="s">
        <v>633</v>
      </c>
      <c r="AH736" t="s">
        <v>93</v>
      </c>
      <c r="AI736">
        <v>21741</v>
      </c>
      <c r="AJ736">
        <v>1962</v>
      </c>
      <c r="AK736" t="s">
        <v>8986</v>
      </c>
      <c r="AL736" t="s">
        <v>8987</v>
      </c>
      <c r="AM736">
        <v>-0.53600000000000003</v>
      </c>
      <c r="AN736">
        <v>-0.248</v>
      </c>
      <c r="AO736">
        <v>-0.53600000000000003</v>
      </c>
      <c r="AP736" s="46">
        <v>0</v>
      </c>
      <c r="AQ736" s="46">
        <v>1</v>
      </c>
      <c r="AR736" s="46">
        <v>0</v>
      </c>
      <c r="AS736" s="46">
        <v>0</v>
      </c>
      <c r="AT736" s="46">
        <v>1</v>
      </c>
      <c r="AU736" s="46">
        <v>0</v>
      </c>
      <c r="AV736" s="46">
        <v>0</v>
      </c>
      <c r="AW736" s="46">
        <v>0</v>
      </c>
      <c r="AX736" s="46">
        <v>0</v>
      </c>
      <c r="AY736" s="46">
        <v>0</v>
      </c>
      <c r="AZ736" s="46">
        <v>0</v>
      </c>
      <c r="BA736" s="46">
        <v>0</v>
      </c>
      <c r="BB736" s="46">
        <v>0</v>
      </c>
      <c r="BC736" s="46">
        <v>0</v>
      </c>
      <c r="BD736" s="46">
        <v>0</v>
      </c>
      <c r="BE736" s="46">
        <v>0</v>
      </c>
      <c r="BF736" s="46">
        <v>0</v>
      </c>
      <c r="BG736" s="46" t="s">
        <v>48</v>
      </c>
      <c r="BH736" s="46">
        <v>0</v>
      </c>
      <c r="BI736" s="46">
        <v>0</v>
      </c>
      <c r="BJ736" s="46">
        <v>0</v>
      </c>
      <c r="BK736" s="46">
        <v>1</v>
      </c>
      <c r="BL736" s="46">
        <v>0</v>
      </c>
      <c r="BM736" s="46">
        <v>0</v>
      </c>
      <c r="BN736" s="46">
        <v>0</v>
      </c>
    </row>
    <row r="737" spans="1:66" x14ac:dyDescent="0.35">
      <c r="A737" t="s">
        <v>3708</v>
      </c>
      <c r="B737" s="44" t="s">
        <v>48</v>
      </c>
      <c r="C737" t="s">
        <v>3712</v>
      </c>
      <c r="D737" t="s">
        <v>3711</v>
      </c>
      <c r="E737" t="s">
        <v>3709</v>
      </c>
      <c r="F737" t="s">
        <v>143</v>
      </c>
      <c r="G737" t="s">
        <v>74</v>
      </c>
      <c r="H737">
        <v>0</v>
      </c>
      <c r="I737" s="60" t="s">
        <v>51</v>
      </c>
      <c r="J737" s="33" t="s">
        <v>45</v>
      </c>
      <c r="K737" s="46">
        <v>1</v>
      </c>
      <c r="L737">
        <v>100</v>
      </c>
      <c r="M737" t="s">
        <v>48</v>
      </c>
      <c r="N737" s="46">
        <v>1</v>
      </c>
      <c r="O737" s="46">
        <v>0</v>
      </c>
      <c r="P737" s="46">
        <v>0</v>
      </c>
      <c r="Q737" t="s">
        <v>48</v>
      </c>
      <c r="R737" t="s">
        <v>48</v>
      </c>
      <c r="S737" t="s">
        <v>10222</v>
      </c>
      <c r="T737" t="s">
        <v>3710</v>
      </c>
      <c r="U737" t="s">
        <v>10222</v>
      </c>
      <c r="V737" s="47">
        <v>0</v>
      </c>
      <c r="W737" t="s">
        <v>48</v>
      </c>
      <c r="X737" t="s">
        <v>48</v>
      </c>
      <c r="Y737" t="s">
        <v>48</v>
      </c>
      <c r="Z737">
        <v>0</v>
      </c>
      <c r="AA737" t="s">
        <v>48</v>
      </c>
      <c r="AB737">
        <v>2008</v>
      </c>
      <c r="AC737" t="s">
        <v>63</v>
      </c>
      <c r="AD737" t="s">
        <v>93</v>
      </c>
      <c r="AE737" t="s">
        <v>4532</v>
      </c>
      <c r="AF737" t="s">
        <v>48</v>
      </c>
      <c r="AG737" t="s">
        <v>1105</v>
      </c>
      <c r="AH737" t="s">
        <v>93</v>
      </c>
      <c r="AI737">
        <v>20920</v>
      </c>
      <c r="AJ737">
        <v>1955</v>
      </c>
      <c r="AK737" t="s">
        <v>8988</v>
      </c>
      <c r="AL737" t="s">
        <v>8989</v>
      </c>
      <c r="AM737">
        <v>-0.41899999999999998</v>
      </c>
      <c r="AN737">
        <v>-0.38300000000000001</v>
      </c>
      <c r="AO737">
        <v>-0.41899999999999998</v>
      </c>
      <c r="AP737" s="46">
        <v>0</v>
      </c>
      <c r="AQ737" s="46">
        <v>0</v>
      </c>
      <c r="AR737" s="46">
        <v>0</v>
      </c>
      <c r="AS737" s="46">
        <v>0</v>
      </c>
      <c r="AT737" s="46">
        <v>1</v>
      </c>
      <c r="AU737" s="46">
        <v>0</v>
      </c>
      <c r="AV737" s="46">
        <v>0</v>
      </c>
      <c r="AW737" s="46">
        <v>0</v>
      </c>
      <c r="AX737" s="46">
        <v>0</v>
      </c>
      <c r="AY737" s="46">
        <v>0</v>
      </c>
      <c r="AZ737" s="46">
        <v>0</v>
      </c>
      <c r="BA737" s="46">
        <v>0</v>
      </c>
      <c r="BB737" s="46">
        <v>0</v>
      </c>
      <c r="BC737" s="46">
        <v>0</v>
      </c>
      <c r="BD737" s="46">
        <v>0</v>
      </c>
      <c r="BE737" s="46">
        <v>0</v>
      </c>
      <c r="BF737" s="46">
        <v>0</v>
      </c>
      <c r="BG737" s="46" t="s">
        <v>48</v>
      </c>
      <c r="BH737" s="46">
        <v>0</v>
      </c>
      <c r="BI737" s="46">
        <v>0</v>
      </c>
      <c r="BJ737" s="46">
        <v>0</v>
      </c>
      <c r="BK737" s="46">
        <v>0</v>
      </c>
      <c r="BL737" s="46">
        <v>0</v>
      </c>
      <c r="BM737" s="46">
        <v>0</v>
      </c>
      <c r="BN737" s="46">
        <v>0</v>
      </c>
    </row>
    <row r="738" spans="1:66" x14ac:dyDescent="0.35">
      <c r="A738" t="s">
        <v>142</v>
      </c>
      <c r="B738" s="44" t="s">
        <v>48</v>
      </c>
      <c r="C738" t="s">
        <v>145</v>
      </c>
      <c r="D738" t="s">
        <v>113</v>
      </c>
      <c r="E738" t="s">
        <v>144</v>
      </c>
      <c r="F738" t="s">
        <v>143</v>
      </c>
      <c r="G738" t="s">
        <v>47</v>
      </c>
      <c r="H738">
        <v>0</v>
      </c>
      <c r="I738" s="60" t="s">
        <v>51</v>
      </c>
      <c r="J738" s="33" t="s">
        <v>45</v>
      </c>
      <c r="K738" s="46">
        <v>0</v>
      </c>
      <c r="L738">
        <v>100</v>
      </c>
      <c r="M738" t="s">
        <v>48</v>
      </c>
      <c r="N738" s="46">
        <v>1</v>
      </c>
      <c r="O738" s="46">
        <v>0</v>
      </c>
      <c r="P738" s="46">
        <v>0</v>
      </c>
      <c r="Q738" t="s">
        <v>48</v>
      </c>
      <c r="R738" t="s">
        <v>48</v>
      </c>
      <c r="S738" t="s">
        <v>10223</v>
      </c>
      <c r="T738" t="s">
        <v>48</v>
      </c>
      <c r="U738" t="s">
        <v>10223</v>
      </c>
      <c r="V738" s="47">
        <v>0</v>
      </c>
      <c r="W738" t="s">
        <v>48</v>
      </c>
      <c r="X738" t="s">
        <v>48</v>
      </c>
      <c r="Y738" t="s">
        <v>48</v>
      </c>
      <c r="Z738">
        <v>0</v>
      </c>
      <c r="AA738" t="s">
        <v>48</v>
      </c>
      <c r="AB738" t="s">
        <v>48</v>
      </c>
      <c r="AC738" t="s">
        <v>49</v>
      </c>
      <c r="AD738" t="s">
        <v>93</v>
      </c>
      <c r="AE738" t="s">
        <v>4532</v>
      </c>
      <c r="AF738" t="s">
        <v>48</v>
      </c>
      <c r="AG738" t="s">
        <v>48</v>
      </c>
      <c r="AH738" t="s">
        <v>48</v>
      </c>
      <c r="AI738" t="s">
        <v>48</v>
      </c>
      <c r="AJ738" t="s">
        <v>48</v>
      </c>
      <c r="AK738" t="s">
        <v>48</v>
      </c>
      <c r="AL738" t="s">
        <v>48</v>
      </c>
      <c r="AM738" t="s">
        <v>48</v>
      </c>
      <c r="AN738" t="s">
        <v>48</v>
      </c>
      <c r="AO738" t="s">
        <v>48</v>
      </c>
      <c r="AP738" s="46">
        <v>0</v>
      </c>
      <c r="AQ738" s="46">
        <v>0</v>
      </c>
      <c r="AR738" s="46">
        <v>0</v>
      </c>
      <c r="AS738" s="46">
        <v>0</v>
      </c>
      <c r="AT738" s="46">
        <v>0</v>
      </c>
      <c r="AU738" s="46">
        <v>0</v>
      </c>
      <c r="AV738" s="46">
        <v>0</v>
      </c>
      <c r="AW738" s="46">
        <v>0</v>
      </c>
      <c r="AX738" s="46">
        <v>0</v>
      </c>
      <c r="AY738" s="46">
        <v>0</v>
      </c>
      <c r="AZ738" s="46">
        <v>0</v>
      </c>
      <c r="BA738" s="46">
        <v>0</v>
      </c>
      <c r="BB738" s="46">
        <v>0</v>
      </c>
      <c r="BC738" s="46">
        <v>0</v>
      </c>
      <c r="BD738" s="46">
        <v>0</v>
      </c>
      <c r="BE738" s="46">
        <v>0</v>
      </c>
      <c r="BF738" s="46">
        <v>0</v>
      </c>
      <c r="BG738" s="46" t="s">
        <v>48</v>
      </c>
      <c r="BH738" s="46">
        <v>0</v>
      </c>
      <c r="BI738" s="46">
        <v>0</v>
      </c>
      <c r="BJ738" s="46">
        <v>0</v>
      </c>
      <c r="BK738" s="46">
        <v>0</v>
      </c>
      <c r="BL738" s="46">
        <v>0</v>
      </c>
      <c r="BM738" s="46">
        <v>0</v>
      </c>
      <c r="BN738" s="46">
        <v>0</v>
      </c>
    </row>
    <row r="739" spans="1:66" x14ac:dyDescent="0.35">
      <c r="A739" t="s">
        <v>3723</v>
      </c>
      <c r="B739" s="44" t="s">
        <v>48</v>
      </c>
      <c r="C739" t="s">
        <v>3726</v>
      </c>
      <c r="D739" t="s">
        <v>578</v>
      </c>
      <c r="E739" t="s">
        <v>3724</v>
      </c>
      <c r="F739" t="s">
        <v>3714</v>
      </c>
      <c r="G739" t="s">
        <v>47</v>
      </c>
      <c r="H739">
        <v>0</v>
      </c>
      <c r="I739" s="60" t="s">
        <v>51</v>
      </c>
      <c r="J739" s="33" t="s">
        <v>45</v>
      </c>
      <c r="K739" s="46">
        <v>0</v>
      </c>
      <c r="L739">
        <v>59.9</v>
      </c>
      <c r="M739" t="s">
        <v>48</v>
      </c>
      <c r="N739" s="46">
        <v>1</v>
      </c>
      <c r="O739" s="46">
        <v>0</v>
      </c>
      <c r="P739" s="46">
        <v>0</v>
      </c>
      <c r="Q739" t="s">
        <v>48</v>
      </c>
      <c r="R739" t="s">
        <v>48</v>
      </c>
      <c r="S739" t="s">
        <v>3725</v>
      </c>
      <c r="T739" t="s">
        <v>48</v>
      </c>
      <c r="U739" t="s">
        <v>3725</v>
      </c>
      <c r="V739" s="47">
        <v>0</v>
      </c>
      <c r="W739" t="s">
        <v>48</v>
      </c>
      <c r="X739" t="s">
        <v>48</v>
      </c>
      <c r="Y739" t="s">
        <v>48</v>
      </c>
      <c r="Z739">
        <v>0</v>
      </c>
      <c r="AA739" t="s">
        <v>48</v>
      </c>
      <c r="AB739" t="s">
        <v>48</v>
      </c>
      <c r="AC739" t="s">
        <v>49</v>
      </c>
      <c r="AD739" t="s">
        <v>93</v>
      </c>
      <c r="AE739" t="s">
        <v>4532</v>
      </c>
      <c r="AF739" t="s">
        <v>48</v>
      </c>
      <c r="AG739" t="s">
        <v>48</v>
      </c>
      <c r="AH739" t="s">
        <v>93</v>
      </c>
      <c r="AI739" t="s">
        <v>48</v>
      </c>
      <c r="AJ739">
        <v>1953</v>
      </c>
      <c r="AK739" t="s">
        <v>48</v>
      </c>
      <c r="AL739" t="s">
        <v>48</v>
      </c>
      <c r="AM739" t="s">
        <v>48</v>
      </c>
      <c r="AN739" t="s">
        <v>48</v>
      </c>
      <c r="AO739" t="s">
        <v>48</v>
      </c>
      <c r="AP739" s="46">
        <v>0</v>
      </c>
      <c r="AQ739" s="46">
        <v>0</v>
      </c>
      <c r="AR739" s="46">
        <v>0</v>
      </c>
      <c r="AS739" s="46">
        <v>0</v>
      </c>
      <c r="AT739" s="46">
        <v>0</v>
      </c>
      <c r="AU739" s="46">
        <v>0</v>
      </c>
      <c r="AV739" s="46">
        <v>0</v>
      </c>
      <c r="AW739" s="46">
        <v>0</v>
      </c>
      <c r="AX739" s="46">
        <v>0</v>
      </c>
      <c r="AY739" s="46">
        <v>0</v>
      </c>
      <c r="AZ739" s="46">
        <v>0</v>
      </c>
      <c r="BA739" s="46">
        <v>0</v>
      </c>
      <c r="BB739" s="46">
        <v>0</v>
      </c>
      <c r="BC739" s="46">
        <v>0</v>
      </c>
      <c r="BD739" s="46">
        <v>0</v>
      </c>
      <c r="BE739" s="46">
        <v>0</v>
      </c>
      <c r="BF739" s="46">
        <v>0</v>
      </c>
      <c r="BG739" s="46">
        <v>1</v>
      </c>
      <c r="BH739" s="46">
        <v>0</v>
      </c>
      <c r="BI739" s="46">
        <v>0</v>
      </c>
      <c r="BJ739" s="46">
        <v>0</v>
      </c>
      <c r="BK739" s="46">
        <v>0</v>
      </c>
      <c r="BL739" s="46">
        <v>0</v>
      </c>
      <c r="BM739" s="46">
        <v>0</v>
      </c>
      <c r="BN739" s="46">
        <v>0</v>
      </c>
    </row>
    <row r="740" spans="1:66" x14ac:dyDescent="0.35">
      <c r="A740" t="s">
        <v>3718</v>
      </c>
      <c r="B740" t="s">
        <v>48</v>
      </c>
      <c r="C740" t="s">
        <v>3722</v>
      </c>
      <c r="D740" t="s">
        <v>877</v>
      </c>
      <c r="E740" t="s">
        <v>3719</v>
      </c>
      <c r="F740" t="s">
        <v>3714</v>
      </c>
      <c r="G740" t="s">
        <v>74</v>
      </c>
      <c r="H740">
        <v>0</v>
      </c>
      <c r="I740" s="60" t="s">
        <v>51</v>
      </c>
      <c r="J740" s="33" t="s">
        <v>45</v>
      </c>
      <c r="K740" s="46">
        <v>1</v>
      </c>
      <c r="L740">
        <v>100</v>
      </c>
      <c r="M740" t="s">
        <v>48</v>
      </c>
      <c r="N740" s="46">
        <v>1</v>
      </c>
      <c r="O740" s="46">
        <v>0</v>
      </c>
      <c r="P740" s="46">
        <v>0</v>
      </c>
      <c r="Q740" t="s">
        <v>48</v>
      </c>
      <c r="R740" t="s">
        <v>48</v>
      </c>
      <c r="S740" t="s">
        <v>3720</v>
      </c>
      <c r="T740" t="s">
        <v>3721</v>
      </c>
      <c r="U740" t="s">
        <v>3720</v>
      </c>
      <c r="V740" s="47">
        <v>0</v>
      </c>
      <c r="W740" t="s">
        <v>48</v>
      </c>
      <c r="X740" t="s">
        <v>48</v>
      </c>
      <c r="Y740" t="s">
        <v>48</v>
      </c>
      <c r="Z740">
        <v>0</v>
      </c>
      <c r="AA740" t="s">
        <v>48</v>
      </c>
      <c r="AB740">
        <v>2018</v>
      </c>
      <c r="AC740" t="s">
        <v>49</v>
      </c>
      <c r="AD740" t="s">
        <v>93</v>
      </c>
      <c r="AE740" t="s">
        <v>4532</v>
      </c>
      <c r="AF740" t="s">
        <v>48</v>
      </c>
      <c r="AG740" t="s">
        <v>876</v>
      </c>
      <c r="AH740" t="s">
        <v>93</v>
      </c>
      <c r="AI740">
        <v>21923</v>
      </c>
      <c r="AJ740">
        <v>1982</v>
      </c>
      <c r="AK740" t="s">
        <v>8990</v>
      </c>
      <c r="AL740" t="s">
        <v>8991</v>
      </c>
      <c r="AM740">
        <v>-0.115</v>
      </c>
      <c r="AN740">
        <v>0.34699999999999998</v>
      </c>
      <c r="AO740">
        <v>-0.115</v>
      </c>
      <c r="AP740" s="46">
        <v>0</v>
      </c>
      <c r="AQ740" s="46">
        <v>0</v>
      </c>
      <c r="AR740" s="46">
        <v>0</v>
      </c>
      <c r="AS740" s="46">
        <v>0</v>
      </c>
      <c r="AT740" s="46">
        <v>0</v>
      </c>
      <c r="AU740" s="46">
        <v>0</v>
      </c>
      <c r="AV740" s="46">
        <v>1</v>
      </c>
      <c r="AW740" s="46">
        <v>0</v>
      </c>
      <c r="AX740" s="46">
        <v>1</v>
      </c>
      <c r="AY740" s="46">
        <v>0</v>
      </c>
      <c r="AZ740" s="46">
        <v>0</v>
      </c>
      <c r="BA740" s="46">
        <v>1</v>
      </c>
      <c r="BB740" s="46">
        <v>0</v>
      </c>
      <c r="BC740" s="46">
        <v>0</v>
      </c>
      <c r="BD740" s="46">
        <v>0</v>
      </c>
      <c r="BE740" s="46">
        <v>0</v>
      </c>
      <c r="BF740" s="46">
        <v>0</v>
      </c>
      <c r="BG740" s="46" t="s">
        <v>48</v>
      </c>
      <c r="BH740" s="46">
        <v>0</v>
      </c>
      <c r="BI740" s="46">
        <v>0</v>
      </c>
      <c r="BJ740" s="46">
        <v>0</v>
      </c>
      <c r="BK740" s="46">
        <v>0</v>
      </c>
      <c r="BL740" s="46">
        <v>1</v>
      </c>
      <c r="BM740" s="46">
        <v>0</v>
      </c>
      <c r="BN740" s="46">
        <v>0</v>
      </c>
    </row>
    <row r="741" spans="1:66" x14ac:dyDescent="0.35">
      <c r="A741" t="s">
        <v>3737</v>
      </c>
      <c r="B741" s="44" t="s">
        <v>48</v>
      </c>
      <c r="C741" t="s">
        <v>3742</v>
      </c>
      <c r="D741" t="s">
        <v>390</v>
      </c>
      <c r="E741" t="s">
        <v>3739</v>
      </c>
      <c r="F741" t="s">
        <v>3738</v>
      </c>
      <c r="G741" t="s">
        <v>47</v>
      </c>
      <c r="H741">
        <v>0</v>
      </c>
      <c r="I741" s="60" t="s">
        <v>51</v>
      </c>
      <c r="J741" s="33" t="s">
        <v>45</v>
      </c>
      <c r="K741" s="46">
        <v>1</v>
      </c>
      <c r="L741">
        <v>100</v>
      </c>
      <c r="M741" t="s">
        <v>48</v>
      </c>
      <c r="N741" s="46">
        <v>1</v>
      </c>
      <c r="O741" s="46">
        <v>0</v>
      </c>
      <c r="P741" s="46">
        <v>0</v>
      </c>
      <c r="Q741" t="s">
        <v>48</v>
      </c>
      <c r="R741" t="s">
        <v>48</v>
      </c>
      <c r="S741" t="s">
        <v>3740</v>
      </c>
      <c r="T741" t="s">
        <v>3741</v>
      </c>
      <c r="U741" t="s">
        <v>3740</v>
      </c>
      <c r="V741" s="47">
        <v>0</v>
      </c>
      <c r="W741" t="s">
        <v>48</v>
      </c>
      <c r="X741" t="s">
        <v>48</v>
      </c>
      <c r="Y741" t="s">
        <v>48</v>
      </c>
      <c r="Z741">
        <v>0</v>
      </c>
      <c r="AA741" t="s">
        <v>48</v>
      </c>
      <c r="AB741">
        <v>2016</v>
      </c>
      <c r="AC741" t="s">
        <v>49</v>
      </c>
      <c r="AD741" t="s">
        <v>93</v>
      </c>
      <c r="AE741" t="s">
        <v>4532</v>
      </c>
      <c r="AF741" t="s">
        <v>48</v>
      </c>
      <c r="AG741" t="s">
        <v>1105</v>
      </c>
      <c r="AH741" t="s">
        <v>93</v>
      </c>
      <c r="AI741">
        <v>21704</v>
      </c>
      <c r="AJ741">
        <v>1947</v>
      </c>
      <c r="AK741" t="s">
        <v>8992</v>
      </c>
      <c r="AL741" t="s">
        <v>8993</v>
      </c>
      <c r="AM741">
        <v>0.42899999999999999</v>
      </c>
      <c r="AN741">
        <v>0.10100000000000001</v>
      </c>
      <c r="AO741">
        <v>0.42899999999999999</v>
      </c>
      <c r="AP741" s="46">
        <v>0</v>
      </c>
      <c r="AQ741" s="46">
        <v>0</v>
      </c>
      <c r="AR741" s="46">
        <v>0</v>
      </c>
      <c r="AS741" s="46">
        <v>0</v>
      </c>
      <c r="AT741" s="46">
        <v>0</v>
      </c>
      <c r="AU741" s="46">
        <v>0</v>
      </c>
      <c r="AV741" s="46">
        <v>0</v>
      </c>
      <c r="AW741" s="46">
        <v>0</v>
      </c>
      <c r="AX741" s="46">
        <v>0</v>
      </c>
      <c r="AY741" s="46">
        <v>0</v>
      </c>
      <c r="AZ741" s="46">
        <v>0</v>
      </c>
      <c r="BA741" s="46">
        <v>0</v>
      </c>
      <c r="BB741" s="46">
        <v>1</v>
      </c>
      <c r="BC741" s="46">
        <v>0</v>
      </c>
      <c r="BD741" s="46">
        <v>0</v>
      </c>
      <c r="BE741" s="46">
        <v>0</v>
      </c>
      <c r="BF741" s="46">
        <v>0</v>
      </c>
      <c r="BG741" s="46">
        <v>1</v>
      </c>
      <c r="BH741" s="46">
        <v>0</v>
      </c>
      <c r="BI741" s="46">
        <v>0</v>
      </c>
      <c r="BJ741" s="46">
        <v>0</v>
      </c>
      <c r="BK741" s="46">
        <v>0</v>
      </c>
      <c r="BL741" s="46">
        <v>0</v>
      </c>
      <c r="BM741" s="46">
        <v>0</v>
      </c>
      <c r="BN741" s="46">
        <v>0</v>
      </c>
    </row>
    <row r="742" spans="1:66" x14ac:dyDescent="0.35">
      <c r="A742" t="s">
        <v>3743</v>
      </c>
      <c r="B742" s="44" t="s">
        <v>48</v>
      </c>
      <c r="C742" t="s">
        <v>3745</v>
      </c>
      <c r="D742" t="s">
        <v>210</v>
      </c>
      <c r="E742" t="s">
        <v>3744</v>
      </c>
      <c r="F742" t="s">
        <v>3738</v>
      </c>
      <c r="G742" t="s">
        <v>74</v>
      </c>
      <c r="H742">
        <v>0</v>
      </c>
      <c r="I742" s="60" t="s">
        <v>51</v>
      </c>
      <c r="J742" s="33" t="s">
        <v>45</v>
      </c>
      <c r="K742" s="46">
        <v>0</v>
      </c>
      <c r="L742">
        <v>100</v>
      </c>
      <c r="M742" t="s">
        <v>48</v>
      </c>
      <c r="N742" s="46">
        <v>1</v>
      </c>
      <c r="O742" s="46">
        <v>0</v>
      </c>
      <c r="P742" s="46">
        <v>0</v>
      </c>
      <c r="Q742" t="s">
        <v>48</v>
      </c>
      <c r="R742" t="s">
        <v>48</v>
      </c>
      <c r="S742" t="s">
        <v>10224</v>
      </c>
      <c r="T742" t="s">
        <v>48</v>
      </c>
      <c r="U742" t="s">
        <v>10224</v>
      </c>
      <c r="V742" s="47">
        <v>1</v>
      </c>
      <c r="W742" t="s">
        <v>48</v>
      </c>
      <c r="X742" t="s">
        <v>48</v>
      </c>
      <c r="Y742" t="s">
        <v>48</v>
      </c>
      <c r="Z742">
        <v>0</v>
      </c>
      <c r="AA742" t="s">
        <v>48</v>
      </c>
      <c r="AB742" t="s">
        <v>48</v>
      </c>
      <c r="AC742" t="s">
        <v>49</v>
      </c>
      <c r="AD742" t="s">
        <v>93</v>
      </c>
      <c r="AE742" t="s">
        <v>4532</v>
      </c>
      <c r="AF742" t="s">
        <v>48</v>
      </c>
      <c r="AG742" t="s">
        <v>48</v>
      </c>
      <c r="AH742" t="s">
        <v>48</v>
      </c>
      <c r="AI742" t="s">
        <v>48</v>
      </c>
      <c r="AJ742" t="s">
        <v>48</v>
      </c>
      <c r="AK742" t="s">
        <v>48</v>
      </c>
      <c r="AL742" t="s">
        <v>48</v>
      </c>
      <c r="AM742" t="s">
        <v>48</v>
      </c>
      <c r="AN742" t="s">
        <v>48</v>
      </c>
      <c r="AO742" t="s">
        <v>48</v>
      </c>
      <c r="AP742" s="46">
        <v>0</v>
      </c>
      <c r="AQ742" s="46">
        <v>0</v>
      </c>
      <c r="AR742" s="46">
        <v>0</v>
      </c>
      <c r="AS742" s="46">
        <v>0</v>
      </c>
      <c r="AT742" s="46">
        <v>0</v>
      </c>
      <c r="AU742" s="46">
        <v>0</v>
      </c>
      <c r="AV742" s="46">
        <v>0</v>
      </c>
      <c r="AW742" s="46">
        <v>0</v>
      </c>
      <c r="AX742" s="46">
        <v>0</v>
      </c>
      <c r="AY742" s="46">
        <v>0</v>
      </c>
      <c r="AZ742" s="46">
        <v>0</v>
      </c>
      <c r="BA742" s="46">
        <v>0</v>
      </c>
      <c r="BB742" s="46">
        <v>0</v>
      </c>
      <c r="BC742" s="46">
        <v>0</v>
      </c>
      <c r="BD742" s="46">
        <v>0</v>
      </c>
      <c r="BE742" s="46">
        <v>0</v>
      </c>
      <c r="BF742" s="46">
        <v>0</v>
      </c>
      <c r="BG742" s="46" t="s">
        <v>48</v>
      </c>
      <c r="BH742" s="46">
        <v>0</v>
      </c>
      <c r="BI742" s="46">
        <v>0</v>
      </c>
      <c r="BJ742" s="46">
        <v>0</v>
      </c>
      <c r="BK742" s="46">
        <v>0</v>
      </c>
      <c r="BL742" s="46">
        <v>0</v>
      </c>
      <c r="BM742" s="46">
        <v>0</v>
      </c>
      <c r="BN742" s="46">
        <v>0</v>
      </c>
    </row>
    <row r="743" spans="1:66" x14ac:dyDescent="0.35">
      <c r="A743" t="s">
        <v>9823</v>
      </c>
      <c r="B743" s="44" t="s">
        <v>48</v>
      </c>
      <c r="C743" t="s">
        <v>11999</v>
      </c>
      <c r="D743" t="s">
        <v>372</v>
      </c>
      <c r="E743" t="s">
        <v>9824</v>
      </c>
      <c r="F743" t="s">
        <v>3746</v>
      </c>
      <c r="G743" t="s">
        <v>74</v>
      </c>
      <c r="H743">
        <v>0</v>
      </c>
      <c r="I743" s="61">
        <v>44780</v>
      </c>
      <c r="J743" s="33" t="s">
        <v>45</v>
      </c>
      <c r="K743" s="46">
        <v>0</v>
      </c>
      <c r="L743">
        <v>100</v>
      </c>
      <c r="M743" t="s">
        <v>48</v>
      </c>
      <c r="N743" s="46">
        <v>1</v>
      </c>
      <c r="O743" s="46">
        <v>0</v>
      </c>
      <c r="P743" s="46">
        <v>0</v>
      </c>
      <c r="Q743" t="s">
        <v>48</v>
      </c>
      <c r="R743" t="s">
        <v>48</v>
      </c>
      <c r="S743" s="43" t="s">
        <v>48</v>
      </c>
      <c r="T743" s="43" t="s">
        <v>48</v>
      </c>
      <c r="U743" s="43" t="s">
        <v>48</v>
      </c>
      <c r="V743" s="47">
        <v>1</v>
      </c>
      <c r="W743" t="s">
        <v>11264</v>
      </c>
      <c r="X743" t="s">
        <v>48</v>
      </c>
      <c r="Y743" t="s">
        <v>48</v>
      </c>
      <c r="Z743" t="s">
        <v>48</v>
      </c>
      <c r="AA743" t="s">
        <v>48</v>
      </c>
      <c r="AB743" t="s">
        <v>48</v>
      </c>
      <c r="AC743" t="s">
        <v>49</v>
      </c>
      <c r="AD743" t="s">
        <v>93</v>
      </c>
      <c r="AE743" t="s">
        <v>4532</v>
      </c>
      <c r="AF743" t="s">
        <v>48</v>
      </c>
      <c r="AG743" t="s">
        <v>48</v>
      </c>
      <c r="AH743" t="s">
        <v>48</v>
      </c>
      <c r="AI743" t="s">
        <v>48</v>
      </c>
      <c r="AJ743" t="s">
        <v>48</v>
      </c>
      <c r="AK743" t="s">
        <v>48</v>
      </c>
      <c r="AL743" t="s">
        <v>48</v>
      </c>
      <c r="AM743" t="s">
        <v>48</v>
      </c>
      <c r="AN743" t="s">
        <v>48</v>
      </c>
      <c r="AO743" t="s">
        <v>48</v>
      </c>
      <c r="AP743" s="46">
        <v>0</v>
      </c>
      <c r="AQ743" s="46">
        <v>0</v>
      </c>
      <c r="AR743" s="46">
        <v>0</v>
      </c>
      <c r="AS743" s="46">
        <v>0</v>
      </c>
      <c r="AT743" s="46">
        <v>0</v>
      </c>
      <c r="AU743" s="46">
        <v>0</v>
      </c>
      <c r="AV743" s="46">
        <v>0</v>
      </c>
      <c r="AW743" s="46">
        <v>0</v>
      </c>
      <c r="AX743" s="46">
        <v>0</v>
      </c>
      <c r="AY743" s="46">
        <v>0</v>
      </c>
      <c r="AZ743" s="46">
        <v>0</v>
      </c>
      <c r="BA743" s="46">
        <v>0</v>
      </c>
      <c r="BB743" s="46">
        <v>0</v>
      </c>
      <c r="BC743" s="46">
        <v>0</v>
      </c>
      <c r="BD743" s="46">
        <v>0</v>
      </c>
      <c r="BE743" s="46">
        <v>0</v>
      </c>
      <c r="BF743" s="46">
        <v>0</v>
      </c>
      <c r="BG743" s="46" t="s">
        <v>48</v>
      </c>
      <c r="BH743" s="46">
        <v>0</v>
      </c>
      <c r="BI743" s="46">
        <v>0</v>
      </c>
      <c r="BJ743" s="46">
        <v>0</v>
      </c>
      <c r="BK743" s="46">
        <v>0</v>
      </c>
      <c r="BL743" s="46">
        <v>0</v>
      </c>
      <c r="BM743" s="46">
        <v>0</v>
      </c>
      <c r="BN743" s="46">
        <v>0</v>
      </c>
    </row>
    <row r="744" spans="1:66" x14ac:dyDescent="0.35">
      <c r="A744" t="s">
        <v>3770</v>
      </c>
      <c r="B744" t="s">
        <v>48</v>
      </c>
      <c r="C744" t="s">
        <v>3773</v>
      </c>
      <c r="D744" t="s">
        <v>221</v>
      </c>
      <c r="E744" t="s">
        <v>9895</v>
      </c>
      <c r="F744" t="s">
        <v>3746</v>
      </c>
      <c r="G744" t="s">
        <v>47</v>
      </c>
      <c r="H744">
        <v>0</v>
      </c>
      <c r="I744" s="61">
        <v>44780</v>
      </c>
      <c r="J744" s="33" t="s">
        <v>45</v>
      </c>
      <c r="K744" s="46">
        <v>1</v>
      </c>
      <c r="L744">
        <v>65.2</v>
      </c>
      <c r="M744" t="s">
        <v>48</v>
      </c>
      <c r="N744" s="46">
        <v>1</v>
      </c>
      <c r="O744" s="46">
        <v>0</v>
      </c>
      <c r="P744" s="46">
        <v>0</v>
      </c>
      <c r="Q744" t="s">
        <v>48</v>
      </c>
      <c r="R744" t="s">
        <v>48</v>
      </c>
      <c r="S744" s="43" t="s">
        <v>3771</v>
      </c>
      <c r="T744" s="43" t="s">
        <v>3772</v>
      </c>
      <c r="U744" s="43" t="s">
        <v>3771</v>
      </c>
      <c r="V744" s="47">
        <v>0</v>
      </c>
      <c r="W744" t="s">
        <v>48</v>
      </c>
      <c r="X744" t="s">
        <v>48</v>
      </c>
      <c r="Y744" t="s">
        <v>48</v>
      </c>
      <c r="Z744">
        <v>0</v>
      </c>
      <c r="AA744" t="s">
        <v>48</v>
      </c>
      <c r="AB744">
        <v>2014</v>
      </c>
      <c r="AC744" t="s">
        <v>49</v>
      </c>
      <c r="AD744" t="s">
        <v>93</v>
      </c>
      <c r="AE744" t="s">
        <v>4532</v>
      </c>
      <c r="AF744" t="s">
        <v>48</v>
      </c>
      <c r="AG744" t="s">
        <v>112</v>
      </c>
      <c r="AH744" t="s">
        <v>93</v>
      </c>
      <c r="AI744">
        <v>21526</v>
      </c>
      <c r="AJ744">
        <v>1961</v>
      </c>
      <c r="AK744" t="s">
        <v>8998</v>
      </c>
      <c r="AL744" t="s">
        <v>8999</v>
      </c>
      <c r="AM744">
        <v>0.41599999999999998</v>
      </c>
      <c r="AN744">
        <v>0.371</v>
      </c>
      <c r="AO744">
        <v>0.41599999999999998</v>
      </c>
      <c r="AP744" s="46">
        <v>0</v>
      </c>
      <c r="AQ744" s="46">
        <v>0</v>
      </c>
      <c r="AR744" s="46">
        <v>0</v>
      </c>
      <c r="AS744" s="46">
        <v>0</v>
      </c>
      <c r="AT744" s="46">
        <v>0</v>
      </c>
      <c r="AU744" s="46">
        <v>0</v>
      </c>
      <c r="AV744" s="46">
        <v>0</v>
      </c>
      <c r="AW744" s="46">
        <v>0</v>
      </c>
      <c r="AX744" s="46">
        <v>0</v>
      </c>
      <c r="AY744" s="46">
        <v>0</v>
      </c>
      <c r="AZ744" s="46">
        <v>1</v>
      </c>
      <c r="BA744" s="46">
        <v>0</v>
      </c>
      <c r="BB744" s="46">
        <v>1</v>
      </c>
      <c r="BC744" s="46">
        <v>0</v>
      </c>
      <c r="BD744" s="46">
        <v>0</v>
      </c>
      <c r="BE744" s="46">
        <v>0</v>
      </c>
      <c r="BF744" s="46">
        <v>0</v>
      </c>
      <c r="BG744" s="46">
        <v>1</v>
      </c>
      <c r="BH744" s="46">
        <v>0</v>
      </c>
      <c r="BI744" s="46">
        <v>0</v>
      </c>
      <c r="BJ744" s="46">
        <v>0</v>
      </c>
      <c r="BK744" s="46">
        <v>0</v>
      </c>
      <c r="BL744" s="46">
        <v>0</v>
      </c>
      <c r="BM744" s="46">
        <v>0</v>
      </c>
      <c r="BN744" s="46">
        <v>0</v>
      </c>
    </row>
    <row r="745" spans="1:66" x14ac:dyDescent="0.35">
      <c r="A745" t="s">
        <v>3763</v>
      </c>
      <c r="B745" s="44" t="s">
        <v>48</v>
      </c>
      <c r="C745" t="s">
        <v>3768</v>
      </c>
      <c r="D745" t="s">
        <v>3767</v>
      </c>
      <c r="E745" t="s">
        <v>3764</v>
      </c>
      <c r="F745" t="s">
        <v>3753</v>
      </c>
      <c r="G745" t="s">
        <v>74</v>
      </c>
      <c r="H745">
        <v>0</v>
      </c>
      <c r="I745" s="60" t="s">
        <v>125</v>
      </c>
      <c r="J745" s="33" t="s">
        <v>45</v>
      </c>
      <c r="K745" s="46">
        <v>0</v>
      </c>
      <c r="L745">
        <v>100</v>
      </c>
      <c r="M745" t="s">
        <v>48</v>
      </c>
      <c r="N745" s="46">
        <v>1</v>
      </c>
      <c r="O745" s="46">
        <v>0</v>
      </c>
      <c r="P745" s="46">
        <v>0</v>
      </c>
      <c r="Q745" t="s">
        <v>48</v>
      </c>
      <c r="R745" t="s">
        <v>48</v>
      </c>
      <c r="S745" t="s">
        <v>3765</v>
      </c>
      <c r="T745" t="s">
        <v>48</v>
      </c>
      <c r="U745" t="s">
        <v>3765</v>
      </c>
      <c r="V745" s="47">
        <v>0</v>
      </c>
      <c r="W745" t="s">
        <v>48</v>
      </c>
      <c r="X745" t="s">
        <v>48</v>
      </c>
      <c r="Y745" t="s">
        <v>48</v>
      </c>
      <c r="Z745">
        <v>0</v>
      </c>
      <c r="AA745" t="s">
        <v>3766</v>
      </c>
      <c r="AB745" t="s">
        <v>48</v>
      </c>
      <c r="AC745" t="s">
        <v>63</v>
      </c>
      <c r="AD745" t="s">
        <v>93</v>
      </c>
      <c r="AE745" t="s">
        <v>4532</v>
      </c>
      <c r="AF745" t="s">
        <v>48</v>
      </c>
      <c r="AG745" t="s">
        <v>48</v>
      </c>
      <c r="AH745" t="s">
        <v>48</v>
      </c>
      <c r="AI745" t="s">
        <v>48</v>
      </c>
      <c r="AJ745" t="s">
        <v>48</v>
      </c>
      <c r="AK745" t="s">
        <v>48</v>
      </c>
      <c r="AL745" t="s">
        <v>48</v>
      </c>
      <c r="AM745" t="s">
        <v>48</v>
      </c>
      <c r="AN745" t="s">
        <v>48</v>
      </c>
      <c r="AO745" t="s">
        <v>48</v>
      </c>
      <c r="AP745" s="46">
        <v>0</v>
      </c>
      <c r="AQ745" s="46">
        <v>0</v>
      </c>
      <c r="AR745" s="46">
        <v>0</v>
      </c>
      <c r="AS745" s="46">
        <v>0</v>
      </c>
      <c r="AT745" s="46">
        <v>0</v>
      </c>
      <c r="AU745" s="46">
        <v>0</v>
      </c>
      <c r="AV745" s="46">
        <v>0</v>
      </c>
      <c r="AW745" s="46">
        <v>0</v>
      </c>
      <c r="AX745" s="46">
        <v>0</v>
      </c>
      <c r="AY745" s="46">
        <v>0</v>
      </c>
      <c r="AZ745" s="46">
        <v>0</v>
      </c>
      <c r="BA745" s="46">
        <v>0</v>
      </c>
      <c r="BB745" s="46">
        <v>0</v>
      </c>
      <c r="BC745" s="46">
        <v>0</v>
      </c>
      <c r="BD745" s="46">
        <v>0</v>
      </c>
      <c r="BE745" s="46">
        <v>0</v>
      </c>
      <c r="BF745" s="46">
        <v>0</v>
      </c>
      <c r="BG745" s="46" t="s">
        <v>48</v>
      </c>
      <c r="BH745" s="46">
        <v>0</v>
      </c>
      <c r="BI745" s="46">
        <v>0</v>
      </c>
      <c r="BJ745" s="46">
        <v>0</v>
      </c>
      <c r="BK745" s="46">
        <v>0</v>
      </c>
      <c r="BL745" s="46">
        <v>0</v>
      </c>
      <c r="BM745" s="46">
        <v>0</v>
      </c>
      <c r="BN745" s="46">
        <v>0</v>
      </c>
    </row>
    <row r="746" spans="1:66" x14ac:dyDescent="0.35">
      <c r="A746" t="s">
        <v>3752</v>
      </c>
      <c r="B746" s="44" t="s">
        <v>48</v>
      </c>
      <c r="C746" t="s">
        <v>3756</v>
      </c>
      <c r="D746" t="s">
        <v>221</v>
      </c>
      <c r="E746" t="s">
        <v>3754</v>
      </c>
      <c r="F746" t="s">
        <v>3753</v>
      </c>
      <c r="G746" t="s">
        <v>47</v>
      </c>
      <c r="H746">
        <v>0</v>
      </c>
      <c r="I746" s="60" t="s">
        <v>177</v>
      </c>
      <c r="J746" s="33" t="s">
        <v>45</v>
      </c>
      <c r="K746" s="46">
        <v>0</v>
      </c>
      <c r="L746">
        <v>51.8</v>
      </c>
      <c r="M746" t="s">
        <v>48</v>
      </c>
      <c r="N746" s="46">
        <v>1</v>
      </c>
      <c r="O746" s="46">
        <v>0</v>
      </c>
      <c r="P746" s="46">
        <v>0</v>
      </c>
      <c r="Q746" t="s">
        <v>48</v>
      </c>
      <c r="R746" t="s">
        <v>48</v>
      </c>
      <c r="S746" t="s">
        <v>3755</v>
      </c>
      <c r="T746" t="s">
        <v>48</v>
      </c>
      <c r="U746" t="s">
        <v>3755</v>
      </c>
      <c r="V746" s="47">
        <v>0</v>
      </c>
      <c r="W746" t="s">
        <v>48</v>
      </c>
      <c r="X746" t="s">
        <v>48</v>
      </c>
      <c r="Y746" t="s">
        <v>48</v>
      </c>
      <c r="Z746">
        <v>0</v>
      </c>
      <c r="AA746" t="s">
        <v>48</v>
      </c>
      <c r="AB746" t="s">
        <v>48</v>
      </c>
      <c r="AC746" t="s">
        <v>49</v>
      </c>
      <c r="AD746" t="s">
        <v>93</v>
      </c>
      <c r="AE746" s="40" t="s">
        <v>2471</v>
      </c>
      <c r="AF746" t="s">
        <v>11061</v>
      </c>
      <c r="AG746" t="s">
        <v>48</v>
      </c>
      <c r="AH746" t="s">
        <v>48</v>
      </c>
      <c r="AI746" t="s">
        <v>48</v>
      </c>
      <c r="AJ746" t="s">
        <v>48</v>
      </c>
      <c r="AK746" t="s">
        <v>48</v>
      </c>
      <c r="AL746" t="s">
        <v>48</v>
      </c>
      <c r="AM746" t="s">
        <v>48</v>
      </c>
      <c r="AN746" t="s">
        <v>48</v>
      </c>
      <c r="AO746" t="s">
        <v>48</v>
      </c>
      <c r="AP746" s="46">
        <v>0</v>
      </c>
      <c r="AQ746" s="46">
        <v>0</v>
      </c>
      <c r="AR746" s="46">
        <v>0</v>
      </c>
      <c r="AS746" s="46">
        <v>0</v>
      </c>
      <c r="AT746" s="46">
        <v>0</v>
      </c>
      <c r="AU746" s="46">
        <v>0</v>
      </c>
      <c r="AV746" s="46">
        <v>0</v>
      </c>
      <c r="AW746" s="46">
        <v>0</v>
      </c>
      <c r="AX746" s="46">
        <v>0</v>
      </c>
      <c r="AY746" s="46">
        <v>0</v>
      </c>
      <c r="AZ746" s="46">
        <v>0</v>
      </c>
      <c r="BA746" s="46">
        <v>0</v>
      </c>
      <c r="BB746" s="46">
        <v>0</v>
      </c>
      <c r="BC746" s="46">
        <v>1</v>
      </c>
      <c r="BD746" s="46">
        <v>0</v>
      </c>
      <c r="BE746" s="46">
        <v>0</v>
      </c>
      <c r="BF746" s="46">
        <v>0</v>
      </c>
      <c r="BG746" s="46">
        <v>1</v>
      </c>
      <c r="BH746" s="46">
        <v>0</v>
      </c>
      <c r="BI746" s="46">
        <v>0</v>
      </c>
      <c r="BJ746" s="46">
        <v>0</v>
      </c>
      <c r="BK746" s="46">
        <v>0</v>
      </c>
      <c r="BL746" s="46">
        <v>0</v>
      </c>
      <c r="BM746" s="46">
        <v>0</v>
      </c>
      <c r="BN746" s="46">
        <v>0</v>
      </c>
    </row>
    <row r="747" spans="1:66" x14ac:dyDescent="0.35">
      <c r="A747" t="s">
        <v>3747</v>
      </c>
      <c r="B747" t="s">
        <v>48</v>
      </c>
      <c r="C747" t="s">
        <v>3751</v>
      </c>
      <c r="D747" t="s">
        <v>1915</v>
      </c>
      <c r="E747" t="s">
        <v>9898</v>
      </c>
      <c r="F747" t="s">
        <v>3769</v>
      </c>
      <c r="G747" t="s">
        <v>47</v>
      </c>
      <c r="H747">
        <v>0</v>
      </c>
      <c r="I747" s="61">
        <v>44780</v>
      </c>
      <c r="J747" s="33" t="s">
        <v>45</v>
      </c>
      <c r="K747" s="46">
        <v>1</v>
      </c>
      <c r="L747">
        <v>100</v>
      </c>
      <c r="M747" t="s">
        <v>48</v>
      </c>
      <c r="N747" s="46">
        <v>1</v>
      </c>
      <c r="O747" s="46">
        <v>0</v>
      </c>
      <c r="P747" s="46">
        <v>0</v>
      </c>
      <c r="Q747" t="s">
        <v>48</v>
      </c>
      <c r="R747" t="s">
        <v>48</v>
      </c>
      <c r="S747" s="43" t="s">
        <v>3748</v>
      </c>
      <c r="T747" s="43" t="s">
        <v>3749</v>
      </c>
      <c r="U747" s="43" t="s">
        <v>3748</v>
      </c>
      <c r="V747" s="47">
        <v>0</v>
      </c>
      <c r="W747" t="s">
        <v>48</v>
      </c>
      <c r="X747" t="s">
        <v>48</v>
      </c>
      <c r="Y747" t="s">
        <v>48</v>
      </c>
      <c r="Z747">
        <v>0</v>
      </c>
      <c r="AA747" t="s">
        <v>48</v>
      </c>
      <c r="AB747">
        <v>2010</v>
      </c>
      <c r="AC747" t="s">
        <v>49</v>
      </c>
      <c r="AD747" t="s">
        <v>93</v>
      </c>
      <c r="AE747" t="s">
        <v>4532</v>
      </c>
      <c r="AF747" t="s">
        <v>48</v>
      </c>
      <c r="AG747" t="s">
        <v>3750</v>
      </c>
      <c r="AH747" t="s">
        <v>93</v>
      </c>
      <c r="AI747">
        <v>21142</v>
      </c>
      <c r="AJ747">
        <v>1969</v>
      </c>
      <c r="AK747" t="s">
        <v>8994</v>
      </c>
      <c r="AL747" t="s">
        <v>8995</v>
      </c>
      <c r="AM747">
        <v>0.56599999999999995</v>
      </c>
      <c r="AN747">
        <v>-4.2000000000000003E-2</v>
      </c>
      <c r="AO747">
        <v>0.56599999999999995</v>
      </c>
      <c r="AP747" s="46">
        <v>0</v>
      </c>
      <c r="AQ747" s="46">
        <v>0</v>
      </c>
      <c r="AR747" s="46">
        <v>0</v>
      </c>
      <c r="AS747" s="46">
        <v>0</v>
      </c>
      <c r="AT747" s="46">
        <v>0</v>
      </c>
      <c r="AU747" s="46">
        <v>0</v>
      </c>
      <c r="AV747" s="46">
        <v>0</v>
      </c>
      <c r="AW747" s="46">
        <v>0</v>
      </c>
      <c r="AX747" s="46">
        <v>0</v>
      </c>
      <c r="AY747" s="46">
        <v>0</v>
      </c>
      <c r="AZ747" s="46">
        <v>1</v>
      </c>
      <c r="BA747" s="46">
        <v>0</v>
      </c>
      <c r="BB747" s="46">
        <v>1</v>
      </c>
      <c r="BC747" s="46">
        <v>0</v>
      </c>
      <c r="BD747" s="46">
        <v>0</v>
      </c>
      <c r="BE747" s="46">
        <v>1</v>
      </c>
      <c r="BF747" s="46">
        <v>0</v>
      </c>
      <c r="BG747" s="46">
        <v>1</v>
      </c>
      <c r="BH747" s="46">
        <v>0</v>
      </c>
      <c r="BI747" s="46">
        <v>0</v>
      </c>
      <c r="BJ747" s="46">
        <v>0</v>
      </c>
      <c r="BK747" s="46">
        <v>0</v>
      </c>
      <c r="BL747" s="46">
        <v>0</v>
      </c>
      <c r="BM747" s="46">
        <v>0</v>
      </c>
      <c r="BN747" s="46">
        <v>0</v>
      </c>
    </row>
    <row r="748" spans="1:66" ht="15" x14ac:dyDescent="0.4">
      <c r="A748" t="s">
        <v>11183</v>
      </c>
      <c r="B748" s="44" t="s">
        <v>48</v>
      </c>
      <c r="C748" t="s">
        <v>12000</v>
      </c>
      <c r="D748" t="s">
        <v>1505</v>
      </c>
      <c r="E748" t="s">
        <v>11184</v>
      </c>
      <c r="F748" t="s">
        <v>3769</v>
      </c>
      <c r="G748" t="s">
        <v>74</v>
      </c>
      <c r="H748">
        <v>0</v>
      </c>
      <c r="I748" s="61" t="s">
        <v>11160</v>
      </c>
      <c r="J748" s="33" t="s">
        <v>45</v>
      </c>
      <c r="K748" s="46">
        <v>0</v>
      </c>
      <c r="L748">
        <v>100</v>
      </c>
      <c r="M748" t="s">
        <v>48</v>
      </c>
      <c r="N748" s="46">
        <v>1</v>
      </c>
      <c r="O748" s="46">
        <v>0</v>
      </c>
      <c r="P748" s="46">
        <v>0</v>
      </c>
      <c r="Q748" t="s">
        <v>48</v>
      </c>
      <c r="R748" t="s">
        <v>48</v>
      </c>
      <c r="S748" s="55" t="s">
        <v>11185</v>
      </c>
      <c r="T748" t="s">
        <v>48</v>
      </c>
      <c r="U748" s="55" t="s">
        <v>11185</v>
      </c>
      <c r="V748" s="47" t="s">
        <v>48</v>
      </c>
      <c r="W748" t="s">
        <v>48</v>
      </c>
      <c r="X748" t="s">
        <v>48</v>
      </c>
      <c r="Y748" t="s">
        <v>48</v>
      </c>
      <c r="Z748" t="s">
        <v>48</v>
      </c>
      <c r="AA748" t="s">
        <v>48</v>
      </c>
      <c r="AB748" t="s">
        <v>48</v>
      </c>
      <c r="AC748" t="s">
        <v>48</v>
      </c>
      <c r="AD748" t="s">
        <v>48</v>
      </c>
      <c r="AE748" t="s">
        <v>48</v>
      </c>
      <c r="AF748" t="s">
        <v>48</v>
      </c>
      <c r="AG748" t="s">
        <v>48</v>
      </c>
      <c r="AH748" t="s">
        <v>48</v>
      </c>
      <c r="AI748" t="s">
        <v>48</v>
      </c>
      <c r="AJ748" t="s">
        <v>48</v>
      </c>
      <c r="AK748" t="s">
        <v>48</v>
      </c>
      <c r="AL748" t="s">
        <v>48</v>
      </c>
      <c r="AM748" t="s">
        <v>48</v>
      </c>
      <c r="AN748" t="s">
        <v>48</v>
      </c>
      <c r="AO748" t="s">
        <v>48</v>
      </c>
      <c r="AP748" s="46">
        <v>0</v>
      </c>
      <c r="AQ748" s="46">
        <v>0</v>
      </c>
      <c r="AR748" s="46">
        <v>0</v>
      </c>
      <c r="AS748" s="46">
        <v>0</v>
      </c>
      <c r="AT748" s="46">
        <v>0</v>
      </c>
      <c r="AU748" s="46">
        <v>0</v>
      </c>
      <c r="AV748" s="46">
        <v>0</v>
      </c>
      <c r="AW748" s="46">
        <v>0</v>
      </c>
      <c r="AX748" s="46">
        <v>0</v>
      </c>
      <c r="AY748" s="46">
        <v>0</v>
      </c>
      <c r="AZ748" s="46">
        <v>0</v>
      </c>
      <c r="BA748" s="46">
        <v>0</v>
      </c>
      <c r="BB748" s="46">
        <v>0</v>
      </c>
      <c r="BC748" s="46">
        <v>0</v>
      </c>
      <c r="BD748" s="46">
        <v>0</v>
      </c>
      <c r="BE748" s="46">
        <v>0</v>
      </c>
      <c r="BF748" s="46">
        <v>0</v>
      </c>
      <c r="BG748" s="46" t="s">
        <v>48</v>
      </c>
      <c r="BH748" s="46">
        <v>0</v>
      </c>
      <c r="BI748" s="46">
        <v>0</v>
      </c>
      <c r="BJ748" s="46">
        <v>0</v>
      </c>
      <c r="BK748" s="46">
        <v>0</v>
      </c>
      <c r="BL748" s="46">
        <v>0</v>
      </c>
      <c r="BM748" s="46">
        <v>0</v>
      </c>
      <c r="BN748" s="46">
        <v>0</v>
      </c>
    </row>
    <row r="749" spans="1:66" x14ac:dyDescent="0.35">
      <c r="A749" t="s">
        <v>9825</v>
      </c>
      <c r="B749" s="44" t="s">
        <v>48</v>
      </c>
      <c r="C749" t="s">
        <v>12001</v>
      </c>
      <c r="D749" t="s">
        <v>12002</v>
      </c>
      <c r="E749" t="s">
        <v>9826</v>
      </c>
      <c r="F749" t="s">
        <v>3775</v>
      </c>
      <c r="G749" t="s">
        <v>74</v>
      </c>
      <c r="H749">
        <v>0</v>
      </c>
      <c r="I749" s="61">
        <v>44780</v>
      </c>
      <c r="J749" s="33" t="s">
        <v>45</v>
      </c>
      <c r="K749" s="46">
        <v>0</v>
      </c>
      <c r="L749">
        <v>100</v>
      </c>
      <c r="M749" t="s">
        <v>48</v>
      </c>
      <c r="N749" s="46">
        <v>1</v>
      </c>
      <c r="O749" s="46">
        <v>0</v>
      </c>
      <c r="P749" s="46">
        <v>0</v>
      </c>
      <c r="Q749" t="s">
        <v>48</v>
      </c>
      <c r="R749" t="s">
        <v>48</v>
      </c>
      <c r="S749" s="43" t="s">
        <v>10225</v>
      </c>
      <c r="T749" s="43" t="s">
        <v>48</v>
      </c>
      <c r="U749" s="43" t="s">
        <v>10225</v>
      </c>
      <c r="V749" s="47">
        <v>0</v>
      </c>
      <c r="W749" t="s">
        <v>48</v>
      </c>
      <c r="X749" t="s">
        <v>48</v>
      </c>
      <c r="Y749" t="s">
        <v>48</v>
      </c>
      <c r="Z749" t="s">
        <v>48</v>
      </c>
      <c r="AA749" t="s">
        <v>48</v>
      </c>
      <c r="AB749" t="s">
        <v>48</v>
      </c>
      <c r="AC749" t="s">
        <v>49</v>
      </c>
      <c r="AD749" t="s">
        <v>93</v>
      </c>
      <c r="AE749" t="s">
        <v>4532</v>
      </c>
      <c r="AF749" t="s">
        <v>48</v>
      </c>
      <c r="AG749" t="s">
        <v>48</v>
      </c>
      <c r="AH749" t="s">
        <v>48</v>
      </c>
      <c r="AI749" t="s">
        <v>48</v>
      </c>
      <c r="AJ749" t="s">
        <v>48</v>
      </c>
      <c r="AK749" t="s">
        <v>48</v>
      </c>
      <c r="AL749" t="s">
        <v>48</v>
      </c>
      <c r="AM749" t="s">
        <v>48</v>
      </c>
      <c r="AN749" t="s">
        <v>48</v>
      </c>
      <c r="AO749" t="s">
        <v>48</v>
      </c>
      <c r="AP749" s="46">
        <v>0</v>
      </c>
      <c r="AQ749" s="46">
        <v>0</v>
      </c>
      <c r="AR749" s="46">
        <v>0</v>
      </c>
      <c r="AS749" s="46">
        <v>0</v>
      </c>
      <c r="AT749" s="46">
        <v>0</v>
      </c>
      <c r="AU749" s="46">
        <v>0</v>
      </c>
      <c r="AV749" s="46">
        <v>0</v>
      </c>
      <c r="AW749" s="46">
        <v>0</v>
      </c>
      <c r="AX749" s="46">
        <v>0</v>
      </c>
      <c r="AY749" s="46">
        <v>0</v>
      </c>
      <c r="AZ749" s="46">
        <v>0</v>
      </c>
      <c r="BA749" s="46">
        <v>0</v>
      </c>
      <c r="BB749" s="46">
        <v>0</v>
      </c>
      <c r="BC749" s="46">
        <v>0</v>
      </c>
      <c r="BD749" s="46">
        <v>0</v>
      </c>
      <c r="BE749" s="46">
        <v>0</v>
      </c>
      <c r="BF749" s="46">
        <v>0</v>
      </c>
      <c r="BG749" s="46" t="s">
        <v>48</v>
      </c>
      <c r="BH749" s="46">
        <v>0</v>
      </c>
      <c r="BI749" s="46">
        <v>0</v>
      </c>
      <c r="BJ749" s="46">
        <v>0</v>
      </c>
      <c r="BK749" s="46">
        <v>0</v>
      </c>
      <c r="BL749" s="46">
        <v>0</v>
      </c>
      <c r="BM749" s="46">
        <v>0</v>
      </c>
      <c r="BN749" s="46">
        <v>0</v>
      </c>
    </row>
    <row r="750" spans="1:66" x14ac:dyDescent="0.35">
      <c r="A750" t="s">
        <v>3787</v>
      </c>
      <c r="B750" s="44" t="s">
        <v>48</v>
      </c>
      <c r="C750" t="s">
        <v>3792</v>
      </c>
      <c r="D750" t="s">
        <v>198</v>
      </c>
      <c r="E750" t="s">
        <v>9899</v>
      </c>
      <c r="F750" t="s">
        <v>3775</v>
      </c>
      <c r="G750" t="s">
        <v>47</v>
      </c>
      <c r="H750">
        <v>0</v>
      </c>
      <c r="I750" s="61">
        <v>44780</v>
      </c>
      <c r="J750" s="33" t="s">
        <v>45</v>
      </c>
      <c r="K750" s="46">
        <v>1</v>
      </c>
      <c r="L750">
        <v>67.2</v>
      </c>
      <c r="M750" t="s">
        <v>48</v>
      </c>
      <c r="N750" s="46">
        <v>1</v>
      </c>
      <c r="O750" s="46">
        <v>0</v>
      </c>
      <c r="P750" s="46">
        <v>0</v>
      </c>
      <c r="Q750" t="s">
        <v>48</v>
      </c>
      <c r="R750" t="s">
        <v>48</v>
      </c>
      <c r="S750" s="43" t="s">
        <v>3788</v>
      </c>
      <c r="T750" s="43" t="s">
        <v>3789</v>
      </c>
      <c r="U750" s="43" t="s">
        <v>3788</v>
      </c>
      <c r="V750" s="47">
        <v>0</v>
      </c>
      <c r="W750" t="s">
        <v>48</v>
      </c>
      <c r="X750" t="s">
        <v>48</v>
      </c>
      <c r="Y750" t="s">
        <v>48</v>
      </c>
      <c r="Z750">
        <v>0</v>
      </c>
      <c r="AA750" t="s">
        <v>48</v>
      </c>
      <c r="AB750" t="s">
        <v>3790</v>
      </c>
      <c r="AC750" t="s">
        <v>49</v>
      </c>
      <c r="AD750" t="s">
        <v>93</v>
      </c>
      <c r="AE750" t="s">
        <v>4532</v>
      </c>
      <c r="AF750" t="s">
        <v>48</v>
      </c>
      <c r="AG750" t="s">
        <v>3791</v>
      </c>
      <c r="AH750" t="s">
        <v>93</v>
      </c>
      <c r="AI750">
        <v>20725</v>
      </c>
      <c r="AJ750">
        <v>1951</v>
      </c>
      <c r="AK750" t="s">
        <v>9002</v>
      </c>
      <c r="AL750" t="s">
        <v>9003</v>
      </c>
      <c r="AM750">
        <v>0.51100000000000001</v>
      </c>
      <c r="AN750">
        <v>9.9000000000000005E-2</v>
      </c>
      <c r="AO750">
        <v>0.51100000000000001</v>
      </c>
      <c r="AP750" s="46">
        <v>0</v>
      </c>
      <c r="AQ750" s="46">
        <v>0</v>
      </c>
      <c r="AR750" s="46">
        <v>0</v>
      </c>
      <c r="AS750" s="46">
        <v>0</v>
      </c>
      <c r="AT750" s="46">
        <v>0</v>
      </c>
      <c r="AU750" s="46">
        <v>0</v>
      </c>
      <c r="AV750" s="46">
        <v>0</v>
      </c>
      <c r="AW750" s="46">
        <v>0</v>
      </c>
      <c r="AX750" s="46">
        <v>0</v>
      </c>
      <c r="AY750" s="46">
        <v>0</v>
      </c>
      <c r="AZ750" s="46">
        <v>0</v>
      </c>
      <c r="BA750" s="46">
        <v>0</v>
      </c>
      <c r="BB750" s="46">
        <v>1</v>
      </c>
      <c r="BC750" s="46">
        <v>0</v>
      </c>
      <c r="BD750" s="46">
        <v>0</v>
      </c>
      <c r="BE750" s="46">
        <v>0</v>
      </c>
      <c r="BF750" s="46">
        <v>0</v>
      </c>
      <c r="BG750" s="46">
        <v>1</v>
      </c>
      <c r="BH750" s="46">
        <v>0</v>
      </c>
      <c r="BI750" s="46">
        <v>0</v>
      </c>
      <c r="BJ750" s="46">
        <v>0</v>
      </c>
      <c r="BK750" s="46">
        <v>0</v>
      </c>
      <c r="BL750" s="46">
        <v>0</v>
      </c>
      <c r="BM750" s="46">
        <v>0</v>
      </c>
      <c r="BN750" s="46">
        <v>0</v>
      </c>
    </row>
    <row r="751" spans="1:66" x14ac:dyDescent="0.35">
      <c r="A751" t="s">
        <v>3838</v>
      </c>
      <c r="B751" t="s">
        <v>48</v>
      </c>
      <c r="C751" t="s">
        <v>3842</v>
      </c>
      <c r="D751" t="s">
        <v>795</v>
      </c>
      <c r="E751" t="s">
        <v>9827</v>
      </c>
      <c r="F751" t="s">
        <v>3779</v>
      </c>
      <c r="G751" t="s">
        <v>74</v>
      </c>
      <c r="H751">
        <v>0</v>
      </c>
      <c r="I751" s="61">
        <v>44780</v>
      </c>
      <c r="J751" s="33" t="s">
        <v>45</v>
      </c>
      <c r="K751" s="46">
        <v>1</v>
      </c>
      <c r="L751">
        <v>100</v>
      </c>
      <c r="M751" t="s">
        <v>48</v>
      </c>
      <c r="N751" s="46">
        <v>1</v>
      </c>
      <c r="O751" s="46">
        <v>0</v>
      </c>
      <c r="P751" s="46">
        <v>0</v>
      </c>
      <c r="Q751" t="s">
        <v>48</v>
      </c>
      <c r="R751" t="s">
        <v>48</v>
      </c>
      <c r="S751" s="43" t="s">
        <v>3840</v>
      </c>
      <c r="T751" s="43" t="s">
        <v>3841</v>
      </c>
      <c r="U751" s="43" t="s">
        <v>3840</v>
      </c>
      <c r="V751" s="47">
        <v>0</v>
      </c>
      <c r="W751" t="s">
        <v>48</v>
      </c>
      <c r="X751" t="s">
        <v>48</v>
      </c>
      <c r="Y751" t="s">
        <v>48</v>
      </c>
      <c r="Z751">
        <v>0</v>
      </c>
      <c r="AA751" t="s">
        <v>48</v>
      </c>
      <c r="AB751">
        <v>2014</v>
      </c>
      <c r="AC751" t="s">
        <v>63</v>
      </c>
      <c r="AD751" t="s">
        <v>93</v>
      </c>
      <c r="AE751" t="s">
        <v>4532</v>
      </c>
      <c r="AF751" t="s">
        <v>48</v>
      </c>
      <c r="AG751" t="s">
        <v>140</v>
      </c>
      <c r="AH751" t="s">
        <v>93</v>
      </c>
      <c r="AI751">
        <v>21529</v>
      </c>
      <c r="AJ751">
        <v>1953</v>
      </c>
      <c r="AK751" t="s">
        <v>9012</v>
      </c>
      <c r="AL751" t="s">
        <v>9013</v>
      </c>
      <c r="AM751">
        <v>-0.40600000000000003</v>
      </c>
      <c r="AN751">
        <v>-0.13600000000000001</v>
      </c>
      <c r="AO751">
        <v>-0.40600000000000003</v>
      </c>
      <c r="AP751" s="46">
        <v>0</v>
      </c>
      <c r="AQ751" s="46">
        <v>0</v>
      </c>
      <c r="AR751" s="46">
        <v>0</v>
      </c>
      <c r="AS751" s="46">
        <v>0</v>
      </c>
      <c r="AT751" s="46">
        <v>1</v>
      </c>
      <c r="AU751" s="46">
        <v>0</v>
      </c>
      <c r="AV751" s="46">
        <v>0</v>
      </c>
      <c r="AW751" s="46">
        <v>0</v>
      </c>
      <c r="AX751" s="46">
        <v>0</v>
      </c>
      <c r="AY751" s="46">
        <v>0</v>
      </c>
      <c r="AZ751" s="46">
        <v>0</v>
      </c>
      <c r="BA751" s="46">
        <v>1</v>
      </c>
      <c r="BB751" s="46">
        <v>0</v>
      </c>
      <c r="BC751" s="46">
        <v>0</v>
      </c>
      <c r="BD751" s="46">
        <v>0</v>
      </c>
      <c r="BE751" s="46">
        <v>0</v>
      </c>
      <c r="BF751" s="46">
        <v>0</v>
      </c>
      <c r="BG751" s="46" t="s">
        <v>48</v>
      </c>
      <c r="BH751" s="46">
        <v>0</v>
      </c>
      <c r="BI751" s="46">
        <v>0</v>
      </c>
      <c r="BJ751" s="46">
        <v>0</v>
      </c>
      <c r="BK751" s="46">
        <v>0</v>
      </c>
      <c r="BL751" s="46">
        <v>0</v>
      </c>
      <c r="BM751" s="46">
        <v>0</v>
      </c>
      <c r="BN751" s="46">
        <v>0</v>
      </c>
    </row>
    <row r="752" spans="1:66" ht="15" x14ac:dyDescent="0.4">
      <c r="A752" t="s">
        <v>9901</v>
      </c>
      <c r="B752" s="44" t="s">
        <v>48</v>
      </c>
      <c r="C752" t="s">
        <v>332</v>
      </c>
      <c r="D752" t="s">
        <v>12005</v>
      </c>
      <c r="E752" t="s">
        <v>9902</v>
      </c>
      <c r="F752" t="s">
        <v>3779</v>
      </c>
      <c r="G752" t="s">
        <v>47</v>
      </c>
      <c r="H752">
        <v>0</v>
      </c>
      <c r="I752" s="61" t="s">
        <v>11160</v>
      </c>
      <c r="J752" s="33" t="s">
        <v>45</v>
      </c>
      <c r="K752" s="46">
        <v>0</v>
      </c>
      <c r="L752">
        <v>53.7</v>
      </c>
      <c r="M752" t="s">
        <v>48</v>
      </c>
      <c r="N752" s="46">
        <v>1</v>
      </c>
      <c r="O752" s="46">
        <v>0</v>
      </c>
      <c r="P752" s="46">
        <v>0</v>
      </c>
      <c r="Q752" t="s">
        <v>48</v>
      </c>
      <c r="R752" t="s">
        <v>48</v>
      </c>
      <c r="S752" s="55" t="s">
        <v>10227</v>
      </c>
      <c r="T752" s="43" t="s">
        <v>48</v>
      </c>
      <c r="U752" s="55" t="s">
        <v>10227</v>
      </c>
      <c r="V752" s="47">
        <v>0</v>
      </c>
      <c r="W752" t="s">
        <v>48</v>
      </c>
      <c r="X752" t="s">
        <v>48</v>
      </c>
      <c r="Y752" t="s">
        <v>48</v>
      </c>
      <c r="Z752" t="s">
        <v>48</v>
      </c>
      <c r="AA752" t="s">
        <v>48</v>
      </c>
      <c r="AB752" t="s">
        <v>48</v>
      </c>
      <c r="AC752" t="s">
        <v>63</v>
      </c>
      <c r="AD752" t="s">
        <v>93</v>
      </c>
      <c r="AE752" t="s">
        <v>977</v>
      </c>
      <c r="AF752" t="s">
        <v>11095</v>
      </c>
      <c r="AG752" t="s">
        <v>48</v>
      </c>
      <c r="AH752" t="s">
        <v>48</v>
      </c>
      <c r="AI752" t="s">
        <v>48</v>
      </c>
      <c r="AJ752" t="s">
        <v>48</v>
      </c>
      <c r="AK752" t="s">
        <v>48</v>
      </c>
      <c r="AL752" t="s">
        <v>48</v>
      </c>
      <c r="AM752" t="s">
        <v>48</v>
      </c>
      <c r="AN752" t="s">
        <v>48</v>
      </c>
      <c r="AO752" t="s">
        <v>48</v>
      </c>
      <c r="AP752" s="46">
        <v>0</v>
      </c>
      <c r="AQ752" s="46">
        <v>0</v>
      </c>
      <c r="AR752" s="46">
        <v>0</v>
      </c>
      <c r="AS752" s="46">
        <v>0</v>
      </c>
      <c r="AT752" s="46">
        <v>0</v>
      </c>
      <c r="AU752" s="46">
        <v>0</v>
      </c>
      <c r="AV752" s="46">
        <v>0</v>
      </c>
      <c r="AW752" s="46">
        <v>0</v>
      </c>
      <c r="AX752" s="46">
        <v>0</v>
      </c>
      <c r="AY752" s="46">
        <v>0</v>
      </c>
      <c r="AZ752" s="46">
        <v>0</v>
      </c>
      <c r="BA752" s="46">
        <v>0</v>
      </c>
      <c r="BB752" s="46">
        <v>0</v>
      </c>
      <c r="BC752" s="46">
        <v>0</v>
      </c>
      <c r="BD752" s="46">
        <v>0</v>
      </c>
      <c r="BE752" s="46">
        <v>0</v>
      </c>
      <c r="BF752" s="46">
        <v>0</v>
      </c>
      <c r="BG752" s="46" t="s">
        <v>48</v>
      </c>
      <c r="BH752" s="46">
        <v>0</v>
      </c>
      <c r="BI752" s="46">
        <v>0</v>
      </c>
      <c r="BJ752" s="46">
        <v>0</v>
      </c>
      <c r="BK752" s="46">
        <v>0</v>
      </c>
      <c r="BL752" s="46">
        <v>0</v>
      </c>
      <c r="BM752" s="46">
        <v>0</v>
      </c>
      <c r="BN752" s="46">
        <v>0</v>
      </c>
    </row>
    <row r="753" spans="1:66" x14ac:dyDescent="0.35">
      <c r="A753" t="s">
        <v>3795</v>
      </c>
      <c r="B753" t="s">
        <v>48</v>
      </c>
      <c r="C753" t="s">
        <v>3799</v>
      </c>
      <c r="D753" t="s">
        <v>3798</v>
      </c>
      <c r="E753" t="s">
        <v>9828</v>
      </c>
      <c r="F753" t="s">
        <v>3783</v>
      </c>
      <c r="G753" t="s">
        <v>74</v>
      </c>
      <c r="H753">
        <v>0</v>
      </c>
      <c r="I753" s="61">
        <v>44782</v>
      </c>
      <c r="J753" s="33" t="s">
        <v>45</v>
      </c>
      <c r="K753" s="46">
        <v>1</v>
      </c>
      <c r="L753">
        <v>100</v>
      </c>
      <c r="M753" t="s">
        <v>48</v>
      </c>
      <c r="N753" s="46">
        <v>1</v>
      </c>
      <c r="O753" s="46">
        <v>0</v>
      </c>
      <c r="P753" s="46">
        <v>0</v>
      </c>
      <c r="Q753" t="s">
        <v>48</v>
      </c>
      <c r="R753" t="s">
        <v>48</v>
      </c>
      <c r="S753" s="43" t="s">
        <v>3796</v>
      </c>
      <c r="T753" s="43" t="s">
        <v>3797</v>
      </c>
      <c r="U753" s="43" t="s">
        <v>3796</v>
      </c>
      <c r="V753" s="47">
        <v>0</v>
      </c>
      <c r="W753" t="s">
        <v>48</v>
      </c>
      <c r="X753" t="s">
        <v>48</v>
      </c>
      <c r="Y753" t="s">
        <v>48</v>
      </c>
      <c r="Z753">
        <v>0</v>
      </c>
      <c r="AA753" t="s">
        <v>48</v>
      </c>
      <c r="AB753">
        <v>2018</v>
      </c>
      <c r="AC753" t="s">
        <v>63</v>
      </c>
      <c r="AD753" t="s">
        <v>93</v>
      </c>
      <c r="AE753" t="s">
        <v>4532</v>
      </c>
      <c r="AF753" t="s">
        <v>48</v>
      </c>
      <c r="AG753" t="s">
        <v>633</v>
      </c>
      <c r="AH753" t="s">
        <v>93</v>
      </c>
      <c r="AI753">
        <v>21965</v>
      </c>
      <c r="AJ753">
        <v>1976</v>
      </c>
      <c r="AK753" t="s">
        <v>9004</v>
      </c>
      <c r="AL753" t="s">
        <v>9005</v>
      </c>
      <c r="AM753">
        <v>-0.32</v>
      </c>
      <c r="AN753">
        <v>0.84399999999999997</v>
      </c>
      <c r="AO753">
        <v>-0.32</v>
      </c>
      <c r="AP753" s="46">
        <v>0</v>
      </c>
      <c r="AQ753" s="46">
        <v>0</v>
      </c>
      <c r="AR753" s="46">
        <v>0</v>
      </c>
      <c r="AS753" s="46">
        <v>0</v>
      </c>
      <c r="AT753" s="46">
        <v>0</v>
      </c>
      <c r="AU753" s="46">
        <v>1</v>
      </c>
      <c r="AV753" s="46">
        <v>0</v>
      </c>
      <c r="AW753" s="46">
        <v>0</v>
      </c>
      <c r="AX753" s="46">
        <v>1</v>
      </c>
      <c r="AY753" s="46">
        <v>0</v>
      </c>
      <c r="AZ753" s="46">
        <v>0</v>
      </c>
      <c r="BA753" s="46">
        <v>1</v>
      </c>
      <c r="BB753" s="46">
        <v>0</v>
      </c>
      <c r="BC753" s="46">
        <v>0</v>
      </c>
      <c r="BD753" s="46">
        <v>0</v>
      </c>
      <c r="BE753" s="46">
        <v>0</v>
      </c>
      <c r="BF753" s="46">
        <v>0</v>
      </c>
      <c r="BG753" s="46" t="s">
        <v>48</v>
      </c>
      <c r="BH753" s="46">
        <v>0</v>
      </c>
      <c r="BI753" s="46">
        <v>0</v>
      </c>
      <c r="BJ753" s="46">
        <v>0</v>
      </c>
      <c r="BK753" s="46">
        <v>0</v>
      </c>
      <c r="BL753" s="46">
        <v>0</v>
      </c>
      <c r="BM753" s="46">
        <v>0</v>
      </c>
      <c r="BN753" s="46">
        <v>0</v>
      </c>
    </row>
    <row r="754" spans="1:66" x14ac:dyDescent="0.35">
      <c r="A754" t="s">
        <v>3782</v>
      </c>
      <c r="B754" s="44" t="s">
        <v>48</v>
      </c>
      <c r="C754" t="s">
        <v>1515</v>
      </c>
      <c r="D754" t="s">
        <v>585</v>
      </c>
      <c r="E754" t="s">
        <v>3784</v>
      </c>
      <c r="F754" t="s">
        <v>3783</v>
      </c>
      <c r="G754" t="s">
        <v>47</v>
      </c>
      <c r="H754">
        <v>0</v>
      </c>
      <c r="I754" s="60" t="s">
        <v>149</v>
      </c>
      <c r="J754" s="33" t="s">
        <v>45</v>
      </c>
      <c r="K754" s="46">
        <v>0</v>
      </c>
      <c r="L754">
        <v>100</v>
      </c>
      <c r="M754" t="s">
        <v>48</v>
      </c>
      <c r="N754" s="46">
        <v>1</v>
      </c>
      <c r="O754" s="46">
        <v>0</v>
      </c>
      <c r="P754" s="46">
        <v>0</v>
      </c>
      <c r="Q754" t="s">
        <v>48</v>
      </c>
      <c r="R754" t="s">
        <v>48</v>
      </c>
      <c r="S754" t="s">
        <v>3785</v>
      </c>
      <c r="T754" t="s">
        <v>48</v>
      </c>
      <c r="U754" t="s">
        <v>3785</v>
      </c>
      <c r="V754" s="47">
        <v>1</v>
      </c>
      <c r="W754" t="s">
        <v>48</v>
      </c>
      <c r="X754" t="s">
        <v>48</v>
      </c>
      <c r="Y754" t="s">
        <v>48</v>
      </c>
      <c r="Z754">
        <v>0</v>
      </c>
      <c r="AA754" t="s">
        <v>48</v>
      </c>
      <c r="AB754" t="s">
        <v>48</v>
      </c>
      <c r="AC754" t="s">
        <v>49</v>
      </c>
      <c r="AD754" t="s">
        <v>93</v>
      </c>
      <c r="AE754" t="s">
        <v>4532</v>
      </c>
      <c r="AF754" t="s">
        <v>48</v>
      </c>
      <c r="AG754" t="s">
        <v>48</v>
      </c>
      <c r="AH754" t="s">
        <v>48</v>
      </c>
      <c r="AI754" t="s">
        <v>48</v>
      </c>
      <c r="AJ754" t="s">
        <v>48</v>
      </c>
      <c r="AK754" t="s">
        <v>48</v>
      </c>
      <c r="AL754" t="s">
        <v>48</v>
      </c>
      <c r="AM754" t="s">
        <v>48</v>
      </c>
      <c r="AN754" t="s">
        <v>48</v>
      </c>
      <c r="AO754" t="s">
        <v>48</v>
      </c>
      <c r="AP754" s="46">
        <v>0</v>
      </c>
      <c r="AQ754" s="46">
        <v>0</v>
      </c>
      <c r="AR754" s="46">
        <v>0</v>
      </c>
      <c r="AS754" s="46">
        <v>0</v>
      </c>
      <c r="AT754" s="46">
        <v>0</v>
      </c>
      <c r="AU754" s="46">
        <v>0</v>
      </c>
      <c r="AV754" s="46">
        <v>0</v>
      </c>
      <c r="AW754" s="46">
        <v>0</v>
      </c>
      <c r="AX754" s="46">
        <v>0</v>
      </c>
      <c r="AY754" s="46">
        <v>0</v>
      </c>
      <c r="AZ754" s="46">
        <v>0</v>
      </c>
      <c r="BA754" s="46">
        <v>0</v>
      </c>
      <c r="BB754" s="46">
        <v>0</v>
      </c>
      <c r="BC754" s="46">
        <v>0</v>
      </c>
      <c r="BD754" s="46">
        <v>0</v>
      </c>
      <c r="BE754" s="46">
        <v>0</v>
      </c>
      <c r="BF754" s="46">
        <v>0</v>
      </c>
      <c r="BG754" s="46" t="s">
        <v>48</v>
      </c>
      <c r="BH754" s="46">
        <v>0</v>
      </c>
      <c r="BI754" s="46">
        <v>0</v>
      </c>
      <c r="BJ754" s="46">
        <v>0</v>
      </c>
      <c r="BK754" s="46">
        <v>0</v>
      </c>
      <c r="BL754" s="46">
        <v>0</v>
      </c>
      <c r="BM754" s="46">
        <v>0</v>
      </c>
      <c r="BN754" s="46">
        <v>0</v>
      </c>
    </row>
    <row r="755" spans="1:66" x14ac:dyDescent="0.35">
      <c r="A755" t="s">
        <v>3774</v>
      </c>
      <c r="B755" s="44" t="s">
        <v>48</v>
      </c>
      <c r="C755" t="s">
        <v>3778</v>
      </c>
      <c r="D755" t="s">
        <v>347</v>
      </c>
      <c r="E755" t="s">
        <v>9829</v>
      </c>
      <c r="F755" t="s">
        <v>3793</v>
      </c>
      <c r="G755" t="s">
        <v>74</v>
      </c>
      <c r="H755">
        <v>0</v>
      </c>
      <c r="I755" s="61">
        <v>44782</v>
      </c>
      <c r="J755" s="33" t="s">
        <v>45</v>
      </c>
      <c r="K755" s="46">
        <v>1</v>
      </c>
      <c r="L755">
        <v>100</v>
      </c>
      <c r="M755" t="s">
        <v>48</v>
      </c>
      <c r="N755" s="46">
        <v>1</v>
      </c>
      <c r="O755" s="46">
        <v>0</v>
      </c>
      <c r="P755" s="46">
        <v>0</v>
      </c>
      <c r="Q755" t="s">
        <v>48</v>
      </c>
      <c r="R755" t="s">
        <v>48</v>
      </c>
      <c r="S755" s="43" t="s">
        <v>3776</v>
      </c>
      <c r="T755" s="43" t="s">
        <v>3777</v>
      </c>
      <c r="U755" s="43" t="s">
        <v>3776</v>
      </c>
      <c r="V755" s="47">
        <v>0</v>
      </c>
      <c r="W755" t="s">
        <v>48</v>
      </c>
      <c r="X755" t="s">
        <v>48</v>
      </c>
      <c r="Y755" t="s">
        <v>48</v>
      </c>
      <c r="Z755">
        <v>0</v>
      </c>
      <c r="AA755" t="s">
        <v>48</v>
      </c>
      <c r="AB755">
        <v>2012</v>
      </c>
      <c r="AC755" t="s">
        <v>49</v>
      </c>
      <c r="AD755" t="s">
        <v>93</v>
      </c>
      <c r="AE755" t="s">
        <v>4532</v>
      </c>
      <c r="AF755" t="s">
        <v>48</v>
      </c>
      <c r="AG755" t="s">
        <v>140</v>
      </c>
      <c r="AH755" t="s">
        <v>93</v>
      </c>
      <c r="AI755">
        <v>21372</v>
      </c>
      <c r="AJ755">
        <v>1958</v>
      </c>
      <c r="AK755" t="s">
        <v>9000</v>
      </c>
      <c r="AL755" t="s">
        <v>9001</v>
      </c>
      <c r="AM755">
        <v>-0.38900000000000001</v>
      </c>
      <c r="AN755">
        <v>-0.218</v>
      </c>
      <c r="AO755">
        <v>-0.38900000000000001</v>
      </c>
      <c r="AP755" s="46">
        <v>0</v>
      </c>
      <c r="AQ755" s="46">
        <v>0</v>
      </c>
      <c r="AR755" s="46">
        <v>0</v>
      </c>
      <c r="AS755" s="46">
        <v>0</v>
      </c>
      <c r="AT755" s="46">
        <v>1</v>
      </c>
      <c r="AU755" s="46">
        <v>0</v>
      </c>
      <c r="AV755" s="46">
        <v>0</v>
      </c>
      <c r="AW755" s="46">
        <v>0</v>
      </c>
      <c r="AX755" s="46">
        <v>0</v>
      </c>
      <c r="AY755" s="46">
        <v>0</v>
      </c>
      <c r="AZ755" s="46">
        <v>0</v>
      </c>
      <c r="BA755" s="46">
        <v>0</v>
      </c>
      <c r="BB755" s="46">
        <v>0</v>
      </c>
      <c r="BC755" s="46">
        <v>0</v>
      </c>
      <c r="BD755" s="46">
        <v>0</v>
      </c>
      <c r="BE755" s="46">
        <v>0</v>
      </c>
      <c r="BF755" s="46">
        <v>0</v>
      </c>
      <c r="BG755" s="46" t="s">
        <v>48</v>
      </c>
      <c r="BH755" s="46">
        <v>0</v>
      </c>
      <c r="BI755" s="46">
        <v>0</v>
      </c>
      <c r="BJ755" s="46">
        <v>0</v>
      </c>
      <c r="BK755" s="46">
        <v>0</v>
      </c>
      <c r="BL755" s="46">
        <v>0</v>
      </c>
      <c r="BM755" s="46">
        <v>0</v>
      </c>
      <c r="BN755" s="46">
        <v>0</v>
      </c>
    </row>
    <row r="756" spans="1:66" x14ac:dyDescent="0.35">
      <c r="A756" t="s">
        <v>9905</v>
      </c>
      <c r="B756" s="44" t="s">
        <v>48</v>
      </c>
      <c r="C756" t="s">
        <v>12006</v>
      </c>
      <c r="D756" t="s">
        <v>437</v>
      </c>
      <c r="E756" t="s">
        <v>9906</v>
      </c>
      <c r="F756" t="s">
        <v>3793</v>
      </c>
      <c r="G756" t="s">
        <v>47</v>
      </c>
      <c r="H756">
        <v>0</v>
      </c>
      <c r="I756" s="61">
        <v>44782</v>
      </c>
      <c r="J756" s="33" t="s">
        <v>45</v>
      </c>
      <c r="K756" s="46">
        <v>0</v>
      </c>
      <c r="L756">
        <v>53.7</v>
      </c>
      <c r="M756" t="s">
        <v>48</v>
      </c>
      <c r="N756" s="46">
        <v>1</v>
      </c>
      <c r="O756" s="46">
        <v>0</v>
      </c>
      <c r="P756" s="46">
        <v>0</v>
      </c>
      <c r="Q756" t="s">
        <v>48</v>
      </c>
      <c r="R756" t="s">
        <v>48</v>
      </c>
      <c r="S756" s="43" t="s">
        <v>10229</v>
      </c>
      <c r="T756" s="43" t="s">
        <v>48</v>
      </c>
      <c r="U756" s="43" t="s">
        <v>10229</v>
      </c>
      <c r="V756" s="47">
        <v>0</v>
      </c>
      <c r="W756" t="s">
        <v>48</v>
      </c>
      <c r="X756" t="s">
        <v>48</v>
      </c>
      <c r="Y756" t="s">
        <v>48</v>
      </c>
      <c r="Z756" t="s">
        <v>48</v>
      </c>
      <c r="AA756" t="s">
        <v>48</v>
      </c>
      <c r="AB756" t="s">
        <v>48</v>
      </c>
      <c r="AC756" t="s">
        <v>49</v>
      </c>
      <c r="AD756" t="s">
        <v>93</v>
      </c>
      <c r="AE756" t="s">
        <v>4532</v>
      </c>
      <c r="AF756" t="s">
        <v>48</v>
      </c>
      <c r="AG756" t="s">
        <v>48</v>
      </c>
      <c r="AH756" t="s">
        <v>48</v>
      </c>
      <c r="AI756" t="s">
        <v>48</v>
      </c>
      <c r="AJ756" t="s">
        <v>48</v>
      </c>
      <c r="AK756" t="s">
        <v>48</v>
      </c>
      <c r="AL756" t="s">
        <v>48</v>
      </c>
      <c r="AM756" t="s">
        <v>48</v>
      </c>
      <c r="AN756" t="s">
        <v>48</v>
      </c>
      <c r="AO756" t="s">
        <v>48</v>
      </c>
      <c r="AP756" s="46">
        <v>0</v>
      </c>
      <c r="AQ756" s="46">
        <v>0</v>
      </c>
      <c r="AR756" s="46">
        <v>0</v>
      </c>
      <c r="AS756" s="46">
        <v>0</v>
      </c>
      <c r="AT756" s="46">
        <v>0</v>
      </c>
      <c r="AU756" s="46">
        <v>0</v>
      </c>
      <c r="AV756" s="46">
        <v>0</v>
      </c>
      <c r="AW756" s="46">
        <v>0</v>
      </c>
      <c r="AX756" s="46">
        <v>0</v>
      </c>
      <c r="AY756" s="46">
        <v>0</v>
      </c>
      <c r="AZ756" s="46">
        <v>0</v>
      </c>
      <c r="BA756" s="46">
        <v>0</v>
      </c>
      <c r="BB756" s="46">
        <v>0</v>
      </c>
      <c r="BC756" s="46">
        <v>0</v>
      </c>
      <c r="BD756" s="46">
        <v>0</v>
      </c>
      <c r="BE756" s="46">
        <v>0</v>
      </c>
      <c r="BF756" s="46">
        <v>0</v>
      </c>
      <c r="BG756" s="46" t="s">
        <v>48</v>
      </c>
      <c r="BH756" s="46">
        <v>0</v>
      </c>
      <c r="BI756" s="46">
        <v>0</v>
      </c>
      <c r="BJ756" s="46">
        <v>0</v>
      </c>
      <c r="BK756" s="46">
        <v>0</v>
      </c>
      <c r="BL756" s="46">
        <v>0</v>
      </c>
      <c r="BM756" s="46">
        <v>0</v>
      </c>
      <c r="BN756" s="46">
        <v>0</v>
      </c>
    </row>
    <row r="757" spans="1:66" x14ac:dyDescent="0.35">
      <c r="A757" t="s">
        <v>3813</v>
      </c>
      <c r="B757" s="44" t="s">
        <v>48</v>
      </c>
      <c r="C757" t="s">
        <v>3815</v>
      </c>
      <c r="D757" t="s">
        <v>195</v>
      </c>
      <c r="E757" t="s">
        <v>9830</v>
      </c>
      <c r="F757" t="s">
        <v>3801</v>
      </c>
      <c r="G757" t="s">
        <v>74</v>
      </c>
      <c r="H757">
        <v>0</v>
      </c>
      <c r="I757" s="61">
        <v>44782</v>
      </c>
      <c r="J757" s="33" t="s">
        <v>45</v>
      </c>
      <c r="K757" s="46">
        <v>0</v>
      </c>
      <c r="L757">
        <v>100</v>
      </c>
      <c r="M757" t="s">
        <v>48</v>
      </c>
      <c r="N757" s="46">
        <v>1</v>
      </c>
      <c r="O757" s="46">
        <v>0</v>
      </c>
      <c r="P757" s="46">
        <v>0</v>
      </c>
      <c r="Q757" t="s">
        <v>48</v>
      </c>
      <c r="R757" t="s">
        <v>48</v>
      </c>
      <c r="S757" s="43" t="s">
        <v>3814</v>
      </c>
      <c r="T757" s="43" t="s">
        <v>48</v>
      </c>
      <c r="U757" s="43" t="s">
        <v>3814</v>
      </c>
      <c r="V757" s="47">
        <v>1</v>
      </c>
      <c r="W757" t="s">
        <v>48</v>
      </c>
      <c r="X757" t="s">
        <v>48</v>
      </c>
      <c r="Y757" t="s">
        <v>48</v>
      </c>
      <c r="Z757">
        <v>0</v>
      </c>
      <c r="AA757" t="s">
        <v>48</v>
      </c>
      <c r="AB757" t="s">
        <v>48</v>
      </c>
      <c r="AC757" t="s">
        <v>49</v>
      </c>
      <c r="AD757" t="s">
        <v>93</v>
      </c>
      <c r="AE757" t="s">
        <v>4532</v>
      </c>
      <c r="AF757" t="s">
        <v>48</v>
      </c>
      <c r="AG757" t="s">
        <v>48</v>
      </c>
      <c r="AH757" t="s">
        <v>48</v>
      </c>
      <c r="AI757" t="s">
        <v>48</v>
      </c>
      <c r="AJ757" t="s">
        <v>48</v>
      </c>
      <c r="AK757" t="s">
        <v>48</v>
      </c>
      <c r="AL757" t="s">
        <v>48</v>
      </c>
      <c r="AM757" t="s">
        <v>48</v>
      </c>
      <c r="AN757" t="s">
        <v>48</v>
      </c>
      <c r="AO757" t="s">
        <v>48</v>
      </c>
      <c r="AP757" s="46">
        <v>0</v>
      </c>
      <c r="AQ757" s="46">
        <v>0</v>
      </c>
      <c r="AR757" s="46">
        <v>0</v>
      </c>
      <c r="AS757" s="46">
        <v>0</v>
      </c>
      <c r="AT757" s="46">
        <v>0</v>
      </c>
      <c r="AU757" s="46">
        <v>0</v>
      </c>
      <c r="AV757" s="46">
        <v>0</v>
      </c>
      <c r="AW757" s="46">
        <v>0</v>
      </c>
      <c r="AX757" s="46">
        <v>0</v>
      </c>
      <c r="AY757" s="46">
        <v>0</v>
      </c>
      <c r="AZ757" s="46">
        <v>0</v>
      </c>
      <c r="BA757" s="46">
        <v>0</v>
      </c>
      <c r="BB757" s="46">
        <v>0</v>
      </c>
      <c r="BC757" s="46">
        <v>0</v>
      </c>
      <c r="BD757" s="46">
        <v>0</v>
      </c>
      <c r="BE757" s="46">
        <v>0</v>
      </c>
      <c r="BF757" s="46">
        <v>0</v>
      </c>
      <c r="BG757" s="46" t="s">
        <v>48</v>
      </c>
      <c r="BH757" s="46">
        <v>0</v>
      </c>
      <c r="BI757" s="46">
        <v>0</v>
      </c>
      <c r="BJ757" s="46">
        <v>0</v>
      </c>
      <c r="BK757" s="46">
        <v>0</v>
      </c>
      <c r="BL757" s="46">
        <v>0</v>
      </c>
      <c r="BM757" s="46">
        <v>0</v>
      </c>
      <c r="BN757" s="46">
        <v>0</v>
      </c>
    </row>
    <row r="758" spans="1:66" x14ac:dyDescent="0.35">
      <c r="A758" t="s">
        <v>3819</v>
      </c>
      <c r="B758" t="s">
        <v>48</v>
      </c>
      <c r="C758" t="s">
        <v>3822</v>
      </c>
      <c r="D758" t="s">
        <v>355</v>
      </c>
      <c r="E758" t="s">
        <v>9911</v>
      </c>
      <c r="F758" t="s">
        <v>3801</v>
      </c>
      <c r="G758" t="s">
        <v>47</v>
      </c>
      <c r="H758">
        <v>0</v>
      </c>
      <c r="I758" s="61">
        <v>44782</v>
      </c>
      <c r="J758" s="33" t="s">
        <v>45</v>
      </c>
      <c r="K758" s="46">
        <v>1</v>
      </c>
      <c r="L758">
        <v>78.7</v>
      </c>
      <c r="M758" t="s">
        <v>48</v>
      </c>
      <c r="N758" s="46">
        <v>1</v>
      </c>
      <c r="O758" s="46">
        <v>0</v>
      </c>
      <c r="P758" s="46">
        <v>0</v>
      </c>
      <c r="Q758" t="s">
        <v>48</v>
      </c>
      <c r="R758" t="s">
        <v>48</v>
      </c>
      <c r="S758" s="43" t="s">
        <v>3820</v>
      </c>
      <c r="T758" s="43" t="s">
        <v>3821</v>
      </c>
      <c r="U758" s="43" t="s">
        <v>3820</v>
      </c>
      <c r="V758" s="47">
        <v>0</v>
      </c>
      <c r="W758" t="s">
        <v>48</v>
      </c>
      <c r="X758" t="s">
        <v>48</v>
      </c>
      <c r="Y758" t="s">
        <v>48</v>
      </c>
      <c r="Z758">
        <v>1</v>
      </c>
      <c r="AA758" t="s">
        <v>48</v>
      </c>
      <c r="AB758">
        <v>2020</v>
      </c>
      <c r="AC758" t="s">
        <v>63</v>
      </c>
      <c r="AD758" t="s">
        <v>93</v>
      </c>
      <c r="AE758" t="s">
        <v>4532</v>
      </c>
      <c r="AF758" t="s">
        <v>48</v>
      </c>
      <c r="AG758" t="s">
        <v>140</v>
      </c>
      <c r="AH758" t="s">
        <v>93</v>
      </c>
      <c r="AI758">
        <v>22136</v>
      </c>
      <c r="AJ758">
        <v>1966</v>
      </c>
      <c r="AK758" t="s">
        <v>9008</v>
      </c>
      <c r="AL758" t="s">
        <v>9009</v>
      </c>
      <c r="AM758">
        <v>0.52600000000000002</v>
      </c>
      <c r="AN758">
        <v>0.16900000000000001</v>
      </c>
      <c r="AO758">
        <v>0.52600000000000002</v>
      </c>
      <c r="AP758" s="46">
        <v>0</v>
      </c>
      <c r="AQ758" s="46">
        <v>0</v>
      </c>
      <c r="AR758" s="46">
        <v>0</v>
      </c>
      <c r="AS758" s="46">
        <v>0</v>
      </c>
      <c r="AT758" s="46">
        <v>0</v>
      </c>
      <c r="AU758" s="46">
        <v>0</v>
      </c>
      <c r="AV758" s="46">
        <v>0</v>
      </c>
      <c r="AW758" s="46">
        <v>0</v>
      </c>
      <c r="AX758" s="46">
        <v>0</v>
      </c>
      <c r="AY758" s="46">
        <v>0</v>
      </c>
      <c r="AZ758" s="46">
        <v>1</v>
      </c>
      <c r="BA758" s="46">
        <v>0</v>
      </c>
      <c r="BB758" s="46">
        <v>1</v>
      </c>
      <c r="BC758" s="46">
        <v>0</v>
      </c>
      <c r="BD758" s="46">
        <v>0</v>
      </c>
      <c r="BE758" s="46">
        <v>0</v>
      </c>
      <c r="BF758" s="46">
        <v>0</v>
      </c>
      <c r="BG758" s="46">
        <v>1</v>
      </c>
      <c r="BH758" s="46">
        <v>0</v>
      </c>
      <c r="BI758" s="46">
        <v>0</v>
      </c>
      <c r="BJ758" s="46">
        <v>0</v>
      </c>
      <c r="BK758" s="46">
        <v>0</v>
      </c>
      <c r="BL758" s="46">
        <v>0</v>
      </c>
      <c r="BM758" s="46">
        <v>0</v>
      </c>
      <c r="BN758" s="46">
        <v>0</v>
      </c>
    </row>
    <row r="759" spans="1:66" x14ac:dyDescent="0.35">
      <c r="A759" t="s">
        <v>9831</v>
      </c>
      <c r="B759" s="44" t="s">
        <v>48</v>
      </c>
      <c r="C759" t="s">
        <v>12009</v>
      </c>
      <c r="D759" t="s">
        <v>373</v>
      </c>
      <c r="E759" t="s">
        <v>9832</v>
      </c>
      <c r="F759" t="s">
        <v>3805</v>
      </c>
      <c r="G759" t="s">
        <v>74</v>
      </c>
      <c r="H759">
        <v>0</v>
      </c>
      <c r="I759" s="61">
        <v>44782</v>
      </c>
      <c r="J759" s="33" t="s">
        <v>45</v>
      </c>
      <c r="K759" s="46">
        <v>0</v>
      </c>
      <c r="L759">
        <v>47.8</v>
      </c>
      <c r="M759" t="s">
        <v>48</v>
      </c>
      <c r="N759" s="46">
        <v>1</v>
      </c>
      <c r="O759" s="46">
        <v>0</v>
      </c>
      <c r="P759" s="46">
        <v>0</v>
      </c>
      <c r="Q759" t="s">
        <v>48</v>
      </c>
      <c r="R759" t="s">
        <v>48</v>
      </c>
      <c r="S759" s="43" t="s">
        <v>10232</v>
      </c>
      <c r="T759" s="43" t="s">
        <v>48</v>
      </c>
      <c r="U759" s="43" t="s">
        <v>10232</v>
      </c>
      <c r="V759" s="47">
        <v>1</v>
      </c>
      <c r="W759" t="s">
        <v>48</v>
      </c>
      <c r="X759" t="s">
        <v>48</v>
      </c>
      <c r="Y759" t="s">
        <v>48</v>
      </c>
      <c r="Z759" t="s">
        <v>48</v>
      </c>
      <c r="AA759" t="s">
        <v>48</v>
      </c>
      <c r="AB759" t="s">
        <v>48</v>
      </c>
      <c r="AC759" t="s">
        <v>49</v>
      </c>
      <c r="AD759" t="s">
        <v>93</v>
      </c>
      <c r="AE759" t="s">
        <v>4532</v>
      </c>
      <c r="AF759" t="s">
        <v>48</v>
      </c>
      <c r="AG759" t="s">
        <v>48</v>
      </c>
      <c r="AH759" t="s">
        <v>48</v>
      </c>
      <c r="AI759" t="s">
        <v>48</v>
      </c>
      <c r="AJ759" t="s">
        <v>48</v>
      </c>
      <c r="AK759" t="s">
        <v>48</v>
      </c>
      <c r="AL759" t="s">
        <v>48</v>
      </c>
      <c r="AM759" t="s">
        <v>48</v>
      </c>
      <c r="AN759" t="s">
        <v>48</v>
      </c>
      <c r="AO759" t="s">
        <v>48</v>
      </c>
      <c r="AP759" s="46">
        <v>0</v>
      </c>
      <c r="AQ759" s="46">
        <v>0</v>
      </c>
      <c r="AR759" s="46">
        <v>0</v>
      </c>
      <c r="AS759" s="46">
        <v>0</v>
      </c>
      <c r="AT759" s="46">
        <v>0</v>
      </c>
      <c r="AU759" s="46">
        <v>0</v>
      </c>
      <c r="AV759" s="46">
        <v>0</v>
      </c>
      <c r="AW759" s="46">
        <v>0</v>
      </c>
      <c r="AX759" s="46">
        <v>0</v>
      </c>
      <c r="AY759" s="46">
        <v>0</v>
      </c>
      <c r="AZ759" s="46">
        <v>0</v>
      </c>
      <c r="BA759" s="46">
        <v>0</v>
      </c>
      <c r="BB759" s="46">
        <v>0</v>
      </c>
      <c r="BC759" s="46">
        <v>0</v>
      </c>
      <c r="BD759" s="46">
        <v>0</v>
      </c>
      <c r="BE759" s="46">
        <v>0</v>
      </c>
      <c r="BF759" s="46">
        <v>0</v>
      </c>
      <c r="BG759" s="46" t="s">
        <v>48</v>
      </c>
      <c r="BH759" s="46">
        <v>0</v>
      </c>
      <c r="BI759" s="46">
        <v>0</v>
      </c>
      <c r="BJ759" s="46">
        <v>0</v>
      </c>
      <c r="BK759" s="46">
        <v>0</v>
      </c>
      <c r="BL759" s="46">
        <v>0</v>
      </c>
      <c r="BM759" s="46">
        <v>0</v>
      </c>
      <c r="BN759" s="46">
        <v>0</v>
      </c>
    </row>
    <row r="760" spans="1:66" x14ac:dyDescent="0.35">
      <c r="A760" t="s">
        <v>3810</v>
      </c>
      <c r="B760" s="44" t="s">
        <v>48</v>
      </c>
      <c r="C760" t="s">
        <v>603</v>
      </c>
      <c r="D760" t="s">
        <v>221</v>
      </c>
      <c r="E760" t="s">
        <v>3811</v>
      </c>
      <c r="F760" t="s">
        <v>3805</v>
      </c>
      <c r="G760" t="s">
        <v>47</v>
      </c>
      <c r="H760">
        <v>0</v>
      </c>
      <c r="I760" s="60" t="s">
        <v>125</v>
      </c>
      <c r="J760" s="33" t="s">
        <v>45</v>
      </c>
      <c r="K760" s="46">
        <v>0</v>
      </c>
      <c r="L760">
        <v>86.3</v>
      </c>
      <c r="M760" t="s">
        <v>48</v>
      </c>
      <c r="N760" s="46">
        <v>1</v>
      </c>
      <c r="O760" s="46">
        <v>0</v>
      </c>
      <c r="P760" s="46">
        <v>0</v>
      </c>
      <c r="Q760" t="s">
        <v>48</v>
      </c>
      <c r="R760" t="s">
        <v>48</v>
      </c>
      <c r="S760" t="s">
        <v>3812</v>
      </c>
      <c r="T760" t="s">
        <v>48</v>
      </c>
      <c r="U760" t="s">
        <v>3812</v>
      </c>
      <c r="V760" s="47">
        <v>1</v>
      </c>
      <c r="W760" t="s">
        <v>48</v>
      </c>
      <c r="X760" t="s">
        <v>48</v>
      </c>
      <c r="Y760" t="s">
        <v>48</v>
      </c>
      <c r="Z760">
        <v>0</v>
      </c>
      <c r="AA760" t="s">
        <v>48</v>
      </c>
      <c r="AB760" t="s">
        <v>48</v>
      </c>
      <c r="AC760" t="s">
        <v>49</v>
      </c>
      <c r="AD760" t="s">
        <v>93</v>
      </c>
      <c r="AE760" s="40" t="s">
        <v>2471</v>
      </c>
      <c r="AF760" t="s">
        <v>11061</v>
      </c>
      <c r="AG760" t="s">
        <v>48</v>
      </c>
      <c r="AH760" t="s">
        <v>48</v>
      </c>
      <c r="AI760" t="s">
        <v>48</v>
      </c>
      <c r="AJ760" t="s">
        <v>48</v>
      </c>
      <c r="AK760" t="s">
        <v>48</v>
      </c>
      <c r="AL760" t="s">
        <v>48</v>
      </c>
      <c r="AM760" t="s">
        <v>48</v>
      </c>
      <c r="AN760" t="s">
        <v>48</v>
      </c>
      <c r="AO760" t="s">
        <v>48</v>
      </c>
      <c r="AP760" s="46">
        <v>0</v>
      </c>
      <c r="AQ760" s="46">
        <v>0</v>
      </c>
      <c r="AR760" s="46">
        <v>0</v>
      </c>
      <c r="AS760" s="46">
        <v>0</v>
      </c>
      <c r="AT760" s="46">
        <v>0</v>
      </c>
      <c r="AU760" s="46">
        <v>0</v>
      </c>
      <c r="AV760" s="46">
        <v>0</v>
      </c>
      <c r="AW760" s="46">
        <v>0</v>
      </c>
      <c r="AX760" s="46">
        <v>0</v>
      </c>
      <c r="AY760" s="46">
        <v>0</v>
      </c>
      <c r="AZ760" s="46">
        <v>0</v>
      </c>
      <c r="BA760" s="46">
        <v>0</v>
      </c>
      <c r="BB760" s="46">
        <v>0</v>
      </c>
      <c r="BC760" s="46">
        <v>1</v>
      </c>
      <c r="BD760" s="46">
        <v>0</v>
      </c>
      <c r="BE760" s="46">
        <v>0</v>
      </c>
      <c r="BF760" s="46">
        <v>0</v>
      </c>
      <c r="BG760" s="46" t="s">
        <v>48</v>
      </c>
      <c r="BH760" s="46">
        <v>0</v>
      </c>
      <c r="BI760" s="46">
        <v>0</v>
      </c>
      <c r="BJ760" s="46">
        <v>0</v>
      </c>
      <c r="BK760" s="46">
        <v>0</v>
      </c>
      <c r="BL760" s="46">
        <v>0</v>
      </c>
      <c r="BM760" s="46">
        <v>0</v>
      </c>
      <c r="BN760" s="46">
        <v>0</v>
      </c>
    </row>
    <row r="761" spans="1:66" x14ac:dyDescent="0.35">
      <c r="A761" t="s">
        <v>3832</v>
      </c>
      <c r="B761" t="s">
        <v>48</v>
      </c>
      <c r="C761" t="s">
        <v>3837</v>
      </c>
      <c r="D761" t="s">
        <v>3836</v>
      </c>
      <c r="E761" t="s">
        <v>3833</v>
      </c>
      <c r="F761" t="s">
        <v>3828</v>
      </c>
      <c r="G761" t="s">
        <v>74</v>
      </c>
      <c r="H761">
        <v>0</v>
      </c>
      <c r="I761" s="60" t="s">
        <v>51</v>
      </c>
      <c r="J761" s="33" t="s">
        <v>45</v>
      </c>
      <c r="K761" s="46">
        <v>1</v>
      </c>
      <c r="L761">
        <v>59.9</v>
      </c>
      <c r="M761" t="s">
        <v>48</v>
      </c>
      <c r="N761" s="46">
        <v>1</v>
      </c>
      <c r="O761" s="46">
        <v>0</v>
      </c>
      <c r="P761" s="46">
        <v>0</v>
      </c>
      <c r="Q761" t="s">
        <v>48</v>
      </c>
      <c r="R761" t="s">
        <v>48</v>
      </c>
      <c r="S761" t="s">
        <v>3834</v>
      </c>
      <c r="T761" t="s">
        <v>3835</v>
      </c>
      <c r="U761" t="s">
        <v>3834</v>
      </c>
      <c r="V761" s="47">
        <v>0</v>
      </c>
      <c r="W761" t="s">
        <v>48</v>
      </c>
      <c r="X761" t="s">
        <v>48</v>
      </c>
      <c r="Y761" t="s">
        <v>48</v>
      </c>
      <c r="Z761">
        <v>0</v>
      </c>
      <c r="AA761" t="s">
        <v>48</v>
      </c>
      <c r="AB761">
        <v>2018</v>
      </c>
      <c r="AC761" t="s">
        <v>63</v>
      </c>
      <c r="AD761" t="s">
        <v>93</v>
      </c>
      <c r="AE761" t="s">
        <v>4532</v>
      </c>
      <c r="AF761" t="s">
        <v>48</v>
      </c>
      <c r="AG761" t="s">
        <v>112</v>
      </c>
      <c r="AH761" t="s">
        <v>93</v>
      </c>
      <c r="AI761">
        <v>21972</v>
      </c>
      <c r="AJ761">
        <v>1983</v>
      </c>
      <c r="AK761" t="s">
        <v>9010</v>
      </c>
      <c r="AL761" t="s">
        <v>9011</v>
      </c>
      <c r="AM761">
        <v>-0.35099999999999998</v>
      </c>
      <c r="AN761">
        <v>0.38100000000000001</v>
      </c>
      <c r="AO761">
        <v>-0.35099999999999998</v>
      </c>
      <c r="AP761" s="46">
        <v>0</v>
      </c>
      <c r="AQ761" s="46">
        <v>0</v>
      </c>
      <c r="AR761" s="46">
        <v>0</v>
      </c>
      <c r="AS761" s="46">
        <v>0</v>
      </c>
      <c r="AT761" s="46">
        <v>0</v>
      </c>
      <c r="AU761" s="46">
        <v>1</v>
      </c>
      <c r="AV761" s="46">
        <v>0</v>
      </c>
      <c r="AW761" s="46">
        <v>0</v>
      </c>
      <c r="AX761" s="46">
        <v>0</v>
      </c>
      <c r="AY761" s="46">
        <v>0</v>
      </c>
      <c r="AZ761" s="46">
        <v>0</v>
      </c>
      <c r="BA761" s="46">
        <v>1</v>
      </c>
      <c r="BB761" s="46">
        <v>0</v>
      </c>
      <c r="BC761" s="46">
        <v>0</v>
      </c>
      <c r="BD761" s="46">
        <v>0</v>
      </c>
      <c r="BE761" s="46">
        <v>0</v>
      </c>
      <c r="BF761" s="46">
        <v>0</v>
      </c>
      <c r="BG761" s="46" t="s">
        <v>48</v>
      </c>
      <c r="BH761" s="46">
        <v>0</v>
      </c>
      <c r="BI761" s="46">
        <v>0</v>
      </c>
      <c r="BJ761" s="46">
        <v>0</v>
      </c>
      <c r="BK761" s="46">
        <v>0</v>
      </c>
      <c r="BL761" s="46">
        <v>0</v>
      </c>
      <c r="BM761" s="46">
        <v>0</v>
      </c>
      <c r="BN761" s="46">
        <v>0</v>
      </c>
    </row>
    <row r="762" spans="1:66" x14ac:dyDescent="0.35">
      <c r="A762" t="s">
        <v>9914</v>
      </c>
      <c r="B762" s="44" t="s">
        <v>48</v>
      </c>
      <c r="C762" t="s">
        <v>11964</v>
      </c>
      <c r="D762" t="s">
        <v>655</v>
      </c>
      <c r="E762" t="s">
        <v>9915</v>
      </c>
      <c r="F762" t="s">
        <v>3828</v>
      </c>
      <c r="G762" t="s">
        <v>47</v>
      </c>
      <c r="H762">
        <v>0</v>
      </c>
      <c r="I762" s="61">
        <v>44782</v>
      </c>
      <c r="J762" s="33" t="s">
        <v>45</v>
      </c>
      <c r="K762" s="46">
        <v>0</v>
      </c>
      <c r="L762">
        <v>70.5</v>
      </c>
      <c r="M762" t="s">
        <v>48</v>
      </c>
      <c r="N762" s="46">
        <v>1</v>
      </c>
      <c r="O762" s="46">
        <v>0</v>
      </c>
      <c r="P762" s="46">
        <v>0</v>
      </c>
      <c r="Q762" t="s">
        <v>48</v>
      </c>
      <c r="R762" t="s">
        <v>48</v>
      </c>
      <c r="S762" s="43" t="s">
        <v>10236</v>
      </c>
      <c r="T762" s="43" t="s">
        <v>48</v>
      </c>
      <c r="U762" s="43" t="s">
        <v>10236</v>
      </c>
      <c r="V762" s="47">
        <v>0</v>
      </c>
      <c r="W762" t="s">
        <v>48</v>
      </c>
      <c r="X762" t="s">
        <v>48</v>
      </c>
      <c r="Y762" t="s">
        <v>48</v>
      </c>
      <c r="Z762" t="s">
        <v>48</v>
      </c>
      <c r="AA762" t="s">
        <v>48</v>
      </c>
      <c r="AB762" t="s">
        <v>48</v>
      </c>
      <c r="AC762" t="s">
        <v>49</v>
      </c>
      <c r="AD762" t="s">
        <v>93</v>
      </c>
      <c r="AE762" t="s">
        <v>11149</v>
      </c>
      <c r="AF762" t="s">
        <v>48</v>
      </c>
      <c r="AG762" t="s">
        <v>48</v>
      </c>
      <c r="AH762" t="s">
        <v>48</v>
      </c>
      <c r="AI762" t="s">
        <v>48</v>
      </c>
      <c r="AJ762" t="s">
        <v>48</v>
      </c>
      <c r="AK762" t="s">
        <v>48</v>
      </c>
      <c r="AL762" t="s">
        <v>48</v>
      </c>
      <c r="AM762" t="s">
        <v>48</v>
      </c>
      <c r="AN762" t="s">
        <v>48</v>
      </c>
      <c r="AO762" t="s">
        <v>48</v>
      </c>
      <c r="AP762" s="46">
        <v>0</v>
      </c>
      <c r="AQ762" s="46">
        <v>0</v>
      </c>
      <c r="AR762" s="46">
        <v>0</v>
      </c>
      <c r="AS762" s="46">
        <v>0</v>
      </c>
      <c r="AT762" s="46">
        <v>0</v>
      </c>
      <c r="AU762" s="46">
        <v>0</v>
      </c>
      <c r="AV762" s="46">
        <v>0</v>
      </c>
      <c r="AW762" s="46">
        <v>0</v>
      </c>
      <c r="AX762" s="46">
        <v>0</v>
      </c>
      <c r="AY762" s="46">
        <v>0</v>
      </c>
      <c r="AZ762" s="46">
        <v>0</v>
      </c>
      <c r="BA762" s="46">
        <v>0</v>
      </c>
      <c r="BB762" s="46">
        <v>0</v>
      </c>
      <c r="BC762" s="46">
        <v>0</v>
      </c>
      <c r="BD762" s="46">
        <v>0</v>
      </c>
      <c r="BE762" s="46">
        <v>0</v>
      </c>
      <c r="BF762" s="46">
        <v>0</v>
      </c>
      <c r="BG762" s="46" t="s">
        <v>48</v>
      </c>
      <c r="BH762" s="46">
        <v>0</v>
      </c>
      <c r="BI762" s="46">
        <v>0</v>
      </c>
      <c r="BJ762" s="46">
        <v>0</v>
      </c>
      <c r="BK762" s="46">
        <v>0</v>
      </c>
      <c r="BL762" s="46">
        <v>0</v>
      </c>
      <c r="BM762" s="46">
        <v>0</v>
      </c>
      <c r="BN762" s="46">
        <v>0</v>
      </c>
    </row>
    <row r="763" spans="1:66" x14ac:dyDescent="0.35">
      <c r="A763" t="s">
        <v>3876</v>
      </c>
      <c r="B763" s="44" t="s">
        <v>48</v>
      </c>
      <c r="C763" t="s">
        <v>3880</v>
      </c>
      <c r="D763" t="s">
        <v>3879</v>
      </c>
      <c r="E763" t="s">
        <v>9838</v>
      </c>
      <c r="F763" t="s">
        <v>3839</v>
      </c>
      <c r="G763" t="s">
        <v>74</v>
      </c>
      <c r="H763">
        <v>0</v>
      </c>
      <c r="I763" s="61">
        <v>44782</v>
      </c>
      <c r="J763" s="33" t="s">
        <v>45</v>
      </c>
      <c r="K763" s="46">
        <v>1</v>
      </c>
      <c r="L763">
        <v>63.8</v>
      </c>
      <c r="M763" t="s">
        <v>48</v>
      </c>
      <c r="N763" s="46">
        <v>1</v>
      </c>
      <c r="O763" s="46">
        <v>0</v>
      </c>
      <c r="P763" s="46">
        <v>0</v>
      </c>
      <c r="Q763" t="s">
        <v>48</v>
      </c>
      <c r="R763" t="s">
        <v>48</v>
      </c>
      <c r="S763" s="43" t="s">
        <v>3877</v>
      </c>
      <c r="T763" s="43" t="s">
        <v>3878</v>
      </c>
      <c r="U763" s="43" t="s">
        <v>3877</v>
      </c>
      <c r="V763" s="47">
        <v>0</v>
      </c>
      <c r="W763" t="s">
        <v>48</v>
      </c>
      <c r="X763" t="s">
        <v>48</v>
      </c>
      <c r="Y763" t="s">
        <v>48</v>
      </c>
      <c r="Z763">
        <v>0</v>
      </c>
      <c r="AA763" t="s">
        <v>48</v>
      </c>
      <c r="AB763">
        <v>2018</v>
      </c>
      <c r="AC763" t="s">
        <v>63</v>
      </c>
      <c r="AD763" t="s">
        <v>93</v>
      </c>
      <c r="AE763" t="s">
        <v>11051</v>
      </c>
      <c r="AF763" t="s">
        <v>11087</v>
      </c>
      <c r="AG763" t="s">
        <v>148</v>
      </c>
      <c r="AH763" t="s">
        <v>93</v>
      </c>
      <c r="AI763">
        <v>21975</v>
      </c>
      <c r="AJ763">
        <v>1976</v>
      </c>
      <c r="AK763" t="s">
        <v>9014</v>
      </c>
      <c r="AL763" t="s">
        <v>9015</v>
      </c>
      <c r="AM763">
        <v>-0.25900000000000001</v>
      </c>
      <c r="AN763">
        <v>-0.96599999999999997</v>
      </c>
      <c r="AO763" s="39">
        <v>-0.8</v>
      </c>
      <c r="AP763" s="46">
        <v>1</v>
      </c>
      <c r="AQ763" s="46">
        <v>1</v>
      </c>
      <c r="AR763" s="46">
        <v>0</v>
      </c>
      <c r="AS763" s="46">
        <v>1</v>
      </c>
      <c r="AT763" s="46">
        <v>1</v>
      </c>
      <c r="AU763" s="46">
        <v>0</v>
      </c>
      <c r="AV763" s="46">
        <v>0</v>
      </c>
      <c r="AW763" s="46">
        <v>0</v>
      </c>
      <c r="AX763" s="46">
        <v>0</v>
      </c>
      <c r="AY763" s="46">
        <v>0</v>
      </c>
      <c r="AZ763" s="46">
        <v>0</v>
      </c>
      <c r="BA763" s="46">
        <v>0</v>
      </c>
      <c r="BB763" s="46">
        <v>0</v>
      </c>
      <c r="BC763" s="46">
        <v>0</v>
      </c>
      <c r="BD763" s="46">
        <v>0</v>
      </c>
      <c r="BE763" s="46">
        <v>0</v>
      </c>
      <c r="BF763" s="46">
        <v>0</v>
      </c>
      <c r="BG763" s="46" t="s">
        <v>48</v>
      </c>
      <c r="BH763" s="46">
        <v>0</v>
      </c>
      <c r="BI763" s="46">
        <v>0</v>
      </c>
      <c r="BJ763" s="46">
        <v>0</v>
      </c>
      <c r="BK763" s="46">
        <v>1</v>
      </c>
      <c r="BL763" s="46">
        <v>0</v>
      </c>
      <c r="BM763" s="46">
        <v>0</v>
      </c>
      <c r="BN763" s="46">
        <v>0</v>
      </c>
    </row>
    <row r="764" spans="1:66" x14ac:dyDescent="0.35">
      <c r="A764" t="s">
        <v>9916</v>
      </c>
      <c r="B764" t="s">
        <v>12401</v>
      </c>
      <c r="C764" s="39" t="s">
        <v>12400</v>
      </c>
      <c r="D764" t="s">
        <v>76</v>
      </c>
      <c r="E764" t="s">
        <v>11290</v>
      </c>
      <c r="F764" t="s">
        <v>3839</v>
      </c>
      <c r="G764" t="s">
        <v>47</v>
      </c>
      <c r="H764">
        <v>0</v>
      </c>
      <c r="I764" s="61" t="s">
        <v>11160</v>
      </c>
      <c r="J764" s="33" t="s">
        <v>45</v>
      </c>
      <c r="K764" s="46">
        <v>0</v>
      </c>
      <c r="L764">
        <v>52.9</v>
      </c>
      <c r="M764" t="s">
        <v>48</v>
      </c>
      <c r="N764" s="46">
        <v>1</v>
      </c>
      <c r="O764" s="46">
        <v>0</v>
      </c>
      <c r="P764" s="46">
        <v>0</v>
      </c>
      <c r="Q764" t="s">
        <v>48</v>
      </c>
      <c r="R764" t="s">
        <v>48</v>
      </c>
      <c r="S764" s="43" t="s">
        <v>10239</v>
      </c>
      <c r="T764" s="43" t="s">
        <v>48</v>
      </c>
      <c r="U764" s="43" t="s">
        <v>10239</v>
      </c>
      <c r="V764" s="47">
        <v>0</v>
      </c>
      <c r="W764" t="s">
        <v>48</v>
      </c>
      <c r="X764" t="s">
        <v>48</v>
      </c>
      <c r="Y764" t="s">
        <v>48</v>
      </c>
      <c r="Z764" t="s">
        <v>48</v>
      </c>
      <c r="AA764" t="s">
        <v>48</v>
      </c>
      <c r="AB764" t="s">
        <v>48</v>
      </c>
      <c r="AC764" t="s">
        <v>49</v>
      </c>
      <c r="AD764" t="s">
        <v>93</v>
      </c>
      <c r="AE764" t="s">
        <v>4532</v>
      </c>
      <c r="AF764" t="s">
        <v>48</v>
      </c>
      <c r="AG764" t="s">
        <v>48</v>
      </c>
      <c r="AH764" t="s">
        <v>48</v>
      </c>
      <c r="AI764" t="s">
        <v>48</v>
      </c>
      <c r="AJ764" t="s">
        <v>48</v>
      </c>
      <c r="AK764" t="s">
        <v>48</v>
      </c>
      <c r="AL764" t="s">
        <v>48</v>
      </c>
      <c r="AM764" t="s">
        <v>48</v>
      </c>
      <c r="AN764" t="s">
        <v>48</v>
      </c>
      <c r="AO764" t="s">
        <v>48</v>
      </c>
      <c r="AP764" s="46">
        <v>0</v>
      </c>
      <c r="AQ764" s="46">
        <v>0</v>
      </c>
      <c r="AR764" s="46">
        <v>0</v>
      </c>
      <c r="AS764" s="46">
        <v>0</v>
      </c>
      <c r="AT764" s="46">
        <v>0</v>
      </c>
      <c r="AU764" s="46">
        <v>0</v>
      </c>
      <c r="AV764" s="46">
        <v>0</v>
      </c>
      <c r="AW764" s="46">
        <v>0</v>
      </c>
      <c r="AX764" s="46">
        <v>0</v>
      </c>
      <c r="AY764" s="46">
        <v>0</v>
      </c>
      <c r="AZ764" s="46">
        <v>0</v>
      </c>
      <c r="BA764" s="46">
        <v>0</v>
      </c>
      <c r="BB764" s="46">
        <v>0</v>
      </c>
      <c r="BC764" s="46">
        <v>0</v>
      </c>
      <c r="BD764" s="46">
        <v>0</v>
      </c>
      <c r="BE764" s="46">
        <v>0</v>
      </c>
      <c r="BF764" s="46">
        <v>0</v>
      </c>
      <c r="BG764" s="46" t="s">
        <v>48</v>
      </c>
      <c r="BH764" s="46">
        <v>0</v>
      </c>
      <c r="BI764" s="46">
        <v>0</v>
      </c>
      <c r="BJ764" s="46">
        <v>0</v>
      </c>
      <c r="BK764" s="46">
        <v>0</v>
      </c>
      <c r="BL764" s="46">
        <v>0</v>
      </c>
      <c r="BM764" s="46">
        <v>0</v>
      </c>
      <c r="BN764" s="46">
        <v>0</v>
      </c>
    </row>
    <row r="765" spans="1:66" x14ac:dyDescent="0.35">
      <c r="A765" t="s">
        <v>9921</v>
      </c>
      <c r="B765" s="44" t="s">
        <v>48</v>
      </c>
      <c r="C765" t="s">
        <v>12014</v>
      </c>
      <c r="D765" t="s">
        <v>12015</v>
      </c>
      <c r="E765" t="s">
        <v>9922</v>
      </c>
      <c r="F765" t="s">
        <v>3851</v>
      </c>
      <c r="G765" t="s">
        <v>47</v>
      </c>
      <c r="H765">
        <v>0</v>
      </c>
      <c r="I765" s="61">
        <v>44782</v>
      </c>
      <c r="J765" s="33" t="s">
        <v>45</v>
      </c>
      <c r="K765" s="46">
        <v>0</v>
      </c>
      <c r="L765">
        <v>100</v>
      </c>
      <c r="M765" t="s">
        <v>48</v>
      </c>
      <c r="N765" s="46">
        <v>1</v>
      </c>
      <c r="O765" s="46">
        <v>0</v>
      </c>
      <c r="P765" s="46">
        <v>0</v>
      </c>
      <c r="Q765" t="s">
        <v>48</v>
      </c>
      <c r="R765" t="s">
        <v>48</v>
      </c>
      <c r="S765" s="43" t="s">
        <v>10247</v>
      </c>
      <c r="T765" s="43" t="s">
        <v>48</v>
      </c>
      <c r="U765" s="43" t="s">
        <v>10247</v>
      </c>
      <c r="V765" s="47">
        <v>0</v>
      </c>
      <c r="W765" t="s">
        <v>48</v>
      </c>
      <c r="X765" t="s">
        <v>48</v>
      </c>
      <c r="Y765" t="s">
        <v>48</v>
      </c>
      <c r="Z765" t="s">
        <v>48</v>
      </c>
      <c r="AA765" t="s">
        <v>48</v>
      </c>
      <c r="AB765" t="s">
        <v>48</v>
      </c>
      <c r="AC765" t="s">
        <v>49</v>
      </c>
      <c r="AD765" t="s">
        <v>93</v>
      </c>
      <c r="AE765" s="40" t="s">
        <v>2471</v>
      </c>
      <c r="AF765" t="s">
        <v>48</v>
      </c>
      <c r="AG765" t="s">
        <v>48</v>
      </c>
      <c r="AH765" t="s">
        <v>48</v>
      </c>
      <c r="AI765" t="s">
        <v>48</v>
      </c>
      <c r="AJ765" t="s">
        <v>48</v>
      </c>
      <c r="AK765" t="s">
        <v>48</v>
      </c>
      <c r="AL765" t="s">
        <v>48</v>
      </c>
      <c r="AM765" t="s">
        <v>48</v>
      </c>
      <c r="AN765" t="s">
        <v>48</v>
      </c>
      <c r="AO765" t="s">
        <v>48</v>
      </c>
      <c r="AP765" s="46">
        <v>0</v>
      </c>
      <c r="AQ765" s="46">
        <v>0</v>
      </c>
      <c r="AR765" s="46">
        <v>0</v>
      </c>
      <c r="AS765" s="46">
        <v>0</v>
      </c>
      <c r="AT765" s="46">
        <v>0</v>
      </c>
      <c r="AU765" s="46">
        <v>0</v>
      </c>
      <c r="AV765" s="46">
        <v>0</v>
      </c>
      <c r="AW765" s="46">
        <v>0</v>
      </c>
      <c r="AX765" s="46">
        <v>0</v>
      </c>
      <c r="AY765" s="46">
        <v>0</v>
      </c>
      <c r="AZ765" s="46">
        <v>0</v>
      </c>
      <c r="BA765" s="46">
        <v>0</v>
      </c>
      <c r="BB765" s="46">
        <v>0</v>
      </c>
      <c r="BC765" s="46">
        <v>0</v>
      </c>
      <c r="BD765" s="46">
        <v>0</v>
      </c>
      <c r="BE765" s="46">
        <v>0</v>
      </c>
      <c r="BF765" s="46">
        <v>0</v>
      </c>
      <c r="BG765" s="46" t="s">
        <v>48</v>
      </c>
      <c r="BH765" s="46">
        <v>0</v>
      </c>
      <c r="BI765" s="46">
        <v>0</v>
      </c>
      <c r="BJ765" s="46">
        <v>0</v>
      </c>
      <c r="BK765" s="46">
        <v>0</v>
      </c>
      <c r="BL765" s="46">
        <v>0</v>
      </c>
      <c r="BM765" s="46">
        <v>0</v>
      </c>
      <c r="BN765" s="46">
        <v>0</v>
      </c>
    </row>
    <row r="766" spans="1:66" x14ac:dyDescent="0.35">
      <c r="A766" t="s">
        <v>3872</v>
      </c>
      <c r="B766" s="44" t="s">
        <v>48</v>
      </c>
      <c r="C766" t="s">
        <v>3875</v>
      </c>
      <c r="D766" t="s">
        <v>3874</v>
      </c>
      <c r="E766" t="s">
        <v>3873</v>
      </c>
      <c r="F766" t="s">
        <v>3851</v>
      </c>
      <c r="G766" t="s">
        <v>74</v>
      </c>
      <c r="H766">
        <v>0</v>
      </c>
      <c r="I766" s="60" t="s">
        <v>149</v>
      </c>
      <c r="J766" s="33" t="s">
        <v>45</v>
      </c>
      <c r="K766" s="46">
        <v>0</v>
      </c>
      <c r="L766">
        <v>28.3</v>
      </c>
      <c r="M766" t="s">
        <v>48</v>
      </c>
      <c r="N766" s="46">
        <v>1</v>
      </c>
      <c r="O766" s="46">
        <v>0</v>
      </c>
      <c r="P766" s="46">
        <v>0</v>
      </c>
      <c r="Q766" t="s">
        <v>48</v>
      </c>
      <c r="R766" t="s">
        <v>48</v>
      </c>
      <c r="S766" t="s">
        <v>10244</v>
      </c>
      <c r="T766" t="s">
        <v>48</v>
      </c>
      <c r="U766" t="s">
        <v>10244</v>
      </c>
      <c r="V766" s="47">
        <v>0</v>
      </c>
      <c r="W766" t="s">
        <v>48</v>
      </c>
      <c r="X766" t="s">
        <v>48</v>
      </c>
      <c r="Y766" t="s">
        <v>48</v>
      </c>
      <c r="Z766">
        <v>0</v>
      </c>
      <c r="AA766" t="s">
        <v>48</v>
      </c>
      <c r="AB766" t="s">
        <v>48</v>
      </c>
      <c r="AC766" t="s">
        <v>49</v>
      </c>
      <c r="AD766" t="s">
        <v>93</v>
      </c>
      <c r="AE766" t="s">
        <v>977</v>
      </c>
      <c r="AF766" t="s">
        <v>11053</v>
      </c>
      <c r="AG766" t="s">
        <v>266</v>
      </c>
      <c r="AH766" t="s">
        <v>48</v>
      </c>
      <c r="AI766" t="s">
        <v>48</v>
      </c>
      <c r="AJ766" t="s">
        <v>48</v>
      </c>
      <c r="AK766" t="s">
        <v>48</v>
      </c>
      <c r="AL766" t="s">
        <v>48</v>
      </c>
      <c r="AM766" t="s">
        <v>48</v>
      </c>
      <c r="AN766" t="s">
        <v>48</v>
      </c>
      <c r="AO766" t="s">
        <v>48</v>
      </c>
      <c r="AP766" s="46">
        <v>0</v>
      </c>
      <c r="AQ766" s="46">
        <v>0</v>
      </c>
      <c r="AR766" s="46">
        <v>0</v>
      </c>
      <c r="AS766" s="46">
        <v>0</v>
      </c>
      <c r="AT766" s="46">
        <v>0</v>
      </c>
      <c r="AU766" s="46">
        <v>0</v>
      </c>
      <c r="AV766" s="46">
        <v>0</v>
      </c>
      <c r="AW766" s="46">
        <v>0</v>
      </c>
      <c r="AX766" s="46">
        <v>0</v>
      </c>
      <c r="AY766" s="46">
        <v>0</v>
      </c>
      <c r="AZ766" s="46">
        <v>0</v>
      </c>
      <c r="BA766" s="46">
        <v>0</v>
      </c>
      <c r="BB766" s="46">
        <v>0</v>
      </c>
      <c r="BC766" s="46">
        <v>0</v>
      </c>
      <c r="BD766" s="46">
        <v>0</v>
      </c>
      <c r="BE766" s="46">
        <v>0</v>
      </c>
      <c r="BF766" s="46">
        <v>0</v>
      </c>
      <c r="BG766" s="46" t="s">
        <v>48</v>
      </c>
      <c r="BH766" s="46">
        <v>0</v>
      </c>
      <c r="BI766" s="46">
        <v>0</v>
      </c>
      <c r="BJ766" s="46">
        <v>0</v>
      </c>
      <c r="BK766" s="46">
        <v>0</v>
      </c>
      <c r="BL766" s="46">
        <v>0</v>
      </c>
      <c r="BM766" s="46">
        <v>0</v>
      </c>
      <c r="BN766" s="46">
        <v>0</v>
      </c>
    </row>
    <row r="767" spans="1:66" x14ac:dyDescent="0.35">
      <c r="A767" t="s">
        <v>10681</v>
      </c>
      <c r="B767" s="44" t="s">
        <v>48</v>
      </c>
      <c r="C767" t="s">
        <v>12020</v>
      </c>
      <c r="D767" t="s">
        <v>1252</v>
      </c>
      <c r="E767" t="s">
        <v>10682</v>
      </c>
      <c r="F767" t="s">
        <v>3898</v>
      </c>
      <c r="G767" t="s">
        <v>47</v>
      </c>
      <c r="H767">
        <v>0</v>
      </c>
      <c r="I767" s="60" t="s">
        <v>11552</v>
      </c>
      <c r="J767" s="33" t="s">
        <v>45</v>
      </c>
      <c r="K767" s="46">
        <v>0</v>
      </c>
      <c r="L767">
        <v>76</v>
      </c>
      <c r="M767" t="s">
        <v>48</v>
      </c>
      <c r="N767" s="46">
        <v>1</v>
      </c>
      <c r="O767" s="46">
        <v>0</v>
      </c>
      <c r="P767" s="46">
        <v>0</v>
      </c>
      <c r="Q767" t="s">
        <v>48</v>
      </c>
      <c r="R767" t="s">
        <v>48</v>
      </c>
      <c r="S767" t="s">
        <v>11491</v>
      </c>
      <c r="T767" s="43" t="s">
        <v>48</v>
      </c>
      <c r="U767" t="s">
        <v>10683</v>
      </c>
      <c r="V767" s="47">
        <v>0</v>
      </c>
      <c r="W767" t="s">
        <v>48</v>
      </c>
      <c r="X767" t="s">
        <v>48</v>
      </c>
      <c r="Y767" t="s">
        <v>48</v>
      </c>
      <c r="Z767">
        <v>0</v>
      </c>
      <c r="AA767" t="s">
        <v>48</v>
      </c>
      <c r="AB767" t="s">
        <v>48</v>
      </c>
      <c r="AC767" t="s">
        <v>49</v>
      </c>
      <c r="AD767" t="s">
        <v>93</v>
      </c>
      <c r="AE767" s="40" t="s">
        <v>4532</v>
      </c>
      <c r="AF767" t="s">
        <v>48</v>
      </c>
      <c r="AG767" t="s">
        <v>48</v>
      </c>
      <c r="AH767" t="s">
        <v>48</v>
      </c>
      <c r="AI767" t="s">
        <v>48</v>
      </c>
      <c r="AJ767" t="s">
        <v>48</v>
      </c>
      <c r="AK767" t="s">
        <v>48</v>
      </c>
      <c r="AL767" t="s">
        <v>48</v>
      </c>
      <c r="AM767" t="s">
        <v>48</v>
      </c>
      <c r="AN767" t="s">
        <v>48</v>
      </c>
      <c r="AO767" t="s">
        <v>48</v>
      </c>
      <c r="AP767" s="46">
        <v>0</v>
      </c>
      <c r="AQ767" s="46">
        <v>0</v>
      </c>
      <c r="AR767" s="46">
        <v>0</v>
      </c>
      <c r="AS767" s="46">
        <v>0</v>
      </c>
      <c r="AT767" s="46">
        <v>0</v>
      </c>
      <c r="AU767" s="46">
        <v>0</v>
      </c>
      <c r="AV767" s="46">
        <v>0</v>
      </c>
      <c r="AW767" s="46">
        <v>0</v>
      </c>
      <c r="AX767" s="46">
        <v>0</v>
      </c>
      <c r="AY767" s="46">
        <v>0</v>
      </c>
      <c r="AZ767" s="46">
        <v>0</v>
      </c>
      <c r="BA767" s="46">
        <v>0</v>
      </c>
      <c r="BB767" s="46">
        <v>0</v>
      </c>
      <c r="BC767" s="46">
        <v>0</v>
      </c>
      <c r="BD767" s="46">
        <v>0</v>
      </c>
      <c r="BE767" s="46">
        <v>0</v>
      </c>
      <c r="BF767" s="46">
        <v>0</v>
      </c>
      <c r="BG767" s="46" t="s">
        <v>48</v>
      </c>
      <c r="BH767" s="46">
        <v>0</v>
      </c>
      <c r="BI767" s="46">
        <v>0</v>
      </c>
      <c r="BJ767" s="46">
        <v>0</v>
      </c>
      <c r="BK767" s="46">
        <v>0</v>
      </c>
      <c r="BL767" s="46">
        <v>0</v>
      </c>
      <c r="BM767" s="46">
        <v>0</v>
      </c>
      <c r="BN767" s="46">
        <v>0</v>
      </c>
    </row>
    <row r="768" spans="1:66" x14ac:dyDescent="0.35">
      <c r="A768" t="s">
        <v>10674</v>
      </c>
      <c r="B768" s="44" t="s">
        <v>48</v>
      </c>
      <c r="C768" t="s">
        <v>12019</v>
      </c>
      <c r="D768" t="s">
        <v>273</v>
      </c>
      <c r="E768" t="s">
        <v>10675</v>
      </c>
      <c r="F768" t="s">
        <v>3898</v>
      </c>
      <c r="G768" t="s">
        <v>74</v>
      </c>
      <c r="H768">
        <v>0</v>
      </c>
      <c r="I768" s="60" t="s">
        <v>11552</v>
      </c>
      <c r="J768" s="33" t="s">
        <v>45</v>
      </c>
      <c r="K768" s="46">
        <v>0</v>
      </c>
      <c r="L768">
        <v>92.2</v>
      </c>
      <c r="M768" t="s">
        <v>48</v>
      </c>
      <c r="N768" s="46">
        <v>1</v>
      </c>
      <c r="O768" s="46">
        <v>0</v>
      </c>
      <c r="P768" s="46">
        <v>0</v>
      </c>
      <c r="Q768" t="s">
        <v>48</v>
      </c>
      <c r="R768" t="s">
        <v>48</v>
      </c>
      <c r="S768" t="s">
        <v>11490</v>
      </c>
      <c r="T768" s="43" t="s">
        <v>48</v>
      </c>
      <c r="U768" t="s">
        <v>10676</v>
      </c>
      <c r="V768" s="47">
        <v>0</v>
      </c>
      <c r="W768" t="s">
        <v>48</v>
      </c>
      <c r="X768" t="s">
        <v>48</v>
      </c>
      <c r="Y768" t="s">
        <v>48</v>
      </c>
      <c r="Z768">
        <v>0</v>
      </c>
      <c r="AA768" t="s">
        <v>48</v>
      </c>
      <c r="AB768" t="s">
        <v>48</v>
      </c>
      <c r="AC768" t="s">
        <v>49</v>
      </c>
      <c r="AD768" t="s">
        <v>93</v>
      </c>
      <c r="AE768" s="40" t="s">
        <v>4532</v>
      </c>
      <c r="AF768" t="s">
        <v>48</v>
      </c>
      <c r="AG768" t="s">
        <v>48</v>
      </c>
      <c r="AH768" t="s">
        <v>48</v>
      </c>
      <c r="AI768" t="s">
        <v>48</v>
      </c>
      <c r="AJ768" t="s">
        <v>48</v>
      </c>
      <c r="AK768" t="s">
        <v>48</v>
      </c>
      <c r="AL768" t="s">
        <v>48</v>
      </c>
      <c r="AM768" t="s">
        <v>48</v>
      </c>
      <c r="AN768" t="s">
        <v>48</v>
      </c>
      <c r="AO768" t="s">
        <v>48</v>
      </c>
      <c r="AP768" s="46">
        <v>0</v>
      </c>
      <c r="AQ768" s="46">
        <v>0</v>
      </c>
      <c r="AR768" s="46">
        <v>0</v>
      </c>
      <c r="AS768" s="46">
        <v>0</v>
      </c>
      <c r="AT768" s="46">
        <v>0</v>
      </c>
      <c r="AU768" s="46">
        <v>0</v>
      </c>
      <c r="AV768" s="46">
        <v>0</v>
      </c>
      <c r="AW768" s="46">
        <v>0</v>
      </c>
      <c r="AX768" s="46">
        <v>0</v>
      </c>
      <c r="AY768" s="46">
        <v>0</v>
      </c>
      <c r="AZ768" s="46">
        <v>0</v>
      </c>
      <c r="BA768" s="46">
        <v>0</v>
      </c>
      <c r="BB768" s="46">
        <v>0</v>
      </c>
      <c r="BC768" s="46">
        <v>0</v>
      </c>
      <c r="BD768" s="46">
        <v>0</v>
      </c>
      <c r="BE768" s="46">
        <v>0</v>
      </c>
      <c r="BF768" s="46">
        <v>0</v>
      </c>
      <c r="BG768" s="46" t="s">
        <v>48</v>
      </c>
      <c r="BH768" s="46">
        <v>0</v>
      </c>
      <c r="BI768" s="46">
        <v>0</v>
      </c>
      <c r="BJ768" s="46">
        <v>0</v>
      </c>
      <c r="BK768" s="46">
        <v>0</v>
      </c>
      <c r="BL768" s="46">
        <v>0</v>
      </c>
      <c r="BM768" s="46">
        <v>0</v>
      </c>
      <c r="BN768" s="46">
        <v>0</v>
      </c>
    </row>
    <row r="769" spans="1:66" x14ac:dyDescent="0.35">
      <c r="A769" t="s">
        <v>3903</v>
      </c>
      <c r="B769" t="s">
        <v>48</v>
      </c>
      <c r="C769" t="s">
        <v>818</v>
      </c>
      <c r="D769" t="s">
        <v>2895</v>
      </c>
      <c r="E769" t="s">
        <v>3905</v>
      </c>
      <c r="F769" t="s">
        <v>3904</v>
      </c>
      <c r="G769" t="s">
        <v>74</v>
      </c>
      <c r="H769">
        <v>0</v>
      </c>
      <c r="I769" s="60" t="s">
        <v>51</v>
      </c>
      <c r="J769" s="33" t="s">
        <v>45</v>
      </c>
      <c r="K769" s="46">
        <v>1</v>
      </c>
      <c r="L769">
        <v>100</v>
      </c>
      <c r="M769" t="s">
        <v>48</v>
      </c>
      <c r="N769" s="46">
        <v>1</v>
      </c>
      <c r="O769" s="46">
        <v>0</v>
      </c>
      <c r="P769" s="46">
        <v>0</v>
      </c>
      <c r="Q769" t="s">
        <v>48</v>
      </c>
      <c r="R769" t="s">
        <v>48</v>
      </c>
      <c r="S769" t="s">
        <v>3906</v>
      </c>
      <c r="T769" t="s">
        <v>3907</v>
      </c>
      <c r="U769" t="s">
        <v>3906</v>
      </c>
      <c r="V769" s="47">
        <v>0</v>
      </c>
      <c r="W769" t="s">
        <v>48</v>
      </c>
      <c r="X769" t="s">
        <v>48</v>
      </c>
      <c r="Y769" t="s">
        <v>48</v>
      </c>
      <c r="Z769">
        <v>0</v>
      </c>
      <c r="AA769" t="s">
        <v>48</v>
      </c>
      <c r="AB769">
        <v>2018</v>
      </c>
      <c r="AC769" t="s">
        <v>63</v>
      </c>
      <c r="AD769" t="s">
        <v>93</v>
      </c>
      <c r="AE769" t="s">
        <v>4532</v>
      </c>
      <c r="AF769" t="s">
        <v>48</v>
      </c>
      <c r="AG769" t="s">
        <v>1105</v>
      </c>
      <c r="AH769" t="s">
        <v>2043</v>
      </c>
      <c r="AI769">
        <v>21910</v>
      </c>
      <c r="AJ769">
        <v>1972</v>
      </c>
      <c r="AK769" t="s">
        <v>9020</v>
      </c>
      <c r="AL769" t="s">
        <v>9021</v>
      </c>
      <c r="AM769">
        <v>-0.309</v>
      </c>
      <c r="AN769">
        <v>0.69199999999999995</v>
      </c>
      <c r="AO769">
        <v>-0.309</v>
      </c>
      <c r="AP769" s="46">
        <v>0</v>
      </c>
      <c r="AQ769" s="46">
        <v>0</v>
      </c>
      <c r="AR769" s="46">
        <v>0</v>
      </c>
      <c r="AS769" s="46">
        <v>0</v>
      </c>
      <c r="AT769" s="46">
        <v>0</v>
      </c>
      <c r="AU769" s="46">
        <v>1</v>
      </c>
      <c r="AV769" s="46">
        <v>0</v>
      </c>
      <c r="AW769" s="46">
        <v>0</v>
      </c>
      <c r="AX769" s="46">
        <v>0</v>
      </c>
      <c r="AY769" s="46">
        <v>0</v>
      </c>
      <c r="AZ769" s="46">
        <v>0</v>
      </c>
      <c r="BA769" s="46">
        <v>0</v>
      </c>
      <c r="BB769" s="46">
        <v>0</v>
      </c>
      <c r="BC769" s="46">
        <v>0</v>
      </c>
      <c r="BD769" s="46">
        <v>0</v>
      </c>
      <c r="BE769" s="46">
        <v>0</v>
      </c>
      <c r="BF769" s="46">
        <v>0</v>
      </c>
      <c r="BG769" s="46" t="s">
        <v>48</v>
      </c>
      <c r="BH769" s="46">
        <v>0</v>
      </c>
      <c r="BI769" s="46">
        <v>0</v>
      </c>
      <c r="BJ769" s="46">
        <v>0</v>
      </c>
      <c r="BK769" s="46">
        <v>0</v>
      </c>
      <c r="BL769" s="46">
        <v>0</v>
      </c>
      <c r="BM769" s="46">
        <v>0</v>
      </c>
      <c r="BN769" s="46">
        <v>0</v>
      </c>
    </row>
    <row r="770" spans="1:66" x14ac:dyDescent="0.35">
      <c r="A770" t="s">
        <v>3908</v>
      </c>
      <c r="B770" s="44" t="s">
        <v>48</v>
      </c>
      <c r="C770" t="s">
        <v>3911</v>
      </c>
      <c r="D770" t="s">
        <v>1684</v>
      </c>
      <c r="E770" t="s">
        <v>3909</v>
      </c>
      <c r="F770" t="s">
        <v>3904</v>
      </c>
      <c r="G770" t="s">
        <v>47</v>
      </c>
      <c r="H770">
        <v>0</v>
      </c>
      <c r="I770" s="60" t="s">
        <v>51</v>
      </c>
      <c r="J770" s="33" t="s">
        <v>45</v>
      </c>
      <c r="K770" s="46">
        <v>0</v>
      </c>
      <c r="L770">
        <v>100</v>
      </c>
      <c r="M770" t="s">
        <v>48</v>
      </c>
      <c r="N770" s="46">
        <v>1</v>
      </c>
      <c r="O770" s="46">
        <v>0</v>
      </c>
      <c r="P770" s="46">
        <v>0</v>
      </c>
      <c r="Q770" t="s">
        <v>48</v>
      </c>
      <c r="R770" t="s">
        <v>48</v>
      </c>
      <c r="S770" t="s">
        <v>3910</v>
      </c>
      <c r="T770" t="s">
        <v>48</v>
      </c>
      <c r="U770" t="s">
        <v>3910</v>
      </c>
      <c r="V770" s="47">
        <v>0</v>
      </c>
      <c r="W770" t="s">
        <v>48</v>
      </c>
      <c r="X770" t="s">
        <v>48</v>
      </c>
      <c r="Y770" t="s">
        <v>48</v>
      </c>
      <c r="Z770">
        <v>0</v>
      </c>
      <c r="AA770" t="s">
        <v>48</v>
      </c>
      <c r="AB770" t="s">
        <v>48</v>
      </c>
      <c r="AC770" t="s">
        <v>49</v>
      </c>
      <c r="AD770" t="s">
        <v>93</v>
      </c>
      <c r="AE770" t="s">
        <v>4532</v>
      </c>
      <c r="AF770" t="s">
        <v>48</v>
      </c>
      <c r="AG770" t="s">
        <v>48</v>
      </c>
      <c r="AH770" t="s">
        <v>93</v>
      </c>
      <c r="AI770" t="s">
        <v>48</v>
      </c>
      <c r="AJ770" t="s">
        <v>48</v>
      </c>
      <c r="AK770" t="s">
        <v>48</v>
      </c>
      <c r="AL770" t="s">
        <v>48</v>
      </c>
      <c r="AM770" t="s">
        <v>48</v>
      </c>
      <c r="AN770" t="s">
        <v>48</v>
      </c>
      <c r="AO770" t="s">
        <v>48</v>
      </c>
      <c r="AP770" s="46">
        <v>0</v>
      </c>
      <c r="AQ770" s="46">
        <v>0</v>
      </c>
      <c r="AR770" s="46">
        <v>0</v>
      </c>
      <c r="AS770" s="46">
        <v>0</v>
      </c>
      <c r="AT770" s="46">
        <v>0</v>
      </c>
      <c r="AU770" s="46">
        <v>0</v>
      </c>
      <c r="AV770" s="46">
        <v>0</v>
      </c>
      <c r="AW770" s="46">
        <v>0</v>
      </c>
      <c r="AX770" s="46">
        <v>0</v>
      </c>
      <c r="AY770" s="46">
        <v>0</v>
      </c>
      <c r="AZ770" s="46">
        <v>0</v>
      </c>
      <c r="BA770" s="46">
        <v>0</v>
      </c>
      <c r="BB770" s="46">
        <v>0</v>
      </c>
      <c r="BC770" s="46">
        <v>0</v>
      </c>
      <c r="BD770" s="46">
        <v>0</v>
      </c>
      <c r="BE770" s="46">
        <v>1</v>
      </c>
      <c r="BF770" s="46">
        <v>0</v>
      </c>
      <c r="BG770" s="46">
        <v>1</v>
      </c>
      <c r="BH770" s="46">
        <v>0</v>
      </c>
      <c r="BI770" s="46">
        <v>0</v>
      </c>
      <c r="BJ770" s="46">
        <v>0</v>
      </c>
      <c r="BK770" s="46">
        <v>0</v>
      </c>
      <c r="BL770" s="46">
        <v>0</v>
      </c>
      <c r="BM770" s="46">
        <v>0</v>
      </c>
      <c r="BN770" s="46">
        <v>1</v>
      </c>
    </row>
    <row r="771" spans="1:66" x14ac:dyDescent="0.35">
      <c r="A771" t="s">
        <v>3913</v>
      </c>
      <c r="B771" t="s">
        <v>48</v>
      </c>
      <c r="C771" t="s">
        <v>1019</v>
      </c>
      <c r="D771" t="s">
        <v>503</v>
      </c>
      <c r="E771" t="s">
        <v>3914</v>
      </c>
      <c r="F771" t="s">
        <v>3912</v>
      </c>
      <c r="G771" t="s">
        <v>74</v>
      </c>
      <c r="H771">
        <v>0</v>
      </c>
      <c r="I771" s="60" t="s">
        <v>51</v>
      </c>
      <c r="J771" s="33" t="s">
        <v>45</v>
      </c>
      <c r="K771" s="46">
        <v>1</v>
      </c>
      <c r="L771">
        <v>100</v>
      </c>
      <c r="M771" t="s">
        <v>48</v>
      </c>
      <c r="N771" s="46">
        <v>1</v>
      </c>
      <c r="O771" s="46">
        <v>0</v>
      </c>
      <c r="P771" s="46">
        <v>0</v>
      </c>
      <c r="Q771" t="s">
        <v>48</v>
      </c>
      <c r="R771" t="s">
        <v>48</v>
      </c>
      <c r="S771" t="s">
        <v>3915</v>
      </c>
      <c r="T771" t="s">
        <v>3916</v>
      </c>
      <c r="U771" t="s">
        <v>3915</v>
      </c>
      <c r="V771" s="47">
        <v>0</v>
      </c>
      <c r="W771" t="s">
        <v>48</v>
      </c>
      <c r="X771" t="s">
        <v>48</v>
      </c>
      <c r="Y771" t="s">
        <v>48</v>
      </c>
      <c r="Z771">
        <v>0</v>
      </c>
      <c r="AA771" t="s">
        <v>48</v>
      </c>
      <c r="AB771">
        <v>2018</v>
      </c>
      <c r="AC771" t="s">
        <v>49</v>
      </c>
      <c r="AD771" t="s">
        <v>93</v>
      </c>
      <c r="AE771" t="s">
        <v>4532</v>
      </c>
      <c r="AF771" t="s">
        <v>48</v>
      </c>
      <c r="AG771" t="s">
        <v>633</v>
      </c>
      <c r="AH771" t="s">
        <v>93</v>
      </c>
      <c r="AI771">
        <v>21953</v>
      </c>
      <c r="AJ771">
        <v>1969</v>
      </c>
      <c r="AK771" t="s">
        <v>9022</v>
      </c>
      <c r="AL771" t="s">
        <v>9023</v>
      </c>
      <c r="AM771">
        <v>-0.26700000000000002</v>
      </c>
      <c r="AN771">
        <v>0.17399999999999999</v>
      </c>
      <c r="AO771">
        <v>-0.26700000000000002</v>
      </c>
      <c r="AP771" s="46">
        <v>0</v>
      </c>
      <c r="AQ771" s="46">
        <v>0</v>
      </c>
      <c r="AR771" s="46">
        <v>0</v>
      </c>
      <c r="AS771" s="46">
        <v>0</v>
      </c>
      <c r="AT771" s="46">
        <v>0</v>
      </c>
      <c r="AU771" s="46">
        <v>1</v>
      </c>
      <c r="AV771" s="46">
        <v>0</v>
      </c>
      <c r="AW771" s="46">
        <v>0</v>
      </c>
      <c r="AX771" s="46">
        <v>0</v>
      </c>
      <c r="AY771" s="46">
        <v>0</v>
      </c>
      <c r="AZ771" s="46">
        <v>0</v>
      </c>
      <c r="BA771" s="46">
        <v>1</v>
      </c>
      <c r="BB771" s="46">
        <v>0</v>
      </c>
      <c r="BC771" s="46">
        <v>0</v>
      </c>
      <c r="BD771" s="46">
        <v>0</v>
      </c>
      <c r="BE771" s="46">
        <v>0</v>
      </c>
      <c r="BF771" s="46">
        <v>0</v>
      </c>
      <c r="BG771" s="46" t="s">
        <v>48</v>
      </c>
      <c r="BH771" s="46">
        <v>0</v>
      </c>
      <c r="BI771" s="46">
        <v>0</v>
      </c>
      <c r="BJ771" s="46">
        <v>0</v>
      </c>
      <c r="BK771" s="46">
        <v>0</v>
      </c>
      <c r="BL771" s="46">
        <v>1</v>
      </c>
      <c r="BM771" s="46">
        <v>0</v>
      </c>
      <c r="BN771" s="46">
        <v>0</v>
      </c>
    </row>
    <row r="772" spans="1:66" ht="15" x14ac:dyDescent="0.4">
      <c r="A772" t="s">
        <v>3917</v>
      </c>
      <c r="B772" s="44" t="s">
        <v>48</v>
      </c>
      <c r="C772" t="s">
        <v>3919</v>
      </c>
      <c r="D772" t="s">
        <v>585</v>
      </c>
      <c r="E772" t="s">
        <v>3918</v>
      </c>
      <c r="F772" t="s">
        <v>3912</v>
      </c>
      <c r="G772" t="s">
        <v>47</v>
      </c>
      <c r="H772">
        <v>0</v>
      </c>
      <c r="I772" s="60" t="s">
        <v>11160</v>
      </c>
      <c r="J772" s="33" t="s">
        <v>45</v>
      </c>
      <c r="K772" s="46">
        <v>0</v>
      </c>
      <c r="L772">
        <v>100</v>
      </c>
      <c r="M772" t="s">
        <v>48</v>
      </c>
      <c r="N772" s="46">
        <v>1</v>
      </c>
      <c r="O772" s="46">
        <v>0</v>
      </c>
      <c r="P772" s="46">
        <v>0</v>
      </c>
      <c r="Q772" t="s">
        <v>48</v>
      </c>
      <c r="R772" t="s">
        <v>48</v>
      </c>
      <c r="S772" s="55" t="s">
        <v>11303</v>
      </c>
      <c r="T772" t="s">
        <v>48</v>
      </c>
      <c r="U772" s="55" t="s">
        <v>11303</v>
      </c>
      <c r="V772" s="47">
        <v>0</v>
      </c>
      <c r="W772" t="s">
        <v>48</v>
      </c>
      <c r="X772" t="s">
        <v>48</v>
      </c>
      <c r="Y772" t="s">
        <v>48</v>
      </c>
      <c r="Z772">
        <v>0</v>
      </c>
      <c r="AA772" t="s">
        <v>48</v>
      </c>
      <c r="AB772" t="s">
        <v>48</v>
      </c>
      <c r="AC772" t="s">
        <v>49</v>
      </c>
      <c r="AD772" t="s">
        <v>93</v>
      </c>
      <c r="AE772" t="s">
        <v>4532</v>
      </c>
      <c r="AF772" t="s">
        <v>48</v>
      </c>
      <c r="AG772" t="s">
        <v>48</v>
      </c>
      <c r="AH772" t="s">
        <v>48</v>
      </c>
      <c r="AI772" t="s">
        <v>48</v>
      </c>
      <c r="AJ772" t="s">
        <v>48</v>
      </c>
      <c r="AK772" t="s">
        <v>48</v>
      </c>
      <c r="AL772" t="s">
        <v>48</v>
      </c>
      <c r="AM772" t="s">
        <v>48</v>
      </c>
      <c r="AN772" t="s">
        <v>48</v>
      </c>
      <c r="AO772" t="s">
        <v>48</v>
      </c>
      <c r="AP772" s="46">
        <v>0</v>
      </c>
      <c r="AQ772" s="46">
        <v>0</v>
      </c>
      <c r="AR772" s="46">
        <v>0</v>
      </c>
      <c r="AS772" s="46">
        <v>0</v>
      </c>
      <c r="AT772" s="46">
        <v>0</v>
      </c>
      <c r="AU772" s="46">
        <v>0</v>
      </c>
      <c r="AV772" s="46">
        <v>0</v>
      </c>
      <c r="AW772" s="46">
        <v>0</v>
      </c>
      <c r="AX772" s="46">
        <v>0</v>
      </c>
      <c r="AY772" s="46">
        <v>0</v>
      </c>
      <c r="AZ772" s="46">
        <v>0</v>
      </c>
      <c r="BA772" s="46">
        <v>0</v>
      </c>
      <c r="BB772" s="46">
        <v>0</v>
      </c>
      <c r="BC772" s="46">
        <v>0</v>
      </c>
      <c r="BD772" s="46">
        <v>0</v>
      </c>
      <c r="BE772" s="46">
        <v>0</v>
      </c>
      <c r="BF772" s="46">
        <v>0</v>
      </c>
      <c r="BG772" s="46" t="s">
        <v>48</v>
      </c>
      <c r="BH772" s="46">
        <v>0</v>
      </c>
      <c r="BI772" s="46">
        <v>0</v>
      </c>
      <c r="BJ772" s="46">
        <v>0</v>
      </c>
      <c r="BK772" s="46">
        <v>0</v>
      </c>
      <c r="BL772" s="46">
        <v>0</v>
      </c>
      <c r="BM772" s="46">
        <v>0</v>
      </c>
      <c r="BN772" s="46">
        <v>0</v>
      </c>
    </row>
    <row r="773" spans="1:66" x14ac:dyDescent="0.35">
      <c r="A773" t="s">
        <v>3926</v>
      </c>
      <c r="B773" s="44" t="s">
        <v>48</v>
      </c>
      <c r="C773" t="s">
        <v>3931</v>
      </c>
      <c r="D773" t="s">
        <v>3930</v>
      </c>
      <c r="E773" t="s">
        <v>3927</v>
      </c>
      <c r="F773" t="s">
        <v>3921</v>
      </c>
      <c r="G773" t="s">
        <v>74</v>
      </c>
      <c r="H773">
        <v>0</v>
      </c>
      <c r="I773" s="60" t="s">
        <v>51</v>
      </c>
      <c r="J773" s="33" t="s">
        <v>45</v>
      </c>
      <c r="K773" s="46">
        <v>1</v>
      </c>
      <c r="L773">
        <v>83.4</v>
      </c>
      <c r="M773" t="s">
        <v>48</v>
      </c>
      <c r="N773" s="46">
        <v>1</v>
      </c>
      <c r="O773" s="46">
        <v>0</v>
      </c>
      <c r="P773" s="46">
        <v>0</v>
      </c>
      <c r="Q773" t="s">
        <v>48</v>
      </c>
      <c r="R773" t="s">
        <v>48</v>
      </c>
      <c r="S773" t="s">
        <v>3928</v>
      </c>
      <c r="T773" t="s">
        <v>3929</v>
      </c>
      <c r="U773" t="s">
        <v>3928</v>
      </c>
      <c r="V773" s="47">
        <v>0</v>
      </c>
      <c r="W773" t="s">
        <v>48</v>
      </c>
      <c r="X773" t="s">
        <v>48</v>
      </c>
      <c r="Y773" t="s">
        <v>48</v>
      </c>
      <c r="Z773">
        <v>0</v>
      </c>
      <c r="AA773" t="s">
        <v>48</v>
      </c>
      <c r="AB773">
        <v>2000</v>
      </c>
      <c r="AC773" t="s">
        <v>63</v>
      </c>
      <c r="AD773" t="s">
        <v>93</v>
      </c>
      <c r="AE773" t="s">
        <v>4532</v>
      </c>
      <c r="AF773" t="s">
        <v>48</v>
      </c>
      <c r="AG773" t="s">
        <v>140</v>
      </c>
      <c r="AH773" t="s">
        <v>93</v>
      </c>
      <c r="AI773">
        <v>20122</v>
      </c>
      <c r="AJ773">
        <v>1954</v>
      </c>
      <c r="AK773" t="s">
        <v>9024</v>
      </c>
      <c r="AL773" t="s">
        <v>9025</v>
      </c>
      <c r="AM773">
        <v>-0.41799999999999998</v>
      </c>
      <c r="AN773">
        <v>-0.186</v>
      </c>
      <c r="AO773">
        <v>-0.41799999999999998</v>
      </c>
      <c r="AP773" s="46">
        <v>0</v>
      </c>
      <c r="AQ773" s="46">
        <v>0</v>
      </c>
      <c r="AR773" s="46">
        <v>0</v>
      </c>
      <c r="AS773" s="46">
        <v>0</v>
      </c>
      <c r="AT773" s="46">
        <v>0</v>
      </c>
      <c r="AU773" s="46">
        <v>0</v>
      </c>
      <c r="AV773" s="46">
        <v>0</v>
      </c>
      <c r="AW773" s="46">
        <v>0</v>
      </c>
      <c r="AX773" s="46">
        <v>0</v>
      </c>
      <c r="AY773" s="46">
        <v>0</v>
      </c>
      <c r="AZ773" s="46">
        <v>0</v>
      </c>
      <c r="BA773" s="46">
        <v>0</v>
      </c>
      <c r="BB773" s="46">
        <v>0</v>
      </c>
      <c r="BC773" s="46">
        <v>0</v>
      </c>
      <c r="BD773" s="46">
        <v>0</v>
      </c>
      <c r="BE773" s="46">
        <v>0</v>
      </c>
      <c r="BF773" s="46">
        <v>0</v>
      </c>
      <c r="BG773" s="46" t="s">
        <v>48</v>
      </c>
      <c r="BH773" s="46">
        <v>0</v>
      </c>
      <c r="BI773" s="46">
        <v>0</v>
      </c>
      <c r="BJ773" s="46">
        <v>0</v>
      </c>
      <c r="BK773" s="46">
        <v>0</v>
      </c>
      <c r="BL773" s="46">
        <v>0</v>
      </c>
      <c r="BM773" s="46">
        <v>0</v>
      </c>
      <c r="BN773" s="46">
        <v>0</v>
      </c>
    </row>
    <row r="774" spans="1:66" x14ac:dyDescent="0.35">
      <c r="A774" t="s">
        <v>10690</v>
      </c>
      <c r="B774" s="44" t="s">
        <v>48</v>
      </c>
      <c r="C774" t="s">
        <v>12024</v>
      </c>
      <c r="D774" t="s">
        <v>3512</v>
      </c>
      <c r="E774" t="s">
        <v>10691</v>
      </c>
      <c r="F774" t="s">
        <v>3921</v>
      </c>
      <c r="G774" t="s">
        <v>47</v>
      </c>
      <c r="H774">
        <v>0</v>
      </c>
      <c r="I774" s="60" t="s">
        <v>11552</v>
      </c>
      <c r="J774" s="33" t="s">
        <v>45</v>
      </c>
      <c r="K774" s="46">
        <v>0</v>
      </c>
      <c r="L774">
        <v>44.1</v>
      </c>
      <c r="M774" t="s">
        <v>48</v>
      </c>
      <c r="N774" s="46">
        <v>1</v>
      </c>
      <c r="O774" s="46">
        <v>0</v>
      </c>
      <c r="P774" s="46">
        <v>0</v>
      </c>
      <c r="Q774" t="s">
        <v>48</v>
      </c>
      <c r="R774" t="s">
        <v>48</v>
      </c>
      <c r="S774" t="s">
        <v>11494</v>
      </c>
      <c r="T774" t="s">
        <v>48</v>
      </c>
      <c r="U774" t="s">
        <v>10692</v>
      </c>
      <c r="V774" s="47">
        <v>0</v>
      </c>
      <c r="W774" t="s">
        <v>48</v>
      </c>
      <c r="X774" t="s">
        <v>48</v>
      </c>
      <c r="Y774" t="s">
        <v>48</v>
      </c>
      <c r="Z774">
        <v>0</v>
      </c>
      <c r="AA774" t="s">
        <v>48</v>
      </c>
      <c r="AB774" t="s">
        <v>48</v>
      </c>
      <c r="AC774" t="s">
        <v>63</v>
      </c>
      <c r="AD774" t="s">
        <v>93</v>
      </c>
      <c r="AE774" t="s">
        <v>977</v>
      </c>
      <c r="AF774" t="s">
        <v>11107</v>
      </c>
      <c r="AG774" t="s">
        <v>48</v>
      </c>
      <c r="AH774" t="s">
        <v>48</v>
      </c>
      <c r="AI774" t="s">
        <v>48</v>
      </c>
      <c r="AJ774" t="s">
        <v>48</v>
      </c>
      <c r="AK774" t="s">
        <v>48</v>
      </c>
      <c r="AL774" t="s">
        <v>48</v>
      </c>
      <c r="AM774" t="s">
        <v>48</v>
      </c>
      <c r="AN774" t="s">
        <v>48</v>
      </c>
      <c r="AO774" t="s">
        <v>48</v>
      </c>
      <c r="AP774" s="46">
        <v>0</v>
      </c>
      <c r="AQ774" s="46">
        <v>0</v>
      </c>
      <c r="AR774" s="46">
        <v>0</v>
      </c>
      <c r="AS774" s="46">
        <v>0</v>
      </c>
      <c r="AT774" s="46">
        <v>0</v>
      </c>
      <c r="AU774" s="46">
        <v>0</v>
      </c>
      <c r="AV774" s="46">
        <v>0</v>
      </c>
      <c r="AW774" s="46">
        <v>0</v>
      </c>
      <c r="AX774" s="46">
        <v>0</v>
      </c>
      <c r="AY774" s="46">
        <v>0</v>
      </c>
      <c r="AZ774" s="46">
        <v>0</v>
      </c>
      <c r="BA774" s="46">
        <v>0</v>
      </c>
      <c r="BB774" s="46">
        <v>0</v>
      </c>
      <c r="BC774" s="46">
        <v>0</v>
      </c>
      <c r="BD774" s="46">
        <v>0</v>
      </c>
      <c r="BE774" s="46">
        <v>0</v>
      </c>
      <c r="BF774" s="46">
        <v>0</v>
      </c>
      <c r="BG774" s="46" t="s">
        <v>48</v>
      </c>
      <c r="BH774" s="46">
        <v>0</v>
      </c>
      <c r="BI774" s="46">
        <v>0</v>
      </c>
      <c r="BJ774" s="46">
        <v>0</v>
      </c>
      <c r="BK774" s="46">
        <v>0</v>
      </c>
      <c r="BL774" s="46">
        <v>0</v>
      </c>
      <c r="BM774" s="46">
        <v>0</v>
      </c>
      <c r="BN774" s="46">
        <v>0</v>
      </c>
    </row>
    <row r="775" spans="1:66" x14ac:dyDescent="0.35">
      <c r="A775" t="s">
        <v>3934</v>
      </c>
      <c r="B775" s="44" t="s">
        <v>48</v>
      </c>
      <c r="C775" t="s">
        <v>2437</v>
      </c>
      <c r="D775" t="s">
        <v>3937</v>
      </c>
      <c r="E775" t="s">
        <v>3935</v>
      </c>
      <c r="F775" t="s">
        <v>3933</v>
      </c>
      <c r="G775" t="s">
        <v>47</v>
      </c>
      <c r="H775">
        <v>0</v>
      </c>
      <c r="I775" s="60" t="s">
        <v>51</v>
      </c>
      <c r="J775" s="33" t="s">
        <v>45</v>
      </c>
      <c r="K775" s="46">
        <v>0</v>
      </c>
      <c r="L775">
        <v>48</v>
      </c>
      <c r="M775" t="s">
        <v>48</v>
      </c>
      <c r="N775" s="46">
        <v>1</v>
      </c>
      <c r="O775" s="46">
        <v>0</v>
      </c>
      <c r="P775" s="46">
        <v>0</v>
      </c>
      <c r="Q775" t="s">
        <v>48</v>
      </c>
      <c r="R775" t="s">
        <v>48</v>
      </c>
      <c r="S775" t="s">
        <v>3936</v>
      </c>
      <c r="T775" t="s">
        <v>48</v>
      </c>
      <c r="U775" t="s">
        <v>3936</v>
      </c>
      <c r="V775" s="47">
        <v>0</v>
      </c>
      <c r="W775" t="s">
        <v>48</v>
      </c>
      <c r="X775" t="s">
        <v>48</v>
      </c>
      <c r="Y775" t="s">
        <v>48</v>
      </c>
      <c r="Z775">
        <v>0</v>
      </c>
      <c r="AA775" t="s">
        <v>48</v>
      </c>
      <c r="AB775" t="s">
        <v>48</v>
      </c>
      <c r="AC775" t="s">
        <v>63</v>
      </c>
      <c r="AD775" t="s">
        <v>93</v>
      </c>
      <c r="AE775" s="40" t="s">
        <v>2471</v>
      </c>
      <c r="AF775" t="s">
        <v>11061</v>
      </c>
      <c r="AG775" t="s">
        <v>48</v>
      </c>
      <c r="AH775" t="s">
        <v>48</v>
      </c>
      <c r="AI775" t="s">
        <v>48</v>
      </c>
      <c r="AJ775" t="s">
        <v>48</v>
      </c>
      <c r="AK775" t="s">
        <v>48</v>
      </c>
      <c r="AL775" t="s">
        <v>48</v>
      </c>
      <c r="AM775" t="s">
        <v>48</v>
      </c>
      <c r="AN775" t="s">
        <v>48</v>
      </c>
      <c r="AO775" t="s">
        <v>48</v>
      </c>
      <c r="AP775" s="46">
        <v>0</v>
      </c>
      <c r="AQ775" s="46">
        <v>0</v>
      </c>
      <c r="AR775" s="46">
        <v>0</v>
      </c>
      <c r="AS775" s="46">
        <v>0</v>
      </c>
      <c r="AT775" s="46">
        <v>0</v>
      </c>
      <c r="AU775" s="46">
        <v>0</v>
      </c>
      <c r="AV775" s="46">
        <v>0</v>
      </c>
      <c r="AW775" s="46">
        <v>0</v>
      </c>
      <c r="AX775" s="46">
        <v>0</v>
      </c>
      <c r="AY775" s="46">
        <v>0</v>
      </c>
      <c r="AZ775" s="46">
        <v>0</v>
      </c>
      <c r="BA775" s="46">
        <v>0</v>
      </c>
      <c r="BB775" s="46">
        <v>0</v>
      </c>
      <c r="BC775" s="46">
        <v>0</v>
      </c>
      <c r="BD775" s="46">
        <v>0</v>
      </c>
      <c r="BE775" s="46">
        <v>1</v>
      </c>
      <c r="BF775" s="46">
        <v>0</v>
      </c>
      <c r="BG775" s="46" t="s">
        <v>48</v>
      </c>
      <c r="BH775" s="46">
        <v>0</v>
      </c>
      <c r="BI775" s="46">
        <v>0</v>
      </c>
      <c r="BJ775" s="46">
        <v>0</v>
      </c>
      <c r="BK775" s="46">
        <v>0</v>
      </c>
      <c r="BL775" s="46">
        <v>0</v>
      </c>
      <c r="BM775" s="46">
        <v>0</v>
      </c>
      <c r="BN775" s="46">
        <v>0</v>
      </c>
    </row>
    <row r="776" spans="1:66" x14ac:dyDescent="0.35">
      <c r="A776" t="s">
        <v>3938</v>
      </c>
      <c r="B776" s="44" t="s">
        <v>48</v>
      </c>
      <c r="C776" t="s">
        <v>1407</v>
      </c>
      <c r="D776" t="s">
        <v>3942</v>
      </c>
      <c r="E776" t="s">
        <v>3939</v>
      </c>
      <c r="F776" t="s">
        <v>3933</v>
      </c>
      <c r="G776" t="s">
        <v>74</v>
      </c>
      <c r="H776">
        <v>0</v>
      </c>
      <c r="I776" s="60" t="s">
        <v>51</v>
      </c>
      <c r="J776" s="33" t="s">
        <v>45</v>
      </c>
      <c r="K776" s="46">
        <v>1</v>
      </c>
      <c r="L776">
        <v>50.3</v>
      </c>
      <c r="M776" t="s">
        <v>48</v>
      </c>
      <c r="N776" s="46">
        <v>1</v>
      </c>
      <c r="O776" s="46">
        <v>0</v>
      </c>
      <c r="P776" s="46">
        <v>0</v>
      </c>
      <c r="Q776" t="s">
        <v>48</v>
      </c>
      <c r="R776" t="s">
        <v>48</v>
      </c>
      <c r="S776" t="s">
        <v>3940</v>
      </c>
      <c r="T776" t="s">
        <v>3941</v>
      </c>
      <c r="U776" t="s">
        <v>3940</v>
      </c>
      <c r="V776" s="47">
        <v>0</v>
      </c>
      <c r="W776" t="s">
        <v>48</v>
      </c>
      <c r="X776" t="s">
        <v>48</v>
      </c>
      <c r="Y776" t="s">
        <v>48</v>
      </c>
      <c r="Z776">
        <v>0</v>
      </c>
      <c r="AA776" t="s">
        <v>48</v>
      </c>
      <c r="AB776">
        <v>2018</v>
      </c>
      <c r="AC776" t="s">
        <v>63</v>
      </c>
      <c r="AD776" t="s">
        <v>93</v>
      </c>
      <c r="AE776" s="40" t="s">
        <v>2471</v>
      </c>
      <c r="AF776" t="s">
        <v>11089</v>
      </c>
      <c r="AG776" t="s">
        <v>148</v>
      </c>
      <c r="AH776" t="s">
        <v>93</v>
      </c>
      <c r="AI776">
        <v>21950</v>
      </c>
      <c r="AJ776">
        <v>1982</v>
      </c>
      <c r="AK776" t="s">
        <v>9026</v>
      </c>
      <c r="AL776" t="s">
        <v>9027</v>
      </c>
      <c r="AM776">
        <v>-0.28999999999999998</v>
      </c>
      <c r="AN776">
        <v>-0.95699999999999996</v>
      </c>
      <c r="AO776" s="39">
        <v>-0.8</v>
      </c>
      <c r="AP776" s="46">
        <v>1</v>
      </c>
      <c r="AQ776" s="46">
        <v>1</v>
      </c>
      <c r="AR776" s="46">
        <v>1</v>
      </c>
      <c r="AS776" s="46">
        <v>0</v>
      </c>
      <c r="AT776" s="46">
        <v>1</v>
      </c>
      <c r="AU776" s="46">
        <v>0</v>
      </c>
      <c r="AV776" s="46">
        <v>0</v>
      </c>
      <c r="AW776" s="46">
        <v>0</v>
      </c>
      <c r="AX776" s="46">
        <v>0</v>
      </c>
      <c r="AY776" s="46">
        <v>0</v>
      </c>
      <c r="AZ776" s="46">
        <v>0</v>
      </c>
      <c r="BA776" s="46">
        <v>0</v>
      </c>
      <c r="BB776" s="46">
        <v>0</v>
      </c>
      <c r="BC776" s="46">
        <v>0</v>
      </c>
      <c r="BD776" s="46">
        <v>0</v>
      </c>
      <c r="BE776" s="46">
        <v>0</v>
      </c>
      <c r="BF776" s="46">
        <v>0</v>
      </c>
      <c r="BG776" s="46" t="s">
        <v>48</v>
      </c>
      <c r="BH776" s="46">
        <v>0</v>
      </c>
      <c r="BI776" s="46">
        <v>0</v>
      </c>
      <c r="BJ776" s="46">
        <v>0</v>
      </c>
      <c r="BK776" s="46">
        <v>1</v>
      </c>
      <c r="BL776" s="46">
        <v>0</v>
      </c>
      <c r="BM776" s="46">
        <v>0</v>
      </c>
      <c r="BN776" s="46">
        <v>0</v>
      </c>
    </row>
    <row r="777" spans="1:66" x14ac:dyDescent="0.35">
      <c r="A777" t="s">
        <v>3949</v>
      </c>
      <c r="B777" s="44" t="s">
        <v>48</v>
      </c>
      <c r="C777" t="s">
        <v>3953</v>
      </c>
      <c r="D777" t="s">
        <v>3952</v>
      </c>
      <c r="E777" t="s">
        <v>3950</v>
      </c>
      <c r="F777" t="s">
        <v>3944</v>
      </c>
      <c r="G777" t="s">
        <v>74</v>
      </c>
      <c r="H777">
        <v>0</v>
      </c>
      <c r="I777" s="61" t="s">
        <v>11160</v>
      </c>
      <c r="J777" s="33" t="s">
        <v>45</v>
      </c>
      <c r="K777" s="46">
        <v>0</v>
      </c>
      <c r="L777">
        <v>100</v>
      </c>
      <c r="M777" t="s">
        <v>48</v>
      </c>
      <c r="N777" s="46">
        <v>1</v>
      </c>
      <c r="O777" s="46">
        <v>0</v>
      </c>
      <c r="P777" s="46">
        <v>0</v>
      </c>
      <c r="Q777" t="s">
        <v>48</v>
      </c>
      <c r="R777" t="s">
        <v>48</v>
      </c>
      <c r="S777" t="s">
        <v>11352</v>
      </c>
      <c r="T777" t="s">
        <v>48</v>
      </c>
      <c r="U777" t="s">
        <v>3951</v>
      </c>
      <c r="V777" s="47">
        <v>0</v>
      </c>
      <c r="W777" t="s">
        <v>48</v>
      </c>
      <c r="X777" t="s">
        <v>48</v>
      </c>
      <c r="Y777" t="s">
        <v>48</v>
      </c>
      <c r="Z777">
        <v>0</v>
      </c>
      <c r="AA777" t="s">
        <v>48</v>
      </c>
      <c r="AB777" t="s">
        <v>48</v>
      </c>
      <c r="AC777" t="s">
        <v>63</v>
      </c>
      <c r="AD777" t="s">
        <v>93</v>
      </c>
      <c r="AE777" t="s">
        <v>4532</v>
      </c>
      <c r="AF777" t="s">
        <v>48</v>
      </c>
      <c r="AG777" t="s">
        <v>48</v>
      </c>
      <c r="AH777" t="s">
        <v>48</v>
      </c>
      <c r="AI777" t="s">
        <v>48</v>
      </c>
      <c r="AJ777" t="s">
        <v>48</v>
      </c>
      <c r="AK777" t="s">
        <v>48</v>
      </c>
      <c r="AL777" t="s">
        <v>48</v>
      </c>
      <c r="AM777" t="s">
        <v>48</v>
      </c>
      <c r="AN777" t="s">
        <v>48</v>
      </c>
      <c r="AO777" t="s">
        <v>48</v>
      </c>
      <c r="AP777" s="46">
        <v>0</v>
      </c>
      <c r="AQ777" s="46">
        <v>0</v>
      </c>
      <c r="AR777" s="46">
        <v>0</v>
      </c>
      <c r="AS777" s="46">
        <v>0</v>
      </c>
      <c r="AT777" s="46">
        <v>0</v>
      </c>
      <c r="AU777" s="46">
        <v>0</v>
      </c>
      <c r="AV777" s="46">
        <v>0</v>
      </c>
      <c r="AW777" s="46">
        <v>0</v>
      </c>
      <c r="AX777" s="46">
        <v>0</v>
      </c>
      <c r="AY777" s="46">
        <v>0</v>
      </c>
      <c r="AZ777" s="46">
        <v>0</v>
      </c>
      <c r="BA777" s="46">
        <v>0</v>
      </c>
      <c r="BB777" s="46">
        <v>0</v>
      </c>
      <c r="BC777" s="46">
        <v>0</v>
      </c>
      <c r="BD777" s="46">
        <v>0</v>
      </c>
      <c r="BE777" s="46">
        <v>0</v>
      </c>
      <c r="BF777" s="46">
        <v>0</v>
      </c>
      <c r="BG777" s="46" t="s">
        <v>48</v>
      </c>
      <c r="BH777" s="46">
        <v>0</v>
      </c>
      <c r="BI777" s="46">
        <v>0</v>
      </c>
      <c r="BJ777" s="46">
        <v>0</v>
      </c>
      <c r="BK777" s="46">
        <v>0</v>
      </c>
      <c r="BL777" s="46">
        <v>0</v>
      </c>
      <c r="BM777" s="46">
        <v>0</v>
      </c>
      <c r="BN777" s="46">
        <v>0</v>
      </c>
    </row>
    <row r="778" spans="1:66" x14ac:dyDescent="0.35">
      <c r="A778" t="s">
        <v>3943</v>
      </c>
      <c r="B778" t="s">
        <v>48</v>
      </c>
      <c r="C778" t="s">
        <v>3948</v>
      </c>
      <c r="D778" t="s">
        <v>585</v>
      </c>
      <c r="E778" t="s">
        <v>3945</v>
      </c>
      <c r="F778" t="s">
        <v>3944</v>
      </c>
      <c r="G778" t="s">
        <v>47</v>
      </c>
      <c r="H778">
        <v>1</v>
      </c>
      <c r="I778" s="60" t="s">
        <v>51</v>
      </c>
      <c r="J778" s="33" t="s">
        <v>45</v>
      </c>
      <c r="K778" s="46">
        <v>1</v>
      </c>
      <c r="L778">
        <v>100</v>
      </c>
      <c r="M778" t="s">
        <v>48</v>
      </c>
      <c r="N778" s="46">
        <v>1</v>
      </c>
      <c r="O778" s="46">
        <v>0</v>
      </c>
      <c r="P778" s="46">
        <v>0</v>
      </c>
      <c r="Q778" t="s">
        <v>48</v>
      </c>
      <c r="R778" t="s">
        <v>48</v>
      </c>
      <c r="S778" t="s">
        <v>3946</v>
      </c>
      <c r="T778" t="s">
        <v>3947</v>
      </c>
      <c r="U778" t="s">
        <v>3946</v>
      </c>
      <c r="V778" s="47">
        <v>0</v>
      </c>
      <c r="W778" t="s">
        <v>48</v>
      </c>
      <c r="X778" t="s">
        <v>48</v>
      </c>
      <c r="Y778" t="s">
        <v>48</v>
      </c>
      <c r="Z778">
        <v>0</v>
      </c>
      <c r="AA778" t="s">
        <v>48</v>
      </c>
      <c r="AB778">
        <v>2014</v>
      </c>
      <c r="AC778" t="s">
        <v>49</v>
      </c>
      <c r="AD778" t="s">
        <v>93</v>
      </c>
      <c r="AE778" t="s">
        <v>4532</v>
      </c>
      <c r="AF778" t="s">
        <v>48</v>
      </c>
      <c r="AG778" t="s">
        <v>140</v>
      </c>
      <c r="AH778" t="s">
        <v>93</v>
      </c>
      <c r="AI778">
        <v>21531</v>
      </c>
      <c r="AJ778">
        <v>1961</v>
      </c>
      <c r="AK778" t="s">
        <v>9028</v>
      </c>
      <c r="AL778" t="s">
        <v>9029</v>
      </c>
      <c r="AM778">
        <v>0.44900000000000001</v>
      </c>
      <c r="AN778">
        <v>-3.7999999999999999E-2</v>
      </c>
      <c r="AO778">
        <v>0.44900000000000001</v>
      </c>
      <c r="AP778" s="46">
        <v>0</v>
      </c>
      <c r="AQ778" s="46">
        <v>0</v>
      </c>
      <c r="AR778" s="46">
        <v>0</v>
      </c>
      <c r="AS778" s="46">
        <v>0</v>
      </c>
      <c r="AT778" s="46">
        <v>0</v>
      </c>
      <c r="AU778" s="46">
        <v>0</v>
      </c>
      <c r="AV778" s="46">
        <v>0</v>
      </c>
      <c r="AW778" s="46">
        <v>0</v>
      </c>
      <c r="AX778" s="46">
        <v>0</v>
      </c>
      <c r="AY778" s="46">
        <v>0</v>
      </c>
      <c r="AZ778" s="46">
        <v>1</v>
      </c>
      <c r="BA778" s="46">
        <v>0</v>
      </c>
      <c r="BB778" s="46">
        <v>1</v>
      </c>
      <c r="BC778" s="46">
        <v>0</v>
      </c>
      <c r="BD778" s="46">
        <v>0</v>
      </c>
      <c r="BE778" s="46">
        <v>0</v>
      </c>
      <c r="BF778" s="46">
        <v>0</v>
      </c>
      <c r="BG778" s="46">
        <v>1</v>
      </c>
      <c r="BH778" s="46">
        <v>0</v>
      </c>
      <c r="BI778" s="46">
        <v>0</v>
      </c>
      <c r="BJ778" s="46">
        <v>0</v>
      </c>
      <c r="BK778" s="46">
        <v>0</v>
      </c>
      <c r="BL778" s="46">
        <v>0</v>
      </c>
      <c r="BM778" s="46">
        <v>0</v>
      </c>
      <c r="BN778" s="46">
        <v>0</v>
      </c>
    </row>
    <row r="779" spans="1:66" x14ac:dyDescent="0.35">
      <c r="A779" t="s">
        <v>10705</v>
      </c>
      <c r="B779" s="44" t="s">
        <v>48</v>
      </c>
      <c r="C779" t="s">
        <v>12032</v>
      </c>
      <c r="D779" t="s">
        <v>11888</v>
      </c>
      <c r="E779" t="s">
        <v>10706</v>
      </c>
      <c r="F779" t="s">
        <v>3955</v>
      </c>
      <c r="G779" t="s">
        <v>74</v>
      </c>
      <c r="H779">
        <v>0</v>
      </c>
      <c r="I779" s="60" t="s">
        <v>11552</v>
      </c>
      <c r="J779" s="33" t="s">
        <v>45</v>
      </c>
      <c r="K779" s="46">
        <v>0</v>
      </c>
      <c r="L779">
        <v>59</v>
      </c>
      <c r="M779" t="s">
        <v>48</v>
      </c>
      <c r="N779" s="46">
        <v>1</v>
      </c>
      <c r="O779" s="46">
        <v>0</v>
      </c>
      <c r="P779" s="46">
        <v>0</v>
      </c>
      <c r="Q779" t="s">
        <v>48</v>
      </c>
      <c r="R779" t="s">
        <v>48</v>
      </c>
      <c r="S779" t="s">
        <v>11497</v>
      </c>
      <c r="T779" t="s">
        <v>48</v>
      </c>
      <c r="U779" t="s">
        <v>10707</v>
      </c>
      <c r="V779" s="47">
        <v>0</v>
      </c>
      <c r="W779" t="s">
        <v>48</v>
      </c>
      <c r="X779" t="s">
        <v>48</v>
      </c>
      <c r="Y779" t="s">
        <v>48</v>
      </c>
      <c r="Z779">
        <v>0</v>
      </c>
      <c r="AA779" t="s">
        <v>48</v>
      </c>
      <c r="AB779" t="s">
        <v>48</v>
      </c>
      <c r="AC779" t="s">
        <v>63</v>
      </c>
      <c r="AD779" t="s">
        <v>93</v>
      </c>
      <c r="AE779" t="s">
        <v>4532</v>
      </c>
      <c r="AF779" t="s">
        <v>48</v>
      </c>
      <c r="AG779" t="s">
        <v>48</v>
      </c>
      <c r="AH779" t="s">
        <v>48</v>
      </c>
      <c r="AI779" t="s">
        <v>48</v>
      </c>
      <c r="AJ779" t="s">
        <v>48</v>
      </c>
      <c r="AK779" t="s">
        <v>48</v>
      </c>
      <c r="AL779" t="s">
        <v>48</v>
      </c>
      <c r="AM779" t="s">
        <v>48</v>
      </c>
      <c r="AN779" t="s">
        <v>48</v>
      </c>
      <c r="AO779" t="s">
        <v>48</v>
      </c>
      <c r="AP779" s="46">
        <v>0</v>
      </c>
      <c r="AQ779" s="46">
        <v>0</v>
      </c>
      <c r="AR779" s="46">
        <v>0</v>
      </c>
      <c r="AS779" s="46">
        <v>0</v>
      </c>
      <c r="AT779" s="46">
        <v>0</v>
      </c>
      <c r="AU779" s="46">
        <v>0</v>
      </c>
      <c r="AV779" s="46">
        <v>0</v>
      </c>
      <c r="AW779" s="46">
        <v>0</v>
      </c>
      <c r="AX779" s="46">
        <v>0</v>
      </c>
      <c r="AY779" s="46">
        <v>0</v>
      </c>
      <c r="AZ779" s="46">
        <v>0</v>
      </c>
      <c r="BA779" s="46">
        <v>0</v>
      </c>
      <c r="BB779" s="46">
        <v>0</v>
      </c>
      <c r="BC779" s="46">
        <v>0</v>
      </c>
      <c r="BD779" s="46">
        <v>0</v>
      </c>
      <c r="BE779" s="46">
        <v>0</v>
      </c>
      <c r="BF779" s="46">
        <v>0</v>
      </c>
      <c r="BG779" s="46" t="s">
        <v>48</v>
      </c>
      <c r="BH779" s="46">
        <v>0</v>
      </c>
      <c r="BI779" s="46">
        <v>0</v>
      </c>
      <c r="BJ779" s="46">
        <v>0</v>
      </c>
      <c r="BK779" s="46">
        <v>0</v>
      </c>
      <c r="BL779" s="46">
        <v>0</v>
      </c>
      <c r="BM779" s="46">
        <v>0</v>
      </c>
      <c r="BN779" s="46">
        <v>0</v>
      </c>
    </row>
    <row r="780" spans="1:66" x14ac:dyDescent="0.35">
      <c r="A780" t="s">
        <v>3954</v>
      </c>
      <c r="B780" s="44" t="s">
        <v>48</v>
      </c>
      <c r="C780" t="s">
        <v>3959</v>
      </c>
      <c r="D780" t="s">
        <v>1469</v>
      </c>
      <c r="E780" t="s">
        <v>3956</v>
      </c>
      <c r="F780" t="s">
        <v>3955</v>
      </c>
      <c r="G780" t="s">
        <v>47</v>
      </c>
      <c r="H780">
        <v>0</v>
      </c>
      <c r="I780" s="60" t="s">
        <v>51</v>
      </c>
      <c r="J780" s="33" t="s">
        <v>45</v>
      </c>
      <c r="K780" s="46">
        <v>1</v>
      </c>
      <c r="L780">
        <v>100</v>
      </c>
      <c r="M780" t="s">
        <v>48</v>
      </c>
      <c r="N780" s="46">
        <v>1</v>
      </c>
      <c r="O780" s="46">
        <v>0</v>
      </c>
      <c r="P780" s="46">
        <v>0</v>
      </c>
      <c r="Q780" t="s">
        <v>48</v>
      </c>
      <c r="R780" t="s">
        <v>48</v>
      </c>
      <c r="S780" t="s">
        <v>3957</v>
      </c>
      <c r="T780" t="s">
        <v>3958</v>
      </c>
      <c r="U780" t="s">
        <v>3957</v>
      </c>
      <c r="V780" s="47">
        <v>0</v>
      </c>
      <c r="W780" t="s">
        <v>48</v>
      </c>
      <c r="X780" t="s">
        <v>48</v>
      </c>
      <c r="Y780" t="s">
        <v>48</v>
      </c>
      <c r="Z780">
        <v>1</v>
      </c>
      <c r="AA780" t="s">
        <v>48</v>
      </c>
      <c r="AB780">
        <v>2020</v>
      </c>
      <c r="AC780" t="s">
        <v>63</v>
      </c>
      <c r="AD780" t="s">
        <v>93</v>
      </c>
      <c r="AE780" t="s">
        <v>4532</v>
      </c>
      <c r="AF780" t="s">
        <v>48</v>
      </c>
      <c r="AG780" t="s">
        <v>140</v>
      </c>
      <c r="AH780" t="s">
        <v>93</v>
      </c>
      <c r="AI780">
        <v>22114</v>
      </c>
      <c r="AJ780">
        <v>1965</v>
      </c>
      <c r="AK780" t="s">
        <v>9030</v>
      </c>
      <c r="AL780" t="s">
        <v>9031</v>
      </c>
      <c r="AM780">
        <v>0.51100000000000001</v>
      </c>
      <c r="AN780">
        <v>0.20300000000000001</v>
      </c>
      <c r="AO780">
        <v>0.51100000000000001</v>
      </c>
      <c r="AP780" s="46">
        <v>0</v>
      </c>
      <c r="AQ780" s="46">
        <v>0</v>
      </c>
      <c r="AR780" s="46">
        <v>0</v>
      </c>
      <c r="AS780" s="46">
        <v>0</v>
      </c>
      <c r="AT780" s="46">
        <v>0</v>
      </c>
      <c r="AU780" s="46">
        <v>0</v>
      </c>
      <c r="AV780" s="46">
        <v>0</v>
      </c>
      <c r="AW780" s="46">
        <v>0</v>
      </c>
      <c r="AX780" s="46">
        <v>0</v>
      </c>
      <c r="AY780" s="46">
        <v>0</v>
      </c>
      <c r="AZ780" s="46">
        <v>0</v>
      </c>
      <c r="BA780" s="46">
        <v>0</v>
      </c>
      <c r="BB780" s="46">
        <v>1</v>
      </c>
      <c r="BC780" s="46">
        <v>0</v>
      </c>
      <c r="BD780" s="46">
        <v>0</v>
      </c>
      <c r="BE780" s="46">
        <v>0</v>
      </c>
      <c r="BF780" s="46">
        <v>0</v>
      </c>
      <c r="BG780" s="46">
        <v>1</v>
      </c>
      <c r="BH780" s="46">
        <v>0</v>
      </c>
      <c r="BI780" s="46">
        <v>0</v>
      </c>
      <c r="BJ780" s="46">
        <v>0</v>
      </c>
      <c r="BK780" s="46">
        <v>0</v>
      </c>
      <c r="BL780" s="46">
        <v>0</v>
      </c>
      <c r="BM780" s="46">
        <v>0</v>
      </c>
      <c r="BN780" s="46">
        <v>0</v>
      </c>
    </row>
    <row r="781" spans="1:66" x14ac:dyDescent="0.35">
      <c r="A781" t="s">
        <v>10710</v>
      </c>
      <c r="B781" s="44" t="s">
        <v>48</v>
      </c>
      <c r="C781" t="s">
        <v>11885</v>
      </c>
      <c r="D781" t="s">
        <v>12036</v>
      </c>
      <c r="E781" t="s">
        <v>10711</v>
      </c>
      <c r="F781" t="s">
        <v>3962</v>
      </c>
      <c r="G781" t="s">
        <v>74</v>
      </c>
      <c r="H781">
        <v>0</v>
      </c>
      <c r="I781" s="60" t="s">
        <v>11552</v>
      </c>
      <c r="J781" s="33" t="s">
        <v>45</v>
      </c>
      <c r="K781" s="46">
        <v>0</v>
      </c>
      <c r="L781">
        <v>86.1</v>
      </c>
      <c r="M781" t="s">
        <v>48</v>
      </c>
      <c r="N781" s="46">
        <v>1</v>
      </c>
      <c r="O781" s="46">
        <v>0</v>
      </c>
      <c r="P781" s="46">
        <v>0</v>
      </c>
      <c r="Q781" t="s">
        <v>48</v>
      </c>
      <c r="R781" t="s">
        <v>48</v>
      </c>
      <c r="S781" t="s">
        <v>11498</v>
      </c>
      <c r="T781" t="s">
        <v>48</v>
      </c>
      <c r="U781" t="s">
        <v>10712</v>
      </c>
      <c r="V781" s="47">
        <v>0</v>
      </c>
      <c r="W781" t="s">
        <v>48</v>
      </c>
      <c r="X781" t="s">
        <v>48</v>
      </c>
      <c r="Y781" t="s">
        <v>48</v>
      </c>
      <c r="Z781">
        <v>0</v>
      </c>
      <c r="AA781" t="s">
        <v>48</v>
      </c>
      <c r="AB781" t="s">
        <v>48</v>
      </c>
      <c r="AC781" t="s">
        <v>63</v>
      </c>
      <c r="AD781" t="s">
        <v>93</v>
      </c>
      <c r="AE781" t="s">
        <v>4532</v>
      </c>
      <c r="AF781" t="s">
        <v>48</v>
      </c>
      <c r="AG781" t="s">
        <v>48</v>
      </c>
      <c r="AH781" t="s">
        <v>48</v>
      </c>
      <c r="AI781" t="s">
        <v>48</v>
      </c>
      <c r="AJ781" t="s">
        <v>48</v>
      </c>
      <c r="AK781" t="s">
        <v>48</v>
      </c>
      <c r="AL781" t="s">
        <v>48</v>
      </c>
      <c r="AM781" t="s">
        <v>48</v>
      </c>
      <c r="AN781" t="s">
        <v>48</v>
      </c>
      <c r="AO781" t="s">
        <v>48</v>
      </c>
      <c r="AP781" s="46">
        <v>0</v>
      </c>
      <c r="AQ781" s="46">
        <v>0</v>
      </c>
      <c r="AR781" s="46">
        <v>0</v>
      </c>
      <c r="AS781" s="46">
        <v>0</v>
      </c>
      <c r="AT781" s="46">
        <v>0</v>
      </c>
      <c r="AU781" s="46">
        <v>0</v>
      </c>
      <c r="AV781" s="46">
        <v>0</v>
      </c>
      <c r="AW781" s="46">
        <v>0</v>
      </c>
      <c r="AX781" s="46">
        <v>0</v>
      </c>
      <c r="AY781" s="46">
        <v>0</v>
      </c>
      <c r="AZ781" s="46">
        <v>0</v>
      </c>
      <c r="BA781" s="46">
        <v>0</v>
      </c>
      <c r="BB781" s="46">
        <v>0</v>
      </c>
      <c r="BC781" s="46">
        <v>0</v>
      </c>
      <c r="BD781" s="46">
        <v>0</v>
      </c>
      <c r="BE781" s="46">
        <v>0</v>
      </c>
      <c r="BF781" s="46">
        <v>0</v>
      </c>
      <c r="BG781" s="46" t="s">
        <v>48</v>
      </c>
      <c r="BH781" s="46">
        <v>0</v>
      </c>
      <c r="BI781" s="46">
        <v>0</v>
      </c>
      <c r="BJ781" s="46">
        <v>0</v>
      </c>
      <c r="BK781" s="46">
        <v>0</v>
      </c>
      <c r="BL781" s="46">
        <v>0</v>
      </c>
      <c r="BM781" s="46">
        <v>0</v>
      </c>
      <c r="BN781" s="46">
        <v>0</v>
      </c>
    </row>
    <row r="782" spans="1:66" x14ac:dyDescent="0.35">
      <c r="A782" t="s">
        <v>3961</v>
      </c>
      <c r="B782" t="s">
        <v>48</v>
      </c>
      <c r="C782" t="s">
        <v>3966</v>
      </c>
      <c r="D782" t="s">
        <v>1262</v>
      </c>
      <c r="E782" t="s">
        <v>3963</v>
      </c>
      <c r="F782" t="s">
        <v>3962</v>
      </c>
      <c r="G782" t="s">
        <v>47</v>
      </c>
      <c r="H782">
        <v>0</v>
      </c>
      <c r="I782" s="60" t="s">
        <v>51</v>
      </c>
      <c r="J782" s="33" t="s">
        <v>45</v>
      </c>
      <c r="K782" s="46">
        <v>1</v>
      </c>
      <c r="L782">
        <v>91</v>
      </c>
      <c r="M782" t="s">
        <v>48</v>
      </c>
      <c r="N782" s="46">
        <v>1</v>
      </c>
      <c r="O782" s="46">
        <v>0</v>
      </c>
      <c r="P782" s="46">
        <v>0</v>
      </c>
      <c r="Q782" t="s">
        <v>48</v>
      </c>
      <c r="R782" t="s">
        <v>48</v>
      </c>
      <c r="S782" t="s">
        <v>3964</v>
      </c>
      <c r="T782" t="s">
        <v>3965</v>
      </c>
      <c r="U782" t="s">
        <v>3964</v>
      </c>
      <c r="V782" s="47">
        <v>0</v>
      </c>
      <c r="W782" t="s">
        <v>48</v>
      </c>
      <c r="X782" t="s">
        <v>48</v>
      </c>
      <c r="Y782" t="s">
        <v>48</v>
      </c>
      <c r="Z782">
        <v>0</v>
      </c>
      <c r="AA782" t="s">
        <v>48</v>
      </c>
      <c r="AB782">
        <v>2018</v>
      </c>
      <c r="AC782" t="s">
        <v>49</v>
      </c>
      <c r="AD782" t="s">
        <v>93</v>
      </c>
      <c r="AE782" t="s">
        <v>4532</v>
      </c>
      <c r="AF782" t="s">
        <v>48</v>
      </c>
      <c r="AG782" t="s">
        <v>140</v>
      </c>
      <c r="AH782" t="s">
        <v>93</v>
      </c>
      <c r="AI782">
        <v>21969</v>
      </c>
      <c r="AJ782">
        <v>1966</v>
      </c>
      <c r="AK782" t="s">
        <v>9032</v>
      </c>
      <c r="AL782" t="s">
        <v>9033</v>
      </c>
      <c r="AM782">
        <v>0.32</v>
      </c>
      <c r="AN782">
        <v>8.2000000000000003E-2</v>
      </c>
      <c r="AO782">
        <v>0.32</v>
      </c>
      <c r="AP782" s="46">
        <v>0</v>
      </c>
      <c r="AQ782" s="46">
        <v>0</v>
      </c>
      <c r="AR782" s="46">
        <v>0</v>
      </c>
      <c r="AS782" s="46">
        <v>0</v>
      </c>
      <c r="AT782" s="46">
        <v>0</v>
      </c>
      <c r="AU782" s="46">
        <v>0</v>
      </c>
      <c r="AV782" s="46">
        <v>0</v>
      </c>
      <c r="AW782" s="46">
        <v>0</v>
      </c>
      <c r="AX782" s="46">
        <v>0</v>
      </c>
      <c r="AY782" s="46">
        <v>1</v>
      </c>
      <c r="AZ782" s="46">
        <v>1</v>
      </c>
      <c r="BA782" s="46">
        <v>1</v>
      </c>
      <c r="BB782" s="46">
        <v>1</v>
      </c>
      <c r="BC782" s="46">
        <v>0</v>
      </c>
      <c r="BD782" s="46">
        <v>0</v>
      </c>
      <c r="BE782" s="46">
        <v>0</v>
      </c>
      <c r="BF782" s="46">
        <v>0</v>
      </c>
      <c r="BG782" s="46">
        <v>1</v>
      </c>
      <c r="BH782" s="46">
        <v>0</v>
      </c>
      <c r="BI782" s="46">
        <v>0</v>
      </c>
      <c r="BJ782" s="46">
        <v>0</v>
      </c>
      <c r="BK782" s="46">
        <v>0</v>
      </c>
      <c r="BL782" s="46">
        <v>0</v>
      </c>
      <c r="BM782" s="46">
        <v>1</v>
      </c>
      <c r="BN782" s="46">
        <v>0</v>
      </c>
    </row>
    <row r="783" spans="1:66" x14ac:dyDescent="0.35">
      <c r="A783" t="s">
        <v>3993</v>
      </c>
      <c r="B783" s="44" t="s">
        <v>48</v>
      </c>
      <c r="C783" t="s">
        <v>886</v>
      </c>
      <c r="D783" t="s">
        <v>259</v>
      </c>
      <c r="E783" t="s">
        <v>3994</v>
      </c>
      <c r="F783" t="s">
        <v>3980</v>
      </c>
      <c r="G783" t="s">
        <v>47</v>
      </c>
      <c r="H783">
        <v>0</v>
      </c>
      <c r="I783" s="60" t="s">
        <v>149</v>
      </c>
      <c r="J783" s="33" t="s">
        <v>45</v>
      </c>
      <c r="K783" s="46">
        <v>0</v>
      </c>
      <c r="L783">
        <v>42.4</v>
      </c>
      <c r="M783" t="s">
        <v>48</v>
      </c>
      <c r="N783" s="46">
        <v>1</v>
      </c>
      <c r="O783" s="46">
        <v>0</v>
      </c>
      <c r="P783" s="46">
        <v>0</v>
      </c>
      <c r="Q783" t="s">
        <v>48</v>
      </c>
      <c r="R783" t="s">
        <v>48</v>
      </c>
      <c r="S783" t="s">
        <v>3995</v>
      </c>
      <c r="T783" t="s">
        <v>48</v>
      </c>
      <c r="U783" t="s">
        <v>3995</v>
      </c>
      <c r="V783" s="47">
        <v>1</v>
      </c>
      <c r="W783" t="s">
        <v>48</v>
      </c>
      <c r="X783" t="s">
        <v>48</v>
      </c>
      <c r="Y783" t="s">
        <v>48</v>
      </c>
      <c r="Z783">
        <v>0</v>
      </c>
      <c r="AA783" t="s">
        <v>48</v>
      </c>
      <c r="AB783" t="s">
        <v>48</v>
      </c>
      <c r="AC783" t="s">
        <v>49</v>
      </c>
      <c r="AD783" t="s">
        <v>93</v>
      </c>
      <c r="AE783" s="40" t="s">
        <v>2471</v>
      </c>
      <c r="AF783" t="s">
        <v>11061</v>
      </c>
      <c r="AG783" t="s">
        <v>48</v>
      </c>
      <c r="AH783" t="s">
        <v>48</v>
      </c>
      <c r="AI783" t="s">
        <v>48</v>
      </c>
      <c r="AJ783" t="s">
        <v>48</v>
      </c>
      <c r="AK783" t="s">
        <v>48</v>
      </c>
      <c r="AL783" t="s">
        <v>48</v>
      </c>
      <c r="AM783" t="s">
        <v>48</v>
      </c>
      <c r="AN783" t="s">
        <v>48</v>
      </c>
      <c r="AO783" t="s">
        <v>48</v>
      </c>
      <c r="AP783" s="46">
        <v>0</v>
      </c>
      <c r="AQ783" s="46">
        <v>0</v>
      </c>
      <c r="AR783" s="46">
        <v>0</v>
      </c>
      <c r="AS783" s="46">
        <v>0</v>
      </c>
      <c r="AT783" s="46">
        <v>0</v>
      </c>
      <c r="AU783" s="46">
        <v>0</v>
      </c>
      <c r="AV783" s="46">
        <v>0</v>
      </c>
      <c r="AW783" s="46">
        <v>0</v>
      </c>
      <c r="AX783" s="46">
        <v>0</v>
      </c>
      <c r="AY783" s="46">
        <v>0</v>
      </c>
      <c r="AZ783" s="46">
        <v>0</v>
      </c>
      <c r="BA783" s="46">
        <v>0</v>
      </c>
      <c r="BB783" s="46">
        <v>0</v>
      </c>
      <c r="BC783" s="46">
        <v>0</v>
      </c>
      <c r="BD783" s="46">
        <v>0</v>
      </c>
      <c r="BE783" s="46">
        <v>0</v>
      </c>
      <c r="BF783" s="46">
        <v>0</v>
      </c>
      <c r="BG783" s="46" t="s">
        <v>48</v>
      </c>
      <c r="BH783" s="46">
        <v>0</v>
      </c>
      <c r="BI783" s="46">
        <v>0</v>
      </c>
      <c r="BJ783" s="46">
        <v>0</v>
      </c>
      <c r="BK783" s="46">
        <v>0</v>
      </c>
      <c r="BL783" s="46">
        <v>0</v>
      </c>
      <c r="BM783" s="46">
        <v>0</v>
      </c>
      <c r="BN783" s="46">
        <v>0</v>
      </c>
    </row>
    <row r="784" spans="1:66" x14ac:dyDescent="0.35">
      <c r="A784" t="s">
        <v>3979</v>
      </c>
      <c r="B784" s="44" t="s">
        <v>48</v>
      </c>
      <c r="C784" t="s">
        <v>3985</v>
      </c>
      <c r="D784" t="s">
        <v>3984</v>
      </c>
      <c r="E784" t="s">
        <v>3981</v>
      </c>
      <c r="F784" t="s">
        <v>3980</v>
      </c>
      <c r="G784" t="s">
        <v>74</v>
      </c>
      <c r="H784">
        <v>0</v>
      </c>
      <c r="I784" s="60" t="s">
        <v>51</v>
      </c>
      <c r="J784" s="33" t="s">
        <v>45</v>
      </c>
      <c r="K784" s="46">
        <v>1</v>
      </c>
      <c r="L784">
        <v>69.5</v>
      </c>
      <c r="M784" t="s">
        <v>48</v>
      </c>
      <c r="N784" s="46">
        <v>1</v>
      </c>
      <c r="O784" s="46">
        <v>0</v>
      </c>
      <c r="P784" s="46">
        <v>0</v>
      </c>
      <c r="Q784" t="s">
        <v>48</v>
      </c>
      <c r="R784" t="s">
        <v>48</v>
      </c>
      <c r="S784" t="s">
        <v>3982</v>
      </c>
      <c r="T784" t="s">
        <v>3983</v>
      </c>
      <c r="U784" t="s">
        <v>3982</v>
      </c>
      <c r="V784" s="47">
        <v>0</v>
      </c>
      <c r="W784" t="s">
        <v>48</v>
      </c>
      <c r="X784" t="s">
        <v>48</v>
      </c>
      <c r="Y784" t="s">
        <v>48</v>
      </c>
      <c r="Z784">
        <v>1</v>
      </c>
      <c r="AA784" t="s">
        <v>48</v>
      </c>
      <c r="AB784">
        <v>2020</v>
      </c>
      <c r="AC784" t="s">
        <v>63</v>
      </c>
      <c r="AD784" t="s">
        <v>93</v>
      </c>
      <c r="AE784" s="40" t="s">
        <v>2471</v>
      </c>
      <c r="AF784" t="s">
        <v>11061</v>
      </c>
      <c r="AG784" t="s">
        <v>48</v>
      </c>
      <c r="AH784" t="s">
        <v>93</v>
      </c>
      <c r="AI784">
        <v>22106</v>
      </c>
      <c r="AJ784">
        <v>1976</v>
      </c>
      <c r="AK784" t="s">
        <v>9034</v>
      </c>
      <c r="AL784" t="s">
        <v>9035</v>
      </c>
      <c r="AM784">
        <v>-0.24299999999999999</v>
      </c>
      <c r="AN784">
        <v>-0.97</v>
      </c>
      <c r="AO784" s="39">
        <v>-0.8</v>
      </c>
      <c r="AP784" s="46">
        <v>1</v>
      </c>
      <c r="AQ784" s="46">
        <v>0</v>
      </c>
      <c r="AR784" s="46">
        <v>1</v>
      </c>
      <c r="AS784" s="46">
        <v>1</v>
      </c>
      <c r="AT784" s="46">
        <v>1</v>
      </c>
      <c r="AU784" s="46">
        <v>0</v>
      </c>
      <c r="AV784" s="46">
        <v>0</v>
      </c>
      <c r="AW784" s="46">
        <v>0</v>
      </c>
      <c r="AX784" s="46">
        <v>0</v>
      </c>
      <c r="AY784" s="46">
        <v>0</v>
      </c>
      <c r="AZ784" s="46">
        <v>0</v>
      </c>
      <c r="BA784" s="46">
        <v>0</v>
      </c>
      <c r="BB784" s="46">
        <v>0</v>
      </c>
      <c r="BC784" s="46">
        <v>0</v>
      </c>
      <c r="BD784" s="46">
        <v>0</v>
      </c>
      <c r="BE784" s="46">
        <v>0</v>
      </c>
      <c r="BF784" s="46">
        <v>0</v>
      </c>
      <c r="BG784" s="46" t="s">
        <v>48</v>
      </c>
      <c r="BH784" s="46">
        <v>0</v>
      </c>
      <c r="BI784" s="46">
        <v>0</v>
      </c>
      <c r="BJ784" s="46">
        <v>0</v>
      </c>
      <c r="BK784" s="46">
        <v>1</v>
      </c>
      <c r="BL784" s="46">
        <v>0</v>
      </c>
      <c r="BM784" s="46">
        <v>0</v>
      </c>
      <c r="BN784" s="46">
        <v>0</v>
      </c>
    </row>
    <row r="785" spans="1:66" x14ac:dyDescent="0.35">
      <c r="A785" t="s">
        <v>4009</v>
      </c>
      <c r="B785" s="44" t="s">
        <v>48</v>
      </c>
      <c r="C785" t="s">
        <v>4013</v>
      </c>
      <c r="D785" t="s">
        <v>767</v>
      </c>
      <c r="E785" t="s">
        <v>4010</v>
      </c>
      <c r="F785" t="s">
        <v>3996</v>
      </c>
      <c r="G785" t="s">
        <v>47</v>
      </c>
      <c r="H785">
        <v>0</v>
      </c>
      <c r="I785" s="60" t="s">
        <v>51</v>
      </c>
      <c r="J785" s="33" t="s">
        <v>45</v>
      </c>
      <c r="K785" s="46">
        <v>1</v>
      </c>
      <c r="L785">
        <v>67.099999999999994</v>
      </c>
      <c r="M785" t="s">
        <v>48</v>
      </c>
      <c r="N785" s="46">
        <v>1</v>
      </c>
      <c r="O785" s="46">
        <v>0</v>
      </c>
      <c r="P785" s="46">
        <v>0</v>
      </c>
      <c r="Q785" t="s">
        <v>48</v>
      </c>
      <c r="R785" t="s">
        <v>48</v>
      </c>
      <c r="S785" t="s">
        <v>4011</v>
      </c>
      <c r="T785" t="s">
        <v>4012</v>
      </c>
      <c r="U785" t="s">
        <v>4011</v>
      </c>
      <c r="V785" s="47">
        <v>0</v>
      </c>
      <c r="W785" t="s">
        <v>48</v>
      </c>
      <c r="X785" t="s">
        <v>48</v>
      </c>
      <c r="Y785" t="s">
        <v>48</v>
      </c>
      <c r="Z785">
        <v>0</v>
      </c>
      <c r="AA785" t="s">
        <v>48</v>
      </c>
      <c r="AB785">
        <v>2012</v>
      </c>
      <c r="AC785" t="s">
        <v>63</v>
      </c>
      <c r="AD785" t="s">
        <v>93</v>
      </c>
      <c r="AE785" t="s">
        <v>4532</v>
      </c>
      <c r="AF785" t="s">
        <v>48</v>
      </c>
      <c r="AG785" t="s">
        <v>140</v>
      </c>
      <c r="AH785" t="s">
        <v>93</v>
      </c>
      <c r="AI785">
        <v>21337</v>
      </c>
      <c r="AJ785">
        <v>1962</v>
      </c>
      <c r="AK785" t="s">
        <v>9036</v>
      </c>
      <c r="AL785" t="s">
        <v>9037</v>
      </c>
      <c r="AM785">
        <v>0.42799999999999999</v>
      </c>
      <c r="AN785">
        <v>0.156</v>
      </c>
      <c r="AO785">
        <v>0.42799999999999999</v>
      </c>
      <c r="AP785" s="46">
        <v>0</v>
      </c>
      <c r="AQ785" s="46">
        <v>0</v>
      </c>
      <c r="AR785" s="46">
        <v>0</v>
      </c>
      <c r="AS785" s="46">
        <v>0</v>
      </c>
      <c r="AT785" s="46">
        <v>0</v>
      </c>
      <c r="AU785" s="46">
        <v>0</v>
      </c>
      <c r="AV785" s="46">
        <v>0</v>
      </c>
      <c r="AW785" s="46">
        <v>0</v>
      </c>
      <c r="AX785" s="46">
        <v>0</v>
      </c>
      <c r="AY785" s="46">
        <v>0</v>
      </c>
      <c r="AZ785" s="46">
        <v>0</v>
      </c>
      <c r="BA785" s="46">
        <v>0</v>
      </c>
      <c r="BB785" s="46">
        <v>1</v>
      </c>
      <c r="BC785" s="46">
        <v>0</v>
      </c>
      <c r="BD785" s="46">
        <v>0</v>
      </c>
      <c r="BE785" s="46">
        <v>0</v>
      </c>
      <c r="BF785" s="46">
        <v>0</v>
      </c>
      <c r="BG785" s="46">
        <v>1</v>
      </c>
      <c r="BH785" s="46">
        <v>0</v>
      </c>
      <c r="BI785" s="46">
        <v>0</v>
      </c>
      <c r="BJ785" s="46">
        <v>0</v>
      </c>
      <c r="BK785" s="46">
        <v>0</v>
      </c>
      <c r="BL785" s="46">
        <v>0</v>
      </c>
      <c r="BM785" s="46">
        <v>0</v>
      </c>
      <c r="BN785" s="46">
        <v>0</v>
      </c>
    </row>
    <row r="786" spans="1:66" x14ac:dyDescent="0.35">
      <c r="A786" t="s">
        <v>4001</v>
      </c>
      <c r="B786" s="44" t="s">
        <v>48</v>
      </c>
      <c r="C786" t="s">
        <v>4005</v>
      </c>
      <c r="D786" t="s">
        <v>4004</v>
      </c>
      <c r="E786" t="s">
        <v>4002</v>
      </c>
      <c r="F786" t="s">
        <v>3996</v>
      </c>
      <c r="G786" t="s">
        <v>74</v>
      </c>
      <c r="H786">
        <v>0</v>
      </c>
      <c r="I786" s="60" t="s">
        <v>51</v>
      </c>
      <c r="J786" s="33" t="s">
        <v>45</v>
      </c>
      <c r="K786" s="46">
        <v>0</v>
      </c>
      <c r="L786">
        <v>85.2</v>
      </c>
      <c r="M786" t="s">
        <v>48</v>
      </c>
      <c r="N786" s="46">
        <v>1</v>
      </c>
      <c r="O786" s="46">
        <v>0</v>
      </c>
      <c r="P786" s="46">
        <v>0</v>
      </c>
      <c r="Q786" t="s">
        <v>48</v>
      </c>
      <c r="R786" t="s">
        <v>48</v>
      </c>
      <c r="S786" t="s">
        <v>4003</v>
      </c>
      <c r="T786" t="s">
        <v>48</v>
      </c>
      <c r="U786" t="s">
        <v>4003</v>
      </c>
      <c r="V786" s="47">
        <v>1</v>
      </c>
      <c r="W786" t="s">
        <v>48</v>
      </c>
      <c r="X786" t="s">
        <v>48</v>
      </c>
      <c r="Y786" t="s">
        <v>48</v>
      </c>
      <c r="Z786">
        <v>0</v>
      </c>
      <c r="AA786" t="s">
        <v>48</v>
      </c>
      <c r="AB786" t="s">
        <v>48</v>
      </c>
      <c r="AC786" t="s">
        <v>63</v>
      </c>
      <c r="AD786" t="s">
        <v>93</v>
      </c>
      <c r="AE786" t="s">
        <v>4532</v>
      </c>
      <c r="AF786" t="s">
        <v>48</v>
      </c>
      <c r="AG786" t="s">
        <v>48</v>
      </c>
      <c r="AH786" t="s">
        <v>48</v>
      </c>
      <c r="AI786" t="s">
        <v>48</v>
      </c>
      <c r="AJ786" t="s">
        <v>48</v>
      </c>
      <c r="AK786" t="s">
        <v>48</v>
      </c>
      <c r="AL786" t="s">
        <v>48</v>
      </c>
      <c r="AM786" t="s">
        <v>48</v>
      </c>
      <c r="AN786" t="s">
        <v>48</v>
      </c>
      <c r="AO786" t="s">
        <v>48</v>
      </c>
      <c r="AP786" s="46">
        <v>0</v>
      </c>
      <c r="AQ786" s="46">
        <v>0</v>
      </c>
      <c r="AR786" s="46">
        <v>1</v>
      </c>
      <c r="AS786" s="46">
        <v>0</v>
      </c>
      <c r="AT786" s="46">
        <v>0</v>
      </c>
      <c r="AU786" s="46">
        <v>0</v>
      </c>
      <c r="AV786" s="46">
        <v>0</v>
      </c>
      <c r="AW786" s="46">
        <v>0</v>
      </c>
      <c r="AX786" s="46">
        <v>0</v>
      </c>
      <c r="AY786" s="46">
        <v>0</v>
      </c>
      <c r="AZ786" s="46">
        <v>0</v>
      </c>
      <c r="BA786" s="46">
        <v>0</v>
      </c>
      <c r="BB786" s="46">
        <v>0</v>
      </c>
      <c r="BC786" s="46">
        <v>0</v>
      </c>
      <c r="BD786" s="46">
        <v>0</v>
      </c>
      <c r="BE786" s="46">
        <v>0</v>
      </c>
      <c r="BF786" s="46">
        <v>0</v>
      </c>
      <c r="BG786" s="46" t="s">
        <v>48</v>
      </c>
      <c r="BH786" s="46">
        <v>0</v>
      </c>
      <c r="BI786" s="46">
        <v>0</v>
      </c>
      <c r="BJ786" s="46">
        <v>0</v>
      </c>
      <c r="BK786" s="46">
        <v>1</v>
      </c>
      <c r="BL786" s="46">
        <v>0</v>
      </c>
      <c r="BM786" s="46">
        <v>0</v>
      </c>
      <c r="BN786" s="46">
        <v>0</v>
      </c>
    </row>
    <row r="787" spans="1:66" x14ac:dyDescent="0.35">
      <c r="A787" t="s">
        <v>9851</v>
      </c>
      <c r="B787" s="44" t="s">
        <v>48</v>
      </c>
      <c r="C787" t="s">
        <v>3164</v>
      </c>
      <c r="D787" t="s">
        <v>12046</v>
      </c>
      <c r="E787" t="s">
        <v>9852</v>
      </c>
      <c r="F787" t="s">
        <v>4015</v>
      </c>
      <c r="G787" t="s">
        <v>74</v>
      </c>
      <c r="H787">
        <v>0</v>
      </c>
      <c r="I787" s="61">
        <v>44782</v>
      </c>
      <c r="J787" s="33" t="s">
        <v>45</v>
      </c>
      <c r="K787" s="46">
        <v>0</v>
      </c>
      <c r="L787">
        <v>62.3</v>
      </c>
      <c r="M787" t="s">
        <v>48</v>
      </c>
      <c r="N787" s="46">
        <v>1</v>
      </c>
      <c r="O787" s="46">
        <v>0</v>
      </c>
      <c r="P787" s="46">
        <v>0</v>
      </c>
      <c r="Q787" t="s">
        <v>48</v>
      </c>
      <c r="R787" t="s">
        <v>48</v>
      </c>
      <c r="S787" s="43" t="s">
        <v>10252</v>
      </c>
      <c r="T787" s="43" t="s">
        <v>48</v>
      </c>
      <c r="U787" s="43" t="s">
        <v>10252</v>
      </c>
      <c r="V787" s="47">
        <v>0</v>
      </c>
      <c r="W787" t="s">
        <v>48</v>
      </c>
      <c r="X787" t="s">
        <v>48</v>
      </c>
      <c r="Y787" t="s">
        <v>48</v>
      </c>
      <c r="Z787" t="s">
        <v>48</v>
      </c>
      <c r="AA787" t="s">
        <v>48</v>
      </c>
      <c r="AB787" t="s">
        <v>48</v>
      </c>
      <c r="AC787" t="s">
        <v>63</v>
      </c>
      <c r="AD787" t="s">
        <v>93</v>
      </c>
      <c r="AE787" t="s">
        <v>4532</v>
      </c>
      <c r="AF787" t="s">
        <v>48</v>
      </c>
      <c r="AG787" t="s">
        <v>48</v>
      </c>
      <c r="AH787" t="s">
        <v>48</v>
      </c>
      <c r="AI787" t="s">
        <v>48</v>
      </c>
      <c r="AJ787" t="s">
        <v>48</v>
      </c>
      <c r="AK787" t="s">
        <v>48</v>
      </c>
      <c r="AL787" t="s">
        <v>48</v>
      </c>
      <c r="AM787" t="s">
        <v>48</v>
      </c>
      <c r="AN787" t="s">
        <v>48</v>
      </c>
      <c r="AO787" t="s">
        <v>48</v>
      </c>
      <c r="AP787" s="46">
        <v>0</v>
      </c>
      <c r="AQ787" s="46">
        <v>0</v>
      </c>
      <c r="AR787" s="46">
        <v>0</v>
      </c>
      <c r="AS787" s="46">
        <v>0</v>
      </c>
      <c r="AT787" s="46">
        <v>0</v>
      </c>
      <c r="AU787" s="46">
        <v>0</v>
      </c>
      <c r="AV787" s="46">
        <v>0</v>
      </c>
      <c r="AW787" s="46">
        <v>0</v>
      </c>
      <c r="AX787" s="46">
        <v>0</v>
      </c>
      <c r="AY787" s="46">
        <v>0</v>
      </c>
      <c r="AZ787" s="46">
        <v>0</v>
      </c>
      <c r="BA787" s="46">
        <v>0</v>
      </c>
      <c r="BB787" s="46">
        <v>0</v>
      </c>
      <c r="BC787" s="46">
        <v>0</v>
      </c>
      <c r="BD787" s="46">
        <v>0</v>
      </c>
      <c r="BE787" s="46">
        <v>0</v>
      </c>
      <c r="BF787" s="46">
        <v>0</v>
      </c>
      <c r="BG787" s="46" t="s">
        <v>48</v>
      </c>
      <c r="BH787" s="46">
        <v>0</v>
      </c>
      <c r="BI787" s="46">
        <v>0</v>
      </c>
      <c r="BJ787" s="46">
        <v>0</v>
      </c>
      <c r="BK787" s="46">
        <v>0</v>
      </c>
      <c r="BL787" s="46">
        <v>0</v>
      </c>
      <c r="BM787" s="46">
        <v>0</v>
      </c>
      <c r="BN787" s="46">
        <v>0</v>
      </c>
    </row>
    <row r="788" spans="1:66" x14ac:dyDescent="0.35">
      <c r="A788" t="s">
        <v>4021</v>
      </c>
      <c r="B788" s="44" t="s">
        <v>48</v>
      </c>
      <c r="C788" t="s">
        <v>4026</v>
      </c>
      <c r="D788" t="s">
        <v>4025</v>
      </c>
      <c r="E788" t="s">
        <v>4022</v>
      </c>
      <c r="F788" t="s">
        <v>4015</v>
      </c>
      <c r="G788" t="s">
        <v>47</v>
      </c>
      <c r="H788">
        <v>0</v>
      </c>
      <c r="I788" s="60" t="s">
        <v>51</v>
      </c>
      <c r="J788" s="33" t="s">
        <v>45</v>
      </c>
      <c r="K788" s="46">
        <v>1</v>
      </c>
      <c r="L788">
        <v>69.599999999999994</v>
      </c>
      <c r="M788" t="s">
        <v>48</v>
      </c>
      <c r="N788" s="46">
        <v>1</v>
      </c>
      <c r="O788" s="46">
        <v>0</v>
      </c>
      <c r="P788" s="46">
        <v>0</v>
      </c>
      <c r="Q788" t="s">
        <v>48</v>
      </c>
      <c r="R788" t="s">
        <v>48</v>
      </c>
      <c r="S788" t="s">
        <v>4023</v>
      </c>
      <c r="T788" t="s">
        <v>4024</v>
      </c>
      <c r="U788" t="s">
        <v>4023</v>
      </c>
      <c r="V788" s="47">
        <v>0</v>
      </c>
      <c r="W788" t="s">
        <v>48</v>
      </c>
      <c r="X788" t="s">
        <v>48</v>
      </c>
      <c r="Y788" t="s">
        <v>48</v>
      </c>
      <c r="Z788">
        <v>0</v>
      </c>
      <c r="AA788" t="s">
        <v>48</v>
      </c>
      <c r="AB788">
        <v>2008</v>
      </c>
      <c r="AC788" t="s">
        <v>49</v>
      </c>
      <c r="AD788" t="s">
        <v>93</v>
      </c>
      <c r="AE788" t="s">
        <v>4532</v>
      </c>
      <c r="AF788" t="s">
        <v>48</v>
      </c>
      <c r="AG788" t="s">
        <v>140</v>
      </c>
      <c r="AH788" t="s">
        <v>93</v>
      </c>
      <c r="AI788">
        <v>20926</v>
      </c>
      <c r="AJ788">
        <v>1952</v>
      </c>
      <c r="AK788" t="s">
        <v>9038</v>
      </c>
      <c r="AL788" t="s">
        <v>9039</v>
      </c>
      <c r="AM788">
        <v>0.443</v>
      </c>
      <c r="AN788">
        <v>0.26200000000000001</v>
      </c>
      <c r="AO788">
        <v>0.443</v>
      </c>
      <c r="AP788" s="46">
        <v>0</v>
      </c>
      <c r="AQ788" s="46">
        <v>0</v>
      </c>
      <c r="AR788" s="46">
        <v>0</v>
      </c>
      <c r="AS788" s="46">
        <v>0</v>
      </c>
      <c r="AT788" s="46">
        <v>0</v>
      </c>
      <c r="AU788" s="46">
        <v>0</v>
      </c>
      <c r="AV788" s="46">
        <v>0</v>
      </c>
      <c r="AW788" s="46">
        <v>0</v>
      </c>
      <c r="AX788" s="46">
        <v>0</v>
      </c>
      <c r="AY788" s="46">
        <v>0</v>
      </c>
      <c r="AZ788" s="46">
        <v>0</v>
      </c>
      <c r="BA788" s="46">
        <v>0</v>
      </c>
      <c r="BB788" s="46">
        <v>1</v>
      </c>
      <c r="BC788" s="46">
        <v>0</v>
      </c>
      <c r="BD788" s="46">
        <v>0</v>
      </c>
      <c r="BE788" s="46">
        <v>0</v>
      </c>
      <c r="BF788" s="46">
        <v>0</v>
      </c>
      <c r="BG788" s="46">
        <v>1</v>
      </c>
      <c r="BH788" s="46">
        <v>0</v>
      </c>
      <c r="BI788" s="46">
        <v>0</v>
      </c>
      <c r="BJ788" s="46">
        <v>0</v>
      </c>
      <c r="BK788" s="46">
        <v>0</v>
      </c>
      <c r="BL788" s="46">
        <v>0</v>
      </c>
      <c r="BM788" s="46">
        <v>0</v>
      </c>
      <c r="BN788" s="46">
        <v>0</v>
      </c>
    </row>
    <row r="789" spans="1:66" x14ac:dyDescent="0.35">
      <c r="A789" t="s">
        <v>9857</v>
      </c>
      <c r="B789" s="44" t="s">
        <v>48</v>
      </c>
      <c r="C789" t="s">
        <v>1459</v>
      </c>
      <c r="D789" t="s">
        <v>390</v>
      </c>
      <c r="E789" t="s">
        <v>9858</v>
      </c>
      <c r="F789" t="s">
        <v>146</v>
      </c>
      <c r="G789" t="s">
        <v>74</v>
      </c>
      <c r="H789">
        <v>0</v>
      </c>
      <c r="I789" s="61">
        <v>44782</v>
      </c>
      <c r="J789" s="33" t="s">
        <v>45</v>
      </c>
      <c r="K789" s="46">
        <v>0</v>
      </c>
      <c r="L789">
        <v>100</v>
      </c>
      <c r="M789" t="s">
        <v>48</v>
      </c>
      <c r="N789" s="46">
        <v>1</v>
      </c>
      <c r="O789" s="46">
        <v>0</v>
      </c>
      <c r="P789" s="46">
        <v>0</v>
      </c>
      <c r="Q789" t="s">
        <v>48</v>
      </c>
      <c r="R789" t="s">
        <v>48</v>
      </c>
      <c r="S789" s="43" t="s">
        <v>10253</v>
      </c>
      <c r="T789" s="43" t="s">
        <v>48</v>
      </c>
      <c r="U789" s="43" t="s">
        <v>10253</v>
      </c>
      <c r="V789" s="47">
        <v>1</v>
      </c>
      <c r="W789" t="s">
        <v>48</v>
      </c>
      <c r="X789" t="s">
        <v>48</v>
      </c>
      <c r="Y789" t="s">
        <v>48</v>
      </c>
      <c r="Z789" t="s">
        <v>48</v>
      </c>
      <c r="AA789" t="s">
        <v>48</v>
      </c>
      <c r="AB789" t="s">
        <v>48</v>
      </c>
      <c r="AC789" t="s">
        <v>49</v>
      </c>
      <c r="AD789" t="s">
        <v>11050</v>
      </c>
      <c r="AE789" t="s">
        <v>4532</v>
      </c>
      <c r="AF789" t="s">
        <v>48</v>
      </c>
      <c r="AG789" t="s">
        <v>48</v>
      </c>
      <c r="AH789" t="s">
        <v>48</v>
      </c>
      <c r="AI789" t="s">
        <v>48</v>
      </c>
      <c r="AJ789" t="s">
        <v>48</v>
      </c>
      <c r="AK789" t="s">
        <v>48</v>
      </c>
      <c r="AL789" t="s">
        <v>48</v>
      </c>
      <c r="AM789" t="s">
        <v>48</v>
      </c>
      <c r="AN789" t="s">
        <v>48</v>
      </c>
      <c r="AO789" t="s">
        <v>48</v>
      </c>
      <c r="AP789" s="46">
        <v>0</v>
      </c>
      <c r="AQ789" s="46">
        <v>0</v>
      </c>
      <c r="AR789" s="46">
        <v>0</v>
      </c>
      <c r="AS789" s="46">
        <v>0</v>
      </c>
      <c r="AT789" s="46">
        <v>0</v>
      </c>
      <c r="AU789" s="46">
        <v>0</v>
      </c>
      <c r="AV789" s="46">
        <v>0</v>
      </c>
      <c r="AW789" s="46">
        <v>0</v>
      </c>
      <c r="AX789" s="46">
        <v>0</v>
      </c>
      <c r="AY789" s="46">
        <v>0</v>
      </c>
      <c r="AZ789" s="46">
        <v>0</v>
      </c>
      <c r="BA789" s="46">
        <v>0</v>
      </c>
      <c r="BB789" s="46">
        <v>0</v>
      </c>
      <c r="BC789" s="46">
        <v>0</v>
      </c>
      <c r="BD789" s="46">
        <v>0</v>
      </c>
      <c r="BE789" s="46">
        <v>0</v>
      </c>
      <c r="BF789" s="46">
        <v>0</v>
      </c>
      <c r="BG789" s="46" t="s">
        <v>48</v>
      </c>
      <c r="BH789" s="46">
        <v>0</v>
      </c>
      <c r="BI789" s="46">
        <v>0</v>
      </c>
      <c r="BJ789" s="46">
        <v>0</v>
      </c>
      <c r="BK789" s="46">
        <v>0</v>
      </c>
      <c r="BL789" s="46">
        <v>0</v>
      </c>
      <c r="BM789" s="46">
        <v>0</v>
      </c>
      <c r="BN789" s="46">
        <v>0</v>
      </c>
    </row>
    <row r="790" spans="1:66" x14ac:dyDescent="0.35">
      <c r="A790" t="s">
        <v>4014</v>
      </c>
      <c r="B790" s="44" t="s">
        <v>48</v>
      </c>
      <c r="C790" t="s">
        <v>4017</v>
      </c>
      <c r="D790" t="s">
        <v>655</v>
      </c>
      <c r="E790" t="s">
        <v>9935</v>
      </c>
      <c r="F790" t="s">
        <v>146</v>
      </c>
      <c r="G790" t="s">
        <v>47</v>
      </c>
      <c r="H790">
        <v>0</v>
      </c>
      <c r="I790" s="61">
        <v>44782</v>
      </c>
      <c r="J790" s="33" t="s">
        <v>45</v>
      </c>
      <c r="K790" s="46">
        <v>0</v>
      </c>
      <c r="L790">
        <v>35</v>
      </c>
      <c r="M790" t="s">
        <v>48</v>
      </c>
      <c r="N790" s="46">
        <v>1</v>
      </c>
      <c r="O790" s="46">
        <v>0</v>
      </c>
      <c r="P790" s="46">
        <v>0</v>
      </c>
      <c r="Q790" t="s">
        <v>48</v>
      </c>
      <c r="R790" t="s">
        <v>48</v>
      </c>
      <c r="S790" s="43" t="s">
        <v>4016</v>
      </c>
      <c r="T790" s="43" t="s">
        <v>48</v>
      </c>
      <c r="U790" s="43" t="s">
        <v>4016</v>
      </c>
      <c r="V790" s="47">
        <v>0</v>
      </c>
      <c r="W790" t="s">
        <v>48</v>
      </c>
      <c r="X790" t="s">
        <v>48</v>
      </c>
      <c r="Y790" t="s">
        <v>48</v>
      </c>
      <c r="Z790">
        <v>0</v>
      </c>
      <c r="AA790" t="s">
        <v>48</v>
      </c>
      <c r="AB790" t="s">
        <v>48</v>
      </c>
      <c r="AC790" t="s">
        <v>49</v>
      </c>
      <c r="AD790" t="s">
        <v>93</v>
      </c>
      <c r="AE790" t="s">
        <v>4532</v>
      </c>
      <c r="AF790" t="s">
        <v>48</v>
      </c>
      <c r="AG790" t="s">
        <v>48</v>
      </c>
      <c r="AH790" t="s">
        <v>48</v>
      </c>
      <c r="AI790" t="s">
        <v>48</v>
      </c>
      <c r="AJ790" t="s">
        <v>48</v>
      </c>
      <c r="AK790" t="s">
        <v>48</v>
      </c>
      <c r="AL790" t="s">
        <v>48</v>
      </c>
      <c r="AM790" t="s">
        <v>48</v>
      </c>
      <c r="AN790" t="s">
        <v>48</v>
      </c>
      <c r="AO790" t="s">
        <v>48</v>
      </c>
      <c r="AP790" s="46">
        <v>0</v>
      </c>
      <c r="AQ790" s="46">
        <v>0</v>
      </c>
      <c r="AR790" s="46">
        <v>0</v>
      </c>
      <c r="AS790" s="46">
        <v>0</v>
      </c>
      <c r="AT790" s="46">
        <v>0</v>
      </c>
      <c r="AU790" s="46">
        <v>0</v>
      </c>
      <c r="AV790" s="46">
        <v>0</v>
      </c>
      <c r="AW790" s="46">
        <v>0</v>
      </c>
      <c r="AX790" s="46">
        <v>0</v>
      </c>
      <c r="AY790" s="46">
        <v>0</v>
      </c>
      <c r="AZ790" s="46">
        <v>0</v>
      </c>
      <c r="BA790" s="46">
        <v>0</v>
      </c>
      <c r="BB790" s="46">
        <v>0</v>
      </c>
      <c r="BC790" s="46">
        <v>0</v>
      </c>
      <c r="BD790" s="46">
        <v>0</v>
      </c>
      <c r="BE790" s="46">
        <v>0</v>
      </c>
      <c r="BF790" s="46">
        <v>0</v>
      </c>
      <c r="BG790" s="46">
        <v>1</v>
      </c>
      <c r="BH790" s="46">
        <v>0</v>
      </c>
      <c r="BI790" s="46">
        <v>0</v>
      </c>
      <c r="BJ790" s="46">
        <v>0</v>
      </c>
      <c r="BK790" s="46">
        <v>0</v>
      </c>
      <c r="BL790" s="46">
        <v>0</v>
      </c>
      <c r="BM790" s="46">
        <v>0</v>
      </c>
      <c r="BN790" s="46">
        <v>0</v>
      </c>
    </row>
    <row r="791" spans="1:66" x14ac:dyDescent="0.35">
      <c r="A791" t="s">
        <v>4052</v>
      </c>
      <c r="B791" s="44" t="s">
        <v>48</v>
      </c>
      <c r="C791" t="s">
        <v>4058</v>
      </c>
      <c r="D791" t="s">
        <v>4057</v>
      </c>
      <c r="E791" t="s">
        <v>4054</v>
      </c>
      <c r="F791" t="s">
        <v>4053</v>
      </c>
      <c r="G791" t="s">
        <v>74</v>
      </c>
      <c r="H791">
        <v>0</v>
      </c>
      <c r="I791" s="60" t="s">
        <v>51</v>
      </c>
      <c r="J791" s="33" t="s">
        <v>45</v>
      </c>
      <c r="K791" s="46">
        <v>1</v>
      </c>
      <c r="L791">
        <v>85.6</v>
      </c>
      <c r="M791" t="s">
        <v>48</v>
      </c>
      <c r="N791" s="46">
        <v>1</v>
      </c>
      <c r="O791" s="46">
        <v>0</v>
      </c>
      <c r="P791" s="46">
        <v>0</v>
      </c>
      <c r="Q791" t="s">
        <v>48</v>
      </c>
      <c r="R791" t="s">
        <v>48</v>
      </c>
      <c r="S791" t="s">
        <v>4055</v>
      </c>
      <c r="T791" t="s">
        <v>4056</v>
      </c>
      <c r="U791" t="s">
        <v>4055</v>
      </c>
      <c r="V791" s="47">
        <v>0</v>
      </c>
      <c r="W791" t="s">
        <v>48</v>
      </c>
      <c r="X791" t="s">
        <v>48</v>
      </c>
      <c r="Y791" t="s">
        <v>48</v>
      </c>
      <c r="Z791">
        <v>0</v>
      </c>
      <c r="AA791" t="s">
        <v>48</v>
      </c>
      <c r="AB791">
        <v>2004</v>
      </c>
      <c r="AC791" t="s">
        <v>49</v>
      </c>
      <c r="AD791" t="s">
        <v>93</v>
      </c>
      <c r="AE791" s="40" t="s">
        <v>2471</v>
      </c>
      <c r="AF791" t="s">
        <v>11061</v>
      </c>
      <c r="AG791" t="s">
        <v>479</v>
      </c>
      <c r="AH791" t="s">
        <v>93</v>
      </c>
      <c r="AI791">
        <v>20517</v>
      </c>
      <c r="AJ791">
        <v>1944</v>
      </c>
      <c r="AK791" t="s">
        <v>9040</v>
      </c>
      <c r="AL791" t="s">
        <v>9041</v>
      </c>
      <c r="AM791">
        <v>-0.45400000000000001</v>
      </c>
      <c r="AN791">
        <v>1.7000000000000001E-2</v>
      </c>
      <c r="AO791">
        <v>-0.45400000000000001</v>
      </c>
      <c r="AP791" s="46">
        <v>0</v>
      </c>
      <c r="AQ791" s="46">
        <v>0</v>
      </c>
      <c r="AR791" s="46">
        <v>0</v>
      </c>
      <c r="AS791" s="46">
        <v>0</v>
      </c>
      <c r="AT791" s="46">
        <v>0</v>
      </c>
      <c r="AU791" s="46">
        <v>0</v>
      </c>
      <c r="AV791" s="46">
        <v>0</v>
      </c>
      <c r="AW791" s="46">
        <v>0</v>
      </c>
      <c r="AX791" s="46">
        <v>0</v>
      </c>
      <c r="AY791" s="46">
        <v>0</v>
      </c>
      <c r="AZ791" s="46">
        <v>0</v>
      </c>
      <c r="BA791" s="46">
        <v>0</v>
      </c>
      <c r="BB791" s="46">
        <v>0</v>
      </c>
      <c r="BC791" s="46">
        <v>0</v>
      </c>
      <c r="BD791" s="46">
        <v>0</v>
      </c>
      <c r="BE791" s="46">
        <v>0</v>
      </c>
      <c r="BF791" s="46">
        <v>0</v>
      </c>
      <c r="BG791" s="46" t="s">
        <v>48</v>
      </c>
      <c r="BH791" s="46">
        <v>0</v>
      </c>
      <c r="BI791" s="46">
        <v>0</v>
      </c>
      <c r="BJ791" s="46">
        <v>0</v>
      </c>
      <c r="BK791" s="46">
        <v>0</v>
      </c>
      <c r="BL791" s="46">
        <v>0</v>
      </c>
      <c r="BM791" s="46">
        <v>0</v>
      </c>
      <c r="BN791" s="46">
        <v>0</v>
      </c>
    </row>
    <row r="792" spans="1:66" x14ac:dyDescent="0.35">
      <c r="A792" t="s">
        <v>9938</v>
      </c>
      <c r="B792" s="44" t="s">
        <v>48</v>
      </c>
      <c r="C792" t="s">
        <v>12051</v>
      </c>
      <c r="D792" t="s">
        <v>12052</v>
      </c>
      <c r="E792" t="s">
        <v>9939</v>
      </c>
      <c r="F792" t="s">
        <v>4053</v>
      </c>
      <c r="G792" t="s">
        <v>47</v>
      </c>
      <c r="H792">
        <v>0</v>
      </c>
      <c r="I792" s="61">
        <v>44782</v>
      </c>
      <c r="J792" s="33" t="s">
        <v>45</v>
      </c>
      <c r="K792" s="46">
        <v>0</v>
      </c>
      <c r="L792">
        <v>51.8</v>
      </c>
      <c r="M792" t="s">
        <v>48</v>
      </c>
      <c r="N792" s="46">
        <v>1</v>
      </c>
      <c r="O792" s="46">
        <v>0</v>
      </c>
      <c r="P792" s="46">
        <v>0</v>
      </c>
      <c r="Q792" t="s">
        <v>48</v>
      </c>
      <c r="R792" t="s">
        <v>48</v>
      </c>
      <c r="S792" s="43" t="s">
        <v>10256</v>
      </c>
      <c r="T792" s="43" t="s">
        <v>48</v>
      </c>
      <c r="U792" s="43" t="s">
        <v>10256</v>
      </c>
      <c r="V792" s="47">
        <v>1</v>
      </c>
      <c r="W792" t="s">
        <v>48</v>
      </c>
      <c r="X792" t="s">
        <v>48</v>
      </c>
      <c r="Y792" t="s">
        <v>48</v>
      </c>
      <c r="Z792" t="s">
        <v>48</v>
      </c>
      <c r="AA792" t="s">
        <v>48</v>
      </c>
      <c r="AB792" t="s">
        <v>48</v>
      </c>
      <c r="AC792" t="s">
        <v>49</v>
      </c>
      <c r="AD792" t="s">
        <v>93</v>
      </c>
      <c r="AE792" t="s">
        <v>4532</v>
      </c>
      <c r="AF792" t="s">
        <v>48</v>
      </c>
      <c r="AG792" t="s">
        <v>48</v>
      </c>
      <c r="AH792" t="s">
        <v>48</v>
      </c>
      <c r="AI792" t="s">
        <v>48</v>
      </c>
      <c r="AJ792" t="s">
        <v>48</v>
      </c>
      <c r="AK792" t="s">
        <v>48</v>
      </c>
      <c r="AL792" t="s">
        <v>48</v>
      </c>
      <c r="AM792" t="s">
        <v>48</v>
      </c>
      <c r="AN792" t="s">
        <v>48</v>
      </c>
      <c r="AO792" t="s">
        <v>48</v>
      </c>
      <c r="AP792" s="46">
        <v>0</v>
      </c>
      <c r="AQ792" s="46">
        <v>0</v>
      </c>
      <c r="AR792" s="46">
        <v>0</v>
      </c>
      <c r="AS792" s="46">
        <v>0</v>
      </c>
      <c r="AT792" s="46">
        <v>0</v>
      </c>
      <c r="AU792" s="46">
        <v>0</v>
      </c>
      <c r="AV792" s="46">
        <v>0</v>
      </c>
      <c r="AW792" s="46">
        <v>0</v>
      </c>
      <c r="AX792" s="46">
        <v>0</v>
      </c>
      <c r="AY792" s="46">
        <v>0</v>
      </c>
      <c r="AZ792" s="46">
        <v>0</v>
      </c>
      <c r="BA792" s="46">
        <v>0</v>
      </c>
      <c r="BB792" s="46">
        <v>0</v>
      </c>
      <c r="BC792" s="46">
        <v>0</v>
      </c>
      <c r="BD792" s="46">
        <v>0</v>
      </c>
      <c r="BE792" s="46">
        <v>0</v>
      </c>
      <c r="BF792" s="46">
        <v>0</v>
      </c>
      <c r="BG792" s="46">
        <v>1</v>
      </c>
      <c r="BH792" s="46">
        <v>0</v>
      </c>
      <c r="BI792" s="46">
        <v>0</v>
      </c>
      <c r="BJ792" s="46">
        <v>0</v>
      </c>
      <c r="BK792" s="46">
        <v>0</v>
      </c>
      <c r="BL792" s="46">
        <v>0</v>
      </c>
      <c r="BM792" s="46">
        <v>0</v>
      </c>
      <c r="BN792" s="46">
        <v>0</v>
      </c>
    </row>
    <row r="793" spans="1:66" x14ac:dyDescent="0.35">
      <c r="A793" t="s">
        <v>4063</v>
      </c>
      <c r="B793" s="44" t="s">
        <v>48</v>
      </c>
      <c r="C793" t="s">
        <v>772</v>
      </c>
      <c r="D793" t="s">
        <v>1725</v>
      </c>
      <c r="E793" t="s">
        <v>4064</v>
      </c>
      <c r="F793" t="s">
        <v>4060</v>
      </c>
      <c r="G793" t="s">
        <v>74</v>
      </c>
      <c r="H793">
        <v>0</v>
      </c>
      <c r="I793" s="60" t="s">
        <v>125</v>
      </c>
      <c r="J793" s="33" t="s">
        <v>45</v>
      </c>
      <c r="K793" s="46">
        <v>0</v>
      </c>
      <c r="L793">
        <v>46.2</v>
      </c>
      <c r="M793" t="s">
        <v>48</v>
      </c>
      <c r="N793" s="46">
        <v>1</v>
      </c>
      <c r="O793" s="46">
        <v>0</v>
      </c>
      <c r="P793" s="46">
        <v>0</v>
      </c>
      <c r="Q793" t="s">
        <v>48</v>
      </c>
      <c r="R793" t="s">
        <v>48</v>
      </c>
      <c r="S793" t="s">
        <v>4065</v>
      </c>
      <c r="T793" t="s">
        <v>48</v>
      </c>
      <c r="U793" t="s">
        <v>4065</v>
      </c>
      <c r="V793" s="47">
        <v>1</v>
      </c>
      <c r="W793" t="s">
        <v>48</v>
      </c>
      <c r="X793" t="s">
        <v>48</v>
      </c>
      <c r="Y793" t="s">
        <v>48</v>
      </c>
      <c r="Z793">
        <v>0</v>
      </c>
      <c r="AA793" t="s">
        <v>48</v>
      </c>
      <c r="AB793" t="s">
        <v>48</v>
      </c>
      <c r="AC793" t="s">
        <v>49</v>
      </c>
      <c r="AD793" t="s">
        <v>93</v>
      </c>
      <c r="AE793" s="40" t="s">
        <v>2471</v>
      </c>
      <c r="AF793" t="s">
        <v>11061</v>
      </c>
      <c r="AG793" t="s">
        <v>48</v>
      </c>
      <c r="AH793" t="s">
        <v>48</v>
      </c>
      <c r="AI793" t="s">
        <v>48</v>
      </c>
      <c r="AJ793" t="s">
        <v>48</v>
      </c>
      <c r="AK793" t="s">
        <v>48</v>
      </c>
      <c r="AL793" t="s">
        <v>48</v>
      </c>
      <c r="AM793" t="s">
        <v>48</v>
      </c>
      <c r="AN793" t="s">
        <v>48</v>
      </c>
      <c r="AO793" t="s">
        <v>48</v>
      </c>
      <c r="AP793" s="46">
        <v>0</v>
      </c>
      <c r="AQ793" s="46">
        <v>0</v>
      </c>
      <c r="AR793" s="46">
        <v>0</v>
      </c>
      <c r="AS793" s="46">
        <v>0</v>
      </c>
      <c r="AT793" s="46">
        <v>0</v>
      </c>
      <c r="AU793" s="46">
        <v>0</v>
      </c>
      <c r="AV793" s="46">
        <v>0</v>
      </c>
      <c r="AW793" s="46">
        <v>0</v>
      </c>
      <c r="AX793" s="46">
        <v>0</v>
      </c>
      <c r="AY793" s="46">
        <v>0</v>
      </c>
      <c r="AZ793" s="46">
        <v>0</v>
      </c>
      <c r="BA793" s="46">
        <v>0</v>
      </c>
      <c r="BB793" s="46">
        <v>0</v>
      </c>
      <c r="BC793" s="46">
        <v>0</v>
      </c>
      <c r="BD793" s="46">
        <v>0</v>
      </c>
      <c r="BE793" s="46">
        <v>0</v>
      </c>
      <c r="BF793" s="46">
        <v>0</v>
      </c>
      <c r="BG793" s="46" t="s">
        <v>48</v>
      </c>
      <c r="BH793" s="46">
        <v>0</v>
      </c>
      <c r="BI793" s="46">
        <v>0</v>
      </c>
      <c r="BJ793" s="46">
        <v>0</v>
      </c>
      <c r="BK793" s="46">
        <v>0</v>
      </c>
      <c r="BL793" s="46">
        <v>0</v>
      </c>
      <c r="BM793" s="46">
        <v>0</v>
      </c>
      <c r="BN793" s="46">
        <v>0</v>
      </c>
    </row>
    <row r="794" spans="1:66" x14ac:dyDescent="0.35">
      <c r="A794" t="s">
        <v>4059</v>
      </c>
      <c r="B794" s="44" t="s">
        <v>48</v>
      </c>
      <c r="C794" t="s">
        <v>3432</v>
      </c>
      <c r="D794" t="s">
        <v>351</v>
      </c>
      <c r="E794" t="s">
        <v>4061</v>
      </c>
      <c r="F794" t="s">
        <v>4060</v>
      </c>
      <c r="G794" t="s">
        <v>47</v>
      </c>
      <c r="H794">
        <v>0</v>
      </c>
      <c r="I794" s="60" t="s">
        <v>51</v>
      </c>
      <c r="J794" s="33" t="s">
        <v>45</v>
      </c>
      <c r="K794" s="46">
        <v>1</v>
      </c>
      <c r="L794">
        <v>74.8</v>
      </c>
      <c r="M794" t="s">
        <v>48</v>
      </c>
      <c r="N794" s="46">
        <v>1</v>
      </c>
      <c r="O794" s="46">
        <v>0</v>
      </c>
      <c r="P794" s="46">
        <v>0</v>
      </c>
      <c r="Q794" t="s">
        <v>48</v>
      </c>
      <c r="R794" t="s">
        <v>48</v>
      </c>
      <c r="S794" t="s">
        <v>48</v>
      </c>
      <c r="T794" t="s">
        <v>4062</v>
      </c>
      <c r="U794" t="s">
        <v>48</v>
      </c>
      <c r="V794" s="47">
        <v>0</v>
      </c>
      <c r="W794" t="s">
        <v>48</v>
      </c>
      <c r="X794" t="s">
        <v>48</v>
      </c>
      <c r="Y794" t="s">
        <v>48</v>
      </c>
      <c r="Z794">
        <v>0</v>
      </c>
      <c r="AA794" t="s">
        <v>48</v>
      </c>
      <c r="AB794">
        <v>2000</v>
      </c>
      <c r="AC794" t="s">
        <v>49</v>
      </c>
      <c r="AD794" t="s">
        <v>93</v>
      </c>
      <c r="AE794" t="s">
        <v>4532</v>
      </c>
      <c r="AF794" t="s">
        <v>48</v>
      </c>
      <c r="AG794" t="s">
        <v>184</v>
      </c>
      <c r="AH794" t="s">
        <v>93</v>
      </c>
      <c r="AI794">
        <v>20124</v>
      </c>
      <c r="AJ794">
        <v>1963</v>
      </c>
      <c r="AK794" t="s">
        <v>9042</v>
      </c>
      <c r="AL794" t="s">
        <v>9043</v>
      </c>
      <c r="AM794">
        <v>0.443</v>
      </c>
      <c r="AN794">
        <v>0.19</v>
      </c>
      <c r="AO794">
        <v>0.443</v>
      </c>
      <c r="AP794" s="46">
        <v>0</v>
      </c>
      <c r="AQ794" s="46">
        <v>0</v>
      </c>
      <c r="AR794" s="46">
        <v>0</v>
      </c>
      <c r="AS794" s="46">
        <v>0</v>
      </c>
      <c r="AT794" s="46">
        <v>0</v>
      </c>
      <c r="AU794" s="46">
        <v>0</v>
      </c>
      <c r="AV794" s="46">
        <v>0</v>
      </c>
      <c r="AW794" s="46">
        <v>0</v>
      </c>
      <c r="AX794" s="46">
        <v>0</v>
      </c>
      <c r="AY794" s="46">
        <v>0</v>
      </c>
      <c r="AZ794" s="46">
        <v>0</v>
      </c>
      <c r="BA794" s="46">
        <v>0</v>
      </c>
      <c r="BB794" s="46">
        <v>0</v>
      </c>
      <c r="BC794" s="46">
        <v>0</v>
      </c>
      <c r="BD794" s="46">
        <v>0</v>
      </c>
      <c r="BE794" s="46">
        <v>0</v>
      </c>
      <c r="BF794" s="46">
        <v>0</v>
      </c>
      <c r="BG794" s="46">
        <v>1</v>
      </c>
      <c r="BH794" s="46">
        <v>0</v>
      </c>
      <c r="BI794" s="46">
        <v>0</v>
      </c>
      <c r="BJ794" s="46">
        <v>0</v>
      </c>
      <c r="BK794" s="46">
        <v>0</v>
      </c>
      <c r="BL794" s="46">
        <v>0</v>
      </c>
      <c r="BM794" s="46">
        <v>0</v>
      </c>
      <c r="BN794" s="46">
        <v>0</v>
      </c>
    </row>
    <row r="795" spans="1:66" x14ac:dyDescent="0.35">
      <c r="A795" t="s">
        <v>4078</v>
      </c>
      <c r="B795" s="44" t="s">
        <v>48</v>
      </c>
      <c r="C795" t="s">
        <v>4081</v>
      </c>
      <c r="D795" t="s">
        <v>1005</v>
      </c>
      <c r="E795" t="s">
        <v>4079</v>
      </c>
      <c r="F795" t="s">
        <v>4075</v>
      </c>
      <c r="G795" t="s">
        <v>47</v>
      </c>
      <c r="H795">
        <v>0</v>
      </c>
      <c r="I795" s="60" t="s">
        <v>51</v>
      </c>
      <c r="J795" s="33" t="s">
        <v>45</v>
      </c>
      <c r="K795" s="46">
        <v>0</v>
      </c>
      <c r="L795">
        <v>38.200000000000003</v>
      </c>
      <c r="M795" t="s">
        <v>48</v>
      </c>
      <c r="N795" s="46">
        <v>1</v>
      </c>
      <c r="O795" s="46">
        <v>0</v>
      </c>
      <c r="P795" s="46">
        <v>0</v>
      </c>
      <c r="Q795" t="s">
        <v>48</v>
      </c>
      <c r="R795" t="s">
        <v>48</v>
      </c>
      <c r="S795" t="s">
        <v>4080</v>
      </c>
      <c r="T795" t="s">
        <v>48</v>
      </c>
      <c r="U795" t="s">
        <v>4080</v>
      </c>
      <c r="V795" s="47">
        <v>0</v>
      </c>
      <c r="W795" t="s">
        <v>48</v>
      </c>
      <c r="X795" t="s">
        <v>48</v>
      </c>
      <c r="Y795" t="s">
        <v>48</v>
      </c>
      <c r="Z795">
        <v>0</v>
      </c>
      <c r="AA795" t="s">
        <v>48</v>
      </c>
      <c r="AB795" t="s">
        <v>48</v>
      </c>
      <c r="AC795" t="s">
        <v>49</v>
      </c>
      <c r="AD795" t="s">
        <v>93</v>
      </c>
      <c r="AE795" t="s">
        <v>4532</v>
      </c>
      <c r="AF795" t="s">
        <v>48</v>
      </c>
      <c r="AG795" t="s">
        <v>48</v>
      </c>
      <c r="AH795" t="s">
        <v>48</v>
      </c>
      <c r="AI795" t="s">
        <v>48</v>
      </c>
      <c r="AJ795" t="s">
        <v>48</v>
      </c>
      <c r="AK795" t="s">
        <v>48</v>
      </c>
      <c r="AL795" t="s">
        <v>48</v>
      </c>
      <c r="AM795" t="s">
        <v>48</v>
      </c>
      <c r="AN795" t="s">
        <v>48</v>
      </c>
      <c r="AO795" t="s">
        <v>48</v>
      </c>
      <c r="AP795" s="46">
        <v>0</v>
      </c>
      <c r="AQ795" s="46">
        <v>0</v>
      </c>
      <c r="AR795" s="46">
        <v>0</v>
      </c>
      <c r="AS795" s="46">
        <v>0</v>
      </c>
      <c r="AT795" s="46">
        <v>0</v>
      </c>
      <c r="AU795" s="46">
        <v>0</v>
      </c>
      <c r="AV795" s="46">
        <v>0</v>
      </c>
      <c r="AW795" s="46">
        <v>0</v>
      </c>
      <c r="AX795" s="46">
        <v>0</v>
      </c>
      <c r="AY795" s="46">
        <v>0</v>
      </c>
      <c r="AZ795" s="46">
        <v>0</v>
      </c>
      <c r="BA795" s="46">
        <v>0</v>
      </c>
      <c r="BB795" s="46">
        <v>0</v>
      </c>
      <c r="BC795" s="46">
        <v>0</v>
      </c>
      <c r="BD795" s="46">
        <v>1</v>
      </c>
      <c r="BE795" s="46">
        <v>0</v>
      </c>
      <c r="BF795" s="46">
        <v>0</v>
      </c>
      <c r="BG795" s="46">
        <v>1</v>
      </c>
      <c r="BH795" s="46">
        <v>0</v>
      </c>
      <c r="BI795" s="46">
        <v>0</v>
      </c>
      <c r="BJ795" s="46">
        <v>0</v>
      </c>
      <c r="BK795" s="46">
        <v>0</v>
      </c>
      <c r="BL795" s="46">
        <v>0</v>
      </c>
      <c r="BM795" s="46">
        <v>0</v>
      </c>
      <c r="BN795" s="46">
        <v>1</v>
      </c>
    </row>
    <row r="796" spans="1:66" x14ac:dyDescent="0.35">
      <c r="A796" t="s">
        <v>9863</v>
      </c>
      <c r="B796" s="44" t="s">
        <v>48</v>
      </c>
      <c r="C796" t="s">
        <v>12058</v>
      </c>
      <c r="D796" t="s">
        <v>12059</v>
      </c>
      <c r="E796" t="s">
        <v>9864</v>
      </c>
      <c r="F796" t="s">
        <v>4075</v>
      </c>
      <c r="G796" t="s">
        <v>74</v>
      </c>
      <c r="H796">
        <v>0</v>
      </c>
      <c r="I796" s="61">
        <v>44782</v>
      </c>
      <c r="J796" s="33" t="s">
        <v>45</v>
      </c>
      <c r="K796" s="46">
        <v>0</v>
      </c>
      <c r="L796">
        <v>63.3</v>
      </c>
      <c r="M796" t="s">
        <v>48</v>
      </c>
      <c r="N796" s="46">
        <v>1</v>
      </c>
      <c r="O796" s="46">
        <v>0</v>
      </c>
      <c r="P796" s="46">
        <v>0</v>
      </c>
      <c r="Q796" t="s">
        <v>48</v>
      </c>
      <c r="R796" t="s">
        <v>48</v>
      </c>
      <c r="S796" s="43" t="s">
        <v>10258</v>
      </c>
      <c r="T796" s="43" t="s">
        <v>48</v>
      </c>
      <c r="U796" s="43" t="s">
        <v>10258</v>
      </c>
      <c r="V796" s="47">
        <v>0</v>
      </c>
      <c r="W796" t="s">
        <v>48</v>
      </c>
      <c r="X796" t="s">
        <v>48</v>
      </c>
      <c r="Y796" t="s">
        <v>48</v>
      </c>
      <c r="Z796" t="s">
        <v>48</v>
      </c>
      <c r="AA796" t="s">
        <v>48</v>
      </c>
      <c r="AB796" t="s">
        <v>48</v>
      </c>
      <c r="AC796" t="s">
        <v>63</v>
      </c>
      <c r="AD796" t="s">
        <v>93</v>
      </c>
      <c r="AE796" t="s">
        <v>4532</v>
      </c>
      <c r="AF796" t="s">
        <v>48</v>
      </c>
      <c r="AG796" t="s">
        <v>48</v>
      </c>
      <c r="AH796" t="s">
        <v>48</v>
      </c>
      <c r="AI796" t="s">
        <v>48</v>
      </c>
      <c r="AJ796" t="s">
        <v>48</v>
      </c>
      <c r="AK796" t="s">
        <v>48</v>
      </c>
      <c r="AL796" t="s">
        <v>48</v>
      </c>
      <c r="AM796" t="s">
        <v>48</v>
      </c>
      <c r="AN796" t="s">
        <v>48</v>
      </c>
      <c r="AO796" t="s">
        <v>48</v>
      </c>
      <c r="AP796" s="46">
        <v>0</v>
      </c>
      <c r="AQ796" s="46">
        <v>0</v>
      </c>
      <c r="AR796" s="46">
        <v>0</v>
      </c>
      <c r="AS796" s="46">
        <v>0</v>
      </c>
      <c r="AT796" s="46">
        <v>0</v>
      </c>
      <c r="AU796" s="46">
        <v>0</v>
      </c>
      <c r="AV796" s="46">
        <v>0</v>
      </c>
      <c r="AW796" s="46">
        <v>0</v>
      </c>
      <c r="AX796" s="46">
        <v>0</v>
      </c>
      <c r="AY796" s="46">
        <v>0</v>
      </c>
      <c r="AZ796" s="46">
        <v>0</v>
      </c>
      <c r="BA796" s="46">
        <v>0</v>
      </c>
      <c r="BB796" s="46">
        <v>0</v>
      </c>
      <c r="BC796" s="46">
        <v>0</v>
      </c>
      <c r="BD796" s="46">
        <v>0</v>
      </c>
      <c r="BE796" s="46">
        <v>0</v>
      </c>
      <c r="BF796" s="46">
        <v>0</v>
      </c>
      <c r="BG796" s="46" t="s">
        <v>48</v>
      </c>
      <c r="BH796" s="46">
        <v>0</v>
      </c>
      <c r="BI796" s="46">
        <v>0</v>
      </c>
      <c r="BJ796" s="46">
        <v>0</v>
      </c>
      <c r="BK796" s="46">
        <v>0</v>
      </c>
      <c r="BL796" s="46">
        <v>0</v>
      </c>
      <c r="BM796" s="46">
        <v>0</v>
      </c>
      <c r="BN796" s="46">
        <v>0</v>
      </c>
    </row>
    <row r="797" spans="1:66" x14ac:dyDescent="0.35">
      <c r="A797" t="s">
        <v>4100</v>
      </c>
      <c r="B797" s="44" t="s">
        <v>48</v>
      </c>
      <c r="C797" t="s">
        <v>80</v>
      </c>
      <c r="D797" t="s">
        <v>331</v>
      </c>
      <c r="E797" t="s">
        <v>4101</v>
      </c>
      <c r="F797" t="s">
        <v>4099</v>
      </c>
      <c r="G797" t="s">
        <v>47</v>
      </c>
      <c r="H797">
        <v>0</v>
      </c>
      <c r="I797" s="60" t="s">
        <v>51</v>
      </c>
      <c r="J797" s="33" t="s">
        <v>45</v>
      </c>
      <c r="K797" s="46">
        <v>1</v>
      </c>
      <c r="L797">
        <v>82</v>
      </c>
      <c r="M797" t="s">
        <v>48</v>
      </c>
      <c r="N797" s="46">
        <v>1</v>
      </c>
      <c r="O797" s="46">
        <v>0</v>
      </c>
      <c r="P797" s="46">
        <v>0</v>
      </c>
      <c r="Q797" t="s">
        <v>48</v>
      </c>
      <c r="R797" t="s">
        <v>48</v>
      </c>
      <c r="S797" t="s">
        <v>4102</v>
      </c>
      <c r="T797" t="s">
        <v>4103</v>
      </c>
      <c r="U797" t="s">
        <v>4102</v>
      </c>
      <c r="V797" s="47">
        <v>0</v>
      </c>
      <c r="W797" t="s">
        <v>48</v>
      </c>
      <c r="X797" t="s">
        <v>48</v>
      </c>
      <c r="Y797" t="s">
        <v>48</v>
      </c>
      <c r="Z797">
        <v>0</v>
      </c>
      <c r="AA797" t="s">
        <v>48</v>
      </c>
      <c r="AB797" t="s">
        <v>139</v>
      </c>
      <c r="AC797" t="s">
        <v>49</v>
      </c>
      <c r="AD797" t="s">
        <v>93</v>
      </c>
      <c r="AE797" t="s">
        <v>4532</v>
      </c>
      <c r="AF797" t="s">
        <v>48</v>
      </c>
      <c r="AG797" t="s">
        <v>2679</v>
      </c>
      <c r="AH797" t="s">
        <v>93</v>
      </c>
      <c r="AI797">
        <v>21373</v>
      </c>
      <c r="AJ797">
        <v>1980</v>
      </c>
      <c r="AK797" t="s">
        <v>9046</v>
      </c>
      <c r="AL797" t="s">
        <v>9047</v>
      </c>
      <c r="AM797">
        <v>0.59199999999999997</v>
      </c>
      <c r="AN797">
        <v>0.20699999999999999</v>
      </c>
      <c r="AO797">
        <v>0.59199999999999997</v>
      </c>
      <c r="AP797" s="46">
        <v>0</v>
      </c>
      <c r="AQ797" s="46">
        <v>0</v>
      </c>
      <c r="AR797" s="46">
        <v>0</v>
      </c>
      <c r="AS797" s="46">
        <v>0</v>
      </c>
      <c r="AT797" s="46">
        <v>0</v>
      </c>
      <c r="AU797" s="46">
        <v>0</v>
      </c>
      <c r="AV797" s="46">
        <v>0</v>
      </c>
      <c r="AW797" s="46">
        <v>0</v>
      </c>
      <c r="AX797" s="46">
        <v>0</v>
      </c>
      <c r="AY797" s="46">
        <v>0</v>
      </c>
      <c r="AZ797" s="46">
        <v>0</v>
      </c>
      <c r="BA797" s="46">
        <v>0</v>
      </c>
      <c r="BB797" s="46">
        <v>1</v>
      </c>
      <c r="BC797" s="46">
        <v>0</v>
      </c>
      <c r="BD797" s="46">
        <v>0</v>
      </c>
      <c r="BE797" s="46">
        <v>0</v>
      </c>
      <c r="BF797" s="46">
        <v>0</v>
      </c>
      <c r="BG797" s="46">
        <v>1</v>
      </c>
      <c r="BH797" s="46">
        <v>0</v>
      </c>
      <c r="BI797" s="46">
        <v>0</v>
      </c>
      <c r="BJ797" s="46">
        <v>0</v>
      </c>
      <c r="BK797" s="46">
        <v>0</v>
      </c>
      <c r="BL797" s="46">
        <v>0</v>
      </c>
      <c r="BM797" s="46">
        <v>0</v>
      </c>
      <c r="BN797" s="46">
        <v>0</v>
      </c>
    </row>
    <row r="798" spans="1:66" x14ac:dyDescent="0.35">
      <c r="A798" t="s">
        <v>9805</v>
      </c>
      <c r="B798" s="44" t="s">
        <v>48</v>
      </c>
      <c r="C798" t="s">
        <v>12061</v>
      </c>
      <c r="D798" t="s">
        <v>12062</v>
      </c>
      <c r="E798" t="s">
        <v>9806</v>
      </c>
      <c r="F798" t="s">
        <v>4099</v>
      </c>
      <c r="G798" t="s">
        <v>74</v>
      </c>
      <c r="H798">
        <v>0</v>
      </c>
      <c r="I798" s="61">
        <v>44782</v>
      </c>
      <c r="J798" s="33" t="s">
        <v>45</v>
      </c>
      <c r="K798" s="46">
        <v>0</v>
      </c>
      <c r="L798">
        <v>100</v>
      </c>
      <c r="M798" t="s">
        <v>48</v>
      </c>
      <c r="N798" s="46">
        <v>1</v>
      </c>
      <c r="O798" s="46">
        <v>0</v>
      </c>
      <c r="P798" s="46">
        <v>0</v>
      </c>
      <c r="Q798" t="s">
        <v>48</v>
      </c>
      <c r="R798" t="s">
        <v>48</v>
      </c>
      <c r="S798" s="43" t="s">
        <v>10262</v>
      </c>
      <c r="T798" s="43" t="s">
        <v>48</v>
      </c>
      <c r="U798" s="43" t="s">
        <v>10262</v>
      </c>
      <c r="V798" s="47">
        <v>0</v>
      </c>
      <c r="W798" t="s">
        <v>48</v>
      </c>
      <c r="X798" t="s">
        <v>48</v>
      </c>
      <c r="Y798" t="s">
        <v>48</v>
      </c>
      <c r="Z798" t="s">
        <v>48</v>
      </c>
      <c r="AA798" t="s">
        <v>48</v>
      </c>
      <c r="AB798" t="s">
        <v>48</v>
      </c>
      <c r="AC798" t="s">
        <v>63</v>
      </c>
      <c r="AD798" t="s">
        <v>93</v>
      </c>
      <c r="AE798" t="s">
        <v>4532</v>
      </c>
      <c r="AF798" t="s">
        <v>48</v>
      </c>
      <c r="AG798" t="s">
        <v>48</v>
      </c>
      <c r="AH798" t="s">
        <v>48</v>
      </c>
      <c r="AI798" t="s">
        <v>48</v>
      </c>
      <c r="AJ798" t="s">
        <v>48</v>
      </c>
      <c r="AK798" t="s">
        <v>48</v>
      </c>
      <c r="AL798" t="s">
        <v>48</v>
      </c>
      <c r="AM798" t="s">
        <v>48</v>
      </c>
      <c r="AN798" t="s">
        <v>48</v>
      </c>
      <c r="AO798" t="s">
        <v>48</v>
      </c>
      <c r="AP798" s="46">
        <v>0</v>
      </c>
      <c r="AQ798" s="46">
        <v>0</v>
      </c>
      <c r="AR798" s="46">
        <v>1</v>
      </c>
      <c r="AS798" s="46">
        <v>0</v>
      </c>
      <c r="AT798" s="46">
        <v>0</v>
      </c>
      <c r="AU798" s="46">
        <v>0</v>
      </c>
      <c r="AV798" s="46">
        <v>0</v>
      </c>
      <c r="AW798" s="46">
        <v>0</v>
      </c>
      <c r="AX798" s="46">
        <v>0</v>
      </c>
      <c r="AY798" s="46">
        <v>0</v>
      </c>
      <c r="AZ798" s="46">
        <v>0</v>
      </c>
      <c r="BA798" s="46">
        <v>0</v>
      </c>
      <c r="BB798" s="46">
        <v>0</v>
      </c>
      <c r="BC798" s="46">
        <v>0</v>
      </c>
      <c r="BD798" s="46">
        <v>0</v>
      </c>
      <c r="BE798" s="46">
        <v>0</v>
      </c>
      <c r="BF798" s="46">
        <v>0</v>
      </c>
      <c r="BG798" s="46" t="s">
        <v>48</v>
      </c>
      <c r="BH798" s="46">
        <v>0</v>
      </c>
      <c r="BI798" s="46">
        <v>0</v>
      </c>
      <c r="BJ798" s="46">
        <v>0</v>
      </c>
      <c r="BK798" s="46">
        <v>1</v>
      </c>
      <c r="BL798" s="46">
        <v>0</v>
      </c>
      <c r="BM798" s="46">
        <v>0</v>
      </c>
      <c r="BN798" s="46">
        <v>0</v>
      </c>
    </row>
    <row r="799" spans="1:66" x14ac:dyDescent="0.35">
      <c r="A799" t="s">
        <v>8101</v>
      </c>
      <c r="B799" s="44" t="s">
        <v>48</v>
      </c>
      <c r="C799" t="s">
        <v>2471</v>
      </c>
      <c r="D799" t="s">
        <v>1537</v>
      </c>
      <c r="E799" t="s">
        <v>8102</v>
      </c>
      <c r="F799" t="s">
        <v>4160</v>
      </c>
      <c r="G799" t="s">
        <v>74</v>
      </c>
      <c r="H799">
        <v>0</v>
      </c>
      <c r="I799" s="61">
        <v>44727</v>
      </c>
      <c r="J799" s="33" t="s">
        <v>45</v>
      </c>
      <c r="K799" s="46">
        <v>0</v>
      </c>
      <c r="L799">
        <v>79.099999999999994</v>
      </c>
      <c r="M799" t="s">
        <v>48</v>
      </c>
      <c r="N799" s="46">
        <v>1</v>
      </c>
      <c r="O799" s="46">
        <v>0</v>
      </c>
      <c r="P799" s="46">
        <v>0</v>
      </c>
      <c r="Q799" t="s">
        <v>48</v>
      </c>
      <c r="R799" t="s">
        <v>48</v>
      </c>
      <c r="S799" t="s">
        <v>10266</v>
      </c>
      <c r="T799" t="s">
        <v>48</v>
      </c>
      <c r="U799" t="s">
        <v>10266</v>
      </c>
      <c r="V799" s="47">
        <v>0</v>
      </c>
      <c r="W799" t="s">
        <v>48</v>
      </c>
      <c r="X799" t="s">
        <v>48</v>
      </c>
      <c r="Y799" t="s">
        <v>48</v>
      </c>
      <c r="Z799" t="s">
        <v>48</v>
      </c>
      <c r="AA799" t="s">
        <v>48</v>
      </c>
      <c r="AB799" t="s">
        <v>48</v>
      </c>
      <c r="AC799" t="s">
        <v>63</v>
      </c>
      <c r="AD799" t="s">
        <v>93</v>
      </c>
      <c r="AE799" s="40" t="s">
        <v>2471</v>
      </c>
      <c r="AF799" t="s">
        <v>48</v>
      </c>
      <c r="AG799" t="s">
        <v>48</v>
      </c>
      <c r="AH799" t="s">
        <v>48</v>
      </c>
      <c r="AI799" t="s">
        <v>48</v>
      </c>
      <c r="AJ799" t="s">
        <v>48</v>
      </c>
      <c r="AK799" t="s">
        <v>48</v>
      </c>
      <c r="AL799" t="s">
        <v>48</v>
      </c>
      <c r="AM799" t="s">
        <v>48</v>
      </c>
      <c r="AN799" t="s">
        <v>48</v>
      </c>
      <c r="AO799" t="s">
        <v>48</v>
      </c>
      <c r="AP799" s="46">
        <v>0</v>
      </c>
      <c r="AQ799" s="46">
        <v>0</v>
      </c>
      <c r="AR799" s="46">
        <v>0</v>
      </c>
      <c r="AS799" s="46">
        <v>0</v>
      </c>
      <c r="AT799" s="46">
        <v>0</v>
      </c>
      <c r="AU799" s="46">
        <v>0</v>
      </c>
      <c r="AV799" s="46">
        <v>0</v>
      </c>
      <c r="AW799" s="46">
        <v>0</v>
      </c>
      <c r="AX799" s="46">
        <v>0</v>
      </c>
      <c r="AY799" s="46">
        <v>0</v>
      </c>
      <c r="AZ799" s="46">
        <v>0</v>
      </c>
      <c r="BA799" s="46">
        <v>0</v>
      </c>
      <c r="BB799" s="46">
        <v>0</v>
      </c>
      <c r="BC799" s="46">
        <v>0</v>
      </c>
      <c r="BD799" s="46">
        <v>0</v>
      </c>
      <c r="BE799" s="46">
        <v>0</v>
      </c>
      <c r="BF799" s="46">
        <v>0</v>
      </c>
      <c r="BG799" s="46" t="s">
        <v>48</v>
      </c>
      <c r="BH799" s="46">
        <v>0</v>
      </c>
      <c r="BI799" s="46">
        <v>0</v>
      </c>
      <c r="BJ799" s="46">
        <v>0</v>
      </c>
      <c r="BK799" s="46">
        <v>0</v>
      </c>
      <c r="BL799" s="46">
        <v>0</v>
      </c>
      <c r="BM799" s="46">
        <v>0</v>
      </c>
      <c r="BN799" s="46">
        <v>0</v>
      </c>
    </row>
    <row r="800" spans="1:66" x14ac:dyDescent="0.35">
      <c r="A800" t="s">
        <v>4164</v>
      </c>
      <c r="B800" s="44" t="s">
        <v>48</v>
      </c>
      <c r="C800" t="s">
        <v>364</v>
      </c>
      <c r="D800" t="s">
        <v>4167</v>
      </c>
      <c r="E800" t="s">
        <v>4165</v>
      </c>
      <c r="F800" t="s">
        <v>4160</v>
      </c>
      <c r="G800" t="s">
        <v>47</v>
      </c>
      <c r="H800">
        <v>0</v>
      </c>
      <c r="I800" s="60" t="s">
        <v>51</v>
      </c>
      <c r="J800" s="33" t="s">
        <v>45</v>
      </c>
      <c r="K800" s="46">
        <v>1</v>
      </c>
      <c r="L800">
        <v>89.8</v>
      </c>
      <c r="M800" t="s">
        <v>48</v>
      </c>
      <c r="N800" s="46">
        <v>1</v>
      </c>
      <c r="O800" s="46">
        <v>0</v>
      </c>
      <c r="P800" s="46">
        <v>0</v>
      </c>
      <c r="Q800" t="s">
        <v>48</v>
      </c>
      <c r="R800" t="s">
        <v>48</v>
      </c>
      <c r="S800" t="s">
        <v>10268</v>
      </c>
      <c r="T800" t="s">
        <v>4166</v>
      </c>
      <c r="U800" t="s">
        <v>10268</v>
      </c>
      <c r="V800" s="47">
        <v>0</v>
      </c>
      <c r="W800" t="s">
        <v>48</v>
      </c>
      <c r="X800" t="s">
        <v>48</v>
      </c>
      <c r="Y800" t="s">
        <v>48</v>
      </c>
      <c r="Z800">
        <v>0</v>
      </c>
      <c r="AA800" t="s">
        <v>48</v>
      </c>
      <c r="AB800" t="s">
        <v>2909</v>
      </c>
      <c r="AC800" t="s">
        <v>49</v>
      </c>
      <c r="AD800" t="s">
        <v>93</v>
      </c>
      <c r="AE800" t="s">
        <v>4532</v>
      </c>
      <c r="AF800" t="s">
        <v>48</v>
      </c>
      <c r="AG800" t="s">
        <v>479</v>
      </c>
      <c r="AH800" t="s">
        <v>93</v>
      </c>
      <c r="AI800">
        <v>21561</v>
      </c>
      <c r="AJ800">
        <v>1966</v>
      </c>
      <c r="AK800" t="s">
        <v>9048</v>
      </c>
      <c r="AL800" t="s">
        <v>9049</v>
      </c>
      <c r="AM800">
        <v>0.63100000000000001</v>
      </c>
      <c r="AN800">
        <v>0.27700000000000002</v>
      </c>
      <c r="AO800">
        <v>0.63100000000000001</v>
      </c>
      <c r="AP800" s="46">
        <v>0</v>
      </c>
      <c r="AQ800" s="46">
        <v>0</v>
      </c>
      <c r="AR800" s="46">
        <v>0</v>
      </c>
      <c r="AS800" s="46">
        <v>0</v>
      </c>
      <c r="AT800" s="46">
        <v>0</v>
      </c>
      <c r="AU800" s="46">
        <v>0</v>
      </c>
      <c r="AV800" s="46">
        <v>0</v>
      </c>
      <c r="AW800" s="46">
        <v>0</v>
      </c>
      <c r="AX800" s="46">
        <v>0</v>
      </c>
      <c r="AY800" s="46">
        <v>0</v>
      </c>
      <c r="AZ800" s="46">
        <v>0</v>
      </c>
      <c r="BA800" s="46">
        <v>0</v>
      </c>
      <c r="BB800" s="46">
        <v>1</v>
      </c>
      <c r="BC800" s="46">
        <v>0</v>
      </c>
      <c r="BD800" s="46">
        <v>0</v>
      </c>
      <c r="BE800" s="46">
        <v>0</v>
      </c>
      <c r="BF800" s="46">
        <v>0</v>
      </c>
      <c r="BG800" s="46">
        <v>1</v>
      </c>
      <c r="BH800" s="46">
        <v>0</v>
      </c>
      <c r="BI800" s="46">
        <v>0</v>
      </c>
      <c r="BJ800" s="46">
        <v>0</v>
      </c>
      <c r="BK800" s="46">
        <v>0</v>
      </c>
      <c r="BL800" s="46">
        <v>0</v>
      </c>
      <c r="BM800" s="46">
        <v>0</v>
      </c>
      <c r="BN800" s="46">
        <v>1</v>
      </c>
    </row>
    <row r="801" spans="1:66" x14ac:dyDescent="0.35">
      <c r="A801" t="s">
        <v>4171</v>
      </c>
      <c r="B801" s="44" t="s">
        <v>48</v>
      </c>
      <c r="C801" t="s">
        <v>447</v>
      </c>
      <c r="D801" t="s">
        <v>4176</v>
      </c>
      <c r="E801" t="s">
        <v>4172</v>
      </c>
      <c r="F801" t="s">
        <v>4169</v>
      </c>
      <c r="G801" t="s">
        <v>74</v>
      </c>
      <c r="H801">
        <v>0</v>
      </c>
      <c r="I801" s="60" t="s">
        <v>51</v>
      </c>
      <c r="J801" s="33" t="s">
        <v>45</v>
      </c>
      <c r="K801" s="46">
        <v>1</v>
      </c>
      <c r="L801">
        <v>96.3</v>
      </c>
      <c r="M801" t="s">
        <v>48</v>
      </c>
      <c r="N801" s="46">
        <v>1</v>
      </c>
      <c r="O801" s="46">
        <v>0</v>
      </c>
      <c r="P801" s="46">
        <v>0</v>
      </c>
      <c r="Q801" t="s">
        <v>48</v>
      </c>
      <c r="R801" t="s">
        <v>48</v>
      </c>
      <c r="S801" t="s">
        <v>4173</v>
      </c>
      <c r="T801" t="s">
        <v>4174</v>
      </c>
      <c r="U801" t="s">
        <v>4173</v>
      </c>
      <c r="V801" s="47">
        <v>0</v>
      </c>
      <c r="W801" t="s">
        <v>48</v>
      </c>
      <c r="X801" t="s">
        <v>48</v>
      </c>
      <c r="Y801" t="s">
        <v>48</v>
      </c>
      <c r="Z801">
        <v>0</v>
      </c>
      <c r="AA801" t="s">
        <v>48</v>
      </c>
      <c r="AB801" t="s">
        <v>4175</v>
      </c>
      <c r="AC801" t="s">
        <v>49</v>
      </c>
      <c r="AD801" t="s">
        <v>93</v>
      </c>
      <c r="AE801" s="40" t="s">
        <v>2471</v>
      </c>
      <c r="AF801" t="s">
        <v>11061</v>
      </c>
      <c r="AG801" t="s">
        <v>479</v>
      </c>
      <c r="AH801" t="s">
        <v>93</v>
      </c>
      <c r="AI801">
        <v>29368</v>
      </c>
      <c r="AJ801">
        <v>1948</v>
      </c>
      <c r="AK801" t="s">
        <v>9050</v>
      </c>
      <c r="AL801" t="s">
        <v>9051</v>
      </c>
      <c r="AM801">
        <v>-0.51600000000000001</v>
      </c>
      <c r="AN801">
        <v>0.39900000000000002</v>
      </c>
      <c r="AO801">
        <v>-0.51600000000000001</v>
      </c>
      <c r="AP801" s="46">
        <v>0</v>
      </c>
      <c r="AQ801" s="46">
        <v>0</v>
      </c>
      <c r="AR801" s="46">
        <v>0</v>
      </c>
      <c r="AS801" s="46">
        <v>0</v>
      </c>
      <c r="AT801" s="46">
        <v>0</v>
      </c>
      <c r="AU801" s="46">
        <v>0</v>
      </c>
      <c r="AV801" s="46">
        <v>0</v>
      </c>
      <c r="AW801" s="46">
        <v>0</v>
      </c>
      <c r="AX801" s="46">
        <v>0</v>
      </c>
      <c r="AY801" s="46">
        <v>0</v>
      </c>
      <c r="AZ801" s="46">
        <v>0</v>
      </c>
      <c r="BA801" s="46">
        <v>0</v>
      </c>
      <c r="BB801" s="46">
        <v>0</v>
      </c>
      <c r="BC801" s="46">
        <v>0</v>
      </c>
      <c r="BD801" s="46">
        <v>0</v>
      </c>
      <c r="BE801" s="46">
        <v>0</v>
      </c>
      <c r="BF801" s="46">
        <v>0</v>
      </c>
      <c r="BG801" s="46" t="s">
        <v>48</v>
      </c>
      <c r="BH801" s="46">
        <v>0</v>
      </c>
      <c r="BI801" s="46">
        <v>0</v>
      </c>
      <c r="BJ801" s="46">
        <v>0</v>
      </c>
      <c r="BK801" s="46">
        <v>1</v>
      </c>
      <c r="BL801" s="46">
        <v>0</v>
      </c>
      <c r="BM801" s="46">
        <v>0</v>
      </c>
      <c r="BN801" s="46">
        <v>0</v>
      </c>
    </row>
    <row r="802" spans="1:66" x14ac:dyDescent="0.35">
      <c r="A802" t="s">
        <v>8315</v>
      </c>
      <c r="B802" s="44" t="s">
        <v>48</v>
      </c>
      <c r="C802" t="s">
        <v>2442</v>
      </c>
      <c r="D802" t="s">
        <v>195</v>
      </c>
      <c r="E802" t="s">
        <v>8316</v>
      </c>
      <c r="F802" t="s">
        <v>4169</v>
      </c>
      <c r="G802" t="s">
        <v>47</v>
      </c>
      <c r="H802">
        <v>0</v>
      </c>
      <c r="I802" s="61">
        <v>44727</v>
      </c>
      <c r="J802" s="33" t="s">
        <v>45</v>
      </c>
      <c r="K802" s="46">
        <v>0</v>
      </c>
      <c r="L802">
        <v>43.1</v>
      </c>
      <c r="M802" t="s">
        <v>48</v>
      </c>
      <c r="N802" s="46">
        <v>1</v>
      </c>
      <c r="O802" s="46">
        <v>0</v>
      </c>
      <c r="P802" s="46">
        <v>0</v>
      </c>
      <c r="Q802" t="s">
        <v>48</v>
      </c>
      <c r="R802" t="s">
        <v>48</v>
      </c>
      <c r="S802" t="s">
        <v>48</v>
      </c>
      <c r="T802" t="s">
        <v>48</v>
      </c>
      <c r="U802" t="s">
        <v>48</v>
      </c>
      <c r="V802" s="47">
        <v>1</v>
      </c>
      <c r="W802" t="s">
        <v>11264</v>
      </c>
      <c r="X802" t="s">
        <v>48</v>
      </c>
      <c r="Y802" t="s">
        <v>48</v>
      </c>
      <c r="Z802" t="s">
        <v>48</v>
      </c>
      <c r="AA802" t="s">
        <v>48</v>
      </c>
      <c r="AB802" t="s">
        <v>48</v>
      </c>
      <c r="AC802" t="s">
        <v>49</v>
      </c>
      <c r="AD802" t="s">
        <v>93</v>
      </c>
      <c r="AE802" t="s">
        <v>4532</v>
      </c>
      <c r="AF802" t="s">
        <v>48</v>
      </c>
      <c r="AG802" t="s">
        <v>48</v>
      </c>
      <c r="AH802" t="s">
        <v>48</v>
      </c>
      <c r="AI802" t="s">
        <v>48</v>
      </c>
      <c r="AJ802" t="s">
        <v>48</v>
      </c>
      <c r="AK802" t="s">
        <v>48</v>
      </c>
      <c r="AL802" t="s">
        <v>48</v>
      </c>
      <c r="AM802" t="s">
        <v>48</v>
      </c>
      <c r="AN802" t="s">
        <v>48</v>
      </c>
      <c r="AO802" t="s">
        <v>48</v>
      </c>
      <c r="AP802" s="46">
        <v>0</v>
      </c>
      <c r="AQ802" s="46">
        <v>0</v>
      </c>
      <c r="AR802" s="46">
        <v>0</v>
      </c>
      <c r="AS802" s="46">
        <v>0</v>
      </c>
      <c r="AT802" s="46">
        <v>0</v>
      </c>
      <c r="AU802" s="46">
        <v>0</v>
      </c>
      <c r="AV802" s="46">
        <v>0</v>
      </c>
      <c r="AW802" s="46">
        <v>0</v>
      </c>
      <c r="AX802" s="46">
        <v>0</v>
      </c>
      <c r="AY802" s="46">
        <v>0</v>
      </c>
      <c r="AZ802" s="46">
        <v>0</v>
      </c>
      <c r="BA802" s="46">
        <v>0</v>
      </c>
      <c r="BB802" s="46">
        <v>0</v>
      </c>
      <c r="BC802" s="46">
        <v>0</v>
      </c>
      <c r="BD802" s="46">
        <v>0</v>
      </c>
      <c r="BE802" s="46">
        <v>0</v>
      </c>
      <c r="BF802" s="46">
        <v>0</v>
      </c>
      <c r="BG802" s="46">
        <v>1</v>
      </c>
      <c r="BH802" s="46">
        <v>0</v>
      </c>
      <c r="BI802" s="46">
        <v>0</v>
      </c>
      <c r="BJ802" s="46">
        <v>0</v>
      </c>
      <c r="BK802" s="46">
        <v>0</v>
      </c>
      <c r="BL802" s="46">
        <v>0</v>
      </c>
      <c r="BM802" s="46">
        <v>0</v>
      </c>
      <c r="BN802" s="46">
        <v>0</v>
      </c>
    </row>
    <row r="803" spans="1:66" x14ac:dyDescent="0.35">
      <c r="A803" t="s">
        <v>8322</v>
      </c>
      <c r="B803" s="44" t="s">
        <v>48</v>
      </c>
      <c r="C803" t="s">
        <v>3438</v>
      </c>
      <c r="D803" t="s">
        <v>396</v>
      </c>
      <c r="E803" t="s">
        <v>8323</v>
      </c>
      <c r="F803" t="s">
        <v>4178</v>
      </c>
      <c r="G803" t="s">
        <v>47</v>
      </c>
      <c r="H803">
        <v>0</v>
      </c>
      <c r="I803" s="61">
        <v>44727</v>
      </c>
      <c r="J803" s="33" t="s">
        <v>45</v>
      </c>
      <c r="K803" s="46">
        <v>0</v>
      </c>
      <c r="L803">
        <v>47.5</v>
      </c>
      <c r="M803" t="s">
        <v>48</v>
      </c>
      <c r="N803" s="46">
        <v>1</v>
      </c>
      <c r="O803" s="46">
        <v>0</v>
      </c>
      <c r="P803" s="46">
        <v>0</v>
      </c>
      <c r="Q803" t="s">
        <v>48</v>
      </c>
      <c r="R803" t="s">
        <v>48</v>
      </c>
      <c r="S803" t="s">
        <v>10270</v>
      </c>
      <c r="T803" t="s">
        <v>48</v>
      </c>
      <c r="U803" t="s">
        <v>10270</v>
      </c>
      <c r="V803" s="47">
        <v>0</v>
      </c>
      <c r="W803" t="s">
        <v>48</v>
      </c>
      <c r="X803" t="s">
        <v>48</v>
      </c>
      <c r="Y803" t="s">
        <v>48</v>
      </c>
      <c r="Z803" t="s">
        <v>48</v>
      </c>
      <c r="AA803" t="s">
        <v>48</v>
      </c>
      <c r="AB803" t="s">
        <v>48</v>
      </c>
      <c r="AC803" t="s">
        <v>49</v>
      </c>
      <c r="AD803" t="s">
        <v>93</v>
      </c>
      <c r="AE803" t="s">
        <v>4532</v>
      </c>
      <c r="AF803" t="s">
        <v>48</v>
      </c>
      <c r="AG803" t="s">
        <v>48</v>
      </c>
      <c r="AH803" t="s">
        <v>48</v>
      </c>
      <c r="AI803" t="s">
        <v>48</v>
      </c>
      <c r="AJ803" t="s">
        <v>48</v>
      </c>
      <c r="AK803" t="s">
        <v>48</v>
      </c>
      <c r="AL803" t="s">
        <v>48</v>
      </c>
      <c r="AM803" t="s">
        <v>48</v>
      </c>
      <c r="AN803" t="s">
        <v>48</v>
      </c>
      <c r="AO803" t="s">
        <v>48</v>
      </c>
      <c r="AP803" s="46">
        <v>0</v>
      </c>
      <c r="AQ803" s="46">
        <v>0</v>
      </c>
      <c r="AR803" s="46">
        <v>0</v>
      </c>
      <c r="AS803" s="46">
        <v>0</v>
      </c>
      <c r="AT803" s="46">
        <v>0</v>
      </c>
      <c r="AU803" s="46">
        <v>0</v>
      </c>
      <c r="AV803" s="46">
        <v>0</v>
      </c>
      <c r="AW803" s="46">
        <v>0</v>
      </c>
      <c r="AX803" s="46">
        <v>0</v>
      </c>
      <c r="AY803" s="46">
        <v>0</v>
      </c>
      <c r="AZ803" s="46">
        <v>0</v>
      </c>
      <c r="BA803" s="46">
        <v>0</v>
      </c>
      <c r="BB803" s="46">
        <v>0</v>
      </c>
      <c r="BC803" s="46">
        <v>0</v>
      </c>
      <c r="BD803" s="46">
        <v>0</v>
      </c>
      <c r="BE803" s="46">
        <v>0</v>
      </c>
      <c r="BF803" s="46">
        <v>0</v>
      </c>
      <c r="BG803" s="46" t="s">
        <v>48</v>
      </c>
      <c r="BH803" s="46">
        <v>0</v>
      </c>
      <c r="BI803" s="46">
        <v>0</v>
      </c>
      <c r="BJ803" s="46">
        <v>0</v>
      </c>
      <c r="BK803" s="46">
        <v>0</v>
      </c>
      <c r="BL803" s="46">
        <v>0</v>
      </c>
      <c r="BM803" s="46">
        <v>0</v>
      </c>
      <c r="BN803" s="46">
        <v>0</v>
      </c>
    </row>
    <row r="804" spans="1:66" x14ac:dyDescent="0.35">
      <c r="A804" t="s">
        <v>4183</v>
      </c>
      <c r="B804" s="44" t="s">
        <v>48</v>
      </c>
      <c r="C804" t="s">
        <v>341</v>
      </c>
      <c r="D804" t="s">
        <v>4186</v>
      </c>
      <c r="E804" t="s">
        <v>4184</v>
      </c>
      <c r="F804" t="s">
        <v>4178</v>
      </c>
      <c r="G804" t="s">
        <v>74</v>
      </c>
      <c r="H804">
        <v>0</v>
      </c>
      <c r="I804" s="60" t="s">
        <v>51</v>
      </c>
      <c r="J804" s="33" t="s">
        <v>45</v>
      </c>
      <c r="K804" s="46">
        <v>0</v>
      </c>
      <c r="L804">
        <v>100</v>
      </c>
      <c r="M804" t="s">
        <v>48</v>
      </c>
      <c r="N804" s="46">
        <v>1</v>
      </c>
      <c r="O804" s="46">
        <v>0</v>
      </c>
      <c r="P804" s="46">
        <v>0</v>
      </c>
      <c r="Q804" t="s">
        <v>48</v>
      </c>
      <c r="R804" t="s">
        <v>48</v>
      </c>
      <c r="S804" t="s">
        <v>4185</v>
      </c>
      <c r="T804" t="s">
        <v>48</v>
      </c>
      <c r="U804" t="s">
        <v>4185</v>
      </c>
      <c r="V804" s="47">
        <v>1</v>
      </c>
      <c r="W804" t="s">
        <v>48</v>
      </c>
      <c r="X804" t="s">
        <v>48</v>
      </c>
      <c r="Y804" t="s">
        <v>48</v>
      </c>
      <c r="Z804">
        <v>0</v>
      </c>
      <c r="AA804" t="s">
        <v>48</v>
      </c>
      <c r="AB804" t="s">
        <v>48</v>
      </c>
      <c r="AC804" t="s">
        <v>49</v>
      </c>
      <c r="AD804" t="s">
        <v>93</v>
      </c>
      <c r="AE804" s="40" t="s">
        <v>2471</v>
      </c>
      <c r="AF804" t="s">
        <v>11061</v>
      </c>
      <c r="AG804" t="s">
        <v>48</v>
      </c>
      <c r="AH804" t="s">
        <v>48</v>
      </c>
      <c r="AI804" t="s">
        <v>48</v>
      </c>
      <c r="AJ804" t="s">
        <v>48</v>
      </c>
      <c r="AK804" t="s">
        <v>48</v>
      </c>
      <c r="AL804" t="s">
        <v>48</v>
      </c>
      <c r="AM804" t="s">
        <v>48</v>
      </c>
      <c r="AN804" t="s">
        <v>48</v>
      </c>
      <c r="AO804" t="s">
        <v>48</v>
      </c>
      <c r="AP804" s="46">
        <v>0</v>
      </c>
      <c r="AQ804" s="46">
        <v>0</v>
      </c>
      <c r="AR804" s="46">
        <v>0</v>
      </c>
      <c r="AS804" s="46">
        <v>0</v>
      </c>
      <c r="AT804" s="46">
        <v>0</v>
      </c>
      <c r="AU804" s="46">
        <v>0</v>
      </c>
      <c r="AV804" s="46">
        <v>0</v>
      </c>
      <c r="AW804" s="46">
        <v>0</v>
      </c>
      <c r="AX804" s="46">
        <v>0</v>
      </c>
      <c r="AY804" s="46">
        <v>0</v>
      </c>
      <c r="AZ804" s="46">
        <v>0</v>
      </c>
      <c r="BA804" s="46">
        <v>0</v>
      </c>
      <c r="BB804" s="46">
        <v>0</v>
      </c>
      <c r="BC804" s="46">
        <v>0</v>
      </c>
      <c r="BD804" s="46">
        <v>0</v>
      </c>
      <c r="BE804" s="46">
        <v>0</v>
      </c>
      <c r="BF804" s="46">
        <v>0</v>
      </c>
      <c r="BG804" s="46" t="s">
        <v>48</v>
      </c>
      <c r="BH804" s="46">
        <v>0</v>
      </c>
      <c r="BI804" s="46">
        <v>0</v>
      </c>
      <c r="BJ804" s="46">
        <v>0</v>
      </c>
      <c r="BK804" s="46">
        <v>0</v>
      </c>
      <c r="BL804" s="46">
        <v>0</v>
      </c>
      <c r="BM804" s="46">
        <v>0</v>
      </c>
      <c r="BN804" s="46">
        <v>0</v>
      </c>
    </row>
    <row r="805" spans="1:66" x14ac:dyDescent="0.35">
      <c r="A805" t="s">
        <v>4195</v>
      </c>
      <c r="B805" s="44" t="s">
        <v>48</v>
      </c>
      <c r="C805" t="s">
        <v>4197</v>
      </c>
      <c r="D805" t="s">
        <v>1692</v>
      </c>
      <c r="E805" t="s">
        <v>4196</v>
      </c>
      <c r="F805" t="s">
        <v>4188</v>
      </c>
      <c r="G805" t="s">
        <v>74</v>
      </c>
      <c r="H805">
        <v>0</v>
      </c>
      <c r="I805" s="60" t="s">
        <v>190</v>
      </c>
      <c r="J805" s="33" t="s">
        <v>45</v>
      </c>
      <c r="K805" s="46">
        <v>0</v>
      </c>
      <c r="L805">
        <v>84.9</v>
      </c>
      <c r="M805" t="s">
        <v>48</v>
      </c>
      <c r="N805" s="46">
        <v>1</v>
      </c>
      <c r="O805" s="46">
        <v>0</v>
      </c>
      <c r="P805" s="46">
        <v>0</v>
      </c>
      <c r="Q805" t="s">
        <v>48</v>
      </c>
      <c r="R805" t="s">
        <v>48</v>
      </c>
      <c r="S805" t="s">
        <v>10272</v>
      </c>
      <c r="T805" t="s">
        <v>48</v>
      </c>
      <c r="U805" t="s">
        <v>10272</v>
      </c>
      <c r="V805" s="47">
        <v>1</v>
      </c>
      <c r="W805" t="s">
        <v>48</v>
      </c>
      <c r="X805" t="s">
        <v>48</v>
      </c>
      <c r="Y805" t="s">
        <v>48</v>
      </c>
      <c r="Z805">
        <v>0</v>
      </c>
      <c r="AA805" t="s">
        <v>48</v>
      </c>
      <c r="AB805" t="s">
        <v>48</v>
      </c>
      <c r="AC805" t="s">
        <v>49</v>
      </c>
      <c r="AD805" t="s">
        <v>93</v>
      </c>
      <c r="AE805" s="40" t="s">
        <v>2471</v>
      </c>
      <c r="AF805" t="s">
        <v>11061</v>
      </c>
      <c r="AG805" t="s">
        <v>48</v>
      </c>
      <c r="AH805" t="s">
        <v>48</v>
      </c>
      <c r="AI805" t="s">
        <v>48</v>
      </c>
      <c r="AJ805" t="s">
        <v>48</v>
      </c>
      <c r="AK805" t="s">
        <v>48</v>
      </c>
      <c r="AL805" t="s">
        <v>48</v>
      </c>
      <c r="AM805" t="s">
        <v>48</v>
      </c>
      <c r="AN805" t="s">
        <v>48</v>
      </c>
      <c r="AO805" t="s">
        <v>48</v>
      </c>
      <c r="AP805" s="46">
        <v>0</v>
      </c>
      <c r="AQ805" s="46">
        <v>0</v>
      </c>
      <c r="AR805" s="46">
        <v>0</v>
      </c>
      <c r="AS805" s="46">
        <v>0</v>
      </c>
      <c r="AT805" s="46">
        <v>0</v>
      </c>
      <c r="AU805" s="46">
        <v>0</v>
      </c>
      <c r="AV805" s="46">
        <v>0</v>
      </c>
      <c r="AW805" s="46">
        <v>0</v>
      </c>
      <c r="AX805" s="46">
        <v>0</v>
      </c>
      <c r="AY805" s="46">
        <v>0</v>
      </c>
      <c r="AZ805" s="46">
        <v>0</v>
      </c>
      <c r="BA805" s="46">
        <v>0</v>
      </c>
      <c r="BB805" s="46">
        <v>0</v>
      </c>
      <c r="BC805" s="46">
        <v>0</v>
      </c>
      <c r="BD805" s="46">
        <v>0</v>
      </c>
      <c r="BE805" s="46">
        <v>0</v>
      </c>
      <c r="BF805" s="46">
        <v>0</v>
      </c>
      <c r="BG805" s="46" t="s">
        <v>48</v>
      </c>
      <c r="BH805" s="46">
        <v>0</v>
      </c>
      <c r="BI805" s="46">
        <v>0</v>
      </c>
      <c r="BJ805" s="46">
        <v>0</v>
      </c>
      <c r="BK805" s="46">
        <v>0</v>
      </c>
      <c r="BL805" s="46">
        <v>0</v>
      </c>
      <c r="BM805" s="46">
        <v>0</v>
      </c>
      <c r="BN805" s="46">
        <v>0</v>
      </c>
    </row>
    <row r="806" spans="1:66" x14ac:dyDescent="0.35">
      <c r="A806" t="s">
        <v>4198</v>
      </c>
      <c r="B806" s="44" t="s">
        <v>48</v>
      </c>
      <c r="C806" t="s">
        <v>4201</v>
      </c>
      <c r="D806" t="s">
        <v>288</v>
      </c>
      <c r="E806" t="s">
        <v>4199</v>
      </c>
      <c r="F806" t="s">
        <v>4188</v>
      </c>
      <c r="G806" t="s">
        <v>47</v>
      </c>
      <c r="H806">
        <v>0</v>
      </c>
      <c r="I806" s="60" t="s">
        <v>51</v>
      </c>
      <c r="J806" s="33" t="s">
        <v>45</v>
      </c>
      <c r="K806" s="46">
        <v>0</v>
      </c>
      <c r="L806">
        <v>25.1</v>
      </c>
      <c r="M806">
        <v>53.6</v>
      </c>
      <c r="N806" s="46">
        <v>1</v>
      </c>
      <c r="O806" s="46">
        <v>0</v>
      </c>
      <c r="P806" s="46">
        <v>0</v>
      </c>
      <c r="Q806" t="s">
        <v>48</v>
      </c>
      <c r="R806" t="s">
        <v>48</v>
      </c>
      <c r="S806" t="s">
        <v>4200</v>
      </c>
      <c r="T806" t="s">
        <v>48</v>
      </c>
      <c r="U806" t="s">
        <v>4200</v>
      </c>
      <c r="V806" s="47">
        <v>0</v>
      </c>
      <c r="W806" t="s">
        <v>48</v>
      </c>
      <c r="X806" t="s">
        <v>48</v>
      </c>
      <c r="Y806" t="s">
        <v>48</v>
      </c>
      <c r="Z806">
        <v>0</v>
      </c>
      <c r="AA806" t="s">
        <v>48</v>
      </c>
      <c r="AB806" t="s">
        <v>48</v>
      </c>
      <c r="AC806" t="s">
        <v>49</v>
      </c>
      <c r="AD806" t="s">
        <v>93</v>
      </c>
      <c r="AE806" t="s">
        <v>4532</v>
      </c>
      <c r="AF806" t="s">
        <v>48</v>
      </c>
      <c r="AG806" t="s">
        <v>48</v>
      </c>
      <c r="AH806" t="s">
        <v>48</v>
      </c>
      <c r="AI806" t="s">
        <v>48</v>
      </c>
      <c r="AJ806" t="s">
        <v>48</v>
      </c>
      <c r="AK806" t="s">
        <v>48</v>
      </c>
      <c r="AL806" t="s">
        <v>48</v>
      </c>
      <c r="AM806" t="s">
        <v>48</v>
      </c>
      <c r="AN806" t="s">
        <v>48</v>
      </c>
      <c r="AO806" t="s">
        <v>48</v>
      </c>
      <c r="AP806" s="46">
        <v>0</v>
      </c>
      <c r="AQ806" s="46">
        <v>0</v>
      </c>
      <c r="AR806" s="46">
        <v>0</v>
      </c>
      <c r="AS806" s="46">
        <v>0</v>
      </c>
      <c r="AT806" s="46">
        <v>0</v>
      </c>
      <c r="AU806" s="46">
        <v>0</v>
      </c>
      <c r="AV806" s="46">
        <v>0</v>
      </c>
      <c r="AW806" s="46">
        <v>0</v>
      </c>
      <c r="AX806" s="46">
        <v>0</v>
      </c>
      <c r="AY806" s="46">
        <v>0</v>
      </c>
      <c r="AZ806" s="46">
        <v>0</v>
      </c>
      <c r="BA806" s="46">
        <v>0</v>
      </c>
      <c r="BB806" s="46">
        <v>0</v>
      </c>
      <c r="BC806" s="46">
        <v>0</v>
      </c>
      <c r="BD806" s="46">
        <v>0</v>
      </c>
      <c r="BE806" s="46">
        <v>0</v>
      </c>
      <c r="BF806" s="46">
        <v>0</v>
      </c>
      <c r="BG806" s="46" t="s">
        <v>48</v>
      </c>
      <c r="BH806" s="46">
        <v>0</v>
      </c>
      <c r="BI806" s="46">
        <v>0</v>
      </c>
      <c r="BJ806" s="46">
        <v>0</v>
      </c>
      <c r="BK806" s="46">
        <v>0</v>
      </c>
      <c r="BL806" s="46">
        <v>0</v>
      </c>
      <c r="BM806" s="46">
        <v>0</v>
      </c>
      <c r="BN806" s="46">
        <v>0</v>
      </c>
    </row>
    <row r="807" spans="1:66" x14ac:dyDescent="0.35">
      <c r="A807" t="s">
        <v>4251</v>
      </c>
      <c r="B807" s="44" t="s">
        <v>48</v>
      </c>
      <c r="C807" t="s">
        <v>4254</v>
      </c>
      <c r="D807" t="s">
        <v>4253</v>
      </c>
      <c r="E807" t="s">
        <v>8103</v>
      </c>
      <c r="F807" t="s">
        <v>4227</v>
      </c>
      <c r="G807" t="s">
        <v>74</v>
      </c>
      <c r="H807">
        <v>0</v>
      </c>
      <c r="I807" s="61">
        <v>44727</v>
      </c>
      <c r="J807" s="33" t="s">
        <v>45</v>
      </c>
      <c r="K807" s="46">
        <v>0</v>
      </c>
      <c r="L807">
        <v>64.900000000000006</v>
      </c>
      <c r="M807" t="s">
        <v>48</v>
      </c>
      <c r="N807" s="46">
        <v>1</v>
      </c>
      <c r="O807" s="46">
        <v>0</v>
      </c>
      <c r="P807" s="46">
        <v>0</v>
      </c>
      <c r="Q807" t="s">
        <v>48</v>
      </c>
      <c r="R807" t="s">
        <v>48</v>
      </c>
      <c r="S807" t="s">
        <v>4252</v>
      </c>
      <c r="T807" t="s">
        <v>48</v>
      </c>
      <c r="U807" t="s">
        <v>4252</v>
      </c>
      <c r="V807" s="47">
        <v>0</v>
      </c>
      <c r="W807" t="s">
        <v>48</v>
      </c>
      <c r="X807" t="s">
        <v>48</v>
      </c>
      <c r="Y807" t="s">
        <v>48</v>
      </c>
      <c r="Z807">
        <v>0</v>
      </c>
      <c r="AA807" t="s">
        <v>48</v>
      </c>
      <c r="AB807" t="s">
        <v>48</v>
      </c>
      <c r="AC807" t="s">
        <v>63</v>
      </c>
      <c r="AD807" t="s">
        <v>93</v>
      </c>
      <c r="AE807" t="s">
        <v>4532</v>
      </c>
      <c r="AF807" t="s">
        <v>48</v>
      </c>
      <c r="AG807" t="s">
        <v>48</v>
      </c>
      <c r="AH807" t="s">
        <v>48</v>
      </c>
      <c r="AI807" t="s">
        <v>48</v>
      </c>
      <c r="AJ807" t="s">
        <v>48</v>
      </c>
      <c r="AK807" t="s">
        <v>48</v>
      </c>
      <c r="AL807" t="s">
        <v>48</v>
      </c>
      <c r="AM807" t="s">
        <v>48</v>
      </c>
      <c r="AN807" t="s">
        <v>48</v>
      </c>
      <c r="AO807" t="s">
        <v>48</v>
      </c>
      <c r="AP807" s="46">
        <v>0</v>
      </c>
      <c r="AQ807" s="46">
        <v>0</v>
      </c>
      <c r="AR807" s="46">
        <v>0</v>
      </c>
      <c r="AS807" s="46">
        <v>0</v>
      </c>
      <c r="AT807" s="46">
        <v>0</v>
      </c>
      <c r="AU807" s="46">
        <v>0</v>
      </c>
      <c r="AV807" s="46">
        <v>0</v>
      </c>
      <c r="AW807" s="46">
        <v>0</v>
      </c>
      <c r="AX807" s="46">
        <v>0</v>
      </c>
      <c r="AY807" s="46">
        <v>0</v>
      </c>
      <c r="AZ807" s="46">
        <v>0</v>
      </c>
      <c r="BA807" s="46">
        <v>0</v>
      </c>
      <c r="BB807" s="46">
        <v>0</v>
      </c>
      <c r="BC807" s="46">
        <v>0</v>
      </c>
      <c r="BD807" s="46">
        <v>0</v>
      </c>
      <c r="BE807" s="46">
        <v>0</v>
      </c>
      <c r="BF807" s="46">
        <v>0</v>
      </c>
      <c r="BG807" s="46" t="s">
        <v>48</v>
      </c>
      <c r="BH807" s="46">
        <v>0</v>
      </c>
      <c r="BI807" s="46">
        <v>0</v>
      </c>
      <c r="BJ807" s="46">
        <v>0</v>
      </c>
      <c r="BK807" s="46">
        <v>0</v>
      </c>
      <c r="BL807" s="46">
        <v>0</v>
      </c>
      <c r="BM807" s="46">
        <v>0</v>
      </c>
      <c r="BN807" s="46">
        <v>0</v>
      </c>
    </row>
    <row r="808" spans="1:66" x14ac:dyDescent="0.35">
      <c r="A808" t="s">
        <v>4261</v>
      </c>
      <c r="B808" s="44" t="s">
        <v>48</v>
      </c>
      <c r="C808" t="s">
        <v>4263</v>
      </c>
      <c r="D808" t="s">
        <v>1652</v>
      </c>
      <c r="E808" t="s">
        <v>8326</v>
      </c>
      <c r="F808" t="s">
        <v>4227</v>
      </c>
      <c r="G808" t="s">
        <v>47</v>
      </c>
      <c r="H808">
        <v>0</v>
      </c>
      <c r="I808" s="61">
        <v>44727</v>
      </c>
      <c r="J808" s="33" t="s">
        <v>45</v>
      </c>
      <c r="K808" s="46">
        <v>0</v>
      </c>
      <c r="L808">
        <v>41.7</v>
      </c>
      <c r="M808" s="41" t="s">
        <v>48</v>
      </c>
      <c r="N808" s="46">
        <v>1</v>
      </c>
      <c r="O808" s="46">
        <v>0</v>
      </c>
      <c r="P808" s="46">
        <v>0</v>
      </c>
      <c r="Q808" s="41" t="s">
        <v>48</v>
      </c>
      <c r="R808" s="41" t="s">
        <v>48</v>
      </c>
      <c r="S808" t="s">
        <v>4262</v>
      </c>
      <c r="T808" t="s">
        <v>48</v>
      </c>
      <c r="U808" t="s">
        <v>4262</v>
      </c>
      <c r="V808" s="47">
        <v>0</v>
      </c>
      <c r="W808" t="s">
        <v>48</v>
      </c>
      <c r="X808" t="s">
        <v>48</v>
      </c>
      <c r="Y808" t="s">
        <v>48</v>
      </c>
      <c r="Z808">
        <v>0</v>
      </c>
      <c r="AA808" t="s">
        <v>48</v>
      </c>
      <c r="AB808" t="s">
        <v>48</v>
      </c>
      <c r="AC808" t="s">
        <v>49</v>
      </c>
      <c r="AD808" t="s">
        <v>93</v>
      </c>
      <c r="AE808" t="s">
        <v>4532</v>
      </c>
      <c r="AF808" t="s">
        <v>48</v>
      </c>
      <c r="AG808" t="s">
        <v>48</v>
      </c>
      <c r="AH808" t="s">
        <v>48</v>
      </c>
      <c r="AI808" t="s">
        <v>48</v>
      </c>
      <c r="AJ808" t="s">
        <v>48</v>
      </c>
      <c r="AK808" t="s">
        <v>48</v>
      </c>
      <c r="AL808" t="s">
        <v>48</v>
      </c>
      <c r="AM808" t="s">
        <v>48</v>
      </c>
      <c r="AN808" t="s">
        <v>48</v>
      </c>
      <c r="AO808" t="s">
        <v>48</v>
      </c>
      <c r="AP808" s="46">
        <v>0</v>
      </c>
      <c r="AQ808" s="46">
        <v>0</v>
      </c>
      <c r="AR808" s="46">
        <v>0</v>
      </c>
      <c r="AS808" s="46">
        <v>0</v>
      </c>
      <c r="AT808" s="46">
        <v>0</v>
      </c>
      <c r="AU808" s="46">
        <v>0</v>
      </c>
      <c r="AV808" s="46">
        <v>0</v>
      </c>
      <c r="AW808" s="46">
        <v>0</v>
      </c>
      <c r="AX808" s="46">
        <v>0</v>
      </c>
      <c r="AY808" s="46">
        <v>0</v>
      </c>
      <c r="AZ808" s="46">
        <v>0</v>
      </c>
      <c r="BA808" s="46">
        <v>0</v>
      </c>
      <c r="BB808" s="46">
        <v>0</v>
      </c>
      <c r="BC808" s="46">
        <v>0</v>
      </c>
      <c r="BD808" s="46">
        <v>0</v>
      </c>
      <c r="BE808" s="46">
        <v>0</v>
      </c>
      <c r="BF808" s="46">
        <v>0</v>
      </c>
      <c r="BG808" s="46">
        <v>1</v>
      </c>
      <c r="BH808" s="46">
        <v>0</v>
      </c>
      <c r="BI808" s="46">
        <v>0</v>
      </c>
      <c r="BJ808" s="46">
        <v>0</v>
      </c>
      <c r="BK808" s="46">
        <v>0</v>
      </c>
      <c r="BL808" s="46">
        <v>0</v>
      </c>
      <c r="BM808" s="46">
        <v>0</v>
      </c>
      <c r="BN808" s="46">
        <v>0</v>
      </c>
    </row>
    <row r="809" spans="1:66" x14ac:dyDescent="0.35">
      <c r="A809" t="s">
        <v>4242</v>
      </c>
      <c r="B809" s="44" t="s">
        <v>48</v>
      </c>
      <c r="C809" t="s">
        <v>4246</v>
      </c>
      <c r="D809" t="s">
        <v>1193</v>
      </c>
      <c r="E809" t="s">
        <v>4243</v>
      </c>
      <c r="F809" t="s">
        <v>4231</v>
      </c>
      <c r="G809" t="s">
        <v>47</v>
      </c>
      <c r="H809">
        <v>0</v>
      </c>
      <c r="I809" s="60" t="s">
        <v>51</v>
      </c>
      <c r="J809" s="33" t="s">
        <v>45</v>
      </c>
      <c r="K809" s="46">
        <v>1</v>
      </c>
      <c r="L809">
        <v>75.7</v>
      </c>
      <c r="M809" t="s">
        <v>48</v>
      </c>
      <c r="N809" s="46">
        <v>1</v>
      </c>
      <c r="O809" s="46">
        <v>0</v>
      </c>
      <c r="P809" s="46">
        <v>0</v>
      </c>
      <c r="Q809" t="s">
        <v>48</v>
      </c>
      <c r="R809" t="s">
        <v>48</v>
      </c>
      <c r="S809" t="s">
        <v>4244</v>
      </c>
      <c r="T809" t="s">
        <v>4245</v>
      </c>
      <c r="U809" t="s">
        <v>4244</v>
      </c>
      <c r="V809" s="47">
        <v>0</v>
      </c>
      <c r="W809" t="s">
        <v>48</v>
      </c>
      <c r="X809" t="s">
        <v>48</v>
      </c>
      <c r="Y809" t="s">
        <v>48</v>
      </c>
      <c r="Z809">
        <v>1</v>
      </c>
      <c r="AA809" t="s">
        <v>48</v>
      </c>
      <c r="AB809">
        <v>2020</v>
      </c>
      <c r="AC809" t="s">
        <v>49</v>
      </c>
      <c r="AD809" t="s">
        <v>93</v>
      </c>
      <c r="AE809" t="s">
        <v>4532</v>
      </c>
      <c r="AF809" t="s">
        <v>48</v>
      </c>
      <c r="AG809" t="s">
        <v>140</v>
      </c>
      <c r="AH809" t="s">
        <v>93</v>
      </c>
      <c r="AI809">
        <v>22148</v>
      </c>
      <c r="AJ809">
        <v>1960</v>
      </c>
      <c r="AK809" t="s">
        <v>9056</v>
      </c>
      <c r="AL809" t="s">
        <v>9057</v>
      </c>
      <c r="AM809">
        <v>0.75700000000000001</v>
      </c>
      <c r="AN809">
        <v>-0.5</v>
      </c>
      <c r="AO809">
        <v>0.75700000000000001</v>
      </c>
      <c r="AP809" s="46">
        <v>0</v>
      </c>
      <c r="AQ809" s="46">
        <v>0</v>
      </c>
      <c r="AR809" s="46">
        <v>0</v>
      </c>
      <c r="AS809" s="46">
        <v>0</v>
      </c>
      <c r="AT809" s="46">
        <v>0</v>
      </c>
      <c r="AU809" s="46">
        <v>0</v>
      </c>
      <c r="AV809" s="46">
        <v>0</v>
      </c>
      <c r="AW809" s="46">
        <v>0</v>
      </c>
      <c r="AX809" s="46">
        <v>0</v>
      </c>
      <c r="AY809" s="46">
        <v>0</v>
      </c>
      <c r="AZ809" s="46">
        <v>0</v>
      </c>
      <c r="BA809" s="46">
        <v>0</v>
      </c>
      <c r="BB809" s="46">
        <v>1</v>
      </c>
      <c r="BC809" s="46">
        <v>0</v>
      </c>
      <c r="BD809" s="46">
        <v>0</v>
      </c>
      <c r="BE809" s="46">
        <v>0</v>
      </c>
      <c r="BF809" s="46">
        <v>1</v>
      </c>
      <c r="BG809" s="46">
        <v>1</v>
      </c>
      <c r="BH809" s="46">
        <v>0</v>
      </c>
      <c r="BI809" s="46">
        <v>0</v>
      </c>
      <c r="BJ809" s="46">
        <v>0</v>
      </c>
      <c r="BK809" s="46">
        <v>0</v>
      </c>
      <c r="BL809" s="46">
        <v>0</v>
      </c>
      <c r="BM809" s="46">
        <v>0</v>
      </c>
      <c r="BN809" s="46">
        <v>1</v>
      </c>
    </row>
    <row r="810" spans="1:66" x14ac:dyDescent="0.35">
      <c r="A810" t="s">
        <v>4238</v>
      </c>
      <c r="B810" s="44" t="s">
        <v>48</v>
      </c>
      <c r="C810" t="s">
        <v>4241</v>
      </c>
      <c r="D810" t="s">
        <v>4240</v>
      </c>
      <c r="E810" t="s">
        <v>4239</v>
      </c>
      <c r="F810" t="s">
        <v>4231</v>
      </c>
      <c r="G810" t="s">
        <v>74</v>
      </c>
      <c r="H810">
        <v>0</v>
      </c>
      <c r="I810" s="60" t="s">
        <v>149</v>
      </c>
      <c r="J810" s="33" t="s">
        <v>45</v>
      </c>
      <c r="K810" s="46">
        <v>0</v>
      </c>
      <c r="L810">
        <v>58.5</v>
      </c>
      <c r="M810" t="s">
        <v>48</v>
      </c>
      <c r="N810" s="46">
        <v>1</v>
      </c>
      <c r="O810" s="46">
        <v>0</v>
      </c>
      <c r="P810" s="46">
        <v>0</v>
      </c>
      <c r="Q810" t="s">
        <v>48</v>
      </c>
      <c r="R810" t="s">
        <v>48</v>
      </c>
      <c r="S810" t="s">
        <v>10277</v>
      </c>
      <c r="T810" t="s">
        <v>48</v>
      </c>
      <c r="U810" t="s">
        <v>10277</v>
      </c>
      <c r="V810" s="47">
        <v>0</v>
      </c>
      <c r="W810" t="s">
        <v>48</v>
      </c>
      <c r="X810" t="s">
        <v>48</v>
      </c>
      <c r="Y810" t="s">
        <v>48</v>
      </c>
      <c r="Z810">
        <v>0</v>
      </c>
      <c r="AA810" t="s">
        <v>48</v>
      </c>
      <c r="AB810" t="s">
        <v>48</v>
      </c>
      <c r="AC810" t="s">
        <v>63</v>
      </c>
      <c r="AD810" t="s">
        <v>93</v>
      </c>
      <c r="AE810" t="s">
        <v>4532</v>
      </c>
      <c r="AF810" t="s">
        <v>48</v>
      </c>
      <c r="AG810" t="s">
        <v>48</v>
      </c>
      <c r="AH810" t="s">
        <v>48</v>
      </c>
      <c r="AI810" t="s">
        <v>48</v>
      </c>
      <c r="AJ810" t="s">
        <v>48</v>
      </c>
      <c r="AK810" t="s">
        <v>48</v>
      </c>
      <c r="AL810" t="s">
        <v>48</v>
      </c>
      <c r="AM810" t="s">
        <v>48</v>
      </c>
      <c r="AN810" t="s">
        <v>48</v>
      </c>
      <c r="AO810" t="s">
        <v>48</v>
      </c>
      <c r="AP810" s="46">
        <v>0</v>
      </c>
      <c r="AQ810" s="46">
        <v>0</v>
      </c>
      <c r="AR810" s="46">
        <v>0</v>
      </c>
      <c r="AS810" s="46">
        <v>0</v>
      </c>
      <c r="AT810" s="46">
        <v>0</v>
      </c>
      <c r="AU810" s="46">
        <v>0</v>
      </c>
      <c r="AV810" s="46">
        <v>0</v>
      </c>
      <c r="AW810" s="46">
        <v>0</v>
      </c>
      <c r="AX810" s="46">
        <v>0</v>
      </c>
      <c r="AY810" s="46">
        <v>0</v>
      </c>
      <c r="AZ810" s="46">
        <v>0</v>
      </c>
      <c r="BA810" s="46">
        <v>0</v>
      </c>
      <c r="BB810" s="46">
        <v>0</v>
      </c>
      <c r="BC810" s="46">
        <v>0</v>
      </c>
      <c r="BD810" s="46">
        <v>0</v>
      </c>
      <c r="BE810" s="46">
        <v>0</v>
      </c>
      <c r="BF810" s="46">
        <v>0</v>
      </c>
      <c r="BG810" s="46" t="s">
        <v>48</v>
      </c>
      <c r="BH810" s="46">
        <v>0</v>
      </c>
      <c r="BI810" s="46">
        <v>0</v>
      </c>
      <c r="BJ810" s="46">
        <v>0</v>
      </c>
      <c r="BK810" s="46">
        <v>0</v>
      </c>
      <c r="BL810" s="46">
        <v>0</v>
      </c>
      <c r="BM810" s="46">
        <v>0</v>
      </c>
      <c r="BN810" s="46">
        <v>0</v>
      </c>
    </row>
    <row r="811" spans="1:66" x14ac:dyDescent="0.35">
      <c r="A811" t="s">
        <v>9546</v>
      </c>
      <c r="B811" s="44" t="s">
        <v>48</v>
      </c>
      <c r="C811" t="s">
        <v>2437</v>
      </c>
      <c r="D811" t="s">
        <v>269</v>
      </c>
      <c r="E811" t="s">
        <v>9547</v>
      </c>
      <c r="F811" t="s">
        <v>150</v>
      </c>
      <c r="G811" t="s">
        <v>74</v>
      </c>
      <c r="H811">
        <v>0</v>
      </c>
      <c r="I811" s="61">
        <v>44753</v>
      </c>
      <c r="J811" s="33" t="s">
        <v>45</v>
      </c>
      <c r="K811" s="46">
        <v>0</v>
      </c>
      <c r="L811">
        <v>63.2</v>
      </c>
      <c r="M811" t="s">
        <v>48</v>
      </c>
      <c r="N811" s="46">
        <v>1</v>
      </c>
      <c r="O811" s="46">
        <v>0</v>
      </c>
      <c r="P811" s="46">
        <v>0</v>
      </c>
      <c r="Q811" t="s">
        <v>48</v>
      </c>
      <c r="R811" t="s">
        <v>48</v>
      </c>
      <c r="S811" t="s">
        <v>4463</v>
      </c>
      <c r="T811" t="s">
        <v>48</v>
      </c>
      <c r="U811" t="s">
        <v>4463</v>
      </c>
      <c r="V811" s="47">
        <v>0</v>
      </c>
      <c r="W811" t="s">
        <v>48</v>
      </c>
      <c r="X811" t="s">
        <v>48</v>
      </c>
      <c r="Y811" t="s">
        <v>48</v>
      </c>
      <c r="Z811" t="s">
        <v>48</v>
      </c>
      <c r="AA811" t="s">
        <v>48</v>
      </c>
      <c r="AB811" t="s">
        <v>48</v>
      </c>
      <c r="AC811" t="s">
        <v>49</v>
      </c>
      <c r="AD811" t="s">
        <v>93</v>
      </c>
      <c r="AE811" t="s">
        <v>2471</v>
      </c>
      <c r="AF811" t="s">
        <v>48</v>
      </c>
      <c r="AG811" t="s">
        <v>48</v>
      </c>
      <c r="AH811" t="s">
        <v>48</v>
      </c>
      <c r="AI811" t="s">
        <v>48</v>
      </c>
      <c r="AJ811" t="s">
        <v>48</v>
      </c>
      <c r="AK811" t="s">
        <v>48</v>
      </c>
      <c r="AL811" t="s">
        <v>48</v>
      </c>
      <c r="AM811" t="s">
        <v>48</v>
      </c>
      <c r="AN811" t="s">
        <v>48</v>
      </c>
      <c r="AO811" t="s">
        <v>48</v>
      </c>
      <c r="AP811" s="46">
        <v>0</v>
      </c>
      <c r="AQ811" s="46">
        <v>0</v>
      </c>
      <c r="AR811" s="46">
        <v>0</v>
      </c>
      <c r="AS811" s="46">
        <v>0</v>
      </c>
      <c r="AT811" s="46">
        <v>0</v>
      </c>
      <c r="AU811" s="46">
        <v>0</v>
      </c>
      <c r="AV811" s="46">
        <v>0</v>
      </c>
      <c r="AW811" s="46">
        <v>0</v>
      </c>
      <c r="AX811" s="46">
        <v>0</v>
      </c>
      <c r="AY811" s="46">
        <v>0</v>
      </c>
      <c r="AZ811" s="46">
        <v>0</v>
      </c>
      <c r="BA811" s="46">
        <v>0</v>
      </c>
      <c r="BB811" s="46">
        <v>0</v>
      </c>
      <c r="BC811" s="46">
        <v>0</v>
      </c>
      <c r="BD811" s="46">
        <v>0</v>
      </c>
      <c r="BE811" s="46">
        <v>0</v>
      </c>
      <c r="BF811" s="46">
        <v>0</v>
      </c>
      <c r="BG811" s="46" t="s">
        <v>48</v>
      </c>
      <c r="BH811" s="46">
        <v>0</v>
      </c>
      <c r="BI811" s="46">
        <v>0</v>
      </c>
      <c r="BJ811" s="46">
        <v>0</v>
      </c>
      <c r="BK811" s="46">
        <v>0</v>
      </c>
      <c r="BL811" s="46">
        <v>0</v>
      </c>
      <c r="BM811" s="46">
        <v>0</v>
      </c>
      <c r="BN811" s="46">
        <v>0</v>
      </c>
    </row>
    <row r="812" spans="1:66" x14ac:dyDescent="0.35">
      <c r="A812" t="s">
        <v>4289</v>
      </c>
      <c r="B812" s="44" t="s">
        <v>48</v>
      </c>
      <c r="C812" t="s">
        <v>80</v>
      </c>
      <c r="D812" t="s">
        <v>4283</v>
      </c>
      <c r="E812" t="s">
        <v>4290</v>
      </c>
      <c r="F812" t="s">
        <v>150</v>
      </c>
      <c r="G812" t="s">
        <v>47</v>
      </c>
      <c r="H812">
        <v>0</v>
      </c>
      <c r="I812" s="60" t="s">
        <v>149</v>
      </c>
      <c r="J812" s="33" t="s">
        <v>45</v>
      </c>
      <c r="K812" s="46">
        <v>0</v>
      </c>
      <c r="L812">
        <v>31.4</v>
      </c>
      <c r="M812" t="s">
        <v>48</v>
      </c>
      <c r="N812" s="46">
        <v>1</v>
      </c>
      <c r="O812" s="46">
        <v>0</v>
      </c>
      <c r="P812" s="46">
        <v>0</v>
      </c>
      <c r="Q812" t="s">
        <v>48</v>
      </c>
      <c r="R812" t="s">
        <v>48</v>
      </c>
      <c r="S812" t="s">
        <v>4291</v>
      </c>
      <c r="T812" t="s">
        <v>48</v>
      </c>
      <c r="U812" t="s">
        <v>4291</v>
      </c>
      <c r="V812" s="47">
        <v>1</v>
      </c>
      <c r="W812" t="s">
        <v>48</v>
      </c>
      <c r="X812" t="s">
        <v>48</v>
      </c>
      <c r="Y812" t="s">
        <v>48</v>
      </c>
      <c r="Z812">
        <v>0</v>
      </c>
      <c r="AA812" t="s">
        <v>48</v>
      </c>
      <c r="AB812" t="s">
        <v>48</v>
      </c>
      <c r="AC812" t="s">
        <v>63</v>
      </c>
      <c r="AD812" t="s">
        <v>93</v>
      </c>
      <c r="AE812" t="s">
        <v>4532</v>
      </c>
      <c r="AF812" t="s">
        <v>48</v>
      </c>
      <c r="AG812" t="s">
        <v>48</v>
      </c>
      <c r="AH812" t="s">
        <v>48</v>
      </c>
      <c r="AI812" t="s">
        <v>48</v>
      </c>
      <c r="AJ812" t="s">
        <v>48</v>
      </c>
      <c r="AK812" t="s">
        <v>48</v>
      </c>
      <c r="AL812" t="s">
        <v>48</v>
      </c>
      <c r="AM812" t="s">
        <v>48</v>
      </c>
      <c r="AN812" t="s">
        <v>48</v>
      </c>
      <c r="AO812" t="s">
        <v>48</v>
      </c>
      <c r="AP812" s="46">
        <v>0</v>
      </c>
      <c r="AQ812" s="46">
        <v>0</v>
      </c>
      <c r="AR812" s="46">
        <v>0</v>
      </c>
      <c r="AS812" s="46">
        <v>0</v>
      </c>
      <c r="AT812" s="46">
        <v>0</v>
      </c>
      <c r="AU812" s="46">
        <v>0</v>
      </c>
      <c r="AV812" s="46">
        <v>0</v>
      </c>
      <c r="AW812" s="46">
        <v>0</v>
      </c>
      <c r="AX812" s="46">
        <v>0</v>
      </c>
      <c r="AY812" s="46">
        <v>0</v>
      </c>
      <c r="AZ812" s="46">
        <v>0</v>
      </c>
      <c r="BA812" s="46">
        <v>0</v>
      </c>
      <c r="BB812" s="46">
        <v>0</v>
      </c>
      <c r="BC812" s="46">
        <v>0</v>
      </c>
      <c r="BD812" s="46">
        <v>0</v>
      </c>
      <c r="BE812" s="46">
        <v>0</v>
      </c>
      <c r="BF812" s="46">
        <v>0</v>
      </c>
      <c r="BG812" s="46">
        <v>1</v>
      </c>
      <c r="BH812" s="46">
        <v>0</v>
      </c>
      <c r="BI812" s="46">
        <v>0</v>
      </c>
      <c r="BJ812" s="46">
        <v>0</v>
      </c>
      <c r="BK812" s="46">
        <v>0</v>
      </c>
      <c r="BL812" s="46">
        <v>0</v>
      </c>
      <c r="BM812" s="46">
        <v>0</v>
      </c>
      <c r="BN812" s="46">
        <v>0</v>
      </c>
    </row>
    <row r="813" spans="1:66" x14ac:dyDescent="0.35">
      <c r="A813" t="s">
        <v>4359</v>
      </c>
      <c r="B813" s="44" t="s">
        <v>48</v>
      </c>
      <c r="C813" t="s">
        <v>4360</v>
      </c>
      <c r="D813" t="s">
        <v>2041</v>
      </c>
      <c r="E813" t="s">
        <v>9556</v>
      </c>
      <c r="F813" t="s">
        <v>4275</v>
      </c>
      <c r="G813" t="s">
        <v>47</v>
      </c>
      <c r="H813">
        <v>0</v>
      </c>
      <c r="I813" s="61">
        <v>44753</v>
      </c>
      <c r="J813" s="33" t="s">
        <v>45</v>
      </c>
      <c r="K813" s="46">
        <v>0</v>
      </c>
      <c r="L813">
        <v>55.2</v>
      </c>
      <c r="M813" t="s">
        <v>48</v>
      </c>
      <c r="N813" s="46">
        <v>1</v>
      </c>
      <c r="O813" s="46">
        <v>0</v>
      </c>
      <c r="P813" s="46">
        <v>0</v>
      </c>
      <c r="Q813" t="s">
        <v>48</v>
      </c>
      <c r="R813" t="s">
        <v>48</v>
      </c>
      <c r="S813" t="s">
        <v>10279</v>
      </c>
      <c r="T813" t="s">
        <v>48</v>
      </c>
      <c r="U813" t="s">
        <v>10279</v>
      </c>
      <c r="V813" s="47">
        <v>0</v>
      </c>
      <c r="W813" t="s">
        <v>48</v>
      </c>
      <c r="X813" t="s">
        <v>48</v>
      </c>
      <c r="Y813" t="s">
        <v>48</v>
      </c>
      <c r="Z813">
        <v>0</v>
      </c>
      <c r="AA813" t="s">
        <v>48</v>
      </c>
      <c r="AB813" t="s">
        <v>48</v>
      </c>
      <c r="AC813" t="s">
        <v>63</v>
      </c>
      <c r="AD813" t="s">
        <v>48</v>
      </c>
      <c r="AE813" t="s">
        <v>48</v>
      </c>
      <c r="AF813" t="s">
        <v>48</v>
      </c>
      <c r="AG813" t="s">
        <v>48</v>
      </c>
      <c r="AH813" t="s">
        <v>48</v>
      </c>
      <c r="AI813" t="s">
        <v>48</v>
      </c>
      <c r="AJ813" t="s">
        <v>48</v>
      </c>
      <c r="AK813" t="s">
        <v>48</v>
      </c>
      <c r="AL813" t="s">
        <v>48</v>
      </c>
      <c r="AM813" t="s">
        <v>48</v>
      </c>
      <c r="AN813" t="s">
        <v>48</v>
      </c>
      <c r="AO813" t="s">
        <v>48</v>
      </c>
      <c r="AP813" s="46">
        <v>0</v>
      </c>
      <c r="AQ813" s="46">
        <v>0</v>
      </c>
      <c r="AR813" s="46">
        <v>0</v>
      </c>
      <c r="AS813" s="46">
        <v>0</v>
      </c>
      <c r="AT813" s="46">
        <v>0</v>
      </c>
      <c r="AU813" s="46">
        <v>0</v>
      </c>
      <c r="AV813" s="46">
        <v>0</v>
      </c>
      <c r="AW813" s="46">
        <v>0</v>
      </c>
      <c r="AX813" s="46">
        <v>0</v>
      </c>
      <c r="AY813" s="46">
        <v>0</v>
      </c>
      <c r="AZ813" s="46">
        <v>0</v>
      </c>
      <c r="BA813" s="46">
        <v>0</v>
      </c>
      <c r="BB813" s="46">
        <v>0</v>
      </c>
      <c r="BC813" s="46">
        <v>0</v>
      </c>
      <c r="BD813" s="46">
        <v>0</v>
      </c>
      <c r="BE813" s="46">
        <v>0</v>
      </c>
      <c r="BF813" s="46">
        <v>0</v>
      </c>
      <c r="BG813" s="46" t="s">
        <v>48</v>
      </c>
      <c r="BH813" s="46">
        <v>0</v>
      </c>
      <c r="BI813" s="46">
        <v>0</v>
      </c>
      <c r="BJ813" s="46">
        <v>0</v>
      </c>
      <c r="BK813" s="46">
        <v>0</v>
      </c>
      <c r="BL813" s="46">
        <v>0</v>
      </c>
      <c r="BM813" s="46">
        <v>0</v>
      </c>
      <c r="BN813" s="46">
        <v>0</v>
      </c>
    </row>
    <row r="814" spans="1:66" x14ac:dyDescent="0.35">
      <c r="A814" t="s">
        <v>4464</v>
      </c>
      <c r="B814" t="s">
        <v>48</v>
      </c>
      <c r="C814" t="s">
        <v>4144</v>
      </c>
      <c r="D814" t="s">
        <v>1720</v>
      </c>
      <c r="E814" t="s">
        <v>4465</v>
      </c>
      <c r="F814" t="s">
        <v>4275</v>
      </c>
      <c r="G814" t="s">
        <v>74</v>
      </c>
      <c r="H814">
        <v>0</v>
      </c>
      <c r="I814" s="60" t="s">
        <v>51</v>
      </c>
      <c r="J814" s="33" t="s">
        <v>45</v>
      </c>
      <c r="K814" s="46">
        <v>1</v>
      </c>
      <c r="L814">
        <v>100</v>
      </c>
      <c r="M814" t="s">
        <v>48</v>
      </c>
      <c r="N814" s="46">
        <v>1</v>
      </c>
      <c r="O814" s="46">
        <v>0</v>
      </c>
      <c r="P814" s="46">
        <v>0</v>
      </c>
      <c r="Q814" t="s">
        <v>48</v>
      </c>
      <c r="R814" t="s">
        <v>48</v>
      </c>
      <c r="S814" t="s">
        <v>4466</v>
      </c>
      <c r="T814" t="s">
        <v>4467</v>
      </c>
      <c r="U814" t="s">
        <v>4466</v>
      </c>
      <c r="V814" s="47">
        <v>0</v>
      </c>
      <c r="W814" t="s">
        <v>48</v>
      </c>
      <c r="X814" t="s">
        <v>48</v>
      </c>
      <c r="Y814" t="s">
        <v>48</v>
      </c>
      <c r="Z814">
        <v>1</v>
      </c>
      <c r="AA814" t="s">
        <v>48</v>
      </c>
      <c r="AB814">
        <v>2020</v>
      </c>
      <c r="AC814" t="s">
        <v>63</v>
      </c>
      <c r="AD814" t="s">
        <v>93</v>
      </c>
      <c r="AE814" t="s">
        <v>4532</v>
      </c>
      <c r="AF814" t="s">
        <v>48</v>
      </c>
      <c r="AG814" t="s">
        <v>48</v>
      </c>
      <c r="AH814" t="s">
        <v>93</v>
      </c>
      <c r="AI814">
        <v>22149</v>
      </c>
      <c r="AJ814">
        <v>1963</v>
      </c>
      <c r="AK814" t="s">
        <v>9058</v>
      </c>
      <c r="AL814" t="s">
        <v>9059</v>
      </c>
      <c r="AM814">
        <v>-0.38600000000000001</v>
      </c>
      <c r="AN814">
        <v>0.25700000000000001</v>
      </c>
      <c r="AO814">
        <v>-0.38600000000000001</v>
      </c>
      <c r="AP814" s="46">
        <v>0</v>
      </c>
      <c r="AQ814" s="46">
        <v>0</v>
      </c>
      <c r="AR814" s="46">
        <v>0</v>
      </c>
      <c r="AS814" s="46">
        <v>0</v>
      </c>
      <c r="AT814" s="46">
        <v>0</v>
      </c>
      <c r="AU814" s="46">
        <v>1</v>
      </c>
      <c r="AV814" s="46">
        <v>0</v>
      </c>
      <c r="AW814" s="46">
        <v>0</v>
      </c>
      <c r="AX814" s="46">
        <v>0</v>
      </c>
      <c r="AY814" s="46">
        <v>0</v>
      </c>
      <c r="AZ814" s="46">
        <v>0</v>
      </c>
      <c r="BA814" s="46">
        <v>0</v>
      </c>
      <c r="BB814" s="46">
        <v>0</v>
      </c>
      <c r="BC814" s="46">
        <v>0</v>
      </c>
      <c r="BD814" s="46">
        <v>0</v>
      </c>
      <c r="BE814" s="46">
        <v>0</v>
      </c>
      <c r="BF814" s="46">
        <v>0</v>
      </c>
      <c r="BG814" s="46" t="s">
        <v>48</v>
      </c>
      <c r="BH814" s="46">
        <v>0</v>
      </c>
      <c r="BI814" s="46">
        <v>0</v>
      </c>
      <c r="BJ814" s="46">
        <v>0</v>
      </c>
      <c r="BK814" s="46">
        <v>0</v>
      </c>
      <c r="BL814" s="46">
        <v>0</v>
      </c>
      <c r="BM814" s="46">
        <v>0</v>
      </c>
      <c r="BN814" s="46">
        <v>0</v>
      </c>
    </row>
    <row r="815" spans="1:66" x14ac:dyDescent="0.35">
      <c r="A815" t="s">
        <v>4471</v>
      </c>
      <c r="B815" s="44" t="s">
        <v>48</v>
      </c>
      <c r="C815" t="s">
        <v>4473</v>
      </c>
      <c r="D815" t="s">
        <v>1033</v>
      </c>
      <c r="E815" t="s">
        <v>4472</v>
      </c>
      <c r="F815" t="s">
        <v>4296</v>
      </c>
      <c r="G815" t="s">
        <v>74</v>
      </c>
      <c r="H815">
        <v>0</v>
      </c>
      <c r="I815" s="60" t="s">
        <v>51</v>
      </c>
      <c r="J815" s="33" t="s">
        <v>45</v>
      </c>
      <c r="K815" s="46">
        <v>0</v>
      </c>
      <c r="L815">
        <v>80.400000000000006</v>
      </c>
      <c r="M815" t="s">
        <v>48</v>
      </c>
      <c r="N815" s="46">
        <v>1</v>
      </c>
      <c r="O815" s="46">
        <v>0</v>
      </c>
      <c r="P815" s="46">
        <v>0</v>
      </c>
      <c r="Q815" t="s">
        <v>48</v>
      </c>
      <c r="R815" t="s">
        <v>48</v>
      </c>
      <c r="S815" t="s">
        <v>10280</v>
      </c>
      <c r="T815" t="s">
        <v>48</v>
      </c>
      <c r="U815" t="s">
        <v>10280</v>
      </c>
      <c r="V815" s="47">
        <v>0</v>
      </c>
      <c r="W815" t="s">
        <v>48</v>
      </c>
      <c r="X815" t="s">
        <v>48</v>
      </c>
      <c r="Y815" t="s">
        <v>48</v>
      </c>
      <c r="Z815">
        <v>0</v>
      </c>
      <c r="AA815" t="s">
        <v>48</v>
      </c>
      <c r="AB815" t="s">
        <v>48</v>
      </c>
      <c r="AC815" t="s">
        <v>63</v>
      </c>
      <c r="AD815" t="s">
        <v>93</v>
      </c>
      <c r="AE815" s="40" t="s">
        <v>2471</v>
      </c>
      <c r="AF815" t="s">
        <v>11061</v>
      </c>
      <c r="AG815" t="s">
        <v>48</v>
      </c>
      <c r="AH815" t="s">
        <v>48</v>
      </c>
      <c r="AI815" t="s">
        <v>48</v>
      </c>
      <c r="AJ815" t="s">
        <v>48</v>
      </c>
      <c r="AK815" t="s">
        <v>48</v>
      </c>
      <c r="AL815" t="s">
        <v>48</v>
      </c>
      <c r="AM815" t="s">
        <v>48</v>
      </c>
      <c r="AN815" t="s">
        <v>48</v>
      </c>
      <c r="AO815" t="s">
        <v>48</v>
      </c>
      <c r="AP815" s="46">
        <v>0</v>
      </c>
      <c r="AQ815" s="46">
        <v>0</v>
      </c>
      <c r="AR815" s="46">
        <v>0</v>
      </c>
      <c r="AS815" s="46">
        <v>0</v>
      </c>
      <c r="AT815" s="46">
        <v>0</v>
      </c>
      <c r="AU815" s="46">
        <v>0</v>
      </c>
      <c r="AV815" s="46">
        <v>0</v>
      </c>
      <c r="AW815" s="46">
        <v>0</v>
      </c>
      <c r="AX815" s="46">
        <v>0</v>
      </c>
      <c r="AY815" s="46">
        <v>0</v>
      </c>
      <c r="AZ815" s="46">
        <v>0</v>
      </c>
      <c r="BA815" s="46">
        <v>0</v>
      </c>
      <c r="BB815" s="46">
        <v>0</v>
      </c>
      <c r="BC815" s="46">
        <v>0</v>
      </c>
      <c r="BD815" s="46">
        <v>0</v>
      </c>
      <c r="BE815" s="46">
        <v>0</v>
      </c>
      <c r="BF815" s="46">
        <v>0</v>
      </c>
      <c r="BG815" s="46" t="s">
        <v>48</v>
      </c>
      <c r="BH815" s="46">
        <v>0</v>
      </c>
      <c r="BI815" s="46">
        <v>0</v>
      </c>
      <c r="BJ815" s="46">
        <v>0</v>
      </c>
      <c r="BK815" s="46">
        <v>0</v>
      </c>
      <c r="BL815" s="46">
        <v>0</v>
      </c>
      <c r="BM815" s="46">
        <v>0</v>
      </c>
      <c r="BN815" s="46">
        <v>0</v>
      </c>
    </row>
    <row r="816" spans="1:66" x14ac:dyDescent="0.35">
      <c r="A816" t="s">
        <v>4300</v>
      </c>
      <c r="B816" s="44" t="s">
        <v>48</v>
      </c>
      <c r="C816" t="s">
        <v>1240</v>
      </c>
      <c r="D816" t="s">
        <v>729</v>
      </c>
      <c r="E816" t="s">
        <v>4301</v>
      </c>
      <c r="F816" t="s">
        <v>4296</v>
      </c>
      <c r="G816" t="s">
        <v>47</v>
      </c>
      <c r="H816">
        <v>0</v>
      </c>
      <c r="I816" s="60" t="s">
        <v>51</v>
      </c>
      <c r="J816" s="33" t="s">
        <v>45</v>
      </c>
      <c r="K816" s="46">
        <v>1</v>
      </c>
      <c r="L816">
        <v>75.7</v>
      </c>
      <c r="M816" t="s">
        <v>48</v>
      </c>
      <c r="N816" s="46">
        <v>1</v>
      </c>
      <c r="O816" s="46">
        <v>0</v>
      </c>
      <c r="P816" s="46">
        <v>0</v>
      </c>
      <c r="Q816" t="s">
        <v>48</v>
      </c>
      <c r="R816" t="s">
        <v>48</v>
      </c>
      <c r="S816" t="s">
        <v>4302</v>
      </c>
      <c r="T816" t="s">
        <v>4303</v>
      </c>
      <c r="U816" t="s">
        <v>4302</v>
      </c>
      <c r="V816" s="47">
        <v>0</v>
      </c>
      <c r="W816" t="s">
        <v>48</v>
      </c>
      <c r="X816" t="s">
        <v>48</v>
      </c>
      <c r="Y816" t="s">
        <v>48</v>
      </c>
      <c r="Z816">
        <v>0</v>
      </c>
      <c r="AA816" t="s">
        <v>48</v>
      </c>
      <c r="AB816" t="s">
        <v>4304</v>
      </c>
      <c r="AC816" t="s">
        <v>49</v>
      </c>
      <c r="AD816" t="s">
        <v>93</v>
      </c>
      <c r="AE816" t="s">
        <v>4532</v>
      </c>
      <c r="AF816" t="s">
        <v>48</v>
      </c>
      <c r="AG816" t="s">
        <v>266</v>
      </c>
      <c r="AH816" t="s">
        <v>93</v>
      </c>
      <c r="AI816">
        <v>21987</v>
      </c>
      <c r="AJ816">
        <v>1963</v>
      </c>
      <c r="AK816" t="s">
        <v>9060</v>
      </c>
      <c r="AL816" t="s">
        <v>9061</v>
      </c>
      <c r="AM816">
        <v>0.48699999999999999</v>
      </c>
      <c r="AN816">
        <v>6.0000000000000001E-3</v>
      </c>
      <c r="AO816">
        <v>0.48699999999999999</v>
      </c>
      <c r="AP816" s="46">
        <v>0</v>
      </c>
      <c r="AQ816" s="46">
        <v>0</v>
      </c>
      <c r="AR816" s="46">
        <v>0</v>
      </c>
      <c r="AS816" s="46">
        <v>0</v>
      </c>
      <c r="AT816" s="46">
        <v>0</v>
      </c>
      <c r="AU816" s="46">
        <v>0</v>
      </c>
      <c r="AV816" s="46">
        <v>0</v>
      </c>
      <c r="AW816" s="46">
        <v>0</v>
      </c>
      <c r="AX816" s="46">
        <v>0</v>
      </c>
      <c r="AY816" s="46">
        <v>0</v>
      </c>
      <c r="AZ816" s="46">
        <v>0</v>
      </c>
      <c r="BA816" s="46">
        <v>0</v>
      </c>
      <c r="BB816" s="46">
        <v>1</v>
      </c>
      <c r="BC816" s="46">
        <v>0</v>
      </c>
      <c r="BD816" s="46">
        <v>0</v>
      </c>
      <c r="BE816" s="46">
        <v>0</v>
      </c>
      <c r="BF816" s="46">
        <v>0</v>
      </c>
      <c r="BG816" s="46">
        <v>1</v>
      </c>
      <c r="BH816" s="46">
        <v>0</v>
      </c>
      <c r="BI816" s="46">
        <v>0</v>
      </c>
      <c r="BJ816" s="46">
        <v>0</v>
      </c>
      <c r="BK816" s="46">
        <v>0</v>
      </c>
      <c r="BL816" s="46">
        <v>0</v>
      </c>
      <c r="BM816" s="46">
        <v>0</v>
      </c>
      <c r="BN816" s="46">
        <v>0</v>
      </c>
    </row>
    <row r="817" spans="1:66" x14ac:dyDescent="0.35">
      <c r="A817" t="s">
        <v>4396</v>
      </c>
      <c r="B817" s="44" t="s">
        <v>48</v>
      </c>
      <c r="C817" t="s">
        <v>4397</v>
      </c>
      <c r="D817" t="s">
        <v>1747</v>
      </c>
      <c r="E817" t="s">
        <v>9563</v>
      </c>
      <c r="F817" t="s">
        <v>4306</v>
      </c>
      <c r="G817" t="s">
        <v>47</v>
      </c>
      <c r="H817">
        <v>0</v>
      </c>
      <c r="I817" s="61">
        <v>44753</v>
      </c>
      <c r="J817" s="33" t="s">
        <v>45</v>
      </c>
      <c r="K817" s="46">
        <v>0</v>
      </c>
      <c r="L817">
        <v>64.5</v>
      </c>
      <c r="M817" t="s">
        <v>48</v>
      </c>
      <c r="N817" s="46">
        <v>1</v>
      </c>
      <c r="O817" s="46">
        <v>0</v>
      </c>
      <c r="P817" s="46">
        <v>0</v>
      </c>
      <c r="Q817" t="s">
        <v>48</v>
      </c>
      <c r="R817" t="s">
        <v>48</v>
      </c>
      <c r="S817" t="s">
        <v>10285</v>
      </c>
      <c r="T817" t="s">
        <v>48</v>
      </c>
      <c r="U817" t="s">
        <v>10285</v>
      </c>
      <c r="V817" s="47">
        <v>0</v>
      </c>
      <c r="W817" t="s">
        <v>48</v>
      </c>
      <c r="X817" t="s">
        <v>48</v>
      </c>
      <c r="Y817" t="s">
        <v>48</v>
      </c>
      <c r="Z817">
        <v>0</v>
      </c>
      <c r="AA817" t="s">
        <v>48</v>
      </c>
      <c r="AB817" t="s">
        <v>48</v>
      </c>
      <c r="AC817" t="s">
        <v>63</v>
      </c>
      <c r="AD817" t="s">
        <v>93</v>
      </c>
      <c r="AE817" t="s">
        <v>4532</v>
      </c>
      <c r="AF817" t="s">
        <v>48</v>
      </c>
      <c r="AG817" t="s">
        <v>48</v>
      </c>
      <c r="AH817" t="s">
        <v>48</v>
      </c>
      <c r="AI817" t="s">
        <v>48</v>
      </c>
      <c r="AJ817" t="s">
        <v>48</v>
      </c>
      <c r="AK817" t="s">
        <v>48</v>
      </c>
      <c r="AL817" t="s">
        <v>48</v>
      </c>
      <c r="AM817" t="s">
        <v>48</v>
      </c>
      <c r="AN817" t="s">
        <v>48</v>
      </c>
      <c r="AO817" t="s">
        <v>48</v>
      </c>
      <c r="AP817" s="46">
        <v>0</v>
      </c>
      <c r="AQ817" s="46">
        <v>0</v>
      </c>
      <c r="AR817" s="46">
        <v>0</v>
      </c>
      <c r="AS817" s="46">
        <v>0</v>
      </c>
      <c r="AT817" s="46">
        <v>0</v>
      </c>
      <c r="AU817" s="46">
        <v>0</v>
      </c>
      <c r="AV817" s="46">
        <v>0</v>
      </c>
      <c r="AW817" s="46">
        <v>0</v>
      </c>
      <c r="AX817" s="46">
        <v>0</v>
      </c>
      <c r="AY817" s="46">
        <v>0</v>
      </c>
      <c r="AZ817" s="46">
        <v>0</v>
      </c>
      <c r="BA817" s="46">
        <v>0</v>
      </c>
      <c r="BB817" s="46">
        <v>0</v>
      </c>
      <c r="BC817" s="46">
        <v>0</v>
      </c>
      <c r="BD817" s="46">
        <v>0</v>
      </c>
      <c r="BE817" s="46">
        <v>0</v>
      </c>
      <c r="BF817" s="46">
        <v>0</v>
      </c>
      <c r="BG817" s="46">
        <v>1</v>
      </c>
      <c r="BH817" s="46">
        <v>0</v>
      </c>
      <c r="BI817" s="46">
        <v>0</v>
      </c>
      <c r="BJ817" s="46">
        <v>0</v>
      </c>
      <c r="BK817" s="46">
        <v>0</v>
      </c>
      <c r="BL817" s="46">
        <v>0</v>
      </c>
      <c r="BM817" s="46">
        <v>0</v>
      </c>
      <c r="BN817" s="46">
        <v>0</v>
      </c>
    </row>
    <row r="818" spans="1:66" x14ac:dyDescent="0.35">
      <c r="A818" t="s">
        <v>4498</v>
      </c>
      <c r="B818" s="44" t="s">
        <v>48</v>
      </c>
      <c r="C818" t="s">
        <v>4500</v>
      </c>
      <c r="D818" t="s">
        <v>3151</v>
      </c>
      <c r="E818" t="s">
        <v>9568</v>
      </c>
      <c r="F818" t="s">
        <v>4306</v>
      </c>
      <c r="G818" t="s">
        <v>74</v>
      </c>
      <c r="H818">
        <v>0</v>
      </c>
      <c r="I818" s="61">
        <v>44753</v>
      </c>
      <c r="J818" s="33" t="s">
        <v>45</v>
      </c>
      <c r="K818" s="46">
        <v>0</v>
      </c>
      <c r="L818">
        <v>46.1</v>
      </c>
      <c r="M818" t="s">
        <v>48</v>
      </c>
      <c r="N818" s="46">
        <v>1</v>
      </c>
      <c r="O818" s="46">
        <v>0</v>
      </c>
      <c r="P818" s="46">
        <v>0</v>
      </c>
      <c r="Q818" t="s">
        <v>48</v>
      </c>
      <c r="R818" t="s">
        <v>48</v>
      </c>
      <c r="S818" t="s">
        <v>4499</v>
      </c>
      <c r="T818" t="s">
        <v>48</v>
      </c>
      <c r="U818" t="s">
        <v>4499</v>
      </c>
      <c r="V818" s="47">
        <v>0</v>
      </c>
      <c r="W818" t="s">
        <v>48</v>
      </c>
      <c r="X818" t="s">
        <v>48</v>
      </c>
      <c r="Y818" t="s">
        <v>48</v>
      </c>
      <c r="Z818">
        <v>0</v>
      </c>
      <c r="AA818" t="s">
        <v>48</v>
      </c>
      <c r="AB818" t="s">
        <v>48</v>
      </c>
      <c r="AC818" t="s">
        <v>63</v>
      </c>
      <c r="AD818" t="s">
        <v>93</v>
      </c>
      <c r="AE818" s="40" t="s">
        <v>2471</v>
      </c>
      <c r="AF818" t="s">
        <v>11061</v>
      </c>
      <c r="AG818" t="s">
        <v>48</v>
      </c>
      <c r="AH818" t="s">
        <v>48</v>
      </c>
      <c r="AI818" t="s">
        <v>48</v>
      </c>
      <c r="AJ818" t="s">
        <v>48</v>
      </c>
      <c r="AK818" t="s">
        <v>48</v>
      </c>
      <c r="AL818" t="s">
        <v>48</v>
      </c>
      <c r="AM818" t="s">
        <v>48</v>
      </c>
      <c r="AN818" t="s">
        <v>48</v>
      </c>
      <c r="AO818" t="s">
        <v>48</v>
      </c>
      <c r="AP818" s="46">
        <v>0</v>
      </c>
      <c r="AQ818" s="46">
        <v>0</v>
      </c>
      <c r="AR818" s="46">
        <v>0</v>
      </c>
      <c r="AS818" s="46">
        <v>0</v>
      </c>
      <c r="AT818" s="46">
        <v>0</v>
      </c>
      <c r="AU818" s="46">
        <v>0</v>
      </c>
      <c r="AV818" s="46">
        <v>0</v>
      </c>
      <c r="AW818" s="46">
        <v>0</v>
      </c>
      <c r="AX818" s="46">
        <v>0</v>
      </c>
      <c r="AY818" s="46">
        <v>0</v>
      </c>
      <c r="AZ818" s="46">
        <v>0</v>
      </c>
      <c r="BA818" s="46">
        <v>0</v>
      </c>
      <c r="BB818" s="46">
        <v>0</v>
      </c>
      <c r="BC818" s="46">
        <v>0</v>
      </c>
      <c r="BD818" s="46">
        <v>0</v>
      </c>
      <c r="BE818" s="46">
        <v>0</v>
      </c>
      <c r="BF818" s="46">
        <v>0</v>
      </c>
      <c r="BG818" s="46" t="s">
        <v>48</v>
      </c>
      <c r="BH818" s="46">
        <v>0</v>
      </c>
      <c r="BI818" s="46">
        <v>0</v>
      </c>
      <c r="BJ818" s="46">
        <v>0</v>
      </c>
      <c r="BK818" s="46">
        <v>0</v>
      </c>
      <c r="BL818" s="46">
        <v>0</v>
      </c>
      <c r="BM818" s="46">
        <v>0</v>
      </c>
      <c r="BN818" s="46">
        <v>0</v>
      </c>
    </row>
    <row r="819" spans="1:66" x14ac:dyDescent="0.35">
      <c r="A819" t="s">
        <v>4513</v>
      </c>
      <c r="B819" s="44" t="s">
        <v>48</v>
      </c>
      <c r="C819" t="s">
        <v>4514</v>
      </c>
      <c r="D819" t="s">
        <v>1666</v>
      </c>
      <c r="E819" t="s">
        <v>9569</v>
      </c>
      <c r="F819" t="s">
        <v>4317</v>
      </c>
      <c r="G819" t="s">
        <v>74</v>
      </c>
      <c r="H819">
        <v>0</v>
      </c>
      <c r="I819" s="61">
        <v>44753</v>
      </c>
      <c r="J819" s="33" t="s">
        <v>45</v>
      </c>
      <c r="K819" s="46">
        <v>0</v>
      </c>
      <c r="L819">
        <v>100</v>
      </c>
      <c r="M819" t="s">
        <v>48</v>
      </c>
      <c r="N819" s="46">
        <v>1</v>
      </c>
      <c r="O819" s="46">
        <v>0</v>
      </c>
      <c r="P819" s="46">
        <v>0</v>
      </c>
      <c r="Q819" t="s">
        <v>48</v>
      </c>
      <c r="R819" t="s">
        <v>48</v>
      </c>
      <c r="S819" t="s">
        <v>10287</v>
      </c>
      <c r="T819" t="s">
        <v>48</v>
      </c>
      <c r="U819" t="s">
        <v>10287</v>
      </c>
      <c r="V819" s="47">
        <v>0</v>
      </c>
      <c r="W819" t="s">
        <v>48</v>
      </c>
      <c r="X819" t="s">
        <v>48</v>
      </c>
      <c r="Y819" t="s">
        <v>48</v>
      </c>
      <c r="Z819">
        <v>0</v>
      </c>
      <c r="AA819" t="s">
        <v>48</v>
      </c>
      <c r="AB819" t="s">
        <v>48</v>
      </c>
      <c r="AC819" t="s">
        <v>49</v>
      </c>
      <c r="AD819" t="s">
        <v>93</v>
      </c>
      <c r="AE819" t="s">
        <v>4532</v>
      </c>
      <c r="AF819" t="s">
        <v>48</v>
      </c>
      <c r="AG819" t="s">
        <v>48</v>
      </c>
      <c r="AH819" t="s">
        <v>48</v>
      </c>
      <c r="AI819" t="s">
        <v>48</v>
      </c>
      <c r="AJ819" t="s">
        <v>48</v>
      </c>
      <c r="AK819" t="s">
        <v>48</v>
      </c>
      <c r="AL819" t="s">
        <v>48</v>
      </c>
      <c r="AM819" t="s">
        <v>48</v>
      </c>
      <c r="AN819" t="s">
        <v>48</v>
      </c>
      <c r="AO819" t="s">
        <v>48</v>
      </c>
      <c r="AP819" s="46">
        <v>0</v>
      </c>
      <c r="AQ819" s="46">
        <v>0</v>
      </c>
      <c r="AR819" s="46">
        <v>0</v>
      </c>
      <c r="AS819" s="46">
        <v>0</v>
      </c>
      <c r="AT819" s="46">
        <v>0</v>
      </c>
      <c r="AU819" s="46">
        <v>0</v>
      </c>
      <c r="AV819" s="46">
        <v>0</v>
      </c>
      <c r="AW819" s="46">
        <v>0</v>
      </c>
      <c r="AX819" s="46">
        <v>0</v>
      </c>
      <c r="AY819" s="46">
        <v>0</v>
      </c>
      <c r="AZ819" s="46">
        <v>0</v>
      </c>
      <c r="BA819" s="46">
        <v>0</v>
      </c>
      <c r="BB819" s="46">
        <v>0</v>
      </c>
      <c r="BC819" s="46">
        <v>0</v>
      </c>
      <c r="BD819" s="46">
        <v>0</v>
      </c>
      <c r="BE819" s="46">
        <v>0</v>
      </c>
      <c r="BF819" s="46">
        <v>0</v>
      </c>
      <c r="BG819" s="46" t="s">
        <v>48</v>
      </c>
      <c r="BH819" s="46">
        <v>0</v>
      </c>
      <c r="BI819" s="46">
        <v>0</v>
      </c>
      <c r="BJ819" s="46">
        <v>0</v>
      </c>
      <c r="BK819" s="46">
        <v>0</v>
      </c>
      <c r="BL819" s="46">
        <v>0</v>
      </c>
      <c r="BM819" s="46">
        <v>0</v>
      </c>
      <c r="BN819" s="46">
        <v>0</v>
      </c>
    </row>
    <row r="820" spans="1:66" x14ac:dyDescent="0.35">
      <c r="A820" t="s">
        <v>4320</v>
      </c>
      <c r="B820" s="44" t="s">
        <v>48</v>
      </c>
      <c r="C820" t="s">
        <v>4325</v>
      </c>
      <c r="D820" t="s">
        <v>4324</v>
      </c>
      <c r="E820" t="s">
        <v>4321</v>
      </c>
      <c r="F820" t="s">
        <v>4317</v>
      </c>
      <c r="G820" t="s">
        <v>47</v>
      </c>
      <c r="H820">
        <v>0</v>
      </c>
      <c r="I820" s="60" t="s">
        <v>51</v>
      </c>
      <c r="J820" s="33" t="s">
        <v>45</v>
      </c>
      <c r="K820" s="46">
        <v>1</v>
      </c>
      <c r="L820">
        <v>76.599999999999994</v>
      </c>
      <c r="M820" t="s">
        <v>48</v>
      </c>
      <c r="N820" s="46">
        <v>1</v>
      </c>
      <c r="O820" s="46">
        <v>0</v>
      </c>
      <c r="P820" s="46">
        <v>0</v>
      </c>
      <c r="Q820" t="s">
        <v>48</v>
      </c>
      <c r="R820" t="s">
        <v>48</v>
      </c>
      <c r="S820" t="s">
        <v>4322</v>
      </c>
      <c r="T820" t="s">
        <v>4323</v>
      </c>
      <c r="U820" t="s">
        <v>4322</v>
      </c>
      <c r="V820" s="47">
        <v>0</v>
      </c>
      <c r="W820" t="s">
        <v>48</v>
      </c>
      <c r="X820" t="s">
        <v>48</v>
      </c>
      <c r="Y820" t="s">
        <v>48</v>
      </c>
      <c r="Z820">
        <v>0</v>
      </c>
      <c r="AA820" t="s">
        <v>48</v>
      </c>
      <c r="AB820">
        <v>2004</v>
      </c>
      <c r="AC820" t="s">
        <v>63</v>
      </c>
      <c r="AD820" t="s">
        <v>93</v>
      </c>
      <c r="AE820" t="s">
        <v>4532</v>
      </c>
      <c r="AF820" t="s">
        <v>48</v>
      </c>
      <c r="AG820" t="s">
        <v>140</v>
      </c>
      <c r="AH820" t="s">
        <v>93</v>
      </c>
      <c r="AI820">
        <v>20521</v>
      </c>
      <c r="AJ820">
        <v>1943</v>
      </c>
      <c r="AK820" t="s">
        <v>9062</v>
      </c>
      <c r="AL820" t="s">
        <v>9063</v>
      </c>
      <c r="AM820">
        <v>0.627</v>
      </c>
      <c r="AN820">
        <v>0.14299999999999999</v>
      </c>
      <c r="AO820">
        <v>0.627</v>
      </c>
      <c r="AP820" s="46">
        <v>0</v>
      </c>
      <c r="AQ820" s="46">
        <v>0</v>
      </c>
      <c r="AR820" s="46">
        <v>0</v>
      </c>
      <c r="AS820" s="46">
        <v>0</v>
      </c>
      <c r="AT820" s="46">
        <v>0</v>
      </c>
      <c r="AU820" s="46">
        <v>0</v>
      </c>
      <c r="AV820" s="46">
        <v>0</v>
      </c>
      <c r="AW820" s="46">
        <v>0</v>
      </c>
      <c r="AX820" s="46">
        <v>0</v>
      </c>
      <c r="AY820" s="46">
        <v>0</v>
      </c>
      <c r="AZ820" s="46">
        <v>0</v>
      </c>
      <c r="BA820" s="46">
        <v>0</v>
      </c>
      <c r="BB820" s="46">
        <v>1</v>
      </c>
      <c r="BC820" s="46">
        <v>0</v>
      </c>
      <c r="BD820" s="46">
        <v>0</v>
      </c>
      <c r="BE820" s="46">
        <v>0</v>
      </c>
      <c r="BF820" s="46">
        <v>0</v>
      </c>
      <c r="BG820" s="46">
        <v>1</v>
      </c>
      <c r="BH820" s="46">
        <v>0</v>
      </c>
      <c r="BI820" s="46">
        <v>0</v>
      </c>
      <c r="BJ820" s="46">
        <v>0</v>
      </c>
      <c r="BK820" s="46">
        <v>0</v>
      </c>
      <c r="BL820" s="46">
        <v>0</v>
      </c>
      <c r="BM820" s="46">
        <v>0</v>
      </c>
      <c r="BN820" s="46">
        <v>1</v>
      </c>
    </row>
    <row r="821" spans="1:66" x14ac:dyDescent="0.35">
      <c r="A821" t="s">
        <v>4343</v>
      </c>
      <c r="B821" s="44" t="s">
        <v>48</v>
      </c>
      <c r="C821" t="s">
        <v>4344</v>
      </c>
      <c r="D821" t="s">
        <v>266</v>
      </c>
      <c r="E821" t="s">
        <v>9570</v>
      </c>
      <c r="F821" t="s">
        <v>4327</v>
      </c>
      <c r="G821" t="s">
        <v>47</v>
      </c>
      <c r="H821">
        <v>0</v>
      </c>
      <c r="I821" s="61">
        <v>44753</v>
      </c>
      <c r="J821" s="33" t="s">
        <v>45</v>
      </c>
      <c r="K821" s="46">
        <v>0</v>
      </c>
      <c r="L821">
        <v>36.200000000000003</v>
      </c>
      <c r="M821" t="s">
        <v>48</v>
      </c>
      <c r="N821" s="46">
        <v>1</v>
      </c>
      <c r="O821" s="46">
        <v>0</v>
      </c>
      <c r="P821" s="46">
        <v>0</v>
      </c>
      <c r="Q821" t="s">
        <v>48</v>
      </c>
      <c r="R821" t="s">
        <v>48</v>
      </c>
      <c r="S821" t="s">
        <v>10289</v>
      </c>
      <c r="T821" t="s">
        <v>48</v>
      </c>
      <c r="U821" t="s">
        <v>10289</v>
      </c>
      <c r="V821" s="47">
        <v>0</v>
      </c>
      <c r="W821" t="s">
        <v>48</v>
      </c>
      <c r="X821" t="s">
        <v>48</v>
      </c>
      <c r="Y821" t="s">
        <v>48</v>
      </c>
      <c r="Z821">
        <v>0</v>
      </c>
      <c r="AA821" t="s">
        <v>48</v>
      </c>
      <c r="AB821" t="s">
        <v>48</v>
      </c>
      <c r="AC821" t="s">
        <v>49</v>
      </c>
      <c r="AD821" t="s">
        <v>93</v>
      </c>
      <c r="AE821" t="s">
        <v>4532</v>
      </c>
      <c r="AF821" t="s">
        <v>48</v>
      </c>
      <c r="AG821" t="s">
        <v>48</v>
      </c>
      <c r="AH821" t="s">
        <v>48</v>
      </c>
      <c r="AI821" t="s">
        <v>48</v>
      </c>
      <c r="AJ821" t="s">
        <v>48</v>
      </c>
      <c r="AK821" t="s">
        <v>48</v>
      </c>
      <c r="AL821" t="s">
        <v>48</v>
      </c>
      <c r="AM821" t="s">
        <v>48</v>
      </c>
      <c r="AN821" t="s">
        <v>48</v>
      </c>
      <c r="AO821" t="s">
        <v>48</v>
      </c>
      <c r="AP821" s="46">
        <v>0</v>
      </c>
      <c r="AQ821" s="46">
        <v>0</v>
      </c>
      <c r="AR821" s="46">
        <v>0</v>
      </c>
      <c r="AS821" s="46">
        <v>0</v>
      </c>
      <c r="AT821" s="46">
        <v>0</v>
      </c>
      <c r="AU821" s="46">
        <v>0</v>
      </c>
      <c r="AV821" s="46">
        <v>0</v>
      </c>
      <c r="AW821" s="46">
        <v>0</v>
      </c>
      <c r="AX821" s="46">
        <v>0</v>
      </c>
      <c r="AY821" s="46">
        <v>0</v>
      </c>
      <c r="AZ821" s="46">
        <v>0</v>
      </c>
      <c r="BA821" s="46">
        <v>0</v>
      </c>
      <c r="BB821" s="46">
        <v>0</v>
      </c>
      <c r="BC821" s="46">
        <v>0</v>
      </c>
      <c r="BD821" s="46">
        <v>0</v>
      </c>
      <c r="BE821" s="46">
        <v>0</v>
      </c>
      <c r="BF821" s="46">
        <v>0</v>
      </c>
      <c r="BG821" s="46" t="s">
        <v>48</v>
      </c>
      <c r="BH821" s="46">
        <v>0</v>
      </c>
      <c r="BI821" s="46">
        <v>0</v>
      </c>
      <c r="BJ821" s="46">
        <v>0</v>
      </c>
      <c r="BK821" s="46">
        <v>0</v>
      </c>
      <c r="BL821" s="46">
        <v>0</v>
      </c>
      <c r="BM821" s="46">
        <v>0</v>
      </c>
      <c r="BN821" s="46">
        <v>0</v>
      </c>
    </row>
    <row r="822" spans="1:66" x14ac:dyDescent="0.35">
      <c r="A822" t="s">
        <v>4501</v>
      </c>
      <c r="B822" t="s">
        <v>48</v>
      </c>
      <c r="C822" t="s">
        <v>4505</v>
      </c>
      <c r="D822" t="s">
        <v>456</v>
      </c>
      <c r="E822" t="s">
        <v>4502</v>
      </c>
      <c r="F822" t="s">
        <v>4327</v>
      </c>
      <c r="G822" t="s">
        <v>74</v>
      </c>
      <c r="H822">
        <v>0</v>
      </c>
      <c r="I822" s="60" t="s">
        <v>51</v>
      </c>
      <c r="J822" s="33" t="s">
        <v>45</v>
      </c>
      <c r="K822" s="46">
        <v>1</v>
      </c>
      <c r="L822">
        <v>100</v>
      </c>
      <c r="M822" t="s">
        <v>48</v>
      </c>
      <c r="N822" s="46">
        <v>1</v>
      </c>
      <c r="O822" s="46">
        <v>0</v>
      </c>
      <c r="P822" s="46">
        <v>0</v>
      </c>
      <c r="Q822" t="s">
        <v>48</v>
      </c>
      <c r="R822" t="s">
        <v>48</v>
      </c>
      <c r="S822" t="s">
        <v>4503</v>
      </c>
      <c r="T822" t="s">
        <v>4504</v>
      </c>
      <c r="U822" t="s">
        <v>4503</v>
      </c>
      <c r="V822" s="47">
        <v>0</v>
      </c>
      <c r="W822" t="s">
        <v>48</v>
      </c>
      <c r="X822" t="s">
        <v>48</v>
      </c>
      <c r="Y822" t="s">
        <v>48</v>
      </c>
      <c r="Z822">
        <v>1</v>
      </c>
      <c r="AA822" t="s">
        <v>48</v>
      </c>
      <c r="AB822">
        <v>2021</v>
      </c>
      <c r="AC822" t="s">
        <v>63</v>
      </c>
      <c r="AD822" t="s">
        <v>93</v>
      </c>
      <c r="AE822" t="s">
        <v>4532</v>
      </c>
      <c r="AF822" t="s">
        <v>48</v>
      </c>
      <c r="AG822" t="s">
        <v>48</v>
      </c>
      <c r="AH822" t="s">
        <v>93</v>
      </c>
      <c r="AI822">
        <v>22135</v>
      </c>
      <c r="AJ822">
        <v>1956</v>
      </c>
      <c r="AK822" t="s">
        <v>9064</v>
      </c>
      <c r="AL822" t="s">
        <v>9065</v>
      </c>
      <c r="AM822">
        <v>-0.27400000000000002</v>
      </c>
      <c r="AN822">
        <v>7.8E-2</v>
      </c>
      <c r="AO822">
        <v>-0.27400000000000002</v>
      </c>
      <c r="AP822" s="46">
        <v>0</v>
      </c>
      <c r="AQ822" s="46">
        <v>0</v>
      </c>
      <c r="AR822" s="46">
        <v>0</v>
      </c>
      <c r="AS822" s="46">
        <v>0</v>
      </c>
      <c r="AT822" s="46">
        <v>0</v>
      </c>
      <c r="AU822" s="46">
        <v>1</v>
      </c>
      <c r="AV822" s="46">
        <v>0</v>
      </c>
      <c r="AW822" s="46">
        <v>0</v>
      </c>
      <c r="AX822" s="46">
        <v>0</v>
      </c>
      <c r="AY822" s="46">
        <v>0</v>
      </c>
      <c r="AZ822" s="46">
        <v>0</v>
      </c>
      <c r="BA822" s="46">
        <v>0</v>
      </c>
      <c r="BB822" s="46">
        <v>0</v>
      </c>
      <c r="BC822" s="46">
        <v>0</v>
      </c>
      <c r="BD822" s="46">
        <v>0</v>
      </c>
      <c r="BE822" s="46">
        <v>0</v>
      </c>
      <c r="BF822" s="46">
        <v>0</v>
      </c>
      <c r="BG822" s="46" t="s">
        <v>48</v>
      </c>
      <c r="BH822" s="46">
        <v>0</v>
      </c>
      <c r="BI822" s="46">
        <v>0</v>
      </c>
      <c r="BJ822" s="46">
        <v>0</v>
      </c>
      <c r="BK822" s="46">
        <v>0</v>
      </c>
      <c r="BL822" s="46">
        <v>0</v>
      </c>
      <c r="BM822" s="46">
        <v>0</v>
      </c>
      <c r="BN822" s="46">
        <v>0</v>
      </c>
    </row>
    <row r="823" spans="1:66" x14ac:dyDescent="0.35">
      <c r="A823" t="s">
        <v>4515</v>
      </c>
      <c r="B823" s="44" t="s">
        <v>48</v>
      </c>
      <c r="C823" t="s">
        <v>4517</v>
      </c>
      <c r="D823" t="s">
        <v>1528</v>
      </c>
      <c r="E823" t="s">
        <v>9582</v>
      </c>
      <c r="F823" t="s">
        <v>4336</v>
      </c>
      <c r="G823" t="s">
        <v>74</v>
      </c>
      <c r="H823">
        <v>0</v>
      </c>
      <c r="I823" s="61">
        <v>44753</v>
      </c>
      <c r="J823" s="33" t="s">
        <v>45</v>
      </c>
      <c r="K823" s="46">
        <v>0</v>
      </c>
      <c r="L823">
        <v>31.2</v>
      </c>
      <c r="M823" t="s">
        <v>48</v>
      </c>
      <c r="N823" s="46">
        <v>1</v>
      </c>
      <c r="O823" s="46">
        <v>0</v>
      </c>
      <c r="P823" s="46">
        <v>0</v>
      </c>
      <c r="Q823" t="s">
        <v>48</v>
      </c>
      <c r="R823" t="s">
        <v>48</v>
      </c>
      <c r="S823" t="s">
        <v>4516</v>
      </c>
      <c r="T823" t="s">
        <v>48</v>
      </c>
      <c r="U823" t="s">
        <v>4516</v>
      </c>
      <c r="V823" s="47">
        <v>0</v>
      </c>
      <c r="W823" t="s">
        <v>48</v>
      </c>
      <c r="X823" t="s">
        <v>48</v>
      </c>
      <c r="Y823" t="s">
        <v>48</v>
      </c>
      <c r="Z823">
        <v>0</v>
      </c>
      <c r="AA823" t="s">
        <v>48</v>
      </c>
      <c r="AB823" t="s">
        <v>48</v>
      </c>
      <c r="AC823" t="s">
        <v>49</v>
      </c>
      <c r="AD823" t="s">
        <v>93</v>
      </c>
      <c r="AE823" t="s">
        <v>11144</v>
      </c>
      <c r="AF823" t="s">
        <v>11052</v>
      </c>
      <c r="AG823" t="s">
        <v>48</v>
      </c>
      <c r="AH823" t="s">
        <v>48</v>
      </c>
      <c r="AI823" t="s">
        <v>48</v>
      </c>
      <c r="AJ823" t="s">
        <v>48</v>
      </c>
      <c r="AK823" t="s">
        <v>48</v>
      </c>
      <c r="AL823" t="s">
        <v>48</v>
      </c>
      <c r="AM823" t="s">
        <v>48</v>
      </c>
      <c r="AN823" t="s">
        <v>48</v>
      </c>
      <c r="AO823" t="s">
        <v>48</v>
      </c>
      <c r="AP823" s="46">
        <v>0</v>
      </c>
      <c r="AQ823" s="46">
        <v>0</v>
      </c>
      <c r="AR823" s="46">
        <v>0</v>
      </c>
      <c r="AS823" s="46">
        <v>0</v>
      </c>
      <c r="AT823" s="46">
        <v>0</v>
      </c>
      <c r="AU823" s="46">
        <v>0</v>
      </c>
      <c r="AV823" s="46">
        <v>0</v>
      </c>
      <c r="AW823" s="46">
        <v>0</v>
      </c>
      <c r="AX823" s="46">
        <v>0</v>
      </c>
      <c r="AY823" s="46">
        <v>0</v>
      </c>
      <c r="AZ823" s="46">
        <v>0</v>
      </c>
      <c r="BA823" s="46">
        <v>0</v>
      </c>
      <c r="BB823" s="46">
        <v>0</v>
      </c>
      <c r="BC823" s="46">
        <v>0</v>
      </c>
      <c r="BD823" s="46">
        <v>0</v>
      </c>
      <c r="BE823" s="46">
        <v>0</v>
      </c>
      <c r="BF823" s="46">
        <v>0</v>
      </c>
      <c r="BG823" s="46" t="s">
        <v>48</v>
      </c>
      <c r="BH823" s="46">
        <v>0</v>
      </c>
      <c r="BI823" s="46">
        <v>0</v>
      </c>
      <c r="BJ823" s="46">
        <v>0</v>
      </c>
      <c r="BK823" s="46">
        <v>0</v>
      </c>
      <c r="BL823" s="46">
        <v>0</v>
      </c>
      <c r="BM823" s="46">
        <v>0</v>
      </c>
      <c r="BN823" s="46">
        <v>0</v>
      </c>
    </row>
    <row r="824" spans="1:66" x14ac:dyDescent="0.35">
      <c r="A824" t="s">
        <v>4346</v>
      </c>
      <c r="B824" s="44" t="s">
        <v>48</v>
      </c>
      <c r="C824" t="s">
        <v>4350</v>
      </c>
      <c r="D824" t="s">
        <v>268</v>
      </c>
      <c r="E824" t="s">
        <v>4347</v>
      </c>
      <c r="F824" t="s">
        <v>4336</v>
      </c>
      <c r="G824" t="s">
        <v>47</v>
      </c>
      <c r="H824">
        <v>0</v>
      </c>
      <c r="I824" s="60" t="s">
        <v>51</v>
      </c>
      <c r="J824" s="33" t="s">
        <v>45</v>
      </c>
      <c r="K824" s="46">
        <v>1</v>
      </c>
      <c r="L824">
        <v>79.2</v>
      </c>
      <c r="M824" t="s">
        <v>48</v>
      </c>
      <c r="N824" s="46">
        <v>1</v>
      </c>
      <c r="O824" s="46">
        <v>0</v>
      </c>
      <c r="P824" s="46">
        <v>0</v>
      </c>
      <c r="Q824" t="s">
        <v>48</v>
      </c>
      <c r="R824" t="s">
        <v>48</v>
      </c>
      <c r="S824" t="s">
        <v>4348</v>
      </c>
      <c r="T824" t="s">
        <v>4349</v>
      </c>
      <c r="U824" t="s">
        <v>4348</v>
      </c>
      <c r="V824" s="47">
        <v>0</v>
      </c>
      <c r="W824" t="s">
        <v>48</v>
      </c>
      <c r="X824" t="s">
        <v>48</v>
      </c>
      <c r="Y824" t="s">
        <v>48</v>
      </c>
      <c r="Z824">
        <v>0</v>
      </c>
      <c r="AA824" t="s">
        <v>48</v>
      </c>
      <c r="AB824">
        <v>2014</v>
      </c>
      <c r="AC824" t="s">
        <v>49</v>
      </c>
      <c r="AD824" t="s">
        <v>93</v>
      </c>
      <c r="AE824" t="s">
        <v>4532</v>
      </c>
      <c r="AF824" t="s">
        <v>48</v>
      </c>
      <c r="AG824" t="s">
        <v>184</v>
      </c>
      <c r="AH824" t="s">
        <v>93</v>
      </c>
      <c r="AI824">
        <v>21544</v>
      </c>
      <c r="AJ824">
        <v>1972</v>
      </c>
      <c r="AK824" t="s">
        <v>9066</v>
      </c>
      <c r="AL824" t="s">
        <v>9067</v>
      </c>
      <c r="AM824">
        <v>0.56899999999999995</v>
      </c>
      <c r="AN824">
        <v>0.15</v>
      </c>
      <c r="AO824">
        <v>0.56899999999999995</v>
      </c>
      <c r="AP824" s="46">
        <v>0</v>
      </c>
      <c r="AQ824" s="46">
        <v>0</v>
      </c>
      <c r="AR824" s="46">
        <v>0</v>
      </c>
      <c r="AS824" s="46">
        <v>0</v>
      </c>
      <c r="AT824" s="46">
        <v>0</v>
      </c>
      <c r="AU824" s="46">
        <v>0</v>
      </c>
      <c r="AV824" s="46">
        <v>0</v>
      </c>
      <c r="AW824" s="46">
        <v>0</v>
      </c>
      <c r="AX824" s="46">
        <v>0</v>
      </c>
      <c r="AY824" s="46">
        <v>0</v>
      </c>
      <c r="AZ824" s="46">
        <v>0</v>
      </c>
      <c r="BA824" s="46">
        <v>0</v>
      </c>
      <c r="BB824" s="46">
        <v>1</v>
      </c>
      <c r="BC824" s="46">
        <v>0</v>
      </c>
      <c r="BD824" s="46">
        <v>0</v>
      </c>
      <c r="BE824" s="46">
        <v>0</v>
      </c>
      <c r="BF824" s="46">
        <v>0</v>
      </c>
      <c r="BG824" s="46">
        <v>1</v>
      </c>
      <c r="BH824" s="46">
        <v>0</v>
      </c>
      <c r="BI824" s="46">
        <v>0</v>
      </c>
      <c r="BJ824" s="46">
        <v>0</v>
      </c>
      <c r="BK824" s="46">
        <v>0</v>
      </c>
      <c r="BL824" s="46">
        <v>0</v>
      </c>
      <c r="BM824" s="46">
        <v>0</v>
      </c>
      <c r="BN824" s="46">
        <v>0</v>
      </c>
    </row>
    <row r="825" spans="1:66" x14ac:dyDescent="0.35">
      <c r="A825" t="s">
        <v>4361</v>
      </c>
      <c r="B825" s="44" t="s">
        <v>48</v>
      </c>
      <c r="C825" t="s">
        <v>2216</v>
      </c>
      <c r="D825" t="s">
        <v>347</v>
      </c>
      <c r="E825" t="s">
        <v>9584</v>
      </c>
      <c r="F825" t="s">
        <v>4356</v>
      </c>
      <c r="G825" t="s">
        <v>47</v>
      </c>
      <c r="H825">
        <v>0</v>
      </c>
      <c r="I825" s="61">
        <v>44753</v>
      </c>
      <c r="J825" s="33" t="s">
        <v>45</v>
      </c>
      <c r="K825" s="46">
        <v>1</v>
      </c>
      <c r="L825">
        <v>100</v>
      </c>
      <c r="M825" t="s">
        <v>48</v>
      </c>
      <c r="N825" s="46">
        <v>1</v>
      </c>
      <c r="O825" s="46">
        <v>0</v>
      </c>
      <c r="P825" s="46">
        <v>0</v>
      </c>
      <c r="Q825" t="s">
        <v>48</v>
      </c>
      <c r="R825" t="s">
        <v>48</v>
      </c>
      <c r="S825" t="s">
        <v>4363</v>
      </c>
      <c r="T825" t="s">
        <v>4364</v>
      </c>
      <c r="U825" t="s">
        <v>4363</v>
      </c>
      <c r="V825" s="47">
        <v>0</v>
      </c>
      <c r="W825" t="s">
        <v>48</v>
      </c>
      <c r="X825" t="s">
        <v>48</v>
      </c>
      <c r="Y825" t="s">
        <v>48</v>
      </c>
      <c r="Z825">
        <v>0</v>
      </c>
      <c r="AA825" t="s">
        <v>48</v>
      </c>
      <c r="AB825" t="s">
        <v>4304</v>
      </c>
      <c r="AC825" t="s">
        <v>49</v>
      </c>
      <c r="AD825" t="s">
        <v>93</v>
      </c>
      <c r="AE825" t="s">
        <v>4532</v>
      </c>
      <c r="AF825" t="s">
        <v>48</v>
      </c>
      <c r="AG825" t="s">
        <v>266</v>
      </c>
      <c r="AH825" t="s">
        <v>93</v>
      </c>
      <c r="AI825">
        <v>21986</v>
      </c>
      <c r="AJ825">
        <v>1964</v>
      </c>
      <c r="AK825" t="s">
        <v>9070</v>
      </c>
      <c r="AL825" t="s">
        <v>9071</v>
      </c>
      <c r="AM825">
        <v>0.72399999999999998</v>
      </c>
      <c r="AN825">
        <v>-0.223</v>
      </c>
      <c r="AO825">
        <v>0.72399999999999998</v>
      </c>
      <c r="AP825" s="46">
        <v>0</v>
      </c>
      <c r="AQ825" s="46">
        <v>0</v>
      </c>
      <c r="AR825" s="46">
        <v>0</v>
      </c>
      <c r="AS825" s="46">
        <v>0</v>
      </c>
      <c r="AT825" s="46">
        <v>0</v>
      </c>
      <c r="AU825" s="46">
        <v>0</v>
      </c>
      <c r="AV825" s="46">
        <v>0</v>
      </c>
      <c r="AW825" s="46">
        <v>0</v>
      </c>
      <c r="AX825" s="46">
        <v>0</v>
      </c>
      <c r="AY825" s="46">
        <v>0</v>
      </c>
      <c r="AZ825" s="46">
        <v>0</v>
      </c>
      <c r="BA825" s="46">
        <v>0</v>
      </c>
      <c r="BB825" s="46">
        <v>1</v>
      </c>
      <c r="BC825" s="46">
        <v>0</v>
      </c>
      <c r="BD825" s="46">
        <v>0</v>
      </c>
      <c r="BE825" s="46">
        <v>0</v>
      </c>
      <c r="BF825" s="46">
        <v>0</v>
      </c>
      <c r="BG825" s="46">
        <v>1</v>
      </c>
      <c r="BH825" s="46">
        <v>0</v>
      </c>
      <c r="BI825" s="46">
        <v>0</v>
      </c>
      <c r="BJ825" s="46">
        <v>0</v>
      </c>
      <c r="BK825" s="46">
        <v>0</v>
      </c>
      <c r="BL825" s="46">
        <v>0</v>
      </c>
      <c r="BM825" s="46">
        <v>0</v>
      </c>
      <c r="BN825" s="46">
        <v>1</v>
      </c>
    </row>
    <row r="826" spans="1:66" x14ac:dyDescent="0.35">
      <c r="A826" t="s">
        <v>4401</v>
      </c>
      <c r="B826" s="44" t="s">
        <v>48</v>
      </c>
      <c r="C826" t="s">
        <v>878</v>
      </c>
      <c r="D826" t="s">
        <v>885</v>
      </c>
      <c r="E826" t="s">
        <v>9585</v>
      </c>
      <c r="F826" t="s">
        <v>4356</v>
      </c>
      <c r="G826" t="s">
        <v>74</v>
      </c>
      <c r="H826">
        <v>0</v>
      </c>
      <c r="I826" s="61">
        <v>44753</v>
      </c>
      <c r="J826" s="33" t="s">
        <v>45</v>
      </c>
      <c r="K826" s="46">
        <v>0</v>
      </c>
      <c r="L826">
        <v>100</v>
      </c>
      <c r="M826" t="s">
        <v>48</v>
      </c>
      <c r="N826" s="46">
        <v>1</v>
      </c>
      <c r="O826" s="46">
        <v>0</v>
      </c>
      <c r="P826" s="46">
        <v>0</v>
      </c>
      <c r="Q826" t="s">
        <v>48</v>
      </c>
      <c r="R826" t="s">
        <v>48</v>
      </c>
      <c r="S826" t="s">
        <v>4402</v>
      </c>
      <c r="T826" t="s">
        <v>48</v>
      </c>
      <c r="U826" t="s">
        <v>4402</v>
      </c>
      <c r="V826" s="47">
        <v>0</v>
      </c>
      <c r="W826" t="s">
        <v>48</v>
      </c>
      <c r="X826" t="s">
        <v>48</v>
      </c>
      <c r="Y826" t="s">
        <v>48</v>
      </c>
      <c r="Z826">
        <v>0</v>
      </c>
      <c r="AA826" t="s">
        <v>48</v>
      </c>
      <c r="AB826" t="s">
        <v>48</v>
      </c>
      <c r="AC826" t="s">
        <v>49</v>
      </c>
      <c r="AD826" t="s">
        <v>93</v>
      </c>
      <c r="AE826" t="s">
        <v>4532</v>
      </c>
      <c r="AF826" t="s">
        <v>48</v>
      </c>
      <c r="AG826" t="s">
        <v>48</v>
      </c>
      <c r="AH826" t="s">
        <v>48</v>
      </c>
      <c r="AI826" t="s">
        <v>48</v>
      </c>
      <c r="AJ826" t="s">
        <v>48</v>
      </c>
      <c r="AK826" t="s">
        <v>48</v>
      </c>
      <c r="AL826" t="s">
        <v>48</v>
      </c>
      <c r="AM826" t="s">
        <v>48</v>
      </c>
      <c r="AN826" t="s">
        <v>48</v>
      </c>
      <c r="AO826" t="s">
        <v>48</v>
      </c>
      <c r="AP826" s="46">
        <v>0</v>
      </c>
      <c r="AQ826" s="46">
        <v>0</v>
      </c>
      <c r="AR826" s="46">
        <v>0</v>
      </c>
      <c r="AS826" s="46">
        <v>0</v>
      </c>
      <c r="AT826" s="46">
        <v>0</v>
      </c>
      <c r="AU826" s="46">
        <v>0</v>
      </c>
      <c r="AV826" s="46">
        <v>0</v>
      </c>
      <c r="AW826" s="46">
        <v>0</v>
      </c>
      <c r="AX826" s="46">
        <v>0</v>
      </c>
      <c r="AY826" s="46">
        <v>0</v>
      </c>
      <c r="AZ826" s="46">
        <v>0</v>
      </c>
      <c r="BA826" s="46">
        <v>0</v>
      </c>
      <c r="BB826" s="46">
        <v>0</v>
      </c>
      <c r="BC826" s="46">
        <v>0</v>
      </c>
      <c r="BD826" s="46">
        <v>0</v>
      </c>
      <c r="BE826" s="46">
        <v>0</v>
      </c>
      <c r="BF826" s="46">
        <v>0</v>
      </c>
      <c r="BG826" s="46" t="s">
        <v>48</v>
      </c>
      <c r="BH826" s="46">
        <v>0</v>
      </c>
      <c r="BI826" s="46">
        <v>0</v>
      </c>
      <c r="BJ826" s="46">
        <v>0</v>
      </c>
      <c r="BK826" s="46">
        <v>0</v>
      </c>
      <c r="BL826" s="46">
        <v>0</v>
      </c>
      <c r="BM826" s="46">
        <v>0</v>
      </c>
      <c r="BN826" s="46">
        <v>0</v>
      </c>
    </row>
    <row r="827" spans="1:66" x14ac:dyDescent="0.35">
      <c r="A827" t="s">
        <v>4481</v>
      </c>
      <c r="B827" s="44" t="s">
        <v>48</v>
      </c>
      <c r="C827" t="s">
        <v>2150</v>
      </c>
      <c r="D827" t="s">
        <v>429</v>
      </c>
      <c r="E827" t="s">
        <v>9586</v>
      </c>
      <c r="F827" t="s">
        <v>4362</v>
      </c>
      <c r="G827" t="s">
        <v>74</v>
      </c>
      <c r="H827">
        <v>0</v>
      </c>
      <c r="I827" s="61">
        <v>44753</v>
      </c>
      <c r="J827" s="33" t="s">
        <v>45</v>
      </c>
      <c r="K827" s="46">
        <v>0</v>
      </c>
      <c r="L827">
        <v>100</v>
      </c>
      <c r="M827" t="s">
        <v>48</v>
      </c>
      <c r="N827" s="46">
        <v>1</v>
      </c>
      <c r="O827" s="46">
        <v>0</v>
      </c>
      <c r="P827" s="46">
        <v>0</v>
      </c>
      <c r="Q827" t="s">
        <v>48</v>
      </c>
      <c r="R827" t="s">
        <v>48</v>
      </c>
      <c r="S827" t="s">
        <v>4482</v>
      </c>
      <c r="T827" t="s">
        <v>48</v>
      </c>
      <c r="U827" t="s">
        <v>4482</v>
      </c>
      <c r="V827" s="47">
        <v>0</v>
      </c>
      <c r="W827" t="s">
        <v>48</v>
      </c>
      <c r="X827" t="s">
        <v>48</v>
      </c>
      <c r="Y827" t="s">
        <v>48</v>
      </c>
      <c r="Z827">
        <v>0</v>
      </c>
      <c r="AA827" t="s">
        <v>48</v>
      </c>
      <c r="AB827" t="s">
        <v>48</v>
      </c>
      <c r="AC827" t="s">
        <v>49</v>
      </c>
      <c r="AD827" t="s">
        <v>93</v>
      </c>
      <c r="AE827" s="40" t="s">
        <v>2471</v>
      </c>
      <c r="AF827" t="s">
        <v>11061</v>
      </c>
      <c r="AG827" t="s">
        <v>48</v>
      </c>
      <c r="AH827" t="s">
        <v>48</v>
      </c>
      <c r="AI827" t="s">
        <v>48</v>
      </c>
      <c r="AJ827" t="s">
        <v>48</v>
      </c>
      <c r="AK827" t="s">
        <v>48</v>
      </c>
      <c r="AL827" t="s">
        <v>48</v>
      </c>
      <c r="AM827" t="s">
        <v>48</v>
      </c>
      <c r="AN827" t="s">
        <v>48</v>
      </c>
      <c r="AO827" t="s">
        <v>48</v>
      </c>
      <c r="AP827" s="46">
        <v>0</v>
      </c>
      <c r="AQ827" s="46">
        <v>0</v>
      </c>
      <c r="AR827" s="46">
        <v>0</v>
      </c>
      <c r="AS827" s="46">
        <v>0</v>
      </c>
      <c r="AT827" s="46">
        <v>0</v>
      </c>
      <c r="AU827" s="46">
        <v>0</v>
      </c>
      <c r="AV827" s="46">
        <v>0</v>
      </c>
      <c r="AW827" s="46">
        <v>0</v>
      </c>
      <c r="AX827" s="46">
        <v>0</v>
      </c>
      <c r="AY827" s="46">
        <v>0</v>
      </c>
      <c r="AZ827" s="46">
        <v>0</v>
      </c>
      <c r="BA827" s="46">
        <v>0</v>
      </c>
      <c r="BB827" s="46">
        <v>0</v>
      </c>
      <c r="BC827" s="46">
        <v>0</v>
      </c>
      <c r="BD827" s="46">
        <v>0</v>
      </c>
      <c r="BE827" s="46">
        <v>0</v>
      </c>
      <c r="BF827" s="46">
        <v>0</v>
      </c>
      <c r="BG827" s="46" t="s">
        <v>48</v>
      </c>
      <c r="BH827" s="46">
        <v>0</v>
      </c>
      <c r="BI827" s="46">
        <v>0</v>
      </c>
      <c r="BJ827" s="46">
        <v>0</v>
      </c>
      <c r="BK827" s="46">
        <v>0</v>
      </c>
      <c r="BL827" s="46">
        <v>0</v>
      </c>
      <c r="BM827" s="46">
        <v>0</v>
      </c>
      <c r="BN827" s="46">
        <v>0</v>
      </c>
    </row>
    <row r="828" spans="1:66" x14ac:dyDescent="0.35">
      <c r="A828" t="s">
        <v>4355</v>
      </c>
      <c r="B828" s="44" t="s">
        <v>48</v>
      </c>
      <c r="C828" t="s">
        <v>2933</v>
      </c>
      <c r="D828" t="s">
        <v>328</v>
      </c>
      <c r="E828" t="s">
        <v>9592</v>
      </c>
      <c r="F828" t="s">
        <v>4362</v>
      </c>
      <c r="G828" t="s">
        <v>47</v>
      </c>
      <c r="H828">
        <v>0</v>
      </c>
      <c r="I828" s="61">
        <v>44753</v>
      </c>
      <c r="J828" s="33" t="s">
        <v>45</v>
      </c>
      <c r="K828" s="46">
        <v>1</v>
      </c>
      <c r="L828">
        <v>79.2</v>
      </c>
      <c r="M828" t="s">
        <v>48</v>
      </c>
      <c r="N828" s="46">
        <v>1</v>
      </c>
      <c r="O828" s="46">
        <v>0</v>
      </c>
      <c r="P828" s="46">
        <v>0</v>
      </c>
      <c r="Q828" t="s">
        <v>48</v>
      </c>
      <c r="R828" t="s">
        <v>48</v>
      </c>
      <c r="S828" t="s">
        <v>4357</v>
      </c>
      <c r="T828" t="s">
        <v>4358</v>
      </c>
      <c r="U828" t="s">
        <v>4357</v>
      </c>
      <c r="V828" s="47">
        <v>0</v>
      </c>
      <c r="W828" t="s">
        <v>48</v>
      </c>
      <c r="X828" t="s">
        <v>48</v>
      </c>
      <c r="Y828" t="s">
        <v>48</v>
      </c>
      <c r="Z828">
        <v>0</v>
      </c>
      <c r="AA828" t="s">
        <v>48</v>
      </c>
      <c r="AB828">
        <v>2012</v>
      </c>
      <c r="AC828" t="s">
        <v>49</v>
      </c>
      <c r="AD828" t="s">
        <v>93</v>
      </c>
      <c r="AE828" t="s">
        <v>4532</v>
      </c>
      <c r="AF828" t="s">
        <v>48</v>
      </c>
      <c r="AG828" t="s">
        <v>112</v>
      </c>
      <c r="AH828" t="s">
        <v>93</v>
      </c>
      <c r="AI828">
        <v>21346</v>
      </c>
      <c r="AJ828">
        <v>1971</v>
      </c>
      <c r="AK828" t="s">
        <v>9068</v>
      </c>
      <c r="AL828" t="s">
        <v>9069</v>
      </c>
      <c r="AM828">
        <v>0.54400000000000004</v>
      </c>
      <c r="AN828">
        <v>0.11799999999999999</v>
      </c>
      <c r="AO828">
        <v>0.54400000000000004</v>
      </c>
      <c r="AP828" s="46">
        <v>0</v>
      </c>
      <c r="AQ828" s="46">
        <v>0</v>
      </c>
      <c r="AR828" s="46">
        <v>0</v>
      </c>
      <c r="AS828" s="46">
        <v>0</v>
      </c>
      <c r="AT828" s="46">
        <v>0</v>
      </c>
      <c r="AU828" s="46">
        <v>0</v>
      </c>
      <c r="AV828" s="46">
        <v>0</v>
      </c>
      <c r="AW828" s="46">
        <v>0</v>
      </c>
      <c r="AX828" s="46">
        <v>0</v>
      </c>
      <c r="AY828" s="46">
        <v>0</v>
      </c>
      <c r="AZ828" s="46">
        <v>0</v>
      </c>
      <c r="BA828" s="46">
        <v>0</v>
      </c>
      <c r="BB828" s="46">
        <v>1</v>
      </c>
      <c r="BC828" s="46">
        <v>0</v>
      </c>
      <c r="BD828" s="46">
        <v>0</v>
      </c>
      <c r="BE828" s="46">
        <v>0</v>
      </c>
      <c r="BF828" s="46">
        <v>0</v>
      </c>
      <c r="BG828" s="46">
        <v>1</v>
      </c>
      <c r="BH828" s="46">
        <v>0</v>
      </c>
      <c r="BI828" s="46">
        <v>0</v>
      </c>
      <c r="BJ828" s="46">
        <v>0</v>
      </c>
      <c r="BK828" s="46">
        <v>0</v>
      </c>
      <c r="BL828" s="46">
        <v>0</v>
      </c>
      <c r="BM828" s="46">
        <v>0</v>
      </c>
      <c r="BN828" s="46">
        <v>0</v>
      </c>
    </row>
    <row r="829" spans="1:66" x14ac:dyDescent="0.35">
      <c r="A829" t="s">
        <v>9601</v>
      </c>
      <c r="B829" s="44" t="s">
        <v>48</v>
      </c>
      <c r="C829" t="s">
        <v>12083</v>
      </c>
      <c r="D829" t="s">
        <v>12084</v>
      </c>
      <c r="E829" t="s">
        <v>9602</v>
      </c>
      <c r="F829" t="s">
        <v>4366</v>
      </c>
      <c r="G829" t="s">
        <v>74</v>
      </c>
      <c r="H829">
        <v>0</v>
      </c>
      <c r="I829" s="61">
        <v>44753</v>
      </c>
      <c r="J829" s="33" t="s">
        <v>45</v>
      </c>
      <c r="K829" s="46">
        <v>0</v>
      </c>
      <c r="L829">
        <v>77.400000000000006</v>
      </c>
      <c r="M829" t="s">
        <v>48</v>
      </c>
      <c r="N829" s="46">
        <v>1</v>
      </c>
      <c r="O829" s="46">
        <v>0</v>
      </c>
      <c r="P829" s="46">
        <v>0</v>
      </c>
      <c r="Q829" t="s">
        <v>48</v>
      </c>
      <c r="R829" t="s">
        <v>48</v>
      </c>
      <c r="S829" t="s">
        <v>10295</v>
      </c>
      <c r="T829" t="s">
        <v>48</v>
      </c>
      <c r="U829" t="s">
        <v>10295</v>
      </c>
      <c r="V829" s="47">
        <v>0</v>
      </c>
      <c r="W829" t="s">
        <v>48</v>
      </c>
      <c r="X829" t="s">
        <v>48</v>
      </c>
      <c r="Y829" t="s">
        <v>48</v>
      </c>
      <c r="Z829" t="s">
        <v>48</v>
      </c>
      <c r="AA829" t="s">
        <v>48</v>
      </c>
      <c r="AB829" t="s">
        <v>48</v>
      </c>
      <c r="AC829" t="s">
        <v>63</v>
      </c>
      <c r="AD829" t="s">
        <v>93</v>
      </c>
      <c r="AE829" t="s">
        <v>4532</v>
      </c>
      <c r="AF829" t="s">
        <v>48</v>
      </c>
      <c r="AG829" t="s">
        <v>48</v>
      </c>
      <c r="AH829" t="s">
        <v>48</v>
      </c>
      <c r="AI829" t="s">
        <v>48</v>
      </c>
      <c r="AJ829" t="s">
        <v>48</v>
      </c>
      <c r="AK829" t="s">
        <v>48</v>
      </c>
      <c r="AL829" t="s">
        <v>48</v>
      </c>
      <c r="AM829" t="s">
        <v>48</v>
      </c>
      <c r="AN829" t="s">
        <v>48</v>
      </c>
      <c r="AO829" t="s">
        <v>48</v>
      </c>
      <c r="AP829" s="46">
        <v>0</v>
      </c>
      <c r="AQ829" s="46">
        <v>0</v>
      </c>
      <c r="AR829" s="46">
        <v>0</v>
      </c>
      <c r="AS829" s="46">
        <v>0</v>
      </c>
      <c r="AT829" s="46">
        <v>0</v>
      </c>
      <c r="AU829" s="46">
        <v>0</v>
      </c>
      <c r="AV829" s="46">
        <v>0</v>
      </c>
      <c r="AW829" s="46">
        <v>0</v>
      </c>
      <c r="AX829" s="46">
        <v>0</v>
      </c>
      <c r="AY829" s="46">
        <v>0</v>
      </c>
      <c r="AZ829" s="46">
        <v>0</v>
      </c>
      <c r="BA829" s="46">
        <v>0</v>
      </c>
      <c r="BB829" s="46">
        <v>0</v>
      </c>
      <c r="BC829" s="46">
        <v>0</v>
      </c>
      <c r="BD829" s="46">
        <v>0</v>
      </c>
      <c r="BE829" s="46">
        <v>0</v>
      </c>
      <c r="BF829" s="46">
        <v>0</v>
      </c>
      <c r="BG829" s="46" t="s">
        <v>48</v>
      </c>
      <c r="BH829" s="46">
        <v>0</v>
      </c>
      <c r="BI829" s="46">
        <v>0</v>
      </c>
      <c r="BJ829" s="46">
        <v>0</v>
      </c>
      <c r="BK829" s="46">
        <v>0</v>
      </c>
      <c r="BL829" s="46">
        <v>0</v>
      </c>
      <c r="BM829" s="46">
        <v>0</v>
      </c>
      <c r="BN829" s="46">
        <v>0</v>
      </c>
    </row>
    <row r="830" spans="1:66" x14ac:dyDescent="0.35">
      <c r="A830" t="s">
        <v>4365</v>
      </c>
      <c r="B830" s="44" t="s">
        <v>48</v>
      </c>
      <c r="C830" t="s">
        <v>4370</v>
      </c>
      <c r="D830" t="s">
        <v>1237</v>
      </c>
      <c r="E830" t="s">
        <v>4367</v>
      </c>
      <c r="F830" t="s">
        <v>4366</v>
      </c>
      <c r="G830" t="s">
        <v>47</v>
      </c>
      <c r="H830">
        <v>0</v>
      </c>
      <c r="I830" s="60" t="s">
        <v>51</v>
      </c>
      <c r="J830" s="33" t="s">
        <v>45</v>
      </c>
      <c r="K830" s="46">
        <v>1</v>
      </c>
      <c r="L830">
        <v>68.099999999999994</v>
      </c>
      <c r="M830" t="s">
        <v>48</v>
      </c>
      <c r="N830" s="46">
        <v>1</v>
      </c>
      <c r="O830" s="46">
        <v>0</v>
      </c>
      <c r="P830" s="46">
        <v>0</v>
      </c>
      <c r="Q830" t="s">
        <v>48</v>
      </c>
      <c r="R830" t="s">
        <v>48</v>
      </c>
      <c r="S830" t="s">
        <v>4368</v>
      </c>
      <c r="T830" t="s">
        <v>4369</v>
      </c>
      <c r="U830" t="s">
        <v>4368</v>
      </c>
      <c r="V830" s="47">
        <v>0</v>
      </c>
      <c r="W830" t="s">
        <v>48</v>
      </c>
      <c r="X830" t="s">
        <v>48</v>
      </c>
      <c r="Y830" t="s">
        <v>48</v>
      </c>
      <c r="Z830">
        <v>0</v>
      </c>
      <c r="AA830" t="s">
        <v>48</v>
      </c>
      <c r="AB830">
        <v>2004</v>
      </c>
      <c r="AC830" t="s">
        <v>49</v>
      </c>
      <c r="AD830" t="s">
        <v>93</v>
      </c>
      <c r="AE830" t="s">
        <v>4532</v>
      </c>
      <c r="AF830" t="s">
        <v>48</v>
      </c>
      <c r="AG830" t="s">
        <v>140</v>
      </c>
      <c r="AH830" t="s">
        <v>93</v>
      </c>
      <c r="AI830">
        <v>20522</v>
      </c>
      <c r="AJ830">
        <v>1975</v>
      </c>
      <c r="AK830" t="s">
        <v>9072</v>
      </c>
      <c r="AL830" t="s">
        <v>9073</v>
      </c>
      <c r="AM830">
        <v>0.53800000000000003</v>
      </c>
      <c r="AN830">
        <v>0.10299999999999999</v>
      </c>
      <c r="AO830">
        <v>0.53800000000000003</v>
      </c>
      <c r="AP830" s="46">
        <v>0</v>
      </c>
      <c r="AQ830" s="46">
        <v>0</v>
      </c>
      <c r="AR830" s="46">
        <v>0</v>
      </c>
      <c r="AS830" s="46">
        <v>0</v>
      </c>
      <c r="AT830" s="46">
        <v>0</v>
      </c>
      <c r="AU830" s="46">
        <v>0</v>
      </c>
      <c r="AV830" s="46">
        <v>0</v>
      </c>
      <c r="AW830" s="46">
        <v>0</v>
      </c>
      <c r="AX830" s="46">
        <v>0</v>
      </c>
      <c r="AY830" s="46">
        <v>0</v>
      </c>
      <c r="AZ830" s="46">
        <v>0</v>
      </c>
      <c r="BA830" s="46">
        <v>0</v>
      </c>
      <c r="BB830" s="46">
        <v>1</v>
      </c>
      <c r="BC830" s="46">
        <v>0</v>
      </c>
      <c r="BD830" s="46">
        <v>0</v>
      </c>
      <c r="BE830" s="46">
        <v>0</v>
      </c>
      <c r="BF830" s="46">
        <v>0</v>
      </c>
      <c r="BG830" s="46" t="s">
        <v>48</v>
      </c>
      <c r="BH830" s="46">
        <v>0</v>
      </c>
      <c r="BI830" s="46">
        <v>0</v>
      </c>
      <c r="BJ830" s="46">
        <v>0</v>
      </c>
      <c r="BK830" s="46">
        <v>0</v>
      </c>
      <c r="BL830" s="46">
        <v>0</v>
      </c>
      <c r="BM830" s="46">
        <v>0</v>
      </c>
      <c r="BN830" s="46">
        <v>0</v>
      </c>
    </row>
    <row r="831" spans="1:66" x14ac:dyDescent="0.35">
      <c r="A831" t="s">
        <v>4414</v>
      </c>
      <c r="B831" s="44" t="s">
        <v>48</v>
      </c>
      <c r="C831" t="s">
        <v>3611</v>
      </c>
      <c r="D831" t="s">
        <v>1577</v>
      </c>
      <c r="E831" t="s">
        <v>9606</v>
      </c>
      <c r="F831" t="s">
        <v>159</v>
      </c>
      <c r="G831" t="s">
        <v>47</v>
      </c>
      <c r="H831">
        <v>0</v>
      </c>
      <c r="I831" s="61" t="s">
        <v>11160</v>
      </c>
      <c r="J831" s="33" t="s">
        <v>45</v>
      </c>
      <c r="K831" s="46">
        <v>0</v>
      </c>
      <c r="L831">
        <v>33.4</v>
      </c>
      <c r="M831" t="s">
        <v>48</v>
      </c>
      <c r="N831" s="46">
        <v>1</v>
      </c>
      <c r="O831" s="46">
        <v>0</v>
      </c>
      <c r="P831" s="46">
        <v>0</v>
      </c>
      <c r="Q831" t="s">
        <v>48</v>
      </c>
      <c r="R831" t="s">
        <v>48</v>
      </c>
      <c r="S831" t="str">
        <f>"@ChuckEdwards4NC"</f>
        <v>@ChuckEdwards4NC</v>
      </c>
      <c r="T831" t="s">
        <v>48</v>
      </c>
      <c r="U831" t="str">
        <f>"@ChuckEdwards4NC"</f>
        <v>@ChuckEdwards4NC</v>
      </c>
      <c r="V831" s="47">
        <v>0</v>
      </c>
      <c r="W831" t="s">
        <v>48</v>
      </c>
      <c r="X831" t="s">
        <v>48</v>
      </c>
      <c r="Y831" t="s">
        <v>48</v>
      </c>
      <c r="Z831">
        <v>0</v>
      </c>
      <c r="AA831" t="s">
        <v>48</v>
      </c>
      <c r="AB831" t="s">
        <v>48</v>
      </c>
      <c r="AC831" t="s">
        <v>49</v>
      </c>
      <c r="AD831" t="s">
        <v>93</v>
      </c>
      <c r="AE831" t="s">
        <v>4532</v>
      </c>
      <c r="AF831" t="s">
        <v>48</v>
      </c>
      <c r="AG831" t="s">
        <v>48</v>
      </c>
      <c r="AH831" t="s">
        <v>48</v>
      </c>
      <c r="AI831" t="s">
        <v>48</v>
      </c>
      <c r="AJ831" t="s">
        <v>48</v>
      </c>
      <c r="AK831" t="s">
        <v>48</v>
      </c>
      <c r="AL831" t="s">
        <v>48</v>
      </c>
      <c r="AM831" t="s">
        <v>48</v>
      </c>
      <c r="AN831" t="s">
        <v>48</v>
      </c>
      <c r="AO831" t="s">
        <v>48</v>
      </c>
      <c r="AP831" s="46">
        <v>0</v>
      </c>
      <c r="AQ831" s="46">
        <v>0</v>
      </c>
      <c r="AR831" s="46">
        <v>0</v>
      </c>
      <c r="AS831" s="46">
        <v>0</v>
      </c>
      <c r="AT831" s="46">
        <v>0</v>
      </c>
      <c r="AU831" s="46">
        <v>0</v>
      </c>
      <c r="AV831" s="46">
        <v>0</v>
      </c>
      <c r="AW831" s="46">
        <v>0</v>
      </c>
      <c r="AX831" s="46">
        <v>0</v>
      </c>
      <c r="AY831" s="46">
        <v>0</v>
      </c>
      <c r="AZ831" s="46">
        <v>0</v>
      </c>
      <c r="BA831" s="46">
        <v>0</v>
      </c>
      <c r="BB831" s="46">
        <v>0</v>
      </c>
      <c r="BC831" s="46">
        <v>0</v>
      </c>
      <c r="BD831" s="46">
        <v>0</v>
      </c>
      <c r="BE831" s="46">
        <v>0</v>
      </c>
      <c r="BF831" s="46">
        <v>0</v>
      </c>
      <c r="BG831" s="46" t="s">
        <v>48</v>
      </c>
      <c r="BH831" s="46">
        <v>0</v>
      </c>
      <c r="BI831" s="46">
        <v>0</v>
      </c>
      <c r="BJ831" s="46">
        <v>0</v>
      </c>
      <c r="BK831" s="46">
        <v>0</v>
      </c>
      <c r="BL831" s="46">
        <v>0</v>
      </c>
      <c r="BM831" s="46">
        <v>0</v>
      </c>
      <c r="BN831" s="46">
        <v>0</v>
      </c>
    </row>
    <row r="832" spans="1:66" x14ac:dyDescent="0.35">
      <c r="A832" t="s">
        <v>4522</v>
      </c>
      <c r="B832" s="44" t="s">
        <v>48</v>
      </c>
      <c r="C832" t="s">
        <v>4526</v>
      </c>
      <c r="D832" t="s">
        <v>4525</v>
      </c>
      <c r="E832" t="s">
        <v>4523</v>
      </c>
      <c r="F832" t="s">
        <v>159</v>
      </c>
      <c r="G832" t="s">
        <v>74</v>
      </c>
      <c r="H832">
        <v>0</v>
      </c>
      <c r="I832" s="60" t="s">
        <v>51</v>
      </c>
      <c r="J832" s="33" t="s">
        <v>45</v>
      </c>
      <c r="K832" s="46">
        <v>0</v>
      </c>
      <c r="L832">
        <v>59.7</v>
      </c>
      <c r="M832" t="s">
        <v>48</v>
      </c>
      <c r="N832" s="46">
        <v>1</v>
      </c>
      <c r="O832" s="46">
        <v>0</v>
      </c>
      <c r="P832" s="46">
        <v>0</v>
      </c>
      <c r="Q832" t="s">
        <v>48</v>
      </c>
      <c r="R832" t="s">
        <v>48</v>
      </c>
      <c r="S832" t="s">
        <v>4524</v>
      </c>
      <c r="T832" t="s">
        <v>48</v>
      </c>
      <c r="U832" t="s">
        <v>4524</v>
      </c>
      <c r="V832" s="47">
        <v>0</v>
      </c>
      <c r="W832" t="s">
        <v>48</v>
      </c>
      <c r="X832" t="s">
        <v>48</v>
      </c>
      <c r="Y832" t="s">
        <v>48</v>
      </c>
      <c r="Z832">
        <v>0</v>
      </c>
      <c r="AA832" t="s">
        <v>48</v>
      </c>
      <c r="AB832" t="s">
        <v>48</v>
      </c>
      <c r="AC832" t="s">
        <v>63</v>
      </c>
      <c r="AD832" t="s">
        <v>93</v>
      </c>
      <c r="AE832" t="s">
        <v>4532</v>
      </c>
      <c r="AF832" t="s">
        <v>48</v>
      </c>
      <c r="AG832" t="s">
        <v>48</v>
      </c>
      <c r="AH832" t="s">
        <v>2043</v>
      </c>
      <c r="AI832" t="s">
        <v>48</v>
      </c>
      <c r="AJ832" t="s">
        <v>48</v>
      </c>
      <c r="AK832" t="s">
        <v>48</v>
      </c>
      <c r="AL832" t="s">
        <v>48</v>
      </c>
      <c r="AM832" t="s">
        <v>48</v>
      </c>
      <c r="AN832" t="s">
        <v>48</v>
      </c>
      <c r="AO832" t="s">
        <v>48</v>
      </c>
      <c r="AP832" s="46">
        <v>0</v>
      </c>
      <c r="AQ832" s="46">
        <v>0</v>
      </c>
      <c r="AR832" s="46">
        <v>0</v>
      </c>
      <c r="AS832" s="46">
        <v>0</v>
      </c>
      <c r="AT832" s="46">
        <v>0</v>
      </c>
      <c r="AU832" s="46">
        <v>0</v>
      </c>
      <c r="AV832" s="46">
        <v>0</v>
      </c>
      <c r="AW832" s="46">
        <v>0</v>
      </c>
      <c r="AX832" s="46">
        <v>0</v>
      </c>
      <c r="AY832" s="46">
        <v>0</v>
      </c>
      <c r="AZ832" s="46">
        <v>0</v>
      </c>
      <c r="BA832" s="46">
        <v>0</v>
      </c>
      <c r="BB832" s="46">
        <v>0</v>
      </c>
      <c r="BC832" s="46">
        <v>0</v>
      </c>
      <c r="BD832" s="46">
        <v>0</v>
      </c>
      <c r="BE832" s="46">
        <v>0</v>
      </c>
      <c r="BF832" s="46">
        <v>0</v>
      </c>
      <c r="BG832" s="46" t="s">
        <v>48</v>
      </c>
      <c r="BH832" s="46">
        <v>0</v>
      </c>
      <c r="BI832" s="46">
        <v>0</v>
      </c>
      <c r="BJ832" s="46">
        <v>0</v>
      </c>
      <c r="BK832" s="46">
        <v>0</v>
      </c>
      <c r="BL832" s="46">
        <v>0</v>
      </c>
      <c r="BM832" s="46">
        <v>0</v>
      </c>
      <c r="BN832" s="46">
        <v>0</v>
      </c>
    </row>
    <row r="833" spans="1:66" x14ac:dyDescent="0.35">
      <c r="A833" t="s">
        <v>4533</v>
      </c>
      <c r="B833" s="44" t="s">
        <v>48</v>
      </c>
      <c r="C833" t="s">
        <v>4539</v>
      </c>
      <c r="D833" t="s">
        <v>4538</v>
      </c>
      <c r="E833" t="s">
        <v>4534</v>
      </c>
      <c r="F833" t="s">
        <v>4387</v>
      </c>
      <c r="G833" t="s">
        <v>74</v>
      </c>
      <c r="H833">
        <v>0</v>
      </c>
      <c r="I833" s="60" t="s">
        <v>51</v>
      </c>
      <c r="J833" s="33" t="s">
        <v>45</v>
      </c>
      <c r="K833" s="46">
        <v>1</v>
      </c>
      <c r="L833">
        <v>91.6</v>
      </c>
      <c r="M833" t="s">
        <v>48</v>
      </c>
      <c r="N833" s="46">
        <v>1</v>
      </c>
      <c r="O833" s="46">
        <v>0</v>
      </c>
      <c r="P833" s="46">
        <v>0</v>
      </c>
      <c r="Q833" t="s">
        <v>48</v>
      </c>
      <c r="R833" t="s">
        <v>48</v>
      </c>
      <c r="S833" t="s">
        <v>4535</v>
      </c>
      <c r="T833" t="s">
        <v>4536</v>
      </c>
      <c r="U833" t="s">
        <v>4535</v>
      </c>
      <c r="V833" s="47">
        <v>0</v>
      </c>
      <c r="W833" t="s">
        <v>48</v>
      </c>
      <c r="X833" t="s">
        <v>48</v>
      </c>
      <c r="Y833" t="s">
        <v>48</v>
      </c>
      <c r="Z833">
        <v>0</v>
      </c>
      <c r="AA833" t="s">
        <v>48</v>
      </c>
      <c r="AB833" t="s">
        <v>4537</v>
      </c>
      <c r="AC833" t="s">
        <v>63</v>
      </c>
      <c r="AD833" t="s">
        <v>93</v>
      </c>
      <c r="AE833" s="40" t="s">
        <v>2471</v>
      </c>
      <c r="AF833" t="s">
        <v>11061</v>
      </c>
      <c r="AG833" t="s">
        <v>151</v>
      </c>
      <c r="AH833" t="s">
        <v>93</v>
      </c>
      <c r="AI833">
        <v>21545</v>
      </c>
      <c r="AJ833">
        <v>1946</v>
      </c>
      <c r="AK833" t="s">
        <v>9076</v>
      </c>
      <c r="AL833" t="s">
        <v>9077</v>
      </c>
      <c r="AM833">
        <v>-0.46700000000000003</v>
      </c>
      <c r="AN833">
        <v>0.03</v>
      </c>
      <c r="AO833">
        <v>-0.46700000000000003</v>
      </c>
      <c r="AP833" s="46">
        <v>0</v>
      </c>
      <c r="AQ833" s="46">
        <v>0</v>
      </c>
      <c r="AR833" s="46">
        <v>0</v>
      </c>
      <c r="AS833" s="46">
        <v>0</v>
      </c>
      <c r="AT833" s="46">
        <v>1</v>
      </c>
      <c r="AU833" s="46">
        <v>0</v>
      </c>
      <c r="AV833" s="46">
        <v>0</v>
      </c>
      <c r="AW833" s="46">
        <v>0</v>
      </c>
      <c r="AX833" s="46">
        <v>0</v>
      </c>
      <c r="AY833" s="46">
        <v>0</v>
      </c>
      <c r="AZ833" s="46">
        <v>0</v>
      </c>
      <c r="BA833" s="46">
        <v>0</v>
      </c>
      <c r="BB833" s="46">
        <v>0</v>
      </c>
      <c r="BC833" s="46">
        <v>0</v>
      </c>
      <c r="BD833" s="46">
        <v>0</v>
      </c>
      <c r="BE833" s="46">
        <v>0</v>
      </c>
      <c r="BF833" s="46">
        <v>0</v>
      </c>
      <c r="BG833" s="46" t="s">
        <v>48</v>
      </c>
      <c r="BH833" s="46">
        <v>0</v>
      </c>
      <c r="BI833" s="46">
        <v>0</v>
      </c>
      <c r="BJ833" s="46">
        <v>0</v>
      </c>
      <c r="BK833" s="46">
        <v>1</v>
      </c>
      <c r="BL833" s="46">
        <v>0</v>
      </c>
      <c r="BM833" s="46">
        <v>0</v>
      </c>
      <c r="BN833" s="46">
        <v>0</v>
      </c>
    </row>
    <row r="834" spans="1:66" x14ac:dyDescent="0.35">
      <c r="A834" t="s">
        <v>4388</v>
      </c>
      <c r="B834" s="44" t="s">
        <v>48</v>
      </c>
      <c r="C834" t="s">
        <v>1034</v>
      </c>
      <c r="D834" t="s">
        <v>1684</v>
      </c>
      <c r="E834" t="s">
        <v>4389</v>
      </c>
      <c r="F834" t="s">
        <v>4387</v>
      </c>
      <c r="G834" t="s">
        <v>47</v>
      </c>
      <c r="H834">
        <v>0</v>
      </c>
      <c r="I834" s="60" t="s">
        <v>51</v>
      </c>
      <c r="J834" s="33" t="s">
        <v>45</v>
      </c>
      <c r="K834" s="46">
        <v>0</v>
      </c>
      <c r="L834">
        <v>42.9</v>
      </c>
      <c r="M834" t="s">
        <v>48</v>
      </c>
      <c r="N834" s="46">
        <v>1</v>
      </c>
      <c r="O834" s="46">
        <v>0</v>
      </c>
      <c r="P834" s="46">
        <v>0</v>
      </c>
      <c r="Q834" t="s">
        <v>48</v>
      </c>
      <c r="R834" t="s">
        <v>48</v>
      </c>
      <c r="S834" t="s">
        <v>10302</v>
      </c>
      <c r="T834" t="s">
        <v>48</v>
      </c>
      <c r="U834" t="s">
        <v>10302</v>
      </c>
      <c r="V834" s="47">
        <v>0</v>
      </c>
      <c r="W834" t="s">
        <v>48</v>
      </c>
      <c r="X834" t="s">
        <v>48</v>
      </c>
      <c r="Y834" t="s">
        <v>48</v>
      </c>
      <c r="Z834">
        <v>0</v>
      </c>
      <c r="AA834" t="s">
        <v>48</v>
      </c>
      <c r="AB834" t="s">
        <v>48</v>
      </c>
      <c r="AC834" t="s">
        <v>49</v>
      </c>
      <c r="AD834" t="s">
        <v>93</v>
      </c>
      <c r="AE834" t="s">
        <v>4532</v>
      </c>
      <c r="AF834" t="s">
        <v>48</v>
      </c>
      <c r="AG834" t="s">
        <v>48</v>
      </c>
      <c r="AH834" t="s">
        <v>48</v>
      </c>
      <c r="AI834" t="s">
        <v>48</v>
      </c>
      <c r="AJ834" t="s">
        <v>48</v>
      </c>
      <c r="AK834" t="s">
        <v>48</v>
      </c>
      <c r="AL834" t="s">
        <v>48</v>
      </c>
      <c r="AM834" t="s">
        <v>48</v>
      </c>
      <c r="AN834" t="s">
        <v>48</v>
      </c>
      <c r="AO834" t="s">
        <v>48</v>
      </c>
      <c r="AP834" s="46">
        <v>0</v>
      </c>
      <c r="AQ834" s="46">
        <v>0</v>
      </c>
      <c r="AR834" s="46">
        <v>0</v>
      </c>
      <c r="AS834" s="46">
        <v>0</v>
      </c>
      <c r="AT834" s="46">
        <v>0</v>
      </c>
      <c r="AU834" s="46">
        <v>0</v>
      </c>
      <c r="AV834" s="46">
        <v>0</v>
      </c>
      <c r="AW834" s="46">
        <v>0</v>
      </c>
      <c r="AX834" s="46">
        <v>0</v>
      </c>
      <c r="AY834" s="46">
        <v>0</v>
      </c>
      <c r="AZ834" s="46">
        <v>0</v>
      </c>
      <c r="BA834" s="46">
        <v>0</v>
      </c>
      <c r="BB834" s="46">
        <v>0</v>
      </c>
      <c r="BC834" s="46">
        <v>0</v>
      </c>
      <c r="BD834" s="46">
        <v>0</v>
      </c>
      <c r="BE834" s="46">
        <v>0</v>
      </c>
      <c r="BF834" s="46">
        <v>0</v>
      </c>
      <c r="BG834" s="46">
        <v>1</v>
      </c>
      <c r="BH834" s="46">
        <v>0</v>
      </c>
      <c r="BI834" s="46">
        <v>0</v>
      </c>
      <c r="BJ834" s="46">
        <v>0</v>
      </c>
      <c r="BK834" s="46">
        <v>0</v>
      </c>
      <c r="BL834" s="46">
        <v>0</v>
      </c>
      <c r="BM834" s="46">
        <v>0</v>
      </c>
      <c r="BN834" s="46">
        <v>0</v>
      </c>
    </row>
    <row r="835" spans="1:66" x14ac:dyDescent="0.35">
      <c r="A835" t="s">
        <v>152</v>
      </c>
      <c r="B835" s="44" t="s">
        <v>48</v>
      </c>
      <c r="C835" t="s">
        <v>157</v>
      </c>
      <c r="D835" t="s">
        <v>156</v>
      </c>
      <c r="E835" t="s">
        <v>154</v>
      </c>
      <c r="F835" t="s">
        <v>153</v>
      </c>
      <c r="G835" t="s">
        <v>47</v>
      </c>
      <c r="H835">
        <v>0</v>
      </c>
      <c r="I835" s="60" t="s">
        <v>51</v>
      </c>
      <c r="J835" s="33" t="s">
        <v>45</v>
      </c>
      <c r="K835" s="46">
        <v>0</v>
      </c>
      <c r="L835">
        <v>32.1</v>
      </c>
      <c r="M835" t="s">
        <v>48</v>
      </c>
      <c r="N835" s="46">
        <v>1</v>
      </c>
      <c r="O835" s="46">
        <v>0</v>
      </c>
      <c r="P835" s="46">
        <v>0</v>
      </c>
      <c r="Q835" t="s">
        <v>48</v>
      </c>
      <c r="R835" t="s">
        <v>48</v>
      </c>
      <c r="S835" t="s">
        <v>155</v>
      </c>
      <c r="T835" t="s">
        <v>48</v>
      </c>
      <c r="U835" t="s">
        <v>155</v>
      </c>
      <c r="V835" s="47">
        <v>0</v>
      </c>
      <c r="W835" t="s">
        <v>48</v>
      </c>
      <c r="X835" t="s">
        <v>48</v>
      </c>
      <c r="Y835" t="s">
        <v>48</v>
      </c>
      <c r="Z835">
        <v>0</v>
      </c>
      <c r="AA835" t="s">
        <v>48</v>
      </c>
      <c r="AB835" t="s">
        <v>48</v>
      </c>
      <c r="AC835" t="s">
        <v>49</v>
      </c>
      <c r="AD835" t="s">
        <v>93</v>
      </c>
      <c r="AE835" t="s">
        <v>4532</v>
      </c>
      <c r="AF835" t="s">
        <v>48</v>
      </c>
      <c r="AG835" t="s">
        <v>48</v>
      </c>
      <c r="AH835" t="s">
        <v>48</v>
      </c>
      <c r="AI835" t="s">
        <v>48</v>
      </c>
      <c r="AJ835" t="s">
        <v>48</v>
      </c>
      <c r="AK835" t="s">
        <v>48</v>
      </c>
      <c r="AL835" t="s">
        <v>48</v>
      </c>
      <c r="AM835" t="s">
        <v>48</v>
      </c>
      <c r="AN835" t="s">
        <v>48</v>
      </c>
      <c r="AO835" t="s">
        <v>48</v>
      </c>
      <c r="AP835" s="46">
        <v>0</v>
      </c>
      <c r="AQ835" s="46">
        <v>0</v>
      </c>
      <c r="AR835" s="46">
        <v>0</v>
      </c>
      <c r="AS835" s="46">
        <v>0</v>
      </c>
      <c r="AT835" s="46">
        <v>0</v>
      </c>
      <c r="AU835" s="46">
        <v>0</v>
      </c>
      <c r="AV835" s="46">
        <v>0</v>
      </c>
      <c r="AW835" s="46">
        <v>0</v>
      </c>
      <c r="AX835" s="46">
        <v>0</v>
      </c>
      <c r="AY835" s="46">
        <v>0</v>
      </c>
      <c r="AZ835" s="46">
        <v>0</v>
      </c>
      <c r="BA835" s="46">
        <v>0</v>
      </c>
      <c r="BB835" s="46">
        <v>0</v>
      </c>
      <c r="BC835" s="46">
        <v>1</v>
      </c>
      <c r="BD835" s="46">
        <v>1</v>
      </c>
      <c r="BE835" s="46">
        <v>1</v>
      </c>
      <c r="BF835" s="46">
        <v>0</v>
      </c>
      <c r="BG835" s="46">
        <v>1</v>
      </c>
      <c r="BH835" s="46">
        <v>0</v>
      </c>
      <c r="BI835" s="46">
        <v>0</v>
      </c>
      <c r="BJ835" s="46">
        <v>0</v>
      </c>
      <c r="BK835" s="46">
        <v>0</v>
      </c>
      <c r="BL835" s="46">
        <v>0</v>
      </c>
      <c r="BM835" s="46">
        <v>0</v>
      </c>
      <c r="BN835" s="46">
        <v>1</v>
      </c>
    </row>
    <row r="836" spans="1:66" x14ac:dyDescent="0.35">
      <c r="A836" t="s">
        <v>4546</v>
      </c>
      <c r="B836" s="44" t="s">
        <v>48</v>
      </c>
      <c r="C836" t="s">
        <v>4549</v>
      </c>
      <c r="D836" t="s">
        <v>4548</v>
      </c>
      <c r="E836" t="s">
        <v>9628</v>
      </c>
      <c r="F836" t="s">
        <v>153</v>
      </c>
      <c r="G836" t="s">
        <v>74</v>
      </c>
      <c r="H836">
        <v>0</v>
      </c>
      <c r="I836" s="61">
        <v>44753</v>
      </c>
      <c r="J836" s="33" t="s">
        <v>45</v>
      </c>
      <c r="K836" s="46">
        <v>0</v>
      </c>
      <c r="L836">
        <v>51.6</v>
      </c>
      <c r="M836" t="s">
        <v>48</v>
      </c>
      <c r="N836" s="46">
        <v>1</v>
      </c>
      <c r="O836" s="46">
        <v>0</v>
      </c>
      <c r="P836" s="46">
        <v>0</v>
      </c>
      <c r="Q836" t="s">
        <v>48</v>
      </c>
      <c r="R836" t="s">
        <v>48</v>
      </c>
      <c r="S836" t="s">
        <v>4547</v>
      </c>
      <c r="T836" t="s">
        <v>48</v>
      </c>
      <c r="U836" t="s">
        <v>4547</v>
      </c>
      <c r="V836" s="47">
        <v>1</v>
      </c>
      <c r="W836" t="s">
        <v>48</v>
      </c>
      <c r="X836" t="s">
        <v>48</v>
      </c>
      <c r="Y836" t="s">
        <v>48</v>
      </c>
      <c r="Z836">
        <v>0</v>
      </c>
      <c r="AA836" t="s">
        <v>48</v>
      </c>
      <c r="AB836" t="s">
        <v>48</v>
      </c>
      <c r="AC836" t="s">
        <v>49</v>
      </c>
      <c r="AD836" t="s">
        <v>93</v>
      </c>
      <c r="AE836" t="s">
        <v>4532</v>
      </c>
      <c r="AF836" t="s">
        <v>48</v>
      </c>
      <c r="AG836" t="s">
        <v>48</v>
      </c>
      <c r="AH836" t="s">
        <v>48</v>
      </c>
      <c r="AI836" t="s">
        <v>48</v>
      </c>
      <c r="AJ836" t="s">
        <v>48</v>
      </c>
      <c r="AK836" t="s">
        <v>48</v>
      </c>
      <c r="AL836" t="s">
        <v>48</v>
      </c>
      <c r="AM836" t="s">
        <v>48</v>
      </c>
      <c r="AN836" t="s">
        <v>48</v>
      </c>
      <c r="AO836" t="s">
        <v>48</v>
      </c>
      <c r="AP836" s="46">
        <v>0</v>
      </c>
      <c r="AQ836" s="46">
        <v>0</v>
      </c>
      <c r="AR836" s="46">
        <v>0</v>
      </c>
      <c r="AS836" s="46">
        <v>0</v>
      </c>
      <c r="AT836" s="46">
        <v>0</v>
      </c>
      <c r="AU836" s="46">
        <v>0</v>
      </c>
      <c r="AV836" s="46">
        <v>0</v>
      </c>
      <c r="AW836" s="46">
        <v>0</v>
      </c>
      <c r="AX836" s="46">
        <v>0</v>
      </c>
      <c r="AY836" s="46">
        <v>0</v>
      </c>
      <c r="AZ836" s="46">
        <v>0</v>
      </c>
      <c r="BA836" s="46">
        <v>0</v>
      </c>
      <c r="BB836" s="46">
        <v>0</v>
      </c>
      <c r="BC836" s="46">
        <v>0</v>
      </c>
      <c r="BD836" s="46">
        <v>0</v>
      </c>
      <c r="BE836" s="46">
        <v>0</v>
      </c>
      <c r="BF836" s="46">
        <v>0</v>
      </c>
      <c r="BG836" s="46" t="s">
        <v>48</v>
      </c>
      <c r="BH836" s="46">
        <v>0</v>
      </c>
      <c r="BI836" s="46">
        <v>0</v>
      </c>
      <c r="BJ836" s="46">
        <v>0</v>
      </c>
      <c r="BK836" s="46">
        <v>0</v>
      </c>
      <c r="BL836" s="46">
        <v>0</v>
      </c>
      <c r="BM836" s="46">
        <v>0</v>
      </c>
      <c r="BN836" s="46">
        <v>0</v>
      </c>
    </row>
    <row r="837" spans="1:66" x14ac:dyDescent="0.35">
      <c r="A837" t="s">
        <v>4562</v>
      </c>
      <c r="B837" s="44" t="s">
        <v>48</v>
      </c>
      <c r="C837" t="s">
        <v>350</v>
      </c>
      <c r="D837" t="s">
        <v>273</v>
      </c>
      <c r="E837" t="s">
        <v>9629</v>
      </c>
      <c r="F837" t="s">
        <v>4411</v>
      </c>
      <c r="G837" t="s">
        <v>74</v>
      </c>
      <c r="H837">
        <v>0</v>
      </c>
      <c r="I837" s="61">
        <v>44753</v>
      </c>
      <c r="J837" s="33" t="s">
        <v>45</v>
      </c>
      <c r="K837" s="46">
        <v>0</v>
      </c>
      <c r="L837">
        <v>86.2</v>
      </c>
      <c r="M837" t="s">
        <v>48</v>
      </c>
      <c r="N837" s="46">
        <v>1</v>
      </c>
      <c r="O837" s="46">
        <v>0</v>
      </c>
      <c r="P837" s="46">
        <v>0</v>
      </c>
      <c r="Q837" t="s">
        <v>48</v>
      </c>
      <c r="R837" t="s">
        <v>48</v>
      </c>
      <c r="S837" t="s">
        <v>4563</v>
      </c>
      <c r="T837" t="s">
        <v>48</v>
      </c>
      <c r="U837" t="s">
        <v>4563</v>
      </c>
      <c r="V837" s="47">
        <v>1</v>
      </c>
      <c r="W837" t="s">
        <v>48</v>
      </c>
      <c r="X837" t="s">
        <v>48</v>
      </c>
      <c r="Y837" t="s">
        <v>48</v>
      </c>
      <c r="Z837" t="s">
        <v>48</v>
      </c>
      <c r="AA837" t="s">
        <v>48</v>
      </c>
      <c r="AB837" t="s">
        <v>48</v>
      </c>
      <c r="AC837" t="s">
        <v>49</v>
      </c>
      <c r="AD837" t="s">
        <v>93</v>
      </c>
      <c r="AE837" t="s">
        <v>4532</v>
      </c>
      <c r="AF837" t="s">
        <v>48</v>
      </c>
      <c r="AG837" t="s">
        <v>48</v>
      </c>
      <c r="AH837" t="s">
        <v>48</v>
      </c>
      <c r="AI837" t="s">
        <v>48</v>
      </c>
      <c r="AJ837" t="s">
        <v>48</v>
      </c>
      <c r="AK837" t="s">
        <v>48</v>
      </c>
      <c r="AL837" t="s">
        <v>48</v>
      </c>
      <c r="AM837" t="s">
        <v>48</v>
      </c>
      <c r="AN837" t="s">
        <v>48</v>
      </c>
      <c r="AO837" t="s">
        <v>48</v>
      </c>
      <c r="AP837" s="46">
        <v>0</v>
      </c>
      <c r="AQ837" s="46">
        <v>0</v>
      </c>
      <c r="AR837" s="46">
        <v>0</v>
      </c>
      <c r="AS837" s="46">
        <v>0</v>
      </c>
      <c r="AT837" s="46">
        <v>0</v>
      </c>
      <c r="AU837" s="46">
        <v>0</v>
      </c>
      <c r="AV837" s="46">
        <v>0</v>
      </c>
      <c r="AW837" s="46">
        <v>0</v>
      </c>
      <c r="AX837" s="46">
        <v>0</v>
      </c>
      <c r="AY837" s="46">
        <v>0</v>
      </c>
      <c r="AZ837" s="46">
        <v>0</v>
      </c>
      <c r="BA837" s="46">
        <v>0</v>
      </c>
      <c r="BB837" s="46">
        <v>0</v>
      </c>
      <c r="BC837" s="46">
        <v>0</v>
      </c>
      <c r="BD837" s="46">
        <v>0</v>
      </c>
      <c r="BE837" s="46">
        <v>0</v>
      </c>
      <c r="BF837" s="46">
        <v>0</v>
      </c>
      <c r="BG837" s="46" t="s">
        <v>48</v>
      </c>
      <c r="BH837" s="46">
        <v>0</v>
      </c>
      <c r="BI837" s="46">
        <v>0</v>
      </c>
      <c r="BJ837" s="46">
        <v>0</v>
      </c>
      <c r="BK837" s="46">
        <v>0</v>
      </c>
      <c r="BL837" s="46">
        <v>0</v>
      </c>
      <c r="BM837" s="46">
        <v>0</v>
      </c>
      <c r="BN837" s="46">
        <v>0</v>
      </c>
    </row>
    <row r="838" spans="1:66" x14ac:dyDescent="0.35">
      <c r="A838" t="s">
        <v>4398</v>
      </c>
      <c r="B838" s="44" t="s">
        <v>48</v>
      </c>
      <c r="C838" t="s">
        <v>4400</v>
      </c>
      <c r="D838" t="s">
        <v>2651</v>
      </c>
      <c r="E838" t="s">
        <v>9632</v>
      </c>
      <c r="F838" t="s">
        <v>4411</v>
      </c>
      <c r="G838" t="s">
        <v>47</v>
      </c>
      <c r="H838">
        <v>0</v>
      </c>
      <c r="I838" s="61">
        <v>44753</v>
      </c>
      <c r="J838" s="33" t="s">
        <v>45</v>
      </c>
      <c r="K838" s="46">
        <v>0</v>
      </c>
      <c r="L838">
        <v>75.7</v>
      </c>
      <c r="M838" t="s">
        <v>48</v>
      </c>
      <c r="N838" s="46">
        <v>1</v>
      </c>
      <c r="O838" s="46">
        <v>0</v>
      </c>
      <c r="P838" s="46">
        <v>0</v>
      </c>
      <c r="Q838" t="s">
        <v>48</v>
      </c>
      <c r="R838" t="s">
        <v>48</v>
      </c>
      <c r="S838" t="s">
        <v>4399</v>
      </c>
      <c r="T838" t="s">
        <v>48</v>
      </c>
      <c r="U838" t="s">
        <v>4399</v>
      </c>
      <c r="V838" s="47">
        <v>0</v>
      </c>
      <c r="W838" t="s">
        <v>48</v>
      </c>
      <c r="X838" t="s">
        <v>48</v>
      </c>
      <c r="Y838" t="s">
        <v>48</v>
      </c>
      <c r="Z838">
        <v>0</v>
      </c>
      <c r="AA838" t="s">
        <v>48</v>
      </c>
      <c r="AB838" t="s">
        <v>48</v>
      </c>
      <c r="AC838" t="s">
        <v>49</v>
      </c>
      <c r="AD838" t="s">
        <v>93</v>
      </c>
      <c r="AE838" t="s">
        <v>4532</v>
      </c>
      <c r="AF838" t="s">
        <v>48</v>
      </c>
      <c r="AG838" t="s">
        <v>48</v>
      </c>
      <c r="AH838" t="s">
        <v>48</v>
      </c>
      <c r="AI838" t="s">
        <v>48</v>
      </c>
      <c r="AJ838" t="s">
        <v>48</v>
      </c>
      <c r="AK838" t="s">
        <v>48</v>
      </c>
      <c r="AL838" t="s">
        <v>48</v>
      </c>
      <c r="AM838" t="s">
        <v>48</v>
      </c>
      <c r="AN838" t="s">
        <v>48</v>
      </c>
      <c r="AO838" t="s">
        <v>48</v>
      </c>
      <c r="AP838" s="46">
        <v>0</v>
      </c>
      <c r="AQ838" s="46">
        <v>0</v>
      </c>
      <c r="AR838" s="46">
        <v>0</v>
      </c>
      <c r="AS838" s="46">
        <v>0</v>
      </c>
      <c r="AT838" s="46">
        <v>0</v>
      </c>
      <c r="AU838" s="46">
        <v>0</v>
      </c>
      <c r="AV838" s="46">
        <v>0</v>
      </c>
      <c r="AW838" s="46">
        <v>0</v>
      </c>
      <c r="AX838" s="46">
        <v>0</v>
      </c>
      <c r="AY838" s="46">
        <v>0</v>
      </c>
      <c r="AZ838" s="46">
        <v>0</v>
      </c>
      <c r="BA838" s="46">
        <v>0</v>
      </c>
      <c r="BB838" s="46">
        <v>0</v>
      </c>
      <c r="BC838" s="46">
        <v>0</v>
      </c>
      <c r="BD838" s="46">
        <v>0</v>
      </c>
      <c r="BE838" s="46">
        <v>0</v>
      </c>
      <c r="BF838" s="46">
        <v>0</v>
      </c>
      <c r="BG838" s="46" t="s">
        <v>48</v>
      </c>
      <c r="BH838" s="46">
        <v>0</v>
      </c>
      <c r="BI838" s="46">
        <v>0</v>
      </c>
      <c r="BJ838" s="46">
        <v>0</v>
      </c>
      <c r="BK838" s="46">
        <v>0</v>
      </c>
      <c r="BL838" s="46">
        <v>0</v>
      </c>
      <c r="BM838" s="46">
        <v>0</v>
      </c>
      <c r="BN838" s="46">
        <v>0</v>
      </c>
    </row>
    <row r="839" spans="1:66" ht="15" x14ac:dyDescent="0.4">
      <c r="A839" t="s">
        <v>11186</v>
      </c>
      <c r="B839" s="44" t="s">
        <v>48</v>
      </c>
      <c r="C839" t="s">
        <v>12104</v>
      </c>
      <c r="D839" t="s">
        <v>12105</v>
      </c>
      <c r="E839" t="s">
        <v>11188</v>
      </c>
      <c r="F839" t="s">
        <v>4580</v>
      </c>
      <c r="G839" t="s">
        <v>83</v>
      </c>
      <c r="H839">
        <v>0</v>
      </c>
      <c r="I839" s="60" t="s">
        <v>11160</v>
      </c>
      <c r="J839" s="33" t="s">
        <v>45</v>
      </c>
      <c r="K839" s="46">
        <v>0</v>
      </c>
      <c r="L839" t="s">
        <v>48</v>
      </c>
      <c r="M839" t="s">
        <v>48</v>
      </c>
      <c r="N839" s="46">
        <v>1</v>
      </c>
      <c r="O839" s="46">
        <v>0</v>
      </c>
      <c r="P839" s="46">
        <v>0</v>
      </c>
      <c r="Q839" t="s">
        <v>48</v>
      </c>
      <c r="R839" t="s">
        <v>48</v>
      </c>
      <c r="S839" s="55" t="s">
        <v>11187</v>
      </c>
      <c r="T839" t="s">
        <v>48</v>
      </c>
      <c r="U839" s="55" t="s">
        <v>11187</v>
      </c>
      <c r="V839" s="47" t="s">
        <v>48</v>
      </c>
      <c r="W839" t="s">
        <v>48</v>
      </c>
      <c r="X839" t="s">
        <v>48</v>
      </c>
      <c r="Y839" t="s">
        <v>48</v>
      </c>
      <c r="Z839" t="s">
        <v>48</v>
      </c>
      <c r="AA839" t="s">
        <v>48</v>
      </c>
      <c r="AB839" t="s">
        <v>48</v>
      </c>
      <c r="AC839" t="s">
        <v>48</v>
      </c>
      <c r="AD839" t="s">
        <v>48</v>
      </c>
      <c r="AE839" t="s">
        <v>48</v>
      </c>
      <c r="AF839" t="s">
        <v>48</v>
      </c>
      <c r="AG839" t="s">
        <v>48</v>
      </c>
      <c r="AH839" t="s">
        <v>48</v>
      </c>
      <c r="AI839" t="s">
        <v>48</v>
      </c>
      <c r="AJ839" t="s">
        <v>48</v>
      </c>
      <c r="AK839" t="s">
        <v>48</v>
      </c>
      <c r="AL839" t="s">
        <v>48</v>
      </c>
      <c r="AM839" t="s">
        <v>48</v>
      </c>
      <c r="AN839" t="s">
        <v>48</v>
      </c>
      <c r="AO839" t="s">
        <v>48</v>
      </c>
      <c r="AP839" s="46">
        <v>0</v>
      </c>
      <c r="AQ839" s="46">
        <v>0</v>
      </c>
      <c r="AR839" s="46">
        <v>0</v>
      </c>
      <c r="AS839" s="46">
        <v>0</v>
      </c>
      <c r="AT839" s="46">
        <v>0</v>
      </c>
      <c r="AU839" s="46">
        <v>0</v>
      </c>
      <c r="AV839" s="46">
        <v>0</v>
      </c>
      <c r="AW839" s="46">
        <v>0</v>
      </c>
      <c r="AX839" s="46">
        <v>0</v>
      </c>
      <c r="AY839" s="46">
        <v>0</v>
      </c>
      <c r="AZ839" s="46">
        <v>0</v>
      </c>
      <c r="BA839" s="46">
        <v>0</v>
      </c>
      <c r="BB839" s="46">
        <v>0</v>
      </c>
      <c r="BC839" s="46">
        <v>0</v>
      </c>
      <c r="BD839" s="46">
        <v>0</v>
      </c>
      <c r="BE839" s="46">
        <v>0</v>
      </c>
      <c r="BF839" s="46">
        <v>0</v>
      </c>
      <c r="BG839" s="46" t="s">
        <v>48</v>
      </c>
      <c r="BH839" s="46">
        <v>0</v>
      </c>
      <c r="BI839" s="46">
        <v>0</v>
      </c>
      <c r="BJ839" s="46">
        <v>0</v>
      </c>
      <c r="BK839" s="46">
        <v>0</v>
      </c>
      <c r="BL839" s="46">
        <v>0</v>
      </c>
      <c r="BM839" s="46">
        <v>0</v>
      </c>
      <c r="BN839" s="46">
        <v>0</v>
      </c>
    </row>
    <row r="840" spans="1:66" x14ac:dyDescent="0.35">
      <c r="A840" t="s">
        <v>4579</v>
      </c>
      <c r="B840" t="s">
        <v>48</v>
      </c>
      <c r="C840" t="s">
        <v>194</v>
      </c>
      <c r="D840" t="s">
        <v>364</v>
      </c>
      <c r="E840" t="s">
        <v>4581</v>
      </c>
      <c r="F840" t="s">
        <v>4580</v>
      </c>
      <c r="G840" t="s">
        <v>47</v>
      </c>
      <c r="H840">
        <v>0</v>
      </c>
      <c r="I840" s="60" t="s">
        <v>51</v>
      </c>
      <c r="J840" s="33" t="s">
        <v>45</v>
      </c>
      <c r="K840" s="46">
        <v>1</v>
      </c>
      <c r="L840">
        <v>100</v>
      </c>
      <c r="M840" t="s">
        <v>48</v>
      </c>
      <c r="N840" s="46">
        <v>1</v>
      </c>
      <c r="O840" s="46">
        <v>0</v>
      </c>
      <c r="P840" s="46">
        <v>0</v>
      </c>
      <c r="Q840" t="s">
        <v>48</v>
      </c>
      <c r="R840" t="s">
        <v>48</v>
      </c>
      <c r="S840" t="s">
        <v>4582</v>
      </c>
      <c r="T840" t="s">
        <v>4583</v>
      </c>
      <c r="U840" t="s">
        <v>4582</v>
      </c>
      <c r="V840" s="47">
        <v>0</v>
      </c>
      <c r="W840" t="s">
        <v>48</v>
      </c>
      <c r="X840" t="s">
        <v>48</v>
      </c>
      <c r="Y840" t="s">
        <v>48</v>
      </c>
      <c r="Z840">
        <v>0</v>
      </c>
      <c r="AA840" t="s">
        <v>48</v>
      </c>
      <c r="AB840">
        <v>2018</v>
      </c>
      <c r="AC840" t="s">
        <v>49</v>
      </c>
      <c r="AD840" t="s">
        <v>93</v>
      </c>
      <c r="AE840" t="s">
        <v>4532</v>
      </c>
      <c r="AF840" t="s">
        <v>48</v>
      </c>
      <c r="AG840" t="s">
        <v>1105</v>
      </c>
      <c r="AH840" t="s">
        <v>93</v>
      </c>
      <c r="AI840">
        <v>21901</v>
      </c>
      <c r="AJ840">
        <v>1976</v>
      </c>
      <c r="AK840" t="s">
        <v>9080</v>
      </c>
      <c r="AL840" t="s">
        <v>9081</v>
      </c>
      <c r="AM840">
        <v>0.48499999999999999</v>
      </c>
      <c r="AN840">
        <v>-3.3000000000000002E-2</v>
      </c>
      <c r="AO840">
        <v>0.48499999999999999</v>
      </c>
      <c r="AP840" s="46">
        <v>0</v>
      </c>
      <c r="AQ840" s="46">
        <v>0</v>
      </c>
      <c r="AR840" s="46">
        <v>0</v>
      </c>
      <c r="AS840" s="46">
        <v>0</v>
      </c>
      <c r="AT840" s="46">
        <v>0</v>
      </c>
      <c r="AU840" s="46">
        <v>0</v>
      </c>
      <c r="AV840" s="46">
        <v>0</v>
      </c>
      <c r="AW840" s="46">
        <v>0</v>
      </c>
      <c r="AX840" s="46">
        <v>0</v>
      </c>
      <c r="AY840" s="46">
        <v>1</v>
      </c>
      <c r="AZ840" s="46">
        <v>0</v>
      </c>
      <c r="BA840" s="46">
        <v>0</v>
      </c>
      <c r="BB840" s="46">
        <v>1</v>
      </c>
      <c r="BC840" s="46">
        <v>0</v>
      </c>
      <c r="BD840" s="46">
        <v>0</v>
      </c>
      <c r="BE840" s="46">
        <v>0</v>
      </c>
      <c r="BF840" s="46">
        <v>0</v>
      </c>
      <c r="BG840" s="46" t="s">
        <v>48</v>
      </c>
      <c r="BH840" s="46">
        <v>0</v>
      </c>
      <c r="BI840" s="46">
        <v>0</v>
      </c>
      <c r="BJ840" s="46">
        <v>0</v>
      </c>
      <c r="BK840" s="46">
        <v>0</v>
      </c>
      <c r="BL840" s="46">
        <v>0</v>
      </c>
      <c r="BM840" s="46">
        <v>0</v>
      </c>
      <c r="BN840" s="46">
        <v>0</v>
      </c>
    </row>
    <row r="841" spans="1:66" x14ac:dyDescent="0.35">
      <c r="A841" t="s">
        <v>4603</v>
      </c>
      <c r="B841" s="44" t="s">
        <v>48</v>
      </c>
      <c r="C841" t="s">
        <v>4606</v>
      </c>
      <c r="D841" t="s">
        <v>288</v>
      </c>
      <c r="E841" t="s">
        <v>4604</v>
      </c>
      <c r="F841" t="s">
        <v>4599</v>
      </c>
      <c r="G841" t="s">
        <v>47</v>
      </c>
      <c r="H841">
        <v>0</v>
      </c>
      <c r="I841" s="60" t="s">
        <v>881</v>
      </c>
      <c r="J841" s="33" t="s">
        <v>45</v>
      </c>
      <c r="K841" s="46">
        <v>0</v>
      </c>
      <c r="L841">
        <v>73.900000000000006</v>
      </c>
      <c r="M841" t="s">
        <v>48</v>
      </c>
      <c r="N841" s="46">
        <v>1</v>
      </c>
      <c r="O841" s="46">
        <v>0</v>
      </c>
      <c r="P841" s="46">
        <v>0</v>
      </c>
      <c r="Q841" t="s">
        <v>48</v>
      </c>
      <c r="R841" t="s">
        <v>48</v>
      </c>
      <c r="S841" t="s">
        <v>4605</v>
      </c>
      <c r="T841" t="s">
        <v>48</v>
      </c>
      <c r="U841" t="s">
        <v>4605</v>
      </c>
      <c r="V841" s="47">
        <v>0</v>
      </c>
      <c r="W841" t="s">
        <v>48</v>
      </c>
      <c r="X841" t="s">
        <v>48</v>
      </c>
      <c r="Y841" t="s">
        <v>48</v>
      </c>
      <c r="Z841">
        <v>0</v>
      </c>
      <c r="AA841" t="s">
        <v>48</v>
      </c>
      <c r="AB841" t="s">
        <v>48</v>
      </c>
      <c r="AC841" t="s">
        <v>49</v>
      </c>
      <c r="AD841" t="s">
        <v>93</v>
      </c>
      <c r="AE841" t="s">
        <v>4532</v>
      </c>
      <c r="AF841" t="s">
        <v>48</v>
      </c>
      <c r="AG841" t="s">
        <v>48</v>
      </c>
      <c r="AH841" t="s">
        <v>48</v>
      </c>
      <c r="AI841" t="s">
        <v>48</v>
      </c>
      <c r="AJ841" t="s">
        <v>48</v>
      </c>
      <c r="AK841" t="s">
        <v>48</v>
      </c>
      <c r="AL841" t="s">
        <v>48</v>
      </c>
      <c r="AM841" t="s">
        <v>48</v>
      </c>
      <c r="AN841" t="s">
        <v>48</v>
      </c>
      <c r="AO841" t="s">
        <v>48</v>
      </c>
      <c r="AP841" s="46">
        <v>0</v>
      </c>
      <c r="AQ841" s="46">
        <v>0</v>
      </c>
      <c r="AR841" s="46">
        <v>0</v>
      </c>
      <c r="AS841" s="46">
        <v>0</v>
      </c>
      <c r="AT841" s="46">
        <v>0</v>
      </c>
      <c r="AU841" s="46">
        <v>0</v>
      </c>
      <c r="AV841" s="46">
        <v>0</v>
      </c>
      <c r="AW841" s="46">
        <v>0</v>
      </c>
      <c r="AX841" s="46">
        <v>0</v>
      </c>
      <c r="AY841" s="46">
        <v>0</v>
      </c>
      <c r="AZ841" s="46">
        <v>0</v>
      </c>
      <c r="BA841" s="46">
        <v>0</v>
      </c>
      <c r="BB841" s="46">
        <v>0</v>
      </c>
      <c r="BC841" s="46">
        <v>0</v>
      </c>
      <c r="BD841" s="46">
        <v>0</v>
      </c>
      <c r="BE841" s="46">
        <v>0</v>
      </c>
      <c r="BF841" s="46">
        <v>0</v>
      </c>
      <c r="BG841" s="46" t="s">
        <v>48</v>
      </c>
      <c r="BH841" s="46">
        <v>0</v>
      </c>
      <c r="BI841" s="46">
        <v>0</v>
      </c>
      <c r="BJ841" s="46">
        <v>0</v>
      </c>
      <c r="BK841" s="46">
        <v>0</v>
      </c>
      <c r="BL841" s="46">
        <v>0</v>
      </c>
      <c r="BM841" s="46">
        <v>0</v>
      </c>
      <c r="BN841" s="46">
        <v>0</v>
      </c>
    </row>
    <row r="842" spans="1:66" x14ac:dyDescent="0.35">
      <c r="A842" t="s">
        <v>4598</v>
      </c>
      <c r="B842" s="44" t="s">
        <v>48</v>
      </c>
      <c r="C842" t="s">
        <v>12109</v>
      </c>
      <c r="D842" t="s">
        <v>4602</v>
      </c>
      <c r="E842" t="s">
        <v>4600</v>
      </c>
      <c r="F842" t="s">
        <v>4599</v>
      </c>
      <c r="G842" t="s">
        <v>74</v>
      </c>
      <c r="H842">
        <v>0</v>
      </c>
      <c r="I842" s="60" t="s">
        <v>149</v>
      </c>
      <c r="J842" s="33" t="s">
        <v>45</v>
      </c>
      <c r="K842" s="46">
        <v>0</v>
      </c>
      <c r="L842">
        <v>86.7</v>
      </c>
      <c r="M842" t="s">
        <v>48</v>
      </c>
      <c r="N842" s="46">
        <v>1</v>
      </c>
      <c r="O842" s="46">
        <v>0</v>
      </c>
      <c r="P842" s="46">
        <v>0</v>
      </c>
      <c r="Q842" t="s">
        <v>48</v>
      </c>
      <c r="R842" t="s">
        <v>48</v>
      </c>
      <c r="S842" t="s">
        <v>4601</v>
      </c>
      <c r="T842" t="s">
        <v>48</v>
      </c>
      <c r="U842" t="s">
        <v>4601</v>
      </c>
      <c r="V842" s="47">
        <v>1</v>
      </c>
      <c r="W842" t="s">
        <v>48</v>
      </c>
      <c r="X842" t="s">
        <v>48</v>
      </c>
      <c r="Y842" t="s">
        <v>48</v>
      </c>
      <c r="Z842">
        <v>0</v>
      </c>
      <c r="AA842" t="s">
        <v>48</v>
      </c>
      <c r="AB842" t="s">
        <v>48</v>
      </c>
      <c r="AC842" t="s">
        <v>63</v>
      </c>
      <c r="AD842" t="s">
        <v>93</v>
      </c>
      <c r="AE842" t="s">
        <v>4532</v>
      </c>
      <c r="AF842" t="s">
        <v>48</v>
      </c>
      <c r="AG842" t="s">
        <v>48</v>
      </c>
      <c r="AH842" t="s">
        <v>2043</v>
      </c>
      <c r="AI842" t="s">
        <v>48</v>
      </c>
      <c r="AJ842" t="s">
        <v>48</v>
      </c>
      <c r="AK842" t="s">
        <v>48</v>
      </c>
      <c r="AL842" t="s">
        <v>48</v>
      </c>
      <c r="AM842" t="s">
        <v>48</v>
      </c>
      <c r="AN842" t="s">
        <v>48</v>
      </c>
      <c r="AO842" t="s">
        <v>48</v>
      </c>
      <c r="AP842" s="46">
        <v>0</v>
      </c>
      <c r="AQ842" s="46">
        <v>0</v>
      </c>
      <c r="AR842" s="46">
        <v>0</v>
      </c>
      <c r="AS842" s="46">
        <v>0</v>
      </c>
      <c r="AT842" s="46">
        <v>0</v>
      </c>
      <c r="AU842" s="46">
        <v>0</v>
      </c>
      <c r="AV842" s="46">
        <v>0</v>
      </c>
      <c r="AW842" s="46">
        <v>0</v>
      </c>
      <c r="AX842" s="46">
        <v>0</v>
      </c>
      <c r="AY842" s="46">
        <v>0</v>
      </c>
      <c r="AZ842" s="46">
        <v>0</v>
      </c>
      <c r="BA842" s="46">
        <v>0</v>
      </c>
      <c r="BB842" s="46">
        <v>0</v>
      </c>
      <c r="BC842" s="46">
        <v>0</v>
      </c>
      <c r="BD842" s="46">
        <v>0</v>
      </c>
      <c r="BE842" s="46">
        <v>0</v>
      </c>
      <c r="BF842" s="46">
        <v>0</v>
      </c>
      <c r="BG842" s="46" t="s">
        <v>48</v>
      </c>
      <c r="BH842" s="46">
        <v>0</v>
      </c>
      <c r="BI842" s="46">
        <v>0</v>
      </c>
      <c r="BJ842" s="46">
        <v>0</v>
      </c>
      <c r="BK842" s="46">
        <v>0</v>
      </c>
      <c r="BL842" s="46">
        <v>0</v>
      </c>
      <c r="BM842" s="46">
        <v>0</v>
      </c>
      <c r="BN842" s="46">
        <v>0</v>
      </c>
    </row>
    <row r="843" spans="1:66" x14ac:dyDescent="0.35">
      <c r="A843" t="s">
        <v>4620</v>
      </c>
      <c r="B843" t="s">
        <v>48</v>
      </c>
      <c r="C843" t="s">
        <v>4625</v>
      </c>
      <c r="D843" t="s">
        <v>269</v>
      </c>
      <c r="E843" t="s">
        <v>4622</v>
      </c>
      <c r="F843" t="s">
        <v>4621</v>
      </c>
      <c r="G843" t="s">
        <v>47</v>
      </c>
      <c r="H843">
        <v>0</v>
      </c>
      <c r="I843" s="60" t="s">
        <v>51</v>
      </c>
      <c r="J843" s="33" t="s">
        <v>45</v>
      </c>
      <c r="K843" s="46">
        <v>1</v>
      </c>
      <c r="L843">
        <v>77.2</v>
      </c>
      <c r="M843" t="s">
        <v>48</v>
      </c>
      <c r="N843" s="46">
        <v>1</v>
      </c>
      <c r="O843" s="46">
        <v>0</v>
      </c>
      <c r="P843" s="46">
        <v>0</v>
      </c>
      <c r="Q843" t="s">
        <v>48</v>
      </c>
      <c r="R843" t="s">
        <v>48</v>
      </c>
      <c r="S843" t="s">
        <v>4623</v>
      </c>
      <c r="T843" t="s">
        <v>4624</v>
      </c>
      <c r="U843" t="s">
        <v>4623</v>
      </c>
      <c r="V843" s="47">
        <v>0</v>
      </c>
      <c r="W843" t="s">
        <v>48</v>
      </c>
      <c r="X843" t="s">
        <v>48</v>
      </c>
      <c r="Y843" t="s">
        <v>48</v>
      </c>
      <c r="Z843">
        <v>0</v>
      </c>
      <c r="AA843" t="s">
        <v>48</v>
      </c>
      <c r="AB843">
        <v>2016</v>
      </c>
      <c r="AC843" t="s">
        <v>49</v>
      </c>
      <c r="AD843" t="s">
        <v>93</v>
      </c>
      <c r="AE843" t="s">
        <v>4532</v>
      </c>
      <c r="AF843" t="s">
        <v>48</v>
      </c>
      <c r="AG843" t="s">
        <v>112</v>
      </c>
      <c r="AH843" t="s">
        <v>93</v>
      </c>
      <c r="AI843">
        <v>21701</v>
      </c>
      <c r="AJ843">
        <v>1963</v>
      </c>
      <c r="AK843" t="s">
        <v>9084</v>
      </c>
      <c r="AL843" t="s">
        <v>9085</v>
      </c>
      <c r="AM843">
        <v>0.36199999999999999</v>
      </c>
      <c r="AN843">
        <v>-5.8000000000000003E-2</v>
      </c>
      <c r="AO843">
        <v>0.36199999999999999</v>
      </c>
      <c r="AP843" s="46">
        <v>0</v>
      </c>
      <c r="AQ843" s="46">
        <v>0</v>
      </c>
      <c r="AR843" s="46">
        <v>0</v>
      </c>
      <c r="AS843" s="46">
        <v>0</v>
      </c>
      <c r="AT843" s="46">
        <v>0</v>
      </c>
      <c r="AU843" s="46">
        <v>0</v>
      </c>
      <c r="AV843" s="46">
        <v>0</v>
      </c>
      <c r="AW843" s="46">
        <v>0</v>
      </c>
      <c r="AX843" s="46">
        <v>0</v>
      </c>
      <c r="AY843" s="46">
        <v>1</v>
      </c>
      <c r="AZ843" s="46">
        <v>1</v>
      </c>
      <c r="BA843" s="46">
        <v>1</v>
      </c>
      <c r="BB843" s="46">
        <v>1</v>
      </c>
      <c r="BC843" s="46">
        <v>0</v>
      </c>
      <c r="BD843" s="46">
        <v>0</v>
      </c>
      <c r="BE843" s="46">
        <v>0</v>
      </c>
      <c r="BF843" s="46">
        <v>0</v>
      </c>
      <c r="BG843" s="46" t="s">
        <v>48</v>
      </c>
      <c r="BH843" s="46">
        <v>0</v>
      </c>
      <c r="BI843" s="46">
        <v>0</v>
      </c>
      <c r="BJ843" s="46">
        <v>0</v>
      </c>
      <c r="BK843" s="46">
        <v>0</v>
      </c>
      <c r="BL843" s="46">
        <v>0</v>
      </c>
      <c r="BM843" s="46">
        <v>1</v>
      </c>
      <c r="BN843" s="46">
        <v>0</v>
      </c>
    </row>
    <row r="844" spans="1:66" x14ac:dyDescent="0.35">
      <c r="A844" t="s">
        <v>4631</v>
      </c>
      <c r="B844" s="44" t="s">
        <v>48</v>
      </c>
      <c r="C844" t="s">
        <v>1518</v>
      </c>
      <c r="D844" t="s">
        <v>1222</v>
      </c>
      <c r="E844" t="s">
        <v>4632</v>
      </c>
      <c r="F844" t="s">
        <v>4621</v>
      </c>
      <c r="G844" t="s">
        <v>74</v>
      </c>
      <c r="H844">
        <v>0</v>
      </c>
      <c r="I844" s="60" t="s">
        <v>51</v>
      </c>
      <c r="J844" s="33" t="s">
        <v>45</v>
      </c>
      <c r="K844" s="46">
        <v>0</v>
      </c>
      <c r="L844">
        <v>69.3</v>
      </c>
      <c r="M844" t="s">
        <v>48</v>
      </c>
      <c r="N844" s="46">
        <v>1</v>
      </c>
      <c r="O844" s="46">
        <v>0</v>
      </c>
      <c r="P844" s="46">
        <v>0</v>
      </c>
      <c r="Q844" t="s">
        <v>48</v>
      </c>
      <c r="R844" t="s">
        <v>48</v>
      </c>
      <c r="S844" t="s">
        <v>4633</v>
      </c>
      <c r="T844" t="s">
        <v>48</v>
      </c>
      <c r="U844" t="s">
        <v>4633</v>
      </c>
      <c r="V844" s="47">
        <v>1</v>
      </c>
      <c r="W844" t="s">
        <v>48</v>
      </c>
      <c r="X844" t="s">
        <v>48</v>
      </c>
      <c r="Y844" t="s">
        <v>48</v>
      </c>
      <c r="Z844">
        <v>0</v>
      </c>
      <c r="AA844" t="s">
        <v>48</v>
      </c>
      <c r="AB844" t="s">
        <v>48</v>
      </c>
      <c r="AC844" t="s">
        <v>49</v>
      </c>
      <c r="AD844" t="s">
        <v>951</v>
      </c>
      <c r="AE844" s="40" t="s">
        <v>11051</v>
      </c>
      <c r="AF844" t="s">
        <v>108</v>
      </c>
      <c r="AG844" t="s">
        <v>48</v>
      </c>
      <c r="AH844" t="s">
        <v>93</v>
      </c>
      <c r="AI844" t="s">
        <v>48</v>
      </c>
      <c r="AJ844" t="s">
        <v>48</v>
      </c>
      <c r="AK844" t="s">
        <v>48</v>
      </c>
      <c r="AL844" t="s">
        <v>48</v>
      </c>
      <c r="AM844" t="s">
        <v>48</v>
      </c>
      <c r="AN844" t="s">
        <v>48</v>
      </c>
      <c r="AO844" t="s">
        <v>48</v>
      </c>
      <c r="AP844" s="46">
        <v>0</v>
      </c>
      <c r="AQ844" s="46">
        <v>0</v>
      </c>
      <c r="AR844" s="46">
        <v>0</v>
      </c>
      <c r="AS844" s="46">
        <v>0</v>
      </c>
      <c r="AT844" s="46">
        <v>0</v>
      </c>
      <c r="AU844" s="46">
        <v>0</v>
      </c>
      <c r="AV844" s="46">
        <v>0</v>
      </c>
      <c r="AW844" s="46">
        <v>0</v>
      </c>
      <c r="AX844" s="46">
        <v>0</v>
      </c>
      <c r="AY844" s="46">
        <v>0</v>
      </c>
      <c r="AZ844" s="46">
        <v>0</v>
      </c>
      <c r="BA844" s="46">
        <v>0</v>
      </c>
      <c r="BB844" s="46">
        <v>0</v>
      </c>
      <c r="BC844" s="46">
        <v>0</v>
      </c>
      <c r="BD844" s="46">
        <v>0</v>
      </c>
      <c r="BE844" s="46">
        <v>0</v>
      </c>
      <c r="BF844" s="46">
        <v>0</v>
      </c>
      <c r="BG844" s="46" t="s">
        <v>48</v>
      </c>
      <c r="BH844" s="46">
        <v>0</v>
      </c>
      <c r="BI844" s="46">
        <v>0</v>
      </c>
      <c r="BJ844" s="46">
        <v>0</v>
      </c>
      <c r="BK844" s="46">
        <v>0</v>
      </c>
      <c r="BL844" s="46">
        <v>0</v>
      </c>
      <c r="BM844" s="46">
        <v>0</v>
      </c>
      <c r="BN844" s="46">
        <v>0</v>
      </c>
    </row>
    <row r="845" spans="1:66" x14ac:dyDescent="0.35">
      <c r="A845" t="s">
        <v>4634</v>
      </c>
      <c r="B845" s="44" t="s">
        <v>48</v>
      </c>
      <c r="C845" t="s">
        <v>80</v>
      </c>
      <c r="D845" t="s">
        <v>3786</v>
      </c>
      <c r="E845" t="s">
        <v>4636</v>
      </c>
      <c r="F845" t="s">
        <v>4635</v>
      </c>
      <c r="G845" t="s">
        <v>47</v>
      </c>
      <c r="H845">
        <v>0</v>
      </c>
      <c r="I845" s="60" t="s">
        <v>51</v>
      </c>
      <c r="J845" s="33" t="s">
        <v>45</v>
      </c>
      <c r="K845" s="46">
        <v>1</v>
      </c>
      <c r="L845">
        <v>76</v>
      </c>
      <c r="M845" t="s">
        <v>48</v>
      </c>
      <c r="N845" s="46">
        <v>1</v>
      </c>
      <c r="O845" s="46">
        <v>0</v>
      </c>
      <c r="P845" s="46">
        <v>0</v>
      </c>
      <c r="Q845" t="s">
        <v>48</v>
      </c>
      <c r="R845" t="s">
        <v>48</v>
      </c>
      <c r="S845" t="s">
        <v>48</v>
      </c>
      <c r="T845" t="s">
        <v>4637</v>
      </c>
      <c r="U845" t="s">
        <v>48</v>
      </c>
      <c r="V845" s="47">
        <v>0</v>
      </c>
      <c r="W845" t="s">
        <v>48</v>
      </c>
      <c r="X845" t="s">
        <v>48</v>
      </c>
      <c r="Y845" t="s">
        <v>48</v>
      </c>
      <c r="Z845">
        <v>0</v>
      </c>
      <c r="AA845" t="s">
        <v>48</v>
      </c>
      <c r="AB845">
        <v>2006</v>
      </c>
      <c r="AC845" t="s">
        <v>49</v>
      </c>
      <c r="AD845" t="s">
        <v>93</v>
      </c>
      <c r="AE845" t="s">
        <v>4532</v>
      </c>
      <c r="AF845" t="s">
        <v>48</v>
      </c>
      <c r="AG845" t="s">
        <v>4638</v>
      </c>
      <c r="AH845" t="s">
        <v>93</v>
      </c>
      <c r="AI845">
        <v>20729</v>
      </c>
      <c r="AJ845">
        <v>1970</v>
      </c>
      <c r="AK845" t="s">
        <v>9086</v>
      </c>
      <c r="AL845" t="s">
        <v>9087</v>
      </c>
      <c r="AM845">
        <v>0.51600000000000001</v>
      </c>
      <c r="AN845">
        <v>0.21099999999999999</v>
      </c>
      <c r="AO845">
        <v>0.51600000000000001</v>
      </c>
      <c r="AP845" s="46">
        <v>0</v>
      </c>
      <c r="AQ845" s="46">
        <v>0</v>
      </c>
      <c r="AR845" s="46">
        <v>0</v>
      </c>
      <c r="AS845" s="46">
        <v>0</v>
      </c>
      <c r="AT845" s="46">
        <v>0</v>
      </c>
      <c r="AU845" s="46">
        <v>0</v>
      </c>
      <c r="AV845" s="46">
        <v>0</v>
      </c>
      <c r="AW845" s="46">
        <v>0</v>
      </c>
      <c r="AX845" s="46">
        <v>0</v>
      </c>
      <c r="AY845" s="46">
        <v>0</v>
      </c>
      <c r="AZ845" s="46">
        <v>0</v>
      </c>
      <c r="BA845" s="46">
        <v>0</v>
      </c>
      <c r="BB845" s="46">
        <v>0</v>
      </c>
      <c r="BC845" s="46">
        <v>0</v>
      </c>
      <c r="BD845" s="46">
        <v>0</v>
      </c>
      <c r="BE845" s="46">
        <v>0</v>
      </c>
      <c r="BF845" s="46">
        <v>0</v>
      </c>
      <c r="BG845" s="46">
        <v>1</v>
      </c>
      <c r="BH845" s="46">
        <v>0</v>
      </c>
      <c r="BI845" s="46">
        <v>0</v>
      </c>
      <c r="BJ845" s="46">
        <v>0</v>
      </c>
      <c r="BK845" s="46">
        <v>0</v>
      </c>
      <c r="BL845" s="46">
        <v>0</v>
      </c>
      <c r="BM845" s="46">
        <v>0</v>
      </c>
      <c r="BN845" s="46">
        <v>0</v>
      </c>
    </row>
    <row r="846" spans="1:66" x14ac:dyDescent="0.35">
      <c r="A846" t="s">
        <v>7906</v>
      </c>
      <c r="B846" s="44" t="s">
        <v>48</v>
      </c>
      <c r="C846" t="s">
        <v>12114</v>
      </c>
      <c r="D846" t="s">
        <v>268</v>
      </c>
      <c r="E846" t="s">
        <v>7905</v>
      </c>
      <c r="F846" t="s">
        <v>4635</v>
      </c>
      <c r="G846" t="s">
        <v>74</v>
      </c>
      <c r="H846">
        <v>0</v>
      </c>
      <c r="I846" s="61">
        <v>44720</v>
      </c>
      <c r="J846" s="33" t="s">
        <v>45</v>
      </c>
      <c r="K846" s="46">
        <v>0</v>
      </c>
      <c r="L846">
        <v>52.3</v>
      </c>
      <c r="M846" t="s">
        <v>48</v>
      </c>
      <c r="N846" s="46">
        <v>1</v>
      </c>
      <c r="O846" s="46">
        <v>0</v>
      </c>
      <c r="P846" s="46">
        <v>0</v>
      </c>
      <c r="Q846" t="s">
        <v>48</v>
      </c>
      <c r="R846" t="s">
        <v>48</v>
      </c>
      <c r="S846" t="s">
        <v>48</v>
      </c>
      <c r="T846" t="s">
        <v>48</v>
      </c>
      <c r="U846" t="s">
        <v>48</v>
      </c>
      <c r="V846" s="47">
        <v>1</v>
      </c>
      <c r="W846" t="s">
        <v>11264</v>
      </c>
      <c r="X846" t="s">
        <v>48</v>
      </c>
      <c r="Y846" t="s">
        <v>48</v>
      </c>
      <c r="Z846" t="s">
        <v>48</v>
      </c>
      <c r="AA846" t="s">
        <v>48</v>
      </c>
      <c r="AB846" t="s">
        <v>48</v>
      </c>
      <c r="AC846" t="s">
        <v>49</v>
      </c>
      <c r="AD846" t="s">
        <v>93</v>
      </c>
      <c r="AE846" t="s">
        <v>4532</v>
      </c>
      <c r="AF846" t="s">
        <v>48</v>
      </c>
      <c r="AG846" t="s">
        <v>48</v>
      </c>
      <c r="AH846" t="s">
        <v>48</v>
      </c>
      <c r="AI846" t="s">
        <v>48</v>
      </c>
      <c r="AJ846" t="s">
        <v>48</v>
      </c>
      <c r="AK846" t="s">
        <v>48</v>
      </c>
      <c r="AL846" t="s">
        <v>48</v>
      </c>
      <c r="AM846" t="s">
        <v>48</v>
      </c>
      <c r="AN846" t="s">
        <v>48</v>
      </c>
      <c r="AO846" t="s">
        <v>48</v>
      </c>
      <c r="AP846" s="46">
        <v>0</v>
      </c>
      <c r="AQ846" s="46">
        <v>0</v>
      </c>
      <c r="AR846" s="46">
        <v>0</v>
      </c>
      <c r="AS846" s="46">
        <v>0</v>
      </c>
      <c r="AT846" s="46">
        <v>0</v>
      </c>
      <c r="AU846" s="46">
        <v>0</v>
      </c>
      <c r="AV846" s="46">
        <v>0</v>
      </c>
      <c r="AW846" s="46">
        <v>0</v>
      </c>
      <c r="AX846" s="46">
        <v>0</v>
      </c>
      <c r="AY846" s="46">
        <v>0</v>
      </c>
      <c r="AZ846" s="46">
        <v>0</v>
      </c>
      <c r="BA846" s="46">
        <v>0</v>
      </c>
      <c r="BB846" s="46">
        <v>0</v>
      </c>
      <c r="BC846" s="46">
        <v>0</v>
      </c>
      <c r="BD846" s="46">
        <v>0</v>
      </c>
      <c r="BE846" s="46">
        <v>0</v>
      </c>
      <c r="BF846" s="46">
        <v>0</v>
      </c>
      <c r="BG846" s="46" t="s">
        <v>48</v>
      </c>
      <c r="BH846" s="46">
        <v>0</v>
      </c>
      <c r="BI846" s="46">
        <v>0</v>
      </c>
      <c r="BJ846" s="46">
        <v>0</v>
      </c>
      <c r="BK846" s="46">
        <v>0</v>
      </c>
      <c r="BL846" s="46">
        <v>0</v>
      </c>
      <c r="BM846" s="46">
        <v>0</v>
      </c>
      <c r="BN846" s="46">
        <v>0</v>
      </c>
    </row>
    <row r="847" spans="1:66" x14ac:dyDescent="0.35">
      <c r="A847" t="s">
        <v>4677</v>
      </c>
      <c r="B847" t="s">
        <v>48</v>
      </c>
      <c r="C847" t="s">
        <v>2966</v>
      </c>
      <c r="D847" t="s">
        <v>216</v>
      </c>
      <c r="E847" t="s">
        <v>4678</v>
      </c>
      <c r="F847" t="s">
        <v>4652</v>
      </c>
      <c r="G847" t="s">
        <v>74</v>
      </c>
      <c r="H847">
        <v>0</v>
      </c>
      <c r="I847" s="60" t="s">
        <v>51</v>
      </c>
      <c r="J847" s="33" t="s">
        <v>45</v>
      </c>
      <c r="K847" s="46">
        <v>1</v>
      </c>
      <c r="L847">
        <v>100</v>
      </c>
      <c r="M847" t="s">
        <v>48</v>
      </c>
      <c r="N847" s="46">
        <v>1</v>
      </c>
      <c r="O847" s="46">
        <v>0</v>
      </c>
      <c r="P847" s="46">
        <v>0</v>
      </c>
      <c r="Q847" t="s">
        <v>48</v>
      </c>
      <c r="R847" t="s">
        <v>48</v>
      </c>
      <c r="S847" t="s">
        <v>4679</v>
      </c>
      <c r="T847" t="s">
        <v>4680</v>
      </c>
      <c r="U847" t="s">
        <v>4679</v>
      </c>
      <c r="V847" s="47">
        <v>0</v>
      </c>
      <c r="W847" t="s">
        <v>48</v>
      </c>
      <c r="X847" t="s">
        <v>48</v>
      </c>
      <c r="Y847" t="s">
        <v>48</v>
      </c>
      <c r="Z847">
        <v>0</v>
      </c>
      <c r="AA847" t="s">
        <v>48</v>
      </c>
      <c r="AB847">
        <v>2018</v>
      </c>
      <c r="AC847" t="s">
        <v>49</v>
      </c>
      <c r="AD847" t="s">
        <v>93</v>
      </c>
      <c r="AE847" t="s">
        <v>4532</v>
      </c>
      <c r="AF847" t="s">
        <v>48</v>
      </c>
      <c r="AG847" t="s">
        <v>988</v>
      </c>
      <c r="AH847" t="s">
        <v>951</v>
      </c>
      <c r="AI847">
        <v>21951</v>
      </c>
      <c r="AJ847">
        <v>1980</v>
      </c>
      <c r="AK847" t="s">
        <v>9088</v>
      </c>
      <c r="AL847" t="s">
        <v>9089</v>
      </c>
      <c r="AM847">
        <v>-0.27800000000000002</v>
      </c>
      <c r="AN847">
        <v>0.375</v>
      </c>
      <c r="AO847">
        <v>-0.27800000000000002</v>
      </c>
      <c r="AP847" s="46">
        <v>0</v>
      </c>
      <c r="AQ847" s="46">
        <v>0</v>
      </c>
      <c r="AR847" s="46">
        <v>0</v>
      </c>
      <c r="AS847" s="46">
        <v>0</v>
      </c>
      <c r="AT847" s="46">
        <v>0</v>
      </c>
      <c r="AU847" s="46">
        <v>1</v>
      </c>
      <c r="AV847" s="46">
        <v>0</v>
      </c>
      <c r="AW847" s="46">
        <v>0</v>
      </c>
      <c r="AX847" s="46">
        <v>0</v>
      </c>
      <c r="AY847" s="46">
        <v>0</v>
      </c>
      <c r="AZ847" s="46">
        <v>0</v>
      </c>
      <c r="BA847" s="46">
        <v>1</v>
      </c>
      <c r="BB847" s="46">
        <v>0</v>
      </c>
      <c r="BC847" s="46">
        <v>0</v>
      </c>
      <c r="BD847" s="46">
        <v>0</v>
      </c>
      <c r="BE847" s="46">
        <v>0</v>
      </c>
      <c r="BF847" s="46">
        <v>0</v>
      </c>
      <c r="BG847" s="46" t="s">
        <v>48</v>
      </c>
      <c r="BH847" s="46">
        <v>0</v>
      </c>
      <c r="BI847" s="46">
        <v>0</v>
      </c>
      <c r="BJ847" s="46">
        <v>0</v>
      </c>
      <c r="BK847" s="46">
        <v>0</v>
      </c>
      <c r="BL847" s="46">
        <v>0</v>
      </c>
      <c r="BM847" s="46">
        <v>0</v>
      </c>
      <c r="BN847" s="46">
        <v>0</v>
      </c>
    </row>
    <row r="848" spans="1:66" x14ac:dyDescent="0.35">
      <c r="A848" t="s">
        <v>4668</v>
      </c>
      <c r="B848" s="44" t="s">
        <v>48</v>
      </c>
      <c r="C848" t="s">
        <v>4672</v>
      </c>
      <c r="D848" t="s">
        <v>4671</v>
      </c>
      <c r="E848" t="s">
        <v>4669</v>
      </c>
      <c r="F848" t="s">
        <v>4652</v>
      </c>
      <c r="G848" t="s">
        <v>47</v>
      </c>
      <c r="H848">
        <v>0</v>
      </c>
      <c r="I848" s="60" t="s">
        <v>51</v>
      </c>
      <c r="J848" s="33" t="s">
        <v>45</v>
      </c>
      <c r="K848" s="46">
        <v>0</v>
      </c>
      <c r="L848">
        <v>33.4</v>
      </c>
      <c r="M848" t="s">
        <v>48</v>
      </c>
      <c r="N848" s="46">
        <v>1</v>
      </c>
      <c r="O848" s="46">
        <v>0</v>
      </c>
      <c r="P848" s="46">
        <v>0</v>
      </c>
      <c r="Q848" t="s">
        <v>48</v>
      </c>
      <c r="R848" t="s">
        <v>48</v>
      </c>
      <c r="S848" t="s">
        <v>4670</v>
      </c>
      <c r="T848" t="s">
        <v>48</v>
      </c>
      <c r="U848" t="s">
        <v>4670</v>
      </c>
      <c r="V848" s="47">
        <v>0</v>
      </c>
      <c r="W848" t="s">
        <v>48</v>
      </c>
      <c r="X848" t="s">
        <v>48</v>
      </c>
      <c r="Y848" t="s">
        <v>48</v>
      </c>
      <c r="Z848">
        <v>0</v>
      </c>
      <c r="AA848" t="s">
        <v>48</v>
      </c>
      <c r="AB848" t="s">
        <v>48</v>
      </c>
      <c r="AC848" t="s">
        <v>63</v>
      </c>
      <c r="AD848" t="s">
        <v>93</v>
      </c>
      <c r="AE848" t="s">
        <v>4532</v>
      </c>
      <c r="AF848" t="s">
        <v>48</v>
      </c>
      <c r="AG848" t="s">
        <v>48</v>
      </c>
      <c r="AH848" t="s">
        <v>48</v>
      </c>
      <c r="AI848" t="s">
        <v>48</v>
      </c>
      <c r="AJ848" t="s">
        <v>48</v>
      </c>
      <c r="AK848" t="s">
        <v>48</v>
      </c>
      <c r="AL848" t="s">
        <v>48</v>
      </c>
      <c r="AM848" t="s">
        <v>48</v>
      </c>
      <c r="AN848" t="s">
        <v>48</v>
      </c>
      <c r="AO848" t="s">
        <v>48</v>
      </c>
      <c r="AP848" s="46">
        <v>0</v>
      </c>
      <c r="AQ848" s="46">
        <v>0</v>
      </c>
      <c r="AR848" s="46">
        <v>0</v>
      </c>
      <c r="AS848" s="46">
        <v>0</v>
      </c>
      <c r="AT848" s="46">
        <v>0</v>
      </c>
      <c r="AU848" s="46">
        <v>0</v>
      </c>
      <c r="AV848" s="46">
        <v>0</v>
      </c>
      <c r="AW848" s="46">
        <v>0</v>
      </c>
      <c r="AX848" s="46">
        <v>0</v>
      </c>
      <c r="AY848" s="46">
        <v>0</v>
      </c>
      <c r="AZ848" s="46">
        <v>0</v>
      </c>
      <c r="BA848" s="46">
        <v>0</v>
      </c>
      <c r="BB848" s="46">
        <v>0</v>
      </c>
      <c r="BC848" s="46">
        <v>0</v>
      </c>
      <c r="BD848" s="46">
        <v>0</v>
      </c>
      <c r="BE848" s="46">
        <v>1</v>
      </c>
      <c r="BF848" s="46">
        <v>0</v>
      </c>
      <c r="BG848" s="46">
        <v>1</v>
      </c>
      <c r="BH848" s="46">
        <v>0</v>
      </c>
      <c r="BI848" s="46">
        <v>0</v>
      </c>
      <c r="BJ848" s="46">
        <v>0</v>
      </c>
      <c r="BK848" s="46">
        <v>0</v>
      </c>
      <c r="BL848" s="46">
        <v>0</v>
      </c>
      <c r="BM848" s="46">
        <v>0</v>
      </c>
      <c r="BN848" s="46">
        <v>1</v>
      </c>
    </row>
    <row r="849" spans="1:66" x14ac:dyDescent="0.35">
      <c r="A849" t="s">
        <v>4697</v>
      </c>
      <c r="B849" t="s">
        <v>48</v>
      </c>
      <c r="C849" t="s">
        <v>4701</v>
      </c>
      <c r="D849" t="s">
        <v>767</v>
      </c>
      <c r="E849" t="s">
        <v>4698</v>
      </c>
      <c r="F849" t="s">
        <v>4687</v>
      </c>
      <c r="G849" t="s">
        <v>74</v>
      </c>
      <c r="H849">
        <v>0</v>
      </c>
      <c r="I849" s="60" t="s">
        <v>51</v>
      </c>
      <c r="J849" s="33" t="s">
        <v>45</v>
      </c>
      <c r="K849" s="46">
        <v>1</v>
      </c>
      <c r="L849">
        <v>100</v>
      </c>
      <c r="M849" t="s">
        <v>48</v>
      </c>
      <c r="N849" s="46">
        <v>1</v>
      </c>
      <c r="O849" s="46">
        <v>0</v>
      </c>
      <c r="P849" s="46">
        <v>0</v>
      </c>
      <c r="Q849" t="s">
        <v>48</v>
      </c>
      <c r="R849" t="s">
        <v>48</v>
      </c>
      <c r="S849" t="s">
        <v>4699</v>
      </c>
      <c r="T849" t="s">
        <v>4700</v>
      </c>
      <c r="U849" t="s">
        <v>4699</v>
      </c>
      <c r="V849" s="47">
        <v>0</v>
      </c>
      <c r="W849" t="s">
        <v>48</v>
      </c>
      <c r="X849" t="s">
        <v>48</v>
      </c>
      <c r="Y849" t="s">
        <v>48</v>
      </c>
      <c r="Z849">
        <v>0</v>
      </c>
      <c r="AA849" t="s">
        <v>48</v>
      </c>
      <c r="AB849">
        <v>2012</v>
      </c>
      <c r="AC849" t="s">
        <v>63</v>
      </c>
      <c r="AD849" t="s">
        <v>93</v>
      </c>
      <c r="AE849" t="s">
        <v>4532</v>
      </c>
      <c r="AF849" t="s">
        <v>48</v>
      </c>
      <c r="AG849" t="s">
        <v>266</v>
      </c>
      <c r="AH849" t="s">
        <v>93</v>
      </c>
      <c r="AI849">
        <v>21340</v>
      </c>
      <c r="AJ849">
        <v>1956</v>
      </c>
      <c r="AK849" t="s">
        <v>9090</v>
      </c>
      <c r="AL849" t="s">
        <v>9091</v>
      </c>
      <c r="AM849">
        <v>-0.25700000000000001</v>
      </c>
      <c r="AN849">
        <v>-0.11600000000000001</v>
      </c>
      <c r="AO849">
        <v>-0.25700000000000001</v>
      </c>
      <c r="AP849" s="46">
        <v>0</v>
      </c>
      <c r="AQ849" s="46">
        <v>0</v>
      </c>
      <c r="AR849" s="46">
        <v>0</v>
      </c>
      <c r="AS849" s="46">
        <v>0</v>
      </c>
      <c r="AT849" s="46">
        <v>0</v>
      </c>
      <c r="AU849" s="46">
        <v>1</v>
      </c>
      <c r="AV849" s="46">
        <v>0</v>
      </c>
      <c r="AW849" s="46">
        <v>0</v>
      </c>
      <c r="AX849" s="46">
        <v>0</v>
      </c>
      <c r="AY849" s="46">
        <v>0</v>
      </c>
      <c r="AZ849" s="46">
        <v>0</v>
      </c>
      <c r="BA849" s="46">
        <v>0</v>
      </c>
      <c r="BB849" s="46">
        <v>0</v>
      </c>
      <c r="BC849" s="46">
        <v>0</v>
      </c>
      <c r="BD849" s="46">
        <v>0</v>
      </c>
      <c r="BE849" s="46">
        <v>0</v>
      </c>
      <c r="BF849" s="46">
        <v>0</v>
      </c>
      <c r="BG849" s="46" t="s">
        <v>48</v>
      </c>
      <c r="BH849" s="46">
        <v>0</v>
      </c>
      <c r="BI849" s="46">
        <v>0</v>
      </c>
      <c r="BJ849" s="46">
        <v>0</v>
      </c>
      <c r="BK849" s="46">
        <v>0</v>
      </c>
      <c r="BL849" s="46">
        <v>1</v>
      </c>
      <c r="BM849" s="46">
        <v>0</v>
      </c>
      <c r="BN849" s="46">
        <v>0</v>
      </c>
    </row>
    <row r="850" spans="1:66" x14ac:dyDescent="0.35">
      <c r="A850" t="s">
        <v>4686</v>
      </c>
      <c r="B850" s="44" t="s">
        <v>48</v>
      </c>
      <c r="C850" t="s">
        <v>3499</v>
      </c>
      <c r="D850" t="s">
        <v>2513</v>
      </c>
      <c r="E850" t="s">
        <v>4688</v>
      </c>
      <c r="F850" t="s">
        <v>4687</v>
      </c>
      <c r="G850" t="s">
        <v>47</v>
      </c>
      <c r="H850">
        <v>0</v>
      </c>
      <c r="I850" s="60" t="s">
        <v>51</v>
      </c>
      <c r="J850" s="33" t="s">
        <v>45</v>
      </c>
      <c r="K850" s="46">
        <v>0</v>
      </c>
      <c r="L850">
        <v>32.9</v>
      </c>
      <c r="M850" t="s">
        <v>48</v>
      </c>
      <c r="N850" s="46">
        <v>1</v>
      </c>
      <c r="O850" s="46">
        <v>0</v>
      </c>
      <c r="P850" s="46">
        <v>0</v>
      </c>
      <c r="Q850" t="s">
        <v>48</v>
      </c>
      <c r="R850" t="s">
        <v>48</v>
      </c>
      <c r="S850" t="s">
        <v>4689</v>
      </c>
      <c r="T850" t="s">
        <v>48</v>
      </c>
      <c r="U850" t="s">
        <v>4689</v>
      </c>
      <c r="V850" s="47">
        <v>0</v>
      </c>
      <c r="W850" t="s">
        <v>48</v>
      </c>
      <c r="X850" t="s">
        <v>48</v>
      </c>
      <c r="Y850" t="s">
        <v>48</v>
      </c>
      <c r="Z850">
        <v>0</v>
      </c>
      <c r="AA850" t="s">
        <v>48</v>
      </c>
      <c r="AB850" t="s">
        <v>48</v>
      </c>
      <c r="AC850" t="s">
        <v>49</v>
      </c>
      <c r="AD850" t="s">
        <v>93</v>
      </c>
      <c r="AE850" t="s">
        <v>4532</v>
      </c>
      <c r="AF850" t="s">
        <v>48</v>
      </c>
      <c r="AG850" t="s">
        <v>48</v>
      </c>
      <c r="AH850" t="s">
        <v>48</v>
      </c>
      <c r="AI850" t="s">
        <v>48</v>
      </c>
      <c r="AJ850" t="s">
        <v>48</v>
      </c>
      <c r="AK850" t="s">
        <v>48</v>
      </c>
      <c r="AL850" t="s">
        <v>48</v>
      </c>
      <c r="AM850" t="s">
        <v>48</v>
      </c>
      <c r="AN850" t="s">
        <v>48</v>
      </c>
      <c r="AO850" t="s">
        <v>48</v>
      </c>
      <c r="AP850" s="46">
        <v>0</v>
      </c>
      <c r="AQ850" s="46">
        <v>0</v>
      </c>
      <c r="AR850" s="46">
        <v>0</v>
      </c>
      <c r="AS850" s="46">
        <v>0</v>
      </c>
      <c r="AT850" s="46">
        <v>0</v>
      </c>
      <c r="AU850" s="46">
        <v>0</v>
      </c>
      <c r="AV850" s="46">
        <v>0</v>
      </c>
      <c r="AW850" s="46">
        <v>0</v>
      </c>
      <c r="AX850" s="46">
        <v>0</v>
      </c>
      <c r="AY850" s="46">
        <v>0</v>
      </c>
      <c r="AZ850" s="46">
        <v>0</v>
      </c>
      <c r="BA850" s="46">
        <v>0</v>
      </c>
      <c r="BB850" s="46">
        <v>0</v>
      </c>
      <c r="BC850" s="46">
        <v>0</v>
      </c>
      <c r="BD850" s="46">
        <v>0</v>
      </c>
      <c r="BE850" s="46">
        <v>0</v>
      </c>
      <c r="BF850" s="46">
        <v>0</v>
      </c>
      <c r="BG850" s="46" t="s">
        <v>48</v>
      </c>
      <c r="BH850" s="46">
        <v>0</v>
      </c>
      <c r="BI850" s="46">
        <v>0</v>
      </c>
      <c r="BJ850" s="46">
        <v>0</v>
      </c>
      <c r="BK850" s="46">
        <v>0</v>
      </c>
      <c r="BL850" s="46">
        <v>0</v>
      </c>
      <c r="BM850" s="46">
        <v>0</v>
      </c>
      <c r="BN850" s="46">
        <v>0</v>
      </c>
    </row>
    <row r="851" spans="1:66" x14ac:dyDescent="0.35">
      <c r="A851" t="s">
        <v>8336</v>
      </c>
      <c r="B851" s="44" t="s">
        <v>48</v>
      </c>
      <c r="C851" t="s">
        <v>11729</v>
      </c>
      <c r="D851" t="s">
        <v>3306</v>
      </c>
      <c r="E851" t="s">
        <v>8337</v>
      </c>
      <c r="F851" t="s">
        <v>4739</v>
      </c>
      <c r="G851" t="s">
        <v>47</v>
      </c>
      <c r="H851">
        <v>0</v>
      </c>
      <c r="I851" s="61">
        <v>44727</v>
      </c>
      <c r="J851" s="33" t="s">
        <v>45</v>
      </c>
      <c r="K851" s="46">
        <v>0</v>
      </c>
      <c r="L851">
        <v>68.8</v>
      </c>
      <c r="M851" t="s">
        <v>48</v>
      </c>
      <c r="N851" s="46">
        <v>1</v>
      </c>
      <c r="O851" s="46">
        <v>0</v>
      </c>
      <c r="P851" s="46">
        <v>0</v>
      </c>
      <c r="Q851" t="s">
        <v>48</v>
      </c>
      <c r="R851" t="s">
        <v>48</v>
      </c>
      <c r="S851" t="s">
        <v>10318</v>
      </c>
      <c r="T851" t="s">
        <v>48</v>
      </c>
      <c r="U851" t="s">
        <v>10318</v>
      </c>
      <c r="V851" s="47">
        <v>1</v>
      </c>
      <c r="W851" t="s">
        <v>48</v>
      </c>
      <c r="X851" t="s">
        <v>48</v>
      </c>
      <c r="Y851" t="s">
        <v>48</v>
      </c>
      <c r="Z851" t="s">
        <v>48</v>
      </c>
      <c r="AA851" t="s">
        <v>48</v>
      </c>
      <c r="AB851" t="s">
        <v>48</v>
      </c>
      <c r="AC851" t="s">
        <v>63</v>
      </c>
      <c r="AD851" t="s">
        <v>93</v>
      </c>
      <c r="AE851" t="s">
        <v>4532</v>
      </c>
      <c r="AF851" t="s">
        <v>48</v>
      </c>
      <c r="AG851" t="s">
        <v>48</v>
      </c>
      <c r="AH851" t="s">
        <v>48</v>
      </c>
      <c r="AI851" t="s">
        <v>48</v>
      </c>
      <c r="AJ851" t="s">
        <v>48</v>
      </c>
      <c r="AK851" t="s">
        <v>48</v>
      </c>
      <c r="AL851" t="s">
        <v>48</v>
      </c>
      <c r="AM851" t="s">
        <v>48</v>
      </c>
      <c r="AN851" t="s">
        <v>48</v>
      </c>
      <c r="AO851" t="s">
        <v>48</v>
      </c>
      <c r="AP851" s="46">
        <v>0</v>
      </c>
      <c r="AQ851" s="46">
        <v>0</v>
      </c>
      <c r="AR851" s="46">
        <v>0</v>
      </c>
      <c r="AS851" s="46">
        <v>0</v>
      </c>
      <c r="AT851" s="46">
        <v>0</v>
      </c>
      <c r="AU851" s="46">
        <v>0</v>
      </c>
      <c r="AV851" s="46">
        <v>0</v>
      </c>
      <c r="AW851" s="46">
        <v>0</v>
      </c>
      <c r="AX851" s="46">
        <v>0</v>
      </c>
      <c r="AY851" s="46">
        <v>0</v>
      </c>
      <c r="AZ851" s="46">
        <v>0</v>
      </c>
      <c r="BA851" s="46">
        <v>0</v>
      </c>
      <c r="BB851" s="46">
        <v>0</v>
      </c>
      <c r="BC851" s="46">
        <v>0</v>
      </c>
      <c r="BD851" s="46">
        <v>0</v>
      </c>
      <c r="BE851" s="46">
        <v>0</v>
      </c>
      <c r="BF851" s="46">
        <v>0</v>
      </c>
      <c r="BG851" s="46" t="s">
        <v>48</v>
      </c>
      <c r="BH851" s="46">
        <v>0</v>
      </c>
      <c r="BI851" s="46">
        <v>0</v>
      </c>
      <c r="BJ851" s="46">
        <v>0</v>
      </c>
      <c r="BK851" s="46">
        <v>0</v>
      </c>
      <c r="BL851" s="46">
        <v>0</v>
      </c>
      <c r="BM851" s="46">
        <v>0</v>
      </c>
      <c r="BN851" s="46">
        <v>0</v>
      </c>
    </row>
    <row r="852" spans="1:66" x14ac:dyDescent="0.35">
      <c r="A852" t="s">
        <v>4743</v>
      </c>
      <c r="B852" t="s">
        <v>48</v>
      </c>
      <c r="C852" t="s">
        <v>4747</v>
      </c>
      <c r="D852" t="s">
        <v>1617</v>
      </c>
      <c r="E852" t="s">
        <v>4744</v>
      </c>
      <c r="F852" t="s">
        <v>4739</v>
      </c>
      <c r="G852" t="s">
        <v>74</v>
      </c>
      <c r="H852">
        <v>0</v>
      </c>
      <c r="I852" s="60" t="s">
        <v>51</v>
      </c>
      <c r="J852" s="33" t="s">
        <v>45</v>
      </c>
      <c r="K852" s="46">
        <v>1</v>
      </c>
      <c r="L852">
        <v>77.3</v>
      </c>
      <c r="M852" t="s">
        <v>48</v>
      </c>
      <c r="N852" s="46">
        <v>1</v>
      </c>
      <c r="O852" s="46">
        <v>0</v>
      </c>
      <c r="P852" s="46">
        <v>0</v>
      </c>
      <c r="Q852" t="s">
        <v>48</v>
      </c>
      <c r="R852" t="s">
        <v>48</v>
      </c>
      <c r="S852" t="s">
        <v>4745</v>
      </c>
      <c r="T852" t="s">
        <v>4746</v>
      </c>
      <c r="U852" t="s">
        <v>4745</v>
      </c>
      <c r="V852" s="47">
        <v>0</v>
      </c>
      <c r="W852" t="s">
        <v>48</v>
      </c>
      <c r="X852" t="s">
        <v>48</v>
      </c>
      <c r="Y852" t="s">
        <v>48</v>
      </c>
      <c r="Z852">
        <v>0</v>
      </c>
      <c r="AA852" t="s">
        <v>48</v>
      </c>
      <c r="AB852" t="s">
        <v>4537</v>
      </c>
      <c r="AC852" t="s">
        <v>49</v>
      </c>
      <c r="AD852" t="s">
        <v>93</v>
      </c>
      <c r="AE852" t="s">
        <v>4532</v>
      </c>
      <c r="AF852" t="s">
        <v>48</v>
      </c>
      <c r="AG852" t="s">
        <v>1105</v>
      </c>
      <c r="AH852" t="s">
        <v>93</v>
      </c>
      <c r="AI852">
        <v>21536</v>
      </c>
      <c r="AJ852">
        <v>1958</v>
      </c>
      <c r="AK852" t="s">
        <v>9092</v>
      </c>
      <c r="AL852" t="s">
        <v>9093</v>
      </c>
      <c r="AM852">
        <v>-0.42699999999999999</v>
      </c>
      <c r="AN852">
        <v>0.32800000000000001</v>
      </c>
      <c r="AO852">
        <v>-0.42699999999999999</v>
      </c>
      <c r="AP852" s="46">
        <v>0</v>
      </c>
      <c r="AQ852" s="46">
        <v>0</v>
      </c>
      <c r="AR852" s="46">
        <v>0</v>
      </c>
      <c r="AS852" s="46">
        <v>0</v>
      </c>
      <c r="AT852" s="46">
        <v>1</v>
      </c>
      <c r="AU852" s="46">
        <v>1</v>
      </c>
      <c r="AV852" s="46">
        <v>0</v>
      </c>
      <c r="AW852" s="46">
        <v>0</v>
      </c>
      <c r="AX852" s="46">
        <v>0</v>
      </c>
      <c r="AY852" s="46">
        <v>0</v>
      </c>
      <c r="AZ852" s="46">
        <v>0</v>
      </c>
      <c r="BA852" s="46">
        <v>0</v>
      </c>
      <c r="BB852" s="46">
        <v>0</v>
      </c>
      <c r="BC852" s="46">
        <v>0</v>
      </c>
      <c r="BD852" s="46">
        <v>0</v>
      </c>
      <c r="BE852" s="46">
        <v>0</v>
      </c>
      <c r="BF852" s="46">
        <v>0</v>
      </c>
      <c r="BG852" s="46" t="s">
        <v>48</v>
      </c>
      <c r="BH852" s="46">
        <v>0</v>
      </c>
      <c r="BI852" s="46">
        <v>0</v>
      </c>
      <c r="BJ852" s="46">
        <v>0</v>
      </c>
      <c r="BK852" s="46">
        <v>0</v>
      </c>
      <c r="BL852" s="46">
        <v>0</v>
      </c>
      <c r="BM852" s="46">
        <v>0</v>
      </c>
      <c r="BN852" s="46">
        <v>0</v>
      </c>
    </row>
    <row r="853" spans="1:66" x14ac:dyDescent="0.35">
      <c r="A853" t="s">
        <v>4759</v>
      </c>
      <c r="B853" t="s">
        <v>48</v>
      </c>
      <c r="C853" t="s">
        <v>12131</v>
      </c>
      <c r="D853" t="s">
        <v>273</v>
      </c>
      <c r="E853" t="s">
        <v>4760</v>
      </c>
      <c r="F853" t="s">
        <v>4749</v>
      </c>
      <c r="G853" t="s">
        <v>47</v>
      </c>
      <c r="H853">
        <v>0</v>
      </c>
      <c r="I853" s="61" t="s">
        <v>11160</v>
      </c>
      <c r="J853" s="33" t="s">
        <v>45</v>
      </c>
      <c r="K853" s="46">
        <v>1</v>
      </c>
      <c r="L853">
        <v>86.1</v>
      </c>
      <c r="M853" t="s">
        <v>48</v>
      </c>
      <c r="N853" s="46">
        <v>1</v>
      </c>
      <c r="O853" s="46">
        <v>0</v>
      </c>
      <c r="P853" s="46">
        <v>0</v>
      </c>
      <c r="Q853" t="s">
        <v>48</v>
      </c>
      <c r="R853" t="s">
        <v>48</v>
      </c>
      <c r="S853" t="s">
        <v>11334</v>
      </c>
      <c r="T853" t="s">
        <v>4762</v>
      </c>
      <c r="U853" t="s">
        <v>4761</v>
      </c>
      <c r="V853" s="47">
        <v>0</v>
      </c>
      <c r="W853" t="s">
        <v>48</v>
      </c>
      <c r="X853" t="s">
        <v>48</v>
      </c>
      <c r="Y853" t="s">
        <v>48</v>
      </c>
      <c r="Z853">
        <v>0</v>
      </c>
      <c r="AA853" t="s">
        <v>48</v>
      </c>
      <c r="AB853">
        <v>2018</v>
      </c>
      <c r="AC853" t="s">
        <v>49</v>
      </c>
      <c r="AD853" t="s">
        <v>93</v>
      </c>
      <c r="AE853" t="s">
        <v>4532</v>
      </c>
      <c r="AF853" t="s">
        <v>48</v>
      </c>
      <c r="AG853" t="s">
        <v>109</v>
      </c>
      <c r="AH853" t="s">
        <v>93</v>
      </c>
      <c r="AI853">
        <v>91980</v>
      </c>
      <c r="AJ853">
        <v>1953</v>
      </c>
      <c r="AK853" t="s">
        <v>9094</v>
      </c>
      <c r="AL853" t="s">
        <v>9095</v>
      </c>
      <c r="AM853">
        <v>0.30299999999999999</v>
      </c>
      <c r="AN853">
        <v>-0.42299999999999999</v>
      </c>
      <c r="AO853">
        <v>0.30299999999999999</v>
      </c>
      <c r="AP853" s="46">
        <v>0</v>
      </c>
      <c r="AQ853" s="46">
        <v>0</v>
      </c>
      <c r="AR853" s="46">
        <v>0</v>
      </c>
      <c r="AS853" s="46">
        <v>0</v>
      </c>
      <c r="AT853" s="46">
        <v>0</v>
      </c>
      <c r="AU853" s="46">
        <v>0</v>
      </c>
      <c r="AV853" s="46">
        <v>0</v>
      </c>
      <c r="AW853" s="46">
        <v>0</v>
      </c>
      <c r="AX853" s="46">
        <v>0</v>
      </c>
      <c r="AY853" s="46">
        <v>1</v>
      </c>
      <c r="AZ853" s="46">
        <v>1</v>
      </c>
      <c r="BA853" s="46">
        <v>0</v>
      </c>
      <c r="BB853" s="46">
        <v>0</v>
      </c>
      <c r="BC853" s="46">
        <v>0</v>
      </c>
      <c r="BD853" s="46">
        <v>0</v>
      </c>
      <c r="BE853" s="46">
        <v>0</v>
      </c>
      <c r="BF853" s="46">
        <v>0</v>
      </c>
      <c r="BG853" s="46">
        <v>1</v>
      </c>
      <c r="BH853" s="46">
        <v>0</v>
      </c>
      <c r="BI853" s="46">
        <v>0</v>
      </c>
      <c r="BJ853" s="46">
        <v>0</v>
      </c>
      <c r="BK853" s="46">
        <v>0</v>
      </c>
      <c r="BL853" s="46">
        <v>0</v>
      </c>
      <c r="BM853" s="46">
        <v>1</v>
      </c>
      <c r="BN853" s="46">
        <v>0</v>
      </c>
    </row>
    <row r="854" spans="1:66" x14ac:dyDescent="0.35">
      <c r="A854" t="s">
        <v>4748</v>
      </c>
      <c r="B854" s="44" t="s">
        <v>48</v>
      </c>
      <c r="C854" t="s">
        <v>4077</v>
      </c>
      <c r="D854" t="s">
        <v>849</v>
      </c>
      <c r="E854" t="s">
        <v>4750</v>
      </c>
      <c r="F854" t="s">
        <v>4749</v>
      </c>
      <c r="G854" t="s">
        <v>74</v>
      </c>
      <c r="H854">
        <v>0</v>
      </c>
      <c r="I854" s="60" t="s">
        <v>51</v>
      </c>
      <c r="J854" s="33" t="s">
        <v>45</v>
      </c>
      <c r="K854" s="46">
        <v>0</v>
      </c>
      <c r="L854">
        <v>62</v>
      </c>
      <c r="M854" t="s">
        <v>48</v>
      </c>
      <c r="N854" s="46">
        <v>1</v>
      </c>
      <c r="O854" s="46">
        <v>0</v>
      </c>
      <c r="P854" s="46">
        <v>0</v>
      </c>
      <c r="Q854" t="s">
        <v>48</v>
      </c>
      <c r="R854" t="s">
        <v>48</v>
      </c>
      <c r="S854" t="s">
        <v>4751</v>
      </c>
      <c r="T854" t="s">
        <v>48</v>
      </c>
      <c r="U854" t="s">
        <v>4751</v>
      </c>
      <c r="V854" s="47">
        <v>1</v>
      </c>
      <c r="W854" t="s">
        <v>48</v>
      </c>
      <c r="X854" t="s">
        <v>48</v>
      </c>
      <c r="Y854" t="s">
        <v>48</v>
      </c>
      <c r="Z854">
        <v>0</v>
      </c>
      <c r="AA854" t="s">
        <v>48</v>
      </c>
      <c r="AB854" t="s">
        <v>48</v>
      </c>
      <c r="AC854" t="s">
        <v>49</v>
      </c>
      <c r="AD854" t="s">
        <v>93</v>
      </c>
      <c r="AE854" s="40" t="s">
        <v>2471</v>
      </c>
      <c r="AF854" t="s">
        <v>11061</v>
      </c>
      <c r="AG854" t="s">
        <v>48</v>
      </c>
      <c r="AH854" t="s">
        <v>48</v>
      </c>
      <c r="AI854" t="s">
        <v>48</v>
      </c>
      <c r="AJ854" t="s">
        <v>48</v>
      </c>
      <c r="AK854" t="s">
        <v>48</v>
      </c>
      <c r="AL854" t="s">
        <v>48</v>
      </c>
      <c r="AM854" t="s">
        <v>48</v>
      </c>
      <c r="AN854" t="s">
        <v>48</v>
      </c>
      <c r="AO854" t="s">
        <v>48</v>
      </c>
      <c r="AP854" s="46">
        <v>0</v>
      </c>
      <c r="AQ854" s="46">
        <v>0</v>
      </c>
      <c r="AR854" s="46">
        <v>0</v>
      </c>
      <c r="AS854" s="46">
        <v>0</v>
      </c>
      <c r="AT854" s="46">
        <v>0</v>
      </c>
      <c r="AU854" s="46">
        <v>0</v>
      </c>
      <c r="AV854" s="46">
        <v>0</v>
      </c>
      <c r="AW854" s="46">
        <v>0</v>
      </c>
      <c r="AX854" s="46">
        <v>0</v>
      </c>
      <c r="AY854" s="46">
        <v>0</v>
      </c>
      <c r="AZ854" s="46">
        <v>0</v>
      </c>
      <c r="BA854" s="46">
        <v>0</v>
      </c>
      <c r="BB854" s="46">
        <v>0</v>
      </c>
      <c r="BC854" s="46">
        <v>0</v>
      </c>
      <c r="BD854" s="46">
        <v>0</v>
      </c>
      <c r="BE854" s="46">
        <v>0</v>
      </c>
      <c r="BF854" s="46">
        <v>0</v>
      </c>
      <c r="BG854" s="46" t="s">
        <v>48</v>
      </c>
      <c r="BH854" s="46">
        <v>0</v>
      </c>
      <c r="BI854" s="46">
        <v>0</v>
      </c>
      <c r="BJ854" s="46">
        <v>0</v>
      </c>
      <c r="BK854" s="46">
        <v>0</v>
      </c>
      <c r="BL854" s="46">
        <v>0</v>
      </c>
      <c r="BM854" s="46">
        <v>0</v>
      </c>
      <c r="BN854" s="46">
        <v>0</v>
      </c>
    </row>
    <row r="855" spans="1:66" x14ac:dyDescent="0.35">
      <c r="A855" t="s">
        <v>4767</v>
      </c>
      <c r="B855" t="s">
        <v>48</v>
      </c>
      <c r="C855" t="s">
        <v>1292</v>
      </c>
      <c r="D855" t="s">
        <v>684</v>
      </c>
      <c r="E855" t="s">
        <v>4768</v>
      </c>
      <c r="F855" t="s">
        <v>4763</v>
      </c>
      <c r="G855" t="s">
        <v>74</v>
      </c>
      <c r="H855">
        <v>0</v>
      </c>
      <c r="I855" s="60" t="s">
        <v>51</v>
      </c>
      <c r="J855" s="33" t="s">
        <v>45</v>
      </c>
      <c r="K855" s="46">
        <v>1</v>
      </c>
      <c r="L855">
        <v>92.9</v>
      </c>
      <c r="M855" t="s">
        <v>48</v>
      </c>
      <c r="N855" s="46">
        <v>1</v>
      </c>
      <c r="O855" s="46">
        <v>0</v>
      </c>
      <c r="P855" s="46">
        <v>0</v>
      </c>
      <c r="Q855" t="s">
        <v>48</v>
      </c>
      <c r="R855" t="s">
        <v>48</v>
      </c>
      <c r="S855" t="s">
        <v>4769</v>
      </c>
      <c r="T855" t="s">
        <v>4770</v>
      </c>
      <c r="U855" t="s">
        <v>4769</v>
      </c>
      <c r="V855" s="47">
        <v>0</v>
      </c>
      <c r="W855" t="s">
        <v>48</v>
      </c>
      <c r="X855" t="s">
        <v>48</v>
      </c>
      <c r="Y855" t="s">
        <v>48</v>
      </c>
      <c r="Z855">
        <v>0</v>
      </c>
      <c r="AA855" t="s">
        <v>48</v>
      </c>
      <c r="AB855">
        <v>2018</v>
      </c>
      <c r="AC855" t="s">
        <v>49</v>
      </c>
      <c r="AD855" t="s">
        <v>93</v>
      </c>
      <c r="AE855" t="s">
        <v>977</v>
      </c>
      <c r="AF855" t="s">
        <v>11067</v>
      </c>
      <c r="AG855" t="s">
        <v>466</v>
      </c>
      <c r="AH855" t="s">
        <v>93</v>
      </c>
      <c r="AI855">
        <v>21937</v>
      </c>
      <c r="AJ855">
        <v>1982</v>
      </c>
      <c r="AK855" t="s">
        <v>9096</v>
      </c>
      <c r="AL855" t="s">
        <v>9097</v>
      </c>
      <c r="AM855">
        <v>-0.3</v>
      </c>
      <c r="AN855">
        <v>0.40400000000000003</v>
      </c>
      <c r="AO855">
        <v>-0.3</v>
      </c>
      <c r="AP855" s="46">
        <v>0</v>
      </c>
      <c r="AQ855" s="46">
        <v>0</v>
      </c>
      <c r="AR855" s="46">
        <v>0</v>
      </c>
      <c r="AS855" s="46">
        <v>0</v>
      </c>
      <c r="AT855" s="46">
        <v>1</v>
      </c>
      <c r="AU855" s="46">
        <v>0</v>
      </c>
      <c r="AV855" s="46">
        <v>0</v>
      </c>
      <c r="AW855" s="46">
        <v>0</v>
      </c>
      <c r="AX855" s="46">
        <v>1</v>
      </c>
      <c r="AY855" s="46">
        <v>0</v>
      </c>
      <c r="AZ855" s="46">
        <v>0</v>
      </c>
      <c r="BA855" s="46">
        <v>0</v>
      </c>
      <c r="BB855" s="46">
        <v>0</v>
      </c>
      <c r="BC855" s="46">
        <v>0</v>
      </c>
      <c r="BD855" s="46">
        <v>0</v>
      </c>
      <c r="BE855" s="46">
        <v>0</v>
      </c>
      <c r="BF855" s="46">
        <v>0</v>
      </c>
      <c r="BG855" s="46" t="s">
        <v>48</v>
      </c>
      <c r="BH855" s="46">
        <v>0</v>
      </c>
      <c r="BI855" s="46">
        <v>0</v>
      </c>
      <c r="BJ855" s="46">
        <v>0</v>
      </c>
      <c r="BK855" s="46">
        <v>0</v>
      </c>
      <c r="BL855" s="46">
        <v>0</v>
      </c>
      <c r="BM855" s="46">
        <v>0</v>
      </c>
      <c r="BN855" s="46">
        <v>0</v>
      </c>
    </row>
    <row r="856" spans="1:66" x14ac:dyDescent="0.35">
      <c r="A856" t="s">
        <v>4764</v>
      </c>
      <c r="B856" s="44" t="s">
        <v>48</v>
      </c>
      <c r="C856" t="s">
        <v>4766</v>
      </c>
      <c r="D856" t="s">
        <v>210</v>
      </c>
      <c r="E856" t="s">
        <v>4765</v>
      </c>
      <c r="F856" t="s">
        <v>4763</v>
      </c>
      <c r="G856" t="s">
        <v>47</v>
      </c>
      <c r="H856">
        <v>0</v>
      </c>
      <c r="I856" s="60" t="s">
        <v>177</v>
      </c>
      <c r="J856" s="33" t="s">
        <v>45</v>
      </c>
      <c r="K856" s="46">
        <v>0</v>
      </c>
      <c r="L856">
        <v>52.8</v>
      </c>
      <c r="M856" t="s">
        <v>48</v>
      </c>
      <c r="N856" s="46">
        <v>1</v>
      </c>
      <c r="O856" s="46">
        <v>0</v>
      </c>
      <c r="P856" s="46">
        <v>0</v>
      </c>
      <c r="Q856" t="s">
        <v>48</v>
      </c>
      <c r="R856" t="s">
        <v>48</v>
      </c>
      <c r="S856" t="s">
        <v>10322</v>
      </c>
      <c r="T856" t="s">
        <v>48</v>
      </c>
      <c r="U856" t="s">
        <v>10322</v>
      </c>
      <c r="V856" s="47">
        <v>0</v>
      </c>
      <c r="W856" t="s">
        <v>48</v>
      </c>
      <c r="X856" t="s">
        <v>48</v>
      </c>
      <c r="Y856" t="s">
        <v>48</v>
      </c>
      <c r="Z856">
        <v>0</v>
      </c>
      <c r="AA856" t="s">
        <v>48</v>
      </c>
      <c r="AB856" t="s">
        <v>48</v>
      </c>
      <c r="AC856" t="s">
        <v>49</v>
      </c>
      <c r="AD856" t="s">
        <v>93</v>
      </c>
      <c r="AE856" t="s">
        <v>4532</v>
      </c>
      <c r="AF856" t="s">
        <v>48</v>
      </c>
      <c r="AG856" t="s">
        <v>48</v>
      </c>
      <c r="AH856" t="s">
        <v>48</v>
      </c>
      <c r="AI856" t="s">
        <v>48</v>
      </c>
      <c r="AJ856" t="s">
        <v>48</v>
      </c>
      <c r="AK856" t="s">
        <v>48</v>
      </c>
      <c r="AL856" t="s">
        <v>48</v>
      </c>
      <c r="AM856" t="s">
        <v>48</v>
      </c>
      <c r="AN856" t="s">
        <v>48</v>
      </c>
      <c r="AO856" t="s">
        <v>48</v>
      </c>
      <c r="AP856" s="46">
        <v>0</v>
      </c>
      <c r="AQ856" s="46">
        <v>0</v>
      </c>
      <c r="AR856" s="46">
        <v>0</v>
      </c>
      <c r="AS856" s="46">
        <v>0</v>
      </c>
      <c r="AT856" s="46">
        <v>0</v>
      </c>
      <c r="AU856" s="46">
        <v>0</v>
      </c>
      <c r="AV856" s="46">
        <v>0</v>
      </c>
      <c r="AW856" s="46">
        <v>0</v>
      </c>
      <c r="AX856" s="46">
        <v>0</v>
      </c>
      <c r="AY856" s="46">
        <v>0</v>
      </c>
      <c r="AZ856" s="46">
        <v>0</v>
      </c>
      <c r="BA856" s="46">
        <v>0</v>
      </c>
      <c r="BB856" s="46">
        <v>0</v>
      </c>
      <c r="BC856" s="46">
        <v>0</v>
      </c>
      <c r="BD856" s="46">
        <v>0</v>
      </c>
      <c r="BE856" s="46">
        <v>0</v>
      </c>
      <c r="BF856" s="46">
        <v>0</v>
      </c>
      <c r="BG856" s="46" t="s">
        <v>48</v>
      </c>
      <c r="BH856" s="46">
        <v>0</v>
      </c>
      <c r="BI856" s="46">
        <v>0</v>
      </c>
      <c r="BJ856" s="46">
        <v>0</v>
      </c>
      <c r="BK856" s="46">
        <v>0</v>
      </c>
      <c r="BL856" s="46">
        <v>0</v>
      </c>
      <c r="BM856" s="46">
        <v>0</v>
      </c>
      <c r="BN856" s="46">
        <v>0</v>
      </c>
    </row>
    <row r="857" spans="1:66" x14ac:dyDescent="0.35">
      <c r="A857" t="s">
        <v>4782</v>
      </c>
      <c r="B857" t="s">
        <v>48</v>
      </c>
      <c r="C857" t="s">
        <v>80</v>
      </c>
      <c r="D857" t="s">
        <v>216</v>
      </c>
      <c r="E857" t="s">
        <v>4783</v>
      </c>
      <c r="F857" t="s">
        <v>4772</v>
      </c>
      <c r="G857" t="s">
        <v>47</v>
      </c>
      <c r="H857">
        <v>0</v>
      </c>
      <c r="I857" s="60" t="s">
        <v>51</v>
      </c>
      <c r="J857" s="33" t="s">
        <v>45</v>
      </c>
      <c r="K857" s="46">
        <v>1</v>
      </c>
      <c r="L857">
        <v>57.6</v>
      </c>
      <c r="M857" t="s">
        <v>48</v>
      </c>
      <c r="N857" s="46">
        <v>1</v>
      </c>
      <c r="O857" s="46">
        <v>0</v>
      </c>
      <c r="P857" s="46">
        <v>0</v>
      </c>
      <c r="Q857" t="s">
        <v>48</v>
      </c>
      <c r="R857" t="s">
        <v>48</v>
      </c>
      <c r="S857" t="s">
        <v>48</v>
      </c>
      <c r="T857" t="s">
        <v>4784</v>
      </c>
      <c r="U857" t="s">
        <v>48</v>
      </c>
      <c r="V857" s="47">
        <v>0</v>
      </c>
      <c r="W857" t="s">
        <v>11366</v>
      </c>
      <c r="X857" t="s">
        <v>48</v>
      </c>
      <c r="Y857" t="s">
        <v>48</v>
      </c>
      <c r="Z857">
        <v>0</v>
      </c>
      <c r="AA857" t="s">
        <v>48</v>
      </c>
      <c r="AB857">
        <v>1980</v>
      </c>
      <c r="AC857" t="s">
        <v>49</v>
      </c>
      <c r="AD857" t="s">
        <v>93</v>
      </c>
      <c r="AE857" t="s">
        <v>4532</v>
      </c>
      <c r="AF857" t="s">
        <v>48</v>
      </c>
      <c r="AG857" t="s">
        <v>140</v>
      </c>
      <c r="AH857" t="s">
        <v>93</v>
      </c>
      <c r="AI857">
        <v>14863</v>
      </c>
      <c r="AJ857">
        <v>1953</v>
      </c>
      <c r="AK857" t="s">
        <v>9098</v>
      </c>
      <c r="AL857" t="s">
        <v>9099</v>
      </c>
      <c r="AM857">
        <v>0.16900000000000001</v>
      </c>
      <c r="AN857">
        <v>-0.16900000000000001</v>
      </c>
      <c r="AO857">
        <v>0.16900000000000001</v>
      </c>
      <c r="AP857" s="46">
        <v>0</v>
      </c>
      <c r="AQ857" s="46">
        <v>0</v>
      </c>
      <c r="AR857" s="46">
        <v>0</v>
      </c>
      <c r="AS857" s="46">
        <v>0</v>
      </c>
      <c r="AT857" s="46">
        <v>0</v>
      </c>
      <c r="AU857" s="46">
        <v>0</v>
      </c>
      <c r="AV857" s="46">
        <v>0</v>
      </c>
      <c r="AW857" s="46">
        <v>0</v>
      </c>
      <c r="AX857" s="46">
        <v>0</v>
      </c>
      <c r="AY857" s="46">
        <v>1</v>
      </c>
      <c r="AZ857" s="46">
        <v>1</v>
      </c>
      <c r="BA857" s="46">
        <v>1</v>
      </c>
      <c r="BB857" s="46">
        <v>0</v>
      </c>
      <c r="BC857" s="46">
        <v>0</v>
      </c>
      <c r="BD857" s="46">
        <v>0</v>
      </c>
      <c r="BE857" s="46">
        <v>0</v>
      </c>
      <c r="BF857" s="46">
        <v>0</v>
      </c>
      <c r="BG857" s="46" t="s">
        <v>48</v>
      </c>
      <c r="BH857" s="46">
        <v>0</v>
      </c>
      <c r="BI857" s="46">
        <v>0</v>
      </c>
      <c r="BJ857" s="46">
        <v>0</v>
      </c>
      <c r="BK857" s="46">
        <v>0</v>
      </c>
      <c r="BL857" s="46">
        <v>0</v>
      </c>
      <c r="BM857" s="46">
        <v>1</v>
      </c>
      <c r="BN857" s="46">
        <v>0</v>
      </c>
    </row>
    <row r="858" spans="1:66" x14ac:dyDescent="0.35">
      <c r="A858" t="s">
        <v>4780</v>
      </c>
      <c r="B858" s="44" t="s">
        <v>48</v>
      </c>
      <c r="C858" t="s">
        <v>1308</v>
      </c>
      <c r="D858" t="s">
        <v>704</v>
      </c>
      <c r="E858" t="s">
        <v>4781</v>
      </c>
      <c r="F858" t="s">
        <v>4772</v>
      </c>
      <c r="G858" t="s">
        <v>74</v>
      </c>
      <c r="H858">
        <v>0</v>
      </c>
      <c r="I858" s="60" t="s">
        <v>125</v>
      </c>
      <c r="J858" s="33" t="s">
        <v>45</v>
      </c>
      <c r="K858" s="46">
        <v>0</v>
      </c>
      <c r="L858">
        <v>100</v>
      </c>
      <c r="M858" t="s">
        <v>48</v>
      </c>
      <c r="N858" s="46">
        <v>1</v>
      </c>
      <c r="O858" s="46">
        <v>0</v>
      </c>
      <c r="P858" s="46">
        <v>0</v>
      </c>
      <c r="Q858" t="s">
        <v>48</v>
      </c>
      <c r="R858" t="s">
        <v>48</v>
      </c>
      <c r="S858" t="s">
        <v>48</v>
      </c>
      <c r="T858" t="s">
        <v>48</v>
      </c>
      <c r="U858" t="s">
        <v>48</v>
      </c>
      <c r="V858" s="47">
        <v>0</v>
      </c>
      <c r="W858" t="s">
        <v>48</v>
      </c>
      <c r="X858" t="s">
        <v>48</v>
      </c>
      <c r="Y858" t="s">
        <v>48</v>
      </c>
      <c r="Z858">
        <v>0</v>
      </c>
      <c r="AA858" t="s">
        <v>48</v>
      </c>
      <c r="AB858" t="s">
        <v>48</v>
      </c>
      <c r="AC858" t="s">
        <v>49</v>
      </c>
      <c r="AD858" t="s">
        <v>93</v>
      </c>
      <c r="AE858" t="s">
        <v>4532</v>
      </c>
      <c r="AF858" t="s">
        <v>48</v>
      </c>
      <c r="AG858" t="s">
        <v>48</v>
      </c>
      <c r="AH858" t="s">
        <v>48</v>
      </c>
      <c r="AI858" t="s">
        <v>48</v>
      </c>
      <c r="AJ858" t="s">
        <v>48</v>
      </c>
      <c r="AK858" t="s">
        <v>48</v>
      </c>
      <c r="AL858" t="s">
        <v>48</v>
      </c>
      <c r="AM858" t="s">
        <v>48</v>
      </c>
      <c r="AN858" t="s">
        <v>48</v>
      </c>
      <c r="AO858" t="s">
        <v>48</v>
      </c>
      <c r="AP858" s="46">
        <v>0</v>
      </c>
      <c r="AQ858" s="46">
        <v>0</v>
      </c>
      <c r="AR858" s="46">
        <v>0</v>
      </c>
      <c r="AS858" s="46">
        <v>0</v>
      </c>
      <c r="AT858" s="46">
        <v>0</v>
      </c>
      <c r="AU858" s="46">
        <v>0</v>
      </c>
      <c r="AV858" s="46">
        <v>0</v>
      </c>
      <c r="AW858" s="46">
        <v>0</v>
      </c>
      <c r="AX858" s="46">
        <v>0</v>
      </c>
      <c r="AY858" s="46">
        <v>0</v>
      </c>
      <c r="AZ858" s="46">
        <v>0</v>
      </c>
      <c r="BA858" s="46">
        <v>0</v>
      </c>
      <c r="BB858" s="46">
        <v>0</v>
      </c>
      <c r="BC858" s="46">
        <v>0</v>
      </c>
      <c r="BD858" s="46">
        <v>0</v>
      </c>
      <c r="BE858" s="46">
        <v>0</v>
      </c>
      <c r="BF858" s="46">
        <v>0</v>
      </c>
      <c r="BG858" s="46" t="s">
        <v>48</v>
      </c>
      <c r="BH858" s="46">
        <v>0</v>
      </c>
      <c r="BI858" s="46">
        <v>0</v>
      </c>
      <c r="BJ858" s="46">
        <v>0</v>
      </c>
      <c r="BK858" s="46">
        <v>0</v>
      </c>
      <c r="BL858" s="46">
        <v>0</v>
      </c>
      <c r="BM858" s="46">
        <v>0</v>
      </c>
      <c r="BN858" s="46">
        <v>0</v>
      </c>
    </row>
    <row r="859" spans="1:66" x14ac:dyDescent="0.35">
      <c r="A859" t="s">
        <v>4793</v>
      </c>
      <c r="B859" s="44" t="s">
        <v>48</v>
      </c>
      <c r="C859" t="s">
        <v>4796</v>
      </c>
      <c r="D859" t="s">
        <v>817</v>
      </c>
      <c r="E859" t="s">
        <v>4794</v>
      </c>
      <c r="F859" t="s">
        <v>4785</v>
      </c>
      <c r="G859" t="s">
        <v>47</v>
      </c>
      <c r="H859">
        <v>0</v>
      </c>
      <c r="I859" s="60" t="s">
        <v>51</v>
      </c>
      <c r="J859" s="33" t="s">
        <v>45</v>
      </c>
      <c r="K859" s="46">
        <v>0</v>
      </c>
      <c r="L859">
        <v>50.3</v>
      </c>
      <c r="M859" t="s">
        <v>48</v>
      </c>
      <c r="N859" s="46">
        <v>1</v>
      </c>
      <c r="O859" s="46">
        <v>0</v>
      </c>
      <c r="P859" s="46">
        <v>0</v>
      </c>
      <c r="Q859" t="s">
        <v>48</v>
      </c>
      <c r="R859" t="s">
        <v>48</v>
      </c>
      <c r="S859" t="s">
        <v>4795</v>
      </c>
      <c r="T859" t="s">
        <v>48</v>
      </c>
      <c r="U859" t="s">
        <v>4795</v>
      </c>
      <c r="V859" s="47">
        <v>1</v>
      </c>
      <c r="W859" t="s">
        <v>48</v>
      </c>
      <c r="X859" t="s">
        <v>48</v>
      </c>
      <c r="Y859" t="s">
        <v>48</v>
      </c>
      <c r="Z859">
        <v>0</v>
      </c>
      <c r="AA859" t="s">
        <v>48</v>
      </c>
      <c r="AB859" t="s">
        <v>48</v>
      </c>
      <c r="AC859" t="s">
        <v>49</v>
      </c>
      <c r="AD859" t="s">
        <v>93</v>
      </c>
      <c r="AE859" t="s">
        <v>4532</v>
      </c>
      <c r="AF859" t="s">
        <v>48</v>
      </c>
      <c r="AG859" t="s">
        <v>48</v>
      </c>
      <c r="AH859" t="s">
        <v>48</v>
      </c>
      <c r="AI859" t="s">
        <v>48</v>
      </c>
      <c r="AJ859" t="s">
        <v>48</v>
      </c>
      <c r="AK859" t="s">
        <v>48</v>
      </c>
      <c r="AL859" t="s">
        <v>48</v>
      </c>
      <c r="AM859" t="s">
        <v>48</v>
      </c>
      <c r="AN859" t="s">
        <v>48</v>
      </c>
      <c r="AO859" t="s">
        <v>48</v>
      </c>
      <c r="AP859" s="46">
        <v>0</v>
      </c>
      <c r="AQ859" s="46">
        <v>0</v>
      </c>
      <c r="AR859" s="46">
        <v>0</v>
      </c>
      <c r="AS859" s="46">
        <v>0</v>
      </c>
      <c r="AT859" s="46">
        <v>0</v>
      </c>
      <c r="AU859" s="46">
        <v>0</v>
      </c>
      <c r="AV859" s="46">
        <v>0</v>
      </c>
      <c r="AW859" s="46">
        <v>0</v>
      </c>
      <c r="AX859" s="46">
        <v>0</v>
      </c>
      <c r="AY859" s="46">
        <v>0</v>
      </c>
      <c r="AZ859" s="46">
        <v>0</v>
      </c>
      <c r="BA859" s="46">
        <v>0</v>
      </c>
      <c r="BB859" s="46">
        <v>0</v>
      </c>
      <c r="BC859" s="46">
        <v>0</v>
      </c>
      <c r="BD859" s="46">
        <v>0</v>
      </c>
      <c r="BE859" s="46">
        <v>0</v>
      </c>
      <c r="BF859" s="46">
        <v>0</v>
      </c>
      <c r="BG859" s="46" t="s">
        <v>48</v>
      </c>
      <c r="BH859" s="46">
        <v>0</v>
      </c>
      <c r="BI859" s="46">
        <v>0</v>
      </c>
      <c r="BJ859" s="46">
        <v>0</v>
      </c>
      <c r="BK859" s="46">
        <v>0</v>
      </c>
      <c r="BL859" s="46">
        <v>0</v>
      </c>
      <c r="BM859" s="46">
        <v>0</v>
      </c>
      <c r="BN859" s="46">
        <v>0</v>
      </c>
    </row>
    <row r="860" spans="1:66" x14ac:dyDescent="0.35">
      <c r="A860" t="s">
        <v>4788</v>
      </c>
      <c r="B860" t="s">
        <v>48</v>
      </c>
      <c r="C860" t="s">
        <v>4792</v>
      </c>
      <c r="D860" t="s">
        <v>316</v>
      </c>
      <c r="E860" t="s">
        <v>4789</v>
      </c>
      <c r="F860" t="s">
        <v>4785</v>
      </c>
      <c r="G860" t="s">
        <v>74</v>
      </c>
      <c r="H860">
        <v>0</v>
      </c>
      <c r="I860" s="60" t="s">
        <v>51</v>
      </c>
      <c r="J860" s="33" t="s">
        <v>45</v>
      </c>
      <c r="K860" s="46">
        <v>1</v>
      </c>
      <c r="L860">
        <v>100</v>
      </c>
      <c r="M860" t="s">
        <v>48</v>
      </c>
      <c r="N860" s="46">
        <v>1</v>
      </c>
      <c r="O860" s="46">
        <v>0</v>
      </c>
      <c r="P860" s="46">
        <v>0</v>
      </c>
      <c r="Q860" t="s">
        <v>48</v>
      </c>
      <c r="R860" t="s">
        <v>48</v>
      </c>
      <c r="S860" t="s">
        <v>4790</v>
      </c>
      <c r="T860" t="s">
        <v>4791</v>
      </c>
      <c r="U860" t="s">
        <v>4790</v>
      </c>
      <c r="V860" s="47">
        <v>0</v>
      </c>
      <c r="W860" t="s">
        <v>48</v>
      </c>
      <c r="X860" t="s">
        <v>48</v>
      </c>
      <c r="Y860" t="s">
        <v>48</v>
      </c>
      <c r="Z860">
        <v>0</v>
      </c>
      <c r="AA860" t="s">
        <v>48</v>
      </c>
      <c r="AB860">
        <v>2016</v>
      </c>
      <c r="AC860" t="s">
        <v>49</v>
      </c>
      <c r="AD860" t="s">
        <v>93</v>
      </c>
      <c r="AE860" t="s">
        <v>4532</v>
      </c>
      <c r="AF860" t="s">
        <v>48</v>
      </c>
      <c r="AG860" t="s">
        <v>633</v>
      </c>
      <c r="AH860" t="s">
        <v>93</v>
      </c>
      <c r="AI860">
        <v>21723</v>
      </c>
      <c r="AJ860">
        <v>1975</v>
      </c>
      <c r="AK860" t="s">
        <v>9100</v>
      </c>
      <c r="AL860" t="s">
        <v>9101</v>
      </c>
      <c r="AM860">
        <v>-0.14899999999999999</v>
      </c>
      <c r="AN860">
        <v>0.23300000000000001</v>
      </c>
      <c r="AO860">
        <v>-0.14899999999999999</v>
      </c>
      <c r="AP860" s="46">
        <v>0</v>
      </c>
      <c r="AQ860" s="46">
        <v>0</v>
      </c>
      <c r="AR860" s="46">
        <v>0</v>
      </c>
      <c r="AS860" s="46">
        <v>0</v>
      </c>
      <c r="AT860" s="46">
        <v>0</v>
      </c>
      <c r="AU860" s="46">
        <v>1</v>
      </c>
      <c r="AV860" s="46">
        <v>1</v>
      </c>
      <c r="AW860" s="46">
        <v>0</v>
      </c>
      <c r="AX860" s="46">
        <v>1</v>
      </c>
      <c r="AY860" s="46">
        <v>0</v>
      </c>
      <c r="AZ860" s="46">
        <v>0</v>
      </c>
      <c r="BA860" s="46">
        <v>0</v>
      </c>
      <c r="BB860" s="46">
        <v>0</v>
      </c>
      <c r="BC860" s="46">
        <v>0</v>
      </c>
      <c r="BD860" s="46">
        <v>0</v>
      </c>
      <c r="BE860" s="46">
        <v>0</v>
      </c>
      <c r="BF860" s="46">
        <v>0</v>
      </c>
      <c r="BG860" s="46" t="s">
        <v>48</v>
      </c>
      <c r="BH860" s="46">
        <v>0</v>
      </c>
      <c r="BI860" s="46">
        <v>0</v>
      </c>
      <c r="BJ860" s="46">
        <v>0</v>
      </c>
      <c r="BK860" s="46">
        <v>0</v>
      </c>
      <c r="BL860" s="46">
        <v>1</v>
      </c>
      <c r="BM860" s="46">
        <v>0</v>
      </c>
      <c r="BN860" s="46">
        <v>0</v>
      </c>
    </row>
    <row r="861" spans="1:66" x14ac:dyDescent="0.35">
      <c r="A861" t="s">
        <v>4800</v>
      </c>
      <c r="B861" t="s">
        <v>48</v>
      </c>
      <c r="C861" t="s">
        <v>4804</v>
      </c>
      <c r="D861" t="s">
        <v>817</v>
      </c>
      <c r="E861" t="s">
        <v>4801</v>
      </c>
      <c r="F861" t="s">
        <v>4797</v>
      </c>
      <c r="G861" t="s">
        <v>74</v>
      </c>
      <c r="H861">
        <v>0</v>
      </c>
      <c r="I861" s="60" t="s">
        <v>51</v>
      </c>
      <c r="J861" s="33" t="s">
        <v>45</v>
      </c>
      <c r="K861" s="46">
        <v>1</v>
      </c>
      <c r="L861">
        <v>100</v>
      </c>
      <c r="M861" t="s">
        <v>48</v>
      </c>
      <c r="N861" s="46">
        <v>1</v>
      </c>
      <c r="O861" s="46">
        <v>0</v>
      </c>
      <c r="P861" s="46">
        <v>0</v>
      </c>
      <c r="Q861" t="s">
        <v>48</v>
      </c>
      <c r="R861" t="s">
        <v>48</v>
      </c>
      <c r="S861" t="s">
        <v>4802</v>
      </c>
      <c r="T861" t="s">
        <v>4803</v>
      </c>
      <c r="U861" t="s">
        <v>4802</v>
      </c>
      <c r="V861" s="47">
        <v>0</v>
      </c>
      <c r="W861" t="s">
        <v>48</v>
      </c>
      <c r="X861" t="s">
        <v>48</v>
      </c>
      <c r="Y861" t="s">
        <v>48</v>
      </c>
      <c r="Z861">
        <v>0</v>
      </c>
      <c r="AA861" t="s">
        <v>48</v>
      </c>
      <c r="AB861">
        <v>1988</v>
      </c>
      <c r="AC861" t="s">
        <v>49</v>
      </c>
      <c r="AD861" t="s">
        <v>93</v>
      </c>
      <c r="AE861" t="s">
        <v>4532</v>
      </c>
      <c r="AF861" t="s">
        <v>48</v>
      </c>
      <c r="AG861" t="s">
        <v>140</v>
      </c>
      <c r="AH861" t="s">
        <v>93</v>
      </c>
      <c r="AI861">
        <v>15454</v>
      </c>
      <c r="AJ861">
        <v>1951</v>
      </c>
      <c r="AK861" t="s">
        <v>9102</v>
      </c>
      <c r="AL861" t="s">
        <v>9103</v>
      </c>
      <c r="AM861">
        <v>-0.40400000000000003</v>
      </c>
      <c r="AN861">
        <v>-0.16700000000000001</v>
      </c>
      <c r="AO861">
        <v>-0.40400000000000003</v>
      </c>
      <c r="AP861" s="46">
        <v>0</v>
      </c>
      <c r="AQ861" s="46">
        <v>0</v>
      </c>
      <c r="AR861" s="46">
        <v>0</v>
      </c>
      <c r="AS861" s="46">
        <v>0</v>
      </c>
      <c r="AT861" s="46">
        <v>1</v>
      </c>
      <c r="AU861" s="46">
        <v>0</v>
      </c>
      <c r="AV861" s="46">
        <v>0</v>
      </c>
      <c r="AW861" s="46">
        <v>0</v>
      </c>
      <c r="AX861" s="46">
        <v>0</v>
      </c>
      <c r="AY861" s="46">
        <v>0</v>
      </c>
      <c r="AZ861" s="46">
        <v>0</v>
      </c>
      <c r="BA861" s="46">
        <v>1</v>
      </c>
      <c r="BB861" s="46">
        <v>0</v>
      </c>
      <c r="BC861" s="46">
        <v>0</v>
      </c>
      <c r="BD861" s="46">
        <v>0</v>
      </c>
      <c r="BE861" s="46">
        <v>0</v>
      </c>
      <c r="BF861" s="46">
        <v>0</v>
      </c>
      <c r="BG861" s="46" t="s">
        <v>48</v>
      </c>
      <c r="BH861" s="46">
        <v>0</v>
      </c>
      <c r="BI861" s="46">
        <v>0</v>
      </c>
      <c r="BJ861" s="46">
        <v>0</v>
      </c>
      <c r="BK861" s="46">
        <v>0</v>
      </c>
      <c r="BL861" s="46">
        <v>0</v>
      </c>
      <c r="BM861" s="46">
        <v>0</v>
      </c>
      <c r="BN861" s="46">
        <v>0</v>
      </c>
    </row>
    <row r="862" spans="1:66" x14ac:dyDescent="0.35">
      <c r="A862" t="s">
        <v>4798</v>
      </c>
      <c r="B862" s="44" t="s">
        <v>48</v>
      </c>
      <c r="C862" t="s">
        <v>890</v>
      </c>
      <c r="D862" t="s">
        <v>1239</v>
      </c>
      <c r="E862" t="s">
        <v>4799</v>
      </c>
      <c r="F862" t="s">
        <v>4797</v>
      </c>
      <c r="G862" t="s">
        <v>47</v>
      </c>
      <c r="H862">
        <v>0</v>
      </c>
      <c r="I862" s="60" t="s">
        <v>881</v>
      </c>
      <c r="J862" s="33" t="s">
        <v>45</v>
      </c>
      <c r="K862" s="46">
        <v>0</v>
      </c>
      <c r="L862">
        <v>57</v>
      </c>
      <c r="M862" t="s">
        <v>48</v>
      </c>
      <c r="N862" s="46">
        <v>1</v>
      </c>
      <c r="O862" s="46">
        <v>0</v>
      </c>
      <c r="P862" s="46">
        <v>0</v>
      </c>
      <c r="Q862" t="s">
        <v>48</v>
      </c>
      <c r="R862" t="s">
        <v>48</v>
      </c>
      <c r="S862" t="s">
        <v>10326</v>
      </c>
      <c r="T862" t="s">
        <v>48</v>
      </c>
      <c r="U862" t="s">
        <v>10326</v>
      </c>
      <c r="V862" s="47">
        <v>1</v>
      </c>
      <c r="W862" t="s">
        <v>48</v>
      </c>
      <c r="X862" t="s">
        <v>48</v>
      </c>
      <c r="Y862" t="s">
        <v>48</v>
      </c>
      <c r="Z862">
        <v>0</v>
      </c>
      <c r="AA862" t="s">
        <v>48</v>
      </c>
      <c r="AB862" t="s">
        <v>48</v>
      </c>
      <c r="AC862" t="s">
        <v>63</v>
      </c>
      <c r="AD862" t="s">
        <v>93</v>
      </c>
      <c r="AE862" t="s">
        <v>4532</v>
      </c>
      <c r="AF862" t="s">
        <v>48</v>
      </c>
      <c r="AG862" t="s">
        <v>48</v>
      </c>
      <c r="AH862" t="s">
        <v>48</v>
      </c>
      <c r="AI862" t="s">
        <v>48</v>
      </c>
      <c r="AJ862" t="s">
        <v>48</v>
      </c>
      <c r="AK862" t="s">
        <v>48</v>
      </c>
      <c r="AL862" t="s">
        <v>48</v>
      </c>
      <c r="AM862" t="s">
        <v>48</v>
      </c>
      <c r="AN862" t="s">
        <v>48</v>
      </c>
      <c r="AO862" t="s">
        <v>48</v>
      </c>
      <c r="AP862" s="46">
        <v>0</v>
      </c>
      <c r="AQ862" s="46">
        <v>0</v>
      </c>
      <c r="AR862" s="46">
        <v>0</v>
      </c>
      <c r="AS862" s="46">
        <v>0</v>
      </c>
      <c r="AT862" s="46">
        <v>0</v>
      </c>
      <c r="AU862" s="46">
        <v>0</v>
      </c>
      <c r="AV862" s="46">
        <v>0</v>
      </c>
      <c r="AW862" s="46">
        <v>0</v>
      </c>
      <c r="AX862" s="46">
        <v>0</v>
      </c>
      <c r="AY862" s="46">
        <v>0</v>
      </c>
      <c r="AZ862" s="46">
        <v>0</v>
      </c>
      <c r="BA862" s="46">
        <v>0</v>
      </c>
      <c r="BB862" s="46">
        <v>0</v>
      </c>
      <c r="BC862" s="46">
        <v>0</v>
      </c>
      <c r="BD862" s="46">
        <v>0</v>
      </c>
      <c r="BE862" s="46">
        <v>0</v>
      </c>
      <c r="BF862" s="46">
        <v>0</v>
      </c>
      <c r="BG862" s="46" t="s">
        <v>48</v>
      </c>
      <c r="BH862" s="46">
        <v>0</v>
      </c>
      <c r="BI862" s="46">
        <v>0</v>
      </c>
      <c r="BJ862" s="46">
        <v>0</v>
      </c>
      <c r="BK862" s="46">
        <v>0</v>
      </c>
      <c r="BL862" s="46">
        <v>0</v>
      </c>
      <c r="BM862" s="46">
        <v>0</v>
      </c>
      <c r="BN862" s="46">
        <v>0</v>
      </c>
    </row>
    <row r="863" spans="1:66" x14ac:dyDescent="0.35">
      <c r="A863" t="s">
        <v>4816</v>
      </c>
      <c r="B863" s="44" t="s">
        <v>48</v>
      </c>
      <c r="C863" t="s">
        <v>4819</v>
      </c>
      <c r="D863" t="s">
        <v>253</v>
      </c>
      <c r="E863" t="s">
        <v>4817</v>
      </c>
      <c r="F863" t="s">
        <v>4806</v>
      </c>
      <c r="G863" t="s">
        <v>47</v>
      </c>
      <c r="H863">
        <v>0</v>
      </c>
      <c r="I863" s="60" t="s">
        <v>125</v>
      </c>
      <c r="J863" s="33" t="s">
        <v>45</v>
      </c>
      <c r="K863" s="46">
        <v>0</v>
      </c>
      <c r="L863">
        <v>45.6</v>
      </c>
      <c r="M863" t="s">
        <v>48</v>
      </c>
      <c r="N863" s="46">
        <v>1</v>
      </c>
      <c r="O863" s="46">
        <v>0</v>
      </c>
      <c r="P863" s="46">
        <v>0</v>
      </c>
      <c r="Q863" t="s">
        <v>48</v>
      </c>
      <c r="R863" t="s">
        <v>48</v>
      </c>
      <c r="S863" t="s">
        <v>4818</v>
      </c>
      <c r="T863" t="s">
        <v>48</v>
      </c>
      <c r="U863" t="s">
        <v>4818</v>
      </c>
      <c r="V863" s="47">
        <v>1</v>
      </c>
      <c r="W863" t="s">
        <v>48</v>
      </c>
      <c r="X863" t="s">
        <v>48</v>
      </c>
      <c r="Y863" t="s">
        <v>48</v>
      </c>
      <c r="Z863">
        <v>0</v>
      </c>
      <c r="AA863" t="s">
        <v>48</v>
      </c>
      <c r="AB863" t="s">
        <v>48</v>
      </c>
      <c r="AC863" t="s">
        <v>49</v>
      </c>
      <c r="AD863" t="s">
        <v>93</v>
      </c>
      <c r="AE863" t="s">
        <v>4532</v>
      </c>
      <c r="AF863" t="s">
        <v>48</v>
      </c>
      <c r="AG863" t="s">
        <v>48</v>
      </c>
      <c r="AH863" t="s">
        <v>48</v>
      </c>
      <c r="AI863" t="s">
        <v>48</v>
      </c>
      <c r="AJ863" t="s">
        <v>48</v>
      </c>
      <c r="AK863" t="s">
        <v>48</v>
      </c>
      <c r="AL863" t="s">
        <v>48</v>
      </c>
      <c r="AM863" t="s">
        <v>48</v>
      </c>
      <c r="AN863" t="s">
        <v>48</v>
      </c>
      <c r="AO863" t="s">
        <v>48</v>
      </c>
      <c r="AP863" s="46">
        <v>0</v>
      </c>
      <c r="AQ863" s="46">
        <v>0</v>
      </c>
      <c r="AR863" s="46">
        <v>0</v>
      </c>
      <c r="AS863" s="46">
        <v>0</v>
      </c>
      <c r="AT863" s="46">
        <v>0</v>
      </c>
      <c r="AU863" s="46">
        <v>0</v>
      </c>
      <c r="AV863" s="46">
        <v>0</v>
      </c>
      <c r="AW863" s="46">
        <v>0</v>
      </c>
      <c r="AX863" s="46">
        <v>0</v>
      </c>
      <c r="AY863" s="46">
        <v>0</v>
      </c>
      <c r="AZ863" s="46">
        <v>0</v>
      </c>
      <c r="BA863" s="46">
        <v>0</v>
      </c>
      <c r="BB863" s="46">
        <v>0</v>
      </c>
      <c r="BC863" s="46">
        <v>0</v>
      </c>
      <c r="BD863" s="46">
        <v>0</v>
      </c>
      <c r="BE863" s="46">
        <v>0</v>
      </c>
      <c r="BF863" s="46">
        <v>0</v>
      </c>
      <c r="BG863" s="46" t="s">
        <v>48</v>
      </c>
      <c r="BH863" s="46">
        <v>0</v>
      </c>
      <c r="BI863" s="46">
        <v>0</v>
      </c>
      <c r="BJ863" s="46">
        <v>0</v>
      </c>
      <c r="BK863" s="46">
        <v>0</v>
      </c>
      <c r="BL863" s="46">
        <v>0</v>
      </c>
      <c r="BM863" s="46">
        <v>0</v>
      </c>
      <c r="BN863" s="46">
        <v>0</v>
      </c>
    </row>
    <row r="864" spans="1:66" x14ac:dyDescent="0.35">
      <c r="A864" t="s">
        <v>4820</v>
      </c>
      <c r="B864" t="s">
        <v>48</v>
      </c>
      <c r="C864" t="s">
        <v>4824</v>
      </c>
      <c r="D864" t="s">
        <v>585</v>
      </c>
      <c r="E864" t="s">
        <v>4821</v>
      </c>
      <c r="F864" t="s">
        <v>4806</v>
      </c>
      <c r="G864" t="s">
        <v>74</v>
      </c>
      <c r="H864">
        <v>0</v>
      </c>
      <c r="I864" s="60" t="s">
        <v>51</v>
      </c>
      <c r="J864" s="33" t="s">
        <v>45</v>
      </c>
      <c r="K864" s="46">
        <v>1</v>
      </c>
      <c r="L864">
        <v>94.4</v>
      </c>
      <c r="M864" t="s">
        <v>48</v>
      </c>
      <c r="N864" s="46">
        <v>1</v>
      </c>
      <c r="O864" s="46">
        <v>0</v>
      </c>
      <c r="P864" s="46">
        <v>0</v>
      </c>
      <c r="Q864" t="s">
        <v>48</v>
      </c>
      <c r="R864" t="s">
        <v>48</v>
      </c>
      <c r="S864" t="s">
        <v>4822</v>
      </c>
      <c r="T864" t="s">
        <v>4823</v>
      </c>
      <c r="U864" t="s">
        <v>4822</v>
      </c>
      <c r="V864" s="47">
        <v>0</v>
      </c>
      <c r="W864" t="s">
        <v>48</v>
      </c>
      <c r="X864" t="s">
        <v>48</v>
      </c>
      <c r="Y864" t="s">
        <v>48</v>
      </c>
      <c r="Z864">
        <v>0</v>
      </c>
      <c r="AA864" t="s">
        <v>48</v>
      </c>
      <c r="AB864">
        <v>2018</v>
      </c>
      <c r="AC864" t="s">
        <v>49</v>
      </c>
      <c r="AD864" t="s">
        <v>93</v>
      </c>
      <c r="AE864" t="s">
        <v>4532</v>
      </c>
      <c r="AF864" t="s">
        <v>48</v>
      </c>
      <c r="AG864" t="s">
        <v>876</v>
      </c>
      <c r="AH864" t="s">
        <v>93</v>
      </c>
      <c r="AI864">
        <v>21942</v>
      </c>
      <c r="AJ864">
        <v>1965</v>
      </c>
      <c r="AK864" t="s">
        <v>9104</v>
      </c>
      <c r="AL864" t="s">
        <v>9105</v>
      </c>
      <c r="AM864">
        <v>-0.26700000000000002</v>
      </c>
      <c r="AN864">
        <v>0.113</v>
      </c>
      <c r="AO864">
        <v>-0.26700000000000002</v>
      </c>
      <c r="AP864" s="46">
        <v>0</v>
      </c>
      <c r="AQ864" s="46">
        <v>0</v>
      </c>
      <c r="AR864" s="46">
        <v>1</v>
      </c>
      <c r="AS864" s="46">
        <v>0</v>
      </c>
      <c r="AT864" s="46">
        <v>0</v>
      </c>
      <c r="AU864" s="46">
        <v>1</v>
      </c>
      <c r="AV864" s="46">
        <v>0</v>
      </c>
      <c r="AW864" s="46">
        <v>0</v>
      </c>
      <c r="AX864" s="46">
        <v>0</v>
      </c>
      <c r="AY864" s="46">
        <v>0</v>
      </c>
      <c r="AZ864" s="46">
        <v>0</v>
      </c>
      <c r="BA864" s="46">
        <v>1</v>
      </c>
      <c r="BB864" s="46">
        <v>0</v>
      </c>
      <c r="BC864" s="46">
        <v>0</v>
      </c>
      <c r="BD864" s="46">
        <v>0</v>
      </c>
      <c r="BE864" s="46">
        <v>0</v>
      </c>
      <c r="BF864" s="46">
        <v>0</v>
      </c>
      <c r="BG864" s="46" t="s">
        <v>48</v>
      </c>
      <c r="BH864" s="46">
        <v>0</v>
      </c>
      <c r="BI864" s="46">
        <v>0</v>
      </c>
      <c r="BJ864" s="46">
        <v>0</v>
      </c>
      <c r="BK864" s="46">
        <v>0</v>
      </c>
      <c r="BL864" s="46">
        <v>0</v>
      </c>
      <c r="BM864" s="46">
        <v>0</v>
      </c>
      <c r="BN864" s="46">
        <v>0</v>
      </c>
    </row>
    <row r="865" spans="1:66" x14ac:dyDescent="0.35">
      <c r="A865" t="s">
        <v>8420</v>
      </c>
      <c r="B865" s="44" t="s">
        <v>48</v>
      </c>
      <c r="C865" t="s">
        <v>12141</v>
      </c>
      <c r="D865" t="s">
        <v>12142</v>
      </c>
      <c r="E865" t="s">
        <v>8421</v>
      </c>
      <c r="F865" t="s">
        <v>4832</v>
      </c>
      <c r="G865" t="s">
        <v>47</v>
      </c>
      <c r="H865">
        <v>0</v>
      </c>
      <c r="I865" s="61">
        <v>44727</v>
      </c>
      <c r="J865" s="33" t="s">
        <v>45</v>
      </c>
      <c r="K865" s="46">
        <v>0</v>
      </c>
      <c r="L865">
        <v>100</v>
      </c>
      <c r="M865" t="s">
        <v>48</v>
      </c>
      <c r="N865" s="46">
        <v>1</v>
      </c>
      <c r="O865" s="46">
        <v>0</v>
      </c>
      <c r="P865" s="46">
        <v>0</v>
      </c>
      <c r="Q865" t="s">
        <v>48</v>
      </c>
      <c r="R865" t="s">
        <v>48</v>
      </c>
      <c r="S865" t="s">
        <v>10333</v>
      </c>
      <c r="T865" t="s">
        <v>48</v>
      </c>
      <c r="U865" t="s">
        <v>10333</v>
      </c>
      <c r="V865" s="47">
        <v>1</v>
      </c>
      <c r="W865" t="s">
        <v>48</v>
      </c>
      <c r="X865" t="s">
        <v>48</v>
      </c>
      <c r="Y865" t="s">
        <v>48</v>
      </c>
      <c r="Z865" t="s">
        <v>48</v>
      </c>
      <c r="AA865" t="s">
        <v>48</v>
      </c>
      <c r="AB865" t="s">
        <v>48</v>
      </c>
      <c r="AC865" t="s">
        <v>49</v>
      </c>
      <c r="AD865" t="s">
        <v>951</v>
      </c>
      <c r="AE865" t="s">
        <v>11051</v>
      </c>
      <c r="AF865" t="s">
        <v>48</v>
      </c>
      <c r="AG865" t="s">
        <v>48</v>
      </c>
      <c r="AH865" t="s">
        <v>48</v>
      </c>
      <c r="AI865" t="s">
        <v>48</v>
      </c>
      <c r="AJ865" t="s">
        <v>48</v>
      </c>
      <c r="AK865" t="s">
        <v>48</v>
      </c>
      <c r="AL865" t="s">
        <v>48</v>
      </c>
      <c r="AM865" t="s">
        <v>48</v>
      </c>
      <c r="AN865" t="s">
        <v>48</v>
      </c>
      <c r="AO865" t="s">
        <v>48</v>
      </c>
      <c r="AP865" s="46">
        <v>0</v>
      </c>
      <c r="AQ865" s="46">
        <v>0</v>
      </c>
      <c r="AR865" s="46">
        <v>0</v>
      </c>
      <c r="AS865" s="46">
        <v>0</v>
      </c>
      <c r="AT865" s="46">
        <v>0</v>
      </c>
      <c r="AU865" s="46">
        <v>0</v>
      </c>
      <c r="AV865" s="46">
        <v>0</v>
      </c>
      <c r="AW865" s="46">
        <v>0</v>
      </c>
      <c r="AX865" s="46">
        <v>0</v>
      </c>
      <c r="AY865" s="46">
        <v>0</v>
      </c>
      <c r="AZ865" s="46">
        <v>0</v>
      </c>
      <c r="BA865" s="46">
        <v>0</v>
      </c>
      <c r="BB865" s="46">
        <v>0</v>
      </c>
      <c r="BC865" s="46">
        <v>0</v>
      </c>
      <c r="BD865" s="46">
        <v>0</v>
      </c>
      <c r="BE865" s="46">
        <v>0</v>
      </c>
      <c r="BF865" s="46">
        <v>0</v>
      </c>
      <c r="BG865" s="46" t="s">
        <v>48</v>
      </c>
      <c r="BH865" s="46">
        <v>0</v>
      </c>
      <c r="BI865" s="46">
        <v>0</v>
      </c>
      <c r="BJ865" s="46">
        <v>0</v>
      </c>
      <c r="BK865" s="46">
        <v>0</v>
      </c>
      <c r="BL865" s="46">
        <v>0</v>
      </c>
      <c r="BM865" s="46">
        <v>0</v>
      </c>
      <c r="BN865" s="46">
        <v>0</v>
      </c>
    </row>
    <row r="866" spans="1:66" x14ac:dyDescent="0.35">
      <c r="A866" t="s">
        <v>4882</v>
      </c>
      <c r="B866" s="44" t="s">
        <v>48</v>
      </c>
      <c r="C866" t="s">
        <v>4886</v>
      </c>
      <c r="D866" t="s">
        <v>210</v>
      </c>
      <c r="E866" t="s">
        <v>11228</v>
      </c>
      <c r="F866" t="s">
        <v>4832</v>
      </c>
      <c r="G866" t="s">
        <v>74</v>
      </c>
      <c r="H866">
        <v>0</v>
      </c>
      <c r="I866" s="61" t="s">
        <v>11160</v>
      </c>
      <c r="J866" s="33" t="s">
        <v>45</v>
      </c>
      <c r="K866" s="46">
        <v>0</v>
      </c>
      <c r="L866">
        <v>83.6</v>
      </c>
      <c r="M866" t="s">
        <v>48</v>
      </c>
      <c r="N866" s="46">
        <v>1</v>
      </c>
      <c r="O866" s="46">
        <v>0</v>
      </c>
      <c r="P866" s="46">
        <v>0</v>
      </c>
      <c r="Q866" t="s">
        <v>48</v>
      </c>
      <c r="R866" t="s">
        <v>48</v>
      </c>
      <c r="S866" t="s">
        <v>48</v>
      </c>
      <c r="T866" t="s">
        <v>48</v>
      </c>
      <c r="U866" t="s">
        <v>48</v>
      </c>
      <c r="V866" s="47">
        <v>1</v>
      </c>
      <c r="W866" t="s">
        <v>48</v>
      </c>
      <c r="X866" t="s">
        <v>48</v>
      </c>
      <c r="Y866" t="s">
        <v>48</v>
      </c>
      <c r="Z866" t="s">
        <v>48</v>
      </c>
      <c r="AA866" t="s">
        <v>48</v>
      </c>
      <c r="AB866" t="s">
        <v>48</v>
      </c>
      <c r="AC866" t="s">
        <v>49</v>
      </c>
      <c r="AD866" t="s">
        <v>951</v>
      </c>
      <c r="AE866" t="s">
        <v>11051</v>
      </c>
      <c r="AF866" t="s">
        <v>11063</v>
      </c>
      <c r="AG866" t="s">
        <v>48</v>
      </c>
      <c r="AH866" t="s">
        <v>48</v>
      </c>
      <c r="AI866" t="s">
        <v>48</v>
      </c>
      <c r="AJ866" t="s">
        <v>48</v>
      </c>
      <c r="AK866" t="s">
        <v>48</v>
      </c>
      <c r="AL866" t="s">
        <v>48</v>
      </c>
      <c r="AM866" t="s">
        <v>48</v>
      </c>
      <c r="AN866" t="s">
        <v>48</v>
      </c>
      <c r="AO866" t="s">
        <v>48</v>
      </c>
      <c r="AP866" s="46">
        <v>0</v>
      </c>
      <c r="AQ866" s="46">
        <v>0</v>
      </c>
      <c r="AR866" s="46">
        <v>0</v>
      </c>
      <c r="AS866" s="46">
        <v>0</v>
      </c>
      <c r="AT866" s="46">
        <v>0</v>
      </c>
      <c r="AU866" s="46">
        <v>0</v>
      </c>
      <c r="AV866" s="46">
        <v>0</v>
      </c>
      <c r="AW866" s="46">
        <v>0</v>
      </c>
      <c r="AX866" s="46">
        <v>0</v>
      </c>
      <c r="AY866" s="46">
        <v>0</v>
      </c>
      <c r="AZ866" s="46">
        <v>0</v>
      </c>
      <c r="BA866" s="46">
        <v>0</v>
      </c>
      <c r="BB866" s="46">
        <v>0</v>
      </c>
      <c r="BC866" s="46">
        <v>0</v>
      </c>
      <c r="BD866" s="46">
        <v>0</v>
      </c>
      <c r="BE866" s="46">
        <v>0</v>
      </c>
      <c r="BF866" s="46">
        <v>0</v>
      </c>
      <c r="BG866" s="46" t="s">
        <v>48</v>
      </c>
      <c r="BH866" s="46">
        <v>0</v>
      </c>
      <c r="BI866" s="46">
        <v>0</v>
      </c>
      <c r="BJ866" s="46">
        <v>0</v>
      </c>
      <c r="BK866" s="46">
        <v>0</v>
      </c>
      <c r="BL866" s="46">
        <v>0</v>
      </c>
      <c r="BM866" s="46">
        <v>0</v>
      </c>
      <c r="BN866" s="46">
        <v>0</v>
      </c>
    </row>
    <row r="867" spans="1:66" x14ac:dyDescent="0.35">
      <c r="A867" t="s">
        <v>4835</v>
      </c>
      <c r="B867" s="44" t="s">
        <v>48</v>
      </c>
      <c r="C867" t="s">
        <v>4840</v>
      </c>
      <c r="D867" t="s">
        <v>1915</v>
      </c>
      <c r="E867" t="s">
        <v>4837</v>
      </c>
      <c r="F867" t="s">
        <v>4836</v>
      </c>
      <c r="G867" t="s">
        <v>74</v>
      </c>
      <c r="H867">
        <v>0</v>
      </c>
      <c r="I867" s="60" t="s">
        <v>51</v>
      </c>
      <c r="J867" s="33" t="s">
        <v>45</v>
      </c>
      <c r="K867" s="46">
        <v>1</v>
      </c>
      <c r="L867">
        <v>100</v>
      </c>
      <c r="M867" t="s">
        <v>48</v>
      </c>
      <c r="N867" s="46">
        <v>1</v>
      </c>
      <c r="O867" s="46">
        <v>0</v>
      </c>
      <c r="P867" s="46">
        <v>0</v>
      </c>
      <c r="Q867" t="s">
        <v>48</v>
      </c>
      <c r="R867" t="s">
        <v>48</v>
      </c>
      <c r="S867" t="s">
        <v>4838</v>
      </c>
      <c r="T867" t="s">
        <v>4839</v>
      </c>
      <c r="U867" t="s">
        <v>4838</v>
      </c>
      <c r="V867" s="47">
        <v>0</v>
      </c>
      <c r="W867" t="s">
        <v>48</v>
      </c>
      <c r="X867" t="s">
        <v>48</v>
      </c>
      <c r="Y867" t="s">
        <v>48</v>
      </c>
      <c r="Z867">
        <v>0</v>
      </c>
      <c r="AA867" t="s">
        <v>48</v>
      </c>
      <c r="AB867">
        <v>1996</v>
      </c>
      <c r="AC867" t="s">
        <v>49</v>
      </c>
      <c r="AD867" t="s">
        <v>93</v>
      </c>
      <c r="AE867" t="s">
        <v>4532</v>
      </c>
      <c r="AF867" t="s">
        <v>48</v>
      </c>
      <c r="AG867" t="s">
        <v>140</v>
      </c>
      <c r="AH867" t="s">
        <v>93</v>
      </c>
      <c r="AI867">
        <v>29741</v>
      </c>
      <c r="AJ867">
        <v>1937</v>
      </c>
      <c r="AK867" t="s">
        <v>9106</v>
      </c>
      <c r="AL867" t="s">
        <v>9107</v>
      </c>
      <c r="AM867">
        <v>-0.36699999999999999</v>
      </c>
      <c r="AN867">
        <v>-7.0000000000000001E-3</v>
      </c>
      <c r="AO867">
        <v>-0.36699999999999999</v>
      </c>
      <c r="AP867" s="46">
        <v>0</v>
      </c>
      <c r="AQ867" s="46">
        <v>0</v>
      </c>
      <c r="AR867" s="46">
        <v>0</v>
      </c>
      <c r="AS867" s="46">
        <v>0</v>
      </c>
      <c r="AT867" s="46">
        <v>0</v>
      </c>
      <c r="AU867" s="46">
        <v>0</v>
      </c>
      <c r="AV867" s="46">
        <v>0</v>
      </c>
      <c r="AW867" s="46">
        <v>0</v>
      </c>
      <c r="AX867" s="46">
        <v>0</v>
      </c>
      <c r="AY867" s="46">
        <v>0</v>
      </c>
      <c r="AZ867" s="46">
        <v>0</v>
      </c>
      <c r="BA867" s="46">
        <v>0</v>
      </c>
      <c r="BB867" s="46">
        <v>0</v>
      </c>
      <c r="BC867" s="46">
        <v>0</v>
      </c>
      <c r="BD867" s="46">
        <v>0</v>
      </c>
      <c r="BE867" s="46">
        <v>0</v>
      </c>
      <c r="BF867" s="46">
        <v>0</v>
      </c>
      <c r="BG867" s="46" t="s">
        <v>48</v>
      </c>
      <c r="BH867" s="46">
        <v>0</v>
      </c>
      <c r="BI867" s="46">
        <v>0</v>
      </c>
      <c r="BJ867" s="46">
        <v>0</v>
      </c>
      <c r="BK867" s="46">
        <v>0</v>
      </c>
      <c r="BL867" s="46">
        <v>0</v>
      </c>
      <c r="BM867" s="46">
        <v>0</v>
      </c>
      <c r="BN867" s="46">
        <v>0</v>
      </c>
    </row>
    <row r="868" spans="1:66" x14ac:dyDescent="0.35">
      <c r="A868" t="s">
        <v>8422</v>
      </c>
      <c r="B868" s="44" t="s">
        <v>48</v>
      </c>
      <c r="C868" t="s">
        <v>12146</v>
      </c>
      <c r="D868" t="s">
        <v>4085</v>
      </c>
      <c r="E868" t="s">
        <v>8423</v>
      </c>
      <c r="F868" t="s">
        <v>4836</v>
      </c>
      <c r="G868" t="s">
        <v>47</v>
      </c>
      <c r="H868">
        <v>0</v>
      </c>
      <c r="I868" s="61">
        <v>44727</v>
      </c>
      <c r="J868" s="33" t="s">
        <v>45</v>
      </c>
      <c r="K868" s="46">
        <v>0</v>
      </c>
      <c r="L868">
        <v>100</v>
      </c>
      <c r="M868" t="s">
        <v>48</v>
      </c>
      <c r="N868" s="46">
        <v>1</v>
      </c>
      <c r="O868" s="46">
        <v>0</v>
      </c>
      <c r="P868" s="46">
        <v>0</v>
      </c>
      <c r="Q868" t="s">
        <v>48</v>
      </c>
      <c r="R868" t="s">
        <v>48</v>
      </c>
      <c r="S868" t="s">
        <v>10334</v>
      </c>
      <c r="T868" t="s">
        <v>48</v>
      </c>
      <c r="U868" t="s">
        <v>10334</v>
      </c>
      <c r="V868" s="47">
        <v>0</v>
      </c>
      <c r="W868" t="s">
        <v>48</v>
      </c>
      <c r="X868" t="s">
        <v>48</v>
      </c>
      <c r="Y868" t="s">
        <v>48</v>
      </c>
      <c r="Z868" t="s">
        <v>48</v>
      </c>
      <c r="AA868" t="s">
        <v>48</v>
      </c>
      <c r="AB868" t="s">
        <v>48</v>
      </c>
      <c r="AC868" t="s">
        <v>49</v>
      </c>
      <c r="AD868" t="s">
        <v>93</v>
      </c>
      <c r="AE868" t="s">
        <v>2471</v>
      </c>
      <c r="AF868" t="s">
        <v>48</v>
      </c>
      <c r="AG868" t="s">
        <v>48</v>
      </c>
      <c r="AH868" t="s">
        <v>48</v>
      </c>
      <c r="AI868" t="s">
        <v>48</v>
      </c>
      <c r="AJ868" t="s">
        <v>48</v>
      </c>
      <c r="AK868" t="s">
        <v>48</v>
      </c>
      <c r="AL868" t="s">
        <v>48</v>
      </c>
      <c r="AM868" t="s">
        <v>48</v>
      </c>
      <c r="AN868" t="s">
        <v>48</v>
      </c>
      <c r="AO868" t="s">
        <v>48</v>
      </c>
      <c r="AP868" s="46">
        <v>0</v>
      </c>
      <c r="AQ868" s="46">
        <v>0</v>
      </c>
      <c r="AR868" s="46">
        <v>0</v>
      </c>
      <c r="AS868" s="46">
        <v>0</v>
      </c>
      <c r="AT868" s="46">
        <v>0</v>
      </c>
      <c r="AU868" s="46">
        <v>0</v>
      </c>
      <c r="AV868" s="46">
        <v>0</v>
      </c>
      <c r="AW868" s="46">
        <v>0</v>
      </c>
      <c r="AX868" s="46">
        <v>0</v>
      </c>
      <c r="AY868" s="46">
        <v>0</v>
      </c>
      <c r="AZ868" s="46">
        <v>0</v>
      </c>
      <c r="BA868" s="46">
        <v>0</v>
      </c>
      <c r="BB868" s="46">
        <v>0</v>
      </c>
      <c r="BC868" s="46">
        <v>0</v>
      </c>
      <c r="BD868" s="46">
        <v>0</v>
      </c>
      <c r="BE868" s="46">
        <v>0</v>
      </c>
      <c r="BF868" s="46">
        <v>0</v>
      </c>
      <c r="BG868" s="46">
        <v>1</v>
      </c>
      <c r="BH868" s="46">
        <v>0</v>
      </c>
      <c r="BI868" s="46">
        <v>0</v>
      </c>
      <c r="BJ868" s="46">
        <v>0</v>
      </c>
      <c r="BK868" s="46">
        <v>0</v>
      </c>
      <c r="BL868" s="46">
        <v>0</v>
      </c>
      <c r="BM868" s="46">
        <v>0</v>
      </c>
      <c r="BN868" s="46">
        <v>0</v>
      </c>
    </row>
    <row r="869" spans="1:66" x14ac:dyDescent="0.35">
      <c r="A869" t="s">
        <v>8424</v>
      </c>
      <c r="B869" s="44" t="s">
        <v>48</v>
      </c>
      <c r="C869" t="s">
        <v>12147</v>
      </c>
      <c r="D869" t="s">
        <v>268</v>
      </c>
      <c r="E869" t="s">
        <v>8425</v>
      </c>
      <c r="F869" t="s">
        <v>4842</v>
      </c>
      <c r="G869" t="s">
        <v>47</v>
      </c>
      <c r="H869">
        <v>0</v>
      </c>
      <c r="I869" s="61">
        <v>44727</v>
      </c>
      <c r="J869" s="33" t="s">
        <v>45</v>
      </c>
      <c r="K869" s="46">
        <v>0</v>
      </c>
      <c r="L869">
        <v>82.6</v>
      </c>
      <c r="M869" t="s">
        <v>48</v>
      </c>
      <c r="N869" s="46">
        <v>1</v>
      </c>
      <c r="O869" s="46">
        <v>0</v>
      </c>
      <c r="P869" s="46">
        <v>0</v>
      </c>
      <c r="Q869" t="s">
        <v>48</v>
      </c>
      <c r="R869" t="s">
        <v>48</v>
      </c>
      <c r="S869" t="s">
        <v>48</v>
      </c>
      <c r="T869" t="s">
        <v>48</v>
      </c>
      <c r="U869" t="s">
        <v>48</v>
      </c>
      <c r="V869" s="47">
        <v>1</v>
      </c>
      <c r="W869" t="s">
        <v>11264</v>
      </c>
      <c r="X869" t="s">
        <v>48</v>
      </c>
      <c r="Y869" t="s">
        <v>48</v>
      </c>
      <c r="Z869" t="s">
        <v>48</v>
      </c>
      <c r="AA869" t="s">
        <v>48</v>
      </c>
      <c r="AB869" t="s">
        <v>48</v>
      </c>
      <c r="AC869" t="s">
        <v>49</v>
      </c>
      <c r="AD869" t="s">
        <v>48</v>
      </c>
      <c r="AE869" t="s">
        <v>48</v>
      </c>
      <c r="AF869" t="s">
        <v>48</v>
      </c>
      <c r="AG869" t="s">
        <v>48</v>
      </c>
      <c r="AH869" t="s">
        <v>48</v>
      </c>
      <c r="AI869" t="s">
        <v>48</v>
      </c>
      <c r="AJ869" t="s">
        <v>48</v>
      </c>
      <c r="AK869" t="s">
        <v>48</v>
      </c>
      <c r="AL869" t="s">
        <v>48</v>
      </c>
      <c r="AM869" t="s">
        <v>48</v>
      </c>
      <c r="AN869" t="s">
        <v>48</v>
      </c>
      <c r="AO869" t="s">
        <v>48</v>
      </c>
      <c r="AP869" s="46">
        <v>0</v>
      </c>
      <c r="AQ869" s="46">
        <v>0</v>
      </c>
      <c r="AR869" s="46">
        <v>0</v>
      </c>
      <c r="AS869" s="46">
        <v>0</v>
      </c>
      <c r="AT869" s="46">
        <v>0</v>
      </c>
      <c r="AU869" s="46">
        <v>0</v>
      </c>
      <c r="AV869" s="46">
        <v>0</v>
      </c>
      <c r="AW869" s="46">
        <v>0</v>
      </c>
      <c r="AX869" s="46">
        <v>0</v>
      </c>
      <c r="AY869" s="46">
        <v>0</v>
      </c>
      <c r="AZ869" s="46">
        <v>0</v>
      </c>
      <c r="BA869" s="46">
        <v>0</v>
      </c>
      <c r="BB869" s="46">
        <v>0</v>
      </c>
      <c r="BC869" s="46">
        <v>0</v>
      </c>
      <c r="BD869" s="46">
        <v>0</v>
      </c>
      <c r="BE869" s="46">
        <v>0</v>
      </c>
      <c r="BF869" s="46">
        <v>0</v>
      </c>
      <c r="BG869" s="46" t="s">
        <v>48</v>
      </c>
      <c r="BH869" s="46">
        <v>0</v>
      </c>
      <c r="BI869" s="46">
        <v>0</v>
      </c>
      <c r="BJ869" s="46">
        <v>0</v>
      </c>
      <c r="BK869" s="46">
        <v>0</v>
      </c>
      <c r="BL869" s="46">
        <v>0</v>
      </c>
      <c r="BM869" s="46">
        <v>0</v>
      </c>
      <c r="BN869" s="46">
        <v>0</v>
      </c>
    </row>
    <row r="870" spans="1:66" x14ac:dyDescent="0.35">
      <c r="A870" t="s">
        <v>11227</v>
      </c>
      <c r="B870" s="44" t="s">
        <v>48</v>
      </c>
      <c r="C870" t="s">
        <v>2669</v>
      </c>
      <c r="D870" t="s">
        <v>1617</v>
      </c>
      <c r="E870" t="s">
        <v>11229</v>
      </c>
      <c r="F870" t="s">
        <v>4842</v>
      </c>
      <c r="G870" t="s">
        <v>74</v>
      </c>
      <c r="H870">
        <v>0</v>
      </c>
      <c r="I870" s="60" t="s">
        <v>11160</v>
      </c>
      <c r="J870" s="33" t="s">
        <v>45</v>
      </c>
      <c r="K870" s="46">
        <v>1</v>
      </c>
      <c r="L870">
        <v>83.7</v>
      </c>
      <c r="M870" t="s">
        <v>48</v>
      </c>
      <c r="N870" s="46">
        <v>1</v>
      </c>
      <c r="O870" s="46">
        <v>0</v>
      </c>
      <c r="P870" s="46">
        <v>0</v>
      </c>
      <c r="Q870" t="s">
        <v>48</v>
      </c>
      <c r="R870" t="s">
        <v>48</v>
      </c>
      <c r="S870" t="s">
        <v>10335</v>
      </c>
      <c r="T870" t="s">
        <v>4852</v>
      </c>
      <c r="U870" t="s">
        <v>10335</v>
      </c>
      <c r="V870" s="47">
        <v>0</v>
      </c>
      <c r="W870" t="s">
        <v>48</v>
      </c>
      <c r="X870" t="s">
        <v>48</v>
      </c>
      <c r="Y870" t="s">
        <v>48</v>
      </c>
      <c r="Z870">
        <v>0</v>
      </c>
      <c r="AA870" t="s">
        <v>48</v>
      </c>
      <c r="AB870">
        <v>2012</v>
      </c>
      <c r="AC870" t="s">
        <v>49</v>
      </c>
      <c r="AD870" t="s">
        <v>93</v>
      </c>
      <c r="AE870" s="40" t="s">
        <v>2471</v>
      </c>
      <c r="AF870" t="s">
        <v>11061</v>
      </c>
      <c r="AG870" t="s">
        <v>151</v>
      </c>
      <c r="AH870" t="s">
        <v>93</v>
      </c>
      <c r="AI870">
        <v>31103</v>
      </c>
      <c r="AJ870">
        <v>1958</v>
      </c>
      <c r="AK870" t="s">
        <v>9108</v>
      </c>
      <c r="AL870" t="s">
        <v>9109</v>
      </c>
      <c r="AM870">
        <v>-0.52</v>
      </c>
      <c r="AN870">
        <v>-0.11</v>
      </c>
      <c r="AO870">
        <v>-0.52</v>
      </c>
      <c r="AP870" s="46">
        <v>0</v>
      </c>
      <c r="AQ870" s="46">
        <v>0</v>
      </c>
      <c r="AR870" s="46">
        <v>0</v>
      </c>
      <c r="AS870" s="46">
        <v>0</v>
      </c>
      <c r="AT870" s="46">
        <v>0</v>
      </c>
      <c r="AU870" s="46">
        <v>0</v>
      </c>
      <c r="AV870" s="46">
        <v>0</v>
      </c>
      <c r="AW870" s="46">
        <v>0</v>
      </c>
      <c r="AX870" s="46">
        <v>0</v>
      </c>
      <c r="AY870" s="46">
        <v>0</v>
      </c>
      <c r="AZ870" s="46">
        <v>0</v>
      </c>
      <c r="BA870" s="46">
        <v>0</v>
      </c>
      <c r="BB870" s="46">
        <v>0</v>
      </c>
      <c r="BC870" s="46">
        <v>0</v>
      </c>
      <c r="BD870" s="46">
        <v>0</v>
      </c>
      <c r="BE870" s="46">
        <v>0</v>
      </c>
      <c r="BF870" s="46">
        <v>0</v>
      </c>
      <c r="BG870" s="46" t="s">
        <v>48</v>
      </c>
      <c r="BH870" s="46">
        <v>0</v>
      </c>
      <c r="BI870" s="46">
        <v>0</v>
      </c>
      <c r="BJ870" s="46">
        <v>0</v>
      </c>
      <c r="BK870" s="46">
        <v>1</v>
      </c>
      <c r="BL870" s="46">
        <v>0</v>
      </c>
      <c r="BM870" s="46">
        <v>0</v>
      </c>
      <c r="BN870" s="46">
        <v>0</v>
      </c>
    </row>
    <row r="871" spans="1:66" x14ac:dyDescent="0.35">
      <c r="A871" t="s">
        <v>4870</v>
      </c>
      <c r="B871" t="s">
        <v>48</v>
      </c>
      <c r="C871" t="s">
        <v>4875</v>
      </c>
      <c r="D871" t="s">
        <v>4874</v>
      </c>
      <c r="E871" t="s">
        <v>4871</v>
      </c>
      <c r="F871" t="s">
        <v>4854</v>
      </c>
      <c r="G871" t="s">
        <v>74</v>
      </c>
      <c r="H871">
        <v>0</v>
      </c>
      <c r="I871" s="60" t="s">
        <v>51</v>
      </c>
      <c r="J871" s="33" t="s">
        <v>45</v>
      </c>
      <c r="K871" s="46">
        <v>1</v>
      </c>
      <c r="L871">
        <v>100</v>
      </c>
      <c r="M871" t="s">
        <v>48</v>
      </c>
      <c r="N871" s="46">
        <v>1</v>
      </c>
      <c r="O871" s="46">
        <v>0</v>
      </c>
      <c r="P871" s="46">
        <v>0</v>
      </c>
      <c r="Q871" t="s">
        <v>48</v>
      </c>
      <c r="R871" t="s">
        <v>48</v>
      </c>
      <c r="S871" t="s">
        <v>4872</v>
      </c>
      <c r="T871" t="s">
        <v>4873</v>
      </c>
      <c r="U871" t="s">
        <v>4872</v>
      </c>
      <c r="V871" s="47">
        <v>0</v>
      </c>
      <c r="W871" t="s">
        <v>48</v>
      </c>
      <c r="X871" t="s">
        <v>48</v>
      </c>
      <c r="Y871" t="s">
        <v>48</v>
      </c>
      <c r="Z871">
        <v>0</v>
      </c>
      <c r="AA871" t="s">
        <v>48</v>
      </c>
      <c r="AB871">
        <v>2018</v>
      </c>
      <c r="AC871" t="s">
        <v>63</v>
      </c>
      <c r="AD871" t="s">
        <v>93</v>
      </c>
      <c r="AE871" t="s">
        <v>4532</v>
      </c>
      <c r="AF871" t="s">
        <v>48</v>
      </c>
      <c r="AG871" t="s">
        <v>140</v>
      </c>
      <c r="AH871" t="s">
        <v>93</v>
      </c>
      <c r="AI871">
        <v>21964</v>
      </c>
      <c r="AJ871">
        <v>1972</v>
      </c>
      <c r="AK871" t="s">
        <v>9110</v>
      </c>
      <c r="AL871" t="s">
        <v>9111</v>
      </c>
      <c r="AM871">
        <v>-0.20300000000000001</v>
      </c>
      <c r="AN871">
        <v>0.29699999999999999</v>
      </c>
      <c r="AO871">
        <v>-0.20300000000000001</v>
      </c>
      <c r="AP871" s="46">
        <v>0</v>
      </c>
      <c r="AQ871" s="46">
        <v>0</v>
      </c>
      <c r="AR871" s="46">
        <v>0</v>
      </c>
      <c r="AS871" s="46">
        <v>0</v>
      </c>
      <c r="AT871" s="46">
        <v>0</v>
      </c>
      <c r="AU871" s="46">
        <v>1</v>
      </c>
      <c r="AV871" s="46">
        <v>1</v>
      </c>
      <c r="AW871" s="46">
        <v>0</v>
      </c>
      <c r="AX871" s="46">
        <v>0</v>
      </c>
      <c r="AY871" s="46">
        <v>0</v>
      </c>
      <c r="AZ871" s="46">
        <v>0</v>
      </c>
      <c r="BA871" s="46">
        <v>0</v>
      </c>
      <c r="BB871" s="46">
        <v>0</v>
      </c>
      <c r="BC871" s="46">
        <v>0</v>
      </c>
      <c r="BD871" s="46">
        <v>0</v>
      </c>
      <c r="BE871" s="46">
        <v>0</v>
      </c>
      <c r="BF871" s="46">
        <v>0</v>
      </c>
      <c r="BG871" s="46" t="s">
        <v>48</v>
      </c>
      <c r="BH871" s="46">
        <v>0</v>
      </c>
      <c r="BI871" s="46">
        <v>0</v>
      </c>
      <c r="BJ871" s="46">
        <v>0</v>
      </c>
      <c r="BK871" s="46">
        <v>0</v>
      </c>
      <c r="BL871" s="46">
        <v>1</v>
      </c>
      <c r="BM871" s="46">
        <v>0</v>
      </c>
      <c r="BN871" s="46">
        <v>0</v>
      </c>
    </row>
    <row r="872" spans="1:66" x14ac:dyDescent="0.35">
      <c r="A872" t="s">
        <v>4858</v>
      </c>
      <c r="B872" s="44" t="s">
        <v>48</v>
      </c>
      <c r="C872" t="s">
        <v>4860</v>
      </c>
      <c r="D872" t="s">
        <v>437</v>
      </c>
      <c r="E872" t="s">
        <v>4859</v>
      </c>
      <c r="F872" t="s">
        <v>4854</v>
      </c>
      <c r="G872" t="s">
        <v>47</v>
      </c>
      <c r="H872">
        <v>0</v>
      </c>
      <c r="I872" s="60" t="s">
        <v>51</v>
      </c>
      <c r="J872" s="33" t="s">
        <v>45</v>
      </c>
      <c r="K872" s="46">
        <v>0</v>
      </c>
      <c r="L872">
        <v>39.4</v>
      </c>
      <c r="M872" t="s">
        <v>48</v>
      </c>
      <c r="N872" s="46">
        <v>1</v>
      </c>
      <c r="O872" s="46">
        <v>0</v>
      </c>
      <c r="P872" s="46">
        <v>0</v>
      </c>
      <c r="Q872" t="s">
        <v>48</v>
      </c>
      <c r="R872" t="s">
        <v>48</v>
      </c>
      <c r="S872" t="s">
        <v>10336</v>
      </c>
      <c r="T872" t="s">
        <v>48</v>
      </c>
      <c r="U872" t="s">
        <v>10336</v>
      </c>
      <c r="V872" s="47">
        <v>1</v>
      </c>
      <c r="W872" t="s">
        <v>48</v>
      </c>
      <c r="X872" t="s">
        <v>48</v>
      </c>
      <c r="Y872" t="s">
        <v>48</v>
      </c>
      <c r="Z872">
        <v>0</v>
      </c>
      <c r="AA872" t="s">
        <v>48</v>
      </c>
      <c r="AB872" t="s">
        <v>48</v>
      </c>
      <c r="AC872" t="s">
        <v>49</v>
      </c>
      <c r="AD872" t="s">
        <v>93</v>
      </c>
      <c r="AE872" t="s">
        <v>4532</v>
      </c>
      <c r="AF872" t="s">
        <v>48</v>
      </c>
      <c r="AG872" t="s">
        <v>48</v>
      </c>
      <c r="AH872" t="s">
        <v>48</v>
      </c>
      <c r="AI872" t="s">
        <v>48</v>
      </c>
      <c r="AJ872" t="s">
        <v>48</v>
      </c>
      <c r="AK872" t="s">
        <v>48</v>
      </c>
      <c r="AL872" t="s">
        <v>48</v>
      </c>
      <c r="AM872" t="s">
        <v>48</v>
      </c>
      <c r="AN872" t="s">
        <v>48</v>
      </c>
      <c r="AO872" t="s">
        <v>48</v>
      </c>
      <c r="AP872" s="46">
        <v>0</v>
      </c>
      <c r="AQ872" s="46">
        <v>0</v>
      </c>
      <c r="AR872" s="46">
        <v>0</v>
      </c>
      <c r="AS872" s="46">
        <v>0</v>
      </c>
      <c r="AT872" s="46">
        <v>0</v>
      </c>
      <c r="AU872" s="46">
        <v>0</v>
      </c>
      <c r="AV872" s="46">
        <v>0</v>
      </c>
      <c r="AW872" s="46">
        <v>0</v>
      </c>
      <c r="AX872" s="46">
        <v>0</v>
      </c>
      <c r="AY872" s="46">
        <v>0</v>
      </c>
      <c r="AZ872" s="46">
        <v>0</v>
      </c>
      <c r="BA872" s="46">
        <v>0</v>
      </c>
      <c r="BB872" s="46">
        <v>0</v>
      </c>
      <c r="BC872" s="46">
        <v>0</v>
      </c>
      <c r="BD872" s="46">
        <v>0</v>
      </c>
      <c r="BE872" s="46">
        <v>0</v>
      </c>
      <c r="BF872" s="46">
        <v>0</v>
      </c>
      <c r="BG872" s="46" t="s">
        <v>48</v>
      </c>
      <c r="BH872" s="46">
        <v>0</v>
      </c>
      <c r="BI872" s="46">
        <v>0</v>
      </c>
      <c r="BJ872" s="46">
        <v>0</v>
      </c>
      <c r="BK872" s="46">
        <v>0</v>
      </c>
      <c r="BL872" s="46">
        <v>0</v>
      </c>
      <c r="BM872" s="46">
        <v>0</v>
      </c>
      <c r="BN872" s="46">
        <v>0</v>
      </c>
    </row>
    <row r="873" spans="1:66" x14ac:dyDescent="0.35">
      <c r="A873" t="s">
        <v>4877</v>
      </c>
      <c r="B873" s="44" t="s">
        <v>48</v>
      </c>
      <c r="C873" t="s">
        <v>12153</v>
      </c>
      <c r="D873" t="s">
        <v>4881</v>
      </c>
      <c r="E873" t="s">
        <v>4878</v>
      </c>
      <c r="F873" t="s">
        <v>4876</v>
      </c>
      <c r="G873" t="s">
        <v>74</v>
      </c>
      <c r="H873">
        <v>0</v>
      </c>
      <c r="I873" s="60" t="s">
        <v>51</v>
      </c>
      <c r="J873" s="33" t="s">
        <v>45</v>
      </c>
      <c r="K873" s="46">
        <v>1</v>
      </c>
      <c r="L873">
        <v>100</v>
      </c>
      <c r="M873" t="s">
        <v>48</v>
      </c>
      <c r="N873" s="46">
        <v>1</v>
      </c>
      <c r="O873" s="46">
        <v>0</v>
      </c>
      <c r="P873" s="46">
        <v>0</v>
      </c>
      <c r="Q873" t="s">
        <v>48</v>
      </c>
      <c r="R873" t="s">
        <v>48</v>
      </c>
      <c r="S873" t="s">
        <v>4879</v>
      </c>
      <c r="T873" t="s">
        <v>4880</v>
      </c>
      <c r="U873" t="s">
        <v>4879</v>
      </c>
      <c r="V873" s="47">
        <v>0</v>
      </c>
      <c r="W873" t="s">
        <v>48</v>
      </c>
      <c r="X873" t="s">
        <v>48</v>
      </c>
      <c r="Y873" t="s">
        <v>48</v>
      </c>
      <c r="Z873">
        <v>0</v>
      </c>
      <c r="AA873" t="s">
        <v>48</v>
      </c>
      <c r="AB873">
        <v>2014</v>
      </c>
      <c r="AC873" t="s">
        <v>63</v>
      </c>
      <c r="AD873" t="s">
        <v>93</v>
      </c>
      <c r="AE873" s="40" t="s">
        <v>2471</v>
      </c>
      <c r="AF873" t="s">
        <v>11061</v>
      </c>
      <c r="AG873" t="s">
        <v>151</v>
      </c>
      <c r="AH873" t="s">
        <v>93</v>
      </c>
      <c r="AI873">
        <v>21538</v>
      </c>
      <c r="AJ873">
        <v>1945</v>
      </c>
      <c r="AK873" t="s">
        <v>9112</v>
      </c>
      <c r="AL873" t="s">
        <v>9113</v>
      </c>
      <c r="AM873">
        <v>-0.61899999999999999</v>
      </c>
      <c r="AN873">
        <v>-0.161</v>
      </c>
      <c r="AO873">
        <v>-0.61899999999999999</v>
      </c>
      <c r="AP873" s="46">
        <v>0</v>
      </c>
      <c r="AQ873" s="46">
        <v>0</v>
      </c>
      <c r="AR873" s="46">
        <v>0</v>
      </c>
      <c r="AS873" s="46">
        <v>0</v>
      </c>
      <c r="AT873" s="46">
        <v>1</v>
      </c>
      <c r="AU873" s="46">
        <v>0</v>
      </c>
      <c r="AV873" s="46">
        <v>0</v>
      </c>
      <c r="AW873" s="46">
        <v>0</v>
      </c>
      <c r="AX873" s="46">
        <v>0</v>
      </c>
      <c r="AY873" s="46">
        <v>0</v>
      </c>
      <c r="AZ873" s="46">
        <v>0</v>
      </c>
      <c r="BA873" s="46">
        <v>0</v>
      </c>
      <c r="BB873" s="46">
        <v>0</v>
      </c>
      <c r="BC873" s="46">
        <v>0</v>
      </c>
      <c r="BD873" s="46">
        <v>0</v>
      </c>
      <c r="BE873" s="46">
        <v>0</v>
      </c>
      <c r="BF873" s="46">
        <v>0</v>
      </c>
      <c r="BG873" s="46" t="s">
        <v>48</v>
      </c>
      <c r="BH873" s="46">
        <v>0</v>
      </c>
      <c r="BI873" s="46">
        <v>0</v>
      </c>
      <c r="BJ873" s="46">
        <v>0</v>
      </c>
      <c r="BK873" s="46">
        <v>1</v>
      </c>
      <c r="BL873" s="46">
        <v>0</v>
      </c>
      <c r="BM873" s="46">
        <v>0</v>
      </c>
      <c r="BN873" s="46">
        <v>0</v>
      </c>
    </row>
    <row r="874" spans="1:66" x14ac:dyDescent="0.35">
      <c r="A874" t="s">
        <v>8362</v>
      </c>
      <c r="B874" s="44" t="s">
        <v>48</v>
      </c>
      <c r="C874" t="s">
        <v>12151</v>
      </c>
      <c r="D874" t="s">
        <v>12152</v>
      </c>
      <c r="E874" t="s">
        <v>8363</v>
      </c>
      <c r="F874" t="s">
        <v>4876</v>
      </c>
      <c r="G874" t="s">
        <v>47</v>
      </c>
      <c r="H874">
        <v>0</v>
      </c>
      <c r="I874" s="61">
        <v>44727</v>
      </c>
      <c r="J874" s="33" t="s">
        <v>45</v>
      </c>
      <c r="K874" s="46">
        <v>0</v>
      </c>
      <c r="L874">
        <v>100</v>
      </c>
      <c r="M874" t="s">
        <v>48</v>
      </c>
      <c r="N874" s="46">
        <v>1</v>
      </c>
      <c r="O874" s="46">
        <v>0</v>
      </c>
      <c r="P874" s="46">
        <v>0</v>
      </c>
      <c r="Q874" t="s">
        <v>48</v>
      </c>
      <c r="R874" t="s">
        <v>48</v>
      </c>
      <c r="S874" t="s">
        <v>10337</v>
      </c>
      <c r="T874" t="s">
        <v>48</v>
      </c>
      <c r="U874" t="s">
        <v>10337</v>
      </c>
      <c r="V874" s="47">
        <v>1</v>
      </c>
      <c r="W874" t="s">
        <v>48</v>
      </c>
      <c r="X874" t="s">
        <v>48</v>
      </c>
      <c r="Y874" t="s">
        <v>48</v>
      </c>
      <c r="Z874" t="s">
        <v>48</v>
      </c>
      <c r="AA874" t="s">
        <v>48</v>
      </c>
      <c r="AB874" t="s">
        <v>48</v>
      </c>
      <c r="AC874" t="s">
        <v>49</v>
      </c>
      <c r="AD874" t="s">
        <v>93</v>
      </c>
      <c r="AE874" t="s">
        <v>2471</v>
      </c>
      <c r="AF874" t="s">
        <v>48</v>
      </c>
      <c r="AG874" t="s">
        <v>48</v>
      </c>
      <c r="AH874" t="s">
        <v>48</v>
      </c>
      <c r="AI874" t="s">
        <v>48</v>
      </c>
      <c r="AJ874" t="s">
        <v>48</v>
      </c>
      <c r="AK874" t="s">
        <v>48</v>
      </c>
      <c r="AL874" t="s">
        <v>48</v>
      </c>
      <c r="AM874" t="s">
        <v>48</v>
      </c>
      <c r="AN874" t="s">
        <v>48</v>
      </c>
      <c r="AO874" t="s">
        <v>48</v>
      </c>
      <c r="AP874" s="46">
        <v>0</v>
      </c>
      <c r="AQ874" s="46">
        <v>0</v>
      </c>
      <c r="AR874" s="46">
        <v>0</v>
      </c>
      <c r="AS874" s="46">
        <v>0</v>
      </c>
      <c r="AT874" s="46">
        <v>0</v>
      </c>
      <c r="AU874" s="46">
        <v>0</v>
      </c>
      <c r="AV874" s="46">
        <v>0</v>
      </c>
      <c r="AW874" s="46">
        <v>0</v>
      </c>
      <c r="AX874" s="46">
        <v>0</v>
      </c>
      <c r="AY874" s="46">
        <v>0</v>
      </c>
      <c r="AZ874" s="46">
        <v>0</v>
      </c>
      <c r="BA874" s="46">
        <v>0</v>
      </c>
      <c r="BB874" s="46">
        <v>0</v>
      </c>
      <c r="BC874" s="46">
        <v>0</v>
      </c>
      <c r="BD874" s="46">
        <v>0</v>
      </c>
      <c r="BE874" s="46">
        <v>0</v>
      </c>
      <c r="BF874" s="46">
        <v>0</v>
      </c>
      <c r="BG874" s="46">
        <v>1</v>
      </c>
      <c r="BH874" s="46">
        <v>0</v>
      </c>
      <c r="BI874" s="46">
        <v>0</v>
      </c>
      <c r="BJ874" s="46">
        <v>0</v>
      </c>
      <c r="BK874" s="46">
        <v>0</v>
      </c>
      <c r="BL874" s="46">
        <v>0</v>
      </c>
      <c r="BM874" s="46">
        <v>0</v>
      </c>
      <c r="BN874" s="46">
        <v>0</v>
      </c>
    </row>
    <row r="875" spans="1:66" x14ac:dyDescent="0.35">
      <c r="A875" t="s">
        <v>4896</v>
      </c>
      <c r="B875" s="44" t="s">
        <v>48</v>
      </c>
      <c r="C875" t="s">
        <v>4901</v>
      </c>
      <c r="D875" t="s">
        <v>4900</v>
      </c>
      <c r="E875" t="s">
        <v>4897</v>
      </c>
      <c r="F875" t="s">
        <v>4892</v>
      </c>
      <c r="G875" t="s">
        <v>74</v>
      </c>
      <c r="H875">
        <v>0</v>
      </c>
      <c r="I875" s="60" t="s">
        <v>51</v>
      </c>
      <c r="J875" s="33" t="s">
        <v>45</v>
      </c>
      <c r="K875" s="46">
        <v>1</v>
      </c>
      <c r="L875">
        <v>100</v>
      </c>
      <c r="M875" t="s">
        <v>48</v>
      </c>
      <c r="N875" s="46">
        <v>1</v>
      </c>
      <c r="O875" s="46">
        <v>0</v>
      </c>
      <c r="P875" s="46">
        <v>0</v>
      </c>
      <c r="Q875" t="s">
        <v>48</v>
      </c>
      <c r="R875" t="s">
        <v>48</v>
      </c>
      <c r="S875" t="s">
        <v>4898</v>
      </c>
      <c r="T875" t="s">
        <v>4899</v>
      </c>
      <c r="U875" t="s">
        <v>4898</v>
      </c>
      <c r="V875" s="47">
        <v>0</v>
      </c>
      <c r="W875" t="s">
        <v>48</v>
      </c>
      <c r="X875" t="s">
        <v>48</v>
      </c>
      <c r="Y875" t="s">
        <v>48</v>
      </c>
      <c r="Z875">
        <v>1</v>
      </c>
      <c r="AA875" t="s">
        <v>48</v>
      </c>
      <c r="AB875" t="s">
        <v>3400</v>
      </c>
      <c r="AC875" t="s">
        <v>63</v>
      </c>
      <c r="AD875" t="s">
        <v>93</v>
      </c>
      <c r="AE875" t="s">
        <v>4532</v>
      </c>
      <c r="AF875" t="s">
        <v>48</v>
      </c>
      <c r="AG875" t="s">
        <v>48</v>
      </c>
      <c r="AH875" t="s">
        <v>48</v>
      </c>
      <c r="AI875">
        <v>22159</v>
      </c>
      <c r="AJ875">
        <v>1979</v>
      </c>
      <c r="AK875" t="s">
        <v>9114</v>
      </c>
      <c r="AL875" t="s">
        <v>9115</v>
      </c>
      <c r="AM875">
        <v>-0.45900000000000002</v>
      </c>
      <c r="AN875">
        <v>-0.214</v>
      </c>
      <c r="AO875">
        <v>-0.45900000000000002</v>
      </c>
      <c r="AP875" s="46">
        <v>0</v>
      </c>
      <c r="AQ875" s="46">
        <v>0</v>
      </c>
      <c r="AR875" s="46">
        <v>0</v>
      </c>
      <c r="AS875" s="46">
        <v>0</v>
      </c>
      <c r="AT875" s="46">
        <v>1</v>
      </c>
      <c r="AU875" s="46">
        <v>0</v>
      </c>
      <c r="AV875" s="46">
        <v>0</v>
      </c>
      <c r="AW875" s="46">
        <v>0</v>
      </c>
      <c r="AX875" s="46">
        <v>0</v>
      </c>
      <c r="AY875" s="46">
        <v>0</v>
      </c>
      <c r="AZ875" s="46">
        <v>0</v>
      </c>
      <c r="BA875" s="46">
        <v>0</v>
      </c>
      <c r="BB875" s="46">
        <v>0</v>
      </c>
      <c r="BC875" s="46">
        <v>0</v>
      </c>
      <c r="BD875" s="46">
        <v>0</v>
      </c>
      <c r="BE875" s="46">
        <v>0</v>
      </c>
      <c r="BF875" s="46">
        <v>0</v>
      </c>
      <c r="BG875" s="46" t="s">
        <v>48</v>
      </c>
      <c r="BH875" s="46">
        <v>0</v>
      </c>
      <c r="BI875" s="46">
        <v>0</v>
      </c>
      <c r="BJ875" s="46">
        <v>0</v>
      </c>
      <c r="BK875" s="46">
        <v>1</v>
      </c>
      <c r="BL875" s="46">
        <v>0</v>
      </c>
      <c r="BM875" s="46">
        <v>0</v>
      </c>
      <c r="BN875" s="46">
        <v>0</v>
      </c>
    </row>
    <row r="876" spans="1:66" x14ac:dyDescent="0.35">
      <c r="A876" t="s">
        <v>4893</v>
      </c>
      <c r="B876" s="44" t="s">
        <v>48</v>
      </c>
      <c r="C876" t="s">
        <v>12154</v>
      </c>
      <c r="D876" t="s">
        <v>1469</v>
      </c>
      <c r="E876" t="s">
        <v>4894</v>
      </c>
      <c r="F876" t="s">
        <v>4892</v>
      </c>
      <c r="G876" t="s">
        <v>47</v>
      </c>
      <c r="H876">
        <v>0</v>
      </c>
      <c r="I876" s="60" t="s">
        <v>125</v>
      </c>
      <c r="J876" s="33" t="s">
        <v>45</v>
      </c>
      <c r="K876" s="46">
        <v>0</v>
      </c>
      <c r="L876">
        <v>58.7</v>
      </c>
      <c r="M876" t="s">
        <v>48</v>
      </c>
      <c r="N876" s="46">
        <v>1</v>
      </c>
      <c r="O876" s="46">
        <v>0</v>
      </c>
      <c r="P876" s="46">
        <v>0</v>
      </c>
      <c r="Q876" t="s">
        <v>48</v>
      </c>
      <c r="R876" t="s">
        <v>48</v>
      </c>
      <c r="S876" t="s">
        <v>4895</v>
      </c>
      <c r="T876" t="s">
        <v>48</v>
      </c>
      <c r="U876" t="s">
        <v>4895</v>
      </c>
      <c r="V876" s="47">
        <v>0</v>
      </c>
      <c r="W876" t="s">
        <v>48</v>
      </c>
      <c r="X876" t="s">
        <v>48</v>
      </c>
      <c r="Y876" t="s">
        <v>48</v>
      </c>
      <c r="Z876">
        <v>0</v>
      </c>
      <c r="AA876" t="s">
        <v>48</v>
      </c>
      <c r="AB876" t="s">
        <v>48</v>
      </c>
      <c r="AC876" t="s">
        <v>63</v>
      </c>
      <c r="AD876" t="s">
        <v>951</v>
      </c>
      <c r="AE876" t="s">
        <v>11051</v>
      </c>
      <c r="AF876" t="s">
        <v>48</v>
      </c>
      <c r="AG876" t="s">
        <v>48</v>
      </c>
      <c r="AH876" t="s">
        <v>48</v>
      </c>
      <c r="AI876" t="s">
        <v>48</v>
      </c>
      <c r="AJ876" t="s">
        <v>48</v>
      </c>
      <c r="AK876" t="s">
        <v>48</v>
      </c>
      <c r="AL876" t="s">
        <v>48</v>
      </c>
      <c r="AM876" t="s">
        <v>48</v>
      </c>
      <c r="AN876" t="s">
        <v>48</v>
      </c>
      <c r="AO876" t="s">
        <v>48</v>
      </c>
      <c r="AP876" s="46">
        <v>0</v>
      </c>
      <c r="AQ876" s="46">
        <v>0</v>
      </c>
      <c r="AR876" s="46">
        <v>0</v>
      </c>
      <c r="AS876" s="46">
        <v>0</v>
      </c>
      <c r="AT876" s="46">
        <v>0</v>
      </c>
      <c r="AU876" s="46">
        <v>0</v>
      </c>
      <c r="AV876" s="46">
        <v>0</v>
      </c>
      <c r="AW876" s="46">
        <v>0</v>
      </c>
      <c r="AX876" s="46">
        <v>0</v>
      </c>
      <c r="AY876" s="46">
        <v>0</v>
      </c>
      <c r="AZ876" s="46">
        <v>0</v>
      </c>
      <c r="BA876" s="46">
        <v>0</v>
      </c>
      <c r="BB876" s="46">
        <v>0</v>
      </c>
      <c r="BC876" s="46">
        <v>0</v>
      </c>
      <c r="BD876" s="46">
        <v>0</v>
      </c>
      <c r="BE876" s="46">
        <v>0</v>
      </c>
      <c r="BF876" s="46">
        <v>0</v>
      </c>
      <c r="BG876" s="46">
        <v>1</v>
      </c>
      <c r="BH876" s="46">
        <v>0</v>
      </c>
      <c r="BI876" s="46">
        <v>0</v>
      </c>
      <c r="BJ876" s="46">
        <v>0</v>
      </c>
      <c r="BK876" s="46">
        <v>0</v>
      </c>
      <c r="BL876" s="46">
        <v>0</v>
      </c>
      <c r="BM876" s="46">
        <v>0</v>
      </c>
      <c r="BN876" s="46">
        <v>0</v>
      </c>
    </row>
    <row r="877" spans="1:66" x14ac:dyDescent="0.35">
      <c r="A877" t="s">
        <v>4912</v>
      </c>
      <c r="B877" s="44" t="s">
        <v>48</v>
      </c>
      <c r="C877" t="s">
        <v>4915</v>
      </c>
      <c r="D877" t="s">
        <v>3096</v>
      </c>
      <c r="E877" t="s">
        <v>4913</v>
      </c>
      <c r="F877" t="s">
        <v>4903</v>
      </c>
      <c r="G877" t="s">
        <v>74</v>
      </c>
      <c r="H877">
        <v>0</v>
      </c>
      <c r="I877" s="60" t="s">
        <v>51</v>
      </c>
      <c r="J877" s="33" t="s">
        <v>45</v>
      </c>
      <c r="K877" s="46">
        <v>0</v>
      </c>
      <c r="L877">
        <v>76.099999999999994</v>
      </c>
      <c r="M877" t="s">
        <v>48</v>
      </c>
      <c r="N877" s="46">
        <v>1</v>
      </c>
      <c r="O877" s="46">
        <v>0</v>
      </c>
      <c r="P877" s="46">
        <v>0</v>
      </c>
      <c r="Q877" t="s">
        <v>48</v>
      </c>
      <c r="R877" t="s">
        <v>48</v>
      </c>
      <c r="S877" t="s">
        <v>4914</v>
      </c>
      <c r="T877" t="s">
        <v>48</v>
      </c>
      <c r="U877" t="s">
        <v>4914</v>
      </c>
      <c r="V877" s="47">
        <v>1</v>
      </c>
      <c r="W877" t="s">
        <v>48</v>
      </c>
      <c r="X877" t="s">
        <v>48</v>
      </c>
      <c r="Y877" t="s">
        <v>48</v>
      </c>
      <c r="Z877">
        <v>0</v>
      </c>
      <c r="AA877" t="s">
        <v>48</v>
      </c>
      <c r="AB877" t="s">
        <v>48</v>
      </c>
      <c r="AC877" t="s">
        <v>49</v>
      </c>
      <c r="AD877" t="s">
        <v>951</v>
      </c>
      <c r="AE877" t="s">
        <v>11051</v>
      </c>
      <c r="AF877" t="s">
        <v>11054</v>
      </c>
      <c r="AG877" t="s">
        <v>48</v>
      </c>
      <c r="AH877" t="s">
        <v>48</v>
      </c>
      <c r="AI877" t="s">
        <v>48</v>
      </c>
      <c r="AJ877" t="s">
        <v>48</v>
      </c>
      <c r="AK877" t="s">
        <v>48</v>
      </c>
      <c r="AL877" t="s">
        <v>48</v>
      </c>
      <c r="AM877" t="s">
        <v>48</v>
      </c>
      <c r="AN877" t="s">
        <v>48</v>
      </c>
      <c r="AO877" t="s">
        <v>48</v>
      </c>
      <c r="AP877" s="46">
        <v>0</v>
      </c>
      <c r="AQ877" s="46">
        <v>0</v>
      </c>
      <c r="AR877" s="46">
        <v>0</v>
      </c>
      <c r="AS877" s="46">
        <v>0</v>
      </c>
      <c r="AT877" s="46">
        <v>0</v>
      </c>
      <c r="AU877" s="46">
        <v>0</v>
      </c>
      <c r="AV877" s="46">
        <v>0</v>
      </c>
      <c r="AW877" s="46">
        <v>0</v>
      </c>
      <c r="AX877" s="46">
        <v>0</v>
      </c>
      <c r="AY877" s="46">
        <v>0</v>
      </c>
      <c r="AZ877" s="46">
        <v>0</v>
      </c>
      <c r="BA877" s="46">
        <v>0</v>
      </c>
      <c r="BB877" s="46">
        <v>0</v>
      </c>
      <c r="BC877" s="46">
        <v>0</v>
      </c>
      <c r="BD877" s="46">
        <v>0</v>
      </c>
      <c r="BE877" s="46">
        <v>0</v>
      </c>
      <c r="BF877" s="46">
        <v>0</v>
      </c>
      <c r="BG877" s="46" t="s">
        <v>48</v>
      </c>
      <c r="BH877" s="46">
        <v>0</v>
      </c>
      <c r="BI877" s="46">
        <v>0</v>
      </c>
      <c r="BJ877" s="46">
        <v>0</v>
      </c>
      <c r="BK877" s="46">
        <v>0</v>
      </c>
      <c r="BL877" s="46">
        <v>0</v>
      </c>
      <c r="BM877" s="46">
        <v>0</v>
      </c>
      <c r="BN877" s="46">
        <v>0</v>
      </c>
    </row>
    <row r="878" spans="1:66" x14ac:dyDescent="0.35">
      <c r="A878" t="s">
        <v>4902</v>
      </c>
      <c r="B878" s="44" t="s">
        <v>48</v>
      </c>
      <c r="C878" t="s">
        <v>4908</v>
      </c>
      <c r="D878" t="s">
        <v>4907</v>
      </c>
      <c r="E878" t="s">
        <v>4904</v>
      </c>
      <c r="F878" t="s">
        <v>4903</v>
      </c>
      <c r="G878" t="s">
        <v>47</v>
      </c>
      <c r="H878">
        <v>0</v>
      </c>
      <c r="I878" s="60" t="s">
        <v>51</v>
      </c>
      <c r="J878" s="33" t="s">
        <v>45</v>
      </c>
      <c r="K878" s="46">
        <v>1</v>
      </c>
      <c r="L878">
        <v>100</v>
      </c>
      <c r="M878" t="s">
        <v>48</v>
      </c>
      <c r="N878" s="46">
        <v>1</v>
      </c>
      <c r="O878" s="46">
        <v>0</v>
      </c>
      <c r="P878" s="46">
        <v>0</v>
      </c>
      <c r="Q878" t="s">
        <v>48</v>
      </c>
      <c r="R878" t="s">
        <v>48</v>
      </c>
      <c r="S878" t="s">
        <v>4905</v>
      </c>
      <c r="T878" t="s">
        <v>4906</v>
      </c>
      <c r="U878" t="s">
        <v>4905</v>
      </c>
      <c r="V878" s="47">
        <v>0</v>
      </c>
      <c r="W878" t="s">
        <v>48</v>
      </c>
      <c r="X878" t="s">
        <v>48</v>
      </c>
      <c r="Y878" t="s">
        <v>48</v>
      </c>
      <c r="Z878">
        <v>1</v>
      </c>
      <c r="AA878" t="s">
        <v>48</v>
      </c>
      <c r="AB878">
        <v>2020</v>
      </c>
      <c r="AC878" t="s">
        <v>63</v>
      </c>
      <c r="AD878" t="s">
        <v>93</v>
      </c>
      <c r="AE878" t="s">
        <v>11051</v>
      </c>
      <c r="AF878" t="s">
        <v>11092</v>
      </c>
      <c r="AG878" t="s">
        <v>266</v>
      </c>
      <c r="AH878" t="s">
        <v>48</v>
      </c>
      <c r="AI878">
        <v>22123</v>
      </c>
      <c r="AJ878">
        <v>1964</v>
      </c>
      <c r="AK878" t="s">
        <v>9116</v>
      </c>
      <c r="AL878" t="s">
        <v>9117</v>
      </c>
      <c r="AM878">
        <v>0.93600000000000005</v>
      </c>
      <c r="AN878">
        <v>0.35199999999999998</v>
      </c>
      <c r="AO878">
        <v>0.93600000000000005</v>
      </c>
      <c r="AP878" s="46">
        <v>0</v>
      </c>
      <c r="AQ878" s="46">
        <v>0</v>
      </c>
      <c r="AR878" s="46">
        <v>0</v>
      </c>
      <c r="AS878" s="46">
        <v>0</v>
      </c>
      <c r="AT878" s="46">
        <v>0</v>
      </c>
      <c r="AU878" s="46">
        <v>0</v>
      </c>
      <c r="AV878" s="46">
        <v>0</v>
      </c>
      <c r="AW878" s="46">
        <v>0</v>
      </c>
      <c r="AX878" s="46">
        <v>0</v>
      </c>
      <c r="AY878" s="46">
        <v>0</v>
      </c>
      <c r="AZ878" s="46">
        <v>0</v>
      </c>
      <c r="BA878" s="46">
        <v>0</v>
      </c>
      <c r="BB878" s="46">
        <v>1</v>
      </c>
      <c r="BC878" s="46">
        <v>0</v>
      </c>
      <c r="BD878" s="46">
        <v>1</v>
      </c>
      <c r="BE878" s="46">
        <v>0</v>
      </c>
      <c r="BF878" s="46">
        <v>1</v>
      </c>
      <c r="BG878" s="46">
        <v>1</v>
      </c>
      <c r="BH878" s="46">
        <v>0</v>
      </c>
      <c r="BI878" s="46">
        <v>0</v>
      </c>
      <c r="BJ878" s="46">
        <v>0</v>
      </c>
      <c r="BK878" s="46">
        <v>0</v>
      </c>
      <c r="BL878" s="46">
        <v>0</v>
      </c>
      <c r="BM878" s="46">
        <v>0</v>
      </c>
      <c r="BN878" s="46">
        <v>1</v>
      </c>
    </row>
    <row r="879" spans="1:66" x14ac:dyDescent="0.35">
      <c r="A879" t="s">
        <v>8426</v>
      </c>
      <c r="B879" t="s">
        <v>12397</v>
      </c>
      <c r="C879" t="s">
        <v>12396</v>
      </c>
      <c r="D879" t="s">
        <v>1211</v>
      </c>
      <c r="E879" t="s">
        <v>8427</v>
      </c>
      <c r="F879" t="s">
        <v>4917</v>
      </c>
      <c r="G879" t="s">
        <v>47</v>
      </c>
      <c r="H879">
        <v>0</v>
      </c>
      <c r="I879" s="61">
        <v>44729</v>
      </c>
      <c r="J879" s="33" t="s">
        <v>45</v>
      </c>
      <c r="K879" s="46">
        <v>0</v>
      </c>
      <c r="L879">
        <v>100</v>
      </c>
      <c r="M879" t="s">
        <v>48</v>
      </c>
      <c r="N879" s="46">
        <v>1</v>
      </c>
      <c r="O879" s="46">
        <v>0</v>
      </c>
      <c r="P879" s="46">
        <v>0</v>
      </c>
      <c r="Q879" t="s">
        <v>48</v>
      </c>
      <c r="R879" t="s">
        <v>48</v>
      </c>
      <c r="S879" t="s">
        <v>10340</v>
      </c>
      <c r="T879" t="s">
        <v>48</v>
      </c>
      <c r="U879" t="s">
        <v>10340</v>
      </c>
      <c r="V879" s="47">
        <v>0</v>
      </c>
      <c r="W879" t="s">
        <v>48</v>
      </c>
      <c r="X879" t="s">
        <v>48</v>
      </c>
      <c r="Y879" t="s">
        <v>48</v>
      </c>
      <c r="Z879" t="s">
        <v>48</v>
      </c>
      <c r="AA879" t="s">
        <v>48</v>
      </c>
      <c r="AB879" t="s">
        <v>48</v>
      </c>
      <c r="AC879" t="s">
        <v>63</v>
      </c>
      <c r="AD879" t="s">
        <v>951</v>
      </c>
      <c r="AE879" t="s">
        <v>11051</v>
      </c>
      <c r="AF879" t="s">
        <v>48</v>
      </c>
      <c r="AG879" t="s">
        <v>48</v>
      </c>
      <c r="AH879" t="s">
        <v>48</v>
      </c>
      <c r="AI879" t="s">
        <v>48</v>
      </c>
      <c r="AJ879" t="s">
        <v>48</v>
      </c>
      <c r="AK879" t="s">
        <v>48</v>
      </c>
      <c r="AL879" t="s">
        <v>48</v>
      </c>
      <c r="AM879" t="s">
        <v>48</v>
      </c>
      <c r="AN879" t="s">
        <v>48</v>
      </c>
      <c r="AO879" t="s">
        <v>48</v>
      </c>
      <c r="AP879" s="46">
        <v>0</v>
      </c>
      <c r="AQ879" s="46">
        <v>0</v>
      </c>
      <c r="AR879" s="46">
        <v>0</v>
      </c>
      <c r="AS879" s="46">
        <v>0</v>
      </c>
      <c r="AT879" s="46">
        <v>0</v>
      </c>
      <c r="AU879" s="46">
        <v>0</v>
      </c>
      <c r="AV879" s="46">
        <v>0</v>
      </c>
      <c r="AW879" s="46">
        <v>0</v>
      </c>
      <c r="AX879" s="46">
        <v>0</v>
      </c>
      <c r="AY879" s="46">
        <v>0</v>
      </c>
      <c r="AZ879" s="46">
        <v>0</v>
      </c>
      <c r="BA879" s="46">
        <v>0</v>
      </c>
      <c r="BB879" s="46">
        <v>0</v>
      </c>
      <c r="BC879" s="46">
        <v>0</v>
      </c>
      <c r="BD879" s="46">
        <v>0</v>
      </c>
      <c r="BE879" s="46">
        <v>0</v>
      </c>
      <c r="BF879" s="46">
        <v>0</v>
      </c>
      <c r="BG879" s="46" t="s">
        <v>48</v>
      </c>
      <c r="BH879" s="46">
        <v>0</v>
      </c>
      <c r="BI879" s="46">
        <v>0</v>
      </c>
      <c r="BJ879" s="46">
        <v>0</v>
      </c>
      <c r="BK879" s="46">
        <v>0</v>
      </c>
      <c r="BL879" s="46">
        <v>0</v>
      </c>
      <c r="BM879" s="46">
        <v>0</v>
      </c>
      <c r="BN879" s="46">
        <v>0</v>
      </c>
    </row>
    <row r="880" spans="1:66" x14ac:dyDescent="0.35">
      <c r="A880" t="s">
        <v>4916</v>
      </c>
      <c r="B880" s="44" t="s">
        <v>48</v>
      </c>
      <c r="C880" t="s">
        <v>12155</v>
      </c>
      <c r="D880" t="s">
        <v>1979</v>
      </c>
      <c r="E880" t="s">
        <v>4918</v>
      </c>
      <c r="F880" t="s">
        <v>4917</v>
      </c>
      <c r="G880" t="s">
        <v>74</v>
      </c>
      <c r="H880">
        <v>0</v>
      </c>
      <c r="I880" s="60" t="s">
        <v>51</v>
      </c>
      <c r="J880" s="33" t="s">
        <v>45</v>
      </c>
      <c r="K880" s="46">
        <v>1</v>
      </c>
      <c r="L880">
        <v>100</v>
      </c>
      <c r="M880" t="s">
        <v>48</v>
      </c>
      <c r="N880" s="46">
        <v>1</v>
      </c>
      <c r="O880" s="46">
        <v>0</v>
      </c>
      <c r="P880" s="46">
        <v>0</v>
      </c>
      <c r="Q880" t="s">
        <v>48</v>
      </c>
      <c r="R880" t="s">
        <v>48</v>
      </c>
      <c r="S880" t="s">
        <v>4919</v>
      </c>
      <c r="T880" t="s">
        <v>4920</v>
      </c>
      <c r="U880" t="s">
        <v>4919</v>
      </c>
      <c r="V880" s="47">
        <v>0</v>
      </c>
      <c r="W880" t="s">
        <v>48</v>
      </c>
      <c r="X880" t="s">
        <v>48</v>
      </c>
      <c r="Y880" t="s">
        <v>48</v>
      </c>
      <c r="Z880">
        <v>1</v>
      </c>
      <c r="AA880" t="s">
        <v>48</v>
      </c>
      <c r="AB880">
        <v>2020</v>
      </c>
      <c r="AC880" t="s">
        <v>63</v>
      </c>
      <c r="AD880" t="s">
        <v>951</v>
      </c>
      <c r="AE880" s="40" t="s">
        <v>11051</v>
      </c>
      <c r="AF880" t="s">
        <v>108</v>
      </c>
      <c r="AG880" t="s">
        <v>48</v>
      </c>
      <c r="AH880" t="s">
        <v>48</v>
      </c>
      <c r="AI880">
        <v>22131</v>
      </c>
      <c r="AJ880">
        <v>1959</v>
      </c>
      <c r="AK880" t="s">
        <v>9118</v>
      </c>
      <c r="AL880" t="s">
        <v>9119</v>
      </c>
      <c r="AM880">
        <v>-0.378</v>
      </c>
      <c r="AN880">
        <v>-0.19500000000000001</v>
      </c>
      <c r="AO880">
        <v>-0.378</v>
      </c>
      <c r="AP880" s="46">
        <v>0</v>
      </c>
      <c r="AQ880" s="46">
        <v>0</v>
      </c>
      <c r="AR880" s="46">
        <v>1</v>
      </c>
      <c r="AS880" s="46">
        <v>0</v>
      </c>
      <c r="AT880" s="46">
        <v>1</v>
      </c>
      <c r="AU880" s="46">
        <v>0</v>
      </c>
      <c r="AV880" s="46">
        <v>0</v>
      </c>
      <c r="AW880" s="46">
        <v>0</v>
      </c>
      <c r="AX880" s="46">
        <v>0</v>
      </c>
      <c r="AY880" s="46">
        <v>0</v>
      </c>
      <c r="AZ880" s="46">
        <v>0</v>
      </c>
      <c r="BA880" s="46">
        <v>0</v>
      </c>
      <c r="BB880" s="46">
        <v>0</v>
      </c>
      <c r="BC880" s="46">
        <v>0</v>
      </c>
      <c r="BD880" s="46">
        <v>0</v>
      </c>
      <c r="BE880" s="46">
        <v>0</v>
      </c>
      <c r="BF880" s="46">
        <v>0</v>
      </c>
      <c r="BG880" s="46" t="s">
        <v>48</v>
      </c>
      <c r="BH880" s="46">
        <v>0</v>
      </c>
      <c r="BI880" s="46">
        <v>0</v>
      </c>
      <c r="BJ880" s="46">
        <v>0</v>
      </c>
      <c r="BK880" s="46">
        <v>0</v>
      </c>
      <c r="BL880" s="46">
        <v>0</v>
      </c>
      <c r="BM880" s="46">
        <v>0</v>
      </c>
      <c r="BN880" s="46">
        <v>0</v>
      </c>
    </row>
    <row r="881" spans="1:66" x14ac:dyDescent="0.35">
      <c r="A881" t="s">
        <v>4942</v>
      </c>
      <c r="B881" s="44" t="s">
        <v>48</v>
      </c>
      <c r="C881" t="s">
        <v>4948</v>
      </c>
      <c r="D881" t="s">
        <v>4947</v>
      </c>
      <c r="E881" t="s">
        <v>4943</v>
      </c>
      <c r="F881" t="s">
        <v>4933</v>
      </c>
      <c r="G881" t="s">
        <v>74</v>
      </c>
      <c r="H881">
        <v>0</v>
      </c>
      <c r="I881" s="60" t="s">
        <v>51</v>
      </c>
      <c r="J881" s="33" t="s">
        <v>45</v>
      </c>
      <c r="K881" s="46">
        <v>1</v>
      </c>
      <c r="L881">
        <v>81.5</v>
      </c>
      <c r="M881" t="s">
        <v>48</v>
      </c>
      <c r="N881" s="46">
        <v>1</v>
      </c>
      <c r="O881" s="46">
        <v>0</v>
      </c>
      <c r="P881" s="46">
        <v>0</v>
      </c>
      <c r="Q881" t="s">
        <v>48</v>
      </c>
      <c r="R881" t="s">
        <v>48</v>
      </c>
      <c r="S881" t="s">
        <v>4944</v>
      </c>
      <c r="T881" t="s">
        <v>4945</v>
      </c>
      <c r="U881" t="s">
        <v>4944</v>
      </c>
      <c r="V881" s="47">
        <v>0</v>
      </c>
      <c r="W881" t="s">
        <v>48</v>
      </c>
      <c r="X881" t="s">
        <v>48</v>
      </c>
      <c r="Y881" t="s">
        <v>48</v>
      </c>
      <c r="Z881">
        <v>0</v>
      </c>
      <c r="AA881" t="s">
        <v>48</v>
      </c>
      <c r="AB881" t="s">
        <v>4946</v>
      </c>
      <c r="AC881" t="s">
        <v>63</v>
      </c>
      <c r="AD881" t="s">
        <v>93</v>
      </c>
      <c r="AE881" t="s">
        <v>4532</v>
      </c>
      <c r="AF881" t="s">
        <v>48</v>
      </c>
      <c r="AG881" t="s">
        <v>988</v>
      </c>
      <c r="AH881" t="s">
        <v>93</v>
      </c>
      <c r="AI881">
        <v>20927</v>
      </c>
      <c r="AJ881">
        <v>1950</v>
      </c>
      <c r="AK881" t="s">
        <v>9120</v>
      </c>
      <c r="AL881" t="s">
        <v>9121</v>
      </c>
      <c r="AM881">
        <v>-0.30399999999999999</v>
      </c>
      <c r="AN881">
        <v>-0.214</v>
      </c>
      <c r="AO881">
        <v>-0.30399999999999999</v>
      </c>
      <c r="AP881" s="46">
        <v>0</v>
      </c>
      <c r="AQ881" s="46">
        <v>0</v>
      </c>
      <c r="AR881" s="46">
        <v>0</v>
      </c>
      <c r="AS881" s="46">
        <v>0</v>
      </c>
      <c r="AT881" s="46">
        <v>0</v>
      </c>
      <c r="AU881" s="46">
        <v>0</v>
      </c>
      <c r="AV881" s="46">
        <v>0</v>
      </c>
      <c r="AW881" s="46">
        <v>0</v>
      </c>
      <c r="AX881" s="46">
        <v>0</v>
      </c>
      <c r="AY881" s="46">
        <v>0</v>
      </c>
      <c r="AZ881" s="46">
        <v>0</v>
      </c>
      <c r="BA881" s="46">
        <v>0</v>
      </c>
      <c r="BB881" s="46">
        <v>0</v>
      </c>
      <c r="BC881" s="46">
        <v>0</v>
      </c>
      <c r="BD881" s="46">
        <v>0</v>
      </c>
      <c r="BE881" s="46">
        <v>0</v>
      </c>
      <c r="BF881" s="46">
        <v>0</v>
      </c>
      <c r="BG881" s="46" t="s">
        <v>48</v>
      </c>
      <c r="BH881" s="46">
        <v>0</v>
      </c>
      <c r="BI881" s="46">
        <v>0</v>
      </c>
      <c r="BJ881" s="46">
        <v>0</v>
      </c>
      <c r="BK881" s="46">
        <v>0</v>
      </c>
      <c r="BL881" s="46">
        <v>0</v>
      </c>
      <c r="BM881" s="46">
        <v>0</v>
      </c>
      <c r="BN881" s="46">
        <v>0</v>
      </c>
    </row>
    <row r="882" spans="1:66" x14ac:dyDescent="0.35">
      <c r="A882" t="s">
        <v>4995</v>
      </c>
      <c r="B882" t="s">
        <v>48</v>
      </c>
      <c r="C882" t="s">
        <v>114</v>
      </c>
      <c r="D882" t="s">
        <v>655</v>
      </c>
      <c r="E882" t="s">
        <v>8366</v>
      </c>
      <c r="F882" t="s">
        <v>4933</v>
      </c>
      <c r="G882" t="s">
        <v>47</v>
      </c>
      <c r="H882">
        <v>0</v>
      </c>
      <c r="I882" s="61">
        <v>44733</v>
      </c>
      <c r="J882" s="33" t="s">
        <v>45</v>
      </c>
      <c r="K882" s="46">
        <v>0</v>
      </c>
      <c r="L882">
        <v>30.1</v>
      </c>
      <c r="M882" s="41" t="s">
        <v>48</v>
      </c>
      <c r="N882" s="46">
        <v>1</v>
      </c>
      <c r="O882" s="46">
        <v>0</v>
      </c>
      <c r="P882" s="46">
        <v>0</v>
      </c>
      <c r="Q882" s="41" t="s">
        <v>48</v>
      </c>
      <c r="R882" s="41" t="s">
        <v>48</v>
      </c>
      <c r="S882" t="s">
        <v>10343</v>
      </c>
      <c r="T882" t="s">
        <v>48</v>
      </c>
      <c r="U882" t="s">
        <v>10343</v>
      </c>
      <c r="V882" s="47">
        <v>0</v>
      </c>
      <c r="W882" t="s">
        <v>48</v>
      </c>
      <c r="X882" t="s">
        <v>48</v>
      </c>
      <c r="Y882" t="s">
        <v>48</v>
      </c>
      <c r="Z882">
        <v>0</v>
      </c>
      <c r="AA882" t="s">
        <v>48</v>
      </c>
      <c r="AB882" t="s">
        <v>48</v>
      </c>
      <c r="AC882" t="s">
        <v>49</v>
      </c>
      <c r="AD882" t="s">
        <v>93</v>
      </c>
      <c r="AE882" t="s">
        <v>4532</v>
      </c>
      <c r="AF882" t="s">
        <v>48</v>
      </c>
      <c r="AG882" t="s">
        <v>742</v>
      </c>
      <c r="AH882" t="s">
        <v>48</v>
      </c>
      <c r="AI882" t="s">
        <v>48</v>
      </c>
      <c r="AJ882" t="s">
        <v>48</v>
      </c>
      <c r="AK882" t="s">
        <v>48</v>
      </c>
      <c r="AL882" t="s">
        <v>48</v>
      </c>
      <c r="AM882" t="s">
        <v>48</v>
      </c>
      <c r="AN882" t="s">
        <v>48</v>
      </c>
      <c r="AO882" t="s">
        <v>48</v>
      </c>
      <c r="AP882" s="46">
        <v>0</v>
      </c>
      <c r="AQ882" s="46">
        <v>0</v>
      </c>
      <c r="AR882" s="46">
        <v>0</v>
      </c>
      <c r="AS882" s="46">
        <v>0</v>
      </c>
      <c r="AT882" s="46">
        <v>0</v>
      </c>
      <c r="AU882" s="46">
        <v>0</v>
      </c>
      <c r="AV882" s="46">
        <v>0</v>
      </c>
      <c r="AW882" s="46">
        <v>0</v>
      </c>
      <c r="AX882" s="46">
        <v>0</v>
      </c>
      <c r="AY882" s="46">
        <v>0</v>
      </c>
      <c r="AZ882" s="46">
        <v>0</v>
      </c>
      <c r="BA882" s="46">
        <v>0</v>
      </c>
      <c r="BB882" s="46">
        <v>0</v>
      </c>
      <c r="BC882" s="46">
        <v>0</v>
      </c>
      <c r="BD882" s="46">
        <v>0</v>
      </c>
      <c r="BE882" s="46">
        <v>0</v>
      </c>
      <c r="BF882" s="46">
        <v>0</v>
      </c>
      <c r="BG882" s="46" t="s">
        <v>48</v>
      </c>
      <c r="BH882" s="46">
        <v>0</v>
      </c>
      <c r="BI882" s="46">
        <v>0</v>
      </c>
      <c r="BJ882" s="46">
        <v>0</v>
      </c>
      <c r="BK882" s="46">
        <v>0</v>
      </c>
      <c r="BL882" s="46">
        <v>0</v>
      </c>
      <c r="BM882" s="46">
        <v>0</v>
      </c>
      <c r="BN882" s="46">
        <v>0</v>
      </c>
    </row>
    <row r="883" spans="1:66" x14ac:dyDescent="0.35">
      <c r="A883" t="s">
        <v>8112</v>
      </c>
      <c r="B883" t="s">
        <v>48</v>
      </c>
      <c r="C883" t="s">
        <v>6569</v>
      </c>
      <c r="D883" t="s">
        <v>1338</v>
      </c>
      <c r="E883" t="s">
        <v>8113</v>
      </c>
      <c r="F883" t="s">
        <v>4954</v>
      </c>
      <c r="G883" t="s">
        <v>74</v>
      </c>
      <c r="H883">
        <v>0</v>
      </c>
      <c r="I883" s="61">
        <v>44733</v>
      </c>
      <c r="J883" s="33" t="s">
        <v>45</v>
      </c>
      <c r="K883" s="46">
        <v>0</v>
      </c>
      <c r="L883">
        <v>48.6</v>
      </c>
      <c r="M883" t="s">
        <v>48</v>
      </c>
      <c r="N883" s="46">
        <v>1</v>
      </c>
      <c r="O883" s="46">
        <v>0</v>
      </c>
      <c r="P883" s="46">
        <v>0</v>
      </c>
      <c r="Q883" t="s">
        <v>48</v>
      </c>
      <c r="R883" t="s">
        <v>48</v>
      </c>
      <c r="S883" t="s">
        <v>10344</v>
      </c>
      <c r="T883" t="s">
        <v>48</v>
      </c>
      <c r="U883" t="s">
        <v>10344</v>
      </c>
      <c r="V883" s="47">
        <v>1</v>
      </c>
      <c r="W883" t="s">
        <v>48</v>
      </c>
      <c r="X883" t="s">
        <v>48</v>
      </c>
      <c r="Y883" t="s">
        <v>48</v>
      </c>
      <c r="Z883" t="s">
        <v>48</v>
      </c>
      <c r="AA883" t="s">
        <v>11114</v>
      </c>
      <c r="AB883" t="s">
        <v>48</v>
      </c>
      <c r="AC883" t="s">
        <v>63</v>
      </c>
      <c r="AD883" t="s">
        <v>93</v>
      </c>
      <c r="AE883" t="s">
        <v>11051</v>
      </c>
      <c r="AF883" t="s">
        <v>11052</v>
      </c>
      <c r="AG883" t="s">
        <v>48</v>
      </c>
      <c r="AH883" t="s">
        <v>48</v>
      </c>
      <c r="AI883" t="s">
        <v>48</v>
      </c>
      <c r="AJ883" t="s">
        <v>48</v>
      </c>
      <c r="AK883" t="s">
        <v>48</v>
      </c>
      <c r="AL883" t="s">
        <v>48</v>
      </c>
      <c r="AM883" t="s">
        <v>48</v>
      </c>
      <c r="AN883" t="s">
        <v>48</v>
      </c>
      <c r="AO883" t="s">
        <v>48</v>
      </c>
      <c r="AP883" s="46">
        <v>0</v>
      </c>
      <c r="AQ883" s="46">
        <v>0</v>
      </c>
      <c r="AR883" s="46">
        <v>0</v>
      </c>
      <c r="AS883" s="46">
        <v>0</v>
      </c>
      <c r="AT883" s="46">
        <v>0</v>
      </c>
      <c r="AU883" s="46">
        <v>0</v>
      </c>
      <c r="AV883" s="46">
        <v>0</v>
      </c>
      <c r="AW883" s="46">
        <v>1</v>
      </c>
      <c r="AX883" s="46">
        <v>0</v>
      </c>
      <c r="AY883" s="46">
        <v>0</v>
      </c>
      <c r="AZ883" s="46">
        <v>0</v>
      </c>
      <c r="BA883" s="46">
        <v>0</v>
      </c>
      <c r="BB883" s="46">
        <v>0</v>
      </c>
      <c r="BC883" s="46">
        <v>0</v>
      </c>
      <c r="BD883" s="46">
        <v>0</v>
      </c>
      <c r="BE883" s="46">
        <v>0</v>
      </c>
      <c r="BF883" s="46">
        <v>0</v>
      </c>
      <c r="BG883" s="46" t="s">
        <v>48</v>
      </c>
      <c r="BH883" s="46">
        <v>0</v>
      </c>
      <c r="BI883" s="46">
        <v>0</v>
      </c>
      <c r="BJ883" s="46">
        <v>0</v>
      </c>
      <c r="BK883" s="46">
        <v>0</v>
      </c>
      <c r="BL883" s="46">
        <v>1</v>
      </c>
      <c r="BM883" s="46">
        <v>0</v>
      </c>
      <c r="BN883" s="46">
        <v>0</v>
      </c>
    </row>
    <row r="884" spans="1:66" x14ac:dyDescent="0.35">
      <c r="A884" t="s">
        <v>4953</v>
      </c>
      <c r="B884" t="s">
        <v>48</v>
      </c>
      <c r="C884" t="s">
        <v>4959</v>
      </c>
      <c r="D884" t="s">
        <v>655</v>
      </c>
      <c r="E884" t="s">
        <v>4955</v>
      </c>
      <c r="F884" t="s">
        <v>4954</v>
      </c>
      <c r="G884" t="s">
        <v>47</v>
      </c>
      <c r="H884">
        <v>0</v>
      </c>
      <c r="I884" s="60" t="s">
        <v>51</v>
      </c>
      <c r="J884" s="33" t="s">
        <v>45</v>
      </c>
      <c r="K884" s="46">
        <v>1</v>
      </c>
      <c r="L884">
        <v>54.7</v>
      </c>
      <c r="M884" t="s">
        <v>48</v>
      </c>
      <c r="N884" s="46">
        <v>1</v>
      </c>
      <c r="O884" s="46">
        <v>0</v>
      </c>
      <c r="P884" s="46">
        <v>0</v>
      </c>
      <c r="Q884" t="s">
        <v>48</v>
      </c>
      <c r="R884" t="s">
        <v>48</v>
      </c>
      <c r="S884" t="s">
        <v>4956</v>
      </c>
      <c r="T884" t="s">
        <v>4957</v>
      </c>
      <c r="U884" t="s">
        <v>4956</v>
      </c>
      <c r="V884" s="47">
        <v>0</v>
      </c>
      <c r="W884" t="s">
        <v>48</v>
      </c>
      <c r="X884" t="s">
        <v>48</v>
      </c>
      <c r="Y884" t="s">
        <v>48</v>
      </c>
      <c r="Z884">
        <v>0</v>
      </c>
      <c r="AA884" t="s">
        <v>48</v>
      </c>
      <c r="AB884" t="s">
        <v>4958</v>
      </c>
      <c r="AC884" t="s">
        <v>49</v>
      </c>
      <c r="AD884" t="s">
        <v>93</v>
      </c>
      <c r="AE884" t="s">
        <v>4532</v>
      </c>
      <c r="AF884" t="s">
        <v>48</v>
      </c>
      <c r="AG884" t="s">
        <v>112</v>
      </c>
      <c r="AH884" t="s">
        <v>93</v>
      </c>
      <c r="AI884">
        <v>21196</v>
      </c>
      <c r="AJ884">
        <v>1958</v>
      </c>
      <c r="AK884" t="s">
        <v>9122</v>
      </c>
      <c r="AL884" t="s">
        <v>9123</v>
      </c>
      <c r="AM884">
        <v>0.38200000000000001</v>
      </c>
      <c r="AN884">
        <v>0.184</v>
      </c>
      <c r="AO884">
        <v>0.38200000000000001</v>
      </c>
      <c r="AP884" s="46">
        <v>0</v>
      </c>
      <c r="AQ884" s="46">
        <v>0</v>
      </c>
      <c r="AR884" s="46">
        <v>0</v>
      </c>
      <c r="AS884" s="46">
        <v>0</v>
      </c>
      <c r="AT884" s="46">
        <v>0</v>
      </c>
      <c r="AU884" s="46">
        <v>0</v>
      </c>
      <c r="AV884" s="46">
        <v>0</v>
      </c>
      <c r="AW884" s="46">
        <v>0</v>
      </c>
      <c r="AX884" s="46">
        <v>0</v>
      </c>
      <c r="AY884" s="46">
        <v>1</v>
      </c>
      <c r="AZ884" s="46">
        <v>0</v>
      </c>
      <c r="BA884" s="46">
        <v>1</v>
      </c>
      <c r="BB884" s="46">
        <v>0</v>
      </c>
      <c r="BC884" s="46">
        <v>0</v>
      </c>
      <c r="BD884" s="46">
        <v>0</v>
      </c>
      <c r="BE884" s="46">
        <v>0</v>
      </c>
      <c r="BF884" s="46">
        <v>0</v>
      </c>
      <c r="BG884" s="46" t="s">
        <v>48</v>
      </c>
      <c r="BH884" s="46">
        <v>0</v>
      </c>
      <c r="BI884" s="46">
        <v>0</v>
      </c>
      <c r="BJ884" s="46">
        <v>0</v>
      </c>
      <c r="BK884" s="46">
        <v>0</v>
      </c>
      <c r="BL884" s="46">
        <v>0</v>
      </c>
      <c r="BM884" s="46">
        <v>0</v>
      </c>
      <c r="BN884" s="46">
        <v>0</v>
      </c>
    </row>
    <row r="885" spans="1:66" x14ac:dyDescent="0.35">
      <c r="A885" t="s">
        <v>4967</v>
      </c>
      <c r="B885" t="s">
        <v>48</v>
      </c>
      <c r="C885" t="s">
        <v>691</v>
      </c>
      <c r="D885" t="s">
        <v>4971</v>
      </c>
      <c r="E885" t="s">
        <v>4969</v>
      </c>
      <c r="F885" t="s">
        <v>4968</v>
      </c>
      <c r="G885" t="s">
        <v>47</v>
      </c>
      <c r="H885">
        <v>0</v>
      </c>
      <c r="I885" s="60" t="s">
        <v>51</v>
      </c>
      <c r="J885" s="33" t="s">
        <v>45</v>
      </c>
      <c r="K885" s="46">
        <v>0</v>
      </c>
      <c r="L885">
        <v>65</v>
      </c>
      <c r="M885" t="s">
        <v>48</v>
      </c>
      <c r="N885" s="46">
        <v>1</v>
      </c>
      <c r="O885" s="46">
        <v>0</v>
      </c>
      <c r="P885" s="46">
        <v>0</v>
      </c>
      <c r="Q885" t="s">
        <v>48</v>
      </c>
      <c r="R885" t="s">
        <v>48</v>
      </c>
      <c r="S885" t="s">
        <v>4970</v>
      </c>
      <c r="T885" t="s">
        <v>48</v>
      </c>
      <c r="U885" t="s">
        <v>4970</v>
      </c>
      <c r="V885" s="47">
        <v>0</v>
      </c>
      <c r="W885" t="s">
        <v>48</v>
      </c>
      <c r="X885" t="s">
        <v>48</v>
      </c>
      <c r="Y885" t="s">
        <v>48</v>
      </c>
      <c r="Z885">
        <v>0</v>
      </c>
      <c r="AA885" t="s">
        <v>48</v>
      </c>
      <c r="AB885" t="s">
        <v>48</v>
      </c>
      <c r="AC885" t="s">
        <v>63</v>
      </c>
      <c r="AD885" t="s">
        <v>93</v>
      </c>
      <c r="AE885" t="s">
        <v>4532</v>
      </c>
      <c r="AF885" t="s">
        <v>48</v>
      </c>
      <c r="AG885" t="s">
        <v>48</v>
      </c>
      <c r="AH885" t="s">
        <v>48</v>
      </c>
      <c r="AI885" t="s">
        <v>48</v>
      </c>
      <c r="AJ885" t="s">
        <v>48</v>
      </c>
      <c r="AK885" t="s">
        <v>48</v>
      </c>
      <c r="AL885" t="s">
        <v>48</v>
      </c>
      <c r="AM885" t="s">
        <v>48</v>
      </c>
      <c r="AN885" t="s">
        <v>48</v>
      </c>
      <c r="AO885" t="s">
        <v>48</v>
      </c>
      <c r="AP885" s="46">
        <v>0</v>
      </c>
      <c r="AQ885" s="46">
        <v>0</v>
      </c>
      <c r="AR885" s="46">
        <v>0</v>
      </c>
      <c r="AS885" s="46">
        <v>0</v>
      </c>
      <c r="AT885" s="46">
        <v>0</v>
      </c>
      <c r="AU885" s="46">
        <v>0</v>
      </c>
      <c r="AV885" s="46">
        <v>0</v>
      </c>
      <c r="AW885" s="46">
        <v>0</v>
      </c>
      <c r="AX885" s="46">
        <v>0</v>
      </c>
      <c r="AY885" s="46">
        <v>0</v>
      </c>
      <c r="AZ885" s="46">
        <v>0</v>
      </c>
      <c r="BA885" s="46">
        <v>0</v>
      </c>
      <c r="BB885" s="46">
        <v>0</v>
      </c>
      <c r="BC885" s="46">
        <v>0</v>
      </c>
      <c r="BD885" s="46">
        <v>0</v>
      </c>
      <c r="BE885" s="46">
        <v>0</v>
      </c>
      <c r="BF885" s="46">
        <v>0</v>
      </c>
      <c r="BG885" s="46">
        <v>1</v>
      </c>
      <c r="BH885" s="46">
        <v>0</v>
      </c>
      <c r="BI885" s="46">
        <v>0</v>
      </c>
      <c r="BJ885" s="46">
        <v>0</v>
      </c>
      <c r="BK885" s="46">
        <v>0</v>
      </c>
      <c r="BL885" s="46">
        <v>0</v>
      </c>
      <c r="BM885" s="46">
        <v>0</v>
      </c>
      <c r="BN885" s="46">
        <v>0</v>
      </c>
    </row>
    <row r="886" spans="1:66" x14ac:dyDescent="0.35">
      <c r="A886" t="s">
        <v>4985</v>
      </c>
      <c r="B886" t="s">
        <v>48</v>
      </c>
      <c r="C886" t="s">
        <v>1034</v>
      </c>
      <c r="D886" t="s">
        <v>4989</v>
      </c>
      <c r="E886" t="s">
        <v>4986</v>
      </c>
      <c r="F886" t="s">
        <v>4968</v>
      </c>
      <c r="G886" t="s">
        <v>74</v>
      </c>
      <c r="H886">
        <v>0</v>
      </c>
      <c r="I886" s="60" t="s">
        <v>51</v>
      </c>
      <c r="J886" s="33" t="s">
        <v>45</v>
      </c>
      <c r="K886" s="46">
        <v>1</v>
      </c>
      <c r="L886">
        <v>89.6</v>
      </c>
      <c r="M886" t="s">
        <v>48</v>
      </c>
      <c r="N886" s="46">
        <v>1</v>
      </c>
      <c r="O886" s="46">
        <v>0</v>
      </c>
      <c r="P886" s="46">
        <v>0</v>
      </c>
      <c r="Q886" t="s">
        <v>48</v>
      </c>
      <c r="R886" t="s">
        <v>48</v>
      </c>
      <c r="S886" t="s">
        <v>4987</v>
      </c>
      <c r="T886" t="s">
        <v>4988</v>
      </c>
      <c r="U886" t="s">
        <v>4987</v>
      </c>
      <c r="V886" s="47">
        <v>0</v>
      </c>
      <c r="W886" t="s">
        <v>48</v>
      </c>
      <c r="X886" t="s">
        <v>48</v>
      </c>
      <c r="Y886" t="s">
        <v>48</v>
      </c>
      <c r="Z886">
        <v>0</v>
      </c>
      <c r="AA886" t="s">
        <v>48</v>
      </c>
      <c r="AB886">
        <v>2018</v>
      </c>
      <c r="AC886" t="s">
        <v>63</v>
      </c>
      <c r="AD886" t="s">
        <v>93</v>
      </c>
      <c r="AE886" t="s">
        <v>4532</v>
      </c>
      <c r="AF886" t="s">
        <v>48</v>
      </c>
      <c r="AG886" t="s">
        <v>140</v>
      </c>
      <c r="AH886" t="s">
        <v>93</v>
      </c>
      <c r="AI886">
        <v>21938</v>
      </c>
      <c r="AJ886">
        <v>1966</v>
      </c>
      <c r="AK886" t="s">
        <v>9124</v>
      </c>
      <c r="AL886" t="s">
        <v>9125</v>
      </c>
      <c r="AM886">
        <v>-0.28399999999999997</v>
      </c>
      <c r="AN886">
        <v>0.43099999999999999</v>
      </c>
      <c r="AO886">
        <v>-0.28399999999999997</v>
      </c>
      <c r="AP886" s="46">
        <v>0</v>
      </c>
      <c r="AQ886" s="46">
        <v>0</v>
      </c>
      <c r="AR886" s="46">
        <v>0</v>
      </c>
      <c r="AS886" s="46">
        <v>0</v>
      </c>
      <c r="AT886" s="46">
        <v>0</v>
      </c>
      <c r="AU886" s="46">
        <v>1</v>
      </c>
      <c r="AV886" s="46">
        <v>0</v>
      </c>
      <c r="AW886" s="46">
        <v>0</v>
      </c>
      <c r="AX886" s="46">
        <v>0</v>
      </c>
      <c r="AY886" s="46">
        <v>0</v>
      </c>
      <c r="AZ886" s="46">
        <v>0</v>
      </c>
      <c r="BA886" s="46">
        <v>1</v>
      </c>
      <c r="BB886" s="46">
        <v>0</v>
      </c>
      <c r="BC886" s="46">
        <v>0</v>
      </c>
      <c r="BD886" s="46">
        <v>0</v>
      </c>
      <c r="BE886" s="46">
        <v>0</v>
      </c>
      <c r="BF886" s="46">
        <v>0</v>
      </c>
      <c r="BG886" s="46" t="s">
        <v>48</v>
      </c>
      <c r="BH886" s="46">
        <v>0</v>
      </c>
      <c r="BI886" s="46">
        <v>0</v>
      </c>
      <c r="BJ886" s="46">
        <v>0</v>
      </c>
      <c r="BK886" s="46">
        <v>0</v>
      </c>
      <c r="BL886" s="46">
        <v>0</v>
      </c>
      <c r="BM886" s="46">
        <v>0</v>
      </c>
      <c r="BN886" s="46">
        <v>0</v>
      </c>
    </row>
    <row r="887" spans="1:66" x14ac:dyDescent="0.35">
      <c r="A887" t="s">
        <v>5011</v>
      </c>
      <c r="B887" t="s">
        <v>48</v>
      </c>
      <c r="C887" t="s">
        <v>1054</v>
      </c>
      <c r="D887" t="s">
        <v>351</v>
      </c>
      <c r="E887" t="s">
        <v>5012</v>
      </c>
      <c r="F887" t="s">
        <v>4997</v>
      </c>
      <c r="G887" t="s">
        <v>47</v>
      </c>
      <c r="H887">
        <v>0</v>
      </c>
      <c r="I887" s="60" t="s">
        <v>51</v>
      </c>
      <c r="J887" s="33" t="s">
        <v>45</v>
      </c>
      <c r="K887" s="46">
        <v>0</v>
      </c>
      <c r="L887">
        <v>48</v>
      </c>
      <c r="M887" t="s">
        <v>48</v>
      </c>
      <c r="N887" s="46">
        <v>1</v>
      </c>
      <c r="O887" s="46">
        <v>0</v>
      </c>
      <c r="P887" s="46">
        <v>0</v>
      </c>
      <c r="Q887" t="s">
        <v>48</v>
      </c>
      <c r="R887" t="s">
        <v>48</v>
      </c>
      <c r="S887" t="s">
        <v>5013</v>
      </c>
      <c r="T887" t="s">
        <v>48</v>
      </c>
      <c r="U887" t="s">
        <v>5013</v>
      </c>
      <c r="V887" s="47">
        <v>0</v>
      </c>
      <c r="W887" t="s">
        <v>48</v>
      </c>
      <c r="X887" t="s">
        <v>48</v>
      </c>
      <c r="Y887" t="s">
        <v>48</v>
      </c>
      <c r="Z887">
        <v>0</v>
      </c>
      <c r="AA887" t="s">
        <v>48</v>
      </c>
      <c r="AB887" t="s">
        <v>48</v>
      </c>
      <c r="AC887" t="s">
        <v>49</v>
      </c>
      <c r="AD887" t="s">
        <v>93</v>
      </c>
      <c r="AE887" t="s">
        <v>4532</v>
      </c>
      <c r="AF887" t="s">
        <v>48</v>
      </c>
      <c r="AG887" t="s">
        <v>48</v>
      </c>
      <c r="AH887" t="s">
        <v>48</v>
      </c>
      <c r="AI887" t="s">
        <v>48</v>
      </c>
      <c r="AJ887" t="s">
        <v>48</v>
      </c>
      <c r="AK887" t="s">
        <v>48</v>
      </c>
      <c r="AL887" t="s">
        <v>48</v>
      </c>
      <c r="AM887" t="s">
        <v>48</v>
      </c>
      <c r="AN887" t="s">
        <v>48</v>
      </c>
      <c r="AO887" t="s">
        <v>48</v>
      </c>
      <c r="AP887" s="46">
        <v>0</v>
      </c>
      <c r="AQ887" s="46">
        <v>0</v>
      </c>
      <c r="AR887" s="46">
        <v>0</v>
      </c>
      <c r="AS887" s="46">
        <v>0</v>
      </c>
      <c r="AT887" s="46">
        <v>0</v>
      </c>
      <c r="AU887" s="46">
        <v>0</v>
      </c>
      <c r="AV887" s="46">
        <v>0</v>
      </c>
      <c r="AW887" s="46">
        <v>0</v>
      </c>
      <c r="AX887" s="46">
        <v>0</v>
      </c>
      <c r="AY887" s="46">
        <v>0</v>
      </c>
      <c r="AZ887" s="46">
        <v>0</v>
      </c>
      <c r="BA887" s="46">
        <v>0</v>
      </c>
      <c r="BB887" s="46">
        <v>0</v>
      </c>
      <c r="BC887" s="46">
        <v>0</v>
      </c>
      <c r="BD887" s="46">
        <v>0</v>
      </c>
      <c r="BE887" s="46">
        <v>0</v>
      </c>
      <c r="BF887" s="46">
        <v>0</v>
      </c>
      <c r="BG887" s="46">
        <v>1</v>
      </c>
      <c r="BH887" s="46">
        <v>0</v>
      </c>
      <c r="BI887" s="46">
        <v>0</v>
      </c>
      <c r="BJ887" s="46">
        <v>0</v>
      </c>
      <c r="BK887" s="46">
        <v>0</v>
      </c>
      <c r="BL887" s="46">
        <v>0</v>
      </c>
      <c r="BM887" s="46">
        <v>0</v>
      </c>
      <c r="BN887" s="46">
        <v>0</v>
      </c>
    </row>
    <row r="888" spans="1:66" x14ac:dyDescent="0.35">
      <c r="A888" t="s">
        <v>5005</v>
      </c>
      <c r="B888" t="s">
        <v>48</v>
      </c>
      <c r="C888" t="s">
        <v>5010</v>
      </c>
      <c r="D888" t="s">
        <v>76</v>
      </c>
      <c r="E888" t="s">
        <v>5006</v>
      </c>
      <c r="F888" t="s">
        <v>4997</v>
      </c>
      <c r="G888" t="s">
        <v>74</v>
      </c>
      <c r="H888">
        <v>0</v>
      </c>
      <c r="I888" s="60" t="s">
        <v>51</v>
      </c>
      <c r="J888" s="33" t="s">
        <v>45</v>
      </c>
      <c r="K888" s="46">
        <v>1</v>
      </c>
      <c r="L888">
        <v>100</v>
      </c>
      <c r="M888" t="s">
        <v>48</v>
      </c>
      <c r="N888" s="46">
        <v>1</v>
      </c>
      <c r="O888" s="46">
        <v>0</v>
      </c>
      <c r="P888" s="46">
        <v>0</v>
      </c>
      <c r="Q888" t="s">
        <v>48</v>
      </c>
      <c r="R888" t="s">
        <v>48</v>
      </c>
      <c r="S888" t="s">
        <v>5007</v>
      </c>
      <c r="T888" t="s">
        <v>5008</v>
      </c>
      <c r="U888" t="s">
        <v>5007</v>
      </c>
      <c r="V888" s="47">
        <v>0</v>
      </c>
      <c r="W888" t="s">
        <v>48</v>
      </c>
      <c r="X888" t="s">
        <v>48</v>
      </c>
      <c r="Y888" t="s">
        <v>48</v>
      </c>
      <c r="Z888">
        <v>0</v>
      </c>
      <c r="AA888" t="s">
        <v>48</v>
      </c>
      <c r="AB888" t="s">
        <v>5009</v>
      </c>
      <c r="AC888" t="s">
        <v>49</v>
      </c>
      <c r="AD888" t="s">
        <v>93</v>
      </c>
      <c r="AE888" s="40" t="s">
        <v>2471</v>
      </c>
      <c r="AF888" t="s">
        <v>11094</v>
      </c>
      <c r="AG888" t="s">
        <v>151</v>
      </c>
      <c r="AH888" t="s">
        <v>93</v>
      </c>
      <c r="AI888">
        <v>21339</v>
      </c>
      <c r="AJ888">
        <v>1973</v>
      </c>
      <c r="AK888" t="s">
        <v>9126</v>
      </c>
      <c r="AL888" t="s">
        <v>9127</v>
      </c>
      <c r="AM888">
        <v>-0.34899999999999998</v>
      </c>
      <c r="AN888">
        <v>9.6000000000000002E-2</v>
      </c>
      <c r="AO888">
        <v>-0.34899999999999998</v>
      </c>
      <c r="AP888" s="46">
        <v>0</v>
      </c>
      <c r="AQ888" s="46">
        <v>0</v>
      </c>
      <c r="AR888" s="46">
        <v>0</v>
      </c>
      <c r="AS888" s="46">
        <v>0</v>
      </c>
      <c r="AT888" s="46">
        <v>1</v>
      </c>
      <c r="AU888" s="46">
        <v>1</v>
      </c>
      <c r="AV888" s="46">
        <v>0</v>
      </c>
      <c r="AW888" s="46">
        <v>0</v>
      </c>
      <c r="AX888" s="46">
        <v>0</v>
      </c>
      <c r="AY888" s="46">
        <v>0</v>
      </c>
      <c r="AZ888" s="46">
        <v>0</v>
      </c>
      <c r="BA888" s="46">
        <v>1</v>
      </c>
      <c r="BB888" s="46">
        <v>0</v>
      </c>
      <c r="BC888" s="46">
        <v>0</v>
      </c>
      <c r="BD888" s="46">
        <v>0</v>
      </c>
      <c r="BE888" s="46">
        <v>0</v>
      </c>
      <c r="BF888" s="46">
        <v>0</v>
      </c>
      <c r="BG888" s="46" t="s">
        <v>48</v>
      </c>
      <c r="BH888" s="46">
        <v>0</v>
      </c>
      <c r="BI888" s="46">
        <v>0</v>
      </c>
      <c r="BJ888" s="46">
        <v>0</v>
      </c>
      <c r="BK888" s="46">
        <v>0</v>
      </c>
      <c r="BL888" s="46">
        <v>0</v>
      </c>
      <c r="BM888" s="46">
        <v>0</v>
      </c>
      <c r="BN888" s="46">
        <v>0</v>
      </c>
    </row>
    <row r="889" spans="1:66" x14ac:dyDescent="0.35">
      <c r="A889" t="s">
        <v>5049</v>
      </c>
      <c r="B889" s="44" t="s">
        <v>48</v>
      </c>
      <c r="C889" t="s">
        <v>5053</v>
      </c>
      <c r="D889" t="s">
        <v>5052</v>
      </c>
      <c r="E889" t="s">
        <v>5050</v>
      </c>
      <c r="F889" t="s">
        <v>5043</v>
      </c>
      <c r="G889" t="s">
        <v>74</v>
      </c>
      <c r="H889">
        <v>0</v>
      </c>
      <c r="I889" s="60" t="s">
        <v>51</v>
      </c>
      <c r="J889" s="33" t="s">
        <v>45</v>
      </c>
      <c r="K889" s="46">
        <v>0</v>
      </c>
      <c r="L889">
        <v>100</v>
      </c>
      <c r="M889" t="s">
        <v>48</v>
      </c>
      <c r="N889" s="46">
        <v>1</v>
      </c>
      <c r="O889" s="46">
        <v>0</v>
      </c>
      <c r="P889" s="46">
        <v>0</v>
      </c>
      <c r="Q889" t="s">
        <v>48</v>
      </c>
      <c r="R889" t="s">
        <v>48</v>
      </c>
      <c r="S889" t="s">
        <v>5051</v>
      </c>
      <c r="T889" t="s">
        <v>48</v>
      </c>
      <c r="U889" t="s">
        <v>5051</v>
      </c>
      <c r="V889" s="47">
        <v>0</v>
      </c>
      <c r="W889" t="s">
        <v>48</v>
      </c>
      <c r="X889" t="s">
        <v>48</v>
      </c>
      <c r="Y889" t="s">
        <v>48</v>
      </c>
      <c r="Z889">
        <v>0</v>
      </c>
      <c r="AA889" t="s">
        <v>48</v>
      </c>
      <c r="AB889" t="s">
        <v>48</v>
      </c>
      <c r="AC889" t="s">
        <v>63</v>
      </c>
      <c r="AD889" t="s">
        <v>93</v>
      </c>
      <c r="AE889" t="s">
        <v>4532</v>
      </c>
      <c r="AF889" t="s">
        <v>48</v>
      </c>
      <c r="AG889" t="s">
        <v>48</v>
      </c>
      <c r="AH889" t="s">
        <v>48</v>
      </c>
      <c r="AI889" t="s">
        <v>48</v>
      </c>
      <c r="AJ889" t="s">
        <v>48</v>
      </c>
      <c r="AK889" t="s">
        <v>48</v>
      </c>
      <c r="AL889" t="s">
        <v>48</v>
      </c>
      <c r="AM889" t="s">
        <v>48</v>
      </c>
      <c r="AN889" t="s">
        <v>48</v>
      </c>
      <c r="AO889" t="s">
        <v>48</v>
      </c>
      <c r="AP889" s="46">
        <v>0</v>
      </c>
      <c r="AQ889" s="46">
        <v>0</v>
      </c>
      <c r="AR889" s="46">
        <v>0</v>
      </c>
      <c r="AS889" s="46">
        <v>0</v>
      </c>
      <c r="AT889" s="46">
        <v>0</v>
      </c>
      <c r="AU889" s="46">
        <v>0</v>
      </c>
      <c r="AV889" s="46">
        <v>0</v>
      </c>
      <c r="AW889" s="46">
        <v>0</v>
      </c>
      <c r="AX889" s="46">
        <v>0</v>
      </c>
      <c r="AY889" s="46">
        <v>0</v>
      </c>
      <c r="AZ889" s="46">
        <v>0</v>
      </c>
      <c r="BA889" s="46">
        <v>0</v>
      </c>
      <c r="BB889" s="46">
        <v>0</v>
      </c>
      <c r="BC889" s="46">
        <v>0</v>
      </c>
      <c r="BD889" s="46">
        <v>0</v>
      </c>
      <c r="BE889" s="46">
        <v>0</v>
      </c>
      <c r="BF889" s="46">
        <v>0</v>
      </c>
      <c r="BG889" s="46" t="s">
        <v>48</v>
      </c>
      <c r="BH889" s="46">
        <v>0</v>
      </c>
      <c r="BI889" s="46">
        <v>0</v>
      </c>
      <c r="BJ889" s="46">
        <v>0</v>
      </c>
      <c r="BK889" s="46">
        <v>0</v>
      </c>
      <c r="BL889" s="46">
        <v>0</v>
      </c>
      <c r="BM889" s="46">
        <v>0</v>
      </c>
      <c r="BN889" s="46">
        <v>0</v>
      </c>
    </row>
    <row r="890" spans="1:66" x14ac:dyDescent="0.35">
      <c r="A890" t="s">
        <v>10717</v>
      </c>
      <c r="B890" t="s">
        <v>48</v>
      </c>
      <c r="C890" t="s">
        <v>12173</v>
      </c>
      <c r="D890" t="s">
        <v>203</v>
      </c>
      <c r="E890" t="s">
        <v>10718</v>
      </c>
      <c r="F890" t="s">
        <v>5043</v>
      </c>
      <c r="G890" t="s">
        <v>47</v>
      </c>
      <c r="H890">
        <v>0</v>
      </c>
      <c r="I890" s="60" t="s">
        <v>11552</v>
      </c>
      <c r="J890" s="33" t="s">
        <v>45</v>
      </c>
      <c r="K890" s="46">
        <v>0</v>
      </c>
      <c r="L890">
        <v>47.2</v>
      </c>
      <c r="M890" t="s">
        <v>48</v>
      </c>
      <c r="N890" s="46">
        <v>1</v>
      </c>
      <c r="O890" s="46">
        <v>0</v>
      </c>
      <c r="P890" s="46">
        <v>0</v>
      </c>
      <c r="Q890" t="s">
        <v>48</v>
      </c>
      <c r="R890" t="s">
        <v>48</v>
      </c>
      <c r="S890" t="s">
        <v>11505</v>
      </c>
      <c r="T890" t="s">
        <v>48</v>
      </c>
      <c r="U890" t="s">
        <v>10719</v>
      </c>
      <c r="V890" s="47">
        <v>0</v>
      </c>
      <c r="W890" t="s">
        <v>48</v>
      </c>
      <c r="X890" t="s">
        <v>48</v>
      </c>
      <c r="Y890" t="s">
        <v>48</v>
      </c>
      <c r="Z890">
        <v>0</v>
      </c>
      <c r="AA890" t="s">
        <v>48</v>
      </c>
      <c r="AB890" t="s">
        <v>48</v>
      </c>
      <c r="AC890" t="s">
        <v>49</v>
      </c>
      <c r="AD890" t="s">
        <v>93</v>
      </c>
      <c r="AE890" t="s">
        <v>4532</v>
      </c>
      <c r="AF890" t="s">
        <v>48</v>
      </c>
      <c r="AG890" t="s">
        <v>48</v>
      </c>
      <c r="AH890" t="s">
        <v>48</v>
      </c>
      <c r="AI890" t="s">
        <v>48</v>
      </c>
      <c r="AJ890" t="s">
        <v>48</v>
      </c>
      <c r="AK890" t="s">
        <v>48</v>
      </c>
      <c r="AL890" t="s">
        <v>48</v>
      </c>
      <c r="AM890" t="s">
        <v>48</v>
      </c>
      <c r="AN890" t="s">
        <v>48</v>
      </c>
      <c r="AO890" t="s">
        <v>48</v>
      </c>
      <c r="AP890" s="46">
        <v>0</v>
      </c>
      <c r="AQ890" s="46">
        <v>0</v>
      </c>
      <c r="AR890" s="46">
        <v>0</v>
      </c>
      <c r="AS890" s="46">
        <v>0</v>
      </c>
      <c r="AT890" s="46">
        <v>0</v>
      </c>
      <c r="AU890" s="46">
        <v>0</v>
      </c>
      <c r="AV890" s="46">
        <v>0</v>
      </c>
      <c r="AW890" s="46">
        <v>0</v>
      </c>
      <c r="AX890" s="46">
        <v>0</v>
      </c>
      <c r="AY890" s="46">
        <v>0</v>
      </c>
      <c r="AZ890" s="46">
        <v>0</v>
      </c>
      <c r="BA890" s="46">
        <v>0</v>
      </c>
      <c r="BB890" s="46">
        <v>0</v>
      </c>
      <c r="BC890" s="46">
        <v>0</v>
      </c>
      <c r="BD890" s="46">
        <v>0</v>
      </c>
      <c r="BE890" s="46">
        <v>0</v>
      </c>
      <c r="BF890" s="46">
        <v>0</v>
      </c>
      <c r="BG890" s="46" t="s">
        <v>48</v>
      </c>
      <c r="BH890" s="46">
        <v>0</v>
      </c>
      <c r="BI890" s="46">
        <v>0</v>
      </c>
      <c r="BJ890" s="46">
        <v>0</v>
      </c>
      <c r="BK890" s="46">
        <v>0</v>
      </c>
      <c r="BL890" s="46">
        <v>0</v>
      </c>
      <c r="BM890" s="46">
        <v>0</v>
      </c>
      <c r="BN890" s="46">
        <v>0</v>
      </c>
    </row>
    <row r="891" spans="1:66" x14ac:dyDescent="0.35">
      <c r="A891" t="s">
        <v>5062</v>
      </c>
      <c r="B891" t="s">
        <v>48</v>
      </c>
      <c r="C891" t="s">
        <v>5066</v>
      </c>
      <c r="D891" t="s">
        <v>259</v>
      </c>
      <c r="E891" t="s">
        <v>5063</v>
      </c>
      <c r="F891" t="s">
        <v>5061</v>
      </c>
      <c r="G891" t="s">
        <v>47</v>
      </c>
      <c r="H891">
        <v>0</v>
      </c>
      <c r="I891" s="60" t="s">
        <v>51</v>
      </c>
      <c r="J891" s="33" t="s">
        <v>45</v>
      </c>
      <c r="K891" s="46">
        <v>1</v>
      </c>
      <c r="L891">
        <v>53.7</v>
      </c>
      <c r="M891" t="s">
        <v>48</v>
      </c>
      <c r="N891" s="46">
        <v>1</v>
      </c>
      <c r="O891" s="46">
        <v>0</v>
      </c>
      <c r="P891" s="46">
        <v>0</v>
      </c>
      <c r="Q891" t="s">
        <v>48</v>
      </c>
      <c r="R891" t="s">
        <v>48</v>
      </c>
      <c r="S891" t="s">
        <v>5064</v>
      </c>
      <c r="T891" t="s">
        <v>5065</v>
      </c>
      <c r="U891" t="s">
        <v>5064</v>
      </c>
      <c r="V891" s="47">
        <v>0</v>
      </c>
      <c r="W891" t="s">
        <v>48</v>
      </c>
      <c r="X891" t="s">
        <v>48</v>
      </c>
      <c r="Y891" t="s">
        <v>48</v>
      </c>
      <c r="Z891">
        <v>1</v>
      </c>
      <c r="AA891" t="s">
        <v>48</v>
      </c>
      <c r="AB891">
        <v>2020</v>
      </c>
      <c r="AC891" t="s">
        <v>49</v>
      </c>
      <c r="AD891" t="s">
        <v>93</v>
      </c>
      <c r="AE891" t="s">
        <v>4532</v>
      </c>
      <c r="AF891" t="s">
        <v>48</v>
      </c>
      <c r="AG891" t="s">
        <v>48</v>
      </c>
      <c r="AH891" t="s">
        <v>93</v>
      </c>
      <c r="AI891">
        <v>22117</v>
      </c>
      <c r="AJ891">
        <v>1984</v>
      </c>
      <c r="AK891" t="s">
        <v>9130</v>
      </c>
      <c r="AL891" t="s">
        <v>9131</v>
      </c>
      <c r="AM891">
        <v>0.28899999999999998</v>
      </c>
      <c r="AN891">
        <v>4.3999999999999997E-2</v>
      </c>
      <c r="AO891">
        <v>0.28899999999999998</v>
      </c>
      <c r="AP891" s="46">
        <v>0</v>
      </c>
      <c r="AQ891" s="46">
        <v>0</v>
      </c>
      <c r="AR891" s="46">
        <v>0</v>
      </c>
      <c r="AS891" s="46">
        <v>0</v>
      </c>
      <c r="AT891" s="46">
        <v>0</v>
      </c>
      <c r="AU891" s="46">
        <v>0</v>
      </c>
      <c r="AV891" s="46">
        <v>0</v>
      </c>
      <c r="AW891" s="46">
        <v>0</v>
      </c>
      <c r="AX891" s="46">
        <v>0</v>
      </c>
      <c r="AY891" s="46">
        <v>1</v>
      </c>
      <c r="AZ891" s="46">
        <v>1</v>
      </c>
      <c r="BA891" s="46">
        <v>1</v>
      </c>
      <c r="BB891" s="46">
        <v>0</v>
      </c>
      <c r="BC891" s="46">
        <v>0</v>
      </c>
      <c r="BD891" s="46">
        <v>0</v>
      </c>
      <c r="BE891" s="46">
        <v>0</v>
      </c>
      <c r="BF891" s="46">
        <v>0</v>
      </c>
      <c r="BG891" s="46" t="s">
        <v>48</v>
      </c>
      <c r="BH891" s="46">
        <v>0</v>
      </c>
      <c r="BI891" s="46">
        <v>0</v>
      </c>
      <c r="BJ891" s="46">
        <v>0</v>
      </c>
      <c r="BK891" s="46">
        <v>0</v>
      </c>
      <c r="BL891" s="46">
        <v>0</v>
      </c>
      <c r="BM891" s="46">
        <v>1</v>
      </c>
      <c r="BN891" s="46">
        <v>0</v>
      </c>
    </row>
    <row r="892" spans="1:66" x14ac:dyDescent="0.35">
      <c r="A892" t="s">
        <v>5054</v>
      </c>
      <c r="B892" s="44" t="s">
        <v>48</v>
      </c>
      <c r="C892" t="s">
        <v>12175</v>
      </c>
      <c r="D892" t="s">
        <v>1056</v>
      </c>
      <c r="E892" t="s">
        <v>10723</v>
      </c>
      <c r="F892" t="s">
        <v>5061</v>
      </c>
      <c r="G892" t="s">
        <v>74</v>
      </c>
      <c r="H892">
        <v>0</v>
      </c>
      <c r="I892" s="60" t="s">
        <v>11552</v>
      </c>
      <c r="J892" s="33" t="s">
        <v>45</v>
      </c>
      <c r="K892" s="46">
        <v>0</v>
      </c>
      <c r="L892">
        <v>100</v>
      </c>
      <c r="M892" t="s">
        <v>48</v>
      </c>
      <c r="N892" s="46">
        <v>1</v>
      </c>
      <c r="O892" s="46">
        <v>0</v>
      </c>
      <c r="P892" s="46">
        <v>0</v>
      </c>
      <c r="Q892" t="s">
        <v>48</v>
      </c>
      <c r="R892" t="s">
        <v>48</v>
      </c>
      <c r="S892" t="s">
        <v>11506</v>
      </c>
      <c r="T892" t="s">
        <v>48</v>
      </c>
      <c r="U892" t="s">
        <v>10724</v>
      </c>
      <c r="V892" s="47">
        <v>0</v>
      </c>
      <c r="W892" t="s">
        <v>48</v>
      </c>
      <c r="X892" t="s">
        <v>48</v>
      </c>
      <c r="Y892" t="s">
        <v>48</v>
      </c>
      <c r="Z892">
        <v>0</v>
      </c>
      <c r="AA892" t="s">
        <v>48</v>
      </c>
      <c r="AB892" t="s">
        <v>48</v>
      </c>
      <c r="AC892" t="s">
        <v>63</v>
      </c>
      <c r="AD892" t="s">
        <v>93</v>
      </c>
      <c r="AE892" t="s">
        <v>2471</v>
      </c>
      <c r="AF892" t="s">
        <v>48</v>
      </c>
      <c r="AG892" t="s">
        <v>48</v>
      </c>
      <c r="AH892" t="s">
        <v>48</v>
      </c>
      <c r="AI892" t="s">
        <v>48</v>
      </c>
      <c r="AJ892" t="s">
        <v>48</v>
      </c>
      <c r="AK892" t="s">
        <v>48</v>
      </c>
      <c r="AL892" t="s">
        <v>48</v>
      </c>
      <c r="AM892" t="s">
        <v>48</v>
      </c>
      <c r="AN892" t="s">
        <v>48</v>
      </c>
      <c r="AO892" t="s">
        <v>48</v>
      </c>
      <c r="AP892" s="46">
        <v>0</v>
      </c>
      <c r="AQ892" s="46">
        <v>0</v>
      </c>
      <c r="AR892" s="46">
        <v>0</v>
      </c>
      <c r="AS892" s="46">
        <v>0</v>
      </c>
      <c r="AT892" s="46">
        <v>0</v>
      </c>
      <c r="AU892" s="46">
        <v>0</v>
      </c>
      <c r="AV892" s="46">
        <v>0</v>
      </c>
      <c r="AW892" s="46">
        <v>0</v>
      </c>
      <c r="AX892" s="46">
        <v>0</v>
      </c>
      <c r="AY892" s="46">
        <v>0</v>
      </c>
      <c r="AZ892" s="46">
        <v>0</v>
      </c>
      <c r="BA892" s="46">
        <v>0</v>
      </c>
      <c r="BB892" s="46">
        <v>0</v>
      </c>
      <c r="BC892" s="46">
        <v>0</v>
      </c>
      <c r="BD892" s="46">
        <v>0</v>
      </c>
      <c r="BE892" s="46">
        <v>0</v>
      </c>
      <c r="BF892" s="46">
        <v>0</v>
      </c>
      <c r="BG892" s="46" t="s">
        <v>48</v>
      </c>
      <c r="BH892" s="46">
        <v>0</v>
      </c>
      <c r="BI892" s="46">
        <v>0</v>
      </c>
      <c r="BJ892" s="46">
        <v>0</v>
      </c>
      <c r="BK892" s="46">
        <v>0</v>
      </c>
      <c r="BL892" s="46">
        <v>0</v>
      </c>
      <c r="BM892" s="46">
        <v>0</v>
      </c>
      <c r="BN892" s="46">
        <v>0</v>
      </c>
    </row>
    <row r="893" spans="1:66" x14ac:dyDescent="0.35">
      <c r="A893" t="s">
        <v>5090</v>
      </c>
      <c r="B893" t="s">
        <v>48</v>
      </c>
      <c r="C893" t="s">
        <v>12415</v>
      </c>
      <c r="D893" t="s">
        <v>1783</v>
      </c>
      <c r="E893" t="s">
        <v>5091</v>
      </c>
      <c r="F893" t="s">
        <v>5073</v>
      </c>
      <c r="G893" t="s">
        <v>47</v>
      </c>
      <c r="H893">
        <v>0</v>
      </c>
      <c r="I893" s="60" t="s">
        <v>125</v>
      </c>
      <c r="J893" s="33" t="s">
        <v>45</v>
      </c>
      <c r="K893" s="46">
        <v>0</v>
      </c>
      <c r="L893">
        <v>100</v>
      </c>
      <c r="M893" t="s">
        <v>48</v>
      </c>
      <c r="N893" s="46">
        <v>1</v>
      </c>
      <c r="O893" s="46">
        <v>0</v>
      </c>
      <c r="P893" s="46">
        <v>0</v>
      </c>
      <c r="Q893" t="s">
        <v>48</v>
      </c>
      <c r="R893" t="s">
        <v>48</v>
      </c>
      <c r="S893" t="s">
        <v>5092</v>
      </c>
      <c r="T893" t="s">
        <v>48</v>
      </c>
      <c r="U893" t="s">
        <v>5092</v>
      </c>
      <c r="V893" s="47">
        <v>0</v>
      </c>
      <c r="W893" t="s">
        <v>48</v>
      </c>
      <c r="X893" t="s">
        <v>48</v>
      </c>
      <c r="Y893" t="s">
        <v>48</v>
      </c>
      <c r="Z893">
        <v>0</v>
      </c>
      <c r="AA893" t="s">
        <v>48</v>
      </c>
      <c r="AB893" t="s">
        <v>48</v>
      </c>
      <c r="AC893" t="s">
        <v>49</v>
      </c>
      <c r="AD893" t="s">
        <v>951</v>
      </c>
      <c r="AE893" t="s">
        <v>11051</v>
      </c>
      <c r="AF893" t="s">
        <v>11153</v>
      </c>
      <c r="AG893" t="s">
        <v>48</v>
      </c>
      <c r="AH893" t="s">
        <v>48</v>
      </c>
      <c r="AI893" t="s">
        <v>48</v>
      </c>
      <c r="AJ893" t="s">
        <v>48</v>
      </c>
      <c r="AK893" t="s">
        <v>48</v>
      </c>
      <c r="AL893" t="s">
        <v>48</v>
      </c>
      <c r="AM893" t="s">
        <v>48</v>
      </c>
      <c r="AN893" t="s">
        <v>48</v>
      </c>
      <c r="AO893" t="s">
        <v>48</v>
      </c>
      <c r="AP893" s="46">
        <v>0</v>
      </c>
      <c r="AQ893" s="46">
        <v>0</v>
      </c>
      <c r="AR893" s="46">
        <v>0</v>
      </c>
      <c r="AS893" s="46">
        <v>0</v>
      </c>
      <c r="AT893" s="46">
        <v>0</v>
      </c>
      <c r="AU893" s="46">
        <v>0</v>
      </c>
      <c r="AV893" s="46">
        <v>0</v>
      </c>
      <c r="AW893" s="46">
        <v>0</v>
      </c>
      <c r="AX893" s="46">
        <v>0</v>
      </c>
      <c r="AY893" s="46">
        <v>0</v>
      </c>
      <c r="AZ893" s="46">
        <v>0</v>
      </c>
      <c r="BA893" s="46">
        <v>0</v>
      </c>
      <c r="BB893" s="46">
        <v>0</v>
      </c>
      <c r="BC893" s="46">
        <v>0</v>
      </c>
      <c r="BD893" s="46">
        <v>0</v>
      </c>
      <c r="BE893" s="46">
        <v>0</v>
      </c>
      <c r="BF893" s="46">
        <v>0</v>
      </c>
      <c r="BG893" s="46" t="s">
        <v>48</v>
      </c>
      <c r="BH893" s="46">
        <v>0</v>
      </c>
      <c r="BI893" s="46">
        <v>0</v>
      </c>
      <c r="BJ893" s="46">
        <v>0</v>
      </c>
      <c r="BK893" s="46">
        <v>0</v>
      </c>
      <c r="BL893" s="46">
        <v>0</v>
      </c>
      <c r="BM893" s="46">
        <v>0</v>
      </c>
      <c r="BN893" s="46">
        <v>0</v>
      </c>
    </row>
    <row r="894" spans="1:66" x14ac:dyDescent="0.35">
      <c r="A894" t="s">
        <v>5099</v>
      </c>
      <c r="B894" s="44" t="s">
        <v>48</v>
      </c>
      <c r="C894" t="s">
        <v>1618</v>
      </c>
      <c r="D894" t="s">
        <v>210</v>
      </c>
      <c r="E894" t="s">
        <v>5100</v>
      </c>
      <c r="F894" t="s">
        <v>5073</v>
      </c>
      <c r="G894" t="s">
        <v>74</v>
      </c>
      <c r="H894">
        <v>0</v>
      </c>
      <c r="I894" s="60" t="s">
        <v>881</v>
      </c>
      <c r="J894" s="33" t="s">
        <v>45</v>
      </c>
      <c r="K894" s="46">
        <v>0</v>
      </c>
      <c r="L894">
        <v>35.799999999999997</v>
      </c>
      <c r="M894" t="s">
        <v>48</v>
      </c>
      <c r="N894" s="46">
        <v>1</v>
      </c>
      <c r="O894" s="46">
        <v>0</v>
      </c>
      <c r="P894" s="46">
        <v>0</v>
      </c>
      <c r="Q894" t="s">
        <v>48</v>
      </c>
      <c r="R894" t="s">
        <v>48</v>
      </c>
      <c r="S894" t="s">
        <v>48</v>
      </c>
      <c r="T894" t="s">
        <v>48</v>
      </c>
      <c r="U894" t="s">
        <v>48</v>
      </c>
      <c r="V894" s="47">
        <v>0</v>
      </c>
      <c r="W894" t="s">
        <v>48</v>
      </c>
      <c r="X894" t="s">
        <v>48</v>
      </c>
      <c r="Y894" t="s">
        <v>48</v>
      </c>
      <c r="Z894">
        <v>0</v>
      </c>
      <c r="AA894" t="s">
        <v>48</v>
      </c>
      <c r="AB894" t="s">
        <v>48</v>
      </c>
      <c r="AC894" t="s">
        <v>49</v>
      </c>
      <c r="AD894" t="s">
        <v>93</v>
      </c>
      <c r="AE894" t="s">
        <v>4532</v>
      </c>
      <c r="AF894" t="s">
        <v>48</v>
      </c>
      <c r="AG894" t="s">
        <v>48</v>
      </c>
      <c r="AH894" t="s">
        <v>48</v>
      </c>
      <c r="AI894" t="s">
        <v>48</v>
      </c>
      <c r="AJ894" t="s">
        <v>48</v>
      </c>
      <c r="AK894" t="s">
        <v>48</v>
      </c>
      <c r="AL894" t="s">
        <v>48</v>
      </c>
      <c r="AM894" t="s">
        <v>48</v>
      </c>
      <c r="AN894" t="s">
        <v>48</v>
      </c>
      <c r="AO894" t="s">
        <v>48</v>
      </c>
      <c r="AP894" s="46">
        <v>0</v>
      </c>
      <c r="AQ894" s="46">
        <v>0</v>
      </c>
      <c r="AR894" s="46">
        <v>0</v>
      </c>
      <c r="AS894" s="46">
        <v>0</v>
      </c>
      <c r="AT894" s="46">
        <v>0</v>
      </c>
      <c r="AU894" s="46">
        <v>0</v>
      </c>
      <c r="AV894" s="46">
        <v>0</v>
      </c>
      <c r="AW894" s="46">
        <v>0</v>
      </c>
      <c r="AX894" s="46">
        <v>0</v>
      </c>
      <c r="AY894" s="46">
        <v>0</v>
      </c>
      <c r="AZ894" s="46">
        <v>0</v>
      </c>
      <c r="BA894" s="46">
        <v>0</v>
      </c>
      <c r="BB894" s="46">
        <v>0</v>
      </c>
      <c r="BC894" s="46">
        <v>0</v>
      </c>
      <c r="BD894" s="46">
        <v>0</v>
      </c>
      <c r="BE894" s="46">
        <v>0</v>
      </c>
      <c r="BF894" s="46">
        <v>0</v>
      </c>
      <c r="BG894" s="46" t="s">
        <v>48</v>
      </c>
      <c r="BH894" s="46">
        <v>0</v>
      </c>
      <c r="BI894" s="46">
        <v>0</v>
      </c>
      <c r="BJ894" s="46">
        <v>0</v>
      </c>
      <c r="BK894" s="46">
        <v>0</v>
      </c>
      <c r="BL894" s="46">
        <v>0</v>
      </c>
      <c r="BM894" s="46">
        <v>0</v>
      </c>
      <c r="BN894" s="46">
        <v>0</v>
      </c>
    </row>
    <row r="895" spans="1:66" x14ac:dyDescent="0.35">
      <c r="A895" t="s">
        <v>10738</v>
      </c>
      <c r="B895" t="s">
        <v>48</v>
      </c>
      <c r="C895" t="s">
        <v>12411</v>
      </c>
      <c r="D895" t="s">
        <v>1748</v>
      </c>
      <c r="E895" t="s">
        <v>10739</v>
      </c>
      <c r="F895" t="s">
        <v>5101</v>
      </c>
      <c r="G895" t="s">
        <v>47</v>
      </c>
      <c r="H895">
        <v>0</v>
      </c>
      <c r="I895" s="60" t="s">
        <v>11552</v>
      </c>
      <c r="J895" s="33" t="s">
        <v>45</v>
      </c>
      <c r="K895" s="46">
        <v>0</v>
      </c>
      <c r="L895">
        <v>100</v>
      </c>
      <c r="M895" t="s">
        <v>48</v>
      </c>
      <c r="N895" s="46">
        <v>1</v>
      </c>
      <c r="O895" s="46">
        <v>0</v>
      </c>
      <c r="P895" s="46">
        <v>0</v>
      </c>
      <c r="Q895" t="s">
        <v>48</v>
      </c>
      <c r="R895" t="s">
        <v>48</v>
      </c>
      <c r="S895" t="s">
        <v>11512</v>
      </c>
      <c r="T895" t="s">
        <v>48</v>
      </c>
      <c r="U895" t="s">
        <v>10740</v>
      </c>
      <c r="V895" s="47">
        <v>0</v>
      </c>
      <c r="W895" t="s">
        <v>48</v>
      </c>
      <c r="X895" t="s">
        <v>48</v>
      </c>
      <c r="Y895" t="s">
        <v>48</v>
      </c>
      <c r="Z895">
        <v>0</v>
      </c>
      <c r="AA895" t="s">
        <v>48</v>
      </c>
      <c r="AB895" t="s">
        <v>48</v>
      </c>
      <c r="AC895" t="s">
        <v>49</v>
      </c>
      <c r="AD895" t="s">
        <v>93</v>
      </c>
      <c r="AE895" t="s">
        <v>4532</v>
      </c>
      <c r="AF895" t="s">
        <v>48</v>
      </c>
      <c r="AG895" t="s">
        <v>48</v>
      </c>
      <c r="AH895" t="s">
        <v>48</v>
      </c>
      <c r="AI895" t="s">
        <v>48</v>
      </c>
      <c r="AJ895" t="s">
        <v>48</v>
      </c>
      <c r="AK895" t="s">
        <v>48</v>
      </c>
      <c r="AL895" t="s">
        <v>48</v>
      </c>
      <c r="AM895" t="s">
        <v>48</v>
      </c>
      <c r="AN895" t="s">
        <v>48</v>
      </c>
      <c r="AO895" t="s">
        <v>48</v>
      </c>
      <c r="AP895" s="46">
        <v>0</v>
      </c>
      <c r="AQ895" s="46">
        <v>0</v>
      </c>
      <c r="AR895" s="46">
        <v>0</v>
      </c>
      <c r="AS895" s="46">
        <v>0</v>
      </c>
      <c r="AT895" s="46">
        <v>0</v>
      </c>
      <c r="AU895" s="46">
        <v>0</v>
      </c>
      <c r="AV895" s="46">
        <v>0</v>
      </c>
      <c r="AW895" s="46">
        <v>0</v>
      </c>
      <c r="AX895" s="46">
        <v>0</v>
      </c>
      <c r="AY895" s="46">
        <v>0</v>
      </c>
      <c r="AZ895" s="46">
        <v>0</v>
      </c>
      <c r="BA895" s="46">
        <v>0</v>
      </c>
      <c r="BB895" s="46">
        <v>0</v>
      </c>
      <c r="BC895" s="46">
        <v>0</v>
      </c>
      <c r="BD895" s="46">
        <v>0</v>
      </c>
      <c r="BE895" s="46">
        <v>0</v>
      </c>
      <c r="BF895" s="46">
        <v>0</v>
      </c>
      <c r="BG895" s="46" t="s">
        <v>48</v>
      </c>
      <c r="BH895" s="46">
        <v>0</v>
      </c>
      <c r="BI895" s="46">
        <v>0</v>
      </c>
      <c r="BJ895" s="46">
        <v>0</v>
      </c>
      <c r="BK895" s="46">
        <v>0</v>
      </c>
      <c r="BL895" s="46">
        <v>0</v>
      </c>
      <c r="BM895" s="46">
        <v>0</v>
      </c>
      <c r="BN895" s="46">
        <v>0</v>
      </c>
    </row>
    <row r="896" spans="1:66" x14ac:dyDescent="0.35">
      <c r="A896" t="s">
        <v>10727</v>
      </c>
      <c r="B896" s="44" t="s">
        <v>48</v>
      </c>
      <c r="C896" t="s">
        <v>12177</v>
      </c>
      <c r="D896" t="s">
        <v>2114</v>
      </c>
      <c r="E896" t="s">
        <v>10728</v>
      </c>
      <c r="F896" t="s">
        <v>5101</v>
      </c>
      <c r="G896" t="s">
        <v>74</v>
      </c>
      <c r="H896">
        <v>0</v>
      </c>
      <c r="I896" s="60" t="s">
        <v>11552</v>
      </c>
      <c r="J896" s="33" t="s">
        <v>45</v>
      </c>
      <c r="K896" s="46">
        <v>0</v>
      </c>
      <c r="L896">
        <v>63.1</v>
      </c>
      <c r="M896" t="s">
        <v>48</v>
      </c>
      <c r="N896" s="46">
        <v>1</v>
      </c>
      <c r="O896" s="46">
        <v>0</v>
      </c>
      <c r="P896" s="46">
        <v>0</v>
      </c>
      <c r="Q896" t="s">
        <v>48</v>
      </c>
      <c r="R896" t="s">
        <v>48</v>
      </c>
      <c r="S896" t="s">
        <v>11510</v>
      </c>
      <c r="T896" t="s">
        <v>48</v>
      </c>
      <c r="U896" t="s">
        <v>10729</v>
      </c>
      <c r="V896" s="47">
        <v>0</v>
      </c>
      <c r="W896" t="s">
        <v>48</v>
      </c>
      <c r="X896" t="s">
        <v>48</v>
      </c>
      <c r="Y896" t="s">
        <v>48</v>
      </c>
      <c r="Z896">
        <v>0</v>
      </c>
      <c r="AA896" t="s">
        <v>48</v>
      </c>
      <c r="AB896" t="s">
        <v>48</v>
      </c>
      <c r="AC896" t="s">
        <v>63</v>
      </c>
      <c r="AD896" t="s">
        <v>93</v>
      </c>
      <c r="AE896" t="s">
        <v>4532</v>
      </c>
      <c r="AF896" t="s">
        <v>48</v>
      </c>
      <c r="AG896" t="s">
        <v>48</v>
      </c>
      <c r="AH896" t="s">
        <v>48</v>
      </c>
      <c r="AI896" t="s">
        <v>48</v>
      </c>
      <c r="AJ896" t="s">
        <v>48</v>
      </c>
      <c r="AK896" t="s">
        <v>48</v>
      </c>
      <c r="AL896" t="s">
        <v>48</v>
      </c>
      <c r="AM896" t="s">
        <v>48</v>
      </c>
      <c r="AN896" t="s">
        <v>48</v>
      </c>
      <c r="AO896" t="s">
        <v>48</v>
      </c>
      <c r="AP896" s="46">
        <v>0</v>
      </c>
      <c r="AQ896" s="46">
        <v>0</v>
      </c>
      <c r="AR896" s="46">
        <v>0</v>
      </c>
      <c r="AS896" s="46">
        <v>0</v>
      </c>
      <c r="AT896" s="46">
        <v>0</v>
      </c>
      <c r="AU896" s="46">
        <v>0</v>
      </c>
      <c r="AV896" s="46">
        <v>0</v>
      </c>
      <c r="AW896" s="46">
        <v>0</v>
      </c>
      <c r="AX896" s="46">
        <v>0</v>
      </c>
      <c r="AY896" s="46">
        <v>0</v>
      </c>
      <c r="AZ896" s="46">
        <v>0</v>
      </c>
      <c r="BA896" s="46">
        <v>0</v>
      </c>
      <c r="BB896" s="46">
        <v>0</v>
      </c>
      <c r="BC896" s="46">
        <v>0</v>
      </c>
      <c r="BD896" s="46">
        <v>0</v>
      </c>
      <c r="BE896" s="46">
        <v>0</v>
      </c>
      <c r="BF896" s="46">
        <v>0</v>
      </c>
      <c r="BG896" s="46" t="s">
        <v>48</v>
      </c>
      <c r="BH896" s="46">
        <v>0</v>
      </c>
      <c r="BI896" s="46">
        <v>0</v>
      </c>
      <c r="BJ896" s="46">
        <v>0</v>
      </c>
      <c r="BK896" s="46">
        <v>0</v>
      </c>
      <c r="BL896" s="46">
        <v>0</v>
      </c>
      <c r="BM896" s="46">
        <v>0</v>
      </c>
      <c r="BN896" s="46">
        <v>0</v>
      </c>
    </row>
    <row r="897" spans="1:66" x14ac:dyDescent="0.35">
      <c r="A897" t="s">
        <v>5110</v>
      </c>
      <c r="B897" t="s">
        <v>48</v>
      </c>
      <c r="C897" t="s">
        <v>5114</v>
      </c>
      <c r="D897" t="s">
        <v>1726</v>
      </c>
      <c r="E897" t="s">
        <v>5111</v>
      </c>
      <c r="F897" t="s">
        <v>5108</v>
      </c>
      <c r="G897" t="s">
        <v>74</v>
      </c>
      <c r="H897">
        <v>0</v>
      </c>
      <c r="I897" s="60" t="s">
        <v>51</v>
      </c>
      <c r="J897" s="33" t="s">
        <v>45</v>
      </c>
      <c r="K897" s="46">
        <v>1</v>
      </c>
      <c r="L897">
        <v>100</v>
      </c>
      <c r="M897" t="s">
        <v>48</v>
      </c>
      <c r="N897" s="46">
        <v>1</v>
      </c>
      <c r="O897" s="46">
        <v>0</v>
      </c>
      <c r="P897" s="46">
        <v>0</v>
      </c>
      <c r="Q897" t="s">
        <v>48</v>
      </c>
      <c r="R897" t="s">
        <v>48</v>
      </c>
      <c r="S897" t="s">
        <v>5112</v>
      </c>
      <c r="T897" t="s">
        <v>5113</v>
      </c>
      <c r="U897" t="s">
        <v>5112</v>
      </c>
      <c r="V897" s="47">
        <v>0</v>
      </c>
      <c r="W897" t="s">
        <v>48</v>
      </c>
      <c r="X897" t="s">
        <v>48</v>
      </c>
      <c r="Y897" t="s">
        <v>48</v>
      </c>
      <c r="Z897">
        <v>0</v>
      </c>
      <c r="AA897" t="s">
        <v>48</v>
      </c>
      <c r="AB897" t="s">
        <v>1032</v>
      </c>
      <c r="AC897" t="s">
        <v>49</v>
      </c>
      <c r="AD897" t="s">
        <v>93</v>
      </c>
      <c r="AE897" s="40" t="s">
        <v>2471</v>
      </c>
      <c r="AF897" t="s">
        <v>11061</v>
      </c>
      <c r="AG897" t="s">
        <v>479</v>
      </c>
      <c r="AH897" t="s">
        <v>93</v>
      </c>
      <c r="AI897">
        <v>29776</v>
      </c>
      <c r="AJ897">
        <v>1953</v>
      </c>
      <c r="AK897" t="s">
        <v>9136</v>
      </c>
      <c r="AL897" t="s">
        <v>9137</v>
      </c>
      <c r="AM897">
        <v>-0.41399999999999998</v>
      </c>
      <c r="AN897">
        <v>-7.2999999999999995E-2</v>
      </c>
      <c r="AO897">
        <v>-0.41399999999999998</v>
      </c>
      <c r="AP897" s="46">
        <v>0</v>
      </c>
      <c r="AQ897" s="46">
        <v>0</v>
      </c>
      <c r="AR897" s="46">
        <v>0</v>
      </c>
      <c r="AS897" s="46">
        <v>0</v>
      </c>
      <c r="AT897" s="46">
        <v>0</v>
      </c>
      <c r="AU897" s="46">
        <v>1</v>
      </c>
      <c r="AV897" s="46">
        <v>0</v>
      </c>
      <c r="AW897" s="46">
        <v>0</v>
      </c>
      <c r="AX897" s="46">
        <v>0</v>
      </c>
      <c r="AY897" s="46">
        <v>0</v>
      </c>
      <c r="AZ897" s="46">
        <v>0</v>
      </c>
      <c r="BA897" s="46">
        <v>0</v>
      </c>
      <c r="BB897" s="46">
        <v>0</v>
      </c>
      <c r="BC897" s="46">
        <v>0</v>
      </c>
      <c r="BD897" s="46">
        <v>0</v>
      </c>
      <c r="BE897" s="46">
        <v>0</v>
      </c>
      <c r="BF897" s="46">
        <v>0</v>
      </c>
      <c r="BG897" s="46" t="s">
        <v>48</v>
      </c>
      <c r="BH897" s="46">
        <v>0</v>
      </c>
      <c r="BI897" s="46">
        <v>0</v>
      </c>
      <c r="BJ897" s="46">
        <v>0</v>
      </c>
      <c r="BK897" s="46">
        <v>0</v>
      </c>
      <c r="BL897" s="46">
        <v>0</v>
      </c>
      <c r="BM897" s="46">
        <v>0</v>
      </c>
      <c r="BN897" s="46">
        <v>0</v>
      </c>
    </row>
    <row r="898" spans="1:66" ht="15" x14ac:dyDescent="0.4">
      <c r="A898" t="s">
        <v>5107</v>
      </c>
      <c r="B898" t="s">
        <v>48</v>
      </c>
      <c r="C898" t="s">
        <v>1968</v>
      </c>
      <c r="D898" t="s">
        <v>437</v>
      </c>
      <c r="E898" t="s">
        <v>5109</v>
      </c>
      <c r="F898" t="s">
        <v>5108</v>
      </c>
      <c r="G898" t="s">
        <v>47</v>
      </c>
      <c r="H898">
        <v>0</v>
      </c>
      <c r="I898" s="60" t="s">
        <v>11160</v>
      </c>
      <c r="J898" s="33" t="s">
        <v>45</v>
      </c>
      <c r="K898" s="46">
        <v>0</v>
      </c>
      <c r="L898">
        <v>100</v>
      </c>
      <c r="M898" t="s">
        <v>48</v>
      </c>
      <c r="N898" s="46">
        <v>1</v>
      </c>
      <c r="O898" s="46">
        <v>0</v>
      </c>
      <c r="P898" s="46">
        <v>0</v>
      </c>
      <c r="Q898" t="s">
        <v>48</v>
      </c>
      <c r="R898" t="s">
        <v>48</v>
      </c>
      <c r="S898" s="55" t="s">
        <v>11304</v>
      </c>
      <c r="T898" t="s">
        <v>48</v>
      </c>
      <c r="U898" s="55" t="s">
        <v>11304</v>
      </c>
      <c r="V898" s="47">
        <v>0</v>
      </c>
      <c r="W898" t="s">
        <v>48</v>
      </c>
      <c r="X898" t="s">
        <v>48</v>
      </c>
      <c r="Y898" t="s">
        <v>48</v>
      </c>
      <c r="Z898">
        <v>0</v>
      </c>
      <c r="AA898" t="s">
        <v>48</v>
      </c>
      <c r="AB898" t="s">
        <v>48</v>
      </c>
      <c r="AC898" t="s">
        <v>49</v>
      </c>
      <c r="AD898" t="s">
        <v>93</v>
      </c>
      <c r="AE898" t="s">
        <v>4532</v>
      </c>
      <c r="AF898" t="s">
        <v>48</v>
      </c>
      <c r="AG898" t="s">
        <v>48</v>
      </c>
      <c r="AH898" t="s">
        <v>48</v>
      </c>
      <c r="AI898" t="s">
        <v>48</v>
      </c>
      <c r="AJ898" t="s">
        <v>48</v>
      </c>
      <c r="AK898" t="s">
        <v>48</v>
      </c>
      <c r="AL898" t="s">
        <v>48</v>
      </c>
      <c r="AM898" t="s">
        <v>48</v>
      </c>
      <c r="AN898" t="s">
        <v>48</v>
      </c>
      <c r="AO898" t="s">
        <v>48</v>
      </c>
      <c r="AP898" s="46">
        <v>0</v>
      </c>
      <c r="AQ898" s="46">
        <v>0</v>
      </c>
      <c r="AR898" s="46">
        <v>0</v>
      </c>
      <c r="AS898" s="46">
        <v>0</v>
      </c>
      <c r="AT898" s="46">
        <v>0</v>
      </c>
      <c r="AU898" s="46">
        <v>0</v>
      </c>
      <c r="AV898" s="46">
        <v>0</v>
      </c>
      <c r="AW898" s="46">
        <v>0</v>
      </c>
      <c r="AX898" s="46">
        <v>0</v>
      </c>
      <c r="AY898" s="46">
        <v>0</v>
      </c>
      <c r="AZ898" s="46">
        <v>0</v>
      </c>
      <c r="BA898" s="46">
        <v>0</v>
      </c>
      <c r="BB898" s="46">
        <v>0</v>
      </c>
      <c r="BC898" s="46">
        <v>0</v>
      </c>
      <c r="BD898" s="46">
        <v>0</v>
      </c>
      <c r="BE898" s="46">
        <v>0</v>
      </c>
      <c r="BF898" s="46">
        <v>0</v>
      </c>
      <c r="BG898" s="46" t="s">
        <v>48</v>
      </c>
      <c r="BH898" s="46">
        <v>0</v>
      </c>
      <c r="BI898" s="46">
        <v>0</v>
      </c>
      <c r="BJ898" s="46">
        <v>0</v>
      </c>
      <c r="BK898" s="46">
        <v>0</v>
      </c>
      <c r="BL898" s="46">
        <v>0</v>
      </c>
      <c r="BM898" s="46">
        <v>0</v>
      </c>
      <c r="BN898" s="46">
        <v>0</v>
      </c>
    </row>
    <row r="899" spans="1:66" x14ac:dyDescent="0.35">
      <c r="A899" t="s">
        <v>5116</v>
      </c>
      <c r="B899" s="44" t="s">
        <v>48</v>
      </c>
      <c r="C899" t="s">
        <v>5120</v>
      </c>
      <c r="D899" t="s">
        <v>1268</v>
      </c>
      <c r="E899" t="s">
        <v>5117</v>
      </c>
      <c r="F899" t="s">
        <v>5115</v>
      </c>
      <c r="G899" t="s">
        <v>74</v>
      </c>
      <c r="H899">
        <v>0</v>
      </c>
      <c r="I899" s="60" t="s">
        <v>51</v>
      </c>
      <c r="J899" s="33" t="s">
        <v>45</v>
      </c>
      <c r="K899" s="46">
        <v>1</v>
      </c>
      <c r="L899">
        <v>100</v>
      </c>
      <c r="M899" t="s">
        <v>48</v>
      </c>
      <c r="N899" s="46">
        <v>1</v>
      </c>
      <c r="O899" s="46">
        <v>0</v>
      </c>
      <c r="P899" s="46">
        <v>0</v>
      </c>
      <c r="Q899" t="s">
        <v>48</v>
      </c>
      <c r="R899" t="s">
        <v>48</v>
      </c>
      <c r="S899" t="s">
        <v>5118</v>
      </c>
      <c r="T899" t="s">
        <v>5119</v>
      </c>
      <c r="U899" t="s">
        <v>5118</v>
      </c>
      <c r="V899" s="47">
        <v>0</v>
      </c>
      <c r="W899" t="s">
        <v>48</v>
      </c>
      <c r="X899" t="s">
        <v>48</v>
      </c>
      <c r="Y899" t="s">
        <v>48</v>
      </c>
      <c r="Z899">
        <v>0</v>
      </c>
      <c r="AA899" t="s">
        <v>48</v>
      </c>
      <c r="AB899">
        <v>2012</v>
      </c>
      <c r="AC899" t="s">
        <v>63</v>
      </c>
      <c r="AD899" t="s">
        <v>93</v>
      </c>
      <c r="AE899" t="s">
        <v>977</v>
      </c>
      <c r="AF899" t="s">
        <v>11095</v>
      </c>
      <c r="AG899" t="s">
        <v>112</v>
      </c>
      <c r="AH899" t="s">
        <v>93</v>
      </c>
      <c r="AI899">
        <v>21342</v>
      </c>
      <c r="AJ899">
        <v>1975</v>
      </c>
      <c r="AK899" t="s">
        <v>9138</v>
      </c>
      <c r="AL899" t="s">
        <v>9139</v>
      </c>
      <c r="AM899">
        <v>-0.377</v>
      </c>
      <c r="AN899">
        <v>-0.20300000000000001</v>
      </c>
      <c r="AO899">
        <v>-0.377</v>
      </c>
      <c r="AP899" s="46">
        <v>0</v>
      </c>
      <c r="AQ899" s="46">
        <v>0</v>
      </c>
      <c r="AR899" s="46">
        <v>0</v>
      </c>
      <c r="AS899" s="46">
        <v>0</v>
      </c>
      <c r="AT899" s="46">
        <v>1</v>
      </c>
      <c r="AU899" s="46">
        <v>0</v>
      </c>
      <c r="AV899" s="46">
        <v>0</v>
      </c>
      <c r="AW899" s="46">
        <v>0</v>
      </c>
      <c r="AX899" s="46">
        <v>0</v>
      </c>
      <c r="AY899" s="46">
        <v>0</v>
      </c>
      <c r="AZ899" s="46">
        <v>0</v>
      </c>
      <c r="BA899" s="46">
        <v>0</v>
      </c>
      <c r="BB899" s="46">
        <v>0</v>
      </c>
      <c r="BC899" s="46">
        <v>0</v>
      </c>
      <c r="BD899" s="46">
        <v>0</v>
      </c>
      <c r="BE899" s="46">
        <v>0</v>
      </c>
      <c r="BF899" s="46">
        <v>0</v>
      </c>
      <c r="BG899" s="46" t="s">
        <v>48</v>
      </c>
      <c r="BH899" s="46">
        <v>0</v>
      </c>
      <c r="BI899" s="46">
        <v>0</v>
      </c>
      <c r="BJ899" s="46">
        <v>0</v>
      </c>
      <c r="BK899" s="46">
        <v>0</v>
      </c>
      <c r="BL899" s="46">
        <v>0</v>
      </c>
      <c r="BM899" s="46">
        <v>0</v>
      </c>
      <c r="BN899" s="46">
        <v>0</v>
      </c>
    </row>
    <row r="900" spans="1:66" x14ac:dyDescent="0.35">
      <c r="A900" t="s">
        <v>10741</v>
      </c>
      <c r="B900" t="s">
        <v>48</v>
      </c>
      <c r="C900" t="s">
        <v>12181</v>
      </c>
      <c r="D900" t="s">
        <v>253</v>
      </c>
      <c r="E900" t="s">
        <v>10742</v>
      </c>
      <c r="F900" t="s">
        <v>5115</v>
      </c>
      <c r="G900" t="s">
        <v>47</v>
      </c>
      <c r="H900">
        <v>0</v>
      </c>
      <c r="I900" s="60" t="s">
        <v>11552</v>
      </c>
      <c r="J900" s="33" t="s">
        <v>45</v>
      </c>
      <c r="K900" s="46">
        <v>0</v>
      </c>
      <c r="L900">
        <v>100</v>
      </c>
      <c r="M900" t="s">
        <v>48</v>
      </c>
      <c r="N900" s="46">
        <v>1</v>
      </c>
      <c r="O900" s="46">
        <v>0</v>
      </c>
      <c r="P900" s="46">
        <v>0</v>
      </c>
      <c r="Q900" t="s">
        <v>48</v>
      </c>
      <c r="R900" t="s">
        <v>48</v>
      </c>
      <c r="S900" t="s">
        <v>11513</v>
      </c>
      <c r="T900" t="s">
        <v>48</v>
      </c>
      <c r="U900" t="s">
        <v>10743</v>
      </c>
      <c r="V900" s="47">
        <v>0</v>
      </c>
      <c r="W900" t="s">
        <v>48</v>
      </c>
      <c r="X900" t="s">
        <v>48</v>
      </c>
      <c r="Y900" t="s">
        <v>48</v>
      </c>
      <c r="Z900">
        <v>0</v>
      </c>
      <c r="AA900" t="s">
        <v>48</v>
      </c>
      <c r="AB900" t="s">
        <v>48</v>
      </c>
      <c r="AC900" t="s">
        <v>49</v>
      </c>
      <c r="AD900" t="s">
        <v>48</v>
      </c>
      <c r="AE900" t="s">
        <v>48</v>
      </c>
      <c r="AF900" t="s">
        <v>48</v>
      </c>
      <c r="AG900" t="s">
        <v>48</v>
      </c>
      <c r="AH900" t="s">
        <v>48</v>
      </c>
      <c r="AI900" t="s">
        <v>48</v>
      </c>
      <c r="AJ900" t="s">
        <v>48</v>
      </c>
      <c r="AK900" t="s">
        <v>48</v>
      </c>
      <c r="AL900" t="s">
        <v>48</v>
      </c>
      <c r="AM900" t="s">
        <v>48</v>
      </c>
      <c r="AN900" t="s">
        <v>48</v>
      </c>
      <c r="AO900" t="s">
        <v>48</v>
      </c>
      <c r="AP900" s="46">
        <v>0</v>
      </c>
      <c r="AQ900" s="46">
        <v>0</v>
      </c>
      <c r="AR900" s="46">
        <v>0</v>
      </c>
      <c r="AS900" s="46">
        <v>0</v>
      </c>
      <c r="AT900" s="46">
        <v>0</v>
      </c>
      <c r="AU900" s="46">
        <v>0</v>
      </c>
      <c r="AV900" s="46">
        <v>0</v>
      </c>
      <c r="AW900" s="46">
        <v>0</v>
      </c>
      <c r="AX900" s="46">
        <v>0</v>
      </c>
      <c r="AY900" s="46">
        <v>0</v>
      </c>
      <c r="AZ900" s="46">
        <v>0</v>
      </c>
      <c r="BA900" s="46">
        <v>0</v>
      </c>
      <c r="BB900" s="46">
        <v>0</v>
      </c>
      <c r="BC900" s="46">
        <v>0</v>
      </c>
      <c r="BD900" s="46">
        <v>0</v>
      </c>
      <c r="BE900" s="46">
        <v>0</v>
      </c>
      <c r="BF900" s="46">
        <v>0</v>
      </c>
      <c r="BG900" s="46">
        <v>1</v>
      </c>
      <c r="BH900" s="46">
        <v>0</v>
      </c>
      <c r="BI900" s="46">
        <v>0</v>
      </c>
      <c r="BJ900" s="46">
        <v>0</v>
      </c>
      <c r="BK900" s="46">
        <v>0</v>
      </c>
      <c r="BL900" s="46">
        <v>0</v>
      </c>
      <c r="BM900" s="46">
        <v>0</v>
      </c>
      <c r="BN900" s="46">
        <v>0</v>
      </c>
    </row>
    <row r="901" spans="1:66" ht="15" x14ac:dyDescent="0.4">
      <c r="A901" t="s">
        <v>10746</v>
      </c>
      <c r="B901" t="s">
        <v>48</v>
      </c>
      <c r="C901" t="s">
        <v>12182</v>
      </c>
      <c r="D901" t="s">
        <v>756</v>
      </c>
      <c r="E901" t="s">
        <v>10747</v>
      </c>
      <c r="F901" t="s">
        <v>5122</v>
      </c>
      <c r="G901" t="s">
        <v>47</v>
      </c>
      <c r="H901">
        <v>0</v>
      </c>
      <c r="I901" s="61" t="s">
        <v>11160</v>
      </c>
      <c r="J901" s="33" t="s">
        <v>45</v>
      </c>
      <c r="K901" s="46">
        <v>0</v>
      </c>
      <c r="L901">
        <v>100</v>
      </c>
      <c r="M901" t="s">
        <v>48</v>
      </c>
      <c r="N901" s="46">
        <v>1</v>
      </c>
      <c r="O901" s="46">
        <v>0</v>
      </c>
      <c r="P901" s="46">
        <v>0</v>
      </c>
      <c r="Q901" t="s">
        <v>48</v>
      </c>
      <c r="R901" t="s">
        <v>48</v>
      </c>
      <c r="S901" s="55" t="str">
        <f>"@Pagan4Congress"</f>
        <v>@Pagan4Congress</v>
      </c>
      <c r="T901" t="s">
        <v>48</v>
      </c>
      <c r="U901" s="55" t="s">
        <v>48</v>
      </c>
      <c r="V901" s="47">
        <v>0</v>
      </c>
      <c r="W901" t="s">
        <v>11167</v>
      </c>
      <c r="X901" t="s">
        <v>48</v>
      </c>
      <c r="Y901" t="s">
        <v>48</v>
      </c>
      <c r="Z901">
        <v>0</v>
      </c>
      <c r="AA901" t="s">
        <v>48</v>
      </c>
      <c r="AB901" t="s">
        <v>48</v>
      </c>
      <c r="AC901" t="s">
        <v>49</v>
      </c>
      <c r="AD901" t="s">
        <v>951</v>
      </c>
      <c r="AE901" t="s">
        <v>11051</v>
      </c>
      <c r="AF901" t="s">
        <v>11074</v>
      </c>
      <c r="AG901" t="s">
        <v>48</v>
      </c>
      <c r="AH901" t="s">
        <v>48</v>
      </c>
      <c r="AI901" t="s">
        <v>48</v>
      </c>
      <c r="AJ901" t="s">
        <v>48</v>
      </c>
      <c r="AK901" t="s">
        <v>48</v>
      </c>
      <c r="AL901" t="s">
        <v>48</v>
      </c>
      <c r="AM901" t="s">
        <v>48</v>
      </c>
      <c r="AN901" t="s">
        <v>48</v>
      </c>
      <c r="AO901" t="s">
        <v>48</v>
      </c>
      <c r="AP901" s="46">
        <v>0</v>
      </c>
      <c r="AQ901" s="46">
        <v>0</v>
      </c>
      <c r="AR901" s="46">
        <v>0</v>
      </c>
      <c r="AS901" s="46">
        <v>0</v>
      </c>
      <c r="AT901" s="46">
        <v>0</v>
      </c>
      <c r="AU901" s="46">
        <v>0</v>
      </c>
      <c r="AV901" s="46">
        <v>0</v>
      </c>
      <c r="AW901" s="46">
        <v>0</v>
      </c>
      <c r="AX901" s="46">
        <v>0</v>
      </c>
      <c r="AY901" s="46">
        <v>0</v>
      </c>
      <c r="AZ901" s="46">
        <v>0</v>
      </c>
      <c r="BA901" s="46">
        <v>0</v>
      </c>
      <c r="BB901" s="46">
        <v>0</v>
      </c>
      <c r="BC901" s="46">
        <v>0</v>
      </c>
      <c r="BD901" s="46">
        <v>0</v>
      </c>
      <c r="BE901" s="46">
        <v>0</v>
      </c>
      <c r="BF901" s="46">
        <v>0</v>
      </c>
      <c r="BG901" s="46" t="s">
        <v>48</v>
      </c>
      <c r="BH901" s="46">
        <v>0</v>
      </c>
      <c r="BI901" s="46">
        <v>0</v>
      </c>
      <c r="BJ901" s="46">
        <v>0</v>
      </c>
      <c r="BK901" s="46">
        <v>0</v>
      </c>
      <c r="BL901" s="46">
        <v>0</v>
      </c>
      <c r="BM901" s="46">
        <v>0</v>
      </c>
      <c r="BN901" s="46">
        <v>0</v>
      </c>
    </row>
    <row r="902" spans="1:66" x14ac:dyDescent="0.35">
      <c r="A902" t="s">
        <v>5121</v>
      </c>
      <c r="B902" s="44" t="s">
        <v>48</v>
      </c>
      <c r="C902" t="s">
        <v>5127</v>
      </c>
      <c r="D902" t="s">
        <v>5126</v>
      </c>
      <c r="E902" t="s">
        <v>5123</v>
      </c>
      <c r="F902" t="s">
        <v>5122</v>
      </c>
      <c r="G902" t="s">
        <v>74</v>
      </c>
      <c r="H902">
        <v>0</v>
      </c>
      <c r="I902" s="60" t="s">
        <v>51</v>
      </c>
      <c r="J902" s="33" t="s">
        <v>45</v>
      </c>
      <c r="K902" s="46">
        <v>1</v>
      </c>
      <c r="L902">
        <v>84.3</v>
      </c>
      <c r="M902" t="s">
        <v>48</v>
      </c>
      <c r="N902" s="46">
        <v>1</v>
      </c>
      <c r="O902" s="46">
        <v>0</v>
      </c>
      <c r="P902" s="46">
        <v>0</v>
      </c>
      <c r="Q902" t="s">
        <v>48</v>
      </c>
      <c r="R902" t="s">
        <v>48</v>
      </c>
      <c r="S902" t="s">
        <v>5124</v>
      </c>
      <c r="T902" t="s">
        <v>5125</v>
      </c>
      <c r="U902" t="s">
        <v>5124</v>
      </c>
      <c r="V902" s="47">
        <v>0</v>
      </c>
      <c r="W902" t="s">
        <v>48</v>
      </c>
      <c r="X902" t="s">
        <v>48</v>
      </c>
      <c r="Y902" t="s">
        <v>48</v>
      </c>
      <c r="Z902">
        <v>0</v>
      </c>
      <c r="AA902" t="s">
        <v>48</v>
      </c>
      <c r="AB902">
        <v>1992</v>
      </c>
      <c r="AC902" t="s">
        <v>63</v>
      </c>
      <c r="AD902" t="s">
        <v>951</v>
      </c>
      <c r="AE902" s="40" t="s">
        <v>11051</v>
      </c>
      <c r="AF902" t="s">
        <v>11074</v>
      </c>
      <c r="AG902" t="s">
        <v>109</v>
      </c>
      <c r="AH902" t="s">
        <v>93</v>
      </c>
      <c r="AI902">
        <v>29378</v>
      </c>
      <c r="AJ902">
        <v>1953</v>
      </c>
      <c r="AK902" t="s">
        <v>9140</v>
      </c>
      <c r="AL902" t="s">
        <v>9141</v>
      </c>
      <c r="AM902">
        <v>-0.54700000000000004</v>
      </c>
      <c r="AN902">
        <v>-0.34200000000000003</v>
      </c>
      <c r="AO902">
        <v>-0.54700000000000004</v>
      </c>
      <c r="AP902" s="46">
        <v>0</v>
      </c>
      <c r="AQ902" s="46">
        <v>0</v>
      </c>
      <c r="AR902" s="46">
        <v>0</v>
      </c>
      <c r="AS902" s="46">
        <v>0</v>
      </c>
      <c r="AT902" s="46">
        <v>1</v>
      </c>
      <c r="AU902" s="46">
        <v>0</v>
      </c>
      <c r="AV902" s="46">
        <v>0</v>
      </c>
      <c r="AW902" s="46">
        <v>0</v>
      </c>
      <c r="AX902" s="46">
        <v>0</v>
      </c>
      <c r="AY902" s="46">
        <v>0</v>
      </c>
      <c r="AZ902" s="46">
        <v>0</v>
      </c>
      <c r="BA902" s="46">
        <v>0</v>
      </c>
      <c r="BB902" s="46">
        <v>0</v>
      </c>
      <c r="BC902" s="46">
        <v>0</v>
      </c>
      <c r="BD902" s="46">
        <v>0</v>
      </c>
      <c r="BE902" s="46">
        <v>0</v>
      </c>
      <c r="BF902" s="46">
        <v>0</v>
      </c>
      <c r="BG902" s="46" t="s">
        <v>48</v>
      </c>
      <c r="BH902" s="46">
        <v>0</v>
      </c>
      <c r="BI902" s="46">
        <v>0</v>
      </c>
      <c r="BJ902" s="46">
        <v>0</v>
      </c>
      <c r="BK902" s="46">
        <v>1</v>
      </c>
      <c r="BL902" s="46">
        <v>0</v>
      </c>
      <c r="BM902" s="46">
        <v>0</v>
      </c>
      <c r="BN902" s="46">
        <v>0</v>
      </c>
    </row>
    <row r="903" spans="1:66" x14ac:dyDescent="0.35">
      <c r="A903" t="s">
        <v>5128</v>
      </c>
      <c r="B903" s="44" t="s">
        <v>48</v>
      </c>
      <c r="C903" t="s">
        <v>5134</v>
      </c>
      <c r="D903" t="s">
        <v>5133</v>
      </c>
      <c r="E903" t="s">
        <v>5130</v>
      </c>
      <c r="F903" t="s">
        <v>5129</v>
      </c>
      <c r="G903" t="s">
        <v>74</v>
      </c>
      <c r="H903">
        <v>1</v>
      </c>
      <c r="I903" s="61" t="s">
        <v>11160</v>
      </c>
      <c r="J903" s="33" t="s">
        <v>45</v>
      </c>
      <c r="K903" s="46">
        <v>1</v>
      </c>
      <c r="L903">
        <v>87.4</v>
      </c>
      <c r="M903" t="s">
        <v>48</v>
      </c>
      <c r="N903" s="46">
        <v>1</v>
      </c>
      <c r="O903" s="46">
        <v>0</v>
      </c>
      <c r="P903" s="46">
        <v>0</v>
      </c>
      <c r="Q903" t="s">
        <v>48</v>
      </c>
      <c r="R903" t="s">
        <v>48</v>
      </c>
      <c r="S903" t="s">
        <v>11349</v>
      </c>
      <c r="T903" t="s">
        <v>5132</v>
      </c>
      <c r="U903" t="s">
        <v>5131</v>
      </c>
      <c r="V903" s="47">
        <v>0</v>
      </c>
      <c r="W903" t="s">
        <v>48</v>
      </c>
      <c r="X903" t="s">
        <v>48</v>
      </c>
      <c r="Y903" t="s">
        <v>48</v>
      </c>
      <c r="Z903">
        <v>0</v>
      </c>
      <c r="AA903" t="s">
        <v>48</v>
      </c>
      <c r="AB903">
        <v>2012</v>
      </c>
      <c r="AC903" t="s">
        <v>49</v>
      </c>
      <c r="AD903" t="s">
        <v>93</v>
      </c>
      <c r="AE903" s="40" t="s">
        <v>2471</v>
      </c>
      <c r="AF903" t="s">
        <v>11061</v>
      </c>
      <c r="AG903" t="s">
        <v>151</v>
      </c>
      <c r="AH903" t="s">
        <v>93</v>
      </c>
      <c r="AI903">
        <v>21343</v>
      </c>
      <c r="AJ903">
        <v>1970</v>
      </c>
      <c r="AK903" t="s">
        <v>9142</v>
      </c>
      <c r="AL903" t="s">
        <v>9143</v>
      </c>
      <c r="AM903">
        <v>-0.48799999999999999</v>
      </c>
      <c r="AN903">
        <v>-8.8999999999999996E-2</v>
      </c>
      <c r="AO903">
        <v>-0.48799999999999999</v>
      </c>
      <c r="AP903" s="46">
        <v>0</v>
      </c>
      <c r="AQ903" s="46">
        <v>0</v>
      </c>
      <c r="AR903" s="46">
        <v>0</v>
      </c>
      <c r="AS903" s="46">
        <v>0</v>
      </c>
      <c r="AT903" s="46">
        <v>1</v>
      </c>
      <c r="AU903" s="46">
        <v>0</v>
      </c>
      <c r="AV903" s="46">
        <v>0</v>
      </c>
      <c r="AW903" s="46">
        <v>0</v>
      </c>
      <c r="AX903" s="46">
        <v>0</v>
      </c>
      <c r="AY903" s="46">
        <v>0</v>
      </c>
      <c r="AZ903" s="46">
        <v>0</v>
      </c>
      <c r="BA903" s="46">
        <v>0</v>
      </c>
      <c r="BB903" s="46">
        <v>0</v>
      </c>
      <c r="BC903" s="46">
        <v>0</v>
      </c>
      <c r="BD903" s="46">
        <v>0</v>
      </c>
      <c r="BE903" s="46">
        <v>0</v>
      </c>
      <c r="BF903" s="46">
        <v>0</v>
      </c>
      <c r="BG903" s="46" t="s">
        <v>48</v>
      </c>
      <c r="BH903" s="46">
        <v>0</v>
      </c>
      <c r="BI903" s="46">
        <v>0</v>
      </c>
      <c r="BJ903" s="46">
        <v>0</v>
      </c>
      <c r="BK903" s="46">
        <v>1</v>
      </c>
      <c r="BL903" s="46">
        <v>0</v>
      </c>
      <c r="BM903" s="46">
        <v>0</v>
      </c>
      <c r="BN903" s="46">
        <v>0</v>
      </c>
    </row>
    <row r="904" spans="1:66" x14ac:dyDescent="0.35">
      <c r="A904" t="s">
        <v>10748</v>
      </c>
      <c r="B904" t="s">
        <v>48</v>
      </c>
      <c r="C904" t="s">
        <v>12185</v>
      </c>
      <c r="D904" t="s">
        <v>12186</v>
      </c>
      <c r="E904" t="s">
        <v>10749</v>
      </c>
      <c r="F904" t="s">
        <v>5129</v>
      </c>
      <c r="G904" t="s">
        <v>47</v>
      </c>
      <c r="H904">
        <v>0</v>
      </c>
      <c r="I904" s="60" t="s">
        <v>11552</v>
      </c>
      <c r="J904" s="33" t="s">
        <v>45</v>
      </c>
      <c r="K904" s="46">
        <v>0</v>
      </c>
      <c r="L904">
        <v>100</v>
      </c>
      <c r="M904" t="s">
        <v>48</v>
      </c>
      <c r="N904" s="46">
        <v>1</v>
      </c>
      <c r="O904" s="46">
        <v>0</v>
      </c>
      <c r="P904" s="46">
        <v>0</v>
      </c>
      <c r="Q904" t="s">
        <v>48</v>
      </c>
      <c r="R904" t="s">
        <v>48</v>
      </c>
      <c r="S904" t="s">
        <v>11514</v>
      </c>
      <c r="T904" t="s">
        <v>48</v>
      </c>
      <c r="U904" t="s">
        <v>10750</v>
      </c>
      <c r="V904" s="47">
        <v>0</v>
      </c>
      <c r="W904" t="s">
        <v>48</v>
      </c>
      <c r="X904" t="s">
        <v>48</v>
      </c>
      <c r="Y904" t="s">
        <v>48</v>
      </c>
      <c r="Z904">
        <v>0</v>
      </c>
      <c r="AA904" t="s">
        <v>48</v>
      </c>
      <c r="AB904" t="s">
        <v>48</v>
      </c>
      <c r="AC904" t="s">
        <v>49</v>
      </c>
      <c r="AD904" t="s">
        <v>93</v>
      </c>
      <c r="AE904" s="40" t="s">
        <v>11051</v>
      </c>
      <c r="AF904" t="s">
        <v>11154</v>
      </c>
      <c r="AG904" t="s">
        <v>48</v>
      </c>
      <c r="AH904" t="s">
        <v>48</v>
      </c>
      <c r="AI904" t="s">
        <v>48</v>
      </c>
      <c r="AJ904" t="s">
        <v>48</v>
      </c>
      <c r="AK904" t="s">
        <v>48</v>
      </c>
      <c r="AL904" t="s">
        <v>48</v>
      </c>
      <c r="AM904" t="s">
        <v>48</v>
      </c>
      <c r="AN904" t="s">
        <v>48</v>
      </c>
      <c r="AO904" t="s">
        <v>48</v>
      </c>
      <c r="AP904" s="46">
        <v>0</v>
      </c>
      <c r="AQ904" s="46">
        <v>0</v>
      </c>
      <c r="AR904" s="46">
        <v>0</v>
      </c>
      <c r="AS904" s="46">
        <v>0</v>
      </c>
      <c r="AT904" s="46">
        <v>0</v>
      </c>
      <c r="AU904" s="46">
        <v>0</v>
      </c>
      <c r="AV904" s="46">
        <v>0</v>
      </c>
      <c r="AW904" s="46">
        <v>0</v>
      </c>
      <c r="AX904" s="46">
        <v>0</v>
      </c>
      <c r="AY904" s="46">
        <v>0</v>
      </c>
      <c r="AZ904" s="46">
        <v>0</v>
      </c>
      <c r="BA904" s="46">
        <v>0</v>
      </c>
      <c r="BB904" s="46">
        <v>0</v>
      </c>
      <c r="BC904" s="46">
        <v>0</v>
      </c>
      <c r="BD904" s="46">
        <v>0</v>
      </c>
      <c r="BE904" s="46">
        <v>0</v>
      </c>
      <c r="BF904" s="46">
        <v>0</v>
      </c>
      <c r="BG904" s="46">
        <v>1</v>
      </c>
      <c r="BH904" s="46">
        <v>0</v>
      </c>
      <c r="BI904" s="46">
        <v>0</v>
      </c>
      <c r="BJ904" s="46">
        <v>0</v>
      </c>
      <c r="BK904" s="46">
        <v>0</v>
      </c>
      <c r="BL904" s="46">
        <v>0</v>
      </c>
      <c r="BM904" s="46">
        <v>0</v>
      </c>
      <c r="BN904" s="46">
        <v>0</v>
      </c>
    </row>
    <row r="905" spans="1:66" x14ac:dyDescent="0.35">
      <c r="A905" t="s">
        <v>5139</v>
      </c>
      <c r="B905" s="44" t="s">
        <v>48</v>
      </c>
      <c r="C905" t="s">
        <v>5144</v>
      </c>
      <c r="D905" t="s">
        <v>4907</v>
      </c>
      <c r="E905" t="s">
        <v>5141</v>
      </c>
      <c r="F905" t="s">
        <v>5140</v>
      </c>
      <c r="G905" t="s">
        <v>74</v>
      </c>
      <c r="H905">
        <v>0</v>
      </c>
      <c r="I905" s="60" t="s">
        <v>51</v>
      </c>
      <c r="J905" s="33" t="s">
        <v>45</v>
      </c>
      <c r="K905" s="46">
        <v>1</v>
      </c>
      <c r="L905">
        <v>100</v>
      </c>
      <c r="M905" t="s">
        <v>48</v>
      </c>
      <c r="N905" s="46">
        <v>1</v>
      </c>
      <c r="O905" s="46">
        <v>0</v>
      </c>
      <c r="P905" s="46">
        <v>0</v>
      </c>
      <c r="Q905" t="s">
        <v>48</v>
      </c>
      <c r="R905" t="s">
        <v>48</v>
      </c>
      <c r="S905" t="s">
        <v>5142</v>
      </c>
      <c r="T905" t="s">
        <v>5143</v>
      </c>
      <c r="U905" t="s">
        <v>5142</v>
      </c>
      <c r="V905" s="47">
        <v>0</v>
      </c>
      <c r="W905" t="s">
        <v>48</v>
      </c>
      <c r="X905" t="s">
        <v>48</v>
      </c>
      <c r="Y905" t="s">
        <v>48</v>
      </c>
      <c r="Z905">
        <v>0</v>
      </c>
      <c r="AA905" t="s">
        <v>48</v>
      </c>
      <c r="AB905">
        <v>2006</v>
      </c>
      <c r="AC905" t="s">
        <v>63</v>
      </c>
      <c r="AD905" t="s">
        <v>93</v>
      </c>
      <c r="AE905" s="40" t="s">
        <v>2471</v>
      </c>
      <c r="AF905" t="s">
        <v>11075</v>
      </c>
      <c r="AG905" t="s">
        <v>2094</v>
      </c>
      <c r="AH905" t="s">
        <v>93</v>
      </c>
      <c r="AI905">
        <v>20733</v>
      </c>
      <c r="AJ905">
        <v>1964</v>
      </c>
      <c r="AK905" t="s">
        <v>9144</v>
      </c>
      <c r="AL905" t="s">
        <v>9145</v>
      </c>
      <c r="AM905">
        <v>-0.61299999999999999</v>
      </c>
      <c r="AN905">
        <v>-0.221</v>
      </c>
      <c r="AO905">
        <v>-0.61299999999999999</v>
      </c>
      <c r="AP905" s="46">
        <v>0</v>
      </c>
      <c r="AQ905" s="46">
        <v>0</v>
      </c>
      <c r="AR905" s="46">
        <v>0</v>
      </c>
      <c r="AS905" s="46">
        <v>0</v>
      </c>
      <c r="AT905" s="46">
        <v>1</v>
      </c>
      <c r="AU905" s="46">
        <v>0</v>
      </c>
      <c r="AV905" s="46">
        <v>0</v>
      </c>
      <c r="AW905" s="46">
        <v>0</v>
      </c>
      <c r="AX905" s="46">
        <v>0</v>
      </c>
      <c r="AY905" s="46">
        <v>0</v>
      </c>
      <c r="AZ905" s="46">
        <v>0</v>
      </c>
      <c r="BA905" s="46">
        <v>0</v>
      </c>
      <c r="BB905" s="46">
        <v>0</v>
      </c>
      <c r="BC905" s="46">
        <v>0</v>
      </c>
      <c r="BD905" s="46">
        <v>0</v>
      </c>
      <c r="BE905" s="46">
        <v>0</v>
      </c>
      <c r="BF905" s="46">
        <v>0</v>
      </c>
      <c r="BG905" s="46" t="s">
        <v>48</v>
      </c>
      <c r="BH905" s="46">
        <v>0</v>
      </c>
      <c r="BI905" s="46">
        <v>0</v>
      </c>
      <c r="BJ905" s="46">
        <v>0</v>
      </c>
      <c r="BK905" s="46">
        <v>1</v>
      </c>
      <c r="BL905" s="46">
        <v>0</v>
      </c>
      <c r="BM905" s="46">
        <v>0</v>
      </c>
      <c r="BN905" s="46">
        <v>0</v>
      </c>
    </row>
    <row r="906" spans="1:66" x14ac:dyDescent="0.35">
      <c r="A906" t="s">
        <v>5146</v>
      </c>
      <c r="B906" t="s">
        <v>48</v>
      </c>
      <c r="C906" t="s">
        <v>5150</v>
      </c>
      <c r="D906" t="s">
        <v>5149</v>
      </c>
      <c r="E906" t="s">
        <v>5147</v>
      </c>
      <c r="F906" t="s">
        <v>5145</v>
      </c>
      <c r="G906" t="s">
        <v>47</v>
      </c>
      <c r="H906">
        <v>0</v>
      </c>
      <c r="I906" s="60" t="s">
        <v>51</v>
      </c>
      <c r="J906" s="33" t="s">
        <v>45</v>
      </c>
      <c r="K906" s="46">
        <v>0</v>
      </c>
      <c r="L906">
        <v>100</v>
      </c>
      <c r="M906" t="s">
        <v>48</v>
      </c>
      <c r="N906" s="46">
        <v>1</v>
      </c>
      <c r="O906" s="46">
        <v>0</v>
      </c>
      <c r="P906" s="46">
        <v>0</v>
      </c>
      <c r="Q906" t="s">
        <v>48</v>
      </c>
      <c r="R906" t="s">
        <v>48</v>
      </c>
      <c r="S906" t="s">
        <v>5148</v>
      </c>
      <c r="T906" t="s">
        <v>48</v>
      </c>
      <c r="U906" t="s">
        <v>5148</v>
      </c>
      <c r="V906" s="47">
        <v>0</v>
      </c>
      <c r="W906" t="s">
        <v>48</v>
      </c>
      <c r="X906" t="s">
        <v>48</v>
      </c>
      <c r="Y906" t="s">
        <v>48</v>
      </c>
      <c r="Z906">
        <v>0</v>
      </c>
      <c r="AA906" t="s">
        <v>48</v>
      </c>
      <c r="AB906" t="s">
        <v>48</v>
      </c>
      <c r="AC906" t="s">
        <v>63</v>
      </c>
      <c r="AD906" t="s">
        <v>93</v>
      </c>
      <c r="AE906" t="s">
        <v>11051</v>
      </c>
      <c r="AF906" t="s">
        <v>11076</v>
      </c>
      <c r="AG906" t="s">
        <v>48</v>
      </c>
      <c r="AH906" t="s">
        <v>48</v>
      </c>
      <c r="AI906" t="s">
        <v>48</v>
      </c>
      <c r="AJ906" t="s">
        <v>48</v>
      </c>
      <c r="AK906" t="s">
        <v>48</v>
      </c>
      <c r="AL906" t="s">
        <v>48</v>
      </c>
      <c r="AM906" t="s">
        <v>48</v>
      </c>
      <c r="AN906" t="s">
        <v>48</v>
      </c>
      <c r="AO906" t="s">
        <v>48</v>
      </c>
      <c r="AP906" s="46">
        <v>0</v>
      </c>
      <c r="AQ906" s="46">
        <v>0</v>
      </c>
      <c r="AR906" s="46">
        <v>0</v>
      </c>
      <c r="AS906" s="46">
        <v>0</v>
      </c>
      <c r="AT906" s="46">
        <v>0</v>
      </c>
      <c r="AU906" s="46">
        <v>0</v>
      </c>
      <c r="AV906" s="46">
        <v>0</v>
      </c>
      <c r="AW906" s="46">
        <v>0</v>
      </c>
      <c r="AX906" s="46">
        <v>0</v>
      </c>
      <c r="AY906" s="46">
        <v>0</v>
      </c>
      <c r="AZ906" s="46">
        <v>0</v>
      </c>
      <c r="BA906" s="46">
        <v>0</v>
      </c>
      <c r="BB906" s="46">
        <v>0</v>
      </c>
      <c r="BC906" s="46">
        <v>0</v>
      </c>
      <c r="BD906" s="46">
        <v>0</v>
      </c>
      <c r="BE906" s="46">
        <v>0</v>
      </c>
      <c r="BF906" s="46">
        <v>0</v>
      </c>
      <c r="BG906" s="46">
        <v>1</v>
      </c>
      <c r="BH906" s="46">
        <v>0</v>
      </c>
      <c r="BI906" s="46">
        <v>0</v>
      </c>
      <c r="BJ906" s="46">
        <v>0</v>
      </c>
      <c r="BK906" s="46">
        <v>0</v>
      </c>
      <c r="BL906" s="46">
        <v>0</v>
      </c>
      <c r="BM906" s="46">
        <v>0</v>
      </c>
      <c r="BN906" s="46">
        <v>0</v>
      </c>
    </row>
    <row r="907" spans="1:66" x14ac:dyDescent="0.35">
      <c r="A907" t="s">
        <v>10751</v>
      </c>
      <c r="B907" s="44" t="s">
        <v>48</v>
      </c>
      <c r="C907" t="s">
        <v>12187</v>
      </c>
      <c r="D907" t="s">
        <v>347</v>
      </c>
      <c r="E907" t="s">
        <v>10752</v>
      </c>
      <c r="F907" t="s">
        <v>5145</v>
      </c>
      <c r="G907" t="s">
        <v>74</v>
      </c>
      <c r="H907">
        <v>0</v>
      </c>
      <c r="I907" s="60" t="s">
        <v>11552</v>
      </c>
      <c r="J907" s="33" t="s">
        <v>45</v>
      </c>
      <c r="K907" s="46">
        <v>0</v>
      </c>
      <c r="L907">
        <v>25.8</v>
      </c>
      <c r="M907" t="s">
        <v>48</v>
      </c>
      <c r="N907" s="46">
        <v>1</v>
      </c>
      <c r="O907" s="46">
        <v>0</v>
      </c>
      <c r="P907" s="46">
        <v>0</v>
      </c>
      <c r="Q907" t="s">
        <v>48</v>
      </c>
      <c r="R907" t="s">
        <v>48</v>
      </c>
      <c r="S907" t="s">
        <v>11516</v>
      </c>
      <c r="T907" t="s">
        <v>48</v>
      </c>
      <c r="U907" t="s">
        <v>10753</v>
      </c>
      <c r="V907" s="47">
        <v>0</v>
      </c>
      <c r="W907" t="s">
        <v>48</v>
      </c>
      <c r="X907" t="s">
        <v>48</v>
      </c>
      <c r="Y907" t="s">
        <v>48</v>
      </c>
      <c r="Z907">
        <v>0</v>
      </c>
      <c r="AA907" t="s">
        <v>48</v>
      </c>
      <c r="AB907" t="s">
        <v>48</v>
      </c>
      <c r="AC907" t="s">
        <v>49</v>
      </c>
      <c r="AD907" t="s">
        <v>93</v>
      </c>
      <c r="AE907" s="40" t="s">
        <v>4532</v>
      </c>
      <c r="AF907" t="s">
        <v>48</v>
      </c>
      <c r="AG907" t="s">
        <v>48</v>
      </c>
      <c r="AH907" t="s">
        <v>48</v>
      </c>
      <c r="AI907" t="s">
        <v>48</v>
      </c>
      <c r="AJ907" t="s">
        <v>48</v>
      </c>
      <c r="AK907" t="s">
        <v>48</v>
      </c>
      <c r="AL907" t="s">
        <v>48</v>
      </c>
      <c r="AM907" t="s">
        <v>48</v>
      </c>
      <c r="AN907" t="s">
        <v>48</v>
      </c>
      <c r="AO907" t="s">
        <v>48</v>
      </c>
      <c r="AP907" s="46">
        <v>0</v>
      </c>
      <c r="AQ907" s="46">
        <v>0</v>
      </c>
      <c r="AR907" s="46">
        <v>0</v>
      </c>
      <c r="AS907" s="46">
        <v>0</v>
      </c>
      <c r="AT907" s="46">
        <v>0</v>
      </c>
      <c r="AU907" s="46">
        <v>0</v>
      </c>
      <c r="AV907" s="46">
        <v>0</v>
      </c>
      <c r="AW907" s="46">
        <v>0</v>
      </c>
      <c r="AX907" s="46">
        <v>0</v>
      </c>
      <c r="AY907" s="46">
        <v>0</v>
      </c>
      <c r="AZ907" s="46">
        <v>0</v>
      </c>
      <c r="BA907" s="46">
        <v>0</v>
      </c>
      <c r="BB907" s="46">
        <v>0</v>
      </c>
      <c r="BC907" s="46">
        <v>0</v>
      </c>
      <c r="BD907" s="46">
        <v>0</v>
      </c>
      <c r="BE907" s="46">
        <v>0</v>
      </c>
      <c r="BF907" s="46">
        <v>0</v>
      </c>
      <c r="BG907" s="46" t="s">
        <v>48</v>
      </c>
      <c r="BH907" s="46">
        <v>0</v>
      </c>
      <c r="BI907" s="46">
        <v>0</v>
      </c>
      <c r="BJ907" s="46">
        <v>0</v>
      </c>
      <c r="BK907" s="46">
        <v>0</v>
      </c>
      <c r="BL907" s="46">
        <v>0</v>
      </c>
      <c r="BM907" s="46">
        <v>0</v>
      </c>
      <c r="BN907" s="46">
        <v>0</v>
      </c>
    </row>
    <row r="908" spans="1:66" x14ac:dyDescent="0.35">
      <c r="A908" t="s">
        <v>5175</v>
      </c>
      <c r="B908" s="44" t="s">
        <v>48</v>
      </c>
      <c r="C908" t="s">
        <v>5178</v>
      </c>
      <c r="D908" t="s">
        <v>865</v>
      </c>
      <c r="E908" t="s">
        <v>5176</v>
      </c>
      <c r="F908" t="s">
        <v>5159</v>
      </c>
      <c r="G908" t="s">
        <v>74</v>
      </c>
      <c r="H908">
        <v>0</v>
      </c>
      <c r="I908" s="60" t="s">
        <v>149</v>
      </c>
      <c r="J908" s="33" t="s">
        <v>45</v>
      </c>
      <c r="K908" s="46">
        <v>0</v>
      </c>
      <c r="L908">
        <v>75</v>
      </c>
      <c r="M908" t="s">
        <v>48</v>
      </c>
      <c r="N908" s="46">
        <v>1</v>
      </c>
      <c r="O908" s="46">
        <v>0</v>
      </c>
      <c r="P908" s="46">
        <v>0</v>
      </c>
      <c r="Q908" t="s">
        <v>48</v>
      </c>
      <c r="R908" t="s">
        <v>48</v>
      </c>
      <c r="S908" t="s">
        <v>5177</v>
      </c>
      <c r="T908" t="s">
        <v>48</v>
      </c>
      <c r="U908" t="s">
        <v>5177</v>
      </c>
      <c r="V908" s="47">
        <v>0</v>
      </c>
      <c r="W908" t="s">
        <v>48</v>
      </c>
      <c r="X908" t="s">
        <v>48</v>
      </c>
      <c r="Y908" t="s">
        <v>48</v>
      </c>
      <c r="Z908">
        <v>0</v>
      </c>
      <c r="AA908" t="s">
        <v>48</v>
      </c>
      <c r="AB908" t="s">
        <v>48</v>
      </c>
      <c r="AC908" t="s">
        <v>49</v>
      </c>
      <c r="AD908" t="s">
        <v>93</v>
      </c>
      <c r="AE908" t="s">
        <v>4532</v>
      </c>
      <c r="AF908" t="s">
        <v>48</v>
      </c>
      <c r="AG908" t="s">
        <v>48</v>
      </c>
      <c r="AH908" t="s">
        <v>48</v>
      </c>
      <c r="AI908" t="s">
        <v>48</v>
      </c>
      <c r="AJ908" t="s">
        <v>48</v>
      </c>
      <c r="AK908" t="s">
        <v>48</v>
      </c>
      <c r="AL908" t="s">
        <v>48</v>
      </c>
      <c r="AM908" t="s">
        <v>48</v>
      </c>
      <c r="AN908" t="s">
        <v>48</v>
      </c>
      <c r="AO908" t="s">
        <v>48</v>
      </c>
      <c r="AP908" s="46">
        <v>0</v>
      </c>
      <c r="AQ908" s="46">
        <v>0</v>
      </c>
      <c r="AR908" s="46">
        <v>0</v>
      </c>
      <c r="AS908" s="46">
        <v>0</v>
      </c>
      <c r="AT908" s="46">
        <v>0</v>
      </c>
      <c r="AU908" s="46">
        <v>0</v>
      </c>
      <c r="AV908" s="46">
        <v>0</v>
      </c>
      <c r="AW908" s="46">
        <v>0</v>
      </c>
      <c r="AX908" s="46">
        <v>0</v>
      </c>
      <c r="AY908" s="46">
        <v>0</v>
      </c>
      <c r="AZ908" s="46">
        <v>0</v>
      </c>
      <c r="BA908" s="46">
        <v>0</v>
      </c>
      <c r="BB908" s="46">
        <v>0</v>
      </c>
      <c r="BC908" s="46">
        <v>0</v>
      </c>
      <c r="BD908" s="46">
        <v>0</v>
      </c>
      <c r="BE908" s="46">
        <v>0</v>
      </c>
      <c r="BF908" s="46">
        <v>0</v>
      </c>
      <c r="BG908" s="46" t="s">
        <v>48</v>
      </c>
      <c r="BH908" s="46">
        <v>0</v>
      </c>
      <c r="BI908" s="46">
        <v>0</v>
      </c>
      <c r="BJ908" s="46">
        <v>0</v>
      </c>
      <c r="BK908" s="46">
        <v>0</v>
      </c>
      <c r="BL908" s="46">
        <v>0</v>
      </c>
      <c r="BM908" s="46">
        <v>0</v>
      </c>
      <c r="BN908" s="46">
        <v>0</v>
      </c>
    </row>
    <row r="909" spans="1:66" x14ac:dyDescent="0.35">
      <c r="A909" t="s">
        <v>5163</v>
      </c>
      <c r="B909" t="s">
        <v>48</v>
      </c>
      <c r="C909" t="s">
        <v>5168</v>
      </c>
      <c r="D909" t="s">
        <v>1125</v>
      </c>
      <c r="E909" t="s">
        <v>5164</v>
      </c>
      <c r="F909" t="s">
        <v>5159</v>
      </c>
      <c r="G909" t="s">
        <v>47</v>
      </c>
      <c r="H909">
        <v>0</v>
      </c>
      <c r="I909" s="60" t="s">
        <v>51</v>
      </c>
      <c r="J909" s="33" t="s">
        <v>45</v>
      </c>
      <c r="K909" s="46">
        <v>1</v>
      </c>
      <c r="L909">
        <v>78.5</v>
      </c>
      <c r="M909" t="s">
        <v>48</v>
      </c>
      <c r="N909" s="46">
        <v>1</v>
      </c>
      <c r="O909" s="46">
        <v>0</v>
      </c>
      <c r="P909" s="46">
        <v>0</v>
      </c>
      <c r="Q909" t="s">
        <v>48</v>
      </c>
      <c r="R909" t="s">
        <v>48</v>
      </c>
      <c r="S909" t="s">
        <v>5165</v>
      </c>
      <c r="T909" t="s">
        <v>5166</v>
      </c>
      <c r="U909" t="s">
        <v>5165</v>
      </c>
      <c r="V909" s="47">
        <v>0</v>
      </c>
      <c r="W909" t="s">
        <v>48</v>
      </c>
      <c r="X909" t="s">
        <v>48</v>
      </c>
      <c r="Y909" t="s">
        <v>48</v>
      </c>
      <c r="Z909">
        <v>1</v>
      </c>
      <c r="AA909" t="s">
        <v>48</v>
      </c>
      <c r="AB909">
        <v>2020</v>
      </c>
      <c r="AC909" t="s">
        <v>63</v>
      </c>
      <c r="AD909" t="s">
        <v>951</v>
      </c>
      <c r="AE909" s="40" t="s">
        <v>11051</v>
      </c>
      <c r="AF909" t="s">
        <v>11063</v>
      </c>
      <c r="AG909" t="s">
        <v>5167</v>
      </c>
      <c r="AH909" t="s">
        <v>48</v>
      </c>
      <c r="AI909">
        <v>22133</v>
      </c>
      <c r="AJ909">
        <v>1980</v>
      </c>
      <c r="AK909" t="s">
        <v>9146</v>
      </c>
      <c r="AL909" t="s">
        <v>9147</v>
      </c>
      <c r="AM909">
        <v>0.27</v>
      </c>
      <c r="AN909">
        <v>0.16</v>
      </c>
      <c r="AO909">
        <v>0.27</v>
      </c>
      <c r="AP909" s="46">
        <v>0</v>
      </c>
      <c r="AQ909" s="46">
        <v>0</v>
      </c>
      <c r="AR909" s="46">
        <v>0</v>
      </c>
      <c r="AS909" s="46">
        <v>0</v>
      </c>
      <c r="AT909" s="46">
        <v>0</v>
      </c>
      <c r="AU909" s="46">
        <v>0</v>
      </c>
      <c r="AV909" s="46">
        <v>0</v>
      </c>
      <c r="AW909" s="46">
        <v>0</v>
      </c>
      <c r="AX909" s="46">
        <v>0</v>
      </c>
      <c r="AY909" s="46">
        <v>1</v>
      </c>
      <c r="AZ909" s="46">
        <v>1</v>
      </c>
      <c r="BA909" s="46">
        <v>0</v>
      </c>
      <c r="BB909" s="46">
        <v>1</v>
      </c>
      <c r="BC909" s="46">
        <v>0</v>
      </c>
      <c r="BD909" s="46">
        <v>0</v>
      </c>
      <c r="BE909" s="46">
        <v>0</v>
      </c>
      <c r="BF909" s="46">
        <v>0</v>
      </c>
      <c r="BG909" s="46">
        <v>1</v>
      </c>
      <c r="BH909" s="46">
        <v>0</v>
      </c>
      <c r="BI909" s="46">
        <v>0</v>
      </c>
      <c r="BJ909" s="46">
        <v>0</v>
      </c>
      <c r="BK909" s="46">
        <v>0</v>
      </c>
      <c r="BL909" s="46">
        <v>0</v>
      </c>
      <c r="BM909" s="46">
        <v>1</v>
      </c>
      <c r="BN909" s="46">
        <v>0</v>
      </c>
    </row>
    <row r="910" spans="1:66" x14ac:dyDescent="0.35">
      <c r="A910" t="s">
        <v>5151</v>
      </c>
      <c r="B910" s="44" t="s">
        <v>48</v>
      </c>
      <c r="C910" t="s">
        <v>12199</v>
      </c>
      <c r="D910" t="s">
        <v>12200</v>
      </c>
      <c r="E910" t="s">
        <v>10771</v>
      </c>
      <c r="F910" t="s">
        <v>5179</v>
      </c>
      <c r="G910" t="s">
        <v>74</v>
      </c>
      <c r="H910">
        <v>0</v>
      </c>
      <c r="I910" s="61">
        <v>44806</v>
      </c>
      <c r="J910" s="33" t="s">
        <v>45</v>
      </c>
      <c r="K910" s="46">
        <v>0</v>
      </c>
      <c r="L910">
        <v>55.4</v>
      </c>
      <c r="M910" t="s">
        <v>48</v>
      </c>
      <c r="N910" s="46">
        <v>1</v>
      </c>
      <c r="O910" s="46">
        <v>0</v>
      </c>
      <c r="P910" s="46">
        <v>0</v>
      </c>
      <c r="Q910" t="s">
        <v>48</v>
      </c>
      <c r="R910" t="s">
        <v>48</v>
      </c>
      <c r="S910" t="s">
        <v>5152</v>
      </c>
      <c r="T910" t="s">
        <v>5153</v>
      </c>
      <c r="U910" t="s">
        <v>5152</v>
      </c>
      <c r="V910" s="47">
        <v>0</v>
      </c>
      <c r="W910" t="s">
        <v>48</v>
      </c>
      <c r="X910" t="s">
        <v>48</v>
      </c>
      <c r="Y910" t="s">
        <v>48</v>
      </c>
      <c r="Z910">
        <v>0</v>
      </c>
      <c r="AA910" t="s">
        <v>48</v>
      </c>
      <c r="AB910" t="s">
        <v>48</v>
      </c>
      <c r="AC910" t="s">
        <v>49</v>
      </c>
      <c r="AD910" t="s">
        <v>93</v>
      </c>
      <c r="AE910" t="s">
        <v>4532</v>
      </c>
      <c r="AF910" t="s">
        <v>48</v>
      </c>
      <c r="AG910" t="s">
        <v>48</v>
      </c>
      <c r="AH910" t="s">
        <v>48</v>
      </c>
      <c r="AI910" t="s">
        <v>48</v>
      </c>
      <c r="AJ910" t="s">
        <v>48</v>
      </c>
      <c r="AK910" t="s">
        <v>48</v>
      </c>
      <c r="AL910" t="s">
        <v>48</v>
      </c>
      <c r="AM910" t="s">
        <v>48</v>
      </c>
      <c r="AN910" t="s">
        <v>48</v>
      </c>
      <c r="AO910" t="s">
        <v>48</v>
      </c>
      <c r="AP910" s="46">
        <v>0</v>
      </c>
      <c r="AQ910" s="46">
        <v>0</v>
      </c>
      <c r="AR910" s="46">
        <v>0</v>
      </c>
      <c r="AS910" s="46">
        <v>0</v>
      </c>
      <c r="AT910" s="46">
        <v>0</v>
      </c>
      <c r="AU910" s="46">
        <v>0</v>
      </c>
      <c r="AV910" s="46">
        <v>0</v>
      </c>
      <c r="AW910" s="46">
        <v>0</v>
      </c>
      <c r="AX910" s="46">
        <v>0</v>
      </c>
      <c r="AY910" s="46">
        <v>0</v>
      </c>
      <c r="AZ910" s="46">
        <v>0</v>
      </c>
      <c r="BA910" s="46">
        <v>0</v>
      </c>
      <c r="BB910" s="46">
        <v>0</v>
      </c>
      <c r="BC910" s="46">
        <v>0</v>
      </c>
      <c r="BD910" s="46">
        <v>0</v>
      </c>
      <c r="BE910" s="46">
        <v>0</v>
      </c>
      <c r="BF910" s="46">
        <v>0</v>
      </c>
      <c r="BG910" s="46" t="s">
        <v>48</v>
      </c>
      <c r="BH910" s="46">
        <v>0</v>
      </c>
      <c r="BI910" s="46">
        <v>0</v>
      </c>
      <c r="BJ910" s="46">
        <v>0</v>
      </c>
      <c r="BK910" s="46">
        <v>0</v>
      </c>
      <c r="BL910" s="46">
        <v>0</v>
      </c>
      <c r="BM910" s="46">
        <v>0</v>
      </c>
      <c r="BN910" s="46">
        <v>0</v>
      </c>
    </row>
    <row r="911" spans="1:66" ht="15" x14ac:dyDescent="0.4">
      <c r="A911" t="s">
        <v>5191</v>
      </c>
      <c r="B911" t="s">
        <v>48</v>
      </c>
      <c r="C911" t="s">
        <v>5193</v>
      </c>
      <c r="D911" t="s">
        <v>288</v>
      </c>
      <c r="E911" t="s">
        <v>5192</v>
      </c>
      <c r="F911" t="s">
        <v>5179</v>
      </c>
      <c r="G911" t="s">
        <v>47</v>
      </c>
      <c r="H911">
        <v>0</v>
      </c>
      <c r="I911" s="60" t="s">
        <v>11160</v>
      </c>
      <c r="J911" s="33" t="s">
        <v>45</v>
      </c>
      <c r="K911" s="46">
        <v>0</v>
      </c>
      <c r="L911">
        <v>100</v>
      </c>
      <c r="M911" t="s">
        <v>48</v>
      </c>
      <c r="N911" s="46">
        <v>1</v>
      </c>
      <c r="O911" s="46">
        <v>0</v>
      </c>
      <c r="P911" s="46">
        <v>0</v>
      </c>
      <c r="Q911" t="s">
        <v>48</v>
      </c>
      <c r="R911" t="s">
        <v>48</v>
      </c>
      <c r="S911" s="55" t="s">
        <v>11305</v>
      </c>
      <c r="T911" t="s">
        <v>48</v>
      </c>
      <c r="U911" s="55" t="s">
        <v>11305</v>
      </c>
      <c r="V911" s="47">
        <v>0</v>
      </c>
      <c r="W911" t="s">
        <v>48</v>
      </c>
      <c r="X911" t="s">
        <v>48</v>
      </c>
      <c r="Y911" t="s">
        <v>48</v>
      </c>
      <c r="Z911">
        <v>0</v>
      </c>
      <c r="AA911" t="s">
        <v>48</v>
      </c>
      <c r="AB911" t="s">
        <v>48</v>
      </c>
      <c r="AC911" t="s">
        <v>49</v>
      </c>
      <c r="AD911" t="s">
        <v>93</v>
      </c>
      <c r="AE911" t="s">
        <v>4532</v>
      </c>
      <c r="AF911" t="s">
        <v>48</v>
      </c>
      <c r="AG911" t="s">
        <v>48</v>
      </c>
      <c r="AH911" t="s">
        <v>48</v>
      </c>
      <c r="AI911" t="s">
        <v>48</v>
      </c>
      <c r="AJ911" t="s">
        <v>48</v>
      </c>
      <c r="AK911" t="s">
        <v>48</v>
      </c>
      <c r="AL911" t="s">
        <v>48</v>
      </c>
      <c r="AM911" t="s">
        <v>48</v>
      </c>
      <c r="AN911" t="s">
        <v>48</v>
      </c>
      <c r="AO911" t="s">
        <v>48</v>
      </c>
      <c r="AP911" s="46">
        <v>0</v>
      </c>
      <c r="AQ911" s="46">
        <v>0</v>
      </c>
      <c r="AR911" s="46">
        <v>0</v>
      </c>
      <c r="AS911" s="46">
        <v>0</v>
      </c>
      <c r="AT911" s="46">
        <v>0</v>
      </c>
      <c r="AU911" s="46">
        <v>0</v>
      </c>
      <c r="AV911" s="46">
        <v>0</v>
      </c>
      <c r="AW911" s="46">
        <v>0</v>
      </c>
      <c r="AX911" s="46">
        <v>0</v>
      </c>
      <c r="AY911" s="46">
        <v>0</v>
      </c>
      <c r="AZ911" s="46">
        <v>0</v>
      </c>
      <c r="BA911" s="46">
        <v>0</v>
      </c>
      <c r="BB911" s="46">
        <v>0</v>
      </c>
      <c r="BC911" s="46">
        <v>0</v>
      </c>
      <c r="BD911" s="46">
        <v>0</v>
      </c>
      <c r="BE911" s="46">
        <v>0</v>
      </c>
      <c r="BF911" s="46">
        <v>0</v>
      </c>
      <c r="BG911" s="46" t="s">
        <v>48</v>
      </c>
      <c r="BH911" s="46">
        <v>0</v>
      </c>
      <c r="BI911" s="46">
        <v>0</v>
      </c>
      <c r="BJ911" s="46">
        <v>0</v>
      </c>
      <c r="BK911" s="46">
        <v>0</v>
      </c>
      <c r="BL911" s="46">
        <v>0</v>
      </c>
      <c r="BM911" s="46">
        <v>0</v>
      </c>
      <c r="BN911" s="46">
        <v>0</v>
      </c>
    </row>
    <row r="912" spans="1:66" x14ac:dyDescent="0.35">
      <c r="A912" t="s">
        <v>5194</v>
      </c>
      <c r="B912" s="44" t="s">
        <v>48</v>
      </c>
      <c r="C912" t="s">
        <v>5200</v>
      </c>
      <c r="D912" t="s">
        <v>5199</v>
      </c>
      <c r="E912" t="s">
        <v>5196</v>
      </c>
      <c r="F912" t="s">
        <v>5195</v>
      </c>
      <c r="G912" t="s">
        <v>74</v>
      </c>
      <c r="H912">
        <v>0</v>
      </c>
      <c r="I912" s="60" t="s">
        <v>51</v>
      </c>
      <c r="J912" s="33" t="s">
        <v>45</v>
      </c>
      <c r="K912" s="46">
        <v>1</v>
      </c>
      <c r="L912">
        <v>81</v>
      </c>
      <c r="M912" t="s">
        <v>48</v>
      </c>
      <c r="N912" s="46">
        <v>1</v>
      </c>
      <c r="O912" s="46">
        <v>0</v>
      </c>
      <c r="P912" s="46">
        <v>0</v>
      </c>
      <c r="Q912" t="s">
        <v>48</v>
      </c>
      <c r="R912" t="s">
        <v>48</v>
      </c>
      <c r="S912" t="s">
        <v>5197</v>
      </c>
      <c r="T912" t="s">
        <v>5198</v>
      </c>
      <c r="U912" t="s">
        <v>5197</v>
      </c>
      <c r="V912" s="47">
        <v>0</v>
      </c>
      <c r="W912" t="s">
        <v>48</v>
      </c>
      <c r="X912" t="s">
        <v>48</v>
      </c>
      <c r="Y912" t="s">
        <v>48</v>
      </c>
      <c r="Z912">
        <v>0</v>
      </c>
      <c r="AA912" t="s">
        <v>48</v>
      </c>
      <c r="AB912">
        <v>2016</v>
      </c>
      <c r="AC912" t="s">
        <v>49</v>
      </c>
      <c r="AD912" t="s">
        <v>951</v>
      </c>
      <c r="AE912" s="40" t="s">
        <v>11051</v>
      </c>
      <c r="AF912" t="s">
        <v>11097</v>
      </c>
      <c r="AG912" t="s">
        <v>140</v>
      </c>
      <c r="AH912" t="s">
        <v>93</v>
      </c>
      <c r="AI912">
        <v>21715</v>
      </c>
      <c r="AJ912">
        <v>1954</v>
      </c>
      <c r="AK912" t="s">
        <v>9150</v>
      </c>
      <c r="AL912" t="s">
        <v>9151</v>
      </c>
      <c r="AM912">
        <v>-0.61599999999999999</v>
      </c>
      <c r="AN912">
        <v>-0.218</v>
      </c>
      <c r="AO912">
        <v>-0.61599999999999999</v>
      </c>
      <c r="AP912" s="46">
        <v>0</v>
      </c>
      <c r="AQ912" s="46">
        <v>0</v>
      </c>
      <c r="AR912" s="46">
        <v>0</v>
      </c>
      <c r="AS912" s="46">
        <v>0</v>
      </c>
      <c r="AT912" s="46">
        <v>1</v>
      </c>
      <c r="AU912" s="46">
        <v>0</v>
      </c>
      <c r="AV912" s="46">
        <v>0</v>
      </c>
      <c r="AW912" s="46">
        <v>0</v>
      </c>
      <c r="AX912" s="46">
        <v>0</v>
      </c>
      <c r="AY912" s="46">
        <v>0</v>
      </c>
      <c r="AZ912" s="46">
        <v>0</v>
      </c>
      <c r="BA912" s="46">
        <v>0</v>
      </c>
      <c r="BB912" s="46">
        <v>0</v>
      </c>
      <c r="BC912" s="46">
        <v>0</v>
      </c>
      <c r="BD912" s="46">
        <v>0</v>
      </c>
      <c r="BE912" s="46">
        <v>0</v>
      </c>
      <c r="BF912" s="46">
        <v>0</v>
      </c>
      <c r="BG912" s="46" t="s">
        <v>48</v>
      </c>
      <c r="BH912" s="46">
        <v>0</v>
      </c>
      <c r="BI912" s="46">
        <v>0</v>
      </c>
      <c r="BJ912" s="46">
        <v>0</v>
      </c>
      <c r="BK912" s="46">
        <v>1</v>
      </c>
      <c r="BL912" s="46">
        <v>0</v>
      </c>
      <c r="BM912" s="46">
        <v>0</v>
      </c>
      <c r="BN912" s="46">
        <v>0</v>
      </c>
    </row>
    <row r="913" spans="1:66" x14ac:dyDescent="0.35">
      <c r="A913" t="s">
        <v>5212</v>
      </c>
      <c r="B913" s="44" t="s">
        <v>48</v>
      </c>
      <c r="C913" t="s">
        <v>5217</v>
      </c>
      <c r="D913" t="s">
        <v>5216</v>
      </c>
      <c r="E913" t="s">
        <v>5213</v>
      </c>
      <c r="F913" t="s">
        <v>5202</v>
      </c>
      <c r="G913" t="s">
        <v>74</v>
      </c>
      <c r="H913">
        <v>0</v>
      </c>
      <c r="I913" s="60" t="s">
        <v>51</v>
      </c>
      <c r="J913" s="33" t="s">
        <v>45</v>
      </c>
      <c r="K913" s="46">
        <v>1</v>
      </c>
      <c r="L913">
        <v>100</v>
      </c>
      <c r="M913" t="s">
        <v>48</v>
      </c>
      <c r="N913" s="46">
        <v>1</v>
      </c>
      <c r="O913" s="46">
        <v>0</v>
      </c>
      <c r="P913" s="46">
        <v>0</v>
      </c>
      <c r="Q913" t="s">
        <v>48</v>
      </c>
      <c r="R913" t="s">
        <v>48</v>
      </c>
      <c r="S913" t="s">
        <v>5214</v>
      </c>
      <c r="T913" t="s">
        <v>5215</v>
      </c>
      <c r="U913" t="s">
        <v>5214</v>
      </c>
      <c r="V913" s="47">
        <v>0</v>
      </c>
      <c r="W913" t="s">
        <v>48</v>
      </c>
      <c r="X913" t="s">
        <v>48</v>
      </c>
      <c r="Y913" t="s">
        <v>48</v>
      </c>
      <c r="Z913">
        <v>0</v>
      </c>
      <c r="AA913" t="s">
        <v>48</v>
      </c>
      <c r="AB913">
        <v>2018</v>
      </c>
      <c r="AC913" t="s">
        <v>63</v>
      </c>
      <c r="AD913" t="s">
        <v>951</v>
      </c>
      <c r="AE913" s="40" t="s">
        <v>11051</v>
      </c>
      <c r="AF913" t="s">
        <v>11074</v>
      </c>
      <c r="AG913" t="s">
        <v>140</v>
      </c>
      <c r="AH913" t="s">
        <v>93</v>
      </c>
      <c r="AI913">
        <v>21949</v>
      </c>
      <c r="AJ913">
        <v>1989</v>
      </c>
      <c r="AK913" t="s">
        <v>9152</v>
      </c>
      <c r="AL913" t="s">
        <v>9153</v>
      </c>
      <c r="AM913">
        <v>-0.254</v>
      </c>
      <c r="AN913">
        <v>-0.96699999999999997</v>
      </c>
      <c r="AO913" s="39">
        <v>-0.8</v>
      </c>
      <c r="AP913" s="46">
        <v>1</v>
      </c>
      <c r="AQ913" s="46">
        <v>1</v>
      </c>
      <c r="AR913" s="46">
        <v>0</v>
      </c>
      <c r="AS913" s="46">
        <v>1</v>
      </c>
      <c r="AT913" s="46">
        <v>1</v>
      </c>
      <c r="AU913" s="46">
        <v>0</v>
      </c>
      <c r="AV913" s="46">
        <v>0</v>
      </c>
      <c r="AW913" s="46">
        <v>0</v>
      </c>
      <c r="AX913" s="46">
        <v>0</v>
      </c>
      <c r="AY913" s="46">
        <v>0</v>
      </c>
      <c r="AZ913" s="46">
        <v>0</v>
      </c>
      <c r="BA913" s="46">
        <v>0</v>
      </c>
      <c r="BB913" s="46">
        <v>0</v>
      </c>
      <c r="BC913" s="46">
        <v>0</v>
      </c>
      <c r="BD913" s="46">
        <v>0</v>
      </c>
      <c r="BE913" s="46">
        <v>0</v>
      </c>
      <c r="BF913" s="46">
        <v>0</v>
      </c>
      <c r="BG913" s="46" t="s">
        <v>48</v>
      </c>
      <c r="BH913" s="46">
        <v>0</v>
      </c>
      <c r="BI913" s="46">
        <v>0</v>
      </c>
      <c r="BJ913" s="46">
        <v>0</v>
      </c>
      <c r="BK913" s="46">
        <v>1</v>
      </c>
      <c r="BL913" s="46">
        <v>0</v>
      </c>
      <c r="BM913" s="46">
        <v>0</v>
      </c>
      <c r="BN913" s="46">
        <v>0</v>
      </c>
    </row>
    <row r="914" spans="1:66" x14ac:dyDescent="0.35">
      <c r="A914" t="s">
        <v>5208</v>
      </c>
      <c r="B914" t="s">
        <v>48</v>
      </c>
      <c r="C914" t="s">
        <v>5211</v>
      </c>
      <c r="D914" t="s">
        <v>3978</v>
      </c>
      <c r="E914" t="s">
        <v>5209</v>
      </c>
      <c r="F914" t="s">
        <v>5202</v>
      </c>
      <c r="G914" t="s">
        <v>47</v>
      </c>
      <c r="H914">
        <v>0</v>
      </c>
      <c r="I914" s="60" t="s">
        <v>716</v>
      </c>
      <c r="J914" s="33" t="s">
        <v>45</v>
      </c>
      <c r="K914" s="46">
        <v>0</v>
      </c>
      <c r="L914">
        <v>67.900000000000006</v>
      </c>
      <c r="M914" t="s">
        <v>48</v>
      </c>
      <c r="N914" s="46">
        <v>1</v>
      </c>
      <c r="O914" s="46">
        <v>0</v>
      </c>
      <c r="P914" s="46">
        <v>0</v>
      </c>
      <c r="Q914" t="s">
        <v>48</v>
      </c>
      <c r="R914" t="s">
        <v>48</v>
      </c>
      <c r="S914" t="s">
        <v>5210</v>
      </c>
      <c r="T914" t="s">
        <v>48</v>
      </c>
      <c r="U914" t="s">
        <v>5210</v>
      </c>
      <c r="V914" s="47">
        <v>0</v>
      </c>
      <c r="W914" t="s">
        <v>48</v>
      </c>
      <c r="X914" t="s">
        <v>48</v>
      </c>
      <c r="Y914" t="s">
        <v>48</v>
      </c>
      <c r="Z914">
        <v>0</v>
      </c>
      <c r="AA914" t="s">
        <v>48</v>
      </c>
      <c r="AB914" t="s">
        <v>48</v>
      </c>
      <c r="AC914" t="s">
        <v>63</v>
      </c>
      <c r="AD914" t="s">
        <v>93</v>
      </c>
      <c r="AE914" t="s">
        <v>4532</v>
      </c>
      <c r="AF914" t="s">
        <v>48</v>
      </c>
      <c r="AG914" t="s">
        <v>48</v>
      </c>
      <c r="AH914" t="s">
        <v>48</v>
      </c>
      <c r="AI914" t="s">
        <v>48</v>
      </c>
      <c r="AJ914" t="s">
        <v>48</v>
      </c>
      <c r="AK914" t="s">
        <v>48</v>
      </c>
      <c r="AL914" t="s">
        <v>48</v>
      </c>
      <c r="AM914" t="s">
        <v>48</v>
      </c>
      <c r="AN914" t="s">
        <v>48</v>
      </c>
      <c r="AO914" t="s">
        <v>48</v>
      </c>
      <c r="AP914" s="46">
        <v>0</v>
      </c>
      <c r="AQ914" s="46">
        <v>0</v>
      </c>
      <c r="AR914" s="46">
        <v>0</v>
      </c>
      <c r="AS914" s="46">
        <v>0</v>
      </c>
      <c r="AT914" s="46">
        <v>0</v>
      </c>
      <c r="AU914" s="46">
        <v>0</v>
      </c>
      <c r="AV914" s="46">
        <v>0</v>
      </c>
      <c r="AW914" s="46">
        <v>0</v>
      </c>
      <c r="AX914" s="46">
        <v>0</v>
      </c>
      <c r="AY914" s="46">
        <v>0</v>
      </c>
      <c r="AZ914" s="46">
        <v>0</v>
      </c>
      <c r="BA914" s="46">
        <v>0</v>
      </c>
      <c r="BB914" s="46">
        <v>0</v>
      </c>
      <c r="BC914" s="46">
        <v>0</v>
      </c>
      <c r="BD914" s="46">
        <v>0</v>
      </c>
      <c r="BE914" s="46">
        <v>0</v>
      </c>
      <c r="BF914" s="46">
        <v>0</v>
      </c>
      <c r="BG914" s="46" t="s">
        <v>48</v>
      </c>
      <c r="BH914" s="46">
        <v>0</v>
      </c>
      <c r="BI914" s="46">
        <v>0</v>
      </c>
      <c r="BJ914" s="46">
        <v>0</v>
      </c>
      <c r="BK914" s="46">
        <v>0</v>
      </c>
      <c r="BL914" s="46">
        <v>0</v>
      </c>
      <c r="BM914" s="46">
        <v>0</v>
      </c>
      <c r="BN914" s="46">
        <v>0</v>
      </c>
    </row>
    <row r="915" spans="1:66" x14ac:dyDescent="0.35">
      <c r="A915" t="s">
        <v>5218</v>
      </c>
      <c r="B915" s="44" t="s">
        <v>48</v>
      </c>
      <c r="C915" t="s">
        <v>646</v>
      </c>
      <c r="D915" t="s">
        <v>5223</v>
      </c>
      <c r="E915" t="s">
        <v>5220</v>
      </c>
      <c r="F915" t="s">
        <v>5219</v>
      </c>
      <c r="G915" t="s">
        <v>74</v>
      </c>
      <c r="H915">
        <v>0</v>
      </c>
      <c r="I915" s="60" t="s">
        <v>51</v>
      </c>
      <c r="J915" s="33" t="s">
        <v>45</v>
      </c>
      <c r="K915" s="46">
        <v>1</v>
      </c>
      <c r="L915">
        <v>100</v>
      </c>
      <c r="M915" t="s">
        <v>48</v>
      </c>
      <c r="N915" s="46">
        <v>1</v>
      </c>
      <c r="O915" s="46">
        <v>0</v>
      </c>
      <c r="P915" s="46">
        <v>0</v>
      </c>
      <c r="Q915" t="s">
        <v>48</v>
      </c>
      <c r="R915" t="s">
        <v>48</v>
      </c>
      <c r="S915" t="s">
        <v>5221</v>
      </c>
      <c r="T915" t="s">
        <v>5222</v>
      </c>
      <c r="U915" t="s">
        <v>5221</v>
      </c>
      <c r="V915" s="47">
        <v>0</v>
      </c>
      <c r="W915" t="s">
        <v>48</v>
      </c>
      <c r="X915" t="s">
        <v>48</v>
      </c>
      <c r="Y915" t="s">
        <v>48</v>
      </c>
      <c r="Z915">
        <v>1</v>
      </c>
      <c r="AA915" t="s">
        <v>10941</v>
      </c>
      <c r="AB915">
        <v>2020</v>
      </c>
      <c r="AC915" t="s">
        <v>49</v>
      </c>
      <c r="AD915" t="s">
        <v>951</v>
      </c>
      <c r="AE915" s="40" t="s">
        <v>2471</v>
      </c>
      <c r="AF915" t="s">
        <v>11098</v>
      </c>
      <c r="AG915" t="s">
        <v>48</v>
      </c>
      <c r="AH915" t="s">
        <v>951</v>
      </c>
      <c r="AI915">
        <v>22154</v>
      </c>
      <c r="AJ915">
        <v>1988</v>
      </c>
      <c r="AK915" t="s">
        <v>9154</v>
      </c>
      <c r="AL915" t="s">
        <v>9155</v>
      </c>
      <c r="AM915">
        <v>-0.53800000000000003</v>
      </c>
      <c r="AN915">
        <v>-0.314</v>
      </c>
      <c r="AO915">
        <v>-0.53800000000000003</v>
      </c>
      <c r="AP915" s="46">
        <v>0</v>
      </c>
      <c r="AQ915" s="46">
        <v>0</v>
      </c>
      <c r="AR915" s="46">
        <v>0</v>
      </c>
      <c r="AS915" s="46">
        <v>0</v>
      </c>
      <c r="AT915" s="46">
        <v>1</v>
      </c>
      <c r="AU915" s="46">
        <v>0</v>
      </c>
      <c r="AV915" s="46">
        <v>0</v>
      </c>
      <c r="AW915" s="46">
        <v>0</v>
      </c>
      <c r="AX915" s="46">
        <v>0</v>
      </c>
      <c r="AY915" s="46">
        <v>0</v>
      </c>
      <c r="AZ915" s="46">
        <v>0</v>
      </c>
      <c r="BA915" s="46">
        <v>0</v>
      </c>
      <c r="BB915" s="46">
        <v>0</v>
      </c>
      <c r="BC915" s="46">
        <v>0</v>
      </c>
      <c r="BD915" s="46">
        <v>0</v>
      </c>
      <c r="BE915" s="46">
        <v>0</v>
      </c>
      <c r="BF915" s="46">
        <v>0</v>
      </c>
      <c r="BG915" s="46" t="s">
        <v>48</v>
      </c>
      <c r="BH915" s="46">
        <v>0</v>
      </c>
      <c r="BI915" s="46">
        <v>0</v>
      </c>
      <c r="BJ915" s="46">
        <v>0</v>
      </c>
      <c r="BK915" s="46">
        <v>1</v>
      </c>
      <c r="BL915" s="46">
        <v>0</v>
      </c>
      <c r="BM915" s="46">
        <v>0</v>
      </c>
      <c r="BN915" s="46">
        <v>0</v>
      </c>
    </row>
    <row r="916" spans="1:66" x14ac:dyDescent="0.35">
      <c r="A916" t="s">
        <v>10777</v>
      </c>
      <c r="B916" t="s">
        <v>48</v>
      </c>
      <c r="C916" t="s">
        <v>12205</v>
      </c>
      <c r="D916" t="s">
        <v>12206</v>
      </c>
      <c r="E916" t="s">
        <v>10778</v>
      </c>
      <c r="F916" t="s">
        <v>5219</v>
      </c>
      <c r="G916" t="s">
        <v>47</v>
      </c>
      <c r="H916">
        <v>0</v>
      </c>
      <c r="I916" s="61">
        <v>44806</v>
      </c>
      <c r="J916" s="33" t="s">
        <v>45</v>
      </c>
      <c r="K916" s="46">
        <v>0</v>
      </c>
      <c r="L916">
        <v>100</v>
      </c>
      <c r="M916" t="s">
        <v>48</v>
      </c>
      <c r="N916" s="46">
        <v>1</v>
      </c>
      <c r="O916" s="46">
        <v>0</v>
      </c>
      <c r="P916" s="46">
        <v>0</v>
      </c>
      <c r="Q916" t="s">
        <v>48</v>
      </c>
      <c r="R916" t="s">
        <v>48</v>
      </c>
      <c r="S916" t="s">
        <v>48</v>
      </c>
      <c r="T916" t="s">
        <v>48</v>
      </c>
      <c r="U916" t="s">
        <v>48</v>
      </c>
      <c r="V916" s="47">
        <v>1</v>
      </c>
      <c r="W916" t="s">
        <v>11264</v>
      </c>
      <c r="X916" t="s">
        <v>48</v>
      </c>
      <c r="Y916" t="s">
        <v>48</v>
      </c>
      <c r="Z916">
        <v>0</v>
      </c>
      <c r="AA916" t="s">
        <v>10941</v>
      </c>
      <c r="AB916" t="s">
        <v>48</v>
      </c>
      <c r="AC916" t="s">
        <v>49</v>
      </c>
      <c r="AD916" t="s">
        <v>48</v>
      </c>
      <c r="AE916" s="40" t="s">
        <v>48</v>
      </c>
      <c r="AF916" t="s">
        <v>48</v>
      </c>
      <c r="AG916" t="s">
        <v>48</v>
      </c>
      <c r="AH916" t="s">
        <v>48</v>
      </c>
      <c r="AI916" t="s">
        <v>48</v>
      </c>
      <c r="AJ916" t="s">
        <v>48</v>
      </c>
      <c r="AK916" t="s">
        <v>48</v>
      </c>
      <c r="AL916" t="s">
        <v>48</v>
      </c>
      <c r="AM916" t="s">
        <v>48</v>
      </c>
      <c r="AN916" t="s">
        <v>48</v>
      </c>
      <c r="AO916" t="s">
        <v>48</v>
      </c>
      <c r="AP916" s="46">
        <v>0</v>
      </c>
      <c r="AQ916" s="46">
        <v>0</v>
      </c>
      <c r="AR916" s="46">
        <v>0</v>
      </c>
      <c r="AS916" s="46">
        <v>0</v>
      </c>
      <c r="AT916" s="46">
        <v>0</v>
      </c>
      <c r="AU916" s="46">
        <v>0</v>
      </c>
      <c r="AV916" s="46">
        <v>0</v>
      </c>
      <c r="AW916" s="46">
        <v>0</v>
      </c>
      <c r="AX916" s="46">
        <v>0</v>
      </c>
      <c r="AY916" s="46">
        <v>0</v>
      </c>
      <c r="AZ916" s="46">
        <v>0</v>
      </c>
      <c r="BA916" s="46">
        <v>0</v>
      </c>
      <c r="BB916" s="46">
        <v>0</v>
      </c>
      <c r="BC916" s="46">
        <v>0</v>
      </c>
      <c r="BD916" s="46">
        <v>0</v>
      </c>
      <c r="BE916" s="46">
        <v>0</v>
      </c>
      <c r="BF916" s="46">
        <v>0</v>
      </c>
      <c r="BG916" s="46" t="s">
        <v>48</v>
      </c>
      <c r="BH916" s="46">
        <v>0</v>
      </c>
      <c r="BI916" s="46">
        <v>0</v>
      </c>
      <c r="BJ916" s="46">
        <v>0</v>
      </c>
      <c r="BK916" s="46">
        <v>0</v>
      </c>
      <c r="BL916" s="46">
        <v>0</v>
      </c>
      <c r="BM916" s="46">
        <v>0</v>
      </c>
      <c r="BN916" s="46">
        <v>0</v>
      </c>
    </row>
    <row r="917" spans="1:66" x14ac:dyDescent="0.35">
      <c r="A917" t="s">
        <v>5224</v>
      </c>
      <c r="B917" s="44" t="s">
        <v>48</v>
      </c>
      <c r="C917" t="s">
        <v>2718</v>
      </c>
      <c r="D917" t="s">
        <v>1323</v>
      </c>
      <c r="E917" t="s">
        <v>5226</v>
      </c>
      <c r="F917" t="s">
        <v>5225</v>
      </c>
      <c r="G917" t="s">
        <v>74</v>
      </c>
      <c r="H917">
        <v>0</v>
      </c>
      <c r="I917" s="60" t="s">
        <v>51</v>
      </c>
      <c r="J917" s="33" t="s">
        <v>45</v>
      </c>
      <c r="K917" s="46">
        <v>1</v>
      </c>
      <c r="L917">
        <v>57.1</v>
      </c>
      <c r="M917" t="s">
        <v>48</v>
      </c>
      <c r="N917" s="46">
        <v>1</v>
      </c>
      <c r="O917" s="46">
        <v>0</v>
      </c>
      <c r="P917" s="46">
        <v>0</v>
      </c>
      <c r="Q917" t="s">
        <v>48</v>
      </c>
      <c r="R917" t="s">
        <v>48</v>
      </c>
      <c r="S917" t="s">
        <v>5227</v>
      </c>
      <c r="T917" t="s">
        <v>5228</v>
      </c>
      <c r="U917" t="s">
        <v>5227</v>
      </c>
      <c r="V917" s="47">
        <v>0</v>
      </c>
      <c r="W917" t="s">
        <v>48</v>
      </c>
      <c r="X917" t="s">
        <v>48</v>
      </c>
      <c r="Y917" t="s">
        <v>48</v>
      </c>
      <c r="Z917">
        <v>1</v>
      </c>
      <c r="AA917" t="s">
        <v>48</v>
      </c>
      <c r="AB917">
        <v>2020</v>
      </c>
      <c r="AC917" t="s">
        <v>49</v>
      </c>
      <c r="AD917" t="s">
        <v>93</v>
      </c>
      <c r="AE917" s="40" t="s">
        <v>2471</v>
      </c>
      <c r="AF917" t="s">
        <v>11061</v>
      </c>
      <c r="AG917" t="s">
        <v>48</v>
      </c>
      <c r="AH917" t="s">
        <v>93</v>
      </c>
      <c r="AI917">
        <v>22105</v>
      </c>
      <c r="AJ917">
        <v>1976</v>
      </c>
      <c r="AK917" t="s">
        <v>9156</v>
      </c>
      <c r="AL917" t="s">
        <v>9157</v>
      </c>
      <c r="AM917">
        <v>-0.32900000000000001</v>
      </c>
      <c r="AN917">
        <v>-0.94399999999999995</v>
      </c>
      <c r="AO917" s="39">
        <v>-0.8</v>
      </c>
      <c r="AP917" s="46">
        <v>1</v>
      </c>
      <c r="AQ917" s="46">
        <v>1</v>
      </c>
      <c r="AR917" s="46">
        <v>0</v>
      </c>
      <c r="AS917" s="46">
        <v>1</v>
      </c>
      <c r="AT917" s="46">
        <v>1</v>
      </c>
      <c r="AU917" s="46">
        <v>0</v>
      </c>
      <c r="AV917" s="46">
        <v>0</v>
      </c>
      <c r="AW917" s="46">
        <v>0</v>
      </c>
      <c r="AX917" s="46">
        <v>0</v>
      </c>
      <c r="AY917" s="46">
        <v>0</v>
      </c>
      <c r="AZ917" s="46">
        <v>0</v>
      </c>
      <c r="BA917" s="46">
        <v>0</v>
      </c>
      <c r="BB917" s="46">
        <v>0</v>
      </c>
      <c r="BC917" s="46">
        <v>0</v>
      </c>
      <c r="BD917" s="46">
        <v>0</v>
      </c>
      <c r="BE917" s="46">
        <v>0</v>
      </c>
      <c r="BF917" s="46">
        <v>0</v>
      </c>
      <c r="BG917" s="46" t="s">
        <v>48</v>
      </c>
      <c r="BH917" s="46">
        <v>0</v>
      </c>
      <c r="BI917" s="46">
        <v>0</v>
      </c>
      <c r="BJ917" s="46">
        <v>0</v>
      </c>
      <c r="BK917" s="46">
        <v>1</v>
      </c>
      <c r="BL917" s="46">
        <v>0</v>
      </c>
      <c r="BM917" s="46">
        <v>0</v>
      </c>
      <c r="BN917" s="46">
        <v>0</v>
      </c>
    </row>
    <row r="918" spans="1:66" x14ac:dyDescent="0.35">
      <c r="A918" t="s">
        <v>11239</v>
      </c>
      <c r="B918" t="s">
        <v>48</v>
      </c>
      <c r="C918" t="s">
        <v>12209</v>
      </c>
      <c r="D918" t="s">
        <v>12210</v>
      </c>
      <c r="E918" t="s">
        <v>11238</v>
      </c>
      <c r="F918" t="s">
        <v>5225</v>
      </c>
      <c r="G918" t="s">
        <v>47</v>
      </c>
      <c r="H918">
        <v>0</v>
      </c>
      <c r="I918" s="60" t="s">
        <v>11160</v>
      </c>
      <c r="J918" s="33" t="s">
        <v>45</v>
      </c>
      <c r="K918" s="46">
        <v>0</v>
      </c>
      <c r="L918" t="s">
        <v>48</v>
      </c>
      <c r="M918" t="s">
        <v>48</v>
      </c>
      <c r="N918" s="46">
        <v>1</v>
      </c>
      <c r="O918" s="46">
        <v>0</v>
      </c>
      <c r="P918" s="46">
        <v>0</v>
      </c>
      <c r="Q918" t="s">
        <v>48</v>
      </c>
      <c r="R918" t="s">
        <v>48</v>
      </c>
      <c r="S918" t="s">
        <v>48</v>
      </c>
      <c r="T918" t="s">
        <v>48</v>
      </c>
      <c r="U918" t="s">
        <v>48</v>
      </c>
      <c r="V918" s="47">
        <v>1</v>
      </c>
      <c r="W918" t="s">
        <v>48</v>
      </c>
      <c r="X918" t="s">
        <v>48</v>
      </c>
      <c r="Y918" t="s">
        <v>48</v>
      </c>
      <c r="Z918" t="s">
        <v>48</v>
      </c>
      <c r="AA918" t="s">
        <v>11237</v>
      </c>
      <c r="AB918" t="s">
        <v>48</v>
      </c>
      <c r="AC918" t="s">
        <v>48</v>
      </c>
      <c r="AD918" t="s">
        <v>48</v>
      </c>
      <c r="AE918" s="40" t="s">
        <v>48</v>
      </c>
      <c r="AF918" t="s">
        <v>48</v>
      </c>
      <c r="AG918" t="s">
        <v>48</v>
      </c>
      <c r="AH918" t="s">
        <v>48</v>
      </c>
      <c r="AI918" t="s">
        <v>48</v>
      </c>
      <c r="AJ918" t="s">
        <v>48</v>
      </c>
      <c r="AK918" t="s">
        <v>48</v>
      </c>
      <c r="AL918" t="s">
        <v>48</v>
      </c>
      <c r="AM918" t="s">
        <v>48</v>
      </c>
      <c r="AN918" t="s">
        <v>48</v>
      </c>
      <c r="AO918" t="s">
        <v>48</v>
      </c>
      <c r="AP918" s="46" t="s">
        <v>48</v>
      </c>
      <c r="AQ918" s="46" t="s">
        <v>48</v>
      </c>
      <c r="AR918" s="46" t="s">
        <v>48</v>
      </c>
      <c r="AS918" s="46" t="s">
        <v>48</v>
      </c>
      <c r="AT918" s="46" t="s">
        <v>48</v>
      </c>
      <c r="AU918" s="46" t="s">
        <v>48</v>
      </c>
      <c r="AV918" s="46" t="s">
        <v>48</v>
      </c>
      <c r="AW918" s="46" t="s">
        <v>48</v>
      </c>
      <c r="AX918" s="46" t="s">
        <v>48</v>
      </c>
      <c r="AY918" s="46" t="s">
        <v>48</v>
      </c>
      <c r="AZ918" s="46" t="s">
        <v>48</v>
      </c>
      <c r="BA918" s="46" t="s">
        <v>48</v>
      </c>
      <c r="BB918" s="46" t="s">
        <v>48</v>
      </c>
      <c r="BC918" s="46" t="s">
        <v>48</v>
      </c>
      <c r="BD918" s="46" t="s">
        <v>48</v>
      </c>
      <c r="BE918" s="46" t="s">
        <v>48</v>
      </c>
      <c r="BF918" s="46" t="s">
        <v>48</v>
      </c>
      <c r="BG918" s="46" t="s">
        <v>48</v>
      </c>
      <c r="BH918" s="46">
        <v>0</v>
      </c>
      <c r="BI918" s="46">
        <v>0</v>
      </c>
      <c r="BJ918" s="46">
        <v>0</v>
      </c>
      <c r="BK918" s="46">
        <v>0</v>
      </c>
      <c r="BL918" s="46">
        <v>0</v>
      </c>
      <c r="BM918" s="46">
        <v>0</v>
      </c>
      <c r="BN918" s="46">
        <v>0</v>
      </c>
    </row>
    <row r="919" spans="1:66" x14ac:dyDescent="0.35">
      <c r="A919" t="s">
        <v>10790</v>
      </c>
      <c r="B919" t="s">
        <v>48</v>
      </c>
      <c r="C919" t="s">
        <v>12216</v>
      </c>
      <c r="D919" t="s">
        <v>396</v>
      </c>
      <c r="E919" t="s">
        <v>10791</v>
      </c>
      <c r="F919" t="s">
        <v>5235</v>
      </c>
      <c r="G919" t="s">
        <v>47</v>
      </c>
      <c r="H919">
        <v>0</v>
      </c>
      <c r="I919" s="60" t="s">
        <v>11552</v>
      </c>
      <c r="J919" s="33" t="s">
        <v>45</v>
      </c>
      <c r="K919" s="46">
        <v>0</v>
      </c>
      <c r="L919">
        <v>74.099999999999994</v>
      </c>
      <c r="M919" t="s">
        <v>48</v>
      </c>
      <c r="N919" s="46">
        <v>1</v>
      </c>
      <c r="O919" s="46">
        <v>0</v>
      </c>
      <c r="P919" s="46">
        <v>0</v>
      </c>
      <c r="Q919" t="s">
        <v>48</v>
      </c>
      <c r="R919" t="s">
        <v>48</v>
      </c>
      <c r="S919" t="s">
        <v>11524</v>
      </c>
      <c r="T919" t="s">
        <v>48</v>
      </c>
      <c r="U919" t="s">
        <v>10792</v>
      </c>
      <c r="V919" s="47">
        <v>0</v>
      </c>
      <c r="W919" t="s">
        <v>48</v>
      </c>
      <c r="X919" t="s">
        <v>48</v>
      </c>
      <c r="Y919" t="s">
        <v>48</v>
      </c>
      <c r="Z919">
        <v>0</v>
      </c>
      <c r="AA919" t="s">
        <v>48</v>
      </c>
      <c r="AB919" t="s">
        <v>48</v>
      </c>
      <c r="AC919" t="s">
        <v>49</v>
      </c>
      <c r="AD919" t="s">
        <v>93</v>
      </c>
      <c r="AE919" s="40" t="s">
        <v>4532</v>
      </c>
      <c r="AF919" t="s">
        <v>48</v>
      </c>
      <c r="AG919" t="s">
        <v>48</v>
      </c>
      <c r="AH919" t="s">
        <v>48</v>
      </c>
      <c r="AI919" t="s">
        <v>48</v>
      </c>
      <c r="AJ919" t="s">
        <v>48</v>
      </c>
      <c r="AK919" t="s">
        <v>48</v>
      </c>
      <c r="AL919" t="s">
        <v>48</v>
      </c>
      <c r="AM919" t="s">
        <v>48</v>
      </c>
      <c r="AN919" t="s">
        <v>48</v>
      </c>
      <c r="AO919" t="s">
        <v>48</v>
      </c>
      <c r="AP919" s="46">
        <v>0</v>
      </c>
      <c r="AQ919" s="46">
        <v>0</v>
      </c>
      <c r="AR919" s="46">
        <v>0</v>
      </c>
      <c r="AS919" s="46">
        <v>0</v>
      </c>
      <c r="AT919" s="46">
        <v>0</v>
      </c>
      <c r="AU919" s="46">
        <v>0</v>
      </c>
      <c r="AV919" s="46">
        <v>0</v>
      </c>
      <c r="AW919" s="46">
        <v>0</v>
      </c>
      <c r="AX919" s="46">
        <v>0</v>
      </c>
      <c r="AY919" s="46">
        <v>0</v>
      </c>
      <c r="AZ919" s="46">
        <v>0</v>
      </c>
      <c r="BA919" s="46">
        <v>0</v>
      </c>
      <c r="BB919" s="46">
        <v>0</v>
      </c>
      <c r="BC919" s="46">
        <v>0</v>
      </c>
      <c r="BD919" s="46">
        <v>0</v>
      </c>
      <c r="BE919" s="46">
        <v>0</v>
      </c>
      <c r="BF919" s="46">
        <v>0</v>
      </c>
      <c r="BG919" s="46" t="s">
        <v>48</v>
      </c>
      <c r="BH919" s="46">
        <v>0</v>
      </c>
      <c r="BI919" s="46">
        <v>0</v>
      </c>
      <c r="BJ919" s="46">
        <v>0</v>
      </c>
      <c r="BK919" s="46">
        <v>0</v>
      </c>
      <c r="BL919" s="46">
        <v>0</v>
      </c>
      <c r="BM919" s="46">
        <v>0</v>
      </c>
      <c r="BN919" s="46">
        <v>0</v>
      </c>
    </row>
    <row r="920" spans="1:66" x14ac:dyDescent="0.35">
      <c r="A920" t="s">
        <v>5240</v>
      </c>
      <c r="B920" s="44" t="s">
        <v>48</v>
      </c>
      <c r="C920" t="s">
        <v>5186</v>
      </c>
      <c r="D920" t="s">
        <v>993</v>
      </c>
      <c r="E920" t="s">
        <v>10787</v>
      </c>
      <c r="F920" t="s">
        <v>5235</v>
      </c>
      <c r="G920" t="s">
        <v>74</v>
      </c>
      <c r="H920">
        <v>1</v>
      </c>
      <c r="I920" s="61">
        <v>44806</v>
      </c>
      <c r="J920" s="33" t="s">
        <v>45</v>
      </c>
      <c r="K920" s="46">
        <v>0</v>
      </c>
      <c r="L920">
        <v>66.7</v>
      </c>
      <c r="M920" t="s">
        <v>48</v>
      </c>
      <c r="N920" s="46">
        <v>1</v>
      </c>
      <c r="O920" s="46">
        <v>0</v>
      </c>
      <c r="P920" s="46">
        <v>0</v>
      </c>
      <c r="Q920" t="s">
        <v>48</v>
      </c>
      <c r="R920" t="s">
        <v>48</v>
      </c>
      <c r="S920" t="s">
        <v>5241</v>
      </c>
      <c r="T920" t="s">
        <v>5242</v>
      </c>
      <c r="U920" t="s">
        <v>5241</v>
      </c>
      <c r="V920" s="47">
        <v>0</v>
      </c>
      <c r="W920" t="s">
        <v>48</v>
      </c>
      <c r="X920" t="s">
        <v>48</v>
      </c>
      <c r="Y920" t="s">
        <v>48</v>
      </c>
      <c r="Z920">
        <v>0</v>
      </c>
      <c r="AA920" t="s">
        <v>48</v>
      </c>
      <c r="AB920" t="s">
        <v>48</v>
      </c>
      <c r="AC920" t="s">
        <v>49</v>
      </c>
      <c r="AD920" t="s">
        <v>93</v>
      </c>
      <c r="AE920" s="40" t="s">
        <v>4532</v>
      </c>
      <c r="AF920" t="s">
        <v>48</v>
      </c>
      <c r="AG920" t="s">
        <v>48</v>
      </c>
      <c r="AH920" t="s">
        <v>48</v>
      </c>
      <c r="AI920" t="s">
        <v>48</v>
      </c>
      <c r="AJ920" t="s">
        <v>48</v>
      </c>
      <c r="AK920" t="s">
        <v>48</v>
      </c>
      <c r="AL920" t="s">
        <v>48</v>
      </c>
      <c r="AM920" t="s">
        <v>48</v>
      </c>
      <c r="AN920" t="s">
        <v>48</v>
      </c>
      <c r="AO920" t="s">
        <v>48</v>
      </c>
      <c r="AP920" s="46">
        <v>0</v>
      </c>
      <c r="AQ920" s="46">
        <v>0</v>
      </c>
      <c r="AR920" s="46">
        <v>0</v>
      </c>
      <c r="AS920" s="46">
        <v>0</v>
      </c>
      <c r="AT920" s="46">
        <v>0</v>
      </c>
      <c r="AU920" s="46">
        <v>0</v>
      </c>
      <c r="AV920" s="46">
        <v>0</v>
      </c>
      <c r="AW920" s="46">
        <v>0</v>
      </c>
      <c r="AX920" s="46">
        <v>0</v>
      </c>
      <c r="AY920" s="46">
        <v>0</v>
      </c>
      <c r="AZ920" s="46">
        <v>0</v>
      </c>
      <c r="BA920" s="46">
        <v>0</v>
      </c>
      <c r="BB920" s="46">
        <v>0</v>
      </c>
      <c r="BC920" s="46">
        <v>0</v>
      </c>
      <c r="BD920" s="46">
        <v>0</v>
      </c>
      <c r="BE920" s="46">
        <v>0</v>
      </c>
      <c r="BF920" s="46">
        <v>0</v>
      </c>
      <c r="BG920" s="46" t="s">
        <v>48</v>
      </c>
      <c r="BH920" s="46">
        <v>0</v>
      </c>
      <c r="BI920" s="46">
        <v>0</v>
      </c>
      <c r="BJ920" s="46">
        <v>0</v>
      </c>
      <c r="BK920" s="46">
        <v>0</v>
      </c>
      <c r="BL920" s="46">
        <v>0</v>
      </c>
      <c r="BM920" s="46">
        <v>0</v>
      </c>
      <c r="BN920" s="46">
        <v>0</v>
      </c>
    </row>
    <row r="921" spans="1:66" x14ac:dyDescent="0.35">
      <c r="A921" t="s">
        <v>5243</v>
      </c>
      <c r="B921" t="s">
        <v>48</v>
      </c>
      <c r="C921" t="s">
        <v>4151</v>
      </c>
      <c r="D921" t="s">
        <v>1608</v>
      </c>
      <c r="E921" t="s">
        <v>5244</v>
      </c>
      <c r="F921" t="s">
        <v>5239</v>
      </c>
      <c r="G921" t="s">
        <v>47</v>
      </c>
      <c r="H921">
        <v>0</v>
      </c>
      <c r="I921" s="60" t="s">
        <v>51</v>
      </c>
      <c r="J921" s="33" t="s">
        <v>45</v>
      </c>
      <c r="K921" s="46">
        <v>0</v>
      </c>
      <c r="L921">
        <v>100</v>
      </c>
      <c r="M921" t="s">
        <v>48</v>
      </c>
      <c r="N921" s="46">
        <v>1</v>
      </c>
      <c r="O921" s="46">
        <v>0</v>
      </c>
      <c r="P921" s="46">
        <v>0</v>
      </c>
      <c r="Q921" t="s">
        <v>48</v>
      </c>
      <c r="R921" t="s">
        <v>48</v>
      </c>
      <c r="S921" t="s">
        <v>5245</v>
      </c>
      <c r="T921" t="s">
        <v>48</v>
      </c>
      <c r="U921" t="s">
        <v>5245</v>
      </c>
      <c r="V921" s="47">
        <v>0</v>
      </c>
      <c r="W921" t="s">
        <v>48</v>
      </c>
      <c r="X921" t="s">
        <v>48</v>
      </c>
      <c r="Y921" t="s">
        <v>48</v>
      </c>
      <c r="Z921">
        <v>0</v>
      </c>
      <c r="AA921" t="s">
        <v>48</v>
      </c>
      <c r="AB921" t="s">
        <v>48</v>
      </c>
      <c r="AC921" t="s">
        <v>49</v>
      </c>
      <c r="AD921" t="s">
        <v>93</v>
      </c>
      <c r="AE921" t="s">
        <v>4532</v>
      </c>
      <c r="AF921" t="s">
        <v>48</v>
      </c>
      <c r="AG921" t="s">
        <v>48</v>
      </c>
      <c r="AH921" t="s">
        <v>48</v>
      </c>
      <c r="AI921" t="s">
        <v>48</v>
      </c>
      <c r="AJ921" t="s">
        <v>48</v>
      </c>
      <c r="AK921" t="s">
        <v>48</v>
      </c>
      <c r="AL921" t="s">
        <v>48</v>
      </c>
      <c r="AM921" t="s">
        <v>48</v>
      </c>
      <c r="AN921" t="s">
        <v>48</v>
      </c>
      <c r="AO921" t="s">
        <v>48</v>
      </c>
      <c r="AP921" s="46">
        <v>0</v>
      </c>
      <c r="AQ921" s="46">
        <v>0</v>
      </c>
      <c r="AR921" s="46">
        <v>0</v>
      </c>
      <c r="AS921" s="46">
        <v>0</v>
      </c>
      <c r="AT921" s="46">
        <v>0</v>
      </c>
      <c r="AU921" s="46">
        <v>0</v>
      </c>
      <c r="AV921" s="46">
        <v>0</v>
      </c>
      <c r="AW921" s="46">
        <v>0</v>
      </c>
      <c r="AX921" s="46">
        <v>0</v>
      </c>
      <c r="AY921" s="46">
        <v>0</v>
      </c>
      <c r="AZ921" s="46">
        <v>0</v>
      </c>
      <c r="BA921" s="46">
        <v>0</v>
      </c>
      <c r="BB921" s="46">
        <v>0</v>
      </c>
      <c r="BC921" s="46">
        <v>0</v>
      </c>
      <c r="BD921" s="46">
        <v>0</v>
      </c>
      <c r="BE921" s="46">
        <v>0</v>
      </c>
      <c r="BF921" s="46">
        <v>0</v>
      </c>
      <c r="BG921" s="46" t="s">
        <v>48</v>
      </c>
      <c r="BH921" s="46">
        <v>0</v>
      </c>
      <c r="BI921" s="46">
        <v>0</v>
      </c>
      <c r="BJ921" s="46">
        <v>0</v>
      </c>
      <c r="BK921" s="46">
        <v>0</v>
      </c>
      <c r="BL921" s="46">
        <v>0</v>
      </c>
      <c r="BM921" s="46">
        <v>0</v>
      </c>
      <c r="BN921" s="46">
        <v>0</v>
      </c>
    </row>
    <row r="922" spans="1:66" x14ac:dyDescent="0.35">
      <c r="A922" t="s">
        <v>10798</v>
      </c>
      <c r="B922" s="44" t="s">
        <v>48</v>
      </c>
      <c r="C922" t="s">
        <v>1652</v>
      </c>
      <c r="D922" t="s">
        <v>2651</v>
      </c>
      <c r="E922" t="s">
        <v>10799</v>
      </c>
      <c r="F922" t="s">
        <v>5239</v>
      </c>
      <c r="G922" t="s">
        <v>74</v>
      </c>
      <c r="H922">
        <v>0</v>
      </c>
      <c r="I922" s="60" t="s">
        <v>11552</v>
      </c>
      <c r="J922" s="33" t="s">
        <v>45</v>
      </c>
      <c r="K922" s="46">
        <v>0</v>
      </c>
      <c r="L922">
        <v>84.1</v>
      </c>
      <c r="M922" t="s">
        <v>48</v>
      </c>
      <c r="N922" s="46">
        <v>1</v>
      </c>
      <c r="O922" s="46">
        <v>0</v>
      </c>
      <c r="P922" s="46">
        <v>0</v>
      </c>
      <c r="Q922" t="s">
        <v>48</v>
      </c>
      <c r="R922" t="s">
        <v>48</v>
      </c>
      <c r="S922" t="s">
        <v>11526</v>
      </c>
      <c r="T922" t="s">
        <v>48</v>
      </c>
      <c r="U922" t="s">
        <v>10800</v>
      </c>
      <c r="V922" s="47">
        <v>0</v>
      </c>
      <c r="W922" t="s">
        <v>48</v>
      </c>
      <c r="X922" t="s">
        <v>48</v>
      </c>
      <c r="Y922" t="s">
        <v>48</v>
      </c>
      <c r="Z922">
        <v>0</v>
      </c>
      <c r="AA922" t="s">
        <v>48</v>
      </c>
      <c r="AB922" t="s">
        <v>48</v>
      </c>
      <c r="AC922" t="s">
        <v>49</v>
      </c>
      <c r="AD922" t="s">
        <v>93</v>
      </c>
      <c r="AE922" s="40" t="s">
        <v>4532</v>
      </c>
      <c r="AF922" t="s">
        <v>48</v>
      </c>
      <c r="AG922" t="s">
        <v>48</v>
      </c>
      <c r="AH922" t="s">
        <v>48</v>
      </c>
      <c r="AI922" t="s">
        <v>48</v>
      </c>
      <c r="AJ922" t="s">
        <v>48</v>
      </c>
      <c r="AK922" t="s">
        <v>48</v>
      </c>
      <c r="AL922" t="s">
        <v>48</v>
      </c>
      <c r="AM922" t="s">
        <v>48</v>
      </c>
      <c r="AN922" t="s">
        <v>48</v>
      </c>
      <c r="AO922" t="s">
        <v>48</v>
      </c>
      <c r="AP922" s="46">
        <v>0</v>
      </c>
      <c r="AQ922" s="46">
        <v>0</v>
      </c>
      <c r="AR922" s="46">
        <v>0</v>
      </c>
      <c r="AS922" s="46">
        <v>0</v>
      </c>
      <c r="AT922" s="46">
        <v>0</v>
      </c>
      <c r="AU922" s="46">
        <v>0</v>
      </c>
      <c r="AV922" s="46">
        <v>0</v>
      </c>
      <c r="AW922" s="46">
        <v>0</v>
      </c>
      <c r="AX922" s="46">
        <v>0</v>
      </c>
      <c r="AY922" s="46">
        <v>0</v>
      </c>
      <c r="AZ922" s="46">
        <v>0</v>
      </c>
      <c r="BA922" s="46">
        <v>0</v>
      </c>
      <c r="BB922" s="46">
        <v>0</v>
      </c>
      <c r="BC922" s="46">
        <v>0</v>
      </c>
      <c r="BD922" s="46">
        <v>0</v>
      </c>
      <c r="BE922" s="46">
        <v>0</v>
      </c>
      <c r="BF922" s="46">
        <v>0</v>
      </c>
      <c r="BG922" s="46" t="s">
        <v>48</v>
      </c>
      <c r="BH922" s="46">
        <v>0</v>
      </c>
      <c r="BI922" s="46">
        <v>0</v>
      </c>
      <c r="BJ922" s="46">
        <v>0</v>
      </c>
      <c r="BK922" s="46">
        <v>0</v>
      </c>
      <c r="BL922" s="46">
        <v>0</v>
      </c>
      <c r="BM922" s="46">
        <v>0</v>
      </c>
      <c r="BN922" s="46">
        <v>0</v>
      </c>
    </row>
    <row r="923" spans="1:66" x14ac:dyDescent="0.35">
      <c r="A923" t="s">
        <v>5283</v>
      </c>
      <c r="B923" s="44" t="s">
        <v>48</v>
      </c>
      <c r="C923" t="s">
        <v>11630</v>
      </c>
      <c r="D923" t="s">
        <v>316</v>
      </c>
      <c r="E923" t="s">
        <v>10807</v>
      </c>
      <c r="F923" t="s">
        <v>5246</v>
      </c>
      <c r="G923" t="s">
        <v>74</v>
      </c>
      <c r="H923">
        <v>0</v>
      </c>
      <c r="I923" s="60" t="s">
        <v>11552</v>
      </c>
      <c r="J923" s="33" t="s">
        <v>45</v>
      </c>
      <c r="K923" s="46">
        <v>0</v>
      </c>
      <c r="L923">
        <v>63.5</v>
      </c>
      <c r="M923" t="s">
        <v>48</v>
      </c>
      <c r="N923" s="46">
        <v>1</v>
      </c>
      <c r="O923" s="46">
        <v>0</v>
      </c>
      <c r="P923" s="46">
        <v>0</v>
      </c>
      <c r="Q923" t="s">
        <v>48</v>
      </c>
      <c r="R923" t="s">
        <v>48</v>
      </c>
      <c r="S923" t="s">
        <v>11527</v>
      </c>
      <c r="T923" t="s">
        <v>48</v>
      </c>
      <c r="U923" t="s">
        <v>10808</v>
      </c>
      <c r="V923" s="47">
        <v>0</v>
      </c>
      <c r="W923" t="s">
        <v>48</v>
      </c>
      <c r="X923" t="s">
        <v>48</v>
      </c>
      <c r="Y923" t="s">
        <v>48</v>
      </c>
      <c r="Z923">
        <v>0</v>
      </c>
      <c r="AA923" t="s">
        <v>48</v>
      </c>
      <c r="AB923" t="s">
        <v>48</v>
      </c>
      <c r="AC923" t="s">
        <v>49</v>
      </c>
      <c r="AD923" t="s">
        <v>93</v>
      </c>
      <c r="AE923" s="40" t="s">
        <v>4532</v>
      </c>
      <c r="AF923" t="s">
        <v>48</v>
      </c>
      <c r="AG923" t="s">
        <v>48</v>
      </c>
      <c r="AH923" t="s">
        <v>48</v>
      </c>
      <c r="AI923" t="s">
        <v>48</v>
      </c>
      <c r="AJ923" t="s">
        <v>48</v>
      </c>
      <c r="AK923" t="s">
        <v>48</v>
      </c>
      <c r="AL923" t="s">
        <v>48</v>
      </c>
      <c r="AM923" t="s">
        <v>48</v>
      </c>
      <c r="AN923" t="s">
        <v>48</v>
      </c>
      <c r="AO923" t="s">
        <v>48</v>
      </c>
      <c r="AP923" s="46">
        <v>0</v>
      </c>
      <c r="AQ923" s="46">
        <v>0</v>
      </c>
      <c r="AR923" s="46">
        <v>0</v>
      </c>
      <c r="AS923" s="46">
        <v>0</v>
      </c>
      <c r="AT923" s="46">
        <v>0</v>
      </c>
      <c r="AU923" s="46">
        <v>0</v>
      </c>
      <c r="AV923" s="46">
        <v>0</v>
      </c>
      <c r="AW923" s="46">
        <v>0</v>
      </c>
      <c r="AX923" s="46">
        <v>0</v>
      </c>
      <c r="AY923" s="46">
        <v>0</v>
      </c>
      <c r="AZ923" s="46">
        <v>0</v>
      </c>
      <c r="BA923" s="46">
        <v>0</v>
      </c>
      <c r="BB923" s="46">
        <v>0</v>
      </c>
      <c r="BC923" s="46">
        <v>0</v>
      </c>
      <c r="BD923" s="46">
        <v>0</v>
      </c>
      <c r="BE923" s="46">
        <v>0</v>
      </c>
      <c r="BF923" s="46">
        <v>0</v>
      </c>
      <c r="BG923" s="46" t="s">
        <v>48</v>
      </c>
      <c r="BH923" s="46">
        <v>0</v>
      </c>
      <c r="BI923" s="46">
        <v>0</v>
      </c>
      <c r="BJ923" s="46">
        <v>0</v>
      </c>
      <c r="BK923" s="46">
        <v>0</v>
      </c>
      <c r="BL923" s="46">
        <v>0</v>
      </c>
      <c r="BM923" s="46">
        <v>0</v>
      </c>
      <c r="BN923" s="46">
        <v>0</v>
      </c>
    </row>
    <row r="924" spans="1:66" x14ac:dyDescent="0.35">
      <c r="A924" t="s">
        <v>5252</v>
      </c>
      <c r="B924" t="s">
        <v>48</v>
      </c>
      <c r="C924" t="s">
        <v>5255</v>
      </c>
      <c r="D924" t="s">
        <v>2441</v>
      </c>
      <c r="E924" t="s">
        <v>5253</v>
      </c>
      <c r="F924" t="s">
        <v>5246</v>
      </c>
      <c r="G924" t="s">
        <v>47</v>
      </c>
      <c r="H924">
        <v>0</v>
      </c>
      <c r="I924" s="60" t="s">
        <v>51</v>
      </c>
      <c r="J924" s="33" t="s">
        <v>45</v>
      </c>
      <c r="K924" s="46">
        <v>0</v>
      </c>
      <c r="L924">
        <v>100</v>
      </c>
      <c r="M924" t="s">
        <v>48</v>
      </c>
      <c r="N924" s="46">
        <v>1</v>
      </c>
      <c r="O924" s="46">
        <v>0</v>
      </c>
      <c r="P924" s="46">
        <v>0</v>
      </c>
      <c r="Q924" t="s">
        <v>48</v>
      </c>
      <c r="R924" t="s">
        <v>48</v>
      </c>
      <c r="S924" t="s">
        <v>5254</v>
      </c>
      <c r="T924" t="s">
        <v>48</v>
      </c>
      <c r="U924" t="s">
        <v>5254</v>
      </c>
      <c r="V924" s="47">
        <v>0</v>
      </c>
      <c r="W924" t="s">
        <v>48</v>
      </c>
      <c r="X924" t="s">
        <v>48</v>
      </c>
      <c r="Y924" t="s">
        <v>48</v>
      </c>
      <c r="Z924">
        <v>0</v>
      </c>
      <c r="AA924" t="s">
        <v>48</v>
      </c>
      <c r="AB924" t="s">
        <v>48</v>
      </c>
      <c r="AC924" t="s">
        <v>49</v>
      </c>
      <c r="AD924" t="s">
        <v>93</v>
      </c>
      <c r="AE924" t="s">
        <v>4532</v>
      </c>
      <c r="AF924" t="s">
        <v>48</v>
      </c>
      <c r="AG924" t="s">
        <v>48</v>
      </c>
      <c r="AH924" t="s">
        <v>48</v>
      </c>
      <c r="AI924" t="s">
        <v>48</v>
      </c>
      <c r="AJ924" t="s">
        <v>48</v>
      </c>
      <c r="AK924" t="s">
        <v>48</v>
      </c>
      <c r="AL924" t="s">
        <v>48</v>
      </c>
      <c r="AM924" t="s">
        <v>48</v>
      </c>
      <c r="AN924" t="s">
        <v>48</v>
      </c>
      <c r="AO924" t="s">
        <v>48</v>
      </c>
      <c r="AP924" s="46">
        <v>0</v>
      </c>
      <c r="AQ924" s="46">
        <v>0</v>
      </c>
      <c r="AR924" s="46">
        <v>0</v>
      </c>
      <c r="AS924" s="46">
        <v>0</v>
      </c>
      <c r="AT924" s="46">
        <v>0</v>
      </c>
      <c r="AU924" s="46">
        <v>0</v>
      </c>
      <c r="AV924" s="46">
        <v>0</v>
      </c>
      <c r="AW924" s="46">
        <v>0</v>
      </c>
      <c r="AX924" s="46">
        <v>0</v>
      </c>
      <c r="AY924" s="46">
        <v>0</v>
      </c>
      <c r="AZ924" s="46">
        <v>0</v>
      </c>
      <c r="BA924" s="46">
        <v>0</v>
      </c>
      <c r="BB924" s="46">
        <v>0</v>
      </c>
      <c r="BC924" s="46">
        <v>0</v>
      </c>
      <c r="BD924" s="46">
        <v>0</v>
      </c>
      <c r="BE924" s="46">
        <v>0</v>
      </c>
      <c r="BF924" s="46">
        <v>0</v>
      </c>
      <c r="BG924" s="46" t="s">
        <v>48</v>
      </c>
      <c r="BH924" s="46">
        <v>0</v>
      </c>
      <c r="BI924" s="46">
        <v>0</v>
      </c>
      <c r="BJ924" s="46">
        <v>0</v>
      </c>
      <c r="BK924" s="46">
        <v>0</v>
      </c>
      <c r="BL924" s="46">
        <v>0</v>
      </c>
      <c r="BM924" s="46">
        <v>0</v>
      </c>
      <c r="BN924" s="46">
        <v>0</v>
      </c>
    </row>
    <row r="925" spans="1:66" x14ac:dyDescent="0.35">
      <c r="A925" t="s">
        <v>10811</v>
      </c>
      <c r="B925" t="s">
        <v>48</v>
      </c>
      <c r="C925" t="s">
        <v>5990</v>
      </c>
      <c r="D925" t="s">
        <v>1338</v>
      </c>
      <c r="E925" t="s">
        <v>10812</v>
      </c>
      <c r="F925" t="s">
        <v>5256</v>
      </c>
      <c r="G925" t="s">
        <v>47</v>
      </c>
      <c r="H925">
        <v>0</v>
      </c>
      <c r="I925" s="60" t="s">
        <v>11552</v>
      </c>
      <c r="J925" s="33" t="s">
        <v>45</v>
      </c>
      <c r="K925" s="46">
        <v>0</v>
      </c>
      <c r="L925">
        <v>100</v>
      </c>
      <c r="M925" t="s">
        <v>48</v>
      </c>
      <c r="N925" s="46">
        <v>1</v>
      </c>
      <c r="O925" s="46">
        <v>0</v>
      </c>
      <c r="P925" s="46">
        <v>0</v>
      </c>
      <c r="Q925" t="s">
        <v>48</v>
      </c>
      <c r="R925" t="s">
        <v>48</v>
      </c>
      <c r="S925" t="s">
        <v>11528</v>
      </c>
      <c r="T925" t="s">
        <v>48</v>
      </c>
      <c r="U925" t="s">
        <v>10813</v>
      </c>
      <c r="V925" s="47">
        <v>0</v>
      </c>
      <c r="W925" t="s">
        <v>48</v>
      </c>
      <c r="X925" t="s">
        <v>48</v>
      </c>
      <c r="Y925" t="s">
        <v>48</v>
      </c>
      <c r="Z925">
        <v>0</v>
      </c>
      <c r="AA925" t="s">
        <v>48</v>
      </c>
      <c r="AB925" t="s">
        <v>48</v>
      </c>
      <c r="AC925" t="s">
        <v>63</v>
      </c>
      <c r="AD925" t="s">
        <v>93</v>
      </c>
      <c r="AE925" s="40" t="s">
        <v>4532</v>
      </c>
      <c r="AF925" t="s">
        <v>48</v>
      </c>
      <c r="AG925" t="s">
        <v>48</v>
      </c>
      <c r="AH925" t="s">
        <v>48</v>
      </c>
      <c r="AI925" t="s">
        <v>48</v>
      </c>
      <c r="AJ925" t="s">
        <v>48</v>
      </c>
      <c r="AK925" t="s">
        <v>48</v>
      </c>
      <c r="AL925" t="s">
        <v>48</v>
      </c>
      <c r="AM925" t="s">
        <v>48</v>
      </c>
      <c r="AN925" t="s">
        <v>48</v>
      </c>
      <c r="AO925" t="s">
        <v>48</v>
      </c>
      <c r="AP925" s="46">
        <v>0</v>
      </c>
      <c r="AQ925" s="46">
        <v>0</v>
      </c>
      <c r="AR925" s="46">
        <v>0</v>
      </c>
      <c r="AS925" s="46">
        <v>0</v>
      </c>
      <c r="AT925" s="46">
        <v>0</v>
      </c>
      <c r="AU925" s="46">
        <v>0</v>
      </c>
      <c r="AV925" s="46">
        <v>0</v>
      </c>
      <c r="AW925" s="46">
        <v>0</v>
      </c>
      <c r="AX925" s="46">
        <v>0</v>
      </c>
      <c r="AY925" s="46">
        <v>0</v>
      </c>
      <c r="AZ925" s="46">
        <v>0</v>
      </c>
      <c r="BA925" s="46">
        <v>0</v>
      </c>
      <c r="BB925" s="46">
        <v>0</v>
      </c>
      <c r="BC925" s="46">
        <v>0</v>
      </c>
      <c r="BD925" s="46">
        <v>0</v>
      </c>
      <c r="BE925" s="46">
        <v>0</v>
      </c>
      <c r="BF925" s="46">
        <v>0</v>
      </c>
      <c r="BG925" s="46">
        <v>1</v>
      </c>
      <c r="BH925" s="46">
        <v>0</v>
      </c>
      <c r="BI925" s="46">
        <v>0</v>
      </c>
      <c r="BJ925" s="46">
        <v>0</v>
      </c>
      <c r="BK925" s="46">
        <v>0</v>
      </c>
      <c r="BL925" s="46">
        <v>0</v>
      </c>
      <c r="BM925" s="46">
        <v>0</v>
      </c>
      <c r="BN925" s="46">
        <v>0</v>
      </c>
    </row>
    <row r="926" spans="1:66" x14ac:dyDescent="0.35">
      <c r="A926" t="s">
        <v>5263</v>
      </c>
      <c r="B926" s="44" t="s">
        <v>48</v>
      </c>
      <c r="C926" t="s">
        <v>5267</v>
      </c>
      <c r="D926" t="s">
        <v>437</v>
      </c>
      <c r="E926" t="s">
        <v>5264</v>
      </c>
      <c r="F926" t="s">
        <v>5256</v>
      </c>
      <c r="G926" t="s">
        <v>74</v>
      </c>
      <c r="H926">
        <v>0</v>
      </c>
      <c r="I926" s="60" t="s">
        <v>51</v>
      </c>
      <c r="J926" s="33" t="s">
        <v>45</v>
      </c>
      <c r="K926" s="46">
        <v>1</v>
      </c>
      <c r="L926">
        <v>88.3</v>
      </c>
      <c r="M926" t="s">
        <v>48</v>
      </c>
      <c r="N926" s="46">
        <v>1</v>
      </c>
      <c r="O926" s="46">
        <v>0</v>
      </c>
      <c r="P926" s="46">
        <v>0</v>
      </c>
      <c r="Q926" t="s">
        <v>48</v>
      </c>
      <c r="R926" t="s">
        <v>48</v>
      </c>
      <c r="S926" t="s">
        <v>5265</v>
      </c>
      <c r="T926" t="s">
        <v>5266</v>
      </c>
      <c r="U926" t="s">
        <v>5265</v>
      </c>
      <c r="V926" s="47">
        <v>0</v>
      </c>
      <c r="W926" t="s">
        <v>48</v>
      </c>
      <c r="X926" t="s">
        <v>48</v>
      </c>
      <c r="Y926" t="s">
        <v>48</v>
      </c>
      <c r="Z926">
        <v>0</v>
      </c>
      <c r="AA926" t="s">
        <v>48</v>
      </c>
      <c r="AB926">
        <v>2008</v>
      </c>
      <c r="AC926" t="s">
        <v>49</v>
      </c>
      <c r="AD926" t="s">
        <v>93</v>
      </c>
      <c r="AE926" t="s">
        <v>4532</v>
      </c>
      <c r="AF926" t="s">
        <v>48</v>
      </c>
      <c r="AG926" t="s">
        <v>140</v>
      </c>
      <c r="AH926" t="s">
        <v>93</v>
      </c>
      <c r="AI926">
        <v>20934</v>
      </c>
      <c r="AJ926">
        <v>1949</v>
      </c>
      <c r="AK926" t="s">
        <v>9162</v>
      </c>
      <c r="AL926" t="s">
        <v>9163</v>
      </c>
      <c r="AM926">
        <v>-0.42</v>
      </c>
      <c r="AN926">
        <v>-0.26</v>
      </c>
      <c r="AO926">
        <v>-0.42</v>
      </c>
      <c r="AP926" s="46">
        <v>0</v>
      </c>
      <c r="AQ926" s="46">
        <v>0</v>
      </c>
      <c r="AR926" s="46">
        <v>0</v>
      </c>
      <c r="AS926" s="46">
        <v>0</v>
      </c>
      <c r="AT926" s="46">
        <v>0</v>
      </c>
      <c r="AU926" s="46">
        <v>0</v>
      </c>
      <c r="AV926" s="46">
        <v>0</v>
      </c>
      <c r="AW926" s="46">
        <v>0</v>
      </c>
      <c r="AX926" s="46">
        <v>0</v>
      </c>
      <c r="AY926" s="46">
        <v>0</v>
      </c>
      <c r="AZ926" s="46">
        <v>0</v>
      </c>
      <c r="BA926" s="46">
        <v>0</v>
      </c>
      <c r="BB926" s="46">
        <v>0</v>
      </c>
      <c r="BC926" s="46">
        <v>0</v>
      </c>
      <c r="BD926" s="46">
        <v>0</v>
      </c>
      <c r="BE926" s="46">
        <v>0</v>
      </c>
      <c r="BF926" s="46">
        <v>0</v>
      </c>
      <c r="BG926" s="46" t="s">
        <v>48</v>
      </c>
      <c r="BH926" s="46">
        <v>0</v>
      </c>
      <c r="BI926" s="46">
        <v>0</v>
      </c>
      <c r="BJ926" s="46">
        <v>0</v>
      </c>
      <c r="BK926" s="46">
        <v>0</v>
      </c>
      <c r="BL926" s="46">
        <v>0</v>
      </c>
      <c r="BM926" s="46">
        <v>0</v>
      </c>
      <c r="BN926" s="46">
        <v>0</v>
      </c>
    </row>
    <row r="927" spans="1:66" x14ac:dyDescent="0.35">
      <c r="A927" t="s">
        <v>5276</v>
      </c>
      <c r="B927" t="s">
        <v>48</v>
      </c>
      <c r="C927" t="s">
        <v>5281</v>
      </c>
      <c r="D927" t="s">
        <v>5280</v>
      </c>
      <c r="E927" t="s">
        <v>5277</v>
      </c>
      <c r="F927" t="s">
        <v>5269</v>
      </c>
      <c r="G927" t="s">
        <v>47</v>
      </c>
      <c r="H927">
        <v>0</v>
      </c>
      <c r="I927" s="60" t="s">
        <v>51</v>
      </c>
      <c r="J927" s="33" t="s">
        <v>45</v>
      </c>
      <c r="K927" s="46">
        <v>1</v>
      </c>
      <c r="L927">
        <v>100</v>
      </c>
      <c r="M927" t="s">
        <v>48</v>
      </c>
      <c r="N927" s="46">
        <v>1</v>
      </c>
      <c r="O927" s="46">
        <v>0</v>
      </c>
      <c r="P927" s="46">
        <v>0</v>
      </c>
      <c r="Q927" t="s">
        <v>48</v>
      </c>
      <c r="R927" t="s">
        <v>48</v>
      </c>
      <c r="S927" t="s">
        <v>5278</v>
      </c>
      <c r="T927" t="s">
        <v>5279</v>
      </c>
      <c r="U927" t="s">
        <v>5278</v>
      </c>
      <c r="V927" s="47">
        <v>0</v>
      </c>
      <c r="W927" t="s">
        <v>48</v>
      </c>
      <c r="X927" t="s">
        <v>48</v>
      </c>
      <c r="Y927" t="s">
        <v>48</v>
      </c>
      <c r="Z927">
        <v>0</v>
      </c>
      <c r="AA927" t="s">
        <v>48</v>
      </c>
      <c r="AB927">
        <v>2014</v>
      </c>
      <c r="AC927" t="s">
        <v>63</v>
      </c>
      <c r="AD927" t="s">
        <v>93</v>
      </c>
      <c r="AE927" t="s">
        <v>4532</v>
      </c>
      <c r="AF927" t="s">
        <v>48</v>
      </c>
      <c r="AG927" t="s">
        <v>140</v>
      </c>
      <c r="AH927" t="s">
        <v>93</v>
      </c>
      <c r="AI927">
        <v>21541</v>
      </c>
      <c r="AJ927">
        <v>1984</v>
      </c>
      <c r="AK927" t="s">
        <v>9164</v>
      </c>
      <c r="AL927" t="s">
        <v>9165</v>
      </c>
      <c r="AM927">
        <v>0.255</v>
      </c>
      <c r="AN927">
        <v>-2.7E-2</v>
      </c>
      <c r="AO927">
        <v>0.255</v>
      </c>
      <c r="AP927" s="46">
        <v>0</v>
      </c>
      <c r="AQ927" s="46">
        <v>0</v>
      </c>
      <c r="AR927" s="46">
        <v>0</v>
      </c>
      <c r="AS927" s="46">
        <v>0</v>
      </c>
      <c r="AT927" s="46">
        <v>0</v>
      </c>
      <c r="AU927" s="46">
        <v>0</v>
      </c>
      <c r="AV927" s="46">
        <v>0</v>
      </c>
      <c r="AW927" s="46">
        <v>0</v>
      </c>
      <c r="AX927" s="46">
        <v>0</v>
      </c>
      <c r="AY927" s="46">
        <v>1</v>
      </c>
      <c r="AZ927" s="46">
        <v>1</v>
      </c>
      <c r="BA927" s="46">
        <v>0</v>
      </c>
      <c r="BB927" s="46">
        <v>1</v>
      </c>
      <c r="BC927" s="46">
        <v>0</v>
      </c>
      <c r="BD927" s="46">
        <v>0</v>
      </c>
      <c r="BE927" s="46">
        <v>0</v>
      </c>
      <c r="BF927" s="46">
        <v>0</v>
      </c>
      <c r="BG927" s="46">
        <v>1</v>
      </c>
      <c r="BH927" s="46">
        <v>0</v>
      </c>
      <c r="BI927" s="46">
        <v>0</v>
      </c>
      <c r="BJ927" s="46">
        <v>0</v>
      </c>
      <c r="BK927" s="46">
        <v>0</v>
      </c>
      <c r="BL927" s="46">
        <v>0</v>
      </c>
      <c r="BM927" s="46">
        <v>1</v>
      </c>
      <c r="BN927" s="46">
        <v>0</v>
      </c>
    </row>
    <row r="928" spans="1:66" x14ac:dyDescent="0.35">
      <c r="A928" t="s">
        <v>5268</v>
      </c>
      <c r="B928" s="44" t="s">
        <v>48</v>
      </c>
      <c r="C928" t="s">
        <v>4344</v>
      </c>
      <c r="D928" t="s">
        <v>1193</v>
      </c>
      <c r="E928" t="s">
        <v>5270</v>
      </c>
      <c r="F928" t="s">
        <v>5269</v>
      </c>
      <c r="G928" t="s">
        <v>74</v>
      </c>
      <c r="H928">
        <v>0</v>
      </c>
      <c r="I928" s="60" t="s">
        <v>51</v>
      </c>
      <c r="J928" s="33" t="s">
        <v>45</v>
      </c>
      <c r="K928" s="46">
        <v>0</v>
      </c>
      <c r="L928">
        <v>81.099999999999994</v>
      </c>
      <c r="M928" t="s">
        <v>48</v>
      </c>
      <c r="N928" s="46">
        <v>1</v>
      </c>
      <c r="O928" s="46">
        <v>0</v>
      </c>
      <c r="P928" s="46">
        <v>0</v>
      </c>
      <c r="Q928" t="s">
        <v>48</v>
      </c>
      <c r="R928" t="s">
        <v>48</v>
      </c>
      <c r="S928" t="s">
        <v>5271</v>
      </c>
      <c r="T928" t="s">
        <v>48</v>
      </c>
      <c r="U928" t="s">
        <v>5271</v>
      </c>
      <c r="V928" s="47">
        <v>0</v>
      </c>
      <c r="W928" t="s">
        <v>48</v>
      </c>
      <c r="X928" t="s">
        <v>48</v>
      </c>
      <c r="Y928" t="s">
        <v>48</v>
      </c>
      <c r="Z928">
        <v>0</v>
      </c>
      <c r="AA928" t="s">
        <v>48</v>
      </c>
      <c r="AB928" t="s">
        <v>48</v>
      </c>
      <c r="AC928" t="s">
        <v>49</v>
      </c>
      <c r="AD928" t="s">
        <v>93</v>
      </c>
      <c r="AE928" t="s">
        <v>4532</v>
      </c>
      <c r="AF928" t="s">
        <v>48</v>
      </c>
      <c r="AG928" t="s">
        <v>48</v>
      </c>
      <c r="AH928" t="s">
        <v>48</v>
      </c>
      <c r="AI928" t="s">
        <v>48</v>
      </c>
      <c r="AJ928" t="s">
        <v>48</v>
      </c>
      <c r="AK928" t="s">
        <v>48</v>
      </c>
      <c r="AL928" t="s">
        <v>48</v>
      </c>
      <c r="AM928" t="s">
        <v>48</v>
      </c>
      <c r="AN928" t="s">
        <v>48</v>
      </c>
      <c r="AO928" t="s">
        <v>48</v>
      </c>
      <c r="AP928" s="46">
        <v>0</v>
      </c>
      <c r="AQ928" s="46">
        <v>0</v>
      </c>
      <c r="AR928" s="46">
        <v>0</v>
      </c>
      <c r="AS928" s="46">
        <v>0</v>
      </c>
      <c r="AT928" s="46">
        <v>0</v>
      </c>
      <c r="AU928" s="46">
        <v>0</v>
      </c>
      <c r="AV928" s="46">
        <v>0</v>
      </c>
      <c r="AW928" s="46">
        <v>0</v>
      </c>
      <c r="AX928" s="46">
        <v>0</v>
      </c>
      <c r="AY928" s="46">
        <v>0</v>
      </c>
      <c r="AZ928" s="46">
        <v>0</v>
      </c>
      <c r="BA928" s="46">
        <v>0</v>
      </c>
      <c r="BB928" s="46">
        <v>0</v>
      </c>
      <c r="BC928" s="46">
        <v>0</v>
      </c>
      <c r="BD928" s="46">
        <v>0</v>
      </c>
      <c r="BE928" s="46">
        <v>0</v>
      </c>
      <c r="BF928" s="46">
        <v>0</v>
      </c>
      <c r="BG928" s="46" t="s">
        <v>48</v>
      </c>
      <c r="BH928" s="46">
        <v>0</v>
      </c>
      <c r="BI928" s="46">
        <v>0</v>
      </c>
      <c r="BJ928" s="46">
        <v>0</v>
      </c>
      <c r="BK928" s="46">
        <v>0</v>
      </c>
      <c r="BL928" s="46">
        <v>0</v>
      </c>
      <c r="BM928" s="46">
        <v>0</v>
      </c>
      <c r="BN928" s="46">
        <v>0</v>
      </c>
    </row>
    <row r="929" spans="1:66" x14ac:dyDescent="0.35">
      <c r="A929" t="s">
        <v>10819</v>
      </c>
      <c r="B929" t="s">
        <v>48</v>
      </c>
      <c r="C929" t="s">
        <v>332</v>
      </c>
      <c r="D929" t="s">
        <v>771</v>
      </c>
      <c r="E929" t="s">
        <v>10820</v>
      </c>
      <c r="F929" t="s">
        <v>5282</v>
      </c>
      <c r="G929" t="s">
        <v>47</v>
      </c>
      <c r="H929">
        <v>0</v>
      </c>
      <c r="I929" s="60" t="s">
        <v>11552</v>
      </c>
      <c r="J929" s="33" t="s">
        <v>45</v>
      </c>
      <c r="K929" s="46">
        <v>0</v>
      </c>
      <c r="L929">
        <v>57.7</v>
      </c>
      <c r="M929" t="s">
        <v>48</v>
      </c>
      <c r="N929" s="46">
        <v>1</v>
      </c>
      <c r="O929" s="46">
        <v>0</v>
      </c>
      <c r="P929" s="46">
        <v>0</v>
      </c>
      <c r="Q929" t="s">
        <v>48</v>
      </c>
      <c r="R929" t="s">
        <v>48</v>
      </c>
      <c r="S929" t="s">
        <v>11530</v>
      </c>
      <c r="T929" t="s">
        <v>48</v>
      </c>
      <c r="U929" t="s">
        <v>10821</v>
      </c>
      <c r="V929" s="47">
        <v>0</v>
      </c>
      <c r="W929" t="s">
        <v>48</v>
      </c>
      <c r="X929" t="s">
        <v>48</v>
      </c>
      <c r="Y929" t="s">
        <v>48</v>
      </c>
      <c r="Z929">
        <v>0</v>
      </c>
      <c r="AA929" t="s">
        <v>48</v>
      </c>
      <c r="AB929" t="s">
        <v>48</v>
      </c>
      <c r="AC929" t="s">
        <v>49</v>
      </c>
      <c r="AD929" t="s">
        <v>93</v>
      </c>
      <c r="AE929" t="s">
        <v>4532</v>
      </c>
      <c r="AF929" t="s">
        <v>48</v>
      </c>
      <c r="AG929" t="s">
        <v>48</v>
      </c>
      <c r="AH929" t="s">
        <v>48</v>
      </c>
      <c r="AI929" t="s">
        <v>48</v>
      </c>
      <c r="AJ929" t="s">
        <v>48</v>
      </c>
      <c r="AK929" t="s">
        <v>48</v>
      </c>
      <c r="AL929" t="s">
        <v>48</v>
      </c>
      <c r="AM929" t="s">
        <v>48</v>
      </c>
      <c r="AN929" t="s">
        <v>48</v>
      </c>
      <c r="AO929" t="s">
        <v>48</v>
      </c>
      <c r="AP929" s="46">
        <v>0</v>
      </c>
      <c r="AQ929" s="46">
        <v>0</v>
      </c>
      <c r="AR929" s="46">
        <v>0</v>
      </c>
      <c r="AS929" s="46">
        <v>0</v>
      </c>
      <c r="AT929" s="46">
        <v>0</v>
      </c>
      <c r="AU929" s="46">
        <v>0</v>
      </c>
      <c r="AV929" s="46">
        <v>0</v>
      </c>
      <c r="AW929" s="46">
        <v>0</v>
      </c>
      <c r="AX929" s="46">
        <v>0</v>
      </c>
      <c r="AY929" s="46">
        <v>0</v>
      </c>
      <c r="AZ929" s="46">
        <v>0</v>
      </c>
      <c r="BA929" s="46">
        <v>0</v>
      </c>
      <c r="BB929" s="46">
        <v>0</v>
      </c>
      <c r="BC929" s="46">
        <v>0</v>
      </c>
      <c r="BD929" s="46">
        <v>0</v>
      </c>
      <c r="BE929" s="46">
        <v>0</v>
      </c>
      <c r="BF929" s="46">
        <v>0</v>
      </c>
      <c r="BG929" s="46" t="s">
        <v>48</v>
      </c>
      <c r="BH929" s="46">
        <v>0</v>
      </c>
      <c r="BI929" s="46">
        <v>0</v>
      </c>
      <c r="BJ929" s="46">
        <v>0</v>
      </c>
      <c r="BK929" s="46">
        <v>0</v>
      </c>
      <c r="BL929" s="46">
        <v>0</v>
      </c>
      <c r="BM929" s="46">
        <v>0</v>
      </c>
      <c r="BN929" s="46">
        <v>0</v>
      </c>
    </row>
    <row r="930" spans="1:66" x14ac:dyDescent="0.35">
      <c r="A930" t="s">
        <v>5297</v>
      </c>
      <c r="B930" s="44" t="s">
        <v>48</v>
      </c>
      <c r="C930" t="s">
        <v>12221</v>
      </c>
      <c r="D930" t="s">
        <v>12222</v>
      </c>
      <c r="E930" t="s">
        <v>10814</v>
      </c>
      <c r="F930" t="s">
        <v>5282</v>
      </c>
      <c r="G930" t="s">
        <v>74</v>
      </c>
      <c r="H930">
        <v>0</v>
      </c>
      <c r="I930" s="60" t="s">
        <v>11552</v>
      </c>
      <c r="J930" s="33" t="s">
        <v>45</v>
      </c>
      <c r="K930" s="46">
        <v>0</v>
      </c>
      <c r="L930">
        <v>39.5</v>
      </c>
      <c r="M930" t="s">
        <v>48</v>
      </c>
      <c r="N930" s="46">
        <v>1</v>
      </c>
      <c r="O930" s="46">
        <v>0</v>
      </c>
      <c r="P930" s="46">
        <v>0</v>
      </c>
      <c r="Q930" t="s">
        <v>48</v>
      </c>
      <c r="R930" t="s">
        <v>48</v>
      </c>
      <c r="S930" t="s">
        <v>11529</v>
      </c>
      <c r="T930" t="s">
        <v>48</v>
      </c>
      <c r="U930" t="s">
        <v>10815</v>
      </c>
      <c r="V930" s="47">
        <v>0</v>
      </c>
      <c r="W930" t="s">
        <v>48</v>
      </c>
      <c r="X930" t="s">
        <v>48</v>
      </c>
      <c r="Y930" t="s">
        <v>48</v>
      </c>
      <c r="Z930">
        <v>0</v>
      </c>
      <c r="AA930" t="s">
        <v>48</v>
      </c>
      <c r="AB930" t="s">
        <v>48</v>
      </c>
      <c r="AC930" t="s">
        <v>49</v>
      </c>
      <c r="AD930" t="s">
        <v>93</v>
      </c>
      <c r="AE930" t="s">
        <v>4532</v>
      </c>
      <c r="AF930" t="s">
        <v>48</v>
      </c>
      <c r="AG930" t="s">
        <v>48</v>
      </c>
      <c r="AH930" t="s">
        <v>48</v>
      </c>
      <c r="AI930" t="s">
        <v>48</v>
      </c>
      <c r="AJ930" t="s">
        <v>48</v>
      </c>
      <c r="AK930" t="s">
        <v>48</v>
      </c>
      <c r="AL930" t="s">
        <v>48</v>
      </c>
      <c r="AM930" t="s">
        <v>48</v>
      </c>
      <c r="AN930" t="s">
        <v>48</v>
      </c>
      <c r="AO930" t="s">
        <v>48</v>
      </c>
      <c r="AP930" s="46">
        <v>0</v>
      </c>
      <c r="AQ930" s="46">
        <v>0</v>
      </c>
      <c r="AR930" s="46">
        <v>0</v>
      </c>
      <c r="AS930" s="46">
        <v>0</v>
      </c>
      <c r="AT930" s="46">
        <v>0</v>
      </c>
      <c r="AU930" s="46">
        <v>0</v>
      </c>
      <c r="AV930" s="46">
        <v>0</v>
      </c>
      <c r="AW930" s="46">
        <v>0</v>
      </c>
      <c r="AX930" s="46">
        <v>0</v>
      </c>
      <c r="AY930" s="46">
        <v>0</v>
      </c>
      <c r="AZ930" s="46">
        <v>0</v>
      </c>
      <c r="BA930" s="46">
        <v>0</v>
      </c>
      <c r="BB930" s="46">
        <v>0</v>
      </c>
      <c r="BC930" s="46">
        <v>0</v>
      </c>
      <c r="BD930" s="46">
        <v>0</v>
      </c>
      <c r="BE930" s="46">
        <v>0</v>
      </c>
      <c r="BF930" s="46">
        <v>0</v>
      </c>
      <c r="BG930" s="46" t="s">
        <v>48</v>
      </c>
      <c r="BH930" s="46">
        <v>0</v>
      </c>
      <c r="BI930" s="46">
        <v>0</v>
      </c>
      <c r="BJ930" s="46">
        <v>0</v>
      </c>
      <c r="BK930" s="46">
        <v>0</v>
      </c>
      <c r="BL930" s="46">
        <v>0</v>
      </c>
      <c r="BM930" s="46">
        <v>0</v>
      </c>
      <c r="BN930" s="46">
        <v>0</v>
      </c>
    </row>
    <row r="931" spans="1:66" x14ac:dyDescent="0.35">
      <c r="A931" t="s">
        <v>10825</v>
      </c>
      <c r="B931" s="44" t="s">
        <v>48</v>
      </c>
      <c r="C931" t="s">
        <v>12226</v>
      </c>
      <c r="D931" t="s">
        <v>865</v>
      </c>
      <c r="E931" t="s">
        <v>10826</v>
      </c>
      <c r="F931" t="s">
        <v>5291</v>
      </c>
      <c r="G931" t="s">
        <v>74</v>
      </c>
      <c r="H931">
        <v>0</v>
      </c>
      <c r="I931" s="60" t="s">
        <v>11552</v>
      </c>
      <c r="J931" s="33" t="s">
        <v>45</v>
      </c>
      <c r="K931" s="46">
        <v>0</v>
      </c>
      <c r="L931">
        <v>100</v>
      </c>
      <c r="M931" t="s">
        <v>48</v>
      </c>
      <c r="N931" s="46">
        <v>1</v>
      </c>
      <c r="O931" s="46">
        <v>0</v>
      </c>
      <c r="P931" s="46">
        <v>0</v>
      </c>
      <c r="Q931" t="s">
        <v>48</v>
      </c>
      <c r="R931" t="s">
        <v>48</v>
      </c>
      <c r="S931" t="s">
        <v>11532</v>
      </c>
      <c r="T931" t="s">
        <v>48</v>
      </c>
      <c r="U931" t="s">
        <v>10827</v>
      </c>
      <c r="V931" s="47">
        <v>0</v>
      </c>
      <c r="W931" t="s">
        <v>48</v>
      </c>
      <c r="X931" t="s">
        <v>48</v>
      </c>
      <c r="Y931" t="s">
        <v>48</v>
      </c>
      <c r="Z931">
        <v>0</v>
      </c>
      <c r="AA931" t="s">
        <v>48</v>
      </c>
      <c r="AB931" t="s">
        <v>48</v>
      </c>
      <c r="AC931" t="s">
        <v>49</v>
      </c>
      <c r="AD931" t="s">
        <v>93</v>
      </c>
      <c r="AE931" t="s">
        <v>4532</v>
      </c>
      <c r="AF931" t="s">
        <v>48</v>
      </c>
      <c r="AG931" t="s">
        <v>48</v>
      </c>
      <c r="AH931" t="s">
        <v>48</v>
      </c>
      <c r="AI931" t="s">
        <v>48</v>
      </c>
      <c r="AJ931" t="s">
        <v>48</v>
      </c>
      <c r="AK931" t="s">
        <v>48</v>
      </c>
      <c r="AL931" t="s">
        <v>48</v>
      </c>
      <c r="AM931" t="s">
        <v>48</v>
      </c>
      <c r="AN931" t="s">
        <v>48</v>
      </c>
      <c r="AO931" t="s">
        <v>48</v>
      </c>
      <c r="AP931" s="46">
        <v>0</v>
      </c>
      <c r="AQ931" s="46">
        <v>0</v>
      </c>
      <c r="AR931" s="46">
        <v>0</v>
      </c>
      <c r="AS931" s="46">
        <v>0</v>
      </c>
      <c r="AT931" s="46">
        <v>0</v>
      </c>
      <c r="AU931" s="46">
        <v>0</v>
      </c>
      <c r="AV931" s="46">
        <v>0</v>
      </c>
      <c r="AW931" s="46">
        <v>0</v>
      </c>
      <c r="AX931" s="46">
        <v>0</v>
      </c>
      <c r="AY931" s="46">
        <v>0</v>
      </c>
      <c r="AZ931" s="46">
        <v>0</v>
      </c>
      <c r="BA931" s="46">
        <v>0</v>
      </c>
      <c r="BB931" s="46">
        <v>0</v>
      </c>
      <c r="BC931" s="46">
        <v>0</v>
      </c>
      <c r="BD931" s="46">
        <v>0</v>
      </c>
      <c r="BE931" s="46">
        <v>0</v>
      </c>
      <c r="BF931" s="46">
        <v>0</v>
      </c>
      <c r="BG931" s="46" t="s">
        <v>48</v>
      </c>
      <c r="BH931" s="46">
        <v>0</v>
      </c>
      <c r="BI931" s="46">
        <v>0</v>
      </c>
      <c r="BJ931" s="46">
        <v>0</v>
      </c>
      <c r="BK931" s="46">
        <v>0</v>
      </c>
      <c r="BL931" s="46">
        <v>0</v>
      </c>
      <c r="BM931" s="46">
        <v>0</v>
      </c>
      <c r="BN931" s="46">
        <v>0</v>
      </c>
    </row>
    <row r="932" spans="1:66" x14ac:dyDescent="0.35">
      <c r="A932" t="s">
        <v>10828</v>
      </c>
      <c r="B932" t="s">
        <v>48</v>
      </c>
      <c r="C932" t="s">
        <v>12227</v>
      </c>
      <c r="D932" t="s">
        <v>11712</v>
      </c>
      <c r="E932" t="s">
        <v>10829</v>
      </c>
      <c r="F932" t="s">
        <v>5291</v>
      </c>
      <c r="G932" t="s">
        <v>47</v>
      </c>
      <c r="H932">
        <v>0</v>
      </c>
      <c r="I932" s="60" t="s">
        <v>11552</v>
      </c>
      <c r="J932" s="33" t="s">
        <v>45</v>
      </c>
      <c r="K932" s="46">
        <v>0</v>
      </c>
      <c r="L932">
        <v>52.1</v>
      </c>
      <c r="M932" t="s">
        <v>48</v>
      </c>
      <c r="N932" s="46">
        <v>1</v>
      </c>
      <c r="O932" s="46">
        <v>0</v>
      </c>
      <c r="P932" s="46">
        <v>0</v>
      </c>
      <c r="Q932" t="s">
        <v>48</v>
      </c>
      <c r="R932" t="s">
        <v>48</v>
      </c>
      <c r="S932" t="s">
        <v>11534</v>
      </c>
      <c r="T932" t="s">
        <v>48</v>
      </c>
      <c r="U932" t="s">
        <v>10830</v>
      </c>
      <c r="V932" s="47">
        <v>0</v>
      </c>
      <c r="W932" t="s">
        <v>48</v>
      </c>
      <c r="X932" t="s">
        <v>48</v>
      </c>
      <c r="Y932" t="s">
        <v>48</v>
      </c>
      <c r="Z932">
        <v>0</v>
      </c>
      <c r="AA932" t="s">
        <v>48</v>
      </c>
      <c r="AB932" t="s">
        <v>48</v>
      </c>
      <c r="AC932" t="s">
        <v>49</v>
      </c>
      <c r="AD932" t="s">
        <v>93</v>
      </c>
      <c r="AE932" t="s">
        <v>4532</v>
      </c>
      <c r="AF932" t="s">
        <v>48</v>
      </c>
      <c r="AG932" t="s">
        <v>48</v>
      </c>
      <c r="AH932" t="s">
        <v>48</v>
      </c>
      <c r="AI932" t="s">
        <v>48</v>
      </c>
      <c r="AJ932" t="s">
        <v>48</v>
      </c>
      <c r="AK932" t="s">
        <v>48</v>
      </c>
      <c r="AL932" t="s">
        <v>48</v>
      </c>
      <c r="AM932" t="s">
        <v>48</v>
      </c>
      <c r="AN932" t="s">
        <v>48</v>
      </c>
      <c r="AO932" t="s">
        <v>48</v>
      </c>
      <c r="AP932" s="46">
        <v>0</v>
      </c>
      <c r="AQ932" s="46">
        <v>0</v>
      </c>
      <c r="AR932" s="46">
        <v>0</v>
      </c>
      <c r="AS932" s="46">
        <v>0</v>
      </c>
      <c r="AT932" s="46">
        <v>0</v>
      </c>
      <c r="AU932" s="46">
        <v>0</v>
      </c>
      <c r="AV932" s="46">
        <v>0</v>
      </c>
      <c r="AW932" s="46">
        <v>0</v>
      </c>
      <c r="AX932" s="46">
        <v>0</v>
      </c>
      <c r="AY932" s="46">
        <v>0</v>
      </c>
      <c r="AZ932" s="46">
        <v>0</v>
      </c>
      <c r="BA932" s="46">
        <v>0</v>
      </c>
      <c r="BB932" s="46">
        <v>0</v>
      </c>
      <c r="BC932" s="46">
        <v>0</v>
      </c>
      <c r="BD932" s="46">
        <v>0</v>
      </c>
      <c r="BE932" s="46">
        <v>0</v>
      </c>
      <c r="BF932" s="46">
        <v>0</v>
      </c>
      <c r="BG932" s="46" t="s">
        <v>48</v>
      </c>
      <c r="BH932" s="46">
        <v>0</v>
      </c>
      <c r="BI932" s="46">
        <v>0</v>
      </c>
      <c r="BJ932" s="46">
        <v>0</v>
      </c>
      <c r="BK932" s="46">
        <v>0</v>
      </c>
      <c r="BL932" s="46">
        <v>0</v>
      </c>
      <c r="BM932" s="46">
        <v>0</v>
      </c>
      <c r="BN932" s="46">
        <v>0</v>
      </c>
    </row>
    <row r="933" spans="1:66" x14ac:dyDescent="0.35">
      <c r="A933" t="s">
        <v>5286</v>
      </c>
      <c r="B933" t="s">
        <v>48</v>
      </c>
      <c r="C933" t="s">
        <v>12230</v>
      </c>
      <c r="D933" t="s">
        <v>5288</v>
      </c>
      <c r="E933" t="s">
        <v>10834</v>
      </c>
      <c r="F933" t="s">
        <v>5298</v>
      </c>
      <c r="G933" t="s">
        <v>47</v>
      </c>
      <c r="H933">
        <v>0</v>
      </c>
      <c r="I933" s="61">
        <v>44806</v>
      </c>
      <c r="J933" s="33" t="s">
        <v>45</v>
      </c>
      <c r="K933" s="46">
        <v>0</v>
      </c>
      <c r="L933">
        <v>53.9</v>
      </c>
      <c r="M933" t="s">
        <v>48</v>
      </c>
      <c r="N933" s="46">
        <v>1</v>
      </c>
      <c r="O933" s="46">
        <v>0</v>
      </c>
      <c r="P933" s="46">
        <v>0</v>
      </c>
      <c r="Q933" t="s">
        <v>48</v>
      </c>
      <c r="R933" t="s">
        <v>48</v>
      </c>
      <c r="S933" t="s">
        <v>5287</v>
      </c>
      <c r="T933" t="str">
        <f>"@RepTenney"</f>
        <v>@RepTenney</v>
      </c>
      <c r="U933" t="s">
        <v>5287</v>
      </c>
      <c r="V933" s="47">
        <v>0</v>
      </c>
      <c r="W933" t="s">
        <v>48</v>
      </c>
      <c r="X933" t="s">
        <v>48</v>
      </c>
      <c r="Y933" t="s">
        <v>48</v>
      </c>
      <c r="Z933">
        <v>0</v>
      </c>
      <c r="AA933" t="s">
        <v>48</v>
      </c>
      <c r="AB933" t="s">
        <v>48</v>
      </c>
      <c r="AC933" t="s">
        <v>63</v>
      </c>
      <c r="AD933" t="s">
        <v>93</v>
      </c>
      <c r="AE933" t="s">
        <v>4532</v>
      </c>
      <c r="AF933" t="s">
        <v>48</v>
      </c>
      <c r="AG933" t="s">
        <v>48</v>
      </c>
      <c r="AH933" t="s">
        <v>48</v>
      </c>
      <c r="AI933" t="s">
        <v>48</v>
      </c>
      <c r="AJ933" t="s">
        <v>48</v>
      </c>
      <c r="AK933" t="s">
        <v>48</v>
      </c>
      <c r="AL933" t="s">
        <v>48</v>
      </c>
      <c r="AM933" t="s">
        <v>48</v>
      </c>
      <c r="AN933" t="s">
        <v>48</v>
      </c>
      <c r="AO933" t="s">
        <v>48</v>
      </c>
      <c r="AP933" s="46">
        <v>0</v>
      </c>
      <c r="AQ933" s="46">
        <v>0</v>
      </c>
      <c r="AR933" s="46">
        <v>0</v>
      </c>
      <c r="AS933" s="46">
        <v>0</v>
      </c>
      <c r="AT933" s="46">
        <v>0</v>
      </c>
      <c r="AU933" s="46">
        <v>0</v>
      </c>
      <c r="AV933" s="46">
        <v>0</v>
      </c>
      <c r="AW933" s="46">
        <v>0</v>
      </c>
      <c r="AX933" s="46">
        <v>0</v>
      </c>
      <c r="AY933" s="46">
        <v>0</v>
      </c>
      <c r="AZ933" s="46">
        <v>0</v>
      </c>
      <c r="BA933" s="46">
        <v>0</v>
      </c>
      <c r="BB933" s="46">
        <v>0</v>
      </c>
      <c r="BC933" s="46">
        <v>0</v>
      </c>
      <c r="BD933" s="46">
        <v>0</v>
      </c>
      <c r="BE933" s="46">
        <v>0</v>
      </c>
      <c r="BF933" s="46">
        <v>0</v>
      </c>
      <c r="BG933" s="46">
        <v>1</v>
      </c>
      <c r="BH933" s="46">
        <v>0</v>
      </c>
      <c r="BI933" s="46">
        <v>0</v>
      </c>
      <c r="BJ933" s="46">
        <v>0</v>
      </c>
      <c r="BK933" s="46">
        <v>0</v>
      </c>
      <c r="BL933" s="46">
        <v>0</v>
      </c>
      <c r="BM933" s="46">
        <v>0</v>
      </c>
      <c r="BN933" s="46">
        <v>0</v>
      </c>
    </row>
    <row r="934" spans="1:66" x14ac:dyDescent="0.35">
      <c r="A934" t="s">
        <v>5299</v>
      </c>
      <c r="B934" s="44" t="s">
        <v>48</v>
      </c>
      <c r="C934" t="s">
        <v>5302</v>
      </c>
      <c r="D934" t="s">
        <v>76</v>
      </c>
      <c r="E934" t="s">
        <v>5300</v>
      </c>
      <c r="F934" t="s">
        <v>5298</v>
      </c>
      <c r="G934" t="s">
        <v>74</v>
      </c>
      <c r="H934">
        <v>0</v>
      </c>
      <c r="I934" s="60" t="s">
        <v>51</v>
      </c>
      <c r="J934" s="33" t="s">
        <v>45</v>
      </c>
      <c r="K934" s="46">
        <v>0</v>
      </c>
      <c r="L934">
        <v>100</v>
      </c>
      <c r="M934" t="s">
        <v>48</v>
      </c>
      <c r="N934" s="46">
        <v>1</v>
      </c>
      <c r="O934" s="46">
        <v>0</v>
      </c>
      <c r="P934" s="46">
        <v>0</v>
      </c>
      <c r="Q934" t="s">
        <v>48</v>
      </c>
      <c r="R934" t="s">
        <v>48</v>
      </c>
      <c r="S934" t="s">
        <v>5301</v>
      </c>
      <c r="T934" t="s">
        <v>48</v>
      </c>
      <c r="U934" t="s">
        <v>5301</v>
      </c>
      <c r="V934" s="47">
        <v>0</v>
      </c>
      <c r="W934" t="s">
        <v>48</v>
      </c>
      <c r="X934" t="s">
        <v>48</v>
      </c>
      <c r="Y934" t="s">
        <v>48</v>
      </c>
      <c r="Z934">
        <v>0</v>
      </c>
      <c r="AA934" t="s">
        <v>48</v>
      </c>
      <c r="AB934" t="s">
        <v>48</v>
      </c>
      <c r="AC934" t="s">
        <v>49</v>
      </c>
      <c r="AD934" t="s">
        <v>93</v>
      </c>
      <c r="AE934" t="s">
        <v>11051</v>
      </c>
      <c r="AF934" t="s">
        <v>11052</v>
      </c>
      <c r="AG934" t="s">
        <v>48</v>
      </c>
      <c r="AH934" t="s">
        <v>48</v>
      </c>
      <c r="AI934" t="s">
        <v>48</v>
      </c>
      <c r="AJ934" t="s">
        <v>48</v>
      </c>
      <c r="AK934" t="s">
        <v>48</v>
      </c>
      <c r="AL934" t="s">
        <v>48</v>
      </c>
      <c r="AM934" t="s">
        <v>48</v>
      </c>
      <c r="AN934" t="s">
        <v>48</v>
      </c>
      <c r="AO934" t="s">
        <v>48</v>
      </c>
      <c r="AP934" s="46">
        <v>0</v>
      </c>
      <c r="AQ934" s="46">
        <v>0</v>
      </c>
      <c r="AR934" s="46">
        <v>0</v>
      </c>
      <c r="AS934" s="46">
        <v>0</v>
      </c>
      <c r="AT934" s="46">
        <v>0</v>
      </c>
      <c r="AU934" s="46">
        <v>0</v>
      </c>
      <c r="AV934" s="46">
        <v>0</v>
      </c>
      <c r="AW934" s="46">
        <v>0</v>
      </c>
      <c r="AX934" s="46">
        <v>0</v>
      </c>
      <c r="AY934" s="46">
        <v>0</v>
      </c>
      <c r="AZ934" s="46">
        <v>0</v>
      </c>
      <c r="BA934" s="46">
        <v>0</v>
      </c>
      <c r="BB934" s="46">
        <v>0</v>
      </c>
      <c r="BC934" s="46">
        <v>0</v>
      </c>
      <c r="BD934" s="46">
        <v>0</v>
      </c>
      <c r="BE934" s="46">
        <v>0</v>
      </c>
      <c r="BF934" s="46">
        <v>0</v>
      </c>
      <c r="BG934" s="46" t="s">
        <v>48</v>
      </c>
      <c r="BH934" s="46">
        <v>0</v>
      </c>
      <c r="BI934" s="46">
        <v>0</v>
      </c>
      <c r="BJ934" s="46">
        <v>0</v>
      </c>
      <c r="BK934" s="46">
        <v>0</v>
      </c>
      <c r="BL934" s="46">
        <v>0</v>
      </c>
      <c r="BM934" s="46">
        <v>0</v>
      </c>
      <c r="BN934" s="46">
        <v>0</v>
      </c>
    </row>
    <row r="935" spans="1:66" x14ac:dyDescent="0.35">
      <c r="A935" t="s">
        <v>5310</v>
      </c>
      <c r="B935" t="s">
        <v>48</v>
      </c>
      <c r="C935" t="s">
        <v>5315</v>
      </c>
      <c r="D935" t="s">
        <v>1505</v>
      </c>
      <c r="E935" t="s">
        <v>5312</v>
      </c>
      <c r="F935" t="s">
        <v>5311</v>
      </c>
      <c r="G935" t="s">
        <v>74</v>
      </c>
      <c r="H935">
        <v>0</v>
      </c>
      <c r="I935" s="60" t="s">
        <v>51</v>
      </c>
      <c r="J935" s="33" t="s">
        <v>45</v>
      </c>
      <c r="K935" s="46">
        <v>1</v>
      </c>
      <c r="L935">
        <v>100</v>
      </c>
      <c r="M935" t="s">
        <v>48</v>
      </c>
      <c r="N935" s="46">
        <v>1</v>
      </c>
      <c r="O935" s="46">
        <v>0</v>
      </c>
      <c r="P935" s="46">
        <v>0</v>
      </c>
      <c r="Q935" t="s">
        <v>48</v>
      </c>
      <c r="R935" t="s">
        <v>48</v>
      </c>
      <c r="S935" t="s">
        <v>5313</v>
      </c>
      <c r="T935" t="s">
        <v>5314</v>
      </c>
      <c r="U935" t="s">
        <v>5313</v>
      </c>
      <c r="V935" s="47">
        <v>0</v>
      </c>
      <c r="W935" t="s">
        <v>48</v>
      </c>
      <c r="X935" t="s">
        <v>48</v>
      </c>
      <c r="Y935" t="s">
        <v>48</v>
      </c>
      <c r="Z935">
        <v>0</v>
      </c>
      <c r="AA935" t="s">
        <v>48</v>
      </c>
      <c r="AB935">
        <v>2018</v>
      </c>
      <c r="AC935" t="s">
        <v>49</v>
      </c>
      <c r="AD935" t="s">
        <v>93</v>
      </c>
      <c r="AE935" t="s">
        <v>4532</v>
      </c>
      <c r="AF935" t="s">
        <v>48</v>
      </c>
      <c r="AG935" t="s">
        <v>109</v>
      </c>
      <c r="AH935" t="s">
        <v>93</v>
      </c>
      <c r="AI935">
        <v>21761</v>
      </c>
      <c r="AJ935">
        <v>1957</v>
      </c>
      <c r="AK935" t="s">
        <v>9170</v>
      </c>
      <c r="AL935" t="s">
        <v>9171</v>
      </c>
      <c r="AM935">
        <v>-0.35599999999999998</v>
      </c>
      <c r="AN935">
        <v>0.13400000000000001</v>
      </c>
      <c r="AO935">
        <v>-0.35599999999999998</v>
      </c>
      <c r="AP935" s="46">
        <v>0</v>
      </c>
      <c r="AQ935" s="46">
        <v>0</v>
      </c>
      <c r="AR935" s="46">
        <v>0</v>
      </c>
      <c r="AS935" s="46">
        <v>0</v>
      </c>
      <c r="AT935" s="46">
        <v>1</v>
      </c>
      <c r="AU935" s="46">
        <v>1</v>
      </c>
      <c r="AV935" s="46">
        <v>0</v>
      </c>
      <c r="AW935" s="46">
        <v>0</v>
      </c>
      <c r="AX935" s="46">
        <v>0</v>
      </c>
      <c r="AY935" s="46">
        <v>0</v>
      </c>
      <c r="AZ935" s="46">
        <v>0</v>
      </c>
      <c r="BA935" s="46">
        <v>0</v>
      </c>
      <c r="BB935" s="46">
        <v>0</v>
      </c>
      <c r="BC935" s="46">
        <v>0</v>
      </c>
      <c r="BD935" s="46">
        <v>0</v>
      </c>
      <c r="BE935" s="46">
        <v>0</v>
      </c>
      <c r="BF935" s="46">
        <v>0</v>
      </c>
      <c r="BG935" s="46" t="s">
        <v>48</v>
      </c>
      <c r="BH935" s="46">
        <v>0</v>
      </c>
      <c r="BI935" s="46">
        <v>0</v>
      </c>
      <c r="BJ935" s="46">
        <v>0</v>
      </c>
      <c r="BK935" s="46">
        <v>0</v>
      </c>
      <c r="BL935" s="46">
        <v>0</v>
      </c>
      <c r="BM935" s="46">
        <v>0</v>
      </c>
      <c r="BN935" s="46">
        <v>0</v>
      </c>
    </row>
    <row r="936" spans="1:66" x14ac:dyDescent="0.35">
      <c r="A936" t="s">
        <v>5316</v>
      </c>
      <c r="B936" t="s">
        <v>48</v>
      </c>
      <c r="C936" t="s">
        <v>5320</v>
      </c>
      <c r="D936" t="s">
        <v>5319</v>
      </c>
      <c r="E936" t="s">
        <v>5317</v>
      </c>
      <c r="F936" t="s">
        <v>5311</v>
      </c>
      <c r="G936" t="s">
        <v>47</v>
      </c>
      <c r="H936">
        <v>0</v>
      </c>
      <c r="I936" s="60" t="s">
        <v>661</v>
      </c>
      <c r="J936" s="33" t="s">
        <v>45</v>
      </c>
      <c r="K936" s="46">
        <v>0</v>
      </c>
      <c r="L936">
        <v>100</v>
      </c>
      <c r="M936" t="s">
        <v>48</v>
      </c>
      <c r="N936" s="46">
        <v>1</v>
      </c>
      <c r="O936" s="46">
        <v>0</v>
      </c>
      <c r="P936" s="46">
        <v>0</v>
      </c>
      <c r="Q936" t="s">
        <v>48</v>
      </c>
      <c r="R936" t="s">
        <v>48</v>
      </c>
      <c r="S936" t="s">
        <v>5318</v>
      </c>
      <c r="T936" t="s">
        <v>48</v>
      </c>
      <c r="U936" t="s">
        <v>5318</v>
      </c>
      <c r="V936" s="47">
        <v>0</v>
      </c>
      <c r="W936" t="s">
        <v>48</v>
      </c>
      <c r="X936" t="s">
        <v>48</v>
      </c>
      <c r="Y936" t="s">
        <v>48</v>
      </c>
      <c r="Z936">
        <v>0</v>
      </c>
      <c r="AA936" t="s">
        <v>48</v>
      </c>
      <c r="AB936" t="s">
        <v>48</v>
      </c>
      <c r="AC936" t="s">
        <v>49</v>
      </c>
      <c r="AD936" t="s">
        <v>93</v>
      </c>
      <c r="AE936" s="40" t="s">
        <v>2471</v>
      </c>
      <c r="AF936" t="s">
        <v>11061</v>
      </c>
      <c r="AG936" t="s">
        <v>48</v>
      </c>
      <c r="AH936" t="s">
        <v>48</v>
      </c>
      <c r="AI936" t="s">
        <v>48</v>
      </c>
      <c r="AJ936" t="s">
        <v>48</v>
      </c>
      <c r="AK936" t="s">
        <v>48</v>
      </c>
      <c r="AL936" t="s">
        <v>48</v>
      </c>
      <c r="AM936" t="s">
        <v>48</v>
      </c>
      <c r="AN936" t="s">
        <v>48</v>
      </c>
      <c r="AO936" t="s">
        <v>48</v>
      </c>
      <c r="AP936" s="46">
        <v>0</v>
      </c>
      <c r="AQ936" s="46">
        <v>0</v>
      </c>
      <c r="AR936" s="46">
        <v>0</v>
      </c>
      <c r="AS936" s="46">
        <v>0</v>
      </c>
      <c r="AT936" s="46">
        <v>0</v>
      </c>
      <c r="AU936" s="46">
        <v>0</v>
      </c>
      <c r="AV936" s="46">
        <v>0</v>
      </c>
      <c r="AW936" s="46">
        <v>0</v>
      </c>
      <c r="AX936" s="46">
        <v>0</v>
      </c>
      <c r="AY936" s="46">
        <v>0</v>
      </c>
      <c r="AZ936" s="46">
        <v>0</v>
      </c>
      <c r="BA936" s="46">
        <v>0</v>
      </c>
      <c r="BB936" s="46">
        <v>0</v>
      </c>
      <c r="BC936" s="46">
        <v>0</v>
      </c>
      <c r="BD936" s="46">
        <v>0</v>
      </c>
      <c r="BE936" s="46">
        <v>0</v>
      </c>
      <c r="BF936" s="46">
        <v>0</v>
      </c>
      <c r="BG936" s="46" t="s">
        <v>48</v>
      </c>
      <c r="BH936" s="46">
        <v>0</v>
      </c>
      <c r="BI936" s="46">
        <v>0</v>
      </c>
      <c r="BJ936" s="46">
        <v>0</v>
      </c>
      <c r="BK936" s="46">
        <v>0</v>
      </c>
      <c r="BL936" s="46">
        <v>0</v>
      </c>
      <c r="BM936" s="46">
        <v>0</v>
      </c>
      <c r="BN936" s="46">
        <v>0</v>
      </c>
    </row>
    <row r="937" spans="1:66" x14ac:dyDescent="0.35">
      <c r="A937" t="s">
        <v>5321</v>
      </c>
      <c r="B937" s="44" t="s">
        <v>48</v>
      </c>
      <c r="C937" t="s">
        <v>3406</v>
      </c>
      <c r="D937" t="s">
        <v>195</v>
      </c>
      <c r="E937" t="s">
        <v>5323</v>
      </c>
      <c r="F937" t="s">
        <v>5322</v>
      </c>
      <c r="G937" t="s">
        <v>74</v>
      </c>
      <c r="H937">
        <v>0</v>
      </c>
      <c r="I937" s="60" t="s">
        <v>51</v>
      </c>
      <c r="J937" s="33" t="s">
        <v>45</v>
      </c>
      <c r="K937" s="46">
        <v>1</v>
      </c>
      <c r="L937">
        <v>91.3</v>
      </c>
      <c r="M937" t="s">
        <v>48</v>
      </c>
      <c r="N937" s="46">
        <v>1</v>
      </c>
      <c r="O937" s="46">
        <v>0</v>
      </c>
      <c r="P937" s="46">
        <v>0</v>
      </c>
      <c r="Q937" t="s">
        <v>48</v>
      </c>
      <c r="R937" t="s">
        <v>48</v>
      </c>
      <c r="S937" t="s">
        <v>5324</v>
      </c>
      <c r="T937" t="s">
        <v>5325</v>
      </c>
      <c r="U937" t="s">
        <v>5324</v>
      </c>
      <c r="V937" s="47">
        <v>0</v>
      </c>
      <c r="W937" t="s">
        <v>48</v>
      </c>
      <c r="X937" t="s">
        <v>48</v>
      </c>
      <c r="Y937" t="s">
        <v>48</v>
      </c>
      <c r="Z937">
        <v>0</v>
      </c>
      <c r="AA937" t="s">
        <v>48</v>
      </c>
      <c r="AB937">
        <v>2004</v>
      </c>
      <c r="AC937" t="s">
        <v>49</v>
      </c>
      <c r="AD937" t="s">
        <v>93</v>
      </c>
      <c r="AE937" t="s">
        <v>4532</v>
      </c>
      <c r="AF937" t="s">
        <v>48</v>
      </c>
      <c r="AG937" t="s">
        <v>140</v>
      </c>
      <c r="AH937" t="s">
        <v>93</v>
      </c>
      <c r="AI937">
        <v>20519</v>
      </c>
      <c r="AJ937">
        <v>1959</v>
      </c>
      <c r="AK937" t="s">
        <v>9172</v>
      </c>
      <c r="AL937" t="s">
        <v>9173</v>
      </c>
      <c r="AM937">
        <v>-0.34799999999999998</v>
      </c>
      <c r="AN937">
        <v>-3.1E-2</v>
      </c>
      <c r="AO937">
        <v>-0.34799999999999998</v>
      </c>
      <c r="AP937" s="46">
        <v>0</v>
      </c>
      <c r="AQ937" s="46">
        <v>0</v>
      </c>
      <c r="AR937" s="46">
        <v>0</v>
      </c>
      <c r="AS937" s="46">
        <v>0</v>
      </c>
      <c r="AT937" s="46">
        <v>0</v>
      </c>
      <c r="AU937" s="46">
        <v>0</v>
      </c>
      <c r="AV937" s="46">
        <v>0</v>
      </c>
      <c r="AW937" s="46">
        <v>0</v>
      </c>
      <c r="AX937" s="46">
        <v>0</v>
      </c>
      <c r="AY937" s="46">
        <v>0</v>
      </c>
      <c r="AZ937" s="46">
        <v>0</v>
      </c>
      <c r="BA937" s="46">
        <v>0</v>
      </c>
      <c r="BB937" s="46">
        <v>0</v>
      </c>
      <c r="BC937" s="46">
        <v>0</v>
      </c>
      <c r="BD937" s="46">
        <v>0</v>
      </c>
      <c r="BE937" s="46">
        <v>0</v>
      </c>
      <c r="BF937" s="46">
        <v>0</v>
      </c>
      <c r="BG937" s="46" t="s">
        <v>48</v>
      </c>
      <c r="BH937" s="46">
        <v>0</v>
      </c>
      <c r="BI937" s="46">
        <v>0</v>
      </c>
      <c r="BJ937" s="46">
        <v>0</v>
      </c>
      <c r="BK937" s="46">
        <v>0</v>
      </c>
      <c r="BL937" s="46">
        <v>0</v>
      </c>
      <c r="BM937" s="46">
        <v>0</v>
      </c>
      <c r="BN937" s="46">
        <v>0</v>
      </c>
    </row>
    <row r="938" spans="1:66" ht="15" x14ac:dyDescent="0.4">
      <c r="A938" t="s">
        <v>5326</v>
      </c>
      <c r="B938" t="s">
        <v>48</v>
      </c>
      <c r="C938" t="s">
        <v>5328</v>
      </c>
      <c r="D938" t="s">
        <v>76</v>
      </c>
      <c r="E938" t="s">
        <v>5327</v>
      </c>
      <c r="F938" t="s">
        <v>5322</v>
      </c>
      <c r="G938" t="s">
        <v>47</v>
      </c>
      <c r="H938">
        <v>0</v>
      </c>
      <c r="I938" s="60" t="s">
        <v>11160</v>
      </c>
      <c r="J938" s="33" t="s">
        <v>45</v>
      </c>
      <c r="K938" s="46">
        <v>0</v>
      </c>
      <c r="L938">
        <v>100</v>
      </c>
      <c r="M938" t="s">
        <v>48</v>
      </c>
      <c r="N938" s="46">
        <v>1</v>
      </c>
      <c r="O938" s="46">
        <v>0</v>
      </c>
      <c r="P938" s="46">
        <v>0</v>
      </c>
      <c r="Q938" t="s">
        <v>48</v>
      </c>
      <c r="R938" t="s">
        <v>48</v>
      </c>
      <c r="S938" s="55" t="s">
        <v>11306</v>
      </c>
      <c r="T938" t="s">
        <v>48</v>
      </c>
      <c r="U938" s="55" t="s">
        <v>11306</v>
      </c>
      <c r="V938" s="47">
        <v>0</v>
      </c>
      <c r="W938" t="s">
        <v>48</v>
      </c>
      <c r="X938" t="s">
        <v>48</v>
      </c>
      <c r="Y938" t="s">
        <v>48</v>
      </c>
      <c r="Z938">
        <v>0</v>
      </c>
      <c r="AA938" t="s">
        <v>48</v>
      </c>
      <c r="AB938" t="s">
        <v>48</v>
      </c>
      <c r="AC938" t="s">
        <v>49</v>
      </c>
      <c r="AD938" t="s">
        <v>93</v>
      </c>
      <c r="AE938" t="s">
        <v>4532</v>
      </c>
      <c r="AF938" t="s">
        <v>48</v>
      </c>
      <c r="AG938" t="s">
        <v>48</v>
      </c>
      <c r="AH938" t="s">
        <v>48</v>
      </c>
      <c r="AI938" t="s">
        <v>48</v>
      </c>
      <c r="AJ938" t="s">
        <v>48</v>
      </c>
      <c r="AK938" t="s">
        <v>48</v>
      </c>
      <c r="AL938" t="s">
        <v>48</v>
      </c>
      <c r="AM938" t="s">
        <v>48</v>
      </c>
      <c r="AN938" t="s">
        <v>48</v>
      </c>
      <c r="AO938" t="s">
        <v>48</v>
      </c>
      <c r="AP938" s="46">
        <v>0</v>
      </c>
      <c r="AQ938" s="46">
        <v>0</v>
      </c>
      <c r="AR938" s="46">
        <v>0</v>
      </c>
      <c r="AS938" s="46">
        <v>0</v>
      </c>
      <c r="AT938" s="46">
        <v>0</v>
      </c>
      <c r="AU938" s="46">
        <v>0</v>
      </c>
      <c r="AV938" s="46">
        <v>0</v>
      </c>
      <c r="AW938" s="46">
        <v>0</v>
      </c>
      <c r="AX938" s="46">
        <v>0</v>
      </c>
      <c r="AY938" s="46">
        <v>0</v>
      </c>
      <c r="AZ938" s="46">
        <v>0</v>
      </c>
      <c r="BA938" s="46">
        <v>0</v>
      </c>
      <c r="BB938" s="46">
        <v>0</v>
      </c>
      <c r="BC938" s="46">
        <v>0</v>
      </c>
      <c r="BD938" s="46">
        <v>0</v>
      </c>
      <c r="BE938" s="46">
        <v>0</v>
      </c>
      <c r="BF938" s="46">
        <v>0</v>
      </c>
      <c r="BG938" s="46" t="s">
        <v>48</v>
      </c>
      <c r="BH938" s="46">
        <v>0</v>
      </c>
      <c r="BI938" s="46">
        <v>0</v>
      </c>
      <c r="BJ938" s="46">
        <v>0</v>
      </c>
      <c r="BK938" s="46">
        <v>0</v>
      </c>
      <c r="BL938" s="46">
        <v>0</v>
      </c>
      <c r="BM938" s="46">
        <v>0</v>
      </c>
      <c r="BN938" s="46">
        <v>0</v>
      </c>
    </row>
    <row r="939" spans="1:66" x14ac:dyDescent="0.35">
      <c r="A939" t="s">
        <v>5355</v>
      </c>
      <c r="B939" s="44" t="s">
        <v>48</v>
      </c>
      <c r="C939" t="s">
        <v>5357</v>
      </c>
      <c r="D939" t="s">
        <v>729</v>
      </c>
      <c r="E939" t="s">
        <v>5356</v>
      </c>
      <c r="F939" t="s">
        <v>5349</v>
      </c>
      <c r="G939" t="s">
        <v>74</v>
      </c>
      <c r="H939">
        <v>0</v>
      </c>
      <c r="I939" s="60" t="s">
        <v>78</v>
      </c>
      <c r="J939" s="33" t="s">
        <v>45</v>
      </c>
      <c r="K939" s="46">
        <v>0</v>
      </c>
      <c r="L939">
        <v>100</v>
      </c>
      <c r="M939" t="s">
        <v>48</v>
      </c>
      <c r="N939" s="46">
        <v>1</v>
      </c>
      <c r="O939" s="46">
        <v>0</v>
      </c>
      <c r="P939" s="46">
        <v>0</v>
      </c>
      <c r="Q939" t="s">
        <v>48</v>
      </c>
      <c r="R939" t="s">
        <v>48</v>
      </c>
      <c r="S939" t="s">
        <v>10355</v>
      </c>
      <c r="T939" t="s">
        <v>48</v>
      </c>
      <c r="U939" t="s">
        <v>10355</v>
      </c>
      <c r="V939" s="47">
        <v>0</v>
      </c>
      <c r="W939" t="s">
        <v>48</v>
      </c>
      <c r="X939" t="s">
        <v>48</v>
      </c>
      <c r="Y939" t="s">
        <v>48</v>
      </c>
      <c r="Z939">
        <v>0</v>
      </c>
      <c r="AA939" t="s">
        <v>48</v>
      </c>
      <c r="AB939" t="s">
        <v>48</v>
      </c>
      <c r="AC939" t="s">
        <v>49</v>
      </c>
      <c r="AD939" t="s">
        <v>93</v>
      </c>
      <c r="AE939" t="s">
        <v>4532</v>
      </c>
      <c r="AF939" t="s">
        <v>48</v>
      </c>
      <c r="AG939" t="s">
        <v>48</v>
      </c>
      <c r="AH939" t="s">
        <v>48</v>
      </c>
      <c r="AI939" t="s">
        <v>48</v>
      </c>
      <c r="AJ939" t="s">
        <v>48</v>
      </c>
      <c r="AK939" t="s">
        <v>48</v>
      </c>
      <c r="AL939" t="s">
        <v>48</v>
      </c>
      <c r="AM939" t="s">
        <v>48</v>
      </c>
      <c r="AN939" t="s">
        <v>48</v>
      </c>
      <c r="AO939" t="s">
        <v>48</v>
      </c>
      <c r="AP939" s="46">
        <v>0</v>
      </c>
      <c r="AQ939" s="46">
        <v>0</v>
      </c>
      <c r="AR939" s="46">
        <v>0</v>
      </c>
      <c r="AS939" s="46">
        <v>0</v>
      </c>
      <c r="AT939" s="46">
        <v>0</v>
      </c>
      <c r="AU939" s="46">
        <v>0</v>
      </c>
      <c r="AV939" s="46">
        <v>0</v>
      </c>
      <c r="AW939" s="46">
        <v>0</v>
      </c>
      <c r="AX939" s="46">
        <v>0</v>
      </c>
      <c r="AY939" s="46">
        <v>0</v>
      </c>
      <c r="AZ939" s="46">
        <v>0</v>
      </c>
      <c r="BA939" s="46">
        <v>0</v>
      </c>
      <c r="BB939" s="46">
        <v>0</v>
      </c>
      <c r="BC939" s="46">
        <v>0</v>
      </c>
      <c r="BD939" s="46">
        <v>0</v>
      </c>
      <c r="BE939" s="46">
        <v>0</v>
      </c>
      <c r="BF939" s="46">
        <v>0</v>
      </c>
      <c r="BG939" s="46" t="s">
        <v>48</v>
      </c>
      <c r="BH939" s="46">
        <v>0</v>
      </c>
      <c r="BI939" s="46">
        <v>0</v>
      </c>
      <c r="BJ939" s="46">
        <v>0</v>
      </c>
      <c r="BK939" s="46">
        <v>0</v>
      </c>
      <c r="BL939" s="46">
        <v>0</v>
      </c>
      <c r="BM939" s="46">
        <v>0</v>
      </c>
      <c r="BN939" s="46">
        <v>0</v>
      </c>
    </row>
    <row r="940" spans="1:66" x14ac:dyDescent="0.35">
      <c r="A940" t="s">
        <v>5348</v>
      </c>
      <c r="B940" s="44" t="s">
        <v>48</v>
      </c>
      <c r="C940" t="s">
        <v>5354</v>
      </c>
      <c r="D940" t="s">
        <v>571</v>
      </c>
      <c r="E940" t="s">
        <v>5350</v>
      </c>
      <c r="F940" t="s">
        <v>5349</v>
      </c>
      <c r="G940" t="s">
        <v>47</v>
      </c>
      <c r="H940">
        <v>0</v>
      </c>
      <c r="I940" s="60" t="s">
        <v>51</v>
      </c>
      <c r="J940" s="33" t="s">
        <v>45</v>
      </c>
      <c r="K940" s="46">
        <v>1</v>
      </c>
      <c r="L940">
        <v>100</v>
      </c>
      <c r="M940" t="s">
        <v>48</v>
      </c>
      <c r="N940" s="46">
        <v>1</v>
      </c>
      <c r="O940" s="46">
        <v>0</v>
      </c>
      <c r="P940" s="46">
        <v>0</v>
      </c>
      <c r="Q940" t="s">
        <v>48</v>
      </c>
      <c r="R940" t="s">
        <v>48</v>
      </c>
      <c r="S940" t="s">
        <v>5351</v>
      </c>
      <c r="T940" t="s">
        <v>5352</v>
      </c>
      <c r="U940" t="s">
        <v>5351</v>
      </c>
      <c r="V940" s="47">
        <v>0</v>
      </c>
      <c r="W940" t="s">
        <v>48</v>
      </c>
      <c r="X940" t="s">
        <v>48</v>
      </c>
      <c r="Y940" t="s">
        <v>48</v>
      </c>
      <c r="Z940">
        <v>0</v>
      </c>
      <c r="AA940" t="s">
        <v>48</v>
      </c>
      <c r="AB940" t="s">
        <v>5353</v>
      </c>
      <c r="AC940" t="s">
        <v>49</v>
      </c>
      <c r="AD940" t="s">
        <v>93</v>
      </c>
      <c r="AE940" t="s">
        <v>4532</v>
      </c>
      <c r="AF940" t="s">
        <v>48</v>
      </c>
      <c r="AG940" t="s">
        <v>140</v>
      </c>
      <c r="AH940" t="s">
        <v>93</v>
      </c>
      <c r="AI940">
        <v>29550</v>
      </c>
      <c r="AJ940">
        <v>1953</v>
      </c>
      <c r="AK940" t="s">
        <v>9176</v>
      </c>
      <c r="AL940" t="s">
        <v>9177</v>
      </c>
      <c r="AM940">
        <v>0.55300000000000005</v>
      </c>
      <c r="AN940">
        <v>-0.16</v>
      </c>
      <c r="AO940">
        <v>0.55300000000000005</v>
      </c>
      <c r="AP940" s="46">
        <v>0</v>
      </c>
      <c r="AQ940" s="46">
        <v>0</v>
      </c>
      <c r="AR940" s="46">
        <v>0</v>
      </c>
      <c r="AS940" s="46">
        <v>0</v>
      </c>
      <c r="AT940" s="46">
        <v>0</v>
      </c>
      <c r="AU940" s="46">
        <v>0</v>
      </c>
      <c r="AV940" s="46">
        <v>0</v>
      </c>
      <c r="AW940" s="46">
        <v>0</v>
      </c>
      <c r="AX940" s="46">
        <v>0</v>
      </c>
      <c r="AY940" s="46">
        <v>0</v>
      </c>
      <c r="AZ940" s="46">
        <v>0</v>
      </c>
      <c r="BA940" s="46">
        <v>0</v>
      </c>
      <c r="BB940" s="46">
        <v>1</v>
      </c>
      <c r="BC940" s="46">
        <v>0</v>
      </c>
      <c r="BD940" s="46">
        <v>0</v>
      </c>
      <c r="BE940" s="46">
        <v>0</v>
      </c>
      <c r="BF940" s="46">
        <v>0</v>
      </c>
      <c r="BG940" s="46">
        <v>1</v>
      </c>
      <c r="BH940" s="46">
        <v>0</v>
      </c>
      <c r="BI940" s="46">
        <v>0</v>
      </c>
      <c r="BJ940" s="46">
        <v>0</v>
      </c>
      <c r="BK940" s="46">
        <v>0</v>
      </c>
      <c r="BL940" s="46">
        <v>0</v>
      </c>
      <c r="BM940" s="46">
        <v>0</v>
      </c>
      <c r="BN940" s="46">
        <v>0</v>
      </c>
    </row>
    <row r="941" spans="1:66" x14ac:dyDescent="0.35">
      <c r="A941" t="s">
        <v>5367</v>
      </c>
      <c r="B941" s="44" t="s">
        <v>48</v>
      </c>
      <c r="C941" t="s">
        <v>5371</v>
      </c>
      <c r="D941" t="s">
        <v>1252</v>
      </c>
      <c r="E941" t="s">
        <v>5368</v>
      </c>
      <c r="F941" t="s">
        <v>5359</v>
      </c>
      <c r="G941" t="s">
        <v>47</v>
      </c>
      <c r="H941">
        <v>0</v>
      </c>
      <c r="I941" s="60" t="s">
        <v>51</v>
      </c>
      <c r="J941" s="33" t="s">
        <v>45</v>
      </c>
      <c r="K941" s="46">
        <v>1</v>
      </c>
      <c r="L941">
        <v>77.3</v>
      </c>
      <c r="M941" t="s">
        <v>48</v>
      </c>
      <c r="N941" s="46">
        <v>1</v>
      </c>
      <c r="O941" s="46">
        <v>0</v>
      </c>
      <c r="P941" s="46">
        <v>0</v>
      </c>
      <c r="Q941" t="s">
        <v>48</v>
      </c>
      <c r="R941" t="s">
        <v>48</v>
      </c>
      <c r="S941" t="s">
        <v>5369</v>
      </c>
      <c r="T941" t="s">
        <v>5370</v>
      </c>
      <c r="U941" t="s">
        <v>5369</v>
      </c>
      <c r="V941" s="47">
        <v>0</v>
      </c>
      <c r="W941" t="s">
        <v>48</v>
      </c>
      <c r="X941" t="s">
        <v>48</v>
      </c>
      <c r="Y941" t="s">
        <v>48</v>
      </c>
      <c r="Z941">
        <v>0</v>
      </c>
      <c r="AA941" t="s">
        <v>48</v>
      </c>
      <c r="AB941">
        <v>2012</v>
      </c>
      <c r="AC941" t="s">
        <v>49</v>
      </c>
      <c r="AD941" t="s">
        <v>93</v>
      </c>
      <c r="AE941" t="s">
        <v>4532</v>
      </c>
      <c r="AF941" t="s">
        <v>48</v>
      </c>
      <c r="AG941" t="s">
        <v>140</v>
      </c>
      <c r="AH941" t="s">
        <v>93</v>
      </c>
      <c r="AI941">
        <v>21351</v>
      </c>
      <c r="AJ941">
        <v>1958</v>
      </c>
      <c r="AK941" t="s">
        <v>9178</v>
      </c>
      <c r="AL941" t="s">
        <v>9179</v>
      </c>
      <c r="AM941">
        <v>0.53600000000000003</v>
      </c>
      <c r="AN941">
        <v>0.21299999999999999</v>
      </c>
      <c r="AO941">
        <v>0.53600000000000003</v>
      </c>
      <c r="AP941" s="46">
        <v>0</v>
      </c>
      <c r="AQ941" s="46">
        <v>0</v>
      </c>
      <c r="AR941" s="46">
        <v>0</v>
      </c>
      <c r="AS941" s="46">
        <v>0</v>
      </c>
      <c r="AT941" s="46">
        <v>0</v>
      </c>
      <c r="AU941" s="46">
        <v>0</v>
      </c>
      <c r="AV941" s="46">
        <v>0</v>
      </c>
      <c r="AW941" s="46">
        <v>0</v>
      </c>
      <c r="AX941" s="46">
        <v>0</v>
      </c>
      <c r="AY941" s="46">
        <v>0</v>
      </c>
      <c r="AZ941" s="46">
        <v>0</v>
      </c>
      <c r="BA941" s="46">
        <v>0</v>
      </c>
      <c r="BB941" s="46">
        <v>1</v>
      </c>
      <c r="BC941" s="46">
        <v>0</v>
      </c>
      <c r="BD941" s="46">
        <v>0</v>
      </c>
      <c r="BE941" s="46">
        <v>0</v>
      </c>
      <c r="BF941" s="46">
        <v>0</v>
      </c>
      <c r="BG941" s="46">
        <v>1</v>
      </c>
      <c r="BH941" s="46">
        <v>0</v>
      </c>
      <c r="BI941" s="46">
        <v>0</v>
      </c>
      <c r="BJ941" s="46">
        <v>0</v>
      </c>
      <c r="BK941" s="46">
        <v>0</v>
      </c>
      <c r="BL941" s="46">
        <v>0</v>
      </c>
      <c r="BM941" s="46">
        <v>0</v>
      </c>
      <c r="BN941" s="46">
        <v>0</v>
      </c>
    </row>
    <row r="942" spans="1:66" x14ac:dyDescent="0.35">
      <c r="A942" t="s">
        <v>5363</v>
      </c>
      <c r="B942" s="44" t="s">
        <v>48</v>
      </c>
      <c r="C942" t="s">
        <v>5366</v>
      </c>
      <c r="D942" t="s">
        <v>5365</v>
      </c>
      <c r="E942" t="s">
        <v>5364</v>
      </c>
      <c r="F942" t="s">
        <v>5359</v>
      </c>
      <c r="G942" t="s">
        <v>74</v>
      </c>
      <c r="H942">
        <v>0</v>
      </c>
      <c r="I942" s="60" t="s">
        <v>177</v>
      </c>
      <c r="J942" s="33" t="s">
        <v>45</v>
      </c>
      <c r="K942" s="46">
        <v>0</v>
      </c>
      <c r="L942">
        <v>72.099999999999994</v>
      </c>
      <c r="M942" t="s">
        <v>48</v>
      </c>
      <c r="N942" s="46">
        <v>1</v>
      </c>
      <c r="O942" s="46">
        <v>0</v>
      </c>
      <c r="P942" s="46">
        <v>0</v>
      </c>
      <c r="Q942" t="s">
        <v>48</v>
      </c>
      <c r="R942" t="s">
        <v>48</v>
      </c>
      <c r="S942" t="s">
        <v>10356</v>
      </c>
      <c r="T942" t="s">
        <v>48</v>
      </c>
      <c r="U942" t="s">
        <v>10356</v>
      </c>
      <c r="V942" s="47">
        <v>0</v>
      </c>
      <c r="W942" t="s">
        <v>48</v>
      </c>
      <c r="X942" t="s">
        <v>48</v>
      </c>
      <c r="Y942" t="s">
        <v>48</v>
      </c>
      <c r="Z942">
        <v>0</v>
      </c>
      <c r="AA942" t="s">
        <v>48</v>
      </c>
      <c r="AB942" t="s">
        <v>48</v>
      </c>
      <c r="AC942" t="s">
        <v>63</v>
      </c>
      <c r="AD942" t="s">
        <v>93</v>
      </c>
      <c r="AE942" t="s">
        <v>4532</v>
      </c>
      <c r="AF942" t="s">
        <v>48</v>
      </c>
      <c r="AG942" t="s">
        <v>48</v>
      </c>
      <c r="AH942" t="s">
        <v>48</v>
      </c>
      <c r="AI942" t="s">
        <v>48</v>
      </c>
      <c r="AJ942" t="s">
        <v>48</v>
      </c>
      <c r="AK942" t="s">
        <v>48</v>
      </c>
      <c r="AL942" t="s">
        <v>48</v>
      </c>
      <c r="AM942" t="s">
        <v>48</v>
      </c>
      <c r="AN942" t="s">
        <v>48</v>
      </c>
      <c r="AO942" t="s">
        <v>48</v>
      </c>
      <c r="AP942" s="46">
        <v>0</v>
      </c>
      <c r="AQ942" s="46">
        <v>0</v>
      </c>
      <c r="AR942" s="46">
        <v>0</v>
      </c>
      <c r="AS942" s="46">
        <v>0</v>
      </c>
      <c r="AT942" s="46">
        <v>0</v>
      </c>
      <c r="AU942" s="46">
        <v>0</v>
      </c>
      <c r="AV942" s="46">
        <v>0</v>
      </c>
      <c r="AW942" s="46">
        <v>0</v>
      </c>
      <c r="AX942" s="46">
        <v>0</v>
      </c>
      <c r="AY942" s="46">
        <v>0</v>
      </c>
      <c r="AZ942" s="46">
        <v>0</v>
      </c>
      <c r="BA942" s="46">
        <v>0</v>
      </c>
      <c r="BB942" s="46">
        <v>0</v>
      </c>
      <c r="BC942" s="46">
        <v>0</v>
      </c>
      <c r="BD942" s="46">
        <v>0</v>
      </c>
      <c r="BE942" s="46">
        <v>0</v>
      </c>
      <c r="BF942" s="46">
        <v>0</v>
      </c>
      <c r="BG942" s="46" t="s">
        <v>48</v>
      </c>
      <c r="BH942" s="46">
        <v>0</v>
      </c>
      <c r="BI942" s="46">
        <v>0</v>
      </c>
      <c r="BJ942" s="46">
        <v>0</v>
      </c>
      <c r="BK942" s="46">
        <v>0</v>
      </c>
      <c r="BL942" s="46">
        <v>0</v>
      </c>
      <c r="BM942" s="46">
        <v>0</v>
      </c>
      <c r="BN942" s="46">
        <v>0</v>
      </c>
    </row>
    <row r="943" spans="1:66" x14ac:dyDescent="0.35">
      <c r="A943" t="s">
        <v>5372</v>
      </c>
      <c r="B943" s="44" t="s">
        <v>48</v>
      </c>
      <c r="C943" t="s">
        <v>5378</v>
      </c>
      <c r="D943" t="s">
        <v>5377</v>
      </c>
      <c r="E943" t="s">
        <v>5374</v>
      </c>
      <c r="F943" t="s">
        <v>5373</v>
      </c>
      <c r="G943" t="s">
        <v>74</v>
      </c>
      <c r="H943">
        <v>0</v>
      </c>
      <c r="I943" s="60" t="s">
        <v>51</v>
      </c>
      <c r="J943" s="33" t="s">
        <v>45</v>
      </c>
      <c r="K943" s="46">
        <v>1</v>
      </c>
      <c r="L943">
        <v>100</v>
      </c>
      <c r="M943" t="s">
        <v>48</v>
      </c>
      <c r="N943" s="46">
        <v>1</v>
      </c>
      <c r="O943" s="46">
        <v>0</v>
      </c>
      <c r="P943" s="46">
        <v>0</v>
      </c>
      <c r="Q943" t="s">
        <v>48</v>
      </c>
      <c r="R943" t="s">
        <v>48</v>
      </c>
      <c r="S943" t="s">
        <v>5375</v>
      </c>
      <c r="T943" t="s">
        <v>5376</v>
      </c>
      <c r="U943" t="s">
        <v>5375</v>
      </c>
      <c r="V943" s="47">
        <v>0</v>
      </c>
      <c r="W943" t="s">
        <v>48</v>
      </c>
      <c r="X943" t="s">
        <v>48</v>
      </c>
      <c r="Y943" t="s">
        <v>48</v>
      </c>
      <c r="Z943">
        <v>0</v>
      </c>
      <c r="AA943" t="s">
        <v>48</v>
      </c>
      <c r="AB943">
        <v>2012</v>
      </c>
      <c r="AC943" t="s">
        <v>63</v>
      </c>
      <c r="AD943" t="s">
        <v>93</v>
      </c>
      <c r="AE943" s="40" t="s">
        <v>2471</v>
      </c>
      <c r="AF943" t="s">
        <v>11061</v>
      </c>
      <c r="AG943" t="s">
        <v>151</v>
      </c>
      <c r="AH943" t="s">
        <v>93</v>
      </c>
      <c r="AI943">
        <v>21352</v>
      </c>
      <c r="AJ943">
        <v>1950</v>
      </c>
      <c r="AK943" t="s">
        <v>9180</v>
      </c>
      <c r="AL943" t="s">
        <v>9181</v>
      </c>
      <c r="AM943">
        <v>-0.434</v>
      </c>
      <c r="AN943">
        <v>5.3999999999999999E-2</v>
      </c>
      <c r="AO943">
        <v>-0.434</v>
      </c>
      <c r="AP943" s="46">
        <v>0</v>
      </c>
      <c r="AQ943" s="46">
        <v>0</v>
      </c>
      <c r="AR943" s="46">
        <v>0</v>
      </c>
      <c r="AS943" s="46">
        <v>0</v>
      </c>
      <c r="AT943" s="46">
        <v>0</v>
      </c>
      <c r="AU943" s="46">
        <v>0</v>
      </c>
      <c r="AV943" s="46">
        <v>0</v>
      </c>
      <c r="AW943" s="46">
        <v>0</v>
      </c>
      <c r="AX943" s="46">
        <v>0</v>
      </c>
      <c r="AY943" s="46">
        <v>0</v>
      </c>
      <c r="AZ943" s="46">
        <v>0</v>
      </c>
      <c r="BA943" s="46">
        <v>0</v>
      </c>
      <c r="BB943" s="46">
        <v>0</v>
      </c>
      <c r="BC943" s="46">
        <v>0</v>
      </c>
      <c r="BD943" s="46">
        <v>0</v>
      </c>
      <c r="BE943" s="46">
        <v>0</v>
      </c>
      <c r="BF943" s="46">
        <v>0</v>
      </c>
      <c r="BG943" s="46" t="s">
        <v>48</v>
      </c>
      <c r="BH943" s="46">
        <v>0</v>
      </c>
      <c r="BI943" s="46">
        <v>0</v>
      </c>
      <c r="BJ943" s="46">
        <v>0</v>
      </c>
      <c r="BK943" s="46">
        <v>0</v>
      </c>
      <c r="BL943" s="46">
        <v>0</v>
      </c>
      <c r="BM943" s="46">
        <v>0</v>
      </c>
      <c r="BN943" s="46">
        <v>0</v>
      </c>
    </row>
    <row r="944" spans="1:66" ht="15" x14ac:dyDescent="0.4">
      <c r="A944" t="s">
        <v>11220</v>
      </c>
      <c r="B944" s="44" t="s">
        <v>48</v>
      </c>
      <c r="C944" t="s">
        <v>12235</v>
      </c>
      <c r="D944" t="s">
        <v>1034</v>
      </c>
      <c r="E944" t="s">
        <v>11221</v>
      </c>
      <c r="F944" t="s">
        <v>5373</v>
      </c>
      <c r="G944" t="s">
        <v>47</v>
      </c>
      <c r="H944">
        <v>0</v>
      </c>
      <c r="I944" s="60" t="s">
        <v>11160</v>
      </c>
      <c r="J944" s="33" t="s">
        <v>45</v>
      </c>
      <c r="K944" s="46">
        <v>0</v>
      </c>
      <c r="L944">
        <v>100</v>
      </c>
      <c r="M944" t="s">
        <v>48</v>
      </c>
      <c r="N944" s="46">
        <v>1</v>
      </c>
      <c r="O944" s="46">
        <v>0</v>
      </c>
      <c r="P944" s="46">
        <v>0</v>
      </c>
      <c r="Q944" t="s">
        <v>48</v>
      </c>
      <c r="R944" t="s">
        <v>48</v>
      </c>
      <c r="S944" s="55" t="s">
        <v>11222</v>
      </c>
      <c r="T944" t="s">
        <v>48</v>
      </c>
      <c r="U944" s="55" t="s">
        <v>11222</v>
      </c>
      <c r="V944" s="47" t="s">
        <v>48</v>
      </c>
      <c r="W944" t="s">
        <v>48</v>
      </c>
      <c r="X944" t="s">
        <v>48</v>
      </c>
      <c r="Y944" t="s">
        <v>48</v>
      </c>
      <c r="Z944" t="s">
        <v>48</v>
      </c>
      <c r="AA944" t="s">
        <v>48</v>
      </c>
      <c r="AB944" t="s">
        <v>48</v>
      </c>
      <c r="AC944" t="s">
        <v>48</v>
      </c>
      <c r="AD944" t="s">
        <v>48</v>
      </c>
      <c r="AE944" t="s">
        <v>48</v>
      </c>
      <c r="AF944" t="s">
        <v>48</v>
      </c>
      <c r="AG944" t="s">
        <v>48</v>
      </c>
      <c r="AH944" t="s">
        <v>48</v>
      </c>
      <c r="AI944" t="s">
        <v>48</v>
      </c>
      <c r="AJ944" t="s">
        <v>48</v>
      </c>
      <c r="AK944" t="s">
        <v>48</v>
      </c>
      <c r="AL944" t="s">
        <v>48</v>
      </c>
      <c r="AM944" t="s">
        <v>48</v>
      </c>
      <c r="AN944" t="s">
        <v>48</v>
      </c>
      <c r="AO944" t="s">
        <v>48</v>
      </c>
      <c r="AP944" s="46">
        <v>0</v>
      </c>
      <c r="AQ944" s="46">
        <v>0</v>
      </c>
      <c r="AR944" s="46">
        <v>0</v>
      </c>
      <c r="AS944" s="46">
        <v>0</v>
      </c>
      <c r="AT944" s="46">
        <v>0</v>
      </c>
      <c r="AU944" s="46">
        <v>0</v>
      </c>
      <c r="AV944" s="46">
        <v>0</v>
      </c>
      <c r="AW944" s="46">
        <v>0</v>
      </c>
      <c r="AX944" s="46">
        <v>0</v>
      </c>
      <c r="AY944" s="46">
        <v>0</v>
      </c>
      <c r="AZ944" s="46">
        <v>0</v>
      </c>
      <c r="BA944" s="46">
        <v>0</v>
      </c>
      <c r="BB944" s="46">
        <v>0</v>
      </c>
      <c r="BC944" s="46">
        <v>1</v>
      </c>
      <c r="BD944" s="46">
        <v>1</v>
      </c>
      <c r="BE944" s="46">
        <v>0</v>
      </c>
      <c r="BF944" s="46">
        <v>0</v>
      </c>
      <c r="BG944" s="46" t="s">
        <v>48</v>
      </c>
      <c r="BH944" s="46">
        <v>0</v>
      </c>
      <c r="BI944" s="46">
        <v>0</v>
      </c>
      <c r="BJ944" s="46">
        <v>0</v>
      </c>
      <c r="BK944" s="46">
        <v>0</v>
      </c>
      <c r="BL944" s="46">
        <v>0</v>
      </c>
      <c r="BM944" s="46">
        <v>0</v>
      </c>
      <c r="BN944" s="46">
        <v>1</v>
      </c>
    </row>
    <row r="945" spans="1:66" x14ac:dyDescent="0.35">
      <c r="A945" t="s">
        <v>5379</v>
      </c>
      <c r="B945" s="44" t="s">
        <v>48</v>
      </c>
      <c r="C945" t="s">
        <v>5384</v>
      </c>
      <c r="D945" t="s">
        <v>829</v>
      </c>
      <c r="E945" t="s">
        <v>5381</v>
      </c>
      <c r="F945" t="s">
        <v>5380</v>
      </c>
      <c r="G945" t="s">
        <v>47</v>
      </c>
      <c r="H945">
        <v>0</v>
      </c>
      <c r="I945" s="60" t="s">
        <v>51</v>
      </c>
      <c r="J945" s="33" t="s">
        <v>45</v>
      </c>
      <c r="K945" s="46">
        <v>1</v>
      </c>
      <c r="L945">
        <v>100</v>
      </c>
      <c r="M945" t="s">
        <v>48</v>
      </c>
      <c r="N945" s="46">
        <v>1</v>
      </c>
      <c r="O945" s="46">
        <v>0</v>
      </c>
      <c r="P945" s="46">
        <v>0</v>
      </c>
      <c r="Q945" t="s">
        <v>48</v>
      </c>
      <c r="R945" t="s">
        <v>48</v>
      </c>
      <c r="S945" t="s">
        <v>5382</v>
      </c>
      <c r="T945" t="s">
        <v>5383</v>
      </c>
      <c r="U945" t="s">
        <v>5382</v>
      </c>
      <c r="V945" s="47">
        <v>0</v>
      </c>
      <c r="W945" t="s">
        <v>48</v>
      </c>
      <c r="X945" t="s">
        <v>48</v>
      </c>
      <c r="Y945" t="s">
        <v>48</v>
      </c>
      <c r="Z945">
        <v>0</v>
      </c>
      <c r="AA945" t="s">
        <v>48</v>
      </c>
      <c r="AB945">
        <v>2006</v>
      </c>
      <c r="AC945" t="s">
        <v>49</v>
      </c>
      <c r="AD945" t="s">
        <v>93</v>
      </c>
      <c r="AE945" t="s">
        <v>4532</v>
      </c>
      <c r="AF945" t="s">
        <v>48</v>
      </c>
      <c r="AG945" t="s">
        <v>112</v>
      </c>
      <c r="AH945" t="s">
        <v>93</v>
      </c>
      <c r="AI945">
        <v>20738</v>
      </c>
      <c r="AJ945">
        <v>1964</v>
      </c>
      <c r="AK945" t="s">
        <v>9182</v>
      </c>
      <c r="AL945" t="s">
        <v>9183</v>
      </c>
      <c r="AM945">
        <v>0.71699999999999997</v>
      </c>
      <c r="AN945">
        <v>-0.20100000000000001</v>
      </c>
      <c r="AO945">
        <v>0.71699999999999997</v>
      </c>
      <c r="AP945" s="46">
        <v>0</v>
      </c>
      <c r="AQ945" s="46">
        <v>0</v>
      </c>
      <c r="AR945" s="46">
        <v>0</v>
      </c>
      <c r="AS945" s="46">
        <v>0</v>
      </c>
      <c r="AT945" s="46">
        <v>0</v>
      </c>
      <c r="AU945" s="46">
        <v>0</v>
      </c>
      <c r="AV945" s="46">
        <v>0</v>
      </c>
      <c r="AW945" s="46">
        <v>0</v>
      </c>
      <c r="AX945" s="46">
        <v>0</v>
      </c>
      <c r="AY945" s="46">
        <v>0</v>
      </c>
      <c r="AZ945" s="46">
        <v>0</v>
      </c>
      <c r="BA945" s="46">
        <v>0</v>
      </c>
      <c r="BB945" s="46">
        <v>0</v>
      </c>
      <c r="BC945" s="46">
        <v>0</v>
      </c>
      <c r="BD945" s="46">
        <v>0</v>
      </c>
      <c r="BE945" s="46">
        <v>0</v>
      </c>
      <c r="BF945" s="46">
        <v>1</v>
      </c>
      <c r="BG945" s="46">
        <v>1</v>
      </c>
      <c r="BH945" s="46">
        <v>0</v>
      </c>
      <c r="BI945" s="46">
        <v>0</v>
      </c>
      <c r="BJ945" s="46">
        <v>0</v>
      </c>
      <c r="BK945" s="46">
        <v>0</v>
      </c>
      <c r="BL945" s="46">
        <v>0</v>
      </c>
      <c r="BM945" s="46">
        <v>0</v>
      </c>
      <c r="BN945" s="46">
        <v>1</v>
      </c>
    </row>
    <row r="946" spans="1:66" x14ac:dyDescent="0.35">
      <c r="A946" t="s">
        <v>5465</v>
      </c>
      <c r="B946" s="44" t="s">
        <v>48</v>
      </c>
      <c r="C946" t="s">
        <v>1201</v>
      </c>
      <c r="D946" t="s">
        <v>5468</v>
      </c>
      <c r="E946" t="s">
        <v>5466</v>
      </c>
      <c r="F946" t="s">
        <v>5380</v>
      </c>
      <c r="G946" t="s">
        <v>74</v>
      </c>
      <c r="H946">
        <v>0</v>
      </c>
      <c r="I946" s="60" t="s">
        <v>51</v>
      </c>
      <c r="J946" s="33" t="s">
        <v>45</v>
      </c>
      <c r="K946" s="46">
        <v>0</v>
      </c>
      <c r="L946">
        <v>51.7</v>
      </c>
      <c r="M946" t="s">
        <v>48</v>
      </c>
      <c r="N946" s="46">
        <v>1</v>
      </c>
      <c r="O946" s="46">
        <v>0</v>
      </c>
      <c r="P946" s="46">
        <v>0</v>
      </c>
      <c r="Q946" t="s">
        <v>48</v>
      </c>
      <c r="R946" t="s">
        <v>48</v>
      </c>
      <c r="S946" t="s">
        <v>5467</v>
      </c>
      <c r="T946" t="s">
        <v>48</v>
      </c>
      <c r="U946" t="s">
        <v>5467</v>
      </c>
      <c r="V946" s="47">
        <v>0</v>
      </c>
      <c r="W946" t="s">
        <v>11317</v>
      </c>
      <c r="X946" t="s">
        <v>48</v>
      </c>
      <c r="Y946" t="s">
        <v>48</v>
      </c>
      <c r="Z946">
        <v>0</v>
      </c>
      <c r="AA946" t="s">
        <v>48</v>
      </c>
      <c r="AB946" t="s">
        <v>48</v>
      </c>
      <c r="AC946" t="s">
        <v>63</v>
      </c>
      <c r="AD946" t="s">
        <v>48</v>
      </c>
      <c r="AE946" t="s">
        <v>48</v>
      </c>
      <c r="AF946" t="s">
        <v>48</v>
      </c>
      <c r="AG946" t="s">
        <v>48</v>
      </c>
      <c r="AH946" t="s">
        <v>48</v>
      </c>
      <c r="AI946" t="s">
        <v>48</v>
      </c>
      <c r="AJ946" t="s">
        <v>48</v>
      </c>
      <c r="AK946" t="s">
        <v>48</v>
      </c>
      <c r="AL946" t="s">
        <v>48</v>
      </c>
      <c r="AM946" t="s">
        <v>48</v>
      </c>
      <c r="AN946" t="s">
        <v>48</v>
      </c>
      <c r="AO946" t="s">
        <v>48</v>
      </c>
      <c r="AP946" s="46">
        <v>0</v>
      </c>
      <c r="AQ946" s="46">
        <v>0</v>
      </c>
      <c r="AR946" s="46">
        <v>0</v>
      </c>
      <c r="AS946" s="46">
        <v>0</v>
      </c>
      <c r="AT946" s="46">
        <v>0</v>
      </c>
      <c r="AU946" s="46">
        <v>0</v>
      </c>
      <c r="AV946" s="46">
        <v>0</v>
      </c>
      <c r="AW946" s="46">
        <v>0</v>
      </c>
      <c r="AX946" s="46">
        <v>0</v>
      </c>
      <c r="AY946" s="46">
        <v>0</v>
      </c>
      <c r="AZ946" s="46">
        <v>0</v>
      </c>
      <c r="BA946" s="46">
        <v>0</v>
      </c>
      <c r="BB946" s="46">
        <v>0</v>
      </c>
      <c r="BC946" s="46">
        <v>0</v>
      </c>
      <c r="BD946" s="46">
        <v>0</v>
      </c>
      <c r="BE946" s="46">
        <v>0</v>
      </c>
      <c r="BF946" s="46">
        <v>0</v>
      </c>
      <c r="BG946" s="46" t="s">
        <v>48</v>
      </c>
      <c r="BH946" s="46">
        <v>0</v>
      </c>
      <c r="BI946" s="46">
        <v>0</v>
      </c>
      <c r="BJ946" s="46">
        <v>0</v>
      </c>
      <c r="BK946" s="46">
        <v>0</v>
      </c>
      <c r="BL946" s="46">
        <v>0</v>
      </c>
      <c r="BM946" s="46">
        <v>0</v>
      </c>
      <c r="BN946" s="46">
        <v>0</v>
      </c>
    </row>
    <row r="947" spans="1:66" x14ac:dyDescent="0.35">
      <c r="A947" t="s">
        <v>5390</v>
      </c>
      <c r="B947" s="44" t="s">
        <v>48</v>
      </c>
      <c r="C947" t="s">
        <v>5395</v>
      </c>
      <c r="D947" t="s">
        <v>2513</v>
      </c>
      <c r="E947" t="s">
        <v>5391</v>
      </c>
      <c r="F947" t="s">
        <v>5389</v>
      </c>
      <c r="G947" t="s">
        <v>47</v>
      </c>
      <c r="H947">
        <v>0</v>
      </c>
      <c r="I947" s="60" t="s">
        <v>51</v>
      </c>
      <c r="J947" s="33" t="s">
        <v>45</v>
      </c>
      <c r="K947" s="46">
        <v>1</v>
      </c>
      <c r="L947">
        <v>100</v>
      </c>
      <c r="M947" t="s">
        <v>48</v>
      </c>
      <c r="N947" s="46">
        <v>1</v>
      </c>
      <c r="O947" s="46">
        <v>0</v>
      </c>
      <c r="P947" s="46">
        <v>0</v>
      </c>
      <c r="Q947" t="s">
        <v>48</v>
      </c>
      <c r="R947" t="s">
        <v>48</v>
      </c>
      <c r="S947" t="s">
        <v>5392</v>
      </c>
      <c r="T947" t="s">
        <v>5393</v>
      </c>
      <c r="U947" t="s">
        <v>5392</v>
      </c>
      <c r="V947" s="47">
        <v>0</v>
      </c>
      <c r="W947" t="s">
        <v>48</v>
      </c>
      <c r="X947" t="s">
        <v>48</v>
      </c>
      <c r="Y947" t="s">
        <v>48</v>
      </c>
      <c r="Z947">
        <v>0</v>
      </c>
      <c r="AA947" t="s">
        <v>48</v>
      </c>
      <c r="AB947" t="s">
        <v>5394</v>
      </c>
      <c r="AC947" t="s">
        <v>49</v>
      </c>
      <c r="AD947" t="s">
        <v>93</v>
      </c>
      <c r="AE947" t="s">
        <v>4532</v>
      </c>
      <c r="AF947" t="s">
        <v>48</v>
      </c>
      <c r="AG947" t="s">
        <v>140</v>
      </c>
      <c r="AH947" t="s">
        <v>93</v>
      </c>
      <c r="AI947">
        <v>20755</v>
      </c>
      <c r="AJ947">
        <v>1956</v>
      </c>
      <c r="AK947" t="s">
        <v>9184</v>
      </c>
      <c r="AL947" t="s">
        <v>9185</v>
      </c>
      <c r="AM947">
        <v>0.51300000000000001</v>
      </c>
      <c r="AN947">
        <v>0.27100000000000002</v>
      </c>
      <c r="AO947">
        <v>0.51300000000000001</v>
      </c>
      <c r="AP947" s="46">
        <v>0</v>
      </c>
      <c r="AQ947" s="46">
        <v>0</v>
      </c>
      <c r="AR947" s="46">
        <v>0</v>
      </c>
      <c r="AS947" s="46">
        <v>0</v>
      </c>
      <c r="AT947" s="46">
        <v>0</v>
      </c>
      <c r="AU947" s="46">
        <v>0</v>
      </c>
      <c r="AV947" s="46">
        <v>0</v>
      </c>
      <c r="AW947" s="46">
        <v>0</v>
      </c>
      <c r="AX947" s="46">
        <v>0</v>
      </c>
      <c r="AY947" s="46">
        <v>0</v>
      </c>
      <c r="AZ947" s="46">
        <v>0</v>
      </c>
      <c r="BA947" s="46">
        <v>0</v>
      </c>
      <c r="BB947" s="46">
        <v>1</v>
      </c>
      <c r="BC947" s="46">
        <v>0</v>
      </c>
      <c r="BD947" s="46">
        <v>0</v>
      </c>
      <c r="BE947" s="46">
        <v>0</v>
      </c>
      <c r="BF947" s="46">
        <v>0</v>
      </c>
      <c r="BG947" s="46">
        <v>1</v>
      </c>
      <c r="BH947" s="46">
        <v>0</v>
      </c>
      <c r="BI947" s="46">
        <v>0</v>
      </c>
      <c r="BJ947" s="46">
        <v>0</v>
      </c>
      <c r="BK947" s="46">
        <v>0</v>
      </c>
      <c r="BL947" s="46">
        <v>0</v>
      </c>
      <c r="BM947" s="46">
        <v>0</v>
      </c>
      <c r="BN947" s="46">
        <v>0</v>
      </c>
    </row>
    <row r="948" spans="1:66" x14ac:dyDescent="0.35">
      <c r="A948" t="s">
        <v>5404</v>
      </c>
      <c r="B948" s="44" t="s">
        <v>48</v>
      </c>
      <c r="C948" t="s">
        <v>5406</v>
      </c>
      <c r="D948" t="s">
        <v>818</v>
      </c>
      <c r="E948" t="s">
        <v>11223</v>
      </c>
      <c r="F948" t="s">
        <v>5389</v>
      </c>
      <c r="G948" t="s">
        <v>74</v>
      </c>
      <c r="H948">
        <v>0</v>
      </c>
      <c r="I948" s="60" t="s">
        <v>149</v>
      </c>
      <c r="J948" s="33" t="s">
        <v>45</v>
      </c>
      <c r="K948" s="46">
        <v>0</v>
      </c>
      <c r="L948">
        <v>55.2</v>
      </c>
      <c r="M948" t="s">
        <v>48</v>
      </c>
      <c r="N948" s="46">
        <v>1</v>
      </c>
      <c r="O948" s="46">
        <v>0</v>
      </c>
      <c r="P948" s="46">
        <v>0</v>
      </c>
      <c r="Q948" t="s">
        <v>48</v>
      </c>
      <c r="R948" t="s">
        <v>48</v>
      </c>
      <c r="S948" t="s">
        <v>5405</v>
      </c>
      <c r="T948" t="s">
        <v>48</v>
      </c>
      <c r="U948" t="s">
        <v>5405</v>
      </c>
      <c r="V948" s="47">
        <v>1</v>
      </c>
      <c r="W948" t="s">
        <v>48</v>
      </c>
      <c r="X948" t="s">
        <v>48</v>
      </c>
      <c r="Y948" t="s">
        <v>48</v>
      </c>
      <c r="Z948">
        <v>0</v>
      </c>
      <c r="AA948" t="s">
        <v>48</v>
      </c>
      <c r="AB948" t="s">
        <v>48</v>
      </c>
      <c r="AC948" t="s">
        <v>49</v>
      </c>
      <c r="AD948" t="s">
        <v>93</v>
      </c>
      <c r="AE948" t="s">
        <v>4532</v>
      </c>
      <c r="AF948" t="s">
        <v>48</v>
      </c>
      <c r="AG948" t="s">
        <v>48</v>
      </c>
      <c r="AH948" t="s">
        <v>48</v>
      </c>
      <c r="AI948" t="s">
        <v>48</v>
      </c>
      <c r="AJ948" t="s">
        <v>48</v>
      </c>
      <c r="AK948" t="s">
        <v>48</v>
      </c>
      <c r="AL948" t="s">
        <v>48</v>
      </c>
      <c r="AM948" t="s">
        <v>48</v>
      </c>
      <c r="AN948" t="s">
        <v>48</v>
      </c>
      <c r="AO948" t="s">
        <v>48</v>
      </c>
      <c r="AP948" s="46">
        <v>0</v>
      </c>
      <c r="AQ948" s="46">
        <v>0</v>
      </c>
      <c r="AR948" s="46">
        <v>0</v>
      </c>
      <c r="AS948" s="46">
        <v>0</v>
      </c>
      <c r="AT948" s="46">
        <v>0</v>
      </c>
      <c r="AU948" s="46">
        <v>0</v>
      </c>
      <c r="AV948" s="46">
        <v>0</v>
      </c>
      <c r="AW948" s="46">
        <v>0</v>
      </c>
      <c r="AX948" s="46">
        <v>0</v>
      </c>
      <c r="AY948" s="46">
        <v>0</v>
      </c>
      <c r="AZ948" s="46">
        <v>0</v>
      </c>
      <c r="BA948" s="46">
        <v>0</v>
      </c>
      <c r="BB948" s="46">
        <v>0</v>
      </c>
      <c r="BC948" s="46">
        <v>0</v>
      </c>
      <c r="BD948" s="46">
        <v>0</v>
      </c>
      <c r="BE948" s="46">
        <v>0</v>
      </c>
      <c r="BF948" s="46">
        <v>0</v>
      </c>
      <c r="BG948" s="46" t="s">
        <v>48</v>
      </c>
      <c r="BH948" s="46">
        <v>0</v>
      </c>
      <c r="BI948" s="46">
        <v>0</v>
      </c>
      <c r="BJ948" s="46">
        <v>0</v>
      </c>
      <c r="BK948" s="46">
        <v>0</v>
      </c>
      <c r="BL948" s="46">
        <v>0</v>
      </c>
      <c r="BM948" s="46">
        <v>0</v>
      </c>
      <c r="BN948" s="46">
        <v>0</v>
      </c>
    </row>
    <row r="949" spans="1:66" x14ac:dyDescent="0.35">
      <c r="A949" t="s">
        <v>5396</v>
      </c>
      <c r="B949" t="s">
        <v>48</v>
      </c>
      <c r="C949" t="s">
        <v>718</v>
      </c>
      <c r="D949" t="s">
        <v>1915</v>
      </c>
      <c r="E949" t="s">
        <v>5398</v>
      </c>
      <c r="F949" t="s">
        <v>5397</v>
      </c>
      <c r="G949" t="s">
        <v>47</v>
      </c>
      <c r="H949">
        <v>0</v>
      </c>
      <c r="I949" s="60" t="s">
        <v>51</v>
      </c>
      <c r="J949" s="33" t="s">
        <v>45</v>
      </c>
      <c r="K949" s="46">
        <v>1</v>
      </c>
      <c r="L949">
        <v>77.3</v>
      </c>
      <c r="M949" t="s">
        <v>48</v>
      </c>
      <c r="N949" s="46">
        <v>1</v>
      </c>
      <c r="O949" s="46">
        <v>0</v>
      </c>
      <c r="P949" s="46">
        <v>0</v>
      </c>
      <c r="Q949" t="s">
        <v>48</v>
      </c>
      <c r="R949" t="s">
        <v>48</v>
      </c>
      <c r="S949" t="s">
        <v>5399</v>
      </c>
      <c r="T949" t="s">
        <v>5400</v>
      </c>
      <c r="U949" t="s">
        <v>5399</v>
      </c>
      <c r="V949" s="47">
        <v>0</v>
      </c>
      <c r="W949" t="s">
        <v>48</v>
      </c>
      <c r="X949" t="s">
        <v>48</v>
      </c>
      <c r="Y949" t="s">
        <v>48</v>
      </c>
      <c r="Z949">
        <v>0</v>
      </c>
      <c r="AA949" t="s">
        <v>48</v>
      </c>
      <c r="AB949">
        <v>2010</v>
      </c>
      <c r="AC949" t="s">
        <v>49</v>
      </c>
      <c r="AD949" t="s">
        <v>93</v>
      </c>
      <c r="AE949" t="s">
        <v>4532</v>
      </c>
      <c r="AF949" t="s">
        <v>48</v>
      </c>
      <c r="AG949" t="s">
        <v>112</v>
      </c>
      <c r="AH949" t="s">
        <v>93</v>
      </c>
      <c r="AI949">
        <v>21162</v>
      </c>
      <c r="AJ949">
        <v>1954</v>
      </c>
      <c r="AK949" t="s">
        <v>9186</v>
      </c>
      <c r="AL949" t="s">
        <v>9187</v>
      </c>
      <c r="AM949">
        <v>0.42399999999999999</v>
      </c>
      <c r="AN949">
        <v>0.27500000000000002</v>
      </c>
      <c r="AO949">
        <v>0.42399999999999999</v>
      </c>
      <c r="AP949" s="46">
        <v>0</v>
      </c>
      <c r="AQ949" s="46">
        <v>0</v>
      </c>
      <c r="AR949" s="46">
        <v>0</v>
      </c>
      <c r="AS949" s="46">
        <v>0</v>
      </c>
      <c r="AT949" s="46">
        <v>0</v>
      </c>
      <c r="AU949" s="46">
        <v>0</v>
      </c>
      <c r="AV949" s="46">
        <v>0</v>
      </c>
      <c r="AW949" s="46">
        <v>0</v>
      </c>
      <c r="AX949" s="46">
        <v>0</v>
      </c>
      <c r="AY949" s="46">
        <v>1</v>
      </c>
      <c r="AZ949" s="46">
        <v>1</v>
      </c>
      <c r="BA949" s="46">
        <v>1</v>
      </c>
      <c r="BB949" s="46">
        <v>1</v>
      </c>
      <c r="BC949" s="46">
        <v>0</v>
      </c>
      <c r="BD949" s="46">
        <v>0</v>
      </c>
      <c r="BE949" s="46">
        <v>0</v>
      </c>
      <c r="BF949" s="46">
        <v>0</v>
      </c>
      <c r="BG949" s="46">
        <v>1</v>
      </c>
      <c r="BH949" s="46">
        <v>0</v>
      </c>
      <c r="BI949" s="46">
        <v>0</v>
      </c>
      <c r="BJ949" s="46">
        <v>0</v>
      </c>
      <c r="BK949" s="46">
        <v>0</v>
      </c>
      <c r="BL949" s="46">
        <v>0</v>
      </c>
      <c r="BM949" s="46">
        <v>1</v>
      </c>
      <c r="BN949" s="46">
        <v>0</v>
      </c>
    </row>
    <row r="950" spans="1:66" x14ac:dyDescent="0.35">
      <c r="A950" t="s">
        <v>11191</v>
      </c>
      <c r="B950" s="44" t="s">
        <v>48</v>
      </c>
      <c r="C950" t="s">
        <v>12237</v>
      </c>
      <c r="D950" t="s">
        <v>1451</v>
      </c>
      <c r="E950" t="s">
        <v>11194</v>
      </c>
      <c r="F950" t="s">
        <v>5397</v>
      </c>
      <c r="G950" t="s">
        <v>74</v>
      </c>
      <c r="H950">
        <v>0</v>
      </c>
      <c r="I950" s="60" t="s">
        <v>11160</v>
      </c>
      <c r="J950" s="33" t="s">
        <v>45</v>
      </c>
      <c r="K950" s="46">
        <v>0</v>
      </c>
      <c r="L950">
        <v>31.3</v>
      </c>
      <c r="M950" t="s">
        <v>48</v>
      </c>
      <c r="N950" s="46">
        <v>1</v>
      </c>
      <c r="O950" s="46">
        <v>0</v>
      </c>
      <c r="P950" s="46">
        <v>0</v>
      </c>
      <c r="Q950" t="s">
        <v>48</v>
      </c>
      <c r="R950" t="s">
        <v>48</v>
      </c>
      <c r="S950" t="s">
        <v>48</v>
      </c>
      <c r="T950" t="s">
        <v>48</v>
      </c>
      <c r="U950" t="s">
        <v>48</v>
      </c>
      <c r="V950" s="47">
        <v>1</v>
      </c>
      <c r="W950" t="s">
        <v>11264</v>
      </c>
      <c r="X950" t="s">
        <v>48</v>
      </c>
      <c r="Y950" t="s">
        <v>48</v>
      </c>
      <c r="Z950" t="s">
        <v>48</v>
      </c>
      <c r="AA950" t="s">
        <v>48</v>
      </c>
      <c r="AB950" t="s">
        <v>48</v>
      </c>
      <c r="AC950" t="s">
        <v>48</v>
      </c>
      <c r="AD950" t="s">
        <v>48</v>
      </c>
      <c r="AE950" t="s">
        <v>48</v>
      </c>
      <c r="AF950" t="s">
        <v>48</v>
      </c>
      <c r="AG950" t="s">
        <v>48</v>
      </c>
      <c r="AH950" t="s">
        <v>48</v>
      </c>
      <c r="AI950" t="s">
        <v>48</v>
      </c>
      <c r="AJ950" t="s">
        <v>48</v>
      </c>
      <c r="AK950" t="s">
        <v>48</v>
      </c>
      <c r="AL950" t="s">
        <v>48</v>
      </c>
      <c r="AM950" t="s">
        <v>48</v>
      </c>
      <c r="AN950" t="s">
        <v>48</v>
      </c>
      <c r="AO950" t="s">
        <v>48</v>
      </c>
      <c r="AP950" s="46">
        <v>0</v>
      </c>
      <c r="AQ950" s="46">
        <v>0</v>
      </c>
      <c r="AR950" s="46">
        <v>0</v>
      </c>
      <c r="AS950" s="46">
        <v>0</v>
      </c>
      <c r="AT950" s="46">
        <v>0</v>
      </c>
      <c r="AU950" s="46">
        <v>0</v>
      </c>
      <c r="AV950" s="46">
        <v>0</v>
      </c>
      <c r="AW950" s="46">
        <v>0</v>
      </c>
      <c r="AX950" s="46">
        <v>0</v>
      </c>
      <c r="AY950" s="46">
        <v>0</v>
      </c>
      <c r="AZ950" s="46">
        <v>0</v>
      </c>
      <c r="BA950" s="46">
        <v>0</v>
      </c>
      <c r="BB950" s="46">
        <v>0</v>
      </c>
      <c r="BC950" s="46">
        <v>0</v>
      </c>
      <c r="BD950" s="46">
        <v>0</v>
      </c>
      <c r="BE950" s="46">
        <v>0</v>
      </c>
      <c r="BF950" s="46">
        <v>0</v>
      </c>
      <c r="BG950" s="46" t="s">
        <v>48</v>
      </c>
      <c r="BH950" s="46">
        <v>0</v>
      </c>
      <c r="BI950" s="46">
        <v>0</v>
      </c>
      <c r="BJ950" s="46">
        <v>0</v>
      </c>
      <c r="BK950" s="46">
        <v>0</v>
      </c>
      <c r="BL950" s="46">
        <v>0</v>
      </c>
      <c r="BM950" s="46">
        <v>0</v>
      </c>
      <c r="BN950" s="46">
        <v>0</v>
      </c>
    </row>
    <row r="951" spans="1:66" ht="15" x14ac:dyDescent="0.4">
      <c r="A951" t="s">
        <v>11111</v>
      </c>
      <c r="B951" t="s">
        <v>48</v>
      </c>
      <c r="C951" t="s">
        <v>11125</v>
      </c>
      <c r="D951" t="s">
        <v>704</v>
      </c>
      <c r="E951" t="s">
        <v>11122</v>
      </c>
      <c r="F951" t="s">
        <v>5407</v>
      </c>
      <c r="G951" t="s">
        <v>74</v>
      </c>
      <c r="H951">
        <v>0</v>
      </c>
      <c r="I951" s="61">
        <v>44859</v>
      </c>
      <c r="J951" s="46" t="s">
        <v>45</v>
      </c>
      <c r="K951" s="46">
        <v>0</v>
      </c>
      <c r="L951">
        <v>62.8</v>
      </c>
      <c r="M951" t="s">
        <v>48</v>
      </c>
      <c r="N951" s="46">
        <v>1</v>
      </c>
      <c r="O951" s="46">
        <v>0</v>
      </c>
      <c r="P951" s="46">
        <v>0</v>
      </c>
      <c r="Q951" t="s">
        <v>48</v>
      </c>
      <c r="R951" t="s">
        <v>48</v>
      </c>
      <c r="S951" s="55" t="s">
        <v>11118</v>
      </c>
      <c r="T951" t="s">
        <v>48</v>
      </c>
      <c r="U951" s="55" t="s">
        <v>11118</v>
      </c>
      <c r="V951" t="s">
        <v>48</v>
      </c>
      <c r="W951" t="s">
        <v>48</v>
      </c>
      <c r="X951" t="s">
        <v>48</v>
      </c>
      <c r="Y951" t="s">
        <v>48</v>
      </c>
      <c r="Z951">
        <v>0</v>
      </c>
      <c r="AA951" t="s">
        <v>11113</v>
      </c>
      <c r="AB951" t="s">
        <v>48</v>
      </c>
      <c r="AC951" t="s">
        <v>48</v>
      </c>
      <c r="AD951" t="s">
        <v>48</v>
      </c>
      <c r="AE951" t="s">
        <v>48</v>
      </c>
      <c r="AF951" t="s">
        <v>48</v>
      </c>
      <c r="AG951" t="s">
        <v>48</v>
      </c>
      <c r="AH951" t="s">
        <v>48</v>
      </c>
      <c r="AI951" t="s">
        <v>48</v>
      </c>
      <c r="AJ951" t="s">
        <v>48</v>
      </c>
      <c r="AK951" t="s">
        <v>48</v>
      </c>
      <c r="AL951" t="s">
        <v>48</v>
      </c>
      <c r="AM951" t="s">
        <v>48</v>
      </c>
      <c r="AN951" t="s">
        <v>48</v>
      </c>
      <c r="AO951" t="s">
        <v>48</v>
      </c>
      <c r="AP951" s="46">
        <v>0</v>
      </c>
      <c r="AQ951" s="46">
        <v>0</v>
      </c>
      <c r="AR951" s="46">
        <v>0</v>
      </c>
      <c r="AS951" s="46">
        <v>0</v>
      </c>
      <c r="AT951" s="46">
        <v>0</v>
      </c>
      <c r="AU951" s="46">
        <v>0</v>
      </c>
      <c r="AV951" s="46">
        <v>0</v>
      </c>
      <c r="AW951" s="46">
        <v>1</v>
      </c>
      <c r="AX951" s="46">
        <v>0</v>
      </c>
      <c r="AY951" s="46">
        <v>0</v>
      </c>
      <c r="AZ951" s="46">
        <v>0</v>
      </c>
      <c r="BA951" s="46">
        <v>0</v>
      </c>
      <c r="BB951" s="46">
        <v>0</v>
      </c>
      <c r="BC951" s="46">
        <v>0</v>
      </c>
      <c r="BD951" s="46">
        <v>0</v>
      </c>
      <c r="BE951" s="46">
        <v>0</v>
      </c>
      <c r="BF951" s="46">
        <v>0</v>
      </c>
      <c r="BG951" s="46" t="s">
        <v>48</v>
      </c>
      <c r="BH951" s="46">
        <v>0</v>
      </c>
      <c r="BI951" s="46">
        <v>0</v>
      </c>
      <c r="BJ951" s="46">
        <v>0</v>
      </c>
      <c r="BK951" s="46">
        <v>0</v>
      </c>
      <c r="BL951" s="46">
        <v>1</v>
      </c>
      <c r="BM951" s="46">
        <v>0</v>
      </c>
      <c r="BN951" s="46">
        <v>0</v>
      </c>
    </row>
    <row r="952" spans="1:66" x14ac:dyDescent="0.35">
      <c r="A952" t="s">
        <v>5511</v>
      </c>
      <c r="B952" s="44" t="s">
        <v>48</v>
      </c>
      <c r="C952" t="s">
        <v>2185</v>
      </c>
      <c r="D952" t="s">
        <v>865</v>
      </c>
      <c r="E952" t="s">
        <v>5512</v>
      </c>
      <c r="F952" t="s">
        <v>5407</v>
      </c>
      <c r="G952" t="s">
        <v>47</v>
      </c>
      <c r="H952">
        <v>0</v>
      </c>
      <c r="I952" s="60" t="s">
        <v>51</v>
      </c>
      <c r="J952" s="33" t="s">
        <v>45</v>
      </c>
      <c r="K952" s="46">
        <v>0</v>
      </c>
      <c r="L952">
        <v>71.8</v>
      </c>
      <c r="M952" t="s">
        <v>48</v>
      </c>
      <c r="N952" s="46">
        <v>1</v>
      </c>
      <c r="O952" s="46">
        <v>0</v>
      </c>
      <c r="P952" s="46">
        <v>0</v>
      </c>
      <c r="Q952" t="s">
        <v>48</v>
      </c>
      <c r="R952" t="s">
        <v>48</v>
      </c>
      <c r="S952" t="s">
        <v>5513</v>
      </c>
      <c r="T952" t="s">
        <v>48</v>
      </c>
      <c r="U952" t="s">
        <v>5513</v>
      </c>
      <c r="V952" s="47">
        <v>1</v>
      </c>
      <c r="W952" t="s">
        <v>48</v>
      </c>
      <c r="X952" t="s">
        <v>48</v>
      </c>
      <c r="Y952" t="s">
        <v>48</v>
      </c>
      <c r="Z952">
        <v>0</v>
      </c>
      <c r="AA952" t="s">
        <v>48</v>
      </c>
      <c r="AB952" t="s">
        <v>48</v>
      </c>
      <c r="AC952" t="s">
        <v>49</v>
      </c>
      <c r="AD952" t="s">
        <v>93</v>
      </c>
      <c r="AE952" t="s">
        <v>4532</v>
      </c>
      <c r="AF952" t="s">
        <v>48</v>
      </c>
      <c r="AG952" t="s">
        <v>633</v>
      </c>
      <c r="AH952" t="s">
        <v>93</v>
      </c>
      <c r="AI952" t="s">
        <v>48</v>
      </c>
      <c r="AJ952">
        <v>1989</v>
      </c>
      <c r="AK952" t="s">
        <v>48</v>
      </c>
      <c r="AL952" t="s">
        <v>48</v>
      </c>
      <c r="AM952" t="s">
        <v>48</v>
      </c>
      <c r="AN952" t="s">
        <v>48</v>
      </c>
      <c r="AO952" t="s">
        <v>48</v>
      </c>
      <c r="AP952" s="46">
        <v>0</v>
      </c>
      <c r="AQ952" s="46">
        <v>0</v>
      </c>
      <c r="AR952" s="46">
        <v>0</v>
      </c>
      <c r="AS952" s="46">
        <v>0</v>
      </c>
      <c r="AT952" s="46">
        <v>0</v>
      </c>
      <c r="AU952" s="46">
        <v>0</v>
      </c>
      <c r="AV952" s="46">
        <v>0</v>
      </c>
      <c r="AW952" s="46">
        <v>0</v>
      </c>
      <c r="AX952" s="46">
        <v>0</v>
      </c>
      <c r="AY952" s="46">
        <v>0</v>
      </c>
      <c r="AZ952" s="46">
        <v>0</v>
      </c>
      <c r="BA952" s="46">
        <v>0</v>
      </c>
      <c r="BB952" s="46">
        <v>0</v>
      </c>
      <c r="BC952" s="46">
        <v>1</v>
      </c>
      <c r="BD952" s="46">
        <v>0</v>
      </c>
      <c r="BE952" s="46">
        <v>1</v>
      </c>
      <c r="BF952" s="46">
        <v>0</v>
      </c>
      <c r="BG952" s="46">
        <v>1</v>
      </c>
      <c r="BH952" s="46">
        <v>0</v>
      </c>
      <c r="BI952" s="46">
        <v>0</v>
      </c>
      <c r="BJ952" s="46">
        <v>0</v>
      </c>
      <c r="BK952" s="46">
        <v>0</v>
      </c>
      <c r="BL952" s="46">
        <v>0</v>
      </c>
      <c r="BM952" s="46">
        <v>0</v>
      </c>
      <c r="BN952" s="46">
        <v>1</v>
      </c>
    </row>
    <row r="953" spans="1:66" x14ac:dyDescent="0.35">
      <c r="A953" t="s">
        <v>9674</v>
      </c>
      <c r="B953" s="44" t="s">
        <v>48</v>
      </c>
      <c r="C953" t="s">
        <v>12241</v>
      </c>
      <c r="D953" t="s">
        <v>5289</v>
      </c>
      <c r="E953" t="s">
        <v>9675</v>
      </c>
      <c r="F953" t="s">
        <v>5415</v>
      </c>
      <c r="G953" t="s">
        <v>74</v>
      </c>
      <c r="H953">
        <v>0</v>
      </c>
      <c r="I953" s="61">
        <v>44757</v>
      </c>
      <c r="J953" s="33" t="s">
        <v>45</v>
      </c>
      <c r="K953" s="46">
        <v>0</v>
      </c>
      <c r="L953">
        <v>100</v>
      </c>
      <c r="M953" t="s">
        <v>48</v>
      </c>
      <c r="N953" s="46">
        <v>1</v>
      </c>
      <c r="O953" s="46">
        <v>0</v>
      </c>
      <c r="P953" s="46">
        <v>0</v>
      </c>
      <c r="Q953" t="s">
        <v>48</v>
      </c>
      <c r="R953" t="s">
        <v>48</v>
      </c>
      <c r="S953" t="s">
        <v>48</v>
      </c>
      <c r="T953" t="s">
        <v>48</v>
      </c>
      <c r="U953" t="s">
        <v>48</v>
      </c>
      <c r="V953" s="47">
        <v>1</v>
      </c>
      <c r="W953" t="s">
        <v>11264</v>
      </c>
      <c r="X953" t="s">
        <v>48</v>
      </c>
      <c r="Y953" t="s">
        <v>48</v>
      </c>
      <c r="Z953" t="s">
        <v>48</v>
      </c>
      <c r="AA953" t="s">
        <v>48</v>
      </c>
      <c r="AB953" t="s">
        <v>48</v>
      </c>
      <c r="AC953" t="s">
        <v>63</v>
      </c>
      <c r="AD953" t="s">
        <v>93</v>
      </c>
      <c r="AE953" t="s">
        <v>2471</v>
      </c>
      <c r="AF953" t="s">
        <v>48</v>
      </c>
      <c r="AG953" t="s">
        <v>48</v>
      </c>
      <c r="AH953" t="s">
        <v>48</v>
      </c>
      <c r="AI953" t="s">
        <v>48</v>
      </c>
      <c r="AJ953" t="s">
        <v>48</v>
      </c>
      <c r="AK953" t="s">
        <v>48</v>
      </c>
      <c r="AL953" t="s">
        <v>48</v>
      </c>
      <c r="AM953" t="s">
        <v>48</v>
      </c>
      <c r="AN953" t="s">
        <v>48</v>
      </c>
      <c r="AO953" t="s">
        <v>48</v>
      </c>
      <c r="AP953" s="46">
        <v>0</v>
      </c>
      <c r="AQ953" s="46">
        <v>0</v>
      </c>
      <c r="AR953" s="46">
        <v>0</v>
      </c>
      <c r="AS953" s="46">
        <v>0</v>
      </c>
      <c r="AT953" s="46">
        <v>0</v>
      </c>
      <c r="AU953" s="46">
        <v>0</v>
      </c>
      <c r="AV953" s="46">
        <v>0</v>
      </c>
      <c r="AW953" s="46">
        <v>0</v>
      </c>
      <c r="AX953" s="46">
        <v>0</v>
      </c>
      <c r="AY953" s="46">
        <v>0</v>
      </c>
      <c r="AZ953" s="46">
        <v>0</v>
      </c>
      <c r="BA953" s="46">
        <v>0</v>
      </c>
      <c r="BB953" s="46">
        <v>0</v>
      </c>
      <c r="BC953" s="46">
        <v>0</v>
      </c>
      <c r="BD953" s="46">
        <v>0</v>
      </c>
      <c r="BE953" s="46">
        <v>0</v>
      </c>
      <c r="BF953" s="46">
        <v>0</v>
      </c>
      <c r="BG953" s="46" t="s">
        <v>48</v>
      </c>
      <c r="BH953" s="46">
        <v>0</v>
      </c>
      <c r="BI953" s="46">
        <v>0</v>
      </c>
      <c r="BJ953" s="46">
        <v>0</v>
      </c>
      <c r="BK953" s="46">
        <v>0</v>
      </c>
      <c r="BL953" s="46">
        <v>0</v>
      </c>
      <c r="BM953" s="46">
        <v>0</v>
      </c>
      <c r="BN953" s="46">
        <v>0</v>
      </c>
    </row>
    <row r="954" spans="1:66" x14ac:dyDescent="0.35">
      <c r="A954" t="s">
        <v>5414</v>
      </c>
      <c r="B954" s="44" t="s">
        <v>48</v>
      </c>
      <c r="C954" t="s">
        <v>5420</v>
      </c>
      <c r="D954" t="s">
        <v>4462</v>
      </c>
      <c r="E954" t="s">
        <v>5416</v>
      </c>
      <c r="F954" t="s">
        <v>5415</v>
      </c>
      <c r="G954" t="s">
        <v>47</v>
      </c>
      <c r="H954">
        <v>0</v>
      </c>
      <c r="I954" s="60" t="s">
        <v>51</v>
      </c>
      <c r="J954" s="33" t="s">
        <v>45</v>
      </c>
      <c r="K954" s="46">
        <v>1</v>
      </c>
      <c r="L954">
        <v>71.2</v>
      </c>
      <c r="M954" t="s">
        <v>48</v>
      </c>
      <c r="N954" s="46">
        <v>1</v>
      </c>
      <c r="O954" s="46">
        <v>0</v>
      </c>
      <c r="P954" s="46">
        <v>0</v>
      </c>
      <c r="Q954" t="s">
        <v>48</v>
      </c>
      <c r="R954" t="s">
        <v>48</v>
      </c>
      <c r="S954" t="s">
        <v>5417</v>
      </c>
      <c r="T954" t="s">
        <v>5418</v>
      </c>
      <c r="U954" t="s">
        <v>5417</v>
      </c>
      <c r="V954" s="47">
        <v>0</v>
      </c>
      <c r="W954" t="s">
        <v>48</v>
      </c>
      <c r="X954" t="s">
        <v>48</v>
      </c>
      <c r="Y954" t="s">
        <v>48</v>
      </c>
      <c r="Z954">
        <v>0</v>
      </c>
      <c r="AA954" t="s">
        <v>48</v>
      </c>
      <c r="AB954" t="s">
        <v>5419</v>
      </c>
      <c r="AC954" t="s">
        <v>49</v>
      </c>
      <c r="AD954" t="s">
        <v>93</v>
      </c>
      <c r="AE954" t="s">
        <v>4532</v>
      </c>
      <c r="AF954" t="s">
        <v>48</v>
      </c>
      <c r="AG954" t="s">
        <v>112</v>
      </c>
      <c r="AH954" t="s">
        <v>93</v>
      </c>
      <c r="AI954">
        <v>21564</v>
      </c>
      <c r="AJ954">
        <v>1970</v>
      </c>
      <c r="AK954" t="s">
        <v>9188</v>
      </c>
      <c r="AL954" t="s">
        <v>9189</v>
      </c>
      <c r="AM954">
        <v>0.67</v>
      </c>
      <c r="AN954">
        <v>-0.33600000000000002</v>
      </c>
      <c r="AO954">
        <v>0.67</v>
      </c>
      <c r="AP954" s="46">
        <v>0</v>
      </c>
      <c r="AQ954" s="46">
        <v>0</v>
      </c>
      <c r="AR954" s="46">
        <v>0</v>
      </c>
      <c r="AS954" s="46">
        <v>0</v>
      </c>
      <c r="AT954" s="46">
        <v>0</v>
      </c>
      <c r="AU954" s="46">
        <v>0</v>
      </c>
      <c r="AV954" s="46">
        <v>0</v>
      </c>
      <c r="AW954" s="46">
        <v>0</v>
      </c>
      <c r="AX954" s="46">
        <v>0</v>
      </c>
      <c r="AY954" s="46">
        <v>0</v>
      </c>
      <c r="AZ954" s="46">
        <v>0</v>
      </c>
      <c r="BA954" s="46">
        <v>0</v>
      </c>
      <c r="BB954" s="46">
        <v>1</v>
      </c>
      <c r="BC954" s="46">
        <v>0</v>
      </c>
      <c r="BD954" s="46">
        <v>0</v>
      </c>
      <c r="BE954" s="46">
        <v>0</v>
      </c>
      <c r="BF954" s="46">
        <v>1</v>
      </c>
      <c r="BG954" s="46">
        <v>1</v>
      </c>
      <c r="BH954" s="46">
        <v>0</v>
      </c>
      <c r="BI954" s="46">
        <v>0</v>
      </c>
      <c r="BJ954" s="46">
        <v>0</v>
      </c>
      <c r="BK954" s="46">
        <v>0</v>
      </c>
      <c r="BL954" s="46">
        <v>0</v>
      </c>
      <c r="BM954" s="46">
        <v>0</v>
      </c>
      <c r="BN954" s="46">
        <v>1</v>
      </c>
    </row>
    <row r="955" spans="1:66" x14ac:dyDescent="0.35">
      <c r="A955" t="s">
        <v>163</v>
      </c>
      <c r="B955" s="44" t="s">
        <v>48</v>
      </c>
      <c r="C955" t="s">
        <v>167</v>
      </c>
      <c r="D955" t="s">
        <v>293</v>
      </c>
      <c r="E955" t="s">
        <v>165</v>
      </c>
      <c r="F955" t="s">
        <v>164</v>
      </c>
      <c r="G955" t="s">
        <v>47</v>
      </c>
      <c r="H955">
        <v>0</v>
      </c>
      <c r="I955" s="60" t="s">
        <v>149</v>
      </c>
      <c r="J955" s="33" t="s">
        <v>45</v>
      </c>
      <c r="K955" s="46">
        <v>0</v>
      </c>
      <c r="L955">
        <v>35.799999999999997</v>
      </c>
      <c r="M955" t="s">
        <v>48</v>
      </c>
      <c r="N955" s="46">
        <v>1</v>
      </c>
      <c r="O955" s="46">
        <v>0</v>
      </c>
      <c r="P955" s="46">
        <v>0</v>
      </c>
      <c r="Q955" t="s">
        <v>48</v>
      </c>
      <c r="R955" t="s">
        <v>48</v>
      </c>
      <c r="S955" t="s">
        <v>166</v>
      </c>
      <c r="T955" t="s">
        <v>48</v>
      </c>
      <c r="U955" t="s">
        <v>166</v>
      </c>
      <c r="V955" s="47">
        <v>1</v>
      </c>
      <c r="W955" t="s">
        <v>48</v>
      </c>
      <c r="X955" t="s">
        <v>48</v>
      </c>
      <c r="Y955" t="s">
        <v>48</v>
      </c>
      <c r="Z955">
        <v>0</v>
      </c>
      <c r="AA955" t="s">
        <v>48</v>
      </c>
      <c r="AB955" t="s">
        <v>48</v>
      </c>
      <c r="AC955" t="s">
        <v>49</v>
      </c>
      <c r="AD955" t="s">
        <v>93</v>
      </c>
      <c r="AE955" t="s">
        <v>4532</v>
      </c>
      <c r="AF955" t="s">
        <v>48</v>
      </c>
      <c r="AG955" t="s">
        <v>48</v>
      </c>
      <c r="AH955" t="s">
        <v>48</v>
      </c>
      <c r="AI955" t="s">
        <v>48</v>
      </c>
      <c r="AJ955" t="s">
        <v>48</v>
      </c>
      <c r="AK955" t="s">
        <v>48</v>
      </c>
      <c r="AL955" t="s">
        <v>48</v>
      </c>
      <c r="AM955" t="s">
        <v>48</v>
      </c>
      <c r="AN955" t="s">
        <v>48</v>
      </c>
      <c r="AO955" t="s">
        <v>48</v>
      </c>
      <c r="AP955" s="46">
        <v>0</v>
      </c>
      <c r="AQ955" s="46">
        <v>0</v>
      </c>
      <c r="AR955" s="46">
        <v>0</v>
      </c>
      <c r="AS955" s="46">
        <v>0</v>
      </c>
      <c r="AT955" s="46">
        <v>0</v>
      </c>
      <c r="AU955" s="46">
        <v>0</v>
      </c>
      <c r="AV955" s="46">
        <v>0</v>
      </c>
      <c r="AW955" s="46">
        <v>0</v>
      </c>
      <c r="AX955" s="46">
        <v>0</v>
      </c>
      <c r="AY955" s="46">
        <v>0</v>
      </c>
      <c r="AZ955" s="46">
        <v>0</v>
      </c>
      <c r="BA955" s="46">
        <v>0</v>
      </c>
      <c r="BB955" s="46">
        <v>0</v>
      </c>
      <c r="BC955" s="46">
        <v>1</v>
      </c>
      <c r="BD955" s="46">
        <v>0</v>
      </c>
      <c r="BE955" s="46">
        <v>1</v>
      </c>
      <c r="BF955" s="46">
        <v>0</v>
      </c>
      <c r="BG955" s="46">
        <v>1</v>
      </c>
      <c r="BH955" s="46">
        <v>0</v>
      </c>
      <c r="BI955" s="46">
        <v>0</v>
      </c>
      <c r="BJ955" s="46">
        <v>0</v>
      </c>
      <c r="BK955" s="46">
        <v>0</v>
      </c>
      <c r="BL955" s="46">
        <v>0</v>
      </c>
      <c r="BM955" s="46">
        <v>0</v>
      </c>
      <c r="BN955" s="46">
        <v>1</v>
      </c>
    </row>
    <row r="956" spans="1:66" x14ac:dyDescent="0.35">
      <c r="A956" t="s">
        <v>5425</v>
      </c>
      <c r="B956" s="44" t="s">
        <v>48</v>
      </c>
      <c r="C956" t="s">
        <v>5430</v>
      </c>
      <c r="D956" t="s">
        <v>5429</v>
      </c>
      <c r="E956" t="s">
        <v>5426</v>
      </c>
      <c r="F956" t="s">
        <v>164</v>
      </c>
      <c r="G956" t="s">
        <v>74</v>
      </c>
      <c r="H956">
        <v>0</v>
      </c>
      <c r="I956" s="60" t="s">
        <v>51</v>
      </c>
      <c r="J956" s="33" t="s">
        <v>45</v>
      </c>
      <c r="K956" s="46">
        <v>1</v>
      </c>
      <c r="L956">
        <v>100</v>
      </c>
      <c r="M956" t="s">
        <v>48</v>
      </c>
      <c r="N956" s="46">
        <v>1</v>
      </c>
      <c r="O956" s="46">
        <v>0</v>
      </c>
      <c r="P956" s="46">
        <v>0</v>
      </c>
      <c r="Q956" t="s">
        <v>48</v>
      </c>
      <c r="R956" t="s">
        <v>48</v>
      </c>
      <c r="S956" t="s">
        <v>5427</v>
      </c>
      <c r="T956" t="s">
        <v>5428</v>
      </c>
      <c r="U956" t="s">
        <v>5427</v>
      </c>
      <c r="V956" s="47">
        <v>0</v>
      </c>
      <c r="W956" t="s">
        <v>48</v>
      </c>
      <c r="X956" t="s">
        <v>48</v>
      </c>
      <c r="Y956" t="s">
        <v>48</v>
      </c>
      <c r="Z956">
        <v>0</v>
      </c>
      <c r="AA956" t="s">
        <v>48</v>
      </c>
      <c r="AB956">
        <v>1982</v>
      </c>
      <c r="AC956" t="s">
        <v>63</v>
      </c>
      <c r="AD956" t="s">
        <v>93</v>
      </c>
      <c r="AE956" t="s">
        <v>4532</v>
      </c>
      <c r="AF956" t="s">
        <v>48</v>
      </c>
      <c r="AG956" t="s">
        <v>140</v>
      </c>
      <c r="AH956" t="s">
        <v>93</v>
      </c>
      <c r="AI956">
        <v>15029</v>
      </c>
      <c r="AJ956">
        <v>1946</v>
      </c>
      <c r="AK956" t="s">
        <v>9190</v>
      </c>
      <c r="AL956" t="s">
        <v>9191</v>
      </c>
      <c r="AM956">
        <v>-0.35</v>
      </c>
      <c r="AN956">
        <v>0.108</v>
      </c>
      <c r="AO956">
        <v>-0.35</v>
      </c>
      <c r="AP956" s="46">
        <v>0</v>
      </c>
      <c r="AQ956" s="46">
        <v>0</v>
      </c>
      <c r="AR956" s="46">
        <v>0</v>
      </c>
      <c r="AS956" s="46">
        <v>0</v>
      </c>
      <c r="AT956" s="46">
        <v>0</v>
      </c>
      <c r="AU956" s="46">
        <v>0</v>
      </c>
      <c r="AV956" s="46">
        <v>0</v>
      </c>
      <c r="AW956" s="46">
        <v>0</v>
      </c>
      <c r="AX956" s="46">
        <v>0</v>
      </c>
      <c r="AY956" s="46">
        <v>0</v>
      </c>
      <c r="AZ956" s="46">
        <v>0</v>
      </c>
      <c r="BA956" s="46">
        <v>0</v>
      </c>
      <c r="BB956" s="46">
        <v>0</v>
      </c>
      <c r="BC956" s="46">
        <v>0</v>
      </c>
      <c r="BD956" s="46">
        <v>0</v>
      </c>
      <c r="BE956" s="46">
        <v>0</v>
      </c>
      <c r="BF956" s="46">
        <v>0</v>
      </c>
      <c r="BG956" s="46" t="s">
        <v>48</v>
      </c>
      <c r="BH956" s="46">
        <v>0</v>
      </c>
      <c r="BI956" s="46">
        <v>0</v>
      </c>
      <c r="BJ956" s="46">
        <v>0</v>
      </c>
      <c r="BK956" s="46">
        <v>0</v>
      </c>
      <c r="BL956" s="46">
        <v>0</v>
      </c>
      <c r="BM956" s="46">
        <v>0</v>
      </c>
      <c r="BN956" s="46">
        <v>0</v>
      </c>
    </row>
    <row r="957" spans="1:66" x14ac:dyDescent="0.35">
      <c r="A957" t="s">
        <v>9680</v>
      </c>
      <c r="B957" s="44" t="s">
        <v>48</v>
      </c>
      <c r="C957" t="s">
        <v>12245</v>
      </c>
      <c r="D957" t="s">
        <v>268</v>
      </c>
      <c r="E957" t="s">
        <v>9681</v>
      </c>
      <c r="F957" t="s">
        <v>5436</v>
      </c>
      <c r="G957" t="s">
        <v>74</v>
      </c>
      <c r="H957">
        <v>0</v>
      </c>
      <c r="I957" s="61" t="s">
        <v>11160</v>
      </c>
      <c r="J957" s="33" t="s">
        <v>45</v>
      </c>
      <c r="K957" s="46">
        <v>0</v>
      </c>
      <c r="L957">
        <v>31.3</v>
      </c>
      <c r="M957" t="s">
        <v>48</v>
      </c>
      <c r="N957" s="46">
        <v>1</v>
      </c>
      <c r="O957" s="46">
        <v>0</v>
      </c>
      <c r="P957" s="46">
        <v>0</v>
      </c>
      <c r="Q957" t="s">
        <v>48</v>
      </c>
      <c r="R957" t="s">
        <v>48</v>
      </c>
      <c r="S957" t="s">
        <v>11344</v>
      </c>
      <c r="T957" t="s">
        <v>48</v>
      </c>
      <c r="U957" t="s">
        <v>10361</v>
      </c>
      <c r="V957" s="47">
        <v>1</v>
      </c>
      <c r="W957" t="s">
        <v>48</v>
      </c>
      <c r="X957" t="s">
        <v>48</v>
      </c>
      <c r="Y957" t="s">
        <v>48</v>
      </c>
      <c r="Z957" t="s">
        <v>48</v>
      </c>
      <c r="AA957" t="s">
        <v>48</v>
      </c>
      <c r="AB957" t="s">
        <v>48</v>
      </c>
      <c r="AC957" t="s">
        <v>49</v>
      </c>
      <c r="AD957" t="s">
        <v>48</v>
      </c>
      <c r="AE957" t="s">
        <v>48</v>
      </c>
      <c r="AF957" t="s">
        <v>48</v>
      </c>
      <c r="AG957" t="s">
        <v>48</v>
      </c>
      <c r="AH957" t="s">
        <v>48</v>
      </c>
      <c r="AI957" t="s">
        <v>48</v>
      </c>
      <c r="AJ957" t="s">
        <v>48</v>
      </c>
      <c r="AK957" t="s">
        <v>48</v>
      </c>
      <c r="AL957" t="s">
        <v>48</v>
      </c>
      <c r="AM957" t="s">
        <v>48</v>
      </c>
      <c r="AN957" t="s">
        <v>48</v>
      </c>
      <c r="AO957" t="s">
        <v>48</v>
      </c>
      <c r="AP957" s="46">
        <v>0</v>
      </c>
      <c r="AQ957" s="46">
        <v>0</v>
      </c>
      <c r="AR957" s="46">
        <v>0</v>
      </c>
      <c r="AS957" s="46">
        <v>0</v>
      </c>
      <c r="AT957" s="46">
        <v>0</v>
      </c>
      <c r="AU957" s="46">
        <v>0</v>
      </c>
      <c r="AV957" s="46">
        <v>0</v>
      </c>
      <c r="AW957" s="46">
        <v>0</v>
      </c>
      <c r="AX957" s="46">
        <v>0</v>
      </c>
      <c r="AY957" s="46">
        <v>0</v>
      </c>
      <c r="AZ957" s="46">
        <v>0</v>
      </c>
      <c r="BA957" s="46">
        <v>0</v>
      </c>
      <c r="BB957" s="46">
        <v>0</v>
      </c>
      <c r="BC957" s="46">
        <v>0</v>
      </c>
      <c r="BD957" s="46">
        <v>0</v>
      </c>
      <c r="BE957" s="46">
        <v>0</v>
      </c>
      <c r="BF957" s="46">
        <v>0</v>
      </c>
      <c r="BG957" s="46" t="s">
        <v>48</v>
      </c>
      <c r="BH957" s="46">
        <v>0</v>
      </c>
      <c r="BI957" s="46">
        <v>0</v>
      </c>
      <c r="BJ957" s="46">
        <v>0</v>
      </c>
      <c r="BK957" s="46">
        <v>0</v>
      </c>
      <c r="BL957" s="46">
        <v>0</v>
      </c>
      <c r="BM957" s="46">
        <v>0</v>
      </c>
      <c r="BN957" s="46">
        <v>0</v>
      </c>
    </row>
    <row r="958" spans="1:66" x14ac:dyDescent="0.35">
      <c r="A958" t="s">
        <v>5443</v>
      </c>
      <c r="B958" t="s">
        <v>48</v>
      </c>
      <c r="C958" t="s">
        <v>5290</v>
      </c>
      <c r="D958" t="s">
        <v>288</v>
      </c>
      <c r="E958" t="s">
        <v>5444</v>
      </c>
      <c r="F958" t="s">
        <v>5436</v>
      </c>
      <c r="G958" t="s">
        <v>47</v>
      </c>
      <c r="H958">
        <v>0</v>
      </c>
      <c r="I958" s="60" t="s">
        <v>51</v>
      </c>
      <c r="J958" s="33" t="s">
        <v>45</v>
      </c>
      <c r="K958" s="46">
        <v>1</v>
      </c>
      <c r="L958">
        <v>100</v>
      </c>
      <c r="M958" t="s">
        <v>48</v>
      </c>
      <c r="N958" s="46">
        <v>1</v>
      </c>
      <c r="O958" s="46">
        <v>0</v>
      </c>
      <c r="P958" s="46">
        <v>0</v>
      </c>
      <c r="Q958" t="s">
        <v>48</v>
      </c>
      <c r="R958" t="s">
        <v>48</v>
      </c>
      <c r="S958" t="s">
        <v>5445</v>
      </c>
      <c r="T958" t="s">
        <v>5446</v>
      </c>
      <c r="U958" t="s">
        <v>5445</v>
      </c>
      <c r="V958" s="47">
        <v>0</v>
      </c>
      <c r="W958" t="s">
        <v>48</v>
      </c>
      <c r="X958" t="s">
        <v>48</v>
      </c>
      <c r="Y958" t="s">
        <v>48</v>
      </c>
      <c r="Z958">
        <v>0</v>
      </c>
      <c r="AA958" t="s">
        <v>48</v>
      </c>
      <c r="AB958">
        <v>2002</v>
      </c>
      <c r="AC958" t="s">
        <v>49</v>
      </c>
      <c r="AD958" t="s">
        <v>93</v>
      </c>
      <c r="AE958" t="s">
        <v>4532</v>
      </c>
      <c r="AF958" t="s">
        <v>48</v>
      </c>
      <c r="AG958" t="s">
        <v>466</v>
      </c>
      <c r="AH958" t="s">
        <v>93</v>
      </c>
      <c r="AI958">
        <v>20342</v>
      </c>
      <c r="AJ958">
        <v>1960</v>
      </c>
      <c r="AK958" t="s">
        <v>9192</v>
      </c>
      <c r="AL958" t="s">
        <v>9193</v>
      </c>
      <c r="AM958">
        <v>0.27500000000000002</v>
      </c>
      <c r="AN958">
        <v>0.216</v>
      </c>
      <c r="AO958">
        <v>0.27500000000000002</v>
      </c>
      <c r="AP958" s="46">
        <v>0</v>
      </c>
      <c r="AQ958" s="46">
        <v>0</v>
      </c>
      <c r="AR958" s="46">
        <v>0</v>
      </c>
      <c r="AS958" s="46">
        <v>0</v>
      </c>
      <c r="AT958" s="46">
        <v>0</v>
      </c>
      <c r="AU958" s="46">
        <v>0</v>
      </c>
      <c r="AV958" s="46">
        <v>0</v>
      </c>
      <c r="AW958" s="46">
        <v>0</v>
      </c>
      <c r="AX958" s="46">
        <v>0</v>
      </c>
      <c r="AY958" s="46">
        <v>1</v>
      </c>
      <c r="AZ958" s="46">
        <v>1</v>
      </c>
      <c r="BA958" s="46">
        <v>0</v>
      </c>
      <c r="BB958" s="46">
        <v>1</v>
      </c>
      <c r="BC958" s="46">
        <v>0</v>
      </c>
      <c r="BD958" s="46">
        <v>0</v>
      </c>
      <c r="BE958" s="46">
        <v>0</v>
      </c>
      <c r="BF958" s="46">
        <v>0</v>
      </c>
      <c r="BG958" s="46" t="s">
        <v>48</v>
      </c>
      <c r="BH958" s="46">
        <v>0</v>
      </c>
      <c r="BI958" s="46">
        <v>0</v>
      </c>
      <c r="BJ958" s="46">
        <v>0</v>
      </c>
      <c r="BK958" s="46">
        <v>0</v>
      </c>
      <c r="BL958" s="46">
        <v>0</v>
      </c>
      <c r="BM958" s="46">
        <v>1</v>
      </c>
      <c r="BN958" s="46">
        <v>0</v>
      </c>
    </row>
    <row r="959" spans="1:66" x14ac:dyDescent="0.35">
      <c r="A959" t="s">
        <v>9684</v>
      </c>
      <c r="B959" t="s">
        <v>48</v>
      </c>
      <c r="C959" t="s">
        <v>12247</v>
      </c>
      <c r="D959" t="s">
        <v>1005</v>
      </c>
      <c r="E959" t="s">
        <v>9685</v>
      </c>
      <c r="F959" t="s">
        <v>5448</v>
      </c>
      <c r="G959" t="s">
        <v>47</v>
      </c>
      <c r="H959">
        <v>0</v>
      </c>
      <c r="I959" s="61">
        <v>44757</v>
      </c>
      <c r="J959" s="33" t="s">
        <v>45</v>
      </c>
      <c r="K959" s="46">
        <v>0</v>
      </c>
      <c r="L959">
        <v>57.6</v>
      </c>
      <c r="M959" t="s">
        <v>48</v>
      </c>
      <c r="N959" s="46">
        <v>1</v>
      </c>
      <c r="O959" s="46">
        <v>0</v>
      </c>
      <c r="P959" s="46">
        <v>0</v>
      </c>
      <c r="Q959" t="s">
        <v>48</v>
      </c>
      <c r="R959" t="s">
        <v>48</v>
      </c>
      <c r="S959" t="s">
        <v>10362</v>
      </c>
      <c r="T959" t="s">
        <v>48</v>
      </c>
      <c r="U959" t="s">
        <v>10362</v>
      </c>
      <c r="V959" s="47">
        <v>0</v>
      </c>
      <c r="W959" t="s">
        <v>48</v>
      </c>
      <c r="X959" t="s">
        <v>48</v>
      </c>
      <c r="Y959" t="s">
        <v>48</v>
      </c>
      <c r="Z959" t="s">
        <v>48</v>
      </c>
      <c r="AA959" t="s">
        <v>48</v>
      </c>
      <c r="AB959" t="s">
        <v>48</v>
      </c>
      <c r="AC959" t="s">
        <v>49</v>
      </c>
      <c r="AD959" t="s">
        <v>93</v>
      </c>
      <c r="AE959" t="s">
        <v>2471</v>
      </c>
      <c r="AF959" t="s">
        <v>48</v>
      </c>
      <c r="AG959" t="s">
        <v>48</v>
      </c>
      <c r="AH959" t="s">
        <v>48</v>
      </c>
      <c r="AI959" t="s">
        <v>48</v>
      </c>
      <c r="AJ959" t="s">
        <v>48</v>
      </c>
      <c r="AK959" t="s">
        <v>48</v>
      </c>
      <c r="AL959" t="s">
        <v>48</v>
      </c>
      <c r="AM959" t="s">
        <v>48</v>
      </c>
      <c r="AN959" t="s">
        <v>48</v>
      </c>
      <c r="AO959" t="s">
        <v>48</v>
      </c>
      <c r="AP959" s="46">
        <v>0</v>
      </c>
      <c r="AQ959" s="46">
        <v>0</v>
      </c>
      <c r="AR959" s="46">
        <v>0</v>
      </c>
      <c r="AS959" s="46">
        <v>0</v>
      </c>
      <c r="AT959" s="46">
        <v>0</v>
      </c>
      <c r="AU959" s="46">
        <v>0</v>
      </c>
      <c r="AV959" s="46">
        <v>0</v>
      </c>
      <c r="AW959" s="46">
        <v>0</v>
      </c>
      <c r="AX959" s="46">
        <v>0</v>
      </c>
      <c r="AY959" s="46">
        <v>0</v>
      </c>
      <c r="AZ959" s="46">
        <v>0</v>
      </c>
      <c r="BA959" s="46">
        <v>0</v>
      </c>
      <c r="BB959" s="46">
        <v>0</v>
      </c>
      <c r="BC959" s="46">
        <v>0</v>
      </c>
      <c r="BD959" s="46">
        <v>0</v>
      </c>
      <c r="BE959" s="46">
        <v>0</v>
      </c>
      <c r="BF959" s="46">
        <v>0</v>
      </c>
      <c r="BG959" s="46" t="s">
        <v>48</v>
      </c>
      <c r="BH959" s="46">
        <v>0</v>
      </c>
      <c r="BI959" s="46">
        <v>0</v>
      </c>
      <c r="BJ959" s="46">
        <v>0</v>
      </c>
      <c r="BK959" s="46">
        <v>0</v>
      </c>
      <c r="BL959" s="46">
        <v>0</v>
      </c>
      <c r="BM959" s="46">
        <v>0</v>
      </c>
      <c r="BN959" s="46">
        <v>0</v>
      </c>
    </row>
    <row r="960" spans="1:66" x14ac:dyDescent="0.35">
      <c r="A960" t="s">
        <v>5447</v>
      </c>
      <c r="B960" t="s">
        <v>48</v>
      </c>
      <c r="C960" t="s">
        <v>211</v>
      </c>
      <c r="D960" t="s">
        <v>5451</v>
      </c>
      <c r="E960" t="s">
        <v>5449</v>
      </c>
      <c r="F960" t="s">
        <v>5448</v>
      </c>
      <c r="G960" t="s">
        <v>74</v>
      </c>
      <c r="H960">
        <v>0</v>
      </c>
      <c r="I960" s="61">
        <v>44732</v>
      </c>
      <c r="J960" s="33" t="s">
        <v>45</v>
      </c>
      <c r="K960" s="46">
        <v>1</v>
      </c>
      <c r="L960">
        <v>66.3</v>
      </c>
      <c r="M960" t="s">
        <v>48</v>
      </c>
      <c r="N960" s="46">
        <v>1</v>
      </c>
      <c r="O960" s="46">
        <v>0</v>
      </c>
      <c r="P960" s="46">
        <v>0</v>
      </c>
      <c r="Q960" t="s">
        <v>48</v>
      </c>
      <c r="R960" t="s">
        <v>48</v>
      </c>
      <c r="S960" t="s">
        <v>5450</v>
      </c>
      <c r="T960" t="str">
        <f>"@RepShontelBrown"</f>
        <v>@RepShontelBrown</v>
      </c>
      <c r="U960" t="s">
        <v>5450</v>
      </c>
      <c r="V960" s="47">
        <v>0</v>
      </c>
      <c r="W960" t="s">
        <v>48</v>
      </c>
      <c r="X960" t="s">
        <v>48</v>
      </c>
      <c r="Y960" t="s">
        <v>48</v>
      </c>
      <c r="Z960">
        <v>0</v>
      </c>
      <c r="AA960" t="s">
        <v>48</v>
      </c>
      <c r="AB960" t="s">
        <v>48</v>
      </c>
      <c r="AC960" t="s">
        <v>63</v>
      </c>
      <c r="AD960" t="s">
        <v>93</v>
      </c>
      <c r="AE960" s="40" t="s">
        <v>2471</v>
      </c>
      <c r="AF960" t="s">
        <v>11061</v>
      </c>
      <c r="AG960" t="s">
        <v>48</v>
      </c>
      <c r="AH960" t="s">
        <v>48</v>
      </c>
      <c r="AI960">
        <v>22161</v>
      </c>
      <c r="AJ960">
        <v>1975</v>
      </c>
      <c r="AK960" t="s">
        <v>9194</v>
      </c>
      <c r="AL960" t="s">
        <v>9195</v>
      </c>
      <c r="AM960">
        <v>-0.54800000000000004</v>
      </c>
      <c r="AN960">
        <v>0.17399999999999999</v>
      </c>
      <c r="AO960">
        <v>-0.54800000000000004</v>
      </c>
      <c r="AP960" s="46">
        <v>0</v>
      </c>
      <c r="AQ960" s="46">
        <v>0</v>
      </c>
      <c r="AR960" s="46">
        <v>0</v>
      </c>
      <c r="AS960" s="46">
        <v>0</v>
      </c>
      <c r="AT960" s="46">
        <v>1</v>
      </c>
      <c r="AU960" s="46">
        <v>1</v>
      </c>
      <c r="AV960" s="46">
        <v>0</v>
      </c>
      <c r="AW960" s="46">
        <v>0</v>
      </c>
      <c r="AX960" s="46">
        <v>0</v>
      </c>
      <c r="AY960" s="46">
        <v>0</v>
      </c>
      <c r="AZ960" s="46">
        <v>0</v>
      </c>
      <c r="BA960" s="46">
        <v>0</v>
      </c>
      <c r="BB960" s="46">
        <v>0</v>
      </c>
      <c r="BC960" s="46">
        <v>0</v>
      </c>
      <c r="BD960" s="46">
        <v>0</v>
      </c>
      <c r="BE960" s="46">
        <v>0</v>
      </c>
      <c r="BF960" s="46">
        <v>0</v>
      </c>
      <c r="BG960" s="46" t="s">
        <v>48</v>
      </c>
      <c r="BH960" s="46">
        <v>0</v>
      </c>
      <c r="BI960" s="46">
        <v>0</v>
      </c>
      <c r="BJ960" s="46">
        <v>0</v>
      </c>
      <c r="BK960" s="46">
        <v>1</v>
      </c>
      <c r="BL960" s="46">
        <v>0</v>
      </c>
      <c r="BM960" s="46">
        <v>0</v>
      </c>
      <c r="BN960" s="46">
        <v>0</v>
      </c>
    </row>
    <row r="961" spans="1:66" x14ac:dyDescent="0.35">
      <c r="A961" t="s">
        <v>11202</v>
      </c>
      <c r="B961" s="44" t="s">
        <v>48</v>
      </c>
      <c r="C961" t="s">
        <v>12249</v>
      </c>
      <c r="D961" t="s">
        <v>1439</v>
      </c>
      <c r="E961" t="s">
        <v>11203</v>
      </c>
      <c r="F961" t="s">
        <v>5460</v>
      </c>
      <c r="G961" t="s">
        <v>74</v>
      </c>
      <c r="H961">
        <v>0</v>
      </c>
      <c r="I961" s="60" t="s">
        <v>11160</v>
      </c>
      <c r="J961" s="33" t="s">
        <v>45</v>
      </c>
      <c r="K961" s="46">
        <v>0</v>
      </c>
      <c r="L961">
        <v>56.7</v>
      </c>
      <c r="M961" t="s">
        <v>48</v>
      </c>
      <c r="N961" s="46">
        <v>1</v>
      </c>
      <c r="O961" s="46">
        <v>0</v>
      </c>
      <c r="P961" s="46">
        <v>0</v>
      </c>
      <c r="Q961" t="s">
        <v>48</v>
      </c>
      <c r="R961" t="s">
        <v>48</v>
      </c>
      <c r="S961" t="s">
        <v>48</v>
      </c>
      <c r="T961" t="s">
        <v>48</v>
      </c>
      <c r="U961" t="s">
        <v>48</v>
      </c>
      <c r="V961" s="47">
        <v>1</v>
      </c>
      <c r="W961" t="s">
        <v>11264</v>
      </c>
      <c r="X961" t="s">
        <v>48</v>
      </c>
      <c r="Y961" t="s">
        <v>48</v>
      </c>
      <c r="Z961" t="s">
        <v>48</v>
      </c>
      <c r="AA961" t="s">
        <v>48</v>
      </c>
      <c r="AB961" t="s">
        <v>48</v>
      </c>
      <c r="AC961" t="s">
        <v>48</v>
      </c>
      <c r="AD961" t="s">
        <v>48</v>
      </c>
      <c r="AE961" t="s">
        <v>48</v>
      </c>
      <c r="AF961" t="s">
        <v>48</v>
      </c>
      <c r="AG961" t="s">
        <v>48</v>
      </c>
      <c r="AH961" t="s">
        <v>48</v>
      </c>
      <c r="AI961" t="s">
        <v>48</v>
      </c>
      <c r="AJ961" t="s">
        <v>48</v>
      </c>
      <c r="AK961" t="s">
        <v>48</v>
      </c>
      <c r="AL961" t="s">
        <v>48</v>
      </c>
      <c r="AM961" t="s">
        <v>48</v>
      </c>
      <c r="AN961" t="s">
        <v>48</v>
      </c>
      <c r="AO961" t="s">
        <v>48</v>
      </c>
      <c r="AP961" s="46">
        <v>0</v>
      </c>
      <c r="AQ961" s="46">
        <v>0</v>
      </c>
      <c r="AR961" s="46">
        <v>0</v>
      </c>
      <c r="AS961" s="46">
        <v>0</v>
      </c>
      <c r="AT961" s="46">
        <v>0</v>
      </c>
      <c r="AU961" s="46">
        <v>0</v>
      </c>
      <c r="AV961" s="46">
        <v>0</v>
      </c>
      <c r="AW961" s="46">
        <v>0</v>
      </c>
      <c r="AX961" s="46">
        <v>0</v>
      </c>
      <c r="AY961" s="46">
        <v>0</v>
      </c>
      <c r="AZ961" s="46">
        <v>0</v>
      </c>
      <c r="BA961" s="46">
        <v>0</v>
      </c>
      <c r="BB961" s="46">
        <v>0</v>
      </c>
      <c r="BC961" s="46">
        <v>0</v>
      </c>
      <c r="BD961" s="46">
        <v>0</v>
      </c>
      <c r="BE961" s="46">
        <v>0</v>
      </c>
      <c r="BF961" s="46">
        <v>0</v>
      </c>
      <c r="BG961" s="46" t="s">
        <v>48</v>
      </c>
      <c r="BH961" s="46">
        <v>0</v>
      </c>
      <c r="BI961" s="46">
        <v>0</v>
      </c>
      <c r="BJ961" s="46">
        <v>0</v>
      </c>
      <c r="BK961" s="46">
        <v>0</v>
      </c>
      <c r="BL961" s="46">
        <v>0</v>
      </c>
      <c r="BM961" s="46">
        <v>0</v>
      </c>
      <c r="BN961" s="46">
        <v>0</v>
      </c>
    </row>
    <row r="962" spans="1:66" x14ac:dyDescent="0.35">
      <c r="A962" t="s">
        <v>5459</v>
      </c>
      <c r="B962" t="s">
        <v>48</v>
      </c>
      <c r="C962" t="s">
        <v>5464</v>
      </c>
      <c r="D962" t="s">
        <v>1975</v>
      </c>
      <c r="E962" t="s">
        <v>5461</v>
      </c>
      <c r="F962" t="s">
        <v>5460</v>
      </c>
      <c r="G962" t="s">
        <v>47</v>
      </c>
      <c r="H962">
        <v>0</v>
      </c>
      <c r="I962" s="60" t="s">
        <v>51</v>
      </c>
      <c r="J962" s="33" t="s">
        <v>45</v>
      </c>
      <c r="K962" s="46">
        <v>1</v>
      </c>
      <c r="L962">
        <v>82.4</v>
      </c>
      <c r="M962" t="s">
        <v>48</v>
      </c>
      <c r="N962" s="46">
        <v>1</v>
      </c>
      <c r="O962" s="46">
        <v>0</v>
      </c>
      <c r="P962" s="46">
        <v>0</v>
      </c>
      <c r="Q962" t="s">
        <v>48</v>
      </c>
      <c r="R962" t="s">
        <v>48</v>
      </c>
      <c r="S962" t="s">
        <v>5462</v>
      </c>
      <c r="T962" t="s">
        <v>5463</v>
      </c>
      <c r="U962" t="s">
        <v>5462</v>
      </c>
      <c r="V962" s="47">
        <v>0</v>
      </c>
      <c r="W962" t="s">
        <v>48</v>
      </c>
      <c r="X962" t="s">
        <v>48</v>
      </c>
      <c r="Y962" t="s">
        <v>48</v>
      </c>
      <c r="Z962">
        <v>0</v>
      </c>
      <c r="AA962" t="s">
        <v>48</v>
      </c>
      <c r="AB962" t="s">
        <v>794</v>
      </c>
      <c r="AC962" t="s">
        <v>49</v>
      </c>
      <c r="AD962" t="s">
        <v>93</v>
      </c>
      <c r="AE962" t="s">
        <v>4532</v>
      </c>
      <c r="AF962" t="s">
        <v>48</v>
      </c>
      <c r="AG962" t="s">
        <v>112</v>
      </c>
      <c r="AH962" t="s">
        <v>93</v>
      </c>
      <c r="AI962">
        <v>21759</v>
      </c>
      <c r="AJ962">
        <v>1962</v>
      </c>
      <c r="AK962" t="s">
        <v>9196</v>
      </c>
      <c r="AL962" t="s">
        <v>9197</v>
      </c>
      <c r="AM962">
        <v>0.43099999999999999</v>
      </c>
      <c r="AN962">
        <v>0.33800000000000002</v>
      </c>
      <c r="AO962">
        <v>0.43099999999999999</v>
      </c>
      <c r="AP962" s="46">
        <v>0</v>
      </c>
      <c r="AQ962" s="46">
        <v>0</v>
      </c>
      <c r="AR962" s="46">
        <v>0</v>
      </c>
      <c r="AS962" s="46">
        <v>0</v>
      </c>
      <c r="AT962" s="46">
        <v>0</v>
      </c>
      <c r="AU962" s="46">
        <v>0</v>
      </c>
      <c r="AV962" s="46">
        <v>0</v>
      </c>
      <c r="AW962" s="46">
        <v>0</v>
      </c>
      <c r="AX962" s="46">
        <v>0</v>
      </c>
      <c r="AY962" s="46">
        <v>1</v>
      </c>
      <c r="AZ962" s="46">
        <v>1</v>
      </c>
      <c r="BA962" s="46">
        <v>0</v>
      </c>
      <c r="BB962" s="46">
        <v>1</v>
      </c>
      <c r="BC962" s="46">
        <v>0</v>
      </c>
      <c r="BD962" s="46">
        <v>0</v>
      </c>
      <c r="BE962" s="46">
        <v>0</v>
      </c>
      <c r="BF962" s="46">
        <v>0</v>
      </c>
      <c r="BG962" s="46" t="s">
        <v>48</v>
      </c>
      <c r="BH962" s="46">
        <v>0</v>
      </c>
      <c r="BI962" s="46">
        <v>0</v>
      </c>
      <c r="BJ962" s="46">
        <v>0</v>
      </c>
      <c r="BK962" s="46">
        <v>0</v>
      </c>
      <c r="BL962" s="46">
        <v>0</v>
      </c>
      <c r="BM962" s="46">
        <v>0</v>
      </c>
      <c r="BN962" s="46">
        <v>0</v>
      </c>
    </row>
    <row r="963" spans="1:66" x14ac:dyDescent="0.35">
      <c r="A963" t="s">
        <v>5483</v>
      </c>
      <c r="B963" s="44" t="s">
        <v>48</v>
      </c>
      <c r="C963" t="s">
        <v>5487</v>
      </c>
      <c r="D963" t="s">
        <v>5486</v>
      </c>
      <c r="E963" t="s">
        <v>5484</v>
      </c>
      <c r="F963" t="s">
        <v>5422</v>
      </c>
      <c r="G963" t="s">
        <v>74</v>
      </c>
      <c r="H963">
        <v>0</v>
      </c>
      <c r="I963" s="60" t="s">
        <v>125</v>
      </c>
      <c r="J963" s="33" t="s">
        <v>45</v>
      </c>
      <c r="K963" s="46">
        <v>0</v>
      </c>
      <c r="L963">
        <v>100</v>
      </c>
      <c r="M963" t="s">
        <v>48</v>
      </c>
      <c r="N963" s="46">
        <v>1</v>
      </c>
      <c r="O963" s="46">
        <v>0</v>
      </c>
      <c r="P963" s="46">
        <v>0</v>
      </c>
      <c r="Q963" t="s">
        <v>48</v>
      </c>
      <c r="R963" t="s">
        <v>48</v>
      </c>
      <c r="S963" t="s">
        <v>5485</v>
      </c>
      <c r="T963" t="s">
        <v>48</v>
      </c>
      <c r="U963" t="s">
        <v>5485</v>
      </c>
      <c r="V963" s="47">
        <v>0</v>
      </c>
      <c r="W963" t="s">
        <v>48</v>
      </c>
      <c r="X963" t="s">
        <v>48</v>
      </c>
      <c r="Y963" t="s">
        <v>48</v>
      </c>
      <c r="Z963">
        <v>0</v>
      </c>
      <c r="AA963" t="s">
        <v>48</v>
      </c>
      <c r="AB963" t="s">
        <v>48</v>
      </c>
      <c r="AC963" t="s">
        <v>63</v>
      </c>
      <c r="AD963" t="s">
        <v>93</v>
      </c>
      <c r="AE963" s="40" t="s">
        <v>2471</v>
      </c>
      <c r="AF963" t="s">
        <v>11061</v>
      </c>
      <c r="AG963" t="s">
        <v>48</v>
      </c>
      <c r="AH963" t="s">
        <v>48</v>
      </c>
      <c r="AI963" t="s">
        <v>48</v>
      </c>
      <c r="AJ963" t="s">
        <v>48</v>
      </c>
      <c r="AK963" t="s">
        <v>48</v>
      </c>
      <c r="AL963" t="s">
        <v>48</v>
      </c>
      <c r="AM963" t="s">
        <v>48</v>
      </c>
      <c r="AN963" t="s">
        <v>48</v>
      </c>
      <c r="AO963" t="s">
        <v>48</v>
      </c>
      <c r="AP963" s="46">
        <v>0</v>
      </c>
      <c r="AQ963" s="46">
        <v>0</v>
      </c>
      <c r="AR963" s="46">
        <v>0</v>
      </c>
      <c r="AS963" s="46">
        <v>0</v>
      </c>
      <c r="AT963" s="46">
        <v>0</v>
      </c>
      <c r="AU963" s="46">
        <v>0</v>
      </c>
      <c r="AV963" s="46">
        <v>0</v>
      </c>
      <c r="AW963" s="46">
        <v>0</v>
      </c>
      <c r="AX963" s="46">
        <v>0</v>
      </c>
      <c r="AY963" s="46">
        <v>0</v>
      </c>
      <c r="AZ963" s="46">
        <v>0</v>
      </c>
      <c r="BA963" s="46">
        <v>0</v>
      </c>
      <c r="BB963" s="46">
        <v>0</v>
      </c>
      <c r="BC963" s="46">
        <v>0</v>
      </c>
      <c r="BD963" s="46">
        <v>0</v>
      </c>
      <c r="BE963" s="46">
        <v>0</v>
      </c>
      <c r="BF963" s="46">
        <v>0</v>
      </c>
      <c r="BG963" s="46" t="s">
        <v>48</v>
      </c>
      <c r="BH963" s="46">
        <v>0</v>
      </c>
      <c r="BI963" s="46">
        <v>0</v>
      </c>
      <c r="BJ963" s="46">
        <v>0</v>
      </c>
      <c r="BK963" s="46">
        <v>0</v>
      </c>
      <c r="BL963" s="46">
        <v>0</v>
      </c>
      <c r="BM963" s="46">
        <v>0</v>
      </c>
      <c r="BN963" s="46">
        <v>0</v>
      </c>
    </row>
    <row r="964" spans="1:66" x14ac:dyDescent="0.35">
      <c r="A964" t="s">
        <v>5421</v>
      </c>
      <c r="B964" s="44" t="s">
        <v>48</v>
      </c>
      <c r="C964" t="s">
        <v>2624</v>
      </c>
      <c r="D964" t="s">
        <v>983</v>
      </c>
      <c r="E964" t="s">
        <v>5423</v>
      </c>
      <c r="F964" t="s">
        <v>5422</v>
      </c>
      <c r="G964" t="s">
        <v>47</v>
      </c>
      <c r="H964">
        <v>0</v>
      </c>
      <c r="I964" s="60" t="s">
        <v>149</v>
      </c>
      <c r="J964" s="33" t="s">
        <v>45</v>
      </c>
      <c r="K964" s="46">
        <v>0</v>
      </c>
      <c r="L964">
        <v>28.6</v>
      </c>
      <c r="M964" t="s">
        <v>48</v>
      </c>
      <c r="N964" s="46">
        <v>1</v>
      </c>
      <c r="O964" s="46">
        <v>0</v>
      </c>
      <c r="P964" s="46">
        <v>0</v>
      </c>
      <c r="Q964" t="s">
        <v>48</v>
      </c>
      <c r="R964" t="s">
        <v>48</v>
      </c>
      <c r="S964" t="s">
        <v>5424</v>
      </c>
      <c r="T964" t="s">
        <v>48</v>
      </c>
      <c r="U964" t="s">
        <v>5424</v>
      </c>
      <c r="V964" s="47">
        <v>0</v>
      </c>
      <c r="W964" t="s">
        <v>48</v>
      </c>
      <c r="X964" t="s">
        <v>48</v>
      </c>
      <c r="Y964" t="s">
        <v>48</v>
      </c>
      <c r="Z964">
        <v>0</v>
      </c>
      <c r="AA964" t="s">
        <v>48</v>
      </c>
      <c r="AB964" t="s">
        <v>48</v>
      </c>
      <c r="AC964" t="s">
        <v>63</v>
      </c>
      <c r="AD964" t="s">
        <v>93</v>
      </c>
      <c r="AE964" t="s">
        <v>4532</v>
      </c>
      <c r="AF964" t="s">
        <v>48</v>
      </c>
      <c r="AG964" t="s">
        <v>48</v>
      </c>
      <c r="AH964" t="s">
        <v>48</v>
      </c>
      <c r="AI964" t="s">
        <v>48</v>
      </c>
      <c r="AJ964" t="s">
        <v>48</v>
      </c>
      <c r="AK964" t="s">
        <v>48</v>
      </c>
      <c r="AL964" t="s">
        <v>48</v>
      </c>
      <c r="AM964" t="s">
        <v>48</v>
      </c>
      <c r="AN964" t="s">
        <v>48</v>
      </c>
      <c r="AO964" t="s">
        <v>48</v>
      </c>
      <c r="AP964" s="46">
        <v>0</v>
      </c>
      <c r="AQ964" s="46">
        <v>0</v>
      </c>
      <c r="AR964" s="46">
        <v>0</v>
      </c>
      <c r="AS964" s="46">
        <v>0</v>
      </c>
      <c r="AT964" s="46">
        <v>0</v>
      </c>
      <c r="AU964" s="46">
        <v>0</v>
      </c>
      <c r="AV964" s="46">
        <v>0</v>
      </c>
      <c r="AW964" s="46">
        <v>0</v>
      </c>
      <c r="AX964" s="46">
        <v>0</v>
      </c>
      <c r="AY964" s="46">
        <v>0</v>
      </c>
      <c r="AZ964" s="46">
        <v>0</v>
      </c>
      <c r="BA964" s="46">
        <v>0</v>
      </c>
      <c r="BB964" s="46">
        <v>0</v>
      </c>
      <c r="BC964" s="46">
        <v>1</v>
      </c>
      <c r="BD964" s="46">
        <v>0</v>
      </c>
      <c r="BE964" s="46">
        <v>1</v>
      </c>
      <c r="BF964" s="46">
        <v>0</v>
      </c>
      <c r="BG964" s="46">
        <v>1</v>
      </c>
      <c r="BH964" s="46">
        <v>0</v>
      </c>
      <c r="BI964" s="46">
        <v>0</v>
      </c>
      <c r="BJ964" s="46">
        <v>0</v>
      </c>
      <c r="BK964" s="46">
        <v>0</v>
      </c>
      <c r="BL964" s="46">
        <v>0</v>
      </c>
      <c r="BM964" s="46">
        <v>0</v>
      </c>
      <c r="BN964" s="46">
        <v>1</v>
      </c>
    </row>
    <row r="965" spans="1:66" x14ac:dyDescent="0.35">
      <c r="A965" t="s">
        <v>5497</v>
      </c>
      <c r="B965" t="s">
        <v>48</v>
      </c>
      <c r="C965" t="s">
        <v>5377</v>
      </c>
      <c r="D965" t="s">
        <v>268</v>
      </c>
      <c r="E965" t="s">
        <v>5498</v>
      </c>
      <c r="F965" t="s">
        <v>5493</v>
      </c>
      <c r="G965" t="s">
        <v>47</v>
      </c>
      <c r="H965">
        <v>0</v>
      </c>
      <c r="I965" s="60" t="s">
        <v>51</v>
      </c>
      <c r="J965" s="33" t="s">
        <v>45</v>
      </c>
      <c r="K965" s="46">
        <v>1</v>
      </c>
      <c r="L965">
        <v>75.7</v>
      </c>
      <c r="M965" t="s">
        <v>48</v>
      </c>
      <c r="N965" s="46">
        <v>1</v>
      </c>
      <c r="O965" s="46">
        <v>0</v>
      </c>
      <c r="P965" s="46">
        <v>0</v>
      </c>
      <c r="Q965" t="s">
        <v>48</v>
      </c>
      <c r="R965" t="s">
        <v>48</v>
      </c>
      <c r="S965" t="s">
        <v>5499</v>
      </c>
      <c r="T965" t="s">
        <v>5500</v>
      </c>
      <c r="U965" t="s">
        <v>5499</v>
      </c>
      <c r="V965" s="47">
        <v>1</v>
      </c>
      <c r="W965" t="s">
        <v>48</v>
      </c>
      <c r="X965" t="s">
        <v>48</v>
      </c>
      <c r="Y965" t="s">
        <v>48</v>
      </c>
      <c r="Z965">
        <v>0</v>
      </c>
      <c r="AA965" t="s">
        <v>48</v>
      </c>
      <c r="AB965">
        <v>2012</v>
      </c>
      <c r="AC965" t="s">
        <v>49</v>
      </c>
      <c r="AD965" t="s">
        <v>93</v>
      </c>
      <c r="AE965" t="s">
        <v>4532</v>
      </c>
      <c r="AF965" t="s">
        <v>48</v>
      </c>
      <c r="AG965" t="s">
        <v>140</v>
      </c>
      <c r="AH965" t="s">
        <v>93</v>
      </c>
      <c r="AI965">
        <v>21353</v>
      </c>
      <c r="AJ965">
        <v>1957</v>
      </c>
      <c r="AK965" t="s">
        <v>9198</v>
      </c>
      <c r="AL965" t="s">
        <v>9199</v>
      </c>
      <c r="AM965">
        <v>0.26200000000000001</v>
      </c>
      <c r="AN965">
        <v>0.27100000000000002</v>
      </c>
      <c r="AO965">
        <v>0.26200000000000001</v>
      </c>
      <c r="AP965" s="46">
        <v>0</v>
      </c>
      <c r="AQ965" s="46">
        <v>0</v>
      </c>
      <c r="AR965" s="46">
        <v>0</v>
      </c>
      <c r="AS965" s="46">
        <v>0</v>
      </c>
      <c r="AT965" s="46">
        <v>0</v>
      </c>
      <c r="AU965" s="46">
        <v>0</v>
      </c>
      <c r="AV965" s="46">
        <v>0</v>
      </c>
      <c r="AW965" s="46">
        <v>0</v>
      </c>
      <c r="AX965" s="46">
        <v>0</v>
      </c>
      <c r="AY965" s="46">
        <v>1</v>
      </c>
      <c r="AZ965" s="46">
        <v>1</v>
      </c>
      <c r="BA965" s="46">
        <v>1</v>
      </c>
      <c r="BB965" s="46">
        <v>0</v>
      </c>
      <c r="BC965" s="46">
        <v>0</v>
      </c>
      <c r="BD965" s="46">
        <v>0</v>
      </c>
      <c r="BE965" s="46">
        <v>0</v>
      </c>
      <c r="BF965" s="46">
        <v>0</v>
      </c>
      <c r="BG965" s="46" t="s">
        <v>48</v>
      </c>
      <c r="BH965" s="46">
        <v>0</v>
      </c>
      <c r="BI965" s="46">
        <v>0</v>
      </c>
      <c r="BJ965" s="46">
        <v>0</v>
      </c>
      <c r="BK965" s="46">
        <v>0</v>
      </c>
      <c r="BL965" s="46">
        <v>0</v>
      </c>
      <c r="BM965" s="46">
        <v>1</v>
      </c>
      <c r="BN965" s="46">
        <v>0</v>
      </c>
    </row>
    <row r="966" spans="1:66" x14ac:dyDescent="0.35">
      <c r="A966" t="s">
        <v>5501</v>
      </c>
      <c r="B966" s="44" t="s">
        <v>48</v>
      </c>
      <c r="C966" t="s">
        <v>5504</v>
      </c>
      <c r="D966" t="s">
        <v>1193</v>
      </c>
      <c r="E966" t="s">
        <v>5502</v>
      </c>
      <c r="F966" t="s">
        <v>5493</v>
      </c>
      <c r="G966" t="s">
        <v>74</v>
      </c>
      <c r="H966">
        <v>0</v>
      </c>
      <c r="I966" s="60" t="s">
        <v>149</v>
      </c>
      <c r="J966" s="33" t="s">
        <v>45</v>
      </c>
      <c r="K966" s="46">
        <v>0</v>
      </c>
      <c r="L966">
        <v>100</v>
      </c>
      <c r="M966" t="s">
        <v>48</v>
      </c>
      <c r="N966" s="46">
        <v>1</v>
      </c>
      <c r="O966" s="46">
        <v>0</v>
      </c>
      <c r="P966" s="46">
        <v>0</v>
      </c>
      <c r="Q966" t="s">
        <v>48</v>
      </c>
      <c r="R966" t="s">
        <v>48</v>
      </c>
      <c r="S966" t="s">
        <v>5503</v>
      </c>
      <c r="T966" t="s">
        <v>48</v>
      </c>
      <c r="U966" t="s">
        <v>5503</v>
      </c>
      <c r="V966" s="47">
        <v>0</v>
      </c>
      <c r="W966" t="s">
        <v>48</v>
      </c>
      <c r="X966" t="s">
        <v>48</v>
      </c>
      <c r="Y966" t="s">
        <v>48</v>
      </c>
      <c r="Z966">
        <v>0</v>
      </c>
      <c r="AA966" t="s">
        <v>48</v>
      </c>
      <c r="AB966" t="s">
        <v>48</v>
      </c>
      <c r="AC966" t="s">
        <v>49</v>
      </c>
      <c r="AD966" t="s">
        <v>93</v>
      </c>
      <c r="AE966" t="s">
        <v>4532</v>
      </c>
      <c r="AF966" t="s">
        <v>48</v>
      </c>
      <c r="AG966" t="s">
        <v>48</v>
      </c>
      <c r="AH966" t="s">
        <v>426</v>
      </c>
      <c r="AI966" t="s">
        <v>48</v>
      </c>
      <c r="AJ966" t="s">
        <v>48</v>
      </c>
      <c r="AK966" t="s">
        <v>48</v>
      </c>
      <c r="AL966" t="s">
        <v>48</v>
      </c>
      <c r="AM966" t="s">
        <v>48</v>
      </c>
      <c r="AN966" t="s">
        <v>48</v>
      </c>
      <c r="AO966" t="s">
        <v>48</v>
      </c>
      <c r="AP966" s="46">
        <v>0</v>
      </c>
      <c r="AQ966" s="46">
        <v>0</v>
      </c>
      <c r="AR966" s="46">
        <v>0</v>
      </c>
      <c r="AS966" s="46">
        <v>0</v>
      </c>
      <c r="AT966" s="46">
        <v>0</v>
      </c>
      <c r="AU966" s="46">
        <v>0</v>
      </c>
      <c r="AV966" s="46">
        <v>0</v>
      </c>
      <c r="AW966" s="46">
        <v>0</v>
      </c>
      <c r="AX966" s="46">
        <v>0</v>
      </c>
      <c r="AY966" s="46">
        <v>0</v>
      </c>
      <c r="AZ966" s="46">
        <v>0</v>
      </c>
      <c r="BA966" s="46">
        <v>0</v>
      </c>
      <c r="BB966" s="46">
        <v>0</v>
      </c>
      <c r="BC966" s="46">
        <v>0</v>
      </c>
      <c r="BD966" s="46">
        <v>0</v>
      </c>
      <c r="BE966" s="46">
        <v>0</v>
      </c>
      <c r="BF966" s="46">
        <v>0</v>
      </c>
      <c r="BG966" s="46" t="s">
        <v>48</v>
      </c>
      <c r="BH966" s="46">
        <v>0</v>
      </c>
      <c r="BI966" s="46">
        <v>0</v>
      </c>
      <c r="BJ966" s="46">
        <v>0</v>
      </c>
      <c r="BK966" s="46">
        <v>0</v>
      </c>
      <c r="BL966" s="46">
        <v>0</v>
      </c>
      <c r="BM966" s="46">
        <v>0</v>
      </c>
      <c r="BN966" s="46">
        <v>0</v>
      </c>
    </row>
    <row r="967" spans="1:66" ht="15" x14ac:dyDescent="0.4">
      <c r="A967" t="s">
        <v>11207</v>
      </c>
      <c r="B967" s="44" t="s">
        <v>48</v>
      </c>
      <c r="C967" t="s">
        <v>12254</v>
      </c>
      <c r="D967" t="s">
        <v>467</v>
      </c>
      <c r="E967" t="s">
        <v>11206</v>
      </c>
      <c r="F967" t="s">
        <v>5505</v>
      </c>
      <c r="G967" t="s">
        <v>74</v>
      </c>
      <c r="H967">
        <v>0</v>
      </c>
      <c r="I967" s="60" t="s">
        <v>11160</v>
      </c>
      <c r="J967" s="33" t="s">
        <v>45</v>
      </c>
      <c r="K967" s="46">
        <v>0</v>
      </c>
      <c r="L967">
        <v>100</v>
      </c>
      <c r="M967" t="s">
        <v>48</v>
      </c>
      <c r="N967" s="46">
        <v>1</v>
      </c>
      <c r="O967" s="46">
        <v>0</v>
      </c>
      <c r="P967" s="46">
        <v>0</v>
      </c>
      <c r="Q967" t="s">
        <v>48</v>
      </c>
      <c r="R967" t="s">
        <v>48</v>
      </c>
      <c r="S967" s="55" t="s">
        <v>11208</v>
      </c>
      <c r="T967" t="s">
        <v>48</v>
      </c>
      <c r="U967" s="55" t="s">
        <v>11208</v>
      </c>
      <c r="V967" s="47" t="s">
        <v>48</v>
      </c>
      <c r="W967" t="s">
        <v>48</v>
      </c>
      <c r="X967" t="s">
        <v>48</v>
      </c>
      <c r="Y967" t="s">
        <v>48</v>
      </c>
      <c r="Z967" t="s">
        <v>48</v>
      </c>
      <c r="AA967" t="s">
        <v>48</v>
      </c>
      <c r="AB967" t="s">
        <v>48</v>
      </c>
      <c r="AC967" t="s">
        <v>48</v>
      </c>
      <c r="AD967" t="s">
        <v>48</v>
      </c>
      <c r="AE967" t="s">
        <v>48</v>
      </c>
      <c r="AF967" t="s">
        <v>48</v>
      </c>
      <c r="AG967" t="s">
        <v>48</v>
      </c>
      <c r="AH967" t="s">
        <v>48</v>
      </c>
      <c r="AI967" t="s">
        <v>48</v>
      </c>
      <c r="AJ967" t="s">
        <v>48</v>
      </c>
      <c r="AK967" t="s">
        <v>48</v>
      </c>
      <c r="AL967" t="s">
        <v>48</v>
      </c>
      <c r="AM967" t="s">
        <v>48</v>
      </c>
      <c r="AN967" t="s">
        <v>48</v>
      </c>
      <c r="AO967" t="s">
        <v>48</v>
      </c>
      <c r="AP967" s="46">
        <v>0</v>
      </c>
      <c r="AQ967" s="46">
        <v>0</v>
      </c>
      <c r="AR967" s="46">
        <v>0</v>
      </c>
      <c r="AS967" s="46">
        <v>0</v>
      </c>
      <c r="AT967" s="46">
        <v>0</v>
      </c>
      <c r="AU967" s="46">
        <v>0</v>
      </c>
      <c r="AV967" s="46">
        <v>0</v>
      </c>
      <c r="AW967" s="46">
        <v>0</v>
      </c>
      <c r="AX967" s="46">
        <v>0</v>
      </c>
      <c r="AY967" s="46">
        <v>0</v>
      </c>
      <c r="AZ967" s="46">
        <v>0</v>
      </c>
      <c r="BA967" s="46">
        <v>0</v>
      </c>
      <c r="BB967" s="46">
        <v>0</v>
      </c>
      <c r="BC967" s="46">
        <v>0</v>
      </c>
      <c r="BD967" s="46">
        <v>0</v>
      </c>
      <c r="BE967" s="46">
        <v>0</v>
      </c>
      <c r="BF967" s="46">
        <v>0</v>
      </c>
      <c r="BG967" s="46" t="s">
        <v>48</v>
      </c>
      <c r="BH967" s="46">
        <v>0</v>
      </c>
      <c r="BI967" s="46">
        <v>0</v>
      </c>
      <c r="BJ967" s="46">
        <v>0</v>
      </c>
      <c r="BK967" s="46">
        <v>0</v>
      </c>
      <c r="BL967" s="46">
        <v>0</v>
      </c>
      <c r="BM967" s="46">
        <v>0</v>
      </c>
      <c r="BN967" s="46">
        <v>0</v>
      </c>
    </row>
    <row r="968" spans="1:66" x14ac:dyDescent="0.35">
      <c r="A968" t="s">
        <v>9441</v>
      </c>
      <c r="B968" s="44" t="s">
        <v>48</v>
      </c>
      <c r="C968" t="s">
        <v>4529</v>
      </c>
      <c r="D968" t="s">
        <v>288</v>
      </c>
      <c r="E968" t="s">
        <v>9442</v>
      </c>
      <c r="F968" t="s">
        <v>5505</v>
      </c>
      <c r="G968" t="s">
        <v>47</v>
      </c>
      <c r="H968">
        <v>0</v>
      </c>
      <c r="I968" s="60" t="s">
        <v>11160</v>
      </c>
      <c r="J968" s="33" t="s">
        <v>45</v>
      </c>
      <c r="K968" s="46">
        <v>1</v>
      </c>
      <c r="L968">
        <v>100</v>
      </c>
      <c r="M968" t="s">
        <v>48</v>
      </c>
      <c r="N968" s="46">
        <v>1</v>
      </c>
      <c r="O968" s="46">
        <v>0</v>
      </c>
      <c r="P968" s="46">
        <v>0</v>
      </c>
      <c r="Q968" s="41" t="s">
        <v>48</v>
      </c>
      <c r="R968" s="41" t="s">
        <v>48</v>
      </c>
      <c r="S968" s="41" t="str">
        <f>"@MikeCareyOH15"</f>
        <v>@MikeCareyOH15</v>
      </c>
      <c r="T968" s="41" t="s">
        <v>48</v>
      </c>
      <c r="U968" s="41" t="str">
        <f>"@MikeCareyOH15"</f>
        <v>@MikeCareyOH15</v>
      </c>
      <c r="V968" s="47">
        <v>0</v>
      </c>
      <c r="W968" s="41" t="s">
        <v>48</v>
      </c>
      <c r="X968" t="s">
        <v>48</v>
      </c>
      <c r="Y968" t="s">
        <v>48</v>
      </c>
      <c r="Z968" s="41" t="s">
        <v>48</v>
      </c>
      <c r="AA968" s="41" t="s">
        <v>48</v>
      </c>
      <c r="AB968" s="41" t="s">
        <v>48</v>
      </c>
      <c r="AC968" t="s">
        <v>49</v>
      </c>
      <c r="AD968" s="41" t="s">
        <v>93</v>
      </c>
      <c r="AE968" s="41" t="s">
        <v>4532</v>
      </c>
      <c r="AF968" s="41" t="s">
        <v>48</v>
      </c>
      <c r="AG968" s="41" t="s">
        <v>48</v>
      </c>
      <c r="AH968" s="41" t="s">
        <v>48</v>
      </c>
      <c r="AI968">
        <v>22162</v>
      </c>
      <c r="AJ968">
        <v>1971</v>
      </c>
      <c r="AK968" t="s">
        <v>9200</v>
      </c>
      <c r="AL968" t="s">
        <v>9201</v>
      </c>
      <c r="AM968">
        <v>0.39200000000000002</v>
      </c>
      <c r="AN968">
        <v>0.23699999999999999</v>
      </c>
      <c r="AO968">
        <v>0.39200000000000002</v>
      </c>
      <c r="AP968" s="46">
        <v>0</v>
      </c>
      <c r="AQ968" s="46">
        <v>0</v>
      </c>
      <c r="AR968" s="46">
        <v>0</v>
      </c>
      <c r="AS968" s="46">
        <v>0</v>
      </c>
      <c r="AT968" s="46">
        <v>0</v>
      </c>
      <c r="AU968" s="46">
        <v>0</v>
      </c>
      <c r="AV968" s="46">
        <v>0</v>
      </c>
      <c r="AW968" s="46">
        <v>0</v>
      </c>
      <c r="AX968" s="46">
        <v>0</v>
      </c>
      <c r="AY968" s="46">
        <v>0</v>
      </c>
      <c r="AZ968" s="46">
        <v>0</v>
      </c>
      <c r="BA968" s="46">
        <v>0</v>
      </c>
      <c r="BB968" s="46">
        <v>1</v>
      </c>
      <c r="BC968" s="46">
        <v>0</v>
      </c>
      <c r="BD968" s="46">
        <v>0</v>
      </c>
      <c r="BE968" s="46">
        <v>0</v>
      </c>
      <c r="BF968" s="46">
        <v>0</v>
      </c>
      <c r="BG968" s="46" t="s">
        <v>48</v>
      </c>
      <c r="BH968" s="46">
        <v>0</v>
      </c>
      <c r="BI968" s="46">
        <v>0</v>
      </c>
      <c r="BJ968" s="46">
        <v>0</v>
      </c>
      <c r="BK968" s="46">
        <v>0</v>
      </c>
      <c r="BL968" s="46">
        <v>0</v>
      </c>
      <c r="BM968" s="46">
        <v>0</v>
      </c>
      <c r="BN968" s="46">
        <v>0</v>
      </c>
    </row>
    <row r="969" spans="1:66" x14ac:dyDescent="0.35">
      <c r="A969" t="s">
        <v>5562</v>
      </c>
      <c r="B969" s="44" t="s">
        <v>48</v>
      </c>
      <c r="C969" t="s">
        <v>772</v>
      </c>
      <c r="D969" t="s">
        <v>335</v>
      </c>
      <c r="E969" t="s">
        <v>5563</v>
      </c>
      <c r="F969" t="s">
        <v>5557</v>
      </c>
      <c r="G969" t="s">
        <v>74</v>
      </c>
      <c r="H969">
        <v>0</v>
      </c>
      <c r="I969" s="60" t="s">
        <v>51</v>
      </c>
      <c r="J969" s="33" t="s">
        <v>45</v>
      </c>
      <c r="K969" s="46">
        <v>0</v>
      </c>
      <c r="L969">
        <v>100</v>
      </c>
      <c r="M969" t="s">
        <v>48</v>
      </c>
      <c r="N969" s="46">
        <v>1</v>
      </c>
      <c r="O969" s="46">
        <v>0</v>
      </c>
      <c r="P969" s="46">
        <v>0</v>
      </c>
      <c r="Q969" t="s">
        <v>48</v>
      </c>
      <c r="R969" t="s">
        <v>48</v>
      </c>
      <c r="S969" t="s">
        <v>10365</v>
      </c>
      <c r="T969" t="s">
        <v>48</v>
      </c>
      <c r="U969" t="s">
        <v>10365</v>
      </c>
      <c r="V969" s="47">
        <v>1</v>
      </c>
      <c r="W969" t="s">
        <v>48</v>
      </c>
      <c r="X969" t="s">
        <v>48</v>
      </c>
      <c r="Y969" t="s">
        <v>48</v>
      </c>
      <c r="Z969">
        <v>0</v>
      </c>
      <c r="AA969" t="s">
        <v>48</v>
      </c>
      <c r="AB969" t="s">
        <v>48</v>
      </c>
      <c r="AC969" t="s">
        <v>49</v>
      </c>
      <c r="AD969" t="s">
        <v>93</v>
      </c>
      <c r="AE969" s="40" t="s">
        <v>2471</v>
      </c>
      <c r="AF969" t="s">
        <v>11061</v>
      </c>
      <c r="AG969" t="s">
        <v>48</v>
      </c>
      <c r="AH969" t="s">
        <v>48</v>
      </c>
      <c r="AI969" t="s">
        <v>48</v>
      </c>
      <c r="AJ969" t="s">
        <v>48</v>
      </c>
      <c r="AK969" t="s">
        <v>48</v>
      </c>
      <c r="AL969" t="s">
        <v>48</v>
      </c>
      <c r="AM969" t="s">
        <v>48</v>
      </c>
      <c r="AN969" t="s">
        <v>48</v>
      </c>
      <c r="AO969" t="s">
        <v>48</v>
      </c>
      <c r="AP969" s="46">
        <v>0</v>
      </c>
      <c r="AQ969" s="46">
        <v>0</v>
      </c>
      <c r="AR969" s="46">
        <v>0</v>
      </c>
      <c r="AS969" s="46">
        <v>0</v>
      </c>
      <c r="AT969" s="46">
        <v>0</v>
      </c>
      <c r="AU969" s="46">
        <v>0</v>
      </c>
      <c r="AV969" s="46">
        <v>0</v>
      </c>
      <c r="AW969" s="46">
        <v>0</v>
      </c>
      <c r="AX969" s="46">
        <v>0</v>
      </c>
      <c r="AY969" s="46">
        <v>0</v>
      </c>
      <c r="AZ969" s="46">
        <v>0</v>
      </c>
      <c r="BA969" s="46">
        <v>0</v>
      </c>
      <c r="BB969" s="46">
        <v>0</v>
      </c>
      <c r="BC969" s="46">
        <v>0</v>
      </c>
      <c r="BD969" s="46">
        <v>0</v>
      </c>
      <c r="BE969" s="46">
        <v>0</v>
      </c>
      <c r="BF969" s="46">
        <v>0</v>
      </c>
      <c r="BG969" s="46" t="s">
        <v>48</v>
      </c>
      <c r="BH969" s="46">
        <v>0</v>
      </c>
      <c r="BI969" s="46">
        <v>0</v>
      </c>
      <c r="BJ969" s="46">
        <v>0</v>
      </c>
      <c r="BK969" s="46">
        <v>0</v>
      </c>
      <c r="BL969" s="46">
        <v>0</v>
      </c>
      <c r="BM969" s="46">
        <v>0</v>
      </c>
      <c r="BN969" s="46">
        <v>0</v>
      </c>
    </row>
    <row r="970" spans="1:66" x14ac:dyDescent="0.35">
      <c r="A970" t="s">
        <v>5556</v>
      </c>
      <c r="B970" s="44" t="s">
        <v>48</v>
      </c>
      <c r="C970" t="s">
        <v>5561</v>
      </c>
      <c r="D970" t="s">
        <v>427</v>
      </c>
      <c r="E970" t="s">
        <v>5558</v>
      </c>
      <c r="F970" t="s">
        <v>5557</v>
      </c>
      <c r="G970" t="s">
        <v>47</v>
      </c>
      <c r="H970">
        <v>0</v>
      </c>
      <c r="I970" s="60" t="s">
        <v>51</v>
      </c>
      <c r="J970" s="33" t="s">
        <v>45</v>
      </c>
      <c r="K970" s="46">
        <v>1</v>
      </c>
      <c r="L970">
        <v>100</v>
      </c>
      <c r="M970" t="s">
        <v>48</v>
      </c>
      <c r="N970" s="46">
        <v>1</v>
      </c>
      <c r="O970" s="46">
        <v>0</v>
      </c>
      <c r="P970" s="46">
        <v>0</v>
      </c>
      <c r="Q970" t="s">
        <v>48</v>
      </c>
      <c r="R970" t="s">
        <v>48</v>
      </c>
      <c r="S970" t="s">
        <v>5559</v>
      </c>
      <c r="T970" t="s">
        <v>5560</v>
      </c>
      <c r="U970" t="s">
        <v>5559</v>
      </c>
      <c r="V970" s="47">
        <v>0</v>
      </c>
      <c r="W970" t="s">
        <v>48</v>
      </c>
      <c r="X970" t="s">
        <v>48</v>
      </c>
      <c r="Y970" t="s">
        <v>48</v>
      </c>
      <c r="Z970">
        <v>0</v>
      </c>
      <c r="AA970" t="s">
        <v>48</v>
      </c>
      <c r="AB970" t="s">
        <v>794</v>
      </c>
      <c r="AC970" t="s">
        <v>49</v>
      </c>
      <c r="AD970" t="s">
        <v>93</v>
      </c>
      <c r="AE970" t="s">
        <v>4532</v>
      </c>
      <c r="AF970" t="s">
        <v>48</v>
      </c>
      <c r="AG970" t="s">
        <v>112</v>
      </c>
      <c r="AH970" t="s">
        <v>93</v>
      </c>
      <c r="AI970">
        <v>21760</v>
      </c>
      <c r="AJ970">
        <v>1961</v>
      </c>
      <c r="AK970" t="s">
        <v>9204</v>
      </c>
      <c r="AL970" t="s">
        <v>9205</v>
      </c>
      <c r="AM970">
        <v>0.68300000000000005</v>
      </c>
      <c r="AN970">
        <v>-0.04</v>
      </c>
      <c r="AO970">
        <v>0.68300000000000005</v>
      </c>
      <c r="AP970" s="46">
        <v>0</v>
      </c>
      <c r="AQ970" s="46">
        <v>0</v>
      </c>
      <c r="AR970" s="46">
        <v>0</v>
      </c>
      <c r="AS970" s="46">
        <v>0</v>
      </c>
      <c r="AT970" s="46">
        <v>0</v>
      </c>
      <c r="AU970" s="46">
        <v>0</v>
      </c>
      <c r="AV970" s="46">
        <v>0</v>
      </c>
      <c r="AW970" s="46">
        <v>0</v>
      </c>
      <c r="AX970" s="46">
        <v>0</v>
      </c>
      <c r="AY970" s="46">
        <v>0</v>
      </c>
      <c r="AZ970" s="46">
        <v>0</v>
      </c>
      <c r="BA970" s="46">
        <v>0</v>
      </c>
      <c r="BB970" s="46">
        <v>1</v>
      </c>
      <c r="BC970" s="46">
        <v>0</v>
      </c>
      <c r="BD970" s="46">
        <v>0</v>
      </c>
      <c r="BE970" s="46">
        <v>0</v>
      </c>
      <c r="BF970" s="46">
        <v>0</v>
      </c>
      <c r="BG970" s="46">
        <v>1</v>
      </c>
      <c r="BH970" s="46">
        <v>0</v>
      </c>
      <c r="BI970" s="46">
        <v>0</v>
      </c>
      <c r="BJ970" s="46">
        <v>0</v>
      </c>
      <c r="BK970" s="46">
        <v>0</v>
      </c>
      <c r="BL970" s="46">
        <v>0</v>
      </c>
      <c r="BM970" s="46">
        <v>0</v>
      </c>
      <c r="BN970" s="46">
        <v>1</v>
      </c>
    </row>
    <row r="971" spans="1:66" x14ac:dyDescent="0.35">
      <c r="A971" t="s">
        <v>9710</v>
      </c>
      <c r="B971" t="s">
        <v>48</v>
      </c>
      <c r="C971" t="s">
        <v>12257</v>
      </c>
      <c r="D971" t="s">
        <v>316</v>
      </c>
      <c r="E971" t="s">
        <v>9711</v>
      </c>
      <c r="F971" t="s">
        <v>5565</v>
      </c>
      <c r="G971" t="s">
        <v>47</v>
      </c>
      <c r="H971">
        <v>0</v>
      </c>
      <c r="I971" s="61">
        <v>44748</v>
      </c>
      <c r="J971" s="33" t="s">
        <v>45</v>
      </c>
      <c r="K971" s="46">
        <v>0</v>
      </c>
      <c r="L971">
        <v>13.8</v>
      </c>
      <c r="M971" t="s">
        <v>48</v>
      </c>
      <c r="N971" s="46">
        <v>1</v>
      </c>
      <c r="O971" s="46">
        <v>0</v>
      </c>
      <c r="P971" s="46">
        <v>0</v>
      </c>
      <c r="Q971" t="s">
        <v>48</v>
      </c>
      <c r="R971" t="s">
        <v>48</v>
      </c>
      <c r="S971" t="s">
        <v>10373</v>
      </c>
      <c r="T971" t="s">
        <v>48</v>
      </c>
      <c r="U971" t="s">
        <v>10373</v>
      </c>
      <c r="V971" s="47">
        <v>1</v>
      </c>
      <c r="W971" t="s">
        <v>48</v>
      </c>
      <c r="X971" t="s">
        <v>48</v>
      </c>
      <c r="Y971" t="s">
        <v>48</v>
      </c>
      <c r="Z971" t="s">
        <v>48</v>
      </c>
      <c r="AA971" t="s">
        <v>48</v>
      </c>
      <c r="AB971" t="s">
        <v>48</v>
      </c>
      <c r="AC971" t="s">
        <v>49</v>
      </c>
      <c r="AD971" t="s">
        <v>93</v>
      </c>
      <c r="AE971" t="s">
        <v>4532</v>
      </c>
      <c r="AF971" t="s">
        <v>48</v>
      </c>
      <c r="AG971" t="s">
        <v>48</v>
      </c>
      <c r="AH971" t="s">
        <v>48</v>
      </c>
      <c r="AI971" t="s">
        <v>48</v>
      </c>
      <c r="AJ971" t="s">
        <v>48</v>
      </c>
      <c r="AK971" t="s">
        <v>48</v>
      </c>
      <c r="AL971" t="s">
        <v>48</v>
      </c>
      <c r="AM971" t="s">
        <v>48</v>
      </c>
      <c r="AN971" t="s">
        <v>48</v>
      </c>
      <c r="AO971" t="s">
        <v>48</v>
      </c>
      <c r="AP971" s="46">
        <v>0</v>
      </c>
      <c r="AQ971" s="46">
        <v>0</v>
      </c>
      <c r="AR971" s="46">
        <v>0</v>
      </c>
      <c r="AS971" s="46">
        <v>0</v>
      </c>
      <c r="AT971" s="46">
        <v>0</v>
      </c>
      <c r="AU971" s="46">
        <v>0</v>
      </c>
      <c r="AV971" s="46">
        <v>0</v>
      </c>
      <c r="AW971" s="46">
        <v>0</v>
      </c>
      <c r="AX971" s="46">
        <v>0</v>
      </c>
      <c r="AY971" s="46">
        <v>0</v>
      </c>
      <c r="AZ971" s="46">
        <v>0</v>
      </c>
      <c r="BA971" s="46">
        <v>0</v>
      </c>
      <c r="BB971" s="46">
        <v>0</v>
      </c>
      <c r="BC971" s="46">
        <v>0</v>
      </c>
      <c r="BD971" s="46">
        <v>0</v>
      </c>
      <c r="BE971" s="46">
        <v>0</v>
      </c>
      <c r="BF971" s="46">
        <v>0</v>
      </c>
      <c r="BG971" s="46" t="s">
        <v>48</v>
      </c>
      <c r="BH971" s="46">
        <v>0</v>
      </c>
      <c r="BI971" s="46">
        <v>0</v>
      </c>
      <c r="BJ971" s="46">
        <v>0</v>
      </c>
      <c r="BK971" s="46">
        <v>0</v>
      </c>
      <c r="BL971" s="46">
        <v>0</v>
      </c>
      <c r="BM971" s="46">
        <v>0</v>
      </c>
      <c r="BN971" s="46">
        <v>0</v>
      </c>
    </row>
    <row r="972" spans="1:66" x14ac:dyDescent="0.35">
      <c r="A972" t="s">
        <v>9714</v>
      </c>
      <c r="B972" s="44" t="s">
        <v>48</v>
      </c>
      <c r="C972" t="s">
        <v>3310</v>
      </c>
      <c r="D972" t="s">
        <v>12255</v>
      </c>
      <c r="E972" t="s">
        <v>9715</v>
      </c>
      <c r="F972" t="s">
        <v>5565</v>
      </c>
      <c r="G972" t="s">
        <v>74</v>
      </c>
      <c r="H972">
        <v>0</v>
      </c>
      <c r="I972" s="61">
        <v>44748</v>
      </c>
      <c r="J972" s="33" t="s">
        <v>45</v>
      </c>
      <c r="K972" s="46">
        <v>0</v>
      </c>
      <c r="L972">
        <v>100</v>
      </c>
      <c r="M972" t="s">
        <v>48</v>
      </c>
      <c r="N972" s="46">
        <v>1</v>
      </c>
      <c r="O972" s="46">
        <v>0</v>
      </c>
      <c r="P972" s="46">
        <v>0</v>
      </c>
      <c r="Q972" t="s">
        <v>48</v>
      </c>
      <c r="R972" t="s">
        <v>48</v>
      </c>
      <c r="S972" t="s">
        <v>10366</v>
      </c>
      <c r="T972" t="s">
        <v>48</v>
      </c>
      <c r="U972" t="s">
        <v>10366</v>
      </c>
      <c r="V972" s="47">
        <v>1</v>
      </c>
      <c r="W972" t="s">
        <v>48</v>
      </c>
      <c r="X972" t="s">
        <v>48</v>
      </c>
      <c r="Y972" t="s">
        <v>48</v>
      </c>
      <c r="Z972" t="s">
        <v>48</v>
      </c>
      <c r="AA972" t="s">
        <v>48</v>
      </c>
      <c r="AB972" t="s">
        <v>48</v>
      </c>
      <c r="AC972" t="s">
        <v>63</v>
      </c>
      <c r="AD972" t="s">
        <v>93</v>
      </c>
      <c r="AE972" t="s">
        <v>4532</v>
      </c>
      <c r="AF972" t="s">
        <v>48</v>
      </c>
      <c r="AG972" t="s">
        <v>48</v>
      </c>
      <c r="AH972" t="s">
        <v>48</v>
      </c>
      <c r="AI972" t="s">
        <v>48</v>
      </c>
      <c r="AJ972" t="s">
        <v>48</v>
      </c>
      <c r="AK972" t="s">
        <v>48</v>
      </c>
      <c r="AL972" t="s">
        <v>48</v>
      </c>
      <c r="AM972" t="s">
        <v>48</v>
      </c>
      <c r="AN972" t="s">
        <v>48</v>
      </c>
      <c r="AO972" t="s">
        <v>48</v>
      </c>
      <c r="AP972" s="46">
        <v>0</v>
      </c>
      <c r="AQ972" s="46">
        <v>0</v>
      </c>
      <c r="AR972" s="46">
        <v>0</v>
      </c>
      <c r="AS972" s="46">
        <v>0</v>
      </c>
      <c r="AT972" s="46">
        <v>0</v>
      </c>
      <c r="AU972" s="46">
        <v>0</v>
      </c>
      <c r="AV972" s="46">
        <v>0</v>
      </c>
      <c r="AW972" s="46">
        <v>0</v>
      </c>
      <c r="AX972" s="46">
        <v>0</v>
      </c>
      <c r="AY972" s="46">
        <v>0</v>
      </c>
      <c r="AZ972" s="46">
        <v>0</v>
      </c>
      <c r="BA972" s="46">
        <v>0</v>
      </c>
      <c r="BB972" s="46">
        <v>0</v>
      </c>
      <c r="BC972" s="46">
        <v>0</v>
      </c>
      <c r="BD972" s="46">
        <v>0</v>
      </c>
      <c r="BE972" s="46">
        <v>0</v>
      </c>
      <c r="BF972" s="46">
        <v>0</v>
      </c>
      <c r="BG972" s="46" t="s">
        <v>48</v>
      </c>
      <c r="BH972" s="46">
        <v>0</v>
      </c>
      <c r="BI972" s="46">
        <v>0</v>
      </c>
      <c r="BJ972" s="46">
        <v>0</v>
      </c>
      <c r="BK972" s="46">
        <v>0</v>
      </c>
      <c r="BL972" s="46">
        <v>0</v>
      </c>
      <c r="BM972" s="46">
        <v>0</v>
      </c>
      <c r="BN972" s="46">
        <v>0</v>
      </c>
    </row>
    <row r="973" spans="1:66" x14ac:dyDescent="0.35">
      <c r="A973" t="s">
        <v>5574</v>
      </c>
      <c r="B973" s="44" t="s">
        <v>48</v>
      </c>
      <c r="C973" t="s">
        <v>2954</v>
      </c>
      <c r="D973" t="s">
        <v>817</v>
      </c>
      <c r="E973" t="s">
        <v>5575</v>
      </c>
      <c r="F973" t="s">
        <v>5570</v>
      </c>
      <c r="G973" t="s">
        <v>47</v>
      </c>
      <c r="H973">
        <v>0</v>
      </c>
      <c r="I973" s="60" t="s">
        <v>51</v>
      </c>
      <c r="J973" s="33" t="s">
        <v>45</v>
      </c>
      <c r="K973" s="46">
        <v>1</v>
      </c>
      <c r="L973">
        <v>61.1</v>
      </c>
      <c r="M973" t="s">
        <v>48</v>
      </c>
      <c r="N973" s="46">
        <v>1</v>
      </c>
      <c r="O973" s="46">
        <v>0</v>
      </c>
      <c r="P973" s="46">
        <v>0</v>
      </c>
      <c r="Q973" t="s">
        <v>48</v>
      </c>
      <c r="R973" t="s">
        <v>48</v>
      </c>
      <c r="S973" t="s">
        <v>5576</v>
      </c>
      <c r="T973" t="s">
        <v>5577</v>
      </c>
      <c r="U973" t="s">
        <v>5576</v>
      </c>
      <c r="V973" s="47">
        <v>0</v>
      </c>
      <c r="W973" t="s">
        <v>48</v>
      </c>
      <c r="X973" t="s">
        <v>48</v>
      </c>
      <c r="Y973" t="s">
        <v>48</v>
      </c>
      <c r="Z973">
        <v>0</v>
      </c>
      <c r="AA973" t="s">
        <v>48</v>
      </c>
      <c r="AB973" t="s">
        <v>5578</v>
      </c>
      <c r="AC973" t="s">
        <v>49</v>
      </c>
      <c r="AD973" t="s">
        <v>93</v>
      </c>
      <c r="AE973" t="s">
        <v>4532</v>
      </c>
      <c r="AF973" t="s">
        <v>48</v>
      </c>
      <c r="AG973" t="s">
        <v>184</v>
      </c>
      <c r="AH973" t="s">
        <v>93</v>
      </c>
      <c r="AI973">
        <v>29393</v>
      </c>
      <c r="AJ973">
        <v>1960</v>
      </c>
      <c r="AK973" t="s">
        <v>9208</v>
      </c>
      <c r="AL973" t="s">
        <v>9209</v>
      </c>
      <c r="AM973">
        <v>0.36599999999999999</v>
      </c>
      <c r="AN973">
        <v>0.41799999999999998</v>
      </c>
      <c r="AO973">
        <v>0.36599999999999999</v>
      </c>
      <c r="AP973" s="46">
        <v>0</v>
      </c>
      <c r="AQ973" s="46">
        <v>0</v>
      </c>
      <c r="AR973" s="46">
        <v>0</v>
      </c>
      <c r="AS973" s="46">
        <v>0</v>
      </c>
      <c r="AT973" s="46">
        <v>0</v>
      </c>
      <c r="AU973" s="46">
        <v>0</v>
      </c>
      <c r="AV973" s="46">
        <v>0</v>
      </c>
      <c r="AW973" s="46">
        <v>0</v>
      </c>
      <c r="AX973" s="46">
        <v>0</v>
      </c>
      <c r="AY973" s="46">
        <v>0</v>
      </c>
      <c r="AZ973" s="46">
        <v>0</v>
      </c>
      <c r="BA973" s="46">
        <v>0</v>
      </c>
      <c r="BB973" s="46">
        <v>0</v>
      </c>
      <c r="BC973" s="46">
        <v>0</v>
      </c>
      <c r="BD973" s="46">
        <v>0</v>
      </c>
      <c r="BE973" s="46">
        <v>0</v>
      </c>
      <c r="BF973" s="46">
        <v>0</v>
      </c>
      <c r="BG973" s="46">
        <v>1</v>
      </c>
      <c r="BH973" s="46">
        <v>0</v>
      </c>
      <c r="BI973" s="46">
        <v>0</v>
      </c>
      <c r="BJ973" s="46">
        <v>0</v>
      </c>
      <c r="BK973" s="46">
        <v>0</v>
      </c>
      <c r="BL973" s="46">
        <v>0</v>
      </c>
      <c r="BM973" s="46">
        <v>1</v>
      </c>
      <c r="BN973" s="46">
        <v>0</v>
      </c>
    </row>
    <row r="974" spans="1:66" x14ac:dyDescent="0.35">
      <c r="A974" t="s">
        <v>9722</v>
      </c>
      <c r="B974" s="44" t="s">
        <v>48</v>
      </c>
      <c r="C974" t="s">
        <v>4144</v>
      </c>
      <c r="D974" t="s">
        <v>2161</v>
      </c>
      <c r="E974" s="40" t="s">
        <v>9723</v>
      </c>
      <c r="F974" s="40" t="s">
        <v>5570</v>
      </c>
      <c r="G974" t="s">
        <v>74</v>
      </c>
      <c r="H974">
        <v>0</v>
      </c>
      <c r="I974" s="61">
        <v>44748</v>
      </c>
      <c r="J974" s="33" t="s">
        <v>45</v>
      </c>
      <c r="K974" s="46">
        <v>0</v>
      </c>
      <c r="L974">
        <v>100</v>
      </c>
      <c r="M974" t="s">
        <v>48</v>
      </c>
      <c r="N974" s="46">
        <v>1</v>
      </c>
      <c r="O974" s="46">
        <v>0</v>
      </c>
      <c r="P974" s="46">
        <v>0</v>
      </c>
      <c r="Q974" t="s">
        <v>48</v>
      </c>
      <c r="R974" t="s">
        <v>48</v>
      </c>
      <c r="S974" t="s">
        <v>48</v>
      </c>
      <c r="T974" t="s">
        <v>48</v>
      </c>
      <c r="U974" t="s">
        <v>48</v>
      </c>
      <c r="V974" s="47">
        <v>1</v>
      </c>
      <c r="W974" t="s">
        <v>11264</v>
      </c>
      <c r="X974" t="s">
        <v>48</v>
      </c>
      <c r="Y974" t="s">
        <v>48</v>
      </c>
      <c r="Z974" t="s">
        <v>48</v>
      </c>
      <c r="AA974" t="s">
        <v>48</v>
      </c>
      <c r="AB974" t="s">
        <v>48</v>
      </c>
      <c r="AC974" t="s">
        <v>49</v>
      </c>
      <c r="AD974" t="s">
        <v>93</v>
      </c>
      <c r="AE974" t="s">
        <v>4532</v>
      </c>
      <c r="AF974" t="s">
        <v>48</v>
      </c>
      <c r="AG974" t="s">
        <v>48</v>
      </c>
      <c r="AH974" t="s">
        <v>48</v>
      </c>
      <c r="AI974" t="s">
        <v>48</v>
      </c>
      <c r="AJ974" t="s">
        <v>48</v>
      </c>
      <c r="AK974" t="s">
        <v>48</v>
      </c>
      <c r="AL974" t="s">
        <v>48</v>
      </c>
      <c r="AM974" t="s">
        <v>48</v>
      </c>
      <c r="AN974" t="s">
        <v>48</v>
      </c>
      <c r="AO974" t="s">
        <v>48</v>
      </c>
      <c r="AP974" s="46">
        <v>0</v>
      </c>
      <c r="AQ974" s="46">
        <v>0</v>
      </c>
      <c r="AR974" s="46">
        <v>0</v>
      </c>
      <c r="AS974" s="46">
        <v>0</v>
      </c>
      <c r="AT974" s="46">
        <v>0</v>
      </c>
      <c r="AU974" s="46">
        <v>0</v>
      </c>
      <c r="AV974" s="46">
        <v>0</v>
      </c>
      <c r="AW974" s="46">
        <v>0</v>
      </c>
      <c r="AX974" s="46">
        <v>0</v>
      </c>
      <c r="AY974" s="46">
        <v>0</v>
      </c>
      <c r="AZ974" s="46">
        <v>0</v>
      </c>
      <c r="BA974" s="46">
        <v>0</v>
      </c>
      <c r="BB974" s="46">
        <v>0</v>
      </c>
      <c r="BC974" s="46">
        <v>0</v>
      </c>
      <c r="BD974" s="46">
        <v>0</v>
      </c>
      <c r="BE974" s="46">
        <v>0</v>
      </c>
      <c r="BF974" s="46">
        <v>0</v>
      </c>
      <c r="BG974" s="46" t="s">
        <v>48</v>
      </c>
      <c r="BH974" s="46">
        <v>0</v>
      </c>
      <c r="BI974" s="46">
        <v>0</v>
      </c>
      <c r="BJ974" s="46">
        <v>0</v>
      </c>
      <c r="BK974" s="46">
        <v>0</v>
      </c>
      <c r="BL974" s="46">
        <v>0</v>
      </c>
      <c r="BM974" s="46">
        <v>0</v>
      </c>
      <c r="BN974" s="46">
        <v>0</v>
      </c>
    </row>
    <row r="975" spans="1:66" x14ac:dyDescent="0.35">
      <c r="A975" t="s">
        <v>9729</v>
      </c>
      <c r="B975" s="44" t="s">
        <v>48</v>
      </c>
      <c r="C975" t="s">
        <v>12265</v>
      </c>
      <c r="D975" t="s">
        <v>311</v>
      </c>
      <c r="E975" t="s">
        <v>9730</v>
      </c>
      <c r="F975" t="s">
        <v>5580</v>
      </c>
      <c r="G975" t="s">
        <v>74</v>
      </c>
      <c r="H975">
        <v>0</v>
      </c>
      <c r="I975" s="61">
        <v>44749</v>
      </c>
      <c r="J975" s="33" t="s">
        <v>45</v>
      </c>
      <c r="K975" s="46">
        <v>0</v>
      </c>
      <c r="L975">
        <v>100</v>
      </c>
      <c r="M975" t="s">
        <v>48</v>
      </c>
      <c r="N975" s="46">
        <v>1</v>
      </c>
      <c r="O975" s="46">
        <v>0</v>
      </c>
      <c r="P975" s="46">
        <v>0</v>
      </c>
      <c r="Q975" t="s">
        <v>48</v>
      </c>
      <c r="R975" t="s">
        <v>48</v>
      </c>
      <c r="S975" t="s">
        <v>10377</v>
      </c>
      <c r="T975" t="s">
        <v>48</v>
      </c>
      <c r="U975" t="s">
        <v>10377</v>
      </c>
      <c r="V975" s="47">
        <v>1</v>
      </c>
      <c r="W975" t="s">
        <v>48</v>
      </c>
      <c r="X975" t="s">
        <v>48</v>
      </c>
      <c r="Y975" t="s">
        <v>48</v>
      </c>
      <c r="Z975" t="s">
        <v>48</v>
      </c>
      <c r="AA975" t="s">
        <v>48</v>
      </c>
      <c r="AB975" t="s">
        <v>48</v>
      </c>
      <c r="AC975" t="s">
        <v>63</v>
      </c>
      <c r="AD975" t="s">
        <v>93</v>
      </c>
      <c r="AE975" t="s">
        <v>4532</v>
      </c>
      <c r="AF975" t="s">
        <v>48</v>
      </c>
      <c r="AG975" t="s">
        <v>48</v>
      </c>
      <c r="AH975" t="s">
        <v>48</v>
      </c>
      <c r="AI975" t="s">
        <v>48</v>
      </c>
      <c r="AJ975" t="s">
        <v>48</v>
      </c>
      <c r="AK975" t="s">
        <v>48</v>
      </c>
      <c r="AL975" t="s">
        <v>48</v>
      </c>
      <c r="AM975" t="s">
        <v>48</v>
      </c>
      <c r="AN975" t="s">
        <v>48</v>
      </c>
      <c r="AO975" t="s">
        <v>48</v>
      </c>
      <c r="AP975" s="46">
        <v>0</v>
      </c>
      <c r="AQ975" s="46">
        <v>0</v>
      </c>
      <c r="AR975" s="46">
        <v>0</v>
      </c>
      <c r="AS975" s="46">
        <v>0</v>
      </c>
      <c r="AT975" s="46">
        <v>0</v>
      </c>
      <c r="AU975" s="46">
        <v>0</v>
      </c>
      <c r="AV975" s="46">
        <v>0</v>
      </c>
      <c r="AW975" s="46">
        <v>0</v>
      </c>
      <c r="AX975" s="46">
        <v>0</v>
      </c>
      <c r="AY975" s="46">
        <v>0</v>
      </c>
      <c r="AZ975" s="46">
        <v>0</v>
      </c>
      <c r="BA975" s="46">
        <v>0</v>
      </c>
      <c r="BB975" s="46">
        <v>0</v>
      </c>
      <c r="BC975" s="46">
        <v>0</v>
      </c>
      <c r="BD975" s="46">
        <v>0</v>
      </c>
      <c r="BE975" s="46">
        <v>0</v>
      </c>
      <c r="BF975" s="46">
        <v>0</v>
      </c>
      <c r="BG975" s="46" t="s">
        <v>48</v>
      </c>
      <c r="BH975" s="46">
        <v>0</v>
      </c>
      <c r="BI975" s="46">
        <v>0</v>
      </c>
      <c r="BJ975" s="46">
        <v>0</v>
      </c>
      <c r="BK975" s="46">
        <v>0</v>
      </c>
      <c r="BL975" s="46">
        <v>0</v>
      </c>
      <c r="BM975" s="46">
        <v>0</v>
      </c>
      <c r="BN975" s="46">
        <v>0</v>
      </c>
    </row>
    <row r="976" spans="1:66" x14ac:dyDescent="0.35">
      <c r="A976" t="s">
        <v>5579</v>
      </c>
      <c r="B976" s="44" t="s">
        <v>48</v>
      </c>
      <c r="C976" t="s">
        <v>2644</v>
      </c>
      <c r="D976" t="s">
        <v>585</v>
      </c>
      <c r="E976" t="s">
        <v>5581</v>
      </c>
      <c r="F976" t="s">
        <v>5580</v>
      </c>
      <c r="G976" t="s">
        <v>47</v>
      </c>
      <c r="H976">
        <v>0</v>
      </c>
      <c r="I976" s="60" t="s">
        <v>51</v>
      </c>
      <c r="J976" s="33" t="s">
        <v>45</v>
      </c>
      <c r="K976" s="46">
        <v>1</v>
      </c>
      <c r="L976">
        <v>69.8</v>
      </c>
      <c r="M976" t="s">
        <v>48</v>
      </c>
      <c r="N976" s="46">
        <v>1</v>
      </c>
      <c r="O976" s="46">
        <v>0</v>
      </c>
      <c r="P976" s="46">
        <v>0</v>
      </c>
      <c r="Q976" t="s">
        <v>48</v>
      </c>
      <c r="R976" t="s">
        <v>48</v>
      </c>
      <c r="S976" t="s">
        <v>48</v>
      </c>
      <c r="T976" t="s">
        <v>5582</v>
      </c>
      <c r="U976" t="s">
        <v>48</v>
      </c>
      <c r="V976" s="47">
        <v>0</v>
      </c>
      <c r="W976" t="s">
        <v>48</v>
      </c>
      <c r="X976" t="s">
        <v>48</v>
      </c>
      <c r="Y976" t="s">
        <v>48</v>
      </c>
      <c r="Z976">
        <v>0</v>
      </c>
      <c r="AA976" t="s">
        <v>48</v>
      </c>
      <c r="AB976">
        <v>2002</v>
      </c>
      <c r="AC976" t="s">
        <v>49</v>
      </c>
      <c r="AD976" t="s">
        <v>93</v>
      </c>
      <c r="AE976" t="s">
        <v>11051</v>
      </c>
      <c r="AF976" t="s">
        <v>11099</v>
      </c>
      <c r="AG976" t="s">
        <v>479</v>
      </c>
      <c r="AH976" t="s">
        <v>93</v>
      </c>
      <c r="AI976">
        <v>20344</v>
      </c>
      <c r="AJ976">
        <v>1949</v>
      </c>
      <c r="AK976" t="s">
        <v>9210</v>
      </c>
      <c r="AL976" t="s">
        <v>9211</v>
      </c>
      <c r="AM976">
        <v>0.33</v>
      </c>
      <c r="AN976">
        <v>0.36799999999999999</v>
      </c>
      <c r="AO976">
        <v>0.33</v>
      </c>
      <c r="AP976" s="46">
        <v>0</v>
      </c>
      <c r="AQ976" s="46">
        <v>0</v>
      </c>
      <c r="AR976" s="46">
        <v>0</v>
      </c>
      <c r="AS976" s="46">
        <v>0</v>
      </c>
      <c r="AT976" s="46">
        <v>0</v>
      </c>
      <c r="AU976" s="46">
        <v>0</v>
      </c>
      <c r="AV976" s="46">
        <v>0</v>
      </c>
      <c r="AW976" s="46">
        <v>0</v>
      </c>
      <c r="AX976" s="46">
        <v>0</v>
      </c>
      <c r="AY976" s="46">
        <v>0</v>
      </c>
      <c r="AZ976" s="46">
        <v>0</v>
      </c>
      <c r="BA976" s="46">
        <v>0</v>
      </c>
      <c r="BB976" s="46">
        <v>1</v>
      </c>
      <c r="BC976" s="46">
        <v>0</v>
      </c>
      <c r="BD976" s="46">
        <v>0</v>
      </c>
      <c r="BE976" s="46">
        <v>0</v>
      </c>
      <c r="BF976" s="46">
        <v>0</v>
      </c>
      <c r="BG976" s="46">
        <v>1</v>
      </c>
      <c r="BH976" s="46">
        <v>0</v>
      </c>
      <c r="BI976" s="46">
        <v>0</v>
      </c>
      <c r="BJ976" s="46">
        <v>0</v>
      </c>
      <c r="BK976" s="46">
        <v>0</v>
      </c>
      <c r="BL976" s="46">
        <v>0</v>
      </c>
      <c r="BM976" s="46">
        <v>1</v>
      </c>
      <c r="BN976" s="46">
        <v>0</v>
      </c>
    </row>
    <row r="977" spans="1:66" ht="15" x14ac:dyDescent="0.4">
      <c r="A977" t="s">
        <v>9731</v>
      </c>
      <c r="B977" s="44" t="s">
        <v>48</v>
      </c>
      <c r="C977" t="s">
        <v>12267</v>
      </c>
      <c r="D977" t="s">
        <v>412</v>
      </c>
      <c r="E977" t="s">
        <v>9732</v>
      </c>
      <c r="F977" t="s">
        <v>5584</v>
      </c>
      <c r="G977" t="s">
        <v>74</v>
      </c>
      <c r="H977">
        <v>0</v>
      </c>
      <c r="I977" s="61" t="s">
        <v>11160</v>
      </c>
      <c r="J977" s="33" t="s">
        <v>45</v>
      </c>
      <c r="K977" s="46">
        <v>0</v>
      </c>
      <c r="L977">
        <v>100</v>
      </c>
      <c r="M977" t="s">
        <v>48</v>
      </c>
      <c r="N977" s="46">
        <v>1</v>
      </c>
      <c r="O977" s="46">
        <v>0</v>
      </c>
      <c r="P977" s="46">
        <v>0</v>
      </c>
      <c r="Q977" t="s">
        <v>48</v>
      </c>
      <c r="R977" t="s">
        <v>48</v>
      </c>
      <c r="S977" s="55" t="s">
        <v>11271</v>
      </c>
      <c r="T977" t="s">
        <v>48</v>
      </c>
      <c r="U977" s="55" t="s">
        <v>11271</v>
      </c>
      <c r="V977" s="47">
        <v>1</v>
      </c>
      <c r="W977" t="s">
        <v>48</v>
      </c>
      <c r="X977" t="s">
        <v>48</v>
      </c>
      <c r="Y977" t="s">
        <v>48</v>
      </c>
      <c r="Z977" t="s">
        <v>48</v>
      </c>
      <c r="AA977" t="s">
        <v>48</v>
      </c>
      <c r="AB977" t="s">
        <v>48</v>
      </c>
      <c r="AC977" t="s">
        <v>49</v>
      </c>
      <c r="AD977" t="s">
        <v>93</v>
      </c>
      <c r="AE977" t="s">
        <v>2471</v>
      </c>
      <c r="AF977" t="s">
        <v>48</v>
      </c>
      <c r="AG977" t="s">
        <v>48</v>
      </c>
      <c r="AH977" t="s">
        <v>48</v>
      </c>
      <c r="AI977" t="s">
        <v>48</v>
      </c>
      <c r="AJ977" t="s">
        <v>48</v>
      </c>
      <c r="AK977" t="s">
        <v>48</v>
      </c>
      <c r="AL977" t="s">
        <v>48</v>
      </c>
      <c r="AM977" t="s">
        <v>48</v>
      </c>
      <c r="AN977" t="s">
        <v>48</v>
      </c>
      <c r="AO977" t="s">
        <v>48</v>
      </c>
      <c r="AP977" s="46">
        <v>0</v>
      </c>
      <c r="AQ977" s="46">
        <v>0</v>
      </c>
      <c r="AR977" s="46">
        <v>0</v>
      </c>
      <c r="AS977" s="46">
        <v>0</v>
      </c>
      <c r="AT977" s="46">
        <v>0</v>
      </c>
      <c r="AU977" s="46">
        <v>0</v>
      </c>
      <c r="AV977" s="46">
        <v>0</v>
      </c>
      <c r="AW977" s="46">
        <v>0</v>
      </c>
      <c r="AX977" s="46">
        <v>0</v>
      </c>
      <c r="AY977" s="46">
        <v>0</v>
      </c>
      <c r="AZ977" s="46">
        <v>0</v>
      </c>
      <c r="BA977" s="46">
        <v>0</v>
      </c>
      <c r="BB977" s="46">
        <v>0</v>
      </c>
      <c r="BC977" s="46">
        <v>0</v>
      </c>
      <c r="BD977" s="46">
        <v>0</v>
      </c>
      <c r="BE977" s="46">
        <v>0</v>
      </c>
      <c r="BF977" s="46">
        <v>0</v>
      </c>
      <c r="BG977" s="46" t="s">
        <v>48</v>
      </c>
      <c r="BH977" s="46">
        <v>0</v>
      </c>
      <c r="BI977" s="46">
        <v>0</v>
      </c>
      <c r="BJ977" s="46">
        <v>0</v>
      </c>
      <c r="BK977" s="46">
        <v>0</v>
      </c>
      <c r="BL977" s="46">
        <v>0</v>
      </c>
      <c r="BM977" s="46">
        <v>0</v>
      </c>
      <c r="BN977" s="46">
        <v>0</v>
      </c>
    </row>
    <row r="978" spans="1:66" x14ac:dyDescent="0.35">
      <c r="A978" t="s">
        <v>5583</v>
      </c>
      <c r="B978" t="s">
        <v>48</v>
      </c>
      <c r="C978" t="s">
        <v>5588</v>
      </c>
      <c r="D978" t="s">
        <v>1896</v>
      </c>
      <c r="E978" t="s">
        <v>5585</v>
      </c>
      <c r="F978" t="s">
        <v>5584</v>
      </c>
      <c r="G978" t="s">
        <v>47</v>
      </c>
      <c r="H978">
        <v>0</v>
      </c>
      <c r="I978" s="60" t="s">
        <v>51</v>
      </c>
      <c r="J978" s="33" t="s">
        <v>45</v>
      </c>
      <c r="K978" s="46">
        <v>1</v>
      </c>
      <c r="L978">
        <v>68.400000000000006</v>
      </c>
      <c r="M978" t="s">
        <v>48</v>
      </c>
      <c r="N978" s="46">
        <v>1</v>
      </c>
      <c r="O978" s="46">
        <v>0</v>
      </c>
      <c r="P978" s="46">
        <v>0</v>
      </c>
      <c r="Q978" t="s">
        <v>48</v>
      </c>
      <c r="R978" t="s">
        <v>48</v>
      </c>
      <c r="S978" t="s">
        <v>5586</v>
      </c>
      <c r="T978" t="s">
        <v>5587</v>
      </c>
      <c r="U978" t="s">
        <v>5586</v>
      </c>
      <c r="V978" s="47">
        <v>0</v>
      </c>
      <c r="W978" t="s">
        <v>48</v>
      </c>
      <c r="X978" t="s">
        <v>48</v>
      </c>
      <c r="Y978" t="s">
        <v>48</v>
      </c>
      <c r="Z978">
        <v>1</v>
      </c>
      <c r="AA978" t="s">
        <v>48</v>
      </c>
      <c r="AB978">
        <v>2020</v>
      </c>
      <c r="AC978" t="s">
        <v>63</v>
      </c>
      <c r="AD978" t="s">
        <v>93</v>
      </c>
      <c r="AE978" t="s">
        <v>11051</v>
      </c>
      <c r="AF978" t="s">
        <v>11066</v>
      </c>
      <c r="AG978" t="s">
        <v>140</v>
      </c>
      <c r="AH978" t="s">
        <v>93</v>
      </c>
      <c r="AI978">
        <v>22102</v>
      </c>
      <c r="AJ978">
        <v>1973</v>
      </c>
      <c r="AK978" t="s">
        <v>9212</v>
      </c>
      <c r="AL978" t="s">
        <v>9213</v>
      </c>
      <c r="AM978">
        <v>0.39700000000000002</v>
      </c>
      <c r="AN978">
        <v>0.41599999999999998</v>
      </c>
      <c r="AO978">
        <v>0.39700000000000002</v>
      </c>
      <c r="AP978" s="46">
        <v>0</v>
      </c>
      <c r="AQ978" s="46">
        <v>0</v>
      </c>
      <c r="AR978" s="46">
        <v>0</v>
      </c>
      <c r="AS978" s="46">
        <v>0</v>
      </c>
      <c r="AT978" s="46">
        <v>0</v>
      </c>
      <c r="AU978" s="46">
        <v>0</v>
      </c>
      <c r="AV978" s="46">
        <v>0</v>
      </c>
      <c r="AW978" s="46">
        <v>0</v>
      </c>
      <c r="AX978" s="46">
        <v>0</v>
      </c>
      <c r="AY978" s="46">
        <v>0</v>
      </c>
      <c r="AZ978" s="46">
        <v>1</v>
      </c>
      <c r="BA978" s="46">
        <v>0</v>
      </c>
      <c r="BB978" s="46">
        <v>0</v>
      </c>
      <c r="BC978" s="46">
        <v>0</v>
      </c>
      <c r="BD978" s="46">
        <v>0</v>
      </c>
      <c r="BE978" s="46">
        <v>0</v>
      </c>
      <c r="BF978" s="46">
        <v>0</v>
      </c>
      <c r="BG978" s="46">
        <v>1</v>
      </c>
      <c r="BH978" s="46">
        <v>0</v>
      </c>
      <c r="BI978" s="46">
        <v>0</v>
      </c>
      <c r="BJ978" s="46">
        <v>0</v>
      </c>
      <c r="BK978" s="46">
        <v>0</v>
      </c>
      <c r="BL978" s="46">
        <v>0</v>
      </c>
      <c r="BM978" s="46">
        <v>0</v>
      </c>
      <c r="BN978" s="46">
        <v>0</v>
      </c>
    </row>
    <row r="979" spans="1:66" x14ac:dyDescent="0.35">
      <c r="A979" t="s">
        <v>5624</v>
      </c>
      <c r="B979" t="s">
        <v>48</v>
      </c>
      <c r="C979" t="s">
        <v>3164</v>
      </c>
      <c r="D979" t="s">
        <v>216</v>
      </c>
      <c r="E979" t="s">
        <v>5625</v>
      </c>
      <c r="F979" t="s">
        <v>5619</v>
      </c>
      <c r="G979" t="s">
        <v>47</v>
      </c>
      <c r="H979">
        <v>0</v>
      </c>
      <c r="I979" s="60" t="s">
        <v>125</v>
      </c>
      <c r="J979" s="33" t="s">
        <v>45</v>
      </c>
      <c r="K979" s="46">
        <v>0</v>
      </c>
      <c r="L979">
        <v>68.400000000000006</v>
      </c>
      <c r="M979" t="s">
        <v>48</v>
      </c>
      <c r="N979" s="46">
        <v>1</v>
      </c>
      <c r="O979" s="46">
        <v>0</v>
      </c>
      <c r="P979" s="46">
        <v>0</v>
      </c>
      <c r="Q979" t="s">
        <v>48</v>
      </c>
      <c r="R979" t="s">
        <v>48</v>
      </c>
      <c r="S979" t="s">
        <v>48</v>
      </c>
      <c r="T979" t="s">
        <v>48</v>
      </c>
      <c r="U979" t="s">
        <v>48</v>
      </c>
      <c r="V979" s="47">
        <v>1</v>
      </c>
      <c r="W979" t="s">
        <v>11264</v>
      </c>
      <c r="X979" t="s">
        <v>48</v>
      </c>
      <c r="Y979" t="s">
        <v>48</v>
      </c>
      <c r="Z979">
        <v>0</v>
      </c>
      <c r="AA979" t="s">
        <v>48</v>
      </c>
      <c r="AB979" t="s">
        <v>48</v>
      </c>
      <c r="AC979" t="s">
        <v>49</v>
      </c>
      <c r="AD979" t="s">
        <v>93</v>
      </c>
      <c r="AE979" t="s">
        <v>4532</v>
      </c>
      <c r="AF979" t="s">
        <v>48</v>
      </c>
      <c r="AG979" t="s">
        <v>48</v>
      </c>
      <c r="AH979" t="s">
        <v>48</v>
      </c>
      <c r="AI979" t="s">
        <v>48</v>
      </c>
      <c r="AJ979" t="s">
        <v>48</v>
      </c>
      <c r="AK979" t="s">
        <v>48</v>
      </c>
      <c r="AL979" t="s">
        <v>48</v>
      </c>
      <c r="AM979" t="s">
        <v>48</v>
      </c>
      <c r="AN979" t="s">
        <v>48</v>
      </c>
      <c r="AO979" t="s">
        <v>48</v>
      </c>
      <c r="AP979" s="46">
        <v>0</v>
      </c>
      <c r="AQ979" s="46">
        <v>0</v>
      </c>
      <c r="AR979" s="46">
        <v>0</v>
      </c>
      <c r="AS979" s="46">
        <v>0</v>
      </c>
      <c r="AT979" s="46">
        <v>0</v>
      </c>
      <c r="AU979" s="46">
        <v>0</v>
      </c>
      <c r="AV979" s="46">
        <v>0</v>
      </c>
      <c r="AW979" s="46">
        <v>0</v>
      </c>
      <c r="AX979" s="46">
        <v>0</v>
      </c>
      <c r="AY979" s="46">
        <v>0</v>
      </c>
      <c r="AZ979" s="46">
        <v>0</v>
      </c>
      <c r="BA979" s="46">
        <v>0</v>
      </c>
      <c r="BB979" s="46">
        <v>0</v>
      </c>
      <c r="BC979" s="46">
        <v>0</v>
      </c>
      <c r="BD979" s="46">
        <v>0</v>
      </c>
      <c r="BE979" s="46">
        <v>0</v>
      </c>
      <c r="BF979" s="46">
        <v>0</v>
      </c>
      <c r="BG979" s="46" t="s">
        <v>48</v>
      </c>
      <c r="BH979" s="46">
        <v>0</v>
      </c>
      <c r="BI979" s="46">
        <v>0</v>
      </c>
      <c r="BJ979" s="46">
        <v>0</v>
      </c>
      <c r="BK979" s="46">
        <v>0</v>
      </c>
      <c r="BL979" s="46">
        <v>0</v>
      </c>
      <c r="BM979" s="46">
        <v>0</v>
      </c>
      <c r="BN979" s="46">
        <v>0</v>
      </c>
    </row>
    <row r="980" spans="1:66" x14ac:dyDescent="0.35">
      <c r="A980" t="s">
        <v>5618</v>
      </c>
      <c r="B980" s="44" t="s">
        <v>48</v>
      </c>
      <c r="C980" t="s">
        <v>5623</v>
      </c>
      <c r="D980" t="s">
        <v>5622</v>
      </c>
      <c r="E980" t="s">
        <v>5620</v>
      </c>
      <c r="F980" t="s">
        <v>5619</v>
      </c>
      <c r="G980" t="s">
        <v>74</v>
      </c>
      <c r="H980">
        <v>0</v>
      </c>
      <c r="I980" s="60" t="s">
        <v>51</v>
      </c>
      <c r="J980" s="33" t="s">
        <v>45</v>
      </c>
      <c r="K980" s="46">
        <v>1</v>
      </c>
      <c r="L980">
        <v>88.5</v>
      </c>
      <c r="M980" t="s">
        <v>48</v>
      </c>
      <c r="N980" s="46">
        <v>1</v>
      </c>
      <c r="O980" s="46">
        <v>0</v>
      </c>
      <c r="P980" s="46">
        <v>0</v>
      </c>
      <c r="Q980" t="s">
        <v>48</v>
      </c>
      <c r="R980" t="s">
        <v>48</v>
      </c>
      <c r="S980" t="s">
        <v>48</v>
      </c>
      <c r="T980" t="s">
        <v>5621</v>
      </c>
      <c r="U980" t="s">
        <v>48</v>
      </c>
      <c r="V980" s="47">
        <v>0</v>
      </c>
      <c r="W980" t="s">
        <v>48</v>
      </c>
      <c r="X980" t="s">
        <v>48</v>
      </c>
      <c r="Y980" t="s">
        <v>48</v>
      </c>
      <c r="Z980">
        <v>0</v>
      </c>
      <c r="AA980" t="s">
        <v>48</v>
      </c>
      <c r="AB980" t="s">
        <v>3292</v>
      </c>
      <c r="AC980" t="s">
        <v>63</v>
      </c>
      <c r="AD980" t="s">
        <v>93</v>
      </c>
      <c r="AE980" t="s">
        <v>4532</v>
      </c>
      <c r="AF980" t="s">
        <v>48</v>
      </c>
      <c r="AG980" t="s">
        <v>876</v>
      </c>
      <c r="AH980" t="s">
        <v>93</v>
      </c>
      <c r="AI980">
        <v>21198</v>
      </c>
      <c r="AJ980">
        <v>1954</v>
      </c>
      <c r="AK980" t="s">
        <v>9214</v>
      </c>
      <c r="AL980" t="s">
        <v>9215</v>
      </c>
      <c r="AM980">
        <v>-0.39400000000000002</v>
      </c>
      <c r="AN980">
        <v>-0.40200000000000002</v>
      </c>
      <c r="AO980">
        <v>-0.39400000000000002</v>
      </c>
      <c r="AP980" s="46">
        <v>0</v>
      </c>
      <c r="AQ980" s="46">
        <v>0</v>
      </c>
      <c r="AR980" s="46">
        <v>0</v>
      </c>
      <c r="AS980" s="46">
        <v>0</v>
      </c>
      <c r="AT980" s="46">
        <v>1</v>
      </c>
      <c r="AU980" s="46">
        <v>0</v>
      </c>
      <c r="AV980" s="46">
        <v>0</v>
      </c>
      <c r="AW980" s="46">
        <v>0</v>
      </c>
      <c r="AX980" s="46">
        <v>0</v>
      </c>
      <c r="AY980" s="46">
        <v>0</v>
      </c>
      <c r="AZ980" s="46">
        <v>0</v>
      </c>
      <c r="BA980" s="46">
        <v>0</v>
      </c>
      <c r="BB980" s="46">
        <v>0</v>
      </c>
      <c r="BC980" s="46">
        <v>0</v>
      </c>
      <c r="BD980" s="46">
        <v>0</v>
      </c>
      <c r="BE980" s="46">
        <v>0</v>
      </c>
      <c r="BF980" s="46">
        <v>0</v>
      </c>
      <c r="BG980" s="46" t="s">
        <v>48</v>
      </c>
      <c r="BH980" s="46">
        <v>0</v>
      </c>
      <c r="BI980" s="46">
        <v>0</v>
      </c>
      <c r="BJ980" s="46">
        <v>0</v>
      </c>
      <c r="BK980" s="46">
        <v>0</v>
      </c>
      <c r="BL980" s="46">
        <v>0</v>
      </c>
      <c r="BM980" s="46">
        <v>0</v>
      </c>
      <c r="BN980" s="46">
        <v>0</v>
      </c>
    </row>
    <row r="981" spans="1:66" x14ac:dyDescent="0.35">
      <c r="A981" t="s">
        <v>5627</v>
      </c>
      <c r="B981" t="s">
        <v>48</v>
      </c>
      <c r="C981" t="s">
        <v>5633</v>
      </c>
      <c r="D981" t="s">
        <v>5632</v>
      </c>
      <c r="E981" t="s">
        <v>5629</v>
      </c>
      <c r="F981" t="s">
        <v>5628</v>
      </c>
      <c r="G981" t="s">
        <v>47</v>
      </c>
      <c r="H981">
        <v>0</v>
      </c>
      <c r="I981" s="60" t="s">
        <v>51</v>
      </c>
      <c r="J981" s="33" t="s">
        <v>45</v>
      </c>
      <c r="K981" s="46">
        <v>1</v>
      </c>
      <c r="L981">
        <v>75.400000000000006</v>
      </c>
      <c r="M981" t="s">
        <v>48</v>
      </c>
      <c r="N981" s="46">
        <v>1</v>
      </c>
      <c r="O981" s="46">
        <v>0</v>
      </c>
      <c r="P981" s="46">
        <v>0</v>
      </c>
      <c r="Q981" t="s">
        <v>48</v>
      </c>
      <c r="R981" t="s">
        <v>48</v>
      </c>
      <c r="S981" t="s">
        <v>5630</v>
      </c>
      <c r="T981" t="s">
        <v>5631</v>
      </c>
      <c r="U981" t="s">
        <v>5630</v>
      </c>
      <c r="V981" s="47">
        <v>0</v>
      </c>
      <c r="W981" t="s">
        <v>48</v>
      </c>
      <c r="X981" t="s">
        <v>48</v>
      </c>
      <c r="Y981" t="s">
        <v>48</v>
      </c>
      <c r="Z981">
        <v>1</v>
      </c>
      <c r="AA981" t="s">
        <v>48</v>
      </c>
      <c r="AB981">
        <v>2020</v>
      </c>
      <c r="AC981" t="s">
        <v>49</v>
      </c>
      <c r="AD981" t="s">
        <v>93</v>
      </c>
      <c r="AE981" t="s">
        <v>4532</v>
      </c>
      <c r="AF981" t="s">
        <v>48</v>
      </c>
      <c r="AG981" t="s">
        <v>140</v>
      </c>
      <c r="AH981" t="s">
        <v>93</v>
      </c>
      <c r="AI981">
        <v>22101</v>
      </c>
      <c r="AJ981">
        <v>1952</v>
      </c>
      <c r="AK981" t="s">
        <v>9216</v>
      </c>
      <c r="AL981" t="s">
        <v>9217</v>
      </c>
      <c r="AM981">
        <v>0.46100000000000002</v>
      </c>
      <c r="AN981">
        <v>0.41399999999999998</v>
      </c>
      <c r="AO981">
        <v>0.46100000000000002</v>
      </c>
      <c r="AP981" s="46">
        <v>0</v>
      </c>
      <c r="AQ981" s="46">
        <v>0</v>
      </c>
      <c r="AR981" s="46">
        <v>0</v>
      </c>
      <c r="AS981" s="46">
        <v>0</v>
      </c>
      <c r="AT981" s="46">
        <v>0</v>
      </c>
      <c r="AU981" s="46">
        <v>0</v>
      </c>
      <c r="AV981" s="46">
        <v>0</v>
      </c>
      <c r="AW981" s="46">
        <v>0</v>
      </c>
      <c r="AX981" s="46">
        <v>0</v>
      </c>
      <c r="AY981" s="46">
        <v>1</v>
      </c>
      <c r="AZ981" s="46">
        <v>1</v>
      </c>
      <c r="BA981" s="46">
        <v>0</v>
      </c>
      <c r="BB981" s="46">
        <v>1</v>
      </c>
      <c r="BC981" s="46">
        <v>0</v>
      </c>
      <c r="BD981" s="46">
        <v>0</v>
      </c>
      <c r="BE981" s="46">
        <v>0</v>
      </c>
      <c r="BF981" s="46">
        <v>0</v>
      </c>
      <c r="BG981" s="46">
        <v>1</v>
      </c>
      <c r="BH981" s="46">
        <v>0</v>
      </c>
      <c r="BI981" s="46">
        <v>0</v>
      </c>
      <c r="BJ981" s="46">
        <v>0</v>
      </c>
      <c r="BK981" s="46">
        <v>0</v>
      </c>
      <c r="BL981" s="46">
        <v>0</v>
      </c>
      <c r="BM981" s="46">
        <v>0</v>
      </c>
      <c r="BN981" s="46">
        <v>0</v>
      </c>
    </row>
    <row r="982" spans="1:66" ht="15" x14ac:dyDescent="0.4">
      <c r="A982" t="s">
        <v>7902</v>
      </c>
      <c r="B982" s="44" t="s">
        <v>48</v>
      </c>
      <c r="C982" t="s">
        <v>12281</v>
      </c>
      <c r="D982" t="s">
        <v>1402</v>
      </c>
      <c r="E982" t="s">
        <v>7901</v>
      </c>
      <c r="F982" t="s">
        <v>5628</v>
      </c>
      <c r="G982" t="s">
        <v>74</v>
      </c>
      <c r="H982">
        <v>0</v>
      </c>
      <c r="I982" s="61" t="s">
        <v>11160</v>
      </c>
      <c r="J982" s="33" t="s">
        <v>45</v>
      </c>
      <c r="K982" s="46">
        <v>0</v>
      </c>
      <c r="L982">
        <v>70.5</v>
      </c>
      <c r="M982" t="s">
        <v>48</v>
      </c>
      <c r="N982" s="46">
        <v>1</v>
      </c>
      <c r="O982" s="46">
        <v>0</v>
      </c>
      <c r="P982" s="46">
        <v>0</v>
      </c>
      <c r="Q982" t="s">
        <v>48</v>
      </c>
      <c r="R982" t="s">
        <v>48</v>
      </c>
      <c r="S982" s="55" t="s">
        <v>11272</v>
      </c>
      <c r="T982" t="s">
        <v>48</v>
      </c>
      <c r="U982" s="55" t="s">
        <v>11272</v>
      </c>
      <c r="V982" s="47">
        <v>1</v>
      </c>
      <c r="W982" t="s">
        <v>48</v>
      </c>
      <c r="X982" t="s">
        <v>48</v>
      </c>
      <c r="Y982" t="s">
        <v>48</v>
      </c>
      <c r="Z982" t="s">
        <v>48</v>
      </c>
      <c r="AA982" t="s">
        <v>48</v>
      </c>
      <c r="AB982" t="s">
        <v>48</v>
      </c>
      <c r="AC982" t="s">
        <v>49</v>
      </c>
      <c r="AD982" t="s">
        <v>93</v>
      </c>
      <c r="AE982" t="s">
        <v>4532</v>
      </c>
      <c r="AF982" t="s">
        <v>48</v>
      </c>
      <c r="AG982" t="s">
        <v>48</v>
      </c>
      <c r="AH982" t="s">
        <v>48</v>
      </c>
      <c r="AI982" t="s">
        <v>48</v>
      </c>
      <c r="AJ982" t="s">
        <v>48</v>
      </c>
      <c r="AK982" t="s">
        <v>48</v>
      </c>
      <c r="AL982" t="s">
        <v>48</v>
      </c>
      <c r="AM982" t="s">
        <v>48</v>
      </c>
      <c r="AN982" t="s">
        <v>48</v>
      </c>
      <c r="AO982" t="s">
        <v>48</v>
      </c>
      <c r="AP982" s="46">
        <v>0</v>
      </c>
      <c r="AQ982" s="46">
        <v>0</v>
      </c>
      <c r="AR982" s="46">
        <v>0</v>
      </c>
      <c r="AS982" s="46">
        <v>0</v>
      </c>
      <c r="AT982" s="46">
        <v>0</v>
      </c>
      <c r="AU982" s="46">
        <v>0</v>
      </c>
      <c r="AV982" s="46">
        <v>0</v>
      </c>
      <c r="AW982" s="46">
        <v>0</v>
      </c>
      <c r="AX982" s="46">
        <v>0</v>
      </c>
      <c r="AY982" s="46">
        <v>0</v>
      </c>
      <c r="AZ982" s="46">
        <v>0</v>
      </c>
      <c r="BA982" s="46">
        <v>0</v>
      </c>
      <c r="BB982" s="46">
        <v>0</v>
      </c>
      <c r="BC982" s="46">
        <v>0</v>
      </c>
      <c r="BD982" s="46">
        <v>0</v>
      </c>
      <c r="BE982" s="46">
        <v>0</v>
      </c>
      <c r="BF982" s="46">
        <v>0</v>
      </c>
      <c r="BG982" s="46" t="s">
        <v>48</v>
      </c>
      <c r="BH982" s="46">
        <v>0</v>
      </c>
      <c r="BI982" s="46">
        <v>0</v>
      </c>
      <c r="BJ982" s="46">
        <v>0</v>
      </c>
      <c r="BK982" s="46">
        <v>0</v>
      </c>
      <c r="BL982" s="46">
        <v>0</v>
      </c>
      <c r="BM982" s="46">
        <v>0</v>
      </c>
      <c r="BN982" s="46">
        <v>0</v>
      </c>
    </row>
    <row r="983" spans="1:66" x14ac:dyDescent="0.35">
      <c r="A983" t="s">
        <v>5634</v>
      </c>
      <c r="B983" s="44" t="s">
        <v>48</v>
      </c>
      <c r="C983" t="s">
        <v>5640</v>
      </c>
      <c r="D983" t="s">
        <v>5639</v>
      </c>
      <c r="E983" t="s">
        <v>5636</v>
      </c>
      <c r="F983" t="s">
        <v>5635</v>
      </c>
      <c r="G983" t="s">
        <v>74</v>
      </c>
      <c r="H983">
        <v>0</v>
      </c>
      <c r="I983" s="60" t="s">
        <v>51</v>
      </c>
      <c r="J983" s="33" t="s">
        <v>45</v>
      </c>
      <c r="K983" s="46">
        <v>1</v>
      </c>
      <c r="L983">
        <v>94.8</v>
      </c>
      <c r="M983" t="s">
        <v>48</v>
      </c>
      <c r="N983" s="46">
        <v>1</v>
      </c>
      <c r="O983" s="46">
        <v>0</v>
      </c>
      <c r="P983" s="46">
        <v>0</v>
      </c>
      <c r="Q983" t="s">
        <v>48</v>
      </c>
      <c r="R983" t="s">
        <v>48</v>
      </c>
      <c r="S983" t="s">
        <v>48</v>
      </c>
      <c r="T983" t="s">
        <v>5637</v>
      </c>
      <c r="U983" t="s">
        <v>48</v>
      </c>
      <c r="V983" s="47">
        <v>0</v>
      </c>
      <c r="W983" t="s">
        <v>48</v>
      </c>
      <c r="X983" t="s">
        <v>48</v>
      </c>
      <c r="Y983" t="s">
        <v>48</v>
      </c>
      <c r="Z983">
        <v>0</v>
      </c>
      <c r="AA983" t="s">
        <v>48</v>
      </c>
      <c r="AB983" t="s">
        <v>5638</v>
      </c>
      <c r="AC983" t="s">
        <v>49</v>
      </c>
      <c r="AD983" t="s">
        <v>93</v>
      </c>
      <c r="AE983" t="s">
        <v>4532</v>
      </c>
      <c r="AF983" t="s">
        <v>48</v>
      </c>
      <c r="AG983" t="s">
        <v>876</v>
      </c>
      <c r="AH983" t="s">
        <v>93</v>
      </c>
      <c r="AI983">
        <v>29588</v>
      </c>
      <c r="AJ983">
        <v>1948</v>
      </c>
      <c r="AK983" t="s">
        <v>9218</v>
      </c>
      <c r="AL983" t="s">
        <v>9219</v>
      </c>
      <c r="AM983">
        <v>-0.42699999999999999</v>
      </c>
      <c r="AN983">
        <v>-0.66100000000000003</v>
      </c>
      <c r="AO983">
        <v>-0.42699999999999999</v>
      </c>
      <c r="AP983" s="46">
        <v>0</v>
      </c>
      <c r="AQ983" s="46">
        <v>0</v>
      </c>
      <c r="AR983" s="46">
        <v>0</v>
      </c>
      <c r="AS983" s="46">
        <v>0</v>
      </c>
      <c r="AT983" s="46">
        <v>1</v>
      </c>
      <c r="AU983" s="46">
        <v>0</v>
      </c>
      <c r="AV983" s="46">
        <v>0</v>
      </c>
      <c r="AW983" s="46">
        <v>0</v>
      </c>
      <c r="AX983" s="46">
        <v>0</v>
      </c>
      <c r="AY983" s="46">
        <v>0</v>
      </c>
      <c r="AZ983" s="46">
        <v>0</v>
      </c>
      <c r="BA983" s="46">
        <v>0</v>
      </c>
      <c r="BB983" s="46">
        <v>0</v>
      </c>
      <c r="BC983" s="46">
        <v>0</v>
      </c>
      <c r="BD983" s="46">
        <v>0</v>
      </c>
      <c r="BE983" s="46">
        <v>0</v>
      </c>
      <c r="BF983" s="46">
        <v>0</v>
      </c>
      <c r="BG983" s="46" t="s">
        <v>48</v>
      </c>
      <c r="BH983" s="46">
        <v>0</v>
      </c>
      <c r="BI983" s="46">
        <v>0</v>
      </c>
      <c r="BJ983" s="46">
        <v>0</v>
      </c>
      <c r="BK983" s="46">
        <v>0</v>
      </c>
      <c r="BL983" s="46">
        <v>0</v>
      </c>
      <c r="BM983" s="46">
        <v>0</v>
      </c>
      <c r="BN983" s="46">
        <v>0</v>
      </c>
    </row>
    <row r="984" spans="1:66" ht="15" x14ac:dyDescent="0.4">
      <c r="A984" t="s">
        <v>7900</v>
      </c>
      <c r="B984" t="s">
        <v>48</v>
      </c>
      <c r="C984" t="s">
        <v>12282</v>
      </c>
      <c r="D984" t="s">
        <v>12283</v>
      </c>
      <c r="E984" t="s">
        <v>7899</v>
      </c>
      <c r="F984" t="s">
        <v>5635</v>
      </c>
      <c r="G984" t="s">
        <v>47</v>
      </c>
      <c r="H984">
        <v>0</v>
      </c>
      <c r="I984" s="61" t="s">
        <v>11160</v>
      </c>
      <c r="J984" s="33" t="s">
        <v>45</v>
      </c>
      <c r="K984" s="46">
        <v>0</v>
      </c>
      <c r="L984">
        <v>100</v>
      </c>
      <c r="M984" t="s">
        <v>48</v>
      </c>
      <c r="N984" s="46">
        <v>1</v>
      </c>
      <c r="O984" s="46">
        <v>0</v>
      </c>
      <c r="P984" s="46">
        <v>0</v>
      </c>
      <c r="Q984" t="s">
        <v>48</v>
      </c>
      <c r="R984" t="s">
        <v>48</v>
      </c>
      <c r="S984" s="55" t="s">
        <v>11307</v>
      </c>
      <c r="T984" t="s">
        <v>48</v>
      </c>
      <c r="U984" s="55" t="s">
        <v>11307</v>
      </c>
      <c r="V984" s="47">
        <v>0</v>
      </c>
      <c r="W984" t="s">
        <v>48</v>
      </c>
      <c r="X984" t="s">
        <v>48</v>
      </c>
      <c r="Y984" t="s">
        <v>48</v>
      </c>
      <c r="Z984" t="s">
        <v>48</v>
      </c>
      <c r="AA984" t="s">
        <v>48</v>
      </c>
      <c r="AB984" t="s">
        <v>48</v>
      </c>
      <c r="AC984" t="s">
        <v>63</v>
      </c>
      <c r="AD984" t="s">
        <v>48</v>
      </c>
      <c r="AE984" t="s">
        <v>48</v>
      </c>
      <c r="AF984" t="s">
        <v>48</v>
      </c>
      <c r="AG984" t="s">
        <v>48</v>
      </c>
      <c r="AH984" t="s">
        <v>48</v>
      </c>
      <c r="AI984" t="s">
        <v>48</v>
      </c>
      <c r="AJ984" t="s">
        <v>48</v>
      </c>
      <c r="AK984" t="s">
        <v>48</v>
      </c>
      <c r="AL984" t="s">
        <v>48</v>
      </c>
      <c r="AM984" t="s">
        <v>48</v>
      </c>
      <c r="AN984" t="s">
        <v>48</v>
      </c>
      <c r="AO984" t="s">
        <v>48</v>
      </c>
      <c r="AP984" s="46">
        <v>0</v>
      </c>
      <c r="AQ984" s="46">
        <v>0</v>
      </c>
      <c r="AR984" s="46">
        <v>0</v>
      </c>
      <c r="AS984" s="46">
        <v>0</v>
      </c>
      <c r="AT984" s="46">
        <v>0</v>
      </c>
      <c r="AU984" s="46">
        <v>0</v>
      </c>
      <c r="AV984" s="46">
        <v>0</v>
      </c>
      <c r="AW984" s="46">
        <v>0</v>
      </c>
      <c r="AX984" s="46">
        <v>0</v>
      </c>
      <c r="AY984" s="46">
        <v>0</v>
      </c>
      <c r="AZ984" s="46">
        <v>0</v>
      </c>
      <c r="BA984" s="46">
        <v>0</v>
      </c>
      <c r="BB984" s="46">
        <v>0</v>
      </c>
      <c r="BC984" s="46">
        <v>0</v>
      </c>
      <c r="BD984" s="46">
        <v>0</v>
      </c>
      <c r="BE984" s="46">
        <v>0</v>
      </c>
      <c r="BF984" s="46">
        <v>0</v>
      </c>
      <c r="BG984" s="46">
        <v>1</v>
      </c>
      <c r="BH984" s="46">
        <v>0</v>
      </c>
      <c r="BI984" s="46">
        <v>0</v>
      </c>
      <c r="BJ984" s="46">
        <v>0</v>
      </c>
      <c r="BK984" s="46">
        <v>0</v>
      </c>
      <c r="BL984" s="46">
        <v>0</v>
      </c>
      <c r="BM984" s="46">
        <v>0</v>
      </c>
      <c r="BN984" s="46">
        <v>0</v>
      </c>
    </row>
    <row r="985" spans="1:66" x14ac:dyDescent="0.35">
      <c r="A985" t="s">
        <v>5669</v>
      </c>
      <c r="B985" s="44" t="s">
        <v>48</v>
      </c>
      <c r="C985" t="s">
        <v>5673</v>
      </c>
      <c r="D985" t="s">
        <v>5672</v>
      </c>
      <c r="E985" t="s">
        <v>5670</v>
      </c>
      <c r="F985" t="s">
        <v>5645</v>
      </c>
      <c r="G985" t="s">
        <v>47</v>
      </c>
      <c r="H985">
        <v>0</v>
      </c>
      <c r="I985" s="60" t="s">
        <v>51</v>
      </c>
      <c r="J985" s="33" t="s">
        <v>45</v>
      </c>
      <c r="K985" s="46">
        <v>0</v>
      </c>
      <c r="L985">
        <v>100</v>
      </c>
      <c r="M985" t="s">
        <v>48</v>
      </c>
      <c r="N985" s="46">
        <v>1</v>
      </c>
      <c r="O985" s="46">
        <v>0</v>
      </c>
      <c r="P985" s="46">
        <v>0</v>
      </c>
      <c r="Q985" t="s">
        <v>48</v>
      </c>
      <c r="R985" t="s">
        <v>48</v>
      </c>
      <c r="S985" t="s">
        <v>5671</v>
      </c>
      <c r="T985" t="s">
        <v>48</v>
      </c>
      <c r="U985" t="s">
        <v>5671</v>
      </c>
      <c r="V985" s="47">
        <v>0</v>
      </c>
      <c r="W985" t="s">
        <v>48</v>
      </c>
      <c r="X985" t="s">
        <v>48</v>
      </c>
      <c r="Y985" t="s">
        <v>48</v>
      </c>
      <c r="Z985">
        <v>0</v>
      </c>
      <c r="AA985" t="s">
        <v>48</v>
      </c>
      <c r="AB985" t="s">
        <v>48</v>
      </c>
      <c r="AC985" t="s">
        <v>49</v>
      </c>
      <c r="AD985" t="s">
        <v>93</v>
      </c>
      <c r="AE985" t="s">
        <v>4532</v>
      </c>
      <c r="AF985" t="s">
        <v>48</v>
      </c>
      <c r="AG985" t="s">
        <v>48</v>
      </c>
      <c r="AH985" t="s">
        <v>48</v>
      </c>
      <c r="AI985" t="s">
        <v>48</v>
      </c>
      <c r="AJ985" t="s">
        <v>48</v>
      </c>
      <c r="AK985" t="s">
        <v>48</v>
      </c>
      <c r="AL985" t="s">
        <v>48</v>
      </c>
      <c r="AM985" t="s">
        <v>48</v>
      </c>
      <c r="AN985" t="s">
        <v>48</v>
      </c>
      <c r="AO985" t="s">
        <v>48</v>
      </c>
      <c r="AP985" s="46">
        <v>0</v>
      </c>
      <c r="AQ985" s="46">
        <v>0</v>
      </c>
      <c r="AR985" s="46">
        <v>0</v>
      </c>
      <c r="AS985" s="46">
        <v>0</v>
      </c>
      <c r="AT985" s="46">
        <v>0</v>
      </c>
      <c r="AU985" s="46">
        <v>0</v>
      </c>
      <c r="AV985" s="46">
        <v>0</v>
      </c>
      <c r="AW985" s="46">
        <v>0</v>
      </c>
      <c r="AX985" s="46">
        <v>0</v>
      </c>
      <c r="AY985" s="46">
        <v>0</v>
      </c>
      <c r="AZ985" s="46">
        <v>0</v>
      </c>
      <c r="BA985" s="46">
        <v>0</v>
      </c>
      <c r="BB985" s="46">
        <v>0</v>
      </c>
      <c r="BC985" s="46">
        <v>0</v>
      </c>
      <c r="BD985" s="46">
        <v>0</v>
      </c>
      <c r="BE985" s="46">
        <v>1</v>
      </c>
      <c r="BF985" s="46">
        <v>0</v>
      </c>
      <c r="BG985" s="46" t="s">
        <v>48</v>
      </c>
      <c r="BH985" s="46">
        <v>0</v>
      </c>
      <c r="BI985" s="46">
        <v>0</v>
      </c>
      <c r="BJ985" s="46">
        <v>0</v>
      </c>
      <c r="BK985" s="46">
        <v>0</v>
      </c>
      <c r="BL985" s="46">
        <v>0</v>
      </c>
      <c r="BM985" s="46">
        <v>0</v>
      </c>
      <c r="BN985" s="46">
        <v>0</v>
      </c>
    </row>
    <row r="986" spans="1:66" x14ac:dyDescent="0.35">
      <c r="A986" t="s">
        <v>5656</v>
      </c>
      <c r="B986" s="44" t="s">
        <v>48</v>
      </c>
      <c r="C986" t="s">
        <v>5659</v>
      </c>
      <c r="D986" t="s">
        <v>1956</v>
      </c>
      <c r="E986" t="s">
        <v>5657</v>
      </c>
      <c r="F986" t="s">
        <v>5645</v>
      </c>
      <c r="G986" t="s">
        <v>74</v>
      </c>
      <c r="H986">
        <v>0</v>
      </c>
      <c r="I986" s="60" t="s">
        <v>149</v>
      </c>
      <c r="J986" s="33" t="s">
        <v>45</v>
      </c>
      <c r="K986" s="46">
        <v>0</v>
      </c>
      <c r="L986">
        <v>64.099999999999994</v>
      </c>
      <c r="M986" t="s">
        <v>48</v>
      </c>
      <c r="N986" s="46">
        <v>1</v>
      </c>
      <c r="O986" s="46">
        <v>0</v>
      </c>
      <c r="P986" s="46">
        <v>0</v>
      </c>
      <c r="Q986" t="s">
        <v>48</v>
      </c>
      <c r="R986" t="s">
        <v>48</v>
      </c>
      <c r="S986" t="s">
        <v>5658</v>
      </c>
      <c r="T986" t="s">
        <v>48</v>
      </c>
      <c r="U986" t="s">
        <v>5658</v>
      </c>
      <c r="V986" s="47">
        <v>0</v>
      </c>
      <c r="W986" t="s">
        <v>48</v>
      </c>
      <c r="X986" t="s">
        <v>48</v>
      </c>
      <c r="Y986" t="s">
        <v>48</v>
      </c>
      <c r="Z986">
        <v>0</v>
      </c>
      <c r="AA986" t="s">
        <v>48</v>
      </c>
      <c r="AB986" t="s">
        <v>48</v>
      </c>
      <c r="AC986" t="s">
        <v>63</v>
      </c>
      <c r="AD986" t="s">
        <v>93</v>
      </c>
      <c r="AE986" t="s">
        <v>4532</v>
      </c>
      <c r="AF986" t="s">
        <v>48</v>
      </c>
      <c r="AG986" t="s">
        <v>48</v>
      </c>
      <c r="AH986" t="s">
        <v>48</v>
      </c>
      <c r="AI986" t="s">
        <v>48</v>
      </c>
      <c r="AJ986" t="s">
        <v>48</v>
      </c>
      <c r="AK986" t="s">
        <v>48</v>
      </c>
      <c r="AL986" t="s">
        <v>48</v>
      </c>
      <c r="AM986" t="s">
        <v>48</v>
      </c>
      <c r="AN986" t="s">
        <v>48</v>
      </c>
      <c r="AO986" t="s">
        <v>48</v>
      </c>
      <c r="AP986" s="46">
        <v>0</v>
      </c>
      <c r="AQ986" s="46">
        <v>0</v>
      </c>
      <c r="AR986" s="46">
        <v>0</v>
      </c>
      <c r="AS986" s="46">
        <v>0</v>
      </c>
      <c r="AT986" s="46">
        <v>0</v>
      </c>
      <c r="AU986" s="46">
        <v>0</v>
      </c>
      <c r="AV986" s="46">
        <v>0</v>
      </c>
      <c r="AW986" s="46">
        <v>0</v>
      </c>
      <c r="AX986" s="46">
        <v>0</v>
      </c>
      <c r="AY986" s="46">
        <v>0</v>
      </c>
      <c r="AZ986" s="46">
        <v>0</v>
      </c>
      <c r="BA986" s="46">
        <v>0</v>
      </c>
      <c r="BB986" s="46">
        <v>0</v>
      </c>
      <c r="BC986" s="46">
        <v>0</v>
      </c>
      <c r="BD986" s="46">
        <v>0</v>
      </c>
      <c r="BE986" s="46">
        <v>0</v>
      </c>
      <c r="BF986" s="46">
        <v>0</v>
      </c>
      <c r="BG986" s="46" t="s">
        <v>48</v>
      </c>
      <c r="BH986" s="46">
        <v>0</v>
      </c>
      <c r="BI986" s="46">
        <v>0</v>
      </c>
      <c r="BJ986" s="46">
        <v>0</v>
      </c>
      <c r="BK986" s="46">
        <v>0</v>
      </c>
      <c r="BL986" s="46">
        <v>0</v>
      </c>
      <c r="BM986" s="46">
        <v>0</v>
      </c>
      <c r="BN986" s="46">
        <v>0</v>
      </c>
    </row>
    <row r="987" spans="1:66" x14ac:dyDescent="0.35">
      <c r="A987" t="s">
        <v>5694</v>
      </c>
      <c r="B987" s="44" t="s">
        <v>48</v>
      </c>
      <c r="C987" t="s">
        <v>12287</v>
      </c>
      <c r="D987" t="s">
        <v>3675</v>
      </c>
      <c r="E987" t="s">
        <v>5695</v>
      </c>
      <c r="F987" t="s">
        <v>5675</v>
      </c>
      <c r="G987" t="s">
        <v>74</v>
      </c>
      <c r="H987">
        <v>0</v>
      </c>
      <c r="I987" s="60" t="s">
        <v>661</v>
      </c>
      <c r="J987" s="33" t="s">
        <v>45</v>
      </c>
      <c r="K987" s="46">
        <v>0</v>
      </c>
      <c r="L987">
        <v>57.1</v>
      </c>
      <c r="M987" t="s">
        <v>48</v>
      </c>
      <c r="N987" s="46">
        <v>1</v>
      </c>
      <c r="O987" s="46">
        <v>0</v>
      </c>
      <c r="P987" s="46">
        <v>0</v>
      </c>
      <c r="Q987" t="s">
        <v>48</v>
      </c>
      <c r="R987" t="s">
        <v>48</v>
      </c>
      <c r="S987" t="s">
        <v>5696</v>
      </c>
      <c r="T987" t="s">
        <v>48</v>
      </c>
      <c r="U987" t="s">
        <v>5696</v>
      </c>
      <c r="V987" s="47">
        <v>0</v>
      </c>
      <c r="W987" t="s">
        <v>48</v>
      </c>
      <c r="X987" t="s">
        <v>48</v>
      </c>
      <c r="Y987" t="s">
        <v>48</v>
      </c>
      <c r="Z987">
        <v>0</v>
      </c>
      <c r="AA987" t="s">
        <v>48</v>
      </c>
      <c r="AB987" t="s">
        <v>48</v>
      </c>
      <c r="AC987" t="s">
        <v>63</v>
      </c>
      <c r="AD987" t="s">
        <v>93</v>
      </c>
      <c r="AE987" t="s">
        <v>4532</v>
      </c>
      <c r="AF987" t="s">
        <v>48</v>
      </c>
      <c r="AG987" t="s">
        <v>48</v>
      </c>
      <c r="AH987" t="s">
        <v>2043</v>
      </c>
      <c r="AI987" t="s">
        <v>48</v>
      </c>
      <c r="AJ987" t="s">
        <v>48</v>
      </c>
      <c r="AK987" t="s">
        <v>48</v>
      </c>
      <c r="AL987" t="s">
        <v>48</v>
      </c>
      <c r="AM987" t="s">
        <v>48</v>
      </c>
      <c r="AN987" t="s">
        <v>48</v>
      </c>
      <c r="AO987" t="s">
        <v>48</v>
      </c>
      <c r="AP987" s="46">
        <v>0</v>
      </c>
      <c r="AQ987" s="46">
        <v>1</v>
      </c>
      <c r="AR987" s="46">
        <v>1</v>
      </c>
      <c r="AS987" s="46">
        <v>0</v>
      </c>
      <c r="AT987" s="46">
        <v>0</v>
      </c>
      <c r="AU987" s="46">
        <v>0</v>
      </c>
      <c r="AV987" s="46">
        <v>0</v>
      </c>
      <c r="AW987" s="46">
        <v>0</v>
      </c>
      <c r="AX987" s="46">
        <v>0</v>
      </c>
      <c r="AY987" s="46">
        <v>0</v>
      </c>
      <c r="AZ987" s="46">
        <v>0</v>
      </c>
      <c r="BA987" s="46">
        <v>0</v>
      </c>
      <c r="BB987" s="46">
        <v>0</v>
      </c>
      <c r="BC987" s="46">
        <v>0</v>
      </c>
      <c r="BD987" s="46">
        <v>0</v>
      </c>
      <c r="BE987" s="46">
        <v>0</v>
      </c>
      <c r="BF987" s="46">
        <v>0</v>
      </c>
      <c r="BG987" s="46" t="s">
        <v>48</v>
      </c>
      <c r="BH987" s="46">
        <v>0</v>
      </c>
      <c r="BI987" s="46">
        <v>0</v>
      </c>
      <c r="BJ987" s="46">
        <v>0</v>
      </c>
      <c r="BK987" s="46">
        <v>1</v>
      </c>
      <c r="BL987" s="46">
        <v>0</v>
      </c>
      <c r="BM987" s="46">
        <v>0</v>
      </c>
      <c r="BN987" s="46">
        <v>0</v>
      </c>
    </row>
    <row r="988" spans="1:66" x14ac:dyDescent="0.35">
      <c r="A988" t="s">
        <v>5674</v>
      </c>
      <c r="B988" t="s">
        <v>48</v>
      </c>
      <c r="C988" t="s">
        <v>5678</v>
      </c>
      <c r="D988" t="s">
        <v>1704</v>
      </c>
      <c r="E988" t="s">
        <v>5676</v>
      </c>
      <c r="F988" t="s">
        <v>5675</v>
      </c>
      <c r="G988" t="s">
        <v>47</v>
      </c>
      <c r="H988">
        <v>0</v>
      </c>
      <c r="I988" s="60" t="s">
        <v>51</v>
      </c>
      <c r="J988" s="33" t="s">
        <v>45</v>
      </c>
      <c r="K988" s="46">
        <v>0</v>
      </c>
      <c r="L988">
        <v>43</v>
      </c>
      <c r="M988" t="s">
        <v>48</v>
      </c>
      <c r="N988" s="46">
        <v>1</v>
      </c>
      <c r="O988" s="46">
        <v>0</v>
      </c>
      <c r="P988" s="46">
        <v>0</v>
      </c>
      <c r="Q988" t="s">
        <v>48</v>
      </c>
      <c r="R988" t="s">
        <v>48</v>
      </c>
      <c r="S988" t="s">
        <v>5677</v>
      </c>
      <c r="T988" t="s">
        <v>48</v>
      </c>
      <c r="U988" t="s">
        <v>5677</v>
      </c>
      <c r="V988" s="47">
        <v>1</v>
      </c>
      <c r="W988" t="s">
        <v>48</v>
      </c>
      <c r="X988" t="s">
        <v>48</v>
      </c>
      <c r="Y988" t="s">
        <v>48</v>
      </c>
      <c r="Z988">
        <v>0</v>
      </c>
      <c r="AA988" t="s">
        <v>48</v>
      </c>
      <c r="AB988" t="s">
        <v>48</v>
      </c>
      <c r="AC988" t="s">
        <v>63</v>
      </c>
      <c r="AD988" t="s">
        <v>951</v>
      </c>
      <c r="AE988" t="s">
        <v>11051</v>
      </c>
      <c r="AF988" t="s">
        <v>48</v>
      </c>
      <c r="AG988" t="s">
        <v>48</v>
      </c>
      <c r="AH988" t="s">
        <v>48</v>
      </c>
      <c r="AI988" t="s">
        <v>48</v>
      </c>
      <c r="AJ988" t="s">
        <v>48</v>
      </c>
      <c r="AK988" t="s">
        <v>48</v>
      </c>
      <c r="AL988" t="s">
        <v>48</v>
      </c>
      <c r="AM988" t="s">
        <v>48</v>
      </c>
      <c r="AN988" t="s">
        <v>48</v>
      </c>
      <c r="AO988" t="s">
        <v>48</v>
      </c>
      <c r="AP988" s="46">
        <v>0</v>
      </c>
      <c r="AQ988" s="46">
        <v>0</v>
      </c>
      <c r="AR988" s="46">
        <v>0</v>
      </c>
      <c r="AS988" s="46">
        <v>0</v>
      </c>
      <c r="AT988" s="46">
        <v>0</v>
      </c>
      <c r="AU988" s="46">
        <v>0</v>
      </c>
      <c r="AV988" s="46">
        <v>0</v>
      </c>
      <c r="AW988" s="46">
        <v>0</v>
      </c>
      <c r="AX988" s="46">
        <v>0</v>
      </c>
      <c r="AY988" s="46">
        <v>0</v>
      </c>
      <c r="AZ988" s="46">
        <v>0</v>
      </c>
      <c r="BA988" s="46">
        <v>0</v>
      </c>
      <c r="BB988" s="46">
        <v>0</v>
      </c>
      <c r="BC988" s="46">
        <v>0</v>
      </c>
      <c r="BD988" s="46">
        <v>0</v>
      </c>
      <c r="BE988" s="46">
        <v>0</v>
      </c>
      <c r="BF988" s="46">
        <v>0</v>
      </c>
      <c r="BG988" s="46" t="s">
        <v>48</v>
      </c>
      <c r="BH988" s="46">
        <v>0</v>
      </c>
      <c r="BI988" s="46">
        <v>0</v>
      </c>
      <c r="BJ988" s="46">
        <v>0</v>
      </c>
      <c r="BK988" s="46">
        <v>0</v>
      </c>
      <c r="BL988" s="46">
        <v>0</v>
      </c>
      <c r="BM988" s="46">
        <v>0</v>
      </c>
      <c r="BN988" s="46">
        <v>0</v>
      </c>
    </row>
    <row r="989" spans="1:66" x14ac:dyDescent="0.35">
      <c r="A989" t="s">
        <v>5716</v>
      </c>
      <c r="B989" s="44" t="s">
        <v>48</v>
      </c>
      <c r="C989" t="s">
        <v>2937</v>
      </c>
      <c r="D989" t="s">
        <v>2799</v>
      </c>
      <c r="E989" t="s">
        <v>5717</v>
      </c>
      <c r="F989" t="s">
        <v>72</v>
      </c>
      <c r="G989" t="s">
        <v>74</v>
      </c>
      <c r="H989">
        <v>0</v>
      </c>
      <c r="I989" s="60" t="s">
        <v>149</v>
      </c>
      <c r="J989" s="33" t="s">
        <v>45</v>
      </c>
      <c r="K989" s="46">
        <v>0</v>
      </c>
      <c r="L989">
        <v>36.6</v>
      </c>
      <c r="M989" t="s">
        <v>48</v>
      </c>
      <c r="N989" s="46">
        <v>1</v>
      </c>
      <c r="O989" s="46">
        <v>0</v>
      </c>
      <c r="P989" s="46">
        <v>0</v>
      </c>
      <c r="Q989" t="s">
        <v>48</v>
      </c>
      <c r="R989" t="s">
        <v>48</v>
      </c>
      <c r="S989" t="s">
        <v>5718</v>
      </c>
      <c r="T989" t="s">
        <v>48</v>
      </c>
      <c r="U989" t="s">
        <v>5718</v>
      </c>
      <c r="V989" s="47">
        <v>0</v>
      </c>
      <c r="W989" t="s">
        <v>48</v>
      </c>
      <c r="X989" t="s">
        <v>48</v>
      </c>
      <c r="Y989" t="s">
        <v>48</v>
      </c>
      <c r="Z989">
        <v>0</v>
      </c>
      <c r="AA989" t="s">
        <v>48</v>
      </c>
      <c r="AB989" t="s">
        <v>48</v>
      </c>
      <c r="AC989" t="s">
        <v>63</v>
      </c>
      <c r="AD989" t="s">
        <v>951</v>
      </c>
      <c r="AE989" s="40" t="s">
        <v>11051</v>
      </c>
      <c r="AF989" t="s">
        <v>108</v>
      </c>
      <c r="AG989" t="s">
        <v>48</v>
      </c>
      <c r="AH989" t="s">
        <v>48</v>
      </c>
      <c r="AI989" t="s">
        <v>48</v>
      </c>
      <c r="AJ989" t="s">
        <v>48</v>
      </c>
      <c r="AK989" t="s">
        <v>48</v>
      </c>
      <c r="AL989" t="s">
        <v>48</v>
      </c>
      <c r="AM989" t="s">
        <v>48</v>
      </c>
      <c r="AN989" t="s">
        <v>48</v>
      </c>
      <c r="AO989" t="s">
        <v>48</v>
      </c>
      <c r="AP989" s="46">
        <v>0</v>
      </c>
      <c r="AQ989" s="46">
        <v>0</v>
      </c>
      <c r="AR989" s="46">
        <v>0</v>
      </c>
      <c r="AS989" s="46">
        <v>0</v>
      </c>
      <c r="AT989" s="46">
        <v>0</v>
      </c>
      <c r="AU989" s="46">
        <v>0</v>
      </c>
      <c r="AV989" s="46">
        <v>0</v>
      </c>
      <c r="AW989" s="46">
        <v>0</v>
      </c>
      <c r="AX989" s="46">
        <v>0</v>
      </c>
      <c r="AY989" s="46">
        <v>0</v>
      </c>
      <c r="AZ989" s="46">
        <v>0</v>
      </c>
      <c r="BA989" s="46">
        <v>0</v>
      </c>
      <c r="BB989" s="46">
        <v>0</v>
      </c>
      <c r="BC989" s="46">
        <v>0</v>
      </c>
      <c r="BD989" s="46">
        <v>0</v>
      </c>
      <c r="BE989" s="46">
        <v>0</v>
      </c>
      <c r="BF989" s="46">
        <v>0</v>
      </c>
      <c r="BG989" s="46" t="s">
        <v>48</v>
      </c>
      <c r="BH989" s="46">
        <v>0</v>
      </c>
      <c r="BI989" s="46">
        <v>0</v>
      </c>
      <c r="BJ989" s="46">
        <v>0</v>
      </c>
      <c r="BK989" s="46">
        <v>0</v>
      </c>
      <c r="BL989" s="46">
        <v>0</v>
      </c>
      <c r="BM989" s="46">
        <v>0</v>
      </c>
      <c r="BN989" s="46">
        <v>0</v>
      </c>
    </row>
    <row r="990" spans="1:66" x14ac:dyDescent="0.35">
      <c r="A990" t="s">
        <v>7925</v>
      </c>
      <c r="B990" t="s">
        <v>48</v>
      </c>
      <c r="C990" t="s">
        <v>12290</v>
      </c>
      <c r="D990" t="s">
        <v>288</v>
      </c>
      <c r="E990" t="s">
        <v>7924</v>
      </c>
      <c r="F990" t="s">
        <v>72</v>
      </c>
      <c r="G990" t="s">
        <v>47</v>
      </c>
      <c r="H990">
        <v>0</v>
      </c>
      <c r="I990" s="61">
        <v>44722</v>
      </c>
      <c r="J990" s="33" t="s">
        <v>45</v>
      </c>
      <c r="K990" s="46">
        <v>0</v>
      </c>
      <c r="L990">
        <v>34.9</v>
      </c>
      <c r="M990" t="s">
        <v>48</v>
      </c>
      <c r="N990" s="46">
        <v>1</v>
      </c>
      <c r="O990" s="46">
        <v>0</v>
      </c>
      <c r="P990" s="46">
        <v>0</v>
      </c>
      <c r="Q990" t="s">
        <v>48</v>
      </c>
      <c r="R990" t="s">
        <v>48</v>
      </c>
      <c r="S990" t="s">
        <v>48</v>
      </c>
      <c r="T990" t="s">
        <v>48</v>
      </c>
      <c r="U990" t="s">
        <v>48</v>
      </c>
      <c r="V990" s="47">
        <v>1</v>
      </c>
      <c r="W990" t="s">
        <v>11264</v>
      </c>
      <c r="X990" t="s">
        <v>48</v>
      </c>
      <c r="Y990" t="s">
        <v>48</v>
      </c>
      <c r="Z990" t="s">
        <v>48</v>
      </c>
      <c r="AA990" t="s">
        <v>48</v>
      </c>
      <c r="AB990" t="s">
        <v>48</v>
      </c>
      <c r="AC990" t="s">
        <v>49</v>
      </c>
      <c r="AD990" t="s">
        <v>93</v>
      </c>
      <c r="AE990" t="s">
        <v>4532</v>
      </c>
      <c r="AF990" t="s">
        <v>48</v>
      </c>
      <c r="AG990" t="s">
        <v>48</v>
      </c>
      <c r="AH990" t="s">
        <v>48</v>
      </c>
      <c r="AI990" t="s">
        <v>48</v>
      </c>
      <c r="AJ990" t="s">
        <v>48</v>
      </c>
      <c r="AK990" t="s">
        <v>48</v>
      </c>
      <c r="AL990" t="s">
        <v>48</v>
      </c>
      <c r="AM990" t="s">
        <v>48</v>
      </c>
      <c r="AN990" t="s">
        <v>48</v>
      </c>
      <c r="AO990" t="s">
        <v>48</v>
      </c>
      <c r="AP990" s="46">
        <v>0</v>
      </c>
      <c r="AQ990" s="46">
        <v>0</v>
      </c>
      <c r="AR990" s="46">
        <v>0</v>
      </c>
      <c r="AS990" s="46">
        <v>0</v>
      </c>
      <c r="AT990" s="46">
        <v>0</v>
      </c>
      <c r="AU990" s="46">
        <v>0</v>
      </c>
      <c r="AV990" s="46">
        <v>0</v>
      </c>
      <c r="AW990" s="46">
        <v>0</v>
      </c>
      <c r="AX990" s="46">
        <v>0</v>
      </c>
      <c r="AY990" s="46">
        <v>0</v>
      </c>
      <c r="AZ990" s="46">
        <v>0</v>
      </c>
      <c r="BA990" s="46">
        <v>0</v>
      </c>
      <c r="BB990" s="46">
        <v>0</v>
      </c>
      <c r="BC990" s="46">
        <v>0</v>
      </c>
      <c r="BD990" s="46">
        <v>0</v>
      </c>
      <c r="BE990" s="46">
        <v>0</v>
      </c>
      <c r="BF990" s="46">
        <v>0</v>
      </c>
      <c r="BG990" s="46" t="s">
        <v>48</v>
      </c>
      <c r="BH990" s="46">
        <v>0</v>
      </c>
      <c r="BI990" s="46">
        <v>0</v>
      </c>
      <c r="BJ990" s="46">
        <v>0</v>
      </c>
      <c r="BK990" s="46">
        <v>0</v>
      </c>
      <c r="BL990" s="46">
        <v>0</v>
      </c>
      <c r="BM990" s="46">
        <v>0</v>
      </c>
      <c r="BN990" s="46">
        <v>0</v>
      </c>
    </row>
    <row r="991" spans="1:66" x14ac:dyDescent="0.35">
      <c r="A991" t="s">
        <v>5753</v>
      </c>
      <c r="B991" s="44" t="s">
        <v>48</v>
      </c>
      <c r="C991" t="s">
        <v>5756</v>
      </c>
      <c r="D991" t="s">
        <v>2523</v>
      </c>
      <c r="E991" t="s">
        <v>5754</v>
      </c>
      <c r="F991" t="s">
        <v>5752</v>
      </c>
      <c r="G991" t="s">
        <v>74</v>
      </c>
      <c r="H991">
        <v>0</v>
      </c>
      <c r="I991" s="60" t="s">
        <v>190</v>
      </c>
      <c r="J991" s="33" t="s">
        <v>45</v>
      </c>
      <c r="K991" s="46">
        <v>0</v>
      </c>
      <c r="L991">
        <v>100</v>
      </c>
      <c r="M991" t="s">
        <v>48</v>
      </c>
      <c r="N991" s="46">
        <v>1</v>
      </c>
      <c r="O991" s="46">
        <v>0</v>
      </c>
      <c r="P991" s="46">
        <v>0</v>
      </c>
      <c r="Q991" t="s">
        <v>48</v>
      </c>
      <c r="R991" t="s">
        <v>48</v>
      </c>
      <c r="S991" t="s">
        <v>5755</v>
      </c>
      <c r="T991" t="s">
        <v>48</v>
      </c>
      <c r="U991" t="s">
        <v>5755</v>
      </c>
      <c r="V991" s="47">
        <v>1</v>
      </c>
      <c r="W991" t="s">
        <v>48</v>
      </c>
      <c r="X991" t="s">
        <v>48</v>
      </c>
      <c r="Y991" t="s">
        <v>48</v>
      </c>
      <c r="Z991">
        <v>0</v>
      </c>
      <c r="AA991" t="s">
        <v>48</v>
      </c>
      <c r="AB991" t="s">
        <v>48</v>
      </c>
      <c r="AC991" t="s">
        <v>63</v>
      </c>
      <c r="AD991" t="s">
        <v>93</v>
      </c>
      <c r="AE991" t="s">
        <v>4532</v>
      </c>
      <c r="AF991" t="s">
        <v>48</v>
      </c>
      <c r="AG991" t="s">
        <v>48</v>
      </c>
      <c r="AH991" t="s">
        <v>48</v>
      </c>
      <c r="AI991" t="s">
        <v>48</v>
      </c>
      <c r="AJ991" t="s">
        <v>48</v>
      </c>
      <c r="AK991" t="s">
        <v>48</v>
      </c>
      <c r="AL991" t="s">
        <v>48</v>
      </c>
      <c r="AM991" t="s">
        <v>48</v>
      </c>
      <c r="AN991" t="s">
        <v>48</v>
      </c>
      <c r="AO991" t="s">
        <v>48</v>
      </c>
      <c r="AP991" s="46">
        <v>0</v>
      </c>
      <c r="AQ991" s="46">
        <v>0</v>
      </c>
      <c r="AR991" s="46">
        <v>1</v>
      </c>
      <c r="AS991" s="46">
        <v>0</v>
      </c>
      <c r="AT991" s="46">
        <v>0</v>
      </c>
      <c r="AU991" s="46">
        <v>0</v>
      </c>
      <c r="AV991" s="46">
        <v>0</v>
      </c>
      <c r="AW991" s="46">
        <v>0</v>
      </c>
      <c r="AX991" s="46">
        <v>0</v>
      </c>
      <c r="AY991" s="46">
        <v>0</v>
      </c>
      <c r="AZ991" s="46">
        <v>0</v>
      </c>
      <c r="BA991" s="46">
        <v>0</v>
      </c>
      <c r="BB991" s="46">
        <v>0</v>
      </c>
      <c r="BC991" s="46">
        <v>0</v>
      </c>
      <c r="BD991" s="46">
        <v>0</v>
      </c>
      <c r="BE991" s="46">
        <v>0</v>
      </c>
      <c r="BF991" s="46">
        <v>0</v>
      </c>
      <c r="BG991" s="46" t="s">
        <v>48</v>
      </c>
      <c r="BH991" s="46">
        <v>0</v>
      </c>
      <c r="BI991" s="46">
        <v>0</v>
      </c>
      <c r="BJ991" s="46">
        <v>0</v>
      </c>
      <c r="BK991" s="46">
        <v>1</v>
      </c>
      <c r="BL991" s="46">
        <v>0</v>
      </c>
      <c r="BM991" s="46">
        <v>0</v>
      </c>
      <c r="BN991" s="46">
        <v>0</v>
      </c>
    </row>
    <row r="992" spans="1:66" x14ac:dyDescent="0.35">
      <c r="A992" t="s">
        <v>5761</v>
      </c>
      <c r="B992" t="s">
        <v>48</v>
      </c>
      <c r="C992" t="s">
        <v>5765</v>
      </c>
      <c r="D992" t="s">
        <v>195</v>
      </c>
      <c r="E992" t="s">
        <v>5762</v>
      </c>
      <c r="F992" t="s">
        <v>5752</v>
      </c>
      <c r="G992" t="s">
        <v>47</v>
      </c>
      <c r="H992">
        <v>0</v>
      </c>
      <c r="I992" s="60" t="s">
        <v>51</v>
      </c>
      <c r="J992" s="33" t="s">
        <v>45</v>
      </c>
      <c r="K992" s="46">
        <v>1</v>
      </c>
      <c r="L992">
        <v>66</v>
      </c>
      <c r="M992" t="s">
        <v>48</v>
      </c>
      <c r="N992" s="46">
        <v>1</v>
      </c>
      <c r="O992" s="46">
        <v>0</v>
      </c>
      <c r="P992" s="46">
        <v>0</v>
      </c>
      <c r="Q992" t="s">
        <v>48</v>
      </c>
      <c r="R992" t="s">
        <v>48</v>
      </c>
      <c r="S992" t="s">
        <v>5763</v>
      </c>
      <c r="T992" t="s">
        <v>5764</v>
      </c>
      <c r="U992" t="s">
        <v>5763</v>
      </c>
      <c r="V992" s="47">
        <v>0</v>
      </c>
      <c r="W992" t="s">
        <v>48</v>
      </c>
      <c r="X992" t="s">
        <v>48</v>
      </c>
      <c r="Y992" t="s">
        <v>48</v>
      </c>
      <c r="Z992">
        <v>0</v>
      </c>
      <c r="AA992" t="s">
        <v>48</v>
      </c>
      <c r="AB992">
        <v>2016</v>
      </c>
      <c r="AC992" t="s">
        <v>49</v>
      </c>
      <c r="AD992" t="s">
        <v>93</v>
      </c>
      <c r="AE992" t="s">
        <v>4532</v>
      </c>
      <c r="AF992" t="s">
        <v>48</v>
      </c>
      <c r="AG992" t="s">
        <v>140</v>
      </c>
      <c r="AH992" t="s">
        <v>93</v>
      </c>
      <c r="AI992">
        <v>21718</v>
      </c>
      <c r="AJ992">
        <v>1973</v>
      </c>
      <c r="AK992" t="s">
        <v>9222</v>
      </c>
      <c r="AL992" t="s">
        <v>9223</v>
      </c>
      <c r="AM992">
        <v>0.16200000000000001</v>
      </c>
      <c r="AN992">
        <v>-0.16600000000000001</v>
      </c>
      <c r="AO992">
        <v>0.16200000000000001</v>
      </c>
      <c r="AP992" s="46">
        <v>0</v>
      </c>
      <c r="AQ992" s="46">
        <v>0</v>
      </c>
      <c r="AR992" s="46">
        <v>0</v>
      </c>
      <c r="AS992" s="46">
        <v>0</v>
      </c>
      <c r="AT992" s="46">
        <v>0</v>
      </c>
      <c r="AU992" s="46">
        <v>0</v>
      </c>
      <c r="AV992" s="46">
        <v>0</v>
      </c>
      <c r="AW992" s="46">
        <v>0</v>
      </c>
      <c r="AX992" s="46">
        <v>0</v>
      </c>
      <c r="AY992" s="46">
        <v>1</v>
      </c>
      <c r="AZ992" s="46">
        <v>1</v>
      </c>
      <c r="BA992" s="46">
        <v>1</v>
      </c>
      <c r="BB992" s="46">
        <v>0</v>
      </c>
      <c r="BC992" s="46">
        <v>0</v>
      </c>
      <c r="BD992" s="46">
        <v>0</v>
      </c>
      <c r="BE992" s="46">
        <v>0</v>
      </c>
      <c r="BF992" s="46">
        <v>0</v>
      </c>
      <c r="BG992" s="46" t="s">
        <v>48</v>
      </c>
      <c r="BH992" s="46">
        <v>0</v>
      </c>
      <c r="BI992" s="46">
        <v>0</v>
      </c>
      <c r="BJ992" s="46">
        <v>0</v>
      </c>
      <c r="BK992" s="46">
        <v>0</v>
      </c>
      <c r="BL992" s="46">
        <v>0</v>
      </c>
      <c r="BM992" s="46">
        <v>1</v>
      </c>
      <c r="BN992" s="46">
        <v>0</v>
      </c>
    </row>
    <row r="993" spans="1:66" ht="15" x14ac:dyDescent="0.4">
      <c r="A993" t="s">
        <v>7898</v>
      </c>
      <c r="B993" t="s">
        <v>48</v>
      </c>
      <c r="C993" t="s">
        <v>12292</v>
      </c>
      <c r="D993" t="s">
        <v>879</v>
      </c>
      <c r="E993" t="s">
        <v>7897</v>
      </c>
      <c r="F993" t="s">
        <v>5767</v>
      </c>
      <c r="G993" t="s">
        <v>47</v>
      </c>
      <c r="H993">
        <v>0</v>
      </c>
      <c r="I993" s="61" t="s">
        <v>11160</v>
      </c>
      <c r="J993" s="33" t="s">
        <v>45</v>
      </c>
      <c r="K993" s="46">
        <v>0</v>
      </c>
      <c r="L993">
        <v>100</v>
      </c>
      <c r="M993" t="s">
        <v>48</v>
      </c>
      <c r="N993" s="46">
        <v>1</v>
      </c>
      <c r="O993" s="46">
        <v>0</v>
      </c>
      <c r="P993" s="46">
        <v>0</v>
      </c>
      <c r="Q993" t="s">
        <v>48</v>
      </c>
      <c r="R993" t="s">
        <v>48</v>
      </c>
      <c r="S993" s="55" t="s">
        <v>11308</v>
      </c>
      <c r="T993" t="s">
        <v>48</v>
      </c>
      <c r="U993" s="55" t="s">
        <v>11308</v>
      </c>
      <c r="V993" s="47">
        <v>0</v>
      </c>
      <c r="W993" t="s">
        <v>48</v>
      </c>
      <c r="X993" t="s">
        <v>48</v>
      </c>
      <c r="Y993" t="s">
        <v>48</v>
      </c>
      <c r="Z993" t="s">
        <v>48</v>
      </c>
      <c r="AA993" t="s">
        <v>48</v>
      </c>
      <c r="AB993" t="s">
        <v>48</v>
      </c>
      <c r="AC993" t="s">
        <v>49</v>
      </c>
      <c r="AD993" t="s">
        <v>93</v>
      </c>
      <c r="AE993" t="s">
        <v>11051</v>
      </c>
      <c r="AF993" t="s">
        <v>11058</v>
      </c>
      <c r="AG993" t="s">
        <v>48</v>
      </c>
      <c r="AH993" t="s">
        <v>48</v>
      </c>
      <c r="AI993" t="s">
        <v>48</v>
      </c>
      <c r="AJ993" t="s">
        <v>48</v>
      </c>
      <c r="AK993" t="s">
        <v>48</v>
      </c>
      <c r="AL993" t="s">
        <v>48</v>
      </c>
      <c r="AM993" t="s">
        <v>48</v>
      </c>
      <c r="AN993" t="s">
        <v>48</v>
      </c>
      <c r="AO993" t="s">
        <v>48</v>
      </c>
      <c r="AP993" s="46">
        <v>0</v>
      </c>
      <c r="AQ993" s="46">
        <v>0</v>
      </c>
      <c r="AR993" s="46">
        <v>0</v>
      </c>
      <c r="AS993" s="46">
        <v>0</v>
      </c>
      <c r="AT993" s="46">
        <v>0</v>
      </c>
      <c r="AU993" s="46">
        <v>0</v>
      </c>
      <c r="AV993" s="46">
        <v>0</v>
      </c>
      <c r="AW993" s="46">
        <v>0</v>
      </c>
      <c r="AX993" s="46">
        <v>0</v>
      </c>
      <c r="AY993" s="46">
        <v>0</v>
      </c>
      <c r="AZ993" s="46">
        <v>0</v>
      </c>
      <c r="BA993" s="46">
        <v>0</v>
      </c>
      <c r="BB993" s="46">
        <v>0</v>
      </c>
      <c r="BC993" s="46">
        <v>0</v>
      </c>
      <c r="BD993" s="46">
        <v>0</v>
      </c>
      <c r="BE993" s="46">
        <v>0</v>
      </c>
      <c r="BF993" s="46">
        <v>0</v>
      </c>
      <c r="BG993" s="46" t="s">
        <v>48</v>
      </c>
      <c r="BH993" s="46">
        <v>0</v>
      </c>
      <c r="BI993" s="46">
        <v>0</v>
      </c>
      <c r="BJ993" s="46">
        <v>0</v>
      </c>
      <c r="BK993" s="46">
        <v>0</v>
      </c>
      <c r="BL993" s="46">
        <v>0</v>
      </c>
      <c r="BM993" s="46">
        <v>0</v>
      </c>
      <c r="BN993" s="46">
        <v>0</v>
      </c>
    </row>
    <row r="994" spans="1:66" x14ac:dyDescent="0.35">
      <c r="A994" t="s">
        <v>5766</v>
      </c>
      <c r="B994" t="s">
        <v>48</v>
      </c>
      <c r="C994" t="s">
        <v>5772</v>
      </c>
      <c r="D994" t="s">
        <v>5771</v>
      </c>
      <c r="E994" t="s">
        <v>5768</v>
      </c>
      <c r="F994" t="s">
        <v>5767</v>
      </c>
      <c r="G994" t="s">
        <v>74</v>
      </c>
      <c r="H994">
        <v>0</v>
      </c>
      <c r="I994" s="60" t="s">
        <v>51</v>
      </c>
      <c r="J994" s="33" t="s">
        <v>45</v>
      </c>
      <c r="K994" s="46">
        <v>1</v>
      </c>
      <c r="L994">
        <v>100</v>
      </c>
      <c r="M994" t="s">
        <v>48</v>
      </c>
      <c r="N994" s="46">
        <v>1</v>
      </c>
      <c r="O994" s="46">
        <v>0</v>
      </c>
      <c r="P994" s="46">
        <v>0</v>
      </c>
      <c r="Q994" t="s">
        <v>48</v>
      </c>
      <c r="R994" t="s">
        <v>48</v>
      </c>
      <c r="S994" t="s">
        <v>5769</v>
      </c>
      <c r="T994" t="s">
        <v>5770</v>
      </c>
      <c r="U994" t="s">
        <v>5769</v>
      </c>
      <c r="V994" s="47">
        <v>0</v>
      </c>
      <c r="W994" t="s">
        <v>48</v>
      </c>
      <c r="X994" t="s">
        <v>48</v>
      </c>
      <c r="Y994" t="s">
        <v>48</v>
      </c>
      <c r="Z994">
        <v>0</v>
      </c>
      <c r="AA994" t="s">
        <v>48</v>
      </c>
      <c r="AB994">
        <v>2014</v>
      </c>
      <c r="AC994" t="s">
        <v>49</v>
      </c>
      <c r="AD994" t="s">
        <v>93</v>
      </c>
      <c r="AE994" t="s">
        <v>4532</v>
      </c>
      <c r="AF994" t="s">
        <v>48</v>
      </c>
      <c r="AG994" t="s">
        <v>140</v>
      </c>
      <c r="AH994" t="s">
        <v>93</v>
      </c>
      <c r="AI994">
        <v>21548</v>
      </c>
      <c r="AJ994">
        <v>1977</v>
      </c>
      <c r="AK994" t="s">
        <v>9224</v>
      </c>
      <c r="AL994" t="s">
        <v>9225</v>
      </c>
      <c r="AM994">
        <v>-0.4</v>
      </c>
      <c r="AN994">
        <v>0.13100000000000001</v>
      </c>
      <c r="AO994">
        <v>-0.4</v>
      </c>
      <c r="AP994" s="46">
        <v>0</v>
      </c>
      <c r="AQ994" s="46">
        <v>0</v>
      </c>
      <c r="AR994" s="46">
        <v>0</v>
      </c>
      <c r="AS994" s="46">
        <v>0</v>
      </c>
      <c r="AT994" s="46">
        <v>1</v>
      </c>
      <c r="AU994" s="46">
        <v>1</v>
      </c>
      <c r="AV994" s="46">
        <v>0</v>
      </c>
      <c r="AW994" s="46">
        <v>0</v>
      </c>
      <c r="AX994" s="46">
        <v>0</v>
      </c>
      <c r="AY994" s="46">
        <v>0</v>
      </c>
      <c r="AZ994" s="46">
        <v>0</v>
      </c>
      <c r="BA994" s="46">
        <v>0</v>
      </c>
      <c r="BB994" s="46">
        <v>0</v>
      </c>
      <c r="BC994" s="46">
        <v>0</v>
      </c>
      <c r="BD994" s="46">
        <v>0</v>
      </c>
      <c r="BE994" s="46">
        <v>0</v>
      </c>
      <c r="BF994" s="46">
        <v>0</v>
      </c>
      <c r="BG994" s="46" t="s">
        <v>48</v>
      </c>
      <c r="BH994" s="46">
        <v>0</v>
      </c>
      <c r="BI994" s="46">
        <v>0</v>
      </c>
      <c r="BJ994" s="46">
        <v>0</v>
      </c>
      <c r="BK994" s="46">
        <v>0</v>
      </c>
      <c r="BL994" s="46">
        <v>0</v>
      </c>
      <c r="BM994" s="46">
        <v>0</v>
      </c>
      <c r="BN994" s="46">
        <v>0</v>
      </c>
    </row>
    <row r="995" spans="1:66" x14ac:dyDescent="0.35">
      <c r="A995" t="s">
        <v>5778</v>
      </c>
      <c r="B995" s="44" t="s">
        <v>48</v>
      </c>
      <c r="C995" t="s">
        <v>50</v>
      </c>
      <c r="D995" t="s">
        <v>5782</v>
      </c>
      <c r="E995" t="s">
        <v>5779</v>
      </c>
      <c r="F995" t="s">
        <v>5774</v>
      </c>
      <c r="G995" t="s">
        <v>74</v>
      </c>
      <c r="H995">
        <v>0</v>
      </c>
      <c r="I995" s="60" t="s">
        <v>51</v>
      </c>
      <c r="J995" s="33" t="s">
        <v>45</v>
      </c>
      <c r="K995" s="46">
        <v>1</v>
      </c>
      <c r="L995">
        <v>75.7</v>
      </c>
      <c r="M995" t="s">
        <v>48</v>
      </c>
      <c r="N995" s="46">
        <v>1</v>
      </c>
      <c r="O995" s="46">
        <v>0</v>
      </c>
      <c r="P995" s="46">
        <v>0</v>
      </c>
      <c r="Q995" t="s">
        <v>48</v>
      </c>
      <c r="R995" t="s">
        <v>48</v>
      </c>
      <c r="S995" t="s">
        <v>5780</v>
      </c>
      <c r="T995" t="s">
        <v>5781</v>
      </c>
      <c r="U995" t="s">
        <v>5780</v>
      </c>
      <c r="V995" s="47">
        <v>0</v>
      </c>
      <c r="W995" t="s">
        <v>48</v>
      </c>
      <c r="X995" t="s">
        <v>48</v>
      </c>
      <c r="Y995" t="s">
        <v>48</v>
      </c>
      <c r="Z995">
        <v>0</v>
      </c>
      <c r="AA995" t="s">
        <v>48</v>
      </c>
      <c r="AB995">
        <v>2016</v>
      </c>
      <c r="AC995" t="s">
        <v>49</v>
      </c>
      <c r="AD995" t="s">
        <v>93</v>
      </c>
      <c r="AE995" s="40" t="s">
        <v>2471</v>
      </c>
      <c r="AF995" t="s">
        <v>11061</v>
      </c>
      <c r="AG995" t="s">
        <v>151</v>
      </c>
      <c r="AH995" t="s">
        <v>93</v>
      </c>
      <c r="AI995">
        <v>21566</v>
      </c>
      <c r="AJ995">
        <v>1954</v>
      </c>
      <c r="AK995" t="s">
        <v>9226</v>
      </c>
      <c r="AL995" t="s">
        <v>9227</v>
      </c>
      <c r="AM995">
        <v>-0.46400000000000002</v>
      </c>
      <c r="AN995">
        <v>-0.104</v>
      </c>
      <c r="AO995">
        <v>-0.46400000000000002</v>
      </c>
      <c r="AP995" s="46">
        <v>0</v>
      </c>
      <c r="AQ995" s="46">
        <v>0</v>
      </c>
      <c r="AR995" s="46">
        <v>0</v>
      </c>
      <c r="AS995" s="46">
        <v>0</v>
      </c>
      <c r="AT995" s="46">
        <v>1</v>
      </c>
      <c r="AU995" s="46">
        <v>0</v>
      </c>
      <c r="AV995" s="46">
        <v>0</v>
      </c>
      <c r="AW995" s="46">
        <v>0</v>
      </c>
      <c r="AX995" s="46">
        <v>0</v>
      </c>
      <c r="AY995" s="46">
        <v>0</v>
      </c>
      <c r="AZ995" s="46">
        <v>0</v>
      </c>
      <c r="BA995" s="46">
        <v>0</v>
      </c>
      <c r="BB995" s="46">
        <v>0</v>
      </c>
      <c r="BC995" s="46">
        <v>0</v>
      </c>
      <c r="BD995" s="46">
        <v>0</v>
      </c>
      <c r="BE995" s="46">
        <v>0</v>
      </c>
      <c r="BF995" s="46">
        <v>0</v>
      </c>
      <c r="BG995" s="46" t="s">
        <v>48</v>
      </c>
      <c r="BH995" s="46">
        <v>0</v>
      </c>
      <c r="BI995" s="46">
        <v>0</v>
      </c>
      <c r="BJ995" s="46">
        <v>0</v>
      </c>
      <c r="BK995" s="46">
        <v>1</v>
      </c>
      <c r="BL995" s="46">
        <v>0</v>
      </c>
      <c r="BM995" s="46">
        <v>0</v>
      </c>
      <c r="BN995" s="46">
        <v>0</v>
      </c>
    </row>
    <row r="996" spans="1:66" x14ac:dyDescent="0.35">
      <c r="A996" t="s">
        <v>5793</v>
      </c>
      <c r="B996" t="s">
        <v>48</v>
      </c>
      <c r="C996" t="s">
        <v>5796</v>
      </c>
      <c r="D996" t="s">
        <v>266</v>
      </c>
      <c r="E996" t="s">
        <v>5794</v>
      </c>
      <c r="F996" t="s">
        <v>5788</v>
      </c>
      <c r="G996" t="s">
        <v>47</v>
      </c>
      <c r="H996">
        <v>0</v>
      </c>
      <c r="I996" s="60" t="s">
        <v>51</v>
      </c>
      <c r="J996" s="33" t="s">
        <v>45</v>
      </c>
      <c r="K996" s="46">
        <v>0</v>
      </c>
      <c r="L996">
        <v>69.099999999999994</v>
      </c>
      <c r="M996" t="s">
        <v>48</v>
      </c>
      <c r="N996" s="46">
        <v>1</v>
      </c>
      <c r="O996" s="46">
        <v>0</v>
      </c>
      <c r="P996" s="46">
        <v>0</v>
      </c>
      <c r="Q996" t="s">
        <v>48</v>
      </c>
      <c r="R996" t="s">
        <v>48</v>
      </c>
      <c r="S996" t="s">
        <v>5795</v>
      </c>
      <c r="T996" t="s">
        <v>48</v>
      </c>
      <c r="U996" t="s">
        <v>5795</v>
      </c>
      <c r="V996" s="47">
        <v>1</v>
      </c>
      <c r="W996" t="s">
        <v>48</v>
      </c>
      <c r="X996" t="s">
        <v>48</v>
      </c>
      <c r="Y996" t="s">
        <v>48</v>
      </c>
      <c r="Z996">
        <v>0</v>
      </c>
      <c r="AA996" t="s">
        <v>48</v>
      </c>
      <c r="AB996" t="s">
        <v>48</v>
      </c>
      <c r="AC996" t="s">
        <v>49</v>
      </c>
      <c r="AD996" t="s">
        <v>93</v>
      </c>
      <c r="AE996" t="s">
        <v>4532</v>
      </c>
      <c r="AF996" t="s">
        <v>48</v>
      </c>
      <c r="AG996" t="s">
        <v>48</v>
      </c>
      <c r="AH996" t="s">
        <v>48</v>
      </c>
      <c r="AI996" t="s">
        <v>48</v>
      </c>
      <c r="AJ996" t="s">
        <v>48</v>
      </c>
      <c r="AK996" t="s">
        <v>48</v>
      </c>
      <c r="AL996" t="s">
        <v>48</v>
      </c>
      <c r="AM996" t="s">
        <v>48</v>
      </c>
      <c r="AN996" t="s">
        <v>48</v>
      </c>
      <c r="AO996" t="s">
        <v>48</v>
      </c>
      <c r="AP996" s="46">
        <v>0</v>
      </c>
      <c r="AQ996" s="46">
        <v>0</v>
      </c>
      <c r="AR996" s="46">
        <v>0</v>
      </c>
      <c r="AS996" s="46">
        <v>0</v>
      </c>
      <c r="AT996" s="46">
        <v>0</v>
      </c>
      <c r="AU996" s="46">
        <v>0</v>
      </c>
      <c r="AV996" s="46">
        <v>0</v>
      </c>
      <c r="AW996" s="46">
        <v>0</v>
      </c>
      <c r="AX996" s="46">
        <v>0</v>
      </c>
      <c r="AY996" s="46">
        <v>0</v>
      </c>
      <c r="AZ996" s="46">
        <v>0</v>
      </c>
      <c r="BA996" s="46">
        <v>0</v>
      </c>
      <c r="BB996" s="46">
        <v>0</v>
      </c>
      <c r="BC996" s="46">
        <v>0</v>
      </c>
      <c r="BD996" s="46">
        <v>0</v>
      </c>
      <c r="BE996" s="46">
        <v>0</v>
      </c>
      <c r="BF996" s="46">
        <v>0</v>
      </c>
      <c r="BG996" s="46" t="s">
        <v>48</v>
      </c>
      <c r="BH996" s="46">
        <v>0</v>
      </c>
      <c r="BI996" s="46">
        <v>0</v>
      </c>
      <c r="BJ996" s="46">
        <v>0</v>
      </c>
      <c r="BK996" s="46">
        <v>0</v>
      </c>
      <c r="BL996" s="46">
        <v>0</v>
      </c>
      <c r="BM996" s="46">
        <v>0</v>
      </c>
      <c r="BN996" s="46">
        <v>0</v>
      </c>
    </row>
    <row r="997" spans="1:66" x14ac:dyDescent="0.35">
      <c r="A997" t="s">
        <v>5787</v>
      </c>
      <c r="B997" t="s">
        <v>48</v>
      </c>
      <c r="C997" t="s">
        <v>503</v>
      </c>
      <c r="D997" t="s">
        <v>5792</v>
      </c>
      <c r="E997" t="s">
        <v>5789</v>
      </c>
      <c r="F997" t="s">
        <v>5788</v>
      </c>
      <c r="G997" t="s">
        <v>74</v>
      </c>
      <c r="H997">
        <v>0</v>
      </c>
      <c r="I997" s="60" t="s">
        <v>51</v>
      </c>
      <c r="J997" s="33" t="s">
        <v>45</v>
      </c>
      <c r="K997" s="46">
        <v>1</v>
      </c>
      <c r="L997">
        <v>100</v>
      </c>
      <c r="M997" t="s">
        <v>48</v>
      </c>
      <c r="N997" s="46">
        <v>1</v>
      </c>
      <c r="O997" s="46">
        <v>0</v>
      </c>
      <c r="P997" s="46">
        <v>0</v>
      </c>
      <c r="Q997" t="s">
        <v>48</v>
      </c>
      <c r="R997" t="s">
        <v>48</v>
      </c>
      <c r="S997" t="s">
        <v>5790</v>
      </c>
      <c r="T997" t="s">
        <v>5791</v>
      </c>
      <c r="U997" t="s">
        <v>5790</v>
      </c>
      <c r="V997" s="47">
        <v>0</v>
      </c>
      <c r="W997" t="s">
        <v>48</v>
      </c>
      <c r="X997" t="s">
        <v>48</v>
      </c>
      <c r="Y997" t="s">
        <v>48</v>
      </c>
      <c r="Z997">
        <v>0</v>
      </c>
      <c r="AA997" t="s">
        <v>48</v>
      </c>
      <c r="AB997">
        <v>2018</v>
      </c>
      <c r="AC997" t="s">
        <v>63</v>
      </c>
      <c r="AD997" t="s">
        <v>93</v>
      </c>
      <c r="AE997" t="s">
        <v>4532</v>
      </c>
      <c r="AF997" t="s">
        <v>48</v>
      </c>
      <c r="AG997" t="s">
        <v>140</v>
      </c>
      <c r="AH997" t="s">
        <v>93</v>
      </c>
      <c r="AI997">
        <v>21915</v>
      </c>
      <c r="AJ997">
        <v>1959</v>
      </c>
      <c r="AK997" t="s">
        <v>9228</v>
      </c>
      <c r="AL997" t="s">
        <v>9229</v>
      </c>
      <c r="AM997">
        <v>-0.47299999999999998</v>
      </c>
      <c r="AN997">
        <v>2.5000000000000001E-2</v>
      </c>
      <c r="AO997">
        <v>-0.47299999999999998</v>
      </c>
      <c r="AP997" s="46">
        <v>0</v>
      </c>
      <c r="AQ997" s="46">
        <v>0</v>
      </c>
      <c r="AR997" s="46">
        <v>0</v>
      </c>
      <c r="AS997" s="46">
        <v>0</v>
      </c>
      <c r="AT997" s="46">
        <v>1</v>
      </c>
      <c r="AU997" s="46">
        <v>1</v>
      </c>
      <c r="AV997" s="46">
        <v>0</v>
      </c>
      <c r="AW997" s="46">
        <v>0</v>
      </c>
      <c r="AX997" s="46">
        <v>0</v>
      </c>
      <c r="AY997" s="46">
        <v>0</v>
      </c>
      <c r="AZ997" s="46">
        <v>0</v>
      </c>
      <c r="BA997" s="46">
        <v>0</v>
      </c>
      <c r="BB997" s="46">
        <v>0</v>
      </c>
      <c r="BC997" s="46">
        <v>0</v>
      </c>
      <c r="BD997" s="46">
        <v>0</v>
      </c>
      <c r="BE997" s="46">
        <v>0</v>
      </c>
      <c r="BF997" s="46">
        <v>0</v>
      </c>
      <c r="BG997" s="46" t="s">
        <v>48</v>
      </c>
      <c r="BH997" s="46">
        <v>0</v>
      </c>
      <c r="BI997" s="46">
        <v>0</v>
      </c>
      <c r="BJ997" s="46">
        <v>0</v>
      </c>
      <c r="BK997" s="46">
        <v>1</v>
      </c>
      <c r="BL997" s="46">
        <v>0</v>
      </c>
      <c r="BM997" s="46">
        <v>0</v>
      </c>
      <c r="BN997" s="46">
        <v>0</v>
      </c>
    </row>
    <row r="998" spans="1:66" x14ac:dyDescent="0.35">
      <c r="A998" t="s">
        <v>5797</v>
      </c>
      <c r="B998" t="s">
        <v>48</v>
      </c>
      <c r="C998" t="s">
        <v>5801</v>
      </c>
      <c r="D998" t="s">
        <v>268</v>
      </c>
      <c r="E998" t="s">
        <v>5799</v>
      </c>
      <c r="F998" t="s">
        <v>5798</v>
      </c>
      <c r="G998" t="s">
        <v>47</v>
      </c>
      <c r="H998">
        <v>0</v>
      </c>
      <c r="I998" s="60" t="s">
        <v>51</v>
      </c>
      <c r="J998" s="33" t="s">
        <v>45</v>
      </c>
      <c r="K998" s="46">
        <v>0</v>
      </c>
      <c r="L998">
        <v>100</v>
      </c>
      <c r="M998" t="s">
        <v>48</v>
      </c>
      <c r="N998" s="46">
        <v>1</v>
      </c>
      <c r="O998" s="46">
        <v>0</v>
      </c>
      <c r="P998" s="46">
        <v>0</v>
      </c>
      <c r="Q998" t="s">
        <v>48</v>
      </c>
      <c r="R998" t="s">
        <v>48</v>
      </c>
      <c r="S998" t="s">
        <v>5800</v>
      </c>
      <c r="T998" t="s">
        <v>48</v>
      </c>
      <c r="U998" t="s">
        <v>5800</v>
      </c>
      <c r="V998" s="47">
        <v>1</v>
      </c>
      <c r="W998" t="s">
        <v>48</v>
      </c>
      <c r="X998" t="s">
        <v>48</v>
      </c>
      <c r="Y998" t="s">
        <v>48</v>
      </c>
      <c r="Z998">
        <v>0</v>
      </c>
      <c r="AA998" t="s">
        <v>48</v>
      </c>
      <c r="AB998" t="s">
        <v>48</v>
      </c>
      <c r="AC998" t="s">
        <v>49</v>
      </c>
      <c r="AD998" t="s">
        <v>93</v>
      </c>
      <c r="AE998" t="s">
        <v>4532</v>
      </c>
      <c r="AF998" t="s">
        <v>48</v>
      </c>
      <c r="AG998" t="s">
        <v>48</v>
      </c>
      <c r="AH998" t="s">
        <v>48</v>
      </c>
      <c r="AI998" t="s">
        <v>48</v>
      </c>
      <c r="AJ998" t="s">
        <v>48</v>
      </c>
      <c r="AK998" t="s">
        <v>48</v>
      </c>
      <c r="AL998" t="s">
        <v>48</v>
      </c>
      <c r="AM998" t="s">
        <v>48</v>
      </c>
      <c r="AN998" t="s">
        <v>48</v>
      </c>
      <c r="AO998" t="s">
        <v>48</v>
      </c>
      <c r="AP998" s="46">
        <v>0</v>
      </c>
      <c r="AQ998" s="46">
        <v>0</v>
      </c>
      <c r="AR998" s="46">
        <v>0</v>
      </c>
      <c r="AS998" s="46">
        <v>0</v>
      </c>
      <c r="AT998" s="46">
        <v>0</v>
      </c>
      <c r="AU998" s="46">
        <v>0</v>
      </c>
      <c r="AV998" s="46">
        <v>0</v>
      </c>
      <c r="AW998" s="46">
        <v>0</v>
      </c>
      <c r="AX998" s="46">
        <v>0</v>
      </c>
      <c r="AY998" s="46">
        <v>0</v>
      </c>
      <c r="AZ998" s="46">
        <v>0</v>
      </c>
      <c r="BA998" s="46">
        <v>0</v>
      </c>
      <c r="BB998" s="46">
        <v>0</v>
      </c>
      <c r="BC998" s="46">
        <v>0</v>
      </c>
      <c r="BD998" s="46">
        <v>0</v>
      </c>
      <c r="BE998" s="46">
        <v>0</v>
      </c>
      <c r="BF998" s="46">
        <v>0</v>
      </c>
      <c r="BG998" s="46" t="s">
        <v>48</v>
      </c>
      <c r="BH998" s="46">
        <v>0</v>
      </c>
      <c r="BI998" s="46">
        <v>0</v>
      </c>
      <c r="BJ998" s="46">
        <v>0</v>
      </c>
      <c r="BK998" s="46">
        <v>0</v>
      </c>
      <c r="BL998" s="46">
        <v>0</v>
      </c>
      <c r="BM998" s="46">
        <v>0</v>
      </c>
      <c r="BN998" s="46">
        <v>0</v>
      </c>
    </row>
    <row r="999" spans="1:66" x14ac:dyDescent="0.35">
      <c r="A999" t="s">
        <v>5802</v>
      </c>
      <c r="B999" s="44" t="s">
        <v>48</v>
      </c>
      <c r="C999" t="s">
        <v>5806</v>
      </c>
      <c r="D999" t="s">
        <v>311</v>
      </c>
      <c r="E999" t="s">
        <v>5803</v>
      </c>
      <c r="F999" t="s">
        <v>5798</v>
      </c>
      <c r="G999" t="s">
        <v>74</v>
      </c>
      <c r="H999">
        <v>0</v>
      </c>
      <c r="I999" s="60" t="s">
        <v>51</v>
      </c>
      <c r="J999" s="33" t="s">
        <v>45</v>
      </c>
      <c r="K999" s="46">
        <v>1</v>
      </c>
      <c r="L999">
        <v>100</v>
      </c>
      <c r="M999" t="s">
        <v>48</v>
      </c>
      <c r="N999" s="46">
        <v>1</v>
      </c>
      <c r="O999" s="46">
        <v>0</v>
      </c>
      <c r="P999" s="46">
        <v>0</v>
      </c>
      <c r="Q999" t="s">
        <v>48</v>
      </c>
      <c r="R999" t="s">
        <v>48</v>
      </c>
      <c r="S999" t="s">
        <v>5804</v>
      </c>
      <c r="T999" t="s">
        <v>5805</v>
      </c>
      <c r="U999" t="s">
        <v>5804</v>
      </c>
      <c r="V999" s="47">
        <v>0</v>
      </c>
      <c r="W999" t="s">
        <v>48</v>
      </c>
      <c r="X999" t="s">
        <v>48</v>
      </c>
      <c r="Y999" t="s">
        <v>48</v>
      </c>
      <c r="Z999">
        <v>0</v>
      </c>
      <c r="AA999" t="s">
        <v>48</v>
      </c>
      <c r="AB999" t="s">
        <v>794</v>
      </c>
      <c r="AC999" t="s">
        <v>63</v>
      </c>
      <c r="AD999" t="s">
        <v>93</v>
      </c>
      <c r="AE999" t="s">
        <v>4532</v>
      </c>
      <c r="AF999" t="s">
        <v>48</v>
      </c>
      <c r="AG999" t="s">
        <v>140</v>
      </c>
      <c r="AH999" t="s">
        <v>93</v>
      </c>
      <c r="AI999">
        <v>21762</v>
      </c>
      <c r="AJ999">
        <v>1959</v>
      </c>
      <c r="AK999" t="s">
        <v>9230</v>
      </c>
      <c r="AL999" t="s">
        <v>9231</v>
      </c>
      <c r="AM999">
        <v>-0.45800000000000002</v>
      </c>
      <c r="AN999">
        <v>8.9999999999999993E-3</v>
      </c>
      <c r="AO999">
        <v>-0.45800000000000002</v>
      </c>
      <c r="AP999" s="46">
        <v>0</v>
      </c>
      <c r="AQ999" s="46">
        <v>0</v>
      </c>
      <c r="AR999" s="46">
        <v>0</v>
      </c>
      <c r="AS999" s="46">
        <v>0</v>
      </c>
      <c r="AT999" s="46">
        <v>1</v>
      </c>
      <c r="AU999" s="46">
        <v>0</v>
      </c>
      <c r="AV999" s="46">
        <v>0</v>
      </c>
      <c r="AW999" s="46">
        <v>0</v>
      </c>
      <c r="AX999" s="46">
        <v>0</v>
      </c>
      <c r="AY999" s="46">
        <v>0</v>
      </c>
      <c r="AZ999" s="46">
        <v>0</v>
      </c>
      <c r="BA999" s="46">
        <v>0</v>
      </c>
      <c r="BB999" s="46">
        <v>0</v>
      </c>
      <c r="BC999" s="46">
        <v>0</v>
      </c>
      <c r="BD999" s="46">
        <v>0</v>
      </c>
      <c r="BE999" s="46">
        <v>0</v>
      </c>
      <c r="BF999" s="46">
        <v>0</v>
      </c>
      <c r="BG999" s="46" t="s">
        <v>48</v>
      </c>
      <c r="BH999" s="46">
        <v>0</v>
      </c>
      <c r="BI999" s="46">
        <v>0</v>
      </c>
      <c r="BJ999" s="46">
        <v>0</v>
      </c>
      <c r="BK999" s="46">
        <v>1</v>
      </c>
      <c r="BL999" s="46">
        <v>0</v>
      </c>
      <c r="BM999" s="46">
        <v>0</v>
      </c>
      <c r="BN999" s="46">
        <v>0</v>
      </c>
    </row>
    <row r="1000" spans="1:66" x14ac:dyDescent="0.35">
      <c r="A1000" t="s">
        <v>5811</v>
      </c>
      <c r="B1000" t="s">
        <v>48</v>
      </c>
      <c r="C1000" t="s">
        <v>1499</v>
      </c>
      <c r="D1000" t="s">
        <v>5815</v>
      </c>
      <c r="E1000" t="s">
        <v>5812</v>
      </c>
      <c r="F1000" t="s">
        <v>5808</v>
      </c>
      <c r="G1000" t="s">
        <v>74</v>
      </c>
      <c r="H1000">
        <v>0</v>
      </c>
      <c r="I1000" s="60" t="s">
        <v>51</v>
      </c>
      <c r="J1000" s="33" t="s">
        <v>45</v>
      </c>
      <c r="K1000" s="46">
        <v>1</v>
      </c>
      <c r="L1000">
        <v>100</v>
      </c>
      <c r="M1000" t="s">
        <v>48</v>
      </c>
      <c r="N1000" s="46">
        <v>1</v>
      </c>
      <c r="O1000" s="46">
        <v>0</v>
      </c>
      <c r="P1000" s="46">
        <v>0</v>
      </c>
      <c r="Q1000" t="s">
        <v>48</v>
      </c>
      <c r="R1000" t="s">
        <v>48</v>
      </c>
      <c r="S1000" t="s">
        <v>5813</v>
      </c>
      <c r="T1000" t="s">
        <v>5814</v>
      </c>
      <c r="U1000" t="s">
        <v>5813</v>
      </c>
      <c r="V1000" s="47">
        <v>0</v>
      </c>
      <c r="W1000" t="s">
        <v>48</v>
      </c>
      <c r="X1000" t="s">
        <v>48</v>
      </c>
      <c r="Y1000" t="s">
        <v>48</v>
      </c>
      <c r="Z1000">
        <v>0</v>
      </c>
      <c r="AA1000" t="s">
        <v>48</v>
      </c>
      <c r="AB1000">
        <v>2018</v>
      </c>
      <c r="AC1000" t="s">
        <v>63</v>
      </c>
      <c r="AD1000" t="s">
        <v>93</v>
      </c>
      <c r="AE1000" t="s">
        <v>4532</v>
      </c>
      <c r="AF1000" t="s">
        <v>48</v>
      </c>
      <c r="AG1000" t="s">
        <v>876</v>
      </c>
      <c r="AH1000" t="s">
        <v>93</v>
      </c>
      <c r="AI1000">
        <v>21934</v>
      </c>
      <c r="AJ1000">
        <v>1967</v>
      </c>
      <c r="AK1000" t="s">
        <v>9232</v>
      </c>
      <c r="AL1000" t="s">
        <v>9233</v>
      </c>
      <c r="AM1000">
        <v>-0.31</v>
      </c>
      <c r="AN1000">
        <v>0.52300000000000002</v>
      </c>
      <c r="AO1000">
        <v>-0.31</v>
      </c>
      <c r="AP1000" s="46">
        <v>0</v>
      </c>
      <c r="AQ1000" s="46">
        <v>0</v>
      </c>
      <c r="AR1000" s="46">
        <v>0</v>
      </c>
      <c r="AS1000" s="46">
        <v>0</v>
      </c>
      <c r="AT1000" s="46">
        <v>0</v>
      </c>
      <c r="AU1000" s="46">
        <v>1</v>
      </c>
      <c r="AV1000" s="46">
        <v>0</v>
      </c>
      <c r="AW1000" s="46">
        <v>0</v>
      </c>
      <c r="AX1000" s="46">
        <v>0</v>
      </c>
      <c r="AY1000" s="46">
        <v>0</v>
      </c>
      <c r="AZ1000" s="46">
        <v>0</v>
      </c>
      <c r="BA1000" s="46">
        <v>1</v>
      </c>
      <c r="BB1000" s="46">
        <v>0</v>
      </c>
      <c r="BC1000" s="46">
        <v>0</v>
      </c>
      <c r="BD1000" s="46">
        <v>0</v>
      </c>
      <c r="BE1000" s="46">
        <v>0</v>
      </c>
      <c r="BF1000" s="46">
        <v>0</v>
      </c>
      <c r="BG1000" s="46" t="s">
        <v>48</v>
      </c>
      <c r="BH1000" s="46">
        <v>0</v>
      </c>
      <c r="BI1000" s="46">
        <v>0</v>
      </c>
      <c r="BJ1000" s="46">
        <v>0</v>
      </c>
      <c r="BK1000" s="46">
        <v>0</v>
      </c>
      <c r="BL1000" s="46">
        <v>0</v>
      </c>
      <c r="BM1000" s="46">
        <v>0</v>
      </c>
      <c r="BN1000" s="46">
        <v>0</v>
      </c>
    </row>
    <row r="1001" spans="1:66" ht="15" x14ac:dyDescent="0.4">
      <c r="A1001" t="s">
        <v>7917</v>
      </c>
      <c r="B1001" t="s">
        <v>12399</v>
      </c>
      <c r="C1001" t="s">
        <v>12398</v>
      </c>
      <c r="D1001" t="s">
        <v>5884</v>
      </c>
      <c r="E1001" t="s">
        <v>7916</v>
      </c>
      <c r="F1001" t="s">
        <v>5808</v>
      </c>
      <c r="G1001" t="s">
        <v>47</v>
      </c>
      <c r="H1001">
        <v>0</v>
      </c>
      <c r="I1001" s="61" t="s">
        <v>11160</v>
      </c>
      <c r="J1001" s="33" t="s">
        <v>45</v>
      </c>
      <c r="K1001" s="46">
        <v>0</v>
      </c>
      <c r="L1001">
        <v>33.200000000000003</v>
      </c>
      <c r="M1001" t="s">
        <v>48</v>
      </c>
      <c r="N1001" s="46">
        <v>1</v>
      </c>
      <c r="O1001" s="46">
        <v>0</v>
      </c>
      <c r="P1001" s="46">
        <v>0</v>
      </c>
      <c r="Q1001" t="s">
        <v>48</v>
      </c>
      <c r="R1001" t="s">
        <v>48</v>
      </c>
      <c r="S1001" s="55" t="s">
        <v>11309</v>
      </c>
      <c r="T1001" t="s">
        <v>48</v>
      </c>
      <c r="U1001" s="55" t="s">
        <v>11309</v>
      </c>
      <c r="V1001" s="47">
        <v>0</v>
      </c>
      <c r="W1001" t="s">
        <v>48</v>
      </c>
      <c r="X1001" t="s">
        <v>48</v>
      </c>
      <c r="Y1001" t="s">
        <v>48</v>
      </c>
      <c r="Z1001" t="s">
        <v>48</v>
      </c>
      <c r="AA1001" t="s">
        <v>48</v>
      </c>
      <c r="AB1001" t="s">
        <v>48</v>
      </c>
      <c r="AC1001" t="s">
        <v>49</v>
      </c>
      <c r="AD1001" t="s">
        <v>93</v>
      </c>
      <c r="AE1001" t="s">
        <v>4532</v>
      </c>
      <c r="AF1001" t="s">
        <v>48</v>
      </c>
      <c r="AG1001" t="s">
        <v>48</v>
      </c>
      <c r="AH1001" t="s">
        <v>48</v>
      </c>
      <c r="AI1001" t="s">
        <v>48</v>
      </c>
      <c r="AJ1001" t="s">
        <v>48</v>
      </c>
      <c r="AK1001" t="s">
        <v>48</v>
      </c>
      <c r="AL1001" t="s">
        <v>48</v>
      </c>
      <c r="AM1001" t="s">
        <v>48</v>
      </c>
      <c r="AN1001" t="s">
        <v>48</v>
      </c>
      <c r="AO1001" t="s">
        <v>48</v>
      </c>
      <c r="AP1001" s="46">
        <v>0</v>
      </c>
      <c r="AQ1001" s="46">
        <v>0</v>
      </c>
      <c r="AR1001" s="46">
        <v>0</v>
      </c>
      <c r="AS1001" s="46">
        <v>0</v>
      </c>
      <c r="AT1001" s="46">
        <v>0</v>
      </c>
      <c r="AU1001" s="46">
        <v>0</v>
      </c>
      <c r="AV1001" s="46">
        <v>0</v>
      </c>
      <c r="AW1001" s="46">
        <v>0</v>
      </c>
      <c r="AX1001" s="46">
        <v>0</v>
      </c>
      <c r="AY1001" s="46">
        <v>0</v>
      </c>
      <c r="AZ1001" s="46">
        <v>0</v>
      </c>
      <c r="BA1001" s="46">
        <v>0</v>
      </c>
      <c r="BB1001" s="46">
        <v>0</v>
      </c>
      <c r="BC1001" s="46">
        <v>0</v>
      </c>
      <c r="BD1001" s="46">
        <v>0</v>
      </c>
      <c r="BE1001" s="46">
        <v>0</v>
      </c>
      <c r="BF1001" s="46">
        <v>0</v>
      </c>
      <c r="BG1001" s="46" t="s">
        <v>48</v>
      </c>
      <c r="BH1001" s="46">
        <v>0</v>
      </c>
      <c r="BI1001" s="46">
        <v>0</v>
      </c>
      <c r="BJ1001" s="46">
        <v>0</v>
      </c>
      <c r="BK1001" s="46">
        <v>0</v>
      </c>
      <c r="BL1001" s="46">
        <v>0</v>
      </c>
      <c r="BM1001" s="46">
        <v>0</v>
      </c>
      <c r="BN1001" s="46">
        <v>0</v>
      </c>
    </row>
    <row r="1002" spans="1:66" x14ac:dyDescent="0.35">
      <c r="A1002" t="s">
        <v>5830</v>
      </c>
      <c r="B1002" t="s">
        <v>48</v>
      </c>
      <c r="C1002" t="s">
        <v>5833</v>
      </c>
      <c r="D1002" t="s">
        <v>355</v>
      </c>
      <c r="E1002" t="s">
        <v>5831</v>
      </c>
      <c r="F1002" t="s">
        <v>5826</v>
      </c>
      <c r="G1002" t="s">
        <v>47</v>
      </c>
      <c r="H1002">
        <v>0</v>
      </c>
      <c r="I1002" s="60" t="s">
        <v>51</v>
      </c>
      <c r="J1002" s="33" t="s">
        <v>45</v>
      </c>
      <c r="K1002" s="46">
        <v>0</v>
      </c>
      <c r="L1002">
        <v>51</v>
      </c>
      <c r="M1002" t="s">
        <v>48</v>
      </c>
      <c r="N1002" s="46">
        <v>1</v>
      </c>
      <c r="O1002" s="46">
        <v>0</v>
      </c>
      <c r="P1002" s="46">
        <v>0</v>
      </c>
      <c r="Q1002" t="s">
        <v>48</v>
      </c>
      <c r="R1002" t="s">
        <v>48</v>
      </c>
      <c r="S1002" t="s">
        <v>5832</v>
      </c>
      <c r="T1002" t="s">
        <v>48</v>
      </c>
      <c r="U1002" t="s">
        <v>5832</v>
      </c>
      <c r="V1002" s="47">
        <v>0</v>
      </c>
      <c r="W1002" t="s">
        <v>48</v>
      </c>
      <c r="X1002" t="s">
        <v>48</v>
      </c>
      <c r="Y1002" t="s">
        <v>48</v>
      </c>
      <c r="Z1002">
        <v>0</v>
      </c>
      <c r="AA1002" t="s">
        <v>48</v>
      </c>
      <c r="AB1002" t="s">
        <v>48</v>
      </c>
      <c r="AC1002" t="s">
        <v>63</v>
      </c>
      <c r="AD1002" t="s">
        <v>93</v>
      </c>
      <c r="AE1002" t="s">
        <v>4532</v>
      </c>
      <c r="AF1002" t="s">
        <v>48</v>
      </c>
      <c r="AG1002" t="s">
        <v>48</v>
      </c>
      <c r="AH1002" t="s">
        <v>48</v>
      </c>
      <c r="AI1002" t="s">
        <v>48</v>
      </c>
      <c r="AJ1002" t="s">
        <v>48</v>
      </c>
      <c r="AK1002" t="s">
        <v>48</v>
      </c>
      <c r="AL1002" t="s">
        <v>48</v>
      </c>
      <c r="AM1002" t="s">
        <v>48</v>
      </c>
      <c r="AN1002" t="s">
        <v>48</v>
      </c>
      <c r="AO1002" t="s">
        <v>48</v>
      </c>
      <c r="AP1002" s="46">
        <v>0</v>
      </c>
      <c r="AQ1002" s="46">
        <v>0</v>
      </c>
      <c r="AR1002" s="46">
        <v>0</v>
      </c>
      <c r="AS1002" s="46">
        <v>0</v>
      </c>
      <c r="AT1002" s="46">
        <v>0</v>
      </c>
      <c r="AU1002" s="46">
        <v>0</v>
      </c>
      <c r="AV1002" s="46">
        <v>0</v>
      </c>
      <c r="AW1002" s="46">
        <v>0</v>
      </c>
      <c r="AX1002" s="46">
        <v>0</v>
      </c>
      <c r="AY1002" s="46">
        <v>0</v>
      </c>
      <c r="AZ1002" s="46">
        <v>0</v>
      </c>
      <c r="BA1002" s="46">
        <v>0</v>
      </c>
      <c r="BB1002" s="46">
        <v>0</v>
      </c>
      <c r="BC1002" s="46">
        <v>0</v>
      </c>
      <c r="BD1002" s="46">
        <v>0</v>
      </c>
      <c r="BE1002" s="46">
        <v>0</v>
      </c>
      <c r="BF1002" s="46">
        <v>0</v>
      </c>
      <c r="BG1002" s="46" t="s">
        <v>48</v>
      </c>
      <c r="BH1002" s="46">
        <v>0</v>
      </c>
      <c r="BI1002" s="46">
        <v>0</v>
      </c>
      <c r="BJ1002" s="46">
        <v>0</v>
      </c>
      <c r="BK1002" s="46">
        <v>0</v>
      </c>
      <c r="BL1002" s="46">
        <v>0</v>
      </c>
      <c r="BM1002" s="46">
        <v>0</v>
      </c>
      <c r="BN1002" s="46">
        <v>0</v>
      </c>
    </row>
    <row r="1003" spans="1:66" x14ac:dyDescent="0.35">
      <c r="A1003" t="s">
        <v>5834</v>
      </c>
      <c r="B1003" t="s">
        <v>48</v>
      </c>
      <c r="C1003" t="s">
        <v>5838</v>
      </c>
      <c r="D1003" t="s">
        <v>1239</v>
      </c>
      <c r="E1003" t="s">
        <v>5835</v>
      </c>
      <c r="F1003" t="s">
        <v>5826</v>
      </c>
      <c r="G1003" t="s">
        <v>74</v>
      </c>
      <c r="H1003">
        <v>0</v>
      </c>
      <c r="I1003" s="60" t="s">
        <v>51</v>
      </c>
      <c r="J1003" s="33" t="s">
        <v>45</v>
      </c>
      <c r="K1003" s="46">
        <v>1</v>
      </c>
      <c r="L1003">
        <v>100</v>
      </c>
      <c r="M1003" t="s">
        <v>48</v>
      </c>
      <c r="N1003" s="46">
        <v>1</v>
      </c>
      <c r="O1003" s="46">
        <v>0</v>
      </c>
      <c r="P1003" s="46">
        <v>0</v>
      </c>
      <c r="Q1003" t="s">
        <v>48</v>
      </c>
      <c r="R1003" t="s">
        <v>48</v>
      </c>
      <c r="S1003" t="s">
        <v>5836</v>
      </c>
      <c r="T1003" t="s">
        <v>5837</v>
      </c>
      <c r="U1003" t="s">
        <v>5836</v>
      </c>
      <c r="V1003" s="47">
        <v>0</v>
      </c>
      <c r="W1003" t="s">
        <v>48</v>
      </c>
      <c r="X1003" t="s">
        <v>48</v>
      </c>
      <c r="Y1003" t="s">
        <v>48</v>
      </c>
      <c r="Z1003">
        <v>0</v>
      </c>
      <c r="AA1003" t="s">
        <v>48</v>
      </c>
      <c r="AB1003" t="s">
        <v>794</v>
      </c>
      <c r="AC1003" t="s">
        <v>63</v>
      </c>
      <c r="AD1003" t="s">
        <v>93</v>
      </c>
      <c r="AE1003" t="s">
        <v>4532</v>
      </c>
      <c r="AF1003" t="s">
        <v>48</v>
      </c>
      <c r="AG1003" t="s">
        <v>633</v>
      </c>
      <c r="AH1003" t="s">
        <v>93</v>
      </c>
      <c r="AI1003">
        <v>21763</v>
      </c>
      <c r="AJ1003">
        <v>1957</v>
      </c>
      <c r="AK1003" t="s">
        <v>9234</v>
      </c>
      <c r="AL1003" t="s">
        <v>9235</v>
      </c>
      <c r="AM1003">
        <v>-0.314</v>
      </c>
      <c r="AN1003">
        <v>0.499</v>
      </c>
      <c r="AO1003">
        <v>-0.314</v>
      </c>
      <c r="AP1003" s="46">
        <v>0</v>
      </c>
      <c r="AQ1003" s="46">
        <v>0</v>
      </c>
      <c r="AR1003" s="46">
        <v>0</v>
      </c>
      <c r="AS1003" s="46">
        <v>0</v>
      </c>
      <c r="AT1003" s="46">
        <v>0</v>
      </c>
      <c r="AU1003" s="46">
        <v>1</v>
      </c>
      <c r="AV1003" s="46">
        <v>0</v>
      </c>
      <c r="AW1003" s="46">
        <v>0</v>
      </c>
      <c r="AX1003" s="46">
        <v>1</v>
      </c>
      <c r="AY1003" s="46">
        <v>0</v>
      </c>
      <c r="AZ1003" s="46">
        <v>0</v>
      </c>
      <c r="BA1003" s="46">
        <v>0</v>
      </c>
      <c r="BB1003" s="46">
        <v>0</v>
      </c>
      <c r="BC1003" s="46">
        <v>0</v>
      </c>
      <c r="BD1003" s="46">
        <v>0</v>
      </c>
      <c r="BE1003" s="46">
        <v>0</v>
      </c>
      <c r="BF1003" s="46">
        <v>0</v>
      </c>
      <c r="BG1003" s="46" t="s">
        <v>48</v>
      </c>
      <c r="BH1003" s="46">
        <v>0</v>
      </c>
      <c r="BI1003" s="46">
        <v>0</v>
      </c>
      <c r="BJ1003" s="46">
        <v>0</v>
      </c>
      <c r="BK1003" s="46">
        <v>0</v>
      </c>
      <c r="BL1003" s="46">
        <v>0</v>
      </c>
      <c r="BM1003" s="46">
        <v>0</v>
      </c>
      <c r="BN1003" s="46">
        <v>0</v>
      </c>
    </row>
    <row r="1004" spans="1:66" x14ac:dyDescent="0.35">
      <c r="A1004" t="s">
        <v>5839</v>
      </c>
      <c r="B1004" s="44" t="s">
        <v>48</v>
      </c>
      <c r="C1004" t="s">
        <v>5843</v>
      </c>
      <c r="D1004" t="s">
        <v>829</v>
      </c>
      <c r="E1004" t="s">
        <v>5841</v>
      </c>
      <c r="F1004" t="s">
        <v>5840</v>
      </c>
      <c r="G1004" t="s">
        <v>47</v>
      </c>
      <c r="H1004">
        <v>0</v>
      </c>
      <c r="I1004" s="60" t="s">
        <v>675</v>
      </c>
      <c r="J1004" s="33" t="s">
        <v>45</v>
      </c>
      <c r="K1004" s="46">
        <v>0</v>
      </c>
      <c r="L1004">
        <v>68.7</v>
      </c>
      <c r="M1004" t="s">
        <v>48</v>
      </c>
      <c r="N1004" s="46">
        <v>1</v>
      </c>
      <c r="O1004" s="46">
        <v>0</v>
      </c>
      <c r="P1004" s="46">
        <v>0</v>
      </c>
      <c r="Q1004" t="s">
        <v>48</v>
      </c>
      <c r="R1004" t="s">
        <v>48</v>
      </c>
      <c r="S1004" t="s">
        <v>5842</v>
      </c>
      <c r="T1004" t="s">
        <v>48</v>
      </c>
      <c r="U1004" t="s">
        <v>5842</v>
      </c>
      <c r="V1004" s="47">
        <v>1</v>
      </c>
      <c r="W1004" t="s">
        <v>48</v>
      </c>
      <c r="X1004" t="s">
        <v>48</v>
      </c>
      <c r="Y1004" t="s">
        <v>48</v>
      </c>
      <c r="Z1004">
        <v>0</v>
      </c>
      <c r="AA1004" t="s">
        <v>48</v>
      </c>
      <c r="AB1004" t="s">
        <v>48</v>
      </c>
      <c r="AC1004" t="s">
        <v>49</v>
      </c>
      <c r="AD1004" t="s">
        <v>93</v>
      </c>
      <c r="AE1004" t="s">
        <v>4532</v>
      </c>
      <c r="AF1004" t="s">
        <v>48</v>
      </c>
      <c r="AG1004" t="s">
        <v>48</v>
      </c>
      <c r="AH1004" t="s">
        <v>48</v>
      </c>
      <c r="AI1004" t="s">
        <v>48</v>
      </c>
      <c r="AJ1004" t="s">
        <v>48</v>
      </c>
      <c r="AK1004" t="s">
        <v>48</v>
      </c>
      <c r="AL1004" t="s">
        <v>48</v>
      </c>
      <c r="AM1004" t="s">
        <v>48</v>
      </c>
      <c r="AN1004" t="s">
        <v>48</v>
      </c>
      <c r="AO1004" t="s">
        <v>48</v>
      </c>
      <c r="AP1004" s="46">
        <v>0</v>
      </c>
      <c r="AQ1004" s="46">
        <v>0</v>
      </c>
      <c r="AR1004" s="46">
        <v>0</v>
      </c>
      <c r="AS1004" s="46">
        <v>0</v>
      </c>
      <c r="AT1004" s="46">
        <v>0</v>
      </c>
      <c r="AU1004" s="46">
        <v>0</v>
      </c>
      <c r="AV1004" s="46">
        <v>0</v>
      </c>
      <c r="AW1004" s="46">
        <v>0</v>
      </c>
      <c r="AX1004" s="46">
        <v>0</v>
      </c>
      <c r="AY1004" s="46">
        <v>0</v>
      </c>
      <c r="AZ1004" s="46">
        <v>0</v>
      </c>
      <c r="BA1004" s="46">
        <v>0</v>
      </c>
      <c r="BB1004" s="46">
        <v>0</v>
      </c>
      <c r="BC1004" s="46">
        <v>1</v>
      </c>
      <c r="BD1004" s="46">
        <v>1</v>
      </c>
      <c r="BE1004" s="46">
        <v>0</v>
      </c>
      <c r="BF1004" s="46">
        <v>0</v>
      </c>
      <c r="BG1004" s="46">
        <v>1</v>
      </c>
      <c r="BH1004" s="46">
        <v>0</v>
      </c>
      <c r="BI1004" s="46">
        <v>0</v>
      </c>
      <c r="BJ1004" s="46">
        <v>0</v>
      </c>
      <c r="BK1004" s="46">
        <v>0</v>
      </c>
      <c r="BL1004" s="46">
        <v>0</v>
      </c>
      <c r="BM1004" s="46">
        <v>0</v>
      </c>
      <c r="BN1004" s="46">
        <v>1</v>
      </c>
    </row>
    <row r="1005" spans="1:66" x14ac:dyDescent="0.35">
      <c r="A1005" t="s">
        <v>5844</v>
      </c>
      <c r="B1005" t="s">
        <v>48</v>
      </c>
      <c r="C1005" t="s">
        <v>540</v>
      </c>
      <c r="D1005" t="s">
        <v>1193</v>
      </c>
      <c r="E1005" t="s">
        <v>5845</v>
      </c>
      <c r="F1005" t="s">
        <v>5840</v>
      </c>
      <c r="G1005" t="s">
        <v>74</v>
      </c>
      <c r="H1005">
        <v>0</v>
      </c>
      <c r="I1005" s="60" t="s">
        <v>51</v>
      </c>
      <c r="J1005" s="33" t="s">
        <v>45</v>
      </c>
      <c r="K1005" s="46">
        <v>1</v>
      </c>
      <c r="L1005">
        <v>100</v>
      </c>
      <c r="M1005" t="s">
        <v>48</v>
      </c>
      <c r="N1005" s="46">
        <v>1</v>
      </c>
      <c r="O1005" s="46">
        <v>0</v>
      </c>
      <c r="P1005" s="46">
        <v>0</v>
      </c>
      <c r="Q1005" t="s">
        <v>48</v>
      </c>
      <c r="R1005" t="s">
        <v>48</v>
      </c>
      <c r="S1005" t="s">
        <v>5846</v>
      </c>
      <c r="T1005" t="s">
        <v>5847</v>
      </c>
      <c r="U1005" t="s">
        <v>5846</v>
      </c>
      <c r="V1005" s="47">
        <v>0</v>
      </c>
      <c r="W1005" t="s">
        <v>48</v>
      </c>
      <c r="X1005" t="s">
        <v>48</v>
      </c>
      <c r="Y1005" t="s">
        <v>48</v>
      </c>
      <c r="Z1005">
        <v>0</v>
      </c>
      <c r="AA1005" t="s">
        <v>48</v>
      </c>
      <c r="AB1005">
        <v>2012</v>
      </c>
      <c r="AC1005" t="s">
        <v>49</v>
      </c>
      <c r="AD1005" t="s">
        <v>93</v>
      </c>
      <c r="AE1005" t="s">
        <v>4532</v>
      </c>
      <c r="AF1005" t="s">
        <v>48</v>
      </c>
      <c r="AG1005" t="s">
        <v>140</v>
      </c>
      <c r="AH1005" t="s">
        <v>93</v>
      </c>
      <c r="AI1005">
        <v>21358</v>
      </c>
      <c r="AJ1005">
        <v>1961</v>
      </c>
      <c r="AK1005" t="s">
        <v>9236</v>
      </c>
      <c r="AL1005" t="s">
        <v>9237</v>
      </c>
      <c r="AM1005">
        <v>-0.36099999999999999</v>
      </c>
      <c r="AN1005">
        <v>-3.2000000000000001E-2</v>
      </c>
      <c r="AO1005">
        <v>-0.36099999999999999</v>
      </c>
      <c r="AP1005" s="46">
        <v>0</v>
      </c>
      <c r="AQ1005" s="46">
        <v>0</v>
      </c>
      <c r="AR1005" s="46">
        <v>0</v>
      </c>
      <c r="AS1005" s="46">
        <v>0</v>
      </c>
      <c r="AT1005" s="46">
        <v>1</v>
      </c>
      <c r="AU1005" s="46">
        <v>0</v>
      </c>
      <c r="AV1005" s="46">
        <v>0</v>
      </c>
      <c r="AW1005" s="46">
        <v>0</v>
      </c>
      <c r="AX1005" s="46">
        <v>1</v>
      </c>
      <c r="AY1005" s="46">
        <v>0</v>
      </c>
      <c r="AZ1005" s="46">
        <v>0</v>
      </c>
      <c r="BA1005" s="46">
        <v>0</v>
      </c>
      <c r="BB1005" s="46">
        <v>0</v>
      </c>
      <c r="BC1005" s="46">
        <v>0</v>
      </c>
      <c r="BD1005" s="46">
        <v>0</v>
      </c>
      <c r="BE1005" s="46">
        <v>0</v>
      </c>
      <c r="BF1005" s="46">
        <v>0</v>
      </c>
      <c r="BG1005" s="46" t="s">
        <v>48</v>
      </c>
      <c r="BH1005" s="46">
        <v>0</v>
      </c>
      <c r="BI1005" s="46">
        <v>0</v>
      </c>
      <c r="BJ1005" s="46">
        <v>0</v>
      </c>
      <c r="BK1005" s="46">
        <v>0</v>
      </c>
      <c r="BL1005" s="46">
        <v>0</v>
      </c>
      <c r="BM1005" s="46">
        <v>0</v>
      </c>
      <c r="BN1005" s="46">
        <v>0</v>
      </c>
    </row>
    <row r="1006" spans="1:66" ht="15" x14ac:dyDescent="0.4">
      <c r="A1006" t="s">
        <v>7896</v>
      </c>
      <c r="B1006" s="44" t="s">
        <v>48</v>
      </c>
      <c r="C1006" t="s">
        <v>12295</v>
      </c>
      <c r="D1006" t="s">
        <v>2036</v>
      </c>
      <c r="E1006" t="s">
        <v>7895</v>
      </c>
      <c r="F1006" t="s">
        <v>5849</v>
      </c>
      <c r="G1006" t="s">
        <v>74</v>
      </c>
      <c r="H1006">
        <v>0</v>
      </c>
      <c r="I1006" s="61" t="s">
        <v>11160</v>
      </c>
      <c r="J1006" s="33" t="s">
        <v>45</v>
      </c>
      <c r="K1006" s="46">
        <v>0</v>
      </c>
      <c r="L1006">
        <v>100</v>
      </c>
      <c r="M1006" t="s">
        <v>48</v>
      </c>
      <c r="N1006" s="46">
        <v>1</v>
      </c>
      <c r="O1006" s="46">
        <v>0</v>
      </c>
      <c r="P1006" s="46">
        <v>0</v>
      </c>
      <c r="Q1006" t="s">
        <v>48</v>
      </c>
      <c r="R1006" t="s">
        <v>48</v>
      </c>
      <c r="S1006" s="55" t="s">
        <v>11273</v>
      </c>
      <c r="T1006" t="s">
        <v>48</v>
      </c>
      <c r="U1006" s="55" t="s">
        <v>11273</v>
      </c>
      <c r="V1006" s="47">
        <v>1</v>
      </c>
      <c r="W1006" t="s">
        <v>48</v>
      </c>
      <c r="X1006" t="s">
        <v>48</v>
      </c>
      <c r="Y1006" t="s">
        <v>48</v>
      </c>
      <c r="Z1006" t="s">
        <v>48</v>
      </c>
      <c r="AA1006" t="s">
        <v>48</v>
      </c>
      <c r="AB1006" t="s">
        <v>48</v>
      </c>
      <c r="AC1006" t="s">
        <v>63</v>
      </c>
      <c r="AD1006" t="s">
        <v>93</v>
      </c>
      <c r="AE1006" t="s">
        <v>4532</v>
      </c>
      <c r="AF1006" t="s">
        <v>48</v>
      </c>
      <c r="AG1006" t="s">
        <v>48</v>
      </c>
      <c r="AH1006" t="s">
        <v>48</v>
      </c>
      <c r="AI1006" t="s">
        <v>48</v>
      </c>
      <c r="AJ1006" t="s">
        <v>48</v>
      </c>
      <c r="AK1006" t="s">
        <v>48</v>
      </c>
      <c r="AL1006" t="s">
        <v>48</v>
      </c>
      <c r="AM1006" t="s">
        <v>48</v>
      </c>
      <c r="AN1006" t="s">
        <v>48</v>
      </c>
      <c r="AO1006" t="s">
        <v>48</v>
      </c>
      <c r="AP1006" s="46">
        <v>0</v>
      </c>
      <c r="AQ1006" s="46">
        <v>0</v>
      </c>
      <c r="AR1006" s="46">
        <v>0</v>
      </c>
      <c r="AS1006" s="46">
        <v>0</v>
      </c>
      <c r="AT1006" s="46">
        <v>0</v>
      </c>
      <c r="AU1006" s="46">
        <v>0</v>
      </c>
      <c r="AV1006" s="46">
        <v>0</v>
      </c>
      <c r="AW1006" s="46">
        <v>0</v>
      </c>
      <c r="AX1006" s="46">
        <v>0</v>
      </c>
      <c r="AY1006" s="46">
        <v>0</v>
      </c>
      <c r="AZ1006" s="46">
        <v>0</v>
      </c>
      <c r="BA1006" s="46">
        <v>0</v>
      </c>
      <c r="BB1006" s="46">
        <v>0</v>
      </c>
      <c r="BC1006" s="46">
        <v>0</v>
      </c>
      <c r="BD1006" s="46">
        <v>0</v>
      </c>
      <c r="BE1006" s="46">
        <v>0</v>
      </c>
      <c r="BF1006" s="46">
        <v>0</v>
      </c>
      <c r="BG1006" s="46" t="s">
        <v>48</v>
      </c>
      <c r="BH1006" s="46">
        <v>0</v>
      </c>
      <c r="BI1006" s="46">
        <v>0</v>
      </c>
      <c r="BJ1006" s="46">
        <v>0</v>
      </c>
      <c r="BK1006" s="46">
        <v>0</v>
      </c>
      <c r="BL1006" s="46">
        <v>0</v>
      </c>
      <c r="BM1006" s="46">
        <v>0</v>
      </c>
      <c r="BN1006" s="46">
        <v>0</v>
      </c>
    </row>
    <row r="1007" spans="1:66" x14ac:dyDescent="0.35">
      <c r="A1007" t="s">
        <v>5848</v>
      </c>
      <c r="B1007" t="s">
        <v>48</v>
      </c>
      <c r="C1007" t="s">
        <v>1562</v>
      </c>
      <c r="D1007" t="s">
        <v>347</v>
      </c>
      <c r="E1007" t="s">
        <v>5850</v>
      </c>
      <c r="F1007" t="s">
        <v>5849</v>
      </c>
      <c r="G1007" t="s">
        <v>47</v>
      </c>
      <c r="H1007">
        <v>0</v>
      </c>
      <c r="I1007" s="60" t="s">
        <v>51</v>
      </c>
      <c r="J1007" s="33" t="s">
        <v>45</v>
      </c>
      <c r="K1007" s="46">
        <v>1</v>
      </c>
      <c r="L1007">
        <v>100</v>
      </c>
      <c r="M1007" t="s">
        <v>48</v>
      </c>
      <c r="N1007" s="46">
        <v>1</v>
      </c>
      <c r="O1007" s="46">
        <v>0</v>
      </c>
      <c r="P1007" s="46">
        <v>0</v>
      </c>
      <c r="Q1007" t="s">
        <v>48</v>
      </c>
      <c r="R1007" t="s">
        <v>48</v>
      </c>
      <c r="S1007" t="s">
        <v>5851</v>
      </c>
      <c r="T1007" t="s">
        <v>5852</v>
      </c>
      <c r="U1007" t="s">
        <v>5851</v>
      </c>
      <c r="V1007" s="47">
        <v>0</v>
      </c>
      <c r="W1007" t="s">
        <v>48</v>
      </c>
      <c r="X1007" t="s">
        <v>48</v>
      </c>
      <c r="Y1007" t="s">
        <v>48</v>
      </c>
      <c r="Z1007">
        <v>0</v>
      </c>
      <c r="AA1007" t="s">
        <v>48</v>
      </c>
      <c r="AB1007">
        <v>2018</v>
      </c>
      <c r="AC1007" t="s">
        <v>49</v>
      </c>
      <c r="AD1007" t="s">
        <v>93</v>
      </c>
      <c r="AE1007" t="s">
        <v>4532</v>
      </c>
      <c r="AF1007" t="s">
        <v>48</v>
      </c>
      <c r="AG1007" t="s">
        <v>140</v>
      </c>
      <c r="AH1007" t="s">
        <v>93</v>
      </c>
      <c r="AI1007">
        <v>21945</v>
      </c>
      <c r="AJ1007">
        <v>1964</v>
      </c>
      <c r="AK1007" t="s">
        <v>9238</v>
      </c>
      <c r="AL1007" t="s">
        <v>9239</v>
      </c>
      <c r="AM1007">
        <v>0.503</v>
      </c>
      <c r="AN1007">
        <v>0.38900000000000001</v>
      </c>
      <c r="AO1007">
        <v>0.503</v>
      </c>
      <c r="AP1007" s="46">
        <v>0</v>
      </c>
      <c r="AQ1007" s="46">
        <v>0</v>
      </c>
      <c r="AR1007" s="46">
        <v>0</v>
      </c>
      <c r="AS1007" s="46">
        <v>0</v>
      </c>
      <c r="AT1007" s="46">
        <v>0</v>
      </c>
      <c r="AU1007" s="46">
        <v>0</v>
      </c>
      <c r="AV1007" s="46">
        <v>0</v>
      </c>
      <c r="AW1007" s="46">
        <v>0</v>
      </c>
      <c r="AX1007" s="46">
        <v>0</v>
      </c>
      <c r="AY1007" s="46">
        <v>0</v>
      </c>
      <c r="AZ1007" s="46">
        <v>1</v>
      </c>
      <c r="BA1007" s="46">
        <v>1</v>
      </c>
      <c r="BB1007" s="46">
        <v>1</v>
      </c>
      <c r="BC1007" s="46">
        <v>0</v>
      </c>
      <c r="BD1007" s="46">
        <v>0</v>
      </c>
      <c r="BE1007" s="46">
        <v>0</v>
      </c>
      <c r="BF1007" s="46">
        <v>0</v>
      </c>
      <c r="BG1007" s="46">
        <v>1</v>
      </c>
      <c r="BH1007" s="46">
        <v>0</v>
      </c>
      <c r="BI1007" s="46">
        <v>0</v>
      </c>
      <c r="BJ1007" s="46">
        <v>0</v>
      </c>
      <c r="BK1007" s="46">
        <v>0</v>
      </c>
      <c r="BL1007" s="46">
        <v>0</v>
      </c>
      <c r="BM1007" s="46">
        <v>0</v>
      </c>
      <c r="BN1007" s="46">
        <v>0</v>
      </c>
    </row>
    <row r="1008" spans="1:66" x14ac:dyDescent="0.35">
      <c r="A1008" t="s">
        <v>5854</v>
      </c>
      <c r="B1008" s="44" t="s">
        <v>48</v>
      </c>
      <c r="C1008" t="s">
        <v>1335</v>
      </c>
      <c r="D1008" t="s">
        <v>885</v>
      </c>
      <c r="E1008" t="s">
        <v>5855</v>
      </c>
      <c r="F1008" t="s">
        <v>5853</v>
      </c>
      <c r="G1008" t="s">
        <v>47</v>
      </c>
      <c r="H1008">
        <v>0</v>
      </c>
      <c r="I1008" s="60" t="s">
        <v>51</v>
      </c>
      <c r="J1008" s="33" t="s">
        <v>45</v>
      </c>
      <c r="K1008" s="46">
        <v>1</v>
      </c>
      <c r="L1008">
        <v>100</v>
      </c>
      <c r="M1008" t="s">
        <v>48</v>
      </c>
      <c r="N1008" s="46">
        <v>1</v>
      </c>
      <c r="O1008" s="46">
        <v>0</v>
      </c>
      <c r="P1008" s="46">
        <v>0</v>
      </c>
      <c r="Q1008" t="s">
        <v>48</v>
      </c>
      <c r="R1008" t="s">
        <v>48</v>
      </c>
      <c r="S1008" t="s">
        <v>5856</v>
      </c>
      <c r="T1008" t="s">
        <v>5857</v>
      </c>
      <c r="U1008" t="s">
        <v>5856</v>
      </c>
      <c r="V1008" s="47">
        <v>0</v>
      </c>
      <c r="W1008" t="s">
        <v>48</v>
      </c>
      <c r="X1008" t="s">
        <v>48</v>
      </c>
      <c r="Y1008" t="s">
        <v>48</v>
      </c>
      <c r="Z1008">
        <v>0</v>
      </c>
      <c r="AA1008" t="s">
        <v>48</v>
      </c>
      <c r="AB1008">
        <v>2012</v>
      </c>
      <c r="AC1008" t="s">
        <v>49</v>
      </c>
      <c r="AD1008" t="s">
        <v>93</v>
      </c>
      <c r="AE1008" t="s">
        <v>4532</v>
      </c>
      <c r="AF1008" t="s">
        <v>48</v>
      </c>
      <c r="AG1008" t="s">
        <v>3791</v>
      </c>
      <c r="AH1008" t="s">
        <v>93</v>
      </c>
      <c r="AI1008">
        <v>21356</v>
      </c>
      <c r="AJ1008">
        <v>1962</v>
      </c>
      <c r="AK1008" t="s">
        <v>9240</v>
      </c>
      <c r="AL1008" t="s">
        <v>9241</v>
      </c>
      <c r="AM1008">
        <v>0.66200000000000003</v>
      </c>
      <c r="AN1008">
        <v>-0.42199999999999999</v>
      </c>
      <c r="AO1008">
        <v>0.66200000000000003</v>
      </c>
      <c r="AP1008" s="46">
        <v>0</v>
      </c>
      <c r="AQ1008" s="46">
        <v>0</v>
      </c>
      <c r="AR1008" s="46">
        <v>0</v>
      </c>
      <c r="AS1008" s="46">
        <v>0</v>
      </c>
      <c r="AT1008" s="46">
        <v>0</v>
      </c>
      <c r="AU1008" s="46">
        <v>0</v>
      </c>
      <c r="AV1008" s="46">
        <v>0</v>
      </c>
      <c r="AW1008" s="46">
        <v>0</v>
      </c>
      <c r="AX1008" s="46">
        <v>0</v>
      </c>
      <c r="AY1008" s="46">
        <v>0</v>
      </c>
      <c r="AZ1008" s="46">
        <v>0</v>
      </c>
      <c r="BA1008" s="46">
        <v>0</v>
      </c>
      <c r="BB1008" s="46">
        <v>0</v>
      </c>
      <c r="BC1008" s="46">
        <v>0</v>
      </c>
      <c r="BD1008" s="46">
        <v>1</v>
      </c>
      <c r="BE1008" s="46">
        <v>0</v>
      </c>
      <c r="BF1008" s="46">
        <v>1</v>
      </c>
      <c r="BG1008" s="46">
        <v>1</v>
      </c>
      <c r="BH1008" s="46">
        <v>0</v>
      </c>
      <c r="BI1008" s="46">
        <v>0</v>
      </c>
      <c r="BJ1008" s="46">
        <v>0</v>
      </c>
      <c r="BK1008" s="46">
        <v>0</v>
      </c>
      <c r="BL1008" s="46">
        <v>0</v>
      </c>
      <c r="BM1008" s="46">
        <v>0</v>
      </c>
      <c r="BN1008" s="46">
        <v>1</v>
      </c>
    </row>
    <row r="1009" spans="1:66" ht="15" x14ac:dyDescent="0.4">
      <c r="A1009" t="s">
        <v>7892</v>
      </c>
      <c r="B1009" s="44" t="s">
        <v>48</v>
      </c>
      <c r="C1009" t="s">
        <v>935</v>
      </c>
      <c r="D1009" t="s">
        <v>12297</v>
      </c>
      <c r="E1009" t="s">
        <v>7891</v>
      </c>
      <c r="F1009" t="s">
        <v>5853</v>
      </c>
      <c r="G1009" t="s">
        <v>74</v>
      </c>
      <c r="H1009">
        <v>0</v>
      </c>
      <c r="I1009" s="61" t="s">
        <v>11160</v>
      </c>
      <c r="J1009" s="33" t="s">
        <v>45</v>
      </c>
      <c r="K1009" s="46">
        <v>0</v>
      </c>
      <c r="L1009">
        <v>52.5</v>
      </c>
      <c r="M1009" t="s">
        <v>48</v>
      </c>
      <c r="N1009" s="46">
        <v>1</v>
      </c>
      <c r="O1009" s="46">
        <v>0</v>
      </c>
      <c r="P1009" s="46">
        <v>0</v>
      </c>
      <c r="Q1009" t="s">
        <v>48</v>
      </c>
      <c r="R1009" t="s">
        <v>48</v>
      </c>
      <c r="S1009" s="55" t="s">
        <v>11274</v>
      </c>
      <c r="T1009" t="s">
        <v>48</v>
      </c>
      <c r="U1009" s="55" t="s">
        <v>11274</v>
      </c>
      <c r="V1009" s="47">
        <v>0</v>
      </c>
      <c r="W1009" t="s">
        <v>48</v>
      </c>
      <c r="X1009" t="s">
        <v>48</v>
      </c>
      <c r="Y1009" t="s">
        <v>48</v>
      </c>
      <c r="Z1009" t="s">
        <v>48</v>
      </c>
      <c r="AA1009" t="s">
        <v>48</v>
      </c>
      <c r="AB1009" t="s">
        <v>48</v>
      </c>
      <c r="AC1009" t="s">
        <v>63</v>
      </c>
      <c r="AD1009" t="s">
        <v>93</v>
      </c>
      <c r="AE1009" t="s">
        <v>977</v>
      </c>
      <c r="AF1009" t="s">
        <v>48</v>
      </c>
      <c r="AG1009" t="s">
        <v>48</v>
      </c>
      <c r="AH1009" t="s">
        <v>48</v>
      </c>
      <c r="AI1009" t="s">
        <v>48</v>
      </c>
      <c r="AJ1009" t="s">
        <v>48</v>
      </c>
      <c r="AK1009" t="s">
        <v>48</v>
      </c>
      <c r="AL1009" t="s">
        <v>48</v>
      </c>
      <c r="AM1009" t="s">
        <v>48</v>
      </c>
      <c r="AN1009" t="s">
        <v>48</v>
      </c>
      <c r="AO1009" t="s">
        <v>48</v>
      </c>
      <c r="AP1009" s="46">
        <v>0</v>
      </c>
      <c r="AQ1009" s="46">
        <v>0</v>
      </c>
      <c r="AR1009" s="46">
        <v>0</v>
      </c>
      <c r="AS1009" s="46">
        <v>0</v>
      </c>
      <c r="AT1009" s="46">
        <v>0</v>
      </c>
      <c r="AU1009" s="46">
        <v>0</v>
      </c>
      <c r="AV1009" s="46">
        <v>0</v>
      </c>
      <c r="AW1009" s="46">
        <v>0</v>
      </c>
      <c r="AX1009" s="46">
        <v>0</v>
      </c>
      <c r="AY1009" s="46">
        <v>0</v>
      </c>
      <c r="AZ1009" s="46">
        <v>0</v>
      </c>
      <c r="BA1009" s="46">
        <v>0</v>
      </c>
      <c r="BB1009" s="46">
        <v>0</v>
      </c>
      <c r="BC1009" s="46">
        <v>0</v>
      </c>
      <c r="BD1009" s="46">
        <v>0</v>
      </c>
      <c r="BE1009" s="46">
        <v>0</v>
      </c>
      <c r="BF1009" s="46">
        <v>0</v>
      </c>
      <c r="BG1009" s="46" t="s">
        <v>48</v>
      </c>
      <c r="BH1009" s="46">
        <v>0</v>
      </c>
      <c r="BI1009" s="46">
        <v>0</v>
      </c>
      <c r="BJ1009" s="46">
        <v>0</v>
      </c>
      <c r="BK1009" s="46">
        <v>0</v>
      </c>
      <c r="BL1009" s="46">
        <v>0</v>
      </c>
      <c r="BM1009" s="46">
        <v>0</v>
      </c>
      <c r="BN1009" s="46">
        <v>0</v>
      </c>
    </row>
    <row r="1010" spans="1:66" x14ac:dyDescent="0.35">
      <c r="A1010" t="s">
        <v>5862</v>
      </c>
      <c r="B1010" s="44" t="s">
        <v>48</v>
      </c>
      <c r="C1010" t="s">
        <v>5867</v>
      </c>
      <c r="D1010" t="s">
        <v>5866</v>
      </c>
      <c r="E1010" t="s">
        <v>5863</v>
      </c>
      <c r="F1010" t="s">
        <v>5859</v>
      </c>
      <c r="G1010" t="s">
        <v>47</v>
      </c>
      <c r="H1010">
        <v>0</v>
      </c>
      <c r="I1010" s="60" t="s">
        <v>51</v>
      </c>
      <c r="J1010" s="33" t="s">
        <v>45</v>
      </c>
      <c r="K1010" s="46">
        <v>1</v>
      </c>
      <c r="L1010">
        <v>100</v>
      </c>
      <c r="M1010" t="s">
        <v>48</v>
      </c>
      <c r="N1010" s="46">
        <v>1</v>
      </c>
      <c r="O1010" s="46">
        <v>0</v>
      </c>
      <c r="P1010" s="46">
        <v>0</v>
      </c>
      <c r="Q1010" t="s">
        <v>48</v>
      </c>
      <c r="R1010" t="s">
        <v>48</v>
      </c>
      <c r="S1010" t="s">
        <v>5864</v>
      </c>
      <c r="T1010" t="s">
        <v>5865</v>
      </c>
      <c r="U1010" t="s">
        <v>5864</v>
      </c>
      <c r="V1010" s="47">
        <v>0</v>
      </c>
      <c r="W1010" t="s">
        <v>48</v>
      </c>
      <c r="X1010" t="s">
        <v>48</v>
      </c>
      <c r="Y1010" t="s">
        <v>48</v>
      </c>
      <c r="Z1010">
        <v>0</v>
      </c>
      <c r="AA1010" t="s">
        <v>48</v>
      </c>
      <c r="AB1010">
        <v>2016</v>
      </c>
      <c r="AC1010" t="s">
        <v>49</v>
      </c>
      <c r="AD1010" t="s">
        <v>93</v>
      </c>
      <c r="AE1010" t="s">
        <v>4532</v>
      </c>
      <c r="AF1010" t="s">
        <v>48</v>
      </c>
      <c r="AG1010" t="s">
        <v>1105</v>
      </c>
      <c r="AH1010" t="s">
        <v>93</v>
      </c>
      <c r="AI1010">
        <v>21745</v>
      </c>
      <c r="AJ1010">
        <v>1964</v>
      </c>
      <c r="AK1010" t="s">
        <v>9242</v>
      </c>
      <c r="AL1010" t="s">
        <v>9243</v>
      </c>
      <c r="AM1010">
        <v>0.43099999999999999</v>
      </c>
      <c r="AN1010">
        <v>0.245</v>
      </c>
      <c r="AO1010">
        <v>0.43099999999999999</v>
      </c>
      <c r="AP1010" s="46">
        <v>0</v>
      </c>
      <c r="AQ1010" s="46">
        <v>0</v>
      </c>
      <c r="AR1010" s="46">
        <v>0</v>
      </c>
      <c r="AS1010" s="46">
        <v>0</v>
      </c>
      <c r="AT1010" s="46">
        <v>0</v>
      </c>
      <c r="AU1010" s="46">
        <v>0</v>
      </c>
      <c r="AV1010" s="46">
        <v>0</v>
      </c>
      <c r="AW1010" s="46">
        <v>0</v>
      </c>
      <c r="AX1010" s="46">
        <v>0</v>
      </c>
      <c r="AY1010" s="46">
        <v>0</v>
      </c>
      <c r="AZ1010" s="46">
        <v>0</v>
      </c>
      <c r="BA1010" s="46">
        <v>0</v>
      </c>
      <c r="BB1010" s="46">
        <v>1</v>
      </c>
      <c r="BC1010" s="46">
        <v>0</v>
      </c>
      <c r="BD1010" s="46">
        <v>0</v>
      </c>
      <c r="BE1010" s="46">
        <v>0</v>
      </c>
      <c r="BF1010" s="46">
        <v>0</v>
      </c>
      <c r="BG1010" s="46">
        <v>1</v>
      </c>
      <c r="BH1010" s="46">
        <v>0</v>
      </c>
      <c r="BI1010" s="46">
        <v>0</v>
      </c>
      <c r="BJ1010" s="46">
        <v>0</v>
      </c>
      <c r="BK1010" s="46">
        <v>0</v>
      </c>
      <c r="BL1010" s="46">
        <v>0</v>
      </c>
      <c r="BM1010" s="46">
        <v>0</v>
      </c>
      <c r="BN1010" s="46">
        <v>0</v>
      </c>
    </row>
    <row r="1011" spans="1:66" ht="15" x14ac:dyDescent="0.4">
      <c r="A1011" t="s">
        <v>5858</v>
      </c>
      <c r="B1011" s="44" t="s">
        <v>48</v>
      </c>
      <c r="C1011" t="s">
        <v>5861</v>
      </c>
      <c r="D1011" t="s">
        <v>210</v>
      </c>
      <c r="E1011" t="s">
        <v>5860</v>
      </c>
      <c r="F1011" t="s">
        <v>5859</v>
      </c>
      <c r="G1011" t="s">
        <v>74</v>
      </c>
      <c r="H1011">
        <v>0</v>
      </c>
      <c r="I1011" s="60" t="s">
        <v>149</v>
      </c>
      <c r="J1011" s="33" t="s">
        <v>45</v>
      </c>
      <c r="K1011" s="46">
        <v>0</v>
      </c>
      <c r="L1011">
        <v>100</v>
      </c>
      <c r="M1011" t="s">
        <v>48</v>
      </c>
      <c r="N1011" s="46">
        <v>1</v>
      </c>
      <c r="O1011" s="46">
        <v>0</v>
      </c>
      <c r="P1011" s="46">
        <v>0</v>
      </c>
      <c r="Q1011" t="s">
        <v>48</v>
      </c>
      <c r="R1011" t="s">
        <v>48</v>
      </c>
      <c r="S1011" s="55" t="s">
        <v>11275</v>
      </c>
      <c r="T1011" t="s">
        <v>48</v>
      </c>
      <c r="U1011" s="55" t="s">
        <v>11275</v>
      </c>
      <c r="V1011" s="47">
        <v>1</v>
      </c>
      <c r="W1011" t="s">
        <v>48</v>
      </c>
      <c r="X1011" t="s">
        <v>48</v>
      </c>
      <c r="Y1011" t="s">
        <v>48</v>
      </c>
      <c r="Z1011">
        <v>0</v>
      </c>
      <c r="AA1011" t="s">
        <v>48</v>
      </c>
      <c r="AB1011" t="s">
        <v>48</v>
      </c>
      <c r="AC1011" t="s">
        <v>49</v>
      </c>
      <c r="AD1011" t="s">
        <v>93</v>
      </c>
      <c r="AE1011" t="s">
        <v>4532</v>
      </c>
      <c r="AF1011" t="s">
        <v>48</v>
      </c>
      <c r="AG1011" t="s">
        <v>48</v>
      </c>
      <c r="AH1011" t="s">
        <v>48</v>
      </c>
      <c r="AI1011" t="s">
        <v>48</v>
      </c>
      <c r="AJ1011" t="s">
        <v>48</v>
      </c>
      <c r="AK1011" t="s">
        <v>48</v>
      </c>
      <c r="AL1011" t="s">
        <v>48</v>
      </c>
      <c r="AM1011" t="s">
        <v>48</v>
      </c>
      <c r="AN1011" t="s">
        <v>48</v>
      </c>
      <c r="AO1011" t="s">
        <v>48</v>
      </c>
      <c r="AP1011" s="46">
        <v>0</v>
      </c>
      <c r="AQ1011" s="46">
        <v>0</v>
      </c>
      <c r="AR1011" s="46">
        <v>0</v>
      </c>
      <c r="AS1011" s="46">
        <v>0</v>
      </c>
      <c r="AT1011" s="46">
        <v>0</v>
      </c>
      <c r="AU1011" s="46">
        <v>0</v>
      </c>
      <c r="AV1011" s="46">
        <v>0</v>
      </c>
      <c r="AW1011" s="46">
        <v>0</v>
      </c>
      <c r="AX1011" s="46">
        <v>0</v>
      </c>
      <c r="AY1011" s="46">
        <v>0</v>
      </c>
      <c r="AZ1011" s="46">
        <v>0</v>
      </c>
      <c r="BA1011" s="46">
        <v>0</v>
      </c>
      <c r="BB1011" s="46">
        <v>0</v>
      </c>
      <c r="BC1011" s="46">
        <v>0</v>
      </c>
      <c r="BD1011" s="46">
        <v>0</v>
      </c>
      <c r="BE1011" s="46">
        <v>0</v>
      </c>
      <c r="BF1011" s="46">
        <v>0</v>
      </c>
      <c r="BG1011" s="46" t="s">
        <v>48</v>
      </c>
      <c r="BH1011" s="46">
        <v>0</v>
      </c>
      <c r="BI1011" s="46">
        <v>0</v>
      </c>
      <c r="BJ1011" s="46">
        <v>0</v>
      </c>
      <c r="BK1011" s="46">
        <v>0</v>
      </c>
      <c r="BL1011" s="46">
        <v>0</v>
      </c>
      <c r="BM1011" s="46">
        <v>0</v>
      </c>
      <c r="BN1011" s="46">
        <v>0</v>
      </c>
    </row>
    <row r="1012" spans="1:66" ht="15" x14ac:dyDescent="0.4">
      <c r="A1012" t="s">
        <v>10961</v>
      </c>
      <c r="B1012" t="s">
        <v>48</v>
      </c>
      <c r="C1012" t="s">
        <v>5653</v>
      </c>
      <c r="D1012" t="s">
        <v>396</v>
      </c>
      <c r="E1012" t="s">
        <v>10962</v>
      </c>
      <c r="F1012" t="s">
        <v>5869</v>
      </c>
      <c r="G1012" t="s">
        <v>47</v>
      </c>
      <c r="H1012">
        <v>0</v>
      </c>
      <c r="I1012" s="61" t="s">
        <v>11160</v>
      </c>
      <c r="J1012" s="33" t="s">
        <v>45</v>
      </c>
      <c r="K1012" s="46">
        <v>0</v>
      </c>
      <c r="L1012">
        <v>100</v>
      </c>
      <c r="M1012" t="s">
        <v>48</v>
      </c>
      <c r="N1012" s="46">
        <v>1</v>
      </c>
      <c r="O1012" s="46">
        <v>0</v>
      </c>
      <c r="P1012" s="46">
        <v>0</v>
      </c>
      <c r="Q1012" t="s">
        <v>48</v>
      </c>
      <c r="R1012" t="s">
        <v>48</v>
      </c>
      <c r="S1012" s="55" t="s">
        <v>11310</v>
      </c>
      <c r="T1012" t="s">
        <v>48</v>
      </c>
      <c r="U1012" s="55" t="s">
        <v>11310</v>
      </c>
      <c r="V1012" s="47">
        <v>0</v>
      </c>
      <c r="W1012" t="s">
        <v>48</v>
      </c>
      <c r="X1012" t="s">
        <v>48</v>
      </c>
      <c r="Y1012" t="s">
        <v>48</v>
      </c>
      <c r="Z1012">
        <v>0</v>
      </c>
      <c r="AA1012" t="s">
        <v>48</v>
      </c>
      <c r="AB1012" t="s">
        <v>48</v>
      </c>
      <c r="AC1012" t="s">
        <v>49</v>
      </c>
      <c r="AD1012" t="s">
        <v>93</v>
      </c>
      <c r="AE1012" t="s">
        <v>4532</v>
      </c>
      <c r="AF1012" t="s">
        <v>48</v>
      </c>
      <c r="AG1012" t="s">
        <v>48</v>
      </c>
      <c r="AH1012" t="s">
        <v>48</v>
      </c>
      <c r="AI1012" t="s">
        <v>48</v>
      </c>
      <c r="AJ1012" t="s">
        <v>48</v>
      </c>
      <c r="AK1012" t="s">
        <v>48</v>
      </c>
      <c r="AL1012" t="s">
        <v>48</v>
      </c>
      <c r="AM1012" t="s">
        <v>48</v>
      </c>
      <c r="AN1012" t="s">
        <v>48</v>
      </c>
      <c r="AO1012" t="s">
        <v>48</v>
      </c>
      <c r="AP1012" s="46">
        <v>0</v>
      </c>
      <c r="AQ1012" s="46">
        <v>0</v>
      </c>
      <c r="AR1012" s="46">
        <v>0</v>
      </c>
      <c r="AS1012" s="46">
        <v>0</v>
      </c>
      <c r="AT1012" s="46">
        <v>0</v>
      </c>
      <c r="AU1012" s="46">
        <v>0</v>
      </c>
      <c r="AV1012" s="46">
        <v>0</v>
      </c>
      <c r="AW1012" s="46">
        <v>0</v>
      </c>
      <c r="AX1012" s="46">
        <v>0</v>
      </c>
      <c r="AY1012" s="46">
        <v>0</v>
      </c>
      <c r="AZ1012" s="46">
        <v>0</v>
      </c>
      <c r="BA1012" s="46">
        <v>0</v>
      </c>
      <c r="BB1012" s="46">
        <v>0</v>
      </c>
      <c r="BC1012" s="46">
        <v>0</v>
      </c>
      <c r="BD1012" s="46">
        <v>0</v>
      </c>
      <c r="BE1012" s="46">
        <v>0</v>
      </c>
      <c r="BF1012" s="46">
        <v>0</v>
      </c>
      <c r="BG1012" s="46" t="s">
        <v>48</v>
      </c>
      <c r="BH1012" s="46">
        <v>0</v>
      </c>
      <c r="BI1012" s="46">
        <v>0</v>
      </c>
      <c r="BJ1012" s="46">
        <v>0</v>
      </c>
      <c r="BK1012" s="46">
        <v>0</v>
      </c>
      <c r="BL1012" s="46">
        <v>0</v>
      </c>
      <c r="BM1012" s="46">
        <v>0</v>
      </c>
      <c r="BN1012" s="46">
        <v>0</v>
      </c>
    </row>
    <row r="1013" spans="1:66" x14ac:dyDescent="0.35">
      <c r="A1013" t="s">
        <v>5925</v>
      </c>
      <c r="B1013" s="44" t="s">
        <v>48</v>
      </c>
      <c r="C1013" t="s">
        <v>1034</v>
      </c>
      <c r="D1013" t="s">
        <v>5927</v>
      </c>
      <c r="E1013" t="s">
        <v>7887</v>
      </c>
      <c r="F1013" t="s">
        <v>5869</v>
      </c>
      <c r="G1013" t="s">
        <v>74</v>
      </c>
      <c r="H1013">
        <v>0</v>
      </c>
      <c r="I1013" s="61">
        <v>44722</v>
      </c>
      <c r="J1013" s="33" t="s">
        <v>45</v>
      </c>
      <c r="K1013" s="46">
        <v>0</v>
      </c>
      <c r="L1013">
        <v>41.9</v>
      </c>
      <c r="M1013" t="s">
        <v>48</v>
      </c>
      <c r="N1013" s="46">
        <v>1</v>
      </c>
      <c r="O1013" s="46">
        <v>0</v>
      </c>
      <c r="P1013" s="46">
        <v>0</v>
      </c>
      <c r="Q1013" t="s">
        <v>48</v>
      </c>
      <c r="R1013" t="s">
        <v>48</v>
      </c>
      <c r="S1013" t="s">
        <v>5926</v>
      </c>
      <c r="T1013" t="s">
        <v>48</v>
      </c>
      <c r="U1013" t="s">
        <v>5926</v>
      </c>
      <c r="V1013" s="47">
        <v>1</v>
      </c>
      <c r="W1013" t="s">
        <v>48</v>
      </c>
      <c r="X1013" t="s">
        <v>48</v>
      </c>
      <c r="Y1013" t="s">
        <v>48</v>
      </c>
      <c r="Z1013">
        <v>0</v>
      </c>
      <c r="AA1013" t="s">
        <v>48</v>
      </c>
      <c r="AB1013" t="s">
        <v>48</v>
      </c>
      <c r="AC1013" t="s">
        <v>63</v>
      </c>
      <c r="AD1013" t="s">
        <v>93</v>
      </c>
      <c r="AE1013" s="40" t="s">
        <v>2471</v>
      </c>
      <c r="AF1013" t="s">
        <v>11061</v>
      </c>
      <c r="AG1013" t="s">
        <v>48</v>
      </c>
      <c r="AH1013" t="s">
        <v>48</v>
      </c>
      <c r="AI1013" t="s">
        <v>48</v>
      </c>
      <c r="AJ1013" t="s">
        <v>48</v>
      </c>
      <c r="AK1013" t="s">
        <v>48</v>
      </c>
      <c r="AL1013" t="s">
        <v>48</v>
      </c>
      <c r="AM1013" t="s">
        <v>48</v>
      </c>
      <c r="AN1013" t="s">
        <v>48</v>
      </c>
      <c r="AO1013" t="s">
        <v>48</v>
      </c>
      <c r="AP1013" s="46">
        <v>0</v>
      </c>
      <c r="AQ1013" s="46">
        <v>0</v>
      </c>
      <c r="AR1013" s="46">
        <v>0</v>
      </c>
      <c r="AS1013" s="46">
        <v>0</v>
      </c>
      <c r="AT1013" s="46">
        <v>0</v>
      </c>
      <c r="AU1013" s="46">
        <v>0</v>
      </c>
      <c r="AV1013" s="46">
        <v>0</v>
      </c>
      <c r="AW1013" s="46">
        <v>0</v>
      </c>
      <c r="AX1013" s="46">
        <v>0</v>
      </c>
      <c r="AY1013" s="46">
        <v>0</v>
      </c>
      <c r="AZ1013" s="46">
        <v>0</v>
      </c>
      <c r="BA1013" s="46">
        <v>0</v>
      </c>
      <c r="BB1013" s="46">
        <v>0</v>
      </c>
      <c r="BC1013" s="46">
        <v>0</v>
      </c>
      <c r="BD1013" s="46">
        <v>0</v>
      </c>
      <c r="BE1013" s="46">
        <v>0</v>
      </c>
      <c r="BF1013" s="46">
        <v>0</v>
      </c>
      <c r="BG1013" s="46" t="s">
        <v>48</v>
      </c>
      <c r="BH1013" s="46">
        <v>0</v>
      </c>
      <c r="BI1013" s="46">
        <v>0</v>
      </c>
      <c r="BJ1013" s="46">
        <v>0</v>
      </c>
      <c r="BK1013" s="46">
        <v>0</v>
      </c>
      <c r="BL1013" s="46">
        <v>0</v>
      </c>
      <c r="BM1013" s="46">
        <v>0</v>
      </c>
      <c r="BN1013" s="46">
        <v>0</v>
      </c>
    </row>
    <row r="1014" spans="1:66" x14ac:dyDescent="0.35">
      <c r="A1014" t="s">
        <v>5874</v>
      </c>
      <c r="B1014" s="44" t="s">
        <v>48</v>
      </c>
      <c r="C1014" t="s">
        <v>5377</v>
      </c>
      <c r="D1014" t="s">
        <v>221</v>
      </c>
      <c r="E1014" t="s">
        <v>5876</v>
      </c>
      <c r="F1014" t="s">
        <v>5875</v>
      </c>
      <c r="G1014" t="s">
        <v>47</v>
      </c>
      <c r="H1014">
        <v>0</v>
      </c>
      <c r="I1014" s="60" t="s">
        <v>51</v>
      </c>
      <c r="J1014" s="33" t="s">
        <v>45</v>
      </c>
      <c r="K1014" s="46">
        <v>1</v>
      </c>
      <c r="L1014">
        <v>100</v>
      </c>
      <c r="M1014" t="s">
        <v>48</v>
      </c>
      <c r="N1014" s="46">
        <v>1</v>
      </c>
      <c r="O1014" s="46">
        <v>0</v>
      </c>
      <c r="P1014" s="46">
        <v>0</v>
      </c>
      <c r="Q1014" t="s">
        <v>48</v>
      </c>
      <c r="R1014" t="s">
        <v>48</v>
      </c>
      <c r="S1014" t="s">
        <v>5877</v>
      </c>
      <c r="T1014" t="s">
        <v>5878</v>
      </c>
      <c r="U1014" t="s">
        <v>5877</v>
      </c>
      <c r="V1014" s="47">
        <v>0</v>
      </c>
      <c r="W1014" t="s">
        <v>48</v>
      </c>
      <c r="X1014" t="s">
        <v>48</v>
      </c>
      <c r="Y1014" t="s">
        <v>48</v>
      </c>
      <c r="Z1014">
        <v>0</v>
      </c>
      <c r="AA1014" t="s">
        <v>48</v>
      </c>
      <c r="AB1014">
        <v>2018</v>
      </c>
      <c r="AC1014" t="s">
        <v>49</v>
      </c>
      <c r="AD1014" t="s">
        <v>93</v>
      </c>
      <c r="AE1014" t="s">
        <v>4532</v>
      </c>
      <c r="AF1014" t="s">
        <v>48</v>
      </c>
      <c r="AG1014" t="s">
        <v>140</v>
      </c>
      <c r="AH1014" t="s">
        <v>93</v>
      </c>
      <c r="AI1014">
        <v>21936</v>
      </c>
      <c r="AJ1014">
        <v>1957</v>
      </c>
      <c r="AK1014" t="s">
        <v>9246</v>
      </c>
      <c r="AL1014" t="s">
        <v>9247</v>
      </c>
      <c r="AM1014">
        <v>0.54900000000000004</v>
      </c>
      <c r="AN1014">
        <v>0.11</v>
      </c>
      <c r="AO1014">
        <v>0.54900000000000004</v>
      </c>
      <c r="AP1014" s="46">
        <v>0</v>
      </c>
      <c r="AQ1014" s="46">
        <v>0</v>
      </c>
      <c r="AR1014" s="46">
        <v>0</v>
      </c>
      <c r="AS1014" s="46">
        <v>0</v>
      </c>
      <c r="AT1014" s="46">
        <v>0</v>
      </c>
      <c r="AU1014" s="46">
        <v>0</v>
      </c>
      <c r="AV1014" s="46">
        <v>0</v>
      </c>
      <c r="AW1014" s="46">
        <v>0</v>
      </c>
      <c r="AX1014" s="46">
        <v>0</v>
      </c>
      <c r="AY1014" s="46">
        <v>0</v>
      </c>
      <c r="AZ1014" s="46">
        <v>0</v>
      </c>
      <c r="BA1014" s="46">
        <v>0</v>
      </c>
      <c r="BB1014" s="46">
        <v>1</v>
      </c>
      <c r="BC1014" s="46">
        <v>0</v>
      </c>
      <c r="BD1014" s="46">
        <v>0</v>
      </c>
      <c r="BE1014" s="46">
        <v>0</v>
      </c>
      <c r="BF1014" s="46">
        <v>0</v>
      </c>
      <c r="BG1014" s="46">
        <v>1</v>
      </c>
      <c r="BH1014" s="46">
        <v>0</v>
      </c>
      <c r="BI1014" s="46">
        <v>0</v>
      </c>
      <c r="BJ1014" s="46">
        <v>0</v>
      </c>
      <c r="BK1014" s="46">
        <v>0</v>
      </c>
      <c r="BL1014" s="46">
        <v>0</v>
      </c>
      <c r="BM1014" s="46">
        <v>0</v>
      </c>
      <c r="BN1014" s="46">
        <v>0</v>
      </c>
    </row>
    <row r="1015" spans="1:66" x14ac:dyDescent="0.35">
      <c r="A1015" t="s">
        <v>5879</v>
      </c>
      <c r="B1015" t="s">
        <v>48</v>
      </c>
      <c r="C1015" t="s">
        <v>5885</v>
      </c>
      <c r="D1015" t="s">
        <v>5884</v>
      </c>
      <c r="E1015" t="s">
        <v>5881</v>
      </c>
      <c r="F1015" t="s">
        <v>5880</v>
      </c>
      <c r="G1015" t="s">
        <v>47</v>
      </c>
      <c r="H1015">
        <v>0</v>
      </c>
      <c r="I1015" s="60" t="s">
        <v>51</v>
      </c>
      <c r="J1015" s="33" t="s">
        <v>45</v>
      </c>
      <c r="K1015" s="46">
        <v>1</v>
      </c>
      <c r="L1015">
        <v>100</v>
      </c>
      <c r="M1015" t="s">
        <v>48</v>
      </c>
      <c r="N1015" s="46">
        <v>1</v>
      </c>
      <c r="O1015" s="46">
        <v>0</v>
      </c>
      <c r="P1015" s="46">
        <v>0</v>
      </c>
      <c r="Q1015" t="s">
        <v>48</v>
      </c>
      <c r="R1015" t="s">
        <v>48</v>
      </c>
      <c r="S1015" t="s">
        <v>5882</v>
      </c>
      <c r="T1015" t="s">
        <v>5883</v>
      </c>
      <c r="U1015" t="s">
        <v>5882</v>
      </c>
      <c r="V1015" s="47">
        <v>0</v>
      </c>
      <c r="W1015" t="s">
        <v>48</v>
      </c>
      <c r="X1015" t="s">
        <v>48</v>
      </c>
      <c r="Y1015" t="s">
        <v>48</v>
      </c>
      <c r="Z1015">
        <v>0</v>
      </c>
      <c r="AA1015" t="s">
        <v>48</v>
      </c>
      <c r="AB1015">
        <v>2018</v>
      </c>
      <c r="AC1015" t="s">
        <v>49</v>
      </c>
      <c r="AD1015" t="s">
        <v>93</v>
      </c>
      <c r="AE1015" t="s">
        <v>4532</v>
      </c>
      <c r="AF1015" t="s">
        <v>48</v>
      </c>
      <c r="AG1015" t="s">
        <v>112</v>
      </c>
      <c r="AH1015" t="s">
        <v>93</v>
      </c>
      <c r="AI1015">
        <v>21956</v>
      </c>
      <c r="AJ1015">
        <v>1983</v>
      </c>
      <c r="AK1015" t="s">
        <v>9248</v>
      </c>
      <c r="AL1015" t="s">
        <v>9249</v>
      </c>
      <c r="AM1015">
        <v>0.36899999999999999</v>
      </c>
      <c r="AN1015">
        <v>0.35499999999999998</v>
      </c>
      <c r="AO1015">
        <v>0.36899999999999999</v>
      </c>
      <c r="AP1015" s="46">
        <v>0</v>
      </c>
      <c r="AQ1015" s="46">
        <v>0</v>
      </c>
      <c r="AR1015" s="46">
        <v>0</v>
      </c>
      <c r="AS1015" s="46">
        <v>0</v>
      </c>
      <c r="AT1015" s="46">
        <v>0</v>
      </c>
      <c r="AU1015" s="46">
        <v>0</v>
      </c>
      <c r="AV1015" s="46">
        <v>0</v>
      </c>
      <c r="AW1015" s="46">
        <v>0</v>
      </c>
      <c r="AX1015" s="46">
        <v>0</v>
      </c>
      <c r="AY1015" s="46">
        <v>0</v>
      </c>
      <c r="AZ1015" s="46">
        <v>1</v>
      </c>
      <c r="BA1015" s="46">
        <v>0</v>
      </c>
      <c r="BB1015" s="46">
        <v>1</v>
      </c>
      <c r="BC1015" s="46">
        <v>0</v>
      </c>
      <c r="BD1015" s="46">
        <v>0</v>
      </c>
      <c r="BE1015" s="46">
        <v>0</v>
      </c>
      <c r="BF1015" s="46">
        <v>0</v>
      </c>
      <c r="BG1015" s="46">
        <v>1</v>
      </c>
      <c r="BH1015" s="46">
        <v>0</v>
      </c>
      <c r="BI1015" s="46">
        <v>0</v>
      </c>
      <c r="BJ1015" s="46">
        <v>0</v>
      </c>
      <c r="BK1015" s="46">
        <v>0</v>
      </c>
      <c r="BL1015" s="46">
        <v>0</v>
      </c>
      <c r="BM1015" s="46">
        <v>1</v>
      </c>
      <c r="BN1015" s="46">
        <v>0</v>
      </c>
    </row>
    <row r="1016" spans="1:66" x14ac:dyDescent="0.35">
      <c r="A1016" t="s">
        <v>5887</v>
      </c>
      <c r="B1016" t="s">
        <v>48</v>
      </c>
      <c r="C1016" t="s">
        <v>447</v>
      </c>
      <c r="D1016" t="s">
        <v>171</v>
      </c>
      <c r="E1016" t="s">
        <v>5888</v>
      </c>
      <c r="F1016" t="s">
        <v>5886</v>
      </c>
      <c r="G1016" t="s">
        <v>47</v>
      </c>
      <c r="H1016">
        <v>0</v>
      </c>
      <c r="I1016" s="60" t="s">
        <v>51</v>
      </c>
      <c r="J1016" s="33" t="s">
        <v>45</v>
      </c>
      <c r="K1016" s="46">
        <v>1</v>
      </c>
      <c r="L1016">
        <v>100</v>
      </c>
      <c r="M1016" t="s">
        <v>48</v>
      </c>
      <c r="N1016" s="46">
        <v>1</v>
      </c>
      <c r="O1016" s="46">
        <v>0</v>
      </c>
      <c r="P1016" s="46">
        <v>0</v>
      </c>
      <c r="Q1016" t="s">
        <v>48</v>
      </c>
      <c r="R1016" t="s">
        <v>48</v>
      </c>
      <c r="S1016" t="s">
        <v>5889</v>
      </c>
      <c r="T1016" t="s">
        <v>5890</v>
      </c>
      <c r="U1016" t="s">
        <v>5889</v>
      </c>
      <c r="V1016" s="47">
        <v>0</v>
      </c>
      <c r="W1016" t="s">
        <v>48</v>
      </c>
      <c r="X1016" t="s">
        <v>48</v>
      </c>
      <c r="Y1016" t="s">
        <v>48</v>
      </c>
      <c r="Z1016">
        <v>0</v>
      </c>
      <c r="AA1016" t="s">
        <v>48</v>
      </c>
      <c r="AB1016">
        <v>2008</v>
      </c>
      <c r="AC1016" t="s">
        <v>49</v>
      </c>
      <c r="AD1016" t="s">
        <v>93</v>
      </c>
      <c r="AE1016" t="s">
        <v>4532</v>
      </c>
      <c r="AF1016" t="s">
        <v>48</v>
      </c>
      <c r="AG1016" t="s">
        <v>112</v>
      </c>
      <c r="AH1016" t="s">
        <v>93</v>
      </c>
      <c r="AI1016">
        <v>20946</v>
      </c>
      <c r="AJ1016">
        <v>1959</v>
      </c>
      <c r="AK1016" t="s">
        <v>9250</v>
      </c>
      <c r="AL1016" t="s">
        <v>9251</v>
      </c>
      <c r="AM1016">
        <v>0.318</v>
      </c>
      <c r="AN1016">
        <v>0.39600000000000002</v>
      </c>
      <c r="AO1016">
        <v>0.318</v>
      </c>
      <c r="AP1016" s="46">
        <v>0</v>
      </c>
      <c r="AQ1016" s="46">
        <v>0</v>
      </c>
      <c r="AR1016" s="46">
        <v>0</v>
      </c>
      <c r="AS1016" s="46">
        <v>0</v>
      </c>
      <c r="AT1016" s="46">
        <v>0</v>
      </c>
      <c r="AU1016" s="46">
        <v>0</v>
      </c>
      <c r="AV1016" s="46">
        <v>0</v>
      </c>
      <c r="AW1016" s="46">
        <v>0</v>
      </c>
      <c r="AX1016" s="46">
        <v>0</v>
      </c>
      <c r="AY1016" s="46">
        <v>1</v>
      </c>
      <c r="AZ1016" s="46">
        <v>0</v>
      </c>
      <c r="BA1016" s="46">
        <v>0</v>
      </c>
      <c r="BB1016" s="46">
        <v>0</v>
      </c>
      <c r="BC1016" s="46">
        <v>0</v>
      </c>
      <c r="BD1016" s="46">
        <v>0</v>
      </c>
      <c r="BE1016" s="46">
        <v>0</v>
      </c>
      <c r="BF1016" s="46">
        <v>0</v>
      </c>
      <c r="BG1016" s="46">
        <v>1</v>
      </c>
      <c r="BH1016" s="46">
        <v>0</v>
      </c>
      <c r="BI1016" s="46">
        <v>0</v>
      </c>
      <c r="BJ1016" s="46">
        <v>0</v>
      </c>
      <c r="BK1016" s="46">
        <v>0</v>
      </c>
      <c r="BL1016" s="46">
        <v>0</v>
      </c>
      <c r="BM1016" s="46">
        <v>1</v>
      </c>
      <c r="BN1016" s="46">
        <v>0</v>
      </c>
    </row>
    <row r="1017" spans="1:66" x14ac:dyDescent="0.35">
      <c r="A1017" t="s">
        <v>11209</v>
      </c>
      <c r="B1017" s="44" t="s">
        <v>48</v>
      </c>
      <c r="C1017" t="s">
        <v>12300</v>
      </c>
      <c r="D1017" t="s">
        <v>396</v>
      </c>
      <c r="E1017" t="s">
        <v>11211</v>
      </c>
      <c r="F1017" t="s">
        <v>5886</v>
      </c>
      <c r="G1017" t="s">
        <v>74</v>
      </c>
      <c r="H1017">
        <v>0</v>
      </c>
      <c r="I1017" s="60" t="s">
        <v>11160</v>
      </c>
      <c r="J1017" s="33" t="s">
        <v>45</v>
      </c>
      <c r="K1017" s="46">
        <v>0</v>
      </c>
      <c r="L1017">
        <v>32.9</v>
      </c>
      <c r="M1017" t="s">
        <v>48</v>
      </c>
      <c r="N1017" s="46">
        <v>1</v>
      </c>
      <c r="O1017" s="46">
        <v>0</v>
      </c>
      <c r="P1017" s="46">
        <v>0</v>
      </c>
      <c r="Q1017" t="s">
        <v>48</v>
      </c>
      <c r="R1017" t="s">
        <v>48</v>
      </c>
      <c r="S1017" t="s">
        <v>48</v>
      </c>
      <c r="T1017" t="s">
        <v>48</v>
      </c>
      <c r="U1017" t="s">
        <v>48</v>
      </c>
      <c r="V1017" s="47">
        <v>1</v>
      </c>
      <c r="W1017" t="s">
        <v>11264</v>
      </c>
      <c r="X1017" t="s">
        <v>48</v>
      </c>
      <c r="Y1017" t="s">
        <v>48</v>
      </c>
      <c r="Z1017" t="s">
        <v>48</v>
      </c>
      <c r="AA1017" t="s">
        <v>11210</v>
      </c>
      <c r="AB1017" t="s">
        <v>48</v>
      </c>
      <c r="AC1017" t="s">
        <v>48</v>
      </c>
      <c r="AD1017" t="s">
        <v>48</v>
      </c>
      <c r="AE1017" t="s">
        <v>48</v>
      </c>
      <c r="AF1017" t="s">
        <v>48</v>
      </c>
      <c r="AG1017" t="s">
        <v>48</v>
      </c>
      <c r="AH1017" t="s">
        <v>48</v>
      </c>
      <c r="AI1017" t="s">
        <v>48</v>
      </c>
      <c r="AJ1017" t="s">
        <v>48</v>
      </c>
      <c r="AK1017" t="s">
        <v>48</v>
      </c>
      <c r="AL1017" t="s">
        <v>48</v>
      </c>
      <c r="AM1017" t="s">
        <v>48</v>
      </c>
      <c r="AN1017" t="s">
        <v>48</v>
      </c>
      <c r="AO1017" t="s">
        <v>48</v>
      </c>
      <c r="AP1017" s="46">
        <v>0</v>
      </c>
      <c r="AQ1017" s="46">
        <v>0</v>
      </c>
      <c r="AR1017" s="46">
        <v>0</v>
      </c>
      <c r="AS1017" s="46">
        <v>0</v>
      </c>
      <c r="AT1017" s="46">
        <v>0</v>
      </c>
      <c r="AU1017" s="46">
        <v>0</v>
      </c>
      <c r="AV1017" s="46">
        <v>0</v>
      </c>
      <c r="AW1017" s="46">
        <v>0</v>
      </c>
      <c r="AX1017" s="46">
        <v>0</v>
      </c>
      <c r="AY1017" s="46">
        <v>0</v>
      </c>
      <c r="AZ1017" s="46">
        <v>0</v>
      </c>
      <c r="BA1017" s="46">
        <v>0</v>
      </c>
      <c r="BB1017" s="46">
        <v>0</v>
      </c>
      <c r="BC1017" s="46">
        <v>0</v>
      </c>
      <c r="BD1017" s="46">
        <v>0</v>
      </c>
      <c r="BE1017" s="46">
        <v>0</v>
      </c>
      <c r="BF1017" s="46">
        <v>0</v>
      </c>
      <c r="BG1017" s="46" t="s">
        <v>48</v>
      </c>
      <c r="BH1017" s="46">
        <v>0</v>
      </c>
      <c r="BI1017" s="46">
        <v>0</v>
      </c>
      <c r="BJ1017" s="46">
        <v>0</v>
      </c>
      <c r="BK1017" s="46">
        <v>0</v>
      </c>
      <c r="BL1017" s="46">
        <v>0</v>
      </c>
      <c r="BM1017" s="46">
        <v>0</v>
      </c>
      <c r="BN1017" s="46">
        <v>0</v>
      </c>
    </row>
    <row r="1018" spans="1:66" ht="15" x14ac:dyDescent="0.4">
      <c r="A1018" t="s">
        <v>5896</v>
      </c>
      <c r="B1018" s="44" t="s">
        <v>48</v>
      </c>
      <c r="C1018" t="s">
        <v>5898</v>
      </c>
      <c r="D1018" t="s">
        <v>347</v>
      </c>
      <c r="E1018" t="s">
        <v>5897</v>
      </c>
      <c r="F1018" t="s">
        <v>5892</v>
      </c>
      <c r="G1018" t="s">
        <v>74</v>
      </c>
      <c r="H1018">
        <v>0</v>
      </c>
      <c r="I1018" s="60" t="s">
        <v>11160</v>
      </c>
      <c r="J1018" s="33" t="s">
        <v>45</v>
      </c>
      <c r="K1018" s="46">
        <v>0</v>
      </c>
      <c r="L1018">
        <v>69</v>
      </c>
      <c r="M1018" t="s">
        <v>48</v>
      </c>
      <c r="N1018" s="46">
        <v>1</v>
      </c>
      <c r="O1018" s="46">
        <v>0</v>
      </c>
      <c r="P1018" s="46">
        <v>0</v>
      </c>
      <c r="Q1018" t="s">
        <v>48</v>
      </c>
      <c r="R1018" t="s">
        <v>48</v>
      </c>
      <c r="S1018" s="55" t="s">
        <v>11276</v>
      </c>
      <c r="T1018" t="s">
        <v>48</v>
      </c>
      <c r="U1018" s="55" t="s">
        <v>11276</v>
      </c>
      <c r="V1018" s="47">
        <v>0</v>
      </c>
      <c r="W1018" t="s">
        <v>48</v>
      </c>
      <c r="X1018" t="s">
        <v>48</v>
      </c>
      <c r="Y1018" t="s">
        <v>48</v>
      </c>
      <c r="Z1018">
        <v>0</v>
      </c>
      <c r="AA1018" t="s">
        <v>48</v>
      </c>
      <c r="AB1018" t="s">
        <v>48</v>
      </c>
      <c r="AC1018" t="s">
        <v>49</v>
      </c>
      <c r="AD1018" t="s">
        <v>93</v>
      </c>
      <c r="AE1018" t="s">
        <v>4532</v>
      </c>
      <c r="AF1018" t="s">
        <v>48</v>
      </c>
      <c r="AG1018" t="s">
        <v>48</v>
      </c>
      <c r="AH1018" t="s">
        <v>48</v>
      </c>
      <c r="AI1018" t="s">
        <v>48</v>
      </c>
      <c r="AJ1018" t="s">
        <v>48</v>
      </c>
      <c r="AK1018" t="s">
        <v>48</v>
      </c>
      <c r="AL1018" t="s">
        <v>48</v>
      </c>
      <c r="AM1018" t="s">
        <v>48</v>
      </c>
      <c r="AN1018" t="s">
        <v>48</v>
      </c>
      <c r="AO1018" t="s">
        <v>48</v>
      </c>
      <c r="AP1018" s="46">
        <v>0</v>
      </c>
      <c r="AQ1018" s="46">
        <v>0</v>
      </c>
      <c r="AR1018" s="46">
        <v>0</v>
      </c>
      <c r="AS1018" s="46">
        <v>0</v>
      </c>
      <c r="AT1018" s="46">
        <v>0</v>
      </c>
      <c r="AU1018" s="46">
        <v>0</v>
      </c>
      <c r="AV1018" s="46">
        <v>0</v>
      </c>
      <c r="AW1018" s="46">
        <v>0</v>
      </c>
      <c r="AX1018" s="46">
        <v>0</v>
      </c>
      <c r="AY1018" s="46">
        <v>0</v>
      </c>
      <c r="AZ1018" s="46">
        <v>0</v>
      </c>
      <c r="BA1018" s="46">
        <v>0</v>
      </c>
      <c r="BB1018" s="46">
        <v>0</v>
      </c>
      <c r="BC1018" s="46">
        <v>0</v>
      </c>
      <c r="BD1018" s="46">
        <v>0</v>
      </c>
      <c r="BE1018" s="46">
        <v>0</v>
      </c>
      <c r="BF1018" s="46">
        <v>0</v>
      </c>
      <c r="BG1018" s="46" t="s">
        <v>48</v>
      </c>
      <c r="BH1018" s="46">
        <v>0</v>
      </c>
      <c r="BI1018" s="46">
        <v>0</v>
      </c>
      <c r="BJ1018" s="46">
        <v>0</v>
      </c>
      <c r="BK1018" s="46">
        <v>0</v>
      </c>
      <c r="BL1018" s="46">
        <v>0</v>
      </c>
      <c r="BM1018" s="46">
        <v>0</v>
      </c>
      <c r="BN1018" s="46">
        <v>0</v>
      </c>
    </row>
    <row r="1019" spans="1:66" x14ac:dyDescent="0.35">
      <c r="A1019" t="s">
        <v>5891</v>
      </c>
      <c r="B1019" s="44" t="s">
        <v>48</v>
      </c>
      <c r="C1019" t="s">
        <v>364</v>
      </c>
      <c r="D1019" t="s">
        <v>288</v>
      </c>
      <c r="E1019" t="s">
        <v>5893</v>
      </c>
      <c r="F1019" t="s">
        <v>5892</v>
      </c>
      <c r="G1019" t="s">
        <v>47</v>
      </c>
      <c r="H1019">
        <v>0</v>
      </c>
      <c r="I1019" s="60" t="s">
        <v>51</v>
      </c>
      <c r="J1019" s="33" t="s">
        <v>45</v>
      </c>
      <c r="K1019" s="46">
        <v>1</v>
      </c>
      <c r="L1019">
        <v>100</v>
      </c>
      <c r="M1019" t="s">
        <v>48</v>
      </c>
      <c r="N1019" s="46">
        <v>1</v>
      </c>
      <c r="O1019" s="46">
        <v>0</v>
      </c>
      <c r="P1019" s="46">
        <v>0</v>
      </c>
      <c r="Q1019" t="s">
        <v>48</v>
      </c>
      <c r="R1019" t="s">
        <v>48</v>
      </c>
      <c r="S1019" t="s">
        <v>5894</v>
      </c>
      <c r="T1019" t="s">
        <v>5895</v>
      </c>
      <c r="U1019" t="s">
        <v>5894</v>
      </c>
      <c r="V1019" s="47">
        <v>0</v>
      </c>
      <c r="W1019" t="s">
        <v>48</v>
      </c>
      <c r="X1019" t="s">
        <v>48</v>
      </c>
      <c r="Y1019" t="s">
        <v>48</v>
      </c>
      <c r="Z1019">
        <v>0</v>
      </c>
      <c r="AA1019" t="s">
        <v>48</v>
      </c>
      <c r="AB1019">
        <v>2010</v>
      </c>
      <c r="AC1019" t="s">
        <v>49</v>
      </c>
      <c r="AD1019" t="s">
        <v>93</v>
      </c>
      <c r="AE1019" t="s">
        <v>4532</v>
      </c>
      <c r="AF1019" t="s">
        <v>48</v>
      </c>
      <c r="AG1019" t="s">
        <v>140</v>
      </c>
      <c r="AH1019" t="s">
        <v>93</v>
      </c>
      <c r="AI1019">
        <v>21167</v>
      </c>
      <c r="AJ1019">
        <v>1948</v>
      </c>
      <c r="AK1019" t="s">
        <v>9252</v>
      </c>
      <c r="AL1019" t="s">
        <v>9253</v>
      </c>
      <c r="AM1019">
        <v>0.36499999999999999</v>
      </c>
      <c r="AN1019">
        <v>0.41699999999999998</v>
      </c>
      <c r="AO1019">
        <v>0.36499999999999999</v>
      </c>
      <c r="AP1019" s="46">
        <v>0</v>
      </c>
      <c r="AQ1019" s="46">
        <v>0</v>
      </c>
      <c r="AR1019" s="46">
        <v>0</v>
      </c>
      <c r="AS1019" s="46">
        <v>0</v>
      </c>
      <c r="AT1019" s="46">
        <v>0</v>
      </c>
      <c r="AU1019" s="46">
        <v>0</v>
      </c>
      <c r="AV1019" s="46">
        <v>0</v>
      </c>
      <c r="AW1019" s="46">
        <v>0</v>
      </c>
      <c r="AX1019" s="46">
        <v>0</v>
      </c>
      <c r="AY1019" s="46">
        <v>0</v>
      </c>
      <c r="AZ1019" s="46">
        <v>0</v>
      </c>
      <c r="BA1019" s="46">
        <v>0</v>
      </c>
      <c r="BB1019" s="46">
        <v>1</v>
      </c>
      <c r="BC1019" s="46">
        <v>0</v>
      </c>
      <c r="BD1019" s="46">
        <v>0</v>
      </c>
      <c r="BE1019" s="46">
        <v>0</v>
      </c>
      <c r="BF1019" s="46">
        <v>0</v>
      </c>
      <c r="BG1019" s="46">
        <v>1</v>
      </c>
      <c r="BH1019" s="46">
        <v>0</v>
      </c>
      <c r="BI1019" s="46">
        <v>0</v>
      </c>
      <c r="BJ1019" s="46">
        <v>0</v>
      </c>
      <c r="BK1019" s="46">
        <v>0</v>
      </c>
      <c r="BL1019" s="46">
        <v>0</v>
      </c>
      <c r="BM1019" s="46">
        <v>1</v>
      </c>
      <c r="BN1019" s="46">
        <v>0</v>
      </c>
    </row>
    <row r="1020" spans="1:66" ht="15" x14ac:dyDescent="0.4">
      <c r="A1020" t="s">
        <v>5904</v>
      </c>
      <c r="B1020" s="44" t="s">
        <v>48</v>
      </c>
      <c r="C1020" t="s">
        <v>5906</v>
      </c>
      <c r="D1020" t="s">
        <v>237</v>
      </c>
      <c r="E1020" t="s">
        <v>5905</v>
      </c>
      <c r="F1020" t="s">
        <v>5903</v>
      </c>
      <c r="G1020" t="s">
        <v>74</v>
      </c>
      <c r="H1020">
        <v>0</v>
      </c>
      <c r="I1020" s="60" t="s">
        <v>11160</v>
      </c>
      <c r="J1020" s="33" t="s">
        <v>45</v>
      </c>
      <c r="K1020" s="46">
        <v>0</v>
      </c>
      <c r="L1020">
        <v>63</v>
      </c>
      <c r="M1020" t="s">
        <v>48</v>
      </c>
      <c r="N1020" s="46">
        <v>1</v>
      </c>
      <c r="O1020" s="46">
        <v>0</v>
      </c>
      <c r="P1020" s="46">
        <v>0</v>
      </c>
      <c r="Q1020" t="s">
        <v>48</v>
      </c>
      <c r="R1020" t="s">
        <v>48</v>
      </c>
      <c r="S1020" s="55" t="s">
        <v>11277</v>
      </c>
      <c r="T1020" t="s">
        <v>48</v>
      </c>
      <c r="U1020" s="55" t="s">
        <v>11277</v>
      </c>
      <c r="V1020" s="47">
        <v>0</v>
      </c>
      <c r="W1020" t="s">
        <v>48</v>
      </c>
      <c r="X1020" t="s">
        <v>48</v>
      </c>
      <c r="Y1020" t="s">
        <v>48</v>
      </c>
      <c r="Z1020">
        <v>0</v>
      </c>
      <c r="AA1020" t="s">
        <v>48</v>
      </c>
      <c r="AB1020" t="s">
        <v>48</v>
      </c>
      <c r="AC1020" t="s">
        <v>49</v>
      </c>
      <c r="AD1020" t="s">
        <v>93</v>
      </c>
      <c r="AE1020" t="s">
        <v>4532</v>
      </c>
      <c r="AF1020" t="s">
        <v>48</v>
      </c>
      <c r="AG1020" t="s">
        <v>48</v>
      </c>
      <c r="AH1020" t="s">
        <v>48</v>
      </c>
      <c r="AI1020" t="s">
        <v>48</v>
      </c>
      <c r="AJ1020" t="s">
        <v>48</v>
      </c>
      <c r="AK1020" t="s">
        <v>48</v>
      </c>
      <c r="AL1020" t="s">
        <v>48</v>
      </c>
      <c r="AM1020" t="s">
        <v>48</v>
      </c>
      <c r="AN1020" t="s">
        <v>48</v>
      </c>
      <c r="AO1020" t="s">
        <v>48</v>
      </c>
      <c r="AP1020" s="46">
        <v>0</v>
      </c>
      <c r="AQ1020" s="46">
        <v>0</v>
      </c>
      <c r="AR1020" s="46">
        <v>0</v>
      </c>
      <c r="AS1020" s="46">
        <v>0</v>
      </c>
      <c r="AT1020" s="46">
        <v>0</v>
      </c>
      <c r="AU1020" s="46">
        <v>0</v>
      </c>
      <c r="AV1020" s="46">
        <v>0</v>
      </c>
      <c r="AW1020" s="46">
        <v>0</v>
      </c>
      <c r="AX1020" s="46">
        <v>0</v>
      </c>
      <c r="AY1020" s="46">
        <v>0</v>
      </c>
      <c r="AZ1020" s="46">
        <v>0</v>
      </c>
      <c r="BA1020" s="46">
        <v>0</v>
      </c>
      <c r="BB1020" s="46">
        <v>0</v>
      </c>
      <c r="BC1020" s="46">
        <v>0</v>
      </c>
      <c r="BD1020" s="46">
        <v>0</v>
      </c>
      <c r="BE1020" s="46">
        <v>0</v>
      </c>
      <c r="BF1020" s="46">
        <v>0</v>
      </c>
      <c r="BG1020" s="46" t="s">
        <v>48</v>
      </c>
      <c r="BH1020" s="46">
        <v>0</v>
      </c>
      <c r="BI1020" s="46">
        <v>0</v>
      </c>
      <c r="BJ1020" s="46">
        <v>0</v>
      </c>
      <c r="BK1020" s="46">
        <v>0</v>
      </c>
      <c r="BL1020" s="46">
        <v>0</v>
      </c>
      <c r="BM1020" s="46">
        <v>0</v>
      </c>
      <c r="BN1020" s="46">
        <v>0</v>
      </c>
    </row>
    <row r="1021" spans="1:66" x14ac:dyDescent="0.35">
      <c r="A1021" t="s">
        <v>5916</v>
      </c>
      <c r="B1021" t="s">
        <v>48</v>
      </c>
      <c r="C1021" t="s">
        <v>5919</v>
      </c>
      <c r="D1021" t="s">
        <v>1635</v>
      </c>
      <c r="E1021" t="s">
        <v>5917</v>
      </c>
      <c r="F1021" t="s">
        <v>5903</v>
      </c>
      <c r="G1021" t="s">
        <v>47</v>
      </c>
      <c r="H1021">
        <v>0</v>
      </c>
      <c r="I1021" s="60" t="s">
        <v>125</v>
      </c>
      <c r="J1021" s="33" t="s">
        <v>45</v>
      </c>
      <c r="K1021" s="46">
        <v>0</v>
      </c>
      <c r="L1021">
        <v>58.7</v>
      </c>
      <c r="M1021" t="s">
        <v>48</v>
      </c>
      <c r="N1021" s="46">
        <v>1</v>
      </c>
      <c r="O1021" s="46">
        <v>0</v>
      </c>
      <c r="P1021" s="46">
        <v>0</v>
      </c>
      <c r="Q1021" t="s">
        <v>48</v>
      </c>
      <c r="R1021" t="s">
        <v>48</v>
      </c>
      <c r="S1021" t="s">
        <v>5918</v>
      </c>
      <c r="T1021" t="s">
        <v>48</v>
      </c>
      <c r="U1021" t="s">
        <v>5918</v>
      </c>
      <c r="V1021" s="47">
        <v>1</v>
      </c>
      <c r="W1021" t="s">
        <v>48</v>
      </c>
      <c r="X1021" t="s">
        <v>48</v>
      </c>
      <c r="Y1021" t="s">
        <v>48</v>
      </c>
      <c r="Z1021">
        <v>0</v>
      </c>
      <c r="AA1021" t="s">
        <v>48</v>
      </c>
      <c r="AB1021" t="s">
        <v>48</v>
      </c>
      <c r="AC1021" t="s">
        <v>49</v>
      </c>
      <c r="AD1021" t="s">
        <v>93</v>
      </c>
      <c r="AE1021" t="s">
        <v>4532</v>
      </c>
      <c r="AF1021" t="s">
        <v>48</v>
      </c>
      <c r="AG1021" t="s">
        <v>48</v>
      </c>
      <c r="AH1021" t="s">
        <v>48</v>
      </c>
      <c r="AI1021" t="s">
        <v>48</v>
      </c>
      <c r="AJ1021" t="s">
        <v>48</v>
      </c>
      <c r="AK1021" t="s">
        <v>48</v>
      </c>
      <c r="AL1021" t="s">
        <v>48</v>
      </c>
      <c r="AM1021" t="s">
        <v>48</v>
      </c>
      <c r="AN1021" t="s">
        <v>48</v>
      </c>
      <c r="AO1021" t="s">
        <v>48</v>
      </c>
      <c r="AP1021" s="46">
        <v>0</v>
      </c>
      <c r="AQ1021" s="46">
        <v>0</v>
      </c>
      <c r="AR1021" s="46">
        <v>0</v>
      </c>
      <c r="AS1021" s="46">
        <v>0</v>
      </c>
      <c r="AT1021" s="46">
        <v>0</v>
      </c>
      <c r="AU1021" s="46">
        <v>0</v>
      </c>
      <c r="AV1021" s="46">
        <v>0</v>
      </c>
      <c r="AW1021" s="46">
        <v>0</v>
      </c>
      <c r="AX1021" s="46">
        <v>0</v>
      </c>
      <c r="AY1021" s="46">
        <v>0</v>
      </c>
      <c r="AZ1021" s="46">
        <v>0</v>
      </c>
      <c r="BA1021" s="46">
        <v>0</v>
      </c>
      <c r="BB1021" s="46">
        <v>0</v>
      </c>
      <c r="BC1021" s="46">
        <v>0</v>
      </c>
      <c r="BD1021" s="46">
        <v>0</v>
      </c>
      <c r="BE1021" s="46">
        <v>0</v>
      </c>
      <c r="BF1021" s="46">
        <v>0</v>
      </c>
      <c r="BG1021" s="46" t="s">
        <v>48</v>
      </c>
      <c r="BH1021" s="46">
        <v>0</v>
      </c>
      <c r="BI1021" s="46">
        <v>0</v>
      </c>
      <c r="BJ1021" s="46">
        <v>0</v>
      </c>
      <c r="BK1021" s="46">
        <v>0</v>
      </c>
      <c r="BL1021" s="46">
        <v>0</v>
      </c>
      <c r="BM1021" s="46">
        <v>0</v>
      </c>
      <c r="BN1021" s="46">
        <v>0</v>
      </c>
    </row>
    <row r="1022" spans="1:66" x14ac:dyDescent="0.35">
      <c r="A1022" t="s">
        <v>5976</v>
      </c>
      <c r="B1022" t="s">
        <v>48</v>
      </c>
      <c r="C1022" t="s">
        <v>1417</v>
      </c>
      <c r="D1022" t="s">
        <v>2183</v>
      </c>
      <c r="E1022" t="s">
        <v>5977</v>
      </c>
      <c r="F1022" t="s">
        <v>5971</v>
      </c>
      <c r="G1022" t="s">
        <v>47</v>
      </c>
      <c r="H1022">
        <v>0</v>
      </c>
      <c r="I1022" s="61" t="s">
        <v>11160</v>
      </c>
      <c r="J1022" s="33" t="s">
        <v>45</v>
      </c>
      <c r="K1022" s="46">
        <v>0</v>
      </c>
      <c r="L1022">
        <v>100</v>
      </c>
      <c r="M1022" t="s">
        <v>48</v>
      </c>
      <c r="N1022" s="46">
        <v>1</v>
      </c>
      <c r="O1022" s="46">
        <v>0</v>
      </c>
      <c r="P1022" s="46">
        <v>0</v>
      </c>
      <c r="Q1022" t="s">
        <v>48</v>
      </c>
      <c r="R1022" t="s">
        <v>48</v>
      </c>
      <c r="S1022" t="s">
        <v>11323</v>
      </c>
      <c r="T1022" t="s">
        <v>48</v>
      </c>
      <c r="U1022" t="s">
        <v>5978</v>
      </c>
      <c r="V1022" s="47">
        <v>0</v>
      </c>
      <c r="W1022" t="s">
        <v>48</v>
      </c>
      <c r="X1022" t="s">
        <v>48</v>
      </c>
      <c r="Y1022" t="s">
        <v>48</v>
      </c>
      <c r="Z1022">
        <v>0</v>
      </c>
      <c r="AA1022" t="s">
        <v>48</v>
      </c>
      <c r="AB1022" t="s">
        <v>48</v>
      </c>
      <c r="AC1022" t="s">
        <v>49</v>
      </c>
      <c r="AD1022" t="s">
        <v>93</v>
      </c>
      <c r="AE1022" t="s">
        <v>2471</v>
      </c>
      <c r="AF1022" t="s">
        <v>48</v>
      </c>
      <c r="AG1022" t="s">
        <v>48</v>
      </c>
      <c r="AH1022" t="s">
        <v>48</v>
      </c>
      <c r="AI1022" t="s">
        <v>48</v>
      </c>
      <c r="AJ1022" t="s">
        <v>48</v>
      </c>
      <c r="AK1022" t="s">
        <v>48</v>
      </c>
      <c r="AL1022" t="s">
        <v>48</v>
      </c>
      <c r="AM1022" t="s">
        <v>48</v>
      </c>
      <c r="AN1022" t="s">
        <v>48</v>
      </c>
      <c r="AO1022" t="s">
        <v>48</v>
      </c>
      <c r="AP1022" s="46">
        <v>0</v>
      </c>
      <c r="AQ1022" s="46">
        <v>0</v>
      </c>
      <c r="AR1022" s="46">
        <v>0</v>
      </c>
      <c r="AS1022" s="46">
        <v>0</v>
      </c>
      <c r="AT1022" s="46">
        <v>0</v>
      </c>
      <c r="AU1022" s="46">
        <v>0</v>
      </c>
      <c r="AV1022" s="46">
        <v>0</v>
      </c>
      <c r="AW1022" s="46">
        <v>0</v>
      </c>
      <c r="AX1022" s="46">
        <v>0</v>
      </c>
      <c r="AY1022" s="46">
        <v>0</v>
      </c>
      <c r="AZ1022" s="46">
        <v>0</v>
      </c>
      <c r="BA1022" s="46">
        <v>0</v>
      </c>
      <c r="BB1022" s="46">
        <v>0</v>
      </c>
      <c r="BC1022" s="46">
        <v>0</v>
      </c>
      <c r="BD1022" s="46">
        <v>0</v>
      </c>
      <c r="BE1022" s="46">
        <v>0</v>
      </c>
      <c r="BF1022" s="46">
        <v>0</v>
      </c>
      <c r="BG1022" s="46" t="s">
        <v>48</v>
      </c>
      <c r="BH1022" s="46">
        <v>0</v>
      </c>
      <c r="BI1022" s="46">
        <v>0</v>
      </c>
      <c r="BJ1022" s="46">
        <v>0</v>
      </c>
      <c r="BK1022" s="46">
        <v>0</v>
      </c>
      <c r="BL1022" s="46">
        <v>0</v>
      </c>
      <c r="BM1022" s="46">
        <v>0</v>
      </c>
      <c r="BN1022" s="46">
        <v>0</v>
      </c>
    </row>
    <row r="1023" spans="1:66" x14ac:dyDescent="0.35">
      <c r="A1023" t="s">
        <v>5970</v>
      </c>
      <c r="B1023" s="44" t="s">
        <v>48</v>
      </c>
      <c r="C1023" t="s">
        <v>5975</v>
      </c>
      <c r="D1023" t="s">
        <v>268</v>
      </c>
      <c r="E1023" t="s">
        <v>5972</v>
      </c>
      <c r="F1023" t="s">
        <v>5971</v>
      </c>
      <c r="G1023" t="s">
        <v>74</v>
      </c>
      <c r="H1023">
        <v>0</v>
      </c>
      <c r="I1023" s="60" t="s">
        <v>51</v>
      </c>
      <c r="J1023" s="33" t="s">
        <v>45</v>
      </c>
      <c r="K1023" s="46">
        <v>1</v>
      </c>
      <c r="L1023">
        <v>100</v>
      </c>
      <c r="M1023" t="s">
        <v>48</v>
      </c>
      <c r="N1023" s="46">
        <v>1</v>
      </c>
      <c r="O1023" s="46">
        <v>0</v>
      </c>
      <c r="P1023" s="46">
        <v>0</v>
      </c>
      <c r="Q1023" t="s">
        <v>48</v>
      </c>
      <c r="R1023" t="s">
        <v>48</v>
      </c>
      <c r="S1023" t="s">
        <v>5973</v>
      </c>
      <c r="T1023" t="s">
        <v>5974</v>
      </c>
      <c r="U1023" t="s">
        <v>5973</v>
      </c>
      <c r="V1023" s="47">
        <v>0</v>
      </c>
      <c r="W1023" t="s">
        <v>48</v>
      </c>
      <c r="X1023" t="s">
        <v>48</v>
      </c>
      <c r="Y1023" t="s">
        <v>48</v>
      </c>
      <c r="Z1023">
        <v>0</v>
      </c>
      <c r="AA1023" t="s">
        <v>48</v>
      </c>
      <c r="AB1023">
        <v>2010</v>
      </c>
      <c r="AC1023" t="s">
        <v>49</v>
      </c>
      <c r="AD1023" t="s">
        <v>93</v>
      </c>
      <c r="AE1023" t="s">
        <v>4532</v>
      </c>
      <c r="AF1023" t="s">
        <v>48</v>
      </c>
      <c r="AG1023" t="s">
        <v>633</v>
      </c>
      <c r="AH1023" t="s">
        <v>426</v>
      </c>
      <c r="AI1023">
        <v>21172</v>
      </c>
      <c r="AJ1023">
        <v>1961</v>
      </c>
      <c r="AK1023" t="s">
        <v>9256</v>
      </c>
      <c r="AL1023" t="s">
        <v>9257</v>
      </c>
      <c r="AM1023">
        <v>-0.38800000000000001</v>
      </c>
      <c r="AN1023">
        <v>-0.26700000000000002</v>
      </c>
      <c r="AO1023">
        <v>-0.38800000000000001</v>
      </c>
      <c r="AP1023" s="46">
        <v>0</v>
      </c>
      <c r="AQ1023" s="46">
        <v>0</v>
      </c>
      <c r="AR1023" s="46">
        <v>0</v>
      </c>
      <c r="AS1023" s="46">
        <v>0</v>
      </c>
      <c r="AT1023" s="46">
        <v>1</v>
      </c>
      <c r="AU1023" s="46">
        <v>0</v>
      </c>
      <c r="AV1023" s="46">
        <v>0</v>
      </c>
      <c r="AW1023" s="46">
        <v>0</v>
      </c>
      <c r="AX1023" s="46">
        <v>0</v>
      </c>
      <c r="AY1023" s="46">
        <v>0</v>
      </c>
      <c r="AZ1023" s="46">
        <v>0</v>
      </c>
      <c r="BA1023" s="46">
        <v>0</v>
      </c>
      <c r="BB1023" s="46">
        <v>0</v>
      </c>
      <c r="BC1023" s="46">
        <v>0</v>
      </c>
      <c r="BD1023" s="46">
        <v>0</v>
      </c>
      <c r="BE1023" s="46">
        <v>0</v>
      </c>
      <c r="BF1023" s="46">
        <v>0</v>
      </c>
      <c r="BG1023" s="46" t="s">
        <v>48</v>
      </c>
      <c r="BH1023" s="46">
        <v>0</v>
      </c>
      <c r="BI1023" s="46">
        <v>0</v>
      </c>
      <c r="BJ1023" s="46">
        <v>0</v>
      </c>
      <c r="BK1023" s="46">
        <v>0</v>
      </c>
      <c r="BL1023" s="46">
        <v>0</v>
      </c>
      <c r="BM1023" s="46">
        <v>0</v>
      </c>
      <c r="BN1023" s="46">
        <v>0</v>
      </c>
    </row>
    <row r="1024" spans="1:66" ht="15" x14ac:dyDescent="0.4">
      <c r="A1024" t="s">
        <v>5991</v>
      </c>
      <c r="B1024" t="s">
        <v>48</v>
      </c>
      <c r="C1024" t="s">
        <v>5994</v>
      </c>
      <c r="D1024" t="s">
        <v>5993</v>
      </c>
      <c r="E1024" t="s">
        <v>5992</v>
      </c>
      <c r="F1024" t="s">
        <v>5980</v>
      </c>
      <c r="G1024" t="s">
        <v>47</v>
      </c>
      <c r="H1024">
        <v>0</v>
      </c>
      <c r="I1024" s="60" t="s">
        <v>11160</v>
      </c>
      <c r="J1024" s="33" t="s">
        <v>45</v>
      </c>
      <c r="K1024" s="46">
        <v>0</v>
      </c>
      <c r="L1024" t="s">
        <v>48</v>
      </c>
      <c r="M1024" t="s">
        <v>48</v>
      </c>
      <c r="N1024" s="46">
        <v>1</v>
      </c>
      <c r="O1024" s="46">
        <v>0</v>
      </c>
      <c r="P1024" s="46">
        <v>0</v>
      </c>
      <c r="Q1024" t="s">
        <v>48</v>
      </c>
      <c r="R1024" t="s">
        <v>48</v>
      </c>
      <c r="S1024" s="55" t="s">
        <v>11241</v>
      </c>
      <c r="T1024" t="s">
        <v>48</v>
      </c>
      <c r="U1024" s="55" t="s">
        <v>11241</v>
      </c>
      <c r="V1024" s="47">
        <v>0</v>
      </c>
      <c r="W1024" t="s">
        <v>48</v>
      </c>
      <c r="X1024" t="s">
        <v>48</v>
      </c>
      <c r="Y1024" t="s">
        <v>48</v>
      </c>
      <c r="Z1024">
        <v>0</v>
      </c>
      <c r="AA1024" t="s">
        <v>48</v>
      </c>
      <c r="AB1024" t="s">
        <v>48</v>
      </c>
      <c r="AC1024" t="s">
        <v>49</v>
      </c>
      <c r="AD1024" t="s">
        <v>93</v>
      </c>
      <c r="AE1024" t="s">
        <v>977</v>
      </c>
      <c r="AF1024" t="s">
        <v>48</v>
      </c>
      <c r="AG1024" t="s">
        <v>48</v>
      </c>
      <c r="AH1024" t="s">
        <v>48</v>
      </c>
      <c r="AI1024" t="s">
        <v>48</v>
      </c>
      <c r="AJ1024" t="s">
        <v>48</v>
      </c>
      <c r="AK1024" t="s">
        <v>48</v>
      </c>
      <c r="AL1024" t="s">
        <v>48</v>
      </c>
      <c r="AM1024" t="s">
        <v>48</v>
      </c>
      <c r="AN1024" t="s">
        <v>48</v>
      </c>
      <c r="AO1024" t="s">
        <v>48</v>
      </c>
      <c r="AP1024" s="46">
        <v>0</v>
      </c>
      <c r="AQ1024" s="46">
        <v>0</v>
      </c>
      <c r="AR1024" s="46">
        <v>0</v>
      </c>
      <c r="AS1024" s="46">
        <v>0</v>
      </c>
      <c r="AT1024" s="46">
        <v>0</v>
      </c>
      <c r="AU1024" s="46">
        <v>0</v>
      </c>
      <c r="AV1024" s="46">
        <v>0</v>
      </c>
      <c r="AW1024" s="46">
        <v>0</v>
      </c>
      <c r="AX1024" s="46">
        <v>0</v>
      </c>
      <c r="AY1024" s="46">
        <v>0</v>
      </c>
      <c r="AZ1024" s="46">
        <v>0</v>
      </c>
      <c r="BA1024" s="46">
        <v>0</v>
      </c>
      <c r="BB1024" s="46">
        <v>0</v>
      </c>
      <c r="BC1024" s="46">
        <v>0</v>
      </c>
      <c r="BD1024" s="46">
        <v>0</v>
      </c>
      <c r="BE1024" s="46">
        <v>0</v>
      </c>
      <c r="BF1024" s="46">
        <v>0</v>
      </c>
      <c r="BG1024" s="46" t="s">
        <v>48</v>
      </c>
      <c r="BH1024" s="46">
        <v>0</v>
      </c>
      <c r="BI1024" s="46">
        <v>0</v>
      </c>
      <c r="BJ1024" s="46">
        <v>0</v>
      </c>
      <c r="BK1024" s="46">
        <v>0</v>
      </c>
      <c r="BL1024" s="46">
        <v>0</v>
      </c>
      <c r="BM1024" s="46">
        <v>0</v>
      </c>
      <c r="BN1024" s="46">
        <v>0</v>
      </c>
    </row>
    <row r="1025" spans="1:66" x14ac:dyDescent="0.35">
      <c r="A1025" t="s">
        <v>6004</v>
      </c>
      <c r="B1025" s="44" t="s">
        <v>48</v>
      </c>
      <c r="C1025" t="s">
        <v>6007</v>
      </c>
      <c r="D1025" t="s">
        <v>898</v>
      </c>
      <c r="E1025" t="s">
        <v>6005</v>
      </c>
      <c r="F1025" t="s">
        <v>5980</v>
      </c>
      <c r="G1025" t="s">
        <v>74</v>
      </c>
      <c r="H1025">
        <v>0</v>
      </c>
      <c r="I1025" s="60" t="s">
        <v>125</v>
      </c>
      <c r="J1025" s="33" t="s">
        <v>45</v>
      </c>
      <c r="K1025" s="46">
        <v>0</v>
      </c>
      <c r="L1025">
        <v>54</v>
      </c>
      <c r="M1025" t="s">
        <v>48</v>
      </c>
      <c r="N1025" s="46">
        <v>1</v>
      </c>
      <c r="O1025" s="46">
        <v>0</v>
      </c>
      <c r="P1025" s="46">
        <v>0</v>
      </c>
      <c r="Q1025" t="s">
        <v>48</v>
      </c>
      <c r="R1025" t="s">
        <v>48</v>
      </c>
      <c r="S1025" t="s">
        <v>6006</v>
      </c>
      <c r="T1025" t="s">
        <v>48</v>
      </c>
      <c r="U1025" t="s">
        <v>6006</v>
      </c>
      <c r="V1025" s="47">
        <v>0</v>
      </c>
      <c r="W1025" t="s">
        <v>48</v>
      </c>
      <c r="X1025" t="s">
        <v>48</v>
      </c>
      <c r="Y1025" t="s">
        <v>48</v>
      </c>
      <c r="Z1025">
        <v>0</v>
      </c>
      <c r="AA1025" t="s">
        <v>48</v>
      </c>
      <c r="AB1025" t="s">
        <v>48</v>
      </c>
      <c r="AC1025" t="s">
        <v>49</v>
      </c>
      <c r="AD1025" t="s">
        <v>93</v>
      </c>
      <c r="AE1025" t="s">
        <v>4532</v>
      </c>
      <c r="AF1025" t="s">
        <v>48</v>
      </c>
      <c r="AG1025" t="s">
        <v>48</v>
      </c>
      <c r="AH1025" t="s">
        <v>48</v>
      </c>
      <c r="AI1025" t="s">
        <v>48</v>
      </c>
      <c r="AJ1025" t="s">
        <v>48</v>
      </c>
      <c r="AK1025" t="s">
        <v>48</v>
      </c>
      <c r="AL1025" t="s">
        <v>48</v>
      </c>
      <c r="AM1025" t="s">
        <v>48</v>
      </c>
      <c r="AN1025" t="s">
        <v>48</v>
      </c>
      <c r="AO1025" t="s">
        <v>48</v>
      </c>
      <c r="AP1025" s="46">
        <v>0</v>
      </c>
      <c r="AQ1025" s="46">
        <v>0</v>
      </c>
      <c r="AR1025" s="46">
        <v>0</v>
      </c>
      <c r="AS1025" s="46">
        <v>0</v>
      </c>
      <c r="AT1025" s="46">
        <v>0</v>
      </c>
      <c r="AU1025" s="46">
        <v>0</v>
      </c>
      <c r="AV1025" s="46">
        <v>0</v>
      </c>
      <c r="AW1025" s="46">
        <v>0</v>
      </c>
      <c r="AX1025" s="46">
        <v>0</v>
      </c>
      <c r="AY1025" s="46">
        <v>0</v>
      </c>
      <c r="AZ1025" s="46">
        <v>0</v>
      </c>
      <c r="BA1025" s="46">
        <v>0</v>
      </c>
      <c r="BB1025" s="46">
        <v>0</v>
      </c>
      <c r="BC1025" s="46">
        <v>0</v>
      </c>
      <c r="BD1025" s="46">
        <v>0</v>
      </c>
      <c r="BE1025" s="46">
        <v>0</v>
      </c>
      <c r="BF1025" s="46">
        <v>0</v>
      </c>
      <c r="BG1025" s="46" t="s">
        <v>48</v>
      </c>
      <c r="BH1025" s="46">
        <v>0</v>
      </c>
      <c r="BI1025" s="46">
        <v>0</v>
      </c>
      <c r="BJ1025" s="46">
        <v>0</v>
      </c>
      <c r="BK1025" s="46">
        <v>0</v>
      </c>
      <c r="BL1025" s="46">
        <v>0</v>
      </c>
      <c r="BM1025" s="46">
        <v>0</v>
      </c>
      <c r="BN1025" s="46">
        <v>0</v>
      </c>
    </row>
    <row r="1026" spans="1:66" x14ac:dyDescent="0.35">
      <c r="A1026" t="s">
        <v>6032</v>
      </c>
      <c r="B1026" s="44" t="s">
        <v>48</v>
      </c>
      <c r="C1026" t="s">
        <v>3310</v>
      </c>
      <c r="D1026" t="s">
        <v>5000</v>
      </c>
      <c r="E1026" t="s">
        <v>6033</v>
      </c>
      <c r="F1026" t="s">
        <v>6031</v>
      </c>
      <c r="G1026" t="s">
        <v>74</v>
      </c>
      <c r="H1026">
        <v>0</v>
      </c>
      <c r="I1026" s="60" t="s">
        <v>177</v>
      </c>
      <c r="J1026" s="33" t="s">
        <v>45</v>
      </c>
      <c r="K1026" s="46">
        <v>0</v>
      </c>
      <c r="L1026">
        <v>100</v>
      </c>
      <c r="M1026" t="s">
        <v>48</v>
      </c>
      <c r="N1026" s="46">
        <v>1</v>
      </c>
      <c r="O1026" s="46">
        <v>0</v>
      </c>
      <c r="P1026" s="46">
        <v>0</v>
      </c>
      <c r="Q1026" t="s">
        <v>48</v>
      </c>
      <c r="R1026" t="s">
        <v>48</v>
      </c>
      <c r="S1026" t="s">
        <v>6034</v>
      </c>
      <c r="T1026" t="s">
        <v>48</v>
      </c>
      <c r="U1026" t="s">
        <v>6034</v>
      </c>
      <c r="V1026" s="47">
        <v>0</v>
      </c>
      <c r="W1026" t="s">
        <v>48</v>
      </c>
      <c r="X1026" t="s">
        <v>48</v>
      </c>
      <c r="Y1026" t="s">
        <v>48</v>
      </c>
      <c r="Z1026">
        <v>0</v>
      </c>
      <c r="AA1026" t="s">
        <v>48</v>
      </c>
      <c r="AB1026" t="s">
        <v>48</v>
      </c>
      <c r="AC1026" t="s">
        <v>63</v>
      </c>
      <c r="AD1026" t="s">
        <v>93</v>
      </c>
      <c r="AE1026" t="s">
        <v>4532</v>
      </c>
      <c r="AF1026" t="s">
        <v>48</v>
      </c>
      <c r="AG1026" t="s">
        <v>48</v>
      </c>
      <c r="AH1026" t="s">
        <v>48</v>
      </c>
      <c r="AI1026" t="s">
        <v>48</v>
      </c>
      <c r="AJ1026" t="s">
        <v>48</v>
      </c>
      <c r="AK1026" t="s">
        <v>48</v>
      </c>
      <c r="AL1026" t="s">
        <v>48</v>
      </c>
      <c r="AM1026" t="s">
        <v>48</v>
      </c>
      <c r="AN1026" t="s">
        <v>48</v>
      </c>
      <c r="AO1026" t="s">
        <v>48</v>
      </c>
      <c r="AP1026" s="46">
        <v>0</v>
      </c>
      <c r="AQ1026" s="46">
        <v>0</v>
      </c>
      <c r="AR1026" s="46">
        <v>0</v>
      </c>
      <c r="AS1026" s="46">
        <v>0</v>
      </c>
      <c r="AT1026" s="46">
        <v>0</v>
      </c>
      <c r="AU1026" s="46">
        <v>0</v>
      </c>
      <c r="AV1026" s="46">
        <v>0</v>
      </c>
      <c r="AW1026" s="46">
        <v>0</v>
      </c>
      <c r="AX1026" s="46">
        <v>0</v>
      </c>
      <c r="AY1026" s="46">
        <v>0</v>
      </c>
      <c r="AZ1026" s="46">
        <v>0</v>
      </c>
      <c r="BA1026" s="46">
        <v>0</v>
      </c>
      <c r="BB1026" s="46">
        <v>0</v>
      </c>
      <c r="BC1026" s="46">
        <v>0</v>
      </c>
      <c r="BD1026" s="46">
        <v>0</v>
      </c>
      <c r="BE1026" s="46">
        <v>0</v>
      </c>
      <c r="BF1026" s="46">
        <v>0</v>
      </c>
      <c r="BG1026" s="46" t="s">
        <v>48</v>
      </c>
      <c r="BH1026" s="46">
        <v>0</v>
      </c>
      <c r="BI1026" s="46">
        <v>0</v>
      </c>
      <c r="BJ1026" s="46">
        <v>0</v>
      </c>
      <c r="BK1026" s="46">
        <v>0</v>
      </c>
      <c r="BL1026" s="46">
        <v>0</v>
      </c>
      <c r="BM1026" s="46">
        <v>0</v>
      </c>
      <c r="BN1026" s="46">
        <v>0</v>
      </c>
    </row>
    <row r="1027" spans="1:66" x14ac:dyDescent="0.35">
      <c r="A1027" t="s">
        <v>6039</v>
      </c>
      <c r="B1027" t="s">
        <v>48</v>
      </c>
      <c r="C1027" t="s">
        <v>6043</v>
      </c>
      <c r="D1027" t="s">
        <v>1015</v>
      </c>
      <c r="E1027" t="s">
        <v>6040</v>
      </c>
      <c r="F1027" t="s">
        <v>6031</v>
      </c>
      <c r="G1027" t="s">
        <v>47</v>
      </c>
      <c r="H1027">
        <v>0</v>
      </c>
      <c r="I1027" s="60" t="s">
        <v>51</v>
      </c>
      <c r="J1027" s="33" t="s">
        <v>45</v>
      </c>
      <c r="K1027" s="46">
        <v>1</v>
      </c>
      <c r="L1027">
        <v>53.1</v>
      </c>
      <c r="M1027" t="s">
        <v>48</v>
      </c>
      <c r="N1027" s="46">
        <v>1</v>
      </c>
      <c r="O1027" s="46">
        <v>0</v>
      </c>
      <c r="P1027" s="46">
        <v>0</v>
      </c>
      <c r="Q1027" t="s">
        <v>48</v>
      </c>
      <c r="R1027" t="s">
        <v>48</v>
      </c>
      <c r="S1027" t="s">
        <v>6041</v>
      </c>
      <c r="T1027" t="s">
        <v>6042</v>
      </c>
      <c r="U1027" t="s">
        <v>6041</v>
      </c>
      <c r="V1027" s="47">
        <v>0</v>
      </c>
      <c r="W1027" t="s">
        <v>48</v>
      </c>
      <c r="X1027" t="s">
        <v>48</v>
      </c>
      <c r="Y1027" t="s">
        <v>48</v>
      </c>
      <c r="Z1027">
        <v>1</v>
      </c>
      <c r="AA1027" t="s">
        <v>48</v>
      </c>
      <c r="AB1027">
        <v>2020</v>
      </c>
      <c r="AC1027" t="s">
        <v>63</v>
      </c>
      <c r="AD1027" t="s">
        <v>93</v>
      </c>
      <c r="AE1027" t="s">
        <v>4532</v>
      </c>
      <c r="AF1027" t="s">
        <v>48</v>
      </c>
      <c r="AG1027" t="s">
        <v>48</v>
      </c>
      <c r="AH1027" t="s">
        <v>93</v>
      </c>
      <c r="AI1027">
        <v>22132</v>
      </c>
      <c r="AJ1027">
        <v>1977</v>
      </c>
      <c r="AK1027" t="s">
        <v>9260</v>
      </c>
      <c r="AL1027" t="s">
        <v>9261</v>
      </c>
      <c r="AM1027">
        <v>0.379</v>
      </c>
      <c r="AN1027">
        <v>-0.20799999999999999</v>
      </c>
      <c r="AO1027">
        <v>0.379</v>
      </c>
      <c r="AP1027" s="46">
        <v>0</v>
      </c>
      <c r="AQ1027" s="46">
        <v>0</v>
      </c>
      <c r="AR1027" s="46">
        <v>0</v>
      </c>
      <c r="AS1027" s="46">
        <v>0</v>
      </c>
      <c r="AT1027" s="46">
        <v>0</v>
      </c>
      <c r="AU1027" s="46">
        <v>0</v>
      </c>
      <c r="AV1027" s="46">
        <v>0</v>
      </c>
      <c r="AW1027" s="46">
        <v>0</v>
      </c>
      <c r="AX1027" s="46">
        <v>0</v>
      </c>
      <c r="AY1027" s="46">
        <v>1</v>
      </c>
      <c r="AZ1027" s="46">
        <v>1</v>
      </c>
      <c r="BA1027" s="46">
        <v>0</v>
      </c>
      <c r="BB1027" s="46">
        <v>0</v>
      </c>
      <c r="BC1027" s="46">
        <v>0</v>
      </c>
      <c r="BD1027" s="46">
        <v>0</v>
      </c>
      <c r="BE1027" s="46">
        <v>0</v>
      </c>
      <c r="BF1027" s="46">
        <v>0</v>
      </c>
      <c r="BG1027" s="46" t="s">
        <v>48</v>
      </c>
      <c r="BH1027" s="46">
        <v>0</v>
      </c>
      <c r="BI1027" s="46">
        <v>0</v>
      </c>
      <c r="BJ1027" s="46">
        <v>0</v>
      </c>
      <c r="BK1027" s="46">
        <v>0</v>
      </c>
      <c r="BL1027" s="46">
        <v>0</v>
      </c>
      <c r="BM1027" s="46">
        <v>0</v>
      </c>
      <c r="BN1027" s="46">
        <v>0</v>
      </c>
    </row>
    <row r="1028" spans="1:66" x14ac:dyDescent="0.35">
      <c r="A1028" t="s">
        <v>6055</v>
      </c>
      <c r="B1028" s="44" t="s">
        <v>48</v>
      </c>
      <c r="C1028" t="s">
        <v>1201</v>
      </c>
      <c r="D1028" t="s">
        <v>1402</v>
      </c>
      <c r="E1028" t="s">
        <v>6056</v>
      </c>
      <c r="F1028" t="s">
        <v>6049</v>
      </c>
      <c r="G1028" t="s">
        <v>47</v>
      </c>
      <c r="H1028">
        <v>0</v>
      </c>
      <c r="I1028" s="60" t="s">
        <v>51</v>
      </c>
      <c r="J1028" s="33" t="s">
        <v>45</v>
      </c>
      <c r="K1028" s="46">
        <v>1</v>
      </c>
      <c r="L1028">
        <v>100</v>
      </c>
      <c r="M1028" t="s">
        <v>48</v>
      </c>
      <c r="N1028" s="46">
        <v>1</v>
      </c>
      <c r="O1028" s="46">
        <v>0</v>
      </c>
      <c r="P1028" s="46">
        <v>0</v>
      </c>
      <c r="Q1028" t="s">
        <v>48</v>
      </c>
      <c r="R1028" t="s">
        <v>48</v>
      </c>
      <c r="S1028" t="s">
        <v>6057</v>
      </c>
      <c r="T1028" t="s">
        <v>6058</v>
      </c>
      <c r="U1028" t="s">
        <v>6057</v>
      </c>
      <c r="V1028" s="47">
        <v>0</v>
      </c>
      <c r="W1028" t="s">
        <v>48</v>
      </c>
      <c r="X1028" t="s">
        <v>48</v>
      </c>
      <c r="Y1028" t="s">
        <v>48</v>
      </c>
      <c r="Z1028">
        <v>0</v>
      </c>
      <c r="AA1028" t="s">
        <v>48</v>
      </c>
      <c r="AB1028" t="s">
        <v>3530</v>
      </c>
      <c r="AC1028" t="s">
        <v>49</v>
      </c>
      <c r="AD1028" t="s">
        <v>93</v>
      </c>
      <c r="AE1028" t="s">
        <v>4532</v>
      </c>
      <c r="AF1028" t="s">
        <v>48</v>
      </c>
      <c r="AG1028" t="s">
        <v>466</v>
      </c>
      <c r="AH1028" t="s">
        <v>93</v>
      </c>
      <c r="AI1028">
        <v>20138</v>
      </c>
      <c r="AJ1028">
        <v>1947</v>
      </c>
      <c r="AK1028" t="s">
        <v>9262</v>
      </c>
      <c r="AL1028" t="s">
        <v>9263</v>
      </c>
      <c r="AM1028">
        <v>0.53200000000000003</v>
      </c>
      <c r="AN1028">
        <v>0.13</v>
      </c>
      <c r="AO1028">
        <v>0.53200000000000003</v>
      </c>
      <c r="AP1028" s="46">
        <v>0</v>
      </c>
      <c r="AQ1028" s="46">
        <v>0</v>
      </c>
      <c r="AR1028" s="46">
        <v>0</v>
      </c>
      <c r="AS1028" s="46">
        <v>0</v>
      </c>
      <c r="AT1028" s="46">
        <v>0</v>
      </c>
      <c r="AU1028" s="46">
        <v>0</v>
      </c>
      <c r="AV1028" s="46">
        <v>0</v>
      </c>
      <c r="AW1028" s="46">
        <v>0</v>
      </c>
      <c r="AX1028" s="46">
        <v>0</v>
      </c>
      <c r="AY1028" s="46">
        <v>0</v>
      </c>
      <c r="AZ1028" s="46">
        <v>0</v>
      </c>
      <c r="BA1028" s="46">
        <v>0</v>
      </c>
      <c r="BB1028" s="46">
        <v>1</v>
      </c>
      <c r="BC1028" s="46">
        <v>0</v>
      </c>
      <c r="BD1028" s="46">
        <v>0</v>
      </c>
      <c r="BE1028" s="46">
        <v>0</v>
      </c>
      <c r="BF1028" s="46">
        <v>0</v>
      </c>
      <c r="BG1028" s="46">
        <v>1</v>
      </c>
      <c r="BH1028" s="46">
        <v>0</v>
      </c>
      <c r="BI1028" s="46">
        <v>0</v>
      </c>
      <c r="BJ1028" s="46">
        <v>0</v>
      </c>
      <c r="BK1028" s="46">
        <v>0</v>
      </c>
      <c r="BL1028" s="46">
        <v>0</v>
      </c>
      <c r="BM1028" s="46">
        <v>0</v>
      </c>
      <c r="BN1028" s="46">
        <v>0</v>
      </c>
    </row>
    <row r="1029" spans="1:66" x14ac:dyDescent="0.35">
      <c r="A1029" t="s">
        <v>6050</v>
      </c>
      <c r="B1029" s="44" t="s">
        <v>48</v>
      </c>
      <c r="C1029" t="s">
        <v>6054</v>
      </c>
      <c r="D1029" t="s">
        <v>6053</v>
      </c>
      <c r="E1029" t="s">
        <v>6051</v>
      </c>
      <c r="F1029" t="s">
        <v>6049</v>
      </c>
      <c r="G1029" t="s">
        <v>74</v>
      </c>
      <c r="H1029">
        <v>0</v>
      </c>
      <c r="I1029" s="61" t="s">
        <v>11160</v>
      </c>
      <c r="J1029" s="33" t="s">
        <v>45</v>
      </c>
      <c r="K1029" s="46">
        <v>0</v>
      </c>
      <c r="L1029">
        <v>100</v>
      </c>
      <c r="M1029" t="s">
        <v>48</v>
      </c>
      <c r="N1029" s="46">
        <v>1</v>
      </c>
      <c r="O1029" s="46">
        <v>0</v>
      </c>
      <c r="P1029" s="46">
        <v>0</v>
      </c>
      <c r="Q1029" t="s">
        <v>48</v>
      </c>
      <c r="R1029" t="s">
        <v>48</v>
      </c>
      <c r="S1029" t="s">
        <v>11357</v>
      </c>
      <c r="T1029" t="s">
        <v>48</v>
      </c>
      <c r="U1029" t="s">
        <v>6052</v>
      </c>
      <c r="V1029" s="47">
        <v>0</v>
      </c>
      <c r="W1029" t="s">
        <v>48</v>
      </c>
      <c r="X1029" t="s">
        <v>48</v>
      </c>
      <c r="Y1029" t="s">
        <v>48</v>
      </c>
      <c r="Z1029">
        <v>0</v>
      </c>
      <c r="AA1029" t="s">
        <v>48</v>
      </c>
      <c r="AB1029" t="s">
        <v>48</v>
      </c>
      <c r="AC1029" t="s">
        <v>49</v>
      </c>
      <c r="AD1029" t="s">
        <v>93</v>
      </c>
      <c r="AE1029" t="s">
        <v>4532</v>
      </c>
      <c r="AF1029" t="s">
        <v>48</v>
      </c>
      <c r="AG1029" t="s">
        <v>48</v>
      </c>
      <c r="AH1029" t="s">
        <v>48</v>
      </c>
      <c r="AI1029" t="s">
        <v>48</v>
      </c>
      <c r="AJ1029" t="s">
        <v>48</v>
      </c>
      <c r="AK1029" t="s">
        <v>48</v>
      </c>
      <c r="AL1029" t="s">
        <v>48</v>
      </c>
      <c r="AM1029" t="s">
        <v>48</v>
      </c>
      <c r="AN1029" t="s">
        <v>48</v>
      </c>
      <c r="AO1029" t="s">
        <v>48</v>
      </c>
      <c r="AP1029" s="46">
        <v>0</v>
      </c>
      <c r="AQ1029" s="46">
        <v>0</v>
      </c>
      <c r="AR1029" s="46">
        <v>0</v>
      </c>
      <c r="AS1029" s="46">
        <v>0</v>
      </c>
      <c r="AT1029" s="46">
        <v>0</v>
      </c>
      <c r="AU1029" s="46">
        <v>0</v>
      </c>
      <c r="AV1029" s="46">
        <v>0</v>
      </c>
      <c r="AW1029" s="46">
        <v>0</v>
      </c>
      <c r="AX1029" s="46">
        <v>0</v>
      </c>
      <c r="AY1029" s="46">
        <v>0</v>
      </c>
      <c r="AZ1029" s="46">
        <v>0</v>
      </c>
      <c r="BA1029" s="46">
        <v>0</v>
      </c>
      <c r="BB1029" s="46">
        <v>0</v>
      </c>
      <c r="BC1029" s="46">
        <v>0</v>
      </c>
      <c r="BD1029" s="46">
        <v>0</v>
      </c>
      <c r="BE1029" s="46">
        <v>0</v>
      </c>
      <c r="BF1029" s="46">
        <v>0</v>
      </c>
      <c r="BG1029" s="46" t="s">
        <v>48</v>
      </c>
      <c r="BH1029" s="46">
        <v>0</v>
      </c>
      <c r="BI1029" s="46">
        <v>0</v>
      </c>
      <c r="BJ1029" s="46">
        <v>0</v>
      </c>
      <c r="BK1029" s="46">
        <v>0</v>
      </c>
      <c r="BL1029" s="46">
        <v>0</v>
      </c>
      <c r="BM1029" s="46">
        <v>0</v>
      </c>
      <c r="BN1029" s="46">
        <v>0</v>
      </c>
    </row>
    <row r="1030" spans="1:66" x14ac:dyDescent="0.35">
      <c r="A1030" t="s">
        <v>6059</v>
      </c>
      <c r="B1030" s="44" t="s">
        <v>48</v>
      </c>
      <c r="C1030" t="s">
        <v>6064</v>
      </c>
      <c r="D1030" t="s">
        <v>273</v>
      </c>
      <c r="E1030" t="s">
        <v>6061</v>
      </c>
      <c r="F1030" t="s">
        <v>6060</v>
      </c>
      <c r="G1030" t="s">
        <v>47</v>
      </c>
      <c r="H1030">
        <v>0</v>
      </c>
      <c r="I1030" s="60" t="s">
        <v>51</v>
      </c>
      <c r="J1030" s="33" t="s">
        <v>45</v>
      </c>
      <c r="K1030" s="46">
        <v>1</v>
      </c>
      <c r="L1030">
        <v>100</v>
      </c>
      <c r="M1030" t="s">
        <v>48</v>
      </c>
      <c r="N1030" s="46">
        <v>1</v>
      </c>
      <c r="O1030" s="46">
        <v>0</v>
      </c>
      <c r="P1030" s="46">
        <v>0</v>
      </c>
      <c r="Q1030" t="s">
        <v>48</v>
      </c>
      <c r="R1030" t="s">
        <v>48</v>
      </c>
      <c r="S1030" t="s">
        <v>6062</v>
      </c>
      <c r="T1030" t="s">
        <v>6063</v>
      </c>
      <c r="U1030" t="s">
        <v>6062</v>
      </c>
      <c r="V1030" s="47">
        <v>0</v>
      </c>
      <c r="W1030" t="s">
        <v>48</v>
      </c>
      <c r="X1030" t="s">
        <v>48</v>
      </c>
      <c r="Y1030" t="s">
        <v>48</v>
      </c>
      <c r="Z1030">
        <v>0</v>
      </c>
      <c r="AA1030" t="s">
        <v>48</v>
      </c>
      <c r="AB1030">
        <v>2010</v>
      </c>
      <c r="AC1030" t="s">
        <v>49</v>
      </c>
      <c r="AD1030" t="s">
        <v>93</v>
      </c>
      <c r="AE1030" t="s">
        <v>4532</v>
      </c>
      <c r="AF1030" t="s">
        <v>48</v>
      </c>
      <c r="AG1030" t="s">
        <v>184</v>
      </c>
      <c r="AH1030" t="s">
        <v>93</v>
      </c>
      <c r="AI1030">
        <v>21174</v>
      </c>
      <c r="AJ1030">
        <v>1966</v>
      </c>
      <c r="AK1030" t="s">
        <v>9264</v>
      </c>
      <c r="AL1030" t="s">
        <v>9265</v>
      </c>
      <c r="AM1030">
        <v>0.71</v>
      </c>
      <c r="AN1030">
        <v>-0.10199999999999999</v>
      </c>
      <c r="AO1030">
        <v>0.71</v>
      </c>
      <c r="AP1030" s="46">
        <v>0</v>
      </c>
      <c r="AQ1030" s="46">
        <v>0</v>
      </c>
      <c r="AR1030" s="46">
        <v>0</v>
      </c>
      <c r="AS1030" s="46">
        <v>0</v>
      </c>
      <c r="AT1030" s="46">
        <v>0</v>
      </c>
      <c r="AU1030" s="46">
        <v>0</v>
      </c>
      <c r="AV1030" s="46">
        <v>0</v>
      </c>
      <c r="AW1030" s="46">
        <v>0</v>
      </c>
      <c r="AX1030" s="46">
        <v>0</v>
      </c>
      <c r="AY1030" s="46">
        <v>0</v>
      </c>
      <c r="AZ1030" s="46">
        <v>0</v>
      </c>
      <c r="BA1030" s="46">
        <v>0</v>
      </c>
      <c r="BB1030" s="46">
        <v>1</v>
      </c>
      <c r="BC1030" s="46">
        <v>0</v>
      </c>
      <c r="BD1030" s="46">
        <v>0</v>
      </c>
      <c r="BE1030" s="46">
        <v>0</v>
      </c>
      <c r="BF1030" s="46">
        <v>1</v>
      </c>
      <c r="BG1030" s="46">
        <v>1</v>
      </c>
      <c r="BH1030" s="46">
        <v>0</v>
      </c>
      <c r="BI1030" s="46">
        <v>0</v>
      </c>
      <c r="BJ1030" s="46">
        <v>0</v>
      </c>
      <c r="BK1030" s="46">
        <v>0</v>
      </c>
      <c r="BL1030" s="46">
        <v>0</v>
      </c>
      <c r="BM1030" s="46">
        <v>0</v>
      </c>
      <c r="BN1030" s="46">
        <v>1</v>
      </c>
    </row>
    <row r="1031" spans="1:66" ht="15" x14ac:dyDescent="0.4">
      <c r="A1031" t="s">
        <v>11213</v>
      </c>
      <c r="B1031" s="44" t="s">
        <v>48</v>
      </c>
      <c r="C1031" t="s">
        <v>5290</v>
      </c>
      <c r="D1031" t="s">
        <v>1034</v>
      </c>
      <c r="E1031" t="s">
        <v>11214</v>
      </c>
      <c r="F1031" t="s">
        <v>6066</v>
      </c>
      <c r="G1031" t="s">
        <v>83</v>
      </c>
      <c r="H1031">
        <v>0</v>
      </c>
      <c r="I1031" s="61" t="s">
        <v>11160</v>
      </c>
      <c r="J1031" s="33" t="s">
        <v>45</v>
      </c>
      <c r="K1031" s="46">
        <v>0</v>
      </c>
      <c r="L1031" t="s">
        <v>48</v>
      </c>
      <c r="M1031" t="s">
        <v>48</v>
      </c>
      <c r="N1031" s="46">
        <v>1</v>
      </c>
      <c r="O1031" s="46">
        <v>0</v>
      </c>
      <c r="P1031" s="46">
        <v>0</v>
      </c>
      <c r="Q1031" t="s">
        <v>48</v>
      </c>
      <c r="R1031" t="s">
        <v>48</v>
      </c>
      <c r="S1031" s="55" t="s">
        <v>11215</v>
      </c>
      <c r="T1031" t="s">
        <v>48</v>
      </c>
      <c r="U1031" s="55" t="s">
        <v>11215</v>
      </c>
      <c r="V1031" s="47" t="s">
        <v>48</v>
      </c>
      <c r="W1031" t="s">
        <v>48</v>
      </c>
      <c r="X1031" t="s">
        <v>48</v>
      </c>
      <c r="Y1031" t="s">
        <v>48</v>
      </c>
      <c r="Z1031" t="s">
        <v>48</v>
      </c>
      <c r="AA1031" t="s">
        <v>48</v>
      </c>
      <c r="AB1031" t="s">
        <v>48</v>
      </c>
      <c r="AC1031" t="s">
        <v>48</v>
      </c>
      <c r="AD1031" t="s">
        <v>48</v>
      </c>
      <c r="AE1031" t="s">
        <v>48</v>
      </c>
      <c r="AF1031" t="s">
        <v>48</v>
      </c>
      <c r="AG1031" t="s">
        <v>48</v>
      </c>
      <c r="AH1031" t="s">
        <v>48</v>
      </c>
      <c r="AI1031" t="s">
        <v>48</v>
      </c>
      <c r="AJ1031" t="s">
        <v>48</v>
      </c>
      <c r="AK1031" t="s">
        <v>48</v>
      </c>
      <c r="AL1031" t="s">
        <v>48</v>
      </c>
      <c r="AM1031" t="s">
        <v>48</v>
      </c>
      <c r="AN1031" t="s">
        <v>48</v>
      </c>
      <c r="AO1031" t="s">
        <v>48</v>
      </c>
      <c r="AP1031" s="46">
        <v>0</v>
      </c>
      <c r="AQ1031" s="46">
        <v>0</v>
      </c>
      <c r="AR1031" s="46">
        <v>0</v>
      </c>
      <c r="AS1031" s="46">
        <v>0</v>
      </c>
      <c r="AT1031" s="46">
        <v>0</v>
      </c>
      <c r="AU1031" s="46">
        <v>0</v>
      </c>
      <c r="AV1031" s="46">
        <v>0</v>
      </c>
      <c r="AW1031" s="46">
        <v>0</v>
      </c>
      <c r="AX1031" s="46">
        <v>0</v>
      </c>
      <c r="AY1031" s="46">
        <v>0</v>
      </c>
      <c r="AZ1031" s="46">
        <v>0</v>
      </c>
      <c r="BA1031" s="46">
        <v>0</v>
      </c>
      <c r="BB1031" s="46">
        <v>0</v>
      </c>
      <c r="BC1031" s="46">
        <v>0</v>
      </c>
      <c r="BD1031" s="46">
        <v>0</v>
      </c>
      <c r="BE1031" s="46">
        <v>0</v>
      </c>
      <c r="BF1031" s="46">
        <v>0</v>
      </c>
      <c r="BG1031" s="46" t="s">
        <v>48</v>
      </c>
      <c r="BH1031" s="46">
        <v>0</v>
      </c>
      <c r="BI1031" s="46">
        <v>0</v>
      </c>
      <c r="BJ1031" s="46">
        <v>0</v>
      </c>
      <c r="BK1031" s="46">
        <v>0</v>
      </c>
      <c r="BL1031" s="46">
        <v>0</v>
      </c>
      <c r="BM1031" s="46">
        <v>0</v>
      </c>
      <c r="BN1031" s="46">
        <v>0</v>
      </c>
    </row>
    <row r="1032" spans="1:66" x14ac:dyDescent="0.35">
      <c r="A1032" t="s">
        <v>6075</v>
      </c>
      <c r="B1032" s="44" t="s">
        <v>48</v>
      </c>
      <c r="C1032" t="s">
        <v>6079</v>
      </c>
      <c r="D1032" t="s">
        <v>262</v>
      </c>
      <c r="E1032" t="s">
        <v>6076</v>
      </c>
      <c r="F1032" t="s">
        <v>6066</v>
      </c>
      <c r="G1032" t="s">
        <v>47</v>
      </c>
      <c r="H1032">
        <v>0</v>
      </c>
      <c r="I1032" s="60" t="s">
        <v>51</v>
      </c>
      <c r="J1032" s="33" t="s">
        <v>45</v>
      </c>
      <c r="K1032" s="46">
        <v>1</v>
      </c>
      <c r="L1032">
        <v>52.7</v>
      </c>
      <c r="M1032" t="s">
        <v>48</v>
      </c>
      <c r="N1032" s="46">
        <v>1</v>
      </c>
      <c r="O1032" s="46">
        <v>0</v>
      </c>
      <c r="P1032" s="46">
        <v>0</v>
      </c>
      <c r="Q1032" t="s">
        <v>48</v>
      </c>
      <c r="R1032" t="s">
        <v>48</v>
      </c>
      <c r="S1032" t="s">
        <v>6077</v>
      </c>
      <c r="T1032" t="s">
        <v>6078</v>
      </c>
      <c r="U1032" t="s">
        <v>6077</v>
      </c>
      <c r="V1032" s="47">
        <v>0</v>
      </c>
      <c r="W1032" t="s">
        <v>48</v>
      </c>
      <c r="X1032" t="s">
        <v>48</v>
      </c>
      <c r="Y1032" t="s">
        <v>48</v>
      </c>
      <c r="Z1032">
        <v>0</v>
      </c>
      <c r="AA1032" t="s">
        <v>48</v>
      </c>
      <c r="AB1032">
        <v>2018</v>
      </c>
      <c r="AC1032" t="s">
        <v>49</v>
      </c>
      <c r="AD1032" t="s">
        <v>93</v>
      </c>
      <c r="AE1032" t="s">
        <v>4532</v>
      </c>
      <c r="AF1032" t="s">
        <v>48</v>
      </c>
      <c r="AG1032" t="s">
        <v>119</v>
      </c>
      <c r="AH1032" t="s">
        <v>93</v>
      </c>
      <c r="AI1032">
        <v>21974</v>
      </c>
      <c r="AJ1032">
        <v>1984</v>
      </c>
      <c r="AK1032" t="s">
        <v>9266</v>
      </c>
      <c r="AL1032" t="s">
        <v>9267</v>
      </c>
      <c r="AM1032">
        <v>0.59199999999999997</v>
      </c>
      <c r="AN1032">
        <v>0.193</v>
      </c>
      <c r="AO1032">
        <v>0.59199999999999997</v>
      </c>
      <c r="AP1032" s="46">
        <v>0</v>
      </c>
      <c r="AQ1032" s="46">
        <v>0</v>
      </c>
      <c r="AR1032" s="46">
        <v>0</v>
      </c>
      <c r="AS1032" s="46">
        <v>0</v>
      </c>
      <c r="AT1032" s="46">
        <v>0</v>
      </c>
      <c r="AU1032" s="46">
        <v>0</v>
      </c>
      <c r="AV1032" s="46">
        <v>0</v>
      </c>
      <c r="AW1032" s="46">
        <v>0</v>
      </c>
      <c r="AX1032" s="46">
        <v>0</v>
      </c>
      <c r="AY1032" s="46">
        <v>0</v>
      </c>
      <c r="AZ1032" s="46">
        <v>0</v>
      </c>
      <c r="BA1032" s="46">
        <v>0</v>
      </c>
      <c r="BB1032" s="46">
        <v>1</v>
      </c>
      <c r="BC1032" s="46">
        <v>0</v>
      </c>
      <c r="BD1032" s="46">
        <v>0</v>
      </c>
      <c r="BE1032" s="46">
        <v>0</v>
      </c>
      <c r="BF1032" s="46">
        <v>0</v>
      </c>
      <c r="BG1032" s="46">
        <v>1</v>
      </c>
      <c r="BH1032" s="46">
        <v>0</v>
      </c>
      <c r="BI1032" s="46">
        <v>0</v>
      </c>
      <c r="BJ1032" s="46">
        <v>0</v>
      </c>
      <c r="BK1032" s="46">
        <v>0</v>
      </c>
      <c r="BL1032" s="46">
        <v>0</v>
      </c>
      <c r="BM1032" s="46">
        <v>0</v>
      </c>
      <c r="BN1032" s="46">
        <v>0</v>
      </c>
    </row>
    <row r="1033" spans="1:66" ht="15" x14ac:dyDescent="0.4">
      <c r="A1033" t="s">
        <v>8118</v>
      </c>
      <c r="B1033" s="44" t="s">
        <v>48</v>
      </c>
      <c r="C1033" t="s">
        <v>12306</v>
      </c>
      <c r="D1033" t="s">
        <v>12307</v>
      </c>
      <c r="E1033" t="s">
        <v>8119</v>
      </c>
      <c r="F1033" t="s">
        <v>6080</v>
      </c>
      <c r="G1033" t="s">
        <v>74</v>
      </c>
      <c r="H1033">
        <v>0</v>
      </c>
      <c r="I1033" s="61" t="s">
        <v>11160</v>
      </c>
      <c r="J1033" s="33" t="s">
        <v>45</v>
      </c>
      <c r="K1033" s="46">
        <v>0</v>
      </c>
      <c r="L1033">
        <v>57.6</v>
      </c>
      <c r="M1033" t="s">
        <v>48</v>
      </c>
      <c r="N1033" s="46">
        <v>1</v>
      </c>
      <c r="O1033" s="46">
        <v>0</v>
      </c>
      <c r="P1033" s="46">
        <v>0</v>
      </c>
      <c r="Q1033" t="s">
        <v>48</v>
      </c>
      <c r="R1033" t="s">
        <v>48</v>
      </c>
      <c r="S1033" s="55" t="s">
        <v>11278</v>
      </c>
      <c r="T1033" t="s">
        <v>48</v>
      </c>
      <c r="U1033" s="55" t="s">
        <v>11278</v>
      </c>
      <c r="V1033" s="47">
        <v>0</v>
      </c>
      <c r="W1033" t="s">
        <v>48</v>
      </c>
      <c r="X1033" t="s">
        <v>48</v>
      </c>
      <c r="Y1033" t="s">
        <v>48</v>
      </c>
      <c r="Z1033" t="s">
        <v>48</v>
      </c>
      <c r="AA1033" t="s">
        <v>48</v>
      </c>
      <c r="AB1033" t="s">
        <v>48</v>
      </c>
      <c r="AC1033" t="s">
        <v>49</v>
      </c>
      <c r="AD1033" t="s">
        <v>93</v>
      </c>
      <c r="AE1033" t="s">
        <v>4532</v>
      </c>
      <c r="AF1033" t="s">
        <v>48</v>
      </c>
      <c r="AG1033" t="s">
        <v>48</v>
      </c>
      <c r="AH1033" t="s">
        <v>48</v>
      </c>
      <c r="AI1033" t="s">
        <v>48</v>
      </c>
      <c r="AJ1033" t="s">
        <v>48</v>
      </c>
      <c r="AK1033" t="s">
        <v>48</v>
      </c>
      <c r="AL1033" t="s">
        <v>48</v>
      </c>
      <c r="AM1033" t="s">
        <v>48</v>
      </c>
      <c r="AN1033" t="s">
        <v>48</v>
      </c>
      <c r="AO1033" t="s">
        <v>48</v>
      </c>
      <c r="AP1033" s="46">
        <v>0</v>
      </c>
      <c r="AQ1033" s="46">
        <v>0</v>
      </c>
      <c r="AR1033" s="46">
        <v>0</v>
      </c>
      <c r="AS1033" s="46">
        <v>0</v>
      </c>
      <c r="AT1033" s="46">
        <v>0</v>
      </c>
      <c r="AU1033" s="46">
        <v>0</v>
      </c>
      <c r="AV1033" s="46">
        <v>0</v>
      </c>
      <c r="AW1033" s="46">
        <v>0</v>
      </c>
      <c r="AX1033" s="46">
        <v>0</v>
      </c>
      <c r="AY1033" s="46">
        <v>0</v>
      </c>
      <c r="AZ1033" s="46">
        <v>0</v>
      </c>
      <c r="BA1033" s="46">
        <v>0</v>
      </c>
      <c r="BB1033" s="46">
        <v>0</v>
      </c>
      <c r="BC1033" s="46">
        <v>0</v>
      </c>
      <c r="BD1033" s="46">
        <v>0</v>
      </c>
      <c r="BE1033" s="46">
        <v>0</v>
      </c>
      <c r="BF1033" s="46">
        <v>0</v>
      </c>
      <c r="BG1033" s="46" t="s">
        <v>48</v>
      </c>
      <c r="BH1033" s="46">
        <v>0</v>
      </c>
      <c r="BI1033" s="46">
        <v>0</v>
      </c>
      <c r="BJ1033" s="46">
        <v>0</v>
      </c>
      <c r="BK1033" s="46">
        <v>0</v>
      </c>
      <c r="BL1033" s="46">
        <v>0</v>
      </c>
      <c r="BM1033" s="46">
        <v>0</v>
      </c>
      <c r="BN1033" s="46">
        <v>0</v>
      </c>
    </row>
    <row r="1034" spans="1:66" x14ac:dyDescent="0.35">
      <c r="A1034" t="s">
        <v>6084</v>
      </c>
      <c r="B1034" s="44" t="s">
        <v>48</v>
      </c>
      <c r="C1034" t="s">
        <v>6088</v>
      </c>
      <c r="D1034" t="s">
        <v>3860</v>
      </c>
      <c r="E1034" t="s">
        <v>6085</v>
      </c>
      <c r="F1034" t="s">
        <v>6080</v>
      </c>
      <c r="G1034" t="s">
        <v>47</v>
      </c>
      <c r="H1034">
        <v>0</v>
      </c>
      <c r="I1034" s="60" t="s">
        <v>51</v>
      </c>
      <c r="J1034" s="33" t="s">
        <v>45</v>
      </c>
      <c r="K1034" s="46">
        <v>1</v>
      </c>
      <c r="L1034">
        <v>100</v>
      </c>
      <c r="M1034" t="s">
        <v>48</v>
      </c>
      <c r="N1034" s="46">
        <v>1</v>
      </c>
      <c r="O1034" s="46">
        <v>0</v>
      </c>
      <c r="P1034" s="46">
        <v>0</v>
      </c>
      <c r="Q1034" t="s">
        <v>48</v>
      </c>
      <c r="R1034" t="s">
        <v>48</v>
      </c>
      <c r="S1034" t="s">
        <v>6086</v>
      </c>
      <c r="T1034" t="s">
        <v>6087</v>
      </c>
      <c r="U1034" t="s">
        <v>6086</v>
      </c>
      <c r="V1034" s="47">
        <v>0</v>
      </c>
      <c r="W1034" t="s">
        <v>48</v>
      </c>
      <c r="X1034" t="s">
        <v>48</v>
      </c>
      <c r="Y1034" t="s">
        <v>48</v>
      </c>
      <c r="Z1034">
        <v>0</v>
      </c>
      <c r="AA1034" t="s">
        <v>48</v>
      </c>
      <c r="AB1034" t="s">
        <v>1288</v>
      </c>
      <c r="AC1034" t="s">
        <v>49</v>
      </c>
      <c r="AD1034" t="s">
        <v>93</v>
      </c>
      <c r="AE1034" t="s">
        <v>4532</v>
      </c>
      <c r="AF1034" t="s">
        <v>48</v>
      </c>
      <c r="AG1034" t="s">
        <v>466</v>
      </c>
      <c r="AH1034" t="s">
        <v>93</v>
      </c>
      <c r="AI1034">
        <v>21753</v>
      </c>
      <c r="AJ1034">
        <v>1953</v>
      </c>
      <c r="AK1034" t="s">
        <v>9268</v>
      </c>
      <c r="AL1034" t="s">
        <v>9269</v>
      </c>
      <c r="AM1034">
        <v>0.83599999999999997</v>
      </c>
      <c r="AN1034">
        <v>-0.34200000000000003</v>
      </c>
      <c r="AO1034">
        <v>0.83599999999999997</v>
      </c>
      <c r="AP1034" s="46">
        <v>0</v>
      </c>
      <c r="AQ1034" s="46">
        <v>0</v>
      </c>
      <c r="AR1034" s="46">
        <v>0</v>
      </c>
      <c r="AS1034" s="46">
        <v>0</v>
      </c>
      <c r="AT1034" s="46">
        <v>0</v>
      </c>
      <c r="AU1034" s="46">
        <v>0</v>
      </c>
      <c r="AV1034" s="46">
        <v>0</v>
      </c>
      <c r="AW1034" s="46">
        <v>0</v>
      </c>
      <c r="AX1034" s="46">
        <v>0</v>
      </c>
      <c r="AY1034" s="46">
        <v>0</v>
      </c>
      <c r="AZ1034" s="46">
        <v>0</v>
      </c>
      <c r="BA1034" s="46">
        <v>0</v>
      </c>
      <c r="BB1034" s="46">
        <v>1</v>
      </c>
      <c r="BC1034" s="46">
        <v>0</v>
      </c>
      <c r="BD1034" s="46">
        <v>0</v>
      </c>
      <c r="BE1034" s="46">
        <v>0</v>
      </c>
      <c r="BF1034" s="46">
        <v>1</v>
      </c>
      <c r="BG1034" s="46">
        <v>1</v>
      </c>
      <c r="BH1034" s="46">
        <v>0</v>
      </c>
      <c r="BI1034" s="46">
        <v>0</v>
      </c>
      <c r="BJ1034" s="46">
        <v>0</v>
      </c>
      <c r="BK1034" s="46">
        <v>0</v>
      </c>
      <c r="BL1034" s="46">
        <v>0</v>
      </c>
      <c r="BM1034" s="46">
        <v>0</v>
      </c>
      <c r="BN1034" s="46">
        <v>1</v>
      </c>
    </row>
    <row r="1035" spans="1:66" x14ac:dyDescent="0.35">
      <c r="A1035" t="s">
        <v>6093</v>
      </c>
      <c r="B1035" t="s">
        <v>48</v>
      </c>
      <c r="C1035" t="s">
        <v>6095</v>
      </c>
      <c r="D1035" t="s">
        <v>1884</v>
      </c>
      <c r="E1035" t="s">
        <v>6094</v>
      </c>
      <c r="F1035" t="s">
        <v>6090</v>
      </c>
      <c r="G1035" t="s">
        <v>47</v>
      </c>
      <c r="H1035">
        <v>0</v>
      </c>
      <c r="I1035" s="60" t="s">
        <v>125</v>
      </c>
      <c r="J1035" s="33" t="s">
        <v>45</v>
      </c>
      <c r="K1035" s="46">
        <v>0</v>
      </c>
      <c r="L1035">
        <v>74.400000000000006</v>
      </c>
      <c r="M1035" t="s">
        <v>48</v>
      </c>
      <c r="N1035" s="46">
        <v>1</v>
      </c>
      <c r="O1035" s="46">
        <v>0</v>
      </c>
      <c r="P1035" s="46">
        <v>0</v>
      </c>
      <c r="Q1035" t="s">
        <v>48</v>
      </c>
      <c r="R1035" t="s">
        <v>48</v>
      </c>
      <c r="S1035" t="s">
        <v>48</v>
      </c>
      <c r="T1035" t="s">
        <v>48</v>
      </c>
      <c r="U1035" t="s">
        <v>48</v>
      </c>
      <c r="V1035" s="47">
        <v>1</v>
      </c>
      <c r="W1035" t="s">
        <v>11264</v>
      </c>
      <c r="X1035" t="s">
        <v>48</v>
      </c>
      <c r="Y1035" t="s">
        <v>48</v>
      </c>
      <c r="Z1035">
        <v>0</v>
      </c>
      <c r="AA1035" t="s">
        <v>48</v>
      </c>
      <c r="AB1035" t="s">
        <v>48</v>
      </c>
      <c r="AC1035" t="s">
        <v>49</v>
      </c>
      <c r="AD1035" t="s">
        <v>93</v>
      </c>
      <c r="AE1035" s="40" t="s">
        <v>2471</v>
      </c>
      <c r="AF1035" t="s">
        <v>11061</v>
      </c>
      <c r="AG1035" t="s">
        <v>48</v>
      </c>
      <c r="AH1035" t="s">
        <v>48</v>
      </c>
      <c r="AI1035" t="s">
        <v>48</v>
      </c>
      <c r="AJ1035" t="s">
        <v>48</v>
      </c>
      <c r="AK1035" t="s">
        <v>48</v>
      </c>
      <c r="AL1035" t="s">
        <v>48</v>
      </c>
      <c r="AM1035" t="s">
        <v>48</v>
      </c>
      <c r="AN1035" t="s">
        <v>48</v>
      </c>
      <c r="AO1035" t="s">
        <v>48</v>
      </c>
      <c r="AP1035" s="46">
        <v>0</v>
      </c>
      <c r="AQ1035" s="46">
        <v>0</v>
      </c>
      <c r="AR1035" s="46">
        <v>0</v>
      </c>
      <c r="AS1035" s="46">
        <v>0</v>
      </c>
      <c r="AT1035" s="46">
        <v>0</v>
      </c>
      <c r="AU1035" s="46">
        <v>0</v>
      </c>
      <c r="AV1035" s="46">
        <v>0</v>
      </c>
      <c r="AW1035" s="46">
        <v>0</v>
      </c>
      <c r="AX1035" s="46">
        <v>0</v>
      </c>
      <c r="AY1035" s="46">
        <v>0</v>
      </c>
      <c r="AZ1035" s="46">
        <v>0</v>
      </c>
      <c r="BA1035" s="46">
        <v>0</v>
      </c>
      <c r="BB1035" s="46">
        <v>0</v>
      </c>
      <c r="BC1035" s="46">
        <v>0</v>
      </c>
      <c r="BD1035" s="46">
        <v>0</v>
      </c>
      <c r="BE1035" s="46">
        <v>0</v>
      </c>
      <c r="BF1035" s="46">
        <v>0</v>
      </c>
      <c r="BG1035" s="46" t="s">
        <v>48</v>
      </c>
      <c r="BH1035" s="46">
        <v>0</v>
      </c>
      <c r="BI1035" s="46">
        <v>0</v>
      </c>
      <c r="BJ1035" s="46">
        <v>0</v>
      </c>
      <c r="BK1035" s="46">
        <v>0</v>
      </c>
      <c r="BL1035" s="46">
        <v>0</v>
      </c>
      <c r="BM1035" s="46">
        <v>0</v>
      </c>
      <c r="BN1035" s="46">
        <v>0</v>
      </c>
    </row>
    <row r="1036" spans="1:66" x14ac:dyDescent="0.35">
      <c r="A1036" t="s">
        <v>6096</v>
      </c>
      <c r="B1036" s="44" t="s">
        <v>48</v>
      </c>
      <c r="C1036" t="s">
        <v>6100</v>
      </c>
      <c r="D1036" t="s">
        <v>829</v>
      </c>
      <c r="E1036" t="s">
        <v>6097</v>
      </c>
      <c r="F1036" t="s">
        <v>6090</v>
      </c>
      <c r="G1036" t="s">
        <v>74</v>
      </c>
      <c r="H1036">
        <v>1</v>
      </c>
      <c r="I1036" s="60" t="s">
        <v>51</v>
      </c>
      <c r="J1036" s="33" t="s">
        <v>45</v>
      </c>
      <c r="K1036" s="46">
        <v>1</v>
      </c>
      <c r="L1036">
        <v>88.1</v>
      </c>
      <c r="M1036" t="s">
        <v>48</v>
      </c>
      <c r="N1036" s="46">
        <v>1</v>
      </c>
      <c r="O1036" s="46">
        <v>0</v>
      </c>
      <c r="P1036" s="46">
        <v>0</v>
      </c>
      <c r="Q1036" t="s">
        <v>48</v>
      </c>
      <c r="R1036" t="s">
        <v>48</v>
      </c>
      <c r="S1036" t="s">
        <v>6098</v>
      </c>
      <c r="T1036" t="s">
        <v>6099</v>
      </c>
      <c r="U1036" t="s">
        <v>6098</v>
      </c>
      <c r="V1036" s="47">
        <v>0</v>
      </c>
      <c r="W1036" t="s">
        <v>48</v>
      </c>
      <c r="X1036" t="s">
        <v>48</v>
      </c>
      <c r="Y1036" t="s">
        <v>48</v>
      </c>
      <c r="Z1036">
        <v>0</v>
      </c>
      <c r="AA1036" t="s">
        <v>48</v>
      </c>
      <c r="AB1036">
        <v>1992</v>
      </c>
      <c r="AC1036" t="s">
        <v>49</v>
      </c>
      <c r="AD1036" t="s">
        <v>93</v>
      </c>
      <c r="AE1036" s="40" t="s">
        <v>2471</v>
      </c>
      <c r="AF1036" t="s">
        <v>11061</v>
      </c>
      <c r="AG1036" t="s">
        <v>2094</v>
      </c>
      <c r="AH1036" t="s">
        <v>93</v>
      </c>
      <c r="AI1036">
        <v>39301</v>
      </c>
      <c r="AJ1036">
        <v>1940</v>
      </c>
      <c r="AK1036" t="s">
        <v>9270</v>
      </c>
      <c r="AL1036" t="s">
        <v>9271</v>
      </c>
      <c r="AM1036">
        <v>-0.46400000000000002</v>
      </c>
      <c r="AN1036">
        <v>0.254</v>
      </c>
      <c r="AO1036">
        <v>-0.46400000000000002</v>
      </c>
      <c r="AP1036" s="46">
        <v>0</v>
      </c>
      <c r="AQ1036" s="46">
        <v>0</v>
      </c>
      <c r="AR1036" s="46">
        <v>0</v>
      </c>
      <c r="AS1036" s="46">
        <v>0</v>
      </c>
      <c r="AT1036" s="46">
        <v>0</v>
      </c>
      <c r="AU1036" s="46">
        <v>0</v>
      </c>
      <c r="AV1036" s="46">
        <v>0</v>
      </c>
      <c r="AW1036" s="46">
        <v>0</v>
      </c>
      <c r="AX1036" s="46">
        <v>0</v>
      </c>
      <c r="AY1036" s="46">
        <v>0</v>
      </c>
      <c r="AZ1036" s="46">
        <v>0</v>
      </c>
      <c r="BA1036" s="46">
        <v>0</v>
      </c>
      <c r="BB1036" s="46">
        <v>0</v>
      </c>
      <c r="BC1036" s="46">
        <v>0</v>
      </c>
      <c r="BD1036" s="46">
        <v>0</v>
      </c>
      <c r="BE1036" s="46">
        <v>0</v>
      </c>
      <c r="BF1036" s="46">
        <v>0</v>
      </c>
      <c r="BG1036" s="46" t="s">
        <v>48</v>
      </c>
      <c r="BH1036" s="46">
        <v>0</v>
      </c>
      <c r="BI1036" s="46">
        <v>0</v>
      </c>
      <c r="BJ1036" s="46">
        <v>0</v>
      </c>
      <c r="BK1036" s="46">
        <v>0</v>
      </c>
      <c r="BL1036" s="46">
        <v>0</v>
      </c>
      <c r="BM1036" s="46">
        <v>0</v>
      </c>
      <c r="BN1036" s="46">
        <v>0</v>
      </c>
    </row>
    <row r="1037" spans="1:66" x14ac:dyDescent="0.35">
      <c r="A1037" t="s">
        <v>8120</v>
      </c>
      <c r="B1037" s="44" t="s">
        <v>48</v>
      </c>
      <c r="C1037" t="s">
        <v>885</v>
      </c>
      <c r="D1037" t="s">
        <v>12309</v>
      </c>
      <c r="E1037" t="s">
        <v>8121</v>
      </c>
      <c r="F1037" t="s">
        <v>6104</v>
      </c>
      <c r="G1037" t="s">
        <v>74</v>
      </c>
      <c r="H1037">
        <v>0</v>
      </c>
      <c r="I1037" s="61">
        <v>44733</v>
      </c>
      <c r="J1037" s="33" t="s">
        <v>45</v>
      </c>
      <c r="K1037" s="46">
        <v>0</v>
      </c>
      <c r="L1037">
        <v>100</v>
      </c>
      <c r="M1037" t="s">
        <v>48</v>
      </c>
      <c r="N1037" s="46">
        <v>1</v>
      </c>
      <c r="O1037" s="46">
        <v>0</v>
      </c>
      <c r="P1037" s="46">
        <v>0</v>
      </c>
      <c r="Q1037" t="s">
        <v>48</v>
      </c>
      <c r="R1037" t="s">
        <v>48</v>
      </c>
      <c r="S1037" t="s">
        <v>48</v>
      </c>
      <c r="T1037" t="s">
        <v>48</v>
      </c>
      <c r="U1037" t="s">
        <v>48</v>
      </c>
      <c r="V1037" s="47">
        <v>1</v>
      </c>
      <c r="W1037" t="s">
        <v>11264</v>
      </c>
      <c r="X1037" t="s">
        <v>48</v>
      </c>
      <c r="Y1037" t="s">
        <v>48</v>
      </c>
      <c r="Z1037" t="s">
        <v>48</v>
      </c>
      <c r="AA1037" t="s">
        <v>48</v>
      </c>
      <c r="AB1037" t="s">
        <v>48</v>
      </c>
      <c r="AC1037" t="s">
        <v>49</v>
      </c>
      <c r="AD1037" t="s">
        <v>93</v>
      </c>
      <c r="AE1037" s="40" t="s">
        <v>2471</v>
      </c>
      <c r="AF1037" t="s">
        <v>48</v>
      </c>
      <c r="AG1037" t="s">
        <v>48</v>
      </c>
      <c r="AH1037" t="s">
        <v>48</v>
      </c>
      <c r="AI1037" t="s">
        <v>48</v>
      </c>
      <c r="AJ1037" t="s">
        <v>48</v>
      </c>
      <c r="AK1037" t="s">
        <v>48</v>
      </c>
      <c r="AL1037" t="s">
        <v>48</v>
      </c>
      <c r="AM1037" t="s">
        <v>48</v>
      </c>
      <c r="AN1037" t="s">
        <v>48</v>
      </c>
      <c r="AO1037" t="s">
        <v>48</v>
      </c>
      <c r="AP1037" s="46">
        <v>0</v>
      </c>
      <c r="AQ1037" s="46">
        <v>0</v>
      </c>
      <c r="AR1037" s="46">
        <v>0</v>
      </c>
      <c r="AS1037" s="46">
        <v>0</v>
      </c>
      <c r="AT1037" s="46">
        <v>0</v>
      </c>
      <c r="AU1037" s="46">
        <v>0</v>
      </c>
      <c r="AV1037" s="46">
        <v>0</v>
      </c>
      <c r="AW1037" s="46">
        <v>0</v>
      </c>
      <c r="AX1037" s="46">
        <v>0</v>
      </c>
      <c r="AY1037" s="46">
        <v>0</v>
      </c>
      <c r="AZ1037" s="46">
        <v>0</v>
      </c>
      <c r="BA1037" s="46">
        <v>0</v>
      </c>
      <c r="BB1037" s="46">
        <v>0</v>
      </c>
      <c r="BC1037" s="46">
        <v>0</v>
      </c>
      <c r="BD1037" s="46">
        <v>0</v>
      </c>
      <c r="BE1037" s="46">
        <v>0</v>
      </c>
      <c r="BF1037" s="46">
        <v>0</v>
      </c>
      <c r="BG1037" s="46" t="s">
        <v>48</v>
      </c>
      <c r="BH1037" s="46">
        <v>0</v>
      </c>
      <c r="BI1037" s="46">
        <v>0</v>
      </c>
      <c r="BJ1037" s="46">
        <v>0</v>
      </c>
      <c r="BK1037" s="46">
        <v>0</v>
      </c>
      <c r="BL1037" s="46">
        <v>0</v>
      </c>
      <c r="BM1037" s="46">
        <v>0</v>
      </c>
      <c r="BN1037" s="46">
        <v>0</v>
      </c>
    </row>
    <row r="1038" spans="1:66" x14ac:dyDescent="0.35">
      <c r="A1038" t="s">
        <v>6111</v>
      </c>
      <c r="B1038" s="44" t="s">
        <v>48</v>
      </c>
      <c r="C1038" t="s">
        <v>6114</v>
      </c>
      <c r="D1038" t="s">
        <v>2193</v>
      </c>
      <c r="E1038" t="s">
        <v>6112</v>
      </c>
      <c r="F1038" t="s">
        <v>6104</v>
      </c>
      <c r="G1038" t="s">
        <v>47</v>
      </c>
      <c r="H1038">
        <v>0</v>
      </c>
      <c r="I1038" s="60" t="s">
        <v>51</v>
      </c>
      <c r="J1038" s="33" t="s">
        <v>45</v>
      </c>
      <c r="K1038" s="46">
        <v>0</v>
      </c>
      <c r="L1038">
        <v>51.1</v>
      </c>
      <c r="M1038" t="s">
        <v>48</v>
      </c>
      <c r="N1038" s="46">
        <v>1</v>
      </c>
      <c r="O1038" s="46">
        <v>0</v>
      </c>
      <c r="P1038" s="46">
        <v>0</v>
      </c>
      <c r="Q1038" t="s">
        <v>48</v>
      </c>
      <c r="R1038" t="s">
        <v>48</v>
      </c>
      <c r="S1038" t="s">
        <v>6113</v>
      </c>
      <c r="T1038" t="s">
        <v>48</v>
      </c>
      <c r="U1038" t="s">
        <v>6113</v>
      </c>
      <c r="V1038" s="47">
        <v>0</v>
      </c>
      <c r="W1038" t="s">
        <v>48</v>
      </c>
      <c r="X1038" t="s">
        <v>48</v>
      </c>
      <c r="Y1038" t="s">
        <v>48</v>
      </c>
      <c r="Z1038">
        <v>0</v>
      </c>
      <c r="AA1038" t="s">
        <v>48</v>
      </c>
      <c r="AB1038" t="s">
        <v>48</v>
      </c>
      <c r="AC1038" t="s">
        <v>49</v>
      </c>
      <c r="AD1038" t="s">
        <v>93</v>
      </c>
      <c r="AE1038" t="s">
        <v>4532</v>
      </c>
      <c r="AF1038" t="s">
        <v>48</v>
      </c>
      <c r="AG1038" t="s">
        <v>48</v>
      </c>
      <c r="AH1038" t="s">
        <v>48</v>
      </c>
      <c r="AI1038" t="s">
        <v>48</v>
      </c>
      <c r="AJ1038" t="s">
        <v>48</v>
      </c>
      <c r="AK1038" t="s">
        <v>48</v>
      </c>
      <c r="AL1038" t="s">
        <v>48</v>
      </c>
      <c r="AM1038" t="s">
        <v>48</v>
      </c>
      <c r="AN1038" t="s">
        <v>48</v>
      </c>
      <c r="AO1038" t="s">
        <v>48</v>
      </c>
      <c r="AP1038" s="46">
        <v>0</v>
      </c>
      <c r="AQ1038" s="46">
        <v>0</v>
      </c>
      <c r="AR1038" s="46">
        <v>0</v>
      </c>
      <c r="AS1038" s="46">
        <v>0</v>
      </c>
      <c r="AT1038" s="46">
        <v>0</v>
      </c>
      <c r="AU1038" s="46">
        <v>0</v>
      </c>
      <c r="AV1038" s="46">
        <v>0</v>
      </c>
      <c r="AW1038" s="46">
        <v>0</v>
      </c>
      <c r="AX1038" s="46">
        <v>0</v>
      </c>
      <c r="AY1038" s="46">
        <v>0</v>
      </c>
      <c r="AZ1038" s="46">
        <v>0</v>
      </c>
      <c r="BA1038" s="46">
        <v>0</v>
      </c>
      <c r="BB1038" s="46">
        <v>0</v>
      </c>
      <c r="BC1038" s="46">
        <v>1</v>
      </c>
      <c r="BD1038" s="46">
        <v>0</v>
      </c>
      <c r="BE1038" s="46">
        <v>0</v>
      </c>
      <c r="BF1038" s="46">
        <v>0</v>
      </c>
      <c r="BG1038" s="46">
        <v>1</v>
      </c>
      <c r="BH1038" s="46">
        <v>0</v>
      </c>
      <c r="BI1038" s="46">
        <v>0</v>
      </c>
      <c r="BJ1038" s="46">
        <v>0</v>
      </c>
      <c r="BK1038" s="46">
        <v>0</v>
      </c>
      <c r="BL1038" s="46">
        <v>0</v>
      </c>
      <c r="BM1038" s="46">
        <v>0</v>
      </c>
      <c r="BN1038" s="46">
        <v>0</v>
      </c>
    </row>
    <row r="1039" spans="1:66" x14ac:dyDescent="0.35">
      <c r="A1039" t="s">
        <v>6141</v>
      </c>
      <c r="B1039" t="s">
        <v>48</v>
      </c>
      <c r="C1039" t="s">
        <v>718</v>
      </c>
      <c r="D1039" t="s">
        <v>6146</v>
      </c>
      <c r="E1039" t="s">
        <v>6143</v>
      </c>
      <c r="F1039" t="s">
        <v>6142</v>
      </c>
      <c r="G1039" t="s">
        <v>47</v>
      </c>
      <c r="H1039">
        <v>0</v>
      </c>
      <c r="I1039" s="60" t="s">
        <v>51</v>
      </c>
      <c r="J1039" s="33" t="s">
        <v>45</v>
      </c>
      <c r="K1039" s="46">
        <v>1</v>
      </c>
      <c r="L1039">
        <v>59.3</v>
      </c>
      <c r="M1039" t="s">
        <v>48</v>
      </c>
      <c r="N1039" s="46">
        <v>1</v>
      </c>
      <c r="O1039" s="46">
        <v>0</v>
      </c>
      <c r="P1039" s="46">
        <v>0</v>
      </c>
      <c r="Q1039" t="s">
        <v>48</v>
      </c>
      <c r="R1039" t="s">
        <v>48</v>
      </c>
      <c r="S1039" t="s">
        <v>6144</v>
      </c>
      <c r="T1039" t="s">
        <v>6145</v>
      </c>
      <c r="U1039" t="s">
        <v>6144</v>
      </c>
      <c r="V1039" s="47">
        <v>0</v>
      </c>
      <c r="W1039" t="s">
        <v>48</v>
      </c>
      <c r="X1039" t="s">
        <v>48</v>
      </c>
      <c r="Y1039" t="s">
        <v>48</v>
      </c>
      <c r="Z1039">
        <v>0</v>
      </c>
      <c r="AA1039" t="s">
        <v>48</v>
      </c>
      <c r="AB1039">
        <v>2018</v>
      </c>
      <c r="AC1039" t="s">
        <v>49</v>
      </c>
      <c r="AD1039" t="s">
        <v>93</v>
      </c>
      <c r="AE1039" t="s">
        <v>4532</v>
      </c>
      <c r="AF1039" t="s">
        <v>48</v>
      </c>
      <c r="AG1039" t="s">
        <v>112</v>
      </c>
      <c r="AH1039" t="s">
        <v>93</v>
      </c>
      <c r="AI1039">
        <v>21935</v>
      </c>
      <c r="AJ1039">
        <v>1976</v>
      </c>
      <c r="AK1039" t="s">
        <v>9274</v>
      </c>
      <c r="AL1039" t="s">
        <v>9275</v>
      </c>
      <c r="AM1039">
        <v>0.442</v>
      </c>
      <c r="AN1039">
        <v>0.20499999999999999</v>
      </c>
      <c r="AO1039">
        <v>0.442</v>
      </c>
      <c r="AP1039" s="46">
        <v>0</v>
      </c>
      <c r="AQ1039" s="46">
        <v>0</v>
      </c>
      <c r="AR1039" s="46">
        <v>0</v>
      </c>
      <c r="AS1039" s="46">
        <v>0</v>
      </c>
      <c r="AT1039" s="46">
        <v>0</v>
      </c>
      <c r="AU1039" s="46">
        <v>0</v>
      </c>
      <c r="AV1039" s="46">
        <v>0</v>
      </c>
      <c r="AW1039" s="46">
        <v>0</v>
      </c>
      <c r="AX1039" s="46">
        <v>0</v>
      </c>
      <c r="AY1039" s="46">
        <v>0</v>
      </c>
      <c r="AZ1039" s="46">
        <v>1</v>
      </c>
      <c r="BA1039" s="46">
        <v>1</v>
      </c>
      <c r="BB1039" s="46">
        <v>1</v>
      </c>
      <c r="BC1039" s="46">
        <v>0</v>
      </c>
      <c r="BD1039" s="46">
        <v>0</v>
      </c>
      <c r="BE1039" s="46">
        <v>0</v>
      </c>
      <c r="BF1039" s="46">
        <v>0</v>
      </c>
      <c r="BG1039" s="46" t="s">
        <v>48</v>
      </c>
      <c r="BH1039" s="46">
        <v>0</v>
      </c>
      <c r="BI1039" s="46">
        <v>0</v>
      </c>
      <c r="BJ1039" s="46">
        <v>0</v>
      </c>
      <c r="BK1039" s="46">
        <v>0</v>
      </c>
      <c r="BL1039" s="46">
        <v>0</v>
      </c>
      <c r="BM1039" s="46">
        <v>1</v>
      </c>
      <c r="BN1039" s="46">
        <v>0</v>
      </c>
    </row>
    <row r="1040" spans="1:66" ht="15" x14ac:dyDescent="0.4">
      <c r="A1040" t="s">
        <v>6175</v>
      </c>
      <c r="B1040" s="44" t="s">
        <v>48</v>
      </c>
      <c r="C1040" t="s">
        <v>6177</v>
      </c>
      <c r="D1040" t="s">
        <v>6010</v>
      </c>
      <c r="E1040" t="s">
        <v>6176</v>
      </c>
      <c r="F1040" t="s">
        <v>6170</v>
      </c>
      <c r="G1040" t="s">
        <v>74</v>
      </c>
      <c r="H1040">
        <v>0</v>
      </c>
      <c r="I1040" s="60" t="s">
        <v>11160</v>
      </c>
      <c r="J1040" s="33" t="s">
        <v>45</v>
      </c>
      <c r="K1040" s="46">
        <v>0</v>
      </c>
      <c r="L1040">
        <v>100</v>
      </c>
      <c r="M1040" t="s">
        <v>48</v>
      </c>
      <c r="N1040" s="46">
        <v>1</v>
      </c>
      <c r="O1040" s="46">
        <v>0</v>
      </c>
      <c r="P1040" s="46">
        <v>0</v>
      </c>
      <c r="Q1040" t="s">
        <v>48</v>
      </c>
      <c r="R1040" t="s">
        <v>48</v>
      </c>
      <c r="S1040" s="55" t="s">
        <v>11279</v>
      </c>
      <c r="T1040" t="s">
        <v>48</v>
      </c>
      <c r="U1040" s="55" t="s">
        <v>11279</v>
      </c>
      <c r="V1040" s="47">
        <v>0</v>
      </c>
      <c r="W1040" t="s">
        <v>48</v>
      </c>
      <c r="X1040" t="s">
        <v>48</v>
      </c>
      <c r="Y1040" t="s">
        <v>48</v>
      </c>
      <c r="Z1040">
        <v>0</v>
      </c>
      <c r="AA1040" t="s">
        <v>48</v>
      </c>
      <c r="AB1040" t="s">
        <v>48</v>
      </c>
      <c r="AC1040" t="s">
        <v>49</v>
      </c>
      <c r="AD1040" t="s">
        <v>93</v>
      </c>
      <c r="AE1040" t="s">
        <v>4532</v>
      </c>
      <c r="AF1040" t="s">
        <v>48</v>
      </c>
      <c r="AG1040" t="s">
        <v>48</v>
      </c>
      <c r="AH1040" t="s">
        <v>48</v>
      </c>
      <c r="AI1040" t="s">
        <v>48</v>
      </c>
      <c r="AJ1040" t="s">
        <v>48</v>
      </c>
      <c r="AK1040" t="s">
        <v>48</v>
      </c>
      <c r="AL1040" t="s">
        <v>48</v>
      </c>
      <c r="AM1040" t="s">
        <v>48</v>
      </c>
      <c r="AN1040" t="s">
        <v>48</v>
      </c>
      <c r="AO1040" t="s">
        <v>48</v>
      </c>
      <c r="AP1040" s="46">
        <v>0</v>
      </c>
      <c r="AQ1040" s="46">
        <v>0</v>
      </c>
      <c r="AR1040" s="46">
        <v>0</v>
      </c>
      <c r="AS1040" s="46">
        <v>0</v>
      </c>
      <c r="AT1040" s="46">
        <v>0</v>
      </c>
      <c r="AU1040" s="46">
        <v>0</v>
      </c>
      <c r="AV1040" s="46">
        <v>0</v>
      </c>
      <c r="AW1040" s="46">
        <v>0</v>
      </c>
      <c r="AX1040" s="46">
        <v>0</v>
      </c>
      <c r="AY1040" s="46">
        <v>0</v>
      </c>
      <c r="AZ1040" s="46">
        <v>0</v>
      </c>
      <c r="BA1040" s="46">
        <v>0</v>
      </c>
      <c r="BB1040" s="46">
        <v>0</v>
      </c>
      <c r="BC1040" s="46">
        <v>0</v>
      </c>
      <c r="BD1040" s="46">
        <v>0</v>
      </c>
      <c r="BE1040" s="46">
        <v>0</v>
      </c>
      <c r="BF1040" s="46">
        <v>0</v>
      </c>
      <c r="BG1040" s="46" t="s">
        <v>48</v>
      </c>
      <c r="BH1040" s="46">
        <v>0</v>
      </c>
      <c r="BI1040" s="46">
        <v>0</v>
      </c>
      <c r="BJ1040" s="46">
        <v>0</v>
      </c>
      <c r="BK1040" s="46">
        <v>0</v>
      </c>
      <c r="BL1040" s="46">
        <v>0</v>
      </c>
      <c r="BM1040" s="46">
        <v>0</v>
      </c>
      <c r="BN1040" s="46">
        <v>0</v>
      </c>
    </row>
    <row r="1041" spans="1:66" x14ac:dyDescent="0.35">
      <c r="A1041" t="s">
        <v>6169</v>
      </c>
      <c r="B1041" s="44" t="s">
        <v>48</v>
      </c>
      <c r="C1041" t="s">
        <v>6174</v>
      </c>
      <c r="D1041" t="s">
        <v>1589</v>
      </c>
      <c r="E1041" t="s">
        <v>6171</v>
      </c>
      <c r="F1041" t="s">
        <v>6170</v>
      </c>
      <c r="G1041" t="s">
        <v>47</v>
      </c>
      <c r="H1041">
        <v>0</v>
      </c>
      <c r="I1041" s="60" t="s">
        <v>51</v>
      </c>
      <c r="J1041" s="33" t="s">
        <v>45</v>
      </c>
      <c r="K1041" s="46">
        <v>1</v>
      </c>
      <c r="L1041">
        <v>100</v>
      </c>
      <c r="M1041" t="s">
        <v>48</v>
      </c>
      <c r="N1041" s="46">
        <v>1</v>
      </c>
      <c r="O1041" s="46">
        <v>0</v>
      </c>
      <c r="P1041" s="46">
        <v>0</v>
      </c>
      <c r="Q1041" t="s">
        <v>48</v>
      </c>
      <c r="R1041" t="s">
        <v>48</v>
      </c>
      <c r="S1041" t="s">
        <v>6172</v>
      </c>
      <c r="T1041" t="s">
        <v>6173</v>
      </c>
      <c r="U1041" t="s">
        <v>6172</v>
      </c>
      <c r="V1041" s="47">
        <v>0</v>
      </c>
      <c r="W1041" t="s">
        <v>48</v>
      </c>
      <c r="X1041" t="s">
        <v>48</v>
      </c>
      <c r="Y1041" t="s">
        <v>48</v>
      </c>
      <c r="Z1041">
        <v>1</v>
      </c>
      <c r="AA1041" t="s">
        <v>48</v>
      </c>
      <c r="AB1041">
        <v>2020</v>
      </c>
      <c r="AC1041" t="s">
        <v>63</v>
      </c>
      <c r="AD1041" t="s">
        <v>93</v>
      </c>
      <c r="AE1041" t="s">
        <v>4532</v>
      </c>
      <c r="AF1041" t="s">
        <v>48</v>
      </c>
      <c r="AG1041" t="s">
        <v>48</v>
      </c>
      <c r="AH1041" t="s">
        <v>93</v>
      </c>
      <c r="AI1041">
        <v>22122</v>
      </c>
      <c r="AJ1041">
        <v>1960</v>
      </c>
      <c r="AK1041" t="s">
        <v>9276</v>
      </c>
      <c r="AL1041" t="s">
        <v>9277</v>
      </c>
      <c r="AM1041">
        <v>0.67800000000000005</v>
      </c>
      <c r="AN1041">
        <v>2.9000000000000001E-2</v>
      </c>
      <c r="AO1041">
        <v>0.67800000000000005</v>
      </c>
      <c r="AP1041" s="46">
        <v>0</v>
      </c>
      <c r="AQ1041" s="46">
        <v>0</v>
      </c>
      <c r="AR1041" s="46">
        <v>0</v>
      </c>
      <c r="AS1041" s="46">
        <v>0</v>
      </c>
      <c r="AT1041" s="46">
        <v>0</v>
      </c>
      <c r="AU1041" s="46">
        <v>0</v>
      </c>
      <c r="AV1041" s="46">
        <v>0</v>
      </c>
      <c r="AW1041" s="46">
        <v>0</v>
      </c>
      <c r="AX1041" s="46">
        <v>0</v>
      </c>
      <c r="AY1041" s="46">
        <v>0</v>
      </c>
      <c r="AZ1041" s="46">
        <v>0</v>
      </c>
      <c r="BA1041" s="46">
        <v>0</v>
      </c>
      <c r="BB1041" s="46">
        <v>1</v>
      </c>
      <c r="BC1041" s="46">
        <v>0</v>
      </c>
      <c r="BD1041" s="46">
        <v>0</v>
      </c>
      <c r="BE1041" s="46">
        <v>0</v>
      </c>
      <c r="BF1041" s="46">
        <v>0</v>
      </c>
      <c r="BG1041" s="46" t="s">
        <v>48</v>
      </c>
      <c r="BH1041" s="46">
        <v>0</v>
      </c>
      <c r="BI1041" s="46">
        <v>0</v>
      </c>
      <c r="BJ1041" s="46">
        <v>0</v>
      </c>
      <c r="BK1041" s="46">
        <v>0</v>
      </c>
      <c r="BL1041" s="46">
        <v>0</v>
      </c>
      <c r="BM1041" s="46">
        <v>0</v>
      </c>
      <c r="BN1041" s="46">
        <v>1</v>
      </c>
    </row>
    <row r="1042" spans="1:66" ht="15" x14ac:dyDescent="0.4">
      <c r="A1042" t="s">
        <v>6184</v>
      </c>
      <c r="B1042" s="44" t="s">
        <v>48</v>
      </c>
      <c r="C1042" t="s">
        <v>6186</v>
      </c>
      <c r="D1042" t="s">
        <v>655</v>
      </c>
      <c r="E1042" t="s">
        <v>6185</v>
      </c>
      <c r="F1042" t="s">
        <v>6179</v>
      </c>
      <c r="G1042" t="s">
        <v>74</v>
      </c>
      <c r="H1042">
        <v>0</v>
      </c>
      <c r="I1042" s="60" t="s">
        <v>11160</v>
      </c>
      <c r="J1042" s="33" t="s">
        <v>45</v>
      </c>
      <c r="K1042" s="46">
        <v>0</v>
      </c>
      <c r="L1042">
        <v>100</v>
      </c>
      <c r="M1042" t="s">
        <v>48</v>
      </c>
      <c r="N1042" s="46">
        <v>1</v>
      </c>
      <c r="O1042" s="46">
        <v>0</v>
      </c>
      <c r="P1042" s="46">
        <v>0</v>
      </c>
      <c r="Q1042" t="s">
        <v>48</v>
      </c>
      <c r="R1042" t="s">
        <v>48</v>
      </c>
      <c r="S1042" s="55" t="s">
        <v>11280</v>
      </c>
      <c r="T1042" t="s">
        <v>48</v>
      </c>
      <c r="U1042" s="55" t="s">
        <v>11280</v>
      </c>
      <c r="V1042" s="47">
        <v>0</v>
      </c>
      <c r="W1042" t="s">
        <v>48</v>
      </c>
      <c r="X1042" t="s">
        <v>48</v>
      </c>
      <c r="Y1042" t="s">
        <v>48</v>
      </c>
      <c r="Z1042">
        <v>0</v>
      </c>
      <c r="AA1042" t="s">
        <v>48</v>
      </c>
      <c r="AB1042" t="s">
        <v>48</v>
      </c>
      <c r="AC1042" t="s">
        <v>49</v>
      </c>
      <c r="AD1042" t="s">
        <v>93</v>
      </c>
      <c r="AE1042" t="s">
        <v>4532</v>
      </c>
      <c r="AF1042" t="s">
        <v>48</v>
      </c>
      <c r="AG1042" t="s">
        <v>48</v>
      </c>
      <c r="AH1042" t="s">
        <v>48</v>
      </c>
      <c r="AI1042" t="s">
        <v>48</v>
      </c>
      <c r="AJ1042" t="s">
        <v>48</v>
      </c>
      <c r="AK1042" t="s">
        <v>48</v>
      </c>
      <c r="AL1042" t="s">
        <v>48</v>
      </c>
      <c r="AM1042" t="s">
        <v>48</v>
      </c>
      <c r="AN1042" t="s">
        <v>48</v>
      </c>
      <c r="AO1042" t="s">
        <v>48</v>
      </c>
      <c r="AP1042" s="46">
        <v>0</v>
      </c>
      <c r="AQ1042" s="46">
        <v>0</v>
      </c>
      <c r="AR1042" s="46">
        <v>0</v>
      </c>
      <c r="AS1042" s="46">
        <v>0</v>
      </c>
      <c r="AT1042" s="46">
        <v>0</v>
      </c>
      <c r="AU1042" s="46">
        <v>0</v>
      </c>
      <c r="AV1042" s="46">
        <v>0</v>
      </c>
      <c r="AW1042" s="46">
        <v>0</v>
      </c>
      <c r="AX1042" s="46">
        <v>0</v>
      </c>
      <c r="AY1042" s="46">
        <v>0</v>
      </c>
      <c r="AZ1042" s="46">
        <v>0</v>
      </c>
      <c r="BA1042" s="46">
        <v>0</v>
      </c>
      <c r="BB1042" s="46">
        <v>0</v>
      </c>
      <c r="BC1042" s="46">
        <v>0</v>
      </c>
      <c r="BD1042" s="46">
        <v>0</v>
      </c>
      <c r="BE1042" s="46">
        <v>0</v>
      </c>
      <c r="BF1042" s="46">
        <v>0</v>
      </c>
      <c r="BG1042" s="46" t="s">
        <v>48</v>
      </c>
      <c r="BH1042" s="46">
        <v>0</v>
      </c>
      <c r="BI1042" s="46">
        <v>0</v>
      </c>
      <c r="BJ1042" s="46">
        <v>0</v>
      </c>
      <c r="BK1042" s="46">
        <v>0</v>
      </c>
      <c r="BL1042" s="46">
        <v>0</v>
      </c>
      <c r="BM1042" s="46">
        <v>0</v>
      </c>
      <c r="BN1042" s="46">
        <v>0</v>
      </c>
    </row>
    <row r="1043" spans="1:66" x14ac:dyDescent="0.35">
      <c r="A1043" t="s">
        <v>6178</v>
      </c>
      <c r="B1043" s="44" t="s">
        <v>48</v>
      </c>
      <c r="C1043" t="s">
        <v>6183</v>
      </c>
      <c r="D1043" t="s">
        <v>198</v>
      </c>
      <c r="E1043" t="s">
        <v>6180</v>
      </c>
      <c r="F1043" t="s">
        <v>6179</v>
      </c>
      <c r="G1043" t="s">
        <v>47</v>
      </c>
      <c r="H1043">
        <v>0</v>
      </c>
      <c r="I1043" s="60" t="s">
        <v>51</v>
      </c>
      <c r="J1043" s="33" t="s">
        <v>45</v>
      </c>
      <c r="K1043" s="46">
        <v>1</v>
      </c>
      <c r="L1043">
        <v>100</v>
      </c>
      <c r="M1043" t="s">
        <v>48</v>
      </c>
      <c r="N1043" s="46">
        <v>1</v>
      </c>
      <c r="O1043" s="46">
        <v>0</v>
      </c>
      <c r="P1043" s="46">
        <v>0</v>
      </c>
      <c r="Q1043" t="s">
        <v>48</v>
      </c>
      <c r="R1043" t="s">
        <v>48</v>
      </c>
      <c r="S1043" t="s">
        <v>6181</v>
      </c>
      <c r="T1043" t="s">
        <v>6182</v>
      </c>
      <c r="U1043" t="s">
        <v>6181</v>
      </c>
      <c r="V1043" s="47">
        <v>0</v>
      </c>
      <c r="W1043" t="s">
        <v>48</v>
      </c>
      <c r="X1043" t="s">
        <v>48</v>
      </c>
      <c r="Y1043" t="s">
        <v>48</v>
      </c>
      <c r="Z1043">
        <v>0</v>
      </c>
      <c r="AA1043" t="s">
        <v>48</v>
      </c>
      <c r="AB1043">
        <v>2018</v>
      </c>
      <c r="AC1043" t="s">
        <v>49</v>
      </c>
      <c r="AD1043" t="s">
        <v>93</v>
      </c>
      <c r="AE1043" t="s">
        <v>4532</v>
      </c>
      <c r="AF1043" t="s">
        <v>48</v>
      </c>
      <c r="AG1043" t="s">
        <v>466</v>
      </c>
      <c r="AH1043" t="s">
        <v>93</v>
      </c>
      <c r="AI1043">
        <v>21905</v>
      </c>
      <c r="AJ1043">
        <v>1964</v>
      </c>
      <c r="AK1043" t="s">
        <v>9278</v>
      </c>
      <c r="AL1043" t="s">
        <v>9279</v>
      </c>
      <c r="AM1043">
        <v>0.67400000000000004</v>
      </c>
      <c r="AN1043">
        <v>-0.32900000000000001</v>
      </c>
      <c r="AO1043">
        <v>0.67400000000000004</v>
      </c>
      <c r="AP1043" s="46">
        <v>0</v>
      </c>
      <c r="AQ1043" s="46">
        <v>0</v>
      </c>
      <c r="AR1043" s="46">
        <v>0</v>
      </c>
      <c r="AS1043" s="46">
        <v>0</v>
      </c>
      <c r="AT1043" s="46">
        <v>0</v>
      </c>
      <c r="AU1043" s="46">
        <v>0</v>
      </c>
      <c r="AV1043" s="46">
        <v>0</v>
      </c>
      <c r="AW1043" s="46">
        <v>0</v>
      </c>
      <c r="AX1043" s="46">
        <v>0</v>
      </c>
      <c r="AY1043" s="46">
        <v>0</v>
      </c>
      <c r="AZ1043" s="46">
        <v>0</v>
      </c>
      <c r="BA1043" s="46">
        <v>0</v>
      </c>
      <c r="BB1043" s="46">
        <v>1</v>
      </c>
      <c r="BC1043" s="46">
        <v>0</v>
      </c>
      <c r="BD1043" s="46">
        <v>0</v>
      </c>
      <c r="BE1043" s="46">
        <v>0</v>
      </c>
      <c r="BF1043" s="46">
        <v>0</v>
      </c>
      <c r="BG1043" s="46">
        <v>1</v>
      </c>
      <c r="BH1043" s="46">
        <v>0</v>
      </c>
      <c r="BI1043" s="46">
        <v>0</v>
      </c>
      <c r="BJ1043" s="46">
        <v>0</v>
      </c>
      <c r="BK1043" s="46">
        <v>0</v>
      </c>
      <c r="BL1043" s="46">
        <v>0</v>
      </c>
      <c r="BM1043" s="46">
        <v>0</v>
      </c>
      <c r="BN1043" s="46">
        <v>1</v>
      </c>
    </row>
    <row r="1044" spans="1:66" x14ac:dyDescent="0.35">
      <c r="A1044" t="s">
        <v>6191</v>
      </c>
      <c r="B1044" s="44" t="s">
        <v>48</v>
      </c>
      <c r="C1044" t="s">
        <v>6195</v>
      </c>
      <c r="D1044" t="s">
        <v>1577</v>
      </c>
      <c r="E1044" t="s">
        <v>6192</v>
      </c>
      <c r="F1044" t="s">
        <v>6187</v>
      </c>
      <c r="G1044" t="s">
        <v>47</v>
      </c>
      <c r="H1044">
        <v>0</v>
      </c>
      <c r="I1044" s="60" t="s">
        <v>51</v>
      </c>
      <c r="J1044" s="33" t="s">
        <v>45</v>
      </c>
      <c r="K1044" s="46">
        <v>1</v>
      </c>
      <c r="L1044">
        <v>79.3</v>
      </c>
      <c r="M1044" t="s">
        <v>48</v>
      </c>
      <c r="N1044" s="46">
        <v>1</v>
      </c>
      <c r="O1044" s="46">
        <v>0</v>
      </c>
      <c r="P1044" s="46">
        <v>0</v>
      </c>
      <c r="Q1044" t="s">
        <v>48</v>
      </c>
      <c r="R1044" t="s">
        <v>48</v>
      </c>
      <c r="S1044" t="s">
        <v>6193</v>
      </c>
      <c r="T1044" t="s">
        <v>6194</v>
      </c>
      <c r="U1044" t="s">
        <v>6193</v>
      </c>
      <c r="V1044" s="47">
        <v>0</v>
      </c>
      <c r="W1044" t="s">
        <v>48</v>
      </c>
      <c r="X1044" t="s">
        <v>48</v>
      </c>
      <c r="Y1044" t="s">
        <v>48</v>
      </c>
      <c r="Z1044">
        <v>0</v>
      </c>
      <c r="AA1044" t="s">
        <v>48</v>
      </c>
      <c r="AB1044">
        <v>2010</v>
      </c>
      <c r="AC1044" t="s">
        <v>49</v>
      </c>
      <c r="AD1044" t="s">
        <v>93</v>
      </c>
      <c r="AE1044" t="s">
        <v>4532</v>
      </c>
      <c r="AF1044" t="s">
        <v>48</v>
      </c>
      <c r="AG1044" t="s">
        <v>140</v>
      </c>
      <c r="AH1044" t="s">
        <v>93</v>
      </c>
      <c r="AI1044">
        <v>21178</v>
      </c>
      <c r="AJ1044">
        <v>1962</v>
      </c>
      <c r="AK1044" t="s">
        <v>9280</v>
      </c>
      <c r="AL1044" t="s">
        <v>9281</v>
      </c>
      <c r="AM1044">
        <v>0.45800000000000002</v>
      </c>
      <c r="AN1044">
        <v>0.28999999999999998</v>
      </c>
      <c r="AO1044">
        <v>0.45800000000000002</v>
      </c>
      <c r="AP1044" s="46">
        <v>0</v>
      </c>
      <c r="AQ1044" s="46">
        <v>0</v>
      </c>
      <c r="AR1044" s="46">
        <v>0</v>
      </c>
      <c r="AS1044" s="46">
        <v>0</v>
      </c>
      <c r="AT1044" s="46">
        <v>0</v>
      </c>
      <c r="AU1044" s="46">
        <v>0</v>
      </c>
      <c r="AV1044" s="46">
        <v>0</v>
      </c>
      <c r="AW1044" s="46">
        <v>0</v>
      </c>
      <c r="AX1044" s="46">
        <v>0</v>
      </c>
      <c r="AY1044" s="46">
        <v>0</v>
      </c>
      <c r="AZ1044" s="46">
        <v>0</v>
      </c>
      <c r="BA1044" s="46">
        <v>0</v>
      </c>
      <c r="BB1044" s="46">
        <v>1</v>
      </c>
      <c r="BC1044" s="46">
        <v>0</v>
      </c>
      <c r="BD1044" s="46">
        <v>0</v>
      </c>
      <c r="BE1044" s="46">
        <v>0</v>
      </c>
      <c r="BF1044" s="46">
        <v>0</v>
      </c>
      <c r="BG1044" s="46">
        <v>1</v>
      </c>
      <c r="BH1044" s="46">
        <v>0</v>
      </c>
      <c r="BI1044" s="46">
        <v>0</v>
      </c>
      <c r="BJ1044" s="46">
        <v>0</v>
      </c>
      <c r="BK1044" s="46">
        <v>0</v>
      </c>
      <c r="BL1044" s="46">
        <v>0</v>
      </c>
      <c r="BM1044" s="46">
        <v>0</v>
      </c>
      <c r="BN1044" s="46">
        <v>0</v>
      </c>
    </row>
    <row r="1045" spans="1:66" x14ac:dyDescent="0.35">
      <c r="A1045" t="s">
        <v>6196</v>
      </c>
      <c r="B1045" s="44" t="s">
        <v>48</v>
      </c>
      <c r="C1045" t="s">
        <v>6200</v>
      </c>
      <c r="D1045" t="s">
        <v>6199</v>
      </c>
      <c r="E1045" t="s">
        <v>6197</v>
      </c>
      <c r="F1045" t="s">
        <v>6187</v>
      </c>
      <c r="G1045" t="s">
        <v>74</v>
      </c>
      <c r="H1045">
        <v>0</v>
      </c>
      <c r="I1045" s="60" t="s">
        <v>51</v>
      </c>
      <c r="J1045" s="33" t="s">
        <v>45</v>
      </c>
      <c r="K1045" s="46">
        <v>0</v>
      </c>
      <c r="L1045">
        <v>100</v>
      </c>
      <c r="M1045" t="s">
        <v>48</v>
      </c>
      <c r="N1045" s="46">
        <v>1</v>
      </c>
      <c r="O1045" s="46">
        <v>0</v>
      </c>
      <c r="P1045" s="46">
        <v>0</v>
      </c>
      <c r="Q1045" t="s">
        <v>48</v>
      </c>
      <c r="R1045" t="s">
        <v>48</v>
      </c>
      <c r="S1045" t="s">
        <v>6198</v>
      </c>
      <c r="T1045" t="s">
        <v>48</v>
      </c>
      <c r="U1045" t="s">
        <v>6198</v>
      </c>
      <c r="V1045" s="47">
        <v>0</v>
      </c>
      <c r="W1045" t="s">
        <v>48</v>
      </c>
      <c r="X1045" t="s">
        <v>48</v>
      </c>
      <c r="Y1045" t="s">
        <v>48</v>
      </c>
      <c r="Z1045">
        <v>0</v>
      </c>
      <c r="AA1045" t="s">
        <v>48</v>
      </c>
      <c r="AB1045" t="s">
        <v>48</v>
      </c>
      <c r="AC1045" t="s">
        <v>63</v>
      </c>
      <c r="AD1045" t="s">
        <v>93</v>
      </c>
      <c r="AE1045" t="s">
        <v>4532</v>
      </c>
      <c r="AF1045" t="s">
        <v>48</v>
      </c>
      <c r="AG1045" t="s">
        <v>48</v>
      </c>
      <c r="AH1045" t="s">
        <v>48</v>
      </c>
      <c r="AI1045" t="s">
        <v>48</v>
      </c>
      <c r="AJ1045" t="s">
        <v>48</v>
      </c>
      <c r="AK1045" t="s">
        <v>48</v>
      </c>
      <c r="AL1045" t="s">
        <v>48</v>
      </c>
      <c r="AM1045" t="s">
        <v>48</v>
      </c>
      <c r="AN1045" t="s">
        <v>48</v>
      </c>
      <c r="AO1045" t="s">
        <v>48</v>
      </c>
      <c r="AP1045" s="46">
        <v>0</v>
      </c>
      <c r="AQ1045" s="46">
        <v>0</v>
      </c>
      <c r="AR1045" s="46">
        <v>0</v>
      </c>
      <c r="AS1045" s="46">
        <v>0</v>
      </c>
      <c r="AT1045" s="46">
        <v>0</v>
      </c>
      <c r="AU1045" s="46">
        <v>0</v>
      </c>
      <c r="AV1045" s="46">
        <v>0</v>
      </c>
      <c r="AW1045" s="46">
        <v>0</v>
      </c>
      <c r="AX1045" s="46">
        <v>0</v>
      </c>
      <c r="AY1045" s="46">
        <v>0</v>
      </c>
      <c r="AZ1045" s="46">
        <v>0</v>
      </c>
      <c r="BA1045" s="46">
        <v>0</v>
      </c>
      <c r="BB1045" s="46">
        <v>0</v>
      </c>
      <c r="BC1045" s="46">
        <v>0</v>
      </c>
      <c r="BD1045" s="46">
        <v>0</v>
      </c>
      <c r="BE1045" s="46">
        <v>0</v>
      </c>
      <c r="BF1045" s="46">
        <v>0</v>
      </c>
      <c r="BG1045" s="46" t="s">
        <v>48</v>
      </c>
      <c r="BH1045" s="46">
        <v>0</v>
      </c>
      <c r="BI1045" s="46">
        <v>0</v>
      </c>
      <c r="BJ1045" s="46">
        <v>0</v>
      </c>
      <c r="BK1045" s="46">
        <v>0</v>
      </c>
      <c r="BL1045" s="46">
        <v>0</v>
      </c>
      <c r="BM1045" s="46">
        <v>0</v>
      </c>
      <c r="BN1045" s="46">
        <v>0</v>
      </c>
    </row>
    <row r="1046" spans="1:66" x14ac:dyDescent="0.35">
      <c r="A1046" t="s">
        <v>6202</v>
      </c>
      <c r="B1046" s="44" t="s">
        <v>48</v>
      </c>
      <c r="C1046" t="s">
        <v>6206</v>
      </c>
      <c r="D1046" t="s">
        <v>885</v>
      </c>
      <c r="E1046" t="s">
        <v>6203</v>
      </c>
      <c r="F1046" t="s">
        <v>6201</v>
      </c>
      <c r="G1046" t="s">
        <v>47</v>
      </c>
      <c r="H1046">
        <v>0</v>
      </c>
      <c r="I1046" s="60" t="s">
        <v>51</v>
      </c>
      <c r="J1046" s="33" t="s">
        <v>45</v>
      </c>
      <c r="K1046" s="46">
        <v>1</v>
      </c>
      <c r="L1046">
        <v>100</v>
      </c>
      <c r="M1046" t="s">
        <v>48</v>
      </c>
      <c r="N1046" s="46">
        <v>1</v>
      </c>
      <c r="O1046" s="46">
        <v>0</v>
      </c>
      <c r="P1046" s="46">
        <v>0</v>
      </c>
      <c r="Q1046" t="s">
        <v>48</v>
      </c>
      <c r="R1046" t="s">
        <v>48</v>
      </c>
      <c r="S1046" t="s">
        <v>6204</v>
      </c>
      <c r="T1046" t="s">
        <v>6205</v>
      </c>
      <c r="U1046" t="s">
        <v>6204</v>
      </c>
      <c r="V1046" s="47">
        <v>0</v>
      </c>
      <c r="W1046" t="s">
        <v>48</v>
      </c>
      <c r="X1046" t="s">
        <v>48</v>
      </c>
      <c r="Y1046" t="s">
        <v>48</v>
      </c>
      <c r="Z1046">
        <v>0</v>
      </c>
      <c r="AA1046" t="s">
        <v>48</v>
      </c>
      <c r="AB1046">
        <v>2010</v>
      </c>
      <c r="AC1046" t="s">
        <v>49</v>
      </c>
      <c r="AD1046" t="s">
        <v>93</v>
      </c>
      <c r="AE1046" t="s">
        <v>4532</v>
      </c>
      <c r="AF1046" t="s">
        <v>48</v>
      </c>
      <c r="AG1046" t="s">
        <v>119</v>
      </c>
      <c r="AH1046" t="s">
        <v>93</v>
      </c>
      <c r="AI1046">
        <v>21179</v>
      </c>
      <c r="AJ1046">
        <v>1964</v>
      </c>
      <c r="AK1046" t="s">
        <v>9282</v>
      </c>
      <c r="AL1046" t="s">
        <v>9283</v>
      </c>
      <c r="AM1046">
        <v>0.57999999999999996</v>
      </c>
      <c r="AN1046">
        <v>-8.2000000000000003E-2</v>
      </c>
      <c r="AO1046">
        <v>0.57999999999999996</v>
      </c>
      <c r="AP1046" s="46">
        <v>0</v>
      </c>
      <c r="AQ1046" s="46">
        <v>0</v>
      </c>
      <c r="AR1046" s="46">
        <v>0</v>
      </c>
      <c r="AS1046" s="46">
        <v>0</v>
      </c>
      <c r="AT1046" s="46">
        <v>0</v>
      </c>
      <c r="AU1046" s="46">
        <v>0</v>
      </c>
      <c r="AV1046" s="46">
        <v>0</v>
      </c>
      <c r="AW1046" s="46">
        <v>0</v>
      </c>
      <c r="AX1046" s="46">
        <v>0</v>
      </c>
      <c r="AY1046" s="46">
        <v>0</v>
      </c>
      <c r="AZ1046" s="46">
        <v>0</v>
      </c>
      <c r="BA1046" s="46">
        <v>0</v>
      </c>
      <c r="BB1046" s="46">
        <v>1</v>
      </c>
      <c r="BC1046" s="46">
        <v>0</v>
      </c>
      <c r="BD1046" s="46">
        <v>0</v>
      </c>
      <c r="BE1046" s="46">
        <v>0</v>
      </c>
      <c r="BF1046" s="46">
        <v>1</v>
      </c>
      <c r="BG1046" s="46">
        <v>1</v>
      </c>
      <c r="BH1046" s="46">
        <v>0</v>
      </c>
      <c r="BI1046" s="46">
        <v>0</v>
      </c>
      <c r="BJ1046" s="46">
        <v>0</v>
      </c>
      <c r="BK1046" s="46">
        <v>0</v>
      </c>
      <c r="BL1046" s="46">
        <v>0</v>
      </c>
      <c r="BM1046" s="46">
        <v>0</v>
      </c>
      <c r="BN1046" s="46">
        <v>0</v>
      </c>
    </row>
    <row r="1047" spans="1:66" x14ac:dyDescent="0.35">
      <c r="A1047" t="s">
        <v>10841</v>
      </c>
      <c r="B1047" s="44" t="s">
        <v>48</v>
      </c>
      <c r="C1047" t="s">
        <v>4597</v>
      </c>
      <c r="D1047" t="s">
        <v>2229</v>
      </c>
      <c r="E1047" t="s">
        <v>10842</v>
      </c>
      <c r="F1047" t="s">
        <v>6201</v>
      </c>
      <c r="G1047" t="s">
        <v>74</v>
      </c>
      <c r="H1047">
        <v>0</v>
      </c>
      <c r="I1047" s="61">
        <v>44789</v>
      </c>
      <c r="J1047" s="33" t="s">
        <v>45</v>
      </c>
      <c r="K1047" s="46">
        <v>0</v>
      </c>
      <c r="L1047">
        <v>65.099999999999994</v>
      </c>
      <c r="M1047" t="s">
        <v>48</v>
      </c>
      <c r="N1047" s="46">
        <v>1</v>
      </c>
      <c r="O1047" s="46">
        <v>0</v>
      </c>
      <c r="P1047" s="46">
        <v>0</v>
      </c>
      <c r="Q1047" t="s">
        <v>48</v>
      </c>
      <c r="R1047" t="s">
        <v>48</v>
      </c>
      <c r="S1047" t="s">
        <v>48</v>
      </c>
      <c r="T1047" t="s">
        <v>48</v>
      </c>
      <c r="U1047" t="s">
        <v>48</v>
      </c>
      <c r="V1047" s="47">
        <v>1</v>
      </c>
      <c r="W1047" t="s">
        <v>11264</v>
      </c>
      <c r="X1047" t="s">
        <v>48</v>
      </c>
      <c r="Y1047" t="s">
        <v>48</v>
      </c>
      <c r="Z1047">
        <v>0</v>
      </c>
      <c r="AA1047" t="s">
        <v>48</v>
      </c>
      <c r="AB1047" t="s">
        <v>48</v>
      </c>
      <c r="AC1047" t="s">
        <v>49</v>
      </c>
      <c r="AD1047" t="s">
        <v>93</v>
      </c>
      <c r="AE1047" t="s">
        <v>4532</v>
      </c>
      <c r="AF1047" t="s">
        <v>48</v>
      </c>
      <c r="AG1047" t="s">
        <v>48</v>
      </c>
      <c r="AH1047" t="s">
        <v>48</v>
      </c>
      <c r="AI1047" t="s">
        <v>48</v>
      </c>
      <c r="AJ1047" t="s">
        <v>48</v>
      </c>
      <c r="AK1047" t="s">
        <v>48</v>
      </c>
      <c r="AL1047" t="s">
        <v>48</v>
      </c>
      <c r="AM1047" t="s">
        <v>48</v>
      </c>
      <c r="AN1047" t="s">
        <v>48</v>
      </c>
      <c r="AO1047" t="s">
        <v>48</v>
      </c>
      <c r="AP1047" s="46">
        <v>0</v>
      </c>
      <c r="AQ1047" s="46">
        <v>0</v>
      </c>
      <c r="AR1047" s="46">
        <v>0</v>
      </c>
      <c r="AS1047" s="46">
        <v>0</v>
      </c>
      <c r="AT1047" s="46">
        <v>0</v>
      </c>
      <c r="AU1047" s="46">
        <v>0</v>
      </c>
      <c r="AV1047" s="46">
        <v>0</v>
      </c>
      <c r="AW1047" s="46">
        <v>0</v>
      </c>
      <c r="AX1047" s="46">
        <v>0</v>
      </c>
      <c r="AY1047" s="46">
        <v>0</v>
      </c>
      <c r="AZ1047" s="46">
        <v>0</v>
      </c>
      <c r="BA1047" s="46">
        <v>0</v>
      </c>
      <c r="BB1047" s="46">
        <v>0</v>
      </c>
      <c r="BC1047" s="46">
        <v>0</v>
      </c>
      <c r="BD1047" s="46">
        <v>0</v>
      </c>
      <c r="BE1047" s="46">
        <v>0</v>
      </c>
      <c r="BF1047" s="46">
        <v>0</v>
      </c>
      <c r="BG1047" s="46" t="s">
        <v>48</v>
      </c>
      <c r="BH1047" s="46">
        <v>0</v>
      </c>
      <c r="BI1047" s="46">
        <v>0</v>
      </c>
      <c r="BJ1047" s="46">
        <v>0</v>
      </c>
      <c r="BK1047" s="46">
        <v>0</v>
      </c>
      <c r="BL1047" s="46">
        <v>0</v>
      </c>
      <c r="BM1047" s="46">
        <v>0</v>
      </c>
      <c r="BN1047" s="46">
        <v>0</v>
      </c>
    </row>
    <row r="1048" spans="1:66" x14ac:dyDescent="0.35">
      <c r="A1048" t="s">
        <v>10847</v>
      </c>
      <c r="B1048" t="s">
        <v>48</v>
      </c>
      <c r="C1048" t="s">
        <v>12313</v>
      </c>
      <c r="D1048" t="s">
        <v>684</v>
      </c>
      <c r="E1048" t="s">
        <v>10848</v>
      </c>
      <c r="F1048" t="s">
        <v>6208</v>
      </c>
      <c r="G1048" t="s">
        <v>47</v>
      </c>
      <c r="H1048">
        <v>0</v>
      </c>
      <c r="I1048" s="60" t="s">
        <v>11552</v>
      </c>
      <c r="J1048" s="33" t="s">
        <v>45</v>
      </c>
      <c r="K1048" s="46">
        <v>0</v>
      </c>
      <c r="L1048">
        <v>36.9</v>
      </c>
      <c r="M1048" t="s">
        <v>48</v>
      </c>
      <c r="N1048" s="46">
        <v>1</v>
      </c>
      <c r="O1048" s="46">
        <v>0</v>
      </c>
      <c r="P1048" s="46">
        <v>0</v>
      </c>
      <c r="Q1048" t="s">
        <v>48</v>
      </c>
      <c r="R1048" t="s">
        <v>48</v>
      </c>
      <c r="S1048" t="s">
        <v>11539</v>
      </c>
      <c r="T1048" t="s">
        <v>48</v>
      </c>
      <c r="U1048" t="s">
        <v>10849</v>
      </c>
      <c r="V1048" s="47">
        <v>0</v>
      </c>
      <c r="W1048" t="s">
        <v>48</v>
      </c>
      <c r="X1048" t="s">
        <v>48</v>
      </c>
      <c r="Y1048" t="s">
        <v>48</v>
      </c>
      <c r="Z1048">
        <v>0</v>
      </c>
      <c r="AA1048" t="s">
        <v>48</v>
      </c>
      <c r="AB1048" t="s">
        <v>48</v>
      </c>
      <c r="AC1048" t="s">
        <v>49</v>
      </c>
      <c r="AD1048" t="s">
        <v>93</v>
      </c>
      <c r="AE1048" t="s">
        <v>4532</v>
      </c>
      <c r="AF1048" t="s">
        <v>48</v>
      </c>
      <c r="AG1048" t="s">
        <v>48</v>
      </c>
      <c r="AH1048" t="s">
        <v>48</v>
      </c>
      <c r="AI1048" t="s">
        <v>48</v>
      </c>
      <c r="AJ1048" t="s">
        <v>48</v>
      </c>
      <c r="AK1048" t="s">
        <v>48</v>
      </c>
      <c r="AL1048" t="s">
        <v>48</v>
      </c>
      <c r="AM1048" t="s">
        <v>48</v>
      </c>
      <c r="AN1048" t="s">
        <v>48</v>
      </c>
      <c r="AO1048" t="s">
        <v>48</v>
      </c>
      <c r="AP1048" s="46">
        <v>0</v>
      </c>
      <c r="AQ1048" s="46">
        <v>0</v>
      </c>
      <c r="AR1048" s="46">
        <v>0</v>
      </c>
      <c r="AS1048" s="46">
        <v>0</v>
      </c>
      <c r="AT1048" s="46">
        <v>0</v>
      </c>
      <c r="AU1048" s="46">
        <v>0</v>
      </c>
      <c r="AV1048" s="46">
        <v>0</v>
      </c>
      <c r="AW1048" s="46">
        <v>0</v>
      </c>
      <c r="AX1048" s="46">
        <v>0</v>
      </c>
      <c r="AY1048" s="46">
        <v>0</v>
      </c>
      <c r="AZ1048" s="46">
        <v>0</v>
      </c>
      <c r="BA1048" s="46">
        <v>0</v>
      </c>
      <c r="BB1048" s="46">
        <v>0</v>
      </c>
      <c r="BC1048" s="46">
        <v>0</v>
      </c>
      <c r="BD1048" s="46">
        <v>0</v>
      </c>
      <c r="BE1048" s="46">
        <v>0</v>
      </c>
      <c r="BF1048" s="46">
        <v>0</v>
      </c>
      <c r="BG1048" s="46">
        <v>1</v>
      </c>
      <c r="BH1048" s="46">
        <v>0</v>
      </c>
      <c r="BI1048" s="46">
        <v>0</v>
      </c>
      <c r="BJ1048" s="46">
        <v>0</v>
      </c>
      <c r="BK1048" s="46">
        <v>0</v>
      </c>
      <c r="BL1048" s="46">
        <v>0</v>
      </c>
      <c r="BM1048" s="46">
        <v>0</v>
      </c>
      <c r="BN1048" s="46">
        <v>0</v>
      </c>
    </row>
    <row r="1049" spans="1:66" ht="15" x14ac:dyDescent="0.4">
      <c r="A1049" t="s">
        <v>10845</v>
      </c>
      <c r="B1049" s="44" t="s">
        <v>48</v>
      </c>
      <c r="C1049" t="s">
        <v>12048</v>
      </c>
      <c r="D1049" t="s">
        <v>7478</v>
      </c>
      <c r="E1049" t="s">
        <v>10846</v>
      </c>
      <c r="F1049" t="s">
        <v>6208</v>
      </c>
      <c r="G1049" t="s">
        <v>74</v>
      </c>
      <c r="H1049">
        <v>0</v>
      </c>
      <c r="I1049" s="61" t="s">
        <v>11160</v>
      </c>
      <c r="J1049" s="33" t="s">
        <v>45</v>
      </c>
      <c r="K1049" s="46">
        <v>0</v>
      </c>
      <c r="L1049">
        <v>100</v>
      </c>
      <c r="M1049" t="s">
        <v>48</v>
      </c>
      <c r="N1049" s="46">
        <v>1</v>
      </c>
      <c r="O1049" s="46">
        <v>0</v>
      </c>
      <c r="P1049" s="46">
        <v>0</v>
      </c>
      <c r="Q1049" t="s">
        <v>48</v>
      </c>
      <c r="R1049" t="s">
        <v>48</v>
      </c>
      <c r="S1049" s="55" t="s">
        <v>11281</v>
      </c>
      <c r="T1049" t="s">
        <v>48</v>
      </c>
      <c r="U1049" s="55" t="s">
        <v>11281</v>
      </c>
      <c r="V1049" s="47">
        <v>1</v>
      </c>
      <c r="W1049" t="s">
        <v>48</v>
      </c>
      <c r="X1049" t="s">
        <v>48</v>
      </c>
      <c r="Y1049" t="s">
        <v>48</v>
      </c>
      <c r="Z1049">
        <v>0</v>
      </c>
      <c r="AA1049" t="s">
        <v>48</v>
      </c>
      <c r="AB1049" t="s">
        <v>48</v>
      </c>
      <c r="AC1049" t="s">
        <v>63</v>
      </c>
      <c r="AD1049" t="s">
        <v>93</v>
      </c>
      <c r="AE1049" t="s">
        <v>4532</v>
      </c>
      <c r="AF1049" t="s">
        <v>48</v>
      </c>
      <c r="AG1049" t="s">
        <v>48</v>
      </c>
      <c r="AH1049" t="s">
        <v>48</v>
      </c>
      <c r="AI1049" t="s">
        <v>48</v>
      </c>
      <c r="AJ1049" t="s">
        <v>48</v>
      </c>
      <c r="AK1049" t="s">
        <v>48</v>
      </c>
      <c r="AL1049" t="s">
        <v>48</v>
      </c>
      <c r="AM1049" t="s">
        <v>48</v>
      </c>
      <c r="AN1049" t="s">
        <v>48</v>
      </c>
      <c r="AO1049" t="s">
        <v>48</v>
      </c>
      <c r="AP1049" s="46">
        <v>0</v>
      </c>
      <c r="AQ1049" s="46">
        <v>0</v>
      </c>
      <c r="AR1049" s="46">
        <v>0</v>
      </c>
      <c r="AS1049" s="46">
        <v>0</v>
      </c>
      <c r="AT1049" s="46">
        <v>0</v>
      </c>
      <c r="AU1049" s="46">
        <v>0</v>
      </c>
      <c r="AV1049" s="46">
        <v>0</v>
      </c>
      <c r="AW1049" s="46">
        <v>0</v>
      </c>
      <c r="AX1049" s="46">
        <v>0</v>
      </c>
      <c r="AY1049" s="46">
        <v>0</v>
      </c>
      <c r="AZ1049" s="46">
        <v>0</v>
      </c>
      <c r="BA1049" s="46">
        <v>0</v>
      </c>
      <c r="BB1049" s="46">
        <v>0</v>
      </c>
      <c r="BC1049" s="46">
        <v>0</v>
      </c>
      <c r="BD1049" s="46">
        <v>0</v>
      </c>
      <c r="BE1049" s="46">
        <v>0</v>
      </c>
      <c r="BF1049" s="46">
        <v>0</v>
      </c>
      <c r="BG1049" s="46" t="s">
        <v>48</v>
      </c>
      <c r="BH1049" s="46">
        <v>0</v>
      </c>
      <c r="BI1049" s="46">
        <v>0</v>
      </c>
      <c r="BJ1049" s="46">
        <v>0</v>
      </c>
      <c r="BK1049" s="46">
        <v>0</v>
      </c>
      <c r="BL1049" s="46">
        <v>0</v>
      </c>
      <c r="BM1049" s="46">
        <v>0</v>
      </c>
      <c r="BN1049" s="46">
        <v>0</v>
      </c>
    </row>
    <row r="1050" spans="1:66" x14ac:dyDescent="0.35">
      <c r="A1050" t="s">
        <v>6225</v>
      </c>
      <c r="B1050" s="44" t="s">
        <v>48</v>
      </c>
      <c r="C1050" t="s">
        <v>5178</v>
      </c>
      <c r="D1050" t="s">
        <v>221</v>
      </c>
      <c r="E1050" t="s">
        <v>6227</v>
      </c>
      <c r="F1050" t="s">
        <v>6226</v>
      </c>
      <c r="G1050" t="s">
        <v>47</v>
      </c>
      <c r="H1050">
        <v>0</v>
      </c>
      <c r="I1050" s="60" t="s">
        <v>51</v>
      </c>
      <c r="J1050" s="33" t="s">
        <v>45</v>
      </c>
      <c r="K1050" s="46">
        <v>1</v>
      </c>
      <c r="L1050">
        <v>100</v>
      </c>
      <c r="M1050" t="s">
        <v>48</v>
      </c>
      <c r="N1050" s="46">
        <v>1</v>
      </c>
      <c r="O1050" s="46">
        <v>0</v>
      </c>
      <c r="P1050" s="46">
        <v>0</v>
      </c>
      <c r="Q1050" t="s">
        <v>48</v>
      </c>
      <c r="R1050" t="s">
        <v>48</v>
      </c>
      <c r="S1050" t="s">
        <v>6228</v>
      </c>
      <c r="T1050" t="s">
        <v>6229</v>
      </c>
      <c r="U1050" t="s">
        <v>6228</v>
      </c>
      <c r="V1050" s="47">
        <v>0</v>
      </c>
      <c r="W1050" t="s">
        <v>48</v>
      </c>
      <c r="X1050" t="s">
        <v>48</v>
      </c>
      <c r="Y1050" t="s">
        <v>48</v>
      </c>
      <c r="Z1050">
        <v>0</v>
      </c>
      <c r="AA1050" t="s">
        <v>48</v>
      </c>
      <c r="AB1050">
        <v>2018</v>
      </c>
      <c r="AC1050" t="s">
        <v>49</v>
      </c>
      <c r="AD1050" t="s">
        <v>93</v>
      </c>
      <c r="AE1050" t="s">
        <v>4532</v>
      </c>
      <c r="AF1050" t="s">
        <v>48</v>
      </c>
      <c r="AG1050" t="s">
        <v>112</v>
      </c>
      <c r="AH1050" t="s">
        <v>93</v>
      </c>
      <c r="AI1050">
        <v>21959</v>
      </c>
      <c r="AJ1050">
        <v>1965</v>
      </c>
      <c r="AK1050" t="s">
        <v>9286</v>
      </c>
      <c r="AL1050" t="s">
        <v>9287</v>
      </c>
      <c r="AM1050">
        <v>0.66800000000000004</v>
      </c>
      <c r="AN1050">
        <v>7.0999999999999994E-2</v>
      </c>
      <c r="AO1050">
        <v>0.66800000000000004</v>
      </c>
      <c r="AP1050" s="46">
        <v>0</v>
      </c>
      <c r="AQ1050" s="46">
        <v>0</v>
      </c>
      <c r="AR1050" s="46">
        <v>0</v>
      </c>
      <c r="AS1050" s="46">
        <v>0</v>
      </c>
      <c r="AT1050" s="46">
        <v>0</v>
      </c>
      <c r="AU1050" s="46">
        <v>0</v>
      </c>
      <c r="AV1050" s="46">
        <v>0</v>
      </c>
      <c r="AW1050" s="46">
        <v>0</v>
      </c>
      <c r="AX1050" s="46">
        <v>0</v>
      </c>
      <c r="AY1050" s="46">
        <v>0</v>
      </c>
      <c r="AZ1050" s="46">
        <v>0</v>
      </c>
      <c r="BA1050" s="46">
        <v>0</v>
      </c>
      <c r="BB1050" s="46">
        <v>1</v>
      </c>
      <c r="BC1050" s="46">
        <v>0</v>
      </c>
      <c r="BD1050" s="46">
        <v>0</v>
      </c>
      <c r="BE1050" s="46">
        <v>0</v>
      </c>
      <c r="BF1050" s="46">
        <v>0</v>
      </c>
      <c r="BG1050" s="46">
        <v>1</v>
      </c>
      <c r="BH1050" s="46">
        <v>0</v>
      </c>
      <c r="BI1050" s="46">
        <v>0</v>
      </c>
      <c r="BJ1050" s="46">
        <v>0</v>
      </c>
      <c r="BK1050" s="46">
        <v>0</v>
      </c>
      <c r="BL1050" s="46">
        <v>0</v>
      </c>
      <c r="BM1050" s="46">
        <v>0</v>
      </c>
      <c r="BN1050" s="46">
        <v>1</v>
      </c>
    </row>
    <row r="1051" spans="1:66" x14ac:dyDescent="0.35">
      <c r="A1051" t="s">
        <v>10855</v>
      </c>
      <c r="B1051" s="44" t="s">
        <v>48</v>
      </c>
      <c r="C1051" t="s">
        <v>800</v>
      </c>
      <c r="D1051" t="s">
        <v>12314</v>
      </c>
      <c r="E1051" t="s">
        <v>10856</v>
      </c>
      <c r="F1051" t="s">
        <v>6226</v>
      </c>
      <c r="G1051" t="s">
        <v>74</v>
      </c>
      <c r="H1051">
        <v>0</v>
      </c>
      <c r="I1051" s="60" t="s">
        <v>11552</v>
      </c>
      <c r="J1051" s="33" t="s">
        <v>45</v>
      </c>
      <c r="K1051" s="46">
        <v>0</v>
      </c>
      <c r="L1051">
        <v>74.599999999999994</v>
      </c>
      <c r="M1051" t="s">
        <v>48</v>
      </c>
      <c r="N1051" s="46">
        <v>1</v>
      </c>
      <c r="O1051" s="46">
        <v>0</v>
      </c>
      <c r="P1051" s="46">
        <v>0</v>
      </c>
      <c r="Q1051" t="s">
        <v>48</v>
      </c>
      <c r="R1051" t="s">
        <v>48</v>
      </c>
      <c r="S1051" t="s">
        <v>11541</v>
      </c>
      <c r="T1051" t="s">
        <v>48</v>
      </c>
      <c r="U1051" t="s">
        <v>10857</v>
      </c>
      <c r="V1051" s="47">
        <v>0</v>
      </c>
      <c r="W1051" t="s">
        <v>48</v>
      </c>
      <c r="X1051" t="s">
        <v>48</v>
      </c>
      <c r="Y1051" t="s">
        <v>48</v>
      </c>
      <c r="Z1051">
        <v>0</v>
      </c>
      <c r="AA1051" t="s">
        <v>48</v>
      </c>
      <c r="AB1051" t="s">
        <v>48</v>
      </c>
      <c r="AC1051" t="s">
        <v>49</v>
      </c>
      <c r="AD1051" t="s">
        <v>93</v>
      </c>
      <c r="AE1051" t="s">
        <v>4532</v>
      </c>
      <c r="AF1051" t="s">
        <v>48</v>
      </c>
      <c r="AG1051" t="s">
        <v>48</v>
      </c>
      <c r="AH1051" t="s">
        <v>48</v>
      </c>
      <c r="AI1051" t="s">
        <v>48</v>
      </c>
      <c r="AJ1051" t="s">
        <v>48</v>
      </c>
      <c r="AK1051" t="s">
        <v>48</v>
      </c>
      <c r="AL1051" t="s">
        <v>48</v>
      </c>
      <c r="AM1051" t="s">
        <v>48</v>
      </c>
      <c r="AN1051" t="s">
        <v>48</v>
      </c>
      <c r="AO1051" t="s">
        <v>48</v>
      </c>
      <c r="AP1051" s="46">
        <v>0</v>
      </c>
      <c r="AQ1051" s="46">
        <v>0</v>
      </c>
      <c r="AR1051" s="46">
        <v>0</v>
      </c>
      <c r="AS1051" s="46">
        <v>0</v>
      </c>
      <c r="AT1051" s="46">
        <v>0</v>
      </c>
      <c r="AU1051" s="46">
        <v>0</v>
      </c>
      <c r="AV1051" s="46">
        <v>0</v>
      </c>
      <c r="AW1051" s="46">
        <v>0</v>
      </c>
      <c r="AX1051" s="46">
        <v>0</v>
      </c>
      <c r="AY1051" s="46">
        <v>0</v>
      </c>
      <c r="AZ1051" s="46">
        <v>0</v>
      </c>
      <c r="BA1051" s="46">
        <v>0</v>
      </c>
      <c r="BB1051" s="46">
        <v>0</v>
      </c>
      <c r="BC1051" s="46">
        <v>0</v>
      </c>
      <c r="BD1051" s="46">
        <v>0</v>
      </c>
      <c r="BE1051" s="46">
        <v>0</v>
      </c>
      <c r="BF1051" s="46">
        <v>0</v>
      </c>
      <c r="BG1051" s="46" t="s">
        <v>48</v>
      </c>
      <c r="BH1051" s="46">
        <v>0</v>
      </c>
      <c r="BI1051" s="46">
        <v>0</v>
      </c>
      <c r="BJ1051" s="46">
        <v>0</v>
      </c>
      <c r="BK1051" s="46">
        <v>0</v>
      </c>
      <c r="BL1051" s="46">
        <v>0</v>
      </c>
      <c r="BM1051" s="46">
        <v>0</v>
      </c>
      <c r="BN1051" s="46">
        <v>0</v>
      </c>
    </row>
    <row r="1052" spans="1:66" x14ac:dyDescent="0.35">
      <c r="A1052" t="s">
        <v>6230</v>
      </c>
      <c r="B1052" s="44" t="s">
        <v>48</v>
      </c>
      <c r="C1052" t="s">
        <v>185</v>
      </c>
      <c r="D1052" t="s">
        <v>655</v>
      </c>
      <c r="E1052" t="s">
        <v>6232</v>
      </c>
      <c r="F1052" t="s">
        <v>6231</v>
      </c>
      <c r="G1052" t="s">
        <v>47</v>
      </c>
      <c r="H1052">
        <v>0</v>
      </c>
      <c r="I1052" s="60" t="s">
        <v>51</v>
      </c>
      <c r="J1052" s="33" t="s">
        <v>45</v>
      </c>
      <c r="K1052" s="46">
        <v>1</v>
      </c>
      <c r="L1052">
        <v>100</v>
      </c>
      <c r="M1052" t="s">
        <v>48</v>
      </c>
      <c r="N1052" s="46">
        <v>1</v>
      </c>
      <c r="O1052" s="46">
        <v>0</v>
      </c>
      <c r="P1052" s="46">
        <v>0</v>
      </c>
      <c r="Q1052" t="s">
        <v>48</v>
      </c>
      <c r="R1052" t="s">
        <v>48</v>
      </c>
      <c r="S1052" t="s">
        <v>6233</v>
      </c>
      <c r="T1052" t="s">
        <v>6234</v>
      </c>
      <c r="U1052" t="s">
        <v>6233</v>
      </c>
      <c r="V1052" s="47">
        <v>0</v>
      </c>
      <c r="W1052" t="s">
        <v>48</v>
      </c>
      <c r="X1052" t="s">
        <v>48</v>
      </c>
      <c r="Y1052" t="s">
        <v>48</v>
      </c>
      <c r="Z1052">
        <v>0</v>
      </c>
      <c r="AA1052" t="s">
        <v>48</v>
      </c>
      <c r="AB1052">
        <v>2018</v>
      </c>
      <c r="AC1052" t="s">
        <v>49</v>
      </c>
      <c r="AD1052" t="s">
        <v>93</v>
      </c>
      <c r="AE1052" t="s">
        <v>4532</v>
      </c>
      <c r="AF1052" t="s">
        <v>48</v>
      </c>
      <c r="AG1052" t="s">
        <v>112</v>
      </c>
      <c r="AH1052" t="s">
        <v>93</v>
      </c>
      <c r="AI1052">
        <v>21926</v>
      </c>
      <c r="AJ1052">
        <v>1964</v>
      </c>
      <c r="AK1052" t="s">
        <v>9288</v>
      </c>
      <c r="AL1052" t="s">
        <v>9289</v>
      </c>
      <c r="AM1052">
        <v>0.67200000000000004</v>
      </c>
      <c r="AN1052">
        <v>1.0999999999999999E-2</v>
      </c>
      <c r="AO1052">
        <v>0.67200000000000004</v>
      </c>
      <c r="AP1052" s="46">
        <v>0</v>
      </c>
      <c r="AQ1052" s="46">
        <v>0</v>
      </c>
      <c r="AR1052" s="46">
        <v>0</v>
      </c>
      <c r="AS1052" s="46">
        <v>0</v>
      </c>
      <c r="AT1052" s="46">
        <v>0</v>
      </c>
      <c r="AU1052" s="46">
        <v>0</v>
      </c>
      <c r="AV1052" s="46">
        <v>0</v>
      </c>
      <c r="AW1052" s="46">
        <v>0</v>
      </c>
      <c r="AX1052" s="46">
        <v>0</v>
      </c>
      <c r="AY1052" s="46">
        <v>0</v>
      </c>
      <c r="AZ1052" s="46">
        <v>0</v>
      </c>
      <c r="BA1052" s="46">
        <v>0</v>
      </c>
      <c r="BB1052" s="46">
        <v>1</v>
      </c>
      <c r="BC1052" s="46">
        <v>0</v>
      </c>
      <c r="BD1052" s="46">
        <v>0</v>
      </c>
      <c r="BE1052" s="46">
        <v>0</v>
      </c>
      <c r="BF1052" s="46">
        <v>1</v>
      </c>
      <c r="BG1052" s="46">
        <v>1</v>
      </c>
      <c r="BH1052" s="46">
        <v>0</v>
      </c>
      <c r="BI1052" s="46">
        <v>0</v>
      </c>
      <c r="BJ1052" s="46">
        <v>0</v>
      </c>
      <c r="BK1052" s="46">
        <v>0</v>
      </c>
      <c r="BL1052" s="46">
        <v>0</v>
      </c>
      <c r="BM1052" s="46">
        <v>0</v>
      </c>
      <c r="BN1052" s="46">
        <v>1</v>
      </c>
    </row>
    <row r="1053" spans="1:66" x14ac:dyDescent="0.35">
      <c r="A1053" t="s">
        <v>6220</v>
      </c>
      <c r="B1053" s="44" t="s">
        <v>48</v>
      </c>
      <c r="C1053" t="s">
        <v>364</v>
      </c>
      <c r="D1053" t="s">
        <v>12316</v>
      </c>
      <c r="E1053" t="s">
        <v>10861</v>
      </c>
      <c r="F1053" t="s">
        <v>6231</v>
      </c>
      <c r="G1053" t="s">
        <v>74</v>
      </c>
      <c r="H1053">
        <v>0</v>
      </c>
      <c r="I1053" s="61">
        <v>44789</v>
      </c>
      <c r="J1053" s="33" t="s">
        <v>45</v>
      </c>
      <c r="K1053" s="46">
        <v>0</v>
      </c>
      <c r="L1053">
        <v>100</v>
      </c>
      <c r="M1053" t="s">
        <v>48</v>
      </c>
      <c r="N1053" s="46">
        <v>1</v>
      </c>
      <c r="O1053" s="46">
        <v>0</v>
      </c>
      <c r="P1053" s="46">
        <v>0</v>
      </c>
      <c r="Q1053" t="s">
        <v>48</v>
      </c>
      <c r="R1053" t="s">
        <v>48</v>
      </c>
      <c r="S1053" t="s">
        <v>6221</v>
      </c>
      <c r="T1053" t="s">
        <v>48</v>
      </c>
      <c r="U1053" t="s">
        <v>6221</v>
      </c>
      <c r="V1053" s="47" t="s">
        <v>48</v>
      </c>
      <c r="W1053" t="s">
        <v>48</v>
      </c>
      <c r="X1053" t="s">
        <v>48</v>
      </c>
      <c r="Y1053" t="s">
        <v>48</v>
      </c>
      <c r="Z1053">
        <v>0</v>
      </c>
      <c r="AA1053" t="s">
        <v>48</v>
      </c>
      <c r="AB1053" t="s">
        <v>48</v>
      </c>
      <c r="AC1053" t="s">
        <v>63</v>
      </c>
      <c r="AD1053" t="s">
        <v>93</v>
      </c>
      <c r="AE1053" t="s">
        <v>2471</v>
      </c>
      <c r="AF1053" t="s">
        <v>48</v>
      </c>
      <c r="AG1053" t="s">
        <v>48</v>
      </c>
      <c r="AH1053" t="s">
        <v>48</v>
      </c>
      <c r="AI1053" t="s">
        <v>48</v>
      </c>
      <c r="AJ1053" t="s">
        <v>48</v>
      </c>
      <c r="AK1053" t="s">
        <v>48</v>
      </c>
      <c r="AL1053" t="s">
        <v>48</v>
      </c>
      <c r="AM1053" t="s">
        <v>48</v>
      </c>
      <c r="AN1053" t="s">
        <v>48</v>
      </c>
      <c r="AO1053" t="s">
        <v>48</v>
      </c>
      <c r="AP1053" s="46">
        <v>0</v>
      </c>
      <c r="AQ1053" s="46">
        <v>0</v>
      </c>
      <c r="AR1053" s="46">
        <v>0</v>
      </c>
      <c r="AS1053" s="46">
        <v>0</v>
      </c>
      <c r="AT1053" s="46">
        <v>0</v>
      </c>
      <c r="AU1053" s="46">
        <v>0</v>
      </c>
      <c r="AV1053" s="46">
        <v>0</v>
      </c>
      <c r="AW1053" s="46">
        <v>0</v>
      </c>
      <c r="AX1053" s="46">
        <v>0</v>
      </c>
      <c r="AY1053" s="46">
        <v>0</v>
      </c>
      <c r="AZ1053" s="46">
        <v>0</v>
      </c>
      <c r="BA1053" s="46">
        <v>0</v>
      </c>
      <c r="BB1053" s="46">
        <v>0</v>
      </c>
      <c r="BC1053" s="46">
        <v>0</v>
      </c>
      <c r="BD1053" s="46">
        <v>0</v>
      </c>
      <c r="BE1053" s="46">
        <v>0</v>
      </c>
      <c r="BF1053" s="46">
        <v>0</v>
      </c>
      <c r="BG1053" s="46" t="s">
        <v>48</v>
      </c>
      <c r="BH1053" s="46">
        <v>0</v>
      </c>
      <c r="BI1053" s="46">
        <v>0</v>
      </c>
      <c r="BJ1053" s="46">
        <v>0</v>
      </c>
      <c r="BK1053" s="46">
        <v>0</v>
      </c>
      <c r="BL1053" s="46">
        <v>0</v>
      </c>
      <c r="BM1053" s="46">
        <v>0</v>
      </c>
      <c r="BN1053" s="46">
        <v>0</v>
      </c>
    </row>
    <row r="1054" spans="1:66" x14ac:dyDescent="0.35">
      <c r="A1054" t="s">
        <v>6241</v>
      </c>
      <c r="B1054" s="44" t="s">
        <v>48</v>
      </c>
      <c r="C1054" t="s">
        <v>6245</v>
      </c>
      <c r="D1054" t="s">
        <v>268</v>
      </c>
      <c r="E1054" t="s">
        <v>6242</v>
      </c>
      <c r="F1054" t="s">
        <v>6235</v>
      </c>
      <c r="G1054" t="s">
        <v>47</v>
      </c>
      <c r="H1054">
        <v>0</v>
      </c>
      <c r="I1054" s="60" t="s">
        <v>51</v>
      </c>
      <c r="J1054" s="33" t="s">
        <v>45</v>
      </c>
      <c r="K1054" s="46">
        <v>1</v>
      </c>
      <c r="L1054">
        <v>83.7</v>
      </c>
      <c r="M1054" t="s">
        <v>48</v>
      </c>
      <c r="N1054" s="46">
        <v>1</v>
      </c>
      <c r="O1054" s="46">
        <v>0</v>
      </c>
      <c r="P1054" s="46">
        <v>0</v>
      </c>
      <c r="Q1054" t="s">
        <v>48</v>
      </c>
      <c r="R1054" t="s">
        <v>48</v>
      </c>
      <c r="S1054" t="s">
        <v>6243</v>
      </c>
      <c r="T1054" t="s">
        <v>6244</v>
      </c>
      <c r="U1054" t="s">
        <v>6243</v>
      </c>
      <c r="V1054" s="47">
        <v>0</v>
      </c>
      <c r="W1054" t="s">
        <v>48</v>
      </c>
      <c r="X1054" t="s">
        <v>48</v>
      </c>
      <c r="Y1054" t="s">
        <v>48</v>
      </c>
      <c r="Z1054">
        <v>0</v>
      </c>
      <c r="AA1054" t="s">
        <v>48</v>
      </c>
      <c r="AB1054">
        <v>2016</v>
      </c>
      <c r="AC1054" t="s">
        <v>49</v>
      </c>
      <c r="AD1054" t="s">
        <v>93</v>
      </c>
      <c r="AE1054" t="s">
        <v>4532</v>
      </c>
      <c r="AF1054" t="s">
        <v>48</v>
      </c>
      <c r="AG1054" t="s">
        <v>633</v>
      </c>
      <c r="AH1054" t="s">
        <v>93</v>
      </c>
      <c r="AI1054">
        <v>21731</v>
      </c>
      <c r="AJ1054">
        <v>1966</v>
      </c>
      <c r="AK1054" t="s">
        <v>9290</v>
      </c>
      <c r="AL1054" t="s">
        <v>9291</v>
      </c>
      <c r="AM1054">
        <v>0.53200000000000003</v>
      </c>
      <c r="AN1054">
        <v>0.32200000000000001</v>
      </c>
      <c r="AO1054">
        <v>0.53200000000000003</v>
      </c>
      <c r="AP1054" s="46">
        <v>0</v>
      </c>
      <c r="AQ1054" s="46">
        <v>0</v>
      </c>
      <c r="AR1054" s="46">
        <v>0</v>
      </c>
      <c r="AS1054" s="46">
        <v>0</v>
      </c>
      <c r="AT1054" s="46">
        <v>0</v>
      </c>
      <c r="AU1054" s="46">
        <v>0</v>
      </c>
      <c r="AV1054" s="46">
        <v>0</v>
      </c>
      <c r="AW1054" s="46">
        <v>0</v>
      </c>
      <c r="AX1054" s="46">
        <v>0</v>
      </c>
      <c r="AY1054" s="46">
        <v>0</v>
      </c>
      <c r="AZ1054" s="46">
        <v>0</v>
      </c>
      <c r="BA1054" s="46">
        <v>0</v>
      </c>
      <c r="BB1054" s="46">
        <v>1</v>
      </c>
      <c r="BC1054" s="46">
        <v>0</v>
      </c>
      <c r="BD1054" s="46">
        <v>0</v>
      </c>
      <c r="BE1054" s="46">
        <v>0</v>
      </c>
      <c r="BF1054" s="46">
        <v>0</v>
      </c>
      <c r="BG1054" s="46">
        <v>1</v>
      </c>
      <c r="BH1054" s="46">
        <v>0</v>
      </c>
      <c r="BI1054" s="46">
        <v>0</v>
      </c>
      <c r="BJ1054" s="46">
        <v>0</v>
      </c>
      <c r="BK1054" s="46">
        <v>0</v>
      </c>
      <c r="BL1054" s="46">
        <v>0</v>
      </c>
      <c r="BM1054" s="46">
        <v>0</v>
      </c>
      <c r="BN1054" s="46">
        <v>0</v>
      </c>
    </row>
    <row r="1055" spans="1:66" x14ac:dyDescent="0.35">
      <c r="A1055" t="s">
        <v>10862</v>
      </c>
      <c r="B1055" s="44" t="s">
        <v>48</v>
      </c>
      <c r="C1055" t="s">
        <v>332</v>
      </c>
      <c r="D1055" t="s">
        <v>12319</v>
      </c>
      <c r="E1055" t="s">
        <v>10863</v>
      </c>
      <c r="F1055" t="s">
        <v>6235</v>
      </c>
      <c r="G1055" t="s">
        <v>74</v>
      </c>
      <c r="H1055">
        <v>0</v>
      </c>
      <c r="I1055" s="61">
        <v>44789</v>
      </c>
      <c r="J1055" s="33" t="s">
        <v>45</v>
      </c>
      <c r="K1055" s="46">
        <v>0</v>
      </c>
      <c r="L1055">
        <v>63.3</v>
      </c>
      <c r="M1055" t="s">
        <v>48</v>
      </c>
      <c r="N1055" s="46">
        <v>1</v>
      </c>
      <c r="O1055" s="46">
        <v>0</v>
      </c>
      <c r="P1055" s="46">
        <v>0</v>
      </c>
      <c r="Q1055" t="s">
        <v>48</v>
      </c>
      <c r="R1055" t="s">
        <v>48</v>
      </c>
      <c r="S1055" t="s">
        <v>48</v>
      </c>
      <c r="T1055" t="s">
        <v>48</v>
      </c>
      <c r="U1055" t="s">
        <v>48</v>
      </c>
      <c r="V1055" s="47">
        <v>1</v>
      </c>
      <c r="W1055" t="s">
        <v>11264</v>
      </c>
      <c r="X1055" t="s">
        <v>48</v>
      </c>
      <c r="Y1055" t="s">
        <v>48</v>
      </c>
      <c r="Z1055">
        <v>0</v>
      </c>
      <c r="AA1055" t="s">
        <v>48</v>
      </c>
      <c r="AB1055" t="s">
        <v>48</v>
      </c>
      <c r="AC1055" t="s">
        <v>63</v>
      </c>
      <c r="AD1055" t="s">
        <v>48</v>
      </c>
      <c r="AE1055" t="s">
        <v>48</v>
      </c>
      <c r="AF1055" t="s">
        <v>48</v>
      </c>
      <c r="AG1055" t="s">
        <v>48</v>
      </c>
      <c r="AH1055" t="s">
        <v>48</v>
      </c>
      <c r="AI1055" t="s">
        <v>48</v>
      </c>
      <c r="AJ1055" t="s">
        <v>48</v>
      </c>
      <c r="AK1055" t="s">
        <v>48</v>
      </c>
      <c r="AL1055" t="s">
        <v>48</v>
      </c>
      <c r="AM1055" t="s">
        <v>48</v>
      </c>
      <c r="AN1055" t="s">
        <v>48</v>
      </c>
      <c r="AO1055" t="s">
        <v>48</v>
      </c>
      <c r="AP1055" s="46">
        <v>0</v>
      </c>
      <c r="AQ1055" s="46">
        <v>0</v>
      </c>
      <c r="AR1055" s="46">
        <v>0</v>
      </c>
      <c r="AS1055" s="46">
        <v>0</v>
      </c>
      <c r="AT1055" s="46">
        <v>0</v>
      </c>
      <c r="AU1055" s="46">
        <v>0</v>
      </c>
      <c r="AV1055" s="46">
        <v>0</v>
      </c>
      <c r="AW1055" s="46">
        <v>0</v>
      </c>
      <c r="AX1055" s="46">
        <v>0</v>
      </c>
      <c r="AY1055" s="46">
        <v>0</v>
      </c>
      <c r="AZ1055" s="46">
        <v>0</v>
      </c>
      <c r="BA1055" s="46">
        <v>0</v>
      </c>
      <c r="BB1055" s="46">
        <v>0</v>
      </c>
      <c r="BC1055" s="46">
        <v>0</v>
      </c>
      <c r="BD1055" s="46">
        <v>0</v>
      </c>
      <c r="BE1055" s="46">
        <v>0</v>
      </c>
      <c r="BF1055" s="46">
        <v>0</v>
      </c>
      <c r="BG1055" s="46" t="s">
        <v>48</v>
      </c>
      <c r="BH1055" s="46">
        <v>0</v>
      </c>
      <c r="BI1055" s="46">
        <v>0</v>
      </c>
      <c r="BJ1055" s="46">
        <v>0</v>
      </c>
      <c r="BK1055" s="46">
        <v>0</v>
      </c>
      <c r="BL1055" s="46">
        <v>0</v>
      </c>
      <c r="BM1055" s="46">
        <v>0</v>
      </c>
      <c r="BN1055" s="46">
        <v>0</v>
      </c>
    </row>
    <row r="1056" spans="1:66" x14ac:dyDescent="0.35">
      <c r="A1056" t="s">
        <v>10870</v>
      </c>
      <c r="B1056" t="s">
        <v>48</v>
      </c>
      <c r="C1056" t="s">
        <v>12324</v>
      </c>
      <c r="D1056" t="s">
        <v>12325</v>
      </c>
      <c r="E1056" t="s">
        <v>10871</v>
      </c>
      <c r="F1056" t="s">
        <v>6247</v>
      </c>
      <c r="G1056" t="s">
        <v>47</v>
      </c>
      <c r="H1056">
        <v>0</v>
      </c>
      <c r="I1056" s="60" t="s">
        <v>11552</v>
      </c>
      <c r="J1056" s="33" t="s">
        <v>45</v>
      </c>
      <c r="K1056" s="46">
        <v>0</v>
      </c>
      <c r="L1056">
        <v>51.5</v>
      </c>
      <c r="M1056" t="s">
        <v>48</v>
      </c>
      <c r="N1056" s="46">
        <v>1</v>
      </c>
      <c r="O1056" s="46">
        <v>0</v>
      </c>
      <c r="P1056" s="46">
        <v>0</v>
      </c>
      <c r="Q1056" t="s">
        <v>48</v>
      </c>
      <c r="R1056" t="s">
        <v>48</v>
      </c>
      <c r="S1056" t="s">
        <v>11542</v>
      </c>
      <c r="T1056" t="s">
        <v>48</v>
      </c>
      <c r="U1056" t="s">
        <v>10872</v>
      </c>
      <c r="V1056" s="47">
        <v>0</v>
      </c>
      <c r="W1056" t="s">
        <v>48</v>
      </c>
      <c r="X1056" t="s">
        <v>48</v>
      </c>
      <c r="Y1056" t="s">
        <v>48</v>
      </c>
      <c r="Z1056">
        <v>0</v>
      </c>
      <c r="AA1056" t="s">
        <v>48</v>
      </c>
      <c r="AB1056" t="s">
        <v>48</v>
      </c>
      <c r="AC1056" t="s">
        <v>63</v>
      </c>
      <c r="AD1056" t="s">
        <v>93</v>
      </c>
      <c r="AE1056" t="s">
        <v>2471</v>
      </c>
      <c r="AF1056" t="s">
        <v>48</v>
      </c>
      <c r="AG1056" t="s">
        <v>48</v>
      </c>
      <c r="AH1056" t="s">
        <v>48</v>
      </c>
      <c r="AI1056" t="s">
        <v>48</v>
      </c>
      <c r="AJ1056" t="s">
        <v>48</v>
      </c>
      <c r="AK1056" t="s">
        <v>48</v>
      </c>
      <c r="AL1056" t="s">
        <v>48</v>
      </c>
      <c r="AM1056" t="s">
        <v>48</v>
      </c>
      <c r="AN1056" t="s">
        <v>48</v>
      </c>
      <c r="AO1056" t="s">
        <v>48</v>
      </c>
      <c r="AP1056" s="46">
        <v>0</v>
      </c>
      <c r="AQ1056" s="46">
        <v>0</v>
      </c>
      <c r="AR1056" s="46">
        <v>0</v>
      </c>
      <c r="AS1056" s="46">
        <v>0</v>
      </c>
      <c r="AT1056" s="46">
        <v>0</v>
      </c>
      <c r="AU1056" s="46">
        <v>0</v>
      </c>
      <c r="AV1056" s="46">
        <v>0</v>
      </c>
      <c r="AW1056" s="46">
        <v>0</v>
      </c>
      <c r="AX1056" s="46">
        <v>0</v>
      </c>
      <c r="AY1056" s="46">
        <v>0</v>
      </c>
      <c r="AZ1056" s="46">
        <v>0</v>
      </c>
      <c r="BA1056" s="46">
        <v>0</v>
      </c>
      <c r="BB1056" s="46">
        <v>0</v>
      </c>
      <c r="BC1056" s="46">
        <v>0</v>
      </c>
      <c r="BD1056" s="46">
        <v>0</v>
      </c>
      <c r="BE1056" s="46">
        <v>0</v>
      </c>
      <c r="BF1056" s="46">
        <v>0</v>
      </c>
      <c r="BG1056" s="46">
        <v>1</v>
      </c>
      <c r="BH1056" s="46">
        <v>0</v>
      </c>
      <c r="BI1056" s="46">
        <v>0</v>
      </c>
      <c r="BJ1056" s="46">
        <v>0</v>
      </c>
      <c r="BK1056" s="46">
        <v>0</v>
      </c>
      <c r="BL1056" s="46">
        <v>0</v>
      </c>
      <c r="BM1056" s="46">
        <v>0</v>
      </c>
      <c r="BN1056" s="46">
        <v>0</v>
      </c>
    </row>
    <row r="1057" spans="1:66" x14ac:dyDescent="0.35">
      <c r="A1057" t="s">
        <v>6246</v>
      </c>
      <c r="B1057" s="44" t="s">
        <v>48</v>
      </c>
      <c r="C1057" t="s">
        <v>6251</v>
      </c>
      <c r="D1057" t="s">
        <v>571</v>
      </c>
      <c r="E1057" t="s">
        <v>6248</v>
      </c>
      <c r="F1057" t="s">
        <v>6247</v>
      </c>
      <c r="G1057" t="s">
        <v>74</v>
      </c>
      <c r="H1057">
        <v>0</v>
      </c>
      <c r="I1057" s="60" t="s">
        <v>51</v>
      </c>
      <c r="J1057" s="33" t="s">
        <v>45</v>
      </c>
      <c r="K1057" s="46">
        <v>1</v>
      </c>
      <c r="L1057">
        <v>88</v>
      </c>
      <c r="M1057" t="s">
        <v>48</v>
      </c>
      <c r="N1057" s="46">
        <v>1</v>
      </c>
      <c r="O1057" s="46">
        <v>0</v>
      </c>
      <c r="P1057" s="46">
        <v>0</v>
      </c>
      <c r="Q1057" t="s">
        <v>48</v>
      </c>
      <c r="R1057" t="s">
        <v>48</v>
      </c>
      <c r="S1057" t="s">
        <v>6249</v>
      </c>
      <c r="T1057" t="s">
        <v>6250</v>
      </c>
      <c r="U1057" t="s">
        <v>6249</v>
      </c>
      <c r="V1057" s="47">
        <v>0</v>
      </c>
      <c r="W1057" t="s">
        <v>48</v>
      </c>
      <c r="X1057" t="s">
        <v>48</v>
      </c>
      <c r="Y1057" t="s">
        <v>48</v>
      </c>
      <c r="Z1057">
        <v>0</v>
      </c>
      <c r="AA1057" t="s">
        <v>48</v>
      </c>
      <c r="AB1057">
        <v>2006</v>
      </c>
      <c r="AC1057" t="s">
        <v>49</v>
      </c>
      <c r="AD1057" t="s">
        <v>93</v>
      </c>
      <c r="AE1057" t="s">
        <v>4532</v>
      </c>
      <c r="AF1057" t="s">
        <v>48</v>
      </c>
      <c r="AG1057" t="s">
        <v>633</v>
      </c>
      <c r="AH1057" t="s">
        <v>93</v>
      </c>
      <c r="AI1057">
        <v>20748</v>
      </c>
      <c r="AJ1057">
        <v>1949</v>
      </c>
      <c r="AK1057" t="s">
        <v>9292</v>
      </c>
      <c r="AL1057" t="s">
        <v>9293</v>
      </c>
      <c r="AM1057">
        <v>-0.39800000000000002</v>
      </c>
      <c r="AN1057">
        <v>-0.35199999999999998</v>
      </c>
      <c r="AO1057">
        <v>-0.39800000000000002</v>
      </c>
      <c r="AP1057" s="46">
        <v>0</v>
      </c>
      <c r="AQ1057" s="46">
        <v>0</v>
      </c>
      <c r="AR1057" s="46">
        <v>0</v>
      </c>
      <c r="AS1057" s="46">
        <v>0</v>
      </c>
      <c r="AT1057" s="46">
        <v>1</v>
      </c>
      <c r="AU1057" s="46">
        <v>0</v>
      </c>
      <c r="AV1057" s="46">
        <v>0</v>
      </c>
      <c r="AW1057" s="46">
        <v>0</v>
      </c>
      <c r="AX1057" s="46">
        <v>0</v>
      </c>
      <c r="AY1057" s="46">
        <v>0</v>
      </c>
      <c r="AZ1057" s="46">
        <v>0</v>
      </c>
      <c r="BA1057" s="46">
        <v>0</v>
      </c>
      <c r="BB1057" s="46">
        <v>0</v>
      </c>
      <c r="BC1057" s="46">
        <v>0</v>
      </c>
      <c r="BD1057" s="46">
        <v>0</v>
      </c>
      <c r="BE1057" s="46">
        <v>0</v>
      </c>
      <c r="BF1057" s="46">
        <v>0</v>
      </c>
      <c r="BG1057" s="46" t="s">
        <v>48</v>
      </c>
      <c r="BH1057" s="46">
        <v>0</v>
      </c>
      <c r="BI1057" s="46">
        <v>0</v>
      </c>
      <c r="BJ1057" s="46">
        <v>0</v>
      </c>
      <c r="BK1057" s="46">
        <v>0</v>
      </c>
      <c r="BL1057" s="46">
        <v>0</v>
      </c>
      <c r="BM1057" s="46">
        <v>0</v>
      </c>
      <c r="BN1057" s="46">
        <v>0</v>
      </c>
    </row>
    <row r="1058" spans="1:66" ht="15" x14ac:dyDescent="0.4">
      <c r="A1058" t="s">
        <v>6283</v>
      </c>
      <c r="B1058" s="44" t="s">
        <v>48</v>
      </c>
      <c r="C1058" t="s">
        <v>6286</v>
      </c>
      <c r="D1058" t="s">
        <v>6285</v>
      </c>
      <c r="E1058" t="s">
        <v>6284</v>
      </c>
      <c r="F1058" t="s">
        <v>6265</v>
      </c>
      <c r="G1058" t="s">
        <v>74</v>
      </c>
      <c r="H1058">
        <v>0</v>
      </c>
      <c r="I1058" s="60" t="s">
        <v>11160</v>
      </c>
      <c r="J1058" s="33" t="s">
        <v>45</v>
      </c>
      <c r="K1058" s="46">
        <v>0</v>
      </c>
      <c r="L1058">
        <v>45.5</v>
      </c>
      <c r="M1058">
        <v>75.900000000000006</v>
      </c>
      <c r="N1058" s="46">
        <v>1</v>
      </c>
      <c r="O1058" s="46">
        <v>0</v>
      </c>
      <c r="P1058" s="46">
        <v>0</v>
      </c>
      <c r="Q1058" t="s">
        <v>48</v>
      </c>
      <c r="R1058" t="s">
        <v>48</v>
      </c>
      <c r="S1058" s="55" t="s">
        <v>11282</v>
      </c>
      <c r="T1058" t="s">
        <v>48</v>
      </c>
      <c r="U1058" s="55" t="s">
        <v>11282</v>
      </c>
      <c r="V1058" s="47">
        <v>0</v>
      </c>
      <c r="W1058" t="s">
        <v>48</v>
      </c>
      <c r="X1058" t="s">
        <v>48</v>
      </c>
      <c r="Y1058" t="s">
        <v>48</v>
      </c>
      <c r="Z1058">
        <v>0</v>
      </c>
      <c r="AA1058" t="s">
        <v>48</v>
      </c>
      <c r="AB1058" t="s">
        <v>48</v>
      </c>
      <c r="AC1058" t="s">
        <v>49</v>
      </c>
      <c r="AD1058" t="s">
        <v>93</v>
      </c>
      <c r="AE1058" s="40" t="s">
        <v>2471</v>
      </c>
      <c r="AF1058" t="s">
        <v>11061</v>
      </c>
      <c r="AG1058" t="s">
        <v>48</v>
      </c>
      <c r="AH1058" t="s">
        <v>48</v>
      </c>
      <c r="AI1058" t="s">
        <v>48</v>
      </c>
      <c r="AJ1058" t="s">
        <v>48</v>
      </c>
      <c r="AK1058" t="s">
        <v>48</v>
      </c>
      <c r="AL1058" t="s">
        <v>48</v>
      </c>
      <c r="AM1058" t="s">
        <v>48</v>
      </c>
      <c r="AN1058" t="s">
        <v>48</v>
      </c>
      <c r="AO1058" t="s">
        <v>48</v>
      </c>
      <c r="AP1058" s="46">
        <v>0</v>
      </c>
      <c r="AQ1058" s="46">
        <v>0</v>
      </c>
      <c r="AR1058" s="46">
        <v>0</v>
      </c>
      <c r="AS1058" s="46">
        <v>0</v>
      </c>
      <c r="AT1058" s="46">
        <v>0</v>
      </c>
      <c r="AU1058" s="46">
        <v>0</v>
      </c>
      <c r="AV1058" s="46">
        <v>0</v>
      </c>
      <c r="AW1058" s="46">
        <v>0</v>
      </c>
      <c r="AX1058" s="46">
        <v>0</v>
      </c>
      <c r="AY1058" s="46">
        <v>0</v>
      </c>
      <c r="AZ1058" s="46">
        <v>0</v>
      </c>
      <c r="BA1058" s="46">
        <v>0</v>
      </c>
      <c r="BB1058" s="46">
        <v>0</v>
      </c>
      <c r="BC1058" s="46">
        <v>0</v>
      </c>
      <c r="BD1058" s="46">
        <v>0</v>
      </c>
      <c r="BE1058" s="46">
        <v>0</v>
      </c>
      <c r="BF1058" s="46">
        <v>0</v>
      </c>
      <c r="BG1058" s="46" t="s">
        <v>48</v>
      </c>
      <c r="BH1058" s="46">
        <v>0</v>
      </c>
      <c r="BI1058" s="46">
        <v>0</v>
      </c>
      <c r="BJ1058" s="46">
        <v>0</v>
      </c>
      <c r="BK1058" s="46">
        <v>0</v>
      </c>
      <c r="BL1058" s="46">
        <v>0</v>
      </c>
      <c r="BM1058" s="46">
        <v>0</v>
      </c>
      <c r="BN1058" s="46">
        <v>0</v>
      </c>
    </row>
    <row r="1059" spans="1:66" x14ac:dyDescent="0.35">
      <c r="A1059" t="s">
        <v>6295</v>
      </c>
      <c r="B1059" t="s">
        <v>48</v>
      </c>
      <c r="C1059" t="s">
        <v>3215</v>
      </c>
      <c r="D1059" t="s">
        <v>6190</v>
      </c>
      <c r="E1059" t="s">
        <v>6296</v>
      </c>
      <c r="F1059" t="s">
        <v>6265</v>
      </c>
      <c r="G1059" t="s">
        <v>47</v>
      </c>
      <c r="H1059">
        <v>0</v>
      </c>
      <c r="I1059" s="60" t="s">
        <v>149</v>
      </c>
      <c r="J1059" s="33" t="s">
        <v>45</v>
      </c>
      <c r="K1059" s="46">
        <v>0</v>
      </c>
      <c r="L1059">
        <v>63.1</v>
      </c>
      <c r="M1059" t="s">
        <v>48</v>
      </c>
      <c r="N1059" s="46">
        <v>1</v>
      </c>
      <c r="O1059" s="46">
        <v>0</v>
      </c>
      <c r="P1059" s="46">
        <v>0</v>
      </c>
      <c r="Q1059" t="s">
        <v>48</v>
      </c>
      <c r="R1059" t="s">
        <v>48</v>
      </c>
      <c r="S1059" t="s">
        <v>6297</v>
      </c>
      <c r="T1059" t="s">
        <v>48</v>
      </c>
      <c r="U1059" t="s">
        <v>6297</v>
      </c>
      <c r="V1059" s="47">
        <v>0</v>
      </c>
      <c r="W1059" t="s">
        <v>48</v>
      </c>
      <c r="X1059" t="s">
        <v>48</v>
      </c>
      <c r="Y1059" t="s">
        <v>48</v>
      </c>
      <c r="Z1059">
        <v>0</v>
      </c>
      <c r="AA1059" t="s">
        <v>48</v>
      </c>
      <c r="AB1059" t="s">
        <v>48</v>
      </c>
      <c r="AC1059" t="s">
        <v>49</v>
      </c>
      <c r="AD1059" t="s">
        <v>93</v>
      </c>
      <c r="AE1059" t="s">
        <v>4532</v>
      </c>
      <c r="AF1059" t="s">
        <v>48</v>
      </c>
      <c r="AG1059" t="s">
        <v>48</v>
      </c>
      <c r="AH1059" t="s">
        <v>48</v>
      </c>
      <c r="AI1059" t="s">
        <v>48</v>
      </c>
      <c r="AJ1059" t="s">
        <v>48</v>
      </c>
      <c r="AK1059" t="s">
        <v>48</v>
      </c>
      <c r="AL1059" t="s">
        <v>48</v>
      </c>
      <c r="AM1059" t="s">
        <v>48</v>
      </c>
      <c r="AN1059" t="s">
        <v>48</v>
      </c>
      <c r="AO1059" t="s">
        <v>48</v>
      </c>
      <c r="AP1059" s="46">
        <v>0</v>
      </c>
      <c r="AQ1059" s="46">
        <v>0</v>
      </c>
      <c r="AR1059" s="46">
        <v>0</v>
      </c>
      <c r="AS1059" s="46">
        <v>0</v>
      </c>
      <c r="AT1059" s="46">
        <v>0</v>
      </c>
      <c r="AU1059" s="46">
        <v>0</v>
      </c>
      <c r="AV1059" s="46">
        <v>0</v>
      </c>
      <c r="AW1059" s="46">
        <v>0</v>
      </c>
      <c r="AX1059" s="46">
        <v>0</v>
      </c>
      <c r="AY1059" s="46">
        <v>0</v>
      </c>
      <c r="AZ1059" s="46">
        <v>0</v>
      </c>
      <c r="BA1059" s="46">
        <v>0</v>
      </c>
      <c r="BB1059" s="46">
        <v>0</v>
      </c>
      <c r="BC1059" s="46">
        <v>0</v>
      </c>
      <c r="BD1059" s="46">
        <v>0</v>
      </c>
      <c r="BE1059" s="46">
        <v>0</v>
      </c>
      <c r="BF1059" s="46">
        <v>0</v>
      </c>
      <c r="BG1059" s="46" t="s">
        <v>48</v>
      </c>
      <c r="BH1059" s="46">
        <v>0</v>
      </c>
      <c r="BI1059" s="46">
        <v>0</v>
      </c>
      <c r="BJ1059" s="46">
        <v>0</v>
      </c>
      <c r="BK1059" s="46">
        <v>0</v>
      </c>
      <c r="BL1059" s="46">
        <v>0</v>
      </c>
      <c r="BM1059" s="46">
        <v>0</v>
      </c>
      <c r="BN1059" s="46">
        <v>0</v>
      </c>
    </row>
    <row r="1060" spans="1:66" x14ac:dyDescent="0.35">
      <c r="A1060" t="s">
        <v>6303</v>
      </c>
      <c r="B1060" t="s">
        <v>48</v>
      </c>
      <c r="C1060" t="s">
        <v>6307</v>
      </c>
      <c r="D1060" t="s">
        <v>347</v>
      </c>
      <c r="E1060" t="s">
        <v>6304</v>
      </c>
      <c r="F1060" t="s">
        <v>6302</v>
      </c>
      <c r="G1060" t="s">
        <v>47</v>
      </c>
      <c r="H1060">
        <v>0</v>
      </c>
      <c r="I1060" s="60" t="s">
        <v>51</v>
      </c>
      <c r="J1060" s="33" t="s">
        <v>45</v>
      </c>
      <c r="K1060" s="46">
        <v>1</v>
      </c>
      <c r="L1060">
        <v>74.2</v>
      </c>
      <c r="M1060" t="s">
        <v>48</v>
      </c>
      <c r="N1060" s="46">
        <v>1</v>
      </c>
      <c r="O1060" s="46">
        <v>0</v>
      </c>
      <c r="P1060" s="46">
        <v>0</v>
      </c>
      <c r="Q1060" t="s">
        <v>48</v>
      </c>
      <c r="R1060" t="s">
        <v>48</v>
      </c>
      <c r="S1060" t="s">
        <v>6305</v>
      </c>
      <c r="T1060" t="s">
        <v>6306</v>
      </c>
      <c r="U1060" t="s">
        <v>6305</v>
      </c>
      <c r="V1060" s="47">
        <v>0</v>
      </c>
      <c r="W1060" t="s">
        <v>48</v>
      </c>
      <c r="X1060" t="s">
        <v>48</v>
      </c>
      <c r="Y1060" t="s">
        <v>48</v>
      </c>
      <c r="Z1060">
        <v>0</v>
      </c>
      <c r="AA1060" t="s">
        <v>48</v>
      </c>
      <c r="AB1060">
        <v>2018</v>
      </c>
      <c r="AC1060" t="s">
        <v>49</v>
      </c>
      <c r="AD1060" t="s">
        <v>93</v>
      </c>
      <c r="AE1060" t="s">
        <v>4532</v>
      </c>
      <c r="AF1060" t="s">
        <v>48</v>
      </c>
      <c r="AG1060" t="s">
        <v>479</v>
      </c>
      <c r="AH1060" t="s">
        <v>93</v>
      </c>
      <c r="AI1060">
        <v>21911</v>
      </c>
      <c r="AJ1060">
        <v>1984</v>
      </c>
      <c r="AK1060" t="s">
        <v>9296</v>
      </c>
      <c r="AL1060" t="s">
        <v>9297</v>
      </c>
      <c r="AM1060">
        <v>0.43099999999999999</v>
      </c>
      <c r="AN1060">
        <v>0.216</v>
      </c>
      <c r="AO1060">
        <v>0.43099999999999999</v>
      </c>
      <c r="AP1060" s="46">
        <v>0</v>
      </c>
      <c r="AQ1060" s="46">
        <v>0</v>
      </c>
      <c r="AR1060" s="46">
        <v>0</v>
      </c>
      <c r="AS1060" s="46">
        <v>0</v>
      </c>
      <c r="AT1060" s="46">
        <v>0</v>
      </c>
      <c r="AU1060" s="46">
        <v>0</v>
      </c>
      <c r="AV1060" s="46">
        <v>0</v>
      </c>
      <c r="AW1060" s="46">
        <v>0</v>
      </c>
      <c r="AX1060" s="46">
        <v>0</v>
      </c>
      <c r="AY1060" s="46">
        <v>0</v>
      </c>
      <c r="AZ1060" s="46">
        <v>1</v>
      </c>
      <c r="BA1060" s="46">
        <v>0</v>
      </c>
      <c r="BB1060" s="46">
        <v>1</v>
      </c>
      <c r="BC1060" s="46">
        <v>0</v>
      </c>
      <c r="BD1060" s="46">
        <v>0</v>
      </c>
      <c r="BE1060" s="46">
        <v>0</v>
      </c>
      <c r="BF1060" s="46">
        <v>0</v>
      </c>
      <c r="BG1060" s="46">
        <v>1</v>
      </c>
      <c r="BH1060" s="46">
        <v>0</v>
      </c>
      <c r="BI1060" s="46">
        <v>0</v>
      </c>
      <c r="BJ1060" s="46">
        <v>0</v>
      </c>
      <c r="BK1060" s="46">
        <v>0</v>
      </c>
      <c r="BL1060" s="46">
        <v>0</v>
      </c>
      <c r="BM1060" s="46">
        <v>0</v>
      </c>
      <c r="BN1060" s="46">
        <v>0</v>
      </c>
    </row>
    <row r="1061" spans="1:66" x14ac:dyDescent="0.35">
      <c r="A1061" t="s">
        <v>6315</v>
      </c>
      <c r="B1061" s="44" t="s">
        <v>48</v>
      </c>
      <c r="C1061" t="s">
        <v>6318</v>
      </c>
      <c r="D1061" t="s">
        <v>2688</v>
      </c>
      <c r="E1061" t="s">
        <v>6316</v>
      </c>
      <c r="F1061" t="s">
        <v>6302</v>
      </c>
      <c r="G1061" t="s">
        <v>74</v>
      </c>
      <c r="H1061">
        <v>0</v>
      </c>
      <c r="I1061" s="60" t="s">
        <v>6319</v>
      </c>
      <c r="J1061" s="33" t="s">
        <v>45</v>
      </c>
      <c r="K1061" s="46">
        <v>0</v>
      </c>
      <c r="L1061">
        <v>100</v>
      </c>
      <c r="M1061" t="s">
        <v>48</v>
      </c>
      <c r="N1061" s="46">
        <v>1</v>
      </c>
      <c r="O1061" s="46">
        <v>0</v>
      </c>
      <c r="P1061" s="46">
        <v>0</v>
      </c>
      <c r="Q1061" t="s">
        <v>48</v>
      </c>
      <c r="R1061" t="s">
        <v>48</v>
      </c>
      <c r="S1061" t="s">
        <v>6317</v>
      </c>
      <c r="T1061" t="s">
        <v>48</v>
      </c>
      <c r="U1061" t="s">
        <v>6317</v>
      </c>
      <c r="V1061" s="47">
        <v>0</v>
      </c>
      <c r="W1061" t="s">
        <v>48</v>
      </c>
      <c r="X1061" t="s">
        <v>48</v>
      </c>
      <c r="Y1061" t="s">
        <v>48</v>
      </c>
      <c r="Z1061">
        <v>0</v>
      </c>
      <c r="AA1061" t="s">
        <v>48</v>
      </c>
      <c r="AB1061" t="s">
        <v>48</v>
      </c>
      <c r="AC1061" t="s">
        <v>63</v>
      </c>
      <c r="AD1061" t="s">
        <v>93</v>
      </c>
      <c r="AE1061" t="s">
        <v>4532</v>
      </c>
      <c r="AF1061" t="s">
        <v>48</v>
      </c>
      <c r="AG1061" t="s">
        <v>48</v>
      </c>
      <c r="AH1061" t="s">
        <v>48</v>
      </c>
      <c r="AI1061" t="s">
        <v>48</v>
      </c>
      <c r="AJ1061" t="s">
        <v>48</v>
      </c>
      <c r="AK1061" t="s">
        <v>48</v>
      </c>
      <c r="AL1061" t="s">
        <v>48</v>
      </c>
      <c r="AM1061" t="s">
        <v>48</v>
      </c>
      <c r="AN1061" t="s">
        <v>48</v>
      </c>
      <c r="AO1061" t="s">
        <v>48</v>
      </c>
      <c r="AP1061" s="46">
        <v>0</v>
      </c>
      <c r="AQ1061" s="46">
        <v>0</v>
      </c>
      <c r="AR1061" s="46">
        <v>0</v>
      </c>
      <c r="AS1061" s="46">
        <v>0</v>
      </c>
      <c r="AT1061" s="46">
        <v>0</v>
      </c>
      <c r="AU1061" s="46">
        <v>0</v>
      </c>
      <c r="AV1061" s="46">
        <v>0</v>
      </c>
      <c r="AW1061" s="46">
        <v>0</v>
      </c>
      <c r="AX1061" s="46">
        <v>0</v>
      </c>
      <c r="AY1061" s="46">
        <v>0</v>
      </c>
      <c r="AZ1061" s="46">
        <v>0</v>
      </c>
      <c r="BA1061" s="46">
        <v>0</v>
      </c>
      <c r="BB1061" s="46">
        <v>0</v>
      </c>
      <c r="BC1061" s="46">
        <v>0</v>
      </c>
      <c r="BD1061" s="46">
        <v>0</v>
      </c>
      <c r="BE1061" s="46">
        <v>0</v>
      </c>
      <c r="BF1061" s="46">
        <v>0</v>
      </c>
      <c r="BG1061" s="46" t="s">
        <v>48</v>
      </c>
      <c r="BH1061" s="46">
        <v>0</v>
      </c>
      <c r="BI1061" s="46">
        <v>0</v>
      </c>
      <c r="BJ1061" s="46">
        <v>0</v>
      </c>
      <c r="BK1061" s="46">
        <v>0</v>
      </c>
      <c r="BL1061" s="46">
        <v>0</v>
      </c>
      <c r="BM1061" s="46">
        <v>0</v>
      </c>
      <c r="BN1061" s="46">
        <v>0</v>
      </c>
    </row>
    <row r="1062" spans="1:66" x14ac:dyDescent="0.35">
      <c r="A1062" t="s">
        <v>6333</v>
      </c>
      <c r="B1062" t="s">
        <v>48</v>
      </c>
      <c r="C1062" t="s">
        <v>6336</v>
      </c>
      <c r="D1062" t="s">
        <v>2110</v>
      </c>
      <c r="E1062" t="s">
        <v>6334</v>
      </c>
      <c r="F1062" t="s">
        <v>6326</v>
      </c>
      <c r="G1062" t="s">
        <v>47</v>
      </c>
      <c r="H1062">
        <v>0</v>
      </c>
      <c r="I1062" s="60" t="s">
        <v>190</v>
      </c>
      <c r="J1062" s="33" t="s">
        <v>45</v>
      </c>
      <c r="K1062" s="46">
        <v>0</v>
      </c>
      <c r="L1062">
        <v>26.5</v>
      </c>
      <c r="M1062" t="s">
        <v>48</v>
      </c>
      <c r="N1062" s="46">
        <v>1</v>
      </c>
      <c r="O1062" s="46">
        <v>0</v>
      </c>
      <c r="P1062" s="46">
        <v>0</v>
      </c>
      <c r="Q1062" t="s">
        <v>48</v>
      </c>
      <c r="R1062" t="s">
        <v>48</v>
      </c>
      <c r="S1062" t="s">
        <v>6335</v>
      </c>
      <c r="T1062" t="s">
        <v>48</v>
      </c>
      <c r="U1062" t="s">
        <v>6335</v>
      </c>
      <c r="V1062" s="47">
        <v>0</v>
      </c>
      <c r="W1062" t="s">
        <v>48</v>
      </c>
      <c r="X1062" t="s">
        <v>48</v>
      </c>
      <c r="Y1062" t="s">
        <v>48</v>
      </c>
      <c r="Z1062">
        <v>0</v>
      </c>
      <c r="AA1062" t="s">
        <v>11240</v>
      </c>
      <c r="AB1062" t="s">
        <v>48</v>
      </c>
      <c r="AC1062" t="s">
        <v>49</v>
      </c>
      <c r="AD1062" t="s">
        <v>93</v>
      </c>
      <c r="AE1062" t="s">
        <v>4532</v>
      </c>
      <c r="AF1062" t="s">
        <v>48</v>
      </c>
      <c r="AG1062" t="s">
        <v>48</v>
      </c>
      <c r="AH1062" t="s">
        <v>48</v>
      </c>
      <c r="AI1062" t="s">
        <v>48</v>
      </c>
      <c r="AJ1062" t="s">
        <v>48</v>
      </c>
      <c r="AK1062" t="s">
        <v>48</v>
      </c>
      <c r="AL1062" t="s">
        <v>48</v>
      </c>
      <c r="AM1062" t="s">
        <v>48</v>
      </c>
      <c r="AN1062" t="s">
        <v>48</v>
      </c>
      <c r="AO1062" t="s">
        <v>48</v>
      </c>
      <c r="AP1062" s="46">
        <v>0</v>
      </c>
      <c r="AQ1062" s="46">
        <v>0</v>
      </c>
      <c r="AR1062" s="46">
        <v>0</v>
      </c>
      <c r="AS1062" s="46">
        <v>0</v>
      </c>
      <c r="AT1062" s="46">
        <v>0</v>
      </c>
      <c r="AU1062" s="46">
        <v>0</v>
      </c>
      <c r="AV1062" s="46">
        <v>0</v>
      </c>
      <c r="AW1062" s="46">
        <v>0</v>
      </c>
      <c r="AX1062" s="46">
        <v>0</v>
      </c>
      <c r="AY1062" s="46">
        <v>0</v>
      </c>
      <c r="AZ1062" s="46">
        <v>0</v>
      </c>
      <c r="BA1062" s="46">
        <v>0</v>
      </c>
      <c r="BB1062" s="46">
        <v>0</v>
      </c>
      <c r="BC1062" s="46">
        <v>0</v>
      </c>
      <c r="BD1062" s="46">
        <v>0</v>
      </c>
      <c r="BE1062" s="46">
        <v>0</v>
      </c>
      <c r="BF1062" s="46">
        <v>0</v>
      </c>
      <c r="BG1062" s="46">
        <v>1</v>
      </c>
      <c r="BH1062" s="46">
        <v>0</v>
      </c>
      <c r="BI1062" s="46">
        <v>0</v>
      </c>
      <c r="BJ1062" s="46">
        <v>0</v>
      </c>
      <c r="BK1062" s="46">
        <v>0</v>
      </c>
      <c r="BL1062" s="46">
        <v>0</v>
      </c>
      <c r="BM1062" s="46">
        <v>0</v>
      </c>
      <c r="BN1062" s="46">
        <v>0</v>
      </c>
    </row>
    <row r="1063" spans="1:66" ht="15" x14ac:dyDescent="0.4">
      <c r="A1063" t="s">
        <v>6341</v>
      </c>
      <c r="B1063" s="44" t="s">
        <v>48</v>
      </c>
      <c r="C1063" t="s">
        <v>6344</v>
      </c>
      <c r="D1063" t="s">
        <v>6343</v>
      </c>
      <c r="E1063" t="s">
        <v>6342</v>
      </c>
      <c r="F1063" t="s">
        <v>6326</v>
      </c>
      <c r="G1063" t="s">
        <v>74</v>
      </c>
      <c r="H1063">
        <v>0</v>
      </c>
      <c r="I1063" s="60" t="s">
        <v>11160</v>
      </c>
      <c r="J1063" s="33" t="s">
        <v>45</v>
      </c>
      <c r="K1063" s="46">
        <v>0</v>
      </c>
      <c r="L1063">
        <v>62</v>
      </c>
      <c r="M1063" t="s">
        <v>48</v>
      </c>
      <c r="N1063" s="46">
        <v>1</v>
      </c>
      <c r="O1063" s="46">
        <v>0</v>
      </c>
      <c r="P1063" s="46">
        <v>0</v>
      </c>
      <c r="Q1063" t="s">
        <v>48</v>
      </c>
      <c r="R1063" t="s">
        <v>48</v>
      </c>
      <c r="S1063" s="55" t="s">
        <v>11283</v>
      </c>
      <c r="T1063" t="s">
        <v>48</v>
      </c>
      <c r="U1063" s="55" t="s">
        <v>11283</v>
      </c>
      <c r="V1063" s="47">
        <v>0</v>
      </c>
      <c r="W1063" t="s">
        <v>48</v>
      </c>
      <c r="X1063" t="s">
        <v>48</v>
      </c>
      <c r="Y1063" t="s">
        <v>48</v>
      </c>
      <c r="Z1063">
        <v>0</v>
      </c>
      <c r="AA1063" t="s">
        <v>48</v>
      </c>
      <c r="AB1063" t="s">
        <v>48</v>
      </c>
      <c r="AC1063" t="s">
        <v>49</v>
      </c>
      <c r="AD1063" t="s">
        <v>93</v>
      </c>
      <c r="AE1063" t="s">
        <v>977</v>
      </c>
      <c r="AF1063" t="s">
        <v>11053</v>
      </c>
      <c r="AG1063" t="s">
        <v>48</v>
      </c>
      <c r="AH1063" t="s">
        <v>48</v>
      </c>
      <c r="AI1063" t="s">
        <v>48</v>
      </c>
      <c r="AJ1063" t="s">
        <v>48</v>
      </c>
      <c r="AK1063" t="s">
        <v>48</v>
      </c>
      <c r="AL1063" t="s">
        <v>48</v>
      </c>
      <c r="AM1063" t="s">
        <v>48</v>
      </c>
      <c r="AN1063" t="s">
        <v>48</v>
      </c>
      <c r="AO1063" t="s">
        <v>48</v>
      </c>
      <c r="AP1063" s="46">
        <v>0</v>
      </c>
      <c r="AQ1063" s="46">
        <v>0</v>
      </c>
      <c r="AR1063" s="46">
        <v>0</v>
      </c>
      <c r="AS1063" s="46">
        <v>0</v>
      </c>
      <c r="AT1063" s="46">
        <v>0</v>
      </c>
      <c r="AU1063" s="46">
        <v>0</v>
      </c>
      <c r="AV1063" s="46">
        <v>0</v>
      </c>
      <c r="AW1063" s="46">
        <v>0</v>
      </c>
      <c r="AX1063" s="46">
        <v>0</v>
      </c>
      <c r="AY1063" s="46">
        <v>0</v>
      </c>
      <c r="AZ1063" s="46">
        <v>0</v>
      </c>
      <c r="BA1063" s="46">
        <v>0</v>
      </c>
      <c r="BB1063" s="46">
        <v>0</v>
      </c>
      <c r="BC1063" s="46">
        <v>0</v>
      </c>
      <c r="BD1063" s="46">
        <v>0</v>
      </c>
      <c r="BE1063" s="46">
        <v>0</v>
      </c>
      <c r="BF1063" s="46">
        <v>0</v>
      </c>
      <c r="BG1063" s="46" t="s">
        <v>48</v>
      </c>
      <c r="BH1063" s="46">
        <v>0</v>
      </c>
      <c r="BI1063" s="46">
        <v>0</v>
      </c>
      <c r="BJ1063" s="46">
        <v>0</v>
      </c>
      <c r="BK1063" s="46">
        <v>0</v>
      </c>
      <c r="BL1063" s="46">
        <v>0</v>
      </c>
      <c r="BM1063" s="46">
        <v>0</v>
      </c>
      <c r="BN1063" s="46">
        <v>0</v>
      </c>
    </row>
    <row r="1064" spans="1:66" x14ac:dyDescent="0.35">
      <c r="A1064" t="s">
        <v>6362</v>
      </c>
      <c r="B1064" s="44" t="s">
        <v>48</v>
      </c>
      <c r="C1064" t="s">
        <v>6366</v>
      </c>
      <c r="D1064" t="s">
        <v>6365</v>
      </c>
      <c r="E1064" t="s">
        <v>6363</v>
      </c>
      <c r="F1064" t="s">
        <v>6353</v>
      </c>
      <c r="G1064" t="s">
        <v>74</v>
      </c>
      <c r="H1064">
        <v>0</v>
      </c>
      <c r="I1064" s="60" t="s">
        <v>661</v>
      </c>
      <c r="J1064" s="33" t="s">
        <v>45</v>
      </c>
      <c r="K1064" s="46">
        <v>0</v>
      </c>
      <c r="L1064">
        <v>100</v>
      </c>
      <c r="M1064" t="s">
        <v>48</v>
      </c>
      <c r="N1064" s="46">
        <v>1</v>
      </c>
      <c r="O1064" s="46">
        <v>0</v>
      </c>
      <c r="P1064" s="46">
        <v>0</v>
      </c>
      <c r="Q1064" t="s">
        <v>48</v>
      </c>
      <c r="R1064" t="s">
        <v>48</v>
      </c>
      <c r="S1064" t="s">
        <v>6364</v>
      </c>
      <c r="T1064" t="s">
        <v>48</v>
      </c>
      <c r="U1064" t="s">
        <v>6364</v>
      </c>
      <c r="V1064" s="47">
        <v>0</v>
      </c>
      <c r="W1064" t="s">
        <v>48</v>
      </c>
      <c r="X1064" t="s">
        <v>48</v>
      </c>
      <c r="Y1064" t="s">
        <v>48</v>
      </c>
      <c r="Z1064">
        <v>0</v>
      </c>
      <c r="AA1064" t="s">
        <v>48</v>
      </c>
      <c r="AB1064" t="s">
        <v>48</v>
      </c>
      <c r="AC1064" t="s">
        <v>63</v>
      </c>
      <c r="AD1064" t="s">
        <v>93</v>
      </c>
      <c r="AE1064" s="40" t="s">
        <v>2471</v>
      </c>
      <c r="AF1064" t="s">
        <v>11061</v>
      </c>
      <c r="AG1064" t="s">
        <v>48</v>
      </c>
      <c r="AH1064" t="s">
        <v>48</v>
      </c>
      <c r="AI1064" t="s">
        <v>48</v>
      </c>
      <c r="AJ1064" t="s">
        <v>48</v>
      </c>
      <c r="AK1064" t="s">
        <v>48</v>
      </c>
      <c r="AL1064" t="s">
        <v>48</v>
      </c>
      <c r="AM1064" t="s">
        <v>48</v>
      </c>
      <c r="AN1064" t="s">
        <v>48</v>
      </c>
      <c r="AO1064" t="s">
        <v>48</v>
      </c>
      <c r="AP1064" s="46">
        <v>0</v>
      </c>
      <c r="AQ1064" s="46">
        <v>0</v>
      </c>
      <c r="AR1064" s="46">
        <v>0</v>
      </c>
      <c r="AS1064" s="46">
        <v>0</v>
      </c>
      <c r="AT1064" s="46">
        <v>0</v>
      </c>
      <c r="AU1064" s="46">
        <v>0</v>
      </c>
      <c r="AV1064" s="46">
        <v>0</v>
      </c>
      <c r="AW1064" s="46">
        <v>0</v>
      </c>
      <c r="AX1064" s="46">
        <v>0</v>
      </c>
      <c r="AY1064" s="46">
        <v>0</v>
      </c>
      <c r="AZ1064" s="46">
        <v>0</v>
      </c>
      <c r="BA1064" s="46">
        <v>0</v>
      </c>
      <c r="BB1064" s="46">
        <v>0</v>
      </c>
      <c r="BC1064" s="46">
        <v>0</v>
      </c>
      <c r="BD1064" s="46">
        <v>0</v>
      </c>
      <c r="BE1064" s="46">
        <v>0</v>
      </c>
      <c r="BF1064" s="46">
        <v>0</v>
      </c>
      <c r="BG1064" s="46" t="s">
        <v>48</v>
      </c>
      <c r="BH1064" s="46">
        <v>0</v>
      </c>
      <c r="BI1064" s="46">
        <v>0</v>
      </c>
      <c r="BJ1064" s="46">
        <v>0</v>
      </c>
      <c r="BK1064" s="46">
        <v>0</v>
      </c>
      <c r="BL1064" s="46">
        <v>0</v>
      </c>
      <c r="BM1064" s="46">
        <v>0</v>
      </c>
      <c r="BN1064" s="46">
        <v>0</v>
      </c>
    </row>
    <row r="1065" spans="1:66" x14ac:dyDescent="0.35">
      <c r="A1065" t="s">
        <v>6354</v>
      </c>
      <c r="B1065" s="44" t="s">
        <v>48</v>
      </c>
      <c r="C1065" t="s">
        <v>6359</v>
      </c>
      <c r="D1065" t="s">
        <v>2651</v>
      </c>
      <c r="E1065" t="s">
        <v>6355</v>
      </c>
      <c r="F1065" t="s">
        <v>6353</v>
      </c>
      <c r="G1065" t="s">
        <v>47</v>
      </c>
      <c r="H1065">
        <v>0</v>
      </c>
      <c r="I1065" s="60" t="s">
        <v>51</v>
      </c>
      <c r="J1065" s="33" t="s">
        <v>45</v>
      </c>
      <c r="K1065" s="46">
        <v>1</v>
      </c>
      <c r="L1065">
        <v>59.1</v>
      </c>
      <c r="M1065" t="s">
        <v>48</v>
      </c>
      <c r="N1065" s="46">
        <v>1</v>
      </c>
      <c r="O1065" s="46">
        <v>0</v>
      </c>
      <c r="P1065" s="46">
        <v>0</v>
      </c>
      <c r="Q1065" t="s">
        <v>48</v>
      </c>
      <c r="R1065" t="s">
        <v>48</v>
      </c>
      <c r="S1065" t="s">
        <v>6356</v>
      </c>
      <c r="T1065" t="s">
        <v>6357</v>
      </c>
      <c r="U1065" t="s">
        <v>6356</v>
      </c>
      <c r="V1065" s="47">
        <v>0</v>
      </c>
      <c r="W1065" t="s">
        <v>48</v>
      </c>
      <c r="X1065" t="s">
        <v>48</v>
      </c>
      <c r="Y1065" t="s">
        <v>48</v>
      </c>
      <c r="Z1065">
        <v>1</v>
      </c>
      <c r="AA1065" t="s">
        <v>6358</v>
      </c>
      <c r="AB1065">
        <v>2020</v>
      </c>
      <c r="AC1065" t="s">
        <v>49</v>
      </c>
      <c r="AD1065" t="s">
        <v>93</v>
      </c>
      <c r="AE1065" t="s">
        <v>4532</v>
      </c>
      <c r="AF1065" t="s">
        <v>48</v>
      </c>
      <c r="AG1065" t="s">
        <v>140</v>
      </c>
      <c r="AH1065" t="s">
        <v>93</v>
      </c>
      <c r="AI1065">
        <v>22112</v>
      </c>
      <c r="AJ1065">
        <v>1967</v>
      </c>
      <c r="AK1065" t="s">
        <v>9300</v>
      </c>
      <c r="AL1065" t="s">
        <v>9301</v>
      </c>
      <c r="AM1065">
        <v>0.71899999999999997</v>
      </c>
      <c r="AN1065">
        <v>0.16400000000000001</v>
      </c>
      <c r="AO1065">
        <v>0.71899999999999997</v>
      </c>
      <c r="AP1065" s="46">
        <v>0</v>
      </c>
      <c r="AQ1065" s="46">
        <v>0</v>
      </c>
      <c r="AR1065" s="46">
        <v>0</v>
      </c>
      <c r="AS1065" s="46">
        <v>0</v>
      </c>
      <c r="AT1065" s="46">
        <v>0</v>
      </c>
      <c r="AU1065" s="46">
        <v>0</v>
      </c>
      <c r="AV1065" s="46">
        <v>0</v>
      </c>
      <c r="AW1065" s="46">
        <v>0</v>
      </c>
      <c r="AX1065" s="46">
        <v>0</v>
      </c>
      <c r="AY1065" s="46">
        <v>0</v>
      </c>
      <c r="AZ1065" s="46">
        <v>0</v>
      </c>
      <c r="BA1065" s="46">
        <v>0</v>
      </c>
      <c r="BB1065" s="46">
        <v>1</v>
      </c>
      <c r="BC1065" s="46">
        <v>0</v>
      </c>
      <c r="BD1065" s="46">
        <v>0</v>
      </c>
      <c r="BE1065" s="46">
        <v>0</v>
      </c>
      <c r="BF1065" s="46">
        <v>0</v>
      </c>
      <c r="BG1065" s="46">
        <v>1</v>
      </c>
      <c r="BH1065" s="46">
        <v>0</v>
      </c>
      <c r="BI1065" s="46">
        <v>0</v>
      </c>
      <c r="BJ1065" s="46">
        <v>0</v>
      </c>
      <c r="BK1065" s="46">
        <v>0</v>
      </c>
      <c r="BL1065" s="46">
        <v>0</v>
      </c>
      <c r="BM1065" s="46">
        <v>0</v>
      </c>
      <c r="BN1065" s="46">
        <v>1</v>
      </c>
    </row>
    <row r="1066" spans="1:66" x14ac:dyDescent="0.35">
      <c r="A1066" t="s">
        <v>6374</v>
      </c>
      <c r="B1066" s="44" t="s">
        <v>48</v>
      </c>
      <c r="C1066" t="s">
        <v>6377</v>
      </c>
      <c r="D1066" t="s">
        <v>3590</v>
      </c>
      <c r="E1066" t="s">
        <v>6375</v>
      </c>
      <c r="F1066" t="s">
        <v>6371</v>
      </c>
      <c r="G1066" t="s">
        <v>47</v>
      </c>
      <c r="H1066">
        <v>0</v>
      </c>
      <c r="I1066" s="60" t="s">
        <v>51</v>
      </c>
      <c r="J1066" s="33" t="s">
        <v>45</v>
      </c>
      <c r="K1066" s="46">
        <v>1</v>
      </c>
      <c r="L1066">
        <v>100</v>
      </c>
      <c r="M1066" t="s">
        <v>48</v>
      </c>
      <c r="N1066" s="46">
        <v>1</v>
      </c>
      <c r="O1066" s="46">
        <v>0</v>
      </c>
      <c r="P1066" s="46">
        <v>0</v>
      </c>
      <c r="Q1066" t="s">
        <v>48</v>
      </c>
      <c r="R1066" t="s">
        <v>48</v>
      </c>
      <c r="S1066" t="s">
        <v>6376</v>
      </c>
      <c r="T1066" t="s">
        <v>48</v>
      </c>
      <c r="U1066" t="s">
        <v>6376</v>
      </c>
      <c r="V1066" s="47">
        <v>0</v>
      </c>
      <c r="W1066" t="s">
        <v>48</v>
      </c>
      <c r="X1066" t="s">
        <v>48</v>
      </c>
      <c r="Y1066" t="s">
        <v>48</v>
      </c>
      <c r="Z1066">
        <v>0</v>
      </c>
      <c r="AA1066" t="s">
        <v>48</v>
      </c>
      <c r="AB1066">
        <v>2018</v>
      </c>
      <c r="AC1066" t="s">
        <v>49</v>
      </c>
      <c r="AD1066" t="s">
        <v>93</v>
      </c>
      <c r="AE1066" t="s">
        <v>4532</v>
      </c>
      <c r="AF1066" t="s">
        <v>48</v>
      </c>
      <c r="AG1066" t="s">
        <v>410</v>
      </c>
      <c r="AH1066" t="s">
        <v>93</v>
      </c>
      <c r="AI1066">
        <v>21925</v>
      </c>
      <c r="AJ1066">
        <v>1982</v>
      </c>
      <c r="AK1066" t="s">
        <v>9302</v>
      </c>
      <c r="AL1066" t="s">
        <v>9303</v>
      </c>
      <c r="AM1066">
        <v>0.751</v>
      </c>
      <c r="AN1066">
        <v>-7.5999999999999998E-2</v>
      </c>
      <c r="AO1066">
        <v>0.751</v>
      </c>
      <c r="AP1066" s="46">
        <v>0</v>
      </c>
      <c r="AQ1066" s="46">
        <v>0</v>
      </c>
      <c r="AR1066" s="46">
        <v>0</v>
      </c>
      <c r="AS1066" s="46">
        <v>0</v>
      </c>
      <c r="AT1066" s="46">
        <v>0</v>
      </c>
      <c r="AU1066" s="46">
        <v>0</v>
      </c>
      <c r="AV1066" s="46">
        <v>0</v>
      </c>
      <c r="AW1066" s="46">
        <v>0</v>
      </c>
      <c r="AX1066" s="46">
        <v>0</v>
      </c>
      <c r="AY1066" s="46">
        <v>0</v>
      </c>
      <c r="AZ1066" s="46">
        <v>0</v>
      </c>
      <c r="BA1066" s="46">
        <v>0</v>
      </c>
      <c r="BB1066" s="46">
        <v>1</v>
      </c>
      <c r="BC1066" s="46">
        <v>0</v>
      </c>
      <c r="BD1066" s="46">
        <v>0</v>
      </c>
      <c r="BE1066" s="46">
        <v>0</v>
      </c>
      <c r="BF1066" s="46">
        <v>0</v>
      </c>
      <c r="BG1066" s="46">
        <v>1</v>
      </c>
      <c r="BH1066" s="46">
        <v>0</v>
      </c>
      <c r="BI1066" s="46">
        <v>0</v>
      </c>
      <c r="BJ1066" s="46">
        <v>0</v>
      </c>
      <c r="BK1066" s="46">
        <v>0</v>
      </c>
      <c r="BL1066" s="46">
        <v>0</v>
      </c>
      <c r="BM1066" s="46">
        <v>0</v>
      </c>
      <c r="BN1066" s="46">
        <v>1</v>
      </c>
    </row>
    <row r="1067" spans="1:66" x14ac:dyDescent="0.35">
      <c r="A1067" t="s">
        <v>6378</v>
      </c>
      <c r="B1067" s="44" t="s">
        <v>48</v>
      </c>
      <c r="C1067" t="s">
        <v>551</v>
      </c>
      <c r="D1067" t="s">
        <v>6381</v>
      </c>
      <c r="E1067" t="s">
        <v>6379</v>
      </c>
      <c r="F1067" t="s">
        <v>6371</v>
      </c>
      <c r="G1067" t="s">
        <v>74</v>
      </c>
      <c r="H1067">
        <v>0</v>
      </c>
      <c r="I1067" s="60" t="s">
        <v>149</v>
      </c>
      <c r="J1067" s="33" t="s">
        <v>45</v>
      </c>
      <c r="K1067" s="46">
        <v>0</v>
      </c>
      <c r="L1067">
        <v>52.9</v>
      </c>
      <c r="M1067" t="s">
        <v>48</v>
      </c>
      <c r="N1067" s="46">
        <v>1</v>
      </c>
      <c r="O1067" s="46">
        <v>0</v>
      </c>
      <c r="P1067" s="46">
        <v>0</v>
      </c>
      <c r="Q1067" t="s">
        <v>48</v>
      </c>
      <c r="R1067" t="s">
        <v>48</v>
      </c>
      <c r="S1067" t="s">
        <v>6380</v>
      </c>
      <c r="T1067" t="s">
        <v>48</v>
      </c>
      <c r="U1067" t="s">
        <v>6380</v>
      </c>
      <c r="V1067" s="47">
        <v>0</v>
      </c>
      <c r="W1067" t="s">
        <v>48</v>
      </c>
      <c r="X1067" t="s">
        <v>48</v>
      </c>
      <c r="Y1067" t="s">
        <v>48</v>
      </c>
      <c r="Z1067">
        <v>0</v>
      </c>
      <c r="AA1067" t="s">
        <v>48</v>
      </c>
      <c r="AB1067" t="s">
        <v>48</v>
      </c>
      <c r="AC1067" t="s">
        <v>63</v>
      </c>
      <c r="AD1067" t="s">
        <v>93</v>
      </c>
      <c r="AE1067" s="40" t="s">
        <v>2471</v>
      </c>
      <c r="AF1067" t="s">
        <v>11061</v>
      </c>
      <c r="AG1067" t="s">
        <v>48</v>
      </c>
      <c r="AH1067" t="s">
        <v>48</v>
      </c>
      <c r="AI1067" t="s">
        <v>48</v>
      </c>
      <c r="AJ1067" t="s">
        <v>48</v>
      </c>
      <c r="AK1067" t="s">
        <v>48</v>
      </c>
      <c r="AL1067" t="s">
        <v>48</v>
      </c>
      <c r="AM1067" t="s">
        <v>48</v>
      </c>
      <c r="AN1067" t="s">
        <v>48</v>
      </c>
      <c r="AO1067" t="s">
        <v>48</v>
      </c>
      <c r="AP1067" s="46">
        <v>0</v>
      </c>
      <c r="AQ1067" s="46">
        <v>0</v>
      </c>
      <c r="AR1067" s="46">
        <v>0</v>
      </c>
      <c r="AS1067" s="46">
        <v>0</v>
      </c>
      <c r="AT1067" s="46">
        <v>0</v>
      </c>
      <c r="AU1067" s="46">
        <v>0</v>
      </c>
      <c r="AV1067" s="46">
        <v>0</v>
      </c>
      <c r="AW1067" s="46">
        <v>0</v>
      </c>
      <c r="AX1067" s="46">
        <v>0</v>
      </c>
      <c r="AY1067" s="46">
        <v>0</v>
      </c>
      <c r="AZ1067" s="46">
        <v>0</v>
      </c>
      <c r="BA1067" s="46">
        <v>0</v>
      </c>
      <c r="BB1067" s="46">
        <v>0</v>
      </c>
      <c r="BC1067" s="46">
        <v>0</v>
      </c>
      <c r="BD1067" s="46">
        <v>0</v>
      </c>
      <c r="BE1067" s="46">
        <v>0</v>
      </c>
      <c r="BF1067" s="46">
        <v>0</v>
      </c>
      <c r="BG1067" s="46" t="s">
        <v>48</v>
      </c>
      <c r="BH1067" s="46">
        <v>0</v>
      </c>
      <c r="BI1067" s="46">
        <v>0</v>
      </c>
      <c r="BJ1067" s="46">
        <v>0</v>
      </c>
      <c r="BK1067" s="46">
        <v>0</v>
      </c>
      <c r="BL1067" s="46">
        <v>0</v>
      </c>
      <c r="BM1067" s="46">
        <v>0</v>
      </c>
      <c r="BN1067" s="46">
        <v>0</v>
      </c>
    </row>
    <row r="1068" spans="1:66" x14ac:dyDescent="0.35">
      <c r="A1068" t="s">
        <v>6386</v>
      </c>
      <c r="B1068" t="s">
        <v>48</v>
      </c>
      <c r="C1068" t="s">
        <v>6389</v>
      </c>
      <c r="D1068" t="s">
        <v>518</v>
      </c>
      <c r="E1068" t="s">
        <v>6387</v>
      </c>
      <c r="F1068" t="s">
        <v>6383</v>
      </c>
      <c r="G1068" t="s">
        <v>47</v>
      </c>
      <c r="H1068">
        <v>0</v>
      </c>
      <c r="I1068" s="60" t="s">
        <v>51</v>
      </c>
      <c r="J1068" s="33" t="s">
        <v>45</v>
      </c>
      <c r="K1068" s="46">
        <v>1</v>
      </c>
      <c r="L1068">
        <v>71.2</v>
      </c>
      <c r="M1068" t="s">
        <v>48</v>
      </c>
      <c r="N1068" s="46">
        <v>1</v>
      </c>
      <c r="O1068" s="46">
        <v>0</v>
      </c>
      <c r="P1068" s="46">
        <v>0</v>
      </c>
      <c r="Q1068" t="s">
        <v>48</v>
      </c>
      <c r="R1068" t="s">
        <v>48</v>
      </c>
      <c r="S1068" t="s">
        <v>6388</v>
      </c>
      <c r="T1068" t="str">
        <f>"@RepEllzey"</f>
        <v>@RepEllzey</v>
      </c>
      <c r="U1068" t="s">
        <v>6388</v>
      </c>
      <c r="V1068" s="47">
        <v>0</v>
      </c>
      <c r="W1068" t="s">
        <v>48</v>
      </c>
      <c r="X1068" t="s">
        <v>48</v>
      </c>
      <c r="Y1068" t="s">
        <v>48</v>
      </c>
      <c r="Z1068">
        <v>0</v>
      </c>
      <c r="AA1068" t="s">
        <v>48</v>
      </c>
      <c r="AB1068" t="s">
        <v>48</v>
      </c>
      <c r="AC1068" t="s">
        <v>49</v>
      </c>
      <c r="AD1068" t="s">
        <v>93</v>
      </c>
      <c r="AE1068" t="s">
        <v>4532</v>
      </c>
      <c r="AF1068" t="s">
        <v>48</v>
      </c>
      <c r="AG1068" t="s">
        <v>48</v>
      </c>
      <c r="AH1068" t="s">
        <v>93</v>
      </c>
      <c r="AI1068">
        <v>22160</v>
      </c>
      <c r="AJ1068">
        <v>1970</v>
      </c>
      <c r="AK1068" t="s">
        <v>9304</v>
      </c>
      <c r="AL1068" t="s">
        <v>9305</v>
      </c>
      <c r="AM1068">
        <v>0.52500000000000002</v>
      </c>
      <c r="AN1068">
        <v>0.53</v>
      </c>
      <c r="AO1068">
        <v>0.52500000000000002</v>
      </c>
      <c r="AP1068" s="46">
        <v>0</v>
      </c>
      <c r="AQ1068" s="46">
        <v>0</v>
      </c>
      <c r="AR1068" s="46">
        <v>0</v>
      </c>
      <c r="AS1068" s="46">
        <v>0</v>
      </c>
      <c r="AT1068" s="46">
        <v>0</v>
      </c>
      <c r="AU1068" s="46">
        <v>0</v>
      </c>
      <c r="AV1068" s="46">
        <v>0</v>
      </c>
      <c r="AW1068" s="46">
        <v>0</v>
      </c>
      <c r="AX1068" s="46">
        <v>0</v>
      </c>
      <c r="AY1068" s="46">
        <v>0</v>
      </c>
      <c r="AZ1068" s="46">
        <v>1</v>
      </c>
      <c r="BA1068" s="46">
        <v>0</v>
      </c>
      <c r="BB1068" s="46">
        <v>0</v>
      </c>
      <c r="BC1068" s="46">
        <v>0</v>
      </c>
      <c r="BD1068" s="46">
        <v>0</v>
      </c>
      <c r="BE1068" s="46">
        <v>0</v>
      </c>
      <c r="BF1068" s="46">
        <v>0</v>
      </c>
      <c r="BG1068" s="46">
        <v>1</v>
      </c>
      <c r="BH1068" s="46">
        <v>0</v>
      </c>
      <c r="BI1068" s="46">
        <v>0</v>
      </c>
      <c r="BJ1068" s="46">
        <v>0</v>
      </c>
      <c r="BK1068" s="46">
        <v>0</v>
      </c>
      <c r="BL1068" s="46">
        <v>0</v>
      </c>
      <c r="BM1068" s="46">
        <v>0</v>
      </c>
      <c r="BN1068" s="46">
        <v>0</v>
      </c>
    </row>
    <row r="1069" spans="1:66" x14ac:dyDescent="0.35">
      <c r="A1069" t="s">
        <v>6422</v>
      </c>
      <c r="B1069" t="s">
        <v>48</v>
      </c>
      <c r="C1069" t="s">
        <v>6425</v>
      </c>
      <c r="D1069" t="s">
        <v>1692</v>
      </c>
      <c r="E1069" t="s">
        <v>6423</v>
      </c>
      <c r="F1069" t="s">
        <v>6393</v>
      </c>
      <c r="G1069" t="s">
        <v>47</v>
      </c>
      <c r="H1069">
        <v>0</v>
      </c>
      <c r="I1069" s="60" t="s">
        <v>11160</v>
      </c>
      <c r="J1069" s="33" t="s">
        <v>45</v>
      </c>
      <c r="K1069" s="46">
        <v>0</v>
      </c>
      <c r="L1069">
        <v>42.7</v>
      </c>
      <c r="M1069">
        <v>63.6</v>
      </c>
      <c r="N1069" s="46">
        <v>1</v>
      </c>
      <c r="O1069" s="46">
        <v>0</v>
      </c>
      <c r="P1069" s="46">
        <v>0</v>
      </c>
      <c r="Q1069" t="s">
        <v>48</v>
      </c>
      <c r="R1069" t="s">
        <v>48</v>
      </c>
      <c r="S1069" t="s">
        <v>6424</v>
      </c>
      <c r="T1069" t="s">
        <v>48</v>
      </c>
      <c r="U1069" t="s">
        <v>6424</v>
      </c>
      <c r="V1069" s="47">
        <v>0</v>
      </c>
      <c r="W1069" t="s">
        <v>11317</v>
      </c>
      <c r="X1069" t="s">
        <v>48</v>
      </c>
      <c r="Y1069" t="s">
        <v>48</v>
      </c>
      <c r="Z1069">
        <v>0</v>
      </c>
      <c r="AA1069" t="s">
        <v>48</v>
      </c>
      <c r="AB1069" t="s">
        <v>48</v>
      </c>
      <c r="AC1069" t="s">
        <v>49</v>
      </c>
      <c r="AD1069" t="s">
        <v>93</v>
      </c>
      <c r="AE1069" t="s">
        <v>4532</v>
      </c>
      <c r="AF1069" t="s">
        <v>48</v>
      </c>
      <c r="AG1069" t="s">
        <v>48</v>
      </c>
      <c r="AH1069" t="s">
        <v>48</v>
      </c>
      <c r="AI1069" t="s">
        <v>48</v>
      </c>
      <c r="AJ1069" t="s">
        <v>48</v>
      </c>
      <c r="AK1069" t="s">
        <v>48</v>
      </c>
      <c r="AL1069" t="s">
        <v>48</v>
      </c>
      <c r="AM1069" t="s">
        <v>48</v>
      </c>
      <c r="AN1069" t="s">
        <v>48</v>
      </c>
      <c r="AO1069" t="s">
        <v>48</v>
      </c>
      <c r="AP1069" s="46">
        <v>0</v>
      </c>
      <c r="AQ1069" s="46">
        <v>0</v>
      </c>
      <c r="AR1069" s="46">
        <v>0</v>
      </c>
      <c r="AS1069" s="46">
        <v>0</v>
      </c>
      <c r="AT1069" s="46">
        <v>0</v>
      </c>
      <c r="AU1069" s="46">
        <v>0</v>
      </c>
      <c r="AV1069" s="46">
        <v>0</v>
      </c>
      <c r="AW1069" s="46">
        <v>0</v>
      </c>
      <c r="AX1069" s="46">
        <v>0</v>
      </c>
      <c r="AY1069" s="46">
        <v>0</v>
      </c>
      <c r="AZ1069" s="46">
        <v>0</v>
      </c>
      <c r="BA1069" s="46">
        <v>0</v>
      </c>
      <c r="BB1069" s="46">
        <v>0</v>
      </c>
      <c r="BC1069" s="46">
        <v>0</v>
      </c>
      <c r="BD1069" s="46">
        <v>0</v>
      </c>
      <c r="BE1069" s="46">
        <v>0</v>
      </c>
      <c r="BF1069" s="46">
        <v>0</v>
      </c>
      <c r="BG1069" s="46" t="s">
        <v>48</v>
      </c>
      <c r="BH1069" s="46">
        <v>0</v>
      </c>
      <c r="BI1069" s="46">
        <v>0</v>
      </c>
      <c r="BJ1069" s="46">
        <v>0</v>
      </c>
      <c r="BK1069" s="46">
        <v>0</v>
      </c>
      <c r="BL1069" s="46">
        <v>0</v>
      </c>
      <c r="BM1069" s="46">
        <v>0</v>
      </c>
      <c r="BN1069" s="46">
        <v>0</v>
      </c>
    </row>
    <row r="1070" spans="1:66" x14ac:dyDescent="0.35">
      <c r="A1070" t="s">
        <v>6399</v>
      </c>
      <c r="B1070" t="s">
        <v>48</v>
      </c>
      <c r="C1070" t="s">
        <v>6404</v>
      </c>
      <c r="D1070" t="s">
        <v>6403</v>
      </c>
      <c r="E1070" t="s">
        <v>6400</v>
      </c>
      <c r="F1070" t="s">
        <v>6393</v>
      </c>
      <c r="G1070" t="s">
        <v>74</v>
      </c>
      <c r="H1070">
        <v>0</v>
      </c>
      <c r="I1070" s="60" t="s">
        <v>51</v>
      </c>
      <c r="J1070" s="33" t="s">
        <v>45</v>
      </c>
      <c r="K1070" s="46">
        <v>1</v>
      </c>
      <c r="L1070">
        <v>100</v>
      </c>
      <c r="M1070" t="s">
        <v>48</v>
      </c>
      <c r="N1070" s="46">
        <v>1</v>
      </c>
      <c r="O1070" s="46">
        <v>0</v>
      </c>
      <c r="P1070" s="46">
        <v>0</v>
      </c>
      <c r="Q1070" t="s">
        <v>48</v>
      </c>
      <c r="R1070" t="s">
        <v>48</v>
      </c>
      <c r="S1070" t="s">
        <v>6401</v>
      </c>
      <c r="T1070" t="s">
        <v>6402</v>
      </c>
      <c r="U1070" t="s">
        <v>6401</v>
      </c>
      <c r="V1070" s="47">
        <v>0</v>
      </c>
      <c r="W1070" t="s">
        <v>48</v>
      </c>
      <c r="X1070" t="s">
        <v>48</v>
      </c>
      <c r="Y1070" t="s">
        <v>48</v>
      </c>
      <c r="Z1070">
        <v>0</v>
      </c>
      <c r="AA1070" t="s">
        <v>48</v>
      </c>
      <c r="AB1070">
        <v>2018</v>
      </c>
      <c r="AC1070" t="s">
        <v>63</v>
      </c>
      <c r="AD1070" t="s">
        <v>93</v>
      </c>
      <c r="AE1070" t="s">
        <v>4532</v>
      </c>
      <c r="AF1070" t="s">
        <v>48</v>
      </c>
      <c r="AG1070" t="s">
        <v>479</v>
      </c>
      <c r="AH1070" t="s">
        <v>93</v>
      </c>
      <c r="AI1070">
        <v>21919</v>
      </c>
      <c r="AJ1070">
        <v>1975</v>
      </c>
      <c r="AK1070" t="s">
        <v>9306</v>
      </c>
      <c r="AL1070" t="s">
        <v>9307</v>
      </c>
      <c r="AM1070">
        <v>-0.38300000000000001</v>
      </c>
      <c r="AN1070">
        <v>0.71099999999999997</v>
      </c>
      <c r="AO1070">
        <v>-0.38300000000000001</v>
      </c>
      <c r="AP1070" s="46">
        <v>0</v>
      </c>
      <c r="AQ1070" s="46">
        <v>0</v>
      </c>
      <c r="AR1070" s="46">
        <v>0</v>
      </c>
      <c r="AS1070" s="46">
        <v>0</v>
      </c>
      <c r="AT1070" s="46">
        <v>0</v>
      </c>
      <c r="AU1070" s="46">
        <v>1</v>
      </c>
      <c r="AV1070" s="46">
        <v>0</v>
      </c>
      <c r="AW1070" s="46">
        <v>0</v>
      </c>
      <c r="AX1070" s="46">
        <v>0</v>
      </c>
      <c r="AY1070" s="46">
        <v>0</v>
      </c>
      <c r="AZ1070" s="46">
        <v>0</v>
      </c>
      <c r="BA1070" s="46">
        <v>0</v>
      </c>
      <c r="BB1070" s="46">
        <v>0</v>
      </c>
      <c r="BC1070" s="46">
        <v>0</v>
      </c>
      <c r="BD1070" s="46">
        <v>0</v>
      </c>
      <c r="BE1070" s="46">
        <v>0</v>
      </c>
      <c r="BF1070" s="46">
        <v>0</v>
      </c>
      <c r="BG1070" s="46" t="s">
        <v>48</v>
      </c>
      <c r="BH1070" s="46">
        <v>0</v>
      </c>
      <c r="BI1070" s="46">
        <v>0</v>
      </c>
      <c r="BJ1070" s="46">
        <v>0</v>
      </c>
      <c r="BK1070" s="46">
        <v>0</v>
      </c>
      <c r="BL1070" s="46">
        <v>0</v>
      </c>
      <c r="BM1070" s="46">
        <v>0</v>
      </c>
      <c r="BN1070" s="46">
        <v>0</v>
      </c>
    </row>
    <row r="1071" spans="1:66" x14ac:dyDescent="0.35">
      <c r="A1071" t="s">
        <v>6447</v>
      </c>
      <c r="B1071" s="44" t="s">
        <v>48</v>
      </c>
      <c r="C1071" t="s">
        <v>886</v>
      </c>
      <c r="D1071" t="s">
        <v>2114</v>
      </c>
      <c r="E1071" t="s">
        <v>6448</v>
      </c>
      <c r="F1071" t="s">
        <v>6427</v>
      </c>
      <c r="G1071" t="s">
        <v>74</v>
      </c>
      <c r="H1071">
        <v>0</v>
      </c>
      <c r="I1071" s="60" t="s">
        <v>51</v>
      </c>
      <c r="J1071" s="33" t="s">
        <v>45</v>
      </c>
      <c r="K1071" s="46">
        <v>0</v>
      </c>
      <c r="L1071">
        <v>100</v>
      </c>
      <c r="M1071" t="s">
        <v>48</v>
      </c>
      <c r="N1071" s="46">
        <v>1</v>
      </c>
      <c r="O1071" s="46">
        <v>0</v>
      </c>
      <c r="P1071" s="46">
        <v>0</v>
      </c>
      <c r="Q1071" t="s">
        <v>48</v>
      </c>
      <c r="R1071" t="s">
        <v>48</v>
      </c>
      <c r="S1071" t="s">
        <v>6449</v>
      </c>
      <c r="T1071" t="s">
        <v>48</v>
      </c>
      <c r="U1071" t="s">
        <v>6449</v>
      </c>
      <c r="V1071" s="47">
        <v>0</v>
      </c>
      <c r="W1071" t="s">
        <v>48</v>
      </c>
      <c r="X1071" t="s">
        <v>48</v>
      </c>
      <c r="Y1071" t="s">
        <v>48</v>
      </c>
      <c r="Z1071">
        <v>0</v>
      </c>
      <c r="AA1071" t="s">
        <v>48</v>
      </c>
      <c r="AB1071" t="s">
        <v>48</v>
      </c>
      <c r="AC1071" t="s">
        <v>63</v>
      </c>
      <c r="AD1071" t="s">
        <v>93</v>
      </c>
      <c r="AE1071" t="s">
        <v>4532</v>
      </c>
      <c r="AF1071" t="s">
        <v>48</v>
      </c>
      <c r="AG1071" t="s">
        <v>48</v>
      </c>
      <c r="AH1071" t="s">
        <v>48</v>
      </c>
      <c r="AI1071" t="s">
        <v>48</v>
      </c>
      <c r="AJ1071" t="s">
        <v>48</v>
      </c>
      <c r="AK1071" t="s">
        <v>48</v>
      </c>
      <c r="AL1071" t="s">
        <v>48</v>
      </c>
      <c r="AM1071" t="s">
        <v>48</v>
      </c>
      <c r="AN1071" t="s">
        <v>48</v>
      </c>
      <c r="AO1071" t="s">
        <v>48</v>
      </c>
      <c r="AP1071" s="46">
        <v>0</v>
      </c>
      <c r="AQ1071" s="46">
        <v>0</v>
      </c>
      <c r="AR1071" s="46">
        <v>0</v>
      </c>
      <c r="AS1071" s="46">
        <v>0</v>
      </c>
      <c r="AT1071" s="46">
        <v>0</v>
      </c>
      <c r="AU1071" s="46">
        <v>0</v>
      </c>
      <c r="AV1071" s="46">
        <v>0</v>
      </c>
      <c r="AW1071" s="46">
        <v>0</v>
      </c>
      <c r="AX1071" s="46">
        <v>0</v>
      </c>
      <c r="AY1071" s="46">
        <v>0</v>
      </c>
      <c r="AZ1071" s="46">
        <v>0</v>
      </c>
      <c r="BA1071" s="46">
        <v>0</v>
      </c>
      <c r="BB1071" s="46">
        <v>0</v>
      </c>
      <c r="BC1071" s="46">
        <v>0</v>
      </c>
      <c r="BD1071" s="46">
        <v>0</v>
      </c>
      <c r="BE1071" s="46">
        <v>0</v>
      </c>
      <c r="BF1071" s="46">
        <v>0</v>
      </c>
      <c r="BG1071" s="46" t="s">
        <v>48</v>
      </c>
      <c r="BH1071" s="46">
        <v>0</v>
      </c>
      <c r="BI1071" s="46">
        <v>0</v>
      </c>
      <c r="BJ1071" s="46">
        <v>0</v>
      </c>
      <c r="BK1071" s="46">
        <v>0</v>
      </c>
      <c r="BL1071" s="46">
        <v>0</v>
      </c>
      <c r="BM1071" s="46">
        <v>0</v>
      </c>
      <c r="BN1071" s="46">
        <v>0</v>
      </c>
    </row>
    <row r="1072" spans="1:66" x14ac:dyDescent="0.35">
      <c r="A1072" t="s">
        <v>6450</v>
      </c>
      <c r="B1072" t="s">
        <v>48</v>
      </c>
      <c r="C1072" t="s">
        <v>6453</v>
      </c>
      <c r="D1072" t="s">
        <v>613</v>
      </c>
      <c r="E1072" t="s">
        <v>6451</v>
      </c>
      <c r="F1072" t="s">
        <v>6427</v>
      </c>
      <c r="G1072" t="s">
        <v>47</v>
      </c>
      <c r="H1072">
        <v>0</v>
      </c>
      <c r="I1072" s="60" t="s">
        <v>51</v>
      </c>
      <c r="J1072" s="33" t="s">
        <v>45</v>
      </c>
      <c r="K1072" s="46">
        <v>0</v>
      </c>
      <c r="L1072">
        <v>52.2</v>
      </c>
      <c r="M1072" t="s">
        <v>48</v>
      </c>
      <c r="N1072" s="46">
        <v>1</v>
      </c>
      <c r="O1072" s="46">
        <v>0</v>
      </c>
      <c r="P1072" s="46">
        <v>0</v>
      </c>
      <c r="Q1072" t="s">
        <v>48</v>
      </c>
      <c r="R1072" t="s">
        <v>48</v>
      </c>
      <c r="S1072" t="s">
        <v>6452</v>
      </c>
      <c r="T1072" t="s">
        <v>48</v>
      </c>
      <c r="U1072" t="s">
        <v>6452</v>
      </c>
      <c r="V1072" s="47">
        <v>0</v>
      </c>
      <c r="W1072" t="s">
        <v>48</v>
      </c>
      <c r="X1072" t="s">
        <v>48</v>
      </c>
      <c r="Y1072" t="s">
        <v>48</v>
      </c>
      <c r="Z1072">
        <v>0</v>
      </c>
      <c r="AA1072" t="s">
        <v>48</v>
      </c>
      <c r="AB1072" t="s">
        <v>48</v>
      </c>
      <c r="AC1072" t="s">
        <v>49</v>
      </c>
      <c r="AD1072" t="s">
        <v>93</v>
      </c>
      <c r="AE1072" t="s">
        <v>4532</v>
      </c>
      <c r="AF1072" t="s">
        <v>48</v>
      </c>
      <c r="AG1072" t="s">
        <v>48</v>
      </c>
      <c r="AH1072" t="s">
        <v>48</v>
      </c>
      <c r="AI1072" t="s">
        <v>48</v>
      </c>
      <c r="AJ1072" t="s">
        <v>48</v>
      </c>
      <c r="AK1072" t="s">
        <v>48</v>
      </c>
      <c r="AL1072" t="s">
        <v>48</v>
      </c>
      <c r="AM1072" t="s">
        <v>48</v>
      </c>
      <c r="AN1072" t="s">
        <v>48</v>
      </c>
      <c r="AO1072" t="s">
        <v>48</v>
      </c>
      <c r="AP1072" s="46">
        <v>0</v>
      </c>
      <c r="AQ1072" s="46">
        <v>0</v>
      </c>
      <c r="AR1072" s="46">
        <v>0</v>
      </c>
      <c r="AS1072" s="46">
        <v>0</v>
      </c>
      <c r="AT1072" s="46">
        <v>0</v>
      </c>
      <c r="AU1072" s="46">
        <v>0</v>
      </c>
      <c r="AV1072" s="46">
        <v>0</v>
      </c>
      <c r="AW1072" s="46">
        <v>0</v>
      </c>
      <c r="AX1072" s="46">
        <v>0</v>
      </c>
      <c r="AY1072" s="46">
        <v>0</v>
      </c>
      <c r="AZ1072" s="46">
        <v>0</v>
      </c>
      <c r="BA1072" s="46">
        <v>0</v>
      </c>
      <c r="BB1072" s="46">
        <v>0</v>
      </c>
      <c r="BC1072" s="46">
        <v>0</v>
      </c>
      <c r="BD1072" s="46">
        <v>0</v>
      </c>
      <c r="BE1072" s="46">
        <v>0</v>
      </c>
      <c r="BF1072" s="46">
        <v>0</v>
      </c>
      <c r="BG1072" s="46">
        <v>1</v>
      </c>
      <c r="BH1072" s="46">
        <v>0</v>
      </c>
      <c r="BI1072" s="46">
        <v>0</v>
      </c>
      <c r="BJ1072" s="46">
        <v>0</v>
      </c>
      <c r="BK1072" s="46">
        <v>0</v>
      </c>
      <c r="BL1072" s="46">
        <v>0</v>
      </c>
      <c r="BM1072" s="46">
        <v>0</v>
      </c>
      <c r="BN1072" s="46">
        <v>0</v>
      </c>
    </row>
    <row r="1073" spans="1:66" x14ac:dyDescent="0.35">
      <c r="A1073" t="s">
        <v>179</v>
      </c>
      <c r="B1073" s="44" t="s">
        <v>48</v>
      </c>
      <c r="C1073" t="s">
        <v>185</v>
      </c>
      <c r="D1073" t="s">
        <v>85</v>
      </c>
      <c r="E1073" t="s">
        <v>181</v>
      </c>
      <c r="F1073" t="s">
        <v>180</v>
      </c>
      <c r="G1073" t="s">
        <v>74</v>
      </c>
      <c r="H1073">
        <v>0</v>
      </c>
      <c r="I1073" s="60" t="s">
        <v>51</v>
      </c>
      <c r="J1073" s="33" t="s">
        <v>45</v>
      </c>
      <c r="K1073" s="46">
        <v>1</v>
      </c>
      <c r="L1073">
        <v>100</v>
      </c>
      <c r="M1073" t="s">
        <v>48</v>
      </c>
      <c r="N1073" s="46">
        <v>1</v>
      </c>
      <c r="O1073" s="46">
        <v>0</v>
      </c>
      <c r="P1073" s="46">
        <v>0</v>
      </c>
      <c r="Q1073" t="s">
        <v>48</v>
      </c>
      <c r="R1073" t="s">
        <v>48</v>
      </c>
      <c r="S1073" t="s">
        <v>182</v>
      </c>
      <c r="T1073" t="s">
        <v>183</v>
      </c>
      <c r="U1073" t="s">
        <v>182</v>
      </c>
      <c r="V1073" s="47">
        <v>0</v>
      </c>
      <c r="W1073" t="s">
        <v>48</v>
      </c>
      <c r="X1073" t="s">
        <v>48</v>
      </c>
      <c r="Y1073" t="s">
        <v>48</v>
      </c>
      <c r="Z1073">
        <v>0</v>
      </c>
      <c r="AA1073" t="s">
        <v>48</v>
      </c>
      <c r="AB1073">
        <v>2004</v>
      </c>
      <c r="AC1073" t="s">
        <v>49</v>
      </c>
      <c r="AD1073" t="s">
        <v>93</v>
      </c>
      <c r="AE1073" s="40" t="s">
        <v>2471</v>
      </c>
      <c r="AF1073" t="s">
        <v>11061</v>
      </c>
      <c r="AG1073" t="s">
        <v>184</v>
      </c>
      <c r="AH1073" t="s">
        <v>93</v>
      </c>
      <c r="AI1073">
        <v>20529</v>
      </c>
      <c r="AJ1073">
        <v>1947</v>
      </c>
      <c r="AK1073" t="s">
        <v>9310</v>
      </c>
      <c r="AL1073" t="s">
        <v>9311</v>
      </c>
      <c r="AM1073">
        <v>-0.439</v>
      </c>
      <c r="AN1073">
        <v>0.29899999999999999</v>
      </c>
      <c r="AO1073">
        <v>-0.439</v>
      </c>
      <c r="AP1073" s="46">
        <v>0</v>
      </c>
      <c r="AQ1073" s="46">
        <v>0</v>
      </c>
      <c r="AR1073" s="46">
        <v>0</v>
      </c>
      <c r="AS1073" s="46">
        <v>0</v>
      </c>
      <c r="AT1073" s="46">
        <v>0</v>
      </c>
      <c r="AU1073" s="46">
        <v>0</v>
      </c>
      <c r="AV1073" s="46">
        <v>0</v>
      </c>
      <c r="AW1073" s="46">
        <v>0</v>
      </c>
      <c r="AX1073" s="46">
        <v>0</v>
      </c>
      <c r="AY1073" s="46">
        <v>0</v>
      </c>
      <c r="AZ1073" s="46">
        <v>0</v>
      </c>
      <c r="BA1073" s="46">
        <v>0</v>
      </c>
      <c r="BB1073" s="46">
        <v>0</v>
      </c>
      <c r="BC1073" s="46">
        <v>0</v>
      </c>
      <c r="BD1073" s="46">
        <v>0</v>
      </c>
      <c r="BE1073" s="46">
        <v>0</v>
      </c>
      <c r="BF1073" s="46">
        <v>0</v>
      </c>
      <c r="BG1073" s="46" t="s">
        <v>48</v>
      </c>
      <c r="BH1073" s="46">
        <v>0</v>
      </c>
      <c r="BI1073" s="46">
        <v>0</v>
      </c>
      <c r="BJ1073" s="46">
        <v>0</v>
      </c>
      <c r="BK1073" s="46">
        <v>0</v>
      </c>
      <c r="BL1073" s="46">
        <v>0</v>
      </c>
      <c r="BM1073" s="46">
        <v>0</v>
      </c>
      <c r="BN1073" s="46">
        <v>0</v>
      </c>
    </row>
    <row r="1074" spans="1:66" x14ac:dyDescent="0.35">
      <c r="A1074" t="s">
        <v>6474</v>
      </c>
      <c r="B1074" t="s">
        <v>48</v>
      </c>
      <c r="C1074" t="s">
        <v>5707</v>
      </c>
      <c r="D1074" t="s">
        <v>1118</v>
      </c>
      <c r="E1074" t="s">
        <v>6475</v>
      </c>
      <c r="F1074" t="s">
        <v>180</v>
      </c>
      <c r="G1074" t="s">
        <v>47</v>
      </c>
      <c r="H1074">
        <v>0</v>
      </c>
      <c r="I1074" s="60" t="s">
        <v>149</v>
      </c>
      <c r="J1074" s="33" t="s">
        <v>45</v>
      </c>
      <c r="K1074" s="46">
        <v>0</v>
      </c>
      <c r="L1074">
        <v>100</v>
      </c>
      <c r="M1074" t="s">
        <v>48</v>
      </c>
      <c r="N1074" s="46">
        <v>1</v>
      </c>
      <c r="O1074" s="46">
        <v>0</v>
      </c>
      <c r="P1074" s="46">
        <v>0</v>
      </c>
      <c r="Q1074" t="s">
        <v>48</v>
      </c>
      <c r="R1074" t="s">
        <v>48</v>
      </c>
      <c r="S1074" t="s">
        <v>48</v>
      </c>
      <c r="T1074" t="s">
        <v>48</v>
      </c>
      <c r="U1074" t="s">
        <v>48</v>
      </c>
      <c r="V1074" s="47">
        <v>1</v>
      </c>
      <c r="W1074" t="s">
        <v>11264</v>
      </c>
      <c r="X1074" t="s">
        <v>48</v>
      </c>
      <c r="Y1074" t="s">
        <v>48</v>
      </c>
      <c r="Z1074">
        <v>0</v>
      </c>
      <c r="AA1074" t="s">
        <v>48</v>
      </c>
      <c r="AB1074" t="s">
        <v>48</v>
      </c>
      <c r="AC1074" t="s">
        <v>49</v>
      </c>
      <c r="AD1074" t="s">
        <v>951</v>
      </c>
      <c r="AE1074" t="s">
        <v>11051</v>
      </c>
      <c r="AF1074" t="s">
        <v>48</v>
      </c>
      <c r="AG1074" t="s">
        <v>48</v>
      </c>
      <c r="AH1074" t="s">
        <v>48</v>
      </c>
      <c r="AI1074" t="s">
        <v>48</v>
      </c>
      <c r="AJ1074" t="s">
        <v>48</v>
      </c>
      <c r="AK1074" t="s">
        <v>48</v>
      </c>
      <c r="AL1074" t="s">
        <v>48</v>
      </c>
      <c r="AM1074" t="s">
        <v>48</v>
      </c>
      <c r="AN1074" t="s">
        <v>48</v>
      </c>
      <c r="AO1074" t="s">
        <v>48</v>
      </c>
      <c r="AP1074" s="46">
        <v>0</v>
      </c>
      <c r="AQ1074" s="46">
        <v>0</v>
      </c>
      <c r="AR1074" s="46">
        <v>0</v>
      </c>
      <c r="AS1074" s="46">
        <v>0</v>
      </c>
      <c r="AT1074" s="46">
        <v>0</v>
      </c>
      <c r="AU1074" s="46">
        <v>0</v>
      </c>
      <c r="AV1074" s="46">
        <v>0</v>
      </c>
      <c r="AW1074" s="46">
        <v>0</v>
      </c>
      <c r="AX1074" s="46">
        <v>0</v>
      </c>
      <c r="AY1074" s="46">
        <v>0</v>
      </c>
      <c r="AZ1074" s="46">
        <v>0</v>
      </c>
      <c r="BA1074" s="46">
        <v>0</v>
      </c>
      <c r="BB1074" s="46">
        <v>0</v>
      </c>
      <c r="BC1074" s="46">
        <v>0</v>
      </c>
      <c r="BD1074" s="46">
        <v>0</v>
      </c>
      <c r="BE1074" s="46">
        <v>0</v>
      </c>
      <c r="BF1074" s="46">
        <v>0</v>
      </c>
      <c r="BG1074" s="46" t="s">
        <v>48</v>
      </c>
      <c r="BH1074" s="46">
        <v>0</v>
      </c>
      <c r="BI1074" s="46">
        <v>0</v>
      </c>
      <c r="BJ1074" s="46">
        <v>0</v>
      </c>
      <c r="BK1074" s="46">
        <v>0</v>
      </c>
      <c r="BL1074" s="46">
        <v>0</v>
      </c>
      <c r="BM1074" s="46">
        <v>0</v>
      </c>
      <c r="BN1074" s="46">
        <v>0</v>
      </c>
    </row>
    <row r="1075" spans="1:66" x14ac:dyDescent="0.35">
      <c r="A1075" t="s">
        <v>6482</v>
      </c>
      <c r="B1075" s="44" t="s">
        <v>48</v>
      </c>
      <c r="C1075" t="s">
        <v>6485</v>
      </c>
      <c r="D1075" t="s">
        <v>1343</v>
      </c>
      <c r="E1075" t="s">
        <v>6483</v>
      </c>
      <c r="F1075" t="s">
        <v>6477</v>
      </c>
      <c r="G1075" t="s">
        <v>74</v>
      </c>
      <c r="H1075">
        <v>0</v>
      </c>
      <c r="I1075" s="60" t="s">
        <v>149</v>
      </c>
      <c r="J1075" s="33" t="s">
        <v>45</v>
      </c>
      <c r="K1075" s="46">
        <v>0</v>
      </c>
      <c r="L1075">
        <v>100</v>
      </c>
      <c r="M1075" t="s">
        <v>48</v>
      </c>
      <c r="N1075" s="46">
        <v>1</v>
      </c>
      <c r="O1075" s="46">
        <v>0</v>
      </c>
      <c r="P1075" s="46">
        <v>0</v>
      </c>
      <c r="Q1075" t="s">
        <v>48</v>
      </c>
      <c r="R1075" t="s">
        <v>48</v>
      </c>
      <c r="S1075" t="s">
        <v>6484</v>
      </c>
      <c r="T1075" t="s">
        <v>48</v>
      </c>
      <c r="U1075" t="s">
        <v>6484</v>
      </c>
      <c r="V1075" s="47">
        <v>0</v>
      </c>
      <c r="W1075" t="s">
        <v>48</v>
      </c>
      <c r="X1075" t="s">
        <v>48</v>
      </c>
      <c r="Y1075" t="s">
        <v>48</v>
      </c>
      <c r="Z1075">
        <v>0</v>
      </c>
      <c r="AA1075" t="s">
        <v>48</v>
      </c>
      <c r="AB1075" t="s">
        <v>48</v>
      </c>
      <c r="AC1075" t="s">
        <v>63</v>
      </c>
      <c r="AD1075" t="s">
        <v>951</v>
      </c>
      <c r="AE1075" s="40" t="s">
        <v>11051</v>
      </c>
      <c r="AF1075" t="s">
        <v>108</v>
      </c>
      <c r="AG1075" t="s">
        <v>48</v>
      </c>
      <c r="AH1075" t="s">
        <v>48</v>
      </c>
      <c r="AI1075" t="s">
        <v>48</v>
      </c>
      <c r="AJ1075" t="s">
        <v>48</v>
      </c>
      <c r="AK1075" t="s">
        <v>48</v>
      </c>
      <c r="AL1075" t="s">
        <v>48</v>
      </c>
      <c r="AM1075" t="s">
        <v>48</v>
      </c>
      <c r="AN1075" t="s">
        <v>48</v>
      </c>
      <c r="AO1075" t="s">
        <v>48</v>
      </c>
      <c r="AP1075" s="46">
        <v>0</v>
      </c>
      <c r="AQ1075" s="46">
        <v>0</v>
      </c>
      <c r="AR1075" s="46">
        <v>0</v>
      </c>
      <c r="AS1075" s="46">
        <v>0</v>
      </c>
      <c r="AT1075" s="46">
        <v>0</v>
      </c>
      <c r="AU1075" s="46">
        <v>0</v>
      </c>
      <c r="AV1075" s="46">
        <v>0</v>
      </c>
      <c r="AW1075" s="46">
        <v>0</v>
      </c>
      <c r="AX1075" s="46">
        <v>0</v>
      </c>
      <c r="AY1075" s="46">
        <v>0</v>
      </c>
      <c r="AZ1075" s="46">
        <v>0</v>
      </c>
      <c r="BA1075" s="46">
        <v>0</v>
      </c>
      <c r="BB1075" s="46">
        <v>0</v>
      </c>
      <c r="BC1075" s="46">
        <v>0</v>
      </c>
      <c r="BD1075" s="46">
        <v>0</v>
      </c>
      <c r="BE1075" s="46">
        <v>0</v>
      </c>
      <c r="BF1075" s="46">
        <v>0</v>
      </c>
      <c r="BG1075" s="46" t="s">
        <v>48</v>
      </c>
      <c r="BH1075" s="46">
        <v>0</v>
      </c>
      <c r="BI1075" s="46">
        <v>0</v>
      </c>
      <c r="BJ1075" s="46">
        <v>0</v>
      </c>
      <c r="BK1075" s="46">
        <v>0</v>
      </c>
      <c r="BL1075" s="46">
        <v>0</v>
      </c>
      <c r="BM1075" s="46">
        <v>0</v>
      </c>
      <c r="BN1075" s="46">
        <v>0</v>
      </c>
    </row>
    <row r="1076" spans="1:66" x14ac:dyDescent="0.35">
      <c r="A1076" t="s">
        <v>6476</v>
      </c>
      <c r="B1076" t="s">
        <v>48</v>
      </c>
      <c r="C1076" t="s">
        <v>6481</v>
      </c>
      <c r="D1076" t="s">
        <v>396</v>
      </c>
      <c r="E1076" t="s">
        <v>6478</v>
      </c>
      <c r="F1076" t="s">
        <v>6477</v>
      </c>
      <c r="G1076" t="s">
        <v>47</v>
      </c>
      <c r="H1076">
        <v>0</v>
      </c>
      <c r="I1076" s="60" t="s">
        <v>51</v>
      </c>
      <c r="J1076" s="33" t="s">
        <v>45</v>
      </c>
      <c r="K1076" s="46">
        <v>1</v>
      </c>
      <c r="L1076">
        <v>100</v>
      </c>
      <c r="M1076" t="s">
        <v>48</v>
      </c>
      <c r="N1076" s="46">
        <v>1</v>
      </c>
      <c r="O1076" s="46">
        <v>0</v>
      </c>
      <c r="P1076" s="46">
        <v>0</v>
      </c>
      <c r="Q1076" t="s">
        <v>48</v>
      </c>
      <c r="R1076" t="s">
        <v>48</v>
      </c>
      <c r="S1076" t="s">
        <v>6479</v>
      </c>
      <c r="T1076" t="s">
        <v>6480</v>
      </c>
      <c r="U1076" t="s">
        <v>6479</v>
      </c>
      <c r="V1076" s="47">
        <v>0</v>
      </c>
      <c r="W1076" t="s">
        <v>48</v>
      </c>
      <c r="X1076" t="s">
        <v>48</v>
      </c>
      <c r="Y1076" t="s">
        <v>48</v>
      </c>
      <c r="Z1076">
        <v>0</v>
      </c>
      <c r="AA1076" t="s">
        <v>48</v>
      </c>
      <c r="AB1076">
        <v>2004</v>
      </c>
      <c r="AC1076" t="s">
        <v>49</v>
      </c>
      <c r="AD1076" t="s">
        <v>93</v>
      </c>
      <c r="AE1076" t="s">
        <v>4532</v>
      </c>
      <c r="AF1076" t="s">
        <v>48</v>
      </c>
      <c r="AG1076" t="s">
        <v>140</v>
      </c>
      <c r="AH1076" t="s">
        <v>93</v>
      </c>
      <c r="AI1076">
        <v>20530</v>
      </c>
      <c r="AJ1076">
        <v>1962</v>
      </c>
      <c r="AK1076" t="s">
        <v>9312</v>
      </c>
      <c r="AL1076" t="s">
        <v>9313</v>
      </c>
      <c r="AM1076">
        <v>0.42599999999999999</v>
      </c>
      <c r="AN1076">
        <v>0.105</v>
      </c>
      <c r="AO1076">
        <v>0.42599999999999999</v>
      </c>
      <c r="AP1076" s="46">
        <v>0</v>
      </c>
      <c r="AQ1076" s="46">
        <v>0</v>
      </c>
      <c r="AR1076" s="46">
        <v>0</v>
      </c>
      <c r="AS1076" s="46">
        <v>0</v>
      </c>
      <c r="AT1076" s="46">
        <v>0</v>
      </c>
      <c r="AU1076" s="46">
        <v>0</v>
      </c>
      <c r="AV1076" s="46">
        <v>0</v>
      </c>
      <c r="AW1076" s="46">
        <v>0</v>
      </c>
      <c r="AX1076" s="46">
        <v>0</v>
      </c>
      <c r="AY1076" s="46">
        <v>1</v>
      </c>
      <c r="AZ1076" s="46">
        <v>1</v>
      </c>
      <c r="BA1076" s="46">
        <v>0</v>
      </c>
      <c r="BB1076" s="46">
        <v>1</v>
      </c>
      <c r="BC1076" s="46">
        <v>0</v>
      </c>
      <c r="BD1076" s="46">
        <v>0</v>
      </c>
      <c r="BE1076" s="46">
        <v>0</v>
      </c>
      <c r="BF1076" s="46">
        <v>0</v>
      </c>
      <c r="BG1076" s="46" t="s">
        <v>48</v>
      </c>
      <c r="BH1076" s="46">
        <v>0</v>
      </c>
      <c r="BI1076" s="46">
        <v>0</v>
      </c>
      <c r="BJ1076" s="46">
        <v>0</v>
      </c>
      <c r="BK1076" s="46">
        <v>0</v>
      </c>
      <c r="BL1076" s="46">
        <v>0</v>
      </c>
      <c r="BM1076" s="46">
        <v>1</v>
      </c>
      <c r="BN1076" s="46">
        <v>0</v>
      </c>
    </row>
    <row r="1077" spans="1:66" x14ac:dyDescent="0.35">
      <c r="A1077" t="s">
        <v>6486</v>
      </c>
      <c r="B1077" s="44" t="s">
        <v>48</v>
      </c>
      <c r="C1077" t="s">
        <v>6492</v>
      </c>
      <c r="D1077" t="s">
        <v>6491</v>
      </c>
      <c r="E1077" t="s">
        <v>6488</v>
      </c>
      <c r="F1077" t="s">
        <v>6487</v>
      </c>
      <c r="G1077" t="s">
        <v>47</v>
      </c>
      <c r="H1077">
        <v>0</v>
      </c>
      <c r="I1077" s="60" t="s">
        <v>51</v>
      </c>
      <c r="J1077" s="33" t="s">
        <v>45</v>
      </c>
      <c r="K1077" s="46">
        <v>1</v>
      </c>
      <c r="L1077">
        <v>100</v>
      </c>
      <c r="M1077" t="s">
        <v>48</v>
      </c>
      <c r="N1077" s="46">
        <v>1</v>
      </c>
      <c r="O1077" s="46">
        <v>0</v>
      </c>
      <c r="P1077" s="46">
        <v>0</v>
      </c>
      <c r="Q1077" t="s">
        <v>48</v>
      </c>
      <c r="R1077" t="s">
        <v>48</v>
      </c>
      <c r="S1077" t="s">
        <v>6489</v>
      </c>
      <c r="T1077" t="s">
        <v>6490</v>
      </c>
      <c r="U1077" t="s">
        <v>6489</v>
      </c>
      <c r="V1077" s="47">
        <v>0</v>
      </c>
      <c r="W1077" t="s">
        <v>48</v>
      </c>
      <c r="X1077" t="s">
        <v>48</v>
      </c>
      <c r="Y1077" t="s">
        <v>48</v>
      </c>
      <c r="Z1077">
        <v>1</v>
      </c>
      <c r="AA1077" t="s">
        <v>48</v>
      </c>
      <c r="AB1077">
        <v>2020</v>
      </c>
      <c r="AC1077" t="s">
        <v>49</v>
      </c>
      <c r="AD1077" t="s">
        <v>93</v>
      </c>
      <c r="AE1077" t="s">
        <v>4532</v>
      </c>
      <c r="AF1077" t="s">
        <v>48</v>
      </c>
      <c r="AG1077" t="s">
        <v>48</v>
      </c>
      <c r="AH1077" t="s">
        <v>93</v>
      </c>
      <c r="AI1077">
        <v>22147</v>
      </c>
      <c r="AJ1077">
        <v>1977</v>
      </c>
      <c r="AK1077" t="s">
        <v>9314</v>
      </c>
      <c r="AL1077" t="s">
        <v>9315</v>
      </c>
      <c r="AM1077">
        <v>0.65100000000000002</v>
      </c>
      <c r="AN1077">
        <v>0.501</v>
      </c>
      <c r="AO1077">
        <v>0.65100000000000002</v>
      </c>
      <c r="AP1077" s="46">
        <v>0</v>
      </c>
      <c r="AQ1077" s="46">
        <v>0</v>
      </c>
      <c r="AR1077" s="46">
        <v>0</v>
      </c>
      <c r="AS1077" s="46">
        <v>0</v>
      </c>
      <c r="AT1077" s="46">
        <v>0</v>
      </c>
      <c r="AU1077" s="46">
        <v>0</v>
      </c>
      <c r="AV1077" s="46">
        <v>0</v>
      </c>
      <c r="AW1077" s="46">
        <v>0</v>
      </c>
      <c r="AX1077" s="46">
        <v>0</v>
      </c>
      <c r="AY1077" s="46">
        <v>0</v>
      </c>
      <c r="AZ1077" s="46">
        <v>0</v>
      </c>
      <c r="BA1077" s="46">
        <v>0</v>
      </c>
      <c r="BB1077" s="46">
        <v>1</v>
      </c>
      <c r="BC1077" s="46">
        <v>0</v>
      </c>
      <c r="BD1077" s="46">
        <v>0</v>
      </c>
      <c r="BE1077" s="46">
        <v>0</v>
      </c>
      <c r="BF1077" s="46">
        <v>0</v>
      </c>
      <c r="BG1077" s="46">
        <v>1</v>
      </c>
      <c r="BH1077" s="46">
        <v>0</v>
      </c>
      <c r="BI1077" s="46">
        <v>0</v>
      </c>
      <c r="BJ1077" s="46">
        <v>0</v>
      </c>
      <c r="BK1077" s="46">
        <v>0</v>
      </c>
      <c r="BL1077" s="46">
        <v>0</v>
      </c>
      <c r="BM1077" s="46">
        <v>0</v>
      </c>
      <c r="BN1077" s="46">
        <v>1</v>
      </c>
    </row>
    <row r="1078" spans="1:66" x14ac:dyDescent="0.35">
      <c r="A1078" t="s">
        <v>6498</v>
      </c>
      <c r="B1078" s="44" t="s">
        <v>48</v>
      </c>
      <c r="C1078" t="s">
        <v>6503</v>
      </c>
      <c r="D1078" t="s">
        <v>6502</v>
      </c>
      <c r="E1078" t="s">
        <v>6499</v>
      </c>
      <c r="F1078" t="s">
        <v>6494</v>
      </c>
      <c r="G1078" t="s">
        <v>47</v>
      </c>
      <c r="H1078">
        <v>0</v>
      </c>
      <c r="I1078" s="60" t="s">
        <v>51</v>
      </c>
      <c r="J1078" s="33" t="s">
        <v>45</v>
      </c>
      <c r="K1078" s="46">
        <v>1</v>
      </c>
      <c r="L1078">
        <v>75.099999999999994</v>
      </c>
      <c r="M1078" t="s">
        <v>48</v>
      </c>
      <c r="N1078" s="46">
        <v>1</v>
      </c>
      <c r="O1078" s="46">
        <v>0</v>
      </c>
      <c r="P1078" s="46">
        <v>0</v>
      </c>
      <c r="Q1078" t="s">
        <v>48</v>
      </c>
      <c r="R1078" t="s">
        <v>48</v>
      </c>
      <c r="S1078" t="s">
        <v>6500</v>
      </c>
      <c r="T1078" t="s">
        <v>6501</v>
      </c>
      <c r="U1078" t="s">
        <v>6500</v>
      </c>
      <c r="V1078" s="47">
        <v>0</v>
      </c>
      <c r="W1078" t="s">
        <v>48</v>
      </c>
      <c r="X1078" t="s">
        <v>48</v>
      </c>
      <c r="Y1078" t="s">
        <v>48</v>
      </c>
      <c r="Z1078">
        <v>0</v>
      </c>
      <c r="AA1078" t="s">
        <v>48</v>
      </c>
      <c r="AB1078">
        <v>1996</v>
      </c>
      <c r="AC1078" t="s">
        <v>63</v>
      </c>
      <c r="AD1078" t="s">
        <v>93</v>
      </c>
      <c r="AE1078" t="s">
        <v>4532</v>
      </c>
      <c r="AF1078" t="s">
        <v>48</v>
      </c>
      <c r="AG1078" t="s">
        <v>479</v>
      </c>
      <c r="AH1078" t="s">
        <v>93</v>
      </c>
      <c r="AI1078">
        <v>29762</v>
      </c>
      <c r="AJ1078">
        <v>1943</v>
      </c>
      <c r="AK1078" t="s">
        <v>9316</v>
      </c>
      <c r="AL1078" t="s">
        <v>9317</v>
      </c>
      <c r="AM1078">
        <v>0.40100000000000002</v>
      </c>
      <c r="AN1078">
        <v>0.23100000000000001</v>
      </c>
      <c r="AO1078">
        <v>0.40100000000000002</v>
      </c>
      <c r="AP1078" s="46">
        <v>0</v>
      </c>
      <c r="AQ1078" s="46">
        <v>0</v>
      </c>
      <c r="AR1078" s="46">
        <v>0</v>
      </c>
      <c r="AS1078" s="46">
        <v>0</v>
      </c>
      <c r="AT1078" s="46">
        <v>0</v>
      </c>
      <c r="AU1078" s="46">
        <v>0</v>
      </c>
      <c r="AV1078" s="46">
        <v>0</v>
      </c>
      <c r="AW1078" s="46">
        <v>0</v>
      </c>
      <c r="AX1078" s="46">
        <v>0</v>
      </c>
      <c r="AY1078" s="46">
        <v>0</v>
      </c>
      <c r="AZ1078" s="46">
        <v>0</v>
      </c>
      <c r="BA1078" s="46">
        <v>0</v>
      </c>
      <c r="BB1078" s="46">
        <v>1</v>
      </c>
      <c r="BC1078" s="46">
        <v>0</v>
      </c>
      <c r="BD1078" s="46">
        <v>0</v>
      </c>
      <c r="BE1078" s="46">
        <v>0</v>
      </c>
      <c r="BF1078" s="46">
        <v>0</v>
      </c>
      <c r="BG1078" s="46" t="s">
        <v>48</v>
      </c>
      <c r="BH1078" s="46">
        <v>0</v>
      </c>
      <c r="BI1078" s="46">
        <v>0</v>
      </c>
      <c r="BJ1078" s="46">
        <v>0</v>
      </c>
      <c r="BK1078" s="46">
        <v>0</v>
      </c>
      <c r="BL1078" s="46">
        <v>0</v>
      </c>
      <c r="BM1078" s="46">
        <v>0</v>
      </c>
      <c r="BN1078" s="46">
        <v>0</v>
      </c>
    </row>
    <row r="1079" spans="1:66" x14ac:dyDescent="0.35">
      <c r="A1079" t="s">
        <v>6504</v>
      </c>
      <c r="B1079" s="44" t="s">
        <v>48</v>
      </c>
      <c r="C1079" t="s">
        <v>2225</v>
      </c>
      <c r="D1079" t="s">
        <v>3122</v>
      </c>
      <c r="E1079" t="s">
        <v>6505</v>
      </c>
      <c r="F1079" t="s">
        <v>6494</v>
      </c>
      <c r="G1079" t="s">
        <v>74</v>
      </c>
      <c r="H1079">
        <v>0</v>
      </c>
      <c r="I1079" s="60" t="s">
        <v>177</v>
      </c>
      <c r="J1079" s="33" t="s">
        <v>45</v>
      </c>
      <c r="K1079" s="46">
        <v>0</v>
      </c>
      <c r="L1079">
        <v>100</v>
      </c>
      <c r="M1079" t="s">
        <v>48</v>
      </c>
      <c r="N1079" s="46">
        <v>1</v>
      </c>
      <c r="O1079" s="46">
        <v>0</v>
      </c>
      <c r="P1079" s="46">
        <v>0</v>
      </c>
      <c r="Q1079" t="s">
        <v>48</v>
      </c>
      <c r="R1079" t="s">
        <v>48</v>
      </c>
      <c r="S1079" t="s">
        <v>6506</v>
      </c>
      <c r="T1079" t="s">
        <v>48</v>
      </c>
      <c r="U1079" t="s">
        <v>6506</v>
      </c>
      <c r="V1079" s="47">
        <v>0</v>
      </c>
      <c r="W1079" t="s">
        <v>48</v>
      </c>
      <c r="X1079" t="s">
        <v>48</v>
      </c>
      <c r="Y1079" t="s">
        <v>48</v>
      </c>
      <c r="Z1079">
        <v>0</v>
      </c>
      <c r="AA1079" t="s">
        <v>48</v>
      </c>
      <c r="AB1079" t="s">
        <v>48</v>
      </c>
      <c r="AC1079" t="s">
        <v>49</v>
      </c>
      <c r="AD1079" t="s">
        <v>93</v>
      </c>
      <c r="AE1079" s="40" t="s">
        <v>2471</v>
      </c>
      <c r="AF1079" t="s">
        <v>11061</v>
      </c>
      <c r="AG1079" t="s">
        <v>48</v>
      </c>
      <c r="AH1079" t="s">
        <v>48</v>
      </c>
      <c r="AI1079" t="s">
        <v>48</v>
      </c>
      <c r="AJ1079" t="s">
        <v>48</v>
      </c>
      <c r="AK1079" t="s">
        <v>48</v>
      </c>
      <c r="AL1079" t="s">
        <v>48</v>
      </c>
      <c r="AM1079" t="s">
        <v>48</v>
      </c>
      <c r="AN1079" t="s">
        <v>48</v>
      </c>
      <c r="AO1079" t="s">
        <v>48</v>
      </c>
      <c r="AP1079" s="46">
        <v>0</v>
      </c>
      <c r="AQ1079" s="46">
        <v>0</v>
      </c>
      <c r="AR1079" s="46">
        <v>0</v>
      </c>
      <c r="AS1079" s="46">
        <v>0</v>
      </c>
      <c r="AT1079" s="46">
        <v>0</v>
      </c>
      <c r="AU1079" s="46">
        <v>0</v>
      </c>
      <c r="AV1079" s="46">
        <v>0</v>
      </c>
      <c r="AW1079" s="46">
        <v>0</v>
      </c>
      <c r="AX1079" s="46">
        <v>0</v>
      </c>
      <c r="AY1079" s="46">
        <v>0</v>
      </c>
      <c r="AZ1079" s="46">
        <v>0</v>
      </c>
      <c r="BA1079" s="46">
        <v>0</v>
      </c>
      <c r="BB1079" s="46">
        <v>0</v>
      </c>
      <c r="BC1079" s="46">
        <v>0</v>
      </c>
      <c r="BD1079" s="46">
        <v>0</v>
      </c>
      <c r="BE1079" s="46">
        <v>0</v>
      </c>
      <c r="BF1079" s="46">
        <v>0</v>
      </c>
      <c r="BG1079" s="46" t="s">
        <v>48</v>
      </c>
      <c r="BH1079" s="46">
        <v>0</v>
      </c>
      <c r="BI1079" s="46">
        <v>0</v>
      </c>
      <c r="BJ1079" s="46">
        <v>0</v>
      </c>
      <c r="BK1079" s="46">
        <v>0</v>
      </c>
      <c r="BL1079" s="46">
        <v>0</v>
      </c>
      <c r="BM1079" s="46">
        <v>0</v>
      </c>
      <c r="BN1079" s="46">
        <v>0</v>
      </c>
    </row>
    <row r="1080" spans="1:66" x14ac:dyDescent="0.35">
      <c r="A1080" t="s">
        <v>6512</v>
      </c>
      <c r="B1080" s="44" t="s">
        <v>48</v>
      </c>
      <c r="C1080" t="s">
        <v>211</v>
      </c>
      <c r="D1080" t="s">
        <v>679</v>
      </c>
      <c r="E1080" t="s">
        <v>6514</v>
      </c>
      <c r="F1080" t="s">
        <v>6513</v>
      </c>
      <c r="G1080" t="s">
        <v>74</v>
      </c>
      <c r="H1080">
        <v>0</v>
      </c>
      <c r="I1080" s="60" t="s">
        <v>51</v>
      </c>
      <c r="J1080" s="33" t="s">
        <v>45</v>
      </c>
      <c r="K1080" s="46">
        <v>0</v>
      </c>
      <c r="L1080">
        <v>100</v>
      </c>
      <c r="M1080" t="s">
        <v>48</v>
      </c>
      <c r="N1080" s="46">
        <v>1</v>
      </c>
      <c r="O1080" s="46">
        <v>0</v>
      </c>
      <c r="P1080" s="46">
        <v>0</v>
      </c>
      <c r="Q1080" t="s">
        <v>48</v>
      </c>
      <c r="R1080" t="s">
        <v>48</v>
      </c>
      <c r="S1080" t="s">
        <v>6515</v>
      </c>
      <c r="T1080" t="s">
        <v>48</v>
      </c>
      <c r="U1080" t="s">
        <v>6515</v>
      </c>
      <c r="V1080" s="47">
        <v>0</v>
      </c>
      <c r="W1080" t="s">
        <v>48</v>
      </c>
      <c r="X1080" t="s">
        <v>48</v>
      </c>
      <c r="Y1080" t="s">
        <v>48</v>
      </c>
      <c r="Z1080">
        <v>0</v>
      </c>
      <c r="AA1080" t="s">
        <v>48</v>
      </c>
      <c r="AB1080" t="s">
        <v>48</v>
      </c>
      <c r="AC1080" t="s">
        <v>63</v>
      </c>
      <c r="AD1080" t="s">
        <v>93</v>
      </c>
      <c r="AE1080" t="s">
        <v>4532</v>
      </c>
      <c r="AF1080" t="s">
        <v>48</v>
      </c>
      <c r="AG1080" t="s">
        <v>48</v>
      </c>
      <c r="AH1080" t="s">
        <v>48</v>
      </c>
      <c r="AI1080" t="s">
        <v>48</v>
      </c>
      <c r="AJ1080" t="s">
        <v>48</v>
      </c>
      <c r="AK1080" t="s">
        <v>48</v>
      </c>
      <c r="AL1080" t="s">
        <v>48</v>
      </c>
      <c r="AM1080" t="s">
        <v>48</v>
      </c>
      <c r="AN1080" t="s">
        <v>48</v>
      </c>
      <c r="AO1080" t="s">
        <v>48</v>
      </c>
      <c r="AP1080" s="46">
        <v>0</v>
      </c>
      <c r="AQ1080" s="46">
        <v>0</v>
      </c>
      <c r="AR1080" s="46">
        <v>0</v>
      </c>
      <c r="AS1080" s="46">
        <v>0</v>
      </c>
      <c r="AT1080" s="46">
        <v>0</v>
      </c>
      <c r="AU1080" s="46">
        <v>0</v>
      </c>
      <c r="AV1080" s="46">
        <v>0</v>
      </c>
      <c r="AW1080" s="46">
        <v>0</v>
      </c>
      <c r="AX1080" s="46">
        <v>0</v>
      </c>
      <c r="AY1080" s="46">
        <v>0</v>
      </c>
      <c r="AZ1080" s="46">
        <v>0</v>
      </c>
      <c r="BA1080" s="46">
        <v>0</v>
      </c>
      <c r="BB1080" s="46">
        <v>0</v>
      </c>
      <c r="BC1080" s="46">
        <v>0</v>
      </c>
      <c r="BD1080" s="46">
        <v>0</v>
      </c>
      <c r="BE1080" s="46">
        <v>0</v>
      </c>
      <c r="BF1080" s="46">
        <v>0</v>
      </c>
      <c r="BG1080" s="46" t="s">
        <v>48</v>
      </c>
      <c r="BH1080" s="46">
        <v>0</v>
      </c>
      <c r="BI1080" s="46">
        <v>0</v>
      </c>
      <c r="BJ1080" s="46">
        <v>0</v>
      </c>
      <c r="BK1080" s="46">
        <v>0</v>
      </c>
      <c r="BL1080" s="46">
        <v>0</v>
      </c>
      <c r="BM1080" s="46">
        <v>0</v>
      </c>
      <c r="BN1080" s="46">
        <v>0</v>
      </c>
    </row>
    <row r="1081" spans="1:66" x14ac:dyDescent="0.35">
      <c r="A1081" t="s">
        <v>6516</v>
      </c>
      <c r="B1081" s="44" t="s">
        <v>48</v>
      </c>
      <c r="C1081" t="s">
        <v>350</v>
      </c>
      <c r="D1081" t="s">
        <v>6520</v>
      </c>
      <c r="E1081" t="s">
        <v>6517</v>
      </c>
      <c r="F1081" t="s">
        <v>6513</v>
      </c>
      <c r="G1081" t="s">
        <v>47</v>
      </c>
      <c r="H1081">
        <v>0</v>
      </c>
      <c r="I1081" s="60" t="s">
        <v>51</v>
      </c>
      <c r="J1081" s="33" t="s">
        <v>45</v>
      </c>
      <c r="K1081" s="46">
        <v>1</v>
      </c>
      <c r="L1081">
        <v>100</v>
      </c>
      <c r="M1081" t="s">
        <v>48</v>
      </c>
      <c r="N1081" s="46">
        <v>1</v>
      </c>
      <c r="O1081" s="46">
        <v>0</v>
      </c>
      <c r="P1081" s="46">
        <v>0</v>
      </c>
      <c r="Q1081" t="s">
        <v>48</v>
      </c>
      <c r="R1081" t="s">
        <v>48</v>
      </c>
      <c r="S1081" t="s">
        <v>6518</v>
      </c>
      <c r="T1081" t="s">
        <v>6519</v>
      </c>
      <c r="U1081" t="s">
        <v>6518</v>
      </c>
      <c r="V1081" s="47">
        <v>0</v>
      </c>
      <c r="W1081" t="s">
        <v>48</v>
      </c>
      <c r="X1081" t="s">
        <v>48</v>
      </c>
      <c r="Y1081" t="s">
        <v>48</v>
      </c>
      <c r="Z1081">
        <v>1</v>
      </c>
      <c r="AA1081" t="s">
        <v>48</v>
      </c>
      <c r="AB1081">
        <v>2020</v>
      </c>
      <c r="AC1081" t="s">
        <v>49</v>
      </c>
      <c r="AD1081" t="s">
        <v>93</v>
      </c>
      <c r="AE1081" t="s">
        <v>4532</v>
      </c>
      <c r="AF1081" t="s">
        <v>48</v>
      </c>
      <c r="AG1081" t="s">
        <v>48</v>
      </c>
      <c r="AH1081" t="s">
        <v>93</v>
      </c>
      <c r="AI1081">
        <v>22125</v>
      </c>
      <c r="AJ1081">
        <v>1967</v>
      </c>
      <c r="AK1081" t="s">
        <v>9318</v>
      </c>
      <c r="AL1081" t="s">
        <v>9319</v>
      </c>
      <c r="AM1081">
        <v>0.76900000000000002</v>
      </c>
      <c r="AN1081">
        <v>0.182</v>
      </c>
      <c r="AO1081">
        <v>0.76900000000000002</v>
      </c>
      <c r="AP1081" s="46">
        <v>0</v>
      </c>
      <c r="AQ1081" s="46">
        <v>0</v>
      </c>
      <c r="AR1081" s="46">
        <v>0</v>
      </c>
      <c r="AS1081" s="46">
        <v>0</v>
      </c>
      <c r="AT1081" s="46">
        <v>0</v>
      </c>
      <c r="AU1081" s="46">
        <v>0</v>
      </c>
      <c r="AV1081" s="46">
        <v>0</v>
      </c>
      <c r="AW1081" s="46">
        <v>0</v>
      </c>
      <c r="AX1081" s="46">
        <v>0</v>
      </c>
      <c r="AY1081" s="46">
        <v>0</v>
      </c>
      <c r="AZ1081" s="46">
        <v>0</v>
      </c>
      <c r="BA1081" s="46">
        <v>0</v>
      </c>
      <c r="BB1081" s="46">
        <v>1</v>
      </c>
      <c r="BC1081" s="46">
        <v>0</v>
      </c>
      <c r="BD1081" s="46">
        <v>0</v>
      </c>
      <c r="BE1081" s="46">
        <v>0</v>
      </c>
      <c r="BF1081" s="46">
        <v>0</v>
      </c>
      <c r="BG1081" s="46">
        <v>1</v>
      </c>
      <c r="BH1081" s="46">
        <v>0</v>
      </c>
      <c r="BI1081" s="46">
        <v>0</v>
      </c>
      <c r="BJ1081" s="46">
        <v>0</v>
      </c>
      <c r="BK1081" s="46">
        <v>0</v>
      </c>
      <c r="BL1081" s="46">
        <v>0</v>
      </c>
      <c r="BM1081" s="46">
        <v>0</v>
      </c>
      <c r="BN1081" s="46">
        <v>1</v>
      </c>
    </row>
    <row r="1082" spans="1:66" x14ac:dyDescent="0.35">
      <c r="A1082" t="s">
        <v>6534</v>
      </c>
      <c r="B1082" s="44" t="s">
        <v>48</v>
      </c>
      <c r="C1082" t="s">
        <v>332</v>
      </c>
      <c r="D1082" t="s">
        <v>6537</v>
      </c>
      <c r="E1082" t="s">
        <v>6535</v>
      </c>
      <c r="F1082" t="s">
        <v>79</v>
      </c>
      <c r="G1082" t="s">
        <v>74</v>
      </c>
      <c r="H1082">
        <v>0</v>
      </c>
      <c r="I1082" s="60" t="s">
        <v>149</v>
      </c>
      <c r="J1082" s="33" t="s">
        <v>45</v>
      </c>
      <c r="K1082" s="46">
        <v>0</v>
      </c>
      <c r="L1082">
        <v>50.2</v>
      </c>
      <c r="M1082" t="s">
        <v>48</v>
      </c>
      <c r="N1082" s="46">
        <v>1</v>
      </c>
      <c r="O1082" s="46">
        <v>0</v>
      </c>
      <c r="P1082" s="46">
        <v>0</v>
      </c>
      <c r="Q1082" t="s">
        <v>48</v>
      </c>
      <c r="R1082" t="s">
        <v>48</v>
      </c>
      <c r="S1082" t="s">
        <v>6536</v>
      </c>
      <c r="T1082" t="s">
        <v>48</v>
      </c>
      <c r="U1082" t="s">
        <v>6536</v>
      </c>
      <c r="V1082" s="47">
        <v>0</v>
      </c>
      <c r="W1082" t="s">
        <v>48</v>
      </c>
      <c r="X1082" t="s">
        <v>48</v>
      </c>
      <c r="Y1082" t="s">
        <v>48</v>
      </c>
      <c r="Z1082">
        <v>0</v>
      </c>
      <c r="AA1082" t="s">
        <v>48</v>
      </c>
      <c r="AB1082" t="s">
        <v>48</v>
      </c>
      <c r="AC1082" t="s">
        <v>49</v>
      </c>
      <c r="AD1082" t="s">
        <v>93</v>
      </c>
      <c r="AE1082" t="s">
        <v>4532</v>
      </c>
      <c r="AF1082" t="s">
        <v>48</v>
      </c>
      <c r="AG1082" t="s">
        <v>48</v>
      </c>
      <c r="AH1082" t="s">
        <v>48</v>
      </c>
      <c r="AI1082" t="s">
        <v>48</v>
      </c>
      <c r="AJ1082" t="s">
        <v>48</v>
      </c>
      <c r="AK1082" t="s">
        <v>48</v>
      </c>
      <c r="AL1082" t="s">
        <v>48</v>
      </c>
      <c r="AM1082" t="s">
        <v>48</v>
      </c>
      <c r="AN1082" t="s">
        <v>48</v>
      </c>
      <c r="AO1082" t="s">
        <v>48</v>
      </c>
      <c r="AP1082" s="46">
        <v>0</v>
      </c>
      <c r="AQ1082" s="46">
        <v>0</v>
      </c>
      <c r="AR1082" s="46">
        <v>0</v>
      </c>
      <c r="AS1082" s="46">
        <v>0</v>
      </c>
      <c r="AT1082" s="46">
        <v>0</v>
      </c>
      <c r="AU1082" s="46">
        <v>0</v>
      </c>
      <c r="AV1082" s="46">
        <v>0</v>
      </c>
      <c r="AW1082" s="46">
        <v>0</v>
      </c>
      <c r="AX1082" s="46">
        <v>0</v>
      </c>
      <c r="AY1082" s="46">
        <v>0</v>
      </c>
      <c r="AZ1082" s="46">
        <v>0</v>
      </c>
      <c r="BA1082" s="46">
        <v>0</v>
      </c>
      <c r="BB1082" s="46">
        <v>0</v>
      </c>
      <c r="BC1082" s="46">
        <v>0</v>
      </c>
      <c r="BD1082" s="46">
        <v>0</v>
      </c>
      <c r="BE1082" s="46">
        <v>0</v>
      </c>
      <c r="BF1082" s="46">
        <v>0</v>
      </c>
      <c r="BG1082" s="46" t="s">
        <v>48</v>
      </c>
      <c r="BH1082" s="46">
        <v>0</v>
      </c>
      <c r="BI1082" s="46">
        <v>0</v>
      </c>
      <c r="BJ1082" s="46">
        <v>0</v>
      </c>
      <c r="BK1082" s="46">
        <v>0</v>
      </c>
      <c r="BL1082" s="46">
        <v>0</v>
      </c>
      <c r="BM1082" s="46">
        <v>0</v>
      </c>
      <c r="BN1082" s="46">
        <v>0</v>
      </c>
    </row>
    <row r="1083" spans="1:66" x14ac:dyDescent="0.35">
      <c r="A1083" t="s">
        <v>6529</v>
      </c>
      <c r="B1083" s="44" t="s">
        <v>48</v>
      </c>
      <c r="C1083" t="s">
        <v>6533</v>
      </c>
      <c r="D1083" t="s">
        <v>54</v>
      </c>
      <c r="E1083" t="s">
        <v>6530</v>
      </c>
      <c r="F1083" t="s">
        <v>79</v>
      </c>
      <c r="G1083" t="s">
        <v>47</v>
      </c>
      <c r="H1083">
        <v>0</v>
      </c>
      <c r="I1083" s="60" t="s">
        <v>51</v>
      </c>
      <c r="J1083" s="33" t="s">
        <v>45</v>
      </c>
      <c r="K1083" s="46">
        <v>1</v>
      </c>
      <c r="L1083">
        <v>89.2</v>
      </c>
      <c r="M1083" t="s">
        <v>48</v>
      </c>
      <c r="N1083" s="46">
        <v>1</v>
      </c>
      <c r="O1083" s="46">
        <v>0</v>
      </c>
      <c r="P1083" s="46">
        <v>0</v>
      </c>
      <c r="Q1083" t="s">
        <v>48</v>
      </c>
      <c r="R1083" t="s">
        <v>48</v>
      </c>
      <c r="S1083" t="s">
        <v>6531</v>
      </c>
      <c r="T1083" t="s">
        <v>6532</v>
      </c>
      <c r="U1083" t="s">
        <v>6531</v>
      </c>
      <c r="V1083" s="47">
        <v>0</v>
      </c>
      <c r="W1083" t="s">
        <v>48</v>
      </c>
      <c r="X1083" t="s">
        <v>48</v>
      </c>
      <c r="Y1083" t="s">
        <v>48</v>
      </c>
      <c r="Z1083">
        <v>0</v>
      </c>
      <c r="AA1083" t="s">
        <v>48</v>
      </c>
      <c r="AB1083">
        <v>2012</v>
      </c>
      <c r="AC1083" t="s">
        <v>49</v>
      </c>
      <c r="AD1083" t="s">
        <v>93</v>
      </c>
      <c r="AE1083" t="s">
        <v>4532</v>
      </c>
      <c r="AF1083" t="s">
        <v>48</v>
      </c>
      <c r="AG1083" t="s">
        <v>151</v>
      </c>
      <c r="AH1083" t="s">
        <v>93</v>
      </c>
      <c r="AI1083">
        <v>21360</v>
      </c>
      <c r="AJ1083">
        <v>1953</v>
      </c>
      <c r="AK1083" t="s">
        <v>9320</v>
      </c>
      <c r="AL1083" t="s">
        <v>9321</v>
      </c>
      <c r="AM1083">
        <v>0.73</v>
      </c>
      <c r="AN1083">
        <v>-1.6E-2</v>
      </c>
      <c r="AO1083">
        <v>0.73</v>
      </c>
      <c r="AP1083" s="46">
        <v>0</v>
      </c>
      <c r="AQ1083" s="46">
        <v>0</v>
      </c>
      <c r="AR1083" s="46">
        <v>0</v>
      </c>
      <c r="AS1083" s="46">
        <v>0</v>
      </c>
      <c r="AT1083" s="46">
        <v>0</v>
      </c>
      <c r="AU1083" s="46">
        <v>0</v>
      </c>
      <c r="AV1083" s="46">
        <v>0</v>
      </c>
      <c r="AW1083" s="46">
        <v>0</v>
      </c>
      <c r="AX1083" s="46">
        <v>0</v>
      </c>
      <c r="AY1083" s="46">
        <v>0</v>
      </c>
      <c r="AZ1083" s="46">
        <v>0</v>
      </c>
      <c r="BA1083" s="46">
        <v>0</v>
      </c>
      <c r="BB1083" s="46">
        <v>1</v>
      </c>
      <c r="BC1083" s="46">
        <v>0</v>
      </c>
      <c r="BD1083" s="46">
        <v>0</v>
      </c>
      <c r="BE1083" s="46">
        <v>0</v>
      </c>
      <c r="BF1083" s="46">
        <v>1</v>
      </c>
      <c r="BG1083" s="46">
        <v>1</v>
      </c>
      <c r="BH1083" s="46">
        <v>0</v>
      </c>
      <c r="BI1083" s="46">
        <v>0</v>
      </c>
      <c r="BJ1083" s="46">
        <v>0</v>
      </c>
      <c r="BK1083" s="46">
        <v>0</v>
      </c>
      <c r="BL1083" s="46">
        <v>0</v>
      </c>
      <c r="BM1083" s="46">
        <v>0</v>
      </c>
      <c r="BN1083" s="46">
        <v>1</v>
      </c>
    </row>
    <row r="1084" spans="1:66" x14ac:dyDescent="0.35">
      <c r="A1084" t="s">
        <v>6583</v>
      </c>
      <c r="B1084" s="44" t="s">
        <v>48</v>
      </c>
      <c r="C1084" t="s">
        <v>6586</v>
      </c>
      <c r="D1084" t="s">
        <v>1469</v>
      </c>
      <c r="E1084" t="s">
        <v>6584</v>
      </c>
      <c r="F1084" t="s">
        <v>6539</v>
      </c>
      <c r="G1084" t="s">
        <v>74</v>
      </c>
      <c r="H1084">
        <v>0</v>
      </c>
      <c r="I1084" s="60" t="s">
        <v>149</v>
      </c>
      <c r="J1084" s="33" t="s">
        <v>45</v>
      </c>
      <c r="K1084" s="46">
        <v>0</v>
      </c>
      <c r="L1084">
        <v>20.100000000000001</v>
      </c>
      <c r="M1084">
        <v>50.1</v>
      </c>
      <c r="N1084" s="46">
        <v>1</v>
      </c>
      <c r="O1084" s="46">
        <v>0</v>
      </c>
      <c r="P1084" s="46">
        <v>0</v>
      </c>
      <c r="Q1084" t="s">
        <v>48</v>
      </c>
      <c r="R1084" t="s">
        <v>48</v>
      </c>
      <c r="S1084" t="s">
        <v>6585</v>
      </c>
      <c r="T1084" t="s">
        <v>48</v>
      </c>
      <c r="U1084" t="s">
        <v>6585</v>
      </c>
      <c r="V1084" s="47">
        <v>0</v>
      </c>
      <c r="W1084" t="s">
        <v>48</v>
      </c>
      <c r="X1084" t="s">
        <v>48</v>
      </c>
      <c r="Y1084" t="s">
        <v>48</v>
      </c>
      <c r="Z1084">
        <v>0</v>
      </c>
      <c r="AA1084" t="s">
        <v>48</v>
      </c>
      <c r="AB1084" t="s">
        <v>48</v>
      </c>
      <c r="AC1084" t="s">
        <v>63</v>
      </c>
      <c r="AD1084" t="s">
        <v>951</v>
      </c>
      <c r="AE1084" s="40" t="s">
        <v>11051</v>
      </c>
      <c r="AF1084" t="s">
        <v>108</v>
      </c>
      <c r="AG1084" t="s">
        <v>48</v>
      </c>
      <c r="AH1084" t="s">
        <v>48</v>
      </c>
      <c r="AI1084" t="s">
        <v>48</v>
      </c>
      <c r="AJ1084" t="s">
        <v>48</v>
      </c>
      <c r="AK1084" t="s">
        <v>48</v>
      </c>
      <c r="AL1084" t="s">
        <v>48</v>
      </c>
      <c r="AM1084" t="s">
        <v>48</v>
      </c>
      <c r="AN1084" t="s">
        <v>48</v>
      </c>
      <c r="AO1084" t="s">
        <v>48</v>
      </c>
      <c r="AP1084" s="46">
        <v>0</v>
      </c>
      <c r="AQ1084" s="46">
        <v>0</v>
      </c>
      <c r="AR1084" s="46">
        <v>0</v>
      </c>
      <c r="AS1084" s="46">
        <v>0</v>
      </c>
      <c r="AT1084" s="46">
        <v>0</v>
      </c>
      <c r="AU1084" s="46">
        <v>0</v>
      </c>
      <c r="AV1084" s="46">
        <v>0</v>
      </c>
      <c r="AW1084" s="46">
        <v>0</v>
      </c>
      <c r="AX1084" s="46">
        <v>0</v>
      </c>
      <c r="AY1084" s="46">
        <v>0</v>
      </c>
      <c r="AZ1084" s="46">
        <v>0</v>
      </c>
      <c r="BA1084" s="46">
        <v>0</v>
      </c>
      <c r="BB1084" s="46">
        <v>0</v>
      </c>
      <c r="BC1084" s="46">
        <v>0</v>
      </c>
      <c r="BD1084" s="46">
        <v>0</v>
      </c>
      <c r="BE1084" s="46">
        <v>0</v>
      </c>
      <c r="BF1084" s="46">
        <v>0</v>
      </c>
      <c r="BG1084" s="46" t="s">
        <v>48</v>
      </c>
      <c r="BH1084" s="46">
        <v>0</v>
      </c>
      <c r="BI1084" s="46">
        <v>0</v>
      </c>
      <c r="BJ1084" s="46">
        <v>0</v>
      </c>
      <c r="BK1084" s="46">
        <v>0</v>
      </c>
      <c r="BL1084" s="46">
        <v>0</v>
      </c>
      <c r="BM1084" s="46">
        <v>0</v>
      </c>
      <c r="BN1084" s="46">
        <v>0</v>
      </c>
    </row>
    <row r="1085" spans="1:66" x14ac:dyDescent="0.35">
      <c r="A1085" t="s">
        <v>6555</v>
      </c>
      <c r="B1085" t="s">
        <v>48</v>
      </c>
      <c r="C1085" t="s">
        <v>12416</v>
      </c>
      <c r="D1085" t="s">
        <v>4253</v>
      </c>
      <c r="E1085" t="s">
        <v>6556</v>
      </c>
      <c r="F1085" t="s">
        <v>6539</v>
      </c>
      <c r="G1085" t="s">
        <v>47</v>
      </c>
      <c r="H1085">
        <v>0</v>
      </c>
      <c r="I1085" s="60" t="s">
        <v>51</v>
      </c>
      <c r="J1085" s="33" t="s">
        <v>45</v>
      </c>
      <c r="K1085" s="46">
        <v>0</v>
      </c>
      <c r="L1085">
        <v>56.5</v>
      </c>
      <c r="M1085" t="s">
        <v>48</v>
      </c>
      <c r="N1085" s="46">
        <v>1</v>
      </c>
      <c r="O1085" s="46">
        <v>0</v>
      </c>
      <c r="P1085" s="46">
        <v>0</v>
      </c>
      <c r="Q1085" t="s">
        <v>48</v>
      </c>
      <c r="R1085" t="s">
        <v>48</v>
      </c>
      <c r="S1085" t="s">
        <v>6557</v>
      </c>
      <c r="T1085" t="s">
        <v>48</v>
      </c>
      <c r="U1085" t="s">
        <v>6557</v>
      </c>
      <c r="V1085" s="47">
        <v>0</v>
      </c>
      <c r="W1085" t="s">
        <v>48</v>
      </c>
      <c r="X1085" t="s">
        <v>48</v>
      </c>
      <c r="Y1085" t="s">
        <v>48</v>
      </c>
      <c r="Z1085">
        <v>0</v>
      </c>
      <c r="AA1085" t="s">
        <v>48</v>
      </c>
      <c r="AB1085" t="s">
        <v>48</v>
      </c>
      <c r="AC1085" t="s">
        <v>63</v>
      </c>
      <c r="AD1085" t="s">
        <v>951</v>
      </c>
      <c r="AE1085" s="40" t="s">
        <v>11051</v>
      </c>
      <c r="AF1085" t="s">
        <v>108</v>
      </c>
      <c r="AG1085" t="s">
        <v>48</v>
      </c>
      <c r="AH1085" t="s">
        <v>48</v>
      </c>
      <c r="AI1085" t="s">
        <v>48</v>
      </c>
      <c r="AJ1085" t="s">
        <v>48</v>
      </c>
      <c r="AK1085" t="s">
        <v>48</v>
      </c>
      <c r="AL1085" t="s">
        <v>48</v>
      </c>
      <c r="AM1085" t="s">
        <v>48</v>
      </c>
      <c r="AN1085" t="s">
        <v>48</v>
      </c>
      <c r="AO1085" t="s">
        <v>48</v>
      </c>
      <c r="AP1085" s="46">
        <v>0</v>
      </c>
      <c r="AQ1085" s="46">
        <v>0</v>
      </c>
      <c r="AR1085" s="46">
        <v>0</v>
      </c>
      <c r="AS1085" s="46">
        <v>0</v>
      </c>
      <c r="AT1085" s="46">
        <v>0</v>
      </c>
      <c r="AU1085" s="46">
        <v>0</v>
      </c>
      <c r="AV1085" s="46">
        <v>0</v>
      </c>
      <c r="AW1085" s="46">
        <v>0</v>
      </c>
      <c r="AX1085" s="46">
        <v>0</v>
      </c>
      <c r="AY1085" s="46">
        <v>0</v>
      </c>
      <c r="AZ1085" s="46">
        <v>0</v>
      </c>
      <c r="BA1085" s="46">
        <v>0</v>
      </c>
      <c r="BB1085" s="46">
        <v>0</v>
      </c>
      <c r="BC1085" s="46">
        <v>0</v>
      </c>
      <c r="BD1085" s="46">
        <v>0</v>
      </c>
      <c r="BE1085" s="46">
        <v>0</v>
      </c>
      <c r="BF1085" s="46">
        <v>0</v>
      </c>
      <c r="BG1085" s="46">
        <v>1</v>
      </c>
      <c r="BH1085" s="46">
        <v>0</v>
      </c>
      <c r="BI1085" s="46">
        <v>0</v>
      </c>
      <c r="BJ1085" s="46">
        <v>0</v>
      </c>
      <c r="BK1085" s="46">
        <v>0</v>
      </c>
      <c r="BL1085" s="46">
        <v>0</v>
      </c>
      <c r="BM1085" s="46">
        <v>0</v>
      </c>
      <c r="BN1085" s="46">
        <v>0</v>
      </c>
    </row>
    <row r="1086" spans="1:66" x14ac:dyDescent="0.35">
      <c r="A1086" t="s">
        <v>6587</v>
      </c>
      <c r="B1086" t="s">
        <v>48</v>
      </c>
      <c r="C1086" t="s">
        <v>6592</v>
      </c>
      <c r="D1086" t="s">
        <v>6591</v>
      </c>
      <c r="E1086" t="s">
        <v>6589</v>
      </c>
      <c r="F1086" t="s">
        <v>6588</v>
      </c>
      <c r="G1086" t="s">
        <v>47</v>
      </c>
      <c r="H1086">
        <v>0</v>
      </c>
      <c r="I1086" s="60" t="s">
        <v>51</v>
      </c>
      <c r="J1086" s="33" t="s">
        <v>45</v>
      </c>
      <c r="K1086" s="46">
        <v>0</v>
      </c>
      <c r="L1086">
        <v>100</v>
      </c>
      <c r="M1086" t="s">
        <v>48</v>
      </c>
      <c r="N1086" s="46">
        <v>1</v>
      </c>
      <c r="O1086" s="46">
        <v>0</v>
      </c>
      <c r="P1086" s="46">
        <v>0</v>
      </c>
      <c r="Q1086" t="s">
        <v>48</v>
      </c>
      <c r="R1086" t="s">
        <v>48</v>
      </c>
      <c r="S1086" t="s">
        <v>6590</v>
      </c>
      <c r="T1086" t="s">
        <v>48</v>
      </c>
      <c r="U1086" t="s">
        <v>6590</v>
      </c>
      <c r="V1086" s="47">
        <v>0</v>
      </c>
      <c r="W1086" t="s">
        <v>48</v>
      </c>
      <c r="X1086" t="s">
        <v>48</v>
      </c>
      <c r="Y1086" t="s">
        <v>48</v>
      </c>
      <c r="Z1086">
        <v>0</v>
      </c>
      <c r="AA1086" t="s">
        <v>48</v>
      </c>
      <c r="AB1086" t="s">
        <v>48</v>
      </c>
      <c r="AC1086" t="s">
        <v>63</v>
      </c>
      <c r="AD1086" t="s">
        <v>951</v>
      </c>
      <c r="AE1086" s="40" t="s">
        <v>11051</v>
      </c>
      <c r="AF1086" t="s">
        <v>108</v>
      </c>
      <c r="AG1086" t="s">
        <v>48</v>
      </c>
      <c r="AH1086" t="s">
        <v>48</v>
      </c>
      <c r="AI1086" t="s">
        <v>48</v>
      </c>
      <c r="AJ1086" t="s">
        <v>48</v>
      </c>
      <c r="AK1086" t="s">
        <v>48</v>
      </c>
      <c r="AL1086" t="s">
        <v>48</v>
      </c>
      <c r="AM1086" t="s">
        <v>48</v>
      </c>
      <c r="AN1086" t="s">
        <v>48</v>
      </c>
      <c r="AO1086" t="s">
        <v>48</v>
      </c>
      <c r="AP1086" s="46">
        <v>0</v>
      </c>
      <c r="AQ1086" s="46">
        <v>0</v>
      </c>
      <c r="AR1086" s="46">
        <v>0</v>
      </c>
      <c r="AS1086" s="46">
        <v>0</v>
      </c>
      <c r="AT1086" s="46">
        <v>0</v>
      </c>
      <c r="AU1086" s="46">
        <v>0</v>
      </c>
      <c r="AV1086" s="46">
        <v>0</v>
      </c>
      <c r="AW1086" s="46">
        <v>0</v>
      </c>
      <c r="AX1086" s="46">
        <v>0</v>
      </c>
      <c r="AY1086" s="46">
        <v>0</v>
      </c>
      <c r="AZ1086" s="46">
        <v>0</v>
      </c>
      <c r="BA1086" s="46">
        <v>0</v>
      </c>
      <c r="BB1086" s="46">
        <v>0</v>
      </c>
      <c r="BC1086" s="46">
        <v>0</v>
      </c>
      <c r="BD1086" s="46">
        <v>0</v>
      </c>
      <c r="BE1086" s="46">
        <v>0</v>
      </c>
      <c r="BF1086" s="46">
        <v>0</v>
      </c>
      <c r="BG1086" s="46">
        <v>1</v>
      </c>
      <c r="BH1086" s="46">
        <v>0</v>
      </c>
      <c r="BI1086" s="46">
        <v>0</v>
      </c>
      <c r="BJ1086" s="46">
        <v>0</v>
      </c>
      <c r="BK1086" s="46">
        <v>0</v>
      </c>
      <c r="BL1086" s="46">
        <v>0</v>
      </c>
      <c r="BM1086" s="46">
        <v>0</v>
      </c>
      <c r="BN1086" s="46">
        <v>0</v>
      </c>
    </row>
    <row r="1087" spans="1:66" x14ac:dyDescent="0.35">
      <c r="A1087" t="s">
        <v>6593</v>
      </c>
      <c r="B1087" t="s">
        <v>48</v>
      </c>
      <c r="C1087" t="s">
        <v>6598</v>
      </c>
      <c r="D1087" t="s">
        <v>6597</v>
      </c>
      <c r="E1087" t="s">
        <v>6594</v>
      </c>
      <c r="F1087" t="s">
        <v>6588</v>
      </c>
      <c r="G1087" t="s">
        <v>74</v>
      </c>
      <c r="H1087">
        <v>0</v>
      </c>
      <c r="I1087" s="60" t="s">
        <v>51</v>
      </c>
      <c r="J1087" s="33" t="s">
        <v>45</v>
      </c>
      <c r="K1087" s="46">
        <v>1</v>
      </c>
      <c r="L1087">
        <v>87.8</v>
      </c>
      <c r="M1087" t="s">
        <v>48</v>
      </c>
      <c r="N1087" s="46">
        <v>1</v>
      </c>
      <c r="O1087" s="46">
        <v>0</v>
      </c>
      <c r="P1087" s="46">
        <v>0</v>
      </c>
      <c r="Q1087" t="s">
        <v>48</v>
      </c>
      <c r="R1087" t="s">
        <v>48</v>
      </c>
      <c r="S1087" t="s">
        <v>6595</v>
      </c>
      <c r="T1087" t="s">
        <v>6596</v>
      </c>
      <c r="U1087" t="s">
        <v>6595</v>
      </c>
      <c r="V1087" s="47">
        <v>0</v>
      </c>
      <c r="W1087" t="s">
        <v>48</v>
      </c>
      <c r="X1087" t="s">
        <v>48</v>
      </c>
      <c r="Y1087" t="s">
        <v>48</v>
      </c>
      <c r="Z1087">
        <v>0</v>
      </c>
      <c r="AA1087" t="s">
        <v>48</v>
      </c>
      <c r="AB1087">
        <v>2018</v>
      </c>
      <c r="AC1087" t="s">
        <v>63</v>
      </c>
      <c r="AD1087" t="s">
        <v>951</v>
      </c>
      <c r="AE1087" s="40" t="s">
        <v>11051</v>
      </c>
      <c r="AF1087" t="s">
        <v>108</v>
      </c>
      <c r="AG1087" t="s">
        <v>140</v>
      </c>
      <c r="AH1087" t="s">
        <v>93</v>
      </c>
      <c r="AI1087">
        <v>21917</v>
      </c>
      <c r="AJ1087">
        <v>1969</v>
      </c>
      <c r="AK1087" t="s">
        <v>9324</v>
      </c>
      <c r="AL1087" t="s">
        <v>9325</v>
      </c>
      <c r="AM1087">
        <v>-0.42099999999999999</v>
      </c>
      <c r="AN1087">
        <v>-0.50900000000000001</v>
      </c>
      <c r="AO1087">
        <v>-0.42099999999999999</v>
      </c>
      <c r="AP1087" s="46">
        <v>0</v>
      </c>
      <c r="AQ1087" s="46">
        <v>1</v>
      </c>
      <c r="AR1087" s="46">
        <v>0</v>
      </c>
      <c r="AS1087" s="46">
        <v>0</v>
      </c>
      <c r="AT1087" s="46">
        <v>1</v>
      </c>
      <c r="AU1087" s="46">
        <v>1</v>
      </c>
      <c r="AV1087" s="46">
        <v>0</v>
      </c>
      <c r="AW1087" s="46">
        <v>0</v>
      </c>
      <c r="AX1087" s="46">
        <v>0</v>
      </c>
      <c r="AY1087" s="46">
        <v>0</v>
      </c>
      <c r="AZ1087" s="46">
        <v>0</v>
      </c>
      <c r="BA1087" s="46">
        <v>0</v>
      </c>
      <c r="BB1087" s="46">
        <v>0</v>
      </c>
      <c r="BC1087" s="46">
        <v>0</v>
      </c>
      <c r="BD1087" s="46">
        <v>0</v>
      </c>
      <c r="BE1087" s="46">
        <v>0</v>
      </c>
      <c r="BF1087" s="46">
        <v>0</v>
      </c>
      <c r="BG1087" s="46" t="s">
        <v>48</v>
      </c>
      <c r="BH1087" s="46">
        <v>0</v>
      </c>
      <c r="BI1087" s="46">
        <v>0</v>
      </c>
      <c r="BJ1087" s="46">
        <v>0</v>
      </c>
      <c r="BK1087" s="46">
        <v>0</v>
      </c>
      <c r="BL1087" s="46">
        <v>0</v>
      </c>
      <c r="BM1087" s="46">
        <v>0</v>
      </c>
      <c r="BN1087" s="46">
        <v>0</v>
      </c>
    </row>
    <row r="1088" spans="1:66" x14ac:dyDescent="0.35">
      <c r="A1088" t="s">
        <v>6621</v>
      </c>
      <c r="B1088" s="44" t="s">
        <v>48</v>
      </c>
      <c r="C1088" t="s">
        <v>6624</v>
      </c>
      <c r="D1088" t="s">
        <v>12328</v>
      </c>
      <c r="E1088" t="s">
        <v>6622</v>
      </c>
      <c r="F1088" t="s">
        <v>6604</v>
      </c>
      <c r="G1088" t="s">
        <v>74</v>
      </c>
      <c r="H1088">
        <v>0</v>
      </c>
      <c r="I1088" s="61" t="s">
        <v>11160</v>
      </c>
      <c r="J1088" s="33" t="s">
        <v>45</v>
      </c>
      <c r="K1088" s="46">
        <v>0</v>
      </c>
      <c r="L1088">
        <v>100</v>
      </c>
      <c r="M1088" t="s">
        <v>48</v>
      </c>
      <c r="N1088" s="46">
        <v>1</v>
      </c>
      <c r="O1088" s="46">
        <v>0</v>
      </c>
      <c r="P1088" s="46">
        <v>0</v>
      </c>
      <c r="Q1088" t="s">
        <v>48</v>
      </c>
      <c r="R1088" t="s">
        <v>48</v>
      </c>
      <c r="S1088" t="s">
        <v>11361</v>
      </c>
      <c r="T1088" t="s">
        <v>48</v>
      </c>
      <c r="U1088" t="s">
        <v>6623</v>
      </c>
      <c r="V1088" s="47">
        <v>0</v>
      </c>
      <c r="W1088" t="s">
        <v>48</v>
      </c>
      <c r="X1088" t="s">
        <v>48</v>
      </c>
      <c r="Y1088" t="s">
        <v>48</v>
      </c>
      <c r="Z1088">
        <v>0</v>
      </c>
      <c r="AA1088" t="s">
        <v>48</v>
      </c>
      <c r="AB1088" t="s">
        <v>48</v>
      </c>
      <c r="AC1088" t="s">
        <v>1021</v>
      </c>
      <c r="AD1088" t="s">
        <v>93</v>
      </c>
      <c r="AE1088" s="40" t="s">
        <v>4532</v>
      </c>
      <c r="AF1088" t="s">
        <v>48</v>
      </c>
      <c r="AG1088" t="s">
        <v>48</v>
      </c>
      <c r="AH1088" t="s">
        <v>1022</v>
      </c>
      <c r="AI1088" t="s">
        <v>48</v>
      </c>
      <c r="AJ1088" t="s">
        <v>48</v>
      </c>
      <c r="AK1088" t="s">
        <v>48</v>
      </c>
      <c r="AL1088" t="s">
        <v>48</v>
      </c>
      <c r="AM1088" t="s">
        <v>48</v>
      </c>
      <c r="AN1088" t="s">
        <v>48</v>
      </c>
      <c r="AO1088" t="s">
        <v>48</v>
      </c>
      <c r="AP1088" s="46">
        <v>0</v>
      </c>
      <c r="AQ1088" s="46">
        <v>0</v>
      </c>
      <c r="AR1088" s="46">
        <v>0</v>
      </c>
      <c r="AS1088" s="46">
        <v>0</v>
      </c>
      <c r="AT1088" s="46">
        <v>0</v>
      </c>
      <c r="AU1088" s="46">
        <v>0</v>
      </c>
      <c r="AV1088" s="46">
        <v>0</v>
      </c>
      <c r="AW1088" s="46">
        <v>0</v>
      </c>
      <c r="AX1088" s="46">
        <v>0</v>
      </c>
      <c r="AY1088" s="46">
        <v>0</v>
      </c>
      <c r="AZ1088" s="46">
        <v>0</v>
      </c>
      <c r="BA1088" s="46">
        <v>0</v>
      </c>
      <c r="BB1088" s="46">
        <v>0</v>
      </c>
      <c r="BC1088" s="46">
        <v>0</v>
      </c>
      <c r="BD1088" s="46">
        <v>0</v>
      </c>
      <c r="BE1088" s="46">
        <v>0</v>
      </c>
      <c r="BF1088" s="46">
        <v>0</v>
      </c>
      <c r="BG1088" s="46" t="s">
        <v>48</v>
      </c>
      <c r="BH1088" s="46">
        <v>0</v>
      </c>
      <c r="BI1088" s="46">
        <v>0</v>
      </c>
      <c r="BJ1088" s="46">
        <v>0</v>
      </c>
      <c r="BK1088" s="46">
        <v>0</v>
      </c>
      <c r="BL1088" s="46">
        <v>0</v>
      </c>
      <c r="BM1088" s="46">
        <v>0</v>
      </c>
      <c r="BN1088" s="46">
        <v>0</v>
      </c>
    </row>
    <row r="1089" spans="1:66" x14ac:dyDescent="0.35">
      <c r="A1089" t="s">
        <v>6615</v>
      </c>
      <c r="B1089" t="s">
        <v>48</v>
      </c>
      <c r="C1089" t="s">
        <v>6620</v>
      </c>
      <c r="D1089" t="s">
        <v>1262</v>
      </c>
      <c r="E1089" t="s">
        <v>6616</v>
      </c>
      <c r="F1089" t="s">
        <v>6604</v>
      </c>
      <c r="G1089" t="s">
        <v>47</v>
      </c>
      <c r="H1089">
        <v>0</v>
      </c>
      <c r="I1089" s="60" t="s">
        <v>51</v>
      </c>
      <c r="J1089" s="33" t="s">
        <v>45</v>
      </c>
      <c r="K1089" s="46">
        <v>1</v>
      </c>
      <c r="L1089">
        <v>69.8</v>
      </c>
      <c r="M1089" t="s">
        <v>48</v>
      </c>
      <c r="N1089" s="46">
        <v>1</v>
      </c>
      <c r="O1089" s="46">
        <v>0</v>
      </c>
      <c r="P1089" s="46">
        <v>0</v>
      </c>
      <c r="Q1089" t="s">
        <v>48</v>
      </c>
      <c r="R1089" t="s">
        <v>48</v>
      </c>
      <c r="S1089" t="s">
        <v>6617</v>
      </c>
      <c r="T1089" t="s">
        <v>6618</v>
      </c>
      <c r="U1089" t="s">
        <v>6617</v>
      </c>
      <c r="V1089" s="47">
        <v>0</v>
      </c>
      <c r="W1089" t="s">
        <v>48</v>
      </c>
      <c r="X1089" t="s">
        <v>48</v>
      </c>
      <c r="Y1089" t="s">
        <v>48</v>
      </c>
      <c r="Z1089">
        <v>1</v>
      </c>
      <c r="AA1089" t="s">
        <v>48</v>
      </c>
      <c r="AB1089" t="s">
        <v>6619</v>
      </c>
      <c r="AC1089" t="s">
        <v>49</v>
      </c>
      <c r="AD1089" t="s">
        <v>93</v>
      </c>
      <c r="AE1089" t="s">
        <v>4532</v>
      </c>
      <c r="AF1089" t="s">
        <v>48</v>
      </c>
      <c r="AG1089" t="s">
        <v>48</v>
      </c>
      <c r="AH1089" t="s">
        <v>93</v>
      </c>
      <c r="AI1089">
        <v>29759</v>
      </c>
      <c r="AJ1089">
        <v>1955</v>
      </c>
      <c r="AK1089" t="s">
        <v>9326</v>
      </c>
      <c r="AL1089" t="s">
        <v>9327</v>
      </c>
      <c r="AM1089">
        <v>0.59199999999999997</v>
      </c>
      <c r="AN1089">
        <v>0.13600000000000001</v>
      </c>
      <c r="AO1089">
        <v>0.59199999999999997</v>
      </c>
      <c r="AP1089" s="46">
        <v>0</v>
      </c>
      <c r="AQ1089" s="46">
        <v>0</v>
      </c>
      <c r="AR1089" s="46">
        <v>0</v>
      </c>
      <c r="AS1089" s="46">
        <v>0</v>
      </c>
      <c r="AT1089" s="46">
        <v>0</v>
      </c>
      <c r="AU1089" s="46">
        <v>0</v>
      </c>
      <c r="AV1089" s="46">
        <v>0</v>
      </c>
      <c r="AW1089" s="46">
        <v>0</v>
      </c>
      <c r="AX1089" s="46">
        <v>0</v>
      </c>
      <c r="AY1089" s="46">
        <v>0</v>
      </c>
      <c r="AZ1089" s="46">
        <v>1</v>
      </c>
      <c r="BA1089" s="46">
        <v>0</v>
      </c>
      <c r="BB1089" s="46">
        <v>0</v>
      </c>
      <c r="BC1089" s="46">
        <v>0</v>
      </c>
      <c r="BD1089" s="46">
        <v>0</v>
      </c>
      <c r="BE1089" s="46">
        <v>0</v>
      </c>
      <c r="BF1089" s="46">
        <v>0</v>
      </c>
      <c r="BG1089" s="46">
        <v>1</v>
      </c>
      <c r="BH1089" s="46">
        <v>0</v>
      </c>
      <c r="BI1089" s="46">
        <v>0</v>
      </c>
      <c r="BJ1089" s="46">
        <v>0</v>
      </c>
      <c r="BK1089" s="46">
        <v>0</v>
      </c>
      <c r="BL1089" s="46">
        <v>0</v>
      </c>
      <c r="BM1089" s="46">
        <v>0</v>
      </c>
      <c r="BN1089" s="46">
        <v>0</v>
      </c>
    </row>
    <row r="1090" spans="1:66" x14ac:dyDescent="0.35">
      <c r="A1090" t="s">
        <v>6631</v>
      </c>
      <c r="B1090" t="s">
        <v>48</v>
      </c>
      <c r="C1090" t="s">
        <v>6635</v>
      </c>
      <c r="D1090" t="s">
        <v>6634</v>
      </c>
      <c r="E1090" t="s">
        <v>6632</v>
      </c>
      <c r="F1090" t="s">
        <v>6625</v>
      </c>
      <c r="G1090" t="s">
        <v>47</v>
      </c>
      <c r="H1090">
        <v>0</v>
      </c>
      <c r="I1090" s="60" t="s">
        <v>661</v>
      </c>
      <c r="J1090" s="33" t="s">
        <v>45</v>
      </c>
      <c r="K1090" s="46">
        <v>0</v>
      </c>
      <c r="L1090">
        <v>100</v>
      </c>
      <c r="M1090" t="s">
        <v>48</v>
      </c>
      <c r="N1090" s="46">
        <v>1</v>
      </c>
      <c r="O1090" s="46">
        <v>0</v>
      </c>
      <c r="P1090" s="46">
        <v>0</v>
      </c>
      <c r="Q1090" t="s">
        <v>48</v>
      </c>
      <c r="R1090" t="s">
        <v>48</v>
      </c>
      <c r="S1090" t="s">
        <v>6633</v>
      </c>
      <c r="T1090" t="s">
        <v>48</v>
      </c>
      <c r="U1090" t="s">
        <v>6633</v>
      </c>
      <c r="V1090" s="47">
        <v>0</v>
      </c>
      <c r="W1090" t="s">
        <v>48</v>
      </c>
      <c r="X1090" t="s">
        <v>48</v>
      </c>
      <c r="Y1090" t="s">
        <v>48</v>
      </c>
      <c r="Z1090">
        <v>0</v>
      </c>
      <c r="AA1090" t="s">
        <v>48</v>
      </c>
      <c r="AB1090" t="s">
        <v>48</v>
      </c>
      <c r="AC1090" t="s">
        <v>63</v>
      </c>
      <c r="AD1090" t="s">
        <v>951</v>
      </c>
      <c r="AE1090" s="40" t="s">
        <v>11051</v>
      </c>
      <c r="AF1090" t="s">
        <v>11103</v>
      </c>
      <c r="AG1090" t="s">
        <v>48</v>
      </c>
      <c r="AH1090" t="s">
        <v>48</v>
      </c>
      <c r="AI1090" t="s">
        <v>48</v>
      </c>
      <c r="AJ1090" t="s">
        <v>48</v>
      </c>
      <c r="AK1090" t="s">
        <v>48</v>
      </c>
      <c r="AL1090" t="s">
        <v>48</v>
      </c>
      <c r="AM1090" t="s">
        <v>48</v>
      </c>
      <c r="AN1090" t="s">
        <v>48</v>
      </c>
      <c r="AO1090" t="s">
        <v>48</v>
      </c>
      <c r="AP1090" s="46">
        <v>0</v>
      </c>
      <c r="AQ1090" s="46">
        <v>0</v>
      </c>
      <c r="AR1090" s="46">
        <v>0</v>
      </c>
      <c r="AS1090" s="46">
        <v>0</v>
      </c>
      <c r="AT1090" s="46">
        <v>0</v>
      </c>
      <c r="AU1090" s="46">
        <v>0</v>
      </c>
      <c r="AV1090" s="46">
        <v>0</v>
      </c>
      <c r="AW1090" s="46">
        <v>0</v>
      </c>
      <c r="AX1090" s="46">
        <v>0</v>
      </c>
      <c r="AY1090" s="46">
        <v>0</v>
      </c>
      <c r="AZ1090" s="46">
        <v>0</v>
      </c>
      <c r="BA1090" s="46">
        <v>0</v>
      </c>
      <c r="BB1090" s="46">
        <v>0</v>
      </c>
      <c r="BC1090" s="46">
        <v>0</v>
      </c>
      <c r="BD1090" s="46">
        <v>0</v>
      </c>
      <c r="BE1090" s="46">
        <v>0</v>
      </c>
      <c r="BF1090" s="46">
        <v>0</v>
      </c>
      <c r="BG1090" s="46">
        <v>1</v>
      </c>
      <c r="BH1090" s="46">
        <v>0</v>
      </c>
      <c r="BI1090" s="46">
        <v>0</v>
      </c>
      <c r="BJ1090" s="46">
        <v>0</v>
      </c>
      <c r="BK1090" s="46">
        <v>0</v>
      </c>
      <c r="BL1090" s="46">
        <v>0</v>
      </c>
      <c r="BM1090" s="46">
        <v>0</v>
      </c>
      <c r="BN1090" s="46">
        <v>0</v>
      </c>
    </row>
    <row r="1091" spans="1:66" x14ac:dyDescent="0.35">
      <c r="A1091" t="s">
        <v>6626</v>
      </c>
      <c r="B1091" s="44" t="s">
        <v>48</v>
      </c>
      <c r="C1091" t="s">
        <v>1034</v>
      </c>
      <c r="D1091" t="s">
        <v>6630</v>
      </c>
      <c r="E1091" t="s">
        <v>6627</v>
      </c>
      <c r="F1091" t="s">
        <v>6625</v>
      </c>
      <c r="G1091" t="s">
        <v>74</v>
      </c>
      <c r="H1091">
        <v>0</v>
      </c>
      <c r="I1091" s="60" t="s">
        <v>51</v>
      </c>
      <c r="J1091" s="33" t="s">
        <v>45</v>
      </c>
      <c r="K1091" s="46">
        <v>1</v>
      </c>
      <c r="L1091">
        <v>100</v>
      </c>
      <c r="M1091" t="s">
        <v>48</v>
      </c>
      <c r="N1091" s="46">
        <v>1</v>
      </c>
      <c r="O1091" s="46">
        <v>0</v>
      </c>
      <c r="P1091" s="46">
        <v>0</v>
      </c>
      <c r="Q1091" t="s">
        <v>48</v>
      </c>
      <c r="R1091" t="s">
        <v>48</v>
      </c>
      <c r="S1091" t="s">
        <v>6628</v>
      </c>
      <c r="T1091" t="s">
        <v>6629</v>
      </c>
      <c r="U1091" t="s">
        <v>6628</v>
      </c>
      <c r="V1091" s="47">
        <v>0</v>
      </c>
      <c r="W1091" t="s">
        <v>48</v>
      </c>
      <c r="X1091" t="s">
        <v>48</v>
      </c>
      <c r="Y1091" t="s">
        <v>48</v>
      </c>
      <c r="Z1091">
        <v>0</v>
      </c>
      <c r="AA1091" t="s">
        <v>48</v>
      </c>
      <c r="AB1091">
        <v>1994</v>
      </c>
      <c r="AC1091" t="s">
        <v>63</v>
      </c>
      <c r="AD1091" t="s">
        <v>93</v>
      </c>
      <c r="AE1091" s="40" t="s">
        <v>2471</v>
      </c>
      <c r="AF1091" t="s">
        <v>11075</v>
      </c>
      <c r="AG1091" t="s">
        <v>1314</v>
      </c>
      <c r="AH1091" t="s">
        <v>93</v>
      </c>
      <c r="AI1091">
        <v>29573</v>
      </c>
      <c r="AJ1091">
        <v>1950</v>
      </c>
      <c r="AK1091" t="s">
        <v>9328</v>
      </c>
      <c r="AL1091" t="s">
        <v>9329</v>
      </c>
      <c r="AM1091">
        <v>-0.46</v>
      </c>
      <c r="AN1091">
        <v>0.125</v>
      </c>
      <c r="AO1091">
        <v>-0.46</v>
      </c>
      <c r="AP1091" s="46">
        <v>0</v>
      </c>
      <c r="AQ1091" s="46">
        <v>0</v>
      </c>
      <c r="AR1091" s="46">
        <v>0</v>
      </c>
      <c r="AS1091" s="46">
        <v>0</v>
      </c>
      <c r="AT1091" s="46">
        <v>1</v>
      </c>
      <c r="AU1091" s="46">
        <v>0</v>
      </c>
      <c r="AV1091" s="46">
        <v>0</v>
      </c>
      <c r="AW1091" s="46">
        <v>0</v>
      </c>
      <c r="AX1091" s="46">
        <v>0</v>
      </c>
      <c r="AY1091" s="46">
        <v>0</v>
      </c>
      <c r="AZ1091" s="46">
        <v>0</v>
      </c>
      <c r="BA1091" s="46">
        <v>0</v>
      </c>
      <c r="BB1091" s="46">
        <v>0</v>
      </c>
      <c r="BC1091" s="46">
        <v>0</v>
      </c>
      <c r="BD1091" s="46">
        <v>0</v>
      </c>
      <c r="BE1091" s="46">
        <v>0</v>
      </c>
      <c r="BF1091" s="46">
        <v>0</v>
      </c>
      <c r="BG1091" s="46" t="s">
        <v>48</v>
      </c>
      <c r="BH1091" s="46">
        <v>0</v>
      </c>
      <c r="BI1091" s="46">
        <v>0</v>
      </c>
      <c r="BJ1091" s="46">
        <v>0</v>
      </c>
      <c r="BK1091" s="46">
        <v>1</v>
      </c>
      <c r="BL1091" s="46">
        <v>0</v>
      </c>
      <c r="BM1091" s="46">
        <v>0</v>
      </c>
      <c r="BN1091" s="46">
        <v>0</v>
      </c>
    </row>
    <row r="1092" spans="1:66" x14ac:dyDescent="0.35">
      <c r="A1092" t="s">
        <v>6636</v>
      </c>
      <c r="B1092" s="44" t="s">
        <v>48</v>
      </c>
      <c r="C1092" t="s">
        <v>6038</v>
      </c>
      <c r="D1092" t="s">
        <v>6641</v>
      </c>
      <c r="E1092" t="s">
        <v>6638</v>
      </c>
      <c r="F1092" t="s">
        <v>6637</v>
      </c>
      <c r="G1092" t="s">
        <v>47</v>
      </c>
      <c r="H1092">
        <v>0</v>
      </c>
      <c r="I1092" s="60" t="s">
        <v>51</v>
      </c>
      <c r="J1092" s="33" t="s">
        <v>45</v>
      </c>
      <c r="K1092" s="46">
        <v>1</v>
      </c>
      <c r="L1092">
        <v>100</v>
      </c>
      <c r="M1092" t="s">
        <v>48</v>
      </c>
      <c r="N1092" s="46">
        <v>1</v>
      </c>
      <c r="O1092" s="46">
        <v>0</v>
      </c>
      <c r="P1092" s="46">
        <v>0</v>
      </c>
      <c r="Q1092" t="s">
        <v>48</v>
      </c>
      <c r="R1092" t="s">
        <v>48</v>
      </c>
      <c r="S1092" t="s">
        <v>6639</v>
      </c>
      <c r="T1092" t="s">
        <v>6640</v>
      </c>
      <c r="U1092" t="s">
        <v>6639</v>
      </c>
      <c r="V1092" s="47">
        <v>0</v>
      </c>
      <c r="W1092" t="s">
        <v>48</v>
      </c>
      <c r="X1092" t="s">
        <v>48</v>
      </c>
      <c r="Y1092" t="s">
        <v>48</v>
      </c>
      <c r="Z1092">
        <v>0</v>
      </c>
      <c r="AA1092" t="s">
        <v>48</v>
      </c>
      <c r="AB1092">
        <v>2016</v>
      </c>
      <c r="AC1092" t="s">
        <v>49</v>
      </c>
      <c r="AD1092" t="s">
        <v>93</v>
      </c>
      <c r="AE1092" t="s">
        <v>4532</v>
      </c>
      <c r="AF1092" t="s">
        <v>48</v>
      </c>
      <c r="AG1092" t="s">
        <v>466</v>
      </c>
      <c r="AH1092" t="s">
        <v>93</v>
      </c>
      <c r="AI1092">
        <v>21700</v>
      </c>
      <c r="AJ1092">
        <v>1972</v>
      </c>
      <c r="AK1092" t="s">
        <v>9330</v>
      </c>
      <c r="AL1092" t="s">
        <v>9331</v>
      </c>
      <c r="AM1092">
        <v>0.65600000000000003</v>
      </c>
      <c r="AN1092">
        <v>-7.0999999999999994E-2</v>
      </c>
      <c r="AO1092">
        <v>0.65600000000000003</v>
      </c>
      <c r="AP1092" s="46">
        <v>0</v>
      </c>
      <c r="AQ1092" s="46">
        <v>0</v>
      </c>
      <c r="AR1092" s="46">
        <v>0</v>
      </c>
      <c r="AS1092" s="46">
        <v>0</v>
      </c>
      <c r="AT1092" s="46">
        <v>0</v>
      </c>
      <c r="AU1092" s="46">
        <v>0</v>
      </c>
      <c r="AV1092" s="46">
        <v>0</v>
      </c>
      <c r="AW1092" s="46">
        <v>0</v>
      </c>
      <c r="AX1092" s="46">
        <v>0</v>
      </c>
      <c r="AY1092" s="46">
        <v>0</v>
      </c>
      <c r="AZ1092" s="46">
        <v>0</v>
      </c>
      <c r="BA1092" s="46">
        <v>0</v>
      </c>
      <c r="BB1092" s="46">
        <v>1</v>
      </c>
      <c r="BC1092" s="46">
        <v>0</v>
      </c>
      <c r="BD1092" s="46">
        <v>0</v>
      </c>
      <c r="BE1092" s="46">
        <v>0</v>
      </c>
      <c r="BF1092" s="46">
        <v>0</v>
      </c>
      <c r="BG1092" s="46">
        <v>1</v>
      </c>
      <c r="BH1092" s="46">
        <v>0</v>
      </c>
      <c r="BI1092" s="46">
        <v>0</v>
      </c>
      <c r="BJ1092" s="46">
        <v>0</v>
      </c>
      <c r="BK1092" s="46">
        <v>0</v>
      </c>
      <c r="BL1092" s="46">
        <v>0</v>
      </c>
      <c r="BM1092" s="46">
        <v>0</v>
      </c>
      <c r="BN1092" s="46">
        <v>1</v>
      </c>
    </row>
    <row r="1093" spans="1:66" x14ac:dyDescent="0.35">
      <c r="A1093" t="s">
        <v>6642</v>
      </c>
      <c r="B1093" t="s">
        <v>48</v>
      </c>
      <c r="C1093" t="s">
        <v>6647</v>
      </c>
      <c r="D1093" t="s">
        <v>1526</v>
      </c>
      <c r="E1093" t="s">
        <v>6644</v>
      </c>
      <c r="F1093" t="s">
        <v>6643</v>
      </c>
      <c r="G1093" t="s">
        <v>74</v>
      </c>
      <c r="H1093">
        <v>0</v>
      </c>
      <c r="I1093" s="60" t="s">
        <v>51</v>
      </c>
      <c r="J1093" s="33" t="s">
        <v>45</v>
      </c>
      <c r="K1093" s="46">
        <v>1</v>
      </c>
      <c r="L1093">
        <v>100</v>
      </c>
      <c r="M1093" t="s">
        <v>48</v>
      </c>
      <c r="N1093" s="46">
        <v>1</v>
      </c>
      <c r="O1093" s="46">
        <v>0</v>
      </c>
      <c r="P1093" s="46">
        <v>0</v>
      </c>
      <c r="Q1093" t="s">
        <v>48</v>
      </c>
      <c r="R1093" t="s">
        <v>48</v>
      </c>
      <c r="S1093" t="s">
        <v>6645</v>
      </c>
      <c r="T1093" t="s">
        <v>6646</v>
      </c>
      <c r="U1093" t="s">
        <v>6645</v>
      </c>
      <c r="V1093" s="47">
        <v>0</v>
      </c>
      <c r="W1093" t="s">
        <v>48</v>
      </c>
      <c r="X1093" t="s">
        <v>48</v>
      </c>
      <c r="Y1093" t="s">
        <v>48</v>
      </c>
      <c r="Z1093">
        <v>0</v>
      </c>
      <c r="AA1093" t="s">
        <v>48</v>
      </c>
      <c r="AB1093">
        <v>2012</v>
      </c>
      <c r="AC1093" t="s">
        <v>49</v>
      </c>
      <c r="AD1093" t="s">
        <v>951</v>
      </c>
      <c r="AE1093" s="40" t="s">
        <v>11051</v>
      </c>
      <c r="AF1093" t="s">
        <v>11054</v>
      </c>
      <c r="AG1093" t="s">
        <v>140</v>
      </c>
      <c r="AH1093" t="s">
        <v>93</v>
      </c>
      <c r="AI1093">
        <v>21362</v>
      </c>
      <c r="AJ1093">
        <v>1974</v>
      </c>
      <c r="AK1093" t="s">
        <v>9332</v>
      </c>
      <c r="AL1093" t="s">
        <v>9333</v>
      </c>
      <c r="AM1093">
        <v>-0.4</v>
      </c>
      <c r="AN1093">
        <v>-3.1E-2</v>
      </c>
      <c r="AO1093">
        <v>-0.4</v>
      </c>
      <c r="AP1093" s="46">
        <v>0</v>
      </c>
      <c r="AQ1093" s="46">
        <v>0</v>
      </c>
      <c r="AR1093" s="46">
        <v>0</v>
      </c>
      <c r="AS1093" s="46">
        <v>0</v>
      </c>
      <c r="AT1093" s="46">
        <v>0</v>
      </c>
      <c r="AU1093" s="46">
        <v>1</v>
      </c>
      <c r="AV1093" s="46">
        <v>0</v>
      </c>
      <c r="AW1093" s="46">
        <v>0</v>
      </c>
      <c r="AX1093" s="46">
        <v>0</v>
      </c>
      <c r="AY1093" s="46">
        <v>0</v>
      </c>
      <c r="AZ1093" s="46">
        <v>0</v>
      </c>
      <c r="BA1093" s="46">
        <v>0</v>
      </c>
      <c r="BB1093" s="46">
        <v>0</v>
      </c>
      <c r="BC1093" s="46">
        <v>0</v>
      </c>
      <c r="BD1093" s="46">
        <v>0</v>
      </c>
      <c r="BE1093" s="46">
        <v>0</v>
      </c>
      <c r="BF1093" s="46">
        <v>0</v>
      </c>
      <c r="BG1093" s="46" t="s">
        <v>48</v>
      </c>
      <c r="BH1093" s="46">
        <v>0</v>
      </c>
      <c r="BI1093" s="46">
        <v>0</v>
      </c>
      <c r="BJ1093" s="46">
        <v>0</v>
      </c>
      <c r="BK1093" s="46">
        <v>0</v>
      </c>
      <c r="BL1093" s="46">
        <v>0</v>
      </c>
      <c r="BM1093" s="46">
        <v>0</v>
      </c>
      <c r="BN1093" s="46">
        <v>0</v>
      </c>
    </row>
    <row r="1094" spans="1:66" x14ac:dyDescent="0.35">
      <c r="A1094" t="s">
        <v>6648</v>
      </c>
      <c r="B1094" t="s">
        <v>48</v>
      </c>
      <c r="C1094" t="s">
        <v>6651</v>
      </c>
      <c r="D1094" t="s">
        <v>1666</v>
      </c>
      <c r="E1094" t="s">
        <v>6649</v>
      </c>
      <c r="F1094" t="s">
        <v>6643</v>
      </c>
      <c r="G1094" t="s">
        <v>47</v>
      </c>
      <c r="H1094">
        <v>0</v>
      </c>
      <c r="I1094" s="60" t="s">
        <v>149</v>
      </c>
      <c r="J1094" s="33" t="s">
        <v>45</v>
      </c>
      <c r="K1094" s="46">
        <v>0</v>
      </c>
      <c r="L1094">
        <v>100</v>
      </c>
      <c r="M1094" t="s">
        <v>48</v>
      </c>
      <c r="N1094" s="46">
        <v>1</v>
      </c>
      <c r="O1094" s="46">
        <v>0</v>
      </c>
      <c r="P1094" s="46">
        <v>0</v>
      </c>
      <c r="Q1094" t="s">
        <v>48</v>
      </c>
      <c r="R1094" t="s">
        <v>48</v>
      </c>
      <c r="S1094" t="s">
        <v>6650</v>
      </c>
      <c r="T1094" t="s">
        <v>48</v>
      </c>
      <c r="U1094" t="s">
        <v>6650</v>
      </c>
      <c r="V1094" s="47">
        <v>0</v>
      </c>
      <c r="W1094" t="s">
        <v>48</v>
      </c>
      <c r="X1094" t="s">
        <v>48</v>
      </c>
      <c r="Y1094" t="s">
        <v>48</v>
      </c>
      <c r="Z1094">
        <v>0</v>
      </c>
      <c r="AA1094" t="s">
        <v>48</v>
      </c>
      <c r="AB1094" t="s">
        <v>48</v>
      </c>
      <c r="AC1094" t="s">
        <v>49</v>
      </c>
      <c r="AD1094" t="s">
        <v>93</v>
      </c>
      <c r="AE1094" t="s">
        <v>4532</v>
      </c>
      <c r="AF1094" t="s">
        <v>48</v>
      </c>
      <c r="AG1094" t="s">
        <v>48</v>
      </c>
      <c r="AH1094" t="s">
        <v>48</v>
      </c>
      <c r="AI1094" t="s">
        <v>48</v>
      </c>
      <c r="AJ1094" t="s">
        <v>48</v>
      </c>
      <c r="AK1094" t="s">
        <v>48</v>
      </c>
      <c r="AL1094" t="s">
        <v>48</v>
      </c>
      <c r="AM1094" t="s">
        <v>48</v>
      </c>
      <c r="AN1094" t="s">
        <v>48</v>
      </c>
      <c r="AO1094" t="s">
        <v>48</v>
      </c>
      <c r="AP1094" s="46">
        <v>0</v>
      </c>
      <c r="AQ1094" s="46">
        <v>0</v>
      </c>
      <c r="AR1094" s="46">
        <v>0</v>
      </c>
      <c r="AS1094" s="46">
        <v>0</v>
      </c>
      <c r="AT1094" s="46">
        <v>0</v>
      </c>
      <c r="AU1094" s="46">
        <v>0</v>
      </c>
      <c r="AV1094" s="46">
        <v>0</v>
      </c>
      <c r="AW1094" s="46">
        <v>0</v>
      </c>
      <c r="AX1094" s="46">
        <v>0</v>
      </c>
      <c r="AY1094" s="46">
        <v>0</v>
      </c>
      <c r="AZ1094" s="46">
        <v>0</v>
      </c>
      <c r="BA1094" s="46">
        <v>0</v>
      </c>
      <c r="BB1094" s="46">
        <v>0</v>
      </c>
      <c r="BC1094" s="46">
        <v>0</v>
      </c>
      <c r="BD1094" s="46">
        <v>0</v>
      </c>
      <c r="BE1094" s="46">
        <v>0</v>
      </c>
      <c r="BF1094" s="46">
        <v>0</v>
      </c>
      <c r="BG1094" s="46">
        <v>1</v>
      </c>
      <c r="BH1094" s="46">
        <v>0</v>
      </c>
      <c r="BI1094" s="46">
        <v>0</v>
      </c>
      <c r="BJ1094" s="46">
        <v>0</v>
      </c>
      <c r="BK1094" s="46">
        <v>0</v>
      </c>
      <c r="BL1094" s="46">
        <v>0</v>
      </c>
      <c r="BM1094" s="46">
        <v>0</v>
      </c>
      <c r="BN1094" s="46">
        <v>0</v>
      </c>
    </row>
    <row r="1095" spans="1:66" x14ac:dyDescent="0.35">
      <c r="A1095" t="s">
        <v>6671</v>
      </c>
      <c r="B1095" s="44" t="s">
        <v>48</v>
      </c>
      <c r="C1095" t="s">
        <v>4112</v>
      </c>
      <c r="D1095" t="s">
        <v>6675</v>
      </c>
      <c r="E1095" t="s">
        <v>6672</v>
      </c>
      <c r="F1095" t="s">
        <v>6653</v>
      </c>
      <c r="G1095" t="s">
        <v>47</v>
      </c>
      <c r="H1095">
        <v>0</v>
      </c>
      <c r="I1095" s="60" t="s">
        <v>51</v>
      </c>
      <c r="J1095" s="33" t="s">
        <v>45</v>
      </c>
      <c r="K1095" s="46">
        <v>1</v>
      </c>
      <c r="L1095">
        <v>83.2</v>
      </c>
      <c r="M1095" t="s">
        <v>48</v>
      </c>
      <c r="N1095" s="46">
        <v>1</v>
      </c>
      <c r="O1095" s="46">
        <v>0</v>
      </c>
      <c r="P1095" s="46">
        <v>0</v>
      </c>
      <c r="Q1095" t="s">
        <v>48</v>
      </c>
      <c r="R1095" t="s">
        <v>48</v>
      </c>
      <c r="S1095" t="s">
        <v>6673</v>
      </c>
      <c r="T1095" t="s">
        <v>6674</v>
      </c>
      <c r="U1095" t="s">
        <v>6673</v>
      </c>
      <c r="V1095" s="47">
        <v>0</v>
      </c>
      <c r="W1095" t="s">
        <v>48</v>
      </c>
      <c r="X1095" t="s">
        <v>48</v>
      </c>
      <c r="Y1095" t="s">
        <v>48</v>
      </c>
      <c r="Z1095">
        <v>0</v>
      </c>
      <c r="AA1095" t="s">
        <v>48</v>
      </c>
      <c r="AB1095">
        <v>2018</v>
      </c>
      <c r="AC1095" t="s">
        <v>49</v>
      </c>
      <c r="AD1095" t="s">
        <v>93</v>
      </c>
      <c r="AE1095" t="s">
        <v>4532</v>
      </c>
      <c r="AF1095" t="s">
        <v>48</v>
      </c>
      <c r="AG1095" t="s">
        <v>184</v>
      </c>
      <c r="AH1095" t="s">
        <v>93</v>
      </c>
      <c r="AI1095">
        <v>21961</v>
      </c>
      <c r="AJ1095">
        <v>1972</v>
      </c>
      <c r="AK1095" t="s">
        <v>9334</v>
      </c>
      <c r="AL1095" t="s">
        <v>9335</v>
      </c>
      <c r="AM1095">
        <v>0.8</v>
      </c>
      <c r="AN1095">
        <v>-0.6</v>
      </c>
      <c r="AO1095">
        <v>0.8</v>
      </c>
      <c r="AP1095" s="46">
        <v>0</v>
      </c>
      <c r="AQ1095" s="46">
        <v>0</v>
      </c>
      <c r="AR1095" s="46">
        <v>0</v>
      </c>
      <c r="AS1095" s="46">
        <v>0</v>
      </c>
      <c r="AT1095" s="46">
        <v>0</v>
      </c>
      <c r="AU1095" s="46">
        <v>0</v>
      </c>
      <c r="AV1095" s="46">
        <v>0</v>
      </c>
      <c r="AW1095" s="46">
        <v>0</v>
      </c>
      <c r="AX1095" s="46">
        <v>0</v>
      </c>
      <c r="AY1095" s="46">
        <v>0</v>
      </c>
      <c r="AZ1095" s="46">
        <v>0</v>
      </c>
      <c r="BA1095" s="46">
        <v>0</v>
      </c>
      <c r="BB1095" s="46">
        <v>1</v>
      </c>
      <c r="BC1095" s="46">
        <v>0</v>
      </c>
      <c r="BD1095" s="46">
        <v>0</v>
      </c>
      <c r="BE1095" s="46">
        <v>0</v>
      </c>
      <c r="BF1095" s="46">
        <v>1</v>
      </c>
      <c r="BG1095" s="46" t="s">
        <v>48</v>
      </c>
      <c r="BH1095" s="46">
        <v>0</v>
      </c>
      <c r="BI1095" s="46">
        <v>0</v>
      </c>
      <c r="BJ1095" s="46">
        <v>0</v>
      </c>
      <c r="BK1095" s="46">
        <v>0</v>
      </c>
      <c r="BL1095" s="46">
        <v>0</v>
      </c>
      <c r="BM1095" s="46">
        <v>0</v>
      </c>
      <c r="BN1095" s="46">
        <v>1</v>
      </c>
    </row>
    <row r="1096" spans="1:66" x14ac:dyDescent="0.35">
      <c r="A1096" t="s">
        <v>6684</v>
      </c>
      <c r="B1096" s="44" t="s">
        <v>48</v>
      </c>
      <c r="C1096" t="s">
        <v>6687</v>
      </c>
      <c r="D1096" t="s">
        <v>5288</v>
      </c>
      <c r="E1096" t="s">
        <v>6685</v>
      </c>
      <c r="F1096" t="s">
        <v>6653</v>
      </c>
      <c r="G1096" t="s">
        <v>74</v>
      </c>
      <c r="H1096">
        <v>0</v>
      </c>
      <c r="I1096" s="60" t="s">
        <v>51</v>
      </c>
      <c r="J1096" s="33" t="s">
        <v>45</v>
      </c>
      <c r="K1096" s="46">
        <v>0</v>
      </c>
      <c r="L1096">
        <v>47.3</v>
      </c>
      <c r="M1096">
        <v>63.5</v>
      </c>
      <c r="N1096" s="46">
        <v>1</v>
      </c>
      <c r="O1096" s="46">
        <v>0</v>
      </c>
      <c r="P1096" s="46">
        <v>0</v>
      </c>
      <c r="Q1096" t="s">
        <v>48</v>
      </c>
      <c r="R1096" t="s">
        <v>48</v>
      </c>
      <c r="S1096" t="s">
        <v>6686</v>
      </c>
      <c r="T1096" t="s">
        <v>48</v>
      </c>
      <c r="U1096" t="s">
        <v>6686</v>
      </c>
      <c r="V1096" s="47">
        <v>0</v>
      </c>
      <c r="W1096" t="s">
        <v>48</v>
      </c>
      <c r="X1096" t="s">
        <v>48</v>
      </c>
      <c r="Y1096" t="s">
        <v>48</v>
      </c>
      <c r="Z1096">
        <v>0</v>
      </c>
      <c r="AA1096" t="s">
        <v>48</v>
      </c>
      <c r="AB1096" t="s">
        <v>48</v>
      </c>
      <c r="AC1096" t="s">
        <v>63</v>
      </c>
      <c r="AD1096" t="s">
        <v>951</v>
      </c>
      <c r="AE1096" s="40" t="s">
        <v>11051</v>
      </c>
      <c r="AF1096" t="s">
        <v>108</v>
      </c>
      <c r="AG1096" t="s">
        <v>48</v>
      </c>
      <c r="AH1096" t="s">
        <v>48</v>
      </c>
      <c r="AI1096" t="s">
        <v>48</v>
      </c>
      <c r="AJ1096" t="s">
        <v>48</v>
      </c>
      <c r="AK1096" t="s">
        <v>48</v>
      </c>
      <c r="AL1096" t="s">
        <v>48</v>
      </c>
      <c r="AM1096" t="s">
        <v>48</v>
      </c>
      <c r="AN1096" t="s">
        <v>48</v>
      </c>
      <c r="AO1096" t="s">
        <v>48</v>
      </c>
      <c r="AP1096" s="46">
        <v>0</v>
      </c>
      <c r="AQ1096" s="46">
        <v>0</v>
      </c>
      <c r="AR1096" s="46">
        <v>0</v>
      </c>
      <c r="AS1096" s="46">
        <v>0</v>
      </c>
      <c r="AT1096" s="46">
        <v>0</v>
      </c>
      <c r="AU1096" s="46">
        <v>0</v>
      </c>
      <c r="AV1096" s="46">
        <v>0</v>
      </c>
      <c r="AW1096" s="46">
        <v>0</v>
      </c>
      <c r="AX1096" s="46">
        <v>0</v>
      </c>
      <c r="AY1096" s="46">
        <v>0</v>
      </c>
      <c r="AZ1096" s="46">
        <v>0</v>
      </c>
      <c r="BA1096" s="46">
        <v>0</v>
      </c>
      <c r="BB1096" s="46">
        <v>0</v>
      </c>
      <c r="BC1096" s="46">
        <v>0</v>
      </c>
      <c r="BD1096" s="46">
        <v>0</v>
      </c>
      <c r="BE1096" s="46">
        <v>0</v>
      </c>
      <c r="BF1096" s="46">
        <v>0</v>
      </c>
      <c r="BG1096" s="46" t="s">
        <v>48</v>
      </c>
      <c r="BH1096" s="46">
        <v>0</v>
      </c>
      <c r="BI1096" s="46">
        <v>0</v>
      </c>
      <c r="BJ1096" s="46">
        <v>0</v>
      </c>
      <c r="BK1096" s="46">
        <v>0</v>
      </c>
      <c r="BL1096" s="46">
        <v>0</v>
      </c>
      <c r="BM1096" s="46">
        <v>0</v>
      </c>
      <c r="BN1096" s="46">
        <v>0</v>
      </c>
    </row>
    <row r="1097" spans="1:66" x14ac:dyDescent="0.35">
      <c r="A1097" t="s">
        <v>6693</v>
      </c>
      <c r="B1097" s="44" t="s">
        <v>48</v>
      </c>
      <c r="C1097" t="s">
        <v>5384</v>
      </c>
      <c r="D1097" t="s">
        <v>3675</v>
      </c>
      <c r="E1097" t="s">
        <v>6694</v>
      </c>
      <c r="F1097" t="s">
        <v>6692</v>
      </c>
      <c r="G1097" t="s">
        <v>74</v>
      </c>
      <c r="H1097">
        <v>0</v>
      </c>
      <c r="I1097" s="60" t="s">
        <v>149</v>
      </c>
      <c r="J1097" s="33" t="s">
        <v>45</v>
      </c>
      <c r="K1097" s="46">
        <v>0</v>
      </c>
      <c r="L1097">
        <v>100</v>
      </c>
      <c r="M1097" t="s">
        <v>48</v>
      </c>
      <c r="N1097" s="46">
        <v>1</v>
      </c>
      <c r="O1097" s="46">
        <v>0</v>
      </c>
      <c r="P1097" s="46">
        <v>0</v>
      </c>
      <c r="Q1097" t="s">
        <v>48</v>
      </c>
      <c r="R1097" t="s">
        <v>48</v>
      </c>
      <c r="S1097" t="s">
        <v>48</v>
      </c>
      <c r="T1097" t="s">
        <v>48</v>
      </c>
      <c r="U1097" t="s">
        <v>48</v>
      </c>
      <c r="V1097" s="47">
        <v>1</v>
      </c>
      <c r="W1097" t="s">
        <v>11264</v>
      </c>
      <c r="X1097" t="s">
        <v>48</v>
      </c>
      <c r="Y1097" t="s">
        <v>48</v>
      </c>
      <c r="Z1097">
        <v>0</v>
      </c>
      <c r="AA1097" t="s">
        <v>48</v>
      </c>
      <c r="AB1097" t="s">
        <v>48</v>
      </c>
      <c r="AC1097" t="s">
        <v>63</v>
      </c>
      <c r="AD1097" t="s">
        <v>48</v>
      </c>
      <c r="AE1097" s="40" t="s">
        <v>48</v>
      </c>
      <c r="AF1097" t="s">
        <v>48</v>
      </c>
      <c r="AG1097" t="s">
        <v>48</v>
      </c>
      <c r="AH1097" t="s">
        <v>48</v>
      </c>
      <c r="AI1097" t="s">
        <v>48</v>
      </c>
      <c r="AJ1097" t="s">
        <v>48</v>
      </c>
      <c r="AK1097" t="s">
        <v>48</v>
      </c>
      <c r="AL1097" t="s">
        <v>48</v>
      </c>
      <c r="AM1097" t="s">
        <v>48</v>
      </c>
      <c r="AN1097" t="s">
        <v>48</v>
      </c>
      <c r="AO1097" t="s">
        <v>48</v>
      </c>
      <c r="AP1097" s="46">
        <v>0</v>
      </c>
      <c r="AQ1097" s="46">
        <v>0</v>
      </c>
      <c r="AR1097" s="46">
        <v>0</v>
      </c>
      <c r="AS1097" s="46">
        <v>0</v>
      </c>
      <c r="AT1097" s="46">
        <v>0</v>
      </c>
      <c r="AU1097" s="46">
        <v>0</v>
      </c>
      <c r="AV1097" s="46">
        <v>0</v>
      </c>
      <c r="AW1097" s="46">
        <v>0</v>
      </c>
      <c r="AX1097" s="46">
        <v>0</v>
      </c>
      <c r="AY1097" s="46">
        <v>0</v>
      </c>
      <c r="AZ1097" s="46">
        <v>0</v>
      </c>
      <c r="BA1097" s="46">
        <v>0</v>
      </c>
      <c r="BB1097" s="46">
        <v>0</v>
      </c>
      <c r="BC1097" s="46">
        <v>0</v>
      </c>
      <c r="BD1097" s="46">
        <v>0</v>
      </c>
      <c r="BE1097" s="46">
        <v>0</v>
      </c>
      <c r="BF1097" s="46">
        <v>0</v>
      </c>
      <c r="BG1097" s="46" t="s">
        <v>48</v>
      </c>
      <c r="BH1097" s="46">
        <v>0</v>
      </c>
      <c r="BI1097" s="46">
        <v>0</v>
      </c>
      <c r="BJ1097" s="46">
        <v>0</v>
      </c>
      <c r="BK1097" s="46">
        <v>0</v>
      </c>
      <c r="BL1097" s="46">
        <v>0</v>
      </c>
      <c r="BM1097" s="46">
        <v>0</v>
      </c>
      <c r="BN1097" s="46">
        <v>0</v>
      </c>
    </row>
    <row r="1098" spans="1:66" x14ac:dyDescent="0.35">
      <c r="A1098" t="s">
        <v>6695</v>
      </c>
      <c r="B1098" s="44" t="s">
        <v>48</v>
      </c>
      <c r="C1098" t="s">
        <v>6699</v>
      </c>
      <c r="D1098" t="s">
        <v>1975</v>
      </c>
      <c r="E1098" t="s">
        <v>6696</v>
      </c>
      <c r="F1098" t="s">
        <v>6692</v>
      </c>
      <c r="G1098" t="s">
        <v>47</v>
      </c>
      <c r="H1098">
        <v>0</v>
      </c>
      <c r="I1098" s="60" t="s">
        <v>51</v>
      </c>
      <c r="J1098" s="33" t="s">
        <v>45</v>
      </c>
      <c r="K1098" s="46">
        <v>1</v>
      </c>
      <c r="L1098">
        <v>89.2</v>
      </c>
      <c r="M1098" t="s">
        <v>48</v>
      </c>
      <c r="N1098" s="46">
        <v>1</v>
      </c>
      <c r="O1098" s="46">
        <v>0</v>
      </c>
      <c r="P1098" s="46">
        <v>0</v>
      </c>
      <c r="Q1098" t="s">
        <v>48</v>
      </c>
      <c r="R1098" t="s">
        <v>48</v>
      </c>
      <c r="S1098" t="s">
        <v>6697</v>
      </c>
      <c r="T1098" t="s">
        <v>6698</v>
      </c>
      <c r="U1098" t="s">
        <v>6697</v>
      </c>
      <c r="V1098" s="47">
        <v>0</v>
      </c>
      <c r="W1098" t="s">
        <v>48</v>
      </c>
      <c r="X1098" t="s">
        <v>48</v>
      </c>
      <c r="Y1098" t="s">
        <v>48</v>
      </c>
      <c r="Z1098">
        <v>1</v>
      </c>
      <c r="AA1098" t="s">
        <v>48</v>
      </c>
      <c r="AB1098">
        <v>2020</v>
      </c>
      <c r="AC1098" t="s">
        <v>49</v>
      </c>
      <c r="AD1098" t="s">
        <v>93</v>
      </c>
      <c r="AE1098" t="s">
        <v>4532</v>
      </c>
      <c r="AF1098" t="s">
        <v>48</v>
      </c>
      <c r="AG1098" t="s">
        <v>48</v>
      </c>
      <c r="AH1098" t="s">
        <v>93</v>
      </c>
      <c r="AI1098">
        <v>22143</v>
      </c>
      <c r="AJ1098">
        <v>1968</v>
      </c>
      <c r="AK1098" t="s">
        <v>9336</v>
      </c>
      <c r="AL1098" t="s">
        <v>9337</v>
      </c>
      <c r="AM1098">
        <v>0.623</v>
      </c>
      <c r="AN1098">
        <v>-2.1999999999999999E-2</v>
      </c>
      <c r="AO1098">
        <v>0.623</v>
      </c>
      <c r="AP1098" s="46">
        <v>0</v>
      </c>
      <c r="AQ1098" s="46">
        <v>0</v>
      </c>
      <c r="AR1098" s="46">
        <v>0</v>
      </c>
      <c r="AS1098" s="46">
        <v>0</v>
      </c>
      <c r="AT1098" s="46">
        <v>0</v>
      </c>
      <c r="AU1098" s="46">
        <v>0</v>
      </c>
      <c r="AV1098" s="46">
        <v>0</v>
      </c>
      <c r="AW1098" s="46">
        <v>0</v>
      </c>
      <c r="AX1098" s="46">
        <v>0</v>
      </c>
      <c r="AY1098" s="46">
        <v>0</v>
      </c>
      <c r="AZ1098" s="46">
        <v>0</v>
      </c>
      <c r="BA1098" s="46">
        <v>0</v>
      </c>
      <c r="BB1098" s="46">
        <v>1</v>
      </c>
      <c r="BC1098" s="46">
        <v>0</v>
      </c>
      <c r="BD1098" s="46">
        <v>0</v>
      </c>
      <c r="BE1098" s="46">
        <v>0</v>
      </c>
      <c r="BF1098" s="46">
        <v>0</v>
      </c>
      <c r="BG1098" s="46">
        <v>1</v>
      </c>
      <c r="BH1098" s="46">
        <v>0</v>
      </c>
      <c r="BI1098" s="46">
        <v>0</v>
      </c>
      <c r="BJ1098" s="46">
        <v>0</v>
      </c>
      <c r="BK1098" s="46">
        <v>0</v>
      </c>
      <c r="BL1098" s="46">
        <v>0</v>
      </c>
      <c r="BM1098" s="46">
        <v>0</v>
      </c>
      <c r="BN1098" s="46">
        <v>1</v>
      </c>
    </row>
    <row r="1099" spans="1:66" x14ac:dyDescent="0.35">
      <c r="A1099" t="s">
        <v>6715</v>
      </c>
      <c r="B1099" s="44" t="s">
        <v>48</v>
      </c>
      <c r="C1099" t="s">
        <v>6718</v>
      </c>
      <c r="D1099" t="s">
        <v>221</v>
      </c>
      <c r="E1099" t="s">
        <v>6716</v>
      </c>
      <c r="F1099" t="s">
        <v>6706</v>
      </c>
      <c r="G1099" t="s">
        <v>74</v>
      </c>
      <c r="H1099">
        <v>0</v>
      </c>
      <c r="I1099" s="60" t="s">
        <v>51</v>
      </c>
      <c r="J1099" s="33" t="s">
        <v>45</v>
      </c>
      <c r="K1099" s="46">
        <v>0</v>
      </c>
      <c r="L1099">
        <v>56.1</v>
      </c>
      <c r="M1099" t="s">
        <v>48</v>
      </c>
      <c r="N1099" s="46">
        <v>1</v>
      </c>
      <c r="O1099" s="46">
        <v>0</v>
      </c>
      <c r="P1099" s="46">
        <v>0</v>
      </c>
      <c r="Q1099" t="s">
        <v>48</v>
      </c>
      <c r="R1099" t="s">
        <v>48</v>
      </c>
      <c r="S1099" t="s">
        <v>6717</v>
      </c>
      <c r="T1099" t="s">
        <v>48</v>
      </c>
      <c r="U1099" t="s">
        <v>6717</v>
      </c>
      <c r="V1099" s="47">
        <v>0</v>
      </c>
      <c r="W1099" t="s">
        <v>48</v>
      </c>
      <c r="X1099" t="s">
        <v>48</v>
      </c>
      <c r="Y1099" t="s">
        <v>48</v>
      </c>
      <c r="Z1099">
        <v>0</v>
      </c>
      <c r="AA1099" t="s">
        <v>48</v>
      </c>
      <c r="AB1099" t="s">
        <v>48</v>
      </c>
      <c r="AC1099" t="s">
        <v>49</v>
      </c>
      <c r="AD1099" t="s">
        <v>951</v>
      </c>
      <c r="AE1099" s="40" t="s">
        <v>11051</v>
      </c>
      <c r="AF1099" t="s">
        <v>11054</v>
      </c>
      <c r="AG1099" t="s">
        <v>48</v>
      </c>
      <c r="AH1099" t="s">
        <v>48</v>
      </c>
      <c r="AI1099" t="s">
        <v>48</v>
      </c>
      <c r="AJ1099" t="s">
        <v>48</v>
      </c>
      <c r="AK1099" t="s">
        <v>48</v>
      </c>
      <c r="AL1099" t="s">
        <v>48</v>
      </c>
      <c r="AM1099" t="s">
        <v>48</v>
      </c>
      <c r="AN1099" t="s">
        <v>48</v>
      </c>
      <c r="AO1099" t="s">
        <v>48</v>
      </c>
      <c r="AP1099" s="46">
        <v>0</v>
      </c>
      <c r="AQ1099" s="46">
        <v>0</v>
      </c>
      <c r="AR1099" s="46">
        <v>0</v>
      </c>
      <c r="AS1099" s="46">
        <v>0</v>
      </c>
      <c r="AT1099" s="46">
        <v>0</v>
      </c>
      <c r="AU1099" s="46">
        <v>0</v>
      </c>
      <c r="AV1099" s="46">
        <v>0</v>
      </c>
      <c r="AW1099" s="46">
        <v>0</v>
      </c>
      <c r="AX1099" s="46">
        <v>0</v>
      </c>
      <c r="AY1099" s="46">
        <v>0</v>
      </c>
      <c r="AZ1099" s="46">
        <v>0</v>
      </c>
      <c r="BA1099" s="46">
        <v>0</v>
      </c>
      <c r="BB1099" s="46">
        <v>0</v>
      </c>
      <c r="BC1099" s="46">
        <v>0</v>
      </c>
      <c r="BD1099" s="46">
        <v>0</v>
      </c>
      <c r="BE1099" s="46">
        <v>0</v>
      </c>
      <c r="BF1099" s="46">
        <v>0</v>
      </c>
      <c r="BG1099" s="46" t="s">
        <v>48</v>
      </c>
      <c r="BH1099" s="46">
        <v>0</v>
      </c>
      <c r="BI1099" s="46">
        <v>0</v>
      </c>
      <c r="BJ1099" s="46">
        <v>0</v>
      </c>
      <c r="BK1099" s="46">
        <v>0</v>
      </c>
      <c r="BL1099" s="46">
        <v>0</v>
      </c>
      <c r="BM1099" s="46">
        <v>0</v>
      </c>
      <c r="BN1099" s="46">
        <v>0</v>
      </c>
    </row>
    <row r="1100" spans="1:66" x14ac:dyDescent="0.35">
      <c r="A1100" t="s">
        <v>6711</v>
      </c>
      <c r="B1100" t="s">
        <v>48</v>
      </c>
      <c r="C1100" t="s">
        <v>1432</v>
      </c>
      <c r="D1100" t="s">
        <v>1222</v>
      </c>
      <c r="E1100" t="s">
        <v>6712</v>
      </c>
      <c r="F1100" t="s">
        <v>6706</v>
      </c>
      <c r="G1100" t="s">
        <v>47</v>
      </c>
      <c r="H1100">
        <v>0</v>
      </c>
      <c r="I1100" s="60" t="s">
        <v>51</v>
      </c>
      <c r="J1100" s="33" t="s">
        <v>45</v>
      </c>
      <c r="K1100" s="46">
        <v>1</v>
      </c>
      <c r="L1100">
        <v>77.900000000000006</v>
      </c>
      <c r="M1100" t="s">
        <v>48</v>
      </c>
      <c r="N1100" s="46">
        <v>1</v>
      </c>
      <c r="O1100" s="46">
        <v>0</v>
      </c>
      <c r="P1100" s="46">
        <v>0</v>
      </c>
      <c r="Q1100" t="s">
        <v>48</v>
      </c>
      <c r="R1100" t="s">
        <v>48</v>
      </c>
      <c r="S1100" t="s">
        <v>6713</v>
      </c>
      <c r="T1100" t="s">
        <v>6714</v>
      </c>
      <c r="U1100" t="s">
        <v>6713</v>
      </c>
      <c r="V1100" s="47">
        <v>0</v>
      </c>
      <c r="W1100" t="s">
        <v>48</v>
      </c>
      <c r="X1100" t="s">
        <v>48</v>
      </c>
      <c r="Y1100" t="s">
        <v>48</v>
      </c>
      <c r="Z1100">
        <v>1</v>
      </c>
      <c r="AA1100" t="s">
        <v>48</v>
      </c>
      <c r="AB1100">
        <v>2020</v>
      </c>
      <c r="AC1100" t="s">
        <v>49</v>
      </c>
      <c r="AD1100" t="s">
        <v>951</v>
      </c>
      <c r="AE1100" s="40" t="s">
        <v>11051</v>
      </c>
      <c r="AF1100" t="s">
        <v>11054</v>
      </c>
      <c r="AG1100" t="s">
        <v>140</v>
      </c>
      <c r="AH1100" t="s">
        <v>93</v>
      </c>
      <c r="AI1100">
        <v>22119</v>
      </c>
      <c r="AJ1100">
        <v>1980</v>
      </c>
      <c r="AK1100" t="s">
        <v>9338</v>
      </c>
      <c r="AL1100" t="s">
        <v>9339</v>
      </c>
      <c r="AM1100">
        <v>0.30599999999999999</v>
      </c>
      <c r="AN1100">
        <v>0.35799999999999998</v>
      </c>
      <c r="AO1100">
        <v>0.30599999999999999</v>
      </c>
      <c r="AP1100" s="46">
        <v>0</v>
      </c>
      <c r="AQ1100" s="46">
        <v>0</v>
      </c>
      <c r="AR1100" s="46">
        <v>0</v>
      </c>
      <c r="AS1100" s="46">
        <v>0</v>
      </c>
      <c r="AT1100" s="46">
        <v>0</v>
      </c>
      <c r="AU1100" s="46">
        <v>0</v>
      </c>
      <c r="AV1100" s="46">
        <v>0</v>
      </c>
      <c r="AW1100" s="46">
        <v>0</v>
      </c>
      <c r="AX1100" s="46">
        <v>0</v>
      </c>
      <c r="AY1100" s="46">
        <v>0</v>
      </c>
      <c r="AZ1100" s="46">
        <v>0</v>
      </c>
      <c r="BA1100" s="46">
        <v>1</v>
      </c>
      <c r="BB1100" s="46">
        <v>1</v>
      </c>
      <c r="BC1100" s="46">
        <v>0</v>
      </c>
      <c r="BD1100" s="46">
        <v>0</v>
      </c>
      <c r="BE1100" s="46">
        <v>0</v>
      </c>
      <c r="BF1100" s="46">
        <v>0</v>
      </c>
      <c r="BG1100" s="46" t="s">
        <v>48</v>
      </c>
      <c r="BH1100" s="46">
        <v>0</v>
      </c>
      <c r="BI1100" s="46">
        <v>0</v>
      </c>
      <c r="BJ1100" s="46">
        <v>0</v>
      </c>
      <c r="BK1100" s="46">
        <v>0</v>
      </c>
      <c r="BL1100" s="46">
        <v>0</v>
      </c>
      <c r="BM1100" s="46">
        <v>1</v>
      </c>
      <c r="BN1100" s="46">
        <v>0</v>
      </c>
    </row>
    <row r="1101" spans="1:66" x14ac:dyDescent="0.35">
      <c r="A1101" t="s">
        <v>6734</v>
      </c>
      <c r="B1101" t="s">
        <v>48</v>
      </c>
      <c r="C1101" t="s">
        <v>12331</v>
      </c>
      <c r="D1101" t="s">
        <v>870</v>
      </c>
      <c r="E1101" t="s">
        <v>6735</v>
      </c>
      <c r="F1101" t="s">
        <v>6723</v>
      </c>
      <c r="G1101" t="s">
        <v>47</v>
      </c>
      <c r="H1101">
        <v>0</v>
      </c>
      <c r="I1101" s="60" t="s">
        <v>51</v>
      </c>
      <c r="J1101" s="33" t="s">
        <v>45</v>
      </c>
      <c r="K1101" s="46">
        <v>1</v>
      </c>
      <c r="L1101">
        <v>85</v>
      </c>
      <c r="M1101" t="s">
        <v>48</v>
      </c>
      <c r="N1101" s="46">
        <v>1</v>
      </c>
      <c r="O1101" s="46">
        <v>0</v>
      </c>
      <c r="P1101" s="46">
        <v>0</v>
      </c>
      <c r="Q1101" t="s">
        <v>48</v>
      </c>
      <c r="R1101" t="s">
        <v>48</v>
      </c>
      <c r="S1101" t="s">
        <v>6736</v>
      </c>
      <c r="T1101" t="s">
        <v>6737</v>
      </c>
      <c r="U1101" t="s">
        <v>6736</v>
      </c>
      <c r="V1101" s="47">
        <v>0</v>
      </c>
      <c r="W1101" t="s">
        <v>48</v>
      </c>
      <c r="X1101" t="s">
        <v>48</v>
      </c>
      <c r="Y1101" t="s">
        <v>48</v>
      </c>
      <c r="Z1101">
        <v>1</v>
      </c>
      <c r="AA1101" t="s">
        <v>48</v>
      </c>
      <c r="AB1101">
        <v>2020</v>
      </c>
      <c r="AC1101" t="s">
        <v>63</v>
      </c>
      <c r="AD1101" t="s">
        <v>93</v>
      </c>
      <c r="AE1101" t="s">
        <v>4532</v>
      </c>
      <c r="AF1101" t="s">
        <v>48</v>
      </c>
      <c r="AG1101" t="s">
        <v>48</v>
      </c>
      <c r="AH1101" t="s">
        <v>93</v>
      </c>
      <c r="AI1101">
        <v>22155</v>
      </c>
      <c r="AJ1101">
        <v>1970</v>
      </c>
      <c r="AK1101" t="s">
        <v>9340</v>
      </c>
      <c r="AL1101" t="s">
        <v>9341</v>
      </c>
      <c r="AM1101">
        <v>0.57699999999999996</v>
      </c>
      <c r="AN1101">
        <v>5.3999999999999999E-2</v>
      </c>
      <c r="AO1101">
        <v>0.57699999999999996</v>
      </c>
      <c r="AP1101" s="46">
        <v>0</v>
      </c>
      <c r="AQ1101" s="46">
        <v>0</v>
      </c>
      <c r="AR1101" s="46">
        <v>0</v>
      </c>
      <c r="AS1101" s="46">
        <v>0</v>
      </c>
      <c r="AT1101" s="46">
        <v>0</v>
      </c>
      <c r="AU1101" s="46">
        <v>0</v>
      </c>
      <c r="AV1101" s="46">
        <v>0</v>
      </c>
      <c r="AW1101" s="46">
        <v>0</v>
      </c>
      <c r="AX1101" s="46">
        <v>0</v>
      </c>
      <c r="AY1101" s="46">
        <v>1</v>
      </c>
      <c r="AZ1101" s="46">
        <v>0</v>
      </c>
      <c r="BA1101" s="46">
        <v>0</v>
      </c>
      <c r="BB1101" s="46">
        <v>1</v>
      </c>
      <c r="BC1101" s="46">
        <v>0</v>
      </c>
      <c r="BD1101" s="46">
        <v>0</v>
      </c>
      <c r="BE1101" s="46">
        <v>1</v>
      </c>
      <c r="BF1101" s="46">
        <v>0</v>
      </c>
      <c r="BG1101" s="46">
        <v>1</v>
      </c>
      <c r="BH1101" s="46">
        <v>0</v>
      </c>
      <c r="BI1101" s="46">
        <v>0</v>
      </c>
      <c r="BJ1101" s="46">
        <v>0</v>
      </c>
      <c r="BK1101" s="46">
        <v>0</v>
      </c>
      <c r="BL1101" s="46">
        <v>0</v>
      </c>
      <c r="BM1101" s="46">
        <v>0</v>
      </c>
      <c r="BN1101" s="46">
        <v>0</v>
      </c>
    </row>
    <row r="1102" spans="1:66" ht="15" x14ac:dyDescent="0.4">
      <c r="A1102" t="s">
        <v>6732</v>
      </c>
      <c r="B1102" s="44" t="s">
        <v>48</v>
      </c>
      <c r="C1102" t="s">
        <v>3298</v>
      </c>
      <c r="D1102" t="s">
        <v>612</v>
      </c>
      <c r="E1102" t="s">
        <v>6733</v>
      </c>
      <c r="F1102" t="s">
        <v>6723</v>
      </c>
      <c r="G1102" t="s">
        <v>74</v>
      </c>
      <c r="H1102">
        <v>0</v>
      </c>
      <c r="I1102" s="60" t="s">
        <v>11160</v>
      </c>
      <c r="J1102" s="33" t="s">
        <v>45</v>
      </c>
      <c r="K1102" s="46">
        <v>0</v>
      </c>
      <c r="L1102">
        <v>39.4</v>
      </c>
      <c r="M1102">
        <v>51.2</v>
      </c>
      <c r="N1102" s="46">
        <v>1</v>
      </c>
      <c r="O1102" s="46">
        <v>0</v>
      </c>
      <c r="P1102" s="46">
        <v>0</v>
      </c>
      <c r="Q1102" t="s">
        <v>48</v>
      </c>
      <c r="R1102" t="s">
        <v>48</v>
      </c>
      <c r="S1102" s="55" t="s">
        <v>11284</v>
      </c>
      <c r="T1102" t="s">
        <v>48</v>
      </c>
      <c r="U1102" s="55" t="s">
        <v>11284</v>
      </c>
      <c r="V1102" s="47">
        <v>0</v>
      </c>
      <c r="W1102" t="s">
        <v>48</v>
      </c>
      <c r="X1102" t="s">
        <v>48</v>
      </c>
      <c r="Y1102" t="s">
        <v>48</v>
      </c>
      <c r="Z1102">
        <v>0</v>
      </c>
      <c r="AA1102" t="s">
        <v>48</v>
      </c>
      <c r="AB1102" t="s">
        <v>48</v>
      </c>
      <c r="AC1102" t="s">
        <v>63</v>
      </c>
      <c r="AD1102" t="s">
        <v>93</v>
      </c>
      <c r="AE1102" t="s">
        <v>4532</v>
      </c>
      <c r="AF1102" t="s">
        <v>48</v>
      </c>
      <c r="AG1102" t="s">
        <v>48</v>
      </c>
      <c r="AH1102" t="s">
        <v>48</v>
      </c>
      <c r="AI1102" t="s">
        <v>48</v>
      </c>
      <c r="AJ1102" t="s">
        <v>48</v>
      </c>
      <c r="AK1102" t="s">
        <v>48</v>
      </c>
      <c r="AL1102" t="s">
        <v>48</v>
      </c>
      <c r="AM1102" t="s">
        <v>48</v>
      </c>
      <c r="AN1102" t="s">
        <v>48</v>
      </c>
      <c r="AO1102" t="s">
        <v>48</v>
      </c>
      <c r="AP1102" s="46">
        <v>0</v>
      </c>
      <c r="AQ1102" s="46">
        <v>0</v>
      </c>
      <c r="AR1102" s="46">
        <v>0</v>
      </c>
      <c r="AS1102" s="46">
        <v>0</v>
      </c>
      <c r="AT1102" s="46">
        <v>0</v>
      </c>
      <c r="AU1102" s="46">
        <v>0</v>
      </c>
      <c r="AV1102" s="46">
        <v>0</v>
      </c>
      <c r="AW1102" s="46">
        <v>0</v>
      </c>
      <c r="AX1102" s="46">
        <v>0</v>
      </c>
      <c r="AY1102" s="46">
        <v>0</v>
      </c>
      <c r="AZ1102" s="46">
        <v>0</v>
      </c>
      <c r="BA1102" s="46">
        <v>0</v>
      </c>
      <c r="BB1102" s="46">
        <v>0</v>
      </c>
      <c r="BC1102" s="46">
        <v>0</v>
      </c>
      <c r="BD1102" s="46">
        <v>0</v>
      </c>
      <c r="BE1102" s="46">
        <v>0</v>
      </c>
      <c r="BF1102" s="46">
        <v>0</v>
      </c>
      <c r="BG1102" s="46" t="s">
        <v>48</v>
      </c>
      <c r="BH1102" s="46">
        <v>0</v>
      </c>
      <c r="BI1102" s="46">
        <v>0</v>
      </c>
      <c r="BJ1102" s="46">
        <v>0</v>
      </c>
      <c r="BK1102" s="46">
        <v>0</v>
      </c>
      <c r="BL1102" s="46">
        <v>0</v>
      </c>
      <c r="BM1102" s="46">
        <v>0</v>
      </c>
      <c r="BN1102" s="46">
        <v>0</v>
      </c>
    </row>
    <row r="1103" spans="1:66" x14ac:dyDescent="0.35">
      <c r="A1103" t="s">
        <v>6742</v>
      </c>
      <c r="B1103" s="44" t="s">
        <v>48</v>
      </c>
      <c r="C1103" t="s">
        <v>332</v>
      </c>
      <c r="D1103" t="s">
        <v>3009</v>
      </c>
      <c r="E1103" t="s">
        <v>6743</v>
      </c>
      <c r="F1103" t="s">
        <v>6741</v>
      </c>
      <c r="G1103" t="s">
        <v>47</v>
      </c>
      <c r="H1103">
        <v>0</v>
      </c>
      <c r="I1103" s="60" t="s">
        <v>51</v>
      </c>
      <c r="J1103" s="33" t="s">
        <v>45</v>
      </c>
      <c r="K1103" s="46">
        <v>1</v>
      </c>
      <c r="L1103">
        <v>100</v>
      </c>
      <c r="M1103" t="s">
        <v>48</v>
      </c>
      <c r="N1103" s="46">
        <v>1</v>
      </c>
      <c r="O1103" s="46">
        <v>0</v>
      </c>
      <c r="P1103" s="46">
        <v>0</v>
      </c>
      <c r="Q1103" t="s">
        <v>48</v>
      </c>
      <c r="R1103" t="s">
        <v>48</v>
      </c>
      <c r="S1103" t="s">
        <v>6744</v>
      </c>
      <c r="T1103" t="s">
        <v>6745</v>
      </c>
      <c r="U1103" t="s">
        <v>6744</v>
      </c>
      <c r="V1103" s="47">
        <v>0</v>
      </c>
      <c r="W1103" t="s">
        <v>48</v>
      </c>
      <c r="X1103" t="s">
        <v>48</v>
      </c>
      <c r="Y1103" t="s">
        <v>48</v>
      </c>
      <c r="Z1103">
        <v>0</v>
      </c>
      <c r="AA1103" t="s">
        <v>48</v>
      </c>
      <c r="AB1103">
        <v>2012</v>
      </c>
      <c r="AC1103" t="s">
        <v>49</v>
      </c>
      <c r="AD1103" t="s">
        <v>93</v>
      </c>
      <c r="AE1103" t="s">
        <v>4532</v>
      </c>
      <c r="AF1103" t="s">
        <v>48</v>
      </c>
      <c r="AG1103" t="s">
        <v>6746</v>
      </c>
      <c r="AH1103" t="s">
        <v>93</v>
      </c>
      <c r="AI1103">
        <v>21364</v>
      </c>
      <c r="AJ1103">
        <v>1949</v>
      </c>
      <c r="AK1103" t="s">
        <v>9342</v>
      </c>
      <c r="AL1103" t="s">
        <v>9343</v>
      </c>
      <c r="AM1103">
        <v>0.58299999999999996</v>
      </c>
      <c r="AN1103">
        <v>0.152</v>
      </c>
      <c r="AO1103">
        <v>0.58299999999999996</v>
      </c>
      <c r="AP1103" s="46">
        <v>0</v>
      </c>
      <c r="AQ1103" s="46">
        <v>0</v>
      </c>
      <c r="AR1103" s="46">
        <v>0</v>
      </c>
      <c r="AS1103" s="46">
        <v>0</v>
      </c>
      <c r="AT1103" s="46">
        <v>0</v>
      </c>
      <c r="AU1103" s="46">
        <v>0</v>
      </c>
      <c r="AV1103" s="46">
        <v>0</v>
      </c>
      <c r="AW1103" s="46">
        <v>0</v>
      </c>
      <c r="AX1103" s="46">
        <v>0</v>
      </c>
      <c r="AY1103" s="46">
        <v>0</v>
      </c>
      <c r="AZ1103" s="46">
        <v>0</v>
      </c>
      <c r="BA1103" s="46">
        <v>0</v>
      </c>
      <c r="BB1103" s="46">
        <v>1</v>
      </c>
      <c r="BC1103" s="46">
        <v>0</v>
      </c>
      <c r="BD1103" s="46">
        <v>0</v>
      </c>
      <c r="BE1103" s="46">
        <v>0</v>
      </c>
      <c r="BF1103" s="46">
        <v>0</v>
      </c>
      <c r="BG1103" s="46">
        <v>1</v>
      </c>
      <c r="BH1103" s="46">
        <v>0</v>
      </c>
      <c r="BI1103" s="46">
        <v>0</v>
      </c>
      <c r="BJ1103" s="46">
        <v>0</v>
      </c>
      <c r="BK1103" s="46">
        <v>0</v>
      </c>
      <c r="BL1103" s="46">
        <v>0</v>
      </c>
      <c r="BM1103" s="46">
        <v>0</v>
      </c>
      <c r="BN1103" s="46">
        <v>0</v>
      </c>
    </row>
    <row r="1104" spans="1:66" x14ac:dyDescent="0.35">
      <c r="A1104" t="s">
        <v>6752</v>
      </c>
      <c r="B1104" t="s">
        <v>48</v>
      </c>
      <c r="C1104" t="s">
        <v>6756</v>
      </c>
      <c r="D1104" t="s">
        <v>396</v>
      </c>
      <c r="E1104" t="s">
        <v>6753</v>
      </c>
      <c r="F1104" t="s">
        <v>6748</v>
      </c>
      <c r="G1104" t="s">
        <v>47</v>
      </c>
      <c r="H1104">
        <v>0</v>
      </c>
      <c r="I1104" s="60" t="s">
        <v>51</v>
      </c>
      <c r="J1104" s="33" t="s">
        <v>45</v>
      </c>
      <c r="K1104" s="46">
        <v>1</v>
      </c>
      <c r="L1104">
        <v>66.8</v>
      </c>
      <c r="M1104" t="s">
        <v>48</v>
      </c>
      <c r="N1104" s="46">
        <v>1</v>
      </c>
      <c r="O1104" s="46">
        <v>0</v>
      </c>
      <c r="P1104" s="46">
        <v>0</v>
      </c>
      <c r="Q1104" t="s">
        <v>48</v>
      </c>
      <c r="R1104" t="s">
        <v>48</v>
      </c>
      <c r="S1104" t="s">
        <v>6754</v>
      </c>
      <c r="T1104" t="s">
        <v>6755</v>
      </c>
      <c r="U1104" t="s">
        <v>6754</v>
      </c>
      <c r="V1104" s="47">
        <v>0</v>
      </c>
      <c r="W1104" t="s">
        <v>48</v>
      </c>
      <c r="X1104" t="s">
        <v>48</v>
      </c>
      <c r="Y1104" t="s">
        <v>48</v>
      </c>
      <c r="Z1104">
        <v>0</v>
      </c>
      <c r="AA1104" t="s">
        <v>48</v>
      </c>
      <c r="AB1104">
        <v>2002</v>
      </c>
      <c r="AC1104" t="s">
        <v>49</v>
      </c>
      <c r="AD1104" t="s">
        <v>93</v>
      </c>
      <c r="AE1104" t="s">
        <v>4532</v>
      </c>
      <c r="AF1104" t="s">
        <v>48</v>
      </c>
      <c r="AG1104" t="s">
        <v>119</v>
      </c>
      <c r="AH1104" t="s">
        <v>93</v>
      </c>
      <c r="AI1104">
        <v>20355</v>
      </c>
      <c r="AJ1104">
        <v>1950</v>
      </c>
      <c r="AK1104" t="s">
        <v>9344</v>
      </c>
      <c r="AL1104" t="s">
        <v>9345</v>
      </c>
      <c r="AM1104">
        <v>0.57499999999999996</v>
      </c>
      <c r="AN1104">
        <v>-0.20699999999999999</v>
      </c>
      <c r="AO1104">
        <v>0.57499999999999996</v>
      </c>
      <c r="AP1104" s="46">
        <v>0</v>
      </c>
      <c r="AQ1104" s="46">
        <v>0</v>
      </c>
      <c r="AR1104" s="46">
        <v>0</v>
      </c>
      <c r="AS1104" s="46">
        <v>0</v>
      </c>
      <c r="AT1104" s="46">
        <v>0</v>
      </c>
      <c r="AU1104" s="46">
        <v>0</v>
      </c>
      <c r="AV1104" s="46">
        <v>0</v>
      </c>
      <c r="AW1104" s="46">
        <v>0</v>
      </c>
      <c r="AX1104" s="46">
        <v>0</v>
      </c>
      <c r="AY1104" s="46">
        <v>1</v>
      </c>
      <c r="AZ1104" s="46">
        <v>1</v>
      </c>
      <c r="BA1104" s="46">
        <v>0</v>
      </c>
      <c r="BB1104" s="46">
        <v>1</v>
      </c>
      <c r="BC1104" s="46">
        <v>0</v>
      </c>
      <c r="BD1104" s="46">
        <v>0</v>
      </c>
      <c r="BE1104" s="46">
        <v>0</v>
      </c>
      <c r="BF1104" s="46">
        <v>0</v>
      </c>
      <c r="BG1104" s="46">
        <v>1</v>
      </c>
      <c r="BH1104" s="46">
        <v>0</v>
      </c>
      <c r="BI1104" s="46">
        <v>0</v>
      </c>
      <c r="BJ1104" s="46">
        <v>0</v>
      </c>
      <c r="BK1104" s="46">
        <v>0</v>
      </c>
      <c r="BL1104" s="46">
        <v>0</v>
      </c>
      <c r="BM1104" s="46">
        <v>0</v>
      </c>
      <c r="BN1104" s="46">
        <v>0</v>
      </c>
    </row>
    <row r="1105" spans="1:66" ht="15" x14ac:dyDescent="0.4">
      <c r="A1105" t="s">
        <v>6791</v>
      </c>
      <c r="B1105" s="44" t="s">
        <v>48</v>
      </c>
      <c r="C1105" t="s">
        <v>53</v>
      </c>
      <c r="D1105" t="s">
        <v>6793</v>
      </c>
      <c r="E1105" t="s">
        <v>6792</v>
      </c>
      <c r="F1105" t="s">
        <v>6767</v>
      </c>
      <c r="G1105" t="s">
        <v>74</v>
      </c>
      <c r="H1105">
        <v>0</v>
      </c>
      <c r="I1105" s="60" t="s">
        <v>11160</v>
      </c>
      <c r="J1105" s="33" t="s">
        <v>45</v>
      </c>
      <c r="K1105" s="46">
        <v>0</v>
      </c>
      <c r="L1105">
        <v>59.1</v>
      </c>
      <c r="M1105" t="s">
        <v>48</v>
      </c>
      <c r="N1105" s="46">
        <v>1</v>
      </c>
      <c r="O1105" s="46">
        <v>0</v>
      </c>
      <c r="P1105" s="46">
        <v>0</v>
      </c>
      <c r="Q1105" t="s">
        <v>48</v>
      </c>
      <c r="R1105" t="s">
        <v>48</v>
      </c>
      <c r="S1105" s="55" t="s">
        <v>11285</v>
      </c>
      <c r="T1105" t="s">
        <v>48</v>
      </c>
      <c r="U1105" s="55" t="s">
        <v>11285</v>
      </c>
      <c r="V1105" s="47">
        <v>0</v>
      </c>
      <c r="W1105" t="s">
        <v>48</v>
      </c>
      <c r="X1105" t="s">
        <v>48</v>
      </c>
      <c r="Y1105" t="s">
        <v>48</v>
      </c>
      <c r="Z1105">
        <v>0</v>
      </c>
      <c r="AA1105" t="s">
        <v>48</v>
      </c>
      <c r="AB1105" t="s">
        <v>48</v>
      </c>
      <c r="AC1105" t="s">
        <v>49</v>
      </c>
      <c r="AD1105" t="s">
        <v>951</v>
      </c>
      <c r="AE1105" s="40" t="s">
        <v>11051</v>
      </c>
      <c r="AF1105" t="s">
        <v>108</v>
      </c>
      <c r="AG1105" t="s">
        <v>48</v>
      </c>
      <c r="AH1105" t="s">
        <v>48</v>
      </c>
      <c r="AI1105" t="s">
        <v>48</v>
      </c>
      <c r="AJ1105" t="s">
        <v>48</v>
      </c>
      <c r="AK1105" t="s">
        <v>48</v>
      </c>
      <c r="AL1105" t="s">
        <v>48</v>
      </c>
      <c r="AM1105" t="s">
        <v>48</v>
      </c>
      <c r="AN1105" t="s">
        <v>48</v>
      </c>
      <c r="AO1105" t="s">
        <v>48</v>
      </c>
      <c r="AP1105" s="46">
        <v>0</v>
      </c>
      <c r="AQ1105" s="46">
        <v>0</v>
      </c>
      <c r="AR1105" s="46">
        <v>0</v>
      </c>
      <c r="AS1105" s="46">
        <v>0</v>
      </c>
      <c r="AT1105" s="46">
        <v>0</v>
      </c>
      <c r="AU1105" s="46">
        <v>0</v>
      </c>
      <c r="AV1105" s="46">
        <v>0</v>
      </c>
      <c r="AW1105" s="46">
        <v>0</v>
      </c>
      <c r="AX1105" s="46">
        <v>0</v>
      </c>
      <c r="AY1105" s="46">
        <v>0</v>
      </c>
      <c r="AZ1105" s="46">
        <v>0</v>
      </c>
      <c r="BA1105" s="46">
        <v>0</v>
      </c>
      <c r="BB1105" s="46">
        <v>0</v>
      </c>
      <c r="BC1105" s="46">
        <v>0</v>
      </c>
      <c r="BD1105" s="46">
        <v>0</v>
      </c>
      <c r="BE1105" s="46">
        <v>0</v>
      </c>
      <c r="BF1105" s="46">
        <v>0</v>
      </c>
      <c r="BG1105" s="46" t="s">
        <v>48</v>
      </c>
      <c r="BH1105" s="46">
        <v>0</v>
      </c>
      <c r="BI1105" s="46">
        <v>0</v>
      </c>
      <c r="BJ1105" s="46">
        <v>0</v>
      </c>
      <c r="BK1105" s="46">
        <v>0</v>
      </c>
      <c r="BL1105" s="46">
        <v>0</v>
      </c>
      <c r="BM1105" s="46">
        <v>0</v>
      </c>
      <c r="BN1105" s="46">
        <v>0</v>
      </c>
    </row>
    <row r="1106" spans="1:66" x14ac:dyDescent="0.35">
      <c r="A1106" t="s">
        <v>6771</v>
      </c>
      <c r="B1106" s="44" t="s">
        <v>48</v>
      </c>
      <c r="C1106" t="s">
        <v>6775</v>
      </c>
      <c r="D1106" t="s">
        <v>396</v>
      </c>
      <c r="E1106" t="s">
        <v>6772</v>
      </c>
      <c r="F1106" t="s">
        <v>6767</v>
      </c>
      <c r="G1106" t="s">
        <v>47</v>
      </c>
      <c r="H1106">
        <v>0</v>
      </c>
      <c r="I1106" s="60" t="s">
        <v>51</v>
      </c>
      <c r="J1106" s="33" t="s">
        <v>45</v>
      </c>
      <c r="K1106" s="46">
        <v>1</v>
      </c>
      <c r="L1106">
        <v>72.5</v>
      </c>
      <c r="M1106" t="s">
        <v>48</v>
      </c>
      <c r="N1106" s="46">
        <v>1</v>
      </c>
      <c r="O1106" s="46">
        <v>0</v>
      </c>
      <c r="P1106" s="46">
        <v>0</v>
      </c>
      <c r="Q1106" t="s">
        <v>48</v>
      </c>
      <c r="R1106" t="s">
        <v>48</v>
      </c>
      <c r="S1106" t="s">
        <v>6773</v>
      </c>
      <c r="T1106" t="s">
        <v>6774</v>
      </c>
      <c r="U1106" t="s">
        <v>6773</v>
      </c>
      <c r="V1106" s="47">
        <v>0</v>
      </c>
      <c r="W1106" t="s">
        <v>48</v>
      </c>
      <c r="X1106" t="s">
        <v>48</v>
      </c>
      <c r="Y1106" t="s">
        <v>48</v>
      </c>
      <c r="Z1106">
        <v>0</v>
      </c>
      <c r="AA1106" t="s">
        <v>48</v>
      </c>
      <c r="AB1106" t="s">
        <v>794</v>
      </c>
      <c r="AC1106" t="s">
        <v>49</v>
      </c>
      <c r="AD1106" t="s">
        <v>93</v>
      </c>
      <c r="AE1106" t="s">
        <v>4532</v>
      </c>
      <c r="AF1106" t="s">
        <v>48</v>
      </c>
      <c r="AG1106" t="s">
        <v>112</v>
      </c>
      <c r="AH1106" t="s">
        <v>93</v>
      </c>
      <c r="AI1106">
        <v>21758</v>
      </c>
      <c r="AJ1106">
        <v>1975</v>
      </c>
      <c r="AK1106" t="s">
        <v>9346</v>
      </c>
      <c r="AL1106" t="s">
        <v>9347</v>
      </c>
      <c r="AM1106">
        <v>0.67400000000000004</v>
      </c>
      <c r="AN1106">
        <v>-0.28199999999999997</v>
      </c>
      <c r="AO1106">
        <v>0.67400000000000004</v>
      </c>
      <c r="AP1106" s="46">
        <v>0</v>
      </c>
      <c r="AQ1106" s="46">
        <v>0</v>
      </c>
      <c r="AR1106" s="46">
        <v>0</v>
      </c>
      <c r="AS1106" s="46">
        <v>0</v>
      </c>
      <c r="AT1106" s="46">
        <v>0</v>
      </c>
      <c r="AU1106" s="46">
        <v>0</v>
      </c>
      <c r="AV1106" s="46">
        <v>0</v>
      </c>
      <c r="AW1106" s="46">
        <v>0</v>
      </c>
      <c r="AX1106" s="46">
        <v>0</v>
      </c>
      <c r="AY1106" s="46">
        <v>0</v>
      </c>
      <c r="AZ1106" s="46">
        <v>0</v>
      </c>
      <c r="BA1106" s="46">
        <v>0</v>
      </c>
      <c r="BB1106" s="46">
        <v>1</v>
      </c>
      <c r="BC1106" s="46">
        <v>0</v>
      </c>
      <c r="BD1106" s="46">
        <v>0</v>
      </c>
      <c r="BE1106" s="46">
        <v>0</v>
      </c>
      <c r="BF1106" s="46">
        <v>1</v>
      </c>
      <c r="BG1106" s="46">
        <v>1</v>
      </c>
      <c r="BH1106" s="46">
        <v>0</v>
      </c>
      <c r="BI1106" s="46">
        <v>0</v>
      </c>
      <c r="BJ1106" s="46">
        <v>0</v>
      </c>
      <c r="BK1106" s="46">
        <v>0</v>
      </c>
      <c r="BL1106" s="46">
        <v>0</v>
      </c>
      <c r="BM1106" s="46">
        <v>0</v>
      </c>
      <c r="BN1106" s="46">
        <v>1</v>
      </c>
    </row>
    <row r="1107" spans="1:66" x14ac:dyDescent="0.35">
      <c r="A1107" t="s">
        <v>6814</v>
      </c>
      <c r="B1107" t="s">
        <v>48</v>
      </c>
      <c r="C1107" t="s">
        <v>1140</v>
      </c>
      <c r="D1107" t="s">
        <v>6817</v>
      </c>
      <c r="E1107" t="s">
        <v>6815</v>
      </c>
      <c r="F1107" t="s">
        <v>187</v>
      </c>
      <c r="G1107" t="s">
        <v>47</v>
      </c>
      <c r="H1107">
        <v>0</v>
      </c>
      <c r="I1107" s="61" t="s">
        <v>11160</v>
      </c>
      <c r="J1107" s="33" t="s">
        <v>45</v>
      </c>
      <c r="K1107" s="46">
        <v>0</v>
      </c>
      <c r="L1107">
        <v>23.5</v>
      </c>
      <c r="M1107">
        <v>57</v>
      </c>
      <c r="N1107" s="46">
        <v>1</v>
      </c>
      <c r="O1107" s="46">
        <v>0</v>
      </c>
      <c r="P1107" s="46">
        <v>0</v>
      </c>
      <c r="Q1107" t="s">
        <v>48</v>
      </c>
      <c r="R1107" t="s">
        <v>48</v>
      </c>
      <c r="S1107" t="s">
        <v>11330</v>
      </c>
      <c r="T1107" t="s">
        <v>48</v>
      </c>
      <c r="U1107" t="s">
        <v>6816</v>
      </c>
      <c r="V1107" s="47">
        <v>0</v>
      </c>
      <c r="W1107" t="s">
        <v>48</v>
      </c>
      <c r="X1107" t="s">
        <v>48</v>
      </c>
      <c r="Y1107" t="s">
        <v>48</v>
      </c>
      <c r="Z1107">
        <v>0</v>
      </c>
      <c r="AA1107" t="s">
        <v>48</v>
      </c>
      <c r="AB1107" t="s">
        <v>48</v>
      </c>
      <c r="AC1107" t="s">
        <v>63</v>
      </c>
      <c r="AD1107" t="s">
        <v>951</v>
      </c>
      <c r="AE1107" s="40" t="s">
        <v>11051</v>
      </c>
      <c r="AF1107" t="s">
        <v>108</v>
      </c>
      <c r="AG1107" t="s">
        <v>48</v>
      </c>
      <c r="AH1107" t="s">
        <v>48</v>
      </c>
      <c r="AI1107" t="s">
        <v>48</v>
      </c>
      <c r="AJ1107" t="s">
        <v>48</v>
      </c>
      <c r="AK1107" t="s">
        <v>48</v>
      </c>
      <c r="AL1107" t="s">
        <v>48</v>
      </c>
      <c r="AM1107" t="s">
        <v>48</v>
      </c>
      <c r="AN1107" t="s">
        <v>48</v>
      </c>
      <c r="AO1107" t="s">
        <v>48</v>
      </c>
      <c r="AP1107" s="46">
        <v>0</v>
      </c>
      <c r="AQ1107" s="46">
        <v>0</v>
      </c>
      <c r="AR1107" s="46">
        <v>0</v>
      </c>
      <c r="AS1107" s="46">
        <v>0</v>
      </c>
      <c r="AT1107" s="46">
        <v>0</v>
      </c>
      <c r="AU1107" s="46">
        <v>0</v>
      </c>
      <c r="AV1107" s="46">
        <v>0</v>
      </c>
      <c r="AW1107" s="46">
        <v>0</v>
      </c>
      <c r="AX1107" s="46">
        <v>0</v>
      </c>
      <c r="AY1107" s="46">
        <v>0</v>
      </c>
      <c r="AZ1107" s="46">
        <v>0</v>
      </c>
      <c r="BA1107" s="46">
        <v>0</v>
      </c>
      <c r="BB1107" s="46">
        <v>0</v>
      </c>
      <c r="BC1107" s="46">
        <v>0</v>
      </c>
      <c r="BD1107" s="46">
        <v>0</v>
      </c>
      <c r="BE1107" s="46">
        <v>0</v>
      </c>
      <c r="BF1107" s="46">
        <v>0</v>
      </c>
      <c r="BG1107" s="46" t="s">
        <v>48</v>
      </c>
      <c r="BH1107" s="46">
        <v>0</v>
      </c>
      <c r="BI1107" s="46">
        <v>0</v>
      </c>
      <c r="BJ1107" s="46">
        <v>0</v>
      </c>
      <c r="BK1107" s="46">
        <v>0</v>
      </c>
      <c r="BL1107" s="46">
        <v>0</v>
      </c>
      <c r="BM1107" s="46">
        <v>0</v>
      </c>
      <c r="BN1107" s="46">
        <v>0</v>
      </c>
    </row>
    <row r="1108" spans="1:66" x14ac:dyDescent="0.35">
      <c r="A1108" t="s">
        <v>6806</v>
      </c>
      <c r="B1108" t="s">
        <v>48</v>
      </c>
      <c r="C1108" t="s">
        <v>5207</v>
      </c>
      <c r="D1108" t="s">
        <v>1725</v>
      </c>
      <c r="E1108" t="s">
        <v>6807</v>
      </c>
      <c r="F1108" t="s">
        <v>187</v>
      </c>
      <c r="G1108" t="s">
        <v>74</v>
      </c>
      <c r="H1108">
        <v>0</v>
      </c>
      <c r="I1108" s="60" t="s">
        <v>51</v>
      </c>
      <c r="J1108" s="33" t="s">
        <v>45</v>
      </c>
      <c r="K1108" s="46">
        <v>1</v>
      </c>
      <c r="L1108">
        <v>48.4</v>
      </c>
      <c r="M1108">
        <v>50.3</v>
      </c>
      <c r="N1108" s="46">
        <v>1</v>
      </c>
      <c r="O1108" s="46">
        <v>0</v>
      </c>
      <c r="P1108" s="46">
        <v>0</v>
      </c>
      <c r="Q1108" t="s">
        <v>48</v>
      </c>
      <c r="R1108" t="s">
        <v>48</v>
      </c>
      <c r="S1108" t="s">
        <v>6808</v>
      </c>
      <c r="T1108" t="s">
        <v>6809</v>
      </c>
      <c r="U1108" t="s">
        <v>6808</v>
      </c>
      <c r="V1108" s="47">
        <v>0</v>
      </c>
      <c r="W1108" t="s">
        <v>48</v>
      </c>
      <c r="X1108" t="s">
        <v>48</v>
      </c>
      <c r="Y1108" t="s">
        <v>48</v>
      </c>
      <c r="Z1108">
        <v>0</v>
      </c>
      <c r="AA1108" t="s">
        <v>48</v>
      </c>
      <c r="AB1108">
        <v>2004</v>
      </c>
      <c r="AC1108" t="s">
        <v>49</v>
      </c>
      <c r="AD1108" t="s">
        <v>951</v>
      </c>
      <c r="AE1108" s="40" t="s">
        <v>11051</v>
      </c>
      <c r="AF1108" t="s">
        <v>11054</v>
      </c>
      <c r="AG1108" t="s">
        <v>140</v>
      </c>
      <c r="AH1108" t="s">
        <v>93</v>
      </c>
      <c r="AI1108">
        <v>20533</v>
      </c>
      <c r="AJ1108">
        <v>1955</v>
      </c>
      <c r="AK1108" t="s">
        <v>9348</v>
      </c>
      <c r="AL1108" t="s">
        <v>9349</v>
      </c>
      <c r="AM1108">
        <v>-0.22800000000000001</v>
      </c>
      <c r="AN1108">
        <v>0.61499999999999999</v>
      </c>
      <c r="AO1108">
        <v>-0.22800000000000001</v>
      </c>
      <c r="AP1108" s="46">
        <v>0</v>
      </c>
      <c r="AQ1108" s="46">
        <v>0</v>
      </c>
      <c r="AR1108" s="46">
        <v>0</v>
      </c>
      <c r="AS1108" s="46">
        <v>0</v>
      </c>
      <c r="AT1108" s="46">
        <v>0</v>
      </c>
      <c r="AU1108" s="46">
        <v>1</v>
      </c>
      <c r="AV1108" s="46">
        <v>1</v>
      </c>
      <c r="AW1108" s="46">
        <v>0</v>
      </c>
      <c r="AX1108" s="46">
        <v>0</v>
      </c>
      <c r="AY1108" s="46">
        <v>0</v>
      </c>
      <c r="AZ1108" s="46">
        <v>0</v>
      </c>
      <c r="BA1108" s="46">
        <v>0</v>
      </c>
      <c r="BB1108" s="46">
        <v>0</v>
      </c>
      <c r="BC1108" s="46">
        <v>0</v>
      </c>
      <c r="BD1108" s="46">
        <v>0</v>
      </c>
      <c r="BE1108" s="46">
        <v>0</v>
      </c>
      <c r="BF1108" s="46">
        <v>0</v>
      </c>
      <c r="BG1108" s="46" t="s">
        <v>48</v>
      </c>
      <c r="BH1108" s="46">
        <v>0</v>
      </c>
      <c r="BI1108" s="46">
        <v>0</v>
      </c>
      <c r="BJ1108" s="46">
        <v>0</v>
      </c>
      <c r="BK1108" s="46">
        <v>0</v>
      </c>
      <c r="BL1108" s="46">
        <v>1</v>
      </c>
      <c r="BM1108" s="46">
        <v>0</v>
      </c>
      <c r="BN1108" s="46">
        <v>0</v>
      </c>
    </row>
    <row r="1109" spans="1:66" x14ac:dyDescent="0.35">
      <c r="A1109" t="s">
        <v>6852</v>
      </c>
      <c r="B1109" t="s">
        <v>48</v>
      </c>
      <c r="C1109" t="s">
        <v>6854</v>
      </c>
      <c r="D1109" t="s">
        <v>210</v>
      </c>
      <c r="E1109" t="s">
        <v>6853</v>
      </c>
      <c r="F1109" t="s">
        <v>6836</v>
      </c>
      <c r="G1109" t="s">
        <v>47</v>
      </c>
      <c r="H1109">
        <v>0</v>
      </c>
      <c r="I1109" s="60" t="s">
        <v>149</v>
      </c>
      <c r="J1109" s="33" t="s">
        <v>45</v>
      </c>
      <c r="K1109" s="46">
        <v>0</v>
      </c>
      <c r="L1109">
        <v>39.200000000000003</v>
      </c>
      <c r="M1109">
        <v>60.6</v>
      </c>
      <c r="N1109" s="46">
        <v>1</v>
      </c>
      <c r="O1109" s="46">
        <v>0</v>
      </c>
      <c r="P1109" s="46">
        <v>0</v>
      </c>
      <c r="Q1109" t="s">
        <v>48</v>
      </c>
      <c r="R1109" t="s">
        <v>48</v>
      </c>
      <c r="S1109" t="s">
        <v>48</v>
      </c>
      <c r="T1109" t="s">
        <v>48</v>
      </c>
      <c r="U1109" t="s">
        <v>48</v>
      </c>
      <c r="V1109" s="47">
        <v>1</v>
      </c>
      <c r="W1109" t="s">
        <v>11264</v>
      </c>
      <c r="X1109" t="s">
        <v>48</v>
      </c>
      <c r="Y1109" t="s">
        <v>48</v>
      </c>
      <c r="Z1109">
        <v>0</v>
      </c>
      <c r="AA1109" t="s">
        <v>48</v>
      </c>
      <c r="AB1109" t="s">
        <v>48</v>
      </c>
      <c r="AC1109" t="s">
        <v>49</v>
      </c>
      <c r="AD1109" t="s">
        <v>93</v>
      </c>
      <c r="AE1109" t="s">
        <v>4532</v>
      </c>
      <c r="AF1109" t="s">
        <v>48</v>
      </c>
      <c r="AG1109" t="s">
        <v>48</v>
      </c>
      <c r="AH1109" t="s">
        <v>48</v>
      </c>
      <c r="AI1109" t="s">
        <v>48</v>
      </c>
      <c r="AJ1109" t="s">
        <v>48</v>
      </c>
      <c r="AK1109" t="s">
        <v>48</v>
      </c>
      <c r="AL1109" t="s">
        <v>48</v>
      </c>
      <c r="AM1109" t="s">
        <v>48</v>
      </c>
      <c r="AN1109" t="s">
        <v>48</v>
      </c>
      <c r="AO1109" t="s">
        <v>48</v>
      </c>
      <c r="AP1109" s="46">
        <v>0</v>
      </c>
      <c r="AQ1109" s="46">
        <v>0</v>
      </c>
      <c r="AR1109" s="46">
        <v>0</v>
      </c>
      <c r="AS1109" s="46">
        <v>0</v>
      </c>
      <c r="AT1109" s="46">
        <v>0</v>
      </c>
      <c r="AU1109" s="46">
        <v>0</v>
      </c>
      <c r="AV1109" s="46">
        <v>0</v>
      </c>
      <c r="AW1109" s="46">
        <v>0</v>
      </c>
      <c r="AX1109" s="46">
        <v>0</v>
      </c>
      <c r="AY1109" s="46">
        <v>0</v>
      </c>
      <c r="AZ1109" s="46">
        <v>0</v>
      </c>
      <c r="BA1109" s="46">
        <v>0</v>
      </c>
      <c r="BB1109" s="46">
        <v>0</v>
      </c>
      <c r="BC1109" s="46">
        <v>0</v>
      </c>
      <c r="BD1109" s="46">
        <v>0</v>
      </c>
      <c r="BE1109" s="46">
        <v>0</v>
      </c>
      <c r="BF1109" s="46">
        <v>0</v>
      </c>
      <c r="BG1109" s="46" t="s">
        <v>48</v>
      </c>
      <c r="BH1109" s="46">
        <v>0</v>
      </c>
      <c r="BI1109" s="46">
        <v>0</v>
      </c>
      <c r="BJ1109" s="46">
        <v>0</v>
      </c>
      <c r="BK1109" s="46">
        <v>0</v>
      </c>
      <c r="BL1109" s="46">
        <v>0</v>
      </c>
      <c r="BM1109" s="46">
        <v>0</v>
      </c>
      <c r="BN1109" s="46">
        <v>0</v>
      </c>
    </row>
    <row r="1110" spans="1:66" x14ac:dyDescent="0.35">
      <c r="A1110" t="s">
        <v>6845</v>
      </c>
      <c r="B1110" s="44" t="s">
        <v>48</v>
      </c>
      <c r="C1110" t="s">
        <v>1140</v>
      </c>
      <c r="D1110" t="s">
        <v>6849</v>
      </c>
      <c r="E1110" t="s">
        <v>6846</v>
      </c>
      <c r="F1110" t="s">
        <v>6836</v>
      </c>
      <c r="G1110" t="s">
        <v>74</v>
      </c>
      <c r="H1110">
        <v>0</v>
      </c>
      <c r="I1110" s="60" t="s">
        <v>51</v>
      </c>
      <c r="J1110" s="33" t="s">
        <v>45</v>
      </c>
      <c r="K1110" s="46">
        <v>1</v>
      </c>
      <c r="L1110">
        <v>100</v>
      </c>
      <c r="M1110" t="s">
        <v>48</v>
      </c>
      <c r="N1110" s="46">
        <v>1</v>
      </c>
      <c r="O1110" s="46">
        <v>0</v>
      </c>
      <c r="P1110" s="46">
        <v>0</v>
      </c>
      <c r="Q1110" t="s">
        <v>48</v>
      </c>
      <c r="R1110" t="s">
        <v>48</v>
      </c>
      <c r="S1110" t="s">
        <v>6847</v>
      </c>
      <c r="T1110" t="s">
        <v>6848</v>
      </c>
      <c r="U1110" t="s">
        <v>6847</v>
      </c>
      <c r="V1110" s="47">
        <v>0</v>
      </c>
      <c r="W1110" t="s">
        <v>48</v>
      </c>
      <c r="X1110" t="s">
        <v>48</v>
      </c>
      <c r="Y1110" t="s">
        <v>48</v>
      </c>
      <c r="Z1110">
        <v>0</v>
      </c>
      <c r="AA1110" t="s">
        <v>48</v>
      </c>
      <c r="AB1110">
        <v>2018</v>
      </c>
      <c r="AC1110" t="s">
        <v>63</v>
      </c>
      <c r="AD1110" t="s">
        <v>951</v>
      </c>
      <c r="AE1110" s="40" t="s">
        <v>11051</v>
      </c>
      <c r="AF1110" t="s">
        <v>108</v>
      </c>
      <c r="AG1110" t="s">
        <v>140</v>
      </c>
      <c r="AH1110" t="s">
        <v>93</v>
      </c>
      <c r="AI1110">
        <v>21922</v>
      </c>
      <c r="AJ1110">
        <v>1950</v>
      </c>
      <c r="AK1110" t="s">
        <v>9350</v>
      </c>
      <c r="AL1110" t="s">
        <v>9351</v>
      </c>
      <c r="AM1110">
        <v>-0.84699999999999998</v>
      </c>
      <c r="AN1110">
        <v>0.51200000000000001</v>
      </c>
      <c r="AO1110">
        <v>-0.84699999999999998</v>
      </c>
      <c r="AP1110" s="46">
        <v>0</v>
      </c>
      <c r="AQ1110" s="46">
        <v>0</v>
      </c>
      <c r="AR1110" s="46">
        <v>0</v>
      </c>
      <c r="AS1110" s="46">
        <v>0</v>
      </c>
      <c r="AT1110" s="46">
        <v>1</v>
      </c>
      <c r="AU1110" s="46">
        <v>0</v>
      </c>
      <c r="AV1110" s="46">
        <v>0</v>
      </c>
      <c r="AW1110" s="46">
        <v>0</v>
      </c>
      <c r="AX1110" s="46">
        <v>0</v>
      </c>
      <c r="AY1110" s="46">
        <v>0</v>
      </c>
      <c r="AZ1110" s="46">
        <v>0</v>
      </c>
      <c r="BA1110" s="46">
        <v>0</v>
      </c>
      <c r="BB1110" s="46">
        <v>0</v>
      </c>
      <c r="BC1110" s="46">
        <v>0</v>
      </c>
      <c r="BD1110" s="46">
        <v>0</v>
      </c>
      <c r="BE1110" s="46">
        <v>0</v>
      </c>
      <c r="BF1110" s="46">
        <v>0</v>
      </c>
      <c r="BG1110" s="46" t="s">
        <v>48</v>
      </c>
      <c r="BH1110" s="46">
        <v>0</v>
      </c>
      <c r="BI1110" s="46">
        <v>0</v>
      </c>
      <c r="BJ1110" s="46">
        <v>0</v>
      </c>
      <c r="BK1110" s="46">
        <v>1</v>
      </c>
      <c r="BL1110" s="46">
        <v>0</v>
      </c>
      <c r="BM1110" s="46">
        <v>0</v>
      </c>
      <c r="BN1110" s="46">
        <v>0</v>
      </c>
    </row>
    <row r="1111" spans="1:66" x14ac:dyDescent="0.35">
      <c r="A1111" t="s">
        <v>6904</v>
      </c>
      <c r="B1111" t="s">
        <v>48</v>
      </c>
      <c r="C1111" t="s">
        <v>6906</v>
      </c>
      <c r="D1111" t="s">
        <v>603</v>
      </c>
      <c r="E1111" t="s">
        <v>6905</v>
      </c>
      <c r="F1111" t="s">
        <v>6856</v>
      </c>
      <c r="G1111" t="s">
        <v>47</v>
      </c>
      <c r="H1111">
        <v>0</v>
      </c>
      <c r="I1111" s="60" t="s">
        <v>149</v>
      </c>
      <c r="J1111" s="33" t="s">
        <v>45</v>
      </c>
      <c r="K1111" s="46">
        <v>0</v>
      </c>
      <c r="L1111">
        <v>31.3</v>
      </c>
      <c r="M1111">
        <v>56.9</v>
      </c>
      <c r="N1111" s="46">
        <v>1</v>
      </c>
      <c r="O1111" s="46">
        <v>0</v>
      </c>
      <c r="P1111" s="46">
        <v>0</v>
      </c>
      <c r="Q1111" t="s">
        <v>48</v>
      </c>
      <c r="R1111" t="s">
        <v>48</v>
      </c>
      <c r="S1111" t="s">
        <v>48</v>
      </c>
      <c r="T1111" t="s">
        <v>48</v>
      </c>
      <c r="U1111" t="s">
        <v>48</v>
      </c>
      <c r="V1111" s="47">
        <v>0</v>
      </c>
      <c r="W1111" t="s">
        <v>48</v>
      </c>
      <c r="X1111" t="s">
        <v>48</v>
      </c>
      <c r="Y1111" t="s">
        <v>48</v>
      </c>
      <c r="Z1111">
        <v>0</v>
      </c>
      <c r="AA1111" t="s">
        <v>48</v>
      </c>
      <c r="AB1111" t="s">
        <v>48</v>
      </c>
      <c r="AC1111" t="s">
        <v>49</v>
      </c>
      <c r="AD1111" t="s">
        <v>93</v>
      </c>
      <c r="AE1111" s="40" t="s">
        <v>4532</v>
      </c>
      <c r="AF1111" t="s">
        <v>48</v>
      </c>
      <c r="AG1111" t="s">
        <v>48</v>
      </c>
      <c r="AH1111" t="s">
        <v>48</v>
      </c>
      <c r="AI1111" t="s">
        <v>48</v>
      </c>
      <c r="AJ1111" t="s">
        <v>48</v>
      </c>
      <c r="AK1111" t="s">
        <v>48</v>
      </c>
      <c r="AL1111" t="s">
        <v>48</v>
      </c>
      <c r="AM1111" t="s">
        <v>48</v>
      </c>
      <c r="AN1111" t="s">
        <v>48</v>
      </c>
      <c r="AO1111" t="s">
        <v>48</v>
      </c>
      <c r="AP1111" s="46">
        <v>0</v>
      </c>
      <c r="AQ1111" s="46">
        <v>0</v>
      </c>
      <c r="AR1111" s="46">
        <v>0</v>
      </c>
      <c r="AS1111" s="46">
        <v>0</v>
      </c>
      <c r="AT1111" s="46">
        <v>0</v>
      </c>
      <c r="AU1111" s="46">
        <v>0</v>
      </c>
      <c r="AV1111" s="46">
        <v>0</v>
      </c>
      <c r="AW1111" s="46">
        <v>0</v>
      </c>
      <c r="AX1111" s="46">
        <v>0</v>
      </c>
      <c r="AY1111" s="46">
        <v>0</v>
      </c>
      <c r="AZ1111" s="46">
        <v>0</v>
      </c>
      <c r="BA1111" s="46">
        <v>0</v>
      </c>
      <c r="BB1111" s="46">
        <v>0</v>
      </c>
      <c r="BC1111" s="46">
        <v>0</v>
      </c>
      <c r="BD1111" s="46">
        <v>0</v>
      </c>
      <c r="BE1111" s="46">
        <v>0</v>
      </c>
      <c r="BF1111" s="46">
        <v>0</v>
      </c>
      <c r="BG1111" s="46" t="s">
        <v>48</v>
      </c>
      <c r="BH1111" s="46">
        <v>0</v>
      </c>
      <c r="BI1111" s="46">
        <v>0</v>
      </c>
      <c r="BJ1111" s="46">
        <v>0</v>
      </c>
      <c r="BK1111" s="46">
        <v>0</v>
      </c>
      <c r="BL1111" s="46">
        <v>0</v>
      </c>
      <c r="BM1111" s="46">
        <v>0</v>
      </c>
      <c r="BN1111" s="46">
        <v>0</v>
      </c>
    </row>
    <row r="1112" spans="1:66" x14ac:dyDescent="0.35">
      <c r="A1112" t="s">
        <v>6863</v>
      </c>
      <c r="B1112" s="44" t="s">
        <v>48</v>
      </c>
      <c r="C1112" t="s">
        <v>6866</v>
      </c>
      <c r="D1112" t="s">
        <v>4525</v>
      </c>
      <c r="E1112" t="s">
        <v>6864</v>
      </c>
      <c r="F1112" t="s">
        <v>6856</v>
      </c>
      <c r="G1112" t="s">
        <v>74</v>
      </c>
      <c r="H1112">
        <v>0</v>
      </c>
      <c r="I1112" s="60" t="s">
        <v>149</v>
      </c>
      <c r="J1112" s="33" t="s">
        <v>45</v>
      </c>
      <c r="K1112" s="46">
        <v>0</v>
      </c>
      <c r="L1112">
        <v>48.5</v>
      </c>
      <c r="M1112">
        <v>60.6</v>
      </c>
      <c r="N1112" s="46">
        <v>1</v>
      </c>
      <c r="O1112" s="46">
        <v>0</v>
      </c>
      <c r="P1112" s="46">
        <v>0</v>
      </c>
      <c r="Q1112" t="s">
        <v>48</v>
      </c>
      <c r="R1112" t="s">
        <v>48</v>
      </c>
      <c r="S1112" t="s">
        <v>6865</v>
      </c>
      <c r="T1112" t="s">
        <v>48</v>
      </c>
      <c r="U1112" t="s">
        <v>6865</v>
      </c>
      <c r="V1112" s="47">
        <v>0</v>
      </c>
      <c r="W1112" t="s">
        <v>48</v>
      </c>
      <c r="X1112" t="s">
        <v>48</v>
      </c>
      <c r="Y1112" t="s">
        <v>48</v>
      </c>
      <c r="Z1112">
        <v>0</v>
      </c>
      <c r="AA1112" t="s">
        <v>48</v>
      </c>
      <c r="AB1112" t="s">
        <v>48</v>
      </c>
      <c r="AC1112" t="s">
        <v>63</v>
      </c>
      <c r="AD1112" t="s">
        <v>93</v>
      </c>
      <c r="AE1112" s="40" t="s">
        <v>2471</v>
      </c>
      <c r="AF1112" t="s">
        <v>11061</v>
      </c>
      <c r="AG1112" t="s">
        <v>48</v>
      </c>
      <c r="AH1112" t="s">
        <v>48</v>
      </c>
      <c r="AI1112" t="s">
        <v>48</v>
      </c>
      <c r="AJ1112" t="s">
        <v>48</v>
      </c>
      <c r="AK1112" t="s">
        <v>48</v>
      </c>
      <c r="AL1112" t="s">
        <v>48</v>
      </c>
      <c r="AM1112" t="s">
        <v>48</v>
      </c>
      <c r="AN1112" t="s">
        <v>48</v>
      </c>
      <c r="AO1112" t="s">
        <v>48</v>
      </c>
      <c r="AP1112" s="46">
        <v>0</v>
      </c>
      <c r="AQ1112" s="46">
        <v>0</v>
      </c>
      <c r="AR1112" s="46">
        <v>0</v>
      </c>
      <c r="AS1112" s="46">
        <v>0</v>
      </c>
      <c r="AT1112" s="46">
        <v>0</v>
      </c>
      <c r="AU1112" s="46">
        <v>0</v>
      </c>
      <c r="AV1112" s="46">
        <v>0</v>
      </c>
      <c r="AW1112" s="46">
        <v>0</v>
      </c>
      <c r="AX1112" s="46">
        <v>0</v>
      </c>
      <c r="AY1112" s="46">
        <v>0</v>
      </c>
      <c r="AZ1112" s="46">
        <v>0</v>
      </c>
      <c r="BA1112" s="46">
        <v>0</v>
      </c>
      <c r="BB1112" s="46">
        <v>0</v>
      </c>
      <c r="BC1112" s="46">
        <v>0</v>
      </c>
      <c r="BD1112" s="46">
        <v>0</v>
      </c>
      <c r="BE1112" s="46">
        <v>0</v>
      </c>
      <c r="BF1112" s="46">
        <v>0</v>
      </c>
      <c r="BG1112" s="46" t="s">
        <v>48</v>
      </c>
      <c r="BH1112" s="46">
        <v>0</v>
      </c>
      <c r="BI1112" s="46">
        <v>0</v>
      </c>
      <c r="BJ1112" s="46">
        <v>0</v>
      </c>
      <c r="BK1112" s="46">
        <v>0</v>
      </c>
      <c r="BL1112" s="46">
        <v>0</v>
      </c>
      <c r="BM1112" s="46">
        <v>0</v>
      </c>
      <c r="BN1112" s="46">
        <v>0</v>
      </c>
    </row>
    <row r="1113" spans="1:66" x14ac:dyDescent="0.35">
      <c r="A1113" t="s">
        <v>6910</v>
      </c>
      <c r="B1113" s="44" t="s">
        <v>48</v>
      </c>
      <c r="C1113" t="s">
        <v>1974</v>
      </c>
      <c r="D1113" t="s">
        <v>221</v>
      </c>
      <c r="E1113" t="s">
        <v>6912</v>
      </c>
      <c r="F1113" t="s">
        <v>6911</v>
      </c>
      <c r="G1113" t="s">
        <v>47</v>
      </c>
      <c r="H1113">
        <v>0</v>
      </c>
      <c r="I1113" s="60" t="s">
        <v>51</v>
      </c>
      <c r="J1113" s="33" t="s">
        <v>45</v>
      </c>
      <c r="K1113" s="46">
        <v>1</v>
      </c>
      <c r="L1113">
        <v>71.2</v>
      </c>
      <c r="M1113" t="s">
        <v>48</v>
      </c>
      <c r="N1113" s="46">
        <v>1</v>
      </c>
      <c r="O1113" s="46">
        <v>0</v>
      </c>
      <c r="P1113" s="46">
        <v>0</v>
      </c>
      <c r="Q1113" t="s">
        <v>48</v>
      </c>
      <c r="R1113" t="s">
        <v>48</v>
      </c>
      <c r="S1113" t="s">
        <v>6913</v>
      </c>
      <c r="T1113" t="s">
        <v>6914</v>
      </c>
      <c r="U1113" t="s">
        <v>6913</v>
      </c>
      <c r="V1113" s="47">
        <v>0</v>
      </c>
      <c r="W1113" t="s">
        <v>48</v>
      </c>
      <c r="X1113" t="s">
        <v>48</v>
      </c>
      <c r="Y1113" t="s">
        <v>48</v>
      </c>
      <c r="Z1113">
        <v>0</v>
      </c>
      <c r="AA1113" t="s">
        <v>48</v>
      </c>
      <c r="AB1113">
        <v>2002</v>
      </c>
      <c r="AC1113" t="s">
        <v>49</v>
      </c>
      <c r="AD1113" t="s">
        <v>93</v>
      </c>
      <c r="AE1113" t="s">
        <v>4532</v>
      </c>
      <c r="AF1113" t="s">
        <v>48</v>
      </c>
      <c r="AG1113" t="s">
        <v>1105</v>
      </c>
      <c r="AH1113" t="s">
        <v>93</v>
      </c>
      <c r="AI1113">
        <v>20356</v>
      </c>
      <c r="AJ1113">
        <v>1941</v>
      </c>
      <c r="AK1113" t="s">
        <v>9354</v>
      </c>
      <c r="AL1113" t="s">
        <v>9355</v>
      </c>
      <c r="AM1113">
        <v>0.47899999999999998</v>
      </c>
      <c r="AN1113">
        <v>0.58799999999999997</v>
      </c>
      <c r="AO1113">
        <v>0.47899999999999998</v>
      </c>
      <c r="AP1113" s="46">
        <v>0</v>
      </c>
      <c r="AQ1113" s="46">
        <v>0</v>
      </c>
      <c r="AR1113" s="46">
        <v>0</v>
      </c>
      <c r="AS1113" s="46">
        <v>0</v>
      </c>
      <c r="AT1113" s="46">
        <v>0</v>
      </c>
      <c r="AU1113" s="46">
        <v>0</v>
      </c>
      <c r="AV1113" s="46">
        <v>0</v>
      </c>
      <c r="AW1113" s="46">
        <v>0</v>
      </c>
      <c r="AX1113" s="46">
        <v>0</v>
      </c>
      <c r="AY1113" s="46">
        <v>0</v>
      </c>
      <c r="AZ1113" s="46">
        <v>0</v>
      </c>
      <c r="BA1113" s="46">
        <v>0</v>
      </c>
      <c r="BB1113" s="46">
        <v>1</v>
      </c>
      <c r="BC1113" s="46">
        <v>0</v>
      </c>
      <c r="BD1113" s="46">
        <v>0</v>
      </c>
      <c r="BE1113" s="46">
        <v>0</v>
      </c>
      <c r="BF1113" s="46">
        <v>0</v>
      </c>
      <c r="BG1113" s="46">
        <v>1</v>
      </c>
      <c r="BH1113" s="46">
        <v>0</v>
      </c>
      <c r="BI1113" s="46">
        <v>0</v>
      </c>
      <c r="BJ1113" s="46">
        <v>0</v>
      </c>
      <c r="BK1113" s="46">
        <v>0</v>
      </c>
      <c r="BL1113" s="46">
        <v>0</v>
      </c>
      <c r="BM1113" s="46">
        <v>0</v>
      </c>
      <c r="BN1113" s="46">
        <v>0</v>
      </c>
    </row>
    <row r="1114" spans="1:66" x14ac:dyDescent="0.35">
      <c r="A1114" t="s">
        <v>6943</v>
      </c>
      <c r="B1114" t="s">
        <v>48</v>
      </c>
      <c r="C1114" t="s">
        <v>6946</v>
      </c>
      <c r="D1114" t="s">
        <v>1990</v>
      </c>
      <c r="E1114" t="s">
        <v>6944</v>
      </c>
      <c r="F1114" t="s">
        <v>6923</v>
      </c>
      <c r="G1114" t="s">
        <v>47</v>
      </c>
      <c r="H1114">
        <v>0</v>
      </c>
      <c r="I1114" s="60" t="s">
        <v>149</v>
      </c>
      <c r="J1114" s="33" t="s">
        <v>45</v>
      </c>
      <c r="K1114" s="46">
        <v>0</v>
      </c>
      <c r="L1114">
        <v>40.200000000000003</v>
      </c>
      <c r="M1114">
        <v>57</v>
      </c>
      <c r="N1114" s="46">
        <v>1</v>
      </c>
      <c r="O1114" s="46">
        <v>0</v>
      </c>
      <c r="P1114" s="46">
        <v>0</v>
      </c>
      <c r="Q1114" t="s">
        <v>48</v>
      </c>
      <c r="R1114" t="s">
        <v>48</v>
      </c>
      <c r="S1114" t="s">
        <v>6945</v>
      </c>
      <c r="T1114" t="s">
        <v>48</v>
      </c>
      <c r="U1114" t="s">
        <v>6945</v>
      </c>
      <c r="V1114" s="47">
        <v>0</v>
      </c>
      <c r="W1114" t="s">
        <v>48</v>
      </c>
      <c r="X1114" t="s">
        <v>48</v>
      </c>
      <c r="Y1114" t="s">
        <v>48</v>
      </c>
      <c r="Z1114">
        <v>0</v>
      </c>
      <c r="AA1114" t="s">
        <v>48</v>
      </c>
      <c r="AB1114" t="s">
        <v>48</v>
      </c>
      <c r="AC1114" t="s">
        <v>49</v>
      </c>
      <c r="AD1114" t="s">
        <v>951</v>
      </c>
      <c r="AE1114" t="s">
        <v>11051</v>
      </c>
      <c r="AF1114" t="s">
        <v>48</v>
      </c>
      <c r="AG1114" t="s">
        <v>48</v>
      </c>
      <c r="AH1114" t="s">
        <v>48</v>
      </c>
      <c r="AI1114" t="s">
        <v>48</v>
      </c>
      <c r="AJ1114" t="s">
        <v>48</v>
      </c>
      <c r="AK1114" t="s">
        <v>48</v>
      </c>
      <c r="AL1114" t="s">
        <v>48</v>
      </c>
      <c r="AM1114" t="s">
        <v>48</v>
      </c>
      <c r="AN1114" t="s">
        <v>48</v>
      </c>
      <c r="AO1114" t="s">
        <v>48</v>
      </c>
      <c r="AP1114" s="46">
        <v>0</v>
      </c>
      <c r="AQ1114" s="46">
        <v>0</v>
      </c>
      <c r="AR1114" s="46">
        <v>0</v>
      </c>
      <c r="AS1114" s="46">
        <v>0</v>
      </c>
      <c r="AT1114" s="46">
        <v>0</v>
      </c>
      <c r="AU1114" s="46">
        <v>0</v>
      </c>
      <c r="AV1114" s="46">
        <v>0</v>
      </c>
      <c r="AW1114" s="46">
        <v>0</v>
      </c>
      <c r="AX1114" s="46">
        <v>0</v>
      </c>
      <c r="AY1114" s="46">
        <v>0</v>
      </c>
      <c r="AZ1114" s="46">
        <v>0</v>
      </c>
      <c r="BA1114" s="46">
        <v>0</v>
      </c>
      <c r="BB1114" s="46">
        <v>0</v>
      </c>
      <c r="BC1114" s="46">
        <v>0</v>
      </c>
      <c r="BD1114" s="46">
        <v>0</v>
      </c>
      <c r="BE1114" s="46">
        <v>0</v>
      </c>
      <c r="BF1114" s="46">
        <v>0</v>
      </c>
      <c r="BG1114" s="46" t="s">
        <v>48</v>
      </c>
      <c r="BH1114" s="46">
        <v>0</v>
      </c>
      <c r="BI1114" s="46">
        <v>0</v>
      </c>
      <c r="BJ1114" s="46">
        <v>0</v>
      </c>
      <c r="BK1114" s="46">
        <v>0</v>
      </c>
      <c r="BL1114" s="46">
        <v>0</v>
      </c>
      <c r="BM1114" s="46">
        <v>0</v>
      </c>
      <c r="BN1114" s="46">
        <v>0</v>
      </c>
    </row>
    <row r="1115" spans="1:66" x14ac:dyDescent="0.35">
      <c r="A1115" t="s">
        <v>6922</v>
      </c>
      <c r="B1115" t="s">
        <v>48</v>
      </c>
      <c r="C1115" t="s">
        <v>6927</v>
      </c>
      <c r="D1115" t="s">
        <v>1608</v>
      </c>
      <c r="E1115" t="s">
        <v>6924</v>
      </c>
      <c r="F1115" t="s">
        <v>6923</v>
      </c>
      <c r="G1115" t="s">
        <v>74</v>
      </c>
      <c r="H1115">
        <v>0</v>
      </c>
      <c r="I1115" s="60" t="s">
        <v>51</v>
      </c>
      <c r="J1115" s="33" t="s">
        <v>45</v>
      </c>
      <c r="K1115" s="46">
        <v>1</v>
      </c>
      <c r="L1115">
        <v>100</v>
      </c>
      <c r="M1115" t="s">
        <v>48</v>
      </c>
      <c r="N1115" s="46">
        <v>1</v>
      </c>
      <c r="O1115" s="46">
        <v>0</v>
      </c>
      <c r="P1115" s="46">
        <v>0</v>
      </c>
      <c r="Q1115" t="s">
        <v>48</v>
      </c>
      <c r="R1115" t="s">
        <v>48</v>
      </c>
      <c r="S1115" t="s">
        <v>6925</v>
      </c>
      <c r="T1115" t="s">
        <v>6926</v>
      </c>
      <c r="U1115" t="s">
        <v>6925</v>
      </c>
      <c r="V1115" s="47">
        <v>0</v>
      </c>
      <c r="W1115" t="s">
        <v>48</v>
      </c>
      <c r="X1115" t="s">
        <v>48</v>
      </c>
      <c r="Y1115" t="s">
        <v>48</v>
      </c>
      <c r="Z1115">
        <v>0</v>
      </c>
      <c r="AA1115" t="s">
        <v>48</v>
      </c>
      <c r="AB1115">
        <v>2018</v>
      </c>
      <c r="AC1115" t="s">
        <v>49</v>
      </c>
      <c r="AD1115" t="s">
        <v>93</v>
      </c>
      <c r="AE1115" s="40" t="s">
        <v>2471</v>
      </c>
      <c r="AF1115" t="s">
        <v>11061</v>
      </c>
      <c r="AG1115" t="s">
        <v>479</v>
      </c>
      <c r="AH1115" t="s">
        <v>93</v>
      </c>
      <c r="AI1115">
        <v>21900</v>
      </c>
      <c r="AJ1115">
        <v>1983</v>
      </c>
      <c r="AK1115" t="s">
        <v>9356</v>
      </c>
      <c r="AL1115" t="s">
        <v>9357</v>
      </c>
      <c r="AM1115">
        <v>-0.437</v>
      </c>
      <c r="AN1115">
        <v>0.59099999999999997</v>
      </c>
      <c r="AO1115">
        <v>-0.437</v>
      </c>
      <c r="AP1115" s="46">
        <v>0</v>
      </c>
      <c r="AQ1115" s="46">
        <v>0</v>
      </c>
      <c r="AR1115" s="46">
        <v>0</v>
      </c>
      <c r="AS1115" s="46">
        <v>0</v>
      </c>
      <c r="AT1115" s="46">
        <v>0</v>
      </c>
      <c r="AU1115" s="46">
        <v>1</v>
      </c>
      <c r="AV1115" s="46">
        <v>0</v>
      </c>
      <c r="AW1115" s="46">
        <v>0</v>
      </c>
      <c r="AX1115" s="46">
        <v>0</v>
      </c>
      <c r="AY1115" s="46">
        <v>0</v>
      </c>
      <c r="AZ1115" s="46">
        <v>0</v>
      </c>
      <c r="BA1115" s="46">
        <v>0</v>
      </c>
      <c r="BB1115" s="46">
        <v>0</v>
      </c>
      <c r="BC1115" s="46">
        <v>0</v>
      </c>
      <c r="BD1115" s="46">
        <v>0</v>
      </c>
      <c r="BE1115" s="46">
        <v>0</v>
      </c>
      <c r="BF1115" s="46">
        <v>0</v>
      </c>
      <c r="BG1115" s="46" t="s">
        <v>48</v>
      </c>
      <c r="BH1115" s="46">
        <v>0</v>
      </c>
      <c r="BI1115" s="46">
        <v>0</v>
      </c>
      <c r="BJ1115" s="46">
        <v>0</v>
      </c>
      <c r="BK1115" s="46">
        <v>0</v>
      </c>
      <c r="BL1115" s="46">
        <v>0</v>
      </c>
      <c r="BM1115" s="46">
        <v>0</v>
      </c>
      <c r="BN1115" s="46">
        <v>0</v>
      </c>
    </row>
    <row r="1116" spans="1:66" x14ac:dyDescent="0.35">
      <c r="A1116" t="s">
        <v>6961</v>
      </c>
      <c r="B1116" t="s">
        <v>48</v>
      </c>
      <c r="C1116" t="s">
        <v>405</v>
      </c>
      <c r="D1116" t="s">
        <v>1868</v>
      </c>
      <c r="E1116" t="s">
        <v>6962</v>
      </c>
      <c r="F1116" t="s">
        <v>6951</v>
      </c>
      <c r="G1116" t="s">
        <v>74</v>
      </c>
      <c r="H1116">
        <v>0</v>
      </c>
      <c r="I1116" s="60" t="s">
        <v>51</v>
      </c>
      <c r="J1116" s="33" t="s">
        <v>45</v>
      </c>
      <c r="K1116" s="46">
        <v>1</v>
      </c>
      <c r="L1116">
        <v>69.3</v>
      </c>
      <c r="M1116" t="s">
        <v>48</v>
      </c>
      <c r="N1116" s="46">
        <v>1</v>
      </c>
      <c r="O1116" s="46">
        <v>0</v>
      </c>
      <c r="P1116" s="46">
        <v>0</v>
      </c>
      <c r="Q1116" t="s">
        <v>48</v>
      </c>
      <c r="R1116" t="s">
        <v>48</v>
      </c>
      <c r="S1116" t="s">
        <v>6963</v>
      </c>
      <c r="T1116" t="s">
        <v>6964</v>
      </c>
      <c r="U1116" t="s">
        <v>6963</v>
      </c>
      <c r="V1116" s="47">
        <v>0</v>
      </c>
      <c r="W1116" t="s">
        <v>48</v>
      </c>
      <c r="X1116" t="s">
        <v>48</v>
      </c>
      <c r="Y1116" t="s">
        <v>48</v>
      </c>
      <c r="Z1116">
        <v>0</v>
      </c>
      <c r="AA1116" t="s">
        <v>48</v>
      </c>
      <c r="AB1116">
        <v>2012</v>
      </c>
      <c r="AC1116" t="s">
        <v>49</v>
      </c>
      <c r="AD1116" t="s">
        <v>93</v>
      </c>
      <c r="AE1116" s="40" t="s">
        <v>2471</v>
      </c>
      <c r="AF1116" t="s">
        <v>11061</v>
      </c>
      <c r="AG1116" t="s">
        <v>184</v>
      </c>
      <c r="AH1116" t="s">
        <v>93</v>
      </c>
      <c r="AI1116">
        <v>21365</v>
      </c>
      <c r="AJ1116">
        <v>1971</v>
      </c>
      <c r="AK1116" t="s">
        <v>9358</v>
      </c>
      <c r="AL1116" t="s">
        <v>9359</v>
      </c>
      <c r="AM1116">
        <v>-0.40100000000000002</v>
      </c>
      <c r="AN1116">
        <v>0.28399999999999997</v>
      </c>
      <c r="AO1116">
        <v>-0.40100000000000002</v>
      </c>
      <c r="AP1116" s="46">
        <v>0</v>
      </c>
      <c r="AQ1116" s="46">
        <v>0</v>
      </c>
      <c r="AR1116" s="46">
        <v>0</v>
      </c>
      <c r="AS1116" s="46">
        <v>0</v>
      </c>
      <c r="AT1116" s="46">
        <v>0</v>
      </c>
      <c r="AU1116" s="46">
        <v>1</v>
      </c>
      <c r="AV1116" s="46">
        <v>0</v>
      </c>
      <c r="AW1116" s="46">
        <v>0</v>
      </c>
      <c r="AX1116" s="46">
        <v>0</v>
      </c>
      <c r="AY1116" s="46">
        <v>0</v>
      </c>
      <c r="AZ1116" s="46">
        <v>0</v>
      </c>
      <c r="BA1116" s="46">
        <v>0</v>
      </c>
      <c r="BB1116" s="46">
        <v>0</v>
      </c>
      <c r="BC1116" s="46">
        <v>0</v>
      </c>
      <c r="BD1116" s="46">
        <v>0</v>
      </c>
      <c r="BE1116" s="46">
        <v>0</v>
      </c>
      <c r="BF1116" s="46">
        <v>0</v>
      </c>
      <c r="BG1116" s="46" t="s">
        <v>48</v>
      </c>
      <c r="BH1116" s="46">
        <v>0</v>
      </c>
      <c r="BI1116" s="46">
        <v>0</v>
      </c>
      <c r="BJ1116" s="46">
        <v>0</v>
      </c>
      <c r="BK1116" s="46">
        <v>0</v>
      </c>
      <c r="BL1116" s="46">
        <v>0</v>
      </c>
      <c r="BM1116" s="46">
        <v>0</v>
      </c>
      <c r="BN1116" s="46">
        <v>0</v>
      </c>
    </row>
    <row r="1117" spans="1:66" x14ac:dyDescent="0.35">
      <c r="A1117" t="s">
        <v>6950</v>
      </c>
      <c r="B1117" t="s">
        <v>48</v>
      </c>
      <c r="C1117" t="s">
        <v>6953</v>
      </c>
      <c r="D1117" t="s">
        <v>1237</v>
      </c>
      <c r="E1117" t="s">
        <v>6952</v>
      </c>
      <c r="F1117" t="s">
        <v>6951</v>
      </c>
      <c r="G1117" t="s">
        <v>47</v>
      </c>
      <c r="H1117">
        <v>0</v>
      </c>
      <c r="I1117" s="60" t="s">
        <v>149</v>
      </c>
      <c r="J1117" s="33" t="s">
        <v>45</v>
      </c>
      <c r="K1117" s="46">
        <v>0</v>
      </c>
      <c r="L1117">
        <v>63.4</v>
      </c>
      <c r="M1117" t="s">
        <v>48</v>
      </c>
      <c r="N1117" s="46">
        <v>1</v>
      </c>
      <c r="O1117" s="46">
        <v>0</v>
      </c>
      <c r="P1117" s="46">
        <v>0</v>
      </c>
      <c r="Q1117" t="s">
        <v>48</v>
      </c>
      <c r="R1117" t="s">
        <v>48</v>
      </c>
      <c r="S1117" t="s">
        <v>48</v>
      </c>
      <c r="T1117" t="s">
        <v>48</v>
      </c>
      <c r="U1117" t="s">
        <v>48</v>
      </c>
      <c r="V1117" s="47">
        <v>1</v>
      </c>
      <c r="W1117" t="s">
        <v>11264</v>
      </c>
      <c r="X1117" t="s">
        <v>48</v>
      </c>
      <c r="Y1117" t="s">
        <v>48</v>
      </c>
      <c r="Z1117">
        <v>0</v>
      </c>
      <c r="AA1117" t="s">
        <v>48</v>
      </c>
      <c r="AB1117" t="s">
        <v>48</v>
      </c>
      <c r="AC1117" t="s">
        <v>49</v>
      </c>
      <c r="AD1117" t="s">
        <v>93</v>
      </c>
      <c r="AE1117" t="s">
        <v>4532</v>
      </c>
      <c r="AF1117" t="s">
        <v>48</v>
      </c>
      <c r="AG1117" t="s">
        <v>48</v>
      </c>
      <c r="AH1117" t="s">
        <v>48</v>
      </c>
      <c r="AI1117" t="s">
        <v>48</v>
      </c>
      <c r="AJ1117" t="s">
        <v>48</v>
      </c>
      <c r="AK1117" t="s">
        <v>48</v>
      </c>
      <c r="AL1117" t="s">
        <v>48</v>
      </c>
      <c r="AM1117" t="s">
        <v>48</v>
      </c>
      <c r="AN1117" t="s">
        <v>48</v>
      </c>
      <c r="AO1117" t="s">
        <v>48</v>
      </c>
      <c r="AP1117" s="46">
        <v>0</v>
      </c>
      <c r="AQ1117" s="46">
        <v>0</v>
      </c>
      <c r="AR1117" s="46">
        <v>0</v>
      </c>
      <c r="AS1117" s="46">
        <v>0</v>
      </c>
      <c r="AT1117" s="46">
        <v>0</v>
      </c>
      <c r="AU1117" s="46">
        <v>0</v>
      </c>
      <c r="AV1117" s="46">
        <v>0</v>
      </c>
      <c r="AW1117" s="46">
        <v>0</v>
      </c>
      <c r="AX1117" s="46">
        <v>0</v>
      </c>
      <c r="AY1117" s="46">
        <v>0</v>
      </c>
      <c r="AZ1117" s="46">
        <v>0</v>
      </c>
      <c r="BA1117" s="46">
        <v>0</v>
      </c>
      <c r="BB1117" s="46">
        <v>0</v>
      </c>
      <c r="BC1117" s="46">
        <v>0</v>
      </c>
      <c r="BD1117" s="46">
        <v>0</v>
      </c>
      <c r="BE1117" s="46">
        <v>0</v>
      </c>
      <c r="BF1117" s="46">
        <v>0</v>
      </c>
      <c r="BG1117" s="46" t="s">
        <v>48</v>
      </c>
      <c r="BH1117" s="46">
        <v>0</v>
      </c>
      <c r="BI1117" s="46">
        <v>0</v>
      </c>
      <c r="BJ1117" s="46">
        <v>0</v>
      </c>
      <c r="BK1117" s="46">
        <v>0</v>
      </c>
      <c r="BL1117" s="46">
        <v>0</v>
      </c>
      <c r="BM1117" s="46">
        <v>0</v>
      </c>
      <c r="BN1117" s="46">
        <v>0</v>
      </c>
    </row>
    <row r="1118" spans="1:66" x14ac:dyDescent="0.35">
      <c r="A1118" t="s">
        <v>6972</v>
      </c>
      <c r="B1118" t="s">
        <v>48</v>
      </c>
      <c r="C1118" t="s">
        <v>6976</v>
      </c>
      <c r="D1118" t="s">
        <v>6975</v>
      </c>
      <c r="E1118" t="s">
        <v>6973</v>
      </c>
      <c r="F1118" t="s">
        <v>6966</v>
      </c>
      <c r="G1118" t="s">
        <v>47</v>
      </c>
      <c r="H1118">
        <v>0</v>
      </c>
      <c r="I1118" s="60" t="str">
        <f>"2022-06-29"</f>
        <v>2022-06-29</v>
      </c>
      <c r="J1118" s="33" t="s">
        <v>45</v>
      </c>
      <c r="K1118" s="46">
        <v>1</v>
      </c>
      <c r="L1118">
        <v>60.4</v>
      </c>
      <c r="M1118" t="s">
        <v>48</v>
      </c>
      <c r="N1118" s="46">
        <v>1</v>
      </c>
      <c r="O1118" s="46">
        <v>0</v>
      </c>
      <c r="P1118" s="46">
        <v>0</v>
      </c>
      <c r="Q1118" t="s">
        <v>48</v>
      </c>
      <c r="R1118" t="s">
        <v>48</v>
      </c>
      <c r="S1118" t="s">
        <v>6974</v>
      </c>
      <c r="T1118" t="s">
        <v>48</v>
      </c>
      <c r="U1118" t="s">
        <v>6974</v>
      </c>
      <c r="V1118" s="47">
        <v>0</v>
      </c>
      <c r="W1118" t="s">
        <v>48</v>
      </c>
      <c r="X1118" t="s">
        <v>48</v>
      </c>
      <c r="Y1118" t="s">
        <v>48</v>
      </c>
      <c r="Z1118">
        <v>0</v>
      </c>
      <c r="AA1118" t="s">
        <v>48</v>
      </c>
      <c r="AB1118" t="s">
        <v>48</v>
      </c>
      <c r="AC1118" t="s">
        <v>63</v>
      </c>
      <c r="AD1118" t="s">
        <v>951</v>
      </c>
      <c r="AE1118" s="40" t="s">
        <v>11051</v>
      </c>
      <c r="AF1118" t="s">
        <v>11054</v>
      </c>
      <c r="AG1118" t="s">
        <v>48</v>
      </c>
      <c r="AH1118" t="s">
        <v>48</v>
      </c>
      <c r="AI1118">
        <v>22165</v>
      </c>
      <c r="AJ1118">
        <v>1986</v>
      </c>
      <c r="AK1118" t="s">
        <v>9360</v>
      </c>
      <c r="AL1118" t="s">
        <v>9361</v>
      </c>
      <c r="AM1118" t="s">
        <v>48</v>
      </c>
      <c r="AN1118" t="s">
        <v>48</v>
      </c>
      <c r="AO1118" t="s">
        <v>48</v>
      </c>
      <c r="AP1118" s="46">
        <v>0</v>
      </c>
      <c r="AQ1118" s="46">
        <v>0</v>
      </c>
      <c r="AR1118" s="46">
        <v>0</v>
      </c>
      <c r="AS1118" s="46">
        <v>0</v>
      </c>
      <c r="AT1118" s="46">
        <v>0</v>
      </c>
      <c r="AU1118" s="46">
        <v>0</v>
      </c>
      <c r="AV1118" s="46">
        <v>0</v>
      </c>
      <c r="AW1118" s="46">
        <v>0</v>
      </c>
      <c r="AX1118" s="46">
        <v>0</v>
      </c>
      <c r="AY1118" s="46">
        <v>0</v>
      </c>
      <c r="AZ1118" s="46">
        <v>0</v>
      </c>
      <c r="BA1118" s="46">
        <v>0</v>
      </c>
      <c r="BB1118" s="46">
        <v>0</v>
      </c>
      <c r="BC1118" s="46">
        <v>0</v>
      </c>
      <c r="BD1118" s="46">
        <v>0</v>
      </c>
      <c r="BE1118" s="46">
        <v>0</v>
      </c>
      <c r="BF1118" s="46">
        <v>0</v>
      </c>
      <c r="BG1118" s="46">
        <v>1</v>
      </c>
      <c r="BH1118" s="46">
        <v>0</v>
      </c>
      <c r="BI1118" s="46">
        <v>0</v>
      </c>
      <c r="BJ1118" s="46">
        <v>0</v>
      </c>
      <c r="BK1118" s="46">
        <v>0</v>
      </c>
      <c r="BL1118" s="46">
        <v>0</v>
      </c>
      <c r="BM1118" s="46">
        <v>0</v>
      </c>
      <c r="BN1118" s="46">
        <v>0</v>
      </c>
    </row>
    <row r="1119" spans="1:66" x14ac:dyDescent="0.35">
      <c r="A1119" t="s">
        <v>6977</v>
      </c>
      <c r="B1119" t="s">
        <v>48</v>
      </c>
      <c r="C1119" t="s">
        <v>1691</v>
      </c>
      <c r="D1119" t="s">
        <v>12334</v>
      </c>
      <c r="E1119" t="s">
        <v>9789</v>
      </c>
      <c r="F1119" t="s">
        <v>6966</v>
      </c>
      <c r="G1119" t="s">
        <v>74</v>
      </c>
      <c r="H1119">
        <v>0</v>
      </c>
      <c r="I1119" s="60" t="str">
        <f>"2022-06-29"</f>
        <v>2022-06-29</v>
      </c>
      <c r="J1119" s="33" t="s">
        <v>45</v>
      </c>
      <c r="K1119" s="46">
        <v>1</v>
      </c>
      <c r="L1119">
        <v>64.7</v>
      </c>
      <c r="M1119" t="s">
        <v>48</v>
      </c>
      <c r="N1119" s="46">
        <v>1</v>
      </c>
      <c r="O1119" s="46">
        <v>0</v>
      </c>
      <c r="P1119" s="46">
        <v>0</v>
      </c>
      <c r="Q1119" t="s">
        <v>48</v>
      </c>
      <c r="R1119" t="s">
        <v>48</v>
      </c>
      <c r="S1119" t="s">
        <v>6978</v>
      </c>
      <c r="T1119" t="s">
        <v>6979</v>
      </c>
      <c r="U1119" t="s">
        <v>6978</v>
      </c>
      <c r="V1119" s="47">
        <v>0</v>
      </c>
      <c r="W1119" t="s">
        <v>48</v>
      </c>
      <c r="X1119" t="s">
        <v>48</v>
      </c>
      <c r="Y1119" t="s">
        <v>48</v>
      </c>
      <c r="Z1119" t="s">
        <v>48</v>
      </c>
      <c r="AA1119" t="s">
        <v>48</v>
      </c>
      <c r="AB1119" t="s">
        <v>48</v>
      </c>
      <c r="AC1119" t="s">
        <v>49</v>
      </c>
      <c r="AD1119" t="s">
        <v>951</v>
      </c>
      <c r="AE1119" s="40" t="s">
        <v>11051</v>
      </c>
      <c r="AF1119" t="s">
        <v>48</v>
      </c>
      <c r="AG1119" t="s">
        <v>48</v>
      </c>
      <c r="AH1119" t="s">
        <v>48</v>
      </c>
      <c r="AI1119">
        <v>21722</v>
      </c>
      <c r="AJ1119">
        <v>1967</v>
      </c>
      <c r="AK1119" t="s">
        <v>9322</v>
      </c>
      <c r="AL1119" t="s">
        <v>9323</v>
      </c>
      <c r="AM1119">
        <v>-0.378</v>
      </c>
      <c r="AN1119">
        <v>0.66100000000000003</v>
      </c>
      <c r="AO1119">
        <v>-0.378</v>
      </c>
      <c r="AP1119" s="46">
        <v>0</v>
      </c>
      <c r="AQ1119" s="46">
        <v>0</v>
      </c>
      <c r="AR1119" s="46">
        <v>0</v>
      </c>
      <c r="AS1119" s="46">
        <v>0</v>
      </c>
      <c r="AT1119" s="46">
        <v>0</v>
      </c>
      <c r="AU1119" s="46">
        <v>1</v>
      </c>
      <c r="AV1119" s="46">
        <v>1</v>
      </c>
      <c r="AW1119" s="46">
        <v>0</v>
      </c>
      <c r="AX1119" s="46">
        <v>0</v>
      </c>
      <c r="AY1119" s="46">
        <v>0</v>
      </c>
      <c r="AZ1119" s="46">
        <v>0</v>
      </c>
      <c r="BA1119" s="46">
        <v>1</v>
      </c>
      <c r="BB1119" s="46">
        <v>0</v>
      </c>
      <c r="BC1119" s="46">
        <v>0</v>
      </c>
      <c r="BD1119" s="46">
        <v>0</v>
      </c>
      <c r="BE1119" s="46">
        <v>0</v>
      </c>
      <c r="BF1119" s="46">
        <v>0</v>
      </c>
      <c r="BG1119" s="46" t="s">
        <v>48</v>
      </c>
      <c r="BH1119" s="46">
        <v>0</v>
      </c>
      <c r="BI1119" s="46">
        <v>0</v>
      </c>
      <c r="BJ1119" s="46">
        <v>0</v>
      </c>
      <c r="BK1119" s="46">
        <v>0</v>
      </c>
      <c r="BL1119" s="46">
        <v>0</v>
      </c>
      <c r="BM1119" s="46">
        <v>0</v>
      </c>
      <c r="BN1119" s="46">
        <v>0</v>
      </c>
    </row>
    <row r="1120" spans="1:66" x14ac:dyDescent="0.35">
      <c r="A1120" t="s">
        <v>7028</v>
      </c>
      <c r="B1120" t="s">
        <v>48</v>
      </c>
      <c r="C1120" t="s">
        <v>7030</v>
      </c>
      <c r="D1120" t="s">
        <v>347</v>
      </c>
      <c r="E1120" t="s">
        <v>7029</v>
      </c>
      <c r="F1120" t="s">
        <v>7009</v>
      </c>
      <c r="G1120" t="s">
        <v>47</v>
      </c>
      <c r="H1120">
        <v>0</v>
      </c>
      <c r="I1120" s="60" t="s">
        <v>177</v>
      </c>
      <c r="J1120" s="33" t="s">
        <v>45</v>
      </c>
      <c r="K1120" s="46">
        <v>0</v>
      </c>
      <c r="L1120">
        <v>21.2</v>
      </c>
      <c r="M1120">
        <v>61.2</v>
      </c>
      <c r="N1120" s="46">
        <v>1</v>
      </c>
      <c r="O1120" s="46">
        <v>0</v>
      </c>
      <c r="P1120" s="46">
        <v>0</v>
      </c>
      <c r="Q1120" t="s">
        <v>48</v>
      </c>
      <c r="R1120" t="s">
        <v>48</v>
      </c>
      <c r="S1120" t="s">
        <v>48</v>
      </c>
      <c r="T1120" t="s">
        <v>48</v>
      </c>
      <c r="U1120" t="s">
        <v>48</v>
      </c>
      <c r="V1120" s="47">
        <v>1</v>
      </c>
      <c r="W1120" t="s">
        <v>11264</v>
      </c>
      <c r="X1120" t="s">
        <v>48</v>
      </c>
      <c r="Y1120" t="s">
        <v>48</v>
      </c>
      <c r="Z1120">
        <v>0</v>
      </c>
      <c r="AA1120" t="s">
        <v>48</v>
      </c>
      <c r="AB1120" t="s">
        <v>48</v>
      </c>
      <c r="AC1120" t="s">
        <v>49</v>
      </c>
      <c r="AD1120" t="s">
        <v>93</v>
      </c>
      <c r="AE1120" t="s">
        <v>4532</v>
      </c>
      <c r="AF1120" t="s">
        <v>48</v>
      </c>
      <c r="AG1120" t="s">
        <v>48</v>
      </c>
      <c r="AH1120" t="s">
        <v>48</v>
      </c>
      <c r="AI1120" t="s">
        <v>48</v>
      </c>
      <c r="AJ1120" t="s">
        <v>48</v>
      </c>
      <c r="AK1120" t="s">
        <v>48</v>
      </c>
      <c r="AL1120" t="s">
        <v>48</v>
      </c>
      <c r="AM1120" t="s">
        <v>48</v>
      </c>
      <c r="AN1120" t="s">
        <v>48</v>
      </c>
      <c r="AO1120" t="s">
        <v>48</v>
      </c>
      <c r="AP1120" s="46">
        <v>0</v>
      </c>
      <c r="AQ1120" s="46">
        <v>0</v>
      </c>
      <c r="AR1120" s="46">
        <v>0</v>
      </c>
      <c r="AS1120" s="46">
        <v>0</v>
      </c>
      <c r="AT1120" s="46">
        <v>0</v>
      </c>
      <c r="AU1120" s="46">
        <v>0</v>
      </c>
      <c r="AV1120" s="46">
        <v>0</v>
      </c>
      <c r="AW1120" s="46">
        <v>0</v>
      </c>
      <c r="AX1120" s="46">
        <v>0</v>
      </c>
      <c r="AY1120" s="46">
        <v>0</v>
      </c>
      <c r="AZ1120" s="46">
        <v>0</v>
      </c>
      <c r="BA1120" s="46">
        <v>0</v>
      </c>
      <c r="BB1120" s="46">
        <v>0</v>
      </c>
      <c r="BC1120" s="46">
        <v>0</v>
      </c>
      <c r="BD1120" s="46">
        <v>0</v>
      </c>
      <c r="BE1120" s="46">
        <v>0</v>
      </c>
      <c r="BF1120" s="46">
        <v>0</v>
      </c>
      <c r="BG1120" s="46" t="s">
        <v>48</v>
      </c>
      <c r="BH1120" s="46">
        <v>0</v>
      </c>
      <c r="BI1120" s="46">
        <v>0</v>
      </c>
      <c r="BJ1120" s="46">
        <v>0</v>
      </c>
      <c r="BK1120" s="46">
        <v>0</v>
      </c>
      <c r="BL1120" s="46">
        <v>0</v>
      </c>
      <c r="BM1120" s="46">
        <v>0</v>
      </c>
      <c r="BN1120" s="46">
        <v>0</v>
      </c>
    </row>
    <row r="1121" spans="1:66" x14ac:dyDescent="0.35">
      <c r="A1121" t="s">
        <v>7012</v>
      </c>
      <c r="B1121" s="44" t="s">
        <v>48</v>
      </c>
      <c r="C1121" t="s">
        <v>7015</v>
      </c>
      <c r="D1121" t="s">
        <v>729</v>
      </c>
      <c r="E1121" t="s">
        <v>7013</v>
      </c>
      <c r="F1121" t="s">
        <v>7009</v>
      </c>
      <c r="G1121" t="s">
        <v>74</v>
      </c>
      <c r="H1121">
        <v>0</v>
      </c>
      <c r="I1121" s="60" t="s">
        <v>149</v>
      </c>
      <c r="J1121" s="33" t="s">
        <v>45</v>
      </c>
      <c r="K1121" s="46">
        <v>0</v>
      </c>
      <c r="L1121">
        <v>61.3</v>
      </c>
      <c r="M1121" t="s">
        <v>48</v>
      </c>
      <c r="N1121" s="46">
        <v>1</v>
      </c>
      <c r="O1121" s="46">
        <v>0</v>
      </c>
      <c r="P1121" s="46">
        <v>0</v>
      </c>
      <c r="Q1121" t="s">
        <v>48</v>
      </c>
      <c r="R1121" t="s">
        <v>48</v>
      </c>
      <c r="S1121" t="s">
        <v>7014</v>
      </c>
      <c r="T1121" t="s">
        <v>48</v>
      </c>
      <c r="U1121" t="s">
        <v>7014</v>
      </c>
      <c r="V1121" s="47">
        <v>0</v>
      </c>
      <c r="W1121" t="s">
        <v>48</v>
      </c>
      <c r="X1121" t="s">
        <v>48</v>
      </c>
      <c r="Y1121" t="s">
        <v>48</v>
      </c>
      <c r="Z1121">
        <v>0</v>
      </c>
      <c r="AA1121" t="s">
        <v>48</v>
      </c>
      <c r="AB1121" t="s">
        <v>48</v>
      </c>
      <c r="AC1121" t="s">
        <v>49</v>
      </c>
      <c r="AD1121" t="s">
        <v>951</v>
      </c>
      <c r="AE1121" t="s">
        <v>11051</v>
      </c>
      <c r="AF1121" t="s">
        <v>11054</v>
      </c>
      <c r="AG1121" t="s">
        <v>48</v>
      </c>
      <c r="AH1121" t="s">
        <v>48</v>
      </c>
      <c r="AI1121" t="s">
        <v>48</v>
      </c>
      <c r="AJ1121" t="s">
        <v>48</v>
      </c>
      <c r="AK1121" t="s">
        <v>48</v>
      </c>
      <c r="AL1121" t="s">
        <v>48</v>
      </c>
      <c r="AM1121" t="s">
        <v>48</v>
      </c>
      <c r="AN1121" t="s">
        <v>48</v>
      </c>
      <c r="AO1121" t="s">
        <v>48</v>
      </c>
      <c r="AP1121" s="46">
        <v>1</v>
      </c>
      <c r="AQ1121" s="46">
        <v>0</v>
      </c>
      <c r="AR1121" s="46">
        <v>1</v>
      </c>
      <c r="AS1121" s="46">
        <v>0</v>
      </c>
      <c r="AT1121" s="46">
        <v>0</v>
      </c>
      <c r="AU1121" s="46">
        <v>0</v>
      </c>
      <c r="AV1121" s="46">
        <v>0</v>
      </c>
      <c r="AW1121" s="46">
        <v>0</v>
      </c>
      <c r="AX1121" s="46">
        <v>0</v>
      </c>
      <c r="AY1121" s="46">
        <v>0</v>
      </c>
      <c r="AZ1121" s="46">
        <v>0</v>
      </c>
      <c r="BA1121" s="46">
        <v>0</v>
      </c>
      <c r="BB1121" s="46">
        <v>0</v>
      </c>
      <c r="BC1121" s="46">
        <v>0</v>
      </c>
      <c r="BD1121" s="46">
        <v>0</v>
      </c>
      <c r="BE1121" s="46">
        <v>0</v>
      </c>
      <c r="BF1121" s="46">
        <v>0</v>
      </c>
      <c r="BG1121" s="46" t="s">
        <v>48</v>
      </c>
      <c r="BH1121" s="46">
        <v>0</v>
      </c>
      <c r="BI1121" s="46">
        <v>0</v>
      </c>
      <c r="BJ1121" s="46">
        <v>0</v>
      </c>
      <c r="BK1121" s="46">
        <v>1</v>
      </c>
      <c r="BL1121" s="46">
        <v>0</v>
      </c>
      <c r="BM1121" s="46">
        <v>0</v>
      </c>
      <c r="BN1121" s="46">
        <v>0</v>
      </c>
    </row>
    <row r="1122" spans="1:66" x14ac:dyDescent="0.35">
      <c r="A1122" t="s">
        <v>7058</v>
      </c>
      <c r="B1122" s="44" t="s">
        <v>48</v>
      </c>
      <c r="C1122" t="s">
        <v>7063</v>
      </c>
      <c r="D1122" t="s">
        <v>195</v>
      </c>
      <c r="E1122" t="s">
        <v>7060</v>
      </c>
      <c r="F1122" t="s">
        <v>7059</v>
      </c>
      <c r="G1122" t="s">
        <v>47</v>
      </c>
      <c r="H1122">
        <v>0</v>
      </c>
      <c r="I1122" s="60" t="s">
        <v>51</v>
      </c>
      <c r="J1122" s="33" t="s">
        <v>45</v>
      </c>
      <c r="K1122" s="46">
        <v>1</v>
      </c>
      <c r="L1122">
        <v>100</v>
      </c>
      <c r="M1122" t="s">
        <v>48</v>
      </c>
      <c r="N1122" s="46">
        <v>1</v>
      </c>
      <c r="O1122" s="46">
        <v>0</v>
      </c>
      <c r="P1122" s="46">
        <v>0</v>
      </c>
      <c r="Q1122" t="s">
        <v>48</v>
      </c>
      <c r="R1122" t="s">
        <v>48</v>
      </c>
      <c r="S1122" t="s">
        <v>7061</v>
      </c>
      <c r="T1122" t="s">
        <v>7062</v>
      </c>
      <c r="U1122" t="s">
        <v>7061</v>
      </c>
      <c r="V1122" s="47">
        <v>0</v>
      </c>
      <c r="W1122" t="s">
        <v>48</v>
      </c>
      <c r="X1122" t="s">
        <v>48</v>
      </c>
      <c r="Y1122" t="s">
        <v>48</v>
      </c>
      <c r="Z1122">
        <v>0</v>
      </c>
      <c r="AA1122" t="s">
        <v>48</v>
      </c>
      <c r="AB1122">
        <v>2014</v>
      </c>
      <c r="AC1122" t="s">
        <v>49</v>
      </c>
      <c r="AD1122" t="s">
        <v>93</v>
      </c>
      <c r="AE1122" t="s">
        <v>4532</v>
      </c>
      <c r="AF1122" t="s">
        <v>48</v>
      </c>
      <c r="AG1122" t="s">
        <v>184</v>
      </c>
      <c r="AH1122" t="s">
        <v>93</v>
      </c>
      <c r="AI1122">
        <v>21551</v>
      </c>
      <c r="AJ1122">
        <v>1948</v>
      </c>
      <c r="AK1122" t="s">
        <v>9364</v>
      </c>
      <c r="AL1122" t="s">
        <v>9365</v>
      </c>
      <c r="AM1122">
        <v>0.70799999999999996</v>
      </c>
      <c r="AN1122">
        <v>8.1000000000000003E-2</v>
      </c>
      <c r="AO1122">
        <v>0.70799999999999996</v>
      </c>
      <c r="AP1122" s="46">
        <v>0</v>
      </c>
      <c r="AQ1122" s="46">
        <v>0</v>
      </c>
      <c r="AR1122" s="46">
        <v>0</v>
      </c>
      <c r="AS1122" s="46">
        <v>0</v>
      </c>
      <c r="AT1122" s="46">
        <v>0</v>
      </c>
      <c r="AU1122" s="46">
        <v>0</v>
      </c>
      <c r="AV1122" s="46">
        <v>0</v>
      </c>
      <c r="AW1122" s="46">
        <v>0</v>
      </c>
      <c r="AX1122" s="46">
        <v>0</v>
      </c>
      <c r="AY1122" s="46">
        <v>0</v>
      </c>
      <c r="AZ1122" s="46">
        <v>0</v>
      </c>
      <c r="BA1122" s="46">
        <v>0</v>
      </c>
      <c r="BB1122" s="46">
        <v>1</v>
      </c>
      <c r="BC1122" s="46">
        <v>0</v>
      </c>
      <c r="BD1122" s="46">
        <v>0</v>
      </c>
      <c r="BE1122" s="46">
        <v>0</v>
      </c>
      <c r="BF1122" s="46">
        <v>0</v>
      </c>
      <c r="BG1122" s="46">
        <v>1</v>
      </c>
      <c r="BH1122" s="46">
        <v>0</v>
      </c>
      <c r="BI1122" s="46">
        <v>0</v>
      </c>
      <c r="BJ1122" s="46">
        <v>0</v>
      </c>
      <c r="BK1122" s="46">
        <v>0</v>
      </c>
      <c r="BL1122" s="46">
        <v>0</v>
      </c>
      <c r="BM1122" s="46">
        <v>0</v>
      </c>
      <c r="BN1122" s="46">
        <v>1</v>
      </c>
    </row>
    <row r="1123" spans="1:66" x14ac:dyDescent="0.35">
      <c r="A1123" t="s">
        <v>7064</v>
      </c>
      <c r="B1123" s="44" t="s">
        <v>48</v>
      </c>
      <c r="C1123" t="s">
        <v>7067</v>
      </c>
      <c r="D1123" t="s">
        <v>1867</v>
      </c>
      <c r="E1123" t="s">
        <v>7065</v>
      </c>
      <c r="F1123" t="s">
        <v>7059</v>
      </c>
      <c r="G1123" t="s">
        <v>74</v>
      </c>
      <c r="H1123">
        <v>0</v>
      </c>
      <c r="I1123" s="60" t="s">
        <v>149</v>
      </c>
      <c r="J1123" s="33" t="s">
        <v>45</v>
      </c>
      <c r="K1123" s="46">
        <v>0</v>
      </c>
      <c r="L1123">
        <v>100</v>
      </c>
      <c r="M1123" t="s">
        <v>48</v>
      </c>
      <c r="N1123" s="46">
        <v>1</v>
      </c>
      <c r="O1123" s="46">
        <v>0</v>
      </c>
      <c r="P1123" s="46">
        <v>0</v>
      </c>
      <c r="Q1123" t="s">
        <v>48</v>
      </c>
      <c r="R1123" t="s">
        <v>48</v>
      </c>
      <c r="S1123" t="s">
        <v>7066</v>
      </c>
      <c r="T1123" t="s">
        <v>48</v>
      </c>
      <c r="U1123" t="s">
        <v>7066</v>
      </c>
      <c r="V1123" s="47">
        <v>0</v>
      </c>
      <c r="W1123" t="s">
        <v>48</v>
      </c>
      <c r="X1123" t="s">
        <v>48</v>
      </c>
      <c r="Y1123" t="s">
        <v>48</v>
      </c>
      <c r="Z1123">
        <v>0</v>
      </c>
      <c r="AA1123" t="s">
        <v>48</v>
      </c>
      <c r="AB1123" t="s">
        <v>48</v>
      </c>
      <c r="AC1123" t="s">
        <v>49</v>
      </c>
      <c r="AD1123" t="s">
        <v>93</v>
      </c>
      <c r="AE1123" t="s">
        <v>4532</v>
      </c>
      <c r="AF1123" t="s">
        <v>48</v>
      </c>
      <c r="AG1123" t="s">
        <v>48</v>
      </c>
      <c r="AH1123" t="s">
        <v>48</v>
      </c>
      <c r="AI1123" t="s">
        <v>48</v>
      </c>
      <c r="AJ1123" t="s">
        <v>48</v>
      </c>
      <c r="AK1123" t="s">
        <v>48</v>
      </c>
      <c r="AL1123" t="s">
        <v>48</v>
      </c>
      <c r="AM1123" t="s">
        <v>48</v>
      </c>
      <c r="AN1123" t="s">
        <v>48</v>
      </c>
      <c r="AO1123" t="s">
        <v>48</v>
      </c>
      <c r="AP1123" s="46">
        <v>0</v>
      </c>
      <c r="AQ1123" s="46">
        <v>0</v>
      </c>
      <c r="AR1123" s="46">
        <v>0</v>
      </c>
      <c r="AS1123" s="46">
        <v>0</v>
      </c>
      <c r="AT1123" s="46">
        <v>0</v>
      </c>
      <c r="AU1123" s="46">
        <v>0</v>
      </c>
      <c r="AV1123" s="46">
        <v>0</v>
      </c>
      <c r="AW1123" s="46">
        <v>0</v>
      </c>
      <c r="AX1123" s="46">
        <v>0</v>
      </c>
      <c r="AY1123" s="46">
        <v>0</v>
      </c>
      <c r="AZ1123" s="46">
        <v>0</v>
      </c>
      <c r="BA1123" s="46">
        <v>0</v>
      </c>
      <c r="BB1123" s="46">
        <v>0</v>
      </c>
      <c r="BC1123" s="46">
        <v>0</v>
      </c>
      <c r="BD1123" s="46">
        <v>0</v>
      </c>
      <c r="BE1123" s="46">
        <v>0</v>
      </c>
      <c r="BF1123" s="46">
        <v>0</v>
      </c>
      <c r="BG1123" s="46" t="s">
        <v>48</v>
      </c>
      <c r="BH1123" s="46">
        <v>0</v>
      </c>
      <c r="BI1123" s="46">
        <v>0</v>
      </c>
      <c r="BJ1123" s="46">
        <v>0</v>
      </c>
      <c r="BK1123" s="46">
        <v>0</v>
      </c>
      <c r="BL1123" s="46">
        <v>0</v>
      </c>
      <c r="BM1123" s="46">
        <v>0</v>
      </c>
      <c r="BN1123" s="46">
        <v>0</v>
      </c>
    </row>
    <row r="1124" spans="1:66" x14ac:dyDescent="0.35">
      <c r="A1124" t="s">
        <v>7082</v>
      </c>
      <c r="B1124" t="s">
        <v>48</v>
      </c>
      <c r="C1124" t="s">
        <v>12017</v>
      </c>
      <c r="D1124" t="s">
        <v>7085</v>
      </c>
      <c r="E1124" t="s">
        <v>7083</v>
      </c>
      <c r="F1124" t="s">
        <v>7069</v>
      </c>
      <c r="G1124" t="s">
        <v>47</v>
      </c>
      <c r="H1124">
        <v>0</v>
      </c>
      <c r="I1124" s="60" t="s">
        <v>149</v>
      </c>
      <c r="J1124" s="33" t="s">
        <v>45</v>
      </c>
      <c r="K1124" s="46">
        <v>0</v>
      </c>
      <c r="L1124">
        <v>46.8</v>
      </c>
      <c r="M1124">
        <v>59.2</v>
      </c>
      <c r="N1124" s="46">
        <v>1</v>
      </c>
      <c r="O1124" s="46">
        <v>0</v>
      </c>
      <c r="P1124" s="46">
        <v>0</v>
      </c>
      <c r="Q1124" t="s">
        <v>48</v>
      </c>
      <c r="R1124" t="s">
        <v>48</v>
      </c>
      <c r="S1124" t="s">
        <v>7084</v>
      </c>
      <c r="T1124" t="s">
        <v>48</v>
      </c>
      <c r="U1124" t="s">
        <v>7084</v>
      </c>
      <c r="V1124" s="47">
        <v>0</v>
      </c>
      <c r="W1124" t="s">
        <v>48</v>
      </c>
      <c r="X1124" t="s">
        <v>48</v>
      </c>
      <c r="Y1124" t="s">
        <v>48</v>
      </c>
      <c r="Z1124">
        <v>0</v>
      </c>
      <c r="AA1124" t="s">
        <v>48</v>
      </c>
      <c r="AB1124" t="s">
        <v>48</v>
      </c>
      <c r="AC1124" t="s">
        <v>63</v>
      </c>
      <c r="AD1124" t="s">
        <v>951</v>
      </c>
      <c r="AE1124" s="40" t="s">
        <v>11051</v>
      </c>
      <c r="AF1124" t="s">
        <v>108</v>
      </c>
      <c r="AG1124" t="s">
        <v>48</v>
      </c>
      <c r="AH1124" t="s">
        <v>48</v>
      </c>
      <c r="AI1124" t="s">
        <v>48</v>
      </c>
      <c r="AJ1124" t="s">
        <v>48</v>
      </c>
      <c r="AK1124" t="s">
        <v>48</v>
      </c>
      <c r="AL1124" t="s">
        <v>48</v>
      </c>
      <c r="AM1124" t="s">
        <v>48</v>
      </c>
      <c r="AN1124" t="s">
        <v>48</v>
      </c>
      <c r="AO1124" t="s">
        <v>48</v>
      </c>
      <c r="AP1124" s="46">
        <v>0</v>
      </c>
      <c r="AQ1124" s="46">
        <v>0</v>
      </c>
      <c r="AR1124" s="46">
        <v>0</v>
      </c>
      <c r="AS1124" s="46">
        <v>0</v>
      </c>
      <c r="AT1124" s="46">
        <v>0</v>
      </c>
      <c r="AU1124" s="46">
        <v>0</v>
      </c>
      <c r="AV1124" s="46">
        <v>0</v>
      </c>
      <c r="AW1124" s="46">
        <v>0</v>
      </c>
      <c r="AX1124" s="46">
        <v>0</v>
      </c>
      <c r="AY1124" s="46">
        <v>0</v>
      </c>
      <c r="AZ1124" s="46">
        <v>0</v>
      </c>
      <c r="BA1124" s="46">
        <v>0</v>
      </c>
      <c r="BB1124" s="46">
        <v>0</v>
      </c>
      <c r="BC1124" s="46">
        <v>0</v>
      </c>
      <c r="BD1124" s="46">
        <v>0</v>
      </c>
      <c r="BE1124" s="46">
        <v>0</v>
      </c>
      <c r="BF1124" s="46">
        <v>0</v>
      </c>
      <c r="BG1124" s="46">
        <v>1</v>
      </c>
      <c r="BH1124" s="46">
        <v>0</v>
      </c>
      <c r="BI1124" s="46">
        <v>0</v>
      </c>
      <c r="BJ1124" s="46">
        <v>0</v>
      </c>
      <c r="BK1124" s="46">
        <v>0</v>
      </c>
      <c r="BL1124" s="46">
        <v>0</v>
      </c>
      <c r="BM1124" s="46">
        <v>0</v>
      </c>
      <c r="BN1124" s="46">
        <v>0</v>
      </c>
    </row>
    <row r="1125" spans="1:66" x14ac:dyDescent="0.35">
      <c r="A1125" t="s">
        <v>7077</v>
      </c>
      <c r="B1125" s="44" t="s">
        <v>48</v>
      </c>
      <c r="C1125" t="s">
        <v>7081</v>
      </c>
      <c r="D1125" t="s">
        <v>5866</v>
      </c>
      <c r="E1125" t="s">
        <v>9790</v>
      </c>
      <c r="F1125" t="s">
        <v>7069</v>
      </c>
      <c r="G1125" t="s">
        <v>74</v>
      </c>
      <c r="H1125">
        <v>0</v>
      </c>
      <c r="I1125" s="60" t="s">
        <v>51</v>
      </c>
      <c r="J1125" s="33" t="s">
        <v>45</v>
      </c>
      <c r="K1125" s="46">
        <v>1</v>
      </c>
      <c r="L1125">
        <v>79.2</v>
      </c>
      <c r="M1125" t="s">
        <v>48</v>
      </c>
      <c r="N1125" s="46">
        <v>1</v>
      </c>
      <c r="O1125" s="46">
        <v>0</v>
      </c>
      <c r="P1125" s="46">
        <v>0</v>
      </c>
      <c r="Q1125" t="s">
        <v>48</v>
      </c>
      <c r="R1125" t="s">
        <v>48</v>
      </c>
      <c r="S1125" t="s">
        <v>7078</v>
      </c>
      <c r="T1125" t="s">
        <v>7079</v>
      </c>
      <c r="U1125" t="s">
        <v>7078</v>
      </c>
      <c r="V1125" s="47">
        <v>0</v>
      </c>
      <c r="W1125" t="s">
        <v>48</v>
      </c>
      <c r="X1125" t="s">
        <v>48</v>
      </c>
      <c r="Y1125" t="s">
        <v>48</v>
      </c>
      <c r="Z1125">
        <v>0</v>
      </c>
      <c r="AA1125" t="s">
        <v>7080</v>
      </c>
      <c r="AB1125">
        <v>1994</v>
      </c>
      <c r="AC1125" t="s">
        <v>49</v>
      </c>
      <c r="AD1125" t="s">
        <v>93</v>
      </c>
      <c r="AE1125" t="s">
        <v>4532</v>
      </c>
      <c r="AF1125" t="s">
        <v>48</v>
      </c>
      <c r="AG1125" t="s">
        <v>479</v>
      </c>
      <c r="AH1125" t="s">
        <v>93</v>
      </c>
      <c r="AI1125">
        <v>29571</v>
      </c>
      <c r="AJ1125">
        <v>1946</v>
      </c>
      <c r="AK1125" t="s">
        <v>9362</v>
      </c>
      <c r="AL1125" t="s">
        <v>9363</v>
      </c>
      <c r="AM1125">
        <v>-0.40200000000000002</v>
      </c>
      <c r="AN1125">
        <v>-0.312</v>
      </c>
      <c r="AO1125">
        <v>-0.40200000000000002</v>
      </c>
      <c r="AP1125" s="46">
        <v>0</v>
      </c>
      <c r="AQ1125" s="46">
        <v>0</v>
      </c>
      <c r="AR1125" s="46">
        <v>0</v>
      </c>
      <c r="AS1125" s="46">
        <v>0</v>
      </c>
      <c r="AT1125" s="46">
        <v>1</v>
      </c>
      <c r="AU1125" s="46">
        <v>0</v>
      </c>
      <c r="AV1125" s="46">
        <v>0</v>
      </c>
      <c r="AW1125" s="46">
        <v>0</v>
      </c>
      <c r="AX1125" s="46">
        <v>0</v>
      </c>
      <c r="AY1125" s="46">
        <v>0</v>
      </c>
      <c r="AZ1125" s="46">
        <v>0</v>
      </c>
      <c r="BA1125" s="46">
        <v>0</v>
      </c>
      <c r="BB1125" s="46">
        <v>0</v>
      </c>
      <c r="BC1125" s="46">
        <v>0</v>
      </c>
      <c r="BD1125" s="46">
        <v>0</v>
      </c>
      <c r="BE1125" s="46">
        <v>0</v>
      </c>
      <c r="BF1125" s="46">
        <v>0</v>
      </c>
      <c r="BG1125" s="46" t="s">
        <v>48</v>
      </c>
      <c r="BH1125" s="46">
        <v>0</v>
      </c>
      <c r="BI1125" s="46">
        <v>0</v>
      </c>
      <c r="BJ1125" s="46">
        <v>0</v>
      </c>
      <c r="BK1125" s="46">
        <v>0</v>
      </c>
      <c r="BL1125" s="46">
        <v>0</v>
      </c>
      <c r="BM1125" s="46">
        <v>0</v>
      </c>
      <c r="BN1125" s="46">
        <v>0</v>
      </c>
    </row>
    <row r="1126" spans="1:66" x14ac:dyDescent="0.35">
      <c r="A1126" t="s">
        <v>7123</v>
      </c>
      <c r="B1126" s="44" t="s">
        <v>48</v>
      </c>
      <c r="C1126" t="s">
        <v>12337</v>
      </c>
      <c r="D1126" t="s">
        <v>1589</v>
      </c>
      <c r="E1126" t="s">
        <v>7124</v>
      </c>
      <c r="F1126" t="s">
        <v>7096</v>
      </c>
      <c r="G1126" t="s">
        <v>74</v>
      </c>
      <c r="H1126">
        <v>0</v>
      </c>
      <c r="I1126" s="60" t="s">
        <v>149</v>
      </c>
      <c r="J1126" s="33" t="s">
        <v>45</v>
      </c>
      <c r="K1126" s="46">
        <v>0</v>
      </c>
      <c r="L1126">
        <v>45.6</v>
      </c>
      <c r="M1126">
        <v>39</v>
      </c>
      <c r="N1126" s="46">
        <v>1</v>
      </c>
      <c r="O1126" s="46">
        <v>0</v>
      </c>
      <c r="P1126" s="46">
        <v>0</v>
      </c>
      <c r="Q1126" t="s">
        <v>48</v>
      </c>
      <c r="R1126" t="s">
        <v>48</v>
      </c>
      <c r="S1126" t="s">
        <v>7125</v>
      </c>
      <c r="T1126" t="s">
        <v>48</v>
      </c>
      <c r="U1126" t="s">
        <v>7125</v>
      </c>
      <c r="V1126" s="47">
        <v>0</v>
      </c>
      <c r="W1126" t="s">
        <v>11317</v>
      </c>
      <c r="X1126" t="s">
        <v>48</v>
      </c>
      <c r="Y1126" t="s">
        <v>48</v>
      </c>
      <c r="Z1126">
        <v>0</v>
      </c>
      <c r="AA1126" t="s">
        <v>48</v>
      </c>
      <c r="AB1126" t="s">
        <v>48</v>
      </c>
      <c r="AC1126" t="s">
        <v>63</v>
      </c>
      <c r="AD1126" t="s">
        <v>951</v>
      </c>
      <c r="AE1126" s="40" t="s">
        <v>11051</v>
      </c>
      <c r="AF1126" t="s">
        <v>108</v>
      </c>
      <c r="AG1126" t="s">
        <v>48</v>
      </c>
      <c r="AH1126" t="s">
        <v>48</v>
      </c>
      <c r="AI1126" t="s">
        <v>48</v>
      </c>
      <c r="AJ1126" t="s">
        <v>48</v>
      </c>
      <c r="AK1126" t="s">
        <v>48</v>
      </c>
      <c r="AL1126" t="s">
        <v>48</v>
      </c>
      <c r="AM1126" t="s">
        <v>48</v>
      </c>
      <c r="AN1126" t="s">
        <v>48</v>
      </c>
      <c r="AO1126" t="s">
        <v>48</v>
      </c>
      <c r="AP1126" s="46">
        <v>0</v>
      </c>
      <c r="AQ1126" s="46">
        <v>0</v>
      </c>
      <c r="AR1126" s="46">
        <v>0</v>
      </c>
      <c r="AS1126" s="46">
        <v>0</v>
      </c>
      <c r="AT1126" s="46">
        <v>0</v>
      </c>
      <c r="AU1126" s="46">
        <v>0</v>
      </c>
      <c r="AV1126" s="46">
        <v>0</v>
      </c>
      <c r="AW1126" s="46">
        <v>0</v>
      </c>
      <c r="AX1126" s="46">
        <v>0</v>
      </c>
      <c r="AY1126" s="46">
        <v>0</v>
      </c>
      <c r="AZ1126" s="46">
        <v>0</v>
      </c>
      <c r="BA1126" s="46">
        <v>0</v>
      </c>
      <c r="BB1126" s="46">
        <v>0</v>
      </c>
      <c r="BC1126" s="46">
        <v>0</v>
      </c>
      <c r="BD1126" s="46">
        <v>0</v>
      </c>
      <c r="BE1126" s="46">
        <v>0</v>
      </c>
      <c r="BF1126" s="46">
        <v>0</v>
      </c>
      <c r="BG1126" s="46" t="s">
        <v>48</v>
      </c>
      <c r="BH1126" s="46">
        <v>0</v>
      </c>
      <c r="BI1126" s="46">
        <v>0</v>
      </c>
      <c r="BJ1126" s="46">
        <v>0</v>
      </c>
      <c r="BK1126" s="46">
        <v>0</v>
      </c>
      <c r="BL1126" s="46">
        <v>0</v>
      </c>
      <c r="BM1126" s="46">
        <v>0</v>
      </c>
      <c r="BN1126" s="46">
        <v>0</v>
      </c>
    </row>
    <row r="1127" spans="1:66" x14ac:dyDescent="0.35">
      <c r="A1127" t="s">
        <v>7112</v>
      </c>
      <c r="B1127" t="s">
        <v>48</v>
      </c>
      <c r="C1127" t="s">
        <v>2225</v>
      </c>
      <c r="D1127" t="s">
        <v>7115</v>
      </c>
      <c r="E1127" t="s">
        <v>7113</v>
      </c>
      <c r="F1127" t="s">
        <v>7096</v>
      </c>
      <c r="G1127" t="s">
        <v>47</v>
      </c>
      <c r="H1127">
        <v>0</v>
      </c>
      <c r="I1127" s="60" t="s">
        <v>661</v>
      </c>
      <c r="J1127" s="33" t="s">
        <v>45</v>
      </c>
      <c r="K1127" s="46">
        <v>0</v>
      </c>
      <c r="L1127">
        <v>55.3</v>
      </c>
      <c r="M1127" t="s">
        <v>48</v>
      </c>
      <c r="N1127" s="46">
        <v>1</v>
      </c>
      <c r="O1127" s="46">
        <v>0</v>
      </c>
      <c r="P1127" s="46">
        <v>0</v>
      </c>
      <c r="Q1127" t="s">
        <v>48</v>
      </c>
      <c r="R1127" t="s">
        <v>48</v>
      </c>
      <c r="S1127" t="s">
        <v>7114</v>
      </c>
      <c r="T1127" t="s">
        <v>48</v>
      </c>
      <c r="U1127" t="s">
        <v>7114</v>
      </c>
      <c r="V1127" s="47">
        <v>0</v>
      </c>
      <c r="W1127" t="s">
        <v>48</v>
      </c>
      <c r="X1127" t="s">
        <v>48</v>
      </c>
      <c r="Y1127" t="s">
        <v>48</v>
      </c>
      <c r="Z1127">
        <v>0</v>
      </c>
      <c r="AA1127" t="s">
        <v>48</v>
      </c>
      <c r="AB1127" t="s">
        <v>48</v>
      </c>
      <c r="AC1127" t="s">
        <v>49</v>
      </c>
      <c r="AD1127" t="s">
        <v>93</v>
      </c>
      <c r="AE1127" s="40" t="s">
        <v>2471</v>
      </c>
      <c r="AF1127" t="s">
        <v>11061</v>
      </c>
      <c r="AG1127" t="s">
        <v>48</v>
      </c>
      <c r="AH1127" t="s">
        <v>48</v>
      </c>
      <c r="AI1127" t="s">
        <v>48</v>
      </c>
      <c r="AJ1127" t="s">
        <v>48</v>
      </c>
      <c r="AK1127" t="s">
        <v>48</v>
      </c>
      <c r="AL1127" t="s">
        <v>48</v>
      </c>
      <c r="AM1127" t="s">
        <v>48</v>
      </c>
      <c r="AN1127" t="s">
        <v>48</v>
      </c>
      <c r="AO1127" t="s">
        <v>48</v>
      </c>
      <c r="AP1127" s="46">
        <v>0</v>
      </c>
      <c r="AQ1127" s="46">
        <v>0</v>
      </c>
      <c r="AR1127" s="46">
        <v>0</v>
      </c>
      <c r="AS1127" s="46">
        <v>0</v>
      </c>
      <c r="AT1127" s="46">
        <v>0</v>
      </c>
      <c r="AU1127" s="46">
        <v>0</v>
      </c>
      <c r="AV1127" s="46">
        <v>0</v>
      </c>
      <c r="AW1127" s="46">
        <v>0</v>
      </c>
      <c r="AX1127" s="46">
        <v>0</v>
      </c>
      <c r="AY1127" s="46">
        <v>0</v>
      </c>
      <c r="AZ1127" s="46">
        <v>0</v>
      </c>
      <c r="BA1127" s="46">
        <v>0</v>
      </c>
      <c r="BB1127" s="46">
        <v>0</v>
      </c>
      <c r="BC1127" s="46">
        <v>0</v>
      </c>
      <c r="BD1127" s="46">
        <v>0</v>
      </c>
      <c r="BE1127" s="46">
        <v>0</v>
      </c>
      <c r="BF1127" s="46">
        <v>0</v>
      </c>
      <c r="BG1127" s="46" t="s">
        <v>48</v>
      </c>
      <c r="BH1127" s="46">
        <v>0</v>
      </c>
      <c r="BI1127" s="46">
        <v>0</v>
      </c>
      <c r="BJ1127" s="46">
        <v>0</v>
      </c>
      <c r="BK1127" s="46">
        <v>0</v>
      </c>
      <c r="BL1127" s="46">
        <v>0</v>
      </c>
      <c r="BM1127" s="46">
        <v>0</v>
      </c>
      <c r="BN1127" s="46">
        <v>0</v>
      </c>
    </row>
    <row r="1128" spans="1:66" x14ac:dyDescent="0.35">
      <c r="A1128" t="s">
        <v>7160</v>
      </c>
      <c r="B1128" t="s">
        <v>48</v>
      </c>
      <c r="C1128" t="s">
        <v>385</v>
      </c>
      <c r="D1128" t="s">
        <v>834</v>
      </c>
      <c r="E1128" t="s">
        <v>7161</v>
      </c>
      <c r="F1128" t="s">
        <v>7154</v>
      </c>
      <c r="G1128" t="s">
        <v>47</v>
      </c>
      <c r="H1128">
        <v>0</v>
      </c>
      <c r="I1128" s="60" t="s">
        <v>51</v>
      </c>
      <c r="J1128" s="33" t="s">
        <v>45</v>
      </c>
      <c r="K1128" s="46">
        <v>1</v>
      </c>
      <c r="L1128">
        <v>57.6</v>
      </c>
      <c r="M1128" t="s">
        <v>48</v>
      </c>
      <c r="N1128" s="46">
        <v>1</v>
      </c>
      <c r="O1128" s="46">
        <v>0</v>
      </c>
      <c r="P1128" s="46">
        <v>0</v>
      </c>
      <c r="Q1128" t="s">
        <v>48</v>
      </c>
      <c r="R1128" t="s">
        <v>48</v>
      </c>
      <c r="S1128" t="s">
        <v>7162</v>
      </c>
      <c r="T1128" t="s">
        <v>7163</v>
      </c>
      <c r="U1128" t="s">
        <v>7162</v>
      </c>
      <c r="V1128" s="47">
        <v>0</v>
      </c>
      <c r="W1128" t="s">
        <v>48</v>
      </c>
      <c r="X1128" t="s">
        <v>48</v>
      </c>
      <c r="Y1128" t="s">
        <v>48</v>
      </c>
      <c r="Z1128">
        <v>1</v>
      </c>
      <c r="AA1128" t="s">
        <v>48</v>
      </c>
      <c r="AB1128">
        <v>2020</v>
      </c>
      <c r="AC1128" t="s">
        <v>49</v>
      </c>
      <c r="AD1128" t="s">
        <v>93</v>
      </c>
      <c r="AE1128" t="s">
        <v>4532</v>
      </c>
      <c r="AF1128" t="s">
        <v>48</v>
      </c>
      <c r="AG1128" t="s">
        <v>742</v>
      </c>
      <c r="AH1128" t="s">
        <v>93</v>
      </c>
      <c r="AI1128">
        <v>22141</v>
      </c>
      <c r="AJ1128">
        <v>1980</v>
      </c>
      <c r="AK1128" t="s">
        <v>9366</v>
      </c>
      <c r="AL1128" t="s">
        <v>9367</v>
      </c>
      <c r="AM1128">
        <v>0.35699999999999998</v>
      </c>
      <c r="AN1128">
        <v>0.32400000000000001</v>
      </c>
      <c r="AO1128">
        <v>0.35699999999999998</v>
      </c>
      <c r="AP1128" s="46">
        <v>0</v>
      </c>
      <c r="AQ1128" s="46">
        <v>0</v>
      </c>
      <c r="AR1128" s="46">
        <v>0</v>
      </c>
      <c r="AS1128" s="46">
        <v>0</v>
      </c>
      <c r="AT1128" s="46">
        <v>0</v>
      </c>
      <c r="AU1128" s="46">
        <v>0</v>
      </c>
      <c r="AV1128" s="46">
        <v>0</v>
      </c>
      <c r="AW1128" s="46">
        <v>0</v>
      </c>
      <c r="AX1128" s="46">
        <v>0</v>
      </c>
      <c r="AY1128" s="46">
        <v>1</v>
      </c>
      <c r="AZ1128" s="46">
        <v>1</v>
      </c>
      <c r="BA1128" s="46">
        <v>1</v>
      </c>
      <c r="BB1128" s="46">
        <v>1</v>
      </c>
      <c r="BC1128" s="46">
        <v>0</v>
      </c>
      <c r="BD1128" s="46">
        <v>0</v>
      </c>
      <c r="BE1128" s="46">
        <v>0</v>
      </c>
      <c r="BF1128" s="46">
        <v>0</v>
      </c>
      <c r="BG1128" s="46" t="s">
        <v>48</v>
      </c>
      <c r="BH1128" s="46">
        <v>0</v>
      </c>
      <c r="BI1128" s="46">
        <v>0</v>
      </c>
      <c r="BJ1128" s="46">
        <v>0</v>
      </c>
      <c r="BK1128" s="46">
        <v>0</v>
      </c>
      <c r="BL1128" s="46">
        <v>0</v>
      </c>
      <c r="BM1128" s="46">
        <v>1</v>
      </c>
      <c r="BN1128" s="46">
        <v>0</v>
      </c>
    </row>
    <row r="1129" spans="1:66" x14ac:dyDescent="0.35">
      <c r="A1129" t="s">
        <v>9767</v>
      </c>
      <c r="B1129" s="44" t="s">
        <v>48</v>
      </c>
      <c r="C1129" t="s">
        <v>886</v>
      </c>
      <c r="D1129" t="s">
        <v>421</v>
      </c>
      <c r="E1129" t="s">
        <v>9768</v>
      </c>
      <c r="F1129" t="s">
        <v>7154</v>
      </c>
      <c r="G1129" t="s">
        <v>74</v>
      </c>
      <c r="H1129">
        <v>0</v>
      </c>
      <c r="I1129" s="61">
        <v>44757</v>
      </c>
      <c r="J1129" s="33" t="s">
        <v>45</v>
      </c>
      <c r="K1129" s="46">
        <v>0</v>
      </c>
      <c r="L1129">
        <v>100</v>
      </c>
      <c r="M1129" t="s">
        <v>48</v>
      </c>
      <c r="N1129" s="46">
        <v>1</v>
      </c>
      <c r="O1129" s="46">
        <v>0</v>
      </c>
      <c r="P1129" s="46">
        <v>0</v>
      </c>
      <c r="Q1129" t="s">
        <v>48</v>
      </c>
      <c r="R1129" t="s">
        <v>48</v>
      </c>
      <c r="S1129" t="s">
        <v>48</v>
      </c>
      <c r="T1129" t="s">
        <v>48</v>
      </c>
      <c r="U1129" t="s">
        <v>48</v>
      </c>
      <c r="V1129" s="47">
        <v>1</v>
      </c>
      <c r="W1129" t="s">
        <v>11264</v>
      </c>
      <c r="X1129" t="s">
        <v>48</v>
      </c>
      <c r="Y1129" t="s">
        <v>48</v>
      </c>
      <c r="Z1129" t="s">
        <v>48</v>
      </c>
      <c r="AA1129" t="s">
        <v>48</v>
      </c>
      <c r="AB1129" t="s">
        <v>48</v>
      </c>
      <c r="AC1129" t="s">
        <v>49</v>
      </c>
      <c r="AD1129" t="s">
        <v>93</v>
      </c>
      <c r="AE1129" t="s">
        <v>4532</v>
      </c>
      <c r="AF1129" t="s">
        <v>48</v>
      </c>
      <c r="AG1129" t="s">
        <v>48</v>
      </c>
      <c r="AH1129" t="s">
        <v>48</v>
      </c>
      <c r="AI1129" t="s">
        <v>48</v>
      </c>
      <c r="AJ1129" t="s">
        <v>48</v>
      </c>
      <c r="AK1129" t="s">
        <v>48</v>
      </c>
      <c r="AL1129" t="s">
        <v>48</v>
      </c>
      <c r="AM1129" t="s">
        <v>48</v>
      </c>
      <c r="AN1129" t="s">
        <v>48</v>
      </c>
      <c r="AO1129" t="s">
        <v>48</v>
      </c>
      <c r="AP1129" s="46">
        <v>0</v>
      </c>
      <c r="AQ1129" s="46">
        <v>0</v>
      </c>
      <c r="AR1129" s="46">
        <v>0</v>
      </c>
      <c r="AS1129" s="46">
        <v>0</v>
      </c>
      <c r="AT1129" s="46">
        <v>0</v>
      </c>
      <c r="AU1129" s="46">
        <v>0</v>
      </c>
      <c r="AV1129" s="46">
        <v>0</v>
      </c>
      <c r="AW1129" s="46">
        <v>0</v>
      </c>
      <c r="AX1129" s="46">
        <v>0</v>
      </c>
      <c r="AY1129" s="46">
        <v>0</v>
      </c>
      <c r="AZ1129" s="46">
        <v>0</v>
      </c>
      <c r="BA1129" s="46">
        <v>0</v>
      </c>
      <c r="BB1129" s="46">
        <v>0</v>
      </c>
      <c r="BC1129" s="46">
        <v>0</v>
      </c>
      <c r="BD1129" s="46">
        <v>0</v>
      </c>
      <c r="BE1129" s="46">
        <v>0</v>
      </c>
      <c r="BF1129" s="46">
        <v>0</v>
      </c>
      <c r="BG1129" s="46" t="s">
        <v>48</v>
      </c>
      <c r="BH1129" s="46">
        <v>0</v>
      </c>
      <c r="BI1129" s="46">
        <v>0</v>
      </c>
      <c r="BJ1129" s="46">
        <v>0</v>
      </c>
      <c r="BK1129" s="46">
        <v>0</v>
      </c>
      <c r="BL1129" s="46">
        <v>0</v>
      </c>
      <c r="BM1129" s="46">
        <v>0</v>
      </c>
      <c r="BN1129" s="46">
        <v>0</v>
      </c>
    </row>
    <row r="1130" spans="1:66" x14ac:dyDescent="0.35">
      <c r="A1130" t="s">
        <v>7169</v>
      </c>
      <c r="B1130" s="44" t="s">
        <v>48</v>
      </c>
      <c r="C1130" t="s">
        <v>6417</v>
      </c>
      <c r="D1130" t="s">
        <v>216</v>
      </c>
      <c r="E1130" t="s">
        <v>7170</v>
      </c>
      <c r="F1130" t="s">
        <v>7165</v>
      </c>
      <c r="G1130" t="s">
        <v>47</v>
      </c>
      <c r="H1130">
        <v>0</v>
      </c>
      <c r="I1130" s="60" t="s">
        <v>51</v>
      </c>
      <c r="J1130" s="33" t="s">
        <v>45</v>
      </c>
      <c r="K1130" s="46">
        <v>1</v>
      </c>
      <c r="L1130">
        <v>72.599999999999994</v>
      </c>
      <c r="M1130" t="s">
        <v>48</v>
      </c>
      <c r="N1130" s="46">
        <v>1</v>
      </c>
      <c r="O1130" s="46">
        <v>0</v>
      </c>
      <c r="P1130" s="46">
        <v>0</v>
      </c>
      <c r="Q1130" t="s">
        <v>48</v>
      </c>
      <c r="R1130" t="s">
        <v>48</v>
      </c>
      <c r="S1130" t="s">
        <v>7171</v>
      </c>
      <c r="T1130" t="s">
        <v>7172</v>
      </c>
      <c r="U1130" t="s">
        <v>7171</v>
      </c>
      <c r="V1130" s="47">
        <v>0</v>
      </c>
      <c r="W1130" t="s">
        <v>48</v>
      </c>
      <c r="X1130" t="s">
        <v>48</v>
      </c>
      <c r="Y1130" t="s">
        <v>48</v>
      </c>
      <c r="Z1130">
        <v>0</v>
      </c>
      <c r="AA1130" t="s">
        <v>48</v>
      </c>
      <c r="AB1130">
        <v>2012</v>
      </c>
      <c r="AC1130" t="s">
        <v>49</v>
      </c>
      <c r="AD1130" t="s">
        <v>93</v>
      </c>
      <c r="AE1130" t="s">
        <v>4532</v>
      </c>
      <c r="AF1130" t="s">
        <v>48</v>
      </c>
      <c r="AG1130" t="s">
        <v>742</v>
      </c>
      <c r="AH1130" t="s">
        <v>93</v>
      </c>
      <c r="AI1130">
        <v>21367</v>
      </c>
      <c r="AJ1130">
        <v>1960</v>
      </c>
      <c r="AK1130" t="s">
        <v>9368</v>
      </c>
      <c r="AL1130" t="s">
        <v>9369</v>
      </c>
      <c r="AM1130">
        <v>0.51</v>
      </c>
      <c r="AN1130">
        <v>0.16</v>
      </c>
      <c r="AO1130">
        <v>0.51</v>
      </c>
      <c r="AP1130" s="46">
        <v>0</v>
      </c>
      <c r="AQ1130" s="46">
        <v>0</v>
      </c>
      <c r="AR1130" s="46">
        <v>0</v>
      </c>
      <c r="AS1130" s="46">
        <v>0</v>
      </c>
      <c r="AT1130" s="46">
        <v>0</v>
      </c>
      <c r="AU1130" s="46">
        <v>0</v>
      </c>
      <c r="AV1130" s="46">
        <v>0</v>
      </c>
      <c r="AW1130" s="46">
        <v>0</v>
      </c>
      <c r="AX1130" s="46">
        <v>0</v>
      </c>
      <c r="AY1130" s="46">
        <v>0</v>
      </c>
      <c r="AZ1130" s="46">
        <v>0</v>
      </c>
      <c r="BA1130" s="46">
        <v>0</v>
      </c>
      <c r="BB1130" s="46">
        <v>1</v>
      </c>
      <c r="BC1130" s="46">
        <v>0</v>
      </c>
      <c r="BD1130" s="46">
        <v>0</v>
      </c>
      <c r="BE1130" s="46">
        <v>0</v>
      </c>
      <c r="BF1130" s="46">
        <v>0</v>
      </c>
      <c r="BG1130" s="46">
        <v>1</v>
      </c>
      <c r="BH1130" s="46">
        <v>0</v>
      </c>
      <c r="BI1130" s="46">
        <v>0</v>
      </c>
      <c r="BJ1130" s="46">
        <v>0</v>
      </c>
      <c r="BK1130" s="46">
        <v>0</v>
      </c>
      <c r="BL1130" s="46">
        <v>0</v>
      </c>
      <c r="BM1130" s="46">
        <v>0</v>
      </c>
      <c r="BN1130" s="46">
        <v>0</v>
      </c>
    </row>
    <row r="1131" spans="1:66" ht="15" x14ac:dyDescent="0.4">
      <c r="A1131" t="s">
        <v>11115</v>
      </c>
      <c r="B1131" t="s">
        <v>48</v>
      </c>
      <c r="C1131" t="s">
        <v>11126</v>
      </c>
      <c r="D1131" t="s">
        <v>193</v>
      </c>
      <c r="E1131" t="s">
        <v>11123</v>
      </c>
      <c r="F1131" t="s">
        <v>7165</v>
      </c>
      <c r="G1131" t="s">
        <v>11112</v>
      </c>
      <c r="H1131">
        <v>0</v>
      </c>
      <c r="I1131" s="61">
        <v>44859</v>
      </c>
      <c r="J1131" s="46" t="s">
        <v>45</v>
      </c>
      <c r="K1131" s="46">
        <v>0</v>
      </c>
      <c r="L1131" t="s">
        <v>48</v>
      </c>
      <c r="M1131" t="s">
        <v>48</v>
      </c>
      <c r="N1131" s="46">
        <v>1</v>
      </c>
      <c r="O1131" s="46">
        <v>0</v>
      </c>
      <c r="P1131" s="46">
        <v>0</v>
      </c>
      <c r="Q1131" t="s">
        <v>48</v>
      </c>
      <c r="R1131" t="s">
        <v>48</v>
      </c>
      <c r="S1131" s="55" t="s">
        <v>11117</v>
      </c>
      <c r="T1131" t="s">
        <v>48</v>
      </c>
      <c r="U1131" s="55" t="s">
        <v>11117</v>
      </c>
      <c r="V1131" t="s">
        <v>48</v>
      </c>
      <c r="W1131" t="s">
        <v>48</v>
      </c>
      <c r="X1131" t="s">
        <v>48</v>
      </c>
      <c r="Y1131" t="s">
        <v>48</v>
      </c>
      <c r="Z1131">
        <v>0</v>
      </c>
      <c r="AA1131" t="s">
        <v>11116</v>
      </c>
      <c r="AB1131" t="s">
        <v>48</v>
      </c>
      <c r="AC1131" t="s">
        <v>48</v>
      </c>
      <c r="AD1131" t="s">
        <v>48</v>
      </c>
      <c r="AE1131" t="s">
        <v>48</v>
      </c>
      <c r="AF1131" t="s">
        <v>48</v>
      </c>
      <c r="AG1131" t="s">
        <v>48</v>
      </c>
      <c r="AH1131" t="s">
        <v>48</v>
      </c>
      <c r="AI1131" t="s">
        <v>48</v>
      </c>
      <c r="AJ1131" t="s">
        <v>48</v>
      </c>
      <c r="AK1131" t="s">
        <v>48</v>
      </c>
      <c r="AL1131" t="s">
        <v>48</v>
      </c>
      <c r="AM1131" t="s">
        <v>48</v>
      </c>
      <c r="AN1131" t="s">
        <v>48</v>
      </c>
      <c r="AO1131" t="s">
        <v>48</v>
      </c>
      <c r="AP1131" s="46">
        <v>0</v>
      </c>
      <c r="AQ1131" s="46">
        <v>0</v>
      </c>
      <c r="AR1131" s="46">
        <v>0</v>
      </c>
      <c r="AS1131" s="46">
        <v>0</v>
      </c>
      <c r="AT1131" s="46">
        <v>0</v>
      </c>
      <c r="AU1131" s="46">
        <v>0</v>
      </c>
      <c r="AV1131" s="46">
        <v>0</v>
      </c>
      <c r="AW1131" s="46">
        <v>1</v>
      </c>
      <c r="AX1131" s="46">
        <v>0</v>
      </c>
      <c r="AY1131" s="46">
        <v>0</v>
      </c>
      <c r="AZ1131" s="46">
        <v>0</v>
      </c>
      <c r="BA1131" s="46">
        <v>0</v>
      </c>
      <c r="BB1131" s="46">
        <v>0</v>
      </c>
      <c r="BC1131" s="46">
        <v>0</v>
      </c>
      <c r="BD1131" s="46">
        <v>0</v>
      </c>
      <c r="BE1131" s="46">
        <v>0</v>
      </c>
      <c r="BF1131" s="46">
        <v>0</v>
      </c>
      <c r="BG1131" s="46" t="s">
        <v>48</v>
      </c>
      <c r="BH1131" s="46">
        <v>0</v>
      </c>
      <c r="BI1131" s="46">
        <v>0</v>
      </c>
      <c r="BJ1131" s="46">
        <v>0</v>
      </c>
      <c r="BK1131" s="46">
        <v>0</v>
      </c>
      <c r="BL1131" s="46">
        <v>1</v>
      </c>
      <c r="BM1131" s="46">
        <v>0</v>
      </c>
      <c r="BN1131" s="46">
        <v>0</v>
      </c>
    </row>
    <row r="1132" spans="1:66" ht="15" x14ac:dyDescent="0.4">
      <c r="A1132" t="s">
        <v>9769</v>
      </c>
      <c r="B1132" s="44" t="s">
        <v>48</v>
      </c>
      <c r="C1132" t="s">
        <v>777</v>
      </c>
      <c r="D1132" t="s">
        <v>11712</v>
      </c>
      <c r="E1132" t="s">
        <v>9770</v>
      </c>
      <c r="F1132" t="s">
        <v>7165</v>
      </c>
      <c r="G1132" t="s">
        <v>74</v>
      </c>
      <c r="H1132">
        <v>0</v>
      </c>
      <c r="I1132" s="61" t="s">
        <v>11160</v>
      </c>
      <c r="J1132" s="33" t="s">
        <v>45</v>
      </c>
      <c r="K1132" s="46">
        <v>0</v>
      </c>
      <c r="L1132">
        <v>100</v>
      </c>
      <c r="M1132" t="s">
        <v>48</v>
      </c>
      <c r="N1132" s="46">
        <v>1</v>
      </c>
      <c r="O1132" s="46">
        <v>0</v>
      </c>
      <c r="P1132" s="46">
        <v>0</v>
      </c>
      <c r="Q1132" t="s">
        <v>48</v>
      </c>
      <c r="R1132" t="s">
        <v>48</v>
      </c>
      <c r="S1132" s="55" t="s">
        <v>11286</v>
      </c>
      <c r="T1132" t="s">
        <v>48</v>
      </c>
      <c r="U1132" s="55" t="s">
        <v>11286</v>
      </c>
      <c r="V1132" s="47">
        <v>1</v>
      </c>
      <c r="W1132" t="s">
        <v>48</v>
      </c>
      <c r="X1132" t="s">
        <v>48</v>
      </c>
      <c r="Y1132" t="s">
        <v>48</v>
      </c>
      <c r="Z1132" t="s">
        <v>48</v>
      </c>
      <c r="AA1132" t="s">
        <v>48</v>
      </c>
      <c r="AB1132" t="s">
        <v>48</v>
      </c>
      <c r="AC1132" t="s">
        <v>49</v>
      </c>
      <c r="AD1132" t="s">
        <v>93</v>
      </c>
      <c r="AE1132" t="s">
        <v>2471</v>
      </c>
      <c r="AF1132" t="s">
        <v>48</v>
      </c>
      <c r="AG1132" t="s">
        <v>48</v>
      </c>
      <c r="AH1132" t="s">
        <v>48</v>
      </c>
      <c r="AI1132" t="s">
        <v>48</v>
      </c>
      <c r="AJ1132" t="s">
        <v>48</v>
      </c>
      <c r="AK1132" t="s">
        <v>48</v>
      </c>
      <c r="AL1132" t="s">
        <v>48</v>
      </c>
      <c r="AM1132" t="s">
        <v>48</v>
      </c>
      <c r="AN1132" t="s">
        <v>48</v>
      </c>
      <c r="AO1132" t="s">
        <v>48</v>
      </c>
      <c r="AP1132" s="46">
        <v>0</v>
      </c>
      <c r="AQ1132" s="46">
        <v>0</v>
      </c>
      <c r="AR1132" s="46">
        <v>0</v>
      </c>
      <c r="AS1132" s="46">
        <v>0</v>
      </c>
      <c r="AT1132" s="46">
        <v>0</v>
      </c>
      <c r="AU1132" s="46">
        <v>0</v>
      </c>
      <c r="AV1132" s="46">
        <v>0</v>
      </c>
      <c r="AW1132" s="46">
        <v>0</v>
      </c>
      <c r="AX1132" s="46">
        <v>0</v>
      </c>
      <c r="AY1132" s="46">
        <v>0</v>
      </c>
      <c r="AZ1132" s="46">
        <v>0</v>
      </c>
      <c r="BA1132" s="46">
        <v>0</v>
      </c>
      <c r="BB1132" s="46">
        <v>0</v>
      </c>
      <c r="BC1132" s="46">
        <v>0</v>
      </c>
      <c r="BD1132" s="46">
        <v>0</v>
      </c>
      <c r="BE1132" s="46">
        <v>0</v>
      </c>
      <c r="BF1132" s="46">
        <v>0</v>
      </c>
      <c r="BG1132" s="46" t="s">
        <v>48</v>
      </c>
      <c r="BH1132" s="46">
        <v>0</v>
      </c>
      <c r="BI1132" s="46">
        <v>0</v>
      </c>
      <c r="BJ1132" s="46">
        <v>0</v>
      </c>
      <c r="BK1132" s="46">
        <v>0</v>
      </c>
      <c r="BL1132" s="46">
        <v>0</v>
      </c>
      <c r="BM1132" s="46">
        <v>0</v>
      </c>
      <c r="BN1132" s="46">
        <v>0</v>
      </c>
    </row>
    <row r="1133" spans="1:66" x14ac:dyDescent="0.35">
      <c r="A1133" t="s">
        <v>9773</v>
      </c>
      <c r="B1133" s="44" t="s">
        <v>48</v>
      </c>
      <c r="C1133" t="s">
        <v>340</v>
      </c>
      <c r="D1133" t="s">
        <v>171</v>
      </c>
      <c r="E1133" t="s">
        <v>9774</v>
      </c>
      <c r="F1133" t="s">
        <v>7173</v>
      </c>
      <c r="G1133" t="s">
        <v>74</v>
      </c>
      <c r="H1133">
        <v>0</v>
      </c>
      <c r="I1133" s="61">
        <v>44757</v>
      </c>
      <c r="J1133" s="33" t="s">
        <v>45</v>
      </c>
      <c r="K1133" s="46">
        <v>0</v>
      </c>
      <c r="L1133">
        <v>100</v>
      </c>
      <c r="M1133" t="s">
        <v>48</v>
      </c>
      <c r="N1133" s="46">
        <v>1</v>
      </c>
      <c r="O1133" s="46">
        <v>0</v>
      </c>
      <c r="P1133" s="46">
        <v>0</v>
      </c>
      <c r="Q1133" t="s">
        <v>48</v>
      </c>
      <c r="R1133" t="s">
        <v>48</v>
      </c>
      <c r="S1133" t="s">
        <v>48</v>
      </c>
      <c r="T1133" t="s">
        <v>48</v>
      </c>
      <c r="U1133" t="s">
        <v>48</v>
      </c>
      <c r="V1133" s="47">
        <v>1</v>
      </c>
      <c r="W1133" t="s">
        <v>11264</v>
      </c>
      <c r="X1133" t="s">
        <v>48</v>
      </c>
      <c r="Y1133" t="s">
        <v>48</v>
      </c>
      <c r="Z1133" t="s">
        <v>48</v>
      </c>
      <c r="AA1133" t="s">
        <v>48</v>
      </c>
      <c r="AB1133" t="s">
        <v>48</v>
      </c>
      <c r="AC1133" t="s">
        <v>49</v>
      </c>
      <c r="AD1133" t="s">
        <v>93</v>
      </c>
      <c r="AE1133" t="s">
        <v>4532</v>
      </c>
      <c r="AF1133" t="s">
        <v>48</v>
      </c>
      <c r="AG1133" t="s">
        <v>48</v>
      </c>
      <c r="AH1133" t="s">
        <v>48</v>
      </c>
      <c r="AI1133" t="s">
        <v>48</v>
      </c>
      <c r="AJ1133" t="s">
        <v>48</v>
      </c>
      <c r="AK1133" t="s">
        <v>48</v>
      </c>
      <c r="AL1133" t="s">
        <v>48</v>
      </c>
      <c r="AM1133" t="s">
        <v>48</v>
      </c>
      <c r="AN1133" t="s">
        <v>48</v>
      </c>
      <c r="AO1133" t="s">
        <v>48</v>
      </c>
      <c r="AP1133" s="46">
        <v>0</v>
      </c>
      <c r="AQ1133" s="46">
        <v>0</v>
      </c>
      <c r="AR1133" s="46">
        <v>0</v>
      </c>
      <c r="AS1133" s="46">
        <v>0</v>
      </c>
      <c r="AT1133" s="46">
        <v>0</v>
      </c>
      <c r="AU1133" s="46">
        <v>0</v>
      </c>
      <c r="AV1133" s="46">
        <v>0</v>
      </c>
      <c r="AW1133" s="46">
        <v>0</v>
      </c>
      <c r="AX1133" s="46">
        <v>0</v>
      </c>
      <c r="AY1133" s="46">
        <v>0</v>
      </c>
      <c r="AZ1133" s="46">
        <v>0</v>
      </c>
      <c r="BA1133" s="46">
        <v>0</v>
      </c>
      <c r="BB1133" s="46">
        <v>0</v>
      </c>
      <c r="BC1133" s="46">
        <v>0</v>
      </c>
      <c r="BD1133" s="46">
        <v>0</v>
      </c>
      <c r="BE1133" s="46">
        <v>0</v>
      </c>
      <c r="BF1133" s="46">
        <v>0</v>
      </c>
      <c r="BG1133" s="46" t="s">
        <v>48</v>
      </c>
      <c r="BH1133" s="46">
        <v>0</v>
      </c>
      <c r="BI1133" s="46">
        <v>0</v>
      </c>
      <c r="BJ1133" s="46">
        <v>0</v>
      </c>
      <c r="BK1133" s="46">
        <v>0</v>
      </c>
      <c r="BL1133" s="46">
        <v>0</v>
      </c>
      <c r="BM1133" s="46">
        <v>0</v>
      </c>
      <c r="BN1133" s="46">
        <v>0</v>
      </c>
    </row>
    <row r="1134" spans="1:66" x14ac:dyDescent="0.35">
      <c r="A1134" t="s">
        <v>7174</v>
      </c>
      <c r="B1134" t="s">
        <v>48</v>
      </c>
      <c r="C1134" t="s">
        <v>3060</v>
      </c>
      <c r="D1134" t="s">
        <v>221</v>
      </c>
      <c r="E1134" t="s">
        <v>7175</v>
      </c>
      <c r="F1134" t="s">
        <v>7173</v>
      </c>
      <c r="G1134" t="s">
        <v>47</v>
      </c>
      <c r="H1134">
        <v>0</v>
      </c>
      <c r="I1134" s="60" t="s">
        <v>51</v>
      </c>
      <c r="J1134" s="33" t="s">
        <v>45</v>
      </c>
      <c r="K1134" s="46">
        <v>1</v>
      </c>
      <c r="L1134">
        <v>69.7</v>
      </c>
      <c r="M1134" t="s">
        <v>48</v>
      </c>
      <c r="N1134" s="46">
        <v>1</v>
      </c>
      <c r="O1134" s="46">
        <v>0</v>
      </c>
      <c r="P1134" s="46">
        <v>0</v>
      </c>
      <c r="Q1134" t="s">
        <v>48</v>
      </c>
      <c r="R1134" t="s">
        <v>48</v>
      </c>
      <c r="S1134" t="s">
        <v>7176</v>
      </c>
      <c r="T1134" t="s">
        <v>7177</v>
      </c>
      <c r="U1134" t="s">
        <v>7176</v>
      </c>
      <c r="V1134" s="47">
        <v>0</v>
      </c>
      <c r="W1134" t="s">
        <v>48</v>
      </c>
      <c r="X1134" t="s">
        <v>48</v>
      </c>
      <c r="Y1134" t="s">
        <v>48</v>
      </c>
      <c r="Z1134">
        <v>0</v>
      </c>
      <c r="AA1134" t="s">
        <v>48</v>
      </c>
      <c r="AB1134" t="s">
        <v>1288</v>
      </c>
      <c r="AC1134" t="s">
        <v>49</v>
      </c>
      <c r="AD1134" t="s">
        <v>93</v>
      </c>
      <c r="AE1134" t="s">
        <v>4532</v>
      </c>
      <c r="AF1134" t="s">
        <v>48</v>
      </c>
      <c r="AG1134" t="s">
        <v>742</v>
      </c>
      <c r="AH1134" t="s">
        <v>93</v>
      </c>
      <c r="AI1134">
        <v>21755</v>
      </c>
      <c r="AJ1134">
        <v>1960</v>
      </c>
      <c r="AK1134" t="s">
        <v>9370</v>
      </c>
      <c r="AL1134" t="s">
        <v>9371</v>
      </c>
      <c r="AM1134">
        <v>0.49399999999999999</v>
      </c>
      <c r="AN1134">
        <v>6.5000000000000002E-2</v>
      </c>
      <c r="AO1134">
        <v>0.49399999999999999</v>
      </c>
      <c r="AP1134" s="46">
        <v>0</v>
      </c>
      <c r="AQ1134" s="46">
        <v>0</v>
      </c>
      <c r="AR1134" s="46">
        <v>0</v>
      </c>
      <c r="AS1134" s="46">
        <v>0</v>
      </c>
      <c r="AT1134" s="46">
        <v>0</v>
      </c>
      <c r="AU1134" s="46">
        <v>0</v>
      </c>
      <c r="AV1134" s="46">
        <v>0</v>
      </c>
      <c r="AW1134" s="46">
        <v>0</v>
      </c>
      <c r="AX1134" s="46">
        <v>0</v>
      </c>
      <c r="AY1134" s="46">
        <v>1</v>
      </c>
      <c r="AZ1134" s="46">
        <v>1</v>
      </c>
      <c r="BA1134" s="46">
        <v>1</v>
      </c>
      <c r="BB1134" s="46">
        <v>1</v>
      </c>
      <c r="BC1134" s="46">
        <v>0</v>
      </c>
      <c r="BD1134" s="46">
        <v>0</v>
      </c>
      <c r="BE1134" s="46">
        <v>0</v>
      </c>
      <c r="BF1134" s="46">
        <v>0</v>
      </c>
      <c r="BG1134" s="46" t="s">
        <v>48</v>
      </c>
      <c r="BH1134" s="46">
        <v>0</v>
      </c>
      <c r="BI1134" s="46">
        <v>0</v>
      </c>
      <c r="BJ1134" s="46">
        <v>0</v>
      </c>
      <c r="BK1134" s="46">
        <v>0</v>
      </c>
      <c r="BL1134" s="46">
        <v>0</v>
      </c>
      <c r="BM1134" s="46">
        <v>0</v>
      </c>
      <c r="BN1134" s="46">
        <v>0</v>
      </c>
    </row>
    <row r="1135" spans="1:66" x14ac:dyDescent="0.35">
      <c r="A1135" t="s">
        <v>7183</v>
      </c>
      <c r="B1135" s="44" t="s">
        <v>48</v>
      </c>
      <c r="C1135" t="s">
        <v>7187</v>
      </c>
      <c r="D1135" t="s">
        <v>6756</v>
      </c>
      <c r="E1135" t="s">
        <v>7184</v>
      </c>
      <c r="F1135" t="s">
        <v>7178</v>
      </c>
      <c r="G1135" t="s">
        <v>47</v>
      </c>
      <c r="H1135">
        <v>0</v>
      </c>
      <c r="I1135" s="60" t="s">
        <v>51</v>
      </c>
      <c r="J1135" s="33" t="s">
        <v>45</v>
      </c>
      <c r="K1135" s="46">
        <v>1</v>
      </c>
      <c r="L1135">
        <v>61.9</v>
      </c>
      <c r="M1135" t="s">
        <v>48</v>
      </c>
      <c r="N1135" s="46">
        <v>1</v>
      </c>
      <c r="O1135" s="46">
        <v>0</v>
      </c>
      <c r="P1135" s="46">
        <v>0</v>
      </c>
      <c r="Q1135" t="s">
        <v>48</v>
      </c>
      <c r="R1135" t="s">
        <v>48</v>
      </c>
      <c r="S1135" t="s">
        <v>7185</v>
      </c>
      <c r="T1135" t="s">
        <v>7186</v>
      </c>
      <c r="U1135" t="s">
        <v>7185</v>
      </c>
      <c r="V1135" s="47">
        <v>0</v>
      </c>
      <c r="W1135" t="s">
        <v>48</v>
      </c>
      <c r="X1135" t="s">
        <v>48</v>
      </c>
      <c r="Y1135" t="s">
        <v>48</v>
      </c>
      <c r="Z1135">
        <v>1</v>
      </c>
      <c r="AA1135" t="s">
        <v>48</v>
      </c>
      <c r="AB1135">
        <v>2020</v>
      </c>
      <c r="AC1135" t="s">
        <v>49</v>
      </c>
      <c r="AD1135" t="s">
        <v>93</v>
      </c>
      <c r="AE1135" s="40" t="s">
        <v>2471</v>
      </c>
      <c r="AF1135" t="s">
        <v>11061</v>
      </c>
      <c r="AG1135" t="s">
        <v>742</v>
      </c>
      <c r="AH1135" t="s">
        <v>93</v>
      </c>
      <c r="AI1135">
        <v>22146</v>
      </c>
      <c r="AJ1135">
        <v>1951</v>
      </c>
      <c r="AK1135" t="s">
        <v>9372</v>
      </c>
      <c r="AL1135" t="s">
        <v>9373</v>
      </c>
      <c r="AM1135">
        <v>0.441</v>
      </c>
      <c r="AN1135">
        <v>0.23799999999999999</v>
      </c>
      <c r="AO1135">
        <v>0.441</v>
      </c>
      <c r="AP1135" s="46">
        <v>0</v>
      </c>
      <c r="AQ1135" s="46">
        <v>0</v>
      </c>
      <c r="AR1135" s="46">
        <v>0</v>
      </c>
      <c r="AS1135" s="46">
        <v>0</v>
      </c>
      <c r="AT1135" s="46">
        <v>0</v>
      </c>
      <c r="AU1135" s="46">
        <v>0</v>
      </c>
      <c r="AV1135" s="46">
        <v>0</v>
      </c>
      <c r="AW1135" s="46">
        <v>0</v>
      </c>
      <c r="AX1135" s="46">
        <v>0</v>
      </c>
      <c r="AY1135" s="46">
        <v>0</v>
      </c>
      <c r="AZ1135" s="46">
        <v>0</v>
      </c>
      <c r="BA1135" s="46">
        <v>0</v>
      </c>
      <c r="BB1135" s="46">
        <v>1</v>
      </c>
      <c r="BC1135" s="46">
        <v>0</v>
      </c>
      <c r="BD1135" s="46">
        <v>0</v>
      </c>
      <c r="BE1135" s="46">
        <v>0</v>
      </c>
      <c r="BF1135" s="46">
        <v>0</v>
      </c>
      <c r="BG1135" s="46">
        <v>1</v>
      </c>
      <c r="BH1135" s="46">
        <v>0</v>
      </c>
      <c r="BI1135" s="46">
        <v>0</v>
      </c>
      <c r="BJ1135" s="46">
        <v>0</v>
      </c>
      <c r="BK1135" s="46">
        <v>0</v>
      </c>
      <c r="BL1135" s="46">
        <v>0</v>
      </c>
      <c r="BM1135" s="46">
        <v>0</v>
      </c>
      <c r="BN1135" s="46">
        <v>0</v>
      </c>
    </row>
    <row r="1136" spans="1:66" x14ac:dyDescent="0.35">
      <c r="A1136" t="s">
        <v>9775</v>
      </c>
      <c r="B1136" s="44" t="s">
        <v>48</v>
      </c>
      <c r="C1136" t="s">
        <v>12318</v>
      </c>
      <c r="D1136" t="s">
        <v>11831</v>
      </c>
      <c r="E1136" t="s">
        <v>9776</v>
      </c>
      <c r="F1136" t="s">
        <v>7178</v>
      </c>
      <c r="G1136" t="s">
        <v>74</v>
      </c>
      <c r="H1136">
        <v>0</v>
      </c>
      <c r="I1136" s="61" t="s">
        <v>11160</v>
      </c>
      <c r="J1136" s="33" t="s">
        <v>45</v>
      </c>
      <c r="K1136" s="46">
        <v>0</v>
      </c>
      <c r="L1136">
        <v>100</v>
      </c>
      <c r="M1136" t="s">
        <v>48</v>
      </c>
      <c r="N1136" s="46">
        <v>1</v>
      </c>
      <c r="O1136" s="46">
        <v>0</v>
      </c>
      <c r="P1136" s="46">
        <v>0</v>
      </c>
      <c r="Q1136" t="s">
        <v>48</v>
      </c>
      <c r="R1136" t="s">
        <v>48</v>
      </c>
      <c r="S1136" t="s">
        <v>11287</v>
      </c>
      <c r="T1136" t="s">
        <v>48</v>
      </c>
      <c r="U1136" t="s">
        <v>11287</v>
      </c>
      <c r="V1136" s="47">
        <v>0</v>
      </c>
      <c r="W1136" t="s">
        <v>11167</v>
      </c>
      <c r="X1136" t="s">
        <v>48</v>
      </c>
      <c r="Y1136" t="s">
        <v>48</v>
      </c>
      <c r="Z1136" t="s">
        <v>48</v>
      </c>
      <c r="AA1136" t="s">
        <v>48</v>
      </c>
      <c r="AB1136" t="s">
        <v>48</v>
      </c>
      <c r="AC1136" t="s">
        <v>63</v>
      </c>
      <c r="AD1136" t="s">
        <v>93</v>
      </c>
      <c r="AE1136" t="s">
        <v>2471</v>
      </c>
      <c r="AF1136" t="s">
        <v>48</v>
      </c>
      <c r="AG1136" t="s">
        <v>48</v>
      </c>
      <c r="AH1136" t="s">
        <v>48</v>
      </c>
      <c r="AI1136" t="s">
        <v>48</v>
      </c>
      <c r="AJ1136" t="s">
        <v>48</v>
      </c>
      <c r="AK1136" t="s">
        <v>48</v>
      </c>
      <c r="AL1136" t="s">
        <v>48</v>
      </c>
      <c r="AM1136" t="s">
        <v>48</v>
      </c>
      <c r="AN1136" t="s">
        <v>48</v>
      </c>
      <c r="AO1136" t="s">
        <v>48</v>
      </c>
      <c r="AP1136" s="46">
        <v>0</v>
      </c>
      <c r="AQ1136" s="46">
        <v>0</v>
      </c>
      <c r="AR1136" s="46">
        <v>0</v>
      </c>
      <c r="AS1136" s="46">
        <v>0</v>
      </c>
      <c r="AT1136" s="46">
        <v>0</v>
      </c>
      <c r="AU1136" s="46">
        <v>0</v>
      </c>
      <c r="AV1136" s="46">
        <v>0</v>
      </c>
      <c r="AW1136" s="46">
        <v>0</v>
      </c>
      <c r="AX1136" s="46">
        <v>0</v>
      </c>
      <c r="AY1136" s="46">
        <v>0</v>
      </c>
      <c r="AZ1136" s="46">
        <v>0</v>
      </c>
      <c r="BA1136" s="46">
        <v>0</v>
      </c>
      <c r="BB1136" s="46">
        <v>0</v>
      </c>
      <c r="BC1136" s="46">
        <v>0</v>
      </c>
      <c r="BD1136" s="46">
        <v>0</v>
      </c>
      <c r="BE1136" s="46">
        <v>0</v>
      </c>
      <c r="BF1136" s="46">
        <v>0</v>
      </c>
      <c r="BG1136" s="46" t="s">
        <v>48</v>
      </c>
      <c r="BH1136" s="46">
        <v>0</v>
      </c>
      <c r="BI1136" s="46">
        <v>0</v>
      </c>
      <c r="BJ1136" s="46">
        <v>0</v>
      </c>
      <c r="BK1136" s="46">
        <v>0</v>
      </c>
      <c r="BL1136" s="46">
        <v>0</v>
      </c>
      <c r="BM1136" s="46">
        <v>0</v>
      </c>
      <c r="BN1136" s="46">
        <v>0</v>
      </c>
    </row>
    <row r="1137" spans="1:66" ht="15" x14ac:dyDescent="0.4">
      <c r="A1137" t="s">
        <v>11119</v>
      </c>
      <c r="B1137" t="s">
        <v>48</v>
      </c>
      <c r="C1137" t="s">
        <v>2492</v>
      </c>
      <c r="D1137" t="s">
        <v>11127</v>
      </c>
      <c r="E1137" t="s">
        <v>11124</v>
      </c>
      <c r="F1137" t="s">
        <v>7178</v>
      </c>
      <c r="G1137" t="s">
        <v>11112</v>
      </c>
      <c r="H1137">
        <v>0</v>
      </c>
      <c r="I1137" s="61">
        <v>44859</v>
      </c>
      <c r="J1137" s="46" t="s">
        <v>45</v>
      </c>
      <c r="K1137" s="46">
        <v>0</v>
      </c>
      <c r="L1137" t="s">
        <v>48</v>
      </c>
      <c r="M1137" t="s">
        <v>48</v>
      </c>
      <c r="N1137" s="46">
        <v>1</v>
      </c>
      <c r="O1137" s="46">
        <v>0</v>
      </c>
      <c r="P1137" s="46">
        <v>0</v>
      </c>
      <c r="Q1137" t="s">
        <v>48</v>
      </c>
      <c r="R1137" t="s">
        <v>48</v>
      </c>
      <c r="S1137" s="55" t="s">
        <v>11121</v>
      </c>
      <c r="T1137" t="s">
        <v>48</v>
      </c>
      <c r="U1137" s="55" t="s">
        <v>11121</v>
      </c>
      <c r="V1137" t="s">
        <v>48</v>
      </c>
      <c r="W1137" t="s">
        <v>48</v>
      </c>
      <c r="X1137" t="s">
        <v>48</v>
      </c>
      <c r="Y1137" t="s">
        <v>48</v>
      </c>
      <c r="Z1137">
        <v>0</v>
      </c>
      <c r="AA1137" t="s">
        <v>11120</v>
      </c>
      <c r="AB1137" t="s">
        <v>48</v>
      </c>
      <c r="AC1137" t="s">
        <v>48</v>
      </c>
      <c r="AD1137" t="s">
        <v>48</v>
      </c>
      <c r="AE1137" t="s">
        <v>48</v>
      </c>
      <c r="AF1137" t="s">
        <v>48</v>
      </c>
      <c r="AG1137" t="s">
        <v>48</v>
      </c>
      <c r="AH1137" t="s">
        <v>48</v>
      </c>
      <c r="AI1137" t="s">
        <v>48</v>
      </c>
      <c r="AJ1137" t="s">
        <v>48</v>
      </c>
      <c r="AK1137" t="s">
        <v>48</v>
      </c>
      <c r="AL1137" t="s">
        <v>48</v>
      </c>
      <c r="AM1137" t="s">
        <v>48</v>
      </c>
      <c r="AN1137" t="s">
        <v>48</v>
      </c>
      <c r="AO1137" t="s">
        <v>48</v>
      </c>
      <c r="AP1137" s="46">
        <v>0</v>
      </c>
      <c r="AQ1137" s="46">
        <v>0</v>
      </c>
      <c r="AR1137" s="46">
        <v>0</v>
      </c>
      <c r="AS1137" s="46">
        <v>0</v>
      </c>
      <c r="AT1137" s="46">
        <v>0</v>
      </c>
      <c r="AU1137" s="46">
        <v>0</v>
      </c>
      <c r="AV1137" s="46">
        <v>0</v>
      </c>
      <c r="AW1137" s="46">
        <v>1</v>
      </c>
      <c r="AX1137" s="46">
        <v>0</v>
      </c>
      <c r="AY1137" s="46">
        <v>0</v>
      </c>
      <c r="AZ1137" s="46">
        <v>0</v>
      </c>
      <c r="BA1137" s="46">
        <v>0</v>
      </c>
      <c r="BB1137" s="46">
        <v>0</v>
      </c>
      <c r="BC1137" s="46">
        <v>0</v>
      </c>
      <c r="BD1137" s="46">
        <v>0</v>
      </c>
      <c r="BE1137" s="46">
        <v>0</v>
      </c>
      <c r="BF1137" s="46">
        <v>0</v>
      </c>
      <c r="BG1137" s="46" t="s">
        <v>48</v>
      </c>
      <c r="BH1137" s="46">
        <v>0</v>
      </c>
      <c r="BI1137" s="46">
        <v>0</v>
      </c>
      <c r="BJ1137" s="46">
        <v>0</v>
      </c>
      <c r="BK1137" s="46">
        <v>0</v>
      </c>
      <c r="BL1137" s="46">
        <v>1</v>
      </c>
      <c r="BM1137" s="46">
        <v>0</v>
      </c>
      <c r="BN1137" s="46">
        <v>0</v>
      </c>
    </row>
    <row r="1138" spans="1:66" ht="15" x14ac:dyDescent="0.4">
      <c r="A1138" t="s">
        <v>8433</v>
      </c>
      <c r="B1138" s="44" t="s">
        <v>48</v>
      </c>
      <c r="C1138" t="s">
        <v>886</v>
      </c>
      <c r="D1138" t="s">
        <v>12341</v>
      </c>
      <c r="E1138" t="s">
        <v>8432</v>
      </c>
      <c r="F1138" t="s">
        <v>7207</v>
      </c>
      <c r="G1138" t="s">
        <v>74</v>
      </c>
      <c r="H1138">
        <v>0</v>
      </c>
      <c r="I1138" s="61" t="s">
        <v>11160</v>
      </c>
      <c r="J1138" s="33" t="s">
        <v>45</v>
      </c>
      <c r="K1138" s="46">
        <v>0</v>
      </c>
      <c r="L1138">
        <v>100</v>
      </c>
      <c r="M1138" t="s">
        <v>48</v>
      </c>
      <c r="N1138" s="46">
        <v>1</v>
      </c>
      <c r="O1138" s="46">
        <v>0</v>
      </c>
      <c r="P1138" s="46">
        <v>0</v>
      </c>
      <c r="Q1138" t="s">
        <v>48</v>
      </c>
      <c r="R1138" t="s">
        <v>48</v>
      </c>
      <c r="S1138" s="55" t="s">
        <v>11288</v>
      </c>
      <c r="T1138" t="s">
        <v>48</v>
      </c>
      <c r="U1138" s="55" t="s">
        <v>11288</v>
      </c>
      <c r="V1138" s="47">
        <v>0</v>
      </c>
      <c r="W1138" t="s">
        <v>48</v>
      </c>
      <c r="X1138" t="s">
        <v>48</v>
      </c>
      <c r="Y1138" t="s">
        <v>48</v>
      </c>
      <c r="Z1138" t="s">
        <v>48</v>
      </c>
      <c r="AA1138" t="s">
        <v>48</v>
      </c>
      <c r="AB1138" t="s">
        <v>48</v>
      </c>
      <c r="AC1138" t="s">
        <v>49</v>
      </c>
      <c r="AD1138" t="s">
        <v>93</v>
      </c>
      <c r="AE1138" t="s">
        <v>2471</v>
      </c>
      <c r="AF1138" t="s">
        <v>48</v>
      </c>
      <c r="AG1138" t="s">
        <v>48</v>
      </c>
      <c r="AH1138" t="s">
        <v>48</v>
      </c>
      <c r="AI1138" t="s">
        <v>48</v>
      </c>
      <c r="AJ1138" t="s">
        <v>48</v>
      </c>
      <c r="AK1138" t="s">
        <v>48</v>
      </c>
      <c r="AL1138" t="s">
        <v>48</v>
      </c>
      <c r="AM1138" t="s">
        <v>48</v>
      </c>
      <c r="AN1138" t="s">
        <v>48</v>
      </c>
      <c r="AO1138" t="s">
        <v>48</v>
      </c>
      <c r="AP1138" s="46">
        <v>0</v>
      </c>
      <c r="AQ1138" s="46">
        <v>0</v>
      </c>
      <c r="AR1138" s="46">
        <v>1</v>
      </c>
      <c r="AS1138" s="46">
        <v>0</v>
      </c>
      <c r="AT1138" s="46">
        <v>0</v>
      </c>
      <c r="AU1138" s="46">
        <v>0</v>
      </c>
      <c r="AV1138" s="46">
        <v>0</v>
      </c>
      <c r="AW1138" s="46">
        <v>0</v>
      </c>
      <c r="AX1138" s="46">
        <v>0</v>
      </c>
      <c r="AY1138" s="46">
        <v>0</v>
      </c>
      <c r="AZ1138" s="46">
        <v>0</v>
      </c>
      <c r="BA1138" s="46">
        <v>0</v>
      </c>
      <c r="BB1138" s="46">
        <v>0</v>
      </c>
      <c r="BC1138" s="46">
        <v>0</v>
      </c>
      <c r="BD1138" s="46">
        <v>0</v>
      </c>
      <c r="BE1138" s="46">
        <v>0</v>
      </c>
      <c r="BF1138" s="46">
        <v>0</v>
      </c>
      <c r="BG1138" s="46" t="s">
        <v>48</v>
      </c>
      <c r="BH1138" s="46">
        <v>0</v>
      </c>
      <c r="BI1138" s="46">
        <v>0</v>
      </c>
      <c r="BJ1138" s="46">
        <v>0</v>
      </c>
      <c r="BK1138" s="46">
        <v>1</v>
      </c>
      <c r="BL1138" s="46">
        <v>0</v>
      </c>
      <c r="BM1138" s="46">
        <v>0</v>
      </c>
      <c r="BN1138" s="46">
        <v>0</v>
      </c>
    </row>
    <row r="1139" spans="1:66" x14ac:dyDescent="0.35">
      <c r="A1139" t="s">
        <v>7208</v>
      </c>
      <c r="B1139" s="44" t="s">
        <v>48</v>
      </c>
      <c r="C1139" t="s">
        <v>7212</v>
      </c>
      <c r="D1139" t="s">
        <v>2698</v>
      </c>
      <c r="E1139" t="s">
        <v>7209</v>
      </c>
      <c r="F1139" t="s">
        <v>7207</v>
      </c>
      <c r="G1139" t="s">
        <v>47</v>
      </c>
      <c r="H1139">
        <v>0</v>
      </c>
      <c r="I1139" s="60" t="s">
        <v>51</v>
      </c>
      <c r="J1139" s="33" t="s">
        <v>45</v>
      </c>
      <c r="K1139" s="46">
        <v>1</v>
      </c>
      <c r="L1139">
        <v>100</v>
      </c>
      <c r="M1139" t="s">
        <v>48</v>
      </c>
      <c r="N1139" s="46">
        <v>1</v>
      </c>
      <c r="O1139" s="46">
        <v>0</v>
      </c>
      <c r="P1139" s="46">
        <v>0</v>
      </c>
      <c r="Q1139" t="s">
        <v>48</v>
      </c>
      <c r="R1139" t="s">
        <v>48</v>
      </c>
      <c r="S1139" t="s">
        <v>7210</v>
      </c>
      <c r="T1139" t="s">
        <v>7211</v>
      </c>
      <c r="U1139" t="s">
        <v>7210</v>
      </c>
      <c r="V1139" s="47">
        <v>0</v>
      </c>
      <c r="W1139" t="s">
        <v>48</v>
      </c>
      <c r="X1139" t="s">
        <v>48</v>
      </c>
      <c r="Y1139" t="s">
        <v>48</v>
      </c>
      <c r="Z1139">
        <v>0</v>
      </c>
      <c r="AA1139" t="s">
        <v>48</v>
      </c>
      <c r="AB1139" t="s">
        <v>5394</v>
      </c>
      <c r="AC1139" t="s">
        <v>49</v>
      </c>
      <c r="AD1139" t="s">
        <v>93</v>
      </c>
      <c r="AE1139" t="s">
        <v>4532</v>
      </c>
      <c r="AF1139" t="s">
        <v>48</v>
      </c>
      <c r="AG1139" t="s">
        <v>119</v>
      </c>
      <c r="AH1139" t="s">
        <v>93</v>
      </c>
      <c r="AI1139">
        <v>20756</v>
      </c>
      <c r="AJ1139">
        <v>1959</v>
      </c>
      <c r="AK1139" t="s">
        <v>9374</v>
      </c>
      <c r="AL1139" t="s">
        <v>9375</v>
      </c>
      <c r="AM1139">
        <v>0.44500000000000001</v>
      </c>
      <c r="AN1139">
        <v>-2E-3</v>
      </c>
      <c r="AO1139">
        <v>0.44500000000000001</v>
      </c>
      <c r="AP1139" s="46">
        <v>0</v>
      </c>
      <c r="AQ1139" s="46">
        <v>0</v>
      </c>
      <c r="AR1139" s="46">
        <v>0</v>
      </c>
      <c r="AS1139" s="46">
        <v>0</v>
      </c>
      <c r="AT1139" s="46">
        <v>0</v>
      </c>
      <c r="AU1139" s="46">
        <v>0</v>
      </c>
      <c r="AV1139" s="46">
        <v>0</v>
      </c>
      <c r="AW1139" s="46">
        <v>0</v>
      </c>
      <c r="AX1139" s="46">
        <v>0</v>
      </c>
      <c r="AY1139" s="46">
        <v>0</v>
      </c>
      <c r="AZ1139" s="46">
        <v>0</v>
      </c>
      <c r="BA1139" s="46">
        <v>0</v>
      </c>
      <c r="BB1139" s="46">
        <v>1</v>
      </c>
      <c r="BC1139" s="46">
        <v>0</v>
      </c>
      <c r="BD1139" s="46">
        <v>0</v>
      </c>
      <c r="BE1139" s="46">
        <v>0</v>
      </c>
      <c r="BF1139" s="46">
        <v>0</v>
      </c>
      <c r="BG1139" s="46">
        <v>1</v>
      </c>
      <c r="BH1139" s="46">
        <v>0</v>
      </c>
      <c r="BI1139" s="46">
        <v>0</v>
      </c>
      <c r="BJ1139" s="46">
        <v>0</v>
      </c>
      <c r="BK1139" s="46">
        <v>0</v>
      </c>
      <c r="BL1139" s="46">
        <v>0</v>
      </c>
      <c r="BM1139" s="46">
        <v>0</v>
      </c>
      <c r="BN1139" s="46">
        <v>0</v>
      </c>
    </row>
    <row r="1140" spans="1:66" x14ac:dyDescent="0.35">
      <c r="A1140" t="s">
        <v>7229</v>
      </c>
      <c r="B1140" t="s">
        <v>48</v>
      </c>
      <c r="C1140" t="s">
        <v>7233</v>
      </c>
      <c r="D1140" t="s">
        <v>3618</v>
      </c>
      <c r="E1140" t="s">
        <v>7230</v>
      </c>
      <c r="F1140" t="s">
        <v>7214</v>
      </c>
      <c r="G1140" t="s">
        <v>74</v>
      </c>
      <c r="H1140">
        <v>0</v>
      </c>
      <c r="I1140" s="60" t="s">
        <v>51</v>
      </c>
      <c r="J1140" s="33" t="s">
        <v>45</v>
      </c>
      <c r="K1140" s="46">
        <v>1</v>
      </c>
      <c r="L1140">
        <v>100</v>
      </c>
      <c r="M1140" t="s">
        <v>48</v>
      </c>
      <c r="N1140" s="46">
        <v>1</v>
      </c>
      <c r="O1140" s="46">
        <v>0</v>
      </c>
      <c r="P1140" s="46">
        <v>0</v>
      </c>
      <c r="Q1140" t="s">
        <v>48</v>
      </c>
      <c r="R1140" t="s">
        <v>48</v>
      </c>
      <c r="S1140" t="s">
        <v>7231</v>
      </c>
      <c r="T1140" t="s">
        <v>7232</v>
      </c>
      <c r="U1140" t="s">
        <v>7231</v>
      </c>
      <c r="V1140" s="47">
        <v>0</v>
      </c>
      <c r="W1140" t="s">
        <v>48</v>
      </c>
      <c r="X1140" t="s">
        <v>48</v>
      </c>
      <c r="Y1140" t="s">
        <v>48</v>
      </c>
      <c r="Z1140">
        <v>0</v>
      </c>
      <c r="AA1140" t="s">
        <v>48</v>
      </c>
      <c r="AB1140">
        <v>2018</v>
      </c>
      <c r="AC1140" t="s">
        <v>63</v>
      </c>
      <c r="AD1140" t="s">
        <v>93</v>
      </c>
      <c r="AE1140" t="s">
        <v>4532</v>
      </c>
      <c r="AF1140" t="s">
        <v>48</v>
      </c>
      <c r="AG1140" t="s">
        <v>633</v>
      </c>
      <c r="AH1140" t="s">
        <v>93</v>
      </c>
      <c r="AI1140">
        <v>21941</v>
      </c>
      <c r="AJ1140">
        <v>1975</v>
      </c>
      <c r="AK1140" t="s">
        <v>9376</v>
      </c>
      <c r="AL1140" t="s">
        <v>9377</v>
      </c>
      <c r="AM1140">
        <v>-0.20200000000000001</v>
      </c>
      <c r="AN1140">
        <v>0.41199999999999998</v>
      </c>
      <c r="AO1140">
        <v>-0.20200000000000001</v>
      </c>
      <c r="AP1140" s="46">
        <v>0</v>
      </c>
      <c r="AQ1140" s="46">
        <v>0</v>
      </c>
      <c r="AR1140" s="46">
        <v>0</v>
      </c>
      <c r="AS1140" s="46">
        <v>0</v>
      </c>
      <c r="AT1140" s="46">
        <v>0</v>
      </c>
      <c r="AU1140" s="46">
        <v>1</v>
      </c>
      <c r="AV1140" s="46">
        <v>0</v>
      </c>
      <c r="AW1140" s="46">
        <v>0</v>
      </c>
      <c r="AX1140" s="46">
        <v>1</v>
      </c>
      <c r="AY1140" s="46">
        <v>0</v>
      </c>
      <c r="AZ1140" s="46">
        <v>0</v>
      </c>
      <c r="BA1140" s="46">
        <v>1</v>
      </c>
      <c r="BB1140" s="46">
        <v>0</v>
      </c>
      <c r="BC1140" s="46">
        <v>0</v>
      </c>
      <c r="BD1140" s="46">
        <v>0</v>
      </c>
      <c r="BE1140" s="46">
        <v>0</v>
      </c>
      <c r="BF1140" s="46">
        <v>0</v>
      </c>
      <c r="BG1140" s="46" t="s">
        <v>48</v>
      </c>
      <c r="BH1140" s="46">
        <v>0</v>
      </c>
      <c r="BI1140" s="46">
        <v>0</v>
      </c>
      <c r="BJ1140" s="46">
        <v>0</v>
      </c>
      <c r="BK1140" s="46">
        <v>0</v>
      </c>
      <c r="BL1140" s="46">
        <v>1</v>
      </c>
      <c r="BM1140" s="46">
        <v>0</v>
      </c>
      <c r="BN1140" s="46">
        <v>0</v>
      </c>
    </row>
    <row r="1141" spans="1:66" x14ac:dyDescent="0.35">
      <c r="A1141" t="s">
        <v>7225</v>
      </c>
      <c r="B1141" t="s">
        <v>48</v>
      </c>
      <c r="C1141" t="s">
        <v>7228</v>
      </c>
      <c r="D1141" t="s">
        <v>1445</v>
      </c>
      <c r="E1141" t="s">
        <v>7226</v>
      </c>
      <c r="F1141" t="s">
        <v>7214</v>
      </c>
      <c r="G1141" t="s">
        <v>47</v>
      </c>
      <c r="H1141">
        <v>0</v>
      </c>
      <c r="I1141" s="60" t="s">
        <v>51</v>
      </c>
      <c r="J1141" s="33" t="s">
        <v>45</v>
      </c>
      <c r="K1141" s="46">
        <v>0</v>
      </c>
      <c r="L1141">
        <v>55.7</v>
      </c>
      <c r="M1141" t="s">
        <v>48</v>
      </c>
      <c r="N1141" s="46">
        <v>1</v>
      </c>
      <c r="O1141" s="46">
        <v>0</v>
      </c>
      <c r="P1141" s="46">
        <v>0</v>
      </c>
      <c r="Q1141" t="s">
        <v>48</v>
      </c>
      <c r="R1141" t="s">
        <v>48</v>
      </c>
      <c r="S1141" t="s">
        <v>7227</v>
      </c>
      <c r="T1141" t="s">
        <v>48</v>
      </c>
      <c r="U1141" t="s">
        <v>7227</v>
      </c>
      <c r="V1141" s="47">
        <v>0</v>
      </c>
      <c r="W1141" t="s">
        <v>48</v>
      </c>
      <c r="X1141" t="s">
        <v>48</v>
      </c>
      <c r="Y1141" t="s">
        <v>48</v>
      </c>
      <c r="Z1141">
        <v>0</v>
      </c>
      <c r="AA1141" t="s">
        <v>48</v>
      </c>
      <c r="AB1141" t="s">
        <v>48</v>
      </c>
      <c r="AC1141" t="s">
        <v>63</v>
      </c>
      <c r="AD1141" t="s">
        <v>93</v>
      </c>
      <c r="AE1141" t="s">
        <v>4532</v>
      </c>
      <c r="AF1141" t="s">
        <v>48</v>
      </c>
      <c r="AG1141" t="s">
        <v>48</v>
      </c>
      <c r="AH1141" t="s">
        <v>48</v>
      </c>
      <c r="AI1141" t="s">
        <v>48</v>
      </c>
      <c r="AJ1141">
        <v>1971</v>
      </c>
      <c r="AK1141" t="s">
        <v>48</v>
      </c>
      <c r="AL1141" t="s">
        <v>48</v>
      </c>
      <c r="AM1141" t="s">
        <v>48</v>
      </c>
      <c r="AN1141" t="s">
        <v>48</v>
      </c>
      <c r="AO1141" t="s">
        <v>48</v>
      </c>
      <c r="AP1141" s="46">
        <v>0</v>
      </c>
      <c r="AQ1141" s="46">
        <v>0</v>
      </c>
      <c r="AR1141" s="46">
        <v>0</v>
      </c>
      <c r="AS1141" s="46">
        <v>0</v>
      </c>
      <c r="AT1141" s="46">
        <v>0</v>
      </c>
      <c r="AU1141" s="46">
        <v>0</v>
      </c>
      <c r="AV1141" s="46">
        <v>0</v>
      </c>
      <c r="AW1141" s="46">
        <v>0</v>
      </c>
      <c r="AX1141" s="46">
        <v>0</v>
      </c>
      <c r="AY1141" s="46">
        <v>0</v>
      </c>
      <c r="AZ1141" s="46">
        <v>0</v>
      </c>
      <c r="BA1141" s="46">
        <v>0</v>
      </c>
      <c r="BB1141" s="46">
        <v>0</v>
      </c>
      <c r="BC1141" s="46">
        <v>0</v>
      </c>
      <c r="BD1141" s="46">
        <v>0</v>
      </c>
      <c r="BE1141" s="46">
        <v>0</v>
      </c>
      <c r="BF1141" s="46">
        <v>0</v>
      </c>
      <c r="BG1141" s="46">
        <v>1</v>
      </c>
      <c r="BH1141" s="46">
        <v>0</v>
      </c>
      <c r="BI1141" s="46">
        <v>0</v>
      </c>
      <c r="BJ1141" s="46">
        <v>0</v>
      </c>
      <c r="BK1141" s="46">
        <v>0</v>
      </c>
      <c r="BL1141" s="46">
        <v>0</v>
      </c>
      <c r="BM1141" s="46">
        <v>0</v>
      </c>
      <c r="BN1141" s="46">
        <v>0</v>
      </c>
    </row>
    <row r="1142" spans="1:66" x14ac:dyDescent="0.35">
      <c r="A1142" t="s">
        <v>7239</v>
      </c>
      <c r="B1142" s="44" t="s">
        <v>48</v>
      </c>
      <c r="C1142" t="s">
        <v>885</v>
      </c>
      <c r="D1142" t="s">
        <v>2670</v>
      </c>
      <c r="E1142" t="s">
        <v>7240</v>
      </c>
      <c r="F1142" t="s">
        <v>7235</v>
      </c>
      <c r="G1142" t="s">
        <v>74</v>
      </c>
      <c r="H1142">
        <v>0</v>
      </c>
      <c r="I1142" s="60" t="s">
        <v>51</v>
      </c>
      <c r="J1142" s="33" t="s">
        <v>45</v>
      </c>
      <c r="K1142" s="46">
        <v>1</v>
      </c>
      <c r="L1142">
        <v>100</v>
      </c>
      <c r="M1142" t="s">
        <v>48</v>
      </c>
      <c r="N1142" s="46">
        <v>1</v>
      </c>
      <c r="O1142" s="46">
        <v>0</v>
      </c>
      <c r="P1142" s="46">
        <v>0</v>
      </c>
      <c r="Q1142" t="s">
        <v>48</v>
      </c>
      <c r="R1142" t="s">
        <v>48</v>
      </c>
      <c r="S1142" t="s">
        <v>7241</v>
      </c>
      <c r="T1142" t="s">
        <v>7242</v>
      </c>
      <c r="U1142" t="s">
        <v>7241</v>
      </c>
      <c r="V1142" s="47">
        <v>0</v>
      </c>
      <c r="W1142" t="s">
        <v>48</v>
      </c>
      <c r="X1142" t="s">
        <v>48</v>
      </c>
      <c r="Y1142" t="s">
        <v>48</v>
      </c>
      <c r="Z1142">
        <v>0</v>
      </c>
      <c r="AA1142" t="s">
        <v>48</v>
      </c>
      <c r="AB1142">
        <v>1992</v>
      </c>
      <c r="AC1142" t="s">
        <v>49</v>
      </c>
      <c r="AD1142" t="s">
        <v>93</v>
      </c>
      <c r="AE1142" s="40" t="s">
        <v>11081</v>
      </c>
      <c r="AF1142" t="s">
        <v>11104</v>
      </c>
      <c r="AG1142" t="s">
        <v>119</v>
      </c>
      <c r="AH1142" t="s">
        <v>93</v>
      </c>
      <c r="AI1142">
        <v>39307</v>
      </c>
      <c r="AJ1142">
        <v>1947</v>
      </c>
      <c r="AK1142" t="s">
        <v>9378</v>
      </c>
      <c r="AL1142" t="s">
        <v>9379</v>
      </c>
      <c r="AM1142">
        <v>-0.45</v>
      </c>
      <c r="AN1142">
        <v>1.7000000000000001E-2</v>
      </c>
      <c r="AO1142">
        <v>-0.45</v>
      </c>
      <c r="AP1142" s="46">
        <v>0</v>
      </c>
      <c r="AQ1142" s="46">
        <v>0</v>
      </c>
      <c r="AR1142" s="46">
        <v>0</v>
      </c>
      <c r="AS1142" s="46">
        <v>0</v>
      </c>
      <c r="AT1142" s="46">
        <v>0</v>
      </c>
      <c r="AU1142" s="46">
        <v>0</v>
      </c>
      <c r="AV1142" s="46">
        <v>0</v>
      </c>
      <c r="AW1142" s="46">
        <v>0</v>
      </c>
      <c r="AX1142" s="46">
        <v>0</v>
      </c>
      <c r="AY1142" s="46">
        <v>0</v>
      </c>
      <c r="AZ1142" s="46">
        <v>0</v>
      </c>
      <c r="BA1142" s="46">
        <v>0</v>
      </c>
      <c r="BB1142" s="46">
        <v>0</v>
      </c>
      <c r="BC1142" s="46">
        <v>0</v>
      </c>
      <c r="BD1142" s="46">
        <v>0</v>
      </c>
      <c r="BE1142" s="46">
        <v>0</v>
      </c>
      <c r="BF1142" s="46">
        <v>0</v>
      </c>
      <c r="BG1142" s="46" t="s">
        <v>48</v>
      </c>
      <c r="BH1142" s="46">
        <v>0</v>
      </c>
      <c r="BI1142" s="46">
        <v>0</v>
      </c>
      <c r="BJ1142" s="46">
        <v>0</v>
      </c>
      <c r="BK1142" s="46">
        <v>0</v>
      </c>
      <c r="BL1142" s="46">
        <v>0</v>
      </c>
      <c r="BM1142" s="46">
        <v>0</v>
      </c>
      <c r="BN1142" s="46">
        <v>0</v>
      </c>
    </row>
    <row r="1143" spans="1:66" x14ac:dyDescent="0.35">
      <c r="A1143" t="s">
        <v>7234</v>
      </c>
      <c r="B1143" t="s">
        <v>48</v>
      </c>
      <c r="C1143" t="s">
        <v>7238</v>
      </c>
      <c r="D1143" t="s">
        <v>1429</v>
      </c>
      <c r="E1143" t="s">
        <v>7236</v>
      </c>
      <c r="F1143" t="s">
        <v>7235</v>
      </c>
      <c r="G1143" t="s">
        <v>47</v>
      </c>
      <c r="H1143">
        <v>0</v>
      </c>
      <c r="I1143" s="60" t="s">
        <v>149</v>
      </c>
      <c r="J1143" s="33" t="s">
        <v>45</v>
      </c>
      <c r="K1143" s="46">
        <v>0</v>
      </c>
      <c r="L1143">
        <v>60.5</v>
      </c>
      <c r="M1143" t="s">
        <v>48</v>
      </c>
      <c r="N1143" s="46">
        <v>1</v>
      </c>
      <c r="O1143" s="46">
        <v>0</v>
      </c>
      <c r="P1143" s="46">
        <v>0</v>
      </c>
      <c r="Q1143" t="s">
        <v>48</v>
      </c>
      <c r="R1143" t="s">
        <v>48</v>
      </c>
      <c r="S1143" t="s">
        <v>7237</v>
      </c>
      <c r="T1143" t="s">
        <v>48</v>
      </c>
      <c r="U1143" t="s">
        <v>7237</v>
      </c>
      <c r="V1143" s="47">
        <v>1</v>
      </c>
      <c r="W1143" t="s">
        <v>48</v>
      </c>
      <c r="X1143" t="s">
        <v>48</v>
      </c>
      <c r="Y1143" t="s">
        <v>48</v>
      </c>
      <c r="Z1143">
        <v>0</v>
      </c>
      <c r="AA1143" t="s">
        <v>48</v>
      </c>
      <c r="AB1143" t="s">
        <v>48</v>
      </c>
      <c r="AC1143" t="s">
        <v>49</v>
      </c>
      <c r="AD1143" t="s">
        <v>93</v>
      </c>
      <c r="AE1143" t="s">
        <v>977</v>
      </c>
      <c r="AF1143" t="s">
        <v>11067</v>
      </c>
      <c r="AG1143" t="s">
        <v>48</v>
      </c>
      <c r="AH1143" t="s">
        <v>48</v>
      </c>
      <c r="AI1143" t="s">
        <v>48</v>
      </c>
      <c r="AJ1143" t="s">
        <v>48</v>
      </c>
      <c r="AK1143" t="s">
        <v>48</v>
      </c>
      <c r="AL1143" t="s">
        <v>48</v>
      </c>
      <c r="AM1143" t="s">
        <v>48</v>
      </c>
      <c r="AN1143" t="s">
        <v>48</v>
      </c>
      <c r="AO1143" t="s">
        <v>48</v>
      </c>
      <c r="AP1143" s="46">
        <v>0</v>
      </c>
      <c r="AQ1143" s="46">
        <v>0</v>
      </c>
      <c r="AR1143" s="46">
        <v>0</v>
      </c>
      <c r="AS1143" s="46">
        <v>0</v>
      </c>
      <c r="AT1143" s="46">
        <v>0</v>
      </c>
      <c r="AU1143" s="46">
        <v>0</v>
      </c>
      <c r="AV1143" s="46">
        <v>0</v>
      </c>
      <c r="AW1143" s="46">
        <v>0</v>
      </c>
      <c r="AX1143" s="46">
        <v>0</v>
      </c>
      <c r="AY1143" s="46">
        <v>0</v>
      </c>
      <c r="AZ1143" s="46">
        <v>0</v>
      </c>
      <c r="BA1143" s="46">
        <v>0</v>
      </c>
      <c r="BB1143" s="46">
        <v>0</v>
      </c>
      <c r="BC1143" s="46">
        <v>0</v>
      </c>
      <c r="BD1143" s="46">
        <v>0</v>
      </c>
      <c r="BE1143" s="46">
        <v>0</v>
      </c>
      <c r="BF1143" s="46">
        <v>0</v>
      </c>
      <c r="BG1143" s="46" t="s">
        <v>48</v>
      </c>
      <c r="BH1143" s="46">
        <v>0</v>
      </c>
      <c r="BI1143" s="46">
        <v>0</v>
      </c>
      <c r="BJ1143" s="46">
        <v>0</v>
      </c>
      <c r="BK1143" s="46">
        <v>0</v>
      </c>
      <c r="BL1143" s="46">
        <v>0</v>
      </c>
      <c r="BM1143" s="46">
        <v>0</v>
      </c>
      <c r="BN1143" s="46">
        <v>0</v>
      </c>
    </row>
    <row r="1144" spans="1:66" x14ac:dyDescent="0.35">
      <c r="A1144" t="s">
        <v>7245</v>
      </c>
      <c r="B1144" t="s">
        <v>48</v>
      </c>
      <c r="C1144" t="s">
        <v>7249</v>
      </c>
      <c r="D1144" t="s">
        <v>1617</v>
      </c>
      <c r="E1144" t="s">
        <v>7246</v>
      </c>
      <c r="F1144" t="s">
        <v>7244</v>
      </c>
      <c r="G1144" t="s">
        <v>74</v>
      </c>
      <c r="H1144">
        <v>0</v>
      </c>
      <c r="I1144" s="60" t="s">
        <v>51</v>
      </c>
      <c r="J1144" s="33" t="s">
        <v>45</v>
      </c>
      <c r="K1144" s="46">
        <v>1</v>
      </c>
      <c r="L1144">
        <v>100</v>
      </c>
      <c r="M1144" t="s">
        <v>48</v>
      </c>
      <c r="N1144" s="46">
        <v>1</v>
      </c>
      <c r="O1144" s="46">
        <v>0</v>
      </c>
      <c r="P1144" s="46">
        <v>0</v>
      </c>
      <c r="Q1144" t="s">
        <v>48</v>
      </c>
      <c r="R1144" t="s">
        <v>48</v>
      </c>
      <c r="S1144" t="s">
        <v>7247</v>
      </c>
      <c r="T1144" t="s">
        <v>7248</v>
      </c>
      <c r="U1144" t="s">
        <v>7247</v>
      </c>
      <c r="V1144" s="47">
        <v>0</v>
      </c>
      <c r="W1144" t="s">
        <v>48</v>
      </c>
      <c r="X1144" t="s">
        <v>48</v>
      </c>
      <c r="Y1144" t="s">
        <v>48</v>
      </c>
      <c r="Z1144">
        <v>0</v>
      </c>
      <c r="AA1144" t="s">
        <v>48</v>
      </c>
      <c r="AB1144">
        <v>2016</v>
      </c>
      <c r="AC1144" t="s">
        <v>49</v>
      </c>
      <c r="AD1144" t="s">
        <v>93</v>
      </c>
      <c r="AE1144" s="40" t="s">
        <v>2471</v>
      </c>
      <c r="AF1144" t="s">
        <v>11061</v>
      </c>
      <c r="AG1144" t="s">
        <v>151</v>
      </c>
      <c r="AH1144" t="s">
        <v>93</v>
      </c>
      <c r="AI1144">
        <v>21736</v>
      </c>
      <c r="AJ1144">
        <v>1961</v>
      </c>
      <c r="AK1144" t="s">
        <v>9380</v>
      </c>
      <c r="AL1144" t="s">
        <v>9381</v>
      </c>
      <c r="AM1144">
        <v>-0.379</v>
      </c>
      <c r="AN1144">
        <v>-4.8000000000000001E-2</v>
      </c>
      <c r="AO1144">
        <v>-0.379</v>
      </c>
      <c r="AP1144" s="46">
        <v>0</v>
      </c>
      <c r="AQ1144" s="46">
        <v>0</v>
      </c>
      <c r="AR1144" s="46">
        <v>0</v>
      </c>
      <c r="AS1144" s="46">
        <v>0</v>
      </c>
      <c r="AT1144" s="46">
        <v>0</v>
      </c>
      <c r="AU1144" s="46">
        <v>1</v>
      </c>
      <c r="AV1144" s="46">
        <v>0</v>
      </c>
      <c r="AW1144" s="46">
        <v>0</v>
      </c>
      <c r="AX1144" s="46">
        <v>0</v>
      </c>
      <c r="AY1144" s="46">
        <v>0</v>
      </c>
      <c r="AZ1144" s="46">
        <v>0</v>
      </c>
      <c r="BA1144" s="46">
        <v>0</v>
      </c>
      <c r="BB1144" s="46">
        <v>0</v>
      </c>
      <c r="BC1144" s="46">
        <v>0</v>
      </c>
      <c r="BD1144" s="46">
        <v>0</v>
      </c>
      <c r="BE1144" s="46">
        <v>0</v>
      </c>
      <c r="BF1144" s="46">
        <v>0</v>
      </c>
      <c r="BG1144" s="46" t="s">
        <v>48</v>
      </c>
      <c r="BH1144" s="46">
        <v>0</v>
      </c>
      <c r="BI1144" s="46">
        <v>0</v>
      </c>
      <c r="BJ1144" s="46">
        <v>0</v>
      </c>
      <c r="BK1144" s="46">
        <v>0</v>
      </c>
      <c r="BL1144" s="46">
        <v>0</v>
      </c>
      <c r="BM1144" s="46">
        <v>0</v>
      </c>
      <c r="BN1144" s="46">
        <v>0</v>
      </c>
    </row>
    <row r="1145" spans="1:66" ht="15" x14ac:dyDescent="0.4">
      <c r="A1145" t="s">
        <v>8429</v>
      </c>
      <c r="B1145" t="s">
        <v>48</v>
      </c>
      <c r="C1145" t="s">
        <v>744</v>
      </c>
      <c r="D1145" t="s">
        <v>5707</v>
      </c>
      <c r="E1145" t="s">
        <v>8428</v>
      </c>
      <c r="F1145" t="s">
        <v>7244</v>
      </c>
      <c r="G1145" t="s">
        <v>47</v>
      </c>
      <c r="H1145">
        <v>0</v>
      </c>
      <c r="I1145" s="61" t="s">
        <v>11160</v>
      </c>
      <c r="J1145" s="33" t="s">
        <v>45</v>
      </c>
      <c r="K1145" s="46">
        <v>0</v>
      </c>
      <c r="L1145">
        <v>100</v>
      </c>
      <c r="M1145" t="s">
        <v>48</v>
      </c>
      <c r="N1145" s="46">
        <v>1</v>
      </c>
      <c r="O1145" s="46">
        <v>0</v>
      </c>
      <c r="P1145" s="46">
        <v>0</v>
      </c>
      <c r="Q1145" t="s">
        <v>48</v>
      </c>
      <c r="R1145" t="s">
        <v>48</v>
      </c>
      <c r="S1145" s="55" t="s">
        <v>11311</v>
      </c>
      <c r="T1145" t="s">
        <v>48</v>
      </c>
      <c r="U1145" s="55" t="s">
        <v>11311</v>
      </c>
      <c r="V1145" s="47">
        <v>0</v>
      </c>
      <c r="W1145" t="s">
        <v>48</v>
      </c>
      <c r="X1145" t="s">
        <v>48</v>
      </c>
      <c r="Y1145" t="s">
        <v>48</v>
      </c>
      <c r="Z1145" t="s">
        <v>48</v>
      </c>
      <c r="AA1145" t="s">
        <v>48</v>
      </c>
      <c r="AB1145" t="s">
        <v>48</v>
      </c>
      <c r="AC1145" t="s">
        <v>49</v>
      </c>
      <c r="AD1145" t="s">
        <v>93</v>
      </c>
      <c r="AE1145" t="s">
        <v>2471</v>
      </c>
      <c r="AF1145" t="s">
        <v>48</v>
      </c>
      <c r="AG1145" t="s">
        <v>48</v>
      </c>
      <c r="AH1145" t="s">
        <v>48</v>
      </c>
      <c r="AI1145" t="s">
        <v>48</v>
      </c>
      <c r="AJ1145" t="s">
        <v>48</v>
      </c>
      <c r="AK1145" t="s">
        <v>48</v>
      </c>
      <c r="AL1145" t="s">
        <v>48</v>
      </c>
      <c r="AM1145" t="s">
        <v>48</v>
      </c>
      <c r="AN1145" t="s">
        <v>48</v>
      </c>
      <c r="AO1145" t="s">
        <v>48</v>
      </c>
      <c r="AP1145" s="46">
        <v>0</v>
      </c>
      <c r="AQ1145" s="46">
        <v>0</v>
      </c>
      <c r="AR1145" s="46">
        <v>0</v>
      </c>
      <c r="AS1145" s="46">
        <v>0</v>
      </c>
      <c r="AT1145" s="46">
        <v>0</v>
      </c>
      <c r="AU1145" s="46">
        <v>0</v>
      </c>
      <c r="AV1145" s="46">
        <v>0</v>
      </c>
      <c r="AW1145" s="46">
        <v>0</v>
      </c>
      <c r="AX1145" s="46">
        <v>0</v>
      </c>
      <c r="AY1145" s="46">
        <v>0</v>
      </c>
      <c r="AZ1145" s="46">
        <v>0</v>
      </c>
      <c r="BA1145" s="46">
        <v>0</v>
      </c>
      <c r="BB1145" s="46">
        <v>0</v>
      </c>
      <c r="BC1145" s="46">
        <v>0</v>
      </c>
      <c r="BD1145" s="46">
        <v>0</v>
      </c>
      <c r="BE1145" s="46">
        <v>0</v>
      </c>
      <c r="BF1145" s="46">
        <v>0</v>
      </c>
      <c r="BG1145" s="46">
        <v>1</v>
      </c>
      <c r="BH1145" s="46">
        <v>0</v>
      </c>
      <c r="BI1145" s="46">
        <v>0</v>
      </c>
      <c r="BJ1145" s="46">
        <v>0</v>
      </c>
      <c r="BK1145" s="46">
        <v>0</v>
      </c>
      <c r="BL1145" s="46">
        <v>0</v>
      </c>
      <c r="BM1145" s="46">
        <v>0</v>
      </c>
      <c r="BN1145" s="46">
        <v>0</v>
      </c>
    </row>
    <row r="1146" spans="1:66" x14ac:dyDescent="0.35">
      <c r="A1146" t="s">
        <v>7251</v>
      </c>
      <c r="B1146" s="44" t="s">
        <v>48</v>
      </c>
      <c r="C1146" t="s">
        <v>7256</v>
      </c>
      <c r="D1146" t="s">
        <v>2513</v>
      </c>
      <c r="E1146" t="s">
        <v>7252</v>
      </c>
      <c r="F1146" t="s">
        <v>7250</v>
      </c>
      <c r="G1146" t="s">
        <v>47</v>
      </c>
      <c r="H1146">
        <v>0</v>
      </c>
      <c r="I1146" s="60" t="s">
        <v>51</v>
      </c>
      <c r="J1146" s="33" t="s">
        <v>45</v>
      </c>
      <c r="K1146" s="46">
        <v>1</v>
      </c>
      <c r="L1146">
        <v>84.6</v>
      </c>
      <c r="M1146" t="s">
        <v>48</v>
      </c>
      <c r="N1146" s="46">
        <v>1</v>
      </c>
      <c r="O1146" s="46">
        <v>0</v>
      </c>
      <c r="P1146" s="46">
        <v>0</v>
      </c>
      <c r="Q1146" t="s">
        <v>48</v>
      </c>
      <c r="R1146" t="s">
        <v>48</v>
      </c>
      <c r="S1146" t="s">
        <v>7253</v>
      </c>
      <c r="T1146" t="s">
        <v>7254</v>
      </c>
      <c r="U1146" t="s">
        <v>7253</v>
      </c>
      <c r="V1146" s="47">
        <v>0</v>
      </c>
      <c r="W1146" t="s">
        <v>48</v>
      </c>
      <c r="X1146" t="s">
        <v>48</v>
      </c>
      <c r="Y1146" t="s">
        <v>48</v>
      </c>
      <c r="Z1146">
        <v>1</v>
      </c>
      <c r="AA1146" t="s">
        <v>10953</v>
      </c>
      <c r="AB1146">
        <v>2020</v>
      </c>
      <c r="AC1146" t="s">
        <v>49</v>
      </c>
      <c r="AD1146" t="s">
        <v>93</v>
      </c>
      <c r="AE1146" t="s">
        <v>4532</v>
      </c>
      <c r="AF1146" t="s">
        <v>48</v>
      </c>
      <c r="AG1146" t="s">
        <v>7255</v>
      </c>
      <c r="AH1146" t="s">
        <v>93</v>
      </c>
      <c r="AI1146">
        <v>22120</v>
      </c>
      <c r="AJ1146">
        <v>1965</v>
      </c>
      <c r="AK1146" t="s">
        <v>9382</v>
      </c>
      <c r="AL1146" t="s">
        <v>9383</v>
      </c>
      <c r="AM1146">
        <v>0.8</v>
      </c>
      <c r="AN1146">
        <v>-0.6</v>
      </c>
      <c r="AO1146">
        <v>0.8</v>
      </c>
      <c r="AP1146" s="46">
        <v>0</v>
      </c>
      <c r="AQ1146" s="46">
        <v>0</v>
      </c>
      <c r="AR1146" s="46">
        <v>0</v>
      </c>
      <c r="AS1146" s="46">
        <v>0</v>
      </c>
      <c r="AT1146" s="46">
        <v>0</v>
      </c>
      <c r="AU1146" s="46">
        <v>0</v>
      </c>
      <c r="AV1146" s="46">
        <v>0</v>
      </c>
      <c r="AW1146" s="46">
        <v>0</v>
      </c>
      <c r="AX1146" s="46">
        <v>0</v>
      </c>
      <c r="AY1146" s="46">
        <v>0</v>
      </c>
      <c r="AZ1146" s="46">
        <v>0</v>
      </c>
      <c r="BA1146" s="46">
        <v>0</v>
      </c>
      <c r="BB1146" s="46">
        <v>1</v>
      </c>
      <c r="BC1146" s="46">
        <v>0</v>
      </c>
      <c r="BD1146" s="46">
        <v>0</v>
      </c>
      <c r="BE1146" s="46">
        <v>0</v>
      </c>
      <c r="BF1146" s="46">
        <v>1</v>
      </c>
      <c r="BG1146" s="46">
        <v>1</v>
      </c>
      <c r="BH1146" s="46">
        <v>0</v>
      </c>
      <c r="BI1146" s="46">
        <v>0</v>
      </c>
      <c r="BJ1146" s="46">
        <v>0</v>
      </c>
      <c r="BK1146" s="46">
        <v>0</v>
      </c>
      <c r="BL1146" s="46">
        <v>0</v>
      </c>
      <c r="BM1146" s="46">
        <v>0</v>
      </c>
      <c r="BN1146" s="46">
        <v>1</v>
      </c>
    </row>
    <row r="1147" spans="1:66" x14ac:dyDescent="0.35">
      <c r="A1147" t="s">
        <v>7261</v>
      </c>
      <c r="B1147" s="44" t="s">
        <v>48</v>
      </c>
      <c r="C1147" t="s">
        <v>7264</v>
      </c>
      <c r="D1147" t="s">
        <v>412</v>
      </c>
      <c r="E1147" t="s">
        <v>7262</v>
      </c>
      <c r="F1147" t="s">
        <v>7250</v>
      </c>
      <c r="G1147" t="s">
        <v>74</v>
      </c>
      <c r="H1147">
        <v>0</v>
      </c>
      <c r="I1147" s="60" t="s">
        <v>51</v>
      </c>
      <c r="J1147" s="33" t="s">
        <v>45</v>
      </c>
      <c r="K1147" s="46">
        <v>0</v>
      </c>
      <c r="L1147">
        <v>100</v>
      </c>
      <c r="M1147" t="s">
        <v>48</v>
      </c>
      <c r="N1147" s="46">
        <v>1</v>
      </c>
      <c r="O1147" s="46">
        <v>0</v>
      </c>
      <c r="P1147" s="46">
        <v>0</v>
      </c>
      <c r="Q1147" t="s">
        <v>48</v>
      </c>
      <c r="R1147" t="s">
        <v>48</v>
      </c>
      <c r="S1147" t="s">
        <v>7263</v>
      </c>
      <c r="T1147" t="s">
        <v>48</v>
      </c>
      <c r="U1147" t="s">
        <v>7263</v>
      </c>
      <c r="V1147" s="47">
        <v>0</v>
      </c>
      <c r="W1147" t="s">
        <v>48</v>
      </c>
      <c r="X1147" t="s">
        <v>48</v>
      </c>
      <c r="Y1147" t="s">
        <v>48</v>
      </c>
      <c r="Z1147">
        <v>0</v>
      </c>
      <c r="AA1147" t="s">
        <v>48</v>
      </c>
      <c r="AB1147" t="s">
        <v>48</v>
      </c>
      <c r="AC1147" t="s">
        <v>49</v>
      </c>
      <c r="AD1147" t="s">
        <v>93</v>
      </c>
      <c r="AE1147" t="s">
        <v>4532</v>
      </c>
      <c r="AF1147" t="s">
        <v>48</v>
      </c>
      <c r="AG1147" t="s">
        <v>266</v>
      </c>
      <c r="AH1147" t="s">
        <v>93</v>
      </c>
      <c r="AI1147" t="s">
        <v>48</v>
      </c>
      <c r="AJ1147" t="s">
        <v>48</v>
      </c>
      <c r="AK1147" t="s">
        <v>48</v>
      </c>
      <c r="AL1147" t="s">
        <v>48</v>
      </c>
      <c r="AM1147" t="s">
        <v>48</v>
      </c>
      <c r="AN1147" t="s">
        <v>48</v>
      </c>
      <c r="AO1147" t="s">
        <v>48</v>
      </c>
      <c r="AP1147" s="46">
        <v>0</v>
      </c>
      <c r="AQ1147" s="46">
        <v>0</v>
      </c>
      <c r="AR1147" s="46">
        <v>0</v>
      </c>
      <c r="AS1147" s="46">
        <v>0</v>
      </c>
      <c r="AT1147" s="46">
        <v>0</v>
      </c>
      <c r="AU1147" s="46">
        <v>0</v>
      </c>
      <c r="AV1147" s="46">
        <v>0</v>
      </c>
      <c r="AW1147" s="46">
        <v>0</v>
      </c>
      <c r="AX1147" s="46">
        <v>0</v>
      </c>
      <c r="AY1147" s="46">
        <v>0</v>
      </c>
      <c r="AZ1147" s="46">
        <v>0</v>
      </c>
      <c r="BA1147" s="46">
        <v>0</v>
      </c>
      <c r="BB1147" s="46">
        <v>0</v>
      </c>
      <c r="BC1147" s="46">
        <v>0</v>
      </c>
      <c r="BD1147" s="46">
        <v>0</v>
      </c>
      <c r="BE1147" s="46">
        <v>0</v>
      </c>
      <c r="BF1147" s="46">
        <v>0</v>
      </c>
      <c r="BG1147" s="46" t="s">
        <v>48</v>
      </c>
      <c r="BH1147" s="46">
        <v>0</v>
      </c>
      <c r="BI1147" s="46">
        <v>0</v>
      </c>
      <c r="BJ1147" s="46">
        <v>0</v>
      </c>
      <c r="BK1147" s="46">
        <v>0</v>
      </c>
      <c r="BL1147" s="46">
        <v>0</v>
      </c>
      <c r="BM1147" s="46">
        <v>0</v>
      </c>
      <c r="BN1147" s="46">
        <v>0</v>
      </c>
    </row>
    <row r="1148" spans="1:66" x14ac:dyDescent="0.35">
      <c r="A1148" t="s">
        <v>7265</v>
      </c>
      <c r="B1148" t="s">
        <v>48</v>
      </c>
      <c r="C1148" t="s">
        <v>7270</v>
      </c>
      <c r="D1148" t="s">
        <v>429</v>
      </c>
      <c r="E1148" t="s">
        <v>7267</v>
      </c>
      <c r="F1148" t="s">
        <v>7266</v>
      </c>
      <c r="G1148" t="s">
        <v>47</v>
      </c>
      <c r="H1148">
        <v>0</v>
      </c>
      <c r="I1148" s="60" t="s">
        <v>51</v>
      </c>
      <c r="J1148" s="33" t="s">
        <v>45</v>
      </c>
      <c r="K1148" s="46">
        <v>1</v>
      </c>
      <c r="L1148">
        <v>82.2</v>
      </c>
      <c r="M1148" t="s">
        <v>48</v>
      </c>
      <c r="N1148" s="46">
        <v>1</v>
      </c>
      <c r="O1148" s="46">
        <v>0</v>
      </c>
      <c r="P1148" s="46">
        <v>0</v>
      </c>
      <c r="Q1148" t="s">
        <v>48</v>
      </c>
      <c r="R1148" t="s">
        <v>48</v>
      </c>
      <c r="S1148" t="s">
        <v>7268</v>
      </c>
      <c r="T1148" t="s">
        <v>7269</v>
      </c>
      <c r="U1148" t="s">
        <v>7268</v>
      </c>
      <c r="V1148" s="47">
        <v>0</v>
      </c>
      <c r="W1148" t="s">
        <v>48</v>
      </c>
      <c r="X1148" t="s">
        <v>48</v>
      </c>
      <c r="Y1148" t="s">
        <v>48</v>
      </c>
      <c r="Z1148">
        <v>0</v>
      </c>
      <c r="AA1148" t="s">
        <v>48</v>
      </c>
      <c r="AB1148">
        <v>2018</v>
      </c>
      <c r="AC1148" t="s">
        <v>49</v>
      </c>
      <c r="AD1148" t="s">
        <v>93</v>
      </c>
      <c r="AE1148" t="s">
        <v>4532</v>
      </c>
      <c r="AF1148" t="s">
        <v>48</v>
      </c>
      <c r="AG1148" t="s">
        <v>140</v>
      </c>
      <c r="AH1148" t="s">
        <v>93</v>
      </c>
      <c r="AI1148">
        <v>21908</v>
      </c>
      <c r="AJ1148">
        <v>1972</v>
      </c>
      <c r="AK1148" t="s">
        <v>9384</v>
      </c>
      <c r="AL1148" t="s">
        <v>9385</v>
      </c>
      <c r="AM1148">
        <v>0.71599999999999997</v>
      </c>
      <c r="AN1148">
        <v>-0.182</v>
      </c>
      <c r="AO1148">
        <v>0.71599999999999997</v>
      </c>
      <c r="AP1148" s="46">
        <v>0</v>
      </c>
      <c r="AQ1148" s="46">
        <v>0</v>
      </c>
      <c r="AR1148" s="46">
        <v>0</v>
      </c>
      <c r="AS1148" s="46">
        <v>0</v>
      </c>
      <c r="AT1148" s="46">
        <v>0</v>
      </c>
      <c r="AU1148" s="46">
        <v>0</v>
      </c>
      <c r="AV1148" s="46">
        <v>0</v>
      </c>
      <c r="AW1148" s="46">
        <v>0</v>
      </c>
      <c r="AX1148" s="46">
        <v>0</v>
      </c>
      <c r="AY1148" s="46">
        <v>0</v>
      </c>
      <c r="AZ1148" s="46">
        <v>0</v>
      </c>
      <c r="BA1148" s="46">
        <v>1</v>
      </c>
      <c r="BB1148" s="46">
        <v>1</v>
      </c>
      <c r="BC1148" s="46">
        <v>0</v>
      </c>
      <c r="BD1148" s="46">
        <v>0</v>
      </c>
      <c r="BE1148" s="46">
        <v>0</v>
      </c>
      <c r="BF1148" s="46">
        <v>1</v>
      </c>
      <c r="BG1148" s="46">
        <v>1</v>
      </c>
      <c r="BH1148" s="46">
        <v>0</v>
      </c>
      <c r="BI1148" s="46">
        <v>0</v>
      </c>
      <c r="BJ1148" s="46">
        <v>0</v>
      </c>
      <c r="BK1148" s="46">
        <v>0</v>
      </c>
      <c r="BL1148" s="46">
        <v>0</v>
      </c>
      <c r="BM1148" s="46">
        <v>0</v>
      </c>
      <c r="BN1148" s="46">
        <v>1</v>
      </c>
    </row>
    <row r="1149" spans="1:66" x14ac:dyDescent="0.35">
      <c r="A1149" t="s">
        <v>7276</v>
      </c>
      <c r="B1149" s="44" t="s">
        <v>48</v>
      </c>
      <c r="C1149" t="s">
        <v>2660</v>
      </c>
      <c r="D1149" t="s">
        <v>1445</v>
      </c>
      <c r="E1149" t="s">
        <v>7277</v>
      </c>
      <c r="F1149" t="s">
        <v>7266</v>
      </c>
      <c r="G1149" t="s">
        <v>74</v>
      </c>
      <c r="H1149">
        <v>0</v>
      </c>
      <c r="I1149" s="60" t="s">
        <v>51</v>
      </c>
      <c r="J1149" s="33" t="s">
        <v>45</v>
      </c>
      <c r="K1149" s="46">
        <v>0</v>
      </c>
      <c r="L1149">
        <v>100</v>
      </c>
      <c r="M1149" t="s">
        <v>48</v>
      </c>
      <c r="N1149" s="46">
        <v>1</v>
      </c>
      <c r="O1149" s="46">
        <v>0</v>
      </c>
      <c r="P1149" s="46">
        <v>0</v>
      </c>
      <c r="Q1149" t="s">
        <v>48</v>
      </c>
      <c r="R1149" t="s">
        <v>48</v>
      </c>
      <c r="S1149" t="s">
        <v>7278</v>
      </c>
      <c r="T1149" t="s">
        <v>48</v>
      </c>
      <c r="U1149" t="s">
        <v>7278</v>
      </c>
      <c r="V1149" s="47">
        <v>0</v>
      </c>
      <c r="W1149" t="s">
        <v>48</v>
      </c>
      <c r="X1149" t="s">
        <v>48</v>
      </c>
      <c r="Y1149" t="s">
        <v>48</v>
      </c>
      <c r="Z1149">
        <v>0</v>
      </c>
      <c r="AA1149" t="s">
        <v>48</v>
      </c>
      <c r="AB1149" t="s">
        <v>48</v>
      </c>
      <c r="AC1149" t="s">
        <v>63</v>
      </c>
      <c r="AD1149" t="s">
        <v>93</v>
      </c>
      <c r="AE1149" t="s">
        <v>4532</v>
      </c>
      <c r="AF1149" t="s">
        <v>48</v>
      </c>
      <c r="AG1149" t="s">
        <v>48</v>
      </c>
      <c r="AH1149" t="s">
        <v>48</v>
      </c>
      <c r="AI1149" t="s">
        <v>48</v>
      </c>
      <c r="AJ1149" t="s">
        <v>48</v>
      </c>
      <c r="AK1149" t="s">
        <v>48</v>
      </c>
      <c r="AL1149" t="s">
        <v>48</v>
      </c>
      <c r="AM1149" t="s">
        <v>48</v>
      </c>
      <c r="AN1149" t="s">
        <v>48</v>
      </c>
      <c r="AO1149" t="s">
        <v>48</v>
      </c>
      <c r="AP1149" s="46">
        <v>0</v>
      </c>
      <c r="AQ1149" s="46">
        <v>0</v>
      </c>
      <c r="AR1149" s="46">
        <v>0</v>
      </c>
      <c r="AS1149" s="46">
        <v>0</v>
      </c>
      <c r="AT1149" s="46">
        <v>0</v>
      </c>
      <c r="AU1149" s="46">
        <v>0</v>
      </c>
      <c r="AV1149" s="46">
        <v>0</v>
      </c>
      <c r="AW1149" s="46">
        <v>0</v>
      </c>
      <c r="AX1149" s="46">
        <v>0</v>
      </c>
      <c r="AY1149" s="46">
        <v>0</v>
      </c>
      <c r="AZ1149" s="46">
        <v>0</v>
      </c>
      <c r="BA1149" s="46">
        <v>0</v>
      </c>
      <c r="BB1149" s="46">
        <v>0</v>
      </c>
      <c r="BC1149" s="46">
        <v>0</v>
      </c>
      <c r="BD1149" s="46">
        <v>0</v>
      </c>
      <c r="BE1149" s="46">
        <v>0</v>
      </c>
      <c r="BF1149" s="46">
        <v>0</v>
      </c>
      <c r="BG1149" s="46" t="s">
        <v>48</v>
      </c>
      <c r="BH1149" s="46">
        <v>0</v>
      </c>
      <c r="BI1149" s="46">
        <v>0</v>
      </c>
      <c r="BJ1149" s="46">
        <v>0</v>
      </c>
      <c r="BK1149" s="46">
        <v>0</v>
      </c>
      <c r="BL1149" s="46">
        <v>0</v>
      </c>
      <c r="BM1149" s="46">
        <v>0</v>
      </c>
      <c r="BN1149" s="46">
        <v>0</v>
      </c>
    </row>
    <row r="1150" spans="1:66" x14ac:dyDescent="0.35">
      <c r="A1150" t="s">
        <v>7295</v>
      </c>
      <c r="B1150" t="s">
        <v>48</v>
      </c>
      <c r="C1150" t="s">
        <v>7300</v>
      </c>
      <c r="D1150" t="s">
        <v>7299</v>
      </c>
      <c r="E1150" t="s">
        <v>7296</v>
      </c>
      <c r="F1150" t="s">
        <v>7279</v>
      </c>
      <c r="G1150" t="s">
        <v>74</v>
      </c>
      <c r="H1150">
        <v>0</v>
      </c>
      <c r="I1150" s="60" t="s">
        <v>51</v>
      </c>
      <c r="J1150" s="33" t="s">
        <v>45</v>
      </c>
      <c r="K1150" s="46">
        <v>1</v>
      </c>
      <c r="L1150">
        <v>100</v>
      </c>
      <c r="M1150" t="s">
        <v>48</v>
      </c>
      <c r="N1150" s="46">
        <v>1</v>
      </c>
      <c r="O1150" s="46">
        <v>0</v>
      </c>
      <c r="P1150" s="46">
        <v>0</v>
      </c>
      <c r="Q1150" t="s">
        <v>48</v>
      </c>
      <c r="R1150" t="s">
        <v>48</v>
      </c>
      <c r="S1150" t="s">
        <v>7297</v>
      </c>
      <c r="T1150" t="s">
        <v>7298</v>
      </c>
      <c r="U1150" t="s">
        <v>7297</v>
      </c>
      <c r="V1150" s="47">
        <v>0</v>
      </c>
      <c r="W1150" t="s">
        <v>48</v>
      </c>
      <c r="X1150" t="s">
        <v>48</v>
      </c>
      <c r="Y1150" t="s">
        <v>48</v>
      </c>
      <c r="Z1150">
        <v>0</v>
      </c>
      <c r="AA1150" t="s">
        <v>48</v>
      </c>
      <c r="AB1150">
        <v>2018</v>
      </c>
      <c r="AC1150" t="s">
        <v>63</v>
      </c>
      <c r="AD1150" t="s">
        <v>93</v>
      </c>
      <c r="AE1150" t="s">
        <v>4532</v>
      </c>
      <c r="AF1150" t="s">
        <v>48</v>
      </c>
      <c r="AG1150" t="s">
        <v>112</v>
      </c>
      <c r="AH1150" t="s">
        <v>93</v>
      </c>
      <c r="AI1150">
        <v>21966</v>
      </c>
      <c r="AJ1150">
        <v>1979</v>
      </c>
      <c r="AK1150" t="s">
        <v>9386</v>
      </c>
      <c r="AL1150" t="s">
        <v>9387</v>
      </c>
      <c r="AM1150">
        <v>-0.17499999999999999</v>
      </c>
      <c r="AN1150">
        <v>0.42799999999999999</v>
      </c>
      <c r="AO1150">
        <v>-0.17499999999999999</v>
      </c>
      <c r="AP1150" s="46">
        <v>0</v>
      </c>
      <c r="AQ1150" s="46">
        <v>0</v>
      </c>
      <c r="AR1150" s="46">
        <v>0</v>
      </c>
      <c r="AS1150" s="46">
        <v>0</v>
      </c>
      <c r="AT1150" s="46">
        <v>0</v>
      </c>
      <c r="AU1150" s="46">
        <v>1</v>
      </c>
      <c r="AV1150" s="46">
        <v>1</v>
      </c>
      <c r="AW1150" s="46">
        <v>1</v>
      </c>
      <c r="AX1150" s="46">
        <v>1</v>
      </c>
      <c r="AY1150" s="46">
        <v>0</v>
      </c>
      <c r="AZ1150" s="46">
        <v>0</v>
      </c>
      <c r="BA1150" s="46">
        <v>1</v>
      </c>
      <c r="BB1150" s="46">
        <v>0</v>
      </c>
      <c r="BC1150" s="46">
        <v>0</v>
      </c>
      <c r="BD1150" s="46">
        <v>0</v>
      </c>
      <c r="BE1150" s="46">
        <v>0</v>
      </c>
      <c r="BF1150" s="46">
        <v>0</v>
      </c>
      <c r="BG1150" s="46" t="s">
        <v>48</v>
      </c>
      <c r="BH1150" s="46">
        <v>0</v>
      </c>
      <c r="BI1150" s="46">
        <v>0</v>
      </c>
      <c r="BJ1150" s="46">
        <v>0</v>
      </c>
      <c r="BK1150" s="46">
        <v>0</v>
      </c>
      <c r="BL1150" s="46">
        <v>1</v>
      </c>
      <c r="BM1150" s="46">
        <v>0</v>
      </c>
      <c r="BN1150" s="46">
        <v>0</v>
      </c>
    </row>
    <row r="1151" spans="1:66" x14ac:dyDescent="0.35">
      <c r="A1151" t="s">
        <v>7304</v>
      </c>
      <c r="B1151" s="44" t="s">
        <v>48</v>
      </c>
      <c r="C1151" t="s">
        <v>6704</v>
      </c>
      <c r="D1151" t="s">
        <v>7307</v>
      </c>
      <c r="E1151" t="s">
        <v>7305</v>
      </c>
      <c r="F1151" t="s">
        <v>7279</v>
      </c>
      <c r="G1151" t="s">
        <v>47</v>
      </c>
      <c r="H1151">
        <v>0</v>
      </c>
      <c r="I1151" s="60" t="s">
        <v>881</v>
      </c>
      <c r="J1151" s="33" t="s">
        <v>45</v>
      </c>
      <c r="K1151" s="46">
        <v>0</v>
      </c>
      <c r="L1151">
        <v>28.9</v>
      </c>
      <c r="M1151" t="s">
        <v>48</v>
      </c>
      <c r="N1151" s="46">
        <v>1</v>
      </c>
      <c r="O1151" s="46">
        <v>0</v>
      </c>
      <c r="P1151" s="46">
        <v>0</v>
      </c>
      <c r="Q1151" t="s">
        <v>48</v>
      </c>
      <c r="R1151" t="s">
        <v>48</v>
      </c>
      <c r="S1151" t="s">
        <v>7306</v>
      </c>
      <c r="T1151" t="s">
        <v>48</v>
      </c>
      <c r="U1151" t="s">
        <v>7306</v>
      </c>
      <c r="V1151" s="47">
        <v>0</v>
      </c>
      <c r="W1151" t="s">
        <v>48</v>
      </c>
      <c r="X1151" t="s">
        <v>48</v>
      </c>
      <c r="Y1151" t="s">
        <v>48</v>
      </c>
      <c r="Z1151">
        <v>0</v>
      </c>
      <c r="AA1151" t="s">
        <v>48</v>
      </c>
      <c r="AB1151" t="s">
        <v>48</v>
      </c>
      <c r="AC1151" t="s">
        <v>63</v>
      </c>
      <c r="AD1151" t="s">
        <v>951</v>
      </c>
      <c r="AE1151" s="40" t="s">
        <v>11051</v>
      </c>
      <c r="AF1151" t="s">
        <v>108</v>
      </c>
      <c r="AG1151" t="s">
        <v>48</v>
      </c>
      <c r="AH1151" t="s">
        <v>48</v>
      </c>
      <c r="AI1151" t="s">
        <v>48</v>
      </c>
      <c r="AJ1151" t="s">
        <v>48</v>
      </c>
      <c r="AK1151" t="s">
        <v>48</v>
      </c>
      <c r="AL1151" t="s">
        <v>48</v>
      </c>
      <c r="AM1151" t="s">
        <v>48</v>
      </c>
      <c r="AN1151" t="s">
        <v>48</v>
      </c>
      <c r="AO1151" t="s">
        <v>48</v>
      </c>
      <c r="AP1151" s="46">
        <v>0</v>
      </c>
      <c r="AQ1151" s="46">
        <v>0</v>
      </c>
      <c r="AR1151" s="46">
        <v>0</v>
      </c>
      <c r="AS1151" s="46">
        <v>0</v>
      </c>
      <c r="AT1151" s="46">
        <v>0</v>
      </c>
      <c r="AU1151" s="46">
        <v>0</v>
      </c>
      <c r="AV1151" s="46">
        <v>0</v>
      </c>
      <c r="AW1151" s="46">
        <v>0</v>
      </c>
      <c r="AX1151" s="46">
        <v>0</v>
      </c>
      <c r="AY1151" s="46">
        <v>0</v>
      </c>
      <c r="AZ1151" s="46">
        <v>0</v>
      </c>
      <c r="BA1151" s="46">
        <v>0</v>
      </c>
      <c r="BB1151" s="46">
        <v>0</v>
      </c>
      <c r="BC1151" s="46">
        <v>0</v>
      </c>
      <c r="BD1151" s="46">
        <v>1</v>
      </c>
      <c r="BE1151" s="46">
        <v>0</v>
      </c>
      <c r="BF1151" s="46">
        <v>0</v>
      </c>
      <c r="BG1151" s="46">
        <v>1</v>
      </c>
      <c r="BH1151" s="46">
        <v>0</v>
      </c>
      <c r="BI1151" s="46">
        <v>0</v>
      </c>
      <c r="BJ1151" s="46">
        <v>0</v>
      </c>
      <c r="BK1151" s="46">
        <v>0</v>
      </c>
      <c r="BL1151" s="46">
        <v>0</v>
      </c>
      <c r="BM1151" s="46">
        <v>0</v>
      </c>
      <c r="BN1151" s="46">
        <v>1</v>
      </c>
    </row>
    <row r="1152" spans="1:66" x14ac:dyDescent="0.35">
      <c r="A1152" t="s">
        <v>7308</v>
      </c>
      <c r="B1152" t="s">
        <v>48</v>
      </c>
      <c r="C1152" t="s">
        <v>7313</v>
      </c>
      <c r="D1152" t="s">
        <v>269</v>
      </c>
      <c r="E1152" t="s">
        <v>7310</v>
      </c>
      <c r="F1152" t="s">
        <v>7309</v>
      </c>
      <c r="G1152" t="s">
        <v>74</v>
      </c>
      <c r="H1152">
        <v>0</v>
      </c>
      <c r="I1152" s="60" t="s">
        <v>51</v>
      </c>
      <c r="J1152" s="33" t="s">
        <v>45</v>
      </c>
      <c r="K1152" s="46">
        <v>1</v>
      </c>
      <c r="L1152">
        <v>77.400000000000006</v>
      </c>
      <c r="M1152" t="s">
        <v>48</v>
      </c>
      <c r="N1152" s="46">
        <v>1</v>
      </c>
      <c r="O1152" s="46">
        <v>0</v>
      </c>
      <c r="P1152" s="46">
        <v>0</v>
      </c>
      <c r="Q1152" t="s">
        <v>48</v>
      </c>
      <c r="R1152" t="s">
        <v>48</v>
      </c>
      <c r="S1152" t="s">
        <v>7311</v>
      </c>
      <c r="T1152" t="s">
        <v>7312</v>
      </c>
      <c r="U1152" t="s">
        <v>7311</v>
      </c>
      <c r="V1152" s="47">
        <v>0</v>
      </c>
      <c r="W1152" t="s">
        <v>48</v>
      </c>
      <c r="X1152" t="s">
        <v>48</v>
      </c>
      <c r="Y1152" t="s">
        <v>48</v>
      </c>
      <c r="Z1152">
        <v>0</v>
      </c>
      <c r="AA1152" t="s">
        <v>48</v>
      </c>
      <c r="AB1152">
        <v>2014</v>
      </c>
      <c r="AC1152" t="s">
        <v>49</v>
      </c>
      <c r="AD1152" t="s">
        <v>93</v>
      </c>
      <c r="AE1152" t="s">
        <v>4532</v>
      </c>
      <c r="AF1152" t="s">
        <v>48</v>
      </c>
      <c r="AG1152" t="s">
        <v>119</v>
      </c>
      <c r="AH1152" t="s">
        <v>93</v>
      </c>
      <c r="AI1152">
        <v>21554</v>
      </c>
      <c r="AJ1152">
        <v>1950</v>
      </c>
      <c r="AK1152" t="s">
        <v>9388</v>
      </c>
      <c r="AL1152" t="s">
        <v>9389</v>
      </c>
      <c r="AM1152">
        <v>-0.38600000000000001</v>
      </c>
      <c r="AN1152">
        <v>-4.8000000000000001E-2</v>
      </c>
      <c r="AO1152">
        <v>-0.38600000000000001</v>
      </c>
      <c r="AP1152" s="46">
        <v>0</v>
      </c>
      <c r="AQ1152" s="46">
        <v>0</v>
      </c>
      <c r="AR1152" s="46">
        <v>0</v>
      </c>
      <c r="AS1152" s="46">
        <v>0</v>
      </c>
      <c r="AT1152" s="46">
        <v>1</v>
      </c>
      <c r="AU1152" s="46">
        <v>1</v>
      </c>
      <c r="AV1152" s="46">
        <v>0</v>
      </c>
      <c r="AW1152" s="46">
        <v>0</v>
      </c>
      <c r="AX1152" s="46">
        <v>0</v>
      </c>
      <c r="AY1152" s="46">
        <v>0</v>
      </c>
      <c r="AZ1152" s="46">
        <v>0</v>
      </c>
      <c r="BA1152" s="46">
        <v>0</v>
      </c>
      <c r="BB1152" s="46">
        <v>0</v>
      </c>
      <c r="BC1152" s="46">
        <v>0</v>
      </c>
      <c r="BD1152" s="46">
        <v>0</v>
      </c>
      <c r="BE1152" s="46">
        <v>0</v>
      </c>
      <c r="BF1152" s="46">
        <v>0</v>
      </c>
      <c r="BG1152" s="46" t="s">
        <v>48</v>
      </c>
      <c r="BH1152" s="46">
        <v>0</v>
      </c>
      <c r="BI1152" s="46">
        <v>0</v>
      </c>
      <c r="BJ1152" s="46">
        <v>0</v>
      </c>
      <c r="BK1152" s="46">
        <v>0</v>
      </c>
      <c r="BL1152" s="46">
        <v>0</v>
      </c>
      <c r="BM1152" s="46">
        <v>0</v>
      </c>
      <c r="BN1152" s="46">
        <v>0</v>
      </c>
    </row>
    <row r="1153" spans="1:66" x14ac:dyDescent="0.35">
      <c r="A1153" t="s">
        <v>7318</v>
      </c>
      <c r="B1153" t="s">
        <v>48</v>
      </c>
      <c r="C1153" t="s">
        <v>7322</v>
      </c>
      <c r="D1153" t="s">
        <v>7321</v>
      </c>
      <c r="E1153" t="s">
        <v>7319</v>
      </c>
      <c r="F1153" t="s">
        <v>7309</v>
      </c>
      <c r="G1153" t="s">
        <v>47</v>
      </c>
      <c r="H1153">
        <v>0</v>
      </c>
      <c r="I1153" s="60" t="s">
        <v>125</v>
      </c>
      <c r="J1153" s="33" t="s">
        <v>45</v>
      </c>
      <c r="K1153" s="46">
        <v>0</v>
      </c>
      <c r="L1153">
        <v>61.5</v>
      </c>
      <c r="M1153" t="s">
        <v>48</v>
      </c>
      <c r="N1153" s="46">
        <v>1</v>
      </c>
      <c r="O1153" s="46">
        <v>0</v>
      </c>
      <c r="P1153" s="46">
        <v>0</v>
      </c>
      <c r="Q1153" t="s">
        <v>48</v>
      </c>
      <c r="R1153" t="s">
        <v>48</v>
      </c>
      <c r="S1153" t="s">
        <v>7320</v>
      </c>
      <c r="T1153" t="s">
        <v>48</v>
      </c>
      <c r="U1153" t="s">
        <v>7320</v>
      </c>
      <c r="V1153" s="47">
        <v>0</v>
      </c>
      <c r="W1153" t="s">
        <v>48</v>
      </c>
      <c r="X1153" t="s">
        <v>48</v>
      </c>
      <c r="Y1153" t="s">
        <v>48</v>
      </c>
      <c r="Z1153">
        <v>0</v>
      </c>
      <c r="AA1153" t="s">
        <v>10953</v>
      </c>
      <c r="AB1153" t="s">
        <v>48</v>
      </c>
      <c r="AC1153" t="s">
        <v>63</v>
      </c>
      <c r="AD1153" t="s">
        <v>93</v>
      </c>
      <c r="AE1153" t="s">
        <v>4532</v>
      </c>
      <c r="AF1153" t="s">
        <v>48</v>
      </c>
      <c r="AG1153" t="s">
        <v>48</v>
      </c>
      <c r="AH1153" t="s">
        <v>48</v>
      </c>
      <c r="AI1153" t="s">
        <v>48</v>
      </c>
      <c r="AJ1153" t="s">
        <v>48</v>
      </c>
      <c r="AK1153" t="s">
        <v>48</v>
      </c>
      <c r="AL1153" t="s">
        <v>48</v>
      </c>
      <c r="AM1153" t="s">
        <v>48</v>
      </c>
      <c r="AN1153" t="s">
        <v>48</v>
      </c>
      <c r="AO1153" t="s">
        <v>48</v>
      </c>
      <c r="AP1153" s="46">
        <v>0</v>
      </c>
      <c r="AQ1153" s="46">
        <v>0</v>
      </c>
      <c r="AR1153" s="46">
        <v>0</v>
      </c>
      <c r="AS1153" s="46">
        <v>0</v>
      </c>
      <c r="AT1153" s="46">
        <v>0</v>
      </c>
      <c r="AU1153" s="46">
        <v>0</v>
      </c>
      <c r="AV1153" s="46">
        <v>0</v>
      </c>
      <c r="AW1153" s="46">
        <v>0</v>
      </c>
      <c r="AX1153" s="46">
        <v>0</v>
      </c>
      <c r="AY1153" s="46">
        <v>0</v>
      </c>
      <c r="AZ1153" s="46">
        <v>0</v>
      </c>
      <c r="BA1153" s="46">
        <v>0</v>
      </c>
      <c r="BB1153" s="46">
        <v>0</v>
      </c>
      <c r="BC1153" s="46">
        <v>0</v>
      </c>
      <c r="BD1153" s="46">
        <v>0</v>
      </c>
      <c r="BE1153" s="46">
        <v>0</v>
      </c>
      <c r="BF1153" s="46">
        <v>0</v>
      </c>
      <c r="BG1153" s="46" t="s">
        <v>48</v>
      </c>
      <c r="BH1153" s="46">
        <v>0</v>
      </c>
      <c r="BI1153" s="46">
        <v>0</v>
      </c>
      <c r="BJ1153" s="46">
        <v>0</v>
      </c>
      <c r="BK1153" s="46">
        <v>0</v>
      </c>
      <c r="BL1153" s="46">
        <v>0</v>
      </c>
      <c r="BM1153" s="46">
        <v>0</v>
      </c>
      <c r="BN1153" s="46">
        <v>0</v>
      </c>
    </row>
    <row r="1154" spans="1:66" x14ac:dyDescent="0.35">
      <c r="A1154" t="s">
        <v>7327</v>
      </c>
      <c r="B1154" s="44" t="s">
        <v>48</v>
      </c>
      <c r="C1154" t="s">
        <v>1467</v>
      </c>
      <c r="D1154" t="s">
        <v>613</v>
      </c>
      <c r="E1154" t="s">
        <v>7329</v>
      </c>
      <c r="F1154" t="s">
        <v>7328</v>
      </c>
      <c r="G1154" t="s">
        <v>47</v>
      </c>
      <c r="H1154">
        <v>0</v>
      </c>
      <c r="I1154" s="60" t="s">
        <v>51</v>
      </c>
      <c r="J1154" s="33" t="s">
        <v>45</v>
      </c>
      <c r="K1154" s="46">
        <v>1</v>
      </c>
      <c r="L1154">
        <v>100</v>
      </c>
      <c r="M1154" t="s">
        <v>48</v>
      </c>
      <c r="N1154" s="46">
        <v>1</v>
      </c>
      <c r="O1154" s="46">
        <v>0</v>
      </c>
      <c r="P1154" s="46">
        <v>0</v>
      </c>
      <c r="Q1154" t="s">
        <v>48</v>
      </c>
      <c r="R1154" t="s">
        <v>48</v>
      </c>
      <c r="S1154" t="s">
        <v>7330</v>
      </c>
      <c r="T1154" t="s">
        <v>7331</v>
      </c>
      <c r="U1154" t="s">
        <v>7330</v>
      </c>
      <c r="V1154" s="47">
        <v>0</v>
      </c>
      <c r="W1154" t="s">
        <v>48</v>
      </c>
      <c r="X1154" t="s">
        <v>48</v>
      </c>
      <c r="Y1154" t="s">
        <v>48</v>
      </c>
      <c r="Z1154">
        <v>0</v>
      </c>
      <c r="AA1154" t="s">
        <v>48</v>
      </c>
      <c r="AB1154">
        <v>2010</v>
      </c>
      <c r="AC1154" t="s">
        <v>49</v>
      </c>
      <c r="AD1154" t="s">
        <v>93</v>
      </c>
      <c r="AE1154" t="s">
        <v>4532</v>
      </c>
      <c r="AF1154" t="s">
        <v>48</v>
      </c>
      <c r="AG1154" t="s">
        <v>119</v>
      </c>
      <c r="AH1154" t="s">
        <v>93</v>
      </c>
      <c r="AI1154">
        <v>21191</v>
      </c>
      <c r="AJ1154">
        <v>1958</v>
      </c>
      <c r="AK1154" t="s">
        <v>9390</v>
      </c>
      <c r="AL1154" t="s">
        <v>9391</v>
      </c>
      <c r="AM1154">
        <v>0.53600000000000003</v>
      </c>
      <c r="AN1154">
        <v>-0.40500000000000003</v>
      </c>
      <c r="AO1154">
        <v>0.53600000000000003</v>
      </c>
      <c r="AP1154" s="46">
        <v>0</v>
      </c>
      <c r="AQ1154" s="46">
        <v>0</v>
      </c>
      <c r="AR1154" s="46">
        <v>0</v>
      </c>
      <c r="AS1154" s="46">
        <v>0</v>
      </c>
      <c r="AT1154" s="46">
        <v>0</v>
      </c>
      <c r="AU1154" s="46">
        <v>0</v>
      </c>
      <c r="AV1154" s="46">
        <v>0</v>
      </c>
      <c r="AW1154" s="46">
        <v>0</v>
      </c>
      <c r="AX1154" s="46">
        <v>0</v>
      </c>
      <c r="AY1154" s="46">
        <v>0</v>
      </c>
      <c r="AZ1154" s="46">
        <v>0</v>
      </c>
      <c r="BA1154" s="46">
        <v>0</v>
      </c>
      <c r="BB1154" s="46">
        <v>0</v>
      </c>
      <c r="BC1154" s="46">
        <v>0</v>
      </c>
      <c r="BD1154" s="46">
        <v>0</v>
      </c>
      <c r="BE1154" s="46">
        <v>0</v>
      </c>
      <c r="BF1154" s="46">
        <v>1</v>
      </c>
      <c r="BG1154" s="46">
        <v>1</v>
      </c>
      <c r="BH1154" s="46">
        <v>0</v>
      </c>
      <c r="BI1154" s="46">
        <v>0</v>
      </c>
      <c r="BJ1154" s="46">
        <v>0</v>
      </c>
      <c r="BK1154" s="46">
        <v>0</v>
      </c>
      <c r="BL1154" s="46">
        <v>0</v>
      </c>
      <c r="BM1154" s="46">
        <v>0</v>
      </c>
      <c r="BN1154" s="46">
        <v>0</v>
      </c>
    </row>
    <row r="1155" spans="1:66" ht="15" x14ac:dyDescent="0.4">
      <c r="A1155" t="s">
        <v>11216</v>
      </c>
      <c r="B1155" s="44" t="s">
        <v>48</v>
      </c>
      <c r="C1155" t="s">
        <v>12345</v>
      </c>
      <c r="D1155" t="s">
        <v>12346</v>
      </c>
      <c r="E1155" t="s">
        <v>11217</v>
      </c>
      <c r="F1155" t="s">
        <v>7328</v>
      </c>
      <c r="G1155" t="s">
        <v>74</v>
      </c>
      <c r="H1155">
        <v>0</v>
      </c>
      <c r="I1155" s="60" t="s">
        <v>11160</v>
      </c>
      <c r="J1155" s="33" t="s">
        <v>45</v>
      </c>
      <c r="K1155" s="46">
        <v>0</v>
      </c>
      <c r="L1155" t="s">
        <v>48</v>
      </c>
      <c r="M1155" t="s">
        <v>48</v>
      </c>
      <c r="N1155" s="46">
        <v>1</v>
      </c>
      <c r="O1155" s="46">
        <v>0</v>
      </c>
      <c r="P1155" s="46">
        <v>0</v>
      </c>
      <c r="Q1155" t="s">
        <v>48</v>
      </c>
      <c r="R1155" t="s">
        <v>48</v>
      </c>
      <c r="S1155" s="55" t="s">
        <v>11218</v>
      </c>
      <c r="T1155" t="s">
        <v>48</v>
      </c>
      <c r="U1155" s="55" t="s">
        <v>11218</v>
      </c>
      <c r="V1155" s="47" t="s">
        <v>48</v>
      </c>
      <c r="W1155" t="s">
        <v>48</v>
      </c>
      <c r="X1155" t="s">
        <v>48</v>
      </c>
      <c r="Y1155" t="s">
        <v>48</v>
      </c>
      <c r="Z1155" t="s">
        <v>48</v>
      </c>
      <c r="AA1155" t="s">
        <v>48</v>
      </c>
      <c r="AB1155" t="s">
        <v>48</v>
      </c>
      <c r="AC1155" t="s">
        <v>48</v>
      </c>
      <c r="AD1155" t="s">
        <v>48</v>
      </c>
      <c r="AE1155" t="s">
        <v>48</v>
      </c>
      <c r="AF1155" t="s">
        <v>48</v>
      </c>
      <c r="AG1155" t="s">
        <v>48</v>
      </c>
      <c r="AH1155" t="s">
        <v>48</v>
      </c>
      <c r="AI1155" t="s">
        <v>48</v>
      </c>
      <c r="AJ1155" t="s">
        <v>48</v>
      </c>
      <c r="AK1155" t="s">
        <v>48</v>
      </c>
      <c r="AL1155" t="s">
        <v>48</v>
      </c>
      <c r="AM1155" t="s">
        <v>48</v>
      </c>
      <c r="AN1155" t="s">
        <v>48</v>
      </c>
      <c r="AO1155" t="s">
        <v>48</v>
      </c>
      <c r="AP1155" s="46">
        <v>0</v>
      </c>
      <c r="AQ1155" s="46">
        <v>0</v>
      </c>
      <c r="AR1155" s="46">
        <v>0</v>
      </c>
      <c r="AS1155" s="46">
        <v>0</v>
      </c>
      <c r="AT1155" s="46">
        <v>0</v>
      </c>
      <c r="AU1155" s="46">
        <v>0</v>
      </c>
      <c r="AV1155" s="46">
        <v>0</v>
      </c>
      <c r="AW1155" s="46">
        <v>0</v>
      </c>
      <c r="AX1155" s="46">
        <v>0</v>
      </c>
      <c r="AY1155" s="46">
        <v>0</v>
      </c>
      <c r="AZ1155" s="46">
        <v>0</v>
      </c>
      <c r="BA1155" s="46">
        <v>0</v>
      </c>
      <c r="BB1155" s="46">
        <v>0</v>
      </c>
      <c r="BC1155" s="46">
        <v>0</v>
      </c>
      <c r="BD1155" s="46">
        <v>0</v>
      </c>
      <c r="BE1155" s="46">
        <v>0</v>
      </c>
      <c r="BF1155" s="46">
        <v>0</v>
      </c>
      <c r="BG1155" s="46" t="s">
        <v>48</v>
      </c>
      <c r="BH1155" s="46">
        <v>0</v>
      </c>
      <c r="BI1155" s="46">
        <v>0</v>
      </c>
      <c r="BJ1155" s="46">
        <v>0</v>
      </c>
      <c r="BK1155" s="46">
        <v>0</v>
      </c>
      <c r="BL1155" s="46">
        <v>0</v>
      </c>
      <c r="BM1155" s="46">
        <v>0</v>
      </c>
      <c r="BN1155" s="46">
        <v>0</v>
      </c>
    </row>
    <row r="1156" spans="1:66" x14ac:dyDescent="0.35">
      <c r="A1156" t="s">
        <v>7339</v>
      </c>
      <c r="B1156" t="s">
        <v>48</v>
      </c>
      <c r="C1156" t="s">
        <v>7343</v>
      </c>
      <c r="D1156" t="s">
        <v>7342</v>
      </c>
      <c r="E1156" t="s">
        <v>7340</v>
      </c>
      <c r="F1156" t="s">
        <v>7333</v>
      </c>
      <c r="G1156" t="s">
        <v>47</v>
      </c>
      <c r="H1156">
        <v>0</v>
      </c>
      <c r="I1156" s="60" t="s">
        <v>125</v>
      </c>
      <c r="J1156" s="33" t="s">
        <v>45</v>
      </c>
      <c r="K1156" s="46">
        <v>0</v>
      </c>
      <c r="L1156">
        <v>52.8</v>
      </c>
      <c r="M1156" t="s">
        <v>48</v>
      </c>
      <c r="N1156" s="46">
        <v>1</v>
      </c>
      <c r="O1156" s="46">
        <v>0</v>
      </c>
      <c r="P1156" s="46">
        <v>0</v>
      </c>
      <c r="Q1156" t="s">
        <v>48</v>
      </c>
      <c r="R1156" t="s">
        <v>48</v>
      </c>
      <c r="S1156" t="s">
        <v>7341</v>
      </c>
      <c r="T1156" t="s">
        <v>48</v>
      </c>
      <c r="U1156" t="s">
        <v>7341</v>
      </c>
      <c r="V1156" s="47">
        <v>0</v>
      </c>
      <c r="W1156" t="s">
        <v>48</v>
      </c>
      <c r="X1156" t="s">
        <v>48</v>
      </c>
      <c r="Y1156" t="s">
        <v>48</v>
      </c>
      <c r="Z1156">
        <v>0</v>
      </c>
      <c r="AA1156" t="s">
        <v>10963</v>
      </c>
      <c r="AB1156" t="s">
        <v>48</v>
      </c>
      <c r="AC1156" t="s">
        <v>49</v>
      </c>
      <c r="AD1156" t="s">
        <v>93</v>
      </c>
      <c r="AE1156" t="s">
        <v>977</v>
      </c>
      <c r="AF1156" t="s">
        <v>11072</v>
      </c>
      <c r="AG1156" t="s">
        <v>48</v>
      </c>
      <c r="AH1156" t="s">
        <v>48</v>
      </c>
      <c r="AI1156" t="s">
        <v>48</v>
      </c>
      <c r="AJ1156" t="s">
        <v>48</v>
      </c>
      <c r="AK1156" t="s">
        <v>48</v>
      </c>
      <c r="AL1156" t="s">
        <v>48</v>
      </c>
      <c r="AM1156" t="s">
        <v>48</v>
      </c>
      <c r="AN1156" t="s">
        <v>48</v>
      </c>
      <c r="AO1156" t="s">
        <v>48</v>
      </c>
      <c r="AP1156" s="46">
        <v>0</v>
      </c>
      <c r="AQ1156" s="46">
        <v>0</v>
      </c>
      <c r="AR1156" s="46">
        <v>0</v>
      </c>
      <c r="AS1156" s="46">
        <v>0</v>
      </c>
      <c r="AT1156" s="46">
        <v>0</v>
      </c>
      <c r="AU1156" s="46">
        <v>0</v>
      </c>
      <c r="AV1156" s="46">
        <v>0</v>
      </c>
      <c r="AW1156" s="46">
        <v>0</v>
      </c>
      <c r="AX1156" s="46">
        <v>0</v>
      </c>
      <c r="AY1156" s="46">
        <v>0</v>
      </c>
      <c r="AZ1156" s="46">
        <v>0</v>
      </c>
      <c r="BA1156" s="46">
        <v>0</v>
      </c>
      <c r="BB1156" s="46">
        <v>0</v>
      </c>
      <c r="BC1156" s="46">
        <v>0</v>
      </c>
      <c r="BD1156" s="46">
        <v>0</v>
      </c>
      <c r="BE1156" s="46">
        <v>0</v>
      </c>
      <c r="BF1156" s="46">
        <v>0</v>
      </c>
      <c r="BG1156" s="46">
        <v>1</v>
      </c>
      <c r="BH1156" s="46">
        <v>0</v>
      </c>
      <c r="BI1156" s="46">
        <v>0</v>
      </c>
      <c r="BJ1156" s="46">
        <v>0</v>
      </c>
      <c r="BK1156" s="46">
        <v>0</v>
      </c>
      <c r="BL1156" s="46">
        <v>0</v>
      </c>
      <c r="BM1156" s="46">
        <v>0</v>
      </c>
      <c r="BN1156" s="46">
        <v>0</v>
      </c>
    </row>
    <row r="1157" spans="1:66" x14ac:dyDescent="0.35">
      <c r="A1157" t="s">
        <v>7378</v>
      </c>
      <c r="B1157" t="s">
        <v>48</v>
      </c>
      <c r="C1157" t="s">
        <v>7382</v>
      </c>
      <c r="D1157" t="s">
        <v>1445</v>
      </c>
      <c r="E1157" t="s">
        <v>7379</v>
      </c>
      <c r="F1157" t="s">
        <v>7333</v>
      </c>
      <c r="G1157" t="s">
        <v>74</v>
      </c>
      <c r="H1157">
        <v>0</v>
      </c>
      <c r="I1157" s="60" t="s">
        <v>51</v>
      </c>
      <c r="J1157" s="33" t="s">
        <v>45</v>
      </c>
      <c r="K1157" s="46">
        <v>1</v>
      </c>
      <c r="L1157">
        <v>100</v>
      </c>
      <c r="M1157" t="s">
        <v>48</v>
      </c>
      <c r="N1157" s="46">
        <v>1</v>
      </c>
      <c r="O1157" s="46">
        <v>0</v>
      </c>
      <c r="P1157" s="46">
        <v>0</v>
      </c>
      <c r="Q1157" t="s">
        <v>48</v>
      </c>
      <c r="R1157" t="s">
        <v>48</v>
      </c>
      <c r="S1157" t="s">
        <v>7380</v>
      </c>
      <c r="T1157" t="s">
        <v>7381</v>
      </c>
      <c r="U1157" t="s">
        <v>7380</v>
      </c>
      <c r="V1157" s="47">
        <v>0</v>
      </c>
      <c r="W1157" t="s">
        <v>48</v>
      </c>
      <c r="X1157" t="s">
        <v>48</v>
      </c>
      <c r="Y1157" t="s">
        <v>48</v>
      </c>
      <c r="Z1157">
        <v>0</v>
      </c>
      <c r="AA1157" t="s">
        <v>48</v>
      </c>
      <c r="AB1157">
        <v>2018</v>
      </c>
      <c r="AC1157" t="s">
        <v>63</v>
      </c>
      <c r="AD1157" t="s">
        <v>93</v>
      </c>
      <c r="AE1157" t="s">
        <v>4532</v>
      </c>
      <c r="AF1157" t="s">
        <v>48</v>
      </c>
      <c r="AG1157" t="s">
        <v>876</v>
      </c>
      <c r="AH1157" t="s">
        <v>93</v>
      </c>
      <c r="AI1157">
        <v>21983</v>
      </c>
      <c r="AJ1157">
        <v>1968</v>
      </c>
      <c r="AK1157" t="s">
        <v>9392</v>
      </c>
      <c r="AL1157" t="s">
        <v>9393</v>
      </c>
      <c r="AM1157">
        <v>-0.33600000000000002</v>
      </c>
      <c r="AN1157">
        <v>0.34699999999999998</v>
      </c>
      <c r="AO1157">
        <v>-0.33600000000000002</v>
      </c>
      <c r="AP1157" s="46">
        <v>0</v>
      </c>
      <c r="AQ1157" s="46">
        <v>0</v>
      </c>
      <c r="AR1157" s="46">
        <v>0</v>
      </c>
      <c r="AS1157" s="46">
        <v>0</v>
      </c>
      <c r="AT1157" s="46">
        <v>0</v>
      </c>
      <c r="AU1157" s="46">
        <v>1</v>
      </c>
      <c r="AV1157" s="46">
        <v>0</v>
      </c>
      <c r="AW1157" s="46">
        <v>0</v>
      </c>
      <c r="AX1157" s="46">
        <v>0</v>
      </c>
      <c r="AY1157" s="46">
        <v>0</v>
      </c>
      <c r="AZ1157" s="46">
        <v>0</v>
      </c>
      <c r="BA1157" s="46">
        <v>0</v>
      </c>
      <c r="BB1157" s="46">
        <v>0</v>
      </c>
      <c r="BC1157" s="46">
        <v>0</v>
      </c>
      <c r="BD1157" s="46">
        <v>0</v>
      </c>
      <c r="BE1157" s="46">
        <v>0</v>
      </c>
      <c r="BF1157" s="46">
        <v>0</v>
      </c>
      <c r="BG1157" s="46" t="s">
        <v>48</v>
      </c>
      <c r="BH1157" s="46">
        <v>0</v>
      </c>
      <c r="BI1157" s="46">
        <v>0</v>
      </c>
      <c r="BJ1157" s="46">
        <v>0</v>
      </c>
      <c r="BK1157" s="46">
        <v>0</v>
      </c>
      <c r="BL1157" s="46">
        <v>0</v>
      </c>
      <c r="BM1157" s="46">
        <v>0</v>
      </c>
      <c r="BN1157" s="46">
        <v>0</v>
      </c>
    </row>
    <row r="1158" spans="1:66" x14ac:dyDescent="0.35">
      <c r="A1158" t="s">
        <v>7396</v>
      </c>
      <c r="B1158" t="s">
        <v>48</v>
      </c>
      <c r="C1158" t="s">
        <v>7400</v>
      </c>
      <c r="D1158" t="s">
        <v>4330</v>
      </c>
      <c r="E1158" t="s">
        <v>7397</v>
      </c>
      <c r="F1158" t="s">
        <v>7384</v>
      </c>
      <c r="G1158" t="s">
        <v>74</v>
      </c>
      <c r="H1158">
        <v>0</v>
      </c>
      <c r="I1158" s="60" t="s">
        <v>51</v>
      </c>
      <c r="J1158" s="33" t="s">
        <v>45</v>
      </c>
      <c r="K1158" s="46">
        <v>1</v>
      </c>
      <c r="L1158">
        <v>100</v>
      </c>
      <c r="M1158" t="s">
        <v>48</v>
      </c>
      <c r="N1158" s="46">
        <v>1</v>
      </c>
      <c r="O1158" s="46">
        <v>0</v>
      </c>
      <c r="P1158" s="46">
        <v>0</v>
      </c>
      <c r="Q1158" t="s">
        <v>48</v>
      </c>
      <c r="R1158" t="s">
        <v>48</v>
      </c>
      <c r="S1158" t="s">
        <v>7398</v>
      </c>
      <c r="T1158" t="s">
        <v>7399</v>
      </c>
      <c r="U1158" t="s">
        <v>7398</v>
      </c>
      <c r="V1158" s="47">
        <v>0</v>
      </c>
      <c r="W1158" t="s">
        <v>48</v>
      </c>
      <c r="X1158" t="s">
        <v>48</v>
      </c>
      <c r="Y1158" t="s">
        <v>48</v>
      </c>
      <c r="Z1158">
        <v>0</v>
      </c>
      <c r="AA1158" t="s">
        <v>48</v>
      </c>
      <c r="AB1158">
        <v>2008</v>
      </c>
      <c r="AC1158" t="s">
        <v>49</v>
      </c>
      <c r="AD1158" t="s">
        <v>93</v>
      </c>
      <c r="AE1158" t="s">
        <v>4532</v>
      </c>
      <c r="AF1158" t="s">
        <v>48</v>
      </c>
      <c r="AG1158" t="s">
        <v>140</v>
      </c>
      <c r="AH1158" t="s">
        <v>93</v>
      </c>
      <c r="AI1158">
        <v>20952</v>
      </c>
      <c r="AJ1158">
        <v>1950</v>
      </c>
      <c r="AK1158" t="s">
        <v>9394</v>
      </c>
      <c r="AL1158" t="s">
        <v>9395</v>
      </c>
      <c r="AM1158">
        <v>-0.30599999999999999</v>
      </c>
      <c r="AN1158">
        <v>-0.02</v>
      </c>
      <c r="AO1158">
        <v>-0.30599999999999999</v>
      </c>
      <c r="AP1158" s="46">
        <v>0</v>
      </c>
      <c r="AQ1158" s="46">
        <v>0</v>
      </c>
      <c r="AR1158" s="46">
        <v>0</v>
      </c>
      <c r="AS1158" s="46">
        <v>0</v>
      </c>
      <c r="AT1158" s="46">
        <v>0</v>
      </c>
      <c r="AU1158" s="46">
        <v>1</v>
      </c>
      <c r="AV1158" s="46">
        <v>0</v>
      </c>
      <c r="AW1158" s="46">
        <v>0</v>
      </c>
      <c r="AX1158" s="46">
        <v>0</v>
      </c>
      <c r="AY1158" s="46">
        <v>0</v>
      </c>
      <c r="AZ1158" s="46">
        <v>0</v>
      </c>
      <c r="BA1158" s="46">
        <v>0</v>
      </c>
      <c r="BB1158" s="46">
        <v>0</v>
      </c>
      <c r="BC1158" s="46">
        <v>0</v>
      </c>
      <c r="BD1158" s="46">
        <v>0</v>
      </c>
      <c r="BE1158" s="46">
        <v>0</v>
      </c>
      <c r="BF1158" s="46">
        <v>0</v>
      </c>
      <c r="BG1158" s="46" t="s">
        <v>48</v>
      </c>
      <c r="BH1158" s="46">
        <v>0</v>
      </c>
      <c r="BI1158" s="46">
        <v>0</v>
      </c>
      <c r="BJ1158" s="46">
        <v>0</v>
      </c>
      <c r="BK1158" s="46">
        <v>0</v>
      </c>
      <c r="BL1158" s="46">
        <v>0</v>
      </c>
      <c r="BM1158" s="46">
        <v>0</v>
      </c>
      <c r="BN1158" s="46">
        <v>0</v>
      </c>
    </row>
    <row r="1159" spans="1:66" ht="15" x14ac:dyDescent="0.4">
      <c r="A1159" t="s">
        <v>7401</v>
      </c>
      <c r="B1159" t="s">
        <v>48</v>
      </c>
      <c r="C1159" t="s">
        <v>7403</v>
      </c>
      <c r="D1159" t="s">
        <v>603</v>
      </c>
      <c r="E1159" t="s">
        <v>7402</v>
      </c>
      <c r="F1159" t="s">
        <v>7384</v>
      </c>
      <c r="G1159" t="s">
        <v>47</v>
      </c>
      <c r="H1159">
        <v>0</v>
      </c>
      <c r="I1159" s="60" t="s">
        <v>11160</v>
      </c>
      <c r="J1159" s="33" t="s">
        <v>45</v>
      </c>
      <c r="K1159" s="46">
        <v>0</v>
      </c>
      <c r="L1159">
        <v>40.200000000000003</v>
      </c>
      <c r="M1159" t="s">
        <v>48</v>
      </c>
      <c r="N1159" s="46">
        <v>1</v>
      </c>
      <c r="O1159" s="46">
        <v>0</v>
      </c>
      <c r="P1159" s="46">
        <v>0</v>
      </c>
      <c r="Q1159" t="s">
        <v>48</v>
      </c>
      <c r="R1159" t="s">
        <v>48</v>
      </c>
      <c r="S1159" s="55" t="s">
        <v>11312</v>
      </c>
      <c r="T1159" t="s">
        <v>48</v>
      </c>
      <c r="U1159" s="55" t="s">
        <v>11312</v>
      </c>
      <c r="V1159" s="47">
        <v>0</v>
      </c>
      <c r="W1159" t="s">
        <v>48</v>
      </c>
      <c r="X1159" t="s">
        <v>48</v>
      </c>
      <c r="Y1159" t="s">
        <v>48</v>
      </c>
      <c r="Z1159">
        <v>0</v>
      </c>
      <c r="AA1159" t="s">
        <v>48</v>
      </c>
      <c r="AB1159" t="s">
        <v>48</v>
      </c>
      <c r="AC1159" t="s">
        <v>49</v>
      </c>
      <c r="AD1159" t="s">
        <v>93</v>
      </c>
      <c r="AE1159" t="s">
        <v>4532</v>
      </c>
      <c r="AF1159" t="s">
        <v>48</v>
      </c>
      <c r="AG1159" t="s">
        <v>48</v>
      </c>
      <c r="AH1159" t="s">
        <v>48</v>
      </c>
      <c r="AI1159" t="s">
        <v>48</v>
      </c>
      <c r="AJ1159" t="s">
        <v>48</v>
      </c>
      <c r="AK1159" t="s">
        <v>48</v>
      </c>
      <c r="AL1159" t="s">
        <v>48</v>
      </c>
      <c r="AM1159" t="s">
        <v>48</v>
      </c>
      <c r="AN1159" t="s">
        <v>48</v>
      </c>
      <c r="AO1159" t="s">
        <v>48</v>
      </c>
      <c r="AP1159" s="46">
        <v>0</v>
      </c>
      <c r="AQ1159" s="46">
        <v>0</v>
      </c>
      <c r="AR1159" s="46">
        <v>0</v>
      </c>
      <c r="AS1159" s="46">
        <v>0</v>
      </c>
      <c r="AT1159" s="46">
        <v>0</v>
      </c>
      <c r="AU1159" s="46">
        <v>0</v>
      </c>
      <c r="AV1159" s="46">
        <v>0</v>
      </c>
      <c r="AW1159" s="46">
        <v>0</v>
      </c>
      <c r="AX1159" s="46">
        <v>0</v>
      </c>
      <c r="AY1159" s="46">
        <v>0</v>
      </c>
      <c r="AZ1159" s="46">
        <v>0</v>
      </c>
      <c r="BA1159" s="46">
        <v>0</v>
      </c>
      <c r="BB1159" s="46">
        <v>0</v>
      </c>
      <c r="BC1159" s="46">
        <v>0</v>
      </c>
      <c r="BD1159" s="46">
        <v>0</v>
      </c>
      <c r="BE1159" s="46">
        <v>0</v>
      </c>
      <c r="BF1159" s="46">
        <v>0</v>
      </c>
      <c r="BG1159" s="46" t="s">
        <v>48</v>
      </c>
      <c r="BH1159" s="46">
        <v>0</v>
      </c>
      <c r="BI1159" s="46">
        <v>0</v>
      </c>
      <c r="BJ1159" s="46">
        <v>0</v>
      </c>
      <c r="BK1159" s="46">
        <v>0</v>
      </c>
      <c r="BL1159" s="46">
        <v>0</v>
      </c>
      <c r="BM1159" s="46">
        <v>0</v>
      </c>
      <c r="BN1159" s="46">
        <v>0</v>
      </c>
    </row>
    <row r="1160" spans="1:66" x14ac:dyDescent="0.35">
      <c r="A1160" s="44" t="s">
        <v>9808</v>
      </c>
      <c r="B1160" s="44" t="s">
        <v>48</v>
      </c>
      <c r="C1160" t="s">
        <v>12347</v>
      </c>
      <c r="D1160" t="s">
        <v>12348</v>
      </c>
      <c r="E1160" t="s">
        <v>9809</v>
      </c>
      <c r="F1160" t="s">
        <v>7415</v>
      </c>
      <c r="G1160" t="s">
        <v>74</v>
      </c>
      <c r="H1160">
        <v>0</v>
      </c>
      <c r="I1160" s="61">
        <v>44783</v>
      </c>
      <c r="J1160" s="33" t="s">
        <v>45</v>
      </c>
      <c r="K1160" s="46">
        <v>0</v>
      </c>
      <c r="L1160">
        <v>60.3</v>
      </c>
      <c r="M1160" t="s">
        <v>48</v>
      </c>
      <c r="N1160" s="46">
        <v>1</v>
      </c>
      <c r="O1160" s="46">
        <v>0</v>
      </c>
      <c r="P1160" s="46">
        <v>0</v>
      </c>
      <c r="Q1160" t="s">
        <v>48</v>
      </c>
      <c r="R1160" t="s">
        <v>48</v>
      </c>
      <c r="S1160" t="str">
        <f>"@beccabalintvt"</f>
        <v>@beccabalintvt</v>
      </c>
      <c r="T1160" t="s">
        <v>48</v>
      </c>
      <c r="U1160" t="str">
        <f>"@beccabalintvt"</f>
        <v>@beccabalintvt</v>
      </c>
      <c r="V1160" s="47">
        <v>0</v>
      </c>
      <c r="W1160" t="s">
        <v>48</v>
      </c>
      <c r="X1160" t="s">
        <v>48</v>
      </c>
      <c r="Y1160" t="s">
        <v>48</v>
      </c>
      <c r="Z1160" t="s">
        <v>48</v>
      </c>
      <c r="AA1160" t="s">
        <v>48</v>
      </c>
      <c r="AB1160" t="s">
        <v>48</v>
      </c>
      <c r="AC1160" t="s">
        <v>63</v>
      </c>
      <c r="AD1160" t="s">
        <v>93</v>
      </c>
      <c r="AE1160" t="s">
        <v>4532</v>
      </c>
      <c r="AF1160" t="s">
        <v>48</v>
      </c>
      <c r="AG1160" t="s">
        <v>48</v>
      </c>
      <c r="AH1160" t="s">
        <v>48</v>
      </c>
      <c r="AI1160" t="s">
        <v>48</v>
      </c>
      <c r="AJ1160" t="s">
        <v>48</v>
      </c>
      <c r="AK1160" t="s">
        <v>48</v>
      </c>
      <c r="AL1160" t="s">
        <v>48</v>
      </c>
      <c r="AM1160" t="s">
        <v>48</v>
      </c>
      <c r="AN1160" t="s">
        <v>48</v>
      </c>
      <c r="AO1160" t="s">
        <v>48</v>
      </c>
      <c r="AP1160" s="46">
        <v>0</v>
      </c>
      <c r="AQ1160" s="46">
        <v>0</v>
      </c>
      <c r="AR1160" s="46">
        <v>0</v>
      </c>
      <c r="AS1160" s="46">
        <v>1</v>
      </c>
      <c r="AT1160" s="46">
        <v>0</v>
      </c>
      <c r="AU1160" s="46">
        <v>0</v>
      </c>
      <c r="AV1160" s="46">
        <v>0</v>
      </c>
      <c r="AW1160" s="46">
        <v>0</v>
      </c>
      <c r="AX1160" s="46">
        <v>0</v>
      </c>
      <c r="AY1160" s="46">
        <v>0</v>
      </c>
      <c r="AZ1160" s="46">
        <v>0</v>
      </c>
      <c r="BA1160" s="46">
        <v>0</v>
      </c>
      <c r="BB1160" s="46">
        <v>0</v>
      </c>
      <c r="BC1160" s="46">
        <v>0</v>
      </c>
      <c r="BD1160" s="46">
        <v>0</v>
      </c>
      <c r="BE1160" s="46">
        <v>0</v>
      </c>
      <c r="BF1160" s="46">
        <v>0</v>
      </c>
      <c r="BG1160" s="46" t="s">
        <v>48</v>
      </c>
      <c r="BH1160" s="46">
        <v>0</v>
      </c>
      <c r="BI1160" s="46">
        <v>0</v>
      </c>
      <c r="BJ1160" s="46">
        <v>0</v>
      </c>
      <c r="BK1160" s="46">
        <v>1</v>
      </c>
      <c r="BL1160" s="46">
        <v>0</v>
      </c>
      <c r="BM1160" s="46">
        <v>0</v>
      </c>
      <c r="BN1160" s="46">
        <v>0</v>
      </c>
    </row>
    <row r="1161" spans="1:66" x14ac:dyDescent="0.35">
      <c r="A1161" t="s">
        <v>10878</v>
      </c>
      <c r="B1161" s="44" t="s">
        <v>48</v>
      </c>
      <c r="C1161" t="s">
        <v>12350</v>
      </c>
      <c r="D1161" t="s">
        <v>3112</v>
      </c>
      <c r="E1161" t="s">
        <v>10879</v>
      </c>
      <c r="F1161" t="s">
        <v>7415</v>
      </c>
      <c r="G1161" t="s">
        <v>47</v>
      </c>
      <c r="H1161">
        <v>0</v>
      </c>
      <c r="I1161" s="61" t="s">
        <v>11160</v>
      </c>
      <c r="J1161" s="33" t="s">
        <v>45</v>
      </c>
      <c r="K1161" s="46">
        <v>0</v>
      </c>
      <c r="L1161">
        <v>41.4</v>
      </c>
      <c r="M1161" t="s">
        <v>48</v>
      </c>
      <c r="N1161" s="46">
        <v>1</v>
      </c>
      <c r="O1161" s="46">
        <v>0</v>
      </c>
      <c r="P1161" s="46">
        <v>0</v>
      </c>
      <c r="Q1161" t="s">
        <v>48</v>
      </c>
      <c r="R1161" t="s">
        <v>48</v>
      </c>
      <c r="S1161" t="s">
        <v>11360</v>
      </c>
      <c r="T1161" t="s">
        <v>48</v>
      </c>
      <c r="U1161" t="s">
        <v>10880</v>
      </c>
      <c r="V1161" s="47">
        <v>0</v>
      </c>
      <c r="W1161" t="s">
        <v>48</v>
      </c>
      <c r="X1161" t="s">
        <v>48</v>
      </c>
      <c r="Y1161" t="s">
        <v>48</v>
      </c>
      <c r="Z1161">
        <v>0</v>
      </c>
      <c r="AA1161" t="s">
        <v>48</v>
      </c>
      <c r="AB1161" t="s">
        <v>48</v>
      </c>
      <c r="AC1161" t="s">
        <v>49</v>
      </c>
      <c r="AD1161" t="s">
        <v>93</v>
      </c>
      <c r="AE1161" t="s">
        <v>4532</v>
      </c>
      <c r="AF1161" t="s">
        <v>48</v>
      </c>
      <c r="AG1161" t="s">
        <v>48</v>
      </c>
      <c r="AH1161" t="s">
        <v>48</v>
      </c>
      <c r="AI1161" t="s">
        <v>48</v>
      </c>
      <c r="AJ1161" t="s">
        <v>48</v>
      </c>
      <c r="AK1161" t="s">
        <v>48</v>
      </c>
      <c r="AL1161" t="s">
        <v>48</v>
      </c>
      <c r="AM1161" t="s">
        <v>48</v>
      </c>
      <c r="AN1161" t="s">
        <v>48</v>
      </c>
      <c r="AO1161" t="s">
        <v>48</v>
      </c>
      <c r="AP1161" s="46">
        <v>0</v>
      </c>
      <c r="AQ1161" s="46">
        <v>0</v>
      </c>
      <c r="AR1161" s="46">
        <v>0</v>
      </c>
      <c r="AS1161" s="46">
        <v>0</v>
      </c>
      <c r="AT1161" s="46">
        <v>0</v>
      </c>
      <c r="AU1161" s="46">
        <v>0</v>
      </c>
      <c r="AV1161" s="46">
        <v>0</v>
      </c>
      <c r="AW1161" s="46">
        <v>1</v>
      </c>
      <c r="AX1161" s="46">
        <v>0</v>
      </c>
      <c r="AY1161" s="46">
        <v>0</v>
      </c>
      <c r="AZ1161" s="46">
        <v>0</v>
      </c>
      <c r="BA1161" s="46">
        <v>0</v>
      </c>
      <c r="BB1161" s="46">
        <v>0</v>
      </c>
      <c r="BC1161" s="46">
        <v>0</v>
      </c>
      <c r="BD1161" s="46">
        <v>0</v>
      </c>
      <c r="BE1161" s="46">
        <v>0</v>
      </c>
      <c r="BF1161" s="46">
        <v>0</v>
      </c>
      <c r="BG1161" s="46" t="s">
        <v>48</v>
      </c>
      <c r="BH1161" s="46">
        <v>0</v>
      </c>
      <c r="BI1161" s="46">
        <v>0</v>
      </c>
      <c r="BJ1161" s="46">
        <v>0</v>
      </c>
      <c r="BK1161" s="46">
        <v>0</v>
      </c>
      <c r="BL1161" s="46">
        <v>1</v>
      </c>
      <c r="BM1161" s="46">
        <v>0</v>
      </c>
      <c r="BN1161" s="46">
        <v>0</v>
      </c>
    </row>
    <row r="1162" spans="1:66" x14ac:dyDescent="0.35">
      <c r="A1162" t="s">
        <v>7434</v>
      </c>
      <c r="B1162" t="s">
        <v>48</v>
      </c>
      <c r="C1162" t="s">
        <v>7439</v>
      </c>
      <c r="D1162" t="s">
        <v>7438</v>
      </c>
      <c r="E1162" t="s">
        <v>7435</v>
      </c>
      <c r="F1162" t="s">
        <v>7430</v>
      </c>
      <c r="G1162" t="s">
        <v>74</v>
      </c>
      <c r="H1162">
        <v>0</v>
      </c>
      <c r="I1162" s="60" t="s">
        <v>51</v>
      </c>
      <c r="J1162" s="33" t="s">
        <v>45</v>
      </c>
      <c r="K1162" s="46">
        <v>1</v>
      </c>
      <c r="L1162">
        <v>62</v>
      </c>
      <c r="M1162" t="s">
        <v>48</v>
      </c>
      <c r="N1162" s="46">
        <v>1</v>
      </c>
      <c r="O1162" s="46">
        <v>0</v>
      </c>
      <c r="P1162" s="46">
        <v>0</v>
      </c>
      <c r="Q1162" t="s">
        <v>48</v>
      </c>
      <c r="R1162" t="s">
        <v>48</v>
      </c>
      <c r="S1162" t="s">
        <v>7436</v>
      </c>
      <c r="T1162" t="s">
        <v>7437</v>
      </c>
      <c r="U1162" t="s">
        <v>7436</v>
      </c>
      <c r="V1162" s="47">
        <v>0</v>
      </c>
      <c r="W1162" t="s">
        <v>48</v>
      </c>
      <c r="X1162" t="s">
        <v>48</v>
      </c>
      <c r="Y1162" t="s">
        <v>48</v>
      </c>
      <c r="Z1162">
        <v>0</v>
      </c>
      <c r="AA1162" t="s">
        <v>48</v>
      </c>
      <c r="AB1162" t="s">
        <v>3292</v>
      </c>
      <c r="AC1162" t="s">
        <v>63</v>
      </c>
      <c r="AD1162" t="s">
        <v>93</v>
      </c>
      <c r="AE1162" t="s">
        <v>4532</v>
      </c>
      <c r="AF1162" t="s">
        <v>48</v>
      </c>
      <c r="AG1162" t="s">
        <v>119</v>
      </c>
      <c r="AH1162" t="s">
        <v>93</v>
      </c>
      <c r="AI1162">
        <v>31101</v>
      </c>
      <c r="AJ1162">
        <v>1962</v>
      </c>
      <c r="AK1162" t="s">
        <v>9396</v>
      </c>
      <c r="AL1162" t="s">
        <v>9397</v>
      </c>
      <c r="AM1162">
        <v>-0.28399999999999997</v>
      </c>
      <c r="AN1162">
        <v>-0.21099999999999999</v>
      </c>
      <c r="AO1162">
        <v>-0.28399999999999997</v>
      </c>
      <c r="AP1162" s="46">
        <v>0</v>
      </c>
      <c r="AQ1162" s="46">
        <v>0</v>
      </c>
      <c r="AR1162" s="46">
        <v>0</v>
      </c>
      <c r="AS1162" s="46">
        <v>0</v>
      </c>
      <c r="AT1162" s="46">
        <v>0</v>
      </c>
      <c r="AU1162" s="46">
        <v>1</v>
      </c>
      <c r="AV1162" s="46">
        <v>0</v>
      </c>
      <c r="AW1162" s="46">
        <v>0</v>
      </c>
      <c r="AX1162" s="46">
        <v>0</v>
      </c>
      <c r="AY1162" s="46">
        <v>0</v>
      </c>
      <c r="AZ1162" s="46">
        <v>0</v>
      </c>
      <c r="BA1162" s="46">
        <v>0</v>
      </c>
      <c r="BB1162" s="46">
        <v>0</v>
      </c>
      <c r="BC1162" s="46">
        <v>0</v>
      </c>
      <c r="BD1162" s="46">
        <v>0</v>
      </c>
      <c r="BE1162" s="46">
        <v>0</v>
      </c>
      <c r="BF1162" s="46">
        <v>0</v>
      </c>
      <c r="BG1162" s="46" t="s">
        <v>48</v>
      </c>
      <c r="BH1162" s="46">
        <v>0</v>
      </c>
      <c r="BI1162" s="46">
        <v>0</v>
      </c>
      <c r="BJ1162" s="46">
        <v>0</v>
      </c>
      <c r="BK1162" s="46">
        <v>0</v>
      </c>
      <c r="BL1162" s="46">
        <v>0</v>
      </c>
      <c r="BM1162" s="46">
        <v>0</v>
      </c>
      <c r="BN1162" s="46">
        <v>0</v>
      </c>
    </row>
    <row r="1163" spans="1:66" x14ac:dyDescent="0.35">
      <c r="A1163" t="s">
        <v>7429</v>
      </c>
      <c r="B1163" t="s">
        <v>48</v>
      </c>
      <c r="C1163" t="s">
        <v>7433</v>
      </c>
      <c r="D1163" t="s">
        <v>2416</v>
      </c>
      <c r="E1163" t="s">
        <v>7431</v>
      </c>
      <c r="F1163" t="s">
        <v>7430</v>
      </c>
      <c r="G1163" t="s">
        <v>47</v>
      </c>
      <c r="H1163">
        <v>0</v>
      </c>
      <c r="I1163" s="60" t="s">
        <v>125</v>
      </c>
      <c r="J1163" s="33" t="s">
        <v>45</v>
      </c>
      <c r="K1163" s="46">
        <v>0</v>
      </c>
      <c r="L1163">
        <v>19.899999999999999</v>
      </c>
      <c r="M1163" t="s">
        <v>48</v>
      </c>
      <c r="N1163" s="46">
        <v>1</v>
      </c>
      <c r="O1163" s="46">
        <v>0</v>
      </c>
      <c r="P1163" s="46">
        <v>0</v>
      </c>
      <c r="Q1163" t="s">
        <v>48</v>
      </c>
      <c r="R1163" t="s">
        <v>48</v>
      </c>
      <c r="S1163" t="s">
        <v>7432</v>
      </c>
      <c r="T1163" t="s">
        <v>48</v>
      </c>
      <c r="U1163" t="s">
        <v>7432</v>
      </c>
      <c r="V1163" s="47">
        <v>1</v>
      </c>
      <c r="W1163" t="s">
        <v>48</v>
      </c>
      <c r="X1163" t="s">
        <v>48</v>
      </c>
      <c r="Y1163" t="s">
        <v>48</v>
      </c>
      <c r="Z1163">
        <v>0</v>
      </c>
      <c r="AA1163" t="s">
        <v>48</v>
      </c>
      <c r="AB1163" t="s">
        <v>48</v>
      </c>
      <c r="AC1163" t="s">
        <v>49</v>
      </c>
      <c r="AD1163" t="s">
        <v>93</v>
      </c>
      <c r="AE1163" t="s">
        <v>4532</v>
      </c>
      <c r="AF1163" t="s">
        <v>48</v>
      </c>
      <c r="AG1163" t="s">
        <v>48</v>
      </c>
      <c r="AH1163" t="s">
        <v>48</v>
      </c>
      <c r="AI1163" t="s">
        <v>48</v>
      </c>
      <c r="AJ1163" t="s">
        <v>48</v>
      </c>
      <c r="AK1163" t="s">
        <v>48</v>
      </c>
      <c r="AL1163" t="s">
        <v>48</v>
      </c>
      <c r="AM1163" t="s">
        <v>48</v>
      </c>
      <c r="AN1163" t="s">
        <v>48</v>
      </c>
      <c r="AO1163" t="s">
        <v>48</v>
      </c>
      <c r="AP1163" s="46">
        <v>0</v>
      </c>
      <c r="AQ1163" s="46">
        <v>0</v>
      </c>
      <c r="AR1163" s="46">
        <v>0</v>
      </c>
      <c r="AS1163" s="46">
        <v>0</v>
      </c>
      <c r="AT1163" s="46">
        <v>0</v>
      </c>
      <c r="AU1163" s="46">
        <v>0</v>
      </c>
      <c r="AV1163" s="46">
        <v>0</v>
      </c>
      <c r="AW1163" s="46">
        <v>0</v>
      </c>
      <c r="AX1163" s="46">
        <v>0</v>
      </c>
      <c r="AY1163" s="46">
        <v>0</v>
      </c>
      <c r="AZ1163" s="46">
        <v>0</v>
      </c>
      <c r="BA1163" s="46">
        <v>0</v>
      </c>
      <c r="BB1163" s="46">
        <v>0</v>
      </c>
      <c r="BC1163" s="46">
        <v>0</v>
      </c>
      <c r="BD1163" s="46">
        <v>0</v>
      </c>
      <c r="BE1163" s="46">
        <v>0</v>
      </c>
      <c r="BF1163" s="46">
        <v>0</v>
      </c>
      <c r="BG1163" s="46" t="s">
        <v>48</v>
      </c>
      <c r="BH1163" s="46">
        <v>0</v>
      </c>
      <c r="BI1163" s="46">
        <v>0</v>
      </c>
      <c r="BJ1163" s="46">
        <v>0</v>
      </c>
      <c r="BK1163" s="46">
        <v>0</v>
      </c>
      <c r="BL1163" s="46">
        <v>0</v>
      </c>
      <c r="BM1163" s="46">
        <v>0</v>
      </c>
      <c r="BN1163" s="46">
        <v>0</v>
      </c>
    </row>
    <row r="1164" spans="1:66" ht="15" x14ac:dyDescent="0.4">
      <c r="A1164" t="s">
        <v>9959</v>
      </c>
      <c r="B1164" t="s">
        <v>48</v>
      </c>
      <c r="C1164" t="s">
        <v>5257</v>
      </c>
      <c r="D1164" t="s">
        <v>347</v>
      </c>
      <c r="E1164" t="s">
        <v>9960</v>
      </c>
      <c r="F1164" t="s">
        <v>7441</v>
      </c>
      <c r="G1164" t="s">
        <v>47</v>
      </c>
      <c r="H1164">
        <v>0</v>
      </c>
      <c r="I1164" s="61" t="s">
        <v>11160</v>
      </c>
      <c r="J1164" s="33" t="s">
        <v>45</v>
      </c>
      <c r="K1164" s="46">
        <v>0</v>
      </c>
      <c r="L1164">
        <v>17</v>
      </c>
      <c r="M1164" t="s">
        <v>48</v>
      </c>
      <c r="N1164" s="46">
        <v>1</v>
      </c>
      <c r="O1164" s="46">
        <v>0</v>
      </c>
      <c r="P1164" s="46">
        <v>0</v>
      </c>
      <c r="Q1164" t="s">
        <v>48</v>
      </c>
      <c r="R1164" t="s">
        <v>48</v>
      </c>
      <c r="S1164" s="55" t="s">
        <v>11313</v>
      </c>
      <c r="T1164" s="43" t="s">
        <v>48</v>
      </c>
      <c r="U1164" s="55" t="s">
        <v>11313</v>
      </c>
      <c r="V1164" s="47">
        <v>0</v>
      </c>
      <c r="W1164" t="s">
        <v>48</v>
      </c>
      <c r="X1164" t="s">
        <v>48</v>
      </c>
      <c r="Y1164" t="s">
        <v>48</v>
      </c>
      <c r="Z1164" t="s">
        <v>48</v>
      </c>
      <c r="AA1164" t="s">
        <v>48</v>
      </c>
      <c r="AB1164" t="s">
        <v>48</v>
      </c>
      <c r="AC1164" t="s">
        <v>49</v>
      </c>
      <c r="AD1164" t="s">
        <v>93</v>
      </c>
      <c r="AE1164" t="s">
        <v>4532</v>
      </c>
      <c r="AF1164" t="s">
        <v>48</v>
      </c>
      <c r="AG1164" t="s">
        <v>48</v>
      </c>
      <c r="AH1164" t="s">
        <v>48</v>
      </c>
      <c r="AI1164" t="s">
        <v>48</v>
      </c>
      <c r="AJ1164" t="s">
        <v>48</v>
      </c>
      <c r="AK1164" t="s">
        <v>48</v>
      </c>
      <c r="AL1164" t="s">
        <v>48</v>
      </c>
      <c r="AM1164" t="s">
        <v>48</v>
      </c>
      <c r="AN1164" t="s">
        <v>48</v>
      </c>
      <c r="AO1164" t="s">
        <v>48</v>
      </c>
      <c r="AP1164" s="46">
        <v>0</v>
      </c>
      <c r="AQ1164" s="46">
        <v>0</v>
      </c>
      <c r="AR1164" s="46">
        <v>0</v>
      </c>
      <c r="AS1164" s="46">
        <v>0</v>
      </c>
      <c r="AT1164" s="46">
        <v>0</v>
      </c>
      <c r="AU1164" s="46">
        <v>0</v>
      </c>
      <c r="AV1164" s="46">
        <v>0</v>
      </c>
      <c r="AW1164" s="46">
        <v>0</v>
      </c>
      <c r="AX1164" s="46">
        <v>0</v>
      </c>
      <c r="AY1164" s="46">
        <v>0</v>
      </c>
      <c r="AZ1164" s="46">
        <v>0</v>
      </c>
      <c r="BA1164" s="46">
        <v>0</v>
      </c>
      <c r="BB1164" s="46">
        <v>0</v>
      </c>
      <c r="BC1164" s="46">
        <v>0</v>
      </c>
      <c r="BD1164" s="46">
        <v>0</v>
      </c>
      <c r="BE1164" s="46">
        <v>0</v>
      </c>
      <c r="BF1164" s="46">
        <v>0</v>
      </c>
      <c r="BG1164" s="46" t="s">
        <v>48</v>
      </c>
      <c r="BH1164" s="46">
        <v>0</v>
      </c>
      <c r="BI1164" s="46">
        <v>0</v>
      </c>
      <c r="BJ1164" s="46">
        <v>0</v>
      </c>
      <c r="BK1164" s="46">
        <v>0</v>
      </c>
      <c r="BL1164" s="46">
        <v>0</v>
      </c>
      <c r="BM1164" s="46">
        <v>0</v>
      </c>
      <c r="BN1164" s="46">
        <v>0</v>
      </c>
    </row>
    <row r="1165" spans="1:66" x14ac:dyDescent="0.35">
      <c r="A1165" t="s">
        <v>7448</v>
      </c>
      <c r="B1165" t="s">
        <v>48</v>
      </c>
      <c r="C1165" t="s">
        <v>7452</v>
      </c>
      <c r="D1165" t="s">
        <v>421</v>
      </c>
      <c r="E1165" t="s">
        <v>7449</v>
      </c>
      <c r="F1165" t="s">
        <v>7441</v>
      </c>
      <c r="G1165" t="s">
        <v>74</v>
      </c>
      <c r="H1165">
        <v>0</v>
      </c>
      <c r="I1165" s="60" t="s">
        <v>51</v>
      </c>
      <c r="J1165" s="33" t="s">
        <v>45</v>
      </c>
      <c r="K1165" s="46">
        <v>1</v>
      </c>
      <c r="L1165">
        <v>45.9</v>
      </c>
      <c r="M1165" t="s">
        <v>48</v>
      </c>
      <c r="N1165" s="46">
        <v>1</v>
      </c>
      <c r="O1165" s="46">
        <v>0</v>
      </c>
      <c r="P1165" s="46">
        <v>0</v>
      </c>
      <c r="Q1165" t="s">
        <v>48</v>
      </c>
      <c r="R1165" t="s">
        <v>48</v>
      </c>
      <c r="S1165" t="s">
        <v>7450</v>
      </c>
      <c r="T1165" t="s">
        <v>7451</v>
      </c>
      <c r="U1165" t="s">
        <v>7450</v>
      </c>
      <c r="V1165" s="47">
        <v>0</v>
      </c>
      <c r="W1165" t="s">
        <v>48</v>
      </c>
      <c r="X1165" t="s">
        <v>48</v>
      </c>
      <c r="Y1165" t="s">
        <v>48</v>
      </c>
      <c r="Z1165">
        <v>0</v>
      </c>
      <c r="AA1165" t="s">
        <v>48</v>
      </c>
      <c r="AB1165">
        <v>2000</v>
      </c>
      <c r="AC1165" t="s">
        <v>49</v>
      </c>
      <c r="AD1165" t="s">
        <v>93</v>
      </c>
      <c r="AE1165" t="s">
        <v>4532</v>
      </c>
      <c r="AF1165" t="s">
        <v>48</v>
      </c>
      <c r="AG1165" t="s">
        <v>479</v>
      </c>
      <c r="AH1165" t="s">
        <v>93</v>
      </c>
      <c r="AI1165">
        <v>20145</v>
      </c>
      <c r="AJ1165">
        <v>1965</v>
      </c>
      <c r="AK1165" t="s">
        <v>9398</v>
      </c>
      <c r="AL1165" t="s">
        <v>9399</v>
      </c>
      <c r="AM1165">
        <v>-0.36499999999999999</v>
      </c>
      <c r="AN1165">
        <v>0.189</v>
      </c>
      <c r="AO1165">
        <v>-0.36499999999999999</v>
      </c>
      <c r="AP1165" s="46">
        <v>0</v>
      </c>
      <c r="AQ1165" s="46">
        <v>0</v>
      </c>
      <c r="AR1165" s="46">
        <v>0</v>
      </c>
      <c r="AS1165" s="46">
        <v>0</v>
      </c>
      <c r="AT1165" s="46">
        <v>0</v>
      </c>
      <c r="AU1165" s="46">
        <v>1</v>
      </c>
      <c r="AV1165" s="46">
        <v>0</v>
      </c>
      <c r="AW1165" s="46">
        <v>0</v>
      </c>
      <c r="AX1165" s="46">
        <v>0</v>
      </c>
      <c r="AY1165" s="46">
        <v>0</v>
      </c>
      <c r="AZ1165" s="46">
        <v>0</v>
      </c>
      <c r="BA1165" s="46">
        <v>0</v>
      </c>
      <c r="BB1165" s="46">
        <v>0</v>
      </c>
      <c r="BC1165" s="46">
        <v>0</v>
      </c>
      <c r="BD1165" s="46">
        <v>0</v>
      </c>
      <c r="BE1165" s="46">
        <v>0</v>
      </c>
      <c r="BF1165" s="46">
        <v>0</v>
      </c>
      <c r="BG1165" s="46" t="s">
        <v>48</v>
      </c>
      <c r="BH1165" s="46">
        <v>0</v>
      </c>
      <c r="BI1165" s="46">
        <v>0</v>
      </c>
      <c r="BJ1165" s="46">
        <v>0</v>
      </c>
      <c r="BK1165" s="46">
        <v>0</v>
      </c>
      <c r="BL1165" s="46">
        <v>0</v>
      </c>
      <c r="BM1165" s="46">
        <v>0</v>
      </c>
      <c r="BN1165" s="46">
        <v>0</v>
      </c>
    </row>
    <row r="1166" spans="1:66" x14ac:dyDescent="0.35">
      <c r="A1166" t="s">
        <v>7463</v>
      </c>
      <c r="B1166" s="44" t="s">
        <v>48</v>
      </c>
      <c r="C1166" t="s">
        <v>4406</v>
      </c>
      <c r="D1166" t="s">
        <v>1402</v>
      </c>
      <c r="E1166" t="s">
        <v>7464</v>
      </c>
      <c r="F1166" t="s">
        <v>7456</v>
      </c>
      <c r="G1166" t="s">
        <v>47</v>
      </c>
      <c r="H1166">
        <v>0</v>
      </c>
      <c r="I1166" s="60" t="s">
        <v>51</v>
      </c>
      <c r="J1166" s="33" t="s">
        <v>45</v>
      </c>
      <c r="K1166" s="46">
        <v>0</v>
      </c>
      <c r="L1166">
        <v>22.8</v>
      </c>
      <c r="M1166" t="s">
        <v>48</v>
      </c>
      <c r="N1166" s="46">
        <v>1</v>
      </c>
      <c r="O1166" s="46">
        <v>0</v>
      </c>
      <c r="P1166" s="46">
        <v>0</v>
      </c>
      <c r="Q1166" t="s">
        <v>48</v>
      </c>
      <c r="R1166" t="s">
        <v>48</v>
      </c>
      <c r="S1166" t="s">
        <v>7465</v>
      </c>
      <c r="T1166" t="s">
        <v>48</v>
      </c>
      <c r="U1166" t="s">
        <v>7465</v>
      </c>
      <c r="V1166" s="47">
        <v>0</v>
      </c>
      <c r="W1166" t="s">
        <v>48</v>
      </c>
      <c r="X1166" t="s">
        <v>48</v>
      </c>
      <c r="Y1166" t="s">
        <v>48</v>
      </c>
      <c r="Z1166">
        <v>0</v>
      </c>
      <c r="AA1166" t="s">
        <v>48</v>
      </c>
      <c r="AB1166" t="s">
        <v>48</v>
      </c>
      <c r="AC1166" t="s">
        <v>49</v>
      </c>
      <c r="AD1166" t="s">
        <v>93</v>
      </c>
      <c r="AE1166" t="s">
        <v>4532</v>
      </c>
      <c r="AF1166" t="s">
        <v>48</v>
      </c>
      <c r="AG1166" t="s">
        <v>266</v>
      </c>
      <c r="AH1166" t="s">
        <v>93</v>
      </c>
      <c r="AI1166" t="s">
        <v>48</v>
      </c>
      <c r="AJ1166" t="s">
        <v>48</v>
      </c>
      <c r="AK1166" t="s">
        <v>48</v>
      </c>
      <c r="AL1166" t="s">
        <v>48</v>
      </c>
      <c r="AM1166" t="s">
        <v>48</v>
      </c>
      <c r="AN1166" t="s">
        <v>48</v>
      </c>
      <c r="AO1166" t="s">
        <v>48</v>
      </c>
      <c r="AP1166" s="46">
        <v>0</v>
      </c>
      <c r="AQ1166" s="46">
        <v>0</v>
      </c>
      <c r="AR1166" s="46">
        <v>0</v>
      </c>
      <c r="AS1166" s="46">
        <v>0</v>
      </c>
      <c r="AT1166" s="46">
        <v>0</v>
      </c>
      <c r="AU1166" s="46">
        <v>0</v>
      </c>
      <c r="AV1166" s="46">
        <v>0</v>
      </c>
      <c r="AW1166" s="46">
        <v>0</v>
      </c>
      <c r="AX1166" s="46">
        <v>0</v>
      </c>
      <c r="AY1166" s="46">
        <v>0</v>
      </c>
      <c r="AZ1166" s="46">
        <v>0</v>
      </c>
      <c r="BA1166" s="46">
        <v>0</v>
      </c>
      <c r="BB1166" s="46">
        <v>0</v>
      </c>
      <c r="BC1166" s="46">
        <v>1</v>
      </c>
      <c r="BD1166" s="46">
        <v>0</v>
      </c>
      <c r="BE1166" s="46">
        <v>1</v>
      </c>
      <c r="BF1166" s="46">
        <v>0</v>
      </c>
      <c r="BG1166" s="46">
        <v>1</v>
      </c>
      <c r="BH1166" s="46">
        <v>0</v>
      </c>
      <c r="BI1166" s="46">
        <v>0</v>
      </c>
      <c r="BJ1166" s="46">
        <v>0</v>
      </c>
      <c r="BK1166" s="46">
        <v>0</v>
      </c>
      <c r="BL1166" s="46">
        <v>0</v>
      </c>
      <c r="BM1166" s="46">
        <v>0</v>
      </c>
      <c r="BN1166" s="46">
        <v>1</v>
      </c>
    </row>
    <row r="1167" spans="1:66" x14ac:dyDescent="0.35">
      <c r="A1167" t="s">
        <v>9877</v>
      </c>
      <c r="B1167" t="s">
        <v>48</v>
      </c>
      <c r="C1167" t="s">
        <v>12395</v>
      </c>
      <c r="D1167" t="s">
        <v>1544</v>
      </c>
      <c r="E1167" t="s">
        <v>9878</v>
      </c>
      <c r="F1167" t="s">
        <v>7456</v>
      </c>
      <c r="G1167" t="s">
        <v>74</v>
      </c>
      <c r="H1167">
        <v>0</v>
      </c>
      <c r="I1167" s="61">
        <v>44782</v>
      </c>
      <c r="J1167" s="33" t="s">
        <v>45</v>
      </c>
      <c r="K1167" s="46">
        <v>0</v>
      </c>
      <c r="L1167">
        <v>31.1</v>
      </c>
      <c r="M1167" t="s">
        <v>48</v>
      </c>
      <c r="N1167" s="46">
        <v>1</v>
      </c>
      <c r="O1167" s="46">
        <v>0</v>
      </c>
      <c r="P1167" s="46">
        <v>0</v>
      </c>
      <c r="Q1167" t="s">
        <v>48</v>
      </c>
      <c r="R1167" t="s">
        <v>48</v>
      </c>
      <c r="S1167" s="43" t="s">
        <v>10391</v>
      </c>
      <c r="T1167" s="43" t="s">
        <v>48</v>
      </c>
      <c r="U1167" s="43" t="s">
        <v>10391</v>
      </c>
      <c r="V1167" s="47">
        <v>0</v>
      </c>
      <c r="W1167" t="s">
        <v>48</v>
      </c>
      <c r="X1167" t="s">
        <v>48</v>
      </c>
      <c r="Y1167" t="s">
        <v>48</v>
      </c>
      <c r="Z1167" t="s">
        <v>48</v>
      </c>
      <c r="AA1167" t="s">
        <v>48</v>
      </c>
      <c r="AB1167" t="s">
        <v>48</v>
      </c>
      <c r="AC1167" t="s">
        <v>63</v>
      </c>
      <c r="AD1167" t="s">
        <v>93</v>
      </c>
      <c r="AE1167" t="s">
        <v>4532</v>
      </c>
      <c r="AF1167" t="s">
        <v>48</v>
      </c>
      <c r="AG1167" t="s">
        <v>48</v>
      </c>
      <c r="AH1167" t="s">
        <v>48</v>
      </c>
      <c r="AI1167" t="s">
        <v>48</v>
      </c>
      <c r="AJ1167" t="s">
        <v>48</v>
      </c>
      <c r="AK1167" t="s">
        <v>48</v>
      </c>
      <c r="AL1167" t="s">
        <v>48</v>
      </c>
      <c r="AM1167" t="s">
        <v>48</v>
      </c>
      <c r="AN1167" t="s">
        <v>48</v>
      </c>
      <c r="AO1167" t="s">
        <v>48</v>
      </c>
      <c r="AP1167" s="46">
        <v>0</v>
      </c>
      <c r="AQ1167" s="46">
        <v>0</v>
      </c>
      <c r="AR1167" s="46">
        <v>0</v>
      </c>
      <c r="AS1167" s="46">
        <v>0</v>
      </c>
      <c r="AT1167" s="46">
        <v>0</v>
      </c>
      <c r="AU1167" s="46">
        <v>0</v>
      </c>
      <c r="AV1167" s="46">
        <v>0</v>
      </c>
      <c r="AW1167" s="46">
        <v>1</v>
      </c>
      <c r="AX1167" s="46">
        <v>0</v>
      </c>
      <c r="AY1167" s="46">
        <v>0</v>
      </c>
      <c r="AZ1167" s="46">
        <v>0</v>
      </c>
      <c r="BA1167" s="46">
        <v>0</v>
      </c>
      <c r="BB1167" s="46">
        <v>0</v>
      </c>
      <c r="BC1167" s="46">
        <v>0</v>
      </c>
      <c r="BD1167" s="46">
        <v>0</v>
      </c>
      <c r="BE1167" s="46">
        <v>0</v>
      </c>
      <c r="BF1167" s="46">
        <v>0</v>
      </c>
      <c r="BG1167" s="46" t="s">
        <v>48</v>
      </c>
      <c r="BH1167" s="46">
        <v>0</v>
      </c>
      <c r="BI1167" s="46">
        <v>0</v>
      </c>
      <c r="BJ1167" s="46">
        <v>0</v>
      </c>
      <c r="BK1167" s="46">
        <v>0</v>
      </c>
      <c r="BL1167" s="46">
        <v>1</v>
      </c>
      <c r="BM1167" s="46">
        <v>0</v>
      </c>
      <c r="BN1167" s="46">
        <v>0</v>
      </c>
    </row>
    <row r="1168" spans="1:66" x14ac:dyDescent="0.35">
      <c r="A1168" t="s">
        <v>7496</v>
      </c>
      <c r="B1168" t="s">
        <v>48</v>
      </c>
      <c r="C1168" t="s">
        <v>7500</v>
      </c>
      <c r="D1168" t="s">
        <v>347</v>
      </c>
      <c r="E1168" t="s">
        <v>7497</v>
      </c>
      <c r="F1168" t="s">
        <v>7480</v>
      </c>
      <c r="G1168" t="s">
        <v>47</v>
      </c>
      <c r="H1168">
        <v>0</v>
      </c>
      <c r="I1168" s="60" t="s">
        <v>51</v>
      </c>
      <c r="J1168" s="33" t="s">
        <v>45</v>
      </c>
      <c r="K1168" s="46">
        <v>1</v>
      </c>
      <c r="L1168">
        <v>25.5</v>
      </c>
      <c r="M1168" t="s">
        <v>48</v>
      </c>
      <c r="N1168" s="46">
        <v>1</v>
      </c>
      <c r="O1168" s="46">
        <v>0</v>
      </c>
      <c r="P1168" s="46">
        <v>0</v>
      </c>
      <c r="Q1168" t="s">
        <v>48</v>
      </c>
      <c r="R1168" t="s">
        <v>48</v>
      </c>
      <c r="S1168" t="s">
        <v>7498</v>
      </c>
      <c r="T1168" t="s">
        <v>7499</v>
      </c>
      <c r="U1168" t="s">
        <v>7498</v>
      </c>
      <c r="V1168" s="47">
        <v>0</v>
      </c>
      <c r="W1168" t="s">
        <v>48</v>
      </c>
      <c r="X1168" t="s">
        <v>48</v>
      </c>
      <c r="Y1168" t="s">
        <v>48</v>
      </c>
      <c r="Z1168">
        <v>0</v>
      </c>
      <c r="AA1168" t="s">
        <v>48</v>
      </c>
      <c r="AB1168">
        <v>2014</v>
      </c>
      <c r="AC1168" t="s">
        <v>49</v>
      </c>
      <c r="AD1168" t="s">
        <v>93</v>
      </c>
      <c r="AE1168" t="s">
        <v>4532</v>
      </c>
      <c r="AF1168" t="s">
        <v>48</v>
      </c>
      <c r="AG1168" t="s">
        <v>466</v>
      </c>
      <c r="AH1168" t="s">
        <v>93</v>
      </c>
      <c r="AI1168">
        <v>21556</v>
      </c>
      <c r="AJ1168">
        <v>1955</v>
      </c>
      <c r="AK1168" t="s">
        <v>9402</v>
      </c>
      <c r="AL1168" t="s">
        <v>9403</v>
      </c>
      <c r="AM1168">
        <v>0.33300000000000002</v>
      </c>
      <c r="AN1168">
        <v>0.27500000000000002</v>
      </c>
      <c r="AO1168">
        <v>0.33300000000000002</v>
      </c>
      <c r="AP1168" s="46">
        <v>0</v>
      </c>
      <c r="AQ1168" s="46">
        <v>0</v>
      </c>
      <c r="AR1168" s="46">
        <v>0</v>
      </c>
      <c r="AS1168" s="46">
        <v>0</v>
      </c>
      <c r="AT1168" s="46">
        <v>0</v>
      </c>
      <c r="AU1168" s="46">
        <v>0</v>
      </c>
      <c r="AV1168" s="46">
        <v>0</v>
      </c>
      <c r="AW1168" s="46">
        <v>0</v>
      </c>
      <c r="AX1168" s="46">
        <v>1</v>
      </c>
      <c r="AY1168" s="46">
        <v>0</v>
      </c>
      <c r="AZ1168" s="46">
        <v>1</v>
      </c>
      <c r="BA1168" s="46">
        <v>0</v>
      </c>
      <c r="BB1168" s="46">
        <v>1</v>
      </c>
      <c r="BC1168" s="46">
        <v>0</v>
      </c>
      <c r="BD1168" s="46">
        <v>0</v>
      </c>
      <c r="BE1168" s="46">
        <v>0</v>
      </c>
      <c r="BF1168" s="46">
        <v>0</v>
      </c>
      <c r="BG1168" s="46">
        <v>1</v>
      </c>
      <c r="BH1168" s="46">
        <v>0</v>
      </c>
      <c r="BI1168" s="46">
        <v>0</v>
      </c>
      <c r="BJ1168" s="46">
        <v>0</v>
      </c>
      <c r="BK1168" s="46">
        <v>0</v>
      </c>
      <c r="BL1168" s="46">
        <v>0</v>
      </c>
      <c r="BM1168" s="46">
        <v>1</v>
      </c>
      <c r="BN1168" s="46">
        <v>0</v>
      </c>
    </row>
    <row r="1169" spans="1:66" x14ac:dyDescent="0.35">
      <c r="A1169" t="s">
        <v>7506</v>
      </c>
      <c r="B1169" s="44" t="s">
        <v>48</v>
      </c>
      <c r="C1169" t="s">
        <v>4532</v>
      </c>
      <c r="D1169" t="s">
        <v>858</v>
      </c>
      <c r="E1169" t="s">
        <v>7507</v>
      </c>
      <c r="F1169" t="s">
        <v>7480</v>
      </c>
      <c r="G1169" t="s">
        <v>74</v>
      </c>
      <c r="H1169">
        <v>0</v>
      </c>
      <c r="I1169" s="61" t="s">
        <v>11160</v>
      </c>
      <c r="J1169" s="33" t="s">
        <v>45</v>
      </c>
      <c r="K1169" s="46">
        <v>0</v>
      </c>
      <c r="L1169">
        <v>25.2</v>
      </c>
      <c r="M1169" t="s">
        <v>48</v>
      </c>
      <c r="N1169" s="46">
        <v>1</v>
      </c>
      <c r="O1169" s="46">
        <v>0</v>
      </c>
      <c r="P1169" s="46">
        <v>0</v>
      </c>
      <c r="Q1169" t="s">
        <v>48</v>
      </c>
      <c r="R1169" t="s">
        <v>48</v>
      </c>
      <c r="S1169" t="s">
        <v>11340</v>
      </c>
      <c r="T1169" t="s">
        <v>48</v>
      </c>
      <c r="U1169" t="s">
        <v>7508</v>
      </c>
      <c r="V1169" s="47">
        <v>0</v>
      </c>
      <c r="W1169" t="s">
        <v>48</v>
      </c>
      <c r="X1169" t="s">
        <v>48</v>
      </c>
      <c r="Y1169" t="s">
        <v>48</v>
      </c>
      <c r="Z1169">
        <v>0</v>
      </c>
      <c r="AA1169" t="s">
        <v>48</v>
      </c>
      <c r="AB1169" t="s">
        <v>48</v>
      </c>
      <c r="AC1169" t="s">
        <v>49</v>
      </c>
      <c r="AD1169" t="s">
        <v>93</v>
      </c>
      <c r="AE1169" t="s">
        <v>4532</v>
      </c>
      <c r="AF1169" t="s">
        <v>48</v>
      </c>
      <c r="AG1169" t="s">
        <v>48</v>
      </c>
      <c r="AH1169" t="s">
        <v>48</v>
      </c>
      <c r="AI1169" t="s">
        <v>48</v>
      </c>
      <c r="AJ1169" t="s">
        <v>48</v>
      </c>
      <c r="AK1169" t="s">
        <v>48</v>
      </c>
      <c r="AL1169" t="s">
        <v>48</v>
      </c>
      <c r="AM1169" t="s">
        <v>48</v>
      </c>
      <c r="AN1169" t="s">
        <v>48</v>
      </c>
      <c r="AO1169" t="s">
        <v>48</v>
      </c>
      <c r="AP1169" s="46">
        <v>0</v>
      </c>
      <c r="AQ1169" s="46">
        <v>0</v>
      </c>
      <c r="AR1169" s="46">
        <v>0</v>
      </c>
      <c r="AS1169" s="46">
        <v>0</v>
      </c>
      <c r="AT1169" s="46">
        <v>0</v>
      </c>
      <c r="AU1169" s="46">
        <v>0</v>
      </c>
      <c r="AV1169" s="46">
        <v>0</v>
      </c>
      <c r="AW1169" s="46">
        <v>0</v>
      </c>
      <c r="AX1169" s="46">
        <v>0</v>
      </c>
      <c r="AY1169" s="46">
        <v>0</v>
      </c>
      <c r="AZ1169" s="46">
        <v>0</v>
      </c>
      <c r="BA1169" s="46">
        <v>0</v>
      </c>
      <c r="BB1169" s="46">
        <v>0</v>
      </c>
      <c r="BC1169" s="46">
        <v>0</v>
      </c>
      <c r="BD1169" s="46">
        <v>0</v>
      </c>
      <c r="BE1169" s="46">
        <v>0</v>
      </c>
      <c r="BF1169" s="46">
        <v>0</v>
      </c>
      <c r="BG1169" s="46" t="s">
        <v>48</v>
      </c>
      <c r="BH1169" s="46">
        <v>0</v>
      </c>
      <c r="BI1169" s="46">
        <v>0</v>
      </c>
      <c r="BJ1169" s="46">
        <v>0</v>
      </c>
      <c r="BK1169" s="46">
        <v>0</v>
      </c>
      <c r="BL1169" s="46">
        <v>0</v>
      </c>
      <c r="BM1169" s="46">
        <v>0</v>
      </c>
      <c r="BN1169" s="46">
        <v>0</v>
      </c>
    </row>
    <row r="1170" spans="1:66" x14ac:dyDescent="0.35">
      <c r="A1170" t="s">
        <v>7518</v>
      </c>
      <c r="B1170" t="s">
        <v>48</v>
      </c>
      <c r="C1170" t="s">
        <v>11596</v>
      </c>
      <c r="D1170" t="s">
        <v>7522</v>
      </c>
      <c r="E1170" t="s">
        <v>7519</v>
      </c>
      <c r="F1170" t="s">
        <v>7510</v>
      </c>
      <c r="G1170" t="s">
        <v>47</v>
      </c>
      <c r="H1170">
        <v>0</v>
      </c>
      <c r="I1170" s="60" t="s">
        <v>51</v>
      </c>
      <c r="J1170" s="33" t="s">
        <v>45</v>
      </c>
      <c r="K1170" s="46">
        <v>1</v>
      </c>
      <c r="L1170">
        <v>51.6</v>
      </c>
      <c r="M1170" t="s">
        <v>48</v>
      </c>
      <c r="N1170" s="46">
        <v>1</v>
      </c>
      <c r="O1170" s="46">
        <v>0</v>
      </c>
      <c r="P1170" s="46">
        <v>0</v>
      </c>
      <c r="Q1170" t="s">
        <v>48</v>
      </c>
      <c r="R1170" t="s">
        <v>48</v>
      </c>
      <c r="S1170" t="s">
        <v>7520</v>
      </c>
      <c r="T1170" t="s">
        <v>7521</v>
      </c>
      <c r="U1170" t="s">
        <v>7520</v>
      </c>
      <c r="V1170" s="47">
        <v>0</v>
      </c>
      <c r="W1170" t="s">
        <v>48</v>
      </c>
      <c r="X1170" t="s">
        <v>48</v>
      </c>
      <c r="Y1170" t="s">
        <v>48</v>
      </c>
      <c r="Z1170">
        <v>0</v>
      </c>
      <c r="AA1170" t="s">
        <v>48</v>
      </c>
      <c r="AB1170">
        <v>2004</v>
      </c>
      <c r="AC1170" t="s">
        <v>63</v>
      </c>
      <c r="AD1170" t="s">
        <v>93</v>
      </c>
      <c r="AE1170" t="s">
        <v>4532</v>
      </c>
      <c r="AF1170" t="s">
        <v>48</v>
      </c>
      <c r="AG1170" t="s">
        <v>2246</v>
      </c>
      <c r="AH1170" t="s">
        <v>93</v>
      </c>
      <c r="AI1170">
        <v>20535</v>
      </c>
      <c r="AJ1170">
        <v>1969</v>
      </c>
      <c r="AK1170" t="s">
        <v>9404</v>
      </c>
      <c r="AL1170" t="s">
        <v>9405</v>
      </c>
      <c r="AM1170">
        <v>0.42299999999999999</v>
      </c>
      <c r="AN1170">
        <v>0.129</v>
      </c>
      <c r="AO1170">
        <v>0.42299999999999999</v>
      </c>
      <c r="AP1170" s="46">
        <v>0</v>
      </c>
      <c r="AQ1170" s="46">
        <v>0</v>
      </c>
      <c r="AR1170" s="46">
        <v>0</v>
      </c>
      <c r="AS1170" s="46">
        <v>0</v>
      </c>
      <c r="AT1170" s="46">
        <v>0</v>
      </c>
      <c r="AU1170" s="46">
        <v>0</v>
      </c>
      <c r="AV1170" s="46">
        <v>0</v>
      </c>
      <c r="AW1170" s="46">
        <v>0</v>
      </c>
      <c r="AX1170" s="46">
        <v>0</v>
      </c>
      <c r="AY1170" s="46">
        <v>1</v>
      </c>
      <c r="AZ1170" s="46">
        <v>1</v>
      </c>
      <c r="BA1170" s="46">
        <v>0</v>
      </c>
      <c r="BB1170" s="46">
        <v>1</v>
      </c>
      <c r="BC1170" s="46">
        <v>0</v>
      </c>
      <c r="BD1170" s="46">
        <v>0</v>
      </c>
      <c r="BE1170" s="46">
        <v>0</v>
      </c>
      <c r="BF1170" s="46">
        <v>0</v>
      </c>
      <c r="BG1170" s="46">
        <v>1</v>
      </c>
      <c r="BH1170" s="46">
        <v>0</v>
      </c>
      <c r="BI1170" s="46">
        <v>0</v>
      </c>
      <c r="BJ1170" s="46">
        <v>0</v>
      </c>
      <c r="BK1170" s="46">
        <v>0</v>
      </c>
      <c r="BL1170" s="46">
        <v>0</v>
      </c>
      <c r="BM1170" s="46">
        <v>1</v>
      </c>
      <c r="BN1170" s="46">
        <v>0</v>
      </c>
    </row>
    <row r="1171" spans="1:66" x14ac:dyDescent="0.35">
      <c r="A1171" t="s">
        <v>7514</v>
      </c>
      <c r="B1171" s="44" t="s">
        <v>48</v>
      </c>
      <c r="C1171" t="s">
        <v>551</v>
      </c>
      <c r="D1171" t="s">
        <v>7517</v>
      </c>
      <c r="E1171" t="s">
        <v>7515</v>
      </c>
      <c r="F1171" t="s">
        <v>7510</v>
      </c>
      <c r="G1171" t="s">
        <v>74</v>
      </c>
      <c r="H1171">
        <v>0</v>
      </c>
      <c r="I1171" s="60" t="s">
        <v>661</v>
      </c>
      <c r="J1171" s="33" t="s">
        <v>45</v>
      </c>
      <c r="K1171" s="46">
        <v>0</v>
      </c>
      <c r="L1171">
        <v>30.1</v>
      </c>
      <c r="M1171" t="s">
        <v>48</v>
      </c>
      <c r="N1171" s="46">
        <v>1</v>
      </c>
      <c r="O1171" s="46">
        <v>0</v>
      </c>
      <c r="P1171" s="46">
        <v>0</v>
      </c>
      <c r="Q1171" t="s">
        <v>48</v>
      </c>
      <c r="R1171" t="s">
        <v>48</v>
      </c>
      <c r="S1171" t="s">
        <v>7516</v>
      </c>
      <c r="T1171" t="s">
        <v>48</v>
      </c>
      <c r="U1171" t="s">
        <v>7516</v>
      </c>
      <c r="V1171" s="47">
        <v>1</v>
      </c>
      <c r="W1171" t="s">
        <v>48</v>
      </c>
      <c r="X1171" t="s">
        <v>48</v>
      </c>
      <c r="Y1171" t="s">
        <v>48</v>
      </c>
      <c r="Z1171">
        <v>0</v>
      </c>
      <c r="AA1171" t="s">
        <v>48</v>
      </c>
      <c r="AB1171" t="s">
        <v>48</v>
      </c>
      <c r="AC1171" t="s">
        <v>63</v>
      </c>
      <c r="AD1171" t="s">
        <v>93</v>
      </c>
      <c r="AE1171" s="40" t="s">
        <v>2471</v>
      </c>
      <c r="AF1171" t="s">
        <v>11061</v>
      </c>
      <c r="AG1171" t="s">
        <v>48</v>
      </c>
      <c r="AH1171" t="s">
        <v>48</v>
      </c>
      <c r="AI1171" t="s">
        <v>48</v>
      </c>
      <c r="AJ1171" t="s">
        <v>48</v>
      </c>
      <c r="AK1171" t="s">
        <v>48</v>
      </c>
      <c r="AL1171" t="s">
        <v>48</v>
      </c>
      <c r="AM1171" t="s">
        <v>48</v>
      </c>
      <c r="AN1171" t="s">
        <v>48</v>
      </c>
      <c r="AO1171" t="s">
        <v>48</v>
      </c>
      <c r="AP1171" s="46">
        <v>0</v>
      </c>
      <c r="AQ1171" s="46">
        <v>0</v>
      </c>
      <c r="AR1171" s="46">
        <v>0</v>
      </c>
      <c r="AS1171" s="46">
        <v>0</v>
      </c>
      <c r="AT1171" s="46">
        <v>0</v>
      </c>
      <c r="AU1171" s="46">
        <v>0</v>
      </c>
      <c r="AV1171" s="46">
        <v>0</v>
      </c>
      <c r="AW1171" s="46">
        <v>0</v>
      </c>
      <c r="AX1171" s="46">
        <v>0</v>
      </c>
      <c r="AY1171" s="46">
        <v>0</v>
      </c>
      <c r="AZ1171" s="46">
        <v>0</v>
      </c>
      <c r="BA1171" s="46">
        <v>0</v>
      </c>
      <c r="BB1171" s="46">
        <v>0</v>
      </c>
      <c r="BC1171" s="46">
        <v>0</v>
      </c>
      <c r="BD1171" s="46">
        <v>0</v>
      </c>
      <c r="BE1171" s="46">
        <v>0</v>
      </c>
      <c r="BF1171" s="46">
        <v>0</v>
      </c>
      <c r="BG1171" s="46" t="s">
        <v>48</v>
      </c>
      <c r="BH1171" s="46">
        <v>0</v>
      </c>
      <c r="BI1171" s="46">
        <v>0</v>
      </c>
      <c r="BJ1171" s="46">
        <v>0</v>
      </c>
      <c r="BK1171" s="46">
        <v>0</v>
      </c>
      <c r="BL1171" s="46">
        <v>0</v>
      </c>
      <c r="BM1171" s="46">
        <v>0</v>
      </c>
      <c r="BN1171" s="46">
        <v>0</v>
      </c>
    </row>
    <row r="1172" spans="1:66" x14ac:dyDescent="0.35">
      <c r="A1172" t="s">
        <v>7523</v>
      </c>
      <c r="B1172" t="s">
        <v>48</v>
      </c>
      <c r="C1172" t="s">
        <v>7528</v>
      </c>
      <c r="D1172" t="s">
        <v>952</v>
      </c>
      <c r="E1172" t="s">
        <v>7525</v>
      </c>
      <c r="F1172" t="s">
        <v>7524</v>
      </c>
      <c r="G1172" t="s">
        <v>74</v>
      </c>
      <c r="H1172">
        <v>0</v>
      </c>
      <c r="I1172" s="60" t="s">
        <v>51</v>
      </c>
      <c r="J1172" s="33" t="s">
        <v>45</v>
      </c>
      <c r="K1172" s="46">
        <v>1</v>
      </c>
      <c r="L1172">
        <v>50.4</v>
      </c>
      <c r="M1172" t="s">
        <v>48</v>
      </c>
      <c r="N1172" s="46">
        <v>1</v>
      </c>
      <c r="O1172" s="46">
        <v>0</v>
      </c>
      <c r="P1172" s="46">
        <v>0</v>
      </c>
      <c r="Q1172" t="s">
        <v>48</v>
      </c>
      <c r="R1172" t="s">
        <v>48</v>
      </c>
      <c r="S1172" t="s">
        <v>7526</v>
      </c>
      <c r="T1172" t="s">
        <v>7527</v>
      </c>
      <c r="U1172" t="s">
        <v>7526</v>
      </c>
      <c r="V1172" s="47">
        <v>0</v>
      </c>
      <c r="W1172" t="s">
        <v>48</v>
      </c>
      <c r="X1172" t="s">
        <v>48</v>
      </c>
      <c r="Y1172" t="s">
        <v>48</v>
      </c>
      <c r="Z1172">
        <v>0</v>
      </c>
      <c r="AA1172" t="s">
        <v>48</v>
      </c>
      <c r="AB1172">
        <v>2012</v>
      </c>
      <c r="AC1172" t="s">
        <v>49</v>
      </c>
      <c r="AD1172" t="s">
        <v>93</v>
      </c>
      <c r="AE1172" t="s">
        <v>4532</v>
      </c>
      <c r="AF1172" t="s">
        <v>48</v>
      </c>
      <c r="AG1172" t="s">
        <v>479</v>
      </c>
      <c r="AH1172" t="s">
        <v>93</v>
      </c>
      <c r="AI1172">
        <v>21368</v>
      </c>
      <c r="AJ1172">
        <v>1974</v>
      </c>
      <c r="AK1172" t="s">
        <v>9406</v>
      </c>
      <c r="AL1172" t="s">
        <v>9407</v>
      </c>
      <c r="AM1172">
        <v>-0.31</v>
      </c>
      <c r="AN1172">
        <v>-1.2E-2</v>
      </c>
      <c r="AO1172">
        <v>-0.31</v>
      </c>
      <c r="AP1172" s="46">
        <v>0</v>
      </c>
      <c r="AQ1172" s="46">
        <v>0</v>
      </c>
      <c r="AR1172" s="46">
        <v>0</v>
      </c>
      <c r="AS1172" s="46">
        <v>0</v>
      </c>
      <c r="AT1172" s="46">
        <v>0</v>
      </c>
      <c r="AU1172" s="46">
        <v>1</v>
      </c>
      <c r="AV1172" s="46">
        <v>0</v>
      </c>
      <c r="AW1172" s="46">
        <v>0</v>
      </c>
      <c r="AX1172" s="46">
        <v>0</v>
      </c>
      <c r="AY1172" s="46">
        <v>0</v>
      </c>
      <c r="AZ1172" s="46">
        <v>0</v>
      </c>
      <c r="BA1172" s="46">
        <v>0</v>
      </c>
      <c r="BB1172" s="46">
        <v>0</v>
      </c>
      <c r="BC1172" s="46">
        <v>0</v>
      </c>
      <c r="BD1172" s="46">
        <v>0</v>
      </c>
      <c r="BE1172" s="46">
        <v>0</v>
      </c>
      <c r="BF1172" s="46">
        <v>0</v>
      </c>
      <c r="BG1172" s="46" t="s">
        <v>48</v>
      </c>
      <c r="BH1172" s="46">
        <v>0</v>
      </c>
      <c r="BI1172" s="46">
        <v>0</v>
      </c>
      <c r="BJ1172" s="46">
        <v>0</v>
      </c>
      <c r="BK1172" s="46">
        <v>0</v>
      </c>
      <c r="BL1172" s="46">
        <v>0</v>
      </c>
      <c r="BM1172" s="46">
        <v>0</v>
      </c>
      <c r="BN1172" s="46">
        <v>0</v>
      </c>
    </row>
    <row r="1173" spans="1:66" x14ac:dyDescent="0.35">
      <c r="A1173" t="s">
        <v>9969</v>
      </c>
      <c r="B1173" t="s">
        <v>48</v>
      </c>
      <c r="C1173" t="s">
        <v>12370</v>
      </c>
      <c r="D1173" t="s">
        <v>1338</v>
      </c>
      <c r="E1173" t="s">
        <v>9970</v>
      </c>
      <c r="F1173" t="s">
        <v>7524</v>
      </c>
      <c r="G1173" t="s">
        <v>47</v>
      </c>
      <c r="H1173">
        <v>0</v>
      </c>
      <c r="I1173" s="61">
        <v>44783</v>
      </c>
      <c r="J1173" s="33" t="s">
        <v>45</v>
      </c>
      <c r="K1173" s="46">
        <v>0</v>
      </c>
      <c r="L1173">
        <v>23.8</v>
      </c>
      <c r="M1173" t="s">
        <v>48</v>
      </c>
      <c r="N1173" s="46">
        <v>1</v>
      </c>
      <c r="O1173" s="46">
        <v>0</v>
      </c>
      <c r="P1173" s="46">
        <v>0</v>
      </c>
      <c r="Q1173" t="s">
        <v>48</v>
      </c>
      <c r="R1173" t="s">
        <v>48</v>
      </c>
      <c r="S1173" s="43" t="s">
        <v>10395</v>
      </c>
      <c r="T1173" s="43" t="s">
        <v>48</v>
      </c>
      <c r="U1173" s="43" t="s">
        <v>10395</v>
      </c>
      <c r="V1173" s="47">
        <v>0</v>
      </c>
      <c r="W1173" t="s">
        <v>48</v>
      </c>
      <c r="X1173" t="s">
        <v>48</v>
      </c>
      <c r="Y1173" t="s">
        <v>48</v>
      </c>
      <c r="Z1173" t="s">
        <v>48</v>
      </c>
      <c r="AA1173" t="s">
        <v>48</v>
      </c>
      <c r="AB1173" t="s">
        <v>48</v>
      </c>
      <c r="AC1173" t="s">
        <v>63</v>
      </c>
      <c r="AD1173" t="s">
        <v>93</v>
      </c>
      <c r="AE1173" t="s">
        <v>4532</v>
      </c>
      <c r="AF1173" t="s">
        <v>48</v>
      </c>
      <c r="AG1173" t="s">
        <v>48</v>
      </c>
      <c r="AH1173" t="s">
        <v>48</v>
      </c>
      <c r="AI1173" t="s">
        <v>48</v>
      </c>
      <c r="AJ1173" t="s">
        <v>48</v>
      </c>
      <c r="AK1173" t="s">
        <v>48</v>
      </c>
      <c r="AL1173" t="s">
        <v>48</v>
      </c>
      <c r="AM1173" t="s">
        <v>48</v>
      </c>
      <c r="AN1173" t="s">
        <v>48</v>
      </c>
      <c r="AO1173" t="s">
        <v>48</v>
      </c>
      <c r="AP1173" s="46">
        <v>0</v>
      </c>
      <c r="AQ1173" s="46">
        <v>0</v>
      </c>
      <c r="AR1173" s="46">
        <v>0</v>
      </c>
      <c r="AS1173" s="46">
        <v>0</v>
      </c>
      <c r="AT1173" s="46">
        <v>0</v>
      </c>
      <c r="AU1173" s="46">
        <v>0</v>
      </c>
      <c r="AV1173" s="46">
        <v>0</v>
      </c>
      <c r="AW1173" s="46">
        <v>0</v>
      </c>
      <c r="AX1173" s="46">
        <v>0</v>
      </c>
      <c r="AY1173" s="46">
        <v>0</v>
      </c>
      <c r="AZ1173" s="46">
        <v>0</v>
      </c>
      <c r="BA1173" s="46">
        <v>0</v>
      </c>
      <c r="BB1173" s="46">
        <v>0</v>
      </c>
      <c r="BC1173" s="46">
        <v>0</v>
      </c>
      <c r="BD1173" s="46">
        <v>0</v>
      </c>
      <c r="BE1173" s="46">
        <v>0</v>
      </c>
      <c r="BF1173" s="46">
        <v>0</v>
      </c>
      <c r="BG1173" s="46">
        <v>1</v>
      </c>
      <c r="BH1173" s="46">
        <v>0</v>
      </c>
      <c r="BI1173" s="46">
        <v>0</v>
      </c>
      <c r="BJ1173" s="46">
        <v>0</v>
      </c>
      <c r="BK1173" s="46">
        <v>0</v>
      </c>
      <c r="BL1173" s="46">
        <v>0</v>
      </c>
      <c r="BM1173" s="46">
        <v>0</v>
      </c>
      <c r="BN1173" s="46">
        <v>0</v>
      </c>
    </row>
    <row r="1174" spans="1:66" x14ac:dyDescent="0.35">
      <c r="A1174" t="s">
        <v>9975</v>
      </c>
      <c r="B1174" t="s">
        <v>48</v>
      </c>
      <c r="C1174" t="s">
        <v>4089</v>
      </c>
      <c r="D1174" t="s">
        <v>5632</v>
      </c>
      <c r="E1174" t="s">
        <v>9976</v>
      </c>
      <c r="F1174" t="s">
        <v>7534</v>
      </c>
      <c r="G1174" t="s">
        <v>47</v>
      </c>
      <c r="H1174">
        <v>0</v>
      </c>
      <c r="I1174" s="61">
        <v>44783</v>
      </c>
      <c r="J1174" s="33" t="s">
        <v>45</v>
      </c>
      <c r="K1174" s="46">
        <v>0</v>
      </c>
      <c r="L1174">
        <v>7.6</v>
      </c>
      <c r="M1174" t="s">
        <v>48</v>
      </c>
      <c r="N1174" s="46">
        <v>1</v>
      </c>
      <c r="O1174" s="46">
        <v>0</v>
      </c>
      <c r="P1174" s="46">
        <v>0</v>
      </c>
      <c r="Q1174" t="s">
        <v>48</v>
      </c>
      <c r="R1174" t="s">
        <v>48</v>
      </c>
      <c r="S1174" s="43" t="s">
        <v>48</v>
      </c>
      <c r="T1174" s="43" t="s">
        <v>48</v>
      </c>
      <c r="U1174" s="43" t="s">
        <v>48</v>
      </c>
      <c r="V1174" s="47">
        <v>1</v>
      </c>
      <c r="W1174" t="s">
        <v>11264</v>
      </c>
      <c r="X1174" t="s">
        <v>48</v>
      </c>
      <c r="Y1174" t="s">
        <v>48</v>
      </c>
      <c r="Z1174" t="s">
        <v>48</v>
      </c>
      <c r="AA1174" t="s">
        <v>48</v>
      </c>
      <c r="AB1174" t="s">
        <v>48</v>
      </c>
      <c r="AC1174" t="s">
        <v>11106</v>
      </c>
      <c r="AD1174" t="s">
        <v>93</v>
      </c>
      <c r="AE1174" t="s">
        <v>4532</v>
      </c>
      <c r="AF1174" t="s">
        <v>48</v>
      </c>
      <c r="AG1174" t="s">
        <v>48</v>
      </c>
      <c r="AH1174" t="s">
        <v>48</v>
      </c>
      <c r="AI1174" t="s">
        <v>48</v>
      </c>
      <c r="AJ1174" t="s">
        <v>48</v>
      </c>
      <c r="AK1174" t="s">
        <v>48</v>
      </c>
      <c r="AL1174" t="s">
        <v>48</v>
      </c>
      <c r="AM1174" t="s">
        <v>48</v>
      </c>
      <c r="AN1174" t="s">
        <v>48</v>
      </c>
      <c r="AO1174" t="s">
        <v>48</v>
      </c>
      <c r="AP1174" s="46">
        <v>0</v>
      </c>
      <c r="AQ1174" s="46">
        <v>0</v>
      </c>
      <c r="AR1174" s="46">
        <v>0</v>
      </c>
      <c r="AS1174" s="46">
        <v>0</v>
      </c>
      <c r="AT1174" s="46">
        <v>0</v>
      </c>
      <c r="AU1174" s="46">
        <v>0</v>
      </c>
      <c r="AV1174" s="46">
        <v>0</v>
      </c>
      <c r="AW1174" s="46">
        <v>0</v>
      </c>
      <c r="AX1174" s="46">
        <v>0</v>
      </c>
      <c r="AY1174" s="46">
        <v>0</v>
      </c>
      <c r="AZ1174" s="46">
        <v>0</v>
      </c>
      <c r="BA1174" s="46">
        <v>0</v>
      </c>
      <c r="BB1174" s="46">
        <v>0</v>
      </c>
      <c r="BC1174" s="46">
        <v>0</v>
      </c>
      <c r="BD1174" s="46">
        <v>0</v>
      </c>
      <c r="BE1174" s="46">
        <v>0</v>
      </c>
      <c r="BF1174" s="46">
        <v>0</v>
      </c>
      <c r="BG1174" s="46" t="s">
        <v>48</v>
      </c>
      <c r="BH1174" s="46">
        <v>0</v>
      </c>
      <c r="BI1174" s="46">
        <v>0</v>
      </c>
      <c r="BJ1174" s="46">
        <v>0</v>
      </c>
      <c r="BK1174" s="46">
        <v>0</v>
      </c>
      <c r="BL1174" s="46">
        <v>0</v>
      </c>
      <c r="BM1174" s="46">
        <v>0</v>
      </c>
      <c r="BN1174" s="46">
        <v>0</v>
      </c>
    </row>
    <row r="1175" spans="1:66" x14ac:dyDescent="0.35">
      <c r="A1175" t="s">
        <v>7537</v>
      </c>
      <c r="B1175" s="44" t="s">
        <v>48</v>
      </c>
      <c r="C1175" t="s">
        <v>7542</v>
      </c>
      <c r="D1175" t="s">
        <v>7541</v>
      </c>
      <c r="E1175" t="s">
        <v>7538</v>
      </c>
      <c r="F1175" t="s">
        <v>7534</v>
      </c>
      <c r="G1175" t="s">
        <v>74</v>
      </c>
      <c r="H1175">
        <v>0</v>
      </c>
      <c r="I1175" s="60" t="s">
        <v>51</v>
      </c>
      <c r="J1175" s="33" t="s">
        <v>45</v>
      </c>
      <c r="K1175" s="46">
        <v>1</v>
      </c>
      <c r="L1175">
        <v>84.9</v>
      </c>
      <c r="M1175" t="s">
        <v>48</v>
      </c>
      <c r="N1175" s="46">
        <v>1</v>
      </c>
      <c r="O1175" s="46">
        <v>0</v>
      </c>
      <c r="P1175" s="46">
        <v>0</v>
      </c>
      <c r="Q1175" t="s">
        <v>48</v>
      </c>
      <c r="R1175" t="s">
        <v>48</v>
      </c>
      <c r="S1175" t="s">
        <v>7539</v>
      </c>
      <c r="T1175" t="s">
        <v>7540</v>
      </c>
      <c r="U1175" t="s">
        <v>7539</v>
      </c>
      <c r="V1175" s="47">
        <v>0</v>
      </c>
      <c r="W1175" t="s">
        <v>48</v>
      </c>
      <c r="X1175" t="s">
        <v>48</v>
      </c>
      <c r="Y1175" t="s">
        <v>48</v>
      </c>
      <c r="Z1175">
        <v>0</v>
      </c>
      <c r="AA1175" t="s">
        <v>48</v>
      </c>
      <c r="AB1175">
        <v>2016</v>
      </c>
      <c r="AC1175" t="s">
        <v>63</v>
      </c>
      <c r="AD1175" t="s">
        <v>93</v>
      </c>
      <c r="AE1175" t="s">
        <v>977</v>
      </c>
      <c r="AF1175" t="s">
        <v>11053</v>
      </c>
      <c r="AG1175" t="s">
        <v>876</v>
      </c>
      <c r="AH1175" t="s">
        <v>93</v>
      </c>
      <c r="AI1175">
        <v>21726</v>
      </c>
      <c r="AJ1175">
        <v>1965</v>
      </c>
      <c r="AK1175" t="s">
        <v>9408</v>
      </c>
      <c r="AL1175" t="s">
        <v>9409</v>
      </c>
      <c r="AM1175">
        <v>-0.68400000000000005</v>
      </c>
      <c r="AN1175">
        <v>-0.34300000000000003</v>
      </c>
      <c r="AO1175">
        <v>-0.68400000000000005</v>
      </c>
      <c r="AP1175" s="46">
        <v>1</v>
      </c>
      <c r="AQ1175" s="46">
        <v>1</v>
      </c>
      <c r="AR1175" s="46">
        <v>1</v>
      </c>
      <c r="AS1175" s="46">
        <v>0</v>
      </c>
      <c r="AT1175" s="46">
        <v>1</v>
      </c>
      <c r="AU1175" s="46">
        <v>0</v>
      </c>
      <c r="AV1175" s="46">
        <v>0</v>
      </c>
      <c r="AW1175" s="46">
        <v>0</v>
      </c>
      <c r="AX1175" s="46">
        <v>0</v>
      </c>
      <c r="AY1175" s="46">
        <v>0</v>
      </c>
      <c r="AZ1175" s="46">
        <v>0</v>
      </c>
      <c r="BA1175" s="46">
        <v>0</v>
      </c>
      <c r="BB1175" s="46">
        <v>0</v>
      </c>
      <c r="BC1175" s="46">
        <v>0</v>
      </c>
      <c r="BD1175" s="46">
        <v>0</v>
      </c>
      <c r="BE1175" s="46">
        <v>0</v>
      </c>
      <c r="BF1175" s="46">
        <v>0</v>
      </c>
      <c r="BG1175" s="46" t="s">
        <v>48</v>
      </c>
      <c r="BH1175" s="46">
        <v>0</v>
      </c>
      <c r="BI1175" s="46">
        <v>0</v>
      </c>
      <c r="BJ1175" s="46">
        <v>0</v>
      </c>
      <c r="BK1175" s="46">
        <v>1</v>
      </c>
      <c r="BL1175" s="46">
        <v>0</v>
      </c>
      <c r="BM1175" s="46">
        <v>0</v>
      </c>
      <c r="BN1175" s="46">
        <v>0</v>
      </c>
    </row>
    <row r="1176" spans="1:66" x14ac:dyDescent="0.35">
      <c r="A1176" t="s">
        <v>7555</v>
      </c>
      <c r="B1176" t="s">
        <v>48</v>
      </c>
      <c r="C1176" t="s">
        <v>7559</v>
      </c>
      <c r="D1176" t="s">
        <v>1292</v>
      </c>
      <c r="E1176" t="s">
        <v>7556</v>
      </c>
      <c r="F1176" t="s">
        <v>7544</v>
      </c>
      <c r="G1176" t="s">
        <v>74</v>
      </c>
      <c r="H1176">
        <v>0</v>
      </c>
      <c r="I1176" s="60" t="s">
        <v>51</v>
      </c>
      <c r="J1176" s="33" t="s">
        <v>45</v>
      </c>
      <c r="K1176" s="46">
        <v>1</v>
      </c>
      <c r="L1176">
        <v>47.9</v>
      </c>
      <c r="M1176" t="s">
        <v>48</v>
      </c>
      <c r="N1176" s="46">
        <v>1</v>
      </c>
      <c r="O1176" s="46">
        <v>0</v>
      </c>
      <c r="P1176" s="46">
        <v>0</v>
      </c>
      <c r="Q1176" t="s">
        <v>48</v>
      </c>
      <c r="R1176" t="s">
        <v>48</v>
      </c>
      <c r="S1176" t="s">
        <v>7557</v>
      </c>
      <c r="T1176" t="s">
        <v>7558</v>
      </c>
      <c r="U1176" t="s">
        <v>7557</v>
      </c>
      <c r="V1176" s="47">
        <v>0</v>
      </c>
      <c r="W1176" t="s">
        <v>48</v>
      </c>
      <c r="X1176" t="s">
        <v>48</v>
      </c>
      <c r="Y1176" t="s">
        <v>48</v>
      </c>
      <c r="Z1176">
        <v>0</v>
      </c>
      <c r="AA1176" t="s">
        <v>48</v>
      </c>
      <c r="AB1176">
        <v>2018</v>
      </c>
      <c r="AC1176" t="s">
        <v>63</v>
      </c>
      <c r="AD1176" t="s">
        <v>93</v>
      </c>
      <c r="AE1176" t="s">
        <v>4532</v>
      </c>
      <c r="AF1176" t="s">
        <v>48</v>
      </c>
      <c r="AG1176" t="s">
        <v>633</v>
      </c>
      <c r="AH1176" t="s">
        <v>93</v>
      </c>
      <c r="AI1176">
        <v>21962</v>
      </c>
      <c r="AJ1176">
        <v>1968</v>
      </c>
      <c r="AK1176" t="s">
        <v>9410</v>
      </c>
      <c r="AL1176" t="s">
        <v>9411</v>
      </c>
      <c r="AM1176">
        <v>-0.32800000000000001</v>
      </c>
      <c r="AN1176">
        <v>0.51200000000000001</v>
      </c>
      <c r="AO1176">
        <v>-0.32800000000000001</v>
      </c>
      <c r="AP1176" s="46">
        <v>0</v>
      </c>
      <c r="AQ1176" s="46">
        <v>0</v>
      </c>
      <c r="AR1176" s="46">
        <v>0</v>
      </c>
      <c r="AS1176" s="46">
        <v>0</v>
      </c>
      <c r="AT1176" s="46">
        <v>0</v>
      </c>
      <c r="AU1176" s="46">
        <v>1</v>
      </c>
      <c r="AV1176" s="46">
        <v>0</v>
      </c>
      <c r="AW1176" s="46">
        <v>0</v>
      </c>
      <c r="AX1176" s="46">
        <v>0</v>
      </c>
      <c r="AY1176" s="46">
        <v>0</v>
      </c>
      <c r="AZ1176" s="46">
        <v>0</v>
      </c>
      <c r="BA1176" s="46">
        <v>0</v>
      </c>
      <c r="BB1176" s="46">
        <v>0</v>
      </c>
      <c r="BC1176" s="46">
        <v>0</v>
      </c>
      <c r="BD1176" s="46">
        <v>0</v>
      </c>
      <c r="BE1176" s="46">
        <v>0</v>
      </c>
      <c r="BF1176" s="46">
        <v>0</v>
      </c>
      <c r="BG1176" s="46" t="s">
        <v>48</v>
      </c>
      <c r="BH1176" s="46">
        <v>0</v>
      </c>
      <c r="BI1176" s="46">
        <v>0</v>
      </c>
      <c r="BJ1176" s="46">
        <v>0</v>
      </c>
      <c r="BK1176" s="46">
        <v>0</v>
      </c>
      <c r="BL1176" s="46">
        <v>0</v>
      </c>
      <c r="BM1176" s="46">
        <v>0</v>
      </c>
      <c r="BN1176" s="46">
        <v>0</v>
      </c>
    </row>
    <row r="1177" spans="1:66" x14ac:dyDescent="0.35">
      <c r="A1177" t="s">
        <v>7551</v>
      </c>
      <c r="B1177" t="s">
        <v>48</v>
      </c>
      <c r="C1177" t="s">
        <v>7554</v>
      </c>
      <c r="D1177" t="s">
        <v>1193</v>
      </c>
      <c r="E1177" t="s">
        <v>7552</v>
      </c>
      <c r="F1177" t="s">
        <v>7544</v>
      </c>
      <c r="G1177" t="s">
        <v>47</v>
      </c>
      <c r="H1177">
        <v>0</v>
      </c>
      <c r="I1177" s="60" t="s">
        <v>51</v>
      </c>
      <c r="J1177" s="33" t="s">
        <v>45</v>
      </c>
      <c r="K1177" s="46">
        <v>0</v>
      </c>
      <c r="L1177">
        <v>17</v>
      </c>
      <c r="M1177" t="s">
        <v>48</v>
      </c>
      <c r="N1177" s="46">
        <v>1</v>
      </c>
      <c r="O1177" s="46">
        <v>0</v>
      </c>
      <c r="P1177" s="46">
        <v>0</v>
      </c>
      <c r="Q1177" t="s">
        <v>48</v>
      </c>
      <c r="R1177" t="s">
        <v>48</v>
      </c>
      <c r="S1177" t="s">
        <v>7553</v>
      </c>
      <c r="T1177" t="s">
        <v>48</v>
      </c>
      <c r="U1177" t="s">
        <v>7553</v>
      </c>
      <c r="V1177" s="47">
        <v>0</v>
      </c>
      <c r="W1177" t="s">
        <v>48</v>
      </c>
      <c r="X1177" t="s">
        <v>48</v>
      </c>
      <c r="Y1177" t="s">
        <v>48</v>
      </c>
      <c r="Z1177">
        <v>0</v>
      </c>
      <c r="AA1177" t="s">
        <v>48</v>
      </c>
      <c r="AB1177" t="s">
        <v>48</v>
      </c>
      <c r="AC1177" t="s">
        <v>49</v>
      </c>
      <c r="AD1177" t="s">
        <v>93</v>
      </c>
      <c r="AE1177" t="s">
        <v>4532</v>
      </c>
      <c r="AF1177" t="s">
        <v>48</v>
      </c>
      <c r="AG1177" t="s">
        <v>48</v>
      </c>
      <c r="AH1177" t="s">
        <v>48</v>
      </c>
      <c r="AI1177" t="s">
        <v>48</v>
      </c>
      <c r="AJ1177" t="s">
        <v>48</v>
      </c>
      <c r="AK1177" t="s">
        <v>48</v>
      </c>
      <c r="AL1177" t="s">
        <v>48</v>
      </c>
      <c r="AM1177" t="s">
        <v>48</v>
      </c>
      <c r="AN1177" t="s">
        <v>48</v>
      </c>
      <c r="AO1177" t="s">
        <v>48</v>
      </c>
      <c r="AP1177" s="46">
        <v>0</v>
      </c>
      <c r="AQ1177" s="46">
        <v>0</v>
      </c>
      <c r="AR1177" s="46">
        <v>0</v>
      </c>
      <c r="AS1177" s="46">
        <v>0</v>
      </c>
      <c r="AT1177" s="46">
        <v>0</v>
      </c>
      <c r="AU1177" s="46">
        <v>0</v>
      </c>
      <c r="AV1177" s="46">
        <v>0</v>
      </c>
      <c r="AW1177" s="46">
        <v>0</v>
      </c>
      <c r="AX1177" s="46">
        <v>0</v>
      </c>
      <c r="AY1177" s="46">
        <v>0</v>
      </c>
      <c r="AZ1177" s="46">
        <v>0</v>
      </c>
      <c r="BA1177" s="46">
        <v>0</v>
      </c>
      <c r="BB1177" s="46">
        <v>0</v>
      </c>
      <c r="BC1177" s="46">
        <v>0</v>
      </c>
      <c r="BD1177" s="46">
        <v>0</v>
      </c>
      <c r="BE1177" s="46">
        <v>0</v>
      </c>
      <c r="BF1177" s="46">
        <v>0</v>
      </c>
      <c r="BG1177" s="46" t="s">
        <v>48</v>
      </c>
      <c r="BH1177" s="46">
        <v>0</v>
      </c>
      <c r="BI1177" s="46">
        <v>0</v>
      </c>
      <c r="BJ1177" s="46">
        <v>0</v>
      </c>
      <c r="BK1177" s="46">
        <v>0</v>
      </c>
      <c r="BL1177" s="46">
        <v>0</v>
      </c>
      <c r="BM1177" s="46">
        <v>0</v>
      </c>
      <c r="BN1177" s="46">
        <v>0</v>
      </c>
    </row>
    <row r="1178" spans="1:66" x14ac:dyDescent="0.35">
      <c r="A1178" t="s">
        <v>7570</v>
      </c>
      <c r="B1178" t="s">
        <v>48</v>
      </c>
      <c r="C1178" t="s">
        <v>80</v>
      </c>
      <c r="D1178" t="s">
        <v>335</v>
      </c>
      <c r="E1178" t="s">
        <v>7571</v>
      </c>
      <c r="F1178" t="s">
        <v>7561</v>
      </c>
      <c r="G1178" t="s">
        <v>74</v>
      </c>
      <c r="H1178">
        <v>0</v>
      </c>
      <c r="I1178" s="60" t="s">
        <v>51</v>
      </c>
      <c r="J1178" s="33" t="s">
        <v>45</v>
      </c>
      <c r="K1178" s="46">
        <v>1</v>
      </c>
      <c r="L1178">
        <v>55.4</v>
      </c>
      <c r="M1178" t="s">
        <v>48</v>
      </c>
      <c r="N1178" s="46">
        <v>1</v>
      </c>
      <c r="O1178" s="46">
        <v>0</v>
      </c>
      <c r="P1178" s="46">
        <v>0</v>
      </c>
      <c r="Q1178" t="s">
        <v>48</v>
      </c>
      <c r="R1178" t="s">
        <v>48</v>
      </c>
      <c r="S1178" t="s">
        <v>7572</v>
      </c>
      <c r="T1178" t="s">
        <v>7573</v>
      </c>
      <c r="U1178" t="s">
        <v>7572</v>
      </c>
      <c r="V1178" s="47">
        <v>0</v>
      </c>
      <c r="W1178" t="s">
        <v>48</v>
      </c>
      <c r="X1178" t="s">
        <v>48</v>
      </c>
      <c r="Y1178" t="s">
        <v>48</v>
      </c>
      <c r="Z1178">
        <v>0</v>
      </c>
      <c r="AA1178" t="s">
        <v>48</v>
      </c>
      <c r="AB1178">
        <v>1996</v>
      </c>
      <c r="AC1178" t="s">
        <v>49</v>
      </c>
      <c r="AD1178" t="s">
        <v>93</v>
      </c>
      <c r="AE1178" t="s">
        <v>4532</v>
      </c>
      <c r="AF1178" t="s">
        <v>48</v>
      </c>
      <c r="AG1178" t="s">
        <v>2679</v>
      </c>
      <c r="AH1178" t="s">
        <v>93</v>
      </c>
      <c r="AI1178">
        <v>29768</v>
      </c>
      <c r="AJ1178">
        <v>1965</v>
      </c>
      <c r="AK1178" t="s">
        <v>9412</v>
      </c>
      <c r="AL1178" t="s">
        <v>9413</v>
      </c>
      <c r="AM1178">
        <v>-0.28599999999999998</v>
      </c>
      <c r="AN1178">
        <v>-0.16200000000000001</v>
      </c>
      <c r="AO1178">
        <v>-0.28599999999999998</v>
      </c>
      <c r="AP1178" s="46">
        <v>0</v>
      </c>
      <c r="AQ1178" s="46">
        <v>0</v>
      </c>
      <c r="AR1178" s="46">
        <v>0</v>
      </c>
      <c r="AS1178" s="46">
        <v>0</v>
      </c>
      <c r="AT1178" s="46">
        <v>1</v>
      </c>
      <c r="AU1178" s="46">
        <v>1</v>
      </c>
      <c r="AV1178" s="46">
        <v>0</v>
      </c>
      <c r="AW1178" s="46">
        <v>0</v>
      </c>
      <c r="AX1178" s="46">
        <v>0</v>
      </c>
      <c r="AY1178" s="46">
        <v>0</v>
      </c>
      <c r="AZ1178" s="46">
        <v>0</v>
      </c>
      <c r="BA1178" s="46">
        <v>0</v>
      </c>
      <c r="BB1178" s="46">
        <v>0</v>
      </c>
      <c r="BC1178" s="46">
        <v>0</v>
      </c>
      <c r="BD1178" s="46">
        <v>0</v>
      </c>
      <c r="BE1178" s="46">
        <v>0</v>
      </c>
      <c r="BF1178" s="46">
        <v>0</v>
      </c>
      <c r="BG1178" s="46" t="s">
        <v>48</v>
      </c>
      <c r="BH1178" s="46">
        <v>0</v>
      </c>
      <c r="BI1178" s="46">
        <v>0</v>
      </c>
      <c r="BJ1178" s="46">
        <v>0</v>
      </c>
      <c r="BK1178" s="46">
        <v>0</v>
      </c>
      <c r="BL1178" s="46">
        <v>0</v>
      </c>
      <c r="BM1178" s="46">
        <v>0</v>
      </c>
      <c r="BN1178" s="46">
        <v>0</v>
      </c>
    </row>
    <row r="1179" spans="1:66" x14ac:dyDescent="0.35">
      <c r="A1179" t="s">
        <v>9979</v>
      </c>
      <c r="B1179" t="s">
        <v>48</v>
      </c>
      <c r="C1179" t="s">
        <v>12373</v>
      </c>
      <c r="D1179" t="s">
        <v>858</v>
      </c>
      <c r="E1179" t="s">
        <v>9980</v>
      </c>
      <c r="F1179" t="s">
        <v>7561</v>
      </c>
      <c r="G1179" t="s">
        <v>47</v>
      </c>
      <c r="H1179">
        <v>0</v>
      </c>
      <c r="I1179" s="61">
        <v>44783</v>
      </c>
      <c r="J1179" s="33" t="s">
        <v>45</v>
      </c>
      <c r="K1179" s="46">
        <v>0</v>
      </c>
      <c r="L1179">
        <v>20.6</v>
      </c>
      <c r="M1179" t="s">
        <v>48</v>
      </c>
      <c r="N1179" s="46">
        <v>1</v>
      </c>
      <c r="O1179" s="46">
        <v>0</v>
      </c>
      <c r="P1179" s="46">
        <v>0</v>
      </c>
      <c r="Q1179" t="s">
        <v>48</v>
      </c>
      <c r="R1179" t="s">
        <v>48</v>
      </c>
      <c r="S1179" s="43" t="s">
        <v>10400</v>
      </c>
      <c r="T1179" s="43" t="s">
        <v>48</v>
      </c>
      <c r="U1179" s="43" t="s">
        <v>10400</v>
      </c>
      <c r="V1179" s="47">
        <v>0</v>
      </c>
      <c r="W1179" t="s">
        <v>48</v>
      </c>
      <c r="X1179" t="s">
        <v>48</v>
      </c>
      <c r="Y1179" t="s">
        <v>48</v>
      </c>
      <c r="Z1179" t="s">
        <v>48</v>
      </c>
      <c r="AA1179" t="s">
        <v>48</v>
      </c>
      <c r="AB1179" t="s">
        <v>48</v>
      </c>
      <c r="AC1179" t="s">
        <v>49</v>
      </c>
      <c r="AD1179" t="s">
        <v>93</v>
      </c>
      <c r="AE1179" t="s">
        <v>4532</v>
      </c>
      <c r="AF1179" t="s">
        <v>48</v>
      </c>
      <c r="AG1179" t="s">
        <v>48</v>
      </c>
      <c r="AH1179" t="s">
        <v>48</v>
      </c>
      <c r="AI1179" t="s">
        <v>48</v>
      </c>
      <c r="AJ1179" t="s">
        <v>48</v>
      </c>
      <c r="AK1179" t="s">
        <v>48</v>
      </c>
      <c r="AL1179" t="s">
        <v>48</v>
      </c>
      <c r="AM1179" t="s">
        <v>48</v>
      </c>
      <c r="AN1179" t="s">
        <v>48</v>
      </c>
      <c r="AO1179" t="s">
        <v>48</v>
      </c>
      <c r="AP1179" s="46">
        <v>0</v>
      </c>
      <c r="AQ1179" s="46">
        <v>0</v>
      </c>
      <c r="AR1179" s="46">
        <v>0</v>
      </c>
      <c r="AS1179" s="46">
        <v>0</v>
      </c>
      <c r="AT1179" s="46">
        <v>0</v>
      </c>
      <c r="AU1179" s="46">
        <v>0</v>
      </c>
      <c r="AV1179" s="46">
        <v>0</v>
      </c>
      <c r="AW1179" s="46">
        <v>0</v>
      </c>
      <c r="AX1179" s="46">
        <v>0</v>
      </c>
      <c r="AY1179" s="46">
        <v>0</v>
      </c>
      <c r="AZ1179" s="46">
        <v>0</v>
      </c>
      <c r="BA1179" s="46">
        <v>0</v>
      </c>
      <c r="BB1179" s="46">
        <v>0</v>
      </c>
      <c r="BC1179" s="46">
        <v>0</v>
      </c>
      <c r="BD1179" s="46">
        <v>0</v>
      </c>
      <c r="BE1179" s="46">
        <v>0</v>
      </c>
      <c r="BF1179" s="46">
        <v>0</v>
      </c>
      <c r="BG1179" s="46">
        <v>1</v>
      </c>
      <c r="BH1179" s="46">
        <v>0</v>
      </c>
      <c r="BI1179" s="46">
        <v>0</v>
      </c>
      <c r="BJ1179" s="46">
        <v>0</v>
      </c>
      <c r="BK1179" s="46">
        <v>0</v>
      </c>
      <c r="BL1179" s="46">
        <v>0</v>
      </c>
      <c r="BM1179" s="46">
        <v>0</v>
      </c>
      <c r="BN1179" s="46">
        <v>0</v>
      </c>
    </row>
    <row r="1180" spans="1:66" x14ac:dyDescent="0.35">
      <c r="A1180" t="s">
        <v>9983</v>
      </c>
      <c r="B1180" t="s">
        <v>48</v>
      </c>
      <c r="C1180" t="s">
        <v>12376</v>
      </c>
      <c r="D1180" t="s">
        <v>2110</v>
      </c>
      <c r="E1180" t="s">
        <v>9984</v>
      </c>
      <c r="F1180" t="s">
        <v>7574</v>
      </c>
      <c r="G1180" t="s">
        <v>47</v>
      </c>
      <c r="H1180">
        <v>0</v>
      </c>
      <c r="I1180" s="61">
        <v>44783</v>
      </c>
      <c r="J1180" s="33" t="s">
        <v>45</v>
      </c>
      <c r="K1180" s="46">
        <v>0</v>
      </c>
      <c r="L1180">
        <v>34</v>
      </c>
      <c r="M1180" t="s">
        <v>48</v>
      </c>
      <c r="N1180" s="46">
        <v>1</v>
      </c>
      <c r="O1180" s="46">
        <v>0</v>
      </c>
      <c r="P1180" s="46">
        <v>0</v>
      </c>
      <c r="Q1180" t="s">
        <v>48</v>
      </c>
      <c r="R1180" t="s">
        <v>48</v>
      </c>
      <c r="S1180" s="43" t="s">
        <v>10402</v>
      </c>
      <c r="T1180" s="43" t="s">
        <v>48</v>
      </c>
      <c r="U1180" s="43" t="s">
        <v>10402</v>
      </c>
      <c r="V1180" s="47">
        <v>1</v>
      </c>
      <c r="W1180" t="s">
        <v>48</v>
      </c>
      <c r="X1180" t="s">
        <v>48</v>
      </c>
      <c r="Y1180" t="s">
        <v>48</v>
      </c>
      <c r="Z1180" t="s">
        <v>48</v>
      </c>
      <c r="AA1180" t="s">
        <v>48</v>
      </c>
      <c r="AB1180" t="s">
        <v>48</v>
      </c>
      <c r="AC1180" t="s">
        <v>49</v>
      </c>
      <c r="AD1180" t="s">
        <v>93</v>
      </c>
      <c r="AE1180" t="s">
        <v>4532</v>
      </c>
      <c r="AF1180" t="s">
        <v>48</v>
      </c>
      <c r="AG1180" t="s">
        <v>48</v>
      </c>
      <c r="AH1180" t="s">
        <v>48</v>
      </c>
      <c r="AI1180" t="s">
        <v>48</v>
      </c>
      <c r="AJ1180" t="s">
        <v>48</v>
      </c>
      <c r="AK1180" t="s">
        <v>48</v>
      </c>
      <c r="AL1180" t="s">
        <v>48</v>
      </c>
      <c r="AM1180" t="s">
        <v>48</v>
      </c>
      <c r="AN1180" t="s">
        <v>48</v>
      </c>
      <c r="AO1180" t="s">
        <v>48</v>
      </c>
      <c r="AP1180" s="46">
        <v>0</v>
      </c>
      <c r="AQ1180" s="46">
        <v>0</v>
      </c>
      <c r="AR1180" s="46">
        <v>0</v>
      </c>
      <c r="AS1180" s="46">
        <v>0</v>
      </c>
      <c r="AT1180" s="46">
        <v>0</v>
      </c>
      <c r="AU1180" s="46">
        <v>0</v>
      </c>
      <c r="AV1180" s="46">
        <v>0</v>
      </c>
      <c r="AW1180" s="46">
        <v>0</v>
      </c>
      <c r="AX1180" s="46">
        <v>0</v>
      </c>
      <c r="AY1180" s="46">
        <v>0</v>
      </c>
      <c r="AZ1180" s="46">
        <v>0</v>
      </c>
      <c r="BA1180" s="46">
        <v>0</v>
      </c>
      <c r="BB1180" s="46">
        <v>0</v>
      </c>
      <c r="BC1180" s="46">
        <v>0</v>
      </c>
      <c r="BD1180" s="46">
        <v>0</v>
      </c>
      <c r="BE1180" s="46">
        <v>0</v>
      </c>
      <c r="BF1180" s="46">
        <v>0</v>
      </c>
      <c r="BG1180" s="46">
        <v>1</v>
      </c>
      <c r="BH1180" s="46">
        <v>0</v>
      </c>
      <c r="BI1180" s="46">
        <v>0</v>
      </c>
      <c r="BJ1180" s="46">
        <v>0</v>
      </c>
      <c r="BK1180" s="46">
        <v>0</v>
      </c>
      <c r="BL1180" s="46">
        <v>0</v>
      </c>
      <c r="BM1180" s="46">
        <v>0</v>
      </c>
      <c r="BN1180" s="46">
        <v>0</v>
      </c>
    </row>
    <row r="1181" spans="1:66" x14ac:dyDescent="0.35">
      <c r="A1181" t="s">
        <v>7575</v>
      </c>
      <c r="B1181" t="s">
        <v>48</v>
      </c>
      <c r="C1181" t="s">
        <v>4294</v>
      </c>
      <c r="D1181" t="s">
        <v>7022</v>
      </c>
      <c r="E1181" t="s">
        <v>7576</v>
      </c>
      <c r="F1181" t="s">
        <v>7574</v>
      </c>
      <c r="G1181" t="s">
        <v>74</v>
      </c>
      <c r="H1181">
        <v>0</v>
      </c>
      <c r="I1181" s="60" t="s">
        <v>51</v>
      </c>
      <c r="J1181" s="33" t="s">
        <v>45</v>
      </c>
      <c r="K1181" s="46">
        <v>1</v>
      </c>
      <c r="L1181">
        <v>55.4</v>
      </c>
      <c r="M1181" t="s">
        <v>48</v>
      </c>
      <c r="N1181" s="46">
        <v>1</v>
      </c>
      <c r="O1181" s="46">
        <v>0</v>
      </c>
      <c r="P1181" s="46">
        <v>0</v>
      </c>
      <c r="Q1181" t="s">
        <v>48</v>
      </c>
      <c r="R1181" t="s">
        <v>48</v>
      </c>
      <c r="S1181" t="s">
        <v>7577</v>
      </c>
      <c r="T1181" t="s">
        <v>7578</v>
      </c>
      <c r="U1181" t="s">
        <v>7577</v>
      </c>
      <c r="V1181" s="47">
        <v>0</v>
      </c>
      <c r="W1181" t="s">
        <v>48</v>
      </c>
      <c r="X1181" t="s">
        <v>48</v>
      </c>
      <c r="Y1181" t="s">
        <v>48</v>
      </c>
      <c r="Z1181">
        <v>1</v>
      </c>
      <c r="AA1181" t="s">
        <v>48</v>
      </c>
      <c r="AB1181">
        <v>2020</v>
      </c>
      <c r="AC1181" t="s">
        <v>63</v>
      </c>
      <c r="AD1181" t="s">
        <v>93</v>
      </c>
      <c r="AE1181" s="40" t="s">
        <v>11081</v>
      </c>
      <c r="AF1181" t="s">
        <v>48</v>
      </c>
      <c r="AG1181" t="s">
        <v>48</v>
      </c>
      <c r="AH1181" t="s">
        <v>93</v>
      </c>
      <c r="AI1181">
        <v>22153</v>
      </c>
      <c r="AJ1181">
        <v>1962</v>
      </c>
      <c r="AK1181" t="s">
        <v>9414</v>
      </c>
      <c r="AL1181" t="s">
        <v>9415</v>
      </c>
      <c r="AM1181">
        <v>-0.40200000000000002</v>
      </c>
      <c r="AN1181">
        <v>0.35799999999999998</v>
      </c>
      <c r="AO1181">
        <v>-0.40200000000000002</v>
      </c>
      <c r="AP1181" s="46">
        <v>0</v>
      </c>
      <c r="AQ1181" s="46">
        <v>0</v>
      </c>
      <c r="AR1181" s="46">
        <v>0</v>
      </c>
      <c r="AS1181" s="46">
        <v>0</v>
      </c>
      <c r="AT1181" s="46">
        <v>0</v>
      </c>
      <c r="AU1181" s="46">
        <v>1</v>
      </c>
      <c r="AV1181" s="46">
        <v>0</v>
      </c>
      <c r="AW1181" s="46">
        <v>0</v>
      </c>
      <c r="AX1181" s="46">
        <v>0</v>
      </c>
      <c r="AY1181" s="46">
        <v>0</v>
      </c>
      <c r="AZ1181" s="46">
        <v>0</v>
      </c>
      <c r="BA1181" s="46">
        <v>0</v>
      </c>
      <c r="BB1181" s="46">
        <v>0</v>
      </c>
      <c r="BC1181" s="46">
        <v>0</v>
      </c>
      <c r="BD1181" s="46">
        <v>0</v>
      </c>
      <c r="BE1181" s="46">
        <v>0</v>
      </c>
      <c r="BF1181" s="46">
        <v>0</v>
      </c>
      <c r="BG1181" s="46" t="s">
        <v>48</v>
      </c>
      <c r="BH1181" s="46">
        <v>0</v>
      </c>
      <c r="BI1181" s="46">
        <v>0</v>
      </c>
      <c r="BJ1181" s="46">
        <v>0</v>
      </c>
      <c r="BK1181" s="46">
        <v>0</v>
      </c>
      <c r="BL1181" s="46">
        <v>0</v>
      </c>
      <c r="BM1181" s="46">
        <v>0</v>
      </c>
      <c r="BN1181" s="46">
        <v>0</v>
      </c>
    </row>
    <row r="1182" spans="1:66" x14ac:dyDescent="0.35">
      <c r="A1182" t="s">
        <v>7597</v>
      </c>
      <c r="B1182" s="44" t="s">
        <v>48</v>
      </c>
      <c r="C1182" t="s">
        <v>7600</v>
      </c>
      <c r="D1182" t="s">
        <v>767</v>
      </c>
      <c r="E1182" t="s">
        <v>7598</v>
      </c>
      <c r="F1182" t="s">
        <v>7596</v>
      </c>
      <c r="G1182" t="s">
        <v>74</v>
      </c>
      <c r="H1182">
        <v>0</v>
      </c>
      <c r="I1182" s="60" t="s">
        <v>51</v>
      </c>
      <c r="J1182" s="33" t="s">
        <v>45</v>
      </c>
      <c r="K1182" s="46">
        <v>0</v>
      </c>
      <c r="L1182">
        <v>100</v>
      </c>
      <c r="M1182" t="s">
        <v>48</v>
      </c>
      <c r="N1182" s="46">
        <v>1</v>
      </c>
      <c r="O1182" s="46">
        <v>0</v>
      </c>
      <c r="P1182" s="46">
        <v>0</v>
      </c>
      <c r="Q1182" t="s">
        <v>48</v>
      </c>
      <c r="R1182" t="s">
        <v>48</v>
      </c>
      <c r="S1182" t="s">
        <v>7599</v>
      </c>
      <c r="T1182" t="s">
        <v>48</v>
      </c>
      <c r="U1182" t="s">
        <v>7599</v>
      </c>
      <c r="V1182" s="47">
        <v>0</v>
      </c>
      <c r="W1182" t="s">
        <v>11317</v>
      </c>
      <c r="X1182" t="s">
        <v>48</v>
      </c>
      <c r="Y1182" t="s">
        <v>48</v>
      </c>
      <c r="Z1182">
        <v>0</v>
      </c>
      <c r="AA1182" t="s">
        <v>48</v>
      </c>
      <c r="AB1182" t="s">
        <v>48</v>
      </c>
      <c r="AC1182" t="s">
        <v>63</v>
      </c>
      <c r="AD1182" t="s">
        <v>93</v>
      </c>
      <c r="AE1182" t="s">
        <v>4532</v>
      </c>
      <c r="AF1182" t="s">
        <v>48</v>
      </c>
      <c r="AG1182" t="s">
        <v>48</v>
      </c>
      <c r="AH1182" t="s">
        <v>48</v>
      </c>
      <c r="AI1182" t="s">
        <v>48</v>
      </c>
      <c r="AJ1182" t="s">
        <v>48</v>
      </c>
      <c r="AK1182" t="s">
        <v>48</v>
      </c>
      <c r="AL1182" t="s">
        <v>48</v>
      </c>
      <c r="AM1182" t="s">
        <v>48</v>
      </c>
      <c r="AN1182" t="s">
        <v>48</v>
      </c>
      <c r="AO1182" t="s">
        <v>48</v>
      </c>
      <c r="AP1182" s="46">
        <v>0</v>
      </c>
      <c r="AQ1182" s="46">
        <v>0</v>
      </c>
      <c r="AR1182" s="46">
        <v>0</v>
      </c>
      <c r="AS1182" s="46">
        <v>0</v>
      </c>
      <c r="AT1182" s="46">
        <v>0</v>
      </c>
      <c r="AU1182" s="46">
        <v>0</v>
      </c>
      <c r="AV1182" s="46">
        <v>0</v>
      </c>
      <c r="AW1182" s="46">
        <v>0</v>
      </c>
      <c r="AX1182" s="46">
        <v>0</v>
      </c>
      <c r="AY1182" s="46">
        <v>0</v>
      </c>
      <c r="AZ1182" s="46">
        <v>0</v>
      </c>
      <c r="BA1182" s="46">
        <v>0</v>
      </c>
      <c r="BB1182" s="46">
        <v>0</v>
      </c>
      <c r="BC1182" s="46">
        <v>0</v>
      </c>
      <c r="BD1182" s="46">
        <v>0</v>
      </c>
      <c r="BE1182" s="46">
        <v>0</v>
      </c>
      <c r="BF1182" s="46">
        <v>0</v>
      </c>
      <c r="BG1182" s="46" t="s">
        <v>48</v>
      </c>
      <c r="BH1182" s="46">
        <v>0</v>
      </c>
      <c r="BI1182" s="46">
        <v>0</v>
      </c>
      <c r="BJ1182" s="46">
        <v>0</v>
      </c>
      <c r="BK1182" s="46">
        <v>0</v>
      </c>
      <c r="BL1182" s="46">
        <v>0</v>
      </c>
      <c r="BM1182" s="46">
        <v>0</v>
      </c>
      <c r="BN1182" s="46">
        <v>0</v>
      </c>
    </row>
    <row r="1183" spans="1:66" x14ac:dyDescent="0.35">
      <c r="A1183" t="s">
        <v>7601</v>
      </c>
      <c r="B1183" t="s">
        <v>48</v>
      </c>
      <c r="C1183" t="s">
        <v>7605</v>
      </c>
      <c r="D1183" t="s">
        <v>1124</v>
      </c>
      <c r="E1183" t="s">
        <v>7602</v>
      </c>
      <c r="F1183" t="s">
        <v>7596</v>
      </c>
      <c r="G1183" t="s">
        <v>47</v>
      </c>
      <c r="H1183">
        <v>0</v>
      </c>
      <c r="I1183" s="60" t="s">
        <v>51</v>
      </c>
      <c r="J1183" s="33" t="s">
        <v>45</v>
      </c>
      <c r="K1183" s="46">
        <v>1</v>
      </c>
      <c r="L1183">
        <v>100</v>
      </c>
      <c r="M1183" t="s">
        <v>48</v>
      </c>
      <c r="N1183" s="46">
        <v>1</v>
      </c>
      <c r="O1183" s="46">
        <v>0</v>
      </c>
      <c r="P1183" s="46">
        <v>0</v>
      </c>
      <c r="Q1183" t="s">
        <v>48</v>
      </c>
      <c r="R1183" t="s">
        <v>48</v>
      </c>
      <c r="S1183" t="s">
        <v>7603</v>
      </c>
      <c r="T1183" t="s">
        <v>7604</v>
      </c>
      <c r="U1183" t="s">
        <v>7603</v>
      </c>
      <c r="V1183" s="47">
        <v>0</v>
      </c>
      <c r="W1183" t="s">
        <v>48</v>
      </c>
      <c r="X1183" t="s">
        <v>48</v>
      </c>
      <c r="Y1183" t="s">
        <v>48</v>
      </c>
      <c r="Z1183">
        <v>0</v>
      </c>
      <c r="AA1183" t="s">
        <v>48</v>
      </c>
      <c r="AB1183">
        <v>2018</v>
      </c>
      <c r="AC1183" t="s">
        <v>49</v>
      </c>
      <c r="AD1183" t="s">
        <v>93</v>
      </c>
      <c r="AE1183" t="s">
        <v>4532</v>
      </c>
      <c r="AF1183" t="s">
        <v>48</v>
      </c>
      <c r="AG1183" t="s">
        <v>140</v>
      </c>
      <c r="AH1183" t="s">
        <v>93</v>
      </c>
      <c r="AI1183">
        <v>21970</v>
      </c>
      <c r="AJ1183">
        <v>1981</v>
      </c>
      <c r="AK1183" t="s">
        <v>9416</v>
      </c>
      <c r="AL1183" t="s">
        <v>9417</v>
      </c>
      <c r="AM1183">
        <v>0.42299999999999999</v>
      </c>
      <c r="AN1183">
        <v>-1E-3</v>
      </c>
      <c r="AO1183">
        <v>0.42299999999999999</v>
      </c>
      <c r="AP1183" s="46">
        <v>0</v>
      </c>
      <c r="AQ1183" s="46">
        <v>0</v>
      </c>
      <c r="AR1183" s="46">
        <v>0</v>
      </c>
      <c r="AS1183" s="46">
        <v>0</v>
      </c>
      <c r="AT1183" s="46">
        <v>0</v>
      </c>
      <c r="AU1183" s="46">
        <v>0</v>
      </c>
      <c r="AV1183" s="46">
        <v>0</v>
      </c>
      <c r="AW1183" s="46">
        <v>0</v>
      </c>
      <c r="AX1183" s="46">
        <v>0</v>
      </c>
      <c r="AY1183" s="46">
        <v>1</v>
      </c>
      <c r="AZ1183" s="46">
        <v>1</v>
      </c>
      <c r="BA1183" s="46">
        <v>1</v>
      </c>
      <c r="BB1183" s="46">
        <v>1</v>
      </c>
      <c r="BC1183" s="46">
        <v>0</v>
      </c>
      <c r="BD1183" s="46">
        <v>0</v>
      </c>
      <c r="BE1183" s="46">
        <v>0</v>
      </c>
      <c r="BF1183" s="46">
        <v>0</v>
      </c>
      <c r="BG1183" s="46" t="s">
        <v>48</v>
      </c>
      <c r="BH1183" s="46">
        <v>0</v>
      </c>
      <c r="BI1183" s="46">
        <v>0</v>
      </c>
      <c r="BJ1183" s="46">
        <v>0</v>
      </c>
      <c r="BK1183" s="46">
        <v>0</v>
      </c>
      <c r="BL1183" s="46">
        <v>0</v>
      </c>
      <c r="BM1183" s="46">
        <v>1</v>
      </c>
      <c r="BN1183" s="46">
        <v>0</v>
      </c>
    </row>
    <row r="1184" spans="1:66" x14ac:dyDescent="0.35">
      <c r="A1184" t="s">
        <v>10896</v>
      </c>
      <c r="B1184" t="s">
        <v>48</v>
      </c>
      <c r="C1184" t="s">
        <v>12379</v>
      </c>
      <c r="D1184" t="s">
        <v>1578</v>
      </c>
      <c r="E1184" t="s">
        <v>10897</v>
      </c>
      <c r="F1184" t="s">
        <v>7607</v>
      </c>
      <c r="G1184" t="s">
        <v>47</v>
      </c>
      <c r="H1184">
        <v>0</v>
      </c>
      <c r="I1184" s="61">
        <v>44789</v>
      </c>
      <c r="J1184" s="33" t="s">
        <v>45</v>
      </c>
      <c r="K1184" s="46">
        <v>0</v>
      </c>
      <c r="L1184">
        <v>50.1</v>
      </c>
      <c r="M1184" t="s">
        <v>48</v>
      </c>
      <c r="N1184" s="46">
        <v>1</v>
      </c>
      <c r="O1184" s="46">
        <v>0</v>
      </c>
      <c r="P1184" s="46">
        <v>0</v>
      </c>
      <c r="Q1184" t="s">
        <v>48</v>
      </c>
      <c r="R1184" t="s">
        <v>48</v>
      </c>
      <c r="S1184" t="s">
        <v>48</v>
      </c>
      <c r="T1184" t="s">
        <v>48</v>
      </c>
      <c r="U1184" t="s">
        <v>48</v>
      </c>
      <c r="V1184" s="47">
        <v>1</v>
      </c>
      <c r="W1184" t="s">
        <v>11264</v>
      </c>
      <c r="X1184" t="s">
        <v>48</v>
      </c>
      <c r="Y1184" t="s">
        <v>48</v>
      </c>
      <c r="Z1184">
        <v>0</v>
      </c>
      <c r="AA1184" t="s">
        <v>48</v>
      </c>
      <c r="AB1184" t="s">
        <v>48</v>
      </c>
      <c r="AC1184" t="s">
        <v>49</v>
      </c>
      <c r="AD1184" t="s">
        <v>93</v>
      </c>
      <c r="AE1184" t="s">
        <v>4532</v>
      </c>
      <c r="AF1184" t="s">
        <v>48</v>
      </c>
      <c r="AG1184" t="s">
        <v>48</v>
      </c>
      <c r="AH1184" t="s">
        <v>48</v>
      </c>
      <c r="AI1184" t="s">
        <v>48</v>
      </c>
      <c r="AJ1184" t="s">
        <v>48</v>
      </c>
      <c r="AK1184" t="s">
        <v>48</v>
      </c>
      <c r="AL1184" t="s">
        <v>48</v>
      </c>
      <c r="AM1184" t="s">
        <v>48</v>
      </c>
      <c r="AN1184" t="s">
        <v>48</v>
      </c>
      <c r="AO1184" t="s">
        <v>48</v>
      </c>
      <c r="AP1184" s="46">
        <v>0</v>
      </c>
      <c r="AQ1184" s="46">
        <v>0</v>
      </c>
      <c r="AR1184" s="46">
        <v>0</v>
      </c>
      <c r="AS1184" s="46">
        <v>0</v>
      </c>
      <c r="AT1184" s="46">
        <v>0</v>
      </c>
      <c r="AU1184" s="46">
        <v>0</v>
      </c>
      <c r="AV1184" s="46">
        <v>0</v>
      </c>
      <c r="AW1184" s="46">
        <v>0</v>
      </c>
      <c r="AX1184" s="46">
        <v>0</v>
      </c>
      <c r="AY1184" s="46">
        <v>0</v>
      </c>
      <c r="AZ1184" s="46">
        <v>0</v>
      </c>
      <c r="BA1184" s="46">
        <v>0</v>
      </c>
      <c r="BB1184" s="46">
        <v>0</v>
      </c>
      <c r="BC1184" s="46">
        <v>0</v>
      </c>
      <c r="BD1184" s="46">
        <v>0</v>
      </c>
      <c r="BE1184" s="46">
        <v>0</v>
      </c>
      <c r="BF1184" s="46">
        <v>0</v>
      </c>
      <c r="BG1184" s="46" t="s">
        <v>48</v>
      </c>
      <c r="BH1184" s="46">
        <v>0</v>
      </c>
      <c r="BI1184" s="46">
        <v>0</v>
      </c>
      <c r="BJ1184" s="46">
        <v>0</v>
      </c>
      <c r="BK1184" s="46">
        <v>0</v>
      </c>
      <c r="BL1184" s="46">
        <v>0</v>
      </c>
      <c r="BM1184" s="46">
        <v>0</v>
      </c>
      <c r="BN1184" s="46">
        <v>0</v>
      </c>
    </row>
    <row r="1185" spans="1:66" x14ac:dyDescent="0.35">
      <c r="A1185" t="s">
        <v>7611</v>
      </c>
      <c r="B1185" s="44" t="s">
        <v>48</v>
      </c>
      <c r="C1185" t="s">
        <v>7615</v>
      </c>
      <c r="D1185" t="s">
        <v>655</v>
      </c>
      <c r="E1185" t="s">
        <v>7612</v>
      </c>
      <c r="F1185" t="s">
        <v>7607</v>
      </c>
      <c r="G1185" t="s">
        <v>74</v>
      </c>
      <c r="H1185">
        <v>0</v>
      </c>
      <c r="I1185" s="60" t="s">
        <v>51</v>
      </c>
      <c r="J1185" s="33" t="s">
        <v>45</v>
      </c>
      <c r="K1185" s="46">
        <v>1</v>
      </c>
      <c r="L1185">
        <v>100</v>
      </c>
      <c r="M1185" t="s">
        <v>48</v>
      </c>
      <c r="N1185" s="46">
        <v>1</v>
      </c>
      <c r="O1185" s="46">
        <v>0</v>
      </c>
      <c r="P1185" s="46">
        <v>0</v>
      </c>
      <c r="Q1185" t="s">
        <v>48</v>
      </c>
      <c r="R1185" t="s">
        <v>48</v>
      </c>
      <c r="S1185" t="s">
        <v>7613</v>
      </c>
      <c r="T1185" t="s">
        <v>7614</v>
      </c>
      <c r="U1185" t="s">
        <v>7613</v>
      </c>
      <c r="V1185" s="47">
        <v>0</v>
      </c>
      <c r="W1185" t="s">
        <v>48</v>
      </c>
      <c r="X1185" t="s">
        <v>48</v>
      </c>
      <c r="Y1185" t="s">
        <v>48</v>
      </c>
      <c r="Z1185">
        <v>0</v>
      </c>
      <c r="AA1185" t="s">
        <v>48</v>
      </c>
      <c r="AB1185">
        <v>2012</v>
      </c>
      <c r="AC1185" t="s">
        <v>49</v>
      </c>
      <c r="AD1185" t="s">
        <v>93</v>
      </c>
      <c r="AE1185" t="s">
        <v>4532</v>
      </c>
      <c r="AF1185" t="s">
        <v>48</v>
      </c>
      <c r="AG1185" t="s">
        <v>876</v>
      </c>
      <c r="AH1185">
        <v>1</v>
      </c>
      <c r="AI1185">
        <v>21370</v>
      </c>
      <c r="AJ1185">
        <v>1964</v>
      </c>
      <c r="AK1185" t="s">
        <v>9418</v>
      </c>
      <c r="AL1185" t="s">
        <v>9419</v>
      </c>
      <c r="AM1185">
        <v>-0.53600000000000003</v>
      </c>
      <c r="AN1185">
        <v>-0.54900000000000004</v>
      </c>
      <c r="AO1185">
        <v>-0.53600000000000003</v>
      </c>
      <c r="AP1185" s="46">
        <v>0</v>
      </c>
      <c r="AQ1185" s="46">
        <v>0</v>
      </c>
      <c r="AR1185" s="46">
        <v>0</v>
      </c>
      <c r="AS1185" s="46">
        <v>0</v>
      </c>
      <c r="AT1185" s="46">
        <v>1</v>
      </c>
      <c r="AU1185" s="46">
        <v>0</v>
      </c>
      <c r="AV1185" s="46">
        <v>0</v>
      </c>
      <c r="AW1185" s="46">
        <v>0</v>
      </c>
      <c r="AX1185" s="46">
        <v>0</v>
      </c>
      <c r="AY1185" s="46">
        <v>0</v>
      </c>
      <c r="AZ1185" s="46">
        <v>0</v>
      </c>
      <c r="BA1185" s="46">
        <v>0</v>
      </c>
      <c r="BB1185" s="46">
        <v>0</v>
      </c>
      <c r="BC1185" s="46">
        <v>0</v>
      </c>
      <c r="BD1185" s="46">
        <v>0</v>
      </c>
      <c r="BE1185" s="46">
        <v>0</v>
      </c>
      <c r="BF1185" s="46">
        <v>0</v>
      </c>
      <c r="BG1185" s="46" t="s">
        <v>48</v>
      </c>
      <c r="BH1185" s="46">
        <v>0</v>
      </c>
      <c r="BI1185" s="46">
        <v>0</v>
      </c>
      <c r="BJ1185" s="46">
        <v>0</v>
      </c>
      <c r="BK1185" s="46">
        <v>1</v>
      </c>
      <c r="BL1185" s="46">
        <v>0</v>
      </c>
      <c r="BM1185" s="46">
        <v>0</v>
      </c>
      <c r="BN1185" s="46">
        <v>0</v>
      </c>
    </row>
    <row r="1186" spans="1:66" x14ac:dyDescent="0.35">
      <c r="A1186" t="s">
        <v>7633</v>
      </c>
      <c r="B1186" s="44" t="s">
        <v>48</v>
      </c>
      <c r="C1186" t="s">
        <v>2866</v>
      </c>
      <c r="D1186" t="s">
        <v>1252</v>
      </c>
      <c r="E1186" t="s">
        <v>7634</v>
      </c>
      <c r="F1186" t="s">
        <v>7617</v>
      </c>
      <c r="G1186" t="s">
        <v>74</v>
      </c>
      <c r="H1186">
        <v>0</v>
      </c>
      <c r="I1186" s="60" t="s">
        <v>51</v>
      </c>
      <c r="J1186" s="33" t="s">
        <v>45</v>
      </c>
      <c r="K1186" s="46">
        <v>0</v>
      </c>
      <c r="L1186">
        <v>38.9</v>
      </c>
      <c r="M1186" t="s">
        <v>48</v>
      </c>
      <c r="N1186" s="46">
        <v>1</v>
      </c>
      <c r="O1186" s="46">
        <v>0</v>
      </c>
      <c r="P1186" s="46">
        <v>0</v>
      </c>
      <c r="Q1186" t="s">
        <v>48</v>
      </c>
      <c r="R1186" t="s">
        <v>48</v>
      </c>
      <c r="S1186" t="s">
        <v>7635</v>
      </c>
      <c r="T1186" t="s">
        <v>48</v>
      </c>
      <c r="U1186" t="s">
        <v>7635</v>
      </c>
      <c r="V1186" s="47">
        <v>0</v>
      </c>
      <c r="W1186" t="s">
        <v>11317</v>
      </c>
      <c r="X1186" t="s">
        <v>48</v>
      </c>
      <c r="Y1186" t="s">
        <v>48</v>
      </c>
      <c r="Z1186">
        <v>0</v>
      </c>
      <c r="AA1186" t="s">
        <v>48</v>
      </c>
      <c r="AB1186" t="s">
        <v>48</v>
      </c>
      <c r="AC1186" t="s">
        <v>49</v>
      </c>
      <c r="AD1186" t="s">
        <v>93</v>
      </c>
      <c r="AE1186" t="s">
        <v>4532</v>
      </c>
      <c r="AF1186" t="s">
        <v>48</v>
      </c>
      <c r="AG1186" t="s">
        <v>48</v>
      </c>
      <c r="AH1186" t="s">
        <v>48</v>
      </c>
      <c r="AI1186" t="s">
        <v>48</v>
      </c>
      <c r="AJ1186" t="s">
        <v>48</v>
      </c>
      <c r="AK1186" t="s">
        <v>48</v>
      </c>
      <c r="AL1186" t="s">
        <v>48</v>
      </c>
      <c r="AM1186" t="s">
        <v>48</v>
      </c>
      <c r="AN1186" t="s">
        <v>48</v>
      </c>
      <c r="AO1186" t="s">
        <v>48</v>
      </c>
      <c r="AP1186" s="46">
        <v>0</v>
      </c>
      <c r="AQ1186" s="46">
        <v>0</v>
      </c>
      <c r="AR1186" s="46">
        <v>0</v>
      </c>
      <c r="AS1186" s="46">
        <v>0</v>
      </c>
      <c r="AT1186" s="46">
        <v>0</v>
      </c>
      <c r="AU1186" s="46">
        <v>0</v>
      </c>
      <c r="AV1186" s="46">
        <v>0</v>
      </c>
      <c r="AW1186" s="46">
        <v>0</v>
      </c>
      <c r="AX1186" s="46">
        <v>0</v>
      </c>
      <c r="AY1186" s="46">
        <v>0</v>
      </c>
      <c r="AZ1186" s="46">
        <v>0</v>
      </c>
      <c r="BA1186" s="46">
        <v>0</v>
      </c>
      <c r="BB1186" s="46">
        <v>0</v>
      </c>
      <c r="BC1186" s="46">
        <v>0</v>
      </c>
      <c r="BD1186" s="46">
        <v>0</v>
      </c>
      <c r="BE1186" s="46">
        <v>0</v>
      </c>
      <c r="BF1186" s="46">
        <v>0</v>
      </c>
      <c r="BG1186" s="46" t="s">
        <v>48</v>
      </c>
      <c r="BH1186" s="46">
        <v>0</v>
      </c>
      <c r="BI1186" s="46">
        <v>0</v>
      </c>
      <c r="BJ1186" s="46">
        <v>0</v>
      </c>
      <c r="BK1186" s="46">
        <v>0</v>
      </c>
      <c r="BL1186" s="46">
        <v>0</v>
      </c>
      <c r="BM1186" s="46">
        <v>0</v>
      </c>
      <c r="BN1186" s="46">
        <v>0</v>
      </c>
    </row>
    <row r="1187" spans="1:66" x14ac:dyDescent="0.35">
      <c r="A1187" t="s">
        <v>7636</v>
      </c>
      <c r="B1187" s="44" t="s">
        <v>48</v>
      </c>
      <c r="C1187" t="s">
        <v>12380</v>
      </c>
      <c r="D1187" t="s">
        <v>1272</v>
      </c>
      <c r="E1187" t="s">
        <v>7637</v>
      </c>
      <c r="F1187" t="s">
        <v>7617</v>
      </c>
      <c r="G1187" t="s">
        <v>47</v>
      </c>
      <c r="H1187">
        <v>0</v>
      </c>
      <c r="I1187" s="60" t="s">
        <v>51</v>
      </c>
      <c r="J1187" s="33" t="s">
        <v>45</v>
      </c>
      <c r="K1187" s="46">
        <v>0</v>
      </c>
      <c r="L1187">
        <v>100</v>
      </c>
      <c r="M1187" t="s">
        <v>48</v>
      </c>
      <c r="N1187" s="46">
        <v>1</v>
      </c>
      <c r="O1187" s="46">
        <v>0</v>
      </c>
      <c r="P1187" s="46">
        <v>0</v>
      </c>
      <c r="Q1187" t="s">
        <v>48</v>
      </c>
      <c r="R1187" t="s">
        <v>48</v>
      </c>
      <c r="S1187" t="s">
        <v>9797</v>
      </c>
      <c r="T1187" t="s">
        <v>48</v>
      </c>
      <c r="U1187" t="s">
        <v>9797</v>
      </c>
      <c r="V1187" s="47">
        <v>0</v>
      </c>
      <c r="W1187" t="s">
        <v>48</v>
      </c>
      <c r="X1187" t="s">
        <v>48</v>
      </c>
      <c r="Y1187" t="s">
        <v>48</v>
      </c>
      <c r="Z1187">
        <v>0</v>
      </c>
      <c r="AA1187" t="s">
        <v>48</v>
      </c>
      <c r="AB1187" t="s">
        <v>48</v>
      </c>
      <c r="AC1187" t="s">
        <v>49</v>
      </c>
      <c r="AD1187" t="s">
        <v>93</v>
      </c>
      <c r="AE1187" t="s">
        <v>4532</v>
      </c>
      <c r="AF1187" t="s">
        <v>48</v>
      </c>
      <c r="AG1187" t="s">
        <v>48</v>
      </c>
      <c r="AH1187" t="s">
        <v>93</v>
      </c>
      <c r="AI1187" t="s">
        <v>48</v>
      </c>
      <c r="AJ1187" t="s">
        <v>48</v>
      </c>
      <c r="AK1187" t="s">
        <v>48</v>
      </c>
      <c r="AL1187" t="s">
        <v>48</v>
      </c>
      <c r="AM1187" t="s">
        <v>48</v>
      </c>
      <c r="AN1187" t="s">
        <v>48</v>
      </c>
      <c r="AO1187" t="s">
        <v>48</v>
      </c>
      <c r="AP1187" s="46">
        <v>0</v>
      </c>
      <c r="AQ1187" s="46">
        <v>0</v>
      </c>
      <c r="AR1187" s="46">
        <v>0</v>
      </c>
      <c r="AS1187" s="46">
        <v>0</v>
      </c>
      <c r="AT1187" s="46">
        <v>0</v>
      </c>
      <c r="AU1187" s="46">
        <v>0</v>
      </c>
      <c r="AV1187" s="46">
        <v>0</v>
      </c>
      <c r="AW1187" s="46">
        <v>0</v>
      </c>
      <c r="AX1187" s="46">
        <v>0</v>
      </c>
      <c r="AY1187" s="46">
        <v>0</v>
      </c>
      <c r="AZ1187" s="46">
        <v>0</v>
      </c>
      <c r="BA1187" s="46">
        <v>0</v>
      </c>
      <c r="BB1187" s="46">
        <v>0</v>
      </c>
      <c r="BC1187" s="46">
        <v>1</v>
      </c>
      <c r="BD1187" s="46">
        <v>0</v>
      </c>
      <c r="BE1187" s="46">
        <v>1</v>
      </c>
      <c r="BF1187" s="46">
        <v>0</v>
      </c>
      <c r="BG1187" s="46">
        <v>1</v>
      </c>
      <c r="BH1187" s="46">
        <v>0</v>
      </c>
      <c r="BI1187" s="46">
        <v>0</v>
      </c>
      <c r="BJ1187" s="46">
        <v>0</v>
      </c>
      <c r="BK1187" s="46">
        <v>0</v>
      </c>
      <c r="BL1187" s="46">
        <v>0</v>
      </c>
      <c r="BM1187" s="46">
        <v>0</v>
      </c>
      <c r="BN1187" s="46">
        <v>1</v>
      </c>
    </row>
    <row r="1188" spans="1:66" x14ac:dyDescent="0.35">
      <c r="A1188" t="s">
        <v>7638</v>
      </c>
      <c r="B1188" s="44" t="s">
        <v>48</v>
      </c>
      <c r="C1188" t="s">
        <v>385</v>
      </c>
      <c r="D1188" t="s">
        <v>7643</v>
      </c>
      <c r="E1188" t="s">
        <v>7640</v>
      </c>
      <c r="F1188" t="s">
        <v>7639</v>
      </c>
      <c r="G1188" t="s">
        <v>74</v>
      </c>
      <c r="H1188">
        <v>0</v>
      </c>
      <c r="I1188" s="60" t="s">
        <v>51</v>
      </c>
      <c r="J1188" s="33" t="s">
        <v>45</v>
      </c>
      <c r="K1188" s="46">
        <v>1</v>
      </c>
      <c r="L1188">
        <v>100</v>
      </c>
      <c r="M1188" t="s">
        <v>48</v>
      </c>
      <c r="N1188" s="46">
        <v>1</v>
      </c>
      <c r="O1188" s="46">
        <v>0</v>
      </c>
      <c r="P1188" s="46">
        <v>0</v>
      </c>
      <c r="Q1188" t="s">
        <v>48</v>
      </c>
      <c r="R1188" t="s">
        <v>48</v>
      </c>
      <c r="S1188" t="s">
        <v>7641</v>
      </c>
      <c r="T1188" t="s">
        <v>7642</v>
      </c>
      <c r="U1188" t="s">
        <v>7641</v>
      </c>
      <c r="V1188" s="47">
        <v>0</v>
      </c>
      <c r="W1188" t="s">
        <v>48</v>
      </c>
      <c r="X1188" t="s">
        <v>48</v>
      </c>
      <c r="Y1188" t="s">
        <v>48</v>
      </c>
      <c r="Z1188">
        <v>0</v>
      </c>
      <c r="AA1188" t="s">
        <v>48</v>
      </c>
      <c r="AB1188">
        <v>2004</v>
      </c>
      <c r="AC1188" t="s">
        <v>63</v>
      </c>
      <c r="AD1188" t="s">
        <v>93</v>
      </c>
      <c r="AE1188" s="40" t="s">
        <v>2471</v>
      </c>
      <c r="AF1188" t="s">
        <v>11061</v>
      </c>
      <c r="AG1188" t="s">
        <v>151</v>
      </c>
      <c r="AH1188" t="s">
        <v>93</v>
      </c>
      <c r="AI1188">
        <v>20537</v>
      </c>
      <c r="AJ1188">
        <v>1951</v>
      </c>
      <c r="AK1188" t="s">
        <v>9422</v>
      </c>
      <c r="AL1188" t="s">
        <v>9423</v>
      </c>
      <c r="AM1188">
        <v>-0.52700000000000002</v>
      </c>
      <c r="AN1188">
        <v>-0.251</v>
      </c>
      <c r="AO1188">
        <v>-0.52700000000000002</v>
      </c>
      <c r="AP1188" s="46">
        <v>0</v>
      </c>
      <c r="AQ1188" s="46">
        <v>0</v>
      </c>
      <c r="AR1188" s="46">
        <v>0</v>
      </c>
      <c r="AS1188" s="46">
        <v>0</v>
      </c>
      <c r="AT1188" s="46">
        <v>1</v>
      </c>
      <c r="AU1188" s="46">
        <v>0</v>
      </c>
      <c r="AV1188" s="46">
        <v>0</v>
      </c>
      <c r="AW1188" s="46">
        <v>0</v>
      </c>
      <c r="AX1188" s="46">
        <v>0</v>
      </c>
      <c r="AY1188" s="46">
        <v>0</v>
      </c>
      <c r="AZ1188" s="46">
        <v>0</v>
      </c>
      <c r="BA1188" s="46">
        <v>0</v>
      </c>
      <c r="BB1188" s="46">
        <v>0</v>
      </c>
      <c r="BC1188" s="46">
        <v>0</v>
      </c>
      <c r="BD1188" s="46">
        <v>0</v>
      </c>
      <c r="BE1188" s="46">
        <v>0</v>
      </c>
      <c r="BF1188" s="46">
        <v>0</v>
      </c>
      <c r="BG1188" s="46" t="s">
        <v>48</v>
      </c>
      <c r="BH1188" s="46">
        <v>0</v>
      </c>
      <c r="BI1188" s="46">
        <v>0</v>
      </c>
      <c r="BJ1188" s="46">
        <v>0</v>
      </c>
      <c r="BK1188" s="46">
        <v>1</v>
      </c>
      <c r="BL1188" s="46">
        <v>0</v>
      </c>
      <c r="BM1188" s="46">
        <v>0</v>
      </c>
      <c r="BN1188" s="46">
        <v>0</v>
      </c>
    </row>
    <row r="1189" spans="1:66" x14ac:dyDescent="0.35">
      <c r="A1189" t="s">
        <v>10898</v>
      </c>
      <c r="B1189" t="s">
        <v>48</v>
      </c>
      <c r="C1189" t="s">
        <v>401</v>
      </c>
      <c r="D1189" t="s">
        <v>198</v>
      </c>
      <c r="E1189" t="s">
        <v>10899</v>
      </c>
      <c r="F1189" t="s">
        <v>7639</v>
      </c>
      <c r="G1189" t="s">
        <v>47</v>
      </c>
      <c r="H1189">
        <v>0</v>
      </c>
      <c r="I1189" s="61">
        <v>44789</v>
      </c>
      <c r="J1189" s="33" t="s">
        <v>45</v>
      </c>
      <c r="K1189" s="46">
        <v>0</v>
      </c>
      <c r="L1189">
        <v>74.8</v>
      </c>
      <c r="M1189" t="s">
        <v>48</v>
      </c>
      <c r="N1189" s="46">
        <v>1</v>
      </c>
      <c r="O1189" s="46">
        <v>0</v>
      </c>
      <c r="P1189" s="46">
        <v>0</v>
      </c>
      <c r="Q1189" t="s">
        <v>48</v>
      </c>
      <c r="R1189" t="s">
        <v>48</v>
      </c>
      <c r="S1189" t="s">
        <v>48</v>
      </c>
      <c r="T1189" t="s">
        <v>48</v>
      </c>
      <c r="U1189" t="s">
        <v>48</v>
      </c>
      <c r="V1189" s="47">
        <v>1</v>
      </c>
      <c r="W1189" t="s">
        <v>11264</v>
      </c>
      <c r="X1189" t="s">
        <v>48</v>
      </c>
      <c r="Y1189" t="s">
        <v>48</v>
      </c>
      <c r="Z1189">
        <v>0</v>
      </c>
      <c r="AA1189" t="s">
        <v>48</v>
      </c>
      <c r="AB1189" t="s">
        <v>48</v>
      </c>
      <c r="AC1189" t="s">
        <v>49</v>
      </c>
      <c r="AD1189" t="s">
        <v>93</v>
      </c>
      <c r="AE1189" t="s">
        <v>2471</v>
      </c>
      <c r="AF1189" t="s">
        <v>48</v>
      </c>
      <c r="AG1189" t="s">
        <v>48</v>
      </c>
      <c r="AH1189" t="s">
        <v>48</v>
      </c>
      <c r="AI1189" t="s">
        <v>48</v>
      </c>
      <c r="AJ1189" t="s">
        <v>48</v>
      </c>
      <c r="AK1189" t="s">
        <v>48</v>
      </c>
      <c r="AL1189" t="s">
        <v>48</v>
      </c>
      <c r="AM1189" t="s">
        <v>48</v>
      </c>
      <c r="AN1189" t="s">
        <v>48</v>
      </c>
      <c r="AO1189" t="s">
        <v>48</v>
      </c>
      <c r="AP1189" s="46">
        <v>0</v>
      </c>
      <c r="AQ1189" s="46">
        <v>0</v>
      </c>
      <c r="AR1189" s="46">
        <v>0</v>
      </c>
      <c r="AS1189" s="46">
        <v>0</v>
      </c>
      <c r="AT1189" s="46">
        <v>0</v>
      </c>
      <c r="AU1189" s="46">
        <v>0</v>
      </c>
      <c r="AV1189" s="46">
        <v>0</v>
      </c>
      <c r="AW1189" s="46">
        <v>0</v>
      </c>
      <c r="AX1189" s="46">
        <v>0</v>
      </c>
      <c r="AY1189" s="46">
        <v>0</v>
      </c>
      <c r="AZ1189" s="46">
        <v>0</v>
      </c>
      <c r="BA1189" s="46">
        <v>0</v>
      </c>
      <c r="BB1189" s="46">
        <v>0</v>
      </c>
      <c r="BC1189" s="46">
        <v>0</v>
      </c>
      <c r="BD1189" s="46">
        <v>0</v>
      </c>
      <c r="BE1189" s="46">
        <v>0</v>
      </c>
      <c r="BF1189" s="46">
        <v>0</v>
      </c>
      <c r="BG1189" s="46" t="s">
        <v>48</v>
      </c>
      <c r="BH1189" s="46">
        <v>0</v>
      </c>
      <c r="BI1189" s="46">
        <v>0</v>
      </c>
      <c r="BJ1189" s="46">
        <v>0</v>
      </c>
      <c r="BK1189" s="46">
        <v>0</v>
      </c>
      <c r="BL1189" s="46">
        <v>0</v>
      </c>
      <c r="BM1189" s="46">
        <v>0</v>
      </c>
      <c r="BN1189" s="46">
        <v>0</v>
      </c>
    </row>
    <row r="1190" spans="1:66" x14ac:dyDescent="0.35">
      <c r="A1190" t="s">
        <v>7649</v>
      </c>
      <c r="B1190" s="44" t="s">
        <v>48</v>
      </c>
      <c r="C1190" t="s">
        <v>12381</v>
      </c>
      <c r="D1190" t="s">
        <v>288</v>
      </c>
      <c r="E1190" t="s">
        <v>7650</v>
      </c>
      <c r="F1190" t="s">
        <v>7645</v>
      </c>
      <c r="G1190" t="s">
        <v>74</v>
      </c>
      <c r="H1190">
        <v>0</v>
      </c>
      <c r="I1190" s="60" t="s">
        <v>51</v>
      </c>
      <c r="J1190" s="33" t="s">
        <v>45</v>
      </c>
      <c r="K1190" s="46">
        <v>0</v>
      </c>
      <c r="L1190">
        <v>100</v>
      </c>
      <c r="M1190" t="s">
        <v>48</v>
      </c>
      <c r="N1190" s="46">
        <v>1</v>
      </c>
      <c r="O1190" s="46">
        <v>0</v>
      </c>
      <c r="P1190" s="46">
        <v>0</v>
      </c>
      <c r="Q1190" t="s">
        <v>48</v>
      </c>
      <c r="R1190" t="s">
        <v>48</v>
      </c>
      <c r="S1190" t="s">
        <v>7651</v>
      </c>
      <c r="T1190" t="s">
        <v>48</v>
      </c>
      <c r="U1190" t="s">
        <v>7651</v>
      </c>
      <c r="V1190" s="47">
        <v>0</v>
      </c>
      <c r="W1190" t="s">
        <v>48</v>
      </c>
      <c r="X1190" t="s">
        <v>48</v>
      </c>
      <c r="Y1190" t="s">
        <v>48</v>
      </c>
      <c r="Z1190">
        <v>0</v>
      </c>
      <c r="AA1190" t="s">
        <v>48</v>
      </c>
      <c r="AB1190" t="s">
        <v>48</v>
      </c>
      <c r="AC1190" t="s">
        <v>49</v>
      </c>
      <c r="AD1190" t="s">
        <v>93</v>
      </c>
      <c r="AE1190" t="s">
        <v>4532</v>
      </c>
      <c r="AF1190" t="s">
        <v>48</v>
      </c>
      <c r="AG1190" t="s">
        <v>48</v>
      </c>
      <c r="AH1190" t="s">
        <v>93</v>
      </c>
      <c r="AI1190" t="s">
        <v>48</v>
      </c>
      <c r="AJ1190" t="s">
        <v>48</v>
      </c>
      <c r="AK1190" t="s">
        <v>48</v>
      </c>
      <c r="AL1190" t="s">
        <v>48</v>
      </c>
      <c r="AM1190" t="s">
        <v>48</v>
      </c>
      <c r="AN1190" t="s">
        <v>48</v>
      </c>
      <c r="AO1190" t="s">
        <v>48</v>
      </c>
      <c r="AP1190" s="46">
        <v>0</v>
      </c>
      <c r="AQ1190" s="46">
        <v>0</v>
      </c>
      <c r="AR1190" s="46">
        <v>0</v>
      </c>
      <c r="AS1190" s="46">
        <v>0</v>
      </c>
      <c r="AT1190" s="46">
        <v>0</v>
      </c>
      <c r="AU1190" s="46">
        <v>0</v>
      </c>
      <c r="AV1190" s="46">
        <v>0</v>
      </c>
      <c r="AW1190" s="46">
        <v>0</v>
      </c>
      <c r="AX1190" s="46">
        <v>0</v>
      </c>
      <c r="AY1190" s="46">
        <v>0</v>
      </c>
      <c r="AZ1190" s="46">
        <v>0</v>
      </c>
      <c r="BA1190" s="46">
        <v>0</v>
      </c>
      <c r="BB1190" s="46">
        <v>0</v>
      </c>
      <c r="BC1190" s="46">
        <v>0</v>
      </c>
      <c r="BD1190" s="46">
        <v>0</v>
      </c>
      <c r="BE1190" s="46">
        <v>0</v>
      </c>
      <c r="BF1190" s="46">
        <v>0</v>
      </c>
      <c r="BG1190" s="46" t="s">
        <v>48</v>
      </c>
      <c r="BH1190" s="46">
        <v>0</v>
      </c>
      <c r="BI1190" s="46">
        <v>0</v>
      </c>
      <c r="BJ1190" s="46">
        <v>0</v>
      </c>
      <c r="BK1190" s="46">
        <v>0</v>
      </c>
      <c r="BL1190" s="46">
        <v>0</v>
      </c>
      <c r="BM1190" s="46">
        <v>0</v>
      </c>
      <c r="BN1190" s="46">
        <v>0</v>
      </c>
    </row>
    <row r="1191" spans="1:66" x14ac:dyDescent="0.35">
      <c r="A1191" t="s">
        <v>7644</v>
      </c>
      <c r="B1191" s="44" t="s">
        <v>48</v>
      </c>
      <c r="C1191" t="s">
        <v>5181</v>
      </c>
      <c r="D1191" t="s">
        <v>885</v>
      </c>
      <c r="E1191" t="s">
        <v>7646</v>
      </c>
      <c r="F1191" t="s">
        <v>7645</v>
      </c>
      <c r="G1191" t="s">
        <v>47</v>
      </c>
      <c r="H1191">
        <v>0</v>
      </c>
      <c r="I1191" s="60" t="s">
        <v>51</v>
      </c>
      <c r="J1191" s="33" t="s">
        <v>45</v>
      </c>
      <c r="K1191" s="46">
        <v>1</v>
      </c>
      <c r="L1191">
        <v>100</v>
      </c>
      <c r="M1191" t="s">
        <v>48</v>
      </c>
      <c r="N1191" s="46">
        <v>1</v>
      </c>
      <c r="O1191" s="46">
        <v>0</v>
      </c>
      <c r="P1191" s="46">
        <v>0</v>
      </c>
      <c r="Q1191" t="s">
        <v>48</v>
      </c>
      <c r="R1191" t="s">
        <v>48</v>
      </c>
      <c r="S1191" t="s">
        <v>7647</v>
      </c>
      <c r="T1191" t="s">
        <v>7648</v>
      </c>
      <c r="U1191" t="s">
        <v>7647</v>
      </c>
      <c r="V1191" s="47">
        <v>0</v>
      </c>
      <c r="W1191" t="s">
        <v>48</v>
      </c>
      <c r="X1191" t="s">
        <v>48</v>
      </c>
      <c r="Y1191" t="s">
        <v>48</v>
      </c>
      <c r="Z1191">
        <v>1</v>
      </c>
      <c r="AA1191" t="s">
        <v>48</v>
      </c>
      <c r="AB1191">
        <v>2020</v>
      </c>
      <c r="AC1191" t="s">
        <v>49</v>
      </c>
      <c r="AD1191" t="s">
        <v>93</v>
      </c>
      <c r="AE1191" t="s">
        <v>4532</v>
      </c>
      <c r="AF1191" t="s">
        <v>48</v>
      </c>
      <c r="AG1191" t="s">
        <v>48</v>
      </c>
      <c r="AH1191" t="s">
        <v>93</v>
      </c>
      <c r="AI1191">
        <v>22115</v>
      </c>
      <c r="AJ1191">
        <v>1963</v>
      </c>
      <c r="AK1191" t="s">
        <v>9424</v>
      </c>
      <c r="AL1191" t="s">
        <v>9425</v>
      </c>
      <c r="AM1191">
        <v>0.64300000000000002</v>
      </c>
      <c r="AN1191">
        <v>0.45600000000000002</v>
      </c>
      <c r="AO1191">
        <v>0.64300000000000002</v>
      </c>
      <c r="AP1191" s="46">
        <v>0</v>
      </c>
      <c r="AQ1191" s="46">
        <v>0</v>
      </c>
      <c r="AR1191" s="46">
        <v>0</v>
      </c>
      <c r="AS1191" s="46">
        <v>0</v>
      </c>
      <c r="AT1191" s="46">
        <v>0</v>
      </c>
      <c r="AU1191" s="46">
        <v>0</v>
      </c>
      <c r="AV1191" s="46">
        <v>0</v>
      </c>
      <c r="AW1191" s="46">
        <v>0</v>
      </c>
      <c r="AX1191" s="46">
        <v>0</v>
      </c>
      <c r="AY1191" s="46">
        <v>0</v>
      </c>
      <c r="AZ1191" s="46">
        <v>0</v>
      </c>
      <c r="BA1191" s="46">
        <v>0</v>
      </c>
      <c r="BB1191" s="46">
        <v>1</v>
      </c>
      <c r="BC1191" s="46">
        <v>0</v>
      </c>
      <c r="BD1191" s="46">
        <v>0</v>
      </c>
      <c r="BE1191" s="46">
        <v>0</v>
      </c>
      <c r="BF1191" s="46">
        <v>0</v>
      </c>
      <c r="BG1191" s="46">
        <v>1</v>
      </c>
      <c r="BH1191" s="46">
        <v>0</v>
      </c>
      <c r="BI1191" s="46">
        <v>0</v>
      </c>
      <c r="BJ1191" s="46">
        <v>0</v>
      </c>
      <c r="BK1191" s="46">
        <v>0</v>
      </c>
      <c r="BL1191" s="46">
        <v>0</v>
      </c>
      <c r="BM1191" s="46">
        <v>0</v>
      </c>
      <c r="BN1191" s="46">
        <v>1</v>
      </c>
    </row>
    <row r="1192" spans="1:66" x14ac:dyDescent="0.35">
      <c r="A1192" t="s">
        <v>7652</v>
      </c>
      <c r="B1192" s="44" t="s">
        <v>48</v>
      </c>
      <c r="C1192" t="s">
        <v>7657</v>
      </c>
      <c r="D1192" t="s">
        <v>171</v>
      </c>
      <c r="E1192" t="s">
        <v>7654</v>
      </c>
      <c r="F1192" t="s">
        <v>7653</v>
      </c>
      <c r="G1192" t="s">
        <v>47</v>
      </c>
      <c r="H1192">
        <v>0</v>
      </c>
      <c r="I1192" s="60" t="s">
        <v>51</v>
      </c>
      <c r="J1192" s="33" t="s">
        <v>45</v>
      </c>
      <c r="K1192" s="46">
        <v>1</v>
      </c>
      <c r="L1192">
        <v>82.5</v>
      </c>
      <c r="M1192" t="s">
        <v>48</v>
      </c>
      <c r="N1192" s="46">
        <v>1</v>
      </c>
      <c r="O1192" s="46">
        <v>0</v>
      </c>
      <c r="P1192" s="46">
        <v>0</v>
      </c>
      <c r="Q1192" t="s">
        <v>48</v>
      </c>
      <c r="R1192" t="s">
        <v>48</v>
      </c>
      <c r="S1192" t="s">
        <v>7655</v>
      </c>
      <c r="T1192" t="s">
        <v>7656</v>
      </c>
      <c r="U1192" t="s">
        <v>7655</v>
      </c>
      <c r="V1192" s="47">
        <v>0</v>
      </c>
      <c r="W1192" t="s">
        <v>48</v>
      </c>
      <c r="X1192" t="s">
        <v>48</v>
      </c>
      <c r="Y1192" t="s">
        <v>48</v>
      </c>
      <c r="Z1192">
        <v>0</v>
      </c>
      <c r="AA1192" t="s">
        <v>48</v>
      </c>
      <c r="AB1192">
        <v>2014</v>
      </c>
      <c r="AC1192" t="s">
        <v>49</v>
      </c>
      <c r="AD1192" t="s">
        <v>93</v>
      </c>
      <c r="AE1192" t="s">
        <v>4532</v>
      </c>
      <c r="AF1192" t="s">
        <v>48</v>
      </c>
      <c r="AG1192" t="s">
        <v>1105</v>
      </c>
      <c r="AH1192" t="s">
        <v>93</v>
      </c>
      <c r="AI1192">
        <v>21559</v>
      </c>
      <c r="AJ1192">
        <v>1955</v>
      </c>
      <c r="AK1192" t="s">
        <v>9426</v>
      </c>
      <c r="AL1192" t="s">
        <v>9427</v>
      </c>
      <c r="AM1192">
        <v>0.6</v>
      </c>
      <c r="AN1192">
        <v>-0.27400000000000002</v>
      </c>
      <c r="AO1192">
        <v>0.6</v>
      </c>
      <c r="AP1192" s="46">
        <v>0</v>
      </c>
      <c r="AQ1192" s="46">
        <v>0</v>
      </c>
      <c r="AR1192" s="46">
        <v>0</v>
      </c>
      <c r="AS1192" s="46">
        <v>0</v>
      </c>
      <c r="AT1192" s="46">
        <v>0</v>
      </c>
      <c r="AU1192" s="46">
        <v>0</v>
      </c>
      <c r="AV1192" s="46">
        <v>0</v>
      </c>
      <c r="AW1192" s="46">
        <v>0</v>
      </c>
      <c r="AX1192" s="46">
        <v>0</v>
      </c>
      <c r="AY1192" s="46">
        <v>0</v>
      </c>
      <c r="AZ1192" s="46">
        <v>0</v>
      </c>
      <c r="BA1192" s="46">
        <v>0</v>
      </c>
      <c r="BB1192" s="46">
        <v>1</v>
      </c>
      <c r="BC1192" s="46">
        <v>0</v>
      </c>
      <c r="BD1192" s="46">
        <v>0</v>
      </c>
      <c r="BE1192" s="46">
        <v>0</v>
      </c>
      <c r="BF1192" s="46">
        <v>0</v>
      </c>
      <c r="BG1192" s="46" t="s">
        <v>48</v>
      </c>
      <c r="BH1192" s="46">
        <v>0</v>
      </c>
      <c r="BI1192" s="46">
        <v>0</v>
      </c>
      <c r="BJ1192" s="46">
        <v>0</v>
      </c>
      <c r="BK1192" s="46">
        <v>0</v>
      </c>
      <c r="BL1192" s="46">
        <v>0</v>
      </c>
      <c r="BM1192" s="46">
        <v>0</v>
      </c>
      <c r="BN1192" s="46">
        <v>0</v>
      </c>
    </row>
    <row r="1193" spans="1:66" x14ac:dyDescent="0.35">
      <c r="A1193" t="s">
        <v>10902</v>
      </c>
      <c r="B1193" s="44" t="s">
        <v>48</v>
      </c>
      <c r="C1193" t="s">
        <v>12382</v>
      </c>
      <c r="D1193" t="s">
        <v>328</v>
      </c>
      <c r="E1193" t="s">
        <v>10903</v>
      </c>
      <c r="F1193" t="s">
        <v>7662</v>
      </c>
      <c r="G1193" t="s">
        <v>74</v>
      </c>
      <c r="H1193">
        <v>0</v>
      </c>
      <c r="I1193" s="61">
        <v>44789</v>
      </c>
      <c r="J1193" s="33" t="s">
        <v>45</v>
      </c>
      <c r="K1193" s="46">
        <v>0</v>
      </c>
      <c r="L1193">
        <v>100</v>
      </c>
      <c r="M1193" t="s">
        <v>48</v>
      </c>
      <c r="N1193" s="46">
        <v>1</v>
      </c>
      <c r="O1193" s="46">
        <v>0</v>
      </c>
      <c r="P1193" s="46">
        <v>0</v>
      </c>
      <c r="Q1193" t="s">
        <v>48</v>
      </c>
      <c r="R1193" t="s">
        <v>48</v>
      </c>
      <c r="S1193" t="s">
        <v>48</v>
      </c>
      <c r="T1193" t="s">
        <v>48</v>
      </c>
      <c r="U1193" t="s">
        <v>48</v>
      </c>
      <c r="V1193" s="47">
        <v>1</v>
      </c>
      <c r="W1193" t="s">
        <v>11264</v>
      </c>
      <c r="X1193" t="s">
        <v>48</v>
      </c>
      <c r="Y1193" t="s">
        <v>48</v>
      </c>
      <c r="Z1193">
        <v>0</v>
      </c>
      <c r="AA1193" t="s">
        <v>48</v>
      </c>
      <c r="AB1193" t="s">
        <v>48</v>
      </c>
      <c r="AC1193" t="s">
        <v>49</v>
      </c>
      <c r="AD1193" t="s">
        <v>93</v>
      </c>
      <c r="AE1193" t="s">
        <v>4532</v>
      </c>
      <c r="AF1193" t="s">
        <v>48</v>
      </c>
      <c r="AG1193" t="s">
        <v>48</v>
      </c>
      <c r="AH1193" t="s">
        <v>48</v>
      </c>
      <c r="AI1193" t="s">
        <v>48</v>
      </c>
      <c r="AJ1193" t="s">
        <v>48</v>
      </c>
      <c r="AK1193" t="s">
        <v>48</v>
      </c>
      <c r="AL1193" t="s">
        <v>48</v>
      </c>
      <c r="AM1193" t="s">
        <v>48</v>
      </c>
      <c r="AN1193" t="s">
        <v>48</v>
      </c>
      <c r="AO1193" t="s">
        <v>48</v>
      </c>
      <c r="AP1193" s="46">
        <v>0</v>
      </c>
      <c r="AQ1193" s="46">
        <v>0</v>
      </c>
      <c r="AR1193" s="46">
        <v>0</v>
      </c>
      <c r="AS1193" s="46">
        <v>0</v>
      </c>
      <c r="AT1193" s="46">
        <v>0</v>
      </c>
      <c r="AU1193" s="46">
        <v>0</v>
      </c>
      <c r="AV1193" s="46">
        <v>0</v>
      </c>
      <c r="AW1193" s="46">
        <v>0</v>
      </c>
      <c r="AX1193" s="46">
        <v>0</v>
      </c>
      <c r="AY1193" s="46">
        <v>0</v>
      </c>
      <c r="AZ1193" s="46">
        <v>0</v>
      </c>
      <c r="BA1193" s="46">
        <v>0</v>
      </c>
      <c r="BB1193" s="46">
        <v>0</v>
      </c>
      <c r="BC1193" s="46">
        <v>0</v>
      </c>
      <c r="BD1193" s="46">
        <v>0</v>
      </c>
      <c r="BE1193" s="46">
        <v>0</v>
      </c>
      <c r="BF1193" s="46">
        <v>0</v>
      </c>
      <c r="BG1193" s="46" t="s">
        <v>48</v>
      </c>
      <c r="BH1193" s="46">
        <v>0</v>
      </c>
      <c r="BI1193" s="46">
        <v>0</v>
      </c>
      <c r="BJ1193" s="46">
        <v>0</v>
      </c>
      <c r="BK1193" s="46">
        <v>0</v>
      </c>
      <c r="BL1193" s="46">
        <v>0</v>
      </c>
      <c r="BM1193" s="46">
        <v>0</v>
      </c>
      <c r="BN1193" s="46">
        <v>0</v>
      </c>
    </row>
    <row r="1194" spans="1:66" x14ac:dyDescent="0.35">
      <c r="A1194" t="s">
        <v>7663</v>
      </c>
      <c r="B1194" s="44" t="s">
        <v>48</v>
      </c>
      <c r="C1194" t="s">
        <v>7594</v>
      </c>
      <c r="D1194" t="s">
        <v>585</v>
      </c>
      <c r="E1194" t="s">
        <v>7664</v>
      </c>
      <c r="F1194" t="s">
        <v>7662</v>
      </c>
      <c r="G1194" t="s">
        <v>47</v>
      </c>
      <c r="H1194">
        <v>0</v>
      </c>
      <c r="I1194" s="60" t="s">
        <v>51</v>
      </c>
      <c r="J1194" s="33" t="s">
        <v>45</v>
      </c>
      <c r="K1194" s="46">
        <v>1</v>
      </c>
      <c r="L1194">
        <v>86.6</v>
      </c>
      <c r="M1194" t="s">
        <v>48</v>
      </c>
      <c r="N1194" s="46">
        <v>1</v>
      </c>
      <c r="O1194" s="46">
        <v>0</v>
      </c>
      <c r="P1194" s="46">
        <v>0</v>
      </c>
      <c r="Q1194" t="s">
        <v>48</v>
      </c>
      <c r="R1194" t="s">
        <v>48</v>
      </c>
      <c r="S1194" t="s">
        <v>7665</v>
      </c>
      <c r="T1194" t="s">
        <v>7666</v>
      </c>
      <c r="U1194" t="s">
        <v>7665</v>
      </c>
      <c r="V1194" s="47">
        <v>0</v>
      </c>
      <c r="W1194" t="s">
        <v>48</v>
      </c>
      <c r="X1194" t="s">
        <v>48</v>
      </c>
      <c r="Y1194" t="s">
        <v>48</v>
      </c>
      <c r="Z1194">
        <v>0</v>
      </c>
      <c r="AA1194" t="s">
        <v>48</v>
      </c>
      <c r="AB1194" t="s">
        <v>1168</v>
      </c>
      <c r="AC1194" t="s">
        <v>49</v>
      </c>
      <c r="AD1194" t="s">
        <v>93</v>
      </c>
      <c r="AE1194" t="s">
        <v>4532</v>
      </c>
      <c r="AF1194" t="s">
        <v>48</v>
      </c>
      <c r="AG1194" t="s">
        <v>266</v>
      </c>
      <c r="AH1194" t="s">
        <v>93</v>
      </c>
      <c r="AI1194">
        <v>21989</v>
      </c>
      <c r="AJ1194">
        <v>1957</v>
      </c>
      <c r="AK1194" t="s">
        <v>9428</v>
      </c>
      <c r="AL1194" t="s">
        <v>9429</v>
      </c>
      <c r="AM1194">
        <v>0.63200000000000001</v>
      </c>
      <c r="AN1194">
        <v>-0.188</v>
      </c>
      <c r="AO1194">
        <v>0.63200000000000001</v>
      </c>
      <c r="AP1194" s="46">
        <v>0</v>
      </c>
      <c r="AQ1194" s="46">
        <v>0</v>
      </c>
      <c r="AR1194" s="46">
        <v>0</v>
      </c>
      <c r="AS1194" s="46">
        <v>0</v>
      </c>
      <c r="AT1194" s="46">
        <v>0</v>
      </c>
      <c r="AU1194" s="46">
        <v>0</v>
      </c>
      <c r="AV1194" s="46">
        <v>0</v>
      </c>
      <c r="AW1194" s="46">
        <v>0</v>
      </c>
      <c r="AX1194" s="46">
        <v>0</v>
      </c>
      <c r="AY1194" s="46">
        <v>0</v>
      </c>
      <c r="AZ1194" s="46">
        <v>0</v>
      </c>
      <c r="BA1194" s="46">
        <v>0</v>
      </c>
      <c r="BB1194" s="46">
        <v>1</v>
      </c>
      <c r="BC1194" s="46">
        <v>0</v>
      </c>
      <c r="BD1194" s="46">
        <v>0</v>
      </c>
      <c r="BE1194" s="46">
        <v>0</v>
      </c>
      <c r="BF1194" s="46">
        <v>1</v>
      </c>
      <c r="BG1194" s="46">
        <v>1</v>
      </c>
      <c r="BH1194" s="46">
        <v>0</v>
      </c>
      <c r="BI1194" s="46">
        <v>0</v>
      </c>
      <c r="BJ1194" s="46">
        <v>0</v>
      </c>
      <c r="BK1194" s="46">
        <v>0</v>
      </c>
      <c r="BL1194" s="46">
        <v>0</v>
      </c>
      <c r="BM1194" s="46">
        <v>0</v>
      </c>
      <c r="BN1194" s="46">
        <v>1</v>
      </c>
    </row>
    <row r="1195" spans="1:66" x14ac:dyDescent="0.35">
      <c r="A1195" t="s">
        <v>7667</v>
      </c>
      <c r="B1195" t="s">
        <v>48</v>
      </c>
      <c r="C1195" t="s">
        <v>7672</v>
      </c>
      <c r="D1195" t="s">
        <v>288</v>
      </c>
      <c r="E1195" t="s">
        <v>7669</v>
      </c>
      <c r="F1195" t="s">
        <v>7668</v>
      </c>
      <c r="G1195" t="s">
        <v>47</v>
      </c>
      <c r="H1195">
        <v>0</v>
      </c>
      <c r="I1195" s="60" t="s">
        <v>51</v>
      </c>
      <c r="J1195" s="33" t="s">
        <v>45</v>
      </c>
      <c r="K1195" s="46">
        <v>1</v>
      </c>
      <c r="L1195">
        <v>84.6</v>
      </c>
      <c r="M1195" t="s">
        <v>48</v>
      </c>
      <c r="N1195" s="46">
        <v>1</v>
      </c>
      <c r="O1195" s="46">
        <v>0</v>
      </c>
      <c r="P1195" s="46">
        <v>0</v>
      </c>
      <c r="Q1195" t="s">
        <v>48</v>
      </c>
      <c r="R1195" t="s">
        <v>48</v>
      </c>
      <c r="S1195" t="s">
        <v>7670</v>
      </c>
      <c r="T1195" t="s">
        <v>7671</v>
      </c>
      <c r="U1195" t="s">
        <v>7670</v>
      </c>
      <c r="V1195" s="47">
        <v>0</v>
      </c>
      <c r="W1195" t="s">
        <v>48</v>
      </c>
      <c r="X1195" t="s">
        <v>48</v>
      </c>
      <c r="Y1195" t="s">
        <v>48</v>
      </c>
      <c r="Z1195">
        <v>0</v>
      </c>
      <c r="AA1195" t="s">
        <v>48</v>
      </c>
      <c r="AB1195">
        <v>2016</v>
      </c>
      <c r="AC1195" t="s">
        <v>49</v>
      </c>
      <c r="AD1195" t="s">
        <v>93</v>
      </c>
      <c r="AE1195" t="s">
        <v>4532</v>
      </c>
      <c r="AF1195" t="s">
        <v>48</v>
      </c>
      <c r="AG1195" t="s">
        <v>140</v>
      </c>
      <c r="AH1195" t="s">
        <v>93</v>
      </c>
      <c r="AI1195">
        <v>21720</v>
      </c>
      <c r="AJ1195">
        <v>1984</v>
      </c>
      <c r="AK1195" t="s">
        <v>9430</v>
      </c>
      <c r="AL1195" t="s">
        <v>9431</v>
      </c>
      <c r="AM1195">
        <v>0.441</v>
      </c>
      <c r="AN1195">
        <v>-0.04</v>
      </c>
      <c r="AO1195">
        <v>0.441</v>
      </c>
      <c r="AP1195" s="46">
        <v>0</v>
      </c>
      <c r="AQ1195" s="46">
        <v>0</v>
      </c>
      <c r="AR1195" s="46">
        <v>0</v>
      </c>
      <c r="AS1195" s="46">
        <v>0</v>
      </c>
      <c r="AT1195" s="46">
        <v>0</v>
      </c>
      <c r="AU1195" s="46">
        <v>0</v>
      </c>
      <c r="AV1195" s="46">
        <v>0</v>
      </c>
      <c r="AW1195" s="46">
        <v>0</v>
      </c>
      <c r="AX1195" s="46">
        <v>0</v>
      </c>
      <c r="AY1195" s="46">
        <v>1</v>
      </c>
      <c r="AZ1195" s="46">
        <v>1</v>
      </c>
      <c r="BA1195" s="46">
        <v>1</v>
      </c>
      <c r="BB1195" s="46">
        <v>1</v>
      </c>
      <c r="BC1195" s="46">
        <v>0</v>
      </c>
      <c r="BD1195" s="46">
        <v>0</v>
      </c>
      <c r="BE1195" s="46">
        <v>0</v>
      </c>
      <c r="BF1195" s="46">
        <v>0</v>
      </c>
      <c r="BG1195" s="46" t="s">
        <v>48</v>
      </c>
      <c r="BH1195" s="46">
        <v>0</v>
      </c>
      <c r="BI1195" s="46">
        <v>0</v>
      </c>
      <c r="BJ1195" s="46">
        <v>0</v>
      </c>
      <c r="BK1195" s="46">
        <v>0</v>
      </c>
      <c r="BL1195" s="46">
        <v>0</v>
      </c>
      <c r="BM1195" s="46">
        <v>1</v>
      </c>
      <c r="BN1195" s="46">
        <v>0</v>
      </c>
    </row>
    <row r="1196" spans="1:66" x14ac:dyDescent="0.35">
      <c r="A1196" t="s">
        <v>7755</v>
      </c>
      <c r="B1196" t="s">
        <v>48</v>
      </c>
      <c r="C1196" t="s">
        <v>2185</v>
      </c>
      <c r="D1196" t="s">
        <v>7758</v>
      </c>
      <c r="E1196" t="s">
        <v>7911</v>
      </c>
      <c r="F1196" t="s">
        <v>7713</v>
      </c>
      <c r="G1196" t="s">
        <v>47</v>
      </c>
      <c r="H1196">
        <v>0</v>
      </c>
      <c r="I1196" s="61">
        <v>44720</v>
      </c>
      <c r="J1196" s="33" t="s">
        <v>45</v>
      </c>
      <c r="K1196" s="46">
        <v>1</v>
      </c>
      <c r="L1196">
        <v>66.400000000000006</v>
      </c>
      <c r="M1196" t="s">
        <v>48</v>
      </c>
      <c r="N1196" s="46">
        <v>1</v>
      </c>
      <c r="O1196" s="46">
        <v>0</v>
      </c>
      <c r="P1196" s="46">
        <v>0</v>
      </c>
      <c r="Q1196" t="s">
        <v>48</v>
      </c>
      <c r="R1196" t="s">
        <v>48</v>
      </c>
      <c r="S1196" t="s">
        <v>7756</v>
      </c>
      <c r="T1196" t="s">
        <v>7757</v>
      </c>
      <c r="U1196" t="s">
        <v>7756</v>
      </c>
      <c r="V1196" s="47">
        <v>0</v>
      </c>
      <c r="W1196" t="s">
        <v>48</v>
      </c>
      <c r="X1196" t="s">
        <v>48</v>
      </c>
      <c r="Y1196" t="s">
        <v>48</v>
      </c>
      <c r="Z1196">
        <v>0</v>
      </c>
      <c r="AA1196" t="s">
        <v>48</v>
      </c>
      <c r="AB1196">
        <v>2018</v>
      </c>
      <c r="AC1196" t="s">
        <v>63</v>
      </c>
      <c r="AD1196" t="s">
        <v>93</v>
      </c>
      <c r="AE1196" t="s">
        <v>4532</v>
      </c>
      <c r="AF1196" t="s">
        <v>48</v>
      </c>
      <c r="AG1196" t="s">
        <v>151</v>
      </c>
      <c r="AH1196" t="s">
        <v>93</v>
      </c>
      <c r="AI1196">
        <v>21946</v>
      </c>
      <c r="AJ1196">
        <v>1950</v>
      </c>
      <c r="AK1196" t="s">
        <v>9436</v>
      </c>
      <c r="AL1196" t="s">
        <v>9437</v>
      </c>
      <c r="AM1196">
        <v>0.47699999999999998</v>
      </c>
      <c r="AN1196">
        <v>0.33400000000000002</v>
      </c>
      <c r="AO1196">
        <v>0.47699999999999998</v>
      </c>
      <c r="AP1196" s="46">
        <v>0</v>
      </c>
      <c r="AQ1196" s="46">
        <v>0</v>
      </c>
      <c r="AR1196" s="46">
        <v>0</v>
      </c>
      <c r="AS1196" s="46">
        <v>0</v>
      </c>
      <c r="AT1196" s="46">
        <v>0</v>
      </c>
      <c r="AU1196" s="46">
        <v>0</v>
      </c>
      <c r="AV1196" s="46">
        <v>0</v>
      </c>
      <c r="AW1196" s="46">
        <v>0</v>
      </c>
      <c r="AX1196" s="46">
        <v>0</v>
      </c>
      <c r="AY1196" s="46">
        <v>0</v>
      </c>
      <c r="AZ1196" s="46">
        <v>1</v>
      </c>
      <c r="BA1196" s="46">
        <v>0</v>
      </c>
      <c r="BB1196" s="46">
        <v>0</v>
      </c>
      <c r="BC1196" s="46">
        <v>0</v>
      </c>
      <c r="BD1196" s="46">
        <v>0</v>
      </c>
      <c r="BE1196" s="46">
        <v>0</v>
      </c>
      <c r="BF1196" s="46">
        <v>0</v>
      </c>
      <c r="BG1196" s="46">
        <v>1</v>
      </c>
      <c r="BH1196" s="46">
        <v>0</v>
      </c>
      <c r="BI1196" s="46">
        <v>0</v>
      </c>
      <c r="BJ1196" s="46">
        <v>0</v>
      </c>
      <c r="BK1196" s="46">
        <v>0</v>
      </c>
      <c r="BL1196" s="46">
        <v>0</v>
      </c>
      <c r="BM1196" s="46">
        <v>0</v>
      </c>
      <c r="BN1196" s="46">
        <v>0</v>
      </c>
    </row>
    <row r="1197" spans="1:66" x14ac:dyDescent="0.35">
      <c r="A1197" t="s">
        <v>11580</v>
      </c>
      <c r="B1197" s="44" t="s">
        <v>48</v>
      </c>
      <c r="C1197" t="s">
        <v>2197</v>
      </c>
      <c r="D1197" t="s">
        <v>12387</v>
      </c>
      <c r="E1197" s="71" t="s">
        <v>11581</v>
      </c>
      <c r="F1197" t="s">
        <v>7713</v>
      </c>
      <c r="G1197" t="s">
        <v>74</v>
      </c>
      <c r="H1197">
        <v>0</v>
      </c>
      <c r="I1197" s="60" t="s">
        <v>125</v>
      </c>
      <c r="J1197" s="33" t="s">
        <v>45</v>
      </c>
      <c r="K1197" s="46">
        <v>0</v>
      </c>
      <c r="L1197">
        <v>100</v>
      </c>
      <c r="M1197" t="s">
        <v>48</v>
      </c>
      <c r="N1197" s="46">
        <v>1</v>
      </c>
      <c r="O1197" s="46">
        <v>0</v>
      </c>
      <c r="P1197" s="46">
        <v>0</v>
      </c>
      <c r="Q1197" t="s">
        <v>48</v>
      </c>
      <c r="R1197" t="s">
        <v>48</v>
      </c>
      <c r="S1197" t="s">
        <v>7733</v>
      </c>
      <c r="T1197" t="s">
        <v>48</v>
      </c>
      <c r="U1197" t="s">
        <v>7733</v>
      </c>
      <c r="V1197" s="47">
        <v>0</v>
      </c>
      <c r="W1197" t="s">
        <v>48</v>
      </c>
      <c r="X1197" t="s">
        <v>48</v>
      </c>
      <c r="Y1197" t="s">
        <v>48</v>
      </c>
      <c r="Z1197">
        <v>0</v>
      </c>
      <c r="AA1197" t="s">
        <v>11582</v>
      </c>
      <c r="AB1197" t="s">
        <v>48</v>
      </c>
      <c r="AC1197" t="s">
        <v>49</v>
      </c>
      <c r="AD1197" t="s">
        <v>93</v>
      </c>
      <c r="AE1197" s="40" t="s">
        <v>2471</v>
      </c>
      <c r="AF1197" t="s">
        <v>11061</v>
      </c>
      <c r="AG1197" t="s">
        <v>48</v>
      </c>
      <c r="AH1197" t="s">
        <v>48</v>
      </c>
      <c r="AI1197" t="s">
        <v>48</v>
      </c>
      <c r="AJ1197" t="s">
        <v>48</v>
      </c>
      <c r="AK1197" t="s">
        <v>48</v>
      </c>
      <c r="AL1197" t="s">
        <v>48</v>
      </c>
      <c r="AM1197" t="s">
        <v>48</v>
      </c>
      <c r="AN1197" t="s">
        <v>48</v>
      </c>
      <c r="AO1197" t="s">
        <v>48</v>
      </c>
      <c r="AP1197" s="46">
        <v>0</v>
      </c>
      <c r="AQ1197" s="46">
        <v>0</v>
      </c>
      <c r="AR1197" s="46">
        <v>0</v>
      </c>
      <c r="AS1197" s="46">
        <v>0</v>
      </c>
      <c r="AT1197" s="46">
        <v>0</v>
      </c>
      <c r="AU1197" s="46">
        <v>0</v>
      </c>
      <c r="AV1197" s="46">
        <v>0</v>
      </c>
      <c r="AW1197" s="46">
        <v>0</v>
      </c>
      <c r="AX1197" s="46">
        <v>0</v>
      </c>
      <c r="AY1197" s="46">
        <v>0</v>
      </c>
      <c r="AZ1197" s="46">
        <v>0</v>
      </c>
      <c r="BA1197" s="46">
        <v>0</v>
      </c>
      <c r="BB1197" s="46">
        <v>0</v>
      </c>
      <c r="BC1197" s="46">
        <v>0</v>
      </c>
      <c r="BD1197" s="46">
        <v>0</v>
      </c>
      <c r="BE1197" s="46">
        <v>0</v>
      </c>
      <c r="BF1197" s="46">
        <v>0</v>
      </c>
      <c r="BG1197" s="46" t="s">
        <v>48</v>
      </c>
      <c r="BH1197" s="46">
        <v>0</v>
      </c>
      <c r="BI1197" s="46">
        <v>0</v>
      </c>
      <c r="BJ1197" s="46">
        <v>0</v>
      </c>
      <c r="BK1197" s="46">
        <v>0</v>
      </c>
      <c r="BL1197" s="46">
        <v>0</v>
      </c>
      <c r="BM1197" s="46">
        <v>0</v>
      </c>
      <c r="BN1197" s="46">
        <v>0</v>
      </c>
    </row>
    <row r="1198" spans="1:66" x14ac:dyDescent="0.35">
      <c r="A1198" t="s">
        <v>7742</v>
      </c>
      <c r="B1198" s="44" t="s">
        <v>48</v>
      </c>
      <c r="C1198" t="s">
        <v>7746</v>
      </c>
      <c r="D1198" t="s">
        <v>731</v>
      </c>
      <c r="E1198" t="s">
        <v>7743</v>
      </c>
      <c r="F1198" t="s">
        <v>7735</v>
      </c>
      <c r="G1198" t="s">
        <v>47</v>
      </c>
      <c r="H1198">
        <v>0</v>
      </c>
      <c r="I1198" s="60" t="s">
        <v>51</v>
      </c>
      <c r="J1198" s="33" t="s">
        <v>45</v>
      </c>
      <c r="K1198" s="46">
        <v>1</v>
      </c>
      <c r="L1198">
        <v>54.2</v>
      </c>
      <c r="M1198" t="s">
        <v>48</v>
      </c>
      <c r="N1198" s="46">
        <v>1</v>
      </c>
      <c r="O1198" s="46">
        <v>0</v>
      </c>
      <c r="P1198" s="46">
        <v>0</v>
      </c>
      <c r="Q1198" t="s">
        <v>48</v>
      </c>
      <c r="R1198" t="s">
        <v>48</v>
      </c>
      <c r="S1198" t="s">
        <v>7744</v>
      </c>
      <c r="T1198" t="s">
        <v>7745</v>
      </c>
      <c r="U1198" t="s">
        <v>7744</v>
      </c>
      <c r="V1198" s="47">
        <v>0</v>
      </c>
      <c r="W1198" t="s">
        <v>48</v>
      </c>
      <c r="X1198" t="s">
        <v>48</v>
      </c>
      <c r="Y1198" t="s">
        <v>48</v>
      </c>
      <c r="Z1198">
        <v>0</v>
      </c>
      <c r="AA1198" t="s">
        <v>48</v>
      </c>
      <c r="AB1198">
        <v>2014</v>
      </c>
      <c r="AC1198" t="s">
        <v>49</v>
      </c>
      <c r="AD1198" t="s">
        <v>951</v>
      </c>
      <c r="AE1198" s="40" t="s">
        <v>11051</v>
      </c>
      <c r="AF1198" t="s">
        <v>11063</v>
      </c>
      <c r="AG1198" t="s">
        <v>140</v>
      </c>
      <c r="AH1198" t="s">
        <v>93</v>
      </c>
      <c r="AI1198">
        <v>21557</v>
      </c>
      <c r="AJ1198">
        <v>1971</v>
      </c>
      <c r="AK1198" t="s">
        <v>9434</v>
      </c>
      <c r="AL1198" t="s">
        <v>9435</v>
      </c>
      <c r="AM1198">
        <v>0.56100000000000005</v>
      </c>
      <c r="AN1198">
        <v>-0.223</v>
      </c>
      <c r="AO1198">
        <v>0.56100000000000005</v>
      </c>
      <c r="AP1198" s="46">
        <v>0</v>
      </c>
      <c r="AQ1198" s="46">
        <v>0</v>
      </c>
      <c r="AR1198" s="46">
        <v>0</v>
      </c>
      <c r="AS1198" s="46">
        <v>0</v>
      </c>
      <c r="AT1198" s="46">
        <v>0</v>
      </c>
      <c r="AU1198" s="46">
        <v>0</v>
      </c>
      <c r="AV1198" s="46">
        <v>0</v>
      </c>
      <c r="AW1198" s="46">
        <v>0</v>
      </c>
      <c r="AX1198" s="46">
        <v>0</v>
      </c>
      <c r="AY1198" s="46">
        <v>0</v>
      </c>
      <c r="AZ1198" s="46">
        <v>0</v>
      </c>
      <c r="BA1198" s="46">
        <v>0</v>
      </c>
      <c r="BB1198" s="46">
        <v>1</v>
      </c>
      <c r="BC1198" s="46">
        <v>0</v>
      </c>
      <c r="BD1198" s="46">
        <v>1</v>
      </c>
      <c r="BE1198" s="46">
        <v>0</v>
      </c>
      <c r="BF1198" s="46">
        <v>1</v>
      </c>
      <c r="BG1198" s="46">
        <v>1</v>
      </c>
      <c r="BH1198" s="46">
        <v>0</v>
      </c>
      <c r="BI1198" s="46">
        <v>0</v>
      </c>
      <c r="BJ1198" s="46">
        <v>0</v>
      </c>
      <c r="BK1198" s="46">
        <v>0</v>
      </c>
      <c r="BL1198" s="46">
        <v>0</v>
      </c>
      <c r="BM1198" s="46">
        <v>0</v>
      </c>
      <c r="BN1198" s="46">
        <v>0</v>
      </c>
    </row>
    <row r="1199" spans="1:66" x14ac:dyDescent="0.35">
      <c r="A1199" t="s">
        <v>7751</v>
      </c>
      <c r="B1199" s="44" t="s">
        <v>48</v>
      </c>
      <c r="C1199" t="s">
        <v>7754</v>
      </c>
      <c r="D1199" t="s">
        <v>384</v>
      </c>
      <c r="E1199" t="s">
        <v>7752</v>
      </c>
      <c r="F1199" t="s">
        <v>7735</v>
      </c>
      <c r="G1199" t="s">
        <v>74</v>
      </c>
      <c r="H1199">
        <v>0</v>
      </c>
      <c r="I1199" s="60" t="s">
        <v>125</v>
      </c>
      <c r="J1199" s="33" t="s">
        <v>45</v>
      </c>
      <c r="K1199" s="46">
        <v>0</v>
      </c>
      <c r="L1199">
        <v>57.2</v>
      </c>
      <c r="M1199" t="s">
        <v>48</v>
      </c>
      <c r="N1199" s="46">
        <v>1</v>
      </c>
      <c r="O1199" s="46">
        <v>0</v>
      </c>
      <c r="P1199" s="46">
        <v>0</v>
      </c>
      <c r="Q1199" t="s">
        <v>48</v>
      </c>
      <c r="R1199" t="s">
        <v>48</v>
      </c>
      <c r="S1199" t="s">
        <v>7753</v>
      </c>
      <c r="T1199" t="s">
        <v>48</v>
      </c>
      <c r="U1199" t="s">
        <v>7753</v>
      </c>
      <c r="V1199" s="47">
        <v>0</v>
      </c>
      <c r="W1199" t="s">
        <v>48</v>
      </c>
      <c r="X1199" t="s">
        <v>48</v>
      </c>
      <c r="Y1199" t="s">
        <v>48</v>
      </c>
      <c r="Z1199">
        <v>0</v>
      </c>
      <c r="AA1199" t="s">
        <v>48</v>
      </c>
      <c r="AB1199" t="s">
        <v>48</v>
      </c>
      <c r="AC1199" t="s">
        <v>49</v>
      </c>
      <c r="AD1199" t="s">
        <v>93</v>
      </c>
      <c r="AE1199" t="s">
        <v>4532</v>
      </c>
      <c r="AF1199" t="s">
        <v>48</v>
      </c>
      <c r="AG1199" t="s">
        <v>633</v>
      </c>
      <c r="AH1199" t="s">
        <v>426</v>
      </c>
      <c r="AI1199" t="s">
        <v>48</v>
      </c>
      <c r="AJ1199" t="s">
        <v>48</v>
      </c>
      <c r="AK1199" t="s">
        <v>48</v>
      </c>
      <c r="AL1199" t="s">
        <v>48</v>
      </c>
      <c r="AM1199" t="s">
        <v>48</v>
      </c>
      <c r="AN1199" t="s">
        <v>48</v>
      </c>
      <c r="AO1199" t="s">
        <v>48</v>
      </c>
      <c r="AP1199" s="46">
        <v>0</v>
      </c>
      <c r="AQ1199" s="46">
        <v>0</v>
      </c>
      <c r="AR1199" s="46">
        <v>0</v>
      </c>
      <c r="AS1199" s="46">
        <v>0</v>
      </c>
      <c r="AT1199" s="46">
        <v>0</v>
      </c>
      <c r="AU1199" s="46">
        <v>0</v>
      </c>
      <c r="AV1199" s="46">
        <v>0</v>
      </c>
      <c r="AW1199" s="46">
        <v>0</v>
      </c>
      <c r="AX1199" s="46">
        <v>0</v>
      </c>
      <c r="AY1199" s="46">
        <v>0</v>
      </c>
      <c r="AZ1199" s="46">
        <v>0</v>
      </c>
      <c r="BA1199" s="46">
        <v>0</v>
      </c>
      <c r="BB1199" s="46">
        <v>0</v>
      </c>
      <c r="BC1199" s="46">
        <v>0</v>
      </c>
      <c r="BD1199" s="46">
        <v>0</v>
      </c>
      <c r="BE1199" s="46">
        <v>0</v>
      </c>
      <c r="BF1199" s="46">
        <v>0</v>
      </c>
      <c r="BG1199" s="46" t="s">
        <v>48</v>
      </c>
      <c r="BH1199" s="46">
        <v>0</v>
      </c>
      <c r="BI1199" s="46">
        <v>0</v>
      </c>
      <c r="BJ1199" s="46">
        <v>0</v>
      </c>
      <c r="BK1199" s="46">
        <v>0</v>
      </c>
      <c r="BL1199" s="46">
        <v>0</v>
      </c>
      <c r="BM1199" s="46">
        <v>0</v>
      </c>
      <c r="BN1199" s="46">
        <v>0</v>
      </c>
    </row>
    <row r="1200" spans="1:66" x14ac:dyDescent="0.35">
      <c r="A1200" s="44" t="s">
        <v>9793</v>
      </c>
      <c r="B1200" s="44" t="s">
        <v>48</v>
      </c>
      <c r="C1200" t="s">
        <v>12389</v>
      </c>
      <c r="D1200" t="s">
        <v>12390</v>
      </c>
      <c r="E1200" t="s">
        <v>9794</v>
      </c>
      <c r="F1200" t="s">
        <v>7773</v>
      </c>
      <c r="G1200" t="s">
        <v>47</v>
      </c>
      <c r="H1200">
        <v>0</v>
      </c>
      <c r="I1200" s="61">
        <v>44783</v>
      </c>
      <c r="J1200" s="33" t="s">
        <v>45</v>
      </c>
      <c r="K1200" s="46">
        <v>0</v>
      </c>
      <c r="L1200">
        <v>66.3</v>
      </c>
      <c r="M1200" t="s">
        <v>48</v>
      </c>
      <c r="N1200" s="46">
        <v>1</v>
      </c>
      <c r="O1200" s="46">
        <v>0</v>
      </c>
      <c r="P1200" s="46">
        <v>0</v>
      </c>
      <c r="Q1200" t="s">
        <v>48</v>
      </c>
      <c r="R1200" t="s">
        <v>48</v>
      </c>
      <c r="S1200" t="str">
        <f>"@HagemanforWY"</f>
        <v>@HagemanforWY</v>
      </c>
      <c r="T1200" t="s">
        <v>48</v>
      </c>
      <c r="U1200" t="str">
        <f>"@HagemanforWY"</f>
        <v>@HagemanforWY</v>
      </c>
      <c r="V1200" s="47">
        <v>0</v>
      </c>
      <c r="W1200" t="s">
        <v>48</v>
      </c>
      <c r="X1200" t="s">
        <v>48</v>
      </c>
      <c r="Y1200" t="s">
        <v>48</v>
      </c>
      <c r="Z1200" t="s">
        <v>48</v>
      </c>
      <c r="AA1200" t="s">
        <v>48</v>
      </c>
      <c r="AB1200" t="s">
        <v>48</v>
      </c>
      <c r="AC1200" t="s">
        <v>63</v>
      </c>
      <c r="AD1200" t="s">
        <v>93</v>
      </c>
      <c r="AE1200" t="s">
        <v>4532</v>
      </c>
      <c r="AF1200" t="s">
        <v>48</v>
      </c>
      <c r="AG1200" t="s">
        <v>48</v>
      </c>
      <c r="AH1200" t="s">
        <v>48</v>
      </c>
      <c r="AI1200" t="s">
        <v>48</v>
      </c>
      <c r="AJ1200" t="s">
        <v>48</v>
      </c>
      <c r="AK1200" t="s">
        <v>48</v>
      </c>
      <c r="AL1200" t="s">
        <v>48</v>
      </c>
      <c r="AM1200" t="s">
        <v>48</v>
      </c>
      <c r="AN1200" t="s">
        <v>48</v>
      </c>
      <c r="AO1200" t="s">
        <v>48</v>
      </c>
      <c r="AP1200" s="46">
        <v>0</v>
      </c>
      <c r="AQ1200" s="46">
        <v>0</v>
      </c>
      <c r="AR1200" s="46">
        <v>0</v>
      </c>
      <c r="AS1200" s="46">
        <v>0</v>
      </c>
      <c r="AT1200" s="46">
        <v>0</v>
      </c>
      <c r="AU1200" s="46">
        <v>0</v>
      </c>
      <c r="AV1200" s="46">
        <v>0</v>
      </c>
      <c r="AW1200" s="46">
        <v>0</v>
      </c>
      <c r="AX1200" s="46">
        <v>0</v>
      </c>
      <c r="AY1200" s="46">
        <v>0</v>
      </c>
      <c r="AZ1200" s="46">
        <v>0</v>
      </c>
      <c r="BA1200" s="46">
        <v>0</v>
      </c>
      <c r="BB1200" s="46">
        <v>0</v>
      </c>
      <c r="BC1200" s="46">
        <v>1</v>
      </c>
      <c r="BD1200" s="46">
        <v>1</v>
      </c>
      <c r="BE1200" s="46">
        <v>0</v>
      </c>
      <c r="BF1200" s="46">
        <v>0</v>
      </c>
      <c r="BG1200" s="46" t="s">
        <v>48</v>
      </c>
      <c r="BH1200" s="46">
        <v>0</v>
      </c>
      <c r="BI1200" s="46">
        <v>0</v>
      </c>
      <c r="BJ1200" s="46">
        <v>0</v>
      </c>
      <c r="BK1200" s="46">
        <v>0</v>
      </c>
      <c r="BL1200" s="46">
        <v>0</v>
      </c>
      <c r="BM1200" s="46">
        <v>0</v>
      </c>
      <c r="BN1200" s="46">
        <v>1</v>
      </c>
    </row>
    <row r="1201" spans="1:66" x14ac:dyDescent="0.35">
      <c r="A1201" t="s">
        <v>10946</v>
      </c>
      <c r="B1201" s="44" t="s">
        <v>48</v>
      </c>
      <c r="C1201" t="s">
        <v>12394</v>
      </c>
      <c r="D1201" t="s">
        <v>12319</v>
      </c>
      <c r="E1201" t="s">
        <v>10949</v>
      </c>
      <c r="F1201" t="s">
        <v>7773</v>
      </c>
      <c r="G1201" t="s">
        <v>74</v>
      </c>
      <c r="H1201">
        <v>0</v>
      </c>
      <c r="I1201" s="61">
        <v>44809</v>
      </c>
      <c r="J1201" s="33" t="s">
        <v>45</v>
      </c>
      <c r="K1201" s="46">
        <v>0</v>
      </c>
      <c r="L1201">
        <v>62.3</v>
      </c>
      <c r="M1201" t="s">
        <v>48</v>
      </c>
      <c r="N1201" s="46">
        <v>1</v>
      </c>
      <c r="O1201" s="46">
        <v>0</v>
      </c>
      <c r="P1201" s="46">
        <v>0</v>
      </c>
      <c r="Q1201" t="s">
        <v>48</v>
      </c>
      <c r="R1201" t="s">
        <v>48</v>
      </c>
      <c r="S1201" t="s">
        <v>48</v>
      </c>
      <c r="T1201" t="s">
        <v>48</v>
      </c>
      <c r="U1201" t="s">
        <v>48</v>
      </c>
      <c r="V1201">
        <v>1</v>
      </c>
      <c r="W1201" t="s">
        <v>11264</v>
      </c>
      <c r="X1201" t="s">
        <v>48</v>
      </c>
      <c r="Y1201" t="s">
        <v>48</v>
      </c>
      <c r="Z1201" t="s">
        <v>48</v>
      </c>
      <c r="AA1201" t="s">
        <v>48</v>
      </c>
      <c r="AB1201" t="s">
        <v>48</v>
      </c>
      <c r="AC1201" t="s">
        <v>63</v>
      </c>
      <c r="AD1201" t="s">
        <v>93</v>
      </c>
      <c r="AE1201" t="s">
        <v>11051</v>
      </c>
      <c r="AF1201" t="s">
        <v>11052</v>
      </c>
      <c r="AG1201" t="s">
        <v>48</v>
      </c>
      <c r="AH1201" t="s">
        <v>48</v>
      </c>
      <c r="AI1201" t="s">
        <v>48</v>
      </c>
      <c r="AJ1201" t="s">
        <v>48</v>
      </c>
      <c r="AK1201" t="s">
        <v>48</v>
      </c>
      <c r="AL1201" t="s">
        <v>48</v>
      </c>
      <c r="AM1201" t="s">
        <v>48</v>
      </c>
      <c r="AN1201" t="s">
        <v>48</v>
      </c>
      <c r="AO1201" t="s">
        <v>48</v>
      </c>
      <c r="AP1201" s="46">
        <v>0</v>
      </c>
      <c r="AQ1201" s="46">
        <v>0</v>
      </c>
      <c r="AR1201" s="46">
        <v>0</v>
      </c>
      <c r="AS1201" s="46">
        <v>0</v>
      </c>
      <c r="AT1201" s="46">
        <v>0</v>
      </c>
      <c r="AU1201" s="46">
        <v>0</v>
      </c>
      <c r="AV1201" s="46">
        <v>0</v>
      </c>
      <c r="AW1201" s="46">
        <v>0</v>
      </c>
      <c r="AX1201" s="46">
        <v>0</v>
      </c>
      <c r="AY1201" s="46">
        <v>0</v>
      </c>
      <c r="AZ1201" s="46">
        <v>0</v>
      </c>
      <c r="BA1201" s="46">
        <v>0</v>
      </c>
      <c r="BB1201" s="46">
        <v>0</v>
      </c>
      <c r="BC1201" s="46">
        <v>0</v>
      </c>
      <c r="BD1201" s="46">
        <v>0</v>
      </c>
      <c r="BE1201" s="46">
        <v>0</v>
      </c>
      <c r="BF1201" s="46">
        <v>0</v>
      </c>
      <c r="BG1201" s="46" t="s">
        <v>48</v>
      </c>
      <c r="BH1201" s="46">
        <v>0</v>
      </c>
      <c r="BI1201" s="46">
        <v>0</v>
      </c>
      <c r="BJ1201" s="46">
        <v>0</v>
      </c>
      <c r="BK1201" s="46">
        <v>0</v>
      </c>
      <c r="BL1201" s="46">
        <v>0</v>
      </c>
      <c r="BM1201" s="46">
        <v>0</v>
      </c>
      <c r="BN1201" s="46">
        <v>0</v>
      </c>
    </row>
    <row r="1202" spans="1:66" x14ac:dyDescent="0.35">
      <c r="A1202" t="s">
        <v>7790</v>
      </c>
      <c r="B1202" s="44" t="s">
        <v>48</v>
      </c>
      <c r="C1202" t="s">
        <v>7793</v>
      </c>
      <c r="D1202" t="s">
        <v>776</v>
      </c>
      <c r="E1202" t="s">
        <v>7791</v>
      </c>
      <c r="F1202" t="s">
        <v>7773</v>
      </c>
      <c r="G1202" t="s">
        <v>10952</v>
      </c>
      <c r="H1202">
        <v>0</v>
      </c>
      <c r="I1202" s="60" t="s">
        <v>51</v>
      </c>
      <c r="J1202" s="33" t="s">
        <v>45</v>
      </c>
      <c r="K1202" s="46">
        <v>0</v>
      </c>
      <c r="L1202" t="s">
        <v>48</v>
      </c>
      <c r="M1202" t="s">
        <v>48</v>
      </c>
      <c r="N1202" s="46">
        <v>1</v>
      </c>
      <c r="O1202" s="46">
        <v>0</v>
      </c>
      <c r="P1202" s="46">
        <v>0</v>
      </c>
      <c r="Q1202" t="s">
        <v>48</v>
      </c>
      <c r="R1202" t="s">
        <v>48</v>
      </c>
      <c r="S1202" t="s">
        <v>7792</v>
      </c>
      <c r="T1202" t="s">
        <v>48</v>
      </c>
      <c r="U1202" t="s">
        <v>7792</v>
      </c>
      <c r="V1202" s="47">
        <v>0</v>
      </c>
      <c r="W1202" t="s">
        <v>48</v>
      </c>
      <c r="X1202" t="s">
        <v>48</v>
      </c>
      <c r="Y1202" t="s">
        <v>48</v>
      </c>
      <c r="Z1202">
        <v>0</v>
      </c>
      <c r="AA1202" t="s">
        <v>48</v>
      </c>
      <c r="AB1202" t="s">
        <v>48</v>
      </c>
      <c r="AC1202" t="s">
        <v>63</v>
      </c>
      <c r="AD1202" t="s">
        <v>93</v>
      </c>
      <c r="AE1202" t="s">
        <v>4532</v>
      </c>
      <c r="AF1202" t="s">
        <v>48</v>
      </c>
      <c r="AG1202" t="s">
        <v>48</v>
      </c>
      <c r="AH1202" t="s">
        <v>48</v>
      </c>
      <c r="AI1202" t="s">
        <v>48</v>
      </c>
      <c r="AJ1202" t="s">
        <v>48</v>
      </c>
      <c r="AK1202" t="s">
        <v>48</v>
      </c>
      <c r="AL1202" t="s">
        <v>48</v>
      </c>
      <c r="AM1202" t="s">
        <v>48</v>
      </c>
      <c r="AN1202" t="s">
        <v>48</v>
      </c>
      <c r="AO1202" t="s">
        <v>48</v>
      </c>
      <c r="AP1202" s="46">
        <v>0</v>
      </c>
      <c r="AQ1202" s="46">
        <v>0</v>
      </c>
      <c r="AR1202" s="46">
        <v>0</v>
      </c>
      <c r="AS1202" s="46">
        <v>0</v>
      </c>
      <c r="AT1202" s="46">
        <v>0</v>
      </c>
      <c r="AU1202" s="46">
        <v>0</v>
      </c>
      <c r="AV1202" s="46">
        <v>0</v>
      </c>
      <c r="AW1202" s="46">
        <v>0</v>
      </c>
      <c r="AX1202" s="46">
        <v>0</v>
      </c>
      <c r="AY1202" s="46">
        <v>0</v>
      </c>
      <c r="AZ1202" s="46">
        <v>0</v>
      </c>
      <c r="BA1202" s="46">
        <v>0</v>
      </c>
      <c r="BB1202" s="46">
        <v>0</v>
      </c>
      <c r="BC1202" s="46">
        <v>0</v>
      </c>
      <c r="BD1202" s="46">
        <v>0</v>
      </c>
      <c r="BE1202" s="46">
        <v>0</v>
      </c>
      <c r="BF1202" s="46">
        <v>0</v>
      </c>
      <c r="BG1202" s="46" t="s">
        <v>48</v>
      </c>
      <c r="BH1202" s="46">
        <v>0</v>
      </c>
      <c r="BI1202" s="46">
        <v>0</v>
      </c>
      <c r="BJ1202" s="46">
        <v>0</v>
      </c>
      <c r="BK1202" s="46">
        <v>0</v>
      </c>
      <c r="BL1202" s="46">
        <v>0</v>
      </c>
      <c r="BM1202" s="46">
        <v>0</v>
      </c>
      <c r="BN1202" s="46">
        <v>0</v>
      </c>
    </row>
    <row r="1203" spans="1:66" x14ac:dyDescent="0.35">
      <c r="A1203" t="s">
        <v>333</v>
      </c>
      <c r="B1203" s="44" t="s">
        <v>48</v>
      </c>
      <c r="C1203" t="s">
        <v>336</v>
      </c>
      <c r="D1203" t="s">
        <v>335</v>
      </c>
      <c r="E1203" t="s">
        <v>334</v>
      </c>
      <c r="F1203" t="s">
        <v>46</v>
      </c>
      <c r="G1203" t="s">
        <v>74</v>
      </c>
      <c r="H1203">
        <v>0</v>
      </c>
      <c r="I1203" s="60" t="s">
        <v>60</v>
      </c>
      <c r="J1203" s="33" t="s">
        <v>45</v>
      </c>
      <c r="K1203" s="46">
        <v>0</v>
      </c>
      <c r="L1203" t="s">
        <v>48</v>
      </c>
      <c r="M1203" t="s">
        <v>48</v>
      </c>
      <c r="N1203" s="46">
        <v>0</v>
      </c>
      <c r="O1203" s="46">
        <v>0</v>
      </c>
      <c r="P1203" s="46">
        <v>1</v>
      </c>
      <c r="Q1203">
        <v>1.7</v>
      </c>
      <c r="R1203" t="s">
        <v>48</v>
      </c>
      <c r="S1203" t="s">
        <v>9999</v>
      </c>
      <c r="T1203" t="s">
        <v>48</v>
      </c>
      <c r="U1203" t="s">
        <v>9999</v>
      </c>
      <c r="V1203" s="47">
        <v>0</v>
      </c>
      <c r="W1203" t="s">
        <v>48</v>
      </c>
      <c r="X1203" t="s">
        <v>48</v>
      </c>
      <c r="Y1203" t="s">
        <v>48</v>
      </c>
      <c r="Z1203">
        <v>0</v>
      </c>
      <c r="AA1203" t="s">
        <v>57</v>
      </c>
      <c r="AB1203" t="s">
        <v>48</v>
      </c>
      <c r="AC1203" t="s">
        <v>49</v>
      </c>
      <c r="AD1203" t="s">
        <v>93</v>
      </c>
      <c r="AE1203" t="s">
        <v>4532</v>
      </c>
      <c r="AF1203" t="s">
        <v>48</v>
      </c>
      <c r="AG1203" t="s">
        <v>48</v>
      </c>
      <c r="AH1203" t="s">
        <v>48</v>
      </c>
      <c r="AI1203" t="s">
        <v>48</v>
      </c>
      <c r="AJ1203" t="s">
        <v>48</v>
      </c>
      <c r="AK1203" t="s">
        <v>48</v>
      </c>
      <c r="AL1203" t="s">
        <v>48</v>
      </c>
      <c r="AM1203" t="s">
        <v>48</v>
      </c>
      <c r="AN1203" t="s">
        <v>48</v>
      </c>
      <c r="AO1203" t="s">
        <v>48</v>
      </c>
      <c r="AP1203" s="46">
        <v>0</v>
      </c>
      <c r="AQ1203" s="46">
        <v>0</v>
      </c>
      <c r="AR1203" s="46">
        <v>0</v>
      </c>
      <c r="AS1203" s="46">
        <v>0</v>
      </c>
      <c r="AT1203" s="46">
        <v>0</v>
      </c>
      <c r="AU1203" s="46">
        <v>0</v>
      </c>
      <c r="AV1203" s="46">
        <v>0</v>
      </c>
      <c r="AW1203" s="46">
        <v>0</v>
      </c>
      <c r="AX1203" s="46">
        <v>0</v>
      </c>
      <c r="AY1203" s="46">
        <v>0</v>
      </c>
      <c r="AZ1203" s="46">
        <v>0</v>
      </c>
      <c r="BA1203" s="46">
        <v>0</v>
      </c>
      <c r="BB1203" s="46">
        <v>0</v>
      </c>
      <c r="BC1203" s="46">
        <v>0</v>
      </c>
      <c r="BD1203" s="46">
        <v>0</v>
      </c>
      <c r="BE1203" s="46">
        <v>0</v>
      </c>
      <c r="BF1203" s="46">
        <v>0</v>
      </c>
      <c r="BG1203" s="46" t="s">
        <v>48</v>
      </c>
      <c r="BH1203" s="46">
        <v>0</v>
      </c>
      <c r="BI1203" s="46">
        <v>0</v>
      </c>
      <c r="BJ1203" s="46">
        <v>0</v>
      </c>
      <c r="BK1203" s="46">
        <v>0</v>
      </c>
      <c r="BL1203" s="46">
        <v>0</v>
      </c>
      <c r="BM1203" s="46">
        <v>0</v>
      </c>
      <c r="BN1203" s="46">
        <v>0</v>
      </c>
    </row>
    <row r="1204" spans="1:66" x14ac:dyDescent="0.35">
      <c r="A1204" t="s">
        <v>81</v>
      </c>
      <c r="B1204" s="44" t="s">
        <v>48</v>
      </c>
      <c r="C1204" t="s">
        <v>86</v>
      </c>
      <c r="D1204" t="s">
        <v>85</v>
      </c>
      <c r="E1204" t="s">
        <v>82</v>
      </c>
      <c r="F1204" t="s">
        <v>46</v>
      </c>
      <c r="G1204" t="s">
        <v>83</v>
      </c>
      <c r="H1204">
        <v>0</v>
      </c>
      <c r="I1204" s="60" t="s">
        <v>60</v>
      </c>
      <c r="J1204" s="33" t="s">
        <v>45</v>
      </c>
      <c r="K1204" s="46">
        <v>0</v>
      </c>
      <c r="L1204" t="s">
        <v>48</v>
      </c>
      <c r="M1204" t="s">
        <v>48</v>
      </c>
      <c r="N1204" s="46">
        <v>0</v>
      </c>
      <c r="O1204" s="46">
        <v>0</v>
      </c>
      <c r="P1204" s="46">
        <v>1</v>
      </c>
      <c r="Q1204">
        <v>12.6</v>
      </c>
      <c r="R1204" t="s">
        <v>48</v>
      </c>
      <c r="S1204" t="s">
        <v>84</v>
      </c>
      <c r="T1204" t="s">
        <v>48</v>
      </c>
      <c r="U1204" t="s">
        <v>84</v>
      </c>
      <c r="V1204" s="47">
        <v>0</v>
      </c>
      <c r="W1204" t="s">
        <v>48</v>
      </c>
      <c r="X1204" t="s">
        <v>48</v>
      </c>
      <c r="Y1204" t="s">
        <v>48</v>
      </c>
      <c r="Z1204">
        <v>0</v>
      </c>
      <c r="AA1204" t="s">
        <v>57</v>
      </c>
      <c r="AB1204" t="s">
        <v>48</v>
      </c>
      <c r="AC1204" t="s">
        <v>49</v>
      </c>
      <c r="AD1204" t="s">
        <v>93</v>
      </c>
      <c r="AE1204" t="s">
        <v>4532</v>
      </c>
      <c r="AF1204" t="s">
        <v>48</v>
      </c>
      <c r="AG1204" t="s">
        <v>48</v>
      </c>
      <c r="AH1204" t="s">
        <v>48</v>
      </c>
      <c r="AI1204" t="s">
        <v>48</v>
      </c>
      <c r="AJ1204" t="s">
        <v>48</v>
      </c>
      <c r="AK1204" t="s">
        <v>48</v>
      </c>
      <c r="AL1204" t="s">
        <v>48</v>
      </c>
      <c r="AM1204" t="s">
        <v>48</v>
      </c>
      <c r="AN1204" t="s">
        <v>48</v>
      </c>
      <c r="AO1204" t="s">
        <v>48</v>
      </c>
      <c r="AP1204" s="46">
        <v>0</v>
      </c>
      <c r="AQ1204" s="46">
        <v>0</v>
      </c>
      <c r="AR1204" s="46">
        <v>0</v>
      </c>
      <c r="AS1204" s="46">
        <v>0</v>
      </c>
      <c r="AT1204" s="46">
        <v>0</v>
      </c>
      <c r="AU1204" s="46">
        <v>0</v>
      </c>
      <c r="AV1204" s="46">
        <v>0</v>
      </c>
      <c r="AW1204" s="46">
        <v>0</v>
      </c>
      <c r="AX1204" s="46">
        <v>0</v>
      </c>
      <c r="AY1204" s="46">
        <v>0</v>
      </c>
      <c r="AZ1204" s="46">
        <v>0</v>
      </c>
      <c r="BA1204" s="46">
        <v>0</v>
      </c>
      <c r="BB1204" s="46">
        <v>0</v>
      </c>
      <c r="BC1204" s="46">
        <v>0</v>
      </c>
      <c r="BD1204" s="46">
        <v>0</v>
      </c>
      <c r="BE1204" s="46">
        <v>0</v>
      </c>
      <c r="BF1204" s="46">
        <v>0</v>
      </c>
      <c r="BG1204" s="46" t="s">
        <v>48</v>
      </c>
      <c r="BH1204" s="46">
        <v>0</v>
      </c>
      <c r="BI1204" s="46">
        <v>0</v>
      </c>
      <c r="BJ1204" s="46">
        <v>0</v>
      </c>
      <c r="BK1204" s="46">
        <v>0</v>
      </c>
      <c r="BL1204" s="46">
        <v>0</v>
      </c>
      <c r="BM1204" s="46">
        <v>0</v>
      </c>
      <c r="BN1204" s="46">
        <v>0</v>
      </c>
    </row>
    <row r="1205" spans="1:66" x14ac:dyDescent="0.35">
      <c r="A1205" t="s">
        <v>256</v>
      </c>
      <c r="B1205" s="44" t="s">
        <v>48</v>
      </c>
      <c r="C1205" t="s">
        <v>260</v>
      </c>
      <c r="D1205" t="s">
        <v>259</v>
      </c>
      <c r="E1205" t="s">
        <v>257</v>
      </c>
      <c r="F1205" t="s">
        <v>46</v>
      </c>
      <c r="G1205" t="s">
        <v>83</v>
      </c>
      <c r="H1205">
        <v>0</v>
      </c>
      <c r="I1205" s="60" t="s">
        <v>60</v>
      </c>
      <c r="J1205" s="33" t="s">
        <v>45</v>
      </c>
      <c r="K1205" s="46">
        <v>0</v>
      </c>
      <c r="L1205" t="s">
        <v>48</v>
      </c>
      <c r="M1205" t="s">
        <v>48</v>
      </c>
      <c r="N1205" s="46">
        <v>0</v>
      </c>
      <c r="O1205" s="46">
        <v>0</v>
      </c>
      <c r="P1205" s="46">
        <v>1</v>
      </c>
      <c r="Q1205">
        <v>1.9</v>
      </c>
      <c r="R1205" t="s">
        <v>48</v>
      </c>
      <c r="S1205" t="s">
        <v>258</v>
      </c>
      <c r="T1205" t="s">
        <v>48</v>
      </c>
      <c r="U1205" t="s">
        <v>258</v>
      </c>
      <c r="V1205" s="47">
        <v>0</v>
      </c>
      <c r="W1205" t="s">
        <v>48</v>
      </c>
      <c r="X1205" t="s">
        <v>48</v>
      </c>
      <c r="Y1205" t="s">
        <v>48</v>
      </c>
      <c r="Z1205">
        <v>0</v>
      </c>
      <c r="AA1205" t="s">
        <v>57</v>
      </c>
      <c r="AB1205" t="s">
        <v>48</v>
      </c>
      <c r="AC1205" t="s">
        <v>49</v>
      </c>
      <c r="AD1205" t="s">
        <v>11050</v>
      </c>
      <c r="AE1205" t="s">
        <v>4532</v>
      </c>
      <c r="AF1205" t="s">
        <v>48</v>
      </c>
      <c r="AG1205" t="s">
        <v>48</v>
      </c>
      <c r="AH1205" t="s">
        <v>48</v>
      </c>
      <c r="AI1205" t="s">
        <v>48</v>
      </c>
      <c r="AJ1205" t="s">
        <v>48</v>
      </c>
      <c r="AK1205" t="s">
        <v>48</v>
      </c>
      <c r="AL1205" t="s">
        <v>48</v>
      </c>
      <c r="AM1205" t="s">
        <v>48</v>
      </c>
      <c r="AN1205" t="s">
        <v>48</v>
      </c>
      <c r="AO1205" t="s">
        <v>48</v>
      </c>
      <c r="AP1205" s="46">
        <v>0</v>
      </c>
      <c r="AQ1205" s="46">
        <v>0</v>
      </c>
      <c r="AR1205" s="46">
        <v>0</v>
      </c>
      <c r="AS1205" s="46">
        <v>0</v>
      </c>
      <c r="AT1205" s="46">
        <v>0</v>
      </c>
      <c r="AU1205" s="46">
        <v>0</v>
      </c>
      <c r="AV1205" s="46">
        <v>0</v>
      </c>
      <c r="AW1205" s="46">
        <v>0</v>
      </c>
      <c r="AX1205" s="46">
        <v>0</v>
      </c>
      <c r="AY1205" s="46">
        <v>0</v>
      </c>
      <c r="AZ1205" s="46">
        <v>0</v>
      </c>
      <c r="BA1205" s="46">
        <v>0</v>
      </c>
      <c r="BB1205" s="46">
        <v>0</v>
      </c>
      <c r="BC1205" s="46">
        <v>0</v>
      </c>
      <c r="BD1205" s="46">
        <v>0</v>
      </c>
      <c r="BE1205" s="46">
        <v>0</v>
      </c>
      <c r="BF1205" s="46">
        <v>0</v>
      </c>
      <c r="BG1205" s="46" t="s">
        <v>48</v>
      </c>
      <c r="BH1205" s="46">
        <v>0</v>
      </c>
      <c r="BI1205" s="46">
        <v>0</v>
      </c>
      <c r="BJ1205" s="46">
        <v>0</v>
      </c>
      <c r="BK1205" s="46">
        <v>0</v>
      </c>
      <c r="BL1205" s="46">
        <v>0</v>
      </c>
      <c r="BM1205" s="46">
        <v>0</v>
      </c>
      <c r="BN1205" s="46">
        <v>0</v>
      </c>
    </row>
    <row r="1206" spans="1:66" x14ac:dyDescent="0.35">
      <c r="A1206" t="s">
        <v>278</v>
      </c>
      <c r="B1206" s="44" t="s">
        <v>48</v>
      </c>
      <c r="C1206" t="s">
        <v>281</v>
      </c>
      <c r="D1206" t="s">
        <v>280</v>
      </c>
      <c r="E1206" t="s">
        <v>279</v>
      </c>
      <c r="F1206" t="s">
        <v>46</v>
      </c>
      <c r="G1206" t="s">
        <v>83</v>
      </c>
      <c r="H1206">
        <v>0</v>
      </c>
      <c r="I1206" s="60" t="s">
        <v>60</v>
      </c>
      <c r="J1206" s="33" t="s">
        <v>45</v>
      </c>
      <c r="K1206" s="46">
        <v>0</v>
      </c>
      <c r="L1206" t="s">
        <v>48</v>
      </c>
      <c r="M1206" t="s">
        <v>48</v>
      </c>
      <c r="N1206" s="46">
        <v>0</v>
      </c>
      <c r="O1206" s="46">
        <v>0</v>
      </c>
      <c r="P1206" s="46">
        <v>1</v>
      </c>
      <c r="Q1206">
        <v>0.1</v>
      </c>
      <c r="R1206" t="s">
        <v>48</v>
      </c>
      <c r="S1206" t="s">
        <v>48</v>
      </c>
      <c r="T1206" t="s">
        <v>48</v>
      </c>
      <c r="U1206" t="s">
        <v>48</v>
      </c>
      <c r="V1206" s="47">
        <v>0</v>
      </c>
      <c r="W1206" t="s">
        <v>48</v>
      </c>
      <c r="X1206" t="s">
        <v>48</v>
      </c>
      <c r="Y1206" t="s">
        <v>48</v>
      </c>
      <c r="Z1206">
        <v>0</v>
      </c>
      <c r="AA1206" t="s">
        <v>57</v>
      </c>
      <c r="AB1206" t="s">
        <v>48</v>
      </c>
      <c r="AC1206" t="s">
        <v>63</v>
      </c>
      <c r="AD1206" t="s">
        <v>93</v>
      </c>
      <c r="AE1206" t="s">
        <v>4532</v>
      </c>
      <c r="AF1206" t="s">
        <v>48</v>
      </c>
      <c r="AG1206" t="s">
        <v>48</v>
      </c>
      <c r="AH1206" t="s">
        <v>48</v>
      </c>
      <c r="AI1206" t="s">
        <v>48</v>
      </c>
      <c r="AJ1206" t="s">
        <v>48</v>
      </c>
      <c r="AK1206" t="s">
        <v>48</v>
      </c>
      <c r="AL1206" t="s">
        <v>48</v>
      </c>
      <c r="AM1206" t="s">
        <v>48</v>
      </c>
      <c r="AN1206" t="s">
        <v>48</v>
      </c>
      <c r="AO1206" t="s">
        <v>48</v>
      </c>
      <c r="AP1206" s="46">
        <v>0</v>
      </c>
      <c r="AQ1206" s="46">
        <v>0</v>
      </c>
      <c r="AR1206" s="46">
        <v>0</v>
      </c>
      <c r="AS1206" s="46">
        <v>0</v>
      </c>
      <c r="AT1206" s="46">
        <v>0</v>
      </c>
      <c r="AU1206" s="46">
        <v>0</v>
      </c>
      <c r="AV1206" s="46">
        <v>0</v>
      </c>
      <c r="AW1206" s="46">
        <v>0</v>
      </c>
      <c r="AX1206" s="46">
        <v>0</v>
      </c>
      <c r="AY1206" s="46">
        <v>0</v>
      </c>
      <c r="AZ1206" s="46">
        <v>0</v>
      </c>
      <c r="BA1206" s="46">
        <v>0</v>
      </c>
      <c r="BB1206" s="46">
        <v>0</v>
      </c>
      <c r="BC1206" s="46">
        <v>0</v>
      </c>
      <c r="BD1206" s="46">
        <v>0</v>
      </c>
      <c r="BE1206" s="46">
        <v>0</v>
      </c>
      <c r="BF1206" s="46">
        <v>0</v>
      </c>
      <c r="BG1206" s="46" t="s">
        <v>48</v>
      </c>
      <c r="BH1206" s="46">
        <v>0</v>
      </c>
      <c r="BI1206" s="46">
        <v>0</v>
      </c>
      <c r="BJ1206" s="46">
        <v>0</v>
      </c>
      <c r="BK1206" s="46">
        <v>0</v>
      </c>
      <c r="BL1206" s="46">
        <v>0</v>
      </c>
      <c r="BM1206" s="46">
        <v>0</v>
      </c>
      <c r="BN1206" s="46">
        <v>0</v>
      </c>
    </row>
    <row r="1207" spans="1:66" x14ac:dyDescent="0.35">
      <c r="A1207" t="s">
        <v>223</v>
      </c>
      <c r="B1207" s="44" t="s">
        <v>48</v>
      </c>
      <c r="C1207" t="s">
        <v>226</v>
      </c>
      <c r="D1207" t="s">
        <v>225</v>
      </c>
      <c r="E1207" t="s">
        <v>224</v>
      </c>
      <c r="F1207" t="s">
        <v>46</v>
      </c>
      <c r="G1207" t="s">
        <v>83</v>
      </c>
      <c r="H1207">
        <v>0</v>
      </c>
      <c r="I1207" s="60" t="s">
        <v>60</v>
      </c>
      <c r="J1207" s="33" t="s">
        <v>45</v>
      </c>
      <c r="K1207" s="46">
        <v>0</v>
      </c>
      <c r="L1207" t="s">
        <v>48</v>
      </c>
      <c r="M1207" t="s">
        <v>48</v>
      </c>
      <c r="N1207" s="46">
        <v>0</v>
      </c>
      <c r="O1207" s="46">
        <v>0</v>
      </c>
      <c r="P1207" s="46">
        <v>1</v>
      </c>
      <c r="Q1207">
        <v>0.1</v>
      </c>
      <c r="R1207" t="s">
        <v>48</v>
      </c>
      <c r="S1207" t="s">
        <v>48</v>
      </c>
      <c r="T1207" t="s">
        <v>48</v>
      </c>
      <c r="U1207" t="s">
        <v>48</v>
      </c>
      <c r="V1207" s="47">
        <v>0</v>
      </c>
      <c r="W1207" t="s">
        <v>48</v>
      </c>
      <c r="X1207" t="s">
        <v>48</v>
      </c>
      <c r="Y1207" t="s">
        <v>48</v>
      </c>
      <c r="Z1207">
        <v>0</v>
      </c>
      <c r="AA1207" t="s">
        <v>57</v>
      </c>
      <c r="AB1207" t="s">
        <v>48</v>
      </c>
      <c r="AC1207" t="s">
        <v>63</v>
      </c>
      <c r="AD1207" t="s">
        <v>93</v>
      </c>
      <c r="AE1207" t="s">
        <v>4532</v>
      </c>
      <c r="AF1207" t="s">
        <v>48</v>
      </c>
      <c r="AG1207" t="s">
        <v>48</v>
      </c>
      <c r="AH1207" t="s">
        <v>48</v>
      </c>
      <c r="AI1207" t="s">
        <v>48</v>
      </c>
      <c r="AJ1207" t="s">
        <v>48</v>
      </c>
      <c r="AK1207" t="s">
        <v>48</v>
      </c>
      <c r="AL1207" t="s">
        <v>48</v>
      </c>
      <c r="AM1207" t="s">
        <v>48</v>
      </c>
      <c r="AN1207" t="s">
        <v>48</v>
      </c>
      <c r="AO1207" t="s">
        <v>48</v>
      </c>
      <c r="AP1207" s="46">
        <v>0</v>
      </c>
      <c r="AQ1207" s="46">
        <v>0</v>
      </c>
      <c r="AR1207" s="46">
        <v>0</v>
      </c>
      <c r="AS1207" s="46">
        <v>0</v>
      </c>
      <c r="AT1207" s="46">
        <v>0</v>
      </c>
      <c r="AU1207" s="46">
        <v>0</v>
      </c>
      <c r="AV1207" s="46">
        <v>0</v>
      </c>
      <c r="AW1207" s="46">
        <v>0</v>
      </c>
      <c r="AX1207" s="46">
        <v>0</v>
      </c>
      <c r="AY1207" s="46">
        <v>0</v>
      </c>
      <c r="AZ1207" s="46">
        <v>0</v>
      </c>
      <c r="BA1207" s="46">
        <v>0</v>
      </c>
      <c r="BB1207" s="46">
        <v>0</v>
      </c>
      <c r="BC1207" s="46">
        <v>0</v>
      </c>
      <c r="BD1207" s="46">
        <v>0</v>
      </c>
      <c r="BE1207" s="46">
        <v>0</v>
      </c>
      <c r="BF1207" s="46">
        <v>0</v>
      </c>
      <c r="BG1207" s="46" t="s">
        <v>48</v>
      </c>
      <c r="BH1207" s="46">
        <v>0</v>
      </c>
      <c r="BI1207" s="46">
        <v>0</v>
      </c>
      <c r="BJ1207" s="46">
        <v>0</v>
      </c>
      <c r="BK1207" s="46">
        <v>0</v>
      </c>
      <c r="BL1207" s="46">
        <v>0</v>
      </c>
      <c r="BM1207" s="46">
        <v>0</v>
      </c>
      <c r="BN1207" s="46">
        <v>0</v>
      </c>
    </row>
    <row r="1208" spans="1:66" x14ac:dyDescent="0.35">
      <c r="A1208" t="s">
        <v>212</v>
      </c>
      <c r="B1208" s="44" t="s">
        <v>48</v>
      </c>
      <c r="C1208" t="s">
        <v>217</v>
      </c>
      <c r="D1208" t="s">
        <v>216</v>
      </c>
      <c r="E1208" t="s">
        <v>213</v>
      </c>
      <c r="F1208" t="s">
        <v>46</v>
      </c>
      <c r="G1208" t="s">
        <v>214</v>
      </c>
      <c r="H1208">
        <v>0</v>
      </c>
      <c r="I1208" s="60" t="s">
        <v>60</v>
      </c>
      <c r="J1208" s="33" t="s">
        <v>45</v>
      </c>
      <c r="K1208" s="46">
        <v>0</v>
      </c>
      <c r="L1208">
        <v>0.6</v>
      </c>
      <c r="M1208" t="s">
        <v>48</v>
      </c>
      <c r="N1208" s="46">
        <v>0</v>
      </c>
      <c r="O1208" s="46">
        <v>1</v>
      </c>
      <c r="P1208" s="46">
        <v>1</v>
      </c>
      <c r="Q1208">
        <v>0.6</v>
      </c>
      <c r="R1208" t="s">
        <v>48</v>
      </c>
      <c r="S1208" t="s">
        <v>215</v>
      </c>
      <c r="T1208" t="s">
        <v>48</v>
      </c>
      <c r="U1208" t="s">
        <v>215</v>
      </c>
      <c r="V1208" s="47">
        <v>0</v>
      </c>
      <c r="W1208" t="s">
        <v>48</v>
      </c>
      <c r="X1208" t="s">
        <v>48</v>
      </c>
      <c r="Y1208" t="s">
        <v>48</v>
      </c>
      <c r="Z1208">
        <v>0</v>
      </c>
      <c r="AA1208" t="s">
        <v>57</v>
      </c>
      <c r="AB1208" t="s">
        <v>48</v>
      </c>
      <c r="AC1208" t="s">
        <v>49</v>
      </c>
      <c r="AD1208" t="s">
        <v>93</v>
      </c>
      <c r="AE1208" t="s">
        <v>4532</v>
      </c>
      <c r="AF1208" t="s">
        <v>48</v>
      </c>
      <c r="AG1208" t="s">
        <v>48</v>
      </c>
      <c r="AH1208" t="s">
        <v>48</v>
      </c>
      <c r="AI1208" t="s">
        <v>48</v>
      </c>
      <c r="AJ1208" t="s">
        <v>48</v>
      </c>
      <c r="AK1208" t="s">
        <v>48</v>
      </c>
      <c r="AL1208" t="s">
        <v>48</v>
      </c>
      <c r="AM1208" t="s">
        <v>48</v>
      </c>
      <c r="AN1208" t="s">
        <v>48</v>
      </c>
      <c r="AO1208" t="s">
        <v>48</v>
      </c>
      <c r="AP1208" s="46">
        <v>0</v>
      </c>
      <c r="AQ1208" s="46">
        <v>0</v>
      </c>
      <c r="AR1208" s="46">
        <v>0</v>
      </c>
      <c r="AS1208" s="46">
        <v>0</v>
      </c>
      <c r="AT1208" s="46">
        <v>0</v>
      </c>
      <c r="AU1208" s="46">
        <v>0</v>
      </c>
      <c r="AV1208" s="46">
        <v>0</v>
      </c>
      <c r="AW1208" s="46">
        <v>0</v>
      </c>
      <c r="AX1208" s="46">
        <v>0</v>
      </c>
      <c r="AY1208" s="46">
        <v>0</v>
      </c>
      <c r="AZ1208" s="46">
        <v>0</v>
      </c>
      <c r="BA1208" s="46">
        <v>0</v>
      </c>
      <c r="BB1208" s="46">
        <v>0</v>
      </c>
      <c r="BC1208" s="46">
        <v>0</v>
      </c>
      <c r="BD1208" s="46">
        <v>0</v>
      </c>
      <c r="BE1208" s="46">
        <v>0</v>
      </c>
      <c r="BF1208" s="46">
        <v>0</v>
      </c>
      <c r="BG1208" s="46" t="s">
        <v>48</v>
      </c>
      <c r="BH1208" s="46">
        <v>0</v>
      </c>
      <c r="BI1208" s="46">
        <v>0</v>
      </c>
      <c r="BJ1208" s="46">
        <v>0</v>
      </c>
      <c r="BK1208" s="46">
        <v>0</v>
      </c>
      <c r="BL1208" s="46">
        <v>0</v>
      </c>
      <c r="BM1208" s="46">
        <v>0</v>
      </c>
      <c r="BN1208" s="46">
        <v>0</v>
      </c>
    </row>
    <row r="1209" spans="1:66" x14ac:dyDescent="0.35">
      <c r="A1209" t="s">
        <v>235</v>
      </c>
      <c r="B1209" s="44" t="s">
        <v>48</v>
      </c>
      <c r="C1209" t="s">
        <v>238</v>
      </c>
      <c r="D1209" t="s">
        <v>237</v>
      </c>
      <c r="E1209" t="s">
        <v>236</v>
      </c>
      <c r="F1209" t="s">
        <v>46</v>
      </c>
      <c r="G1209" t="s">
        <v>74</v>
      </c>
      <c r="H1209">
        <v>0</v>
      </c>
      <c r="I1209" s="60" t="s">
        <v>125</v>
      </c>
      <c r="J1209" s="33" t="s">
        <v>45</v>
      </c>
      <c r="K1209" s="46">
        <v>0</v>
      </c>
      <c r="L1209" t="s">
        <v>48</v>
      </c>
      <c r="M1209" t="s">
        <v>48</v>
      </c>
      <c r="N1209" s="46">
        <v>0</v>
      </c>
      <c r="O1209" s="46">
        <v>0</v>
      </c>
      <c r="P1209" s="46">
        <v>1</v>
      </c>
      <c r="Q1209">
        <v>3.9</v>
      </c>
      <c r="R1209" t="s">
        <v>48</v>
      </c>
      <c r="S1209" t="s">
        <v>10000</v>
      </c>
      <c r="T1209" t="s">
        <v>48</v>
      </c>
      <c r="U1209" t="s">
        <v>10000</v>
      </c>
      <c r="V1209" s="47">
        <v>0</v>
      </c>
      <c r="W1209" t="s">
        <v>48</v>
      </c>
      <c r="X1209" t="s">
        <v>48</v>
      </c>
      <c r="Y1209" t="s">
        <v>48</v>
      </c>
      <c r="Z1209">
        <v>0</v>
      </c>
      <c r="AA1209" t="s">
        <v>57</v>
      </c>
      <c r="AB1209" t="s">
        <v>48</v>
      </c>
      <c r="AC1209" t="s">
        <v>49</v>
      </c>
      <c r="AD1209" t="s">
        <v>93</v>
      </c>
      <c r="AE1209" t="s">
        <v>4532</v>
      </c>
      <c r="AF1209" t="s">
        <v>48</v>
      </c>
      <c r="AG1209" t="s">
        <v>48</v>
      </c>
      <c r="AH1209" t="s">
        <v>48</v>
      </c>
      <c r="AI1209" t="s">
        <v>48</v>
      </c>
      <c r="AJ1209" t="s">
        <v>48</v>
      </c>
      <c r="AK1209" t="s">
        <v>48</v>
      </c>
      <c r="AL1209" t="s">
        <v>48</v>
      </c>
      <c r="AM1209" t="s">
        <v>48</v>
      </c>
      <c r="AN1209" t="s">
        <v>48</v>
      </c>
      <c r="AO1209" t="s">
        <v>48</v>
      </c>
      <c r="AP1209" s="46">
        <v>0</v>
      </c>
      <c r="AQ1209" s="46">
        <v>0</v>
      </c>
      <c r="AR1209" s="46">
        <v>0</v>
      </c>
      <c r="AS1209" s="46">
        <v>0</v>
      </c>
      <c r="AT1209" s="46">
        <v>0</v>
      </c>
      <c r="AU1209" s="46">
        <v>0</v>
      </c>
      <c r="AV1209" s="46">
        <v>0</v>
      </c>
      <c r="AW1209" s="46">
        <v>0</v>
      </c>
      <c r="AX1209" s="46">
        <v>0</v>
      </c>
      <c r="AY1209" s="46">
        <v>0</v>
      </c>
      <c r="AZ1209" s="46">
        <v>0</v>
      </c>
      <c r="BA1209" s="46">
        <v>0</v>
      </c>
      <c r="BB1209" s="46">
        <v>0</v>
      </c>
      <c r="BC1209" s="46">
        <v>0</v>
      </c>
      <c r="BD1209" s="46">
        <v>0</v>
      </c>
      <c r="BE1209" s="46">
        <v>0</v>
      </c>
      <c r="BF1209" s="46">
        <v>0</v>
      </c>
      <c r="BG1209" s="46" t="s">
        <v>48</v>
      </c>
      <c r="BH1209" s="46">
        <v>0</v>
      </c>
      <c r="BI1209" s="46">
        <v>0</v>
      </c>
      <c r="BJ1209" s="46">
        <v>0</v>
      </c>
      <c r="BK1209" s="46">
        <v>0</v>
      </c>
      <c r="BL1209" s="46">
        <v>0</v>
      </c>
      <c r="BM1209" s="46">
        <v>0</v>
      </c>
      <c r="BN1209" s="46">
        <v>0</v>
      </c>
    </row>
    <row r="1210" spans="1:66" x14ac:dyDescent="0.35">
      <c r="A1210" t="s">
        <v>295</v>
      </c>
      <c r="B1210" s="44" t="s">
        <v>48</v>
      </c>
      <c r="C1210" t="s">
        <v>298</v>
      </c>
      <c r="D1210" t="s">
        <v>297</v>
      </c>
      <c r="E1210" t="s">
        <v>296</v>
      </c>
      <c r="F1210" t="s">
        <v>46</v>
      </c>
      <c r="G1210" t="s">
        <v>74</v>
      </c>
      <c r="H1210">
        <v>0</v>
      </c>
      <c r="I1210" s="60" t="s">
        <v>60</v>
      </c>
      <c r="J1210" s="33" t="s">
        <v>45</v>
      </c>
      <c r="K1210" s="46">
        <v>0</v>
      </c>
      <c r="L1210" t="s">
        <v>48</v>
      </c>
      <c r="M1210" t="s">
        <v>48</v>
      </c>
      <c r="N1210" s="46">
        <v>0</v>
      </c>
      <c r="O1210" s="46">
        <v>0</v>
      </c>
      <c r="P1210" s="46">
        <v>1</v>
      </c>
      <c r="Q1210">
        <v>1.1000000000000001</v>
      </c>
      <c r="R1210" t="s">
        <v>48</v>
      </c>
      <c r="S1210" t="s">
        <v>48</v>
      </c>
      <c r="T1210" t="s">
        <v>48</v>
      </c>
      <c r="U1210" t="s">
        <v>48</v>
      </c>
      <c r="V1210" s="47">
        <v>0</v>
      </c>
      <c r="W1210" t="s">
        <v>48</v>
      </c>
      <c r="X1210" t="s">
        <v>48</v>
      </c>
      <c r="Y1210" t="s">
        <v>48</v>
      </c>
      <c r="Z1210">
        <v>0</v>
      </c>
      <c r="AA1210" t="s">
        <v>57</v>
      </c>
      <c r="AB1210" t="s">
        <v>48</v>
      </c>
      <c r="AC1210" t="s">
        <v>49</v>
      </c>
      <c r="AD1210" t="s">
        <v>93</v>
      </c>
      <c r="AE1210" t="s">
        <v>11051</v>
      </c>
      <c r="AF1210" t="s">
        <v>11052</v>
      </c>
      <c r="AG1210" t="s">
        <v>48</v>
      </c>
      <c r="AH1210" t="s">
        <v>48</v>
      </c>
      <c r="AI1210" t="s">
        <v>48</v>
      </c>
      <c r="AJ1210" t="s">
        <v>48</v>
      </c>
      <c r="AK1210" t="s">
        <v>48</v>
      </c>
      <c r="AL1210" t="s">
        <v>48</v>
      </c>
      <c r="AM1210" t="s">
        <v>48</v>
      </c>
      <c r="AN1210" t="s">
        <v>48</v>
      </c>
      <c r="AO1210" t="s">
        <v>48</v>
      </c>
      <c r="AP1210" s="46">
        <v>0</v>
      </c>
      <c r="AQ1210" s="46">
        <v>0</v>
      </c>
      <c r="AR1210" s="46">
        <v>0</v>
      </c>
      <c r="AS1210" s="46">
        <v>0</v>
      </c>
      <c r="AT1210" s="46">
        <v>0</v>
      </c>
      <c r="AU1210" s="46">
        <v>0</v>
      </c>
      <c r="AV1210" s="46">
        <v>0</v>
      </c>
      <c r="AW1210" s="46">
        <v>0</v>
      </c>
      <c r="AX1210" s="46">
        <v>0</v>
      </c>
      <c r="AY1210" s="46">
        <v>0</v>
      </c>
      <c r="AZ1210" s="46">
        <v>0</v>
      </c>
      <c r="BA1210" s="46">
        <v>0</v>
      </c>
      <c r="BB1210" s="46">
        <v>0</v>
      </c>
      <c r="BC1210" s="46">
        <v>0</v>
      </c>
      <c r="BD1210" s="46">
        <v>0</v>
      </c>
      <c r="BE1210" s="46">
        <v>0</v>
      </c>
      <c r="BF1210" s="46">
        <v>0</v>
      </c>
      <c r="BG1210" s="46" t="s">
        <v>48</v>
      </c>
      <c r="BH1210" s="46">
        <v>0</v>
      </c>
      <c r="BI1210" s="46">
        <v>0</v>
      </c>
      <c r="BJ1210" s="46">
        <v>0</v>
      </c>
      <c r="BK1210" s="46">
        <v>0</v>
      </c>
      <c r="BL1210" s="46">
        <v>0</v>
      </c>
      <c r="BM1210" s="46">
        <v>0</v>
      </c>
      <c r="BN1210" s="46">
        <v>0</v>
      </c>
    </row>
    <row r="1211" spans="1:66" x14ac:dyDescent="0.35">
      <c r="A1211" t="s">
        <v>323</v>
      </c>
      <c r="B1211" s="44" t="s">
        <v>48</v>
      </c>
      <c r="C1211" t="s">
        <v>253</v>
      </c>
      <c r="D1211" t="s">
        <v>325</v>
      </c>
      <c r="E1211" t="s">
        <v>324</v>
      </c>
      <c r="F1211" t="s">
        <v>46</v>
      </c>
      <c r="G1211" t="s">
        <v>74</v>
      </c>
      <c r="H1211">
        <v>0</v>
      </c>
      <c r="I1211" s="60" t="s">
        <v>60</v>
      </c>
      <c r="J1211" s="33" t="s">
        <v>45</v>
      </c>
      <c r="K1211" s="46">
        <v>0</v>
      </c>
      <c r="L1211" t="s">
        <v>48</v>
      </c>
      <c r="M1211" t="s">
        <v>48</v>
      </c>
      <c r="N1211" s="46">
        <v>0</v>
      </c>
      <c r="O1211" s="46">
        <v>0</v>
      </c>
      <c r="P1211" s="46">
        <v>1</v>
      </c>
      <c r="Q1211">
        <v>0.1</v>
      </c>
      <c r="R1211" t="s">
        <v>48</v>
      </c>
      <c r="S1211" t="s">
        <v>48</v>
      </c>
      <c r="T1211" t="s">
        <v>48</v>
      </c>
      <c r="U1211" t="s">
        <v>48</v>
      </c>
      <c r="V1211" s="47">
        <v>0</v>
      </c>
      <c r="W1211" t="s">
        <v>48</v>
      </c>
      <c r="X1211" t="s">
        <v>48</v>
      </c>
      <c r="Y1211" t="s">
        <v>48</v>
      </c>
      <c r="Z1211">
        <v>0</v>
      </c>
      <c r="AA1211" t="s">
        <v>57</v>
      </c>
      <c r="AB1211" t="s">
        <v>48</v>
      </c>
      <c r="AC1211" t="s">
        <v>49</v>
      </c>
      <c r="AD1211" t="s">
        <v>48</v>
      </c>
      <c r="AE1211" t="s">
        <v>48</v>
      </c>
      <c r="AF1211" t="s">
        <v>48</v>
      </c>
      <c r="AG1211" t="s">
        <v>48</v>
      </c>
      <c r="AH1211" t="s">
        <v>48</v>
      </c>
      <c r="AI1211" t="s">
        <v>48</v>
      </c>
      <c r="AJ1211" t="s">
        <v>48</v>
      </c>
      <c r="AK1211" t="s">
        <v>48</v>
      </c>
      <c r="AL1211" t="s">
        <v>48</v>
      </c>
      <c r="AM1211" t="s">
        <v>48</v>
      </c>
      <c r="AN1211" t="s">
        <v>48</v>
      </c>
      <c r="AO1211" t="s">
        <v>48</v>
      </c>
      <c r="AP1211" s="46">
        <v>0</v>
      </c>
      <c r="AQ1211" s="46">
        <v>0</v>
      </c>
      <c r="AR1211" s="46">
        <v>0</v>
      </c>
      <c r="AS1211" s="46">
        <v>0</v>
      </c>
      <c r="AT1211" s="46">
        <v>0</v>
      </c>
      <c r="AU1211" s="46">
        <v>0</v>
      </c>
      <c r="AV1211" s="46">
        <v>0</v>
      </c>
      <c r="AW1211" s="46">
        <v>0</v>
      </c>
      <c r="AX1211" s="46">
        <v>0</v>
      </c>
      <c r="AY1211" s="46">
        <v>0</v>
      </c>
      <c r="AZ1211" s="46">
        <v>0</v>
      </c>
      <c r="BA1211" s="46">
        <v>0</v>
      </c>
      <c r="BB1211" s="46">
        <v>0</v>
      </c>
      <c r="BC1211" s="46">
        <v>0</v>
      </c>
      <c r="BD1211" s="46">
        <v>0</v>
      </c>
      <c r="BE1211" s="46">
        <v>0</v>
      </c>
      <c r="BF1211" s="46">
        <v>0</v>
      </c>
      <c r="BG1211" s="46" t="s">
        <v>48</v>
      </c>
      <c r="BH1211" s="46">
        <v>0</v>
      </c>
      <c r="BI1211" s="46">
        <v>0</v>
      </c>
      <c r="BJ1211" s="46">
        <v>0</v>
      </c>
      <c r="BK1211" s="46">
        <v>0</v>
      </c>
      <c r="BL1211" s="46">
        <v>0</v>
      </c>
      <c r="BM1211" s="46">
        <v>0</v>
      </c>
      <c r="BN1211" s="46">
        <v>0</v>
      </c>
    </row>
    <row r="1212" spans="1:66" x14ac:dyDescent="0.35">
      <c r="A1212" t="s">
        <v>205</v>
      </c>
      <c r="B1212" s="44" t="s">
        <v>48</v>
      </c>
      <c r="C1212" t="s">
        <v>209</v>
      </c>
      <c r="D1212" t="s">
        <v>208</v>
      </c>
      <c r="E1212" t="s">
        <v>206</v>
      </c>
      <c r="F1212" t="s">
        <v>46</v>
      </c>
      <c r="G1212" t="s">
        <v>83</v>
      </c>
      <c r="H1212">
        <v>0</v>
      </c>
      <c r="I1212" s="60" t="s">
        <v>51</v>
      </c>
      <c r="J1212" s="33" t="s">
        <v>45</v>
      </c>
      <c r="K1212" s="46">
        <v>0</v>
      </c>
      <c r="L1212" t="s">
        <v>48</v>
      </c>
      <c r="M1212" t="s">
        <v>48</v>
      </c>
      <c r="N1212" s="46">
        <v>0</v>
      </c>
      <c r="O1212" s="46">
        <v>0</v>
      </c>
      <c r="P1212" s="46">
        <v>1</v>
      </c>
      <c r="Q1212">
        <v>0.2</v>
      </c>
      <c r="R1212" t="s">
        <v>48</v>
      </c>
      <c r="S1212" t="s">
        <v>207</v>
      </c>
      <c r="T1212" t="s">
        <v>48</v>
      </c>
      <c r="U1212" t="s">
        <v>207</v>
      </c>
      <c r="V1212" s="47">
        <v>0</v>
      </c>
      <c r="W1212" t="s">
        <v>48</v>
      </c>
      <c r="X1212" t="s">
        <v>48</v>
      </c>
      <c r="Y1212" t="s">
        <v>48</v>
      </c>
      <c r="Z1212">
        <v>0</v>
      </c>
      <c r="AA1212" t="s">
        <v>57</v>
      </c>
      <c r="AB1212" t="s">
        <v>48</v>
      </c>
      <c r="AC1212" t="s">
        <v>49</v>
      </c>
      <c r="AD1212" t="s">
        <v>93</v>
      </c>
      <c r="AE1212" t="s">
        <v>4532</v>
      </c>
      <c r="AF1212" t="s">
        <v>48</v>
      </c>
      <c r="AG1212" t="s">
        <v>48</v>
      </c>
      <c r="AH1212" t="s">
        <v>48</v>
      </c>
      <c r="AI1212" t="s">
        <v>48</v>
      </c>
      <c r="AJ1212" t="s">
        <v>48</v>
      </c>
      <c r="AK1212" t="s">
        <v>48</v>
      </c>
      <c r="AL1212" t="s">
        <v>48</v>
      </c>
      <c r="AM1212" t="s">
        <v>48</v>
      </c>
      <c r="AN1212" t="s">
        <v>48</v>
      </c>
      <c r="AO1212" t="s">
        <v>48</v>
      </c>
      <c r="AP1212" s="46">
        <v>0</v>
      </c>
      <c r="AQ1212" s="46">
        <v>0</v>
      </c>
      <c r="AR1212" s="46">
        <v>0</v>
      </c>
      <c r="AS1212" s="46">
        <v>0</v>
      </c>
      <c r="AT1212" s="46">
        <v>0</v>
      </c>
      <c r="AU1212" s="46">
        <v>0</v>
      </c>
      <c r="AV1212" s="46">
        <v>0</v>
      </c>
      <c r="AW1212" s="46">
        <v>0</v>
      </c>
      <c r="AX1212" s="46">
        <v>0</v>
      </c>
      <c r="AY1212" s="46">
        <v>0</v>
      </c>
      <c r="AZ1212" s="46">
        <v>0</v>
      </c>
      <c r="BA1212" s="46">
        <v>0</v>
      </c>
      <c r="BB1212" s="46">
        <v>0</v>
      </c>
      <c r="BC1212" s="46">
        <v>0</v>
      </c>
      <c r="BD1212" s="46">
        <v>0</v>
      </c>
      <c r="BE1212" s="46">
        <v>0</v>
      </c>
      <c r="BF1212" s="46">
        <v>0</v>
      </c>
      <c r="BG1212" s="46" t="s">
        <v>48</v>
      </c>
      <c r="BH1212" s="46">
        <v>0</v>
      </c>
      <c r="BI1212" s="46">
        <v>0</v>
      </c>
      <c r="BJ1212" s="46">
        <v>0</v>
      </c>
      <c r="BK1212" s="46">
        <v>0</v>
      </c>
      <c r="BL1212" s="46">
        <v>0</v>
      </c>
      <c r="BM1212" s="46">
        <v>0</v>
      </c>
      <c r="BN1212" s="46">
        <v>0</v>
      </c>
    </row>
    <row r="1213" spans="1:66" x14ac:dyDescent="0.35">
      <c r="A1213" t="s">
        <v>290</v>
      </c>
      <c r="B1213" s="44" t="s">
        <v>48</v>
      </c>
      <c r="C1213" t="s">
        <v>294</v>
      </c>
      <c r="D1213" t="s">
        <v>293</v>
      </c>
      <c r="E1213" t="s">
        <v>291</v>
      </c>
      <c r="F1213" t="s">
        <v>46</v>
      </c>
      <c r="G1213" t="s">
        <v>214</v>
      </c>
      <c r="H1213">
        <v>0</v>
      </c>
      <c r="I1213" s="60" t="s">
        <v>60</v>
      </c>
      <c r="J1213" s="33" t="s">
        <v>45</v>
      </c>
      <c r="K1213" s="46">
        <v>0</v>
      </c>
      <c r="L1213">
        <v>0.3</v>
      </c>
      <c r="M1213" t="s">
        <v>48</v>
      </c>
      <c r="N1213" s="46">
        <v>0</v>
      </c>
      <c r="O1213" s="46">
        <v>0</v>
      </c>
      <c r="P1213" s="46">
        <v>1</v>
      </c>
      <c r="Q1213">
        <v>0.2</v>
      </c>
      <c r="R1213" t="s">
        <v>48</v>
      </c>
      <c r="S1213" t="s">
        <v>292</v>
      </c>
      <c r="T1213" t="s">
        <v>48</v>
      </c>
      <c r="U1213" t="s">
        <v>292</v>
      </c>
      <c r="V1213" s="47">
        <v>0</v>
      </c>
      <c r="W1213" t="s">
        <v>48</v>
      </c>
      <c r="X1213" t="s">
        <v>48</v>
      </c>
      <c r="Y1213" t="s">
        <v>48</v>
      </c>
      <c r="Z1213">
        <v>0</v>
      </c>
      <c r="AA1213" t="s">
        <v>57</v>
      </c>
      <c r="AB1213" t="s">
        <v>48</v>
      </c>
      <c r="AC1213" t="s">
        <v>49</v>
      </c>
      <c r="AD1213" t="s">
        <v>93</v>
      </c>
      <c r="AE1213" t="s">
        <v>4532</v>
      </c>
      <c r="AF1213" t="s">
        <v>48</v>
      </c>
      <c r="AG1213" t="s">
        <v>48</v>
      </c>
      <c r="AH1213" t="s">
        <v>48</v>
      </c>
      <c r="AI1213" t="s">
        <v>48</v>
      </c>
      <c r="AJ1213" t="s">
        <v>48</v>
      </c>
      <c r="AK1213" t="s">
        <v>48</v>
      </c>
      <c r="AL1213" t="s">
        <v>48</v>
      </c>
      <c r="AM1213" t="s">
        <v>48</v>
      </c>
      <c r="AN1213" t="s">
        <v>48</v>
      </c>
      <c r="AO1213" t="s">
        <v>48</v>
      </c>
      <c r="AP1213" s="46">
        <v>0</v>
      </c>
      <c r="AQ1213" s="46">
        <v>0</v>
      </c>
      <c r="AR1213" s="46">
        <v>0</v>
      </c>
      <c r="AS1213" s="46">
        <v>0</v>
      </c>
      <c r="AT1213" s="46">
        <v>0</v>
      </c>
      <c r="AU1213" s="46">
        <v>0</v>
      </c>
      <c r="AV1213" s="46">
        <v>0</v>
      </c>
      <c r="AW1213" s="46">
        <v>0</v>
      </c>
      <c r="AX1213" s="46">
        <v>0</v>
      </c>
      <c r="AY1213" s="46">
        <v>0</v>
      </c>
      <c r="AZ1213" s="46">
        <v>0</v>
      </c>
      <c r="BA1213" s="46">
        <v>0</v>
      </c>
      <c r="BB1213" s="46">
        <v>0</v>
      </c>
      <c r="BC1213" s="46">
        <v>0</v>
      </c>
      <c r="BD1213" s="46">
        <v>0</v>
      </c>
      <c r="BE1213" s="46">
        <v>0</v>
      </c>
      <c r="BF1213" s="46">
        <v>0</v>
      </c>
      <c r="BG1213" s="46" t="s">
        <v>48</v>
      </c>
      <c r="BH1213" s="46">
        <v>0</v>
      </c>
      <c r="BI1213" s="46">
        <v>0</v>
      </c>
      <c r="BJ1213" s="46">
        <v>0</v>
      </c>
      <c r="BK1213" s="46">
        <v>0</v>
      </c>
      <c r="BL1213" s="46">
        <v>0</v>
      </c>
      <c r="BM1213" s="46">
        <v>0</v>
      </c>
      <c r="BN1213" s="46">
        <v>0</v>
      </c>
    </row>
    <row r="1214" spans="1:66" x14ac:dyDescent="0.35">
      <c r="A1214" t="s">
        <v>192</v>
      </c>
      <c r="B1214" s="44" t="s">
        <v>48</v>
      </c>
      <c r="C1214" t="s">
        <v>194</v>
      </c>
      <c r="D1214" t="s">
        <v>193</v>
      </c>
      <c r="E1214" t="s">
        <v>7886</v>
      </c>
      <c r="F1214" t="s">
        <v>46</v>
      </c>
      <c r="G1214" t="s">
        <v>47</v>
      </c>
      <c r="H1214">
        <v>0</v>
      </c>
      <c r="I1214" s="60" t="s">
        <v>60</v>
      </c>
      <c r="J1214" s="33" t="s">
        <v>45</v>
      </c>
      <c r="K1214" s="46">
        <v>0</v>
      </c>
      <c r="L1214">
        <v>0.2</v>
      </c>
      <c r="M1214" t="s">
        <v>48</v>
      </c>
      <c r="N1214" s="46">
        <v>0</v>
      </c>
      <c r="O1214" s="46">
        <v>0</v>
      </c>
      <c r="P1214" s="46">
        <v>1</v>
      </c>
      <c r="Q1214">
        <v>0.2</v>
      </c>
      <c r="R1214" t="s">
        <v>48</v>
      </c>
      <c r="S1214" t="s">
        <v>48</v>
      </c>
      <c r="T1214" t="s">
        <v>48</v>
      </c>
      <c r="U1214" t="s">
        <v>48</v>
      </c>
      <c r="V1214" s="47">
        <v>0</v>
      </c>
      <c r="W1214" t="s">
        <v>48</v>
      </c>
      <c r="X1214" t="s">
        <v>48</v>
      </c>
      <c r="Y1214" t="s">
        <v>48</v>
      </c>
      <c r="Z1214">
        <v>0</v>
      </c>
      <c r="AA1214" t="s">
        <v>57</v>
      </c>
      <c r="AB1214" t="s">
        <v>48</v>
      </c>
      <c r="AC1214" t="s">
        <v>49</v>
      </c>
      <c r="AD1214" t="s">
        <v>11050</v>
      </c>
      <c r="AE1214" t="s">
        <v>4532</v>
      </c>
      <c r="AF1214" t="s">
        <v>48</v>
      </c>
      <c r="AG1214" t="s">
        <v>48</v>
      </c>
      <c r="AH1214" t="s">
        <v>48</v>
      </c>
      <c r="AI1214" t="s">
        <v>48</v>
      </c>
      <c r="AJ1214" t="s">
        <v>48</v>
      </c>
      <c r="AK1214" t="s">
        <v>48</v>
      </c>
      <c r="AL1214" t="s">
        <v>48</v>
      </c>
      <c r="AM1214" t="s">
        <v>48</v>
      </c>
      <c r="AN1214" t="s">
        <v>48</v>
      </c>
      <c r="AO1214" t="s">
        <v>48</v>
      </c>
      <c r="AP1214" s="46">
        <v>0</v>
      </c>
      <c r="AQ1214" s="46">
        <v>0</v>
      </c>
      <c r="AR1214" s="46">
        <v>0</v>
      </c>
      <c r="AS1214" s="46">
        <v>0</v>
      </c>
      <c r="AT1214" s="46">
        <v>0</v>
      </c>
      <c r="AU1214" s="46">
        <v>0</v>
      </c>
      <c r="AV1214" s="46">
        <v>0</v>
      </c>
      <c r="AW1214" s="46">
        <v>0</v>
      </c>
      <c r="AX1214" s="46">
        <v>0</v>
      </c>
      <c r="AY1214" s="46">
        <v>0</v>
      </c>
      <c r="AZ1214" s="46">
        <v>0</v>
      </c>
      <c r="BA1214" s="46">
        <v>0</v>
      </c>
      <c r="BB1214" s="46">
        <v>0</v>
      </c>
      <c r="BC1214" s="46">
        <v>0</v>
      </c>
      <c r="BD1214" s="46">
        <v>0</v>
      </c>
      <c r="BE1214" s="46">
        <v>0</v>
      </c>
      <c r="BF1214" s="46">
        <v>0</v>
      </c>
      <c r="BG1214" s="46" t="s">
        <v>48</v>
      </c>
      <c r="BH1214" s="46">
        <v>0</v>
      </c>
      <c r="BI1214" s="46">
        <v>0</v>
      </c>
      <c r="BJ1214" s="46">
        <v>0</v>
      </c>
      <c r="BK1214" s="46">
        <v>0</v>
      </c>
      <c r="BL1214" s="46">
        <v>0</v>
      </c>
      <c r="BM1214" s="46">
        <v>0</v>
      </c>
      <c r="BN1214" s="46">
        <v>0</v>
      </c>
    </row>
    <row r="1215" spans="1:66" x14ac:dyDescent="0.35">
      <c r="A1215" t="s">
        <v>270</v>
      </c>
      <c r="B1215" s="44" t="s">
        <v>48</v>
      </c>
      <c r="C1215" t="s">
        <v>274</v>
      </c>
      <c r="D1215" t="s">
        <v>273</v>
      </c>
      <c r="E1215" t="s">
        <v>271</v>
      </c>
      <c r="F1215" t="s">
        <v>46</v>
      </c>
      <c r="G1215" t="s">
        <v>83</v>
      </c>
      <c r="H1215">
        <v>0</v>
      </c>
      <c r="I1215" s="60" t="s">
        <v>60</v>
      </c>
      <c r="J1215" s="33" t="s">
        <v>45</v>
      </c>
      <c r="K1215" s="46">
        <v>0</v>
      </c>
      <c r="L1215" t="s">
        <v>48</v>
      </c>
      <c r="M1215" t="s">
        <v>48</v>
      </c>
      <c r="N1215" s="46">
        <v>0</v>
      </c>
      <c r="O1215" s="46">
        <v>0</v>
      </c>
      <c r="P1215" s="46">
        <v>1</v>
      </c>
      <c r="Q1215">
        <v>3.7</v>
      </c>
      <c r="R1215" t="s">
        <v>48</v>
      </c>
      <c r="S1215" t="s">
        <v>272</v>
      </c>
      <c r="T1215" t="s">
        <v>48</v>
      </c>
      <c r="U1215" t="s">
        <v>272</v>
      </c>
      <c r="V1215" s="47">
        <v>0</v>
      </c>
      <c r="W1215" t="s">
        <v>48</v>
      </c>
      <c r="X1215" t="s">
        <v>48</v>
      </c>
      <c r="Y1215" t="s">
        <v>48</v>
      </c>
      <c r="Z1215">
        <v>0</v>
      </c>
      <c r="AA1215" t="s">
        <v>57</v>
      </c>
      <c r="AB1215" t="s">
        <v>48</v>
      </c>
      <c r="AC1215" t="s">
        <v>49</v>
      </c>
      <c r="AD1215" t="s">
        <v>93</v>
      </c>
      <c r="AE1215" t="s">
        <v>4532</v>
      </c>
      <c r="AF1215" t="s">
        <v>48</v>
      </c>
      <c r="AG1215" t="s">
        <v>48</v>
      </c>
      <c r="AH1215" t="s">
        <v>48</v>
      </c>
      <c r="AI1215" t="s">
        <v>48</v>
      </c>
      <c r="AJ1215" t="s">
        <v>48</v>
      </c>
      <c r="AK1215" t="s">
        <v>48</v>
      </c>
      <c r="AL1215" t="s">
        <v>48</v>
      </c>
      <c r="AM1215" t="s">
        <v>48</v>
      </c>
      <c r="AN1215" t="s">
        <v>48</v>
      </c>
      <c r="AO1215" t="s">
        <v>48</v>
      </c>
      <c r="AP1215" s="46">
        <v>0</v>
      </c>
      <c r="AQ1215" s="46">
        <v>0</v>
      </c>
      <c r="AR1215" s="46">
        <v>0</v>
      </c>
      <c r="AS1215" s="46">
        <v>0</v>
      </c>
      <c r="AT1215" s="46">
        <v>0</v>
      </c>
      <c r="AU1215" s="46">
        <v>0</v>
      </c>
      <c r="AV1215" s="46">
        <v>0</v>
      </c>
      <c r="AW1215" s="46">
        <v>0</v>
      </c>
      <c r="AX1215" s="46">
        <v>0</v>
      </c>
      <c r="AY1215" s="46">
        <v>0</v>
      </c>
      <c r="AZ1215" s="46">
        <v>0</v>
      </c>
      <c r="BA1215" s="46">
        <v>0</v>
      </c>
      <c r="BB1215" s="46">
        <v>0</v>
      </c>
      <c r="BC1215" s="46">
        <v>0</v>
      </c>
      <c r="BD1215" s="46">
        <v>0</v>
      </c>
      <c r="BE1215" s="46">
        <v>0</v>
      </c>
      <c r="BF1215" s="46">
        <v>0</v>
      </c>
      <c r="BG1215" s="46" t="s">
        <v>48</v>
      </c>
      <c r="BH1215" s="46">
        <v>0</v>
      </c>
      <c r="BI1215" s="46">
        <v>0</v>
      </c>
      <c r="BJ1215" s="46">
        <v>0</v>
      </c>
      <c r="BK1215" s="46">
        <v>0</v>
      </c>
      <c r="BL1215" s="46">
        <v>0</v>
      </c>
      <c r="BM1215" s="46">
        <v>0</v>
      </c>
      <c r="BN1215" s="46">
        <v>0</v>
      </c>
    </row>
    <row r="1216" spans="1:66" x14ac:dyDescent="0.35">
      <c r="A1216" t="s">
        <v>218</v>
      </c>
      <c r="B1216" s="44" t="s">
        <v>48</v>
      </c>
      <c r="C1216" t="s">
        <v>222</v>
      </c>
      <c r="D1216" t="s">
        <v>221</v>
      </c>
      <c r="E1216" t="s">
        <v>219</v>
      </c>
      <c r="F1216" t="s">
        <v>46</v>
      </c>
      <c r="G1216" t="s">
        <v>47</v>
      </c>
      <c r="H1216">
        <v>0</v>
      </c>
      <c r="I1216" s="60" t="s">
        <v>60</v>
      </c>
      <c r="J1216" s="33" t="s">
        <v>45</v>
      </c>
      <c r="K1216" s="46">
        <v>0</v>
      </c>
      <c r="L1216" t="s">
        <v>48</v>
      </c>
      <c r="M1216" t="s">
        <v>48</v>
      </c>
      <c r="N1216" s="46">
        <v>0</v>
      </c>
      <c r="O1216" s="46">
        <v>0</v>
      </c>
      <c r="P1216" s="46">
        <v>1</v>
      </c>
      <c r="Q1216">
        <v>0.1</v>
      </c>
      <c r="R1216" t="s">
        <v>48</v>
      </c>
      <c r="S1216" t="s">
        <v>220</v>
      </c>
      <c r="T1216" t="s">
        <v>48</v>
      </c>
      <c r="U1216" t="s">
        <v>220</v>
      </c>
      <c r="V1216" s="47">
        <v>0</v>
      </c>
      <c r="W1216" t="s">
        <v>48</v>
      </c>
      <c r="X1216" t="s">
        <v>48</v>
      </c>
      <c r="Y1216" t="s">
        <v>48</v>
      </c>
      <c r="Z1216">
        <v>0</v>
      </c>
      <c r="AA1216" t="s">
        <v>57</v>
      </c>
      <c r="AB1216" t="s">
        <v>48</v>
      </c>
      <c r="AC1216" t="s">
        <v>49</v>
      </c>
      <c r="AD1216" t="s">
        <v>93</v>
      </c>
      <c r="AE1216" t="s">
        <v>4532</v>
      </c>
      <c r="AF1216" t="s">
        <v>48</v>
      </c>
      <c r="AG1216" t="s">
        <v>48</v>
      </c>
      <c r="AH1216" t="s">
        <v>48</v>
      </c>
      <c r="AI1216" t="s">
        <v>48</v>
      </c>
      <c r="AJ1216" t="s">
        <v>48</v>
      </c>
      <c r="AK1216" t="s">
        <v>48</v>
      </c>
      <c r="AL1216" t="s">
        <v>48</v>
      </c>
      <c r="AM1216" t="s">
        <v>48</v>
      </c>
      <c r="AN1216" t="s">
        <v>48</v>
      </c>
      <c r="AO1216" t="s">
        <v>48</v>
      </c>
      <c r="AP1216" s="46">
        <v>0</v>
      </c>
      <c r="AQ1216" s="46">
        <v>0</v>
      </c>
      <c r="AR1216" s="46">
        <v>0</v>
      </c>
      <c r="AS1216" s="46">
        <v>0</v>
      </c>
      <c r="AT1216" s="46">
        <v>0</v>
      </c>
      <c r="AU1216" s="46">
        <v>0</v>
      </c>
      <c r="AV1216" s="46">
        <v>0</v>
      </c>
      <c r="AW1216" s="46">
        <v>0</v>
      </c>
      <c r="AX1216" s="46">
        <v>0</v>
      </c>
      <c r="AY1216" s="46">
        <v>0</v>
      </c>
      <c r="AZ1216" s="46">
        <v>0</v>
      </c>
      <c r="BA1216" s="46">
        <v>0</v>
      </c>
      <c r="BB1216" s="46">
        <v>0</v>
      </c>
      <c r="BC1216" s="46">
        <v>0</v>
      </c>
      <c r="BD1216" s="46">
        <v>0</v>
      </c>
      <c r="BE1216" s="46">
        <v>0</v>
      </c>
      <c r="BF1216" s="46">
        <v>0</v>
      </c>
      <c r="BG1216" s="46" t="s">
        <v>48</v>
      </c>
      <c r="BH1216" s="46">
        <v>0</v>
      </c>
      <c r="BI1216" s="46">
        <v>0</v>
      </c>
      <c r="BJ1216" s="46">
        <v>0</v>
      </c>
      <c r="BK1216" s="46">
        <v>0</v>
      </c>
      <c r="BL1216" s="46">
        <v>0</v>
      </c>
      <c r="BM1216" s="46">
        <v>0</v>
      </c>
      <c r="BN1216" s="46">
        <v>0</v>
      </c>
    </row>
    <row r="1217" spans="1:66" x14ac:dyDescent="0.35">
      <c r="A1217" t="s">
        <v>232</v>
      </c>
      <c r="B1217" s="44" t="s">
        <v>48</v>
      </c>
      <c r="C1217" t="s">
        <v>234</v>
      </c>
      <c r="D1217" t="s">
        <v>221</v>
      </c>
      <c r="E1217" t="s">
        <v>233</v>
      </c>
      <c r="F1217" t="s">
        <v>46</v>
      </c>
      <c r="G1217" t="s">
        <v>47</v>
      </c>
      <c r="H1217">
        <v>0</v>
      </c>
      <c r="I1217" s="60" t="s">
        <v>60</v>
      </c>
      <c r="J1217" s="33" t="s">
        <v>45</v>
      </c>
      <c r="K1217" s="46">
        <v>0</v>
      </c>
      <c r="L1217" t="s">
        <v>48</v>
      </c>
      <c r="M1217" t="s">
        <v>48</v>
      </c>
      <c r="N1217" s="46">
        <v>0</v>
      </c>
      <c r="O1217" s="46">
        <v>0</v>
      </c>
      <c r="P1217" s="46">
        <v>1</v>
      </c>
      <c r="Q1217">
        <v>2.4</v>
      </c>
      <c r="R1217" t="s">
        <v>48</v>
      </c>
      <c r="S1217" t="s">
        <v>48</v>
      </c>
      <c r="T1217" t="s">
        <v>48</v>
      </c>
      <c r="U1217" t="s">
        <v>48</v>
      </c>
      <c r="V1217" s="47">
        <v>0</v>
      </c>
      <c r="W1217" t="s">
        <v>48</v>
      </c>
      <c r="X1217" t="s">
        <v>48</v>
      </c>
      <c r="Y1217" t="s">
        <v>48</v>
      </c>
      <c r="Z1217">
        <v>0</v>
      </c>
      <c r="AA1217" t="s">
        <v>57</v>
      </c>
      <c r="AB1217" t="s">
        <v>48</v>
      </c>
      <c r="AC1217" t="s">
        <v>49</v>
      </c>
      <c r="AD1217" t="s">
        <v>93</v>
      </c>
      <c r="AE1217" t="s">
        <v>4532</v>
      </c>
      <c r="AF1217" t="s">
        <v>48</v>
      </c>
      <c r="AG1217" t="s">
        <v>48</v>
      </c>
      <c r="AH1217" t="s">
        <v>48</v>
      </c>
      <c r="AI1217" t="s">
        <v>48</v>
      </c>
      <c r="AJ1217" t="s">
        <v>48</v>
      </c>
      <c r="AK1217" t="s">
        <v>48</v>
      </c>
      <c r="AL1217" t="s">
        <v>48</v>
      </c>
      <c r="AM1217" t="s">
        <v>48</v>
      </c>
      <c r="AN1217" t="s">
        <v>48</v>
      </c>
      <c r="AO1217" t="s">
        <v>48</v>
      </c>
      <c r="AP1217" s="46">
        <v>0</v>
      </c>
      <c r="AQ1217" s="46">
        <v>0</v>
      </c>
      <c r="AR1217" s="46">
        <v>0</v>
      </c>
      <c r="AS1217" s="46">
        <v>0</v>
      </c>
      <c r="AT1217" s="46">
        <v>0</v>
      </c>
      <c r="AU1217" s="46">
        <v>0</v>
      </c>
      <c r="AV1217" s="46">
        <v>0</v>
      </c>
      <c r="AW1217" s="46">
        <v>0</v>
      </c>
      <c r="AX1217" s="46">
        <v>0</v>
      </c>
      <c r="AY1217" s="46">
        <v>0</v>
      </c>
      <c r="AZ1217" s="46">
        <v>0</v>
      </c>
      <c r="BA1217" s="46">
        <v>0</v>
      </c>
      <c r="BB1217" s="46">
        <v>0</v>
      </c>
      <c r="BC1217" s="46">
        <v>0</v>
      </c>
      <c r="BD1217" s="46">
        <v>0</v>
      </c>
      <c r="BE1217" s="46">
        <v>0</v>
      </c>
      <c r="BF1217" s="46">
        <v>0</v>
      </c>
      <c r="BG1217" s="46" t="s">
        <v>48</v>
      </c>
      <c r="BH1217" s="46">
        <v>0</v>
      </c>
      <c r="BI1217" s="46">
        <v>0</v>
      </c>
      <c r="BJ1217" s="46">
        <v>0</v>
      </c>
      <c r="BK1217" s="46">
        <v>0</v>
      </c>
      <c r="BL1217" s="46">
        <v>0</v>
      </c>
      <c r="BM1217" s="46">
        <v>0</v>
      </c>
      <c r="BN1217" s="46">
        <v>0</v>
      </c>
    </row>
    <row r="1218" spans="1:66" x14ac:dyDescent="0.35">
      <c r="A1218" t="s">
        <v>263</v>
      </c>
      <c r="B1218" s="44" t="s">
        <v>48</v>
      </c>
      <c r="C1218" t="s">
        <v>267</v>
      </c>
      <c r="D1218" t="s">
        <v>221</v>
      </c>
      <c r="E1218" t="s">
        <v>264</v>
      </c>
      <c r="F1218" t="s">
        <v>46</v>
      </c>
      <c r="G1218" t="s">
        <v>265</v>
      </c>
      <c r="H1218">
        <v>0</v>
      </c>
      <c r="I1218" s="60" t="s">
        <v>60</v>
      </c>
      <c r="J1218" s="33" t="s">
        <v>45</v>
      </c>
      <c r="K1218" s="46">
        <v>0</v>
      </c>
      <c r="L1218" t="s">
        <v>48</v>
      </c>
      <c r="M1218" t="s">
        <v>48</v>
      </c>
      <c r="N1218" s="46">
        <v>0</v>
      </c>
      <c r="O1218" s="46">
        <v>0</v>
      </c>
      <c r="P1218" s="46">
        <v>1</v>
      </c>
      <c r="Q1218">
        <v>0.2</v>
      </c>
      <c r="R1218" t="s">
        <v>48</v>
      </c>
      <c r="S1218" t="s">
        <v>48</v>
      </c>
      <c r="T1218" t="s">
        <v>48</v>
      </c>
      <c r="U1218" t="s">
        <v>48</v>
      </c>
      <c r="V1218" s="47">
        <v>0</v>
      </c>
      <c r="W1218" t="s">
        <v>48</v>
      </c>
      <c r="X1218" t="s">
        <v>48</v>
      </c>
      <c r="Y1218" t="s">
        <v>48</v>
      </c>
      <c r="Z1218">
        <v>0</v>
      </c>
      <c r="AA1218" t="s">
        <v>57</v>
      </c>
      <c r="AB1218" t="s">
        <v>48</v>
      </c>
      <c r="AC1218" t="s">
        <v>49</v>
      </c>
      <c r="AD1218" t="s">
        <v>93</v>
      </c>
      <c r="AE1218" t="s">
        <v>4532</v>
      </c>
      <c r="AF1218" t="s">
        <v>48</v>
      </c>
      <c r="AG1218" t="s">
        <v>266</v>
      </c>
      <c r="AH1218" t="s">
        <v>48</v>
      </c>
      <c r="AI1218" t="s">
        <v>48</v>
      </c>
      <c r="AJ1218" t="s">
        <v>48</v>
      </c>
      <c r="AK1218" t="s">
        <v>48</v>
      </c>
      <c r="AL1218" t="s">
        <v>48</v>
      </c>
      <c r="AM1218" t="s">
        <v>48</v>
      </c>
      <c r="AN1218" t="s">
        <v>48</v>
      </c>
      <c r="AO1218" t="s">
        <v>48</v>
      </c>
      <c r="AP1218" s="46">
        <v>0</v>
      </c>
      <c r="AQ1218" s="46">
        <v>0</v>
      </c>
      <c r="AR1218" s="46">
        <v>0</v>
      </c>
      <c r="AS1218" s="46">
        <v>0</v>
      </c>
      <c r="AT1218" s="46">
        <v>0</v>
      </c>
      <c r="AU1218" s="46">
        <v>0</v>
      </c>
      <c r="AV1218" s="46">
        <v>0</v>
      </c>
      <c r="AW1218" s="46">
        <v>0</v>
      </c>
      <c r="AX1218" s="46">
        <v>0</v>
      </c>
      <c r="AY1218" s="46">
        <v>0</v>
      </c>
      <c r="AZ1218" s="46">
        <v>0</v>
      </c>
      <c r="BA1218" s="46">
        <v>0</v>
      </c>
      <c r="BB1218" s="46">
        <v>0</v>
      </c>
      <c r="BC1218" s="46">
        <v>0</v>
      </c>
      <c r="BD1218" s="46">
        <v>0</v>
      </c>
      <c r="BE1218" s="46">
        <v>0</v>
      </c>
      <c r="BF1218" s="46">
        <v>0</v>
      </c>
      <c r="BG1218" s="46" t="s">
        <v>48</v>
      </c>
      <c r="BH1218" s="46">
        <v>0</v>
      </c>
      <c r="BI1218" s="46">
        <v>0</v>
      </c>
      <c r="BJ1218" s="46">
        <v>0</v>
      </c>
      <c r="BK1218" s="46">
        <v>0</v>
      </c>
      <c r="BL1218" s="46">
        <v>0</v>
      </c>
      <c r="BM1218" s="46">
        <v>0</v>
      </c>
      <c r="BN1218" s="46">
        <v>0</v>
      </c>
    </row>
    <row r="1219" spans="1:66" x14ac:dyDescent="0.35">
      <c r="A1219" t="s">
        <v>313</v>
      </c>
      <c r="B1219" s="44" t="s">
        <v>48</v>
      </c>
      <c r="C1219" t="s">
        <v>317</v>
      </c>
      <c r="D1219" t="s">
        <v>316</v>
      </c>
      <c r="E1219" t="s">
        <v>314</v>
      </c>
      <c r="F1219" t="s">
        <v>46</v>
      </c>
      <c r="G1219" t="s">
        <v>47</v>
      </c>
      <c r="H1219">
        <v>0</v>
      </c>
      <c r="I1219" s="60" t="s">
        <v>60</v>
      </c>
      <c r="J1219" s="33" t="s">
        <v>45</v>
      </c>
      <c r="K1219" s="46">
        <v>0</v>
      </c>
      <c r="L1219" t="s">
        <v>48</v>
      </c>
      <c r="M1219" t="s">
        <v>48</v>
      </c>
      <c r="N1219" s="46">
        <v>0</v>
      </c>
      <c r="O1219" s="46">
        <v>0</v>
      </c>
      <c r="P1219" s="46">
        <v>1</v>
      </c>
      <c r="Q1219">
        <v>2.2999999999999998</v>
      </c>
      <c r="R1219" t="s">
        <v>48</v>
      </c>
      <c r="S1219" t="s">
        <v>315</v>
      </c>
      <c r="T1219" t="s">
        <v>48</v>
      </c>
      <c r="U1219" t="s">
        <v>315</v>
      </c>
      <c r="V1219" s="47">
        <v>0</v>
      </c>
      <c r="W1219" t="s">
        <v>48</v>
      </c>
      <c r="X1219" t="s">
        <v>48</v>
      </c>
      <c r="Y1219" t="s">
        <v>48</v>
      </c>
      <c r="Z1219">
        <v>0</v>
      </c>
      <c r="AA1219" t="s">
        <v>57</v>
      </c>
      <c r="AB1219" t="s">
        <v>48</v>
      </c>
      <c r="AC1219" t="s">
        <v>49</v>
      </c>
      <c r="AD1219" t="s">
        <v>93</v>
      </c>
      <c r="AE1219" t="s">
        <v>4532</v>
      </c>
      <c r="AF1219" t="s">
        <v>48</v>
      </c>
      <c r="AG1219" t="s">
        <v>48</v>
      </c>
      <c r="AH1219" t="s">
        <v>48</v>
      </c>
      <c r="AI1219" t="s">
        <v>48</v>
      </c>
      <c r="AJ1219" t="s">
        <v>48</v>
      </c>
      <c r="AK1219" t="s">
        <v>48</v>
      </c>
      <c r="AL1219" t="s">
        <v>48</v>
      </c>
      <c r="AM1219" t="s">
        <v>48</v>
      </c>
      <c r="AN1219" t="s">
        <v>48</v>
      </c>
      <c r="AO1219" t="s">
        <v>48</v>
      </c>
      <c r="AP1219" s="46">
        <v>0</v>
      </c>
      <c r="AQ1219" s="46">
        <v>0</v>
      </c>
      <c r="AR1219" s="46">
        <v>0</v>
      </c>
      <c r="AS1219" s="46">
        <v>0</v>
      </c>
      <c r="AT1219" s="46">
        <v>0</v>
      </c>
      <c r="AU1219" s="46">
        <v>0</v>
      </c>
      <c r="AV1219" s="46">
        <v>0</v>
      </c>
      <c r="AW1219" s="46">
        <v>0</v>
      </c>
      <c r="AX1219" s="46">
        <v>0</v>
      </c>
      <c r="AY1219" s="46">
        <v>0</v>
      </c>
      <c r="AZ1219" s="46">
        <v>0</v>
      </c>
      <c r="BA1219" s="46">
        <v>0</v>
      </c>
      <c r="BB1219" s="46">
        <v>0</v>
      </c>
      <c r="BC1219" s="46">
        <v>0</v>
      </c>
      <c r="BD1219" s="46">
        <v>0</v>
      </c>
      <c r="BE1219" s="46">
        <v>0</v>
      </c>
      <c r="BF1219" s="46">
        <v>0</v>
      </c>
      <c r="BG1219" s="46" t="s">
        <v>48</v>
      </c>
      <c r="BH1219" s="46">
        <v>0</v>
      </c>
      <c r="BI1219" s="46">
        <v>0</v>
      </c>
      <c r="BJ1219" s="46">
        <v>0</v>
      </c>
      <c r="BK1219" s="46">
        <v>0</v>
      </c>
      <c r="BL1219" s="46">
        <v>0</v>
      </c>
      <c r="BM1219" s="46">
        <v>0</v>
      </c>
      <c r="BN1219" s="46">
        <v>0</v>
      </c>
    </row>
    <row r="1220" spans="1:66" x14ac:dyDescent="0.35">
      <c r="A1220" t="s">
        <v>239</v>
      </c>
      <c r="B1220" s="44" t="s">
        <v>48</v>
      </c>
      <c r="C1220" t="s">
        <v>11597</v>
      </c>
      <c r="D1220" t="s">
        <v>11598</v>
      </c>
      <c r="E1220" t="s">
        <v>240</v>
      </c>
      <c r="F1220" t="s">
        <v>46</v>
      </c>
      <c r="G1220" t="s">
        <v>83</v>
      </c>
      <c r="H1220">
        <v>0</v>
      </c>
      <c r="I1220" s="60" t="s">
        <v>60</v>
      </c>
      <c r="J1220" s="33" t="s">
        <v>45</v>
      </c>
      <c r="K1220" s="46">
        <v>0</v>
      </c>
      <c r="L1220">
        <v>0.1</v>
      </c>
      <c r="M1220" t="s">
        <v>48</v>
      </c>
      <c r="N1220" s="46">
        <v>0</v>
      </c>
      <c r="O1220" s="46">
        <v>0</v>
      </c>
      <c r="P1220" s="46">
        <v>1</v>
      </c>
      <c r="Q1220">
        <v>0.1</v>
      </c>
      <c r="R1220" t="s">
        <v>48</v>
      </c>
      <c r="S1220" t="s">
        <v>48</v>
      </c>
      <c r="T1220" t="s">
        <v>48</v>
      </c>
      <c r="U1220" t="s">
        <v>48</v>
      </c>
      <c r="V1220" s="47">
        <v>0</v>
      </c>
      <c r="W1220" t="s">
        <v>48</v>
      </c>
      <c r="X1220" t="s">
        <v>48</v>
      </c>
      <c r="Y1220" t="s">
        <v>48</v>
      </c>
      <c r="Z1220">
        <v>0</v>
      </c>
      <c r="AA1220" t="s">
        <v>57</v>
      </c>
      <c r="AB1220" t="s">
        <v>48</v>
      </c>
      <c r="AC1220" t="s">
        <v>63</v>
      </c>
      <c r="AD1220" t="s">
        <v>48</v>
      </c>
      <c r="AE1220" t="s">
        <v>48</v>
      </c>
      <c r="AF1220" t="s">
        <v>48</v>
      </c>
      <c r="AG1220" t="s">
        <v>48</v>
      </c>
      <c r="AH1220" t="s">
        <v>48</v>
      </c>
      <c r="AI1220" t="s">
        <v>48</v>
      </c>
      <c r="AJ1220" t="s">
        <v>48</v>
      </c>
      <c r="AK1220" t="s">
        <v>48</v>
      </c>
      <c r="AL1220" t="s">
        <v>48</v>
      </c>
      <c r="AM1220" t="s">
        <v>48</v>
      </c>
      <c r="AN1220" t="s">
        <v>48</v>
      </c>
      <c r="AO1220" t="s">
        <v>48</v>
      </c>
      <c r="AP1220" s="46">
        <v>0</v>
      </c>
      <c r="AQ1220" s="46">
        <v>0</v>
      </c>
      <c r="AR1220" s="46">
        <v>0</v>
      </c>
      <c r="AS1220" s="46">
        <v>0</v>
      </c>
      <c r="AT1220" s="46">
        <v>0</v>
      </c>
      <c r="AU1220" s="46">
        <v>0</v>
      </c>
      <c r="AV1220" s="46">
        <v>0</v>
      </c>
      <c r="AW1220" s="46">
        <v>0</v>
      </c>
      <c r="AX1220" s="46">
        <v>0</v>
      </c>
      <c r="AY1220" s="46">
        <v>0</v>
      </c>
      <c r="AZ1220" s="46">
        <v>0</v>
      </c>
      <c r="BA1220" s="46">
        <v>0</v>
      </c>
      <c r="BB1220" s="46">
        <v>0</v>
      </c>
      <c r="BC1220" s="46">
        <v>0</v>
      </c>
      <c r="BD1220" s="46">
        <v>0</v>
      </c>
      <c r="BE1220" s="46">
        <v>0</v>
      </c>
      <c r="BF1220" s="46">
        <v>0</v>
      </c>
      <c r="BG1220" s="46" t="s">
        <v>48</v>
      </c>
      <c r="BH1220" s="46">
        <v>0</v>
      </c>
      <c r="BI1220" s="46">
        <v>0</v>
      </c>
      <c r="BJ1220" s="46">
        <v>0</v>
      </c>
      <c r="BK1220" s="46">
        <v>0</v>
      </c>
      <c r="BL1220" s="46">
        <v>0</v>
      </c>
      <c r="BM1220" s="46">
        <v>0</v>
      </c>
      <c r="BN1220" s="46">
        <v>0</v>
      </c>
    </row>
    <row r="1221" spans="1:66" x14ac:dyDescent="0.35">
      <c r="A1221" t="s">
        <v>246</v>
      </c>
      <c r="B1221" s="44" t="s">
        <v>48</v>
      </c>
      <c r="C1221" t="s">
        <v>250</v>
      </c>
      <c r="D1221" t="s">
        <v>249</v>
      </c>
      <c r="E1221" t="s">
        <v>247</v>
      </c>
      <c r="F1221" t="s">
        <v>46</v>
      </c>
      <c r="G1221" t="s">
        <v>83</v>
      </c>
      <c r="H1221">
        <v>0</v>
      </c>
      <c r="I1221" s="60" t="s">
        <v>60</v>
      </c>
      <c r="J1221" s="33" t="s">
        <v>45</v>
      </c>
      <c r="K1221" s="46">
        <v>0</v>
      </c>
      <c r="L1221" t="s">
        <v>48</v>
      </c>
      <c r="M1221" t="s">
        <v>48</v>
      </c>
      <c r="N1221" s="46">
        <v>0</v>
      </c>
      <c r="O1221" s="46">
        <v>0</v>
      </c>
      <c r="P1221" s="46">
        <v>1</v>
      </c>
      <c r="Q1221">
        <v>0.2</v>
      </c>
      <c r="R1221" t="s">
        <v>48</v>
      </c>
      <c r="S1221" t="s">
        <v>248</v>
      </c>
      <c r="T1221" t="s">
        <v>48</v>
      </c>
      <c r="U1221" t="s">
        <v>248</v>
      </c>
      <c r="V1221" s="47">
        <v>0</v>
      </c>
      <c r="W1221" t="s">
        <v>48</v>
      </c>
      <c r="X1221" t="s">
        <v>48</v>
      </c>
      <c r="Y1221" t="s">
        <v>48</v>
      </c>
      <c r="Z1221">
        <v>0</v>
      </c>
      <c r="AA1221" t="s">
        <v>57</v>
      </c>
      <c r="AB1221" t="s">
        <v>48</v>
      </c>
      <c r="AC1221" t="s">
        <v>63</v>
      </c>
      <c r="AD1221" t="s">
        <v>93</v>
      </c>
      <c r="AE1221" t="s">
        <v>11051</v>
      </c>
      <c r="AF1221" t="s">
        <v>11052</v>
      </c>
      <c r="AG1221" t="s">
        <v>48</v>
      </c>
      <c r="AH1221" t="s">
        <v>48</v>
      </c>
      <c r="AI1221" t="s">
        <v>48</v>
      </c>
      <c r="AJ1221" t="s">
        <v>48</v>
      </c>
      <c r="AK1221" t="s">
        <v>48</v>
      </c>
      <c r="AL1221" t="s">
        <v>48</v>
      </c>
      <c r="AM1221" t="s">
        <v>48</v>
      </c>
      <c r="AN1221" t="s">
        <v>48</v>
      </c>
      <c r="AO1221" t="s">
        <v>48</v>
      </c>
      <c r="AP1221" s="46">
        <v>0</v>
      </c>
      <c r="AQ1221" s="46">
        <v>0</v>
      </c>
      <c r="AR1221" s="46">
        <v>0</v>
      </c>
      <c r="AS1221" s="46">
        <v>0</v>
      </c>
      <c r="AT1221" s="46">
        <v>0</v>
      </c>
      <c r="AU1221" s="46">
        <v>0</v>
      </c>
      <c r="AV1221" s="46">
        <v>0</v>
      </c>
      <c r="AW1221" s="46">
        <v>0</v>
      </c>
      <c r="AX1221" s="46">
        <v>0</v>
      </c>
      <c r="AY1221" s="46">
        <v>0</v>
      </c>
      <c r="AZ1221" s="46">
        <v>0</v>
      </c>
      <c r="BA1221" s="46">
        <v>0</v>
      </c>
      <c r="BB1221" s="46">
        <v>0</v>
      </c>
      <c r="BC1221" s="46">
        <v>0</v>
      </c>
      <c r="BD1221" s="46">
        <v>0</v>
      </c>
      <c r="BE1221" s="46">
        <v>0</v>
      </c>
      <c r="BF1221" s="46">
        <v>0</v>
      </c>
      <c r="BG1221" s="46" t="s">
        <v>48</v>
      </c>
      <c r="BH1221" s="46">
        <v>0</v>
      </c>
      <c r="BI1221" s="46">
        <v>0</v>
      </c>
      <c r="BJ1221" s="46">
        <v>0</v>
      </c>
      <c r="BK1221" s="46">
        <v>0</v>
      </c>
      <c r="BL1221" s="46">
        <v>0</v>
      </c>
      <c r="BM1221" s="46">
        <v>0</v>
      </c>
      <c r="BN1221" s="46">
        <v>0</v>
      </c>
    </row>
    <row r="1222" spans="1:66" x14ac:dyDescent="0.35">
      <c r="A1222" t="s">
        <v>55</v>
      </c>
      <c r="B1222" s="44" t="s">
        <v>48</v>
      </c>
      <c r="C1222" t="s">
        <v>59</v>
      </c>
      <c r="D1222" t="s">
        <v>58</v>
      </c>
      <c r="E1222" t="s">
        <v>56</v>
      </c>
      <c r="F1222" t="s">
        <v>46</v>
      </c>
      <c r="G1222" t="s">
        <v>47</v>
      </c>
      <c r="H1222">
        <v>0</v>
      </c>
      <c r="I1222" s="60" t="s">
        <v>60</v>
      </c>
      <c r="J1222" s="33" t="s">
        <v>45</v>
      </c>
      <c r="K1222" s="46">
        <v>0</v>
      </c>
      <c r="L1222" t="s">
        <v>48</v>
      </c>
      <c r="M1222" t="s">
        <v>48</v>
      </c>
      <c r="N1222" s="46">
        <v>0</v>
      </c>
      <c r="O1222" s="46">
        <v>0</v>
      </c>
      <c r="P1222" s="46">
        <v>1</v>
      </c>
      <c r="Q1222">
        <v>0.1</v>
      </c>
      <c r="R1222" t="s">
        <v>48</v>
      </c>
      <c r="S1222" t="s">
        <v>48</v>
      </c>
      <c r="T1222" t="s">
        <v>48</v>
      </c>
      <c r="U1222" t="s">
        <v>48</v>
      </c>
      <c r="V1222" s="47">
        <v>0</v>
      </c>
      <c r="W1222" t="s">
        <v>48</v>
      </c>
      <c r="X1222" t="s">
        <v>48</v>
      </c>
      <c r="Y1222" t="s">
        <v>48</v>
      </c>
      <c r="Z1222">
        <v>0</v>
      </c>
      <c r="AA1222" t="s">
        <v>57</v>
      </c>
      <c r="AB1222" t="s">
        <v>48</v>
      </c>
      <c r="AC1222" t="s">
        <v>49</v>
      </c>
      <c r="AD1222" t="s">
        <v>93</v>
      </c>
      <c r="AE1222" t="s">
        <v>4532</v>
      </c>
      <c r="AF1222" t="s">
        <v>48</v>
      </c>
      <c r="AG1222" t="s">
        <v>48</v>
      </c>
      <c r="AH1222" t="s">
        <v>48</v>
      </c>
      <c r="AI1222" t="s">
        <v>48</v>
      </c>
      <c r="AJ1222" t="s">
        <v>48</v>
      </c>
      <c r="AK1222" t="s">
        <v>48</v>
      </c>
      <c r="AL1222" t="s">
        <v>48</v>
      </c>
      <c r="AM1222" t="s">
        <v>48</v>
      </c>
      <c r="AN1222" t="s">
        <v>48</v>
      </c>
      <c r="AO1222" t="s">
        <v>48</v>
      </c>
      <c r="AP1222" s="46">
        <v>0</v>
      </c>
      <c r="AQ1222" s="46">
        <v>0</v>
      </c>
      <c r="AR1222" s="46">
        <v>0</v>
      </c>
      <c r="AS1222" s="46">
        <v>0</v>
      </c>
      <c r="AT1222" s="46">
        <v>0</v>
      </c>
      <c r="AU1222" s="46">
        <v>0</v>
      </c>
      <c r="AV1222" s="46">
        <v>0</v>
      </c>
      <c r="AW1222" s="46">
        <v>0</v>
      </c>
      <c r="AX1222" s="46">
        <v>0</v>
      </c>
      <c r="AY1222" s="46">
        <v>0</v>
      </c>
      <c r="AZ1222" s="46">
        <v>0</v>
      </c>
      <c r="BA1222" s="46">
        <v>0</v>
      </c>
      <c r="BB1222" s="46">
        <v>0</v>
      </c>
      <c r="BC1222" s="46">
        <v>0</v>
      </c>
      <c r="BD1222" s="46">
        <v>0</v>
      </c>
      <c r="BE1222" s="46">
        <v>0</v>
      </c>
      <c r="BF1222" s="46">
        <v>0</v>
      </c>
      <c r="BG1222" s="46" t="s">
        <v>48</v>
      </c>
      <c r="BH1222" s="46">
        <v>0</v>
      </c>
      <c r="BI1222" s="46">
        <v>0</v>
      </c>
      <c r="BJ1222" s="46">
        <v>0</v>
      </c>
      <c r="BK1222" s="46">
        <v>0</v>
      </c>
      <c r="BL1222" s="46">
        <v>0</v>
      </c>
      <c r="BM1222" s="46">
        <v>0</v>
      </c>
      <c r="BN1222" s="46">
        <v>0</v>
      </c>
    </row>
    <row r="1223" spans="1:66" x14ac:dyDescent="0.35">
      <c r="A1223" t="s">
        <v>286</v>
      </c>
      <c r="B1223" s="44" t="s">
        <v>48</v>
      </c>
      <c r="C1223" t="s">
        <v>289</v>
      </c>
      <c r="D1223" t="s">
        <v>288</v>
      </c>
      <c r="E1223" t="s">
        <v>287</v>
      </c>
      <c r="F1223" t="s">
        <v>46</v>
      </c>
      <c r="G1223" t="s">
        <v>74</v>
      </c>
      <c r="H1223">
        <v>0</v>
      </c>
      <c r="I1223" s="60" t="s">
        <v>60</v>
      </c>
      <c r="J1223" s="33" t="s">
        <v>45</v>
      </c>
      <c r="K1223" s="46">
        <v>0</v>
      </c>
      <c r="L1223" t="s">
        <v>48</v>
      </c>
      <c r="M1223" t="s">
        <v>48</v>
      </c>
      <c r="N1223" s="46">
        <v>0</v>
      </c>
      <c r="O1223" s="46">
        <v>0</v>
      </c>
      <c r="P1223" s="46">
        <v>1</v>
      </c>
      <c r="Q1223">
        <v>0.4</v>
      </c>
      <c r="R1223" t="s">
        <v>48</v>
      </c>
      <c r="S1223" t="s">
        <v>48</v>
      </c>
      <c r="T1223" t="s">
        <v>48</v>
      </c>
      <c r="U1223" t="s">
        <v>48</v>
      </c>
      <c r="V1223" s="47">
        <v>0</v>
      </c>
      <c r="W1223" t="s">
        <v>48</v>
      </c>
      <c r="X1223" t="s">
        <v>48</v>
      </c>
      <c r="Y1223" t="s">
        <v>48</v>
      </c>
      <c r="Z1223">
        <v>0</v>
      </c>
      <c r="AA1223" t="s">
        <v>57</v>
      </c>
      <c r="AB1223" t="s">
        <v>48</v>
      </c>
      <c r="AC1223" t="s">
        <v>49</v>
      </c>
      <c r="AD1223" t="s">
        <v>48</v>
      </c>
      <c r="AE1223" t="s">
        <v>48</v>
      </c>
      <c r="AF1223" t="s">
        <v>48</v>
      </c>
      <c r="AG1223" t="s">
        <v>48</v>
      </c>
      <c r="AH1223" t="s">
        <v>48</v>
      </c>
      <c r="AI1223" t="s">
        <v>48</v>
      </c>
      <c r="AJ1223" t="s">
        <v>48</v>
      </c>
      <c r="AK1223" t="s">
        <v>48</v>
      </c>
      <c r="AL1223" t="s">
        <v>48</v>
      </c>
      <c r="AM1223" t="s">
        <v>48</v>
      </c>
      <c r="AN1223" t="s">
        <v>48</v>
      </c>
      <c r="AO1223" t="s">
        <v>48</v>
      </c>
      <c r="AP1223" s="46">
        <v>0</v>
      </c>
      <c r="AQ1223" s="46">
        <v>0</v>
      </c>
      <c r="AR1223" s="46">
        <v>0</v>
      </c>
      <c r="AS1223" s="46">
        <v>0</v>
      </c>
      <c r="AT1223" s="46">
        <v>0</v>
      </c>
      <c r="AU1223" s="46">
        <v>0</v>
      </c>
      <c r="AV1223" s="46">
        <v>0</v>
      </c>
      <c r="AW1223" s="46">
        <v>0</v>
      </c>
      <c r="AX1223" s="46">
        <v>0</v>
      </c>
      <c r="AY1223" s="46">
        <v>0</v>
      </c>
      <c r="AZ1223" s="46">
        <v>0</v>
      </c>
      <c r="BA1223" s="46">
        <v>0</v>
      </c>
      <c r="BB1223" s="46">
        <v>0</v>
      </c>
      <c r="BC1223" s="46">
        <v>0</v>
      </c>
      <c r="BD1223" s="46">
        <v>0</v>
      </c>
      <c r="BE1223" s="46">
        <v>0</v>
      </c>
      <c r="BF1223" s="46">
        <v>0</v>
      </c>
      <c r="BG1223" s="46" t="s">
        <v>48</v>
      </c>
      <c r="BH1223" s="46">
        <v>0</v>
      </c>
      <c r="BI1223" s="46">
        <v>0</v>
      </c>
      <c r="BJ1223" s="46">
        <v>0</v>
      </c>
      <c r="BK1223" s="46">
        <v>0</v>
      </c>
      <c r="BL1223" s="46">
        <v>0</v>
      </c>
      <c r="BM1223" s="46">
        <v>0</v>
      </c>
      <c r="BN1223" s="46">
        <v>0</v>
      </c>
    </row>
    <row r="1224" spans="1:66" x14ac:dyDescent="0.35">
      <c r="A1224" t="s">
        <v>200</v>
      </c>
      <c r="B1224" s="44" t="s">
        <v>48</v>
      </c>
      <c r="C1224" t="s">
        <v>204</v>
      </c>
      <c r="D1224" t="s">
        <v>203</v>
      </c>
      <c r="E1224" t="s">
        <v>201</v>
      </c>
      <c r="F1224" t="s">
        <v>46</v>
      </c>
      <c r="G1224" t="s">
        <v>47</v>
      </c>
      <c r="H1224">
        <v>0</v>
      </c>
      <c r="I1224" s="60" t="s">
        <v>125</v>
      </c>
      <c r="J1224" s="33" t="s">
        <v>45</v>
      </c>
      <c r="K1224" s="46">
        <v>0</v>
      </c>
      <c r="L1224">
        <v>26.5</v>
      </c>
      <c r="M1224" t="s">
        <v>48</v>
      </c>
      <c r="N1224" s="46">
        <v>0</v>
      </c>
      <c r="O1224" s="46">
        <v>1</v>
      </c>
      <c r="P1224" s="46">
        <v>1</v>
      </c>
      <c r="Q1224">
        <v>19.100000000000001</v>
      </c>
      <c r="R1224">
        <v>28.2</v>
      </c>
      <c r="S1224" t="s">
        <v>202</v>
      </c>
      <c r="T1224" t="s">
        <v>48</v>
      </c>
      <c r="U1224" t="s">
        <v>202</v>
      </c>
      <c r="V1224" s="47">
        <v>0</v>
      </c>
      <c r="W1224" t="s">
        <v>48</v>
      </c>
      <c r="X1224" t="s">
        <v>48</v>
      </c>
      <c r="Y1224" t="s">
        <v>48</v>
      </c>
      <c r="Z1224">
        <v>0</v>
      </c>
      <c r="AA1224" t="s">
        <v>57</v>
      </c>
      <c r="AB1224" t="s">
        <v>48</v>
      </c>
      <c r="AC1224" t="s">
        <v>49</v>
      </c>
      <c r="AD1224" t="s">
        <v>93</v>
      </c>
      <c r="AE1224" t="s">
        <v>4532</v>
      </c>
      <c r="AF1224" t="s">
        <v>48</v>
      </c>
      <c r="AG1224" t="s">
        <v>48</v>
      </c>
      <c r="AH1224" t="s">
        <v>48</v>
      </c>
      <c r="AI1224" t="s">
        <v>48</v>
      </c>
      <c r="AJ1224" t="s">
        <v>48</v>
      </c>
      <c r="AK1224" t="s">
        <v>48</v>
      </c>
      <c r="AL1224" t="s">
        <v>48</v>
      </c>
      <c r="AM1224" t="s">
        <v>48</v>
      </c>
      <c r="AN1224" t="s">
        <v>48</v>
      </c>
      <c r="AO1224" t="s">
        <v>48</v>
      </c>
      <c r="AP1224" s="46">
        <v>0</v>
      </c>
      <c r="AQ1224" s="46">
        <v>0</v>
      </c>
      <c r="AR1224" s="46">
        <v>0</v>
      </c>
      <c r="AS1224" s="46">
        <v>0</v>
      </c>
      <c r="AT1224" s="46">
        <v>0</v>
      </c>
      <c r="AU1224" s="46">
        <v>0</v>
      </c>
      <c r="AV1224" s="46">
        <v>0</v>
      </c>
      <c r="AW1224" s="46">
        <v>0</v>
      </c>
      <c r="AX1224" s="46">
        <v>0</v>
      </c>
      <c r="AY1224" s="46">
        <v>0</v>
      </c>
      <c r="AZ1224" s="46">
        <v>0</v>
      </c>
      <c r="BA1224" s="46">
        <v>0</v>
      </c>
      <c r="BB1224" s="46">
        <v>0</v>
      </c>
      <c r="BC1224" s="46">
        <v>0</v>
      </c>
      <c r="BD1224" s="46">
        <v>0</v>
      </c>
      <c r="BE1224" s="46">
        <v>0</v>
      </c>
      <c r="BF1224" s="46">
        <v>0</v>
      </c>
      <c r="BG1224" s="46" t="s">
        <v>48</v>
      </c>
      <c r="BH1224" s="46">
        <v>0</v>
      </c>
      <c r="BI1224" s="46">
        <v>0</v>
      </c>
      <c r="BJ1224" s="46">
        <v>0</v>
      </c>
      <c r="BK1224" s="46">
        <v>0</v>
      </c>
      <c r="BL1224" s="46">
        <v>0</v>
      </c>
      <c r="BM1224" s="46">
        <v>0</v>
      </c>
      <c r="BN1224" s="46">
        <v>0</v>
      </c>
    </row>
    <row r="1225" spans="1:66" x14ac:dyDescent="0.35">
      <c r="A1225" t="s">
        <v>242</v>
      </c>
      <c r="B1225" s="44" t="s">
        <v>48</v>
      </c>
      <c r="C1225" t="s">
        <v>245</v>
      </c>
      <c r="D1225" t="s">
        <v>244</v>
      </c>
      <c r="E1225" t="s">
        <v>243</v>
      </c>
      <c r="F1225" t="s">
        <v>46</v>
      </c>
      <c r="G1225" t="s">
        <v>47</v>
      </c>
      <c r="H1225">
        <v>0</v>
      </c>
      <c r="I1225" s="60" t="s">
        <v>60</v>
      </c>
      <c r="J1225" s="33" t="s">
        <v>45</v>
      </c>
      <c r="K1225" s="46">
        <v>0</v>
      </c>
      <c r="L1225" t="s">
        <v>48</v>
      </c>
      <c r="M1225" t="s">
        <v>48</v>
      </c>
      <c r="N1225" s="46">
        <v>0</v>
      </c>
      <c r="O1225" s="46">
        <v>0</v>
      </c>
      <c r="P1225" s="46">
        <v>1</v>
      </c>
      <c r="Q1225">
        <v>0.1</v>
      </c>
      <c r="R1225" t="s">
        <v>48</v>
      </c>
      <c r="S1225" t="s">
        <v>48</v>
      </c>
      <c r="T1225" t="s">
        <v>48</v>
      </c>
      <c r="U1225" t="s">
        <v>48</v>
      </c>
      <c r="V1225" s="47">
        <v>0</v>
      </c>
      <c r="W1225" t="s">
        <v>48</v>
      </c>
      <c r="X1225" t="s">
        <v>48</v>
      </c>
      <c r="Y1225" t="s">
        <v>48</v>
      </c>
      <c r="Z1225">
        <v>0</v>
      </c>
      <c r="AA1225" t="s">
        <v>57</v>
      </c>
      <c r="AB1225" t="s">
        <v>48</v>
      </c>
      <c r="AC1225" t="s">
        <v>49</v>
      </c>
      <c r="AD1225" t="s">
        <v>93</v>
      </c>
      <c r="AE1225" t="s">
        <v>4532</v>
      </c>
      <c r="AF1225" t="s">
        <v>48</v>
      </c>
      <c r="AG1225" t="s">
        <v>48</v>
      </c>
      <c r="AH1225" t="s">
        <v>48</v>
      </c>
      <c r="AI1225" t="s">
        <v>48</v>
      </c>
      <c r="AJ1225" t="s">
        <v>48</v>
      </c>
      <c r="AK1225" t="s">
        <v>48</v>
      </c>
      <c r="AL1225" t="s">
        <v>48</v>
      </c>
      <c r="AM1225" t="s">
        <v>48</v>
      </c>
      <c r="AN1225" t="s">
        <v>48</v>
      </c>
      <c r="AO1225" t="s">
        <v>48</v>
      </c>
      <c r="AP1225" s="46">
        <v>0</v>
      </c>
      <c r="AQ1225" s="46">
        <v>0</v>
      </c>
      <c r="AR1225" s="46">
        <v>0</v>
      </c>
      <c r="AS1225" s="46">
        <v>0</v>
      </c>
      <c r="AT1225" s="46">
        <v>0</v>
      </c>
      <c r="AU1225" s="46">
        <v>0</v>
      </c>
      <c r="AV1225" s="46">
        <v>0</v>
      </c>
      <c r="AW1225" s="46">
        <v>0</v>
      </c>
      <c r="AX1225" s="46">
        <v>0</v>
      </c>
      <c r="AY1225" s="46">
        <v>0</v>
      </c>
      <c r="AZ1225" s="46">
        <v>0</v>
      </c>
      <c r="BA1225" s="46">
        <v>0</v>
      </c>
      <c r="BB1225" s="46">
        <v>0</v>
      </c>
      <c r="BC1225" s="46">
        <v>0</v>
      </c>
      <c r="BD1225" s="46">
        <v>0</v>
      </c>
      <c r="BE1225" s="46">
        <v>0</v>
      </c>
      <c r="BF1225" s="46">
        <v>0</v>
      </c>
      <c r="BG1225" s="46" t="s">
        <v>48</v>
      </c>
      <c r="BH1225" s="46">
        <v>0</v>
      </c>
      <c r="BI1225" s="46">
        <v>0</v>
      </c>
      <c r="BJ1225" s="46">
        <v>0</v>
      </c>
      <c r="BK1225" s="46">
        <v>0</v>
      </c>
      <c r="BL1225" s="46">
        <v>0</v>
      </c>
      <c r="BM1225" s="46">
        <v>0</v>
      </c>
      <c r="BN1225" s="46">
        <v>0</v>
      </c>
    </row>
    <row r="1226" spans="1:66" x14ac:dyDescent="0.35">
      <c r="A1226" t="s">
        <v>326</v>
      </c>
      <c r="B1226" s="44" t="s">
        <v>48</v>
      </c>
      <c r="C1226" t="s">
        <v>329</v>
      </c>
      <c r="D1226" t="s">
        <v>328</v>
      </c>
      <c r="E1226" t="s">
        <v>327</v>
      </c>
      <c r="F1226" t="s">
        <v>46</v>
      </c>
      <c r="G1226" t="s">
        <v>47</v>
      </c>
      <c r="H1226">
        <v>0</v>
      </c>
      <c r="I1226" s="60" t="s">
        <v>60</v>
      </c>
      <c r="J1226" s="33" t="s">
        <v>45</v>
      </c>
      <c r="K1226" s="46">
        <v>0</v>
      </c>
      <c r="L1226" t="s">
        <v>48</v>
      </c>
      <c r="M1226" t="s">
        <v>48</v>
      </c>
      <c r="N1226" s="46">
        <v>0</v>
      </c>
      <c r="O1226" s="46">
        <v>0</v>
      </c>
      <c r="P1226" s="46">
        <v>1</v>
      </c>
      <c r="Q1226">
        <v>0.1</v>
      </c>
      <c r="R1226" t="s">
        <v>48</v>
      </c>
      <c r="S1226" t="s">
        <v>48</v>
      </c>
      <c r="T1226" t="s">
        <v>48</v>
      </c>
      <c r="U1226" t="s">
        <v>48</v>
      </c>
      <c r="V1226" s="47">
        <v>0</v>
      </c>
      <c r="W1226" t="s">
        <v>48</v>
      </c>
      <c r="X1226" t="s">
        <v>48</v>
      </c>
      <c r="Y1226" t="s">
        <v>48</v>
      </c>
      <c r="Z1226">
        <v>0</v>
      </c>
      <c r="AA1226" t="s">
        <v>57</v>
      </c>
      <c r="AB1226" t="s">
        <v>48</v>
      </c>
      <c r="AC1226" t="s">
        <v>49</v>
      </c>
      <c r="AD1226" t="s">
        <v>93</v>
      </c>
      <c r="AE1226" t="s">
        <v>4532</v>
      </c>
      <c r="AF1226" t="s">
        <v>48</v>
      </c>
      <c r="AG1226" t="s">
        <v>48</v>
      </c>
      <c r="AH1226" t="s">
        <v>48</v>
      </c>
      <c r="AI1226" t="s">
        <v>48</v>
      </c>
      <c r="AJ1226" t="s">
        <v>48</v>
      </c>
      <c r="AK1226" t="s">
        <v>48</v>
      </c>
      <c r="AL1226" t="s">
        <v>48</v>
      </c>
      <c r="AM1226" t="s">
        <v>48</v>
      </c>
      <c r="AN1226" t="s">
        <v>48</v>
      </c>
      <c r="AO1226" t="s">
        <v>48</v>
      </c>
      <c r="AP1226" s="46">
        <v>0</v>
      </c>
      <c r="AQ1226" s="46">
        <v>0</v>
      </c>
      <c r="AR1226" s="46">
        <v>0</v>
      </c>
      <c r="AS1226" s="46">
        <v>0</v>
      </c>
      <c r="AT1226" s="46">
        <v>0</v>
      </c>
      <c r="AU1226" s="46">
        <v>0</v>
      </c>
      <c r="AV1226" s="46">
        <v>0</v>
      </c>
      <c r="AW1226" s="46">
        <v>0</v>
      </c>
      <c r="AX1226" s="46">
        <v>0</v>
      </c>
      <c r="AY1226" s="46">
        <v>0</v>
      </c>
      <c r="AZ1226" s="46">
        <v>0</v>
      </c>
      <c r="BA1226" s="46">
        <v>0</v>
      </c>
      <c r="BB1226" s="46">
        <v>0</v>
      </c>
      <c r="BC1226" s="46">
        <v>0</v>
      </c>
      <c r="BD1226" s="46">
        <v>0</v>
      </c>
      <c r="BE1226" s="46">
        <v>0</v>
      </c>
      <c r="BF1226" s="46">
        <v>0</v>
      </c>
      <c r="BG1226" s="46" t="s">
        <v>48</v>
      </c>
      <c r="BH1226" s="46">
        <v>0</v>
      </c>
      <c r="BI1226" s="46">
        <v>0</v>
      </c>
      <c r="BJ1226" s="46">
        <v>0</v>
      </c>
      <c r="BK1226" s="46">
        <v>0</v>
      </c>
      <c r="BL1226" s="46">
        <v>0</v>
      </c>
      <c r="BM1226" s="46">
        <v>0</v>
      </c>
      <c r="BN1226" s="46">
        <v>0</v>
      </c>
    </row>
    <row r="1227" spans="1:66" x14ac:dyDescent="0.35">
      <c r="A1227" t="s">
        <v>275</v>
      </c>
      <c r="B1227" s="44" t="s">
        <v>48</v>
      </c>
      <c r="C1227" t="s">
        <v>277</v>
      </c>
      <c r="D1227" t="s">
        <v>210</v>
      </c>
      <c r="E1227" t="s">
        <v>276</v>
      </c>
      <c r="F1227" t="s">
        <v>46</v>
      </c>
      <c r="G1227" t="s">
        <v>47</v>
      </c>
      <c r="H1227">
        <v>0</v>
      </c>
      <c r="I1227" s="60" t="s">
        <v>60</v>
      </c>
      <c r="J1227" s="33" t="s">
        <v>45</v>
      </c>
      <c r="K1227" s="46">
        <v>0</v>
      </c>
      <c r="L1227">
        <v>0.2</v>
      </c>
      <c r="M1227" t="s">
        <v>48</v>
      </c>
      <c r="N1227" s="46">
        <v>0</v>
      </c>
      <c r="O1227" s="46">
        <v>0</v>
      </c>
      <c r="P1227" s="46">
        <v>1</v>
      </c>
      <c r="Q1227">
        <v>0.1</v>
      </c>
      <c r="R1227" t="s">
        <v>48</v>
      </c>
      <c r="S1227" t="s">
        <v>48</v>
      </c>
      <c r="T1227" t="s">
        <v>48</v>
      </c>
      <c r="U1227" t="s">
        <v>48</v>
      </c>
      <c r="V1227" s="47">
        <v>0</v>
      </c>
      <c r="W1227" t="s">
        <v>48</v>
      </c>
      <c r="X1227" t="s">
        <v>48</v>
      </c>
      <c r="Y1227" t="s">
        <v>48</v>
      </c>
      <c r="Z1227">
        <v>0</v>
      </c>
      <c r="AA1227" t="s">
        <v>57</v>
      </c>
      <c r="AB1227" t="s">
        <v>48</v>
      </c>
      <c r="AC1227" t="s">
        <v>49</v>
      </c>
      <c r="AD1227" t="s">
        <v>93</v>
      </c>
      <c r="AE1227" t="s">
        <v>4532</v>
      </c>
      <c r="AF1227" t="s">
        <v>48</v>
      </c>
      <c r="AG1227" t="s">
        <v>48</v>
      </c>
      <c r="AH1227" t="s">
        <v>48</v>
      </c>
      <c r="AI1227" t="s">
        <v>48</v>
      </c>
      <c r="AJ1227" t="s">
        <v>48</v>
      </c>
      <c r="AK1227" t="s">
        <v>48</v>
      </c>
      <c r="AL1227" t="s">
        <v>48</v>
      </c>
      <c r="AM1227" t="s">
        <v>48</v>
      </c>
      <c r="AN1227" t="s">
        <v>48</v>
      </c>
      <c r="AO1227" t="s">
        <v>48</v>
      </c>
      <c r="AP1227" s="46">
        <v>0</v>
      </c>
      <c r="AQ1227" s="46">
        <v>0</v>
      </c>
      <c r="AR1227" s="46">
        <v>0</v>
      </c>
      <c r="AS1227" s="46">
        <v>0</v>
      </c>
      <c r="AT1227" s="46">
        <v>0</v>
      </c>
      <c r="AU1227" s="46">
        <v>0</v>
      </c>
      <c r="AV1227" s="46">
        <v>0</v>
      </c>
      <c r="AW1227" s="46">
        <v>0</v>
      </c>
      <c r="AX1227" s="46">
        <v>0</v>
      </c>
      <c r="AY1227" s="46">
        <v>0</v>
      </c>
      <c r="AZ1227" s="46">
        <v>0</v>
      </c>
      <c r="BA1227" s="46">
        <v>0</v>
      </c>
      <c r="BB1227" s="46">
        <v>0</v>
      </c>
      <c r="BC1227" s="46">
        <v>0</v>
      </c>
      <c r="BD1227" s="46">
        <v>0</v>
      </c>
      <c r="BE1227" s="46">
        <v>0</v>
      </c>
      <c r="BF1227" s="46">
        <v>0</v>
      </c>
      <c r="BG1227" s="46" t="s">
        <v>48</v>
      </c>
      <c r="BH1227" s="46">
        <v>0</v>
      </c>
      <c r="BI1227" s="46">
        <v>0</v>
      </c>
      <c r="BJ1227" s="46">
        <v>0</v>
      </c>
      <c r="BK1227" s="46">
        <v>0</v>
      </c>
      <c r="BL1227" s="46">
        <v>0</v>
      </c>
      <c r="BM1227" s="46">
        <v>0</v>
      </c>
      <c r="BN1227" s="46">
        <v>0</v>
      </c>
    </row>
    <row r="1228" spans="1:66" x14ac:dyDescent="0.35">
      <c r="A1228" t="s">
        <v>299</v>
      </c>
      <c r="B1228" s="44" t="s">
        <v>48</v>
      </c>
      <c r="C1228" t="s">
        <v>302</v>
      </c>
      <c r="D1228" t="s">
        <v>210</v>
      </c>
      <c r="E1228" t="s">
        <v>300</v>
      </c>
      <c r="F1228" t="s">
        <v>46</v>
      </c>
      <c r="G1228" t="s">
        <v>301</v>
      </c>
      <c r="H1228">
        <v>0</v>
      </c>
      <c r="I1228" s="60" t="s">
        <v>60</v>
      </c>
      <c r="J1228" s="33" t="s">
        <v>45</v>
      </c>
      <c r="K1228" s="46">
        <v>0</v>
      </c>
      <c r="L1228">
        <v>0.1</v>
      </c>
      <c r="M1228" t="s">
        <v>48</v>
      </c>
      <c r="N1228" s="46">
        <v>0</v>
      </c>
      <c r="O1228" s="46">
        <v>0</v>
      </c>
      <c r="P1228" s="46">
        <v>1</v>
      </c>
      <c r="Q1228">
        <v>0.1</v>
      </c>
      <c r="R1228" t="s">
        <v>48</v>
      </c>
      <c r="S1228" t="s">
        <v>48</v>
      </c>
      <c r="T1228" t="s">
        <v>48</v>
      </c>
      <c r="U1228" t="s">
        <v>48</v>
      </c>
      <c r="V1228" s="47">
        <v>0</v>
      </c>
      <c r="W1228" t="s">
        <v>48</v>
      </c>
      <c r="X1228" t="s">
        <v>48</v>
      </c>
      <c r="Y1228" t="s">
        <v>48</v>
      </c>
      <c r="Z1228">
        <v>0</v>
      </c>
      <c r="AA1228" t="s">
        <v>57</v>
      </c>
      <c r="AB1228" t="s">
        <v>48</v>
      </c>
      <c r="AC1228" t="s">
        <v>49</v>
      </c>
      <c r="AD1228" t="s">
        <v>951</v>
      </c>
      <c r="AE1228" t="s">
        <v>11051</v>
      </c>
      <c r="AF1228" t="s">
        <v>48</v>
      </c>
      <c r="AG1228" t="s">
        <v>48</v>
      </c>
      <c r="AH1228" t="s">
        <v>48</v>
      </c>
      <c r="AI1228" t="s">
        <v>48</v>
      </c>
      <c r="AJ1228" t="s">
        <v>48</v>
      </c>
      <c r="AK1228" t="s">
        <v>48</v>
      </c>
      <c r="AL1228" t="s">
        <v>48</v>
      </c>
      <c r="AM1228" t="s">
        <v>48</v>
      </c>
      <c r="AN1228" t="s">
        <v>48</v>
      </c>
      <c r="AO1228" t="s">
        <v>48</v>
      </c>
      <c r="AP1228" s="46">
        <v>0</v>
      </c>
      <c r="AQ1228" s="46">
        <v>0</v>
      </c>
      <c r="AR1228" s="46">
        <v>0</v>
      </c>
      <c r="AS1228" s="46">
        <v>0</v>
      </c>
      <c r="AT1228" s="46">
        <v>0</v>
      </c>
      <c r="AU1228" s="46">
        <v>0</v>
      </c>
      <c r="AV1228" s="46">
        <v>0</v>
      </c>
      <c r="AW1228" s="46">
        <v>0</v>
      </c>
      <c r="AX1228" s="46">
        <v>0</v>
      </c>
      <c r="AY1228" s="46">
        <v>0</v>
      </c>
      <c r="AZ1228" s="46">
        <v>0</v>
      </c>
      <c r="BA1228" s="46">
        <v>0</v>
      </c>
      <c r="BB1228" s="46">
        <v>0</v>
      </c>
      <c r="BC1228" s="46">
        <v>0</v>
      </c>
      <c r="BD1228" s="46">
        <v>0</v>
      </c>
      <c r="BE1228" s="46">
        <v>0</v>
      </c>
      <c r="BF1228" s="46">
        <v>0</v>
      </c>
      <c r="BG1228" s="46" t="s">
        <v>48</v>
      </c>
      <c r="BH1228" s="46">
        <v>0</v>
      </c>
      <c r="BI1228" s="46">
        <v>0</v>
      </c>
      <c r="BJ1228" s="46">
        <v>0</v>
      </c>
      <c r="BK1228" s="46">
        <v>0</v>
      </c>
      <c r="BL1228" s="46">
        <v>0</v>
      </c>
      <c r="BM1228" s="46">
        <v>0</v>
      </c>
      <c r="BN1228" s="46">
        <v>0</v>
      </c>
    </row>
    <row r="1229" spans="1:66" x14ac:dyDescent="0.35">
      <c r="A1229" t="s">
        <v>227</v>
      </c>
      <c r="B1229" s="44" t="s">
        <v>48</v>
      </c>
      <c r="C1229" t="s">
        <v>231</v>
      </c>
      <c r="D1229" t="s">
        <v>230</v>
      </c>
      <c r="E1229" t="s">
        <v>228</v>
      </c>
      <c r="F1229" t="s">
        <v>46</v>
      </c>
      <c r="G1229" t="s">
        <v>83</v>
      </c>
      <c r="H1229">
        <v>0</v>
      </c>
      <c r="I1229" s="60" t="s">
        <v>60</v>
      </c>
      <c r="J1229" s="33" t="s">
        <v>45</v>
      </c>
      <c r="K1229" s="46">
        <v>0</v>
      </c>
      <c r="L1229" t="s">
        <v>48</v>
      </c>
      <c r="M1229" t="s">
        <v>48</v>
      </c>
      <c r="N1229" s="46">
        <v>0</v>
      </c>
      <c r="O1229" s="46">
        <v>0</v>
      </c>
      <c r="P1229" s="46">
        <v>1</v>
      </c>
      <c r="Q1229">
        <v>4.7</v>
      </c>
      <c r="R1229" t="s">
        <v>48</v>
      </c>
      <c r="S1229" t="s">
        <v>229</v>
      </c>
      <c r="T1229" t="s">
        <v>11108</v>
      </c>
      <c r="U1229" t="s">
        <v>229</v>
      </c>
      <c r="V1229" s="47">
        <v>0</v>
      </c>
      <c r="W1229" t="s">
        <v>48</v>
      </c>
      <c r="X1229" t="s">
        <v>48</v>
      </c>
      <c r="Y1229" t="s">
        <v>48</v>
      </c>
      <c r="Z1229">
        <v>0</v>
      </c>
      <c r="AA1229" t="s">
        <v>11109</v>
      </c>
      <c r="AB1229" t="s">
        <v>48</v>
      </c>
      <c r="AC1229" t="s">
        <v>49</v>
      </c>
      <c r="AD1229" t="s">
        <v>11050</v>
      </c>
      <c r="AE1229" t="s">
        <v>4532</v>
      </c>
      <c r="AF1229" t="s">
        <v>48</v>
      </c>
      <c r="AG1229" t="s">
        <v>48</v>
      </c>
      <c r="AH1229" t="s">
        <v>48</v>
      </c>
      <c r="AI1229" t="s">
        <v>48</v>
      </c>
      <c r="AJ1229" t="s">
        <v>48</v>
      </c>
      <c r="AK1229" t="s">
        <v>48</v>
      </c>
      <c r="AL1229" t="s">
        <v>48</v>
      </c>
      <c r="AM1229" t="s">
        <v>48</v>
      </c>
      <c r="AN1229" t="s">
        <v>48</v>
      </c>
      <c r="AO1229" t="s">
        <v>48</v>
      </c>
      <c r="AP1229" s="46">
        <v>0</v>
      </c>
      <c r="AQ1229" s="46">
        <v>0</v>
      </c>
      <c r="AR1229" s="46">
        <v>0</v>
      </c>
      <c r="AS1229" s="46">
        <v>0</v>
      </c>
      <c r="AT1229" s="46">
        <v>0</v>
      </c>
      <c r="AU1229" s="46">
        <v>0</v>
      </c>
      <c r="AV1229" s="46">
        <v>0</v>
      </c>
      <c r="AW1229" s="46">
        <v>0</v>
      </c>
      <c r="AX1229" s="46">
        <v>0</v>
      </c>
      <c r="AY1229" s="46">
        <v>0</v>
      </c>
      <c r="AZ1229" s="46">
        <v>0</v>
      </c>
      <c r="BA1229" s="46">
        <v>0</v>
      </c>
      <c r="BB1229" s="46">
        <v>0</v>
      </c>
      <c r="BC1229" s="46">
        <v>0</v>
      </c>
      <c r="BD1229" s="46">
        <v>0</v>
      </c>
      <c r="BE1229" s="46">
        <v>0</v>
      </c>
      <c r="BF1229" s="46">
        <v>0</v>
      </c>
      <c r="BG1229" s="46" t="s">
        <v>48</v>
      </c>
      <c r="BH1229" s="46">
        <v>0</v>
      </c>
      <c r="BI1229" s="46">
        <v>0</v>
      </c>
      <c r="BJ1229" s="46">
        <v>0</v>
      </c>
      <c r="BK1229" s="46">
        <v>0</v>
      </c>
      <c r="BL1229" s="46">
        <v>0</v>
      </c>
      <c r="BM1229" s="46">
        <v>0</v>
      </c>
      <c r="BN1229" s="46">
        <v>0</v>
      </c>
    </row>
    <row r="1230" spans="1:66" x14ac:dyDescent="0.35">
      <c r="A1230" t="s">
        <v>282</v>
      </c>
      <c r="B1230" s="44" t="s">
        <v>48</v>
      </c>
      <c r="C1230" t="s">
        <v>285</v>
      </c>
      <c r="D1230" t="s">
        <v>284</v>
      </c>
      <c r="E1230" t="s">
        <v>283</v>
      </c>
      <c r="F1230" t="s">
        <v>46</v>
      </c>
      <c r="G1230" t="s">
        <v>83</v>
      </c>
      <c r="H1230">
        <v>0</v>
      </c>
      <c r="I1230" s="60" t="s">
        <v>60</v>
      </c>
      <c r="J1230" s="33" t="s">
        <v>45</v>
      </c>
      <c r="K1230" s="46">
        <v>0</v>
      </c>
      <c r="L1230">
        <v>0.1</v>
      </c>
      <c r="M1230" t="s">
        <v>48</v>
      </c>
      <c r="N1230" s="46">
        <v>0</v>
      </c>
      <c r="O1230" s="46">
        <v>0</v>
      </c>
      <c r="P1230" s="46">
        <v>1</v>
      </c>
      <c r="Q1230">
        <v>0.1</v>
      </c>
      <c r="R1230" t="s">
        <v>48</v>
      </c>
      <c r="S1230" t="s">
        <v>48</v>
      </c>
      <c r="T1230" t="s">
        <v>48</v>
      </c>
      <c r="U1230" t="s">
        <v>48</v>
      </c>
      <c r="V1230" s="47">
        <v>0</v>
      </c>
      <c r="W1230" t="s">
        <v>48</v>
      </c>
      <c r="X1230" t="s">
        <v>48</v>
      </c>
      <c r="Y1230" t="s">
        <v>48</v>
      </c>
      <c r="Z1230">
        <v>0</v>
      </c>
      <c r="AA1230" t="s">
        <v>57</v>
      </c>
      <c r="AB1230" t="s">
        <v>48</v>
      </c>
      <c r="AC1230" t="s">
        <v>63</v>
      </c>
      <c r="AD1230" t="s">
        <v>93</v>
      </c>
      <c r="AE1230" t="s">
        <v>4532</v>
      </c>
      <c r="AF1230" t="s">
        <v>48</v>
      </c>
      <c r="AG1230" t="s">
        <v>48</v>
      </c>
      <c r="AH1230" t="s">
        <v>48</v>
      </c>
      <c r="AI1230" t="s">
        <v>48</v>
      </c>
      <c r="AJ1230" t="s">
        <v>48</v>
      </c>
      <c r="AK1230" t="s">
        <v>48</v>
      </c>
      <c r="AL1230" t="s">
        <v>48</v>
      </c>
      <c r="AM1230" t="s">
        <v>48</v>
      </c>
      <c r="AN1230" t="s">
        <v>48</v>
      </c>
      <c r="AO1230" t="s">
        <v>48</v>
      </c>
      <c r="AP1230" s="46">
        <v>0</v>
      </c>
      <c r="AQ1230" s="46">
        <v>0</v>
      </c>
      <c r="AR1230" s="46">
        <v>0</v>
      </c>
      <c r="AS1230" s="46">
        <v>0</v>
      </c>
      <c r="AT1230" s="46">
        <v>0</v>
      </c>
      <c r="AU1230" s="46">
        <v>0</v>
      </c>
      <c r="AV1230" s="46">
        <v>0</v>
      </c>
      <c r="AW1230" s="46">
        <v>0</v>
      </c>
      <c r="AX1230" s="46">
        <v>0</v>
      </c>
      <c r="AY1230" s="46">
        <v>0</v>
      </c>
      <c r="AZ1230" s="46">
        <v>0</v>
      </c>
      <c r="BA1230" s="46">
        <v>0</v>
      </c>
      <c r="BB1230" s="46">
        <v>0</v>
      </c>
      <c r="BC1230" s="46">
        <v>0</v>
      </c>
      <c r="BD1230" s="46">
        <v>0</v>
      </c>
      <c r="BE1230" s="46">
        <v>0</v>
      </c>
      <c r="BF1230" s="46">
        <v>0</v>
      </c>
      <c r="BG1230" s="46" t="s">
        <v>48</v>
      </c>
      <c r="BH1230" s="46">
        <v>0</v>
      </c>
      <c r="BI1230" s="46">
        <v>0</v>
      </c>
      <c r="BJ1230" s="46">
        <v>0</v>
      </c>
      <c r="BK1230" s="46">
        <v>0</v>
      </c>
      <c r="BL1230" s="46">
        <v>0</v>
      </c>
      <c r="BM1230" s="46">
        <v>0</v>
      </c>
      <c r="BN1230" s="46">
        <v>0</v>
      </c>
    </row>
    <row r="1231" spans="1:66" x14ac:dyDescent="0.35">
      <c r="A1231" t="s">
        <v>337</v>
      </c>
      <c r="B1231" s="44" t="s">
        <v>48</v>
      </c>
      <c r="C1231" t="s">
        <v>340</v>
      </c>
      <c r="D1231" t="s">
        <v>339</v>
      </c>
      <c r="E1231" t="s">
        <v>338</v>
      </c>
      <c r="F1231" t="s">
        <v>46</v>
      </c>
      <c r="G1231" t="s">
        <v>47</v>
      </c>
      <c r="H1231">
        <v>0</v>
      </c>
      <c r="I1231" s="60" t="s">
        <v>60</v>
      </c>
      <c r="J1231" s="33" t="s">
        <v>45</v>
      </c>
      <c r="K1231" s="46">
        <v>0</v>
      </c>
      <c r="L1231">
        <v>0.2</v>
      </c>
      <c r="M1231" t="s">
        <v>48</v>
      </c>
      <c r="N1231" s="46">
        <v>0</v>
      </c>
      <c r="O1231" s="46">
        <v>0</v>
      </c>
      <c r="P1231" s="46">
        <v>1</v>
      </c>
      <c r="Q1231">
        <v>0.2</v>
      </c>
      <c r="R1231" t="s">
        <v>48</v>
      </c>
      <c r="S1231" t="s">
        <v>48</v>
      </c>
      <c r="T1231" t="s">
        <v>48</v>
      </c>
      <c r="U1231" t="s">
        <v>48</v>
      </c>
      <c r="V1231" s="47">
        <v>0</v>
      </c>
      <c r="W1231" t="s">
        <v>48</v>
      </c>
      <c r="X1231" t="s">
        <v>48</v>
      </c>
      <c r="Y1231" t="s">
        <v>48</v>
      </c>
      <c r="Z1231">
        <v>0</v>
      </c>
      <c r="AA1231" t="s">
        <v>57</v>
      </c>
      <c r="AB1231" t="s">
        <v>48</v>
      </c>
      <c r="AC1231" t="s">
        <v>49</v>
      </c>
      <c r="AD1231" t="s">
        <v>93</v>
      </c>
      <c r="AE1231" t="s">
        <v>4532</v>
      </c>
      <c r="AF1231" t="s">
        <v>48</v>
      </c>
      <c r="AG1231" t="s">
        <v>48</v>
      </c>
      <c r="AH1231" t="s">
        <v>48</v>
      </c>
      <c r="AI1231" t="s">
        <v>48</v>
      </c>
      <c r="AJ1231" t="s">
        <v>48</v>
      </c>
      <c r="AK1231" t="s">
        <v>48</v>
      </c>
      <c r="AL1231" t="s">
        <v>48</v>
      </c>
      <c r="AM1231" t="s">
        <v>48</v>
      </c>
      <c r="AN1231" t="s">
        <v>48</v>
      </c>
      <c r="AO1231" t="s">
        <v>48</v>
      </c>
      <c r="AP1231" s="46">
        <v>0</v>
      </c>
      <c r="AQ1231" s="46">
        <v>0</v>
      </c>
      <c r="AR1231" s="46">
        <v>0</v>
      </c>
      <c r="AS1231" s="46">
        <v>0</v>
      </c>
      <c r="AT1231" s="46">
        <v>0</v>
      </c>
      <c r="AU1231" s="46">
        <v>0</v>
      </c>
      <c r="AV1231" s="46">
        <v>0</v>
      </c>
      <c r="AW1231" s="46">
        <v>0</v>
      </c>
      <c r="AX1231" s="46">
        <v>0</v>
      </c>
      <c r="AY1231" s="46">
        <v>0</v>
      </c>
      <c r="AZ1231" s="46">
        <v>0</v>
      </c>
      <c r="BA1231" s="46">
        <v>0</v>
      </c>
      <c r="BB1231" s="46">
        <v>0</v>
      </c>
      <c r="BC1231" s="46">
        <v>0</v>
      </c>
      <c r="BD1231" s="46">
        <v>0</v>
      </c>
      <c r="BE1231" s="46">
        <v>0</v>
      </c>
      <c r="BF1231" s="46">
        <v>0</v>
      </c>
      <c r="BG1231" s="46" t="s">
        <v>48</v>
      </c>
      <c r="BH1231" s="46">
        <v>0</v>
      </c>
      <c r="BI1231" s="46">
        <v>0</v>
      </c>
      <c r="BJ1231" s="46">
        <v>0</v>
      </c>
      <c r="BK1231" s="46">
        <v>0</v>
      </c>
      <c r="BL1231" s="46">
        <v>0</v>
      </c>
      <c r="BM1231" s="46">
        <v>0</v>
      </c>
      <c r="BN1231" s="46">
        <v>0</v>
      </c>
    </row>
    <row r="1232" spans="1:66" x14ac:dyDescent="0.35">
      <c r="A1232" t="s">
        <v>318</v>
      </c>
      <c r="B1232" s="44" t="s">
        <v>48</v>
      </c>
      <c r="C1232" t="s">
        <v>322</v>
      </c>
      <c r="D1232" t="s">
        <v>321</v>
      </c>
      <c r="E1232" t="s">
        <v>319</v>
      </c>
      <c r="F1232" t="s">
        <v>46</v>
      </c>
      <c r="G1232" t="s">
        <v>47</v>
      </c>
      <c r="H1232">
        <v>0</v>
      </c>
      <c r="I1232" s="60" t="s">
        <v>60</v>
      </c>
      <c r="J1232" s="33" t="s">
        <v>45</v>
      </c>
      <c r="K1232" s="46">
        <v>0</v>
      </c>
      <c r="L1232">
        <v>3.7</v>
      </c>
      <c r="M1232" t="s">
        <v>48</v>
      </c>
      <c r="N1232" s="46">
        <v>0</v>
      </c>
      <c r="O1232" s="46">
        <v>0</v>
      </c>
      <c r="P1232" s="46">
        <v>1</v>
      </c>
      <c r="Q1232">
        <v>5.9</v>
      </c>
      <c r="R1232" t="s">
        <v>48</v>
      </c>
      <c r="S1232" t="s">
        <v>320</v>
      </c>
      <c r="T1232" t="s">
        <v>48</v>
      </c>
      <c r="U1232" t="s">
        <v>320</v>
      </c>
      <c r="V1232" s="47">
        <v>0</v>
      </c>
      <c r="W1232" t="s">
        <v>48</v>
      </c>
      <c r="X1232" t="s">
        <v>48</v>
      </c>
      <c r="Y1232" t="s">
        <v>48</v>
      </c>
      <c r="Z1232">
        <v>0</v>
      </c>
      <c r="AA1232" t="s">
        <v>10958</v>
      </c>
      <c r="AB1232" t="s">
        <v>48</v>
      </c>
      <c r="AC1232" t="s">
        <v>63</v>
      </c>
      <c r="AD1232" t="s">
        <v>93</v>
      </c>
      <c r="AE1232" t="s">
        <v>11051</v>
      </c>
      <c r="AF1232" t="s">
        <v>11052</v>
      </c>
      <c r="AG1232" t="s">
        <v>48</v>
      </c>
      <c r="AH1232" t="s">
        <v>48</v>
      </c>
      <c r="AI1232" t="s">
        <v>48</v>
      </c>
      <c r="AJ1232" t="s">
        <v>48</v>
      </c>
      <c r="AK1232" t="s">
        <v>48</v>
      </c>
      <c r="AL1232" t="s">
        <v>48</v>
      </c>
      <c r="AM1232" t="s">
        <v>48</v>
      </c>
      <c r="AN1232" t="s">
        <v>48</v>
      </c>
      <c r="AO1232" t="s">
        <v>48</v>
      </c>
      <c r="AP1232" s="46">
        <v>0</v>
      </c>
      <c r="AQ1232" s="46">
        <v>0</v>
      </c>
      <c r="AR1232" s="46">
        <v>0</v>
      </c>
      <c r="AS1232" s="46">
        <v>0</v>
      </c>
      <c r="AT1232" s="46">
        <v>0</v>
      </c>
      <c r="AU1232" s="46">
        <v>0</v>
      </c>
      <c r="AV1232" s="46">
        <v>0</v>
      </c>
      <c r="AW1232" s="46">
        <v>0</v>
      </c>
      <c r="AX1232" s="46">
        <v>0</v>
      </c>
      <c r="AY1232" s="46">
        <v>0</v>
      </c>
      <c r="AZ1232" s="46">
        <v>0</v>
      </c>
      <c r="BA1232" s="46">
        <v>0</v>
      </c>
      <c r="BB1232" s="46">
        <v>0</v>
      </c>
      <c r="BC1232" s="46">
        <v>0</v>
      </c>
      <c r="BD1232" s="46">
        <v>0</v>
      </c>
      <c r="BE1232" s="46">
        <v>0</v>
      </c>
      <c r="BF1232" s="46">
        <v>0</v>
      </c>
      <c r="BG1232" s="46" t="s">
        <v>48</v>
      </c>
      <c r="BH1232" s="46">
        <v>0</v>
      </c>
      <c r="BI1232" s="46">
        <v>0</v>
      </c>
      <c r="BJ1232" s="46">
        <v>0</v>
      </c>
      <c r="BK1232" s="46">
        <v>0</v>
      </c>
      <c r="BL1232" s="46">
        <v>0</v>
      </c>
      <c r="BM1232" s="46">
        <v>0</v>
      </c>
      <c r="BN1232" s="46">
        <v>0</v>
      </c>
    </row>
    <row r="1233" spans="1:66" x14ac:dyDescent="0.35">
      <c r="A1233" t="s">
        <v>251</v>
      </c>
      <c r="B1233" s="44" t="s">
        <v>48</v>
      </c>
      <c r="C1233" t="s">
        <v>254</v>
      </c>
      <c r="D1233" t="s">
        <v>253</v>
      </c>
      <c r="E1233" t="s">
        <v>252</v>
      </c>
      <c r="F1233" t="s">
        <v>46</v>
      </c>
      <c r="G1233" t="s">
        <v>47</v>
      </c>
      <c r="H1233">
        <v>0</v>
      </c>
      <c r="I1233" s="60" t="s">
        <v>60</v>
      </c>
      <c r="J1233" s="33" t="s">
        <v>45</v>
      </c>
      <c r="K1233" s="46">
        <v>0</v>
      </c>
      <c r="L1233" t="s">
        <v>48</v>
      </c>
      <c r="M1233" t="s">
        <v>48</v>
      </c>
      <c r="N1233" s="46">
        <v>0</v>
      </c>
      <c r="O1233" s="46">
        <v>0</v>
      </c>
      <c r="P1233" s="46">
        <v>1</v>
      </c>
      <c r="Q1233">
        <v>0.1</v>
      </c>
      <c r="R1233" t="s">
        <v>48</v>
      </c>
      <c r="S1233" t="s">
        <v>48</v>
      </c>
      <c r="T1233" t="s">
        <v>48</v>
      </c>
      <c r="U1233" t="s">
        <v>48</v>
      </c>
      <c r="V1233" s="47">
        <v>0</v>
      </c>
      <c r="W1233" t="s">
        <v>48</v>
      </c>
      <c r="X1233" t="s">
        <v>48</v>
      </c>
      <c r="Y1233" t="s">
        <v>48</v>
      </c>
      <c r="Z1233">
        <v>0</v>
      </c>
      <c r="AA1233" t="s">
        <v>57</v>
      </c>
      <c r="AB1233" t="s">
        <v>48</v>
      </c>
      <c r="AC1233" t="s">
        <v>49</v>
      </c>
      <c r="AD1233" t="s">
        <v>48</v>
      </c>
      <c r="AE1233" t="s">
        <v>48</v>
      </c>
      <c r="AF1233" t="s">
        <v>48</v>
      </c>
      <c r="AG1233" t="s">
        <v>48</v>
      </c>
      <c r="AH1233" t="s">
        <v>48</v>
      </c>
      <c r="AI1233" t="s">
        <v>48</v>
      </c>
      <c r="AJ1233" t="s">
        <v>48</v>
      </c>
      <c r="AK1233" t="s">
        <v>48</v>
      </c>
      <c r="AL1233" t="s">
        <v>48</v>
      </c>
      <c r="AM1233" t="s">
        <v>48</v>
      </c>
      <c r="AN1233" t="s">
        <v>48</v>
      </c>
      <c r="AO1233" t="s">
        <v>48</v>
      </c>
      <c r="AP1233" s="46">
        <v>0</v>
      </c>
      <c r="AQ1233" s="46">
        <v>0</v>
      </c>
      <c r="AR1233" s="46">
        <v>0</v>
      </c>
      <c r="AS1233" s="46">
        <v>0</v>
      </c>
      <c r="AT1233" s="46">
        <v>0</v>
      </c>
      <c r="AU1233" s="46">
        <v>0</v>
      </c>
      <c r="AV1233" s="46">
        <v>0</v>
      </c>
      <c r="AW1233" s="46">
        <v>0</v>
      </c>
      <c r="AX1233" s="46">
        <v>0</v>
      </c>
      <c r="AY1233" s="46">
        <v>0</v>
      </c>
      <c r="AZ1233" s="46">
        <v>0</v>
      </c>
      <c r="BA1233" s="46">
        <v>0</v>
      </c>
      <c r="BB1233" s="46">
        <v>0</v>
      </c>
      <c r="BC1233" s="46">
        <v>0</v>
      </c>
      <c r="BD1233" s="46">
        <v>0</v>
      </c>
      <c r="BE1233" s="46">
        <v>0</v>
      </c>
      <c r="BF1233" s="46">
        <v>0</v>
      </c>
      <c r="BG1233" s="46" t="s">
        <v>48</v>
      </c>
      <c r="BH1233" s="46">
        <v>0</v>
      </c>
      <c r="BI1233" s="46">
        <v>0</v>
      </c>
      <c r="BJ1233" s="46">
        <v>0</v>
      </c>
      <c r="BK1233" s="46">
        <v>0</v>
      </c>
      <c r="BL1233" s="46">
        <v>0</v>
      </c>
      <c r="BM1233" s="46">
        <v>0</v>
      </c>
      <c r="BN1233" s="46">
        <v>0</v>
      </c>
    </row>
    <row r="1234" spans="1:66" x14ac:dyDescent="0.35">
      <c r="A1234" t="s">
        <v>196</v>
      </c>
      <c r="B1234" s="44" t="s">
        <v>48</v>
      </c>
      <c r="C1234" t="s">
        <v>199</v>
      </c>
      <c r="D1234" t="s">
        <v>198</v>
      </c>
      <c r="E1234" t="s">
        <v>197</v>
      </c>
      <c r="F1234" t="s">
        <v>46</v>
      </c>
      <c r="G1234" t="s">
        <v>83</v>
      </c>
      <c r="H1234">
        <v>0</v>
      </c>
      <c r="I1234" s="60" t="s">
        <v>60</v>
      </c>
      <c r="J1234" s="33" t="s">
        <v>45</v>
      </c>
      <c r="K1234" s="46">
        <v>0</v>
      </c>
      <c r="L1234" t="s">
        <v>48</v>
      </c>
      <c r="M1234" t="s">
        <v>48</v>
      </c>
      <c r="N1234" s="46">
        <v>0</v>
      </c>
      <c r="O1234" s="46">
        <v>0</v>
      </c>
      <c r="P1234" s="46">
        <v>1</v>
      </c>
      <c r="Q1234">
        <v>0.1</v>
      </c>
      <c r="R1234" t="s">
        <v>48</v>
      </c>
      <c r="S1234" t="s">
        <v>48</v>
      </c>
      <c r="T1234" t="s">
        <v>48</v>
      </c>
      <c r="U1234" t="s">
        <v>48</v>
      </c>
      <c r="V1234" s="47">
        <v>0</v>
      </c>
      <c r="W1234" t="s">
        <v>48</v>
      </c>
      <c r="X1234" t="s">
        <v>48</v>
      </c>
      <c r="Y1234" t="s">
        <v>48</v>
      </c>
      <c r="Z1234">
        <v>0</v>
      </c>
      <c r="AA1234" t="s">
        <v>57</v>
      </c>
      <c r="AB1234" t="s">
        <v>48</v>
      </c>
      <c r="AC1234" t="s">
        <v>49</v>
      </c>
      <c r="AD1234" t="s">
        <v>93</v>
      </c>
      <c r="AE1234" t="s">
        <v>4532</v>
      </c>
      <c r="AF1234" t="s">
        <v>48</v>
      </c>
      <c r="AG1234" t="s">
        <v>48</v>
      </c>
      <c r="AH1234" t="s">
        <v>48</v>
      </c>
      <c r="AI1234" t="s">
        <v>48</v>
      </c>
      <c r="AJ1234" t="s">
        <v>48</v>
      </c>
      <c r="AK1234" t="s">
        <v>48</v>
      </c>
      <c r="AL1234" t="s">
        <v>48</v>
      </c>
      <c r="AM1234" t="s">
        <v>48</v>
      </c>
      <c r="AN1234" t="s">
        <v>48</v>
      </c>
      <c r="AO1234" t="s">
        <v>48</v>
      </c>
      <c r="AP1234" s="46">
        <v>0</v>
      </c>
      <c r="AQ1234" s="46">
        <v>0</v>
      </c>
      <c r="AR1234" s="46">
        <v>0</v>
      </c>
      <c r="AS1234" s="46">
        <v>0</v>
      </c>
      <c r="AT1234" s="46">
        <v>0</v>
      </c>
      <c r="AU1234" s="46">
        <v>0</v>
      </c>
      <c r="AV1234" s="46">
        <v>0</v>
      </c>
      <c r="AW1234" s="46">
        <v>0</v>
      </c>
      <c r="AX1234" s="46">
        <v>0</v>
      </c>
      <c r="AY1234" s="46">
        <v>0</v>
      </c>
      <c r="AZ1234" s="46">
        <v>0</v>
      </c>
      <c r="BA1234" s="46">
        <v>0</v>
      </c>
      <c r="BB1234" s="46">
        <v>0</v>
      </c>
      <c r="BC1234" s="46">
        <v>0</v>
      </c>
      <c r="BD1234" s="46">
        <v>0</v>
      </c>
      <c r="BE1234" s="46">
        <v>0</v>
      </c>
      <c r="BF1234" s="46">
        <v>0</v>
      </c>
      <c r="BG1234" s="46" t="s">
        <v>48</v>
      </c>
      <c r="BH1234" s="46">
        <v>0</v>
      </c>
      <c r="BI1234" s="46">
        <v>0</v>
      </c>
      <c r="BJ1234" s="46">
        <v>0</v>
      </c>
      <c r="BK1234" s="46">
        <v>0</v>
      </c>
      <c r="BL1234" s="46">
        <v>0</v>
      </c>
      <c r="BM1234" s="46">
        <v>0</v>
      </c>
      <c r="BN1234" s="46">
        <v>0</v>
      </c>
    </row>
    <row r="1235" spans="1:66" x14ac:dyDescent="0.35">
      <c r="A1235" t="s">
        <v>386</v>
      </c>
      <c r="B1235" s="44" t="s">
        <v>48</v>
      </c>
      <c r="C1235" t="s">
        <v>389</v>
      </c>
      <c r="D1235" t="s">
        <v>388</v>
      </c>
      <c r="E1235" t="s">
        <v>387</v>
      </c>
      <c r="F1235" t="s">
        <v>374</v>
      </c>
      <c r="G1235" t="s">
        <v>74</v>
      </c>
      <c r="H1235">
        <v>0</v>
      </c>
      <c r="I1235" s="60" t="s">
        <v>51</v>
      </c>
      <c r="J1235" s="33" t="s">
        <v>45</v>
      </c>
      <c r="K1235" s="46">
        <v>0</v>
      </c>
      <c r="L1235">
        <v>31.2</v>
      </c>
      <c r="M1235" t="s">
        <v>48</v>
      </c>
      <c r="N1235" s="46">
        <v>0</v>
      </c>
      <c r="O1235" s="46">
        <v>0</v>
      </c>
      <c r="P1235" s="46">
        <v>0</v>
      </c>
      <c r="Q1235" t="s">
        <v>48</v>
      </c>
      <c r="R1235" t="s">
        <v>48</v>
      </c>
      <c r="S1235" t="s">
        <v>48</v>
      </c>
      <c r="T1235" t="s">
        <v>48</v>
      </c>
      <c r="U1235" t="s">
        <v>48</v>
      </c>
      <c r="V1235" s="47">
        <v>1</v>
      </c>
      <c r="W1235" t="s">
        <v>11264</v>
      </c>
      <c r="X1235" t="s">
        <v>48</v>
      </c>
      <c r="Y1235" t="s">
        <v>48</v>
      </c>
      <c r="Z1235">
        <v>0</v>
      </c>
      <c r="AA1235" t="s">
        <v>48</v>
      </c>
      <c r="AB1235" t="s">
        <v>48</v>
      </c>
      <c r="AC1235" t="s">
        <v>49</v>
      </c>
      <c r="AD1235" t="s">
        <v>93</v>
      </c>
      <c r="AE1235" t="s">
        <v>977</v>
      </c>
      <c r="AF1235" t="s">
        <v>11053</v>
      </c>
      <c r="AG1235" t="s">
        <v>48</v>
      </c>
      <c r="AH1235" t="s">
        <v>48</v>
      </c>
      <c r="AI1235" t="s">
        <v>48</v>
      </c>
      <c r="AJ1235" t="s">
        <v>48</v>
      </c>
      <c r="AK1235" t="s">
        <v>48</v>
      </c>
      <c r="AL1235" t="s">
        <v>48</v>
      </c>
      <c r="AM1235" t="s">
        <v>48</v>
      </c>
      <c r="AN1235" t="s">
        <v>48</v>
      </c>
      <c r="AO1235" t="s">
        <v>48</v>
      </c>
      <c r="AP1235" s="46">
        <v>0</v>
      </c>
      <c r="AQ1235" s="46">
        <v>0</v>
      </c>
      <c r="AR1235" s="46">
        <v>0</v>
      </c>
      <c r="AS1235" s="46">
        <v>0</v>
      </c>
      <c r="AT1235" s="46">
        <v>0</v>
      </c>
      <c r="AU1235" s="46">
        <v>0</v>
      </c>
      <c r="AV1235" s="46">
        <v>0</v>
      </c>
      <c r="AW1235" s="46">
        <v>0</v>
      </c>
      <c r="AX1235" s="46">
        <v>0</v>
      </c>
      <c r="AY1235" s="46">
        <v>0</v>
      </c>
      <c r="AZ1235" s="46">
        <v>0</v>
      </c>
      <c r="BA1235" s="46">
        <v>0</v>
      </c>
      <c r="BB1235" s="46">
        <v>0</v>
      </c>
      <c r="BC1235" s="46">
        <v>0</v>
      </c>
      <c r="BD1235" s="46">
        <v>0</v>
      </c>
      <c r="BE1235" s="46">
        <v>0</v>
      </c>
      <c r="BF1235" s="46">
        <v>0</v>
      </c>
      <c r="BG1235" s="46" t="s">
        <v>48</v>
      </c>
      <c r="BH1235" s="46">
        <v>0</v>
      </c>
      <c r="BI1235" s="46">
        <v>0</v>
      </c>
      <c r="BJ1235" s="46">
        <v>0</v>
      </c>
      <c r="BK1235" s="46">
        <v>0</v>
      </c>
      <c r="BL1235" s="46">
        <v>0</v>
      </c>
      <c r="BM1235" s="46">
        <v>0</v>
      </c>
      <c r="BN1235" s="46">
        <v>0</v>
      </c>
    </row>
    <row r="1236" spans="1:66" x14ac:dyDescent="0.35">
      <c r="A1236" t="s">
        <v>11576</v>
      </c>
      <c r="B1236" s="44" t="s">
        <v>48</v>
      </c>
      <c r="C1236" t="s">
        <v>11602</v>
      </c>
      <c r="D1236" t="s">
        <v>396</v>
      </c>
      <c r="E1236" t="s">
        <v>11577</v>
      </c>
      <c r="F1236" t="s">
        <v>392</v>
      </c>
      <c r="G1236" t="s">
        <v>47</v>
      </c>
      <c r="H1236">
        <v>0</v>
      </c>
      <c r="I1236" s="61">
        <v>44980</v>
      </c>
      <c r="J1236" s="33" t="s">
        <v>45</v>
      </c>
      <c r="K1236" s="46">
        <v>0</v>
      </c>
      <c r="L1236">
        <v>17.7</v>
      </c>
      <c r="M1236" t="s">
        <v>48</v>
      </c>
      <c r="N1236" s="46">
        <v>0</v>
      </c>
      <c r="O1236" s="46">
        <v>0</v>
      </c>
      <c r="P1236" s="46">
        <v>0</v>
      </c>
      <c r="Q1236" t="s">
        <v>48</v>
      </c>
      <c r="R1236" t="s">
        <v>48</v>
      </c>
      <c r="S1236" t="s">
        <v>48</v>
      </c>
      <c r="T1236" t="s">
        <v>48</v>
      </c>
      <c r="U1236" t="s">
        <v>48</v>
      </c>
      <c r="V1236" s="47">
        <v>1</v>
      </c>
      <c r="W1236" t="s">
        <v>48</v>
      </c>
      <c r="X1236" t="s">
        <v>48</v>
      </c>
      <c r="Y1236" t="s">
        <v>48</v>
      </c>
      <c r="Z1236" t="s">
        <v>48</v>
      </c>
      <c r="AA1236" t="s">
        <v>48</v>
      </c>
      <c r="AB1236" t="s">
        <v>48</v>
      </c>
      <c r="AC1236" t="s">
        <v>49</v>
      </c>
      <c r="AD1236" t="s">
        <v>93</v>
      </c>
      <c r="AE1236" t="s">
        <v>4532</v>
      </c>
      <c r="AF1236" t="s">
        <v>48</v>
      </c>
      <c r="AG1236" t="s">
        <v>48</v>
      </c>
      <c r="AH1236" t="s">
        <v>48</v>
      </c>
      <c r="AI1236" t="s">
        <v>48</v>
      </c>
      <c r="AJ1236" t="s">
        <v>48</v>
      </c>
      <c r="AK1236" t="s">
        <v>48</v>
      </c>
      <c r="AL1236" t="s">
        <v>48</v>
      </c>
      <c r="AM1236" t="s">
        <v>48</v>
      </c>
      <c r="AN1236" t="s">
        <v>48</v>
      </c>
      <c r="AO1236" t="s">
        <v>48</v>
      </c>
      <c r="AP1236" s="46">
        <v>0</v>
      </c>
      <c r="AQ1236" s="46">
        <v>0</v>
      </c>
      <c r="AR1236" s="46">
        <v>0</v>
      </c>
      <c r="AS1236" s="46">
        <v>0</v>
      </c>
      <c r="AT1236" s="46">
        <v>0</v>
      </c>
      <c r="AU1236" s="46">
        <v>0</v>
      </c>
      <c r="AV1236" s="46">
        <v>0</v>
      </c>
      <c r="AW1236" s="46">
        <v>0</v>
      </c>
      <c r="AX1236" s="46">
        <v>0</v>
      </c>
      <c r="AY1236" s="46">
        <v>0</v>
      </c>
      <c r="AZ1236" s="46">
        <v>0</v>
      </c>
      <c r="BA1236" s="46">
        <v>0</v>
      </c>
      <c r="BB1236" s="46">
        <v>0</v>
      </c>
      <c r="BC1236" s="46">
        <v>0</v>
      </c>
      <c r="BD1236" s="46">
        <v>0</v>
      </c>
      <c r="BE1236" s="46">
        <v>0</v>
      </c>
      <c r="BF1236" s="46">
        <v>0</v>
      </c>
      <c r="BG1236" s="46" t="s">
        <v>48</v>
      </c>
      <c r="BH1236" s="46">
        <v>0</v>
      </c>
      <c r="BI1236" s="46">
        <v>0</v>
      </c>
      <c r="BJ1236" s="46">
        <v>0</v>
      </c>
      <c r="BK1236" s="46">
        <v>0</v>
      </c>
      <c r="BL1236" s="46">
        <v>0</v>
      </c>
      <c r="BM1236" s="46">
        <v>0</v>
      </c>
      <c r="BN1236" s="46">
        <v>0</v>
      </c>
    </row>
    <row r="1237" spans="1:66" x14ac:dyDescent="0.35">
      <c r="A1237" t="s">
        <v>414</v>
      </c>
      <c r="B1237" s="44" t="s">
        <v>48</v>
      </c>
      <c r="C1237" t="s">
        <v>417</v>
      </c>
      <c r="D1237" t="s">
        <v>416</v>
      </c>
      <c r="E1237" t="s">
        <v>415</v>
      </c>
      <c r="F1237" t="s">
        <v>407</v>
      </c>
      <c r="G1237" t="s">
        <v>74</v>
      </c>
      <c r="H1237">
        <v>0</v>
      </c>
      <c r="I1237" s="60" t="s">
        <v>125</v>
      </c>
      <c r="J1237" s="33" t="s">
        <v>45</v>
      </c>
      <c r="K1237" s="46">
        <v>0</v>
      </c>
      <c r="L1237">
        <v>45.9</v>
      </c>
      <c r="M1237" t="s">
        <v>48</v>
      </c>
      <c r="N1237" s="46">
        <v>0</v>
      </c>
      <c r="O1237" s="46">
        <v>0</v>
      </c>
      <c r="P1237" s="46">
        <v>0</v>
      </c>
      <c r="Q1237" t="s">
        <v>48</v>
      </c>
      <c r="R1237" t="s">
        <v>48</v>
      </c>
      <c r="S1237" t="s">
        <v>48</v>
      </c>
      <c r="T1237" t="s">
        <v>48</v>
      </c>
      <c r="U1237" t="s">
        <v>48</v>
      </c>
      <c r="V1237" s="47">
        <v>1</v>
      </c>
      <c r="W1237" t="s">
        <v>11264</v>
      </c>
      <c r="X1237" t="s">
        <v>48</v>
      </c>
      <c r="Y1237" t="s">
        <v>48</v>
      </c>
      <c r="Z1237">
        <v>0</v>
      </c>
      <c r="AA1237" t="s">
        <v>48</v>
      </c>
      <c r="AB1237" t="s">
        <v>48</v>
      </c>
      <c r="AC1237" t="s">
        <v>63</v>
      </c>
      <c r="AD1237" t="s">
        <v>93</v>
      </c>
      <c r="AE1237" t="s">
        <v>4532</v>
      </c>
      <c r="AF1237" t="s">
        <v>48</v>
      </c>
      <c r="AG1237" t="s">
        <v>48</v>
      </c>
      <c r="AH1237" t="s">
        <v>48</v>
      </c>
      <c r="AI1237" t="s">
        <v>48</v>
      </c>
      <c r="AJ1237" t="s">
        <v>48</v>
      </c>
      <c r="AK1237" t="s">
        <v>48</v>
      </c>
      <c r="AL1237" t="s">
        <v>48</v>
      </c>
      <c r="AM1237" t="s">
        <v>48</v>
      </c>
      <c r="AN1237" t="s">
        <v>48</v>
      </c>
      <c r="AO1237" t="s">
        <v>48</v>
      </c>
      <c r="AP1237" s="46">
        <v>0</v>
      </c>
      <c r="AQ1237" s="46">
        <v>0</v>
      </c>
      <c r="AR1237" s="46">
        <v>0</v>
      </c>
      <c r="AS1237" s="46">
        <v>0</v>
      </c>
      <c r="AT1237" s="46">
        <v>0</v>
      </c>
      <c r="AU1237" s="46">
        <v>0</v>
      </c>
      <c r="AV1237" s="46">
        <v>0</v>
      </c>
      <c r="AW1237" s="46">
        <v>0</v>
      </c>
      <c r="AX1237" s="46">
        <v>0</v>
      </c>
      <c r="AY1237" s="46">
        <v>0</v>
      </c>
      <c r="AZ1237" s="46">
        <v>0</v>
      </c>
      <c r="BA1237" s="46">
        <v>0</v>
      </c>
      <c r="BB1237" s="46">
        <v>0</v>
      </c>
      <c r="BC1237" s="46">
        <v>0</v>
      </c>
      <c r="BD1237" s="46">
        <v>0</v>
      </c>
      <c r="BE1237" s="46">
        <v>0</v>
      </c>
      <c r="BF1237" s="46">
        <v>0</v>
      </c>
      <c r="BG1237" s="46" t="s">
        <v>48</v>
      </c>
      <c r="BH1237" s="46">
        <v>0</v>
      </c>
      <c r="BI1237" s="46">
        <v>0</v>
      </c>
      <c r="BJ1237" s="46">
        <v>0</v>
      </c>
      <c r="BK1237" s="46">
        <v>0</v>
      </c>
      <c r="BL1237" s="46">
        <v>0</v>
      </c>
      <c r="BM1237" s="46">
        <v>0</v>
      </c>
      <c r="BN1237" s="46">
        <v>0</v>
      </c>
    </row>
    <row r="1238" spans="1:66" x14ac:dyDescent="0.35">
      <c r="A1238" t="s">
        <v>448</v>
      </c>
      <c r="B1238" s="44" t="s">
        <v>48</v>
      </c>
      <c r="C1238" t="s">
        <v>452</v>
      </c>
      <c r="D1238" t="s">
        <v>451</v>
      </c>
      <c r="E1238" t="s">
        <v>449</v>
      </c>
      <c r="F1238" t="s">
        <v>89</v>
      </c>
      <c r="G1238" t="s">
        <v>47</v>
      </c>
      <c r="H1238">
        <v>0</v>
      </c>
      <c r="I1238" s="60" t="s">
        <v>51</v>
      </c>
      <c r="J1238" s="33" t="s">
        <v>45</v>
      </c>
      <c r="K1238" s="46">
        <v>0</v>
      </c>
      <c r="L1238">
        <v>23</v>
      </c>
      <c r="M1238" t="s">
        <v>48</v>
      </c>
      <c r="N1238" s="46">
        <v>0</v>
      </c>
      <c r="O1238" s="46">
        <v>0</v>
      </c>
      <c r="P1238" s="46">
        <v>0</v>
      </c>
      <c r="Q1238" t="s">
        <v>48</v>
      </c>
      <c r="R1238" t="s">
        <v>48</v>
      </c>
      <c r="S1238" t="s">
        <v>450</v>
      </c>
      <c r="T1238" t="s">
        <v>48</v>
      </c>
      <c r="U1238" t="s">
        <v>450</v>
      </c>
      <c r="V1238" s="47">
        <v>0</v>
      </c>
      <c r="W1238" t="s">
        <v>48</v>
      </c>
      <c r="X1238" t="s">
        <v>48</v>
      </c>
      <c r="Y1238" t="s">
        <v>48</v>
      </c>
      <c r="Z1238">
        <v>0</v>
      </c>
      <c r="AA1238" t="s">
        <v>48</v>
      </c>
      <c r="AB1238" t="s">
        <v>48</v>
      </c>
      <c r="AC1238" t="s">
        <v>49</v>
      </c>
      <c r="AD1238" t="s">
        <v>93</v>
      </c>
      <c r="AE1238" t="s">
        <v>4532</v>
      </c>
      <c r="AF1238" t="s">
        <v>48</v>
      </c>
      <c r="AG1238" t="s">
        <v>48</v>
      </c>
      <c r="AH1238" t="s">
        <v>93</v>
      </c>
      <c r="AI1238" t="s">
        <v>48</v>
      </c>
      <c r="AJ1238" t="s">
        <v>48</v>
      </c>
      <c r="AK1238" t="s">
        <v>48</v>
      </c>
      <c r="AL1238" t="s">
        <v>48</v>
      </c>
      <c r="AM1238" t="s">
        <v>48</v>
      </c>
      <c r="AN1238" t="s">
        <v>48</v>
      </c>
      <c r="AO1238" t="s">
        <v>48</v>
      </c>
      <c r="AP1238" s="46">
        <v>0</v>
      </c>
      <c r="AQ1238" s="46">
        <v>0</v>
      </c>
      <c r="AR1238" s="46">
        <v>0</v>
      </c>
      <c r="AS1238" s="46">
        <v>0</v>
      </c>
      <c r="AT1238" s="46">
        <v>0</v>
      </c>
      <c r="AU1238" s="46">
        <v>0</v>
      </c>
      <c r="AV1238" s="46">
        <v>0</v>
      </c>
      <c r="AW1238" s="46">
        <v>0</v>
      </c>
      <c r="AX1238" s="46">
        <v>0</v>
      </c>
      <c r="AY1238" s="46">
        <v>0</v>
      </c>
      <c r="AZ1238" s="46">
        <v>0</v>
      </c>
      <c r="BA1238" s="46">
        <v>0</v>
      </c>
      <c r="BB1238" s="46">
        <v>0</v>
      </c>
      <c r="BC1238" s="46">
        <v>0</v>
      </c>
      <c r="BD1238" s="46">
        <v>0</v>
      </c>
      <c r="BE1238" s="46">
        <v>0</v>
      </c>
      <c r="BF1238" s="46">
        <v>0</v>
      </c>
      <c r="BG1238" s="46" t="s">
        <v>48</v>
      </c>
      <c r="BH1238" s="46">
        <v>0</v>
      </c>
      <c r="BI1238" s="46">
        <v>0</v>
      </c>
      <c r="BJ1238" s="46">
        <v>0</v>
      </c>
      <c r="BK1238" s="46">
        <v>0</v>
      </c>
      <c r="BL1238" s="46">
        <v>0</v>
      </c>
      <c r="BM1238" s="46">
        <v>0</v>
      </c>
      <c r="BN1238" s="46">
        <v>0</v>
      </c>
    </row>
    <row r="1239" spans="1:66" x14ac:dyDescent="0.35">
      <c r="A1239" t="s">
        <v>443</v>
      </c>
      <c r="B1239" s="44" t="s">
        <v>48</v>
      </c>
      <c r="C1239" t="s">
        <v>447</v>
      </c>
      <c r="D1239" t="s">
        <v>446</v>
      </c>
      <c r="E1239" t="s">
        <v>444</v>
      </c>
      <c r="F1239" t="s">
        <v>89</v>
      </c>
      <c r="G1239" t="s">
        <v>74</v>
      </c>
      <c r="H1239">
        <v>0</v>
      </c>
      <c r="I1239" s="60" t="s">
        <v>51</v>
      </c>
      <c r="J1239" s="33" t="s">
        <v>45</v>
      </c>
      <c r="K1239" s="46">
        <v>0</v>
      </c>
      <c r="L1239">
        <v>42.8</v>
      </c>
      <c r="M1239" t="s">
        <v>48</v>
      </c>
      <c r="N1239" s="46">
        <v>0</v>
      </c>
      <c r="O1239" s="46">
        <v>0</v>
      </c>
      <c r="P1239" s="46">
        <v>0</v>
      </c>
      <c r="Q1239" t="s">
        <v>48</v>
      </c>
      <c r="R1239" t="s">
        <v>48</v>
      </c>
      <c r="S1239" t="s">
        <v>445</v>
      </c>
      <c r="T1239" t="s">
        <v>48</v>
      </c>
      <c r="U1239" t="s">
        <v>445</v>
      </c>
      <c r="V1239" s="47">
        <v>0</v>
      </c>
      <c r="W1239" t="s">
        <v>48</v>
      </c>
      <c r="X1239" t="s">
        <v>48</v>
      </c>
      <c r="Y1239" t="s">
        <v>48</v>
      </c>
      <c r="Z1239">
        <v>0</v>
      </c>
      <c r="AA1239" t="s">
        <v>48</v>
      </c>
      <c r="AB1239" t="s">
        <v>48</v>
      </c>
      <c r="AC1239" t="s">
        <v>49</v>
      </c>
      <c r="AD1239" t="s">
        <v>93</v>
      </c>
      <c r="AE1239" t="s">
        <v>4532</v>
      </c>
      <c r="AF1239" t="s">
        <v>48</v>
      </c>
      <c r="AG1239" t="s">
        <v>48</v>
      </c>
      <c r="AH1239" t="s">
        <v>48</v>
      </c>
      <c r="AI1239" t="s">
        <v>48</v>
      </c>
      <c r="AJ1239" t="s">
        <v>48</v>
      </c>
      <c r="AK1239" t="s">
        <v>48</v>
      </c>
      <c r="AL1239" t="s">
        <v>48</v>
      </c>
      <c r="AM1239" t="s">
        <v>48</v>
      </c>
      <c r="AN1239" t="s">
        <v>48</v>
      </c>
      <c r="AO1239" t="s">
        <v>48</v>
      </c>
      <c r="AP1239" s="46">
        <v>0</v>
      </c>
      <c r="AQ1239" s="46">
        <v>0</v>
      </c>
      <c r="AR1239" s="46">
        <v>0</v>
      </c>
      <c r="AS1239" s="46">
        <v>0</v>
      </c>
      <c r="AT1239" s="46">
        <v>0</v>
      </c>
      <c r="AU1239" s="46">
        <v>0</v>
      </c>
      <c r="AV1239" s="46">
        <v>0</v>
      </c>
      <c r="AW1239" s="46">
        <v>0</v>
      </c>
      <c r="AX1239" s="46">
        <v>0</v>
      </c>
      <c r="AY1239" s="46">
        <v>0</v>
      </c>
      <c r="AZ1239" s="46">
        <v>0</v>
      </c>
      <c r="BA1239" s="46">
        <v>0</v>
      </c>
      <c r="BB1239" s="46">
        <v>0</v>
      </c>
      <c r="BC1239" s="46">
        <v>0</v>
      </c>
      <c r="BD1239" s="46">
        <v>0</v>
      </c>
      <c r="BE1239" s="46">
        <v>0</v>
      </c>
      <c r="BF1239" s="46">
        <v>0</v>
      </c>
      <c r="BG1239" s="46" t="s">
        <v>48</v>
      </c>
      <c r="BH1239" s="46">
        <v>0</v>
      </c>
      <c r="BI1239" s="46">
        <v>0</v>
      </c>
      <c r="BJ1239" s="46">
        <v>0</v>
      </c>
      <c r="BK1239" s="46">
        <v>0</v>
      </c>
      <c r="BL1239" s="46">
        <v>0</v>
      </c>
      <c r="BM1239" s="46">
        <v>0</v>
      </c>
      <c r="BN1239" s="46">
        <v>0</v>
      </c>
    </row>
    <row r="1240" spans="1:66" x14ac:dyDescent="0.35">
      <c r="A1240" t="s">
        <v>458</v>
      </c>
      <c r="B1240" s="44" t="s">
        <v>48</v>
      </c>
      <c r="C1240" t="s">
        <v>340</v>
      </c>
      <c r="D1240" t="s">
        <v>460</v>
      </c>
      <c r="E1240" t="s">
        <v>459</v>
      </c>
      <c r="F1240" t="s">
        <v>89</v>
      </c>
      <c r="G1240" t="s">
        <v>47</v>
      </c>
      <c r="H1240">
        <v>0</v>
      </c>
      <c r="I1240" s="60" t="s">
        <v>51</v>
      </c>
      <c r="J1240" s="33" t="s">
        <v>45</v>
      </c>
      <c r="K1240" s="46">
        <v>0</v>
      </c>
      <c r="L1240">
        <v>1.5</v>
      </c>
      <c r="M1240" t="s">
        <v>48</v>
      </c>
      <c r="N1240" s="46">
        <v>0</v>
      </c>
      <c r="O1240" s="46">
        <v>0</v>
      </c>
      <c r="P1240" s="46">
        <v>0</v>
      </c>
      <c r="Q1240" t="s">
        <v>48</v>
      </c>
      <c r="R1240" t="s">
        <v>48</v>
      </c>
      <c r="S1240" t="s">
        <v>48</v>
      </c>
      <c r="T1240" t="s">
        <v>48</v>
      </c>
      <c r="U1240" t="s">
        <v>48</v>
      </c>
      <c r="V1240" s="47">
        <v>0</v>
      </c>
      <c r="W1240" t="s">
        <v>48</v>
      </c>
      <c r="X1240" t="s">
        <v>48</v>
      </c>
      <c r="Y1240" t="s">
        <v>48</v>
      </c>
      <c r="Z1240">
        <v>0</v>
      </c>
      <c r="AA1240" t="s">
        <v>48</v>
      </c>
      <c r="AB1240" t="s">
        <v>48</v>
      </c>
      <c r="AC1240" t="s">
        <v>49</v>
      </c>
      <c r="AD1240" t="s">
        <v>93</v>
      </c>
      <c r="AE1240" t="s">
        <v>4532</v>
      </c>
      <c r="AF1240" t="s">
        <v>48</v>
      </c>
      <c r="AG1240" t="s">
        <v>48</v>
      </c>
      <c r="AH1240" t="s">
        <v>48</v>
      </c>
      <c r="AI1240" t="s">
        <v>48</v>
      </c>
      <c r="AJ1240" t="s">
        <v>48</v>
      </c>
      <c r="AK1240" t="s">
        <v>48</v>
      </c>
      <c r="AL1240" t="s">
        <v>48</v>
      </c>
      <c r="AM1240" t="s">
        <v>48</v>
      </c>
      <c r="AN1240" t="s">
        <v>48</v>
      </c>
      <c r="AO1240" t="s">
        <v>48</v>
      </c>
      <c r="AP1240" s="46">
        <v>0</v>
      </c>
      <c r="AQ1240" s="46">
        <v>0</v>
      </c>
      <c r="AR1240" s="46">
        <v>0</v>
      </c>
      <c r="AS1240" s="46">
        <v>0</v>
      </c>
      <c r="AT1240" s="46">
        <v>0</v>
      </c>
      <c r="AU1240" s="46">
        <v>0</v>
      </c>
      <c r="AV1240" s="46">
        <v>0</v>
      </c>
      <c r="AW1240" s="46">
        <v>0</v>
      </c>
      <c r="AX1240" s="46">
        <v>0</v>
      </c>
      <c r="AY1240" s="46">
        <v>0</v>
      </c>
      <c r="AZ1240" s="46">
        <v>0</v>
      </c>
      <c r="BA1240" s="46">
        <v>0</v>
      </c>
      <c r="BB1240" s="46">
        <v>0</v>
      </c>
      <c r="BC1240" s="46">
        <v>0</v>
      </c>
      <c r="BD1240" s="46">
        <v>0</v>
      </c>
      <c r="BE1240" s="46">
        <v>0</v>
      </c>
      <c r="BF1240" s="46">
        <v>0</v>
      </c>
      <c r="BG1240" s="46" t="s">
        <v>48</v>
      </c>
      <c r="BH1240" s="46">
        <v>0</v>
      </c>
      <c r="BI1240" s="46">
        <v>0</v>
      </c>
      <c r="BJ1240" s="46">
        <v>0</v>
      </c>
      <c r="BK1240" s="46">
        <v>0</v>
      </c>
      <c r="BL1240" s="46">
        <v>0</v>
      </c>
      <c r="BM1240" s="46">
        <v>0</v>
      </c>
      <c r="BN1240" s="46">
        <v>0</v>
      </c>
    </row>
    <row r="1241" spans="1:66" x14ac:dyDescent="0.35">
      <c r="A1241" t="s">
        <v>430</v>
      </c>
      <c r="B1241" s="44" t="s">
        <v>48</v>
      </c>
      <c r="C1241" t="s">
        <v>433</v>
      </c>
      <c r="D1241" t="s">
        <v>221</v>
      </c>
      <c r="E1241" t="s">
        <v>431</v>
      </c>
      <c r="F1241" t="s">
        <v>89</v>
      </c>
      <c r="G1241" t="s">
        <v>47</v>
      </c>
      <c r="H1241">
        <v>0</v>
      </c>
      <c r="I1241" s="60" t="s">
        <v>51</v>
      </c>
      <c r="J1241" s="33" t="s">
        <v>45</v>
      </c>
      <c r="K1241" s="46">
        <v>0</v>
      </c>
      <c r="L1241">
        <v>13.8</v>
      </c>
      <c r="M1241" t="s">
        <v>48</v>
      </c>
      <c r="N1241" s="46">
        <v>0</v>
      </c>
      <c r="O1241" s="46">
        <v>0</v>
      </c>
      <c r="P1241" s="46">
        <v>0</v>
      </c>
      <c r="Q1241" t="s">
        <v>48</v>
      </c>
      <c r="R1241" t="s">
        <v>48</v>
      </c>
      <c r="S1241" t="s">
        <v>432</v>
      </c>
      <c r="T1241" t="s">
        <v>48</v>
      </c>
      <c r="U1241" t="s">
        <v>432</v>
      </c>
      <c r="V1241" s="47">
        <v>0</v>
      </c>
      <c r="W1241" t="s">
        <v>48</v>
      </c>
      <c r="X1241" t="s">
        <v>48</v>
      </c>
      <c r="Y1241" t="s">
        <v>48</v>
      </c>
      <c r="Z1241">
        <v>0</v>
      </c>
      <c r="AA1241" t="s">
        <v>48</v>
      </c>
      <c r="AB1241" t="s">
        <v>48</v>
      </c>
      <c r="AC1241" t="s">
        <v>49</v>
      </c>
      <c r="AD1241" t="s">
        <v>93</v>
      </c>
      <c r="AE1241" t="s">
        <v>4532</v>
      </c>
      <c r="AF1241" t="s">
        <v>48</v>
      </c>
      <c r="AG1241" t="s">
        <v>48</v>
      </c>
      <c r="AH1241" t="s">
        <v>48</v>
      </c>
      <c r="AI1241" t="s">
        <v>48</v>
      </c>
      <c r="AJ1241" t="s">
        <v>48</v>
      </c>
      <c r="AK1241" t="s">
        <v>48</v>
      </c>
      <c r="AL1241" t="s">
        <v>48</v>
      </c>
      <c r="AM1241" t="s">
        <v>48</v>
      </c>
      <c r="AN1241" t="s">
        <v>48</v>
      </c>
      <c r="AO1241" t="s">
        <v>48</v>
      </c>
      <c r="AP1241" s="46">
        <v>0</v>
      </c>
      <c r="AQ1241" s="46">
        <v>0</v>
      </c>
      <c r="AR1241" s="46">
        <v>0</v>
      </c>
      <c r="AS1241" s="46">
        <v>0</v>
      </c>
      <c r="AT1241" s="46">
        <v>0</v>
      </c>
      <c r="AU1241" s="46">
        <v>0</v>
      </c>
      <c r="AV1241" s="46">
        <v>0</v>
      </c>
      <c r="AW1241" s="46">
        <v>0</v>
      </c>
      <c r="AX1241" s="46">
        <v>0</v>
      </c>
      <c r="AY1241" s="46">
        <v>0</v>
      </c>
      <c r="AZ1241" s="46">
        <v>0</v>
      </c>
      <c r="BA1241" s="46">
        <v>0</v>
      </c>
      <c r="BB1241" s="46">
        <v>0</v>
      </c>
      <c r="BC1241" s="46">
        <v>0</v>
      </c>
      <c r="BD1241" s="46">
        <v>0</v>
      </c>
      <c r="BE1241" s="46">
        <v>0</v>
      </c>
      <c r="BF1241" s="46">
        <v>0</v>
      </c>
      <c r="BG1241" s="46" t="s">
        <v>48</v>
      </c>
      <c r="BH1241" s="46">
        <v>0</v>
      </c>
      <c r="BI1241" s="46">
        <v>0</v>
      </c>
      <c r="BJ1241" s="46">
        <v>0</v>
      </c>
      <c r="BK1241" s="46">
        <v>0</v>
      </c>
      <c r="BL1241" s="46">
        <v>0</v>
      </c>
      <c r="BM1241" s="46">
        <v>0</v>
      </c>
      <c r="BN1241" s="46">
        <v>0</v>
      </c>
    </row>
    <row r="1242" spans="1:66" x14ac:dyDescent="0.35">
      <c r="A1242" t="s">
        <v>423</v>
      </c>
      <c r="B1242" s="44" t="s">
        <v>48</v>
      </c>
      <c r="C1242" t="s">
        <v>428</v>
      </c>
      <c r="D1242" t="s">
        <v>427</v>
      </c>
      <c r="E1242" t="s">
        <v>424</v>
      </c>
      <c r="F1242" t="s">
        <v>89</v>
      </c>
      <c r="G1242" t="s">
        <v>47</v>
      </c>
      <c r="H1242">
        <v>0</v>
      </c>
      <c r="I1242" s="60" t="s">
        <v>51</v>
      </c>
      <c r="J1242" s="33" t="s">
        <v>45</v>
      </c>
      <c r="K1242" s="46">
        <v>0</v>
      </c>
      <c r="L1242">
        <v>5.5</v>
      </c>
      <c r="M1242" t="s">
        <v>48</v>
      </c>
      <c r="N1242" s="46">
        <v>0</v>
      </c>
      <c r="O1242" s="46">
        <v>0</v>
      </c>
      <c r="P1242" s="46">
        <v>0</v>
      </c>
      <c r="Q1242" t="s">
        <v>48</v>
      </c>
      <c r="R1242" t="s">
        <v>48</v>
      </c>
      <c r="S1242" t="s">
        <v>425</v>
      </c>
      <c r="T1242" t="s">
        <v>48</v>
      </c>
      <c r="U1242" t="s">
        <v>425</v>
      </c>
      <c r="V1242" s="47">
        <v>0</v>
      </c>
      <c r="W1242" t="s">
        <v>48</v>
      </c>
      <c r="X1242" t="s">
        <v>48</v>
      </c>
      <c r="Y1242" t="s">
        <v>48</v>
      </c>
      <c r="Z1242">
        <v>0</v>
      </c>
      <c r="AA1242" t="s">
        <v>48</v>
      </c>
      <c r="AB1242" t="s">
        <v>48</v>
      </c>
      <c r="AC1242" t="s">
        <v>49</v>
      </c>
      <c r="AD1242" t="s">
        <v>93</v>
      </c>
      <c r="AE1242" t="s">
        <v>4532</v>
      </c>
      <c r="AF1242" t="s">
        <v>48</v>
      </c>
      <c r="AG1242" t="s">
        <v>92</v>
      </c>
      <c r="AH1242" t="s">
        <v>426</v>
      </c>
      <c r="AI1242" t="s">
        <v>48</v>
      </c>
      <c r="AJ1242" t="s">
        <v>48</v>
      </c>
      <c r="AK1242" t="s">
        <v>48</v>
      </c>
      <c r="AL1242" t="s">
        <v>48</v>
      </c>
      <c r="AM1242" t="s">
        <v>48</v>
      </c>
      <c r="AN1242" t="s">
        <v>48</v>
      </c>
      <c r="AO1242" t="s">
        <v>48</v>
      </c>
      <c r="AP1242" s="46">
        <v>0</v>
      </c>
      <c r="AQ1242" s="46">
        <v>0</v>
      </c>
      <c r="AR1242" s="46">
        <v>0</v>
      </c>
      <c r="AS1242" s="46">
        <v>0</v>
      </c>
      <c r="AT1242" s="46">
        <v>0</v>
      </c>
      <c r="AU1242" s="46">
        <v>0</v>
      </c>
      <c r="AV1242" s="46">
        <v>0</v>
      </c>
      <c r="AW1242" s="46">
        <v>0</v>
      </c>
      <c r="AX1242" s="46">
        <v>0</v>
      </c>
      <c r="AY1242" s="46">
        <v>0</v>
      </c>
      <c r="AZ1242" s="46">
        <v>0</v>
      </c>
      <c r="BA1242" s="46">
        <v>0</v>
      </c>
      <c r="BB1242" s="46">
        <v>0</v>
      </c>
      <c r="BC1242" s="46">
        <v>0</v>
      </c>
      <c r="BD1242" s="46">
        <v>0</v>
      </c>
      <c r="BE1242" s="46">
        <v>0</v>
      </c>
      <c r="BF1242" s="46">
        <v>0</v>
      </c>
      <c r="BG1242" s="46" t="s">
        <v>48</v>
      </c>
      <c r="BH1242" s="46">
        <v>0</v>
      </c>
      <c r="BI1242" s="46">
        <v>0</v>
      </c>
      <c r="BJ1242" s="46">
        <v>0</v>
      </c>
      <c r="BK1242" s="46">
        <v>0</v>
      </c>
      <c r="BL1242" s="46">
        <v>0</v>
      </c>
      <c r="BM1242" s="46">
        <v>0</v>
      </c>
      <c r="BN1242" s="46">
        <v>0</v>
      </c>
    </row>
    <row r="1243" spans="1:66" x14ac:dyDescent="0.35">
      <c r="A1243" t="s">
        <v>434</v>
      </c>
      <c r="B1243" s="44" t="s">
        <v>48</v>
      </c>
      <c r="C1243" t="s">
        <v>438</v>
      </c>
      <c r="D1243" t="s">
        <v>437</v>
      </c>
      <c r="E1243" t="s">
        <v>435</v>
      </c>
      <c r="F1243" t="s">
        <v>89</v>
      </c>
      <c r="G1243" t="s">
        <v>47</v>
      </c>
      <c r="H1243">
        <v>0</v>
      </c>
      <c r="I1243" s="60" t="s">
        <v>125</v>
      </c>
      <c r="J1243" s="33" t="s">
        <v>45</v>
      </c>
      <c r="K1243" s="46">
        <v>0</v>
      </c>
      <c r="L1243">
        <v>11.4</v>
      </c>
      <c r="M1243" t="s">
        <v>48</v>
      </c>
      <c r="N1243" s="46">
        <v>0</v>
      </c>
      <c r="O1243" s="46">
        <v>0</v>
      </c>
      <c r="P1243" s="46">
        <v>0</v>
      </c>
      <c r="Q1243" t="s">
        <v>48</v>
      </c>
      <c r="R1243" t="s">
        <v>48</v>
      </c>
      <c r="S1243" t="s">
        <v>436</v>
      </c>
      <c r="T1243" t="s">
        <v>48</v>
      </c>
      <c r="U1243" t="s">
        <v>436</v>
      </c>
      <c r="V1243" s="47">
        <v>0</v>
      </c>
      <c r="W1243" t="s">
        <v>48</v>
      </c>
      <c r="X1243" t="s">
        <v>48</v>
      </c>
      <c r="Y1243" t="s">
        <v>48</v>
      </c>
      <c r="Z1243">
        <v>0</v>
      </c>
      <c r="AA1243" t="s">
        <v>48</v>
      </c>
      <c r="AB1243" t="s">
        <v>48</v>
      </c>
      <c r="AC1243" t="s">
        <v>49</v>
      </c>
      <c r="AD1243" t="s">
        <v>93</v>
      </c>
      <c r="AE1243" t="s">
        <v>4532</v>
      </c>
      <c r="AF1243" t="s">
        <v>48</v>
      </c>
      <c r="AG1243" t="s">
        <v>48</v>
      </c>
      <c r="AH1243" t="s">
        <v>48</v>
      </c>
      <c r="AI1243" t="s">
        <v>48</v>
      </c>
      <c r="AJ1243" t="s">
        <v>48</v>
      </c>
      <c r="AK1243" t="s">
        <v>48</v>
      </c>
      <c r="AL1243" t="s">
        <v>48</v>
      </c>
      <c r="AM1243" t="s">
        <v>48</v>
      </c>
      <c r="AN1243" t="s">
        <v>48</v>
      </c>
      <c r="AO1243" t="s">
        <v>48</v>
      </c>
      <c r="AP1243" s="46">
        <v>0</v>
      </c>
      <c r="AQ1243" s="46">
        <v>0</v>
      </c>
      <c r="AR1243" s="46">
        <v>0</v>
      </c>
      <c r="AS1243" s="46">
        <v>0</v>
      </c>
      <c r="AT1243" s="46">
        <v>0</v>
      </c>
      <c r="AU1243" s="46">
        <v>0</v>
      </c>
      <c r="AV1243" s="46">
        <v>0</v>
      </c>
      <c r="AW1243" s="46">
        <v>0</v>
      </c>
      <c r="AX1243" s="46">
        <v>0</v>
      </c>
      <c r="AY1243" s="46">
        <v>0</v>
      </c>
      <c r="AZ1243" s="46">
        <v>0</v>
      </c>
      <c r="BA1243" s="46">
        <v>0</v>
      </c>
      <c r="BB1243" s="46">
        <v>0</v>
      </c>
      <c r="BC1243" s="46">
        <v>0</v>
      </c>
      <c r="BD1243" s="46">
        <v>0</v>
      </c>
      <c r="BE1243" s="46">
        <v>0</v>
      </c>
      <c r="BF1243" s="46">
        <v>0</v>
      </c>
      <c r="BG1243" s="46" t="s">
        <v>48</v>
      </c>
      <c r="BH1243" s="46">
        <v>0</v>
      </c>
      <c r="BI1243" s="46">
        <v>0</v>
      </c>
      <c r="BJ1243" s="46">
        <v>0</v>
      </c>
      <c r="BK1243" s="46">
        <v>0</v>
      </c>
      <c r="BL1243" s="46">
        <v>0</v>
      </c>
      <c r="BM1243" s="46">
        <v>0</v>
      </c>
      <c r="BN1243" s="46">
        <v>0</v>
      </c>
    </row>
    <row r="1244" spans="1:66" x14ac:dyDescent="0.35">
      <c r="A1244" t="s">
        <v>535</v>
      </c>
      <c r="B1244" s="44" t="s">
        <v>48</v>
      </c>
      <c r="C1244" t="s">
        <v>80</v>
      </c>
      <c r="D1244" t="s">
        <v>538</v>
      </c>
      <c r="E1244" t="s">
        <v>536</v>
      </c>
      <c r="F1244" t="s">
        <v>525</v>
      </c>
      <c r="G1244" t="s">
        <v>47</v>
      </c>
      <c r="H1244">
        <v>0</v>
      </c>
      <c r="I1244" s="60" t="s">
        <v>51</v>
      </c>
      <c r="J1244" s="33" t="s">
        <v>45</v>
      </c>
      <c r="K1244" s="46">
        <v>0</v>
      </c>
      <c r="L1244">
        <v>13.9</v>
      </c>
      <c r="M1244" t="s">
        <v>48</v>
      </c>
      <c r="N1244" s="46">
        <v>0</v>
      </c>
      <c r="O1244" s="46">
        <v>0</v>
      </c>
      <c r="P1244" s="46">
        <v>0</v>
      </c>
      <c r="Q1244" t="s">
        <v>48</v>
      </c>
      <c r="R1244" t="s">
        <v>48</v>
      </c>
      <c r="S1244" t="s">
        <v>537</v>
      </c>
      <c r="T1244" t="s">
        <v>48</v>
      </c>
      <c r="U1244" t="s">
        <v>537</v>
      </c>
      <c r="V1244" s="47">
        <v>0</v>
      </c>
      <c r="W1244" t="s">
        <v>48</v>
      </c>
      <c r="X1244" t="s">
        <v>48</v>
      </c>
      <c r="Y1244" t="s">
        <v>48</v>
      </c>
      <c r="Z1244">
        <v>0</v>
      </c>
      <c r="AA1244" t="s">
        <v>48</v>
      </c>
      <c r="AB1244" t="s">
        <v>48</v>
      </c>
      <c r="AC1244" t="s">
        <v>49</v>
      </c>
      <c r="AD1244" t="s">
        <v>93</v>
      </c>
      <c r="AE1244" t="s">
        <v>4532</v>
      </c>
      <c r="AF1244" t="s">
        <v>48</v>
      </c>
      <c r="AG1244" t="s">
        <v>48</v>
      </c>
      <c r="AH1244" t="s">
        <v>48</v>
      </c>
      <c r="AI1244" t="s">
        <v>48</v>
      </c>
      <c r="AJ1244" t="s">
        <v>48</v>
      </c>
      <c r="AK1244" t="s">
        <v>48</v>
      </c>
      <c r="AL1244" t="s">
        <v>48</v>
      </c>
      <c r="AM1244" t="s">
        <v>48</v>
      </c>
      <c r="AN1244" t="s">
        <v>48</v>
      </c>
      <c r="AO1244" t="s">
        <v>48</v>
      </c>
      <c r="AP1244" s="46">
        <v>0</v>
      </c>
      <c r="AQ1244" s="46">
        <v>0</v>
      </c>
      <c r="AR1244" s="46">
        <v>0</v>
      </c>
      <c r="AS1244" s="46">
        <v>0</v>
      </c>
      <c r="AT1244" s="46">
        <v>0</v>
      </c>
      <c r="AU1244" s="46">
        <v>0</v>
      </c>
      <c r="AV1244" s="46">
        <v>0</v>
      </c>
      <c r="AW1244" s="46">
        <v>0</v>
      </c>
      <c r="AX1244" s="46">
        <v>0</v>
      </c>
      <c r="AY1244" s="46">
        <v>0</v>
      </c>
      <c r="AZ1244" s="46">
        <v>0</v>
      </c>
      <c r="BA1244" s="46">
        <v>0</v>
      </c>
      <c r="BB1244" s="46">
        <v>0</v>
      </c>
      <c r="BC1244" s="46">
        <v>0</v>
      </c>
      <c r="BD1244" s="46">
        <v>0</v>
      </c>
      <c r="BE1244" s="46">
        <v>0</v>
      </c>
      <c r="BF1244" s="46">
        <v>0</v>
      </c>
      <c r="BG1244" s="46" t="s">
        <v>48</v>
      </c>
      <c r="BH1244" s="46">
        <v>0</v>
      </c>
      <c r="BI1244" s="46">
        <v>0</v>
      </c>
      <c r="BJ1244" s="46">
        <v>0</v>
      </c>
      <c r="BK1244" s="46">
        <v>0</v>
      </c>
      <c r="BL1244" s="46">
        <v>0</v>
      </c>
      <c r="BM1244" s="46">
        <v>0</v>
      </c>
      <c r="BN1244" s="46">
        <v>0</v>
      </c>
    </row>
    <row r="1245" spans="1:66" x14ac:dyDescent="0.35">
      <c r="A1245" t="s">
        <v>7958</v>
      </c>
      <c r="B1245" s="44" t="s">
        <v>48</v>
      </c>
      <c r="C1245" t="s">
        <v>11604</v>
      </c>
      <c r="D1245" t="s">
        <v>11605</v>
      </c>
      <c r="E1245" t="s">
        <v>7957</v>
      </c>
      <c r="F1245" t="s">
        <v>525</v>
      </c>
      <c r="G1245" t="s">
        <v>47</v>
      </c>
      <c r="H1245">
        <v>0</v>
      </c>
      <c r="I1245" s="61">
        <v>44720</v>
      </c>
      <c r="J1245" s="33" t="s">
        <v>45</v>
      </c>
      <c r="K1245" s="46">
        <v>0</v>
      </c>
      <c r="L1245">
        <v>11.4</v>
      </c>
      <c r="M1245" t="s">
        <v>48</v>
      </c>
      <c r="N1245" s="46">
        <v>0</v>
      </c>
      <c r="O1245" s="46">
        <v>0</v>
      </c>
      <c r="P1245" s="46">
        <v>0</v>
      </c>
      <c r="Q1245" t="s">
        <v>48</v>
      </c>
      <c r="R1245" t="s">
        <v>48</v>
      </c>
      <c r="S1245" t="s">
        <v>10002</v>
      </c>
      <c r="T1245" t="s">
        <v>48</v>
      </c>
      <c r="U1245" t="s">
        <v>10002</v>
      </c>
      <c r="V1245" s="47">
        <v>1</v>
      </c>
      <c r="W1245" t="s">
        <v>48</v>
      </c>
      <c r="X1245" t="s">
        <v>48</v>
      </c>
      <c r="Y1245" t="s">
        <v>48</v>
      </c>
      <c r="Z1245" t="s">
        <v>48</v>
      </c>
      <c r="AA1245" t="s">
        <v>48</v>
      </c>
      <c r="AB1245" t="s">
        <v>48</v>
      </c>
      <c r="AC1245" t="s">
        <v>49</v>
      </c>
      <c r="AD1245" t="s">
        <v>48</v>
      </c>
      <c r="AE1245" t="s">
        <v>48</v>
      </c>
      <c r="AF1245" t="s">
        <v>48</v>
      </c>
      <c r="AG1245" t="s">
        <v>48</v>
      </c>
      <c r="AH1245" t="s">
        <v>48</v>
      </c>
      <c r="AI1245" t="s">
        <v>48</v>
      </c>
      <c r="AJ1245" t="s">
        <v>48</v>
      </c>
      <c r="AK1245" t="s">
        <v>48</v>
      </c>
      <c r="AL1245" t="s">
        <v>48</v>
      </c>
      <c r="AM1245" t="s">
        <v>48</v>
      </c>
      <c r="AN1245" t="s">
        <v>48</v>
      </c>
      <c r="AO1245" t="s">
        <v>48</v>
      </c>
      <c r="AP1245" s="46">
        <v>0</v>
      </c>
      <c r="AQ1245" s="46">
        <v>0</v>
      </c>
      <c r="AR1245" s="46">
        <v>0</v>
      </c>
      <c r="AS1245" s="46">
        <v>0</v>
      </c>
      <c r="AT1245" s="46">
        <v>0</v>
      </c>
      <c r="AU1245" s="46">
        <v>0</v>
      </c>
      <c r="AV1245" s="46">
        <v>0</v>
      </c>
      <c r="AW1245" s="46">
        <v>0</v>
      </c>
      <c r="AX1245" s="46">
        <v>0</v>
      </c>
      <c r="AY1245" s="46">
        <v>0</v>
      </c>
      <c r="AZ1245" s="46">
        <v>0</v>
      </c>
      <c r="BA1245" s="46">
        <v>0</v>
      </c>
      <c r="BB1245" s="46">
        <v>0</v>
      </c>
      <c r="BC1245" s="46">
        <v>0</v>
      </c>
      <c r="BD1245" s="46">
        <v>0</v>
      </c>
      <c r="BE1245" s="46">
        <v>0</v>
      </c>
      <c r="BF1245" s="46">
        <v>0</v>
      </c>
      <c r="BG1245" s="46" t="s">
        <v>48</v>
      </c>
      <c r="BH1245" s="46">
        <v>0</v>
      </c>
      <c r="BI1245" s="46">
        <v>0</v>
      </c>
      <c r="BJ1245" s="46">
        <v>0</v>
      </c>
      <c r="BK1245" s="46">
        <v>0</v>
      </c>
      <c r="BL1245" s="46">
        <v>0</v>
      </c>
      <c r="BM1245" s="46">
        <v>0</v>
      </c>
      <c r="BN1245" s="46">
        <v>0</v>
      </c>
    </row>
    <row r="1246" spans="1:66" x14ac:dyDescent="0.35">
      <c r="A1246" t="s">
        <v>552</v>
      </c>
      <c r="B1246" s="44" t="s">
        <v>48</v>
      </c>
      <c r="C1246" t="s">
        <v>556</v>
      </c>
      <c r="D1246" t="s">
        <v>555</v>
      </c>
      <c r="E1246" t="s">
        <v>553</v>
      </c>
      <c r="F1246" t="s">
        <v>539</v>
      </c>
      <c r="G1246" t="s">
        <v>47</v>
      </c>
      <c r="H1246">
        <v>0</v>
      </c>
      <c r="I1246" s="60" t="s">
        <v>149</v>
      </c>
      <c r="J1246" s="33" t="s">
        <v>45</v>
      </c>
      <c r="K1246" s="46">
        <v>0</v>
      </c>
      <c r="L1246">
        <v>41.5</v>
      </c>
      <c r="M1246" t="s">
        <v>48</v>
      </c>
      <c r="N1246" s="46">
        <v>0</v>
      </c>
      <c r="O1246" s="46">
        <v>0</v>
      </c>
      <c r="P1246" s="46">
        <v>0</v>
      </c>
      <c r="Q1246" t="s">
        <v>48</v>
      </c>
      <c r="R1246" t="s">
        <v>48</v>
      </c>
      <c r="S1246" t="s">
        <v>554</v>
      </c>
      <c r="T1246" t="s">
        <v>48</v>
      </c>
      <c r="U1246" t="s">
        <v>554</v>
      </c>
      <c r="V1246" s="47">
        <v>0</v>
      </c>
      <c r="W1246" t="s">
        <v>48</v>
      </c>
      <c r="X1246" t="s">
        <v>48</v>
      </c>
      <c r="Y1246" t="s">
        <v>48</v>
      </c>
      <c r="Z1246">
        <v>0</v>
      </c>
      <c r="AA1246" t="s">
        <v>48</v>
      </c>
      <c r="AB1246" t="s">
        <v>48</v>
      </c>
      <c r="AC1246" t="s">
        <v>49</v>
      </c>
      <c r="AD1246" t="s">
        <v>93</v>
      </c>
      <c r="AE1246" t="s">
        <v>4532</v>
      </c>
      <c r="AF1246" t="s">
        <v>48</v>
      </c>
      <c r="AG1246" t="s">
        <v>48</v>
      </c>
      <c r="AH1246" t="s">
        <v>48</v>
      </c>
      <c r="AI1246" t="s">
        <v>48</v>
      </c>
      <c r="AJ1246" t="s">
        <v>48</v>
      </c>
      <c r="AK1246" t="s">
        <v>48</v>
      </c>
      <c r="AL1246" t="s">
        <v>48</v>
      </c>
      <c r="AM1246" t="s">
        <v>48</v>
      </c>
      <c r="AN1246" t="s">
        <v>48</v>
      </c>
      <c r="AO1246" t="s">
        <v>48</v>
      </c>
      <c r="AP1246" s="46">
        <v>0</v>
      </c>
      <c r="AQ1246" s="46">
        <v>0</v>
      </c>
      <c r="AR1246" s="46">
        <v>0</v>
      </c>
      <c r="AS1246" s="46">
        <v>0</v>
      </c>
      <c r="AT1246" s="46">
        <v>0</v>
      </c>
      <c r="AU1246" s="46">
        <v>0</v>
      </c>
      <c r="AV1246" s="46">
        <v>0</v>
      </c>
      <c r="AW1246" s="46">
        <v>0</v>
      </c>
      <c r="AX1246" s="46">
        <v>0</v>
      </c>
      <c r="AY1246" s="46">
        <v>0</v>
      </c>
      <c r="AZ1246" s="46">
        <v>0</v>
      </c>
      <c r="BA1246" s="46">
        <v>0</v>
      </c>
      <c r="BB1246" s="46">
        <v>0</v>
      </c>
      <c r="BC1246" s="46">
        <v>0</v>
      </c>
      <c r="BD1246" s="46">
        <v>0</v>
      </c>
      <c r="BE1246" s="46">
        <v>0</v>
      </c>
      <c r="BF1246" s="46">
        <v>0</v>
      </c>
      <c r="BG1246" s="46" t="s">
        <v>48</v>
      </c>
      <c r="BH1246" s="46">
        <v>0</v>
      </c>
      <c r="BI1246" s="46">
        <v>0</v>
      </c>
      <c r="BJ1246" s="46">
        <v>0</v>
      </c>
      <c r="BK1246" s="46">
        <v>0</v>
      </c>
      <c r="BL1246" s="46">
        <v>0</v>
      </c>
      <c r="BM1246" s="46">
        <v>0</v>
      </c>
      <c r="BN1246" s="46">
        <v>0</v>
      </c>
    </row>
    <row r="1247" spans="1:66" x14ac:dyDescent="0.35">
      <c r="A1247" t="s">
        <v>557</v>
      </c>
      <c r="B1247" s="44" t="s">
        <v>48</v>
      </c>
      <c r="C1247" t="s">
        <v>562</v>
      </c>
      <c r="D1247" t="s">
        <v>561</v>
      </c>
      <c r="E1247" t="s">
        <v>559</v>
      </c>
      <c r="F1247" t="s">
        <v>558</v>
      </c>
      <c r="G1247" t="s">
        <v>47</v>
      </c>
      <c r="H1247">
        <v>0</v>
      </c>
      <c r="I1247" s="60" t="s">
        <v>51</v>
      </c>
      <c r="J1247" s="33" t="s">
        <v>45</v>
      </c>
      <c r="K1247" s="46">
        <v>0</v>
      </c>
      <c r="L1247">
        <v>21.3</v>
      </c>
      <c r="M1247" t="s">
        <v>48</v>
      </c>
      <c r="N1247" s="46">
        <v>0</v>
      </c>
      <c r="O1247" s="46">
        <v>0</v>
      </c>
      <c r="P1247" s="46">
        <v>0</v>
      </c>
      <c r="Q1247" t="s">
        <v>48</v>
      </c>
      <c r="R1247" t="s">
        <v>48</v>
      </c>
      <c r="S1247" t="s">
        <v>560</v>
      </c>
      <c r="T1247" t="s">
        <v>48</v>
      </c>
      <c r="U1247" t="s">
        <v>560</v>
      </c>
      <c r="V1247" s="47">
        <v>0</v>
      </c>
      <c r="W1247" t="s">
        <v>11317</v>
      </c>
      <c r="X1247" t="s">
        <v>48</v>
      </c>
      <c r="Y1247" t="s">
        <v>48</v>
      </c>
      <c r="Z1247">
        <v>0</v>
      </c>
      <c r="AA1247" t="s">
        <v>48</v>
      </c>
      <c r="AB1247" t="s">
        <v>48</v>
      </c>
      <c r="AC1247" t="s">
        <v>49</v>
      </c>
      <c r="AD1247" t="s">
        <v>48</v>
      </c>
      <c r="AE1247" t="s">
        <v>48</v>
      </c>
      <c r="AF1247" t="s">
        <v>48</v>
      </c>
      <c r="AG1247" t="s">
        <v>48</v>
      </c>
      <c r="AH1247" t="s">
        <v>93</v>
      </c>
      <c r="AI1247" t="s">
        <v>48</v>
      </c>
      <c r="AJ1247" t="s">
        <v>48</v>
      </c>
      <c r="AK1247" t="s">
        <v>48</v>
      </c>
      <c r="AL1247" t="s">
        <v>48</v>
      </c>
      <c r="AM1247" t="s">
        <v>48</v>
      </c>
      <c r="AN1247" t="s">
        <v>48</v>
      </c>
      <c r="AO1247" t="s">
        <v>48</v>
      </c>
      <c r="AP1247" s="46">
        <v>0</v>
      </c>
      <c r="AQ1247" s="46">
        <v>0</v>
      </c>
      <c r="AR1247" s="46">
        <v>0</v>
      </c>
      <c r="AS1247" s="46">
        <v>0</v>
      </c>
      <c r="AT1247" s="46">
        <v>0</v>
      </c>
      <c r="AU1247" s="46">
        <v>0</v>
      </c>
      <c r="AV1247" s="46">
        <v>0</v>
      </c>
      <c r="AW1247" s="46">
        <v>0</v>
      </c>
      <c r="AX1247" s="46">
        <v>0</v>
      </c>
      <c r="AY1247" s="46">
        <v>0</v>
      </c>
      <c r="AZ1247" s="46">
        <v>0</v>
      </c>
      <c r="BA1247" s="46">
        <v>0</v>
      </c>
      <c r="BB1247" s="46">
        <v>0</v>
      </c>
      <c r="BC1247" s="46">
        <v>0</v>
      </c>
      <c r="BD1247" s="46">
        <v>0</v>
      </c>
      <c r="BE1247" s="46">
        <v>0</v>
      </c>
      <c r="BF1247" s="46">
        <v>0</v>
      </c>
      <c r="BG1247" s="46" t="s">
        <v>48</v>
      </c>
      <c r="BH1247" s="46">
        <v>0</v>
      </c>
      <c r="BI1247" s="46">
        <v>0</v>
      </c>
      <c r="BJ1247" s="46">
        <v>0</v>
      </c>
      <c r="BK1247" s="46">
        <v>0</v>
      </c>
      <c r="BL1247" s="46">
        <v>0</v>
      </c>
      <c r="BM1247" s="46">
        <v>0</v>
      </c>
      <c r="BN1247" s="46">
        <v>0</v>
      </c>
    </row>
    <row r="1248" spans="1:66" x14ac:dyDescent="0.35">
      <c r="A1248" t="s">
        <v>630</v>
      </c>
      <c r="B1248" s="44" t="s">
        <v>48</v>
      </c>
      <c r="C1248" t="s">
        <v>634</v>
      </c>
      <c r="D1248" t="s">
        <v>335</v>
      </c>
      <c r="E1248" t="s">
        <v>631</v>
      </c>
      <c r="F1248" t="s">
        <v>624</v>
      </c>
      <c r="G1248" t="s">
        <v>74</v>
      </c>
      <c r="H1248">
        <v>0</v>
      </c>
      <c r="I1248" s="60" t="s">
        <v>190</v>
      </c>
      <c r="J1248" s="33" t="s">
        <v>45</v>
      </c>
      <c r="K1248" s="46">
        <v>0</v>
      </c>
      <c r="L1248">
        <v>38.1</v>
      </c>
      <c r="M1248" t="s">
        <v>48</v>
      </c>
      <c r="N1248" s="46">
        <v>0</v>
      </c>
      <c r="O1248" s="46">
        <v>0</v>
      </c>
      <c r="P1248" s="46">
        <v>0</v>
      </c>
      <c r="Q1248" t="s">
        <v>48</v>
      </c>
      <c r="R1248" t="s">
        <v>48</v>
      </c>
      <c r="S1248" t="s">
        <v>632</v>
      </c>
      <c r="T1248" t="s">
        <v>48</v>
      </c>
      <c r="U1248" t="s">
        <v>632</v>
      </c>
      <c r="V1248" s="47">
        <v>0</v>
      </c>
      <c r="W1248" t="s">
        <v>48</v>
      </c>
      <c r="X1248" t="s">
        <v>48</v>
      </c>
      <c r="Y1248" t="s">
        <v>48</v>
      </c>
      <c r="Z1248">
        <v>0</v>
      </c>
      <c r="AA1248" t="s">
        <v>48</v>
      </c>
      <c r="AB1248" t="s">
        <v>48</v>
      </c>
      <c r="AC1248" t="s">
        <v>49</v>
      </c>
      <c r="AD1248" t="s">
        <v>93</v>
      </c>
      <c r="AE1248" t="s">
        <v>4532</v>
      </c>
      <c r="AF1248" t="s">
        <v>48</v>
      </c>
      <c r="AG1248" t="s">
        <v>633</v>
      </c>
      <c r="AH1248" t="s">
        <v>48</v>
      </c>
      <c r="AI1248" t="s">
        <v>48</v>
      </c>
      <c r="AJ1248" t="s">
        <v>48</v>
      </c>
      <c r="AK1248" t="s">
        <v>48</v>
      </c>
      <c r="AL1248" t="s">
        <v>48</v>
      </c>
      <c r="AM1248" t="s">
        <v>48</v>
      </c>
      <c r="AN1248" t="s">
        <v>48</v>
      </c>
      <c r="AO1248" t="s">
        <v>48</v>
      </c>
      <c r="AP1248" s="46">
        <v>0</v>
      </c>
      <c r="AQ1248" s="46">
        <v>0</v>
      </c>
      <c r="AR1248" s="46">
        <v>0</v>
      </c>
      <c r="AS1248" s="46">
        <v>0</v>
      </c>
      <c r="AT1248" s="46">
        <v>0</v>
      </c>
      <c r="AU1248" s="46">
        <v>0</v>
      </c>
      <c r="AV1248" s="46">
        <v>0</v>
      </c>
      <c r="AW1248" s="46">
        <v>0</v>
      </c>
      <c r="AX1248" s="46">
        <v>0</v>
      </c>
      <c r="AY1248" s="46">
        <v>0</v>
      </c>
      <c r="AZ1248" s="46">
        <v>0</v>
      </c>
      <c r="BA1248" s="46">
        <v>0</v>
      </c>
      <c r="BB1248" s="46">
        <v>0</v>
      </c>
      <c r="BC1248" s="46">
        <v>0</v>
      </c>
      <c r="BD1248" s="46">
        <v>0</v>
      </c>
      <c r="BE1248" s="46">
        <v>0</v>
      </c>
      <c r="BF1248" s="46">
        <v>0</v>
      </c>
      <c r="BG1248" s="46" t="s">
        <v>48</v>
      </c>
      <c r="BH1248" s="46">
        <v>0</v>
      </c>
      <c r="BI1248" s="46">
        <v>0</v>
      </c>
      <c r="BJ1248" s="46">
        <v>0</v>
      </c>
      <c r="BK1248" s="46">
        <v>0</v>
      </c>
      <c r="BL1248" s="46">
        <v>0</v>
      </c>
      <c r="BM1248" s="46">
        <v>0</v>
      </c>
      <c r="BN1248" s="46">
        <v>0</v>
      </c>
    </row>
    <row r="1249" spans="1:66" x14ac:dyDescent="0.35">
      <c r="A1249" t="s">
        <v>636</v>
      </c>
      <c r="B1249" s="44" t="s">
        <v>48</v>
      </c>
      <c r="C1249" t="s">
        <v>640</v>
      </c>
      <c r="D1249" t="s">
        <v>639</v>
      </c>
      <c r="E1249" t="s">
        <v>637</v>
      </c>
      <c r="F1249" t="s">
        <v>624</v>
      </c>
      <c r="G1249" t="s">
        <v>47</v>
      </c>
      <c r="H1249">
        <v>0</v>
      </c>
      <c r="I1249" s="60" t="s">
        <v>51</v>
      </c>
      <c r="J1249" s="33" t="s">
        <v>45</v>
      </c>
      <c r="K1249" s="46">
        <v>0</v>
      </c>
      <c r="L1249">
        <v>33.299999999999997</v>
      </c>
      <c r="M1249" t="s">
        <v>48</v>
      </c>
      <c r="N1249" s="46">
        <v>0</v>
      </c>
      <c r="O1249" s="46">
        <v>0</v>
      </c>
      <c r="P1249" s="46">
        <v>0</v>
      </c>
      <c r="Q1249" t="s">
        <v>48</v>
      </c>
      <c r="R1249" t="s">
        <v>48</v>
      </c>
      <c r="S1249" t="s">
        <v>638</v>
      </c>
      <c r="T1249" t="s">
        <v>48</v>
      </c>
      <c r="U1249" t="s">
        <v>638</v>
      </c>
      <c r="V1249" s="47">
        <v>0</v>
      </c>
      <c r="W1249" t="s">
        <v>48</v>
      </c>
      <c r="X1249" t="s">
        <v>48</v>
      </c>
      <c r="Y1249" t="s">
        <v>48</v>
      </c>
      <c r="Z1249">
        <v>0</v>
      </c>
      <c r="AA1249" t="s">
        <v>48</v>
      </c>
      <c r="AB1249" t="s">
        <v>48</v>
      </c>
      <c r="AC1249" t="s">
        <v>49</v>
      </c>
      <c r="AD1249" t="s">
        <v>93</v>
      </c>
      <c r="AE1249" t="s">
        <v>4532</v>
      </c>
      <c r="AF1249" t="s">
        <v>48</v>
      </c>
      <c r="AG1249" t="s">
        <v>48</v>
      </c>
      <c r="AH1249" t="s">
        <v>48</v>
      </c>
      <c r="AI1249" t="s">
        <v>48</v>
      </c>
      <c r="AJ1249" t="s">
        <v>48</v>
      </c>
      <c r="AK1249" t="s">
        <v>48</v>
      </c>
      <c r="AL1249" t="s">
        <v>48</v>
      </c>
      <c r="AM1249" t="s">
        <v>48</v>
      </c>
      <c r="AN1249" t="s">
        <v>48</v>
      </c>
      <c r="AO1249" t="s">
        <v>48</v>
      </c>
      <c r="AP1249" s="46">
        <v>0</v>
      </c>
      <c r="AQ1249" s="46">
        <v>0</v>
      </c>
      <c r="AR1249" s="46">
        <v>0</v>
      </c>
      <c r="AS1249" s="46">
        <v>0</v>
      </c>
      <c r="AT1249" s="46">
        <v>0</v>
      </c>
      <c r="AU1249" s="46">
        <v>0</v>
      </c>
      <c r="AV1249" s="46">
        <v>0</v>
      </c>
      <c r="AW1249" s="46">
        <v>0</v>
      </c>
      <c r="AX1249" s="46">
        <v>0</v>
      </c>
      <c r="AY1249" s="46">
        <v>0</v>
      </c>
      <c r="AZ1249" s="46">
        <v>0</v>
      </c>
      <c r="BA1249" s="46">
        <v>0</v>
      </c>
      <c r="BB1249" s="46">
        <v>0</v>
      </c>
      <c r="BC1249" s="46">
        <v>0</v>
      </c>
      <c r="BD1249" s="46">
        <v>0</v>
      </c>
      <c r="BE1249" s="46">
        <v>0</v>
      </c>
      <c r="BF1249" s="46">
        <v>0</v>
      </c>
      <c r="BG1249" s="46" t="s">
        <v>48</v>
      </c>
      <c r="BH1249" s="46">
        <v>0</v>
      </c>
      <c r="BI1249" s="46">
        <v>0</v>
      </c>
      <c r="BJ1249" s="46">
        <v>0</v>
      </c>
      <c r="BK1249" s="46">
        <v>0</v>
      </c>
      <c r="BL1249" s="46">
        <v>0</v>
      </c>
      <c r="BM1249" s="46">
        <v>0</v>
      </c>
      <c r="BN1249" s="46">
        <v>0</v>
      </c>
    </row>
    <row r="1250" spans="1:66" x14ac:dyDescent="0.35">
      <c r="A1250" t="s">
        <v>749</v>
      </c>
      <c r="B1250" s="44" t="s">
        <v>48</v>
      </c>
      <c r="C1250" t="s">
        <v>752</v>
      </c>
      <c r="D1250" t="s">
        <v>316</v>
      </c>
      <c r="E1250" t="s">
        <v>750</v>
      </c>
      <c r="F1250" t="s">
        <v>624</v>
      </c>
      <c r="G1250" t="s">
        <v>47</v>
      </c>
      <c r="H1250">
        <v>0</v>
      </c>
      <c r="I1250" s="60" t="s">
        <v>51</v>
      </c>
      <c r="J1250" s="33" t="s">
        <v>45</v>
      </c>
      <c r="K1250" s="46">
        <v>0</v>
      </c>
      <c r="L1250">
        <v>23.3</v>
      </c>
      <c r="M1250" t="s">
        <v>48</v>
      </c>
      <c r="N1250" s="46">
        <v>0</v>
      </c>
      <c r="O1250" s="46">
        <v>0</v>
      </c>
      <c r="P1250" s="46">
        <v>0</v>
      </c>
      <c r="Q1250" t="s">
        <v>48</v>
      </c>
      <c r="R1250" t="s">
        <v>48</v>
      </c>
      <c r="S1250" t="s">
        <v>751</v>
      </c>
      <c r="T1250" t="s">
        <v>48</v>
      </c>
      <c r="U1250" t="s">
        <v>751</v>
      </c>
      <c r="V1250" s="47">
        <v>0</v>
      </c>
      <c r="W1250" t="s">
        <v>48</v>
      </c>
      <c r="X1250" t="s">
        <v>48</v>
      </c>
      <c r="Y1250" t="s">
        <v>48</v>
      </c>
      <c r="Z1250">
        <v>0</v>
      </c>
      <c r="AA1250" t="s">
        <v>48</v>
      </c>
      <c r="AB1250" t="s">
        <v>48</v>
      </c>
      <c r="AC1250" t="s">
        <v>49</v>
      </c>
      <c r="AD1250" t="s">
        <v>93</v>
      </c>
      <c r="AE1250" t="s">
        <v>4532</v>
      </c>
      <c r="AF1250" t="s">
        <v>48</v>
      </c>
      <c r="AG1250" t="s">
        <v>266</v>
      </c>
      <c r="AH1250" t="s">
        <v>48</v>
      </c>
      <c r="AI1250" t="s">
        <v>48</v>
      </c>
      <c r="AJ1250" t="s">
        <v>48</v>
      </c>
      <c r="AK1250" t="s">
        <v>48</v>
      </c>
      <c r="AL1250" t="s">
        <v>48</v>
      </c>
      <c r="AM1250" t="s">
        <v>48</v>
      </c>
      <c r="AN1250" t="s">
        <v>48</v>
      </c>
      <c r="AO1250" t="s">
        <v>48</v>
      </c>
      <c r="AP1250" s="46">
        <v>0</v>
      </c>
      <c r="AQ1250" s="46">
        <v>0</v>
      </c>
      <c r="AR1250" s="46">
        <v>0</v>
      </c>
      <c r="AS1250" s="46">
        <v>0</v>
      </c>
      <c r="AT1250" s="46">
        <v>0</v>
      </c>
      <c r="AU1250" s="46">
        <v>0</v>
      </c>
      <c r="AV1250" s="46">
        <v>0</v>
      </c>
      <c r="AW1250" s="46">
        <v>0</v>
      </c>
      <c r="AX1250" s="46">
        <v>0</v>
      </c>
      <c r="AY1250" s="46">
        <v>0</v>
      </c>
      <c r="AZ1250" s="46">
        <v>0</v>
      </c>
      <c r="BA1250" s="46">
        <v>0</v>
      </c>
      <c r="BB1250" s="46">
        <v>0</v>
      </c>
      <c r="BC1250" s="46">
        <v>0</v>
      </c>
      <c r="BD1250" s="46">
        <v>0</v>
      </c>
      <c r="BE1250" s="46">
        <v>0</v>
      </c>
      <c r="BF1250" s="46">
        <v>0</v>
      </c>
      <c r="BG1250" s="46" t="s">
        <v>48</v>
      </c>
      <c r="BH1250" s="46">
        <v>0</v>
      </c>
      <c r="BI1250" s="46">
        <v>0</v>
      </c>
      <c r="BJ1250" s="46">
        <v>0</v>
      </c>
      <c r="BK1250" s="46">
        <v>0</v>
      </c>
      <c r="BL1250" s="46">
        <v>0</v>
      </c>
      <c r="BM1250" s="46">
        <v>0</v>
      </c>
      <c r="BN1250" s="46">
        <v>0</v>
      </c>
    </row>
    <row r="1251" spans="1:66" x14ac:dyDescent="0.35">
      <c r="A1251" t="s">
        <v>681</v>
      </c>
      <c r="B1251" s="44" t="s">
        <v>48</v>
      </c>
      <c r="C1251" t="s">
        <v>685</v>
      </c>
      <c r="D1251" t="s">
        <v>684</v>
      </c>
      <c r="E1251" t="s">
        <v>682</v>
      </c>
      <c r="F1251" t="s">
        <v>619</v>
      </c>
      <c r="G1251" t="s">
        <v>47</v>
      </c>
      <c r="H1251">
        <v>0</v>
      </c>
      <c r="I1251" s="60" t="s">
        <v>149</v>
      </c>
      <c r="J1251" s="33" t="s">
        <v>45</v>
      </c>
      <c r="K1251" s="46">
        <v>0</v>
      </c>
      <c r="L1251">
        <v>7.1</v>
      </c>
      <c r="M1251" t="s">
        <v>48</v>
      </c>
      <c r="N1251" s="46">
        <v>0</v>
      </c>
      <c r="O1251" s="46">
        <v>0</v>
      </c>
      <c r="P1251" s="46">
        <v>0</v>
      </c>
      <c r="Q1251" t="s">
        <v>48</v>
      </c>
      <c r="R1251" t="s">
        <v>48</v>
      </c>
      <c r="S1251" t="s">
        <v>683</v>
      </c>
      <c r="T1251" t="s">
        <v>48</v>
      </c>
      <c r="U1251" t="s">
        <v>683</v>
      </c>
      <c r="V1251" s="47">
        <v>0</v>
      </c>
      <c r="W1251" t="s">
        <v>48</v>
      </c>
      <c r="X1251" t="s">
        <v>48</v>
      </c>
      <c r="Y1251" t="s">
        <v>48</v>
      </c>
      <c r="Z1251">
        <v>0</v>
      </c>
      <c r="AA1251" t="s">
        <v>48</v>
      </c>
      <c r="AB1251" t="s">
        <v>48</v>
      </c>
      <c r="AC1251" t="s">
        <v>49</v>
      </c>
      <c r="AD1251" t="s">
        <v>93</v>
      </c>
      <c r="AE1251" t="s">
        <v>4532</v>
      </c>
      <c r="AF1251" t="s">
        <v>48</v>
      </c>
      <c r="AG1251" t="s">
        <v>48</v>
      </c>
      <c r="AH1251" t="s">
        <v>48</v>
      </c>
      <c r="AI1251" t="s">
        <v>48</v>
      </c>
      <c r="AJ1251" t="s">
        <v>48</v>
      </c>
      <c r="AK1251" t="s">
        <v>48</v>
      </c>
      <c r="AL1251" t="s">
        <v>48</v>
      </c>
      <c r="AM1251" t="s">
        <v>48</v>
      </c>
      <c r="AN1251" t="s">
        <v>48</v>
      </c>
      <c r="AO1251" t="s">
        <v>48</v>
      </c>
      <c r="AP1251" s="46">
        <v>0</v>
      </c>
      <c r="AQ1251" s="46">
        <v>0</v>
      </c>
      <c r="AR1251" s="46">
        <v>0</v>
      </c>
      <c r="AS1251" s="46">
        <v>0</v>
      </c>
      <c r="AT1251" s="46">
        <v>0</v>
      </c>
      <c r="AU1251" s="46">
        <v>0</v>
      </c>
      <c r="AV1251" s="46">
        <v>0</v>
      </c>
      <c r="AW1251" s="46">
        <v>0</v>
      </c>
      <c r="AX1251" s="46">
        <v>0</v>
      </c>
      <c r="AY1251" s="46">
        <v>0</v>
      </c>
      <c r="AZ1251" s="46">
        <v>0</v>
      </c>
      <c r="BA1251" s="46">
        <v>0</v>
      </c>
      <c r="BB1251" s="46">
        <v>0</v>
      </c>
      <c r="BC1251" s="46">
        <v>0</v>
      </c>
      <c r="BD1251" s="46">
        <v>0</v>
      </c>
      <c r="BE1251" s="46">
        <v>0</v>
      </c>
      <c r="BF1251" s="46">
        <v>0</v>
      </c>
      <c r="BG1251" s="46" t="s">
        <v>48</v>
      </c>
      <c r="BH1251" s="46">
        <v>0</v>
      </c>
      <c r="BI1251" s="46">
        <v>0</v>
      </c>
      <c r="BJ1251" s="46">
        <v>0</v>
      </c>
      <c r="BK1251" s="46">
        <v>0</v>
      </c>
      <c r="BL1251" s="46">
        <v>0</v>
      </c>
      <c r="BM1251" s="46">
        <v>0</v>
      </c>
      <c r="BN1251" s="46">
        <v>0</v>
      </c>
    </row>
    <row r="1252" spans="1:66" x14ac:dyDescent="0.35">
      <c r="A1252" t="s">
        <v>664</v>
      </c>
      <c r="B1252" s="44" t="s">
        <v>48</v>
      </c>
      <c r="C1252" t="s">
        <v>385</v>
      </c>
      <c r="D1252" t="s">
        <v>221</v>
      </c>
      <c r="E1252" t="s">
        <v>665</v>
      </c>
      <c r="F1252" t="s">
        <v>619</v>
      </c>
      <c r="G1252" t="s">
        <v>47</v>
      </c>
      <c r="H1252">
        <v>0</v>
      </c>
      <c r="I1252" s="60" t="s">
        <v>51</v>
      </c>
      <c r="J1252" s="33" t="s">
        <v>45</v>
      </c>
      <c r="K1252" s="46">
        <v>0</v>
      </c>
      <c r="L1252">
        <v>7.2</v>
      </c>
      <c r="M1252" t="s">
        <v>48</v>
      </c>
      <c r="N1252" s="46">
        <v>0</v>
      </c>
      <c r="O1252" s="46">
        <v>0</v>
      </c>
      <c r="P1252" s="46">
        <v>0</v>
      </c>
      <c r="Q1252" t="s">
        <v>48</v>
      </c>
      <c r="R1252" t="s">
        <v>48</v>
      </c>
      <c r="S1252" t="s">
        <v>666</v>
      </c>
      <c r="T1252" t="s">
        <v>48</v>
      </c>
      <c r="U1252" t="s">
        <v>666</v>
      </c>
      <c r="V1252" s="47">
        <v>0</v>
      </c>
      <c r="W1252" t="s">
        <v>11317</v>
      </c>
      <c r="X1252" t="s">
        <v>48</v>
      </c>
      <c r="Y1252" t="s">
        <v>48</v>
      </c>
      <c r="Z1252">
        <v>0</v>
      </c>
      <c r="AA1252" t="s">
        <v>48</v>
      </c>
      <c r="AB1252" t="s">
        <v>48</v>
      </c>
      <c r="AC1252" t="s">
        <v>49</v>
      </c>
      <c r="AD1252" t="s">
        <v>93</v>
      </c>
      <c r="AE1252" t="s">
        <v>4532</v>
      </c>
      <c r="AF1252" t="s">
        <v>48</v>
      </c>
      <c r="AG1252" t="s">
        <v>48</v>
      </c>
      <c r="AH1252" t="s">
        <v>48</v>
      </c>
      <c r="AI1252" t="s">
        <v>48</v>
      </c>
      <c r="AJ1252" t="s">
        <v>48</v>
      </c>
      <c r="AK1252" t="s">
        <v>48</v>
      </c>
      <c r="AL1252" t="s">
        <v>48</v>
      </c>
      <c r="AM1252" t="s">
        <v>48</v>
      </c>
      <c r="AN1252" t="s">
        <v>48</v>
      </c>
      <c r="AO1252" t="s">
        <v>48</v>
      </c>
      <c r="AP1252" s="46">
        <v>0</v>
      </c>
      <c r="AQ1252" s="46">
        <v>0</v>
      </c>
      <c r="AR1252" s="46">
        <v>0</v>
      </c>
      <c r="AS1252" s="46">
        <v>0</v>
      </c>
      <c r="AT1252" s="46">
        <v>0</v>
      </c>
      <c r="AU1252" s="46">
        <v>0</v>
      </c>
      <c r="AV1252" s="46">
        <v>0</v>
      </c>
      <c r="AW1252" s="46">
        <v>0</v>
      </c>
      <c r="AX1252" s="46">
        <v>0</v>
      </c>
      <c r="AY1252" s="46">
        <v>0</v>
      </c>
      <c r="AZ1252" s="46">
        <v>0</v>
      </c>
      <c r="BA1252" s="46">
        <v>0</v>
      </c>
      <c r="BB1252" s="46">
        <v>0</v>
      </c>
      <c r="BC1252" s="46">
        <v>0</v>
      </c>
      <c r="BD1252" s="46">
        <v>0</v>
      </c>
      <c r="BE1252" s="46">
        <v>0</v>
      </c>
      <c r="BF1252" s="46">
        <v>0</v>
      </c>
      <c r="BG1252" s="46" t="s">
        <v>48</v>
      </c>
      <c r="BH1252" s="46">
        <v>0</v>
      </c>
      <c r="BI1252" s="46">
        <v>0</v>
      </c>
      <c r="BJ1252" s="46">
        <v>0</v>
      </c>
      <c r="BK1252" s="46">
        <v>0</v>
      </c>
      <c r="BL1252" s="46">
        <v>0</v>
      </c>
      <c r="BM1252" s="46">
        <v>0</v>
      </c>
      <c r="BN1252" s="46">
        <v>0</v>
      </c>
    </row>
    <row r="1253" spans="1:66" x14ac:dyDescent="0.35">
      <c r="A1253" t="s">
        <v>653</v>
      </c>
      <c r="B1253" s="44" t="s">
        <v>48</v>
      </c>
      <c r="C1253" t="s">
        <v>656</v>
      </c>
      <c r="D1253" t="s">
        <v>655</v>
      </c>
      <c r="E1253" t="s">
        <v>654</v>
      </c>
      <c r="F1253" t="s">
        <v>619</v>
      </c>
      <c r="G1253" t="s">
        <v>47</v>
      </c>
      <c r="H1253">
        <v>0</v>
      </c>
      <c r="I1253" s="60" t="s">
        <v>78</v>
      </c>
      <c r="J1253" s="33" t="s">
        <v>45</v>
      </c>
      <c r="K1253" s="46">
        <v>0</v>
      </c>
      <c r="L1253">
        <v>17.8</v>
      </c>
      <c r="M1253" t="s">
        <v>48</v>
      </c>
      <c r="N1253" s="46">
        <v>0</v>
      </c>
      <c r="O1253" s="46">
        <v>0</v>
      </c>
      <c r="P1253" s="46">
        <v>0</v>
      </c>
      <c r="Q1253" t="s">
        <v>48</v>
      </c>
      <c r="R1253" t="s">
        <v>48</v>
      </c>
      <c r="S1253" t="s">
        <v>48</v>
      </c>
      <c r="T1253" t="s">
        <v>48</v>
      </c>
      <c r="U1253" t="s">
        <v>48</v>
      </c>
      <c r="V1253" s="47">
        <v>0</v>
      </c>
      <c r="W1253" t="s">
        <v>48</v>
      </c>
      <c r="X1253" t="s">
        <v>48</v>
      </c>
      <c r="Y1253" t="s">
        <v>48</v>
      </c>
      <c r="Z1253">
        <v>0</v>
      </c>
      <c r="AA1253" t="s">
        <v>48</v>
      </c>
      <c r="AB1253" t="s">
        <v>48</v>
      </c>
      <c r="AC1253" t="s">
        <v>49</v>
      </c>
      <c r="AD1253" t="s">
        <v>93</v>
      </c>
      <c r="AE1253" t="s">
        <v>4532</v>
      </c>
      <c r="AF1253" t="s">
        <v>48</v>
      </c>
      <c r="AG1253" t="s">
        <v>48</v>
      </c>
      <c r="AH1253" t="s">
        <v>48</v>
      </c>
      <c r="AI1253" t="s">
        <v>48</v>
      </c>
      <c r="AJ1253" t="s">
        <v>48</v>
      </c>
      <c r="AK1253" t="s">
        <v>48</v>
      </c>
      <c r="AL1253" t="s">
        <v>48</v>
      </c>
      <c r="AM1253" t="s">
        <v>48</v>
      </c>
      <c r="AN1253" t="s">
        <v>48</v>
      </c>
      <c r="AO1253" t="s">
        <v>48</v>
      </c>
      <c r="AP1253" s="46">
        <v>0</v>
      </c>
      <c r="AQ1253" s="46">
        <v>0</v>
      </c>
      <c r="AR1253" s="46">
        <v>0</v>
      </c>
      <c r="AS1253" s="46">
        <v>0</v>
      </c>
      <c r="AT1253" s="46">
        <v>0</v>
      </c>
      <c r="AU1253" s="46">
        <v>0</v>
      </c>
      <c r="AV1253" s="46">
        <v>0</v>
      </c>
      <c r="AW1253" s="46">
        <v>0</v>
      </c>
      <c r="AX1253" s="46">
        <v>0</v>
      </c>
      <c r="AY1253" s="46">
        <v>0</v>
      </c>
      <c r="AZ1253" s="46">
        <v>0</v>
      </c>
      <c r="BA1253" s="46">
        <v>0</v>
      </c>
      <c r="BB1253" s="46">
        <v>0</v>
      </c>
      <c r="BC1253" s="46">
        <v>0</v>
      </c>
      <c r="BD1253" s="46">
        <v>0</v>
      </c>
      <c r="BE1253" s="46">
        <v>0</v>
      </c>
      <c r="BF1253" s="46">
        <v>0</v>
      </c>
      <c r="BG1253" s="46" t="s">
        <v>48</v>
      </c>
      <c r="BH1253" s="46">
        <v>0</v>
      </c>
      <c r="BI1253" s="46">
        <v>0</v>
      </c>
      <c r="BJ1253" s="46">
        <v>0</v>
      </c>
      <c r="BK1253" s="46">
        <v>0</v>
      </c>
      <c r="BL1253" s="46">
        <v>0</v>
      </c>
      <c r="BM1253" s="46">
        <v>0</v>
      </c>
      <c r="BN1253" s="46">
        <v>0</v>
      </c>
    </row>
    <row r="1254" spans="1:66" x14ac:dyDescent="0.35">
      <c r="A1254" t="s">
        <v>671</v>
      </c>
      <c r="B1254" s="44" t="s">
        <v>48</v>
      </c>
      <c r="C1254" t="s">
        <v>674</v>
      </c>
      <c r="D1254" t="s">
        <v>673</v>
      </c>
      <c r="E1254" t="s">
        <v>672</v>
      </c>
      <c r="F1254" t="s">
        <v>619</v>
      </c>
      <c r="G1254" t="s">
        <v>47</v>
      </c>
      <c r="H1254">
        <v>0</v>
      </c>
      <c r="I1254" s="60" t="s">
        <v>675</v>
      </c>
      <c r="J1254" s="33" t="s">
        <v>45</v>
      </c>
      <c r="K1254" s="46">
        <v>0</v>
      </c>
      <c r="L1254">
        <v>3.7</v>
      </c>
      <c r="M1254" t="s">
        <v>48</v>
      </c>
      <c r="N1254" s="46">
        <v>0</v>
      </c>
      <c r="O1254" s="46">
        <v>0</v>
      </c>
      <c r="P1254" s="46">
        <v>0</v>
      </c>
      <c r="Q1254" t="s">
        <v>48</v>
      </c>
      <c r="R1254" t="s">
        <v>48</v>
      </c>
      <c r="S1254" t="s">
        <v>48</v>
      </c>
      <c r="T1254" t="s">
        <v>48</v>
      </c>
      <c r="U1254" t="s">
        <v>48</v>
      </c>
      <c r="V1254" s="47">
        <v>0</v>
      </c>
      <c r="W1254" t="s">
        <v>48</v>
      </c>
      <c r="X1254" t="s">
        <v>48</v>
      </c>
      <c r="Y1254" t="s">
        <v>48</v>
      </c>
      <c r="Z1254">
        <v>0</v>
      </c>
      <c r="AA1254" t="s">
        <v>48</v>
      </c>
      <c r="AB1254" t="s">
        <v>48</v>
      </c>
      <c r="AC1254" t="s">
        <v>49</v>
      </c>
      <c r="AD1254" t="s">
        <v>93</v>
      </c>
      <c r="AE1254" t="s">
        <v>977</v>
      </c>
      <c r="AF1254" t="s">
        <v>48</v>
      </c>
      <c r="AG1254" t="s">
        <v>48</v>
      </c>
      <c r="AH1254" t="s">
        <v>48</v>
      </c>
      <c r="AI1254" t="s">
        <v>48</v>
      </c>
      <c r="AJ1254" t="s">
        <v>48</v>
      </c>
      <c r="AK1254" t="s">
        <v>48</v>
      </c>
      <c r="AL1254" t="s">
        <v>48</v>
      </c>
      <c r="AM1254" t="s">
        <v>48</v>
      </c>
      <c r="AN1254" t="s">
        <v>48</v>
      </c>
      <c r="AO1254" t="s">
        <v>48</v>
      </c>
      <c r="AP1254" s="46">
        <v>0</v>
      </c>
      <c r="AQ1254" s="46">
        <v>0</v>
      </c>
      <c r="AR1254" s="46">
        <v>0</v>
      </c>
      <c r="AS1254" s="46">
        <v>0</v>
      </c>
      <c r="AT1254" s="46">
        <v>0</v>
      </c>
      <c r="AU1254" s="46">
        <v>0</v>
      </c>
      <c r="AV1254" s="46">
        <v>0</v>
      </c>
      <c r="AW1254" s="46">
        <v>0</v>
      </c>
      <c r="AX1254" s="46">
        <v>0</v>
      </c>
      <c r="AY1254" s="46">
        <v>0</v>
      </c>
      <c r="AZ1254" s="46">
        <v>0</v>
      </c>
      <c r="BA1254" s="46">
        <v>0</v>
      </c>
      <c r="BB1254" s="46">
        <v>0</v>
      </c>
      <c r="BC1254" s="46">
        <v>0</v>
      </c>
      <c r="BD1254" s="46">
        <v>0</v>
      </c>
      <c r="BE1254" s="46">
        <v>0</v>
      </c>
      <c r="BF1254" s="46">
        <v>0</v>
      </c>
      <c r="BG1254" s="46" t="s">
        <v>48</v>
      </c>
      <c r="BH1254" s="46">
        <v>0</v>
      </c>
      <c r="BI1254" s="46">
        <v>0</v>
      </c>
      <c r="BJ1254" s="46">
        <v>0</v>
      </c>
      <c r="BK1254" s="46">
        <v>0</v>
      </c>
      <c r="BL1254" s="46">
        <v>0</v>
      </c>
      <c r="BM1254" s="46">
        <v>0</v>
      </c>
      <c r="BN1254" s="46">
        <v>0</v>
      </c>
    </row>
    <row r="1255" spans="1:66" x14ac:dyDescent="0.35">
      <c r="A1255" t="s">
        <v>9889</v>
      </c>
      <c r="B1255" s="44" t="s">
        <v>48</v>
      </c>
      <c r="C1255" t="s">
        <v>11606</v>
      </c>
      <c r="D1255" t="s">
        <v>76</v>
      </c>
      <c r="E1255" t="s">
        <v>9890</v>
      </c>
      <c r="F1255" t="s">
        <v>619</v>
      </c>
      <c r="G1255" t="s">
        <v>47</v>
      </c>
      <c r="H1255">
        <v>0</v>
      </c>
      <c r="I1255" s="61">
        <v>44778</v>
      </c>
      <c r="J1255" s="33" t="s">
        <v>45</v>
      </c>
      <c r="K1255" s="46">
        <v>0</v>
      </c>
      <c r="L1255">
        <v>5.6</v>
      </c>
      <c r="M1255" t="s">
        <v>48</v>
      </c>
      <c r="N1255" s="46">
        <v>0</v>
      </c>
      <c r="O1255" s="46">
        <v>0</v>
      </c>
      <c r="P1255" s="46">
        <v>0</v>
      </c>
      <c r="Q1255" t="s">
        <v>48</v>
      </c>
      <c r="R1255" t="s">
        <v>48</v>
      </c>
      <c r="S1255" s="43" t="s">
        <v>48</v>
      </c>
      <c r="T1255" s="43" t="s">
        <v>48</v>
      </c>
      <c r="U1255" s="43" t="s">
        <v>48</v>
      </c>
      <c r="V1255" s="47">
        <v>1</v>
      </c>
      <c r="W1255" t="s">
        <v>48</v>
      </c>
      <c r="X1255" t="s">
        <v>48</v>
      </c>
      <c r="Y1255" t="s">
        <v>48</v>
      </c>
      <c r="Z1255" t="s">
        <v>48</v>
      </c>
      <c r="AA1255" t="s">
        <v>48</v>
      </c>
      <c r="AB1255" t="s">
        <v>48</v>
      </c>
      <c r="AC1255" t="s">
        <v>49</v>
      </c>
      <c r="AD1255" t="s">
        <v>93</v>
      </c>
      <c r="AE1255" t="s">
        <v>4532</v>
      </c>
      <c r="AF1255" t="s">
        <v>48</v>
      </c>
      <c r="AG1255" t="s">
        <v>48</v>
      </c>
      <c r="AH1255" t="s">
        <v>48</v>
      </c>
      <c r="AI1255" t="s">
        <v>48</v>
      </c>
      <c r="AJ1255" t="s">
        <v>48</v>
      </c>
      <c r="AK1255" t="s">
        <v>48</v>
      </c>
      <c r="AL1255" t="s">
        <v>48</v>
      </c>
      <c r="AM1255" t="s">
        <v>48</v>
      </c>
      <c r="AN1255" t="s">
        <v>48</v>
      </c>
      <c r="AO1255" t="s">
        <v>48</v>
      </c>
      <c r="AP1255" s="46">
        <v>0</v>
      </c>
      <c r="AQ1255" s="46">
        <v>0</v>
      </c>
      <c r="AR1255" s="46">
        <v>0</v>
      </c>
      <c r="AS1255" s="46">
        <v>0</v>
      </c>
      <c r="AT1255" s="46">
        <v>0</v>
      </c>
      <c r="AU1255" s="46">
        <v>0</v>
      </c>
      <c r="AV1255" s="46">
        <v>0</v>
      </c>
      <c r="AW1255" s="46">
        <v>0</v>
      </c>
      <c r="AX1255" s="46">
        <v>0</v>
      </c>
      <c r="AY1255" s="46">
        <v>0</v>
      </c>
      <c r="AZ1255" s="46">
        <v>0</v>
      </c>
      <c r="BA1255" s="46">
        <v>0</v>
      </c>
      <c r="BB1255" s="46">
        <v>0</v>
      </c>
      <c r="BC1255" s="46">
        <v>0</v>
      </c>
      <c r="BD1255" s="46">
        <v>0</v>
      </c>
      <c r="BE1255" s="46">
        <v>0</v>
      </c>
      <c r="BF1255" s="46">
        <v>0</v>
      </c>
      <c r="BG1255" s="46" t="s">
        <v>48</v>
      </c>
      <c r="BH1255" s="46">
        <v>0</v>
      </c>
      <c r="BI1255" s="46">
        <v>0</v>
      </c>
      <c r="BJ1255" s="46">
        <v>0</v>
      </c>
      <c r="BK1255" s="46">
        <v>0</v>
      </c>
      <c r="BL1255" s="46">
        <v>0</v>
      </c>
      <c r="BM1255" s="46">
        <v>0</v>
      </c>
      <c r="BN1255" s="46">
        <v>0</v>
      </c>
    </row>
    <row r="1256" spans="1:66" x14ac:dyDescent="0.35">
      <c r="A1256" t="s">
        <v>647</v>
      </c>
      <c r="B1256" s="44" t="s">
        <v>48</v>
      </c>
      <c r="C1256" t="s">
        <v>652</v>
      </c>
      <c r="D1256" t="s">
        <v>651</v>
      </c>
      <c r="E1256" t="s">
        <v>648</v>
      </c>
      <c r="F1256" t="s">
        <v>619</v>
      </c>
      <c r="G1256" t="s">
        <v>47</v>
      </c>
      <c r="H1256">
        <v>0</v>
      </c>
      <c r="I1256" s="60" t="s">
        <v>51</v>
      </c>
      <c r="J1256" s="33" t="s">
        <v>45</v>
      </c>
      <c r="K1256" s="46">
        <v>0</v>
      </c>
      <c r="L1256">
        <v>24.3</v>
      </c>
      <c r="M1256" t="s">
        <v>48</v>
      </c>
      <c r="N1256" s="46">
        <v>0</v>
      </c>
      <c r="O1256" s="46">
        <v>0</v>
      </c>
      <c r="P1256" s="46">
        <v>0</v>
      </c>
      <c r="Q1256" t="s">
        <v>48</v>
      </c>
      <c r="R1256" t="s">
        <v>48</v>
      </c>
      <c r="S1256" t="s">
        <v>649</v>
      </c>
      <c r="T1256" t="s">
        <v>48</v>
      </c>
      <c r="U1256" t="s">
        <v>649</v>
      </c>
      <c r="V1256" s="47">
        <v>0</v>
      </c>
      <c r="W1256" t="s">
        <v>48</v>
      </c>
      <c r="X1256" t="s">
        <v>48</v>
      </c>
      <c r="Y1256" t="s">
        <v>48</v>
      </c>
      <c r="Z1256">
        <v>0</v>
      </c>
      <c r="AA1256" t="s">
        <v>650</v>
      </c>
      <c r="AB1256" t="s">
        <v>48</v>
      </c>
      <c r="AC1256" t="s">
        <v>49</v>
      </c>
      <c r="AD1256" t="s">
        <v>93</v>
      </c>
      <c r="AE1256" t="s">
        <v>2471</v>
      </c>
      <c r="AF1256" t="s">
        <v>48</v>
      </c>
      <c r="AG1256" t="s">
        <v>48</v>
      </c>
      <c r="AH1256" t="s">
        <v>93</v>
      </c>
      <c r="AI1256" t="s">
        <v>48</v>
      </c>
      <c r="AJ1256" t="s">
        <v>48</v>
      </c>
      <c r="AK1256" t="s">
        <v>48</v>
      </c>
      <c r="AL1256" t="s">
        <v>48</v>
      </c>
      <c r="AM1256" t="s">
        <v>48</v>
      </c>
      <c r="AN1256" t="s">
        <v>48</v>
      </c>
      <c r="AO1256" t="s">
        <v>48</v>
      </c>
      <c r="AP1256" s="46">
        <v>0</v>
      </c>
      <c r="AQ1256" s="46">
        <v>0</v>
      </c>
      <c r="AR1256" s="46">
        <v>0</v>
      </c>
      <c r="AS1256" s="46">
        <v>0</v>
      </c>
      <c r="AT1256" s="46">
        <v>0</v>
      </c>
      <c r="AU1256" s="46">
        <v>0</v>
      </c>
      <c r="AV1256" s="46">
        <v>0</v>
      </c>
      <c r="AW1256" s="46">
        <v>0</v>
      </c>
      <c r="AX1256" s="46">
        <v>0</v>
      </c>
      <c r="AY1256" s="46">
        <v>0</v>
      </c>
      <c r="AZ1256" s="46">
        <v>0</v>
      </c>
      <c r="BA1256" s="46">
        <v>0</v>
      </c>
      <c r="BB1256" s="46">
        <v>0</v>
      </c>
      <c r="BC1256" s="46">
        <v>0</v>
      </c>
      <c r="BD1256" s="46">
        <v>0</v>
      </c>
      <c r="BE1256" s="46">
        <v>0</v>
      </c>
      <c r="BF1256" s="46">
        <v>0</v>
      </c>
      <c r="BG1256" s="46" t="s">
        <v>48</v>
      </c>
      <c r="BH1256" s="46">
        <v>0</v>
      </c>
      <c r="BI1256" s="46">
        <v>0</v>
      </c>
      <c r="BJ1256" s="46">
        <v>0</v>
      </c>
      <c r="BK1256" s="46">
        <v>0</v>
      </c>
      <c r="BL1256" s="46">
        <v>0</v>
      </c>
      <c r="BM1256" s="46">
        <v>0</v>
      </c>
      <c r="BN1256" s="46">
        <v>0</v>
      </c>
    </row>
    <row r="1257" spans="1:66" x14ac:dyDescent="0.35">
      <c r="A1257" t="s">
        <v>711</v>
      </c>
      <c r="B1257" s="44" t="s">
        <v>48</v>
      </c>
      <c r="C1257" t="s">
        <v>715</v>
      </c>
      <c r="D1257" t="s">
        <v>714</v>
      </c>
      <c r="E1257" t="s">
        <v>712</v>
      </c>
      <c r="F1257" t="s">
        <v>703</v>
      </c>
      <c r="G1257" t="s">
        <v>47</v>
      </c>
      <c r="H1257">
        <v>0</v>
      </c>
      <c r="I1257" s="60" t="s">
        <v>716</v>
      </c>
      <c r="J1257" s="33" t="s">
        <v>45</v>
      </c>
      <c r="K1257" s="46">
        <v>0</v>
      </c>
      <c r="L1257">
        <v>18.899999999999999</v>
      </c>
      <c r="M1257" t="s">
        <v>48</v>
      </c>
      <c r="N1257" s="46">
        <v>0</v>
      </c>
      <c r="O1257" s="46">
        <v>0</v>
      </c>
      <c r="P1257" s="46">
        <v>0</v>
      </c>
      <c r="Q1257" t="s">
        <v>48</v>
      </c>
      <c r="R1257" t="s">
        <v>48</v>
      </c>
      <c r="S1257" t="s">
        <v>713</v>
      </c>
      <c r="T1257" t="s">
        <v>48</v>
      </c>
      <c r="U1257" t="s">
        <v>713</v>
      </c>
      <c r="V1257" s="47">
        <v>0</v>
      </c>
      <c r="W1257" t="s">
        <v>48</v>
      </c>
      <c r="X1257" t="s">
        <v>48</v>
      </c>
      <c r="Y1257" t="s">
        <v>48</v>
      </c>
      <c r="Z1257">
        <v>0</v>
      </c>
      <c r="AA1257" t="s">
        <v>48</v>
      </c>
      <c r="AB1257" t="s">
        <v>48</v>
      </c>
      <c r="AC1257" t="s">
        <v>49</v>
      </c>
      <c r="AD1257" t="s">
        <v>93</v>
      </c>
      <c r="AE1257" t="s">
        <v>4532</v>
      </c>
      <c r="AF1257" t="s">
        <v>48</v>
      </c>
      <c r="AG1257" t="s">
        <v>48</v>
      </c>
      <c r="AH1257" t="s">
        <v>48</v>
      </c>
      <c r="AI1257" t="s">
        <v>48</v>
      </c>
      <c r="AJ1257" t="s">
        <v>48</v>
      </c>
      <c r="AK1257" t="s">
        <v>48</v>
      </c>
      <c r="AL1257" t="s">
        <v>48</v>
      </c>
      <c r="AM1257" t="s">
        <v>48</v>
      </c>
      <c r="AN1257" t="s">
        <v>48</v>
      </c>
      <c r="AO1257" t="s">
        <v>48</v>
      </c>
      <c r="AP1257" s="46">
        <v>0</v>
      </c>
      <c r="AQ1257" s="46">
        <v>0</v>
      </c>
      <c r="AR1257" s="46">
        <v>0</v>
      </c>
      <c r="AS1257" s="46">
        <v>0</v>
      </c>
      <c r="AT1257" s="46">
        <v>0</v>
      </c>
      <c r="AU1257" s="46">
        <v>0</v>
      </c>
      <c r="AV1257" s="46">
        <v>0</v>
      </c>
      <c r="AW1257" s="46">
        <v>0</v>
      </c>
      <c r="AX1257" s="46">
        <v>0</v>
      </c>
      <c r="AY1257" s="46">
        <v>0</v>
      </c>
      <c r="AZ1257" s="46">
        <v>0</v>
      </c>
      <c r="BA1257" s="46">
        <v>0</v>
      </c>
      <c r="BB1257" s="46">
        <v>0</v>
      </c>
      <c r="BC1257" s="46">
        <v>0</v>
      </c>
      <c r="BD1257" s="46">
        <v>0</v>
      </c>
      <c r="BE1257" s="46">
        <v>0</v>
      </c>
      <c r="BF1257" s="46">
        <v>0</v>
      </c>
      <c r="BG1257" s="46" t="s">
        <v>48</v>
      </c>
      <c r="BH1257" s="46">
        <v>0</v>
      </c>
      <c r="BI1257" s="46">
        <v>0</v>
      </c>
      <c r="BJ1257" s="46">
        <v>0</v>
      </c>
      <c r="BK1257" s="46">
        <v>0</v>
      </c>
      <c r="BL1257" s="46">
        <v>0</v>
      </c>
      <c r="BM1257" s="46">
        <v>0</v>
      </c>
      <c r="BN1257" s="46">
        <v>0</v>
      </c>
    </row>
    <row r="1258" spans="1:66" x14ac:dyDescent="0.35">
      <c r="A1258" t="s">
        <v>706</v>
      </c>
      <c r="B1258" s="44" t="s">
        <v>48</v>
      </c>
      <c r="C1258" t="s">
        <v>710</v>
      </c>
      <c r="D1258" t="s">
        <v>709</v>
      </c>
      <c r="E1258" t="s">
        <v>707</v>
      </c>
      <c r="F1258" t="s">
        <v>703</v>
      </c>
      <c r="G1258" t="s">
        <v>47</v>
      </c>
      <c r="H1258">
        <v>0</v>
      </c>
      <c r="I1258" s="60" t="s">
        <v>51</v>
      </c>
      <c r="J1258" s="33" t="s">
        <v>45</v>
      </c>
      <c r="K1258" s="46">
        <v>0</v>
      </c>
      <c r="L1258">
        <v>13</v>
      </c>
      <c r="M1258" t="s">
        <v>48</v>
      </c>
      <c r="N1258" s="46">
        <v>0</v>
      </c>
      <c r="O1258" s="46">
        <v>0</v>
      </c>
      <c r="P1258" s="46">
        <v>0</v>
      </c>
      <c r="Q1258" t="s">
        <v>48</v>
      </c>
      <c r="R1258" t="s">
        <v>48</v>
      </c>
      <c r="S1258" t="s">
        <v>708</v>
      </c>
      <c r="T1258" t="s">
        <v>48</v>
      </c>
      <c r="U1258" t="s">
        <v>708</v>
      </c>
      <c r="V1258" s="47">
        <v>0</v>
      </c>
      <c r="W1258" t="s">
        <v>11317</v>
      </c>
      <c r="X1258" t="s">
        <v>48</v>
      </c>
      <c r="Y1258" t="s">
        <v>48</v>
      </c>
      <c r="Z1258">
        <v>0</v>
      </c>
      <c r="AA1258" t="s">
        <v>48</v>
      </c>
      <c r="AB1258" t="s">
        <v>48</v>
      </c>
      <c r="AC1258" t="s">
        <v>49</v>
      </c>
      <c r="AD1258" t="s">
        <v>93</v>
      </c>
      <c r="AE1258" t="s">
        <v>2471</v>
      </c>
      <c r="AF1258" t="s">
        <v>48</v>
      </c>
      <c r="AG1258" t="s">
        <v>48</v>
      </c>
      <c r="AH1258" t="s">
        <v>48</v>
      </c>
      <c r="AI1258" t="s">
        <v>48</v>
      </c>
      <c r="AJ1258" t="s">
        <v>48</v>
      </c>
      <c r="AK1258" t="s">
        <v>48</v>
      </c>
      <c r="AL1258" t="s">
        <v>48</v>
      </c>
      <c r="AM1258" t="s">
        <v>48</v>
      </c>
      <c r="AN1258" t="s">
        <v>48</v>
      </c>
      <c r="AO1258" t="s">
        <v>48</v>
      </c>
      <c r="AP1258" s="46">
        <v>0</v>
      </c>
      <c r="AQ1258" s="46">
        <v>0</v>
      </c>
      <c r="AR1258" s="46">
        <v>0</v>
      </c>
      <c r="AS1258" s="46">
        <v>0</v>
      </c>
      <c r="AT1258" s="46">
        <v>0</v>
      </c>
      <c r="AU1258" s="46">
        <v>0</v>
      </c>
      <c r="AV1258" s="46">
        <v>0</v>
      </c>
      <c r="AW1258" s="46">
        <v>0</v>
      </c>
      <c r="AX1258" s="46">
        <v>0</v>
      </c>
      <c r="AY1258" s="46">
        <v>0</v>
      </c>
      <c r="AZ1258" s="46">
        <v>0</v>
      </c>
      <c r="BA1258" s="46">
        <v>0</v>
      </c>
      <c r="BB1258" s="46">
        <v>0</v>
      </c>
      <c r="BC1258" s="46">
        <v>0</v>
      </c>
      <c r="BD1258" s="46">
        <v>0</v>
      </c>
      <c r="BE1258" s="46">
        <v>0</v>
      </c>
      <c r="BF1258" s="46">
        <v>0</v>
      </c>
      <c r="BG1258" s="46" t="s">
        <v>48</v>
      </c>
      <c r="BH1258" s="46">
        <v>0</v>
      </c>
      <c r="BI1258" s="46">
        <v>0</v>
      </c>
      <c r="BJ1258" s="46">
        <v>0</v>
      </c>
      <c r="BK1258" s="46">
        <v>0</v>
      </c>
      <c r="BL1258" s="46">
        <v>0</v>
      </c>
      <c r="BM1258" s="46">
        <v>0</v>
      </c>
      <c r="BN1258" s="46">
        <v>0</v>
      </c>
    </row>
    <row r="1259" spans="1:66" x14ac:dyDescent="0.35">
      <c r="A1259" t="s">
        <v>719</v>
      </c>
      <c r="B1259" s="44" t="s">
        <v>48</v>
      </c>
      <c r="C1259" t="s">
        <v>64</v>
      </c>
      <c r="D1259" t="s">
        <v>722</v>
      </c>
      <c r="E1259" t="s">
        <v>720</v>
      </c>
      <c r="F1259" t="s">
        <v>703</v>
      </c>
      <c r="G1259" t="s">
        <v>47</v>
      </c>
      <c r="H1259">
        <v>0</v>
      </c>
      <c r="I1259" s="60" t="s">
        <v>51</v>
      </c>
      <c r="J1259" s="33" t="s">
        <v>45</v>
      </c>
      <c r="K1259" s="46">
        <v>0</v>
      </c>
      <c r="L1259">
        <v>14.3</v>
      </c>
      <c r="M1259" t="s">
        <v>48</v>
      </c>
      <c r="N1259" s="46">
        <v>0</v>
      </c>
      <c r="O1259" s="46">
        <v>0</v>
      </c>
      <c r="P1259" s="46">
        <v>0</v>
      </c>
      <c r="Q1259" t="s">
        <v>48</v>
      </c>
      <c r="R1259" t="s">
        <v>48</v>
      </c>
      <c r="S1259" t="s">
        <v>721</v>
      </c>
      <c r="T1259" t="s">
        <v>48</v>
      </c>
      <c r="U1259" t="s">
        <v>721</v>
      </c>
      <c r="V1259" s="47">
        <v>0</v>
      </c>
      <c r="W1259" t="s">
        <v>48</v>
      </c>
      <c r="X1259" t="s">
        <v>48</v>
      </c>
      <c r="Y1259" t="s">
        <v>48</v>
      </c>
      <c r="Z1259">
        <v>0</v>
      </c>
      <c r="AA1259" t="s">
        <v>48</v>
      </c>
      <c r="AB1259" t="s">
        <v>48</v>
      </c>
      <c r="AC1259" t="s">
        <v>49</v>
      </c>
      <c r="AD1259" t="s">
        <v>951</v>
      </c>
      <c r="AE1259" t="s">
        <v>11051</v>
      </c>
      <c r="AF1259" t="s">
        <v>48</v>
      </c>
      <c r="AG1259" t="s">
        <v>48</v>
      </c>
      <c r="AH1259" t="s">
        <v>48</v>
      </c>
      <c r="AI1259" t="s">
        <v>48</v>
      </c>
      <c r="AJ1259" t="s">
        <v>48</v>
      </c>
      <c r="AK1259" t="s">
        <v>48</v>
      </c>
      <c r="AL1259" t="s">
        <v>48</v>
      </c>
      <c r="AM1259" t="s">
        <v>48</v>
      </c>
      <c r="AN1259" t="s">
        <v>48</v>
      </c>
      <c r="AO1259" t="s">
        <v>48</v>
      </c>
      <c r="AP1259" s="46">
        <v>0</v>
      </c>
      <c r="AQ1259" s="46">
        <v>0</v>
      </c>
      <c r="AR1259" s="46">
        <v>0</v>
      </c>
      <c r="AS1259" s="46">
        <v>0</v>
      </c>
      <c r="AT1259" s="46">
        <v>0</v>
      </c>
      <c r="AU1259" s="46">
        <v>0</v>
      </c>
      <c r="AV1259" s="46">
        <v>0</v>
      </c>
      <c r="AW1259" s="46">
        <v>0</v>
      </c>
      <c r="AX1259" s="46">
        <v>0</v>
      </c>
      <c r="AY1259" s="46">
        <v>0</v>
      </c>
      <c r="AZ1259" s="46">
        <v>0</v>
      </c>
      <c r="BA1259" s="46">
        <v>0</v>
      </c>
      <c r="BB1259" s="46">
        <v>0</v>
      </c>
      <c r="BC1259" s="46">
        <v>0</v>
      </c>
      <c r="BD1259" s="46">
        <v>0</v>
      </c>
      <c r="BE1259" s="46">
        <v>0</v>
      </c>
      <c r="BF1259" s="46">
        <v>0</v>
      </c>
      <c r="BG1259" s="46" t="s">
        <v>48</v>
      </c>
      <c r="BH1259" s="46">
        <v>0</v>
      </c>
      <c r="BI1259" s="46">
        <v>0</v>
      </c>
      <c r="BJ1259" s="46">
        <v>0</v>
      </c>
      <c r="BK1259" s="46">
        <v>0</v>
      </c>
      <c r="BL1259" s="46">
        <v>0</v>
      </c>
      <c r="BM1259" s="46">
        <v>0</v>
      </c>
      <c r="BN1259" s="46">
        <v>0</v>
      </c>
    </row>
    <row r="1260" spans="1:66" x14ac:dyDescent="0.35">
      <c r="A1260" t="s">
        <v>732</v>
      </c>
      <c r="B1260" s="44" t="s">
        <v>48</v>
      </c>
      <c r="C1260" t="s">
        <v>736</v>
      </c>
      <c r="D1260" t="s">
        <v>735</v>
      </c>
      <c r="E1260" t="s">
        <v>733</v>
      </c>
      <c r="F1260" t="s">
        <v>703</v>
      </c>
      <c r="G1260" t="s">
        <v>47</v>
      </c>
      <c r="H1260">
        <v>0</v>
      </c>
      <c r="I1260" s="60" t="s">
        <v>11160</v>
      </c>
      <c r="J1260" s="33" t="s">
        <v>45</v>
      </c>
      <c r="K1260" s="46">
        <v>0</v>
      </c>
      <c r="L1260">
        <v>25.3</v>
      </c>
      <c r="M1260" t="s">
        <v>48</v>
      </c>
      <c r="N1260" s="46">
        <v>0</v>
      </c>
      <c r="O1260" s="46">
        <v>0</v>
      </c>
      <c r="P1260" s="46">
        <v>0</v>
      </c>
      <c r="Q1260" t="s">
        <v>48</v>
      </c>
      <c r="R1260" t="s">
        <v>48</v>
      </c>
      <c r="S1260" t="s">
        <v>734</v>
      </c>
      <c r="T1260" t="s">
        <v>48</v>
      </c>
      <c r="U1260" t="s">
        <v>734</v>
      </c>
      <c r="V1260" s="47">
        <v>0</v>
      </c>
      <c r="W1260" t="s">
        <v>48</v>
      </c>
      <c r="X1260" t="s">
        <v>48</v>
      </c>
      <c r="Y1260" t="s">
        <v>48</v>
      </c>
      <c r="Z1260">
        <v>0</v>
      </c>
      <c r="AA1260" t="s">
        <v>48</v>
      </c>
      <c r="AB1260" t="s">
        <v>48</v>
      </c>
      <c r="AC1260" t="s">
        <v>63</v>
      </c>
      <c r="AD1260" t="s">
        <v>951</v>
      </c>
      <c r="AE1260" t="s">
        <v>11051</v>
      </c>
      <c r="AF1260" t="s">
        <v>11054</v>
      </c>
      <c r="AG1260" t="s">
        <v>48</v>
      </c>
      <c r="AH1260" t="s">
        <v>48</v>
      </c>
      <c r="AI1260" t="s">
        <v>48</v>
      </c>
      <c r="AJ1260" t="s">
        <v>48</v>
      </c>
      <c r="AK1260" t="s">
        <v>48</v>
      </c>
      <c r="AL1260" t="s">
        <v>48</v>
      </c>
      <c r="AM1260" t="s">
        <v>48</v>
      </c>
      <c r="AN1260" t="s">
        <v>48</v>
      </c>
      <c r="AO1260" t="s">
        <v>48</v>
      </c>
      <c r="AP1260" s="46">
        <v>0</v>
      </c>
      <c r="AQ1260" s="46">
        <v>0</v>
      </c>
      <c r="AR1260" s="46">
        <v>0</v>
      </c>
      <c r="AS1260" s="46">
        <v>0</v>
      </c>
      <c r="AT1260" s="46">
        <v>0</v>
      </c>
      <c r="AU1260" s="46">
        <v>0</v>
      </c>
      <c r="AV1260" s="46">
        <v>0</v>
      </c>
      <c r="AW1260" s="46">
        <v>0</v>
      </c>
      <c r="AX1260" s="46">
        <v>0</v>
      </c>
      <c r="AY1260" s="46">
        <v>0</v>
      </c>
      <c r="AZ1260" s="46">
        <v>0</v>
      </c>
      <c r="BA1260" s="46">
        <v>0</v>
      </c>
      <c r="BB1260" s="46">
        <v>0</v>
      </c>
      <c r="BC1260" s="46">
        <v>0</v>
      </c>
      <c r="BD1260" s="46">
        <v>0</v>
      </c>
      <c r="BE1260" s="46">
        <v>0</v>
      </c>
      <c r="BF1260" s="46">
        <v>0</v>
      </c>
      <c r="BG1260" s="46" t="s">
        <v>48</v>
      </c>
      <c r="BH1260" s="46">
        <v>0</v>
      </c>
      <c r="BI1260" s="46">
        <v>0</v>
      </c>
      <c r="BJ1260" s="46">
        <v>0</v>
      </c>
      <c r="BK1260" s="46">
        <v>0</v>
      </c>
      <c r="BL1260" s="46">
        <v>0</v>
      </c>
      <c r="BM1260" s="46">
        <v>0</v>
      </c>
      <c r="BN1260" s="46">
        <v>0</v>
      </c>
    </row>
    <row r="1261" spans="1:66" x14ac:dyDescent="0.35">
      <c r="A1261" t="s">
        <v>9812</v>
      </c>
      <c r="B1261" s="44" t="s">
        <v>48</v>
      </c>
      <c r="C1261" t="s">
        <v>375</v>
      </c>
      <c r="D1261" t="s">
        <v>4163</v>
      </c>
      <c r="E1261" t="s">
        <v>9813</v>
      </c>
      <c r="F1261" t="s">
        <v>635</v>
      </c>
      <c r="G1261" t="s">
        <v>74</v>
      </c>
      <c r="H1261">
        <v>0</v>
      </c>
      <c r="I1261" s="61">
        <v>44778</v>
      </c>
      <c r="J1261" s="33" t="s">
        <v>45</v>
      </c>
      <c r="K1261" s="46">
        <v>0</v>
      </c>
      <c r="L1261">
        <v>6.1</v>
      </c>
      <c r="M1261" t="s">
        <v>48</v>
      </c>
      <c r="N1261" s="46">
        <v>0</v>
      </c>
      <c r="O1261" s="46">
        <v>0</v>
      </c>
      <c r="P1261" s="46">
        <v>0</v>
      </c>
      <c r="Q1261" t="s">
        <v>48</v>
      </c>
      <c r="R1261" t="s">
        <v>48</v>
      </c>
      <c r="S1261" s="43" t="s">
        <v>48</v>
      </c>
      <c r="T1261" s="43" t="s">
        <v>48</v>
      </c>
      <c r="U1261" s="43" t="s">
        <v>48</v>
      </c>
      <c r="V1261" s="47">
        <v>1</v>
      </c>
      <c r="W1261" t="s">
        <v>48</v>
      </c>
      <c r="X1261" t="s">
        <v>48</v>
      </c>
      <c r="Y1261" t="s">
        <v>48</v>
      </c>
      <c r="Z1261" t="s">
        <v>48</v>
      </c>
      <c r="AA1261" t="s">
        <v>48</v>
      </c>
      <c r="AB1261" t="s">
        <v>48</v>
      </c>
      <c r="AC1261" t="s">
        <v>49</v>
      </c>
      <c r="AD1261" t="s">
        <v>93</v>
      </c>
      <c r="AE1261" t="s">
        <v>4532</v>
      </c>
      <c r="AF1261" t="s">
        <v>48</v>
      </c>
      <c r="AG1261" t="s">
        <v>48</v>
      </c>
      <c r="AH1261" t="s">
        <v>48</v>
      </c>
      <c r="AI1261" t="s">
        <v>48</v>
      </c>
      <c r="AJ1261" t="s">
        <v>48</v>
      </c>
      <c r="AK1261" t="s">
        <v>48</v>
      </c>
      <c r="AL1261" t="s">
        <v>48</v>
      </c>
      <c r="AM1261" t="s">
        <v>48</v>
      </c>
      <c r="AN1261" t="s">
        <v>48</v>
      </c>
      <c r="AO1261" t="s">
        <v>48</v>
      </c>
      <c r="AP1261" s="46">
        <v>0</v>
      </c>
      <c r="AQ1261" s="46">
        <v>0</v>
      </c>
      <c r="AR1261" s="46">
        <v>0</v>
      </c>
      <c r="AS1261" s="46">
        <v>0</v>
      </c>
      <c r="AT1261" s="46">
        <v>0</v>
      </c>
      <c r="AU1261" s="46">
        <v>0</v>
      </c>
      <c r="AV1261" s="46">
        <v>0</v>
      </c>
      <c r="AW1261" s="46">
        <v>0</v>
      </c>
      <c r="AX1261" s="46">
        <v>0</v>
      </c>
      <c r="AY1261" s="46">
        <v>0</v>
      </c>
      <c r="AZ1261" s="46">
        <v>0</v>
      </c>
      <c r="BA1261" s="46">
        <v>0</v>
      </c>
      <c r="BB1261" s="46">
        <v>0</v>
      </c>
      <c r="BC1261" s="46">
        <v>0</v>
      </c>
      <c r="BD1261" s="46">
        <v>0</v>
      </c>
      <c r="BE1261" s="46">
        <v>0</v>
      </c>
      <c r="BF1261" s="46">
        <v>0</v>
      </c>
      <c r="BG1261" s="46" t="s">
        <v>48</v>
      </c>
      <c r="BH1261" s="46">
        <v>0</v>
      </c>
      <c r="BI1261" s="46">
        <v>0</v>
      </c>
      <c r="BJ1261" s="46">
        <v>0</v>
      </c>
      <c r="BK1261" s="46">
        <v>0</v>
      </c>
      <c r="BL1261" s="46">
        <v>0</v>
      </c>
      <c r="BM1261" s="46">
        <v>0</v>
      </c>
      <c r="BN1261" s="46">
        <v>0</v>
      </c>
    </row>
    <row r="1262" spans="1:66" x14ac:dyDescent="0.35">
      <c r="A1262" t="s">
        <v>768</v>
      </c>
      <c r="B1262" s="44" t="s">
        <v>48</v>
      </c>
      <c r="C1262" t="s">
        <v>772</v>
      </c>
      <c r="D1262" t="s">
        <v>771</v>
      </c>
      <c r="E1262" t="s">
        <v>769</v>
      </c>
      <c r="F1262" t="s">
        <v>635</v>
      </c>
      <c r="G1262" t="s">
        <v>47</v>
      </c>
      <c r="H1262">
        <v>0</v>
      </c>
      <c r="I1262" s="60" t="s">
        <v>51</v>
      </c>
      <c r="J1262" s="33" t="s">
        <v>45</v>
      </c>
      <c r="K1262" s="46">
        <v>0</v>
      </c>
      <c r="L1262">
        <v>20.8</v>
      </c>
      <c r="M1262" t="s">
        <v>48</v>
      </c>
      <c r="N1262" s="46">
        <v>0</v>
      </c>
      <c r="O1262" s="46">
        <v>0</v>
      </c>
      <c r="P1262" s="46">
        <v>0</v>
      </c>
      <c r="Q1262" t="s">
        <v>48</v>
      </c>
      <c r="R1262" t="s">
        <v>48</v>
      </c>
      <c r="S1262" t="s">
        <v>770</v>
      </c>
      <c r="T1262" t="s">
        <v>48</v>
      </c>
      <c r="U1262" t="s">
        <v>770</v>
      </c>
      <c r="V1262" s="47">
        <v>0</v>
      </c>
      <c r="W1262" t="s">
        <v>48</v>
      </c>
      <c r="X1262" t="s">
        <v>48</v>
      </c>
      <c r="Y1262" t="s">
        <v>48</v>
      </c>
      <c r="Z1262">
        <v>0</v>
      </c>
      <c r="AA1262" t="s">
        <v>48</v>
      </c>
      <c r="AB1262" t="s">
        <v>48</v>
      </c>
      <c r="AC1262" t="s">
        <v>49</v>
      </c>
      <c r="AD1262" t="s">
        <v>93</v>
      </c>
      <c r="AE1262" t="s">
        <v>4532</v>
      </c>
      <c r="AF1262" t="s">
        <v>48</v>
      </c>
      <c r="AG1262" t="s">
        <v>48</v>
      </c>
      <c r="AH1262" t="s">
        <v>48</v>
      </c>
      <c r="AI1262" t="s">
        <v>48</v>
      </c>
      <c r="AJ1262" t="s">
        <v>48</v>
      </c>
      <c r="AK1262" t="s">
        <v>48</v>
      </c>
      <c r="AL1262" t="s">
        <v>48</v>
      </c>
      <c r="AM1262" t="s">
        <v>48</v>
      </c>
      <c r="AN1262" t="s">
        <v>48</v>
      </c>
      <c r="AO1262" t="s">
        <v>48</v>
      </c>
      <c r="AP1262" s="46">
        <v>0</v>
      </c>
      <c r="AQ1262" s="46">
        <v>0</v>
      </c>
      <c r="AR1262" s="46">
        <v>0</v>
      </c>
      <c r="AS1262" s="46">
        <v>0</v>
      </c>
      <c r="AT1262" s="46">
        <v>0</v>
      </c>
      <c r="AU1262" s="46">
        <v>0</v>
      </c>
      <c r="AV1262" s="46">
        <v>0</v>
      </c>
      <c r="AW1262" s="46">
        <v>0</v>
      </c>
      <c r="AX1262" s="46">
        <v>0</v>
      </c>
      <c r="AY1262" s="46">
        <v>0</v>
      </c>
      <c r="AZ1262" s="46">
        <v>0</v>
      </c>
      <c r="BA1262" s="46">
        <v>0</v>
      </c>
      <c r="BB1262" s="46">
        <v>0</v>
      </c>
      <c r="BC1262" s="46">
        <v>0</v>
      </c>
      <c r="BD1262" s="46">
        <v>0</v>
      </c>
      <c r="BE1262" s="46">
        <v>0</v>
      </c>
      <c r="BF1262" s="46">
        <v>0</v>
      </c>
      <c r="BG1262" s="46" t="s">
        <v>48</v>
      </c>
      <c r="BH1262" s="46">
        <v>0</v>
      </c>
      <c r="BI1262" s="46">
        <v>0</v>
      </c>
      <c r="BJ1262" s="46">
        <v>0</v>
      </c>
      <c r="BK1262" s="46">
        <v>0</v>
      </c>
      <c r="BL1262" s="46">
        <v>0</v>
      </c>
      <c r="BM1262" s="46">
        <v>0</v>
      </c>
      <c r="BN1262" s="46">
        <v>0</v>
      </c>
    </row>
    <row r="1263" spans="1:66" x14ac:dyDescent="0.35">
      <c r="A1263" t="s">
        <v>763</v>
      </c>
      <c r="B1263" s="44" t="s">
        <v>48</v>
      </c>
      <c r="C1263" t="s">
        <v>766</v>
      </c>
      <c r="D1263" t="s">
        <v>705</v>
      </c>
      <c r="E1263" t="s">
        <v>764</v>
      </c>
      <c r="F1263" t="s">
        <v>635</v>
      </c>
      <c r="G1263" t="s">
        <v>74</v>
      </c>
      <c r="H1263">
        <v>0</v>
      </c>
      <c r="I1263" s="60" t="s">
        <v>51</v>
      </c>
      <c r="J1263" s="33" t="s">
        <v>45</v>
      </c>
      <c r="K1263" s="46">
        <v>0</v>
      </c>
      <c r="L1263">
        <v>34.299999999999997</v>
      </c>
      <c r="M1263" t="s">
        <v>48</v>
      </c>
      <c r="N1263" s="46">
        <v>0</v>
      </c>
      <c r="O1263" s="46">
        <v>0</v>
      </c>
      <c r="P1263" s="46">
        <v>0</v>
      </c>
      <c r="Q1263" t="s">
        <v>48</v>
      </c>
      <c r="R1263" t="s">
        <v>48</v>
      </c>
      <c r="S1263" t="s">
        <v>765</v>
      </c>
      <c r="T1263" t="s">
        <v>48</v>
      </c>
      <c r="U1263" t="s">
        <v>765</v>
      </c>
      <c r="V1263" s="47">
        <v>0</v>
      </c>
      <c r="W1263" t="s">
        <v>48</v>
      </c>
      <c r="X1263" t="s">
        <v>48</v>
      </c>
      <c r="Y1263" t="s">
        <v>48</v>
      </c>
      <c r="Z1263">
        <v>0</v>
      </c>
      <c r="AA1263" t="s">
        <v>48</v>
      </c>
      <c r="AB1263" t="s">
        <v>48</v>
      </c>
      <c r="AC1263" t="s">
        <v>49</v>
      </c>
      <c r="AD1263" t="s">
        <v>951</v>
      </c>
      <c r="AE1263" t="s">
        <v>11051</v>
      </c>
      <c r="AF1263" t="s">
        <v>48</v>
      </c>
      <c r="AG1263" t="s">
        <v>48</v>
      </c>
      <c r="AH1263" t="s">
        <v>426</v>
      </c>
      <c r="AI1263" t="s">
        <v>48</v>
      </c>
      <c r="AJ1263" t="s">
        <v>48</v>
      </c>
      <c r="AK1263" t="s">
        <v>48</v>
      </c>
      <c r="AL1263" t="s">
        <v>48</v>
      </c>
      <c r="AM1263" t="s">
        <v>48</v>
      </c>
      <c r="AN1263" t="s">
        <v>48</v>
      </c>
      <c r="AO1263" t="s">
        <v>48</v>
      </c>
      <c r="AP1263" s="46">
        <v>0</v>
      </c>
      <c r="AQ1263" s="46">
        <v>0</v>
      </c>
      <c r="AR1263" s="46">
        <v>0</v>
      </c>
      <c r="AS1263" s="46">
        <v>0</v>
      </c>
      <c r="AT1263" s="46">
        <v>0</v>
      </c>
      <c r="AU1263" s="46">
        <v>0</v>
      </c>
      <c r="AV1263" s="46">
        <v>0</v>
      </c>
      <c r="AW1263" s="46">
        <v>0</v>
      </c>
      <c r="AX1263" s="46">
        <v>0</v>
      </c>
      <c r="AY1263" s="46">
        <v>0</v>
      </c>
      <c r="AZ1263" s="46">
        <v>0</v>
      </c>
      <c r="BA1263" s="46">
        <v>0</v>
      </c>
      <c r="BB1263" s="46">
        <v>0</v>
      </c>
      <c r="BC1263" s="46">
        <v>0</v>
      </c>
      <c r="BD1263" s="46">
        <v>0</v>
      </c>
      <c r="BE1263" s="46">
        <v>0</v>
      </c>
      <c r="BF1263" s="46">
        <v>0</v>
      </c>
      <c r="BG1263" s="46" t="s">
        <v>48</v>
      </c>
      <c r="BH1263" s="46">
        <v>0</v>
      </c>
      <c r="BI1263" s="46">
        <v>0</v>
      </c>
      <c r="BJ1263" s="46">
        <v>0</v>
      </c>
      <c r="BK1263" s="46">
        <v>0</v>
      </c>
      <c r="BL1263" s="46">
        <v>0</v>
      </c>
      <c r="BM1263" s="46">
        <v>0</v>
      </c>
      <c r="BN1263" s="46">
        <v>0</v>
      </c>
    </row>
    <row r="1264" spans="1:66" x14ac:dyDescent="0.35">
      <c r="A1264" t="s">
        <v>676</v>
      </c>
      <c r="B1264" s="44" t="s">
        <v>48</v>
      </c>
      <c r="C1264" t="s">
        <v>680</v>
      </c>
      <c r="D1264" t="s">
        <v>679</v>
      </c>
      <c r="E1264" t="s">
        <v>677</v>
      </c>
      <c r="F1264" t="s">
        <v>635</v>
      </c>
      <c r="G1264" t="s">
        <v>47</v>
      </c>
      <c r="H1264">
        <v>0</v>
      </c>
      <c r="I1264" s="60" t="s">
        <v>149</v>
      </c>
      <c r="J1264" s="33" t="s">
        <v>45</v>
      </c>
      <c r="K1264" s="46">
        <v>0</v>
      </c>
      <c r="L1264">
        <v>18.600000000000001</v>
      </c>
      <c r="M1264" t="s">
        <v>48</v>
      </c>
      <c r="N1264" s="46">
        <v>0</v>
      </c>
      <c r="O1264" s="46">
        <v>0</v>
      </c>
      <c r="P1264" s="46">
        <v>0</v>
      </c>
      <c r="Q1264" t="s">
        <v>48</v>
      </c>
      <c r="R1264" t="s">
        <v>48</v>
      </c>
      <c r="S1264" t="s">
        <v>678</v>
      </c>
      <c r="T1264" t="s">
        <v>48</v>
      </c>
      <c r="U1264" t="s">
        <v>678</v>
      </c>
      <c r="V1264" s="47">
        <v>0</v>
      </c>
      <c r="W1264" t="s">
        <v>48</v>
      </c>
      <c r="X1264" t="s">
        <v>48</v>
      </c>
      <c r="Y1264" t="s">
        <v>48</v>
      </c>
      <c r="Z1264">
        <v>0</v>
      </c>
      <c r="AA1264" t="s">
        <v>48</v>
      </c>
      <c r="AB1264" t="s">
        <v>48</v>
      </c>
      <c r="AC1264" t="s">
        <v>63</v>
      </c>
      <c r="AD1264" t="s">
        <v>93</v>
      </c>
      <c r="AE1264" t="s">
        <v>4532</v>
      </c>
      <c r="AF1264" t="s">
        <v>48</v>
      </c>
      <c r="AG1264" t="s">
        <v>48</v>
      </c>
      <c r="AH1264" t="s">
        <v>48</v>
      </c>
      <c r="AI1264" t="s">
        <v>48</v>
      </c>
      <c r="AJ1264" t="s">
        <v>48</v>
      </c>
      <c r="AK1264" t="s">
        <v>48</v>
      </c>
      <c r="AL1264" t="s">
        <v>48</v>
      </c>
      <c r="AM1264" t="s">
        <v>48</v>
      </c>
      <c r="AN1264" t="s">
        <v>48</v>
      </c>
      <c r="AO1264" t="s">
        <v>48</v>
      </c>
      <c r="AP1264" s="46">
        <v>0</v>
      </c>
      <c r="AQ1264" s="46">
        <v>0</v>
      </c>
      <c r="AR1264" s="46">
        <v>0</v>
      </c>
      <c r="AS1264" s="46">
        <v>0</v>
      </c>
      <c r="AT1264" s="46">
        <v>0</v>
      </c>
      <c r="AU1264" s="46">
        <v>0</v>
      </c>
      <c r="AV1264" s="46">
        <v>0</v>
      </c>
      <c r="AW1264" s="46">
        <v>0</v>
      </c>
      <c r="AX1264" s="46">
        <v>0</v>
      </c>
      <c r="AY1264" s="46">
        <v>0</v>
      </c>
      <c r="AZ1264" s="46">
        <v>0</v>
      </c>
      <c r="BA1264" s="46">
        <v>0</v>
      </c>
      <c r="BB1264" s="46">
        <v>0</v>
      </c>
      <c r="BC1264" s="46">
        <v>0</v>
      </c>
      <c r="BD1264" s="46">
        <v>0</v>
      </c>
      <c r="BE1264" s="46">
        <v>0</v>
      </c>
      <c r="BF1264" s="46">
        <v>0</v>
      </c>
      <c r="BG1264" s="46" t="s">
        <v>48</v>
      </c>
      <c r="BH1264" s="46">
        <v>0</v>
      </c>
      <c r="BI1264" s="46">
        <v>0</v>
      </c>
      <c r="BJ1264" s="46">
        <v>0</v>
      </c>
      <c r="BK1264" s="46">
        <v>0</v>
      </c>
      <c r="BL1264" s="46">
        <v>0</v>
      </c>
      <c r="BM1264" s="46">
        <v>0</v>
      </c>
      <c r="BN1264" s="46">
        <v>0</v>
      </c>
    </row>
    <row r="1265" spans="1:66" x14ac:dyDescent="0.35">
      <c r="A1265" t="s">
        <v>657</v>
      </c>
      <c r="B1265" s="44" t="s">
        <v>48</v>
      </c>
      <c r="C1265" t="s">
        <v>660</v>
      </c>
      <c r="D1265" t="s">
        <v>659</v>
      </c>
      <c r="E1265" t="s">
        <v>658</v>
      </c>
      <c r="F1265" t="s">
        <v>635</v>
      </c>
      <c r="G1265" t="s">
        <v>47</v>
      </c>
      <c r="H1265">
        <v>0</v>
      </c>
      <c r="I1265" s="60" t="s">
        <v>661</v>
      </c>
      <c r="J1265" s="33" t="s">
        <v>45</v>
      </c>
      <c r="K1265" s="46">
        <v>0</v>
      </c>
      <c r="L1265">
        <v>4.8</v>
      </c>
      <c r="M1265" t="s">
        <v>48</v>
      </c>
      <c r="N1265" s="46">
        <v>0</v>
      </c>
      <c r="O1265" s="46">
        <v>0</v>
      </c>
      <c r="P1265" s="46">
        <v>0</v>
      </c>
      <c r="Q1265" t="s">
        <v>48</v>
      </c>
      <c r="R1265" t="s">
        <v>48</v>
      </c>
      <c r="S1265" t="s">
        <v>48</v>
      </c>
      <c r="T1265" t="s">
        <v>48</v>
      </c>
      <c r="U1265" t="s">
        <v>48</v>
      </c>
      <c r="V1265" s="47">
        <v>0</v>
      </c>
      <c r="W1265" t="s">
        <v>48</v>
      </c>
      <c r="X1265" t="s">
        <v>48</v>
      </c>
      <c r="Y1265" t="s">
        <v>48</v>
      </c>
      <c r="Z1265">
        <v>0</v>
      </c>
      <c r="AA1265" t="s">
        <v>48</v>
      </c>
      <c r="AB1265" t="s">
        <v>48</v>
      </c>
      <c r="AC1265" t="s">
        <v>63</v>
      </c>
      <c r="AD1265" t="s">
        <v>93</v>
      </c>
      <c r="AE1265" t="s">
        <v>2471</v>
      </c>
      <c r="AF1265" t="s">
        <v>48</v>
      </c>
      <c r="AG1265" t="s">
        <v>48</v>
      </c>
      <c r="AH1265" t="s">
        <v>48</v>
      </c>
      <c r="AI1265" t="s">
        <v>48</v>
      </c>
      <c r="AJ1265" t="s">
        <v>48</v>
      </c>
      <c r="AK1265" t="s">
        <v>48</v>
      </c>
      <c r="AL1265" t="s">
        <v>48</v>
      </c>
      <c r="AM1265" t="s">
        <v>48</v>
      </c>
      <c r="AN1265" t="s">
        <v>48</v>
      </c>
      <c r="AO1265" t="s">
        <v>48</v>
      </c>
      <c r="AP1265" s="46">
        <v>0</v>
      </c>
      <c r="AQ1265" s="46">
        <v>0</v>
      </c>
      <c r="AR1265" s="46">
        <v>0</v>
      </c>
      <c r="AS1265" s="46">
        <v>0</v>
      </c>
      <c r="AT1265" s="46">
        <v>0</v>
      </c>
      <c r="AU1265" s="46">
        <v>0</v>
      </c>
      <c r="AV1265" s="46">
        <v>0</v>
      </c>
      <c r="AW1265" s="46">
        <v>0</v>
      </c>
      <c r="AX1265" s="46">
        <v>0</v>
      </c>
      <c r="AY1265" s="46">
        <v>0</v>
      </c>
      <c r="AZ1265" s="46">
        <v>0</v>
      </c>
      <c r="BA1265" s="46">
        <v>0</v>
      </c>
      <c r="BB1265" s="46">
        <v>0</v>
      </c>
      <c r="BC1265" s="46">
        <v>0</v>
      </c>
      <c r="BD1265" s="46">
        <v>0</v>
      </c>
      <c r="BE1265" s="46">
        <v>0</v>
      </c>
      <c r="BF1265" s="46">
        <v>0</v>
      </c>
      <c r="BG1265" s="46" t="s">
        <v>48</v>
      </c>
      <c r="BH1265" s="46">
        <v>0</v>
      </c>
      <c r="BI1265" s="46">
        <v>0</v>
      </c>
      <c r="BJ1265" s="46">
        <v>0</v>
      </c>
      <c r="BK1265" s="46">
        <v>0</v>
      </c>
      <c r="BL1265" s="46">
        <v>0</v>
      </c>
      <c r="BM1265" s="46">
        <v>0</v>
      </c>
      <c r="BN1265" s="46">
        <v>0</v>
      </c>
    </row>
    <row r="1266" spans="1:66" x14ac:dyDescent="0.35">
      <c r="A1266" t="s">
        <v>773</v>
      </c>
      <c r="B1266" s="44" t="s">
        <v>48</v>
      </c>
      <c r="C1266" t="s">
        <v>775</v>
      </c>
      <c r="D1266" t="s">
        <v>341</v>
      </c>
      <c r="E1266" t="s">
        <v>774</v>
      </c>
      <c r="F1266" t="s">
        <v>635</v>
      </c>
      <c r="G1266" t="s">
        <v>47</v>
      </c>
      <c r="H1266">
        <v>0</v>
      </c>
      <c r="I1266" s="60" t="s">
        <v>125</v>
      </c>
      <c r="J1266" s="33" t="s">
        <v>45</v>
      </c>
      <c r="K1266" s="46">
        <v>0</v>
      </c>
      <c r="L1266">
        <v>8.6</v>
      </c>
      <c r="M1266" t="s">
        <v>48</v>
      </c>
      <c r="N1266" s="46">
        <v>0</v>
      </c>
      <c r="O1266" s="46">
        <v>0</v>
      </c>
      <c r="P1266" s="46">
        <v>0</v>
      </c>
      <c r="Q1266" t="s">
        <v>48</v>
      </c>
      <c r="R1266" t="s">
        <v>48</v>
      </c>
      <c r="S1266" t="s">
        <v>48</v>
      </c>
      <c r="T1266" t="s">
        <v>48</v>
      </c>
      <c r="U1266" t="s">
        <v>48</v>
      </c>
      <c r="V1266" s="47">
        <v>0</v>
      </c>
      <c r="W1266" t="s">
        <v>48</v>
      </c>
      <c r="X1266" t="s">
        <v>48</v>
      </c>
      <c r="Y1266" t="s">
        <v>48</v>
      </c>
      <c r="Z1266">
        <v>0</v>
      </c>
      <c r="AA1266" t="s">
        <v>48</v>
      </c>
      <c r="AB1266" t="s">
        <v>48</v>
      </c>
      <c r="AC1266" t="s">
        <v>49</v>
      </c>
      <c r="AD1266" t="s">
        <v>93</v>
      </c>
      <c r="AE1266" t="s">
        <v>4532</v>
      </c>
      <c r="AF1266" t="s">
        <v>48</v>
      </c>
      <c r="AG1266" t="s">
        <v>48</v>
      </c>
      <c r="AH1266" t="s">
        <v>48</v>
      </c>
      <c r="AI1266" t="s">
        <v>48</v>
      </c>
      <c r="AJ1266" t="s">
        <v>48</v>
      </c>
      <c r="AK1266" t="s">
        <v>48</v>
      </c>
      <c r="AL1266" t="s">
        <v>48</v>
      </c>
      <c r="AM1266" t="s">
        <v>48</v>
      </c>
      <c r="AN1266" t="s">
        <v>48</v>
      </c>
      <c r="AO1266" t="s">
        <v>48</v>
      </c>
      <c r="AP1266" s="46">
        <v>0</v>
      </c>
      <c r="AQ1266" s="46">
        <v>0</v>
      </c>
      <c r="AR1266" s="46">
        <v>0</v>
      </c>
      <c r="AS1266" s="46">
        <v>0</v>
      </c>
      <c r="AT1266" s="46">
        <v>0</v>
      </c>
      <c r="AU1266" s="46">
        <v>0</v>
      </c>
      <c r="AV1266" s="46">
        <v>0</v>
      </c>
      <c r="AW1266" s="46">
        <v>0</v>
      </c>
      <c r="AX1266" s="46">
        <v>0</v>
      </c>
      <c r="AY1266" s="46">
        <v>0</v>
      </c>
      <c r="AZ1266" s="46">
        <v>0</v>
      </c>
      <c r="BA1266" s="46">
        <v>0</v>
      </c>
      <c r="BB1266" s="46">
        <v>0</v>
      </c>
      <c r="BC1266" s="46">
        <v>0</v>
      </c>
      <c r="BD1266" s="46">
        <v>0</v>
      </c>
      <c r="BE1266" s="46">
        <v>0</v>
      </c>
      <c r="BF1266" s="46">
        <v>0</v>
      </c>
      <c r="BG1266" s="46" t="s">
        <v>48</v>
      </c>
      <c r="BH1266" s="46">
        <v>0</v>
      </c>
      <c r="BI1266" s="46">
        <v>0</v>
      </c>
      <c r="BJ1266" s="46">
        <v>0</v>
      </c>
      <c r="BK1266" s="46">
        <v>0</v>
      </c>
      <c r="BL1266" s="46">
        <v>0</v>
      </c>
      <c r="BM1266" s="46">
        <v>0</v>
      </c>
      <c r="BN1266" s="46">
        <v>0</v>
      </c>
    </row>
    <row r="1267" spans="1:66" x14ac:dyDescent="0.35">
      <c r="A1267" t="s">
        <v>686</v>
      </c>
      <c r="B1267" s="44" t="s">
        <v>48</v>
      </c>
      <c r="C1267" t="s">
        <v>691</v>
      </c>
      <c r="D1267" t="s">
        <v>690</v>
      </c>
      <c r="E1267" t="s">
        <v>688</v>
      </c>
      <c r="F1267" t="s">
        <v>687</v>
      </c>
      <c r="G1267" t="s">
        <v>47</v>
      </c>
      <c r="H1267">
        <v>0</v>
      </c>
      <c r="I1267" s="60" t="s">
        <v>51</v>
      </c>
      <c r="J1267" s="33" t="s">
        <v>45</v>
      </c>
      <c r="K1267" s="46">
        <v>0</v>
      </c>
      <c r="L1267">
        <v>31.5</v>
      </c>
      <c r="M1267" t="s">
        <v>48</v>
      </c>
      <c r="N1267" s="46">
        <v>0</v>
      </c>
      <c r="O1267" s="46">
        <v>0</v>
      </c>
      <c r="P1267" s="46">
        <v>0</v>
      </c>
      <c r="Q1267" t="s">
        <v>48</v>
      </c>
      <c r="R1267" t="s">
        <v>48</v>
      </c>
      <c r="S1267" t="s">
        <v>48</v>
      </c>
      <c r="T1267" t="s">
        <v>48</v>
      </c>
      <c r="U1267" t="s">
        <v>48</v>
      </c>
      <c r="V1267" s="47">
        <v>1</v>
      </c>
      <c r="W1267" t="s">
        <v>11264</v>
      </c>
      <c r="X1267" t="s">
        <v>48</v>
      </c>
      <c r="Y1267" t="s">
        <v>48</v>
      </c>
      <c r="Z1267">
        <v>0</v>
      </c>
      <c r="AA1267" t="s">
        <v>689</v>
      </c>
      <c r="AB1267" t="s">
        <v>48</v>
      </c>
      <c r="AC1267" t="s">
        <v>63</v>
      </c>
      <c r="AD1267" t="s">
        <v>93</v>
      </c>
      <c r="AE1267" t="s">
        <v>4532</v>
      </c>
      <c r="AF1267" t="s">
        <v>48</v>
      </c>
      <c r="AG1267" t="s">
        <v>48</v>
      </c>
      <c r="AH1267" t="s">
        <v>48</v>
      </c>
      <c r="AI1267" t="s">
        <v>48</v>
      </c>
      <c r="AJ1267" t="s">
        <v>48</v>
      </c>
      <c r="AK1267" t="s">
        <v>48</v>
      </c>
      <c r="AL1267" t="s">
        <v>48</v>
      </c>
      <c r="AM1267" t="s">
        <v>48</v>
      </c>
      <c r="AN1267" t="s">
        <v>48</v>
      </c>
      <c r="AO1267" t="s">
        <v>48</v>
      </c>
      <c r="AP1267" s="46">
        <v>0</v>
      </c>
      <c r="AQ1267" s="46">
        <v>0</v>
      </c>
      <c r="AR1267" s="46">
        <v>0</v>
      </c>
      <c r="AS1267" s="46">
        <v>0</v>
      </c>
      <c r="AT1267" s="46">
        <v>0</v>
      </c>
      <c r="AU1267" s="46">
        <v>0</v>
      </c>
      <c r="AV1267" s="46">
        <v>0</v>
      </c>
      <c r="AW1267" s="46">
        <v>0</v>
      </c>
      <c r="AX1267" s="46">
        <v>0</v>
      </c>
      <c r="AY1267" s="46">
        <v>0</v>
      </c>
      <c r="AZ1267" s="46">
        <v>0</v>
      </c>
      <c r="BA1267" s="46">
        <v>0</v>
      </c>
      <c r="BB1267" s="46">
        <v>0</v>
      </c>
      <c r="BC1267" s="46">
        <v>0</v>
      </c>
      <c r="BD1267" s="46">
        <v>0</v>
      </c>
      <c r="BE1267" s="46">
        <v>0</v>
      </c>
      <c r="BF1267" s="46">
        <v>0</v>
      </c>
      <c r="BG1267" s="46" t="s">
        <v>48</v>
      </c>
      <c r="BH1267" s="46">
        <v>0</v>
      </c>
      <c r="BI1267" s="46">
        <v>0</v>
      </c>
      <c r="BJ1267" s="46">
        <v>0</v>
      </c>
      <c r="BK1267" s="46">
        <v>0</v>
      </c>
      <c r="BL1267" s="46">
        <v>0</v>
      </c>
      <c r="BM1267" s="46">
        <v>0</v>
      </c>
      <c r="BN1267" s="46">
        <v>0</v>
      </c>
    </row>
    <row r="1268" spans="1:66" x14ac:dyDescent="0.35">
      <c r="A1268" t="s">
        <v>806</v>
      </c>
      <c r="B1268" s="44" t="s">
        <v>48</v>
      </c>
      <c r="C1268" t="s">
        <v>613</v>
      </c>
      <c r="D1268" t="s">
        <v>335</v>
      </c>
      <c r="E1268" t="s">
        <v>807</v>
      </c>
      <c r="F1268" t="s">
        <v>717</v>
      </c>
      <c r="G1268" t="s">
        <v>47</v>
      </c>
      <c r="H1268">
        <v>0</v>
      </c>
      <c r="I1268" s="60" t="s">
        <v>125</v>
      </c>
      <c r="J1268" s="33" t="s">
        <v>45</v>
      </c>
      <c r="K1268" s="46">
        <v>0</v>
      </c>
      <c r="L1268">
        <v>12.5</v>
      </c>
      <c r="M1268" t="s">
        <v>48</v>
      </c>
      <c r="N1268" s="46">
        <v>0</v>
      </c>
      <c r="O1268" s="46">
        <v>0</v>
      </c>
      <c r="P1268" s="46">
        <v>0</v>
      </c>
      <c r="Q1268" t="s">
        <v>48</v>
      </c>
      <c r="R1268" t="s">
        <v>48</v>
      </c>
      <c r="S1268" t="s">
        <v>808</v>
      </c>
      <c r="T1268" t="s">
        <v>48</v>
      </c>
      <c r="U1268" t="s">
        <v>808</v>
      </c>
      <c r="V1268" s="47">
        <v>0</v>
      </c>
      <c r="W1268" t="s">
        <v>48</v>
      </c>
      <c r="X1268" t="s">
        <v>48</v>
      </c>
      <c r="Y1268" t="s">
        <v>48</v>
      </c>
      <c r="Z1268">
        <v>0</v>
      </c>
      <c r="AA1268" t="s">
        <v>48</v>
      </c>
      <c r="AB1268" t="s">
        <v>48</v>
      </c>
      <c r="AC1268" t="s">
        <v>49</v>
      </c>
      <c r="AD1268" t="s">
        <v>93</v>
      </c>
      <c r="AE1268" t="s">
        <v>4532</v>
      </c>
      <c r="AF1268" t="s">
        <v>48</v>
      </c>
      <c r="AG1268" t="s">
        <v>48</v>
      </c>
      <c r="AH1268" t="s">
        <v>48</v>
      </c>
      <c r="AI1268" t="s">
        <v>48</v>
      </c>
      <c r="AJ1268" t="s">
        <v>48</v>
      </c>
      <c r="AK1268" t="s">
        <v>48</v>
      </c>
      <c r="AL1268" t="s">
        <v>48</v>
      </c>
      <c r="AM1268" t="s">
        <v>48</v>
      </c>
      <c r="AN1268" t="s">
        <v>48</v>
      </c>
      <c r="AO1268" t="s">
        <v>48</v>
      </c>
      <c r="AP1268" s="46">
        <v>0</v>
      </c>
      <c r="AQ1268" s="46">
        <v>0</v>
      </c>
      <c r="AR1268" s="46">
        <v>0</v>
      </c>
      <c r="AS1268" s="46">
        <v>0</v>
      </c>
      <c r="AT1268" s="46">
        <v>0</v>
      </c>
      <c r="AU1268" s="46">
        <v>0</v>
      </c>
      <c r="AV1268" s="46">
        <v>0</v>
      </c>
      <c r="AW1268" s="46">
        <v>0</v>
      </c>
      <c r="AX1268" s="46">
        <v>0</v>
      </c>
      <c r="AY1268" s="46">
        <v>0</v>
      </c>
      <c r="AZ1268" s="46">
        <v>0</v>
      </c>
      <c r="BA1268" s="46">
        <v>0</v>
      </c>
      <c r="BB1268" s="46">
        <v>0</v>
      </c>
      <c r="BC1268" s="46">
        <v>0</v>
      </c>
      <c r="BD1268" s="46">
        <v>0</v>
      </c>
      <c r="BE1268" s="46">
        <v>0</v>
      </c>
      <c r="BF1268" s="46">
        <v>0</v>
      </c>
      <c r="BG1268" s="46" t="s">
        <v>48</v>
      </c>
      <c r="BH1268" s="46">
        <v>0</v>
      </c>
      <c r="BI1268" s="46">
        <v>0</v>
      </c>
      <c r="BJ1268" s="46">
        <v>0</v>
      </c>
      <c r="BK1268" s="46">
        <v>0</v>
      </c>
      <c r="BL1268" s="46">
        <v>0</v>
      </c>
      <c r="BM1268" s="46">
        <v>0</v>
      </c>
      <c r="BN1268" s="46">
        <v>0</v>
      </c>
    </row>
    <row r="1269" spans="1:66" x14ac:dyDescent="0.35">
      <c r="A1269" t="s">
        <v>10964</v>
      </c>
      <c r="B1269" s="44" t="s">
        <v>48</v>
      </c>
      <c r="C1269" t="s">
        <v>11611</v>
      </c>
      <c r="D1269" t="s">
        <v>268</v>
      </c>
      <c r="E1269" t="s">
        <v>10965</v>
      </c>
      <c r="F1269" t="s">
        <v>717</v>
      </c>
      <c r="G1269" t="s">
        <v>74</v>
      </c>
      <c r="H1269">
        <v>0</v>
      </c>
      <c r="I1269" s="60" t="s">
        <v>11552</v>
      </c>
      <c r="J1269" s="33" t="s">
        <v>45</v>
      </c>
      <c r="K1269" s="46">
        <v>0</v>
      </c>
      <c r="L1269">
        <v>72.7</v>
      </c>
      <c r="M1269" t="s">
        <v>48</v>
      </c>
      <c r="N1269" s="46">
        <v>0</v>
      </c>
      <c r="O1269" s="46">
        <v>0</v>
      </c>
      <c r="P1269" s="46">
        <v>0</v>
      </c>
      <c r="Q1269" t="s">
        <v>48</v>
      </c>
      <c r="R1269" t="s">
        <v>48</v>
      </c>
      <c r="S1269" t="s">
        <v>11403</v>
      </c>
      <c r="T1269" t="s">
        <v>48</v>
      </c>
      <c r="U1269" t="s">
        <v>10966</v>
      </c>
      <c r="V1269" s="47">
        <v>0</v>
      </c>
      <c r="W1269" t="s">
        <v>48</v>
      </c>
      <c r="X1269" t="s">
        <v>48</v>
      </c>
      <c r="Y1269" t="s">
        <v>48</v>
      </c>
      <c r="Z1269" t="s">
        <v>48</v>
      </c>
      <c r="AA1269" t="s">
        <v>11132</v>
      </c>
      <c r="AB1269" t="s">
        <v>48</v>
      </c>
      <c r="AC1269" t="s">
        <v>49</v>
      </c>
      <c r="AD1269" t="s">
        <v>93</v>
      </c>
      <c r="AE1269" t="s">
        <v>4532</v>
      </c>
      <c r="AF1269" t="s">
        <v>48</v>
      </c>
      <c r="AG1269" t="s">
        <v>48</v>
      </c>
      <c r="AH1269" t="s">
        <v>48</v>
      </c>
      <c r="AI1269" t="s">
        <v>48</v>
      </c>
      <c r="AJ1269" t="s">
        <v>48</v>
      </c>
      <c r="AK1269" t="s">
        <v>48</v>
      </c>
      <c r="AL1269" t="s">
        <v>48</v>
      </c>
      <c r="AM1269" t="s">
        <v>48</v>
      </c>
      <c r="AN1269" t="s">
        <v>48</v>
      </c>
      <c r="AO1269" t="s">
        <v>48</v>
      </c>
      <c r="AP1269" s="46">
        <v>0</v>
      </c>
      <c r="AQ1269" s="46">
        <v>0</v>
      </c>
      <c r="AR1269" s="46">
        <v>0</v>
      </c>
      <c r="AS1269" s="46">
        <v>0</v>
      </c>
      <c r="AT1269" s="46">
        <v>0</v>
      </c>
      <c r="AU1269" s="46">
        <v>0</v>
      </c>
      <c r="AV1269" s="46">
        <v>0</v>
      </c>
      <c r="AW1269" s="46">
        <v>0</v>
      </c>
      <c r="AX1269" s="46">
        <v>0</v>
      </c>
      <c r="AY1269" s="46">
        <v>0</v>
      </c>
      <c r="AZ1269" s="46">
        <v>0</v>
      </c>
      <c r="BA1269" s="46">
        <v>0</v>
      </c>
      <c r="BB1269" s="46">
        <v>0</v>
      </c>
      <c r="BC1269" s="46">
        <v>0</v>
      </c>
      <c r="BD1269" s="46">
        <v>0</v>
      </c>
      <c r="BE1269" s="46">
        <v>0</v>
      </c>
      <c r="BF1269" s="46">
        <v>0</v>
      </c>
      <c r="BG1269" s="46" t="s">
        <v>48</v>
      </c>
      <c r="BH1269" s="46">
        <v>0</v>
      </c>
      <c r="BI1269" s="46">
        <v>0</v>
      </c>
      <c r="BJ1269" s="46">
        <v>0</v>
      </c>
      <c r="BK1269" s="46">
        <v>0</v>
      </c>
      <c r="BL1269" s="46">
        <v>0</v>
      </c>
      <c r="BM1269" s="46">
        <v>0</v>
      </c>
      <c r="BN1269" s="46">
        <v>0</v>
      </c>
    </row>
    <row r="1270" spans="1:66" x14ac:dyDescent="0.35">
      <c r="A1270" t="s">
        <v>10967</v>
      </c>
      <c r="B1270" s="44" t="s">
        <v>48</v>
      </c>
      <c r="C1270" t="s">
        <v>11612</v>
      </c>
      <c r="D1270" t="s">
        <v>11613</v>
      </c>
      <c r="E1270" t="s">
        <v>10968</v>
      </c>
      <c r="F1270" t="s">
        <v>717</v>
      </c>
      <c r="G1270" t="s">
        <v>74</v>
      </c>
      <c r="H1270">
        <v>0</v>
      </c>
      <c r="I1270" s="61">
        <v>44825</v>
      </c>
      <c r="J1270" s="33" t="s">
        <v>45</v>
      </c>
      <c r="K1270" s="46">
        <v>0</v>
      </c>
      <c r="L1270">
        <v>27.3</v>
      </c>
      <c r="M1270" t="s">
        <v>48</v>
      </c>
      <c r="N1270" s="46">
        <v>0</v>
      </c>
      <c r="O1270" s="46">
        <v>0</v>
      </c>
      <c r="P1270" s="46">
        <v>0</v>
      </c>
      <c r="Q1270" t="s">
        <v>48</v>
      </c>
      <c r="R1270" t="s">
        <v>48</v>
      </c>
      <c r="S1270" t="s">
        <v>48</v>
      </c>
      <c r="T1270" t="s">
        <v>48</v>
      </c>
      <c r="U1270" t="s">
        <v>48</v>
      </c>
      <c r="V1270" s="47">
        <v>1</v>
      </c>
      <c r="W1270" t="s">
        <v>11264</v>
      </c>
      <c r="X1270" t="s">
        <v>48</v>
      </c>
      <c r="Y1270" t="s">
        <v>48</v>
      </c>
      <c r="Z1270" t="s">
        <v>48</v>
      </c>
      <c r="AA1270" t="s">
        <v>48</v>
      </c>
      <c r="AB1270" t="s">
        <v>48</v>
      </c>
      <c r="AC1270" t="s">
        <v>49</v>
      </c>
      <c r="AD1270" t="s">
        <v>93</v>
      </c>
      <c r="AE1270" t="s">
        <v>4532</v>
      </c>
      <c r="AF1270" t="s">
        <v>48</v>
      </c>
      <c r="AG1270" t="s">
        <v>48</v>
      </c>
      <c r="AH1270" t="s">
        <v>48</v>
      </c>
      <c r="AI1270" t="s">
        <v>48</v>
      </c>
      <c r="AJ1270" t="s">
        <v>48</v>
      </c>
      <c r="AK1270" t="s">
        <v>48</v>
      </c>
      <c r="AL1270" t="s">
        <v>48</v>
      </c>
      <c r="AM1270" t="s">
        <v>48</v>
      </c>
      <c r="AN1270" t="s">
        <v>48</v>
      </c>
      <c r="AO1270" t="s">
        <v>48</v>
      </c>
      <c r="AP1270" s="46">
        <v>0</v>
      </c>
      <c r="AQ1270" s="46">
        <v>0</v>
      </c>
      <c r="AR1270" s="46">
        <v>0</v>
      </c>
      <c r="AS1270" s="46">
        <v>0</v>
      </c>
      <c r="AT1270" s="46">
        <v>0</v>
      </c>
      <c r="AU1270" s="46">
        <v>0</v>
      </c>
      <c r="AV1270" s="46">
        <v>0</v>
      </c>
      <c r="AW1270" s="46">
        <v>0</v>
      </c>
      <c r="AX1270" s="46">
        <v>0</v>
      </c>
      <c r="AY1270" s="46">
        <v>0</v>
      </c>
      <c r="AZ1270" s="46">
        <v>0</v>
      </c>
      <c r="BA1270" s="46">
        <v>0</v>
      </c>
      <c r="BB1270" s="46">
        <v>0</v>
      </c>
      <c r="BC1270" s="46">
        <v>0</v>
      </c>
      <c r="BD1270" s="46">
        <v>0</v>
      </c>
      <c r="BE1270" s="46">
        <v>0</v>
      </c>
      <c r="BF1270" s="46">
        <v>0</v>
      </c>
      <c r="BG1270" s="46" t="s">
        <v>48</v>
      </c>
      <c r="BH1270" s="46">
        <v>0</v>
      </c>
      <c r="BI1270" s="46">
        <v>0</v>
      </c>
      <c r="BJ1270" s="46">
        <v>0</v>
      </c>
      <c r="BK1270" s="46">
        <v>0</v>
      </c>
      <c r="BL1270" s="46">
        <v>0</v>
      </c>
      <c r="BM1270" s="46">
        <v>0</v>
      </c>
      <c r="BN1270" s="46">
        <v>0</v>
      </c>
    </row>
    <row r="1271" spans="1:66" x14ac:dyDescent="0.35">
      <c r="A1271" t="s">
        <v>9891</v>
      </c>
      <c r="B1271" s="44" t="s">
        <v>48</v>
      </c>
      <c r="C1271" t="s">
        <v>11610</v>
      </c>
      <c r="D1271" t="s">
        <v>54</v>
      </c>
      <c r="E1271" t="s">
        <v>9892</v>
      </c>
      <c r="F1271" t="s">
        <v>717</v>
      </c>
      <c r="G1271" t="s">
        <v>47</v>
      </c>
      <c r="H1271">
        <v>0</v>
      </c>
      <c r="I1271" s="61">
        <v>44778</v>
      </c>
      <c r="J1271" s="33" t="s">
        <v>45</v>
      </c>
      <c r="K1271" s="46">
        <v>0</v>
      </c>
      <c r="L1271">
        <v>12.9</v>
      </c>
      <c r="M1271" t="s">
        <v>48</v>
      </c>
      <c r="N1271" s="46">
        <v>0</v>
      </c>
      <c r="O1271" s="46">
        <v>0</v>
      </c>
      <c r="P1271" s="46">
        <v>0</v>
      </c>
      <c r="Q1271" t="s">
        <v>48</v>
      </c>
      <c r="R1271" t="s">
        <v>48</v>
      </c>
      <c r="S1271" s="43" t="s">
        <v>48</v>
      </c>
      <c r="T1271" s="43" t="s">
        <v>48</v>
      </c>
      <c r="U1271" s="43" t="s">
        <v>48</v>
      </c>
      <c r="V1271" s="47">
        <v>1</v>
      </c>
      <c r="W1271" t="s">
        <v>48</v>
      </c>
      <c r="X1271" t="s">
        <v>48</v>
      </c>
      <c r="Y1271" t="s">
        <v>48</v>
      </c>
      <c r="Z1271" t="s">
        <v>48</v>
      </c>
      <c r="AA1271" t="s">
        <v>48</v>
      </c>
      <c r="AB1271" t="s">
        <v>48</v>
      </c>
      <c r="AC1271" t="s">
        <v>49</v>
      </c>
      <c r="AD1271" t="s">
        <v>93</v>
      </c>
      <c r="AE1271" t="s">
        <v>4532</v>
      </c>
      <c r="AF1271" t="s">
        <v>48</v>
      </c>
      <c r="AG1271" t="s">
        <v>48</v>
      </c>
      <c r="AH1271" t="s">
        <v>48</v>
      </c>
      <c r="AI1271" t="s">
        <v>48</v>
      </c>
      <c r="AJ1271" t="s">
        <v>48</v>
      </c>
      <c r="AK1271" t="s">
        <v>48</v>
      </c>
      <c r="AL1271" t="s">
        <v>48</v>
      </c>
      <c r="AM1271" t="s">
        <v>48</v>
      </c>
      <c r="AN1271" t="s">
        <v>48</v>
      </c>
      <c r="AO1271" t="s">
        <v>48</v>
      </c>
      <c r="AP1271" s="46">
        <v>0</v>
      </c>
      <c r="AQ1271" s="46">
        <v>0</v>
      </c>
      <c r="AR1271" s="46">
        <v>0</v>
      </c>
      <c r="AS1271" s="46">
        <v>0</v>
      </c>
      <c r="AT1271" s="46">
        <v>0</v>
      </c>
      <c r="AU1271" s="46">
        <v>0</v>
      </c>
      <c r="AV1271" s="46">
        <v>0</v>
      </c>
      <c r="AW1271" s="46">
        <v>0</v>
      </c>
      <c r="AX1271" s="46">
        <v>0</v>
      </c>
      <c r="AY1271" s="46">
        <v>0</v>
      </c>
      <c r="AZ1271" s="46">
        <v>0</v>
      </c>
      <c r="BA1271" s="46">
        <v>0</v>
      </c>
      <c r="BB1271" s="46">
        <v>0</v>
      </c>
      <c r="BC1271" s="46">
        <v>0</v>
      </c>
      <c r="BD1271" s="46">
        <v>0</v>
      </c>
      <c r="BE1271" s="46">
        <v>0</v>
      </c>
      <c r="BF1271" s="46">
        <v>0</v>
      </c>
      <c r="BG1271" s="46" t="s">
        <v>48</v>
      </c>
      <c r="BH1271" s="46">
        <v>0</v>
      </c>
      <c r="BI1271" s="46">
        <v>0</v>
      </c>
      <c r="BJ1271" s="46">
        <v>0</v>
      </c>
      <c r="BK1271" s="46">
        <v>0</v>
      </c>
      <c r="BL1271" s="46">
        <v>0</v>
      </c>
      <c r="BM1271" s="46">
        <v>0</v>
      </c>
      <c r="BN1271" s="46">
        <v>0</v>
      </c>
    </row>
    <row r="1272" spans="1:66" x14ac:dyDescent="0.35">
      <c r="A1272" t="s">
        <v>9893</v>
      </c>
      <c r="B1272" s="44" t="s">
        <v>48</v>
      </c>
      <c r="C1272" t="s">
        <v>11609</v>
      </c>
      <c r="D1272" t="s">
        <v>6833</v>
      </c>
      <c r="E1272" t="s">
        <v>9894</v>
      </c>
      <c r="F1272" t="s">
        <v>717</v>
      </c>
      <c r="G1272" t="s">
        <v>47</v>
      </c>
      <c r="H1272">
        <v>0</v>
      </c>
      <c r="I1272" s="61">
        <v>44778</v>
      </c>
      <c r="J1272" s="33" t="s">
        <v>45</v>
      </c>
      <c r="K1272" s="46">
        <v>0</v>
      </c>
      <c r="L1272">
        <v>9</v>
      </c>
      <c r="M1272" t="s">
        <v>48</v>
      </c>
      <c r="N1272" s="46">
        <v>0</v>
      </c>
      <c r="O1272" s="46">
        <v>0</v>
      </c>
      <c r="P1272" s="46">
        <v>0</v>
      </c>
      <c r="Q1272" t="s">
        <v>48</v>
      </c>
      <c r="R1272" t="s">
        <v>48</v>
      </c>
      <c r="S1272" s="43" t="s">
        <v>48</v>
      </c>
      <c r="T1272" s="43" t="s">
        <v>48</v>
      </c>
      <c r="U1272" s="43" t="s">
        <v>48</v>
      </c>
      <c r="V1272" s="47">
        <v>1</v>
      </c>
      <c r="W1272" t="s">
        <v>48</v>
      </c>
      <c r="X1272" t="s">
        <v>48</v>
      </c>
      <c r="Y1272" t="s">
        <v>48</v>
      </c>
      <c r="Z1272" t="s">
        <v>48</v>
      </c>
      <c r="AA1272" t="s">
        <v>48</v>
      </c>
      <c r="AB1272" t="s">
        <v>48</v>
      </c>
      <c r="AC1272" t="s">
        <v>63</v>
      </c>
      <c r="AD1272" t="s">
        <v>93</v>
      </c>
      <c r="AE1272" t="s">
        <v>4532</v>
      </c>
      <c r="AF1272" t="s">
        <v>48</v>
      </c>
      <c r="AG1272" t="s">
        <v>48</v>
      </c>
      <c r="AH1272" t="s">
        <v>48</v>
      </c>
      <c r="AI1272" t="s">
        <v>48</v>
      </c>
      <c r="AJ1272" t="s">
        <v>48</v>
      </c>
      <c r="AK1272" t="s">
        <v>48</v>
      </c>
      <c r="AL1272" t="s">
        <v>48</v>
      </c>
      <c r="AM1272" t="s">
        <v>48</v>
      </c>
      <c r="AN1272" t="s">
        <v>48</v>
      </c>
      <c r="AO1272" t="s">
        <v>48</v>
      </c>
      <c r="AP1272" s="46">
        <v>0</v>
      </c>
      <c r="AQ1272" s="46">
        <v>0</v>
      </c>
      <c r="AR1272" s="46">
        <v>0</v>
      </c>
      <c r="AS1272" s="46">
        <v>0</v>
      </c>
      <c r="AT1272" s="46">
        <v>0</v>
      </c>
      <c r="AU1272" s="46">
        <v>0</v>
      </c>
      <c r="AV1272" s="46">
        <v>0</v>
      </c>
      <c r="AW1272" s="46">
        <v>0</v>
      </c>
      <c r="AX1272" s="46">
        <v>0</v>
      </c>
      <c r="AY1272" s="46">
        <v>0</v>
      </c>
      <c r="AZ1272" s="46">
        <v>0</v>
      </c>
      <c r="BA1272" s="46">
        <v>0</v>
      </c>
      <c r="BB1272" s="46">
        <v>0</v>
      </c>
      <c r="BC1272" s="46">
        <v>0</v>
      </c>
      <c r="BD1272" s="46">
        <v>0</v>
      </c>
      <c r="BE1272" s="46">
        <v>0</v>
      </c>
      <c r="BF1272" s="46">
        <v>0</v>
      </c>
      <c r="BG1272" s="46" t="s">
        <v>48</v>
      </c>
      <c r="BH1272" s="46">
        <v>0</v>
      </c>
      <c r="BI1272" s="46">
        <v>0</v>
      </c>
      <c r="BJ1272" s="46">
        <v>0</v>
      </c>
      <c r="BK1272" s="46">
        <v>0</v>
      </c>
      <c r="BL1272" s="46">
        <v>0</v>
      </c>
      <c r="BM1272" s="46">
        <v>0</v>
      </c>
      <c r="BN1272" s="46">
        <v>0</v>
      </c>
    </row>
    <row r="1273" spans="1:66" x14ac:dyDescent="0.35">
      <c r="A1273" t="s">
        <v>8122</v>
      </c>
      <c r="B1273" s="44" t="s">
        <v>48</v>
      </c>
      <c r="C1273" t="s">
        <v>11614</v>
      </c>
      <c r="D1273" t="s">
        <v>5178</v>
      </c>
      <c r="E1273" t="s">
        <v>8123</v>
      </c>
      <c r="F1273" t="s">
        <v>846</v>
      </c>
      <c r="G1273" t="s">
        <v>83</v>
      </c>
      <c r="H1273">
        <v>0</v>
      </c>
      <c r="I1273" s="61">
        <v>44729</v>
      </c>
      <c r="J1273" s="33" t="s">
        <v>45</v>
      </c>
      <c r="K1273" s="46">
        <v>0</v>
      </c>
      <c r="L1273">
        <v>3.4</v>
      </c>
      <c r="M1273" t="s">
        <v>48</v>
      </c>
      <c r="N1273" s="46">
        <v>0</v>
      </c>
      <c r="O1273" s="46">
        <v>0</v>
      </c>
      <c r="P1273" s="46">
        <v>0</v>
      </c>
      <c r="Q1273" t="s">
        <v>48</v>
      </c>
      <c r="R1273" t="s">
        <v>48</v>
      </c>
      <c r="S1273" t="s">
        <v>48</v>
      </c>
      <c r="T1273" t="s">
        <v>48</v>
      </c>
      <c r="U1273" t="s">
        <v>48</v>
      </c>
      <c r="V1273" s="47">
        <v>1</v>
      </c>
      <c r="W1273" t="s">
        <v>48</v>
      </c>
      <c r="X1273" t="s">
        <v>48</v>
      </c>
      <c r="Y1273" t="s">
        <v>48</v>
      </c>
      <c r="Z1273" t="s">
        <v>48</v>
      </c>
      <c r="AA1273" t="s">
        <v>48</v>
      </c>
      <c r="AB1273" t="s">
        <v>48</v>
      </c>
      <c r="AC1273" t="s">
        <v>63</v>
      </c>
      <c r="AD1273" t="s">
        <v>93</v>
      </c>
      <c r="AE1273" t="s">
        <v>977</v>
      </c>
      <c r="AF1273" t="s">
        <v>48</v>
      </c>
      <c r="AG1273" t="s">
        <v>48</v>
      </c>
      <c r="AH1273" t="s">
        <v>48</v>
      </c>
      <c r="AI1273" t="s">
        <v>48</v>
      </c>
      <c r="AJ1273" t="s">
        <v>48</v>
      </c>
      <c r="AK1273" t="s">
        <v>48</v>
      </c>
      <c r="AL1273" t="s">
        <v>48</v>
      </c>
      <c r="AM1273" t="s">
        <v>48</v>
      </c>
      <c r="AN1273" t="s">
        <v>48</v>
      </c>
      <c r="AO1273" t="s">
        <v>48</v>
      </c>
      <c r="AP1273" s="46">
        <v>0</v>
      </c>
      <c r="AQ1273" s="46">
        <v>0</v>
      </c>
      <c r="AR1273" s="46">
        <v>0</v>
      </c>
      <c r="AS1273" s="46">
        <v>0</v>
      </c>
      <c r="AT1273" s="46">
        <v>0</v>
      </c>
      <c r="AU1273" s="46">
        <v>0</v>
      </c>
      <c r="AV1273" s="46">
        <v>0</v>
      </c>
      <c r="AW1273" s="46">
        <v>0</v>
      </c>
      <c r="AX1273" s="46">
        <v>0</v>
      </c>
      <c r="AY1273" s="46">
        <v>0</v>
      </c>
      <c r="AZ1273" s="46">
        <v>0</v>
      </c>
      <c r="BA1273" s="46">
        <v>0</v>
      </c>
      <c r="BB1273" s="46">
        <v>0</v>
      </c>
      <c r="BC1273" s="46">
        <v>0</v>
      </c>
      <c r="BD1273" s="46">
        <v>0</v>
      </c>
      <c r="BE1273" s="46">
        <v>0</v>
      </c>
      <c r="BF1273" s="46">
        <v>0</v>
      </c>
      <c r="BG1273" s="46" t="s">
        <v>48</v>
      </c>
      <c r="BH1273" s="46">
        <v>0</v>
      </c>
      <c r="BI1273" s="46">
        <v>0</v>
      </c>
      <c r="BJ1273" s="46">
        <v>0</v>
      </c>
      <c r="BK1273" s="46">
        <v>0</v>
      </c>
      <c r="BL1273" s="46">
        <v>0</v>
      </c>
      <c r="BM1273" s="46">
        <v>0</v>
      </c>
      <c r="BN1273" s="46">
        <v>0</v>
      </c>
    </row>
    <row r="1274" spans="1:66" x14ac:dyDescent="0.35">
      <c r="A1274" t="s">
        <v>845</v>
      </c>
      <c r="B1274" s="44" t="s">
        <v>48</v>
      </c>
      <c r="C1274" t="s">
        <v>850</v>
      </c>
      <c r="D1274" t="s">
        <v>849</v>
      </c>
      <c r="E1274" t="s">
        <v>847</v>
      </c>
      <c r="F1274" t="s">
        <v>846</v>
      </c>
      <c r="G1274" t="s">
        <v>47</v>
      </c>
      <c r="H1274">
        <v>0</v>
      </c>
      <c r="I1274" s="60" t="s">
        <v>125</v>
      </c>
      <c r="J1274" s="33" t="s">
        <v>45</v>
      </c>
      <c r="K1274" s="46">
        <v>0</v>
      </c>
      <c r="L1274">
        <v>6.7</v>
      </c>
      <c r="M1274" t="s">
        <v>48</v>
      </c>
      <c r="N1274" s="46">
        <v>0</v>
      </c>
      <c r="O1274" s="46">
        <v>0</v>
      </c>
      <c r="P1274" s="46">
        <v>0</v>
      </c>
      <c r="Q1274" t="s">
        <v>48</v>
      </c>
      <c r="R1274" t="s">
        <v>48</v>
      </c>
      <c r="S1274" t="s">
        <v>848</v>
      </c>
      <c r="T1274" t="s">
        <v>48</v>
      </c>
      <c r="U1274" t="s">
        <v>848</v>
      </c>
      <c r="V1274" s="47">
        <v>0</v>
      </c>
      <c r="W1274" t="s">
        <v>48</v>
      </c>
      <c r="X1274" t="s">
        <v>48</v>
      </c>
      <c r="Y1274" t="s">
        <v>48</v>
      </c>
      <c r="Z1274">
        <v>0</v>
      </c>
      <c r="AA1274" t="s">
        <v>48</v>
      </c>
      <c r="AB1274" t="s">
        <v>48</v>
      </c>
      <c r="AC1274" t="s">
        <v>49</v>
      </c>
      <c r="AD1274" t="s">
        <v>93</v>
      </c>
      <c r="AE1274" t="s">
        <v>4532</v>
      </c>
      <c r="AF1274" t="s">
        <v>48</v>
      </c>
      <c r="AG1274" t="s">
        <v>48</v>
      </c>
      <c r="AH1274" t="s">
        <v>48</v>
      </c>
      <c r="AI1274" t="s">
        <v>48</v>
      </c>
      <c r="AJ1274" t="s">
        <v>48</v>
      </c>
      <c r="AK1274" t="s">
        <v>48</v>
      </c>
      <c r="AL1274" t="s">
        <v>48</v>
      </c>
      <c r="AM1274" t="s">
        <v>48</v>
      </c>
      <c r="AN1274" t="s">
        <v>48</v>
      </c>
      <c r="AO1274" t="s">
        <v>48</v>
      </c>
      <c r="AP1274" s="46">
        <v>0</v>
      </c>
      <c r="AQ1274" s="46">
        <v>0</v>
      </c>
      <c r="AR1274" s="46">
        <v>0</v>
      </c>
      <c r="AS1274" s="46">
        <v>0</v>
      </c>
      <c r="AT1274" s="46">
        <v>0</v>
      </c>
      <c r="AU1274" s="46">
        <v>0</v>
      </c>
      <c r="AV1274" s="46">
        <v>0</v>
      </c>
      <c r="AW1274" s="46">
        <v>0</v>
      </c>
      <c r="AX1274" s="46">
        <v>0</v>
      </c>
      <c r="AY1274" s="46">
        <v>0</v>
      </c>
      <c r="AZ1274" s="46">
        <v>0</v>
      </c>
      <c r="BA1274" s="46">
        <v>0</v>
      </c>
      <c r="BB1274" s="46">
        <v>0</v>
      </c>
      <c r="BC1274" s="46">
        <v>0</v>
      </c>
      <c r="BD1274" s="46">
        <v>0</v>
      </c>
      <c r="BE1274" s="46">
        <v>0</v>
      </c>
      <c r="BF1274" s="46">
        <v>0</v>
      </c>
      <c r="BG1274" s="46" t="s">
        <v>48</v>
      </c>
      <c r="BH1274" s="46">
        <v>0</v>
      </c>
      <c r="BI1274" s="46">
        <v>0</v>
      </c>
      <c r="BJ1274" s="46">
        <v>0</v>
      </c>
      <c r="BK1274" s="46">
        <v>0</v>
      </c>
      <c r="BL1274" s="46">
        <v>0</v>
      </c>
      <c r="BM1274" s="46">
        <v>0</v>
      </c>
      <c r="BN1274" s="46">
        <v>0</v>
      </c>
    </row>
    <row r="1275" spans="1:66" x14ac:dyDescent="0.35">
      <c r="A1275" t="s">
        <v>8160</v>
      </c>
      <c r="B1275" s="44" t="s">
        <v>48</v>
      </c>
      <c r="C1275" t="s">
        <v>2707</v>
      </c>
      <c r="D1275" t="s">
        <v>11619</v>
      </c>
      <c r="E1275" t="s">
        <v>8161</v>
      </c>
      <c r="F1275" t="s">
        <v>868</v>
      </c>
      <c r="G1275" t="s">
        <v>47</v>
      </c>
      <c r="H1275">
        <v>0</v>
      </c>
      <c r="I1275" s="61">
        <v>44729</v>
      </c>
      <c r="J1275" s="33" t="s">
        <v>45</v>
      </c>
      <c r="K1275" s="46">
        <v>0</v>
      </c>
      <c r="L1275">
        <v>5.7</v>
      </c>
      <c r="M1275" t="s">
        <v>48</v>
      </c>
      <c r="N1275" s="46">
        <v>0</v>
      </c>
      <c r="O1275" s="46">
        <v>0</v>
      </c>
      <c r="P1275" s="46">
        <v>0</v>
      </c>
      <c r="Q1275" t="s">
        <v>48</v>
      </c>
      <c r="R1275" t="s">
        <v>48</v>
      </c>
      <c r="S1275" t="s">
        <v>48</v>
      </c>
      <c r="T1275" t="s">
        <v>48</v>
      </c>
      <c r="U1275" t="s">
        <v>48</v>
      </c>
      <c r="V1275" s="47">
        <v>1</v>
      </c>
      <c r="W1275" t="s">
        <v>48</v>
      </c>
      <c r="X1275" t="s">
        <v>48</v>
      </c>
      <c r="Y1275" t="s">
        <v>48</v>
      </c>
      <c r="Z1275" t="s">
        <v>48</v>
      </c>
      <c r="AA1275" t="s">
        <v>48</v>
      </c>
      <c r="AB1275" t="s">
        <v>48</v>
      </c>
      <c r="AC1275" t="s">
        <v>49</v>
      </c>
      <c r="AD1275" t="s">
        <v>951</v>
      </c>
      <c r="AE1275" t="s">
        <v>11051</v>
      </c>
      <c r="AF1275" t="s">
        <v>48</v>
      </c>
      <c r="AG1275" t="s">
        <v>48</v>
      </c>
      <c r="AH1275" t="s">
        <v>48</v>
      </c>
      <c r="AI1275" t="s">
        <v>48</v>
      </c>
      <c r="AJ1275" t="s">
        <v>48</v>
      </c>
      <c r="AK1275" t="s">
        <v>48</v>
      </c>
      <c r="AL1275" t="s">
        <v>48</v>
      </c>
      <c r="AM1275" t="s">
        <v>48</v>
      </c>
      <c r="AN1275" t="s">
        <v>48</v>
      </c>
      <c r="AO1275" t="s">
        <v>48</v>
      </c>
      <c r="AP1275" s="46">
        <v>0</v>
      </c>
      <c r="AQ1275" s="46">
        <v>0</v>
      </c>
      <c r="AR1275" s="46">
        <v>0</v>
      </c>
      <c r="AS1275" s="46">
        <v>0</v>
      </c>
      <c r="AT1275" s="46">
        <v>0</v>
      </c>
      <c r="AU1275" s="46">
        <v>0</v>
      </c>
      <c r="AV1275" s="46">
        <v>0</v>
      </c>
      <c r="AW1275" s="46">
        <v>0</v>
      </c>
      <c r="AX1275" s="46">
        <v>0</v>
      </c>
      <c r="AY1275" s="46">
        <v>0</v>
      </c>
      <c r="AZ1275" s="46">
        <v>0</v>
      </c>
      <c r="BA1275" s="46">
        <v>0</v>
      </c>
      <c r="BB1275" s="46">
        <v>0</v>
      </c>
      <c r="BC1275" s="46">
        <v>0</v>
      </c>
      <c r="BD1275" s="46">
        <v>0</v>
      </c>
      <c r="BE1275" s="46">
        <v>0</v>
      </c>
      <c r="BF1275" s="46">
        <v>0</v>
      </c>
      <c r="BG1275" s="46" t="s">
        <v>48</v>
      </c>
      <c r="BH1275" s="46">
        <v>0</v>
      </c>
      <c r="BI1275" s="46">
        <v>0</v>
      </c>
      <c r="BJ1275" s="46">
        <v>0</v>
      </c>
      <c r="BK1275" s="46">
        <v>0</v>
      </c>
      <c r="BL1275" s="46">
        <v>0</v>
      </c>
      <c r="BM1275" s="46">
        <v>0</v>
      </c>
      <c r="BN1275" s="46">
        <v>0</v>
      </c>
    </row>
    <row r="1276" spans="1:66" x14ac:dyDescent="0.35">
      <c r="A1276" t="s">
        <v>867</v>
      </c>
      <c r="B1276" s="44" t="s">
        <v>48</v>
      </c>
      <c r="C1276" t="s">
        <v>871</v>
      </c>
      <c r="D1276" t="s">
        <v>870</v>
      </c>
      <c r="E1276" t="s">
        <v>869</v>
      </c>
      <c r="F1276" t="s">
        <v>868</v>
      </c>
      <c r="G1276" t="s">
        <v>74</v>
      </c>
      <c r="H1276">
        <v>0</v>
      </c>
      <c r="I1276" s="60" t="s">
        <v>149</v>
      </c>
      <c r="J1276" s="33" t="s">
        <v>45</v>
      </c>
      <c r="K1276" s="46">
        <v>0</v>
      </c>
      <c r="L1276">
        <v>6.8</v>
      </c>
      <c r="M1276" t="s">
        <v>48</v>
      </c>
      <c r="N1276" s="46">
        <v>0</v>
      </c>
      <c r="O1276" s="46">
        <v>0</v>
      </c>
      <c r="P1276" s="46">
        <v>0</v>
      </c>
      <c r="Q1276" t="s">
        <v>48</v>
      </c>
      <c r="R1276" t="s">
        <v>48</v>
      </c>
      <c r="S1276" t="s">
        <v>10006</v>
      </c>
      <c r="T1276" t="s">
        <v>48</v>
      </c>
      <c r="U1276" t="s">
        <v>10006</v>
      </c>
      <c r="V1276" s="47">
        <v>0</v>
      </c>
      <c r="W1276" t="s">
        <v>48</v>
      </c>
      <c r="X1276" t="s">
        <v>48</v>
      </c>
      <c r="Y1276" t="s">
        <v>48</v>
      </c>
      <c r="Z1276">
        <v>0</v>
      </c>
      <c r="AA1276" t="s">
        <v>48</v>
      </c>
      <c r="AB1276" t="s">
        <v>48</v>
      </c>
      <c r="AC1276" t="s">
        <v>63</v>
      </c>
      <c r="AD1276" t="s">
        <v>93</v>
      </c>
      <c r="AE1276" t="s">
        <v>4532</v>
      </c>
      <c r="AF1276" t="s">
        <v>48</v>
      </c>
      <c r="AG1276" t="s">
        <v>48</v>
      </c>
      <c r="AH1276" t="s">
        <v>48</v>
      </c>
      <c r="AI1276" t="s">
        <v>48</v>
      </c>
      <c r="AJ1276" t="s">
        <v>48</v>
      </c>
      <c r="AK1276" t="s">
        <v>48</v>
      </c>
      <c r="AL1276" t="s">
        <v>48</v>
      </c>
      <c r="AM1276" t="s">
        <v>48</v>
      </c>
      <c r="AN1276" t="s">
        <v>48</v>
      </c>
      <c r="AO1276" t="s">
        <v>48</v>
      </c>
      <c r="AP1276" s="46">
        <v>0</v>
      </c>
      <c r="AQ1276" s="46">
        <v>0</v>
      </c>
      <c r="AR1276" s="46">
        <v>0</v>
      </c>
      <c r="AS1276" s="46">
        <v>0</v>
      </c>
      <c r="AT1276" s="46">
        <v>0</v>
      </c>
      <c r="AU1276" s="46">
        <v>0</v>
      </c>
      <c r="AV1276" s="46">
        <v>0</v>
      </c>
      <c r="AW1276" s="46">
        <v>0</v>
      </c>
      <c r="AX1276" s="46">
        <v>0</v>
      </c>
      <c r="AY1276" s="46">
        <v>0</v>
      </c>
      <c r="AZ1276" s="46">
        <v>0</v>
      </c>
      <c r="BA1276" s="46">
        <v>0</v>
      </c>
      <c r="BB1276" s="46">
        <v>0</v>
      </c>
      <c r="BC1276" s="46">
        <v>0</v>
      </c>
      <c r="BD1276" s="46">
        <v>0</v>
      </c>
      <c r="BE1276" s="46">
        <v>0</v>
      </c>
      <c r="BF1276" s="46">
        <v>0</v>
      </c>
      <c r="BG1276" s="46" t="s">
        <v>48</v>
      </c>
      <c r="BH1276" s="46">
        <v>0</v>
      </c>
      <c r="BI1276" s="46">
        <v>0</v>
      </c>
      <c r="BJ1276" s="46">
        <v>0</v>
      </c>
      <c r="BK1276" s="46">
        <v>0</v>
      </c>
      <c r="BL1276" s="46">
        <v>0</v>
      </c>
      <c r="BM1276" s="46">
        <v>0</v>
      </c>
      <c r="BN1276" s="46">
        <v>0</v>
      </c>
    </row>
    <row r="1277" spans="1:66" x14ac:dyDescent="0.35">
      <c r="A1277" t="s">
        <v>8156</v>
      </c>
      <c r="B1277" s="44" t="s">
        <v>48</v>
      </c>
      <c r="C1277" t="s">
        <v>11616</v>
      </c>
      <c r="D1277" t="s">
        <v>216</v>
      </c>
      <c r="E1277" t="s">
        <v>8157</v>
      </c>
      <c r="F1277" t="s">
        <v>868</v>
      </c>
      <c r="G1277" t="s">
        <v>47</v>
      </c>
      <c r="H1277">
        <v>0</v>
      </c>
      <c r="I1277" s="61">
        <v>44729</v>
      </c>
      <c r="J1277" s="33" t="s">
        <v>45</v>
      </c>
      <c r="K1277" s="46">
        <v>0</v>
      </c>
      <c r="L1277">
        <v>8.1</v>
      </c>
      <c r="M1277" t="s">
        <v>48</v>
      </c>
      <c r="N1277" s="46">
        <v>0</v>
      </c>
      <c r="O1277" s="46">
        <v>0</v>
      </c>
      <c r="P1277" s="46">
        <v>0</v>
      </c>
      <c r="Q1277" t="s">
        <v>48</v>
      </c>
      <c r="R1277" t="s">
        <v>48</v>
      </c>
      <c r="S1277" t="s">
        <v>10007</v>
      </c>
      <c r="T1277" t="s">
        <v>48</v>
      </c>
      <c r="U1277" t="s">
        <v>10007</v>
      </c>
      <c r="V1277" s="47">
        <v>1</v>
      </c>
      <c r="W1277" t="s">
        <v>48</v>
      </c>
      <c r="X1277" t="s">
        <v>48</v>
      </c>
      <c r="Y1277" t="s">
        <v>48</v>
      </c>
      <c r="Z1277" t="s">
        <v>48</v>
      </c>
      <c r="AA1277" t="s">
        <v>48</v>
      </c>
      <c r="AB1277" t="s">
        <v>48</v>
      </c>
      <c r="AC1277" t="s">
        <v>49</v>
      </c>
      <c r="AD1277" t="s">
        <v>93</v>
      </c>
      <c r="AE1277" t="s">
        <v>4532</v>
      </c>
      <c r="AF1277" t="s">
        <v>48</v>
      </c>
      <c r="AG1277" t="s">
        <v>48</v>
      </c>
      <c r="AH1277" t="s">
        <v>48</v>
      </c>
      <c r="AI1277" t="s">
        <v>48</v>
      </c>
      <c r="AJ1277" t="s">
        <v>48</v>
      </c>
      <c r="AK1277" t="s">
        <v>48</v>
      </c>
      <c r="AL1277" t="s">
        <v>48</v>
      </c>
      <c r="AM1277" t="s">
        <v>48</v>
      </c>
      <c r="AN1277" t="s">
        <v>48</v>
      </c>
      <c r="AO1277" t="s">
        <v>48</v>
      </c>
      <c r="AP1277" s="46">
        <v>0</v>
      </c>
      <c r="AQ1277" s="46">
        <v>0</v>
      </c>
      <c r="AR1277" s="46">
        <v>0</v>
      </c>
      <c r="AS1277" s="46">
        <v>0</v>
      </c>
      <c r="AT1277" s="46">
        <v>0</v>
      </c>
      <c r="AU1277" s="46">
        <v>0</v>
      </c>
      <c r="AV1277" s="46">
        <v>0</v>
      </c>
      <c r="AW1277" s="46">
        <v>0</v>
      </c>
      <c r="AX1277" s="46">
        <v>0</v>
      </c>
      <c r="AY1277" s="46">
        <v>0</v>
      </c>
      <c r="AZ1277" s="46">
        <v>0</v>
      </c>
      <c r="BA1277" s="46">
        <v>0</v>
      </c>
      <c r="BB1277" s="46">
        <v>0</v>
      </c>
      <c r="BC1277" s="46">
        <v>0</v>
      </c>
      <c r="BD1277" s="46">
        <v>0</v>
      </c>
      <c r="BE1277" s="46">
        <v>0</v>
      </c>
      <c r="BF1277" s="46">
        <v>0</v>
      </c>
      <c r="BG1277" s="46" t="s">
        <v>48</v>
      </c>
      <c r="BH1277" s="46">
        <v>0</v>
      </c>
      <c r="BI1277" s="46">
        <v>0</v>
      </c>
      <c r="BJ1277" s="46">
        <v>0</v>
      </c>
      <c r="BK1277" s="46">
        <v>0</v>
      </c>
      <c r="BL1277" s="46">
        <v>0</v>
      </c>
      <c r="BM1277" s="46">
        <v>0</v>
      </c>
      <c r="BN1277" s="46">
        <v>0</v>
      </c>
    </row>
    <row r="1278" spans="1:66" x14ac:dyDescent="0.35">
      <c r="A1278" t="s">
        <v>8158</v>
      </c>
      <c r="B1278" s="44" t="s">
        <v>48</v>
      </c>
      <c r="C1278" t="s">
        <v>11617</v>
      </c>
      <c r="D1278" t="s">
        <v>11618</v>
      </c>
      <c r="E1278" t="s">
        <v>8159</v>
      </c>
      <c r="F1278" t="s">
        <v>868</v>
      </c>
      <c r="G1278" t="s">
        <v>47</v>
      </c>
      <c r="H1278">
        <v>0</v>
      </c>
      <c r="I1278" s="61">
        <v>44729</v>
      </c>
      <c r="J1278" s="33" t="s">
        <v>45</v>
      </c>
      <c r="K1278" s="46">
        <v>0</v>
      </c>
      <c r="L1278">
        <v>1.9</v>
      </c>
      <c r="M1278" t="s">
        <v>48</v>
      </c>
      <c r="N1278" s="46">
        <v>0</v>
      </c>
      <c r="O1278" s="46">
        <v>0</v>
      </c>
      <c r="P1278" s="46">
        <v>0</v>
      </c>
      <c r="Q1278" t="s">
        <v>48</v>
      </c>
      <c r="R1278" t="s">
        <v>48</v>
      </c>
      <c r="S1278" t="s">
        <v>10008</v>
      </c>
      <c r="T1278" t="s">
        <v>48</v>
      </c>
      <c r="U1278" t="s">
        <v>10008</v>
      </c>
      <c r="V1278" s="47">
        <v>1</v>
      </c>
      <c r="W1278" t="s">
        <v>48</v>
      </c>
      <c r="X1278" t="s">
        <v>48</v>
      </c>
      <c r="Y1278" t="s">
        <v>48</v>
      </c>
      <c r="Z1278" t="s">
        <v>48</v>
      </c>
      <c r="AA1278" t="s">
        <v>48</v>
      </c>
      <c r="AB1278" t="s">
        <v>48</v>
      </c>
      <c r="AC1278" t="s">
        <v>49</v>
      </c>
      <c r="AD1278" t="s">
        <v>951</v>
      </c>
      <c r="AE1278" t="s">
        <v>11051</v>
      </c>
      <c r="AF1278" t="s">
        <v>48</v>
      </c>
      <c r="AG1278" t="s">
        <v>48</v>
      </c>
      <c r="AH1278" t="s">
        <v>48</v>
      </c>
      <c r="AI1278" t="s">
        <v>48</v>
      </c>
      <c r="AJ1278" t="s">
        <v>48</v>
      </c>
      <c r="AK1278" t="s">
        <v>48</v>
      </c>
      <c r="AL1278" t="s">
        <v>48</v>
      </c>
      <c r="AM1278" t="s">
        <v>48</v>
      </c>
      <c r="AN1278" t="s">
        <v>48</v>
      </c>
      <c r="AO1278" t="s">
        <v>48</v>
      </c>
      <c r="AP1278" s="46">
        <v>0</v>
      </c>
      <c r="AQ1278" s="46">
        <v>0</v>
      </c>
      <c r="AR1278" s="46">
        <v>0</v>
      </c>
      <c r="AS1278" s="46">
        <v>0</v>
      </c>
      <c r="AT1278" s="46">
        <v>0</v>
      </c>
      <c r="AU1278" s="46">
        <v>0</v>
      </c>
      <c r="AV1278" s="46">
        <v>0</v>
      </c>
      <c r="AW1278" s="46">
        <v>0</v>
      </c>
      <c r="AX1278" s="46">
        <v>0</v>
      </c>
      <c r="AY1278" s="46">
        <v>0</v>
      </c>
      <c r="AZ1278" s="46">
        <v>0</v>
      </c>
      <c r="BA1278" s="46">
        <v>0</v>
      </c>
      <c r="BB1278" s="46">
        <v>0</v>
      </c>
      <c r="BC1278" s="46">
        <v>0</v>
      </c>
      <c r="BD1278" s="46">
        <v>0</v>
      </c>
      <c r="BE1278" s="46">
        <v>0</v>
      </c>
      <c r="BF1278" s="46">
        <v>0</v>
      </c>
      <c r="BG1278" s="46" t="s">
        <v>48</v>
      </c>
      <c r="BH1278" s="46">
        <v>0</v>
      </c>
      <c r="BI1278" s="46">
        <v>0</v>
      </c>
      <c r="BJ1278" s="46">
        <v>0</v>
      </c>
      <c r="BK1278" s="46">
        <v>0</v>
      </c>
      <c r="BL1278" s="46">
        <v>0</v>
      </c>
      <c r="BM1278" s="46">
        <v>0</v>
      </c>
      <c r="BN1278" s="46">
        <v>0</v>
      </c>
    </row>
    <row r="1279" spans="1:66" x14ac:dyDescent="0.35">
      <c r="A1279" t="s">
        <v>860</v>
      </c>
      <c r="B1279" s="44" t="s">
        <v>48</v>
      </c>
      <c r="C1279" t="s">
        <v>861</v>
      </c>
      <c r="D1279" t="s">
        <v>268</v>
      </c>
      <c r="E1279" t="s">
        <v>7998</v>
      </c>
      <c r="F1279" t="s">
        <v>880</v>
      </c>
      <c r="G1279" t="s">
        <v>74</v>
      </c>
      <c r="H1279">
        <v>0</v>
      </c>
      <c r="I1279" s="61">
        <v>44729</v>
      </c>
      <c r="J1279" s="33" t="s">
        <v>45</v>
      </c>
      <c r="K1279" s="46">
        <v>0</v>
      </c>
      <c r="L1279">
        <v>6.5</v>
      </c>
      <c r="M1279" s="41" t="s">
        <v>48</v>
      </c>
      <c r="N1279" s="46">
        <v>0</v>
      </c>
      <c r="O1279" s="46">
        <v>0</v>
      </c>
      <c r="P1279" s="46">
        <v>0</v>
      </c>
      <c r="Q1279" s="41" t="s">
        <v>48</v>
      </c>
      <c r="R1279" s="41" t="s">
        <v>48</v>
      </c>
      <c r="S1279" t="s">
        <v>10009</v>
      </c>
      <c r="T1279" t="s">
        <v>48</v>
      </c>
      <c r="U1279" t="s">
        <v>10009</v>
      </c>
      <c r="V1279" s="47">
        <v>0</v>
      </c>
      <c r="W1279" t="s">
        <v>48</v>
      </c>
      <c r="X1279" t="s">
        <v>48</v>
      </c>
      <c r="Y1279" t="s">
        <v>48</v>
      </c>
      <c r="Z1279">
        <v>0</v>
      </c>
      <c r="AA1279" t="s">
        <v>48</v>
      </c>
      <c r="AB1279" t="s">
        <v>48</v>
      </c>
      <c r="AC1279" t="s">
        <v>49</v>
      </c>
      <c r="AD1279" t="s">
        <v>93</v>
      </c>
      <c r="AE1279" t="s">
        <v>4532</v>
      </c>
      <c r="AF1279" t="s">
        <v>48</v>
      </c>
      <c r="AG1279" t="s">
        <v>48</v>
      </c>
      <c r="AH1279" t="s">
        <v>48</v>
      </c>
      <c r="AI1279" t="s">
        <v>48</v>
      </c>
      <c r="AJ1279" t="s">
        <v>48</v>
      </c>
      <c r="AK1279" t="s">
        <v>48</v>
      </c>
      <c r="AL1279" t="s">
        <v>48</v>
      </c>
      <c r="AM1279" t="s">
        <v>48</v>
      </c>
      <c r="AN1279" t="s">
        <v>48</v>
      </c>
      <c r="AO1279" t="s">
        <v>48</v>
      </c>
      <c r="AP1279" s="46">
        <v>0</v>
      </c>
      <c r="AQ1279" s="46">
        <v>0</v>
      </c>
      <c r="AR1279" s="46">
        <v>0</v>
      </c>
      <c r="AS1279" s="46">
        <v>0</v>
      </c>
      <c r="AT1279" s="46">
        <v>0</v>
      </c>
      <c r="AU1279" s="46">
        <v>0</v>
      </c>
      <c r="AV1279" s="46">
        <v>0</v>
      </c>
      <c r="AW1279" s="46">
        <v>0</v>
      </c>
      <c r="AX1279" s="46">
        <v>0</v>
      </c>
      <c r="AY1279" s="46">
        <v>0</v>
      </c>
      <c r="AZ1279" s="46">
        <v>0</v>
      </c>
      <c r="BA1279" s="46">
        <v>0</v>
      </c>
      <c r="BB1279" s="46">
        <v>0</v>
      </c>
      <c r="BC1279" s="46">
        <v>0</v>
      </c>
      <c r="BD1279" s="46">
        <v>0</v>
      </c>
      <c r="BE1279" s="46">
        <v>0</v>
      </c>
      <c r="BF1279" s="46">
        <v>0</v>
      </c>
      <c r="BG1279" s="46" t="s">
        <v>48</v>
      </c>
      <c r="BH1279" s="46">
        <v>0</v>
      </c>
      <c r="BI1279" s="46">
        <v>0</v>
      </c>
      <c r="BJ1279" s="46">
        <v>0</v>
      </c>
      <c r="BK1279" s="46">
        <v>0</v>
      </c>
      <c r="BL1279" s="46">
        <v>0</v>
      </c>
      <c r="BM1279" s="46">
        <v>0</v>
      </c>
      <c r="BN1279" s="46">
        <v>0</v>
      </c>
    </row>
    <row r="1280" spans="1:66" x14ac:dyDescent="0.35">
      <c r="A1280" t="s">
        <v>882</v>
      </c>
      <c r="B1280" s="44" t="s">
        <v>48</v>
      </c>
      <c r="C1280" t="s">
        <v>886</v>
      </c>
      <c r="D1280" t="s">
        <v>885</v>
      </c>
      <c r="E1280" t="s">
        <v>883</v>
      </c>
      <c r="F1280" t="s">
        <v>880</v>
      </c>
      <c r="G1280" t="s">
        <v>47</v>
      </c>
      <c r="H1280">
        <v>0</v>
      </c>
      <c r="I1280" s="60" t="s">
        <v>125</v>
      </c>
      <c r="J1280" s="33" t="s">
        <v>45</v>
      </c>
      <c r="K1280" s="46">
        <v>0</v>
      </c>
      <c r="L1280">
        <v>16.8</v>
      </c>
      <c r="M1280" t="s">
        <v>48</v>
      </c>
      <c r="N1280" s="46">
        <v>0</v>
      </c>
      <c r="O1280" s="46">
        <v>0</v>
      </c>
      <c r="P1280" s="46">
        <v>0</v>
      </c>
      <c r="Q1280" t="s">
        <v>48</v>
      </c>
      <c r="R1280" t="s">
        <v>48</v>
      </c>
      <c r="S1280" t="s">
        <v>884</v>
      </c>
      <c r="T1280" t="s">
        <v>48</v>
      </c>
      <c r="U1280" t="s">
        <v>884</v>
      </c>
      <c r="V1280" s="47">
        <v>0</v>
      </c>
      <c r="W1280" t="s">
        <v>48</v>
      </c>
      <c r="X1280" t="s">
        <v>48</v>
      </c>
      <c r="Y1280" t="s">
        <v>48</v>
      </c>
      <c r="Z1280">
        <v>0</v>
      </c>
      <c r="AA1280" t="s">
        <v>48</v>
      </c>
      <c r="AB1280" t="s">
        <v>48</v>
      </c>
      <c r="AC1280" t="s">
        <v>49</v>
      </c>
      <c r="AD1280" t="s">
        <v>93</v>
      </c>
      <c r="AE1280" t="s">
        <v>4532</v>
      </c>
      <c r="AF1280" t="s">
        <v>48</v>
      </c>
      <c r="AG1280" t="s">
        <v>48</v>
      </c>
      <c r="AH1280" t="s">
        <v>48</v>
      </c>
      <c r="AI1280" t="s">
        <v>48</v>
      </c>
      <c r="AJ1280" t="s">
        <v>48</v>
      </c>
      <c r="AK1280" t="s">
        <v>48</v>
      </c>
      <c r="AL1280" t="s">
        <v>48</v>
      </c>
      <c r="AM1280" t="s">
        <v>48</v>
      </c>
      <c r="AN1280" t="s">
        <v>48</v>
      </c>
      <c r="AO1280" t="s">
        <v>48</v>
      </c>
      <c r="AP1280" s="46">
        <v>0</v>
      </c>
      <c r="AQ1280" s="46">
        <v>0</v>
      </c>
      <c r="AR1280" s="46">
        <v>0</v>
      </c>
      <c r="AS1280" s="46">
        <v>0</v>
      </c>
      <c r="AT1280" s="46">
        <v>0</v>
      </c>
      <c r="AU1280" s="46">
        <v>0</v>
      </c>
      <c r="AV1280" s="46">
        <v>0</v>
      </c>
      <c r="AW1280" s="46">
        <v>0</v>
      </c>
      <c r="AX1280" s="46">
        <v>0</v>
      </c>
      <c r="AY1280" s="46">
        <v>0</v>
      </c>
      <c r="AZ1280" s="46">
        <v>0</v>
      </c>
      <c r="BA1280" s="46">
        <v>0</v>
      </c>
      <c r="BB1280" s="46">
        <v>0</v>
      </c>
      <c r="BC1280" s="46">
        <v>0</v>
      </c>
      <c r="BD1280" s="46">
        <v>0</v>
      </c>
      <c r="BE1280" s="46">
        <v>0</v>
      </c>
      <c r="BF1280" s="46">
        <v>0</v>
      </c>
      <c r="BG1280" s="46" t="s">
        <v>48</v>
      </c>
      <c r="BH1280" s="46">
        <v>0</v>
      </c>
      <c r="BI1280" s="46">
        <v>0</v>
      </c>
      <c r="BJ1280" s="46">
        <v>0</v>
      </c>
      <c r="BK1280" s="46">
        <v>0</v>
      </c>
      <c r="BL1280" s="46">
        <v>0</v>
      </c>
      <c r="BM1280" s="46">
        <v>0</v>
      </c>
      <c r="BN1280" s="46">
        <v>0</v>
      </c>
    </row>
    <row r="1281" spans="1:66" x14ac:dyDescent="0.35">
      <c r="A1281" t="s">
        <v>7999</v>
      </c>
      <c r="B1281" s="44" t="s">
        <v>48</v>
      </c>
      <c r="C1281" t="s">
        <v>11621</v>
      </c>
      <c r="D1281" t="s">
        <v>259</v>
      </c>
      <c r="E1281" t="s">
        <v>8000</v>
      </c>
      <c r="F1281" t="s">
        <v>892</v>
      </c>
      <c r="G1281" t="s">
        <v>74</v>
      </c>
      <c r="H1281">
        <v>0</v>
      </c>
      <c r="I1281" s="61">
        <v>44729</v>
      </c>
      <c r="J1281" s="33" t="s">
        <v>45</v>
      </c>
      <c r="K1281" s="46">
        <v>0</v>
      </c>
      <c r="L1281">
        <v>5</v>
      </c>
      <c r="M1281" t="s">
        <v>48</v>
      </c>
      <c r="N1281" s="46">
        <v>0</v>
      </c>
      <c r="O1281" s="46">
        <v>0</v>
      </c>
      <c r="P1281" s="46">
        <v>0</v>
      </c>
      <c r="Q1281" t="s">
        <v>48</v>
      </c>
      <c r="R1281" t="s">
        <v>48</v>
      </c>
      <c r="S1281" t="s">
        <v>48</v>
      </c>
      <c r="T1281" t="s">
        <v>48</v>
      </c>
      <c r="U1281" t="s">
        <v>48</v>
      </c>
      <c r="V1281" s="47">
        <v>1</v>
      </c>
      <c r="W1281" t="s">
        <v>48</v>
      </c>
      <c r="X1281" t="s">
        <v>48</v>
      </c>
      <c r="Y1281" t="s">
        <v>48</v>
      </c>
      <c r="Z1281" t="s">
        <v>48</v>
      </c>
      <c r="AA1281" t="s">
        <v>48</v>
      </c>
      <c r="AB1281" t="s">
        <v>48</v>
      </c>
      <c r="AC1281" t="s">
        <v>49</v>
      </c>
      <c r="AD1281" t="s">
        <v>93</v>
      </c>
      <c r="AE1281" t="s">
        <v>4532</v>
      </c>
      <c r="AF1281" t="s">
        <v>48</v>
      </c>
      <c r="AG1281" t="s">
        <v>48</v>
      </c>
      <c r="AH1281" t="s">
        <v>48</v>
      </c>
      <c r="AI1281" t="s">
        <v>48</v>
      </c>
      <c r="AJ1281" t="s">
        <v>48</v>
      </c>
      <c r="AK1281" t="s">
        <v>48</v>
      </c>
      <c r="AL1281" t="s">
        <v>48</v>
      </c>
      <c r="AM1281" t="s">
        <v>48</v>
      </c>
      <c r="AN1281" t="s">
        <v>48</v>
      </c>
      <c r="AO1281" t="s">
        <v>48</v>
      </c>
      <c r="AP1281" s="46">
        <v>0</v>
      </c>
      <c r="AQ1281" s="46">
        <v>0</v>
      </c>
      <c r="AR1281" s="46">
        <v>0</v>
      </c>
      <c r="AS1281" s="46">
        <v>0</v>
      </c>
      <c r="AT1281" s="46">
        <v>0</v>
      </c>
      <c r="AU1281" s="46">
        <v>0</v>
      </c>
      <c r="AV1281" s="46">
        <v>0</v>
      </c>
      <c r="AW1281" s="46">
        <v>0</v>
      </c>
      <c r="AX1281" s="46">
        <v>0</v>
      </c>
      <c r="AY1281" s="46">
        <v>0</v>
      </c>
      <c r="AZ1281" s="46">
        <v>0</v>
      </c>
      <c r="BA1281" s="46">
        <v>0</v>
      </c>
      <c r="BB1281" s="46">
        <v>0</v>
      </c>
      <c r="BC1281" s="46">
        <v>0</v>
      </c>
      <c r="BD1281" s="46">
        <v>0</v>
      </c>
      <c r="BE1281" s="46">
        <v>0</v>
      </c>
      <c r="BF1281" s="46">
        <v>0</v>
      </c>
      <c r="BG1281" s="46" t="s">
        <v>48</v>
      </c>
      <c r="BH1281" s="46">
        <v>0</v>
      </c>
      <c r="BI1281" s="46">
        <v>0</v>
      </c>
      <c r="BJ1281" s="46">
        <v>0</v>
      </c>
      <c r="BK1281" s="46">
        <v>0</v>
      </c>
      <c r="BL1281" s="46">
        <v>0</v>
      </c>
      <c r="BM1281" s="46">
        <v>0</v>
      </c>
      <c r="BN1281" s="46">
        <v>0</v>
      </c>
    </row>
    <row r="1282" spans="1:66" x14ac:dyDescent="0.35">
      <c r="A1282" t="s">
        <v>8124</v>
      </c>
      <c r="B1282" s="44" t="s">
        <v>48</v>
      </c>
      <c r="C1282" t="s">
        <v>11624</v>
      </c>
      <c r="D1282" t="s">
        <v>331</v>
      </c>
      <c r="E1282" s="71" t="s">
        <v>11585</v>
      </c>
      <c r="F1282" t="s">
        <v>892</v>
      </c>
      <c r="G1282" t="s">
        <v>83</v>
      </c>
      <c r="H1282">
        <v>0</v>
      </c>
      <c r="I1282" s="61">
        <v>44729</v>
      </c>
      <c r="J1282" s="33" t="s">
        <v>45</v>
      </c>
      <c r="K1282" s="46">
        <v>0</v>
      </c>
      <c r="L1282">
        <v>1.3</v>
      </c>
      <c r="M1282" t="s">
        <v>48</v>
      </c>
      <c r="N1282" s="46">
        <v>0</v>
      </c>
      <c r="O1282" s="46">
        <v>0</v>
      </c>
      <c r="P1282" s="46">
        <v>0</v>
      </c>
      <c r="Q1282" t="s">
        <v>48</v>
      </c>
      <c r="R1282" t="s">
        <v>48</v>
      </c>
      <c r="S1282" t="s">
        <v>10011</v>
      </c>
      <c r="T1282" t="s">
        <v>48</v>
      </c>
      <c r="U1282" t="s">
        <v>10011</v>
      </c>
      <c r="V1282" s="47">
        <v>1</v>
      </c>
      <c r="W1282" t="s">
        <v>48</v>
      </c>
      <c r="X1282" t="s">
        <v>48</v>
      </c>
      <c r="Y1282" t="s">
        <v>48</v>
      </c>
      <c r="Z1282" t="s">
        <v>48</v>
      </c>
      <c r="AA1282" t="s">
        <v>11586</v>
      </c>
      <c r="AB1282" t="s">
        <v>48</v>
      </c>
      <c r="AC1282" t="s">
        <v>49</v>
      </c>
      <c r="AD1282" t="s">
        <v>93</v>
      </c>
      <c r="AE1282" t="s">
        <v>4532</v>
      </c>
      <c r="AF1282" t="s">
        <v>48</v>
      </c>
      <c r="AG1282" t="s">
        <v>48</v>
      </c>
      <c r="AH1282" t="s">
        <v>48</v>
      </c>
      <c r="AI1282" t="s">
        <v>48</v>
      </c>
      <c r="AJ1282" t="s">
        <v>48</v>
      </c>
      <c r="AK1282" t="s">
        <v>48</v>
      </c>
      <c r="AL1282" t="s">
        <v>48</v>
      </c>
      <c r="AM1282" t="s">
        <v>48</v>
      </c>
      <c r="AN1282" t="s">
        <v>48</v>
      </c>
      <c r="AO1282" t="s">
        <v>48</v>
      </c>
      <c r="AP1282" s="46">
        <v>0</v>
      </c>
      <c r="AQ1282" s="46">
        <v>0</v>
      </c>
      <c r="AR1282" s="46">
        <v>0</v>
      </c>
      <c r="AS1282" s="46">
        <v>0</v>
      </c>
      <c r="AT1282" s="46">
        <v>0</v>
      </c>
      <c r="AU1282" s="46">
        <v>0</v>
      </c>
      <c r="AV1282" s="46">
        <v>0</v>
      </c>
      <c r="AW1282" s="46">
        <v>0</v>
      </c>
      <c r="AX1282" s="46">
        <v>0</v>
      </c>
      <c r="AY1282" s="46">
        <v>0</v>
      </c>
      <c r="AZ1282" s="46">
        <v>0</v>
      </c>
      <c r="BA1282" s="46">
        <v>0</v>
      </c>
      <c r="BB1282" s="46">
        <v>0</v>
      </c>
      <c r="BC1282" s="46">
        <v>0</v>
      </c>
      <c r="BD1282" s="46">
        <v>0</v>
      </c>
      <c r="BE1282" s="46">
        <v>0</v>
      </c>
      <c r="BF1282" s="46">
        <v>0</v>
      </c>
      <c r="BG1282" s="46" t="s">
        <v>48</v>
      </c>
      <c r="BH1282" s="46">
        <v>0</v>
      </c>
      <c r="BI1282" s="46">
        <v>0</v>
      </c>
      <c r="BJ1282" s="46">
        <v>0</v>
      </c>
      <c r="BK1282" s="46">
        <v>0</v>
      </c>
      <c r="BL1282" s="46">
        <v>0</v>
      </c>
      <c r="BM1282" s="46">
        <v>0</v>
      </c>
      <c r="BN1282" s="46">
        <v>0</v>
      </c>
    </row>
    <row r="1283" spans="1:66" x14ac:dyDescent="0.35">
      <c r="A1283" t="s">
        <v>8166</v>
      </c>
      <c r="B1283" s="44" t="s">
        <v>48</v>
      </c>
      <c r="C1283" t="s">
        <v>886</v>
      </c>
      <c r="D1283" t="s">
        <v>11623</v>
      </c>
      <c r="E1283" t="s">
        <v>8167</v>
      </c>
      <c r="F1283" t="s">
        <v>892</v>
      </c>
      <c r="G1283" t="s">
        <v>47</v>
      </c>
      <c r="H1283">
        <v>0</v>
      </c>
      <c r="I1283" s="61">
        <v>44729</v>
      </c>
      <c r="J1283" s="33" t="s">
        <v>45</v>
      </c>
      <c r="K1283" s="46">
        <v>0</v>
      </c>
      <c r="L1283">
        <v>1.3</v>
      </c>
      <c r="M1283" t="s">
        <v>48</v>
      </c>
      <c r="N1283" s="46">
        <v>0</v>
      </c>
      <c r="O1283" s="46">
        <v>0</v>
      </c>
      <c r="P1283" s="46">
        <v>0</v>
      </c>
      <c r="Q1283" t="s">
        <v>48</v>
      </c>
      <c r="R1283" t="s">
        <v>48</v>
      </c>
      <c r="S1283" t="s">
        <v>48</v>
      </c>
      <c r="T1283" t="s">
        <v>48</v>
      </c>
      <c r="U1283" t="s">
        <v>48</v>
      </c>
      <c r="V1283" s="47">
        <v>1</v>
      </c>
      <c r="W1283" t="s">
        <v>48</v>
      </c>
      <c r="X1283" t="s">
        <v>48</v>
      </c>
      <c r="Y1283" t="s">
        <v>48</v>
      </c>
      <c r="Z1283" t="s">
        <v>48</v>
      </c>
      <c r="AA1283" t="s">
        <v>48</v>
      </c>
      <c r="AB1283" t="s">
        <v>48</v>
      </c>
      <c r="AC1283" t="s">
        <v>49</v>
      </c>
      <c r="AD1283" t="s">
        <v>48</v>
      </c>
      <c r="AE1283" t="s">
        <v>48</v>
      </c>
      <c r="AF1283" t="s">
        <v>48</v>
      </c>
      <c r="AG1283" t="s">
        <v>48</v>
      </c>
      <c r="AH1283" t="s">
        <v>48</v>
      </c>
      <c r="AI1283" t="s">
        <v>48</v>
      </c>
      <c r="AJ1283" t="s">
        <v>48</v>
      </c>
      <c r="AK1283" t="s">
        <v>48</v>
      </c>
      <c r="AL1283" t="s">
        <v>48</v>
      </c>
      <c r="AM1283" t="s">
        <v>48</v>
      </c>
      <c r="AN1283" t="s">
        <v>48</v>
      </c>
      <c r="AO1283" t="s">
        <v>48</v>
      </c>
      <c r="AP1283" s="46">
        <v>0</v>
      </c>
      <c r="AQ1283" s="46">
        <v>0</v>
      </c>
      <c r="AR1283" s="46">
        <v>0</v>
      </c>
      <c r="AS1283" s="46">
        <v>0</v>
      </c>
      <c r="AT1283" s="46">
        <v>0</v>
      </c>
      <c r="AU1283" s="46">
        <v>0</v>
      </c>
      <c r="AV1283" s="46">
        <v>0</v>
      </c>
      <c r="AW1283" s="46">
        <v>0</v>
      </c>
      <c r="AX1283" s="46">
        <v>0</v>
      </c>
      <c r="AY1283" s="46">
        <v>0</v>
      </c>
      <c r="AZ1283" s="46">
        <v>0</v>
      </c>
      <c r="BA1283" s="46">
        <v>0</v>
      </c>
      <c r="BB1283" s="46">
        <v>0</v>
      </c>
      <c r="BC1283" s="46">
        <v>0</v>
      </c>
      <c r="BD1283" s="46">
        <v>0</v>
      </c>
      <c r="BE1283" s="46">
        <v>0</v>
      </c>
      <c r="BF1283" s="46">
        <v>0</v>
      </c>
      <c r="BG1283" s="46" t="s">
        <v>48</v>
      </c>
      <c r="BH1283" s="46">
        <v>0</v>
      </c>
      <c r="BI1283" s="46">
        <v>0</v>
      </c>
      <c r="BJ1283" s="46">
        <v>0</v>
      </c>
      <c r="BK1283" s="46">
        <v>0</v>
      </c>
      <c r="BL1283" s="46">
        <v>0</v>
      </c>
      <c r="BM1283" s="46">
        <v>0</v>
      </c>
      <c r="BN1283" s="46">
        <v>0</v>
      </c>
    </row>
    <row r="1284" spans="1:66" x14ac:dyDescent="0.35">
      <c r="A1284" t="s">
        <v>8162</v>
      </c>
      <c r="B1284" s="44" t="s">
        <v>48</v>
      </c>
      <c r="C1284" t="s">
        <v>11622</v>
      </c>
      <c r="D1284" t="s">
        <v>885</v>
      </c>
      <c r="E1284" t="s">
        <v>8163</v>
      </c>
      <c r="F1284" t="s">
        <v>892</v>
      </c>
      <c r="G1284" t="s">
        <v>47</v>
      </c>
      <c r="H1284">
        <v>0</v>
      </c>
      <c r="I1284" s="61">
        <v>44729</v>
      </c>
      <c r="J1284" s="33" t="s">
        <v>45</v>
      </c>
      <c r="K1284" s="46">
        <v>0</v>
      </c>
      <c r="L1284">
        <v>9.5</v>
      </c>
      <c r="M1284" t="s">
        <v>48</v>
      </c>
      <c r="N1284" s="46">
        <v>0</v>
      </c>
      <c r="O1284" s="46">
        <v>0</v>
      </c>
      <c r="P1284" s="46">
        <v>0</v>
      </c>
      <c r="Q1284" t="s">
        <v>48</v>
      </c>
      <c r="R1284" t="s">
        <v>48</v>
      </c>
      <c r="S1284" t="s">
        <v>48</v>
      </c>
      <c r="T1284" t="s">
        <v>48</v>
      </c>
      <c r="U1284" t="s">
        <v>48</v>
      </c>
      <c r="V1284" s="47">
        <v>1</v>
      </c>
      <c r="W1284" t="s">
        <v>48</v>
      </c>
      <c r="X1284" t="s">
        <v>48</v>
      </c>
      <c r="Y1284" t="s">
        <v>48</v>
      </c>
      <c r="Z1284" t="s">
        <v>48</v>
      </c>
      <c r="AA1284" t="s">
        <v>48</v>
      </c>
      <c r="AB1284" t="s">
        <v>48</v>
      </c>
      <c r="AC1284" t="s">
        <v>49</v>
      </c>
      <c r="AD1284" t="s">
        <v>93</v>
      </c>
      <c r="AE1284" t="s">
        <v>4532</v>
      </c>
      <c r="AF1284" t="s">
        <v>48</v>
      </c>
      <c r="AG1284" t="s">
        <v>48</v>
      </c>
      <c r="AH1284" t="s">
        <v>48</v>
      </c>
      <c r="AI1284" t="s">
        <v>48</v>
      </c>
      <c r="AJ1284" t="s">
        <v>48</v>
      </c>
      <c r="AK1284" t="s">
        <v>48</v>
      </c>
      <c r="AL1284" t="s">
        <v>48</v>
      </c>
      <c r="AM1284" t="s">
        <v>48</v>
      </c>
      <c r="AN1284" t="s">
        <v>48</v>
      </c>
      <c r="AO1284" t="s">
        <v>48</v>
      </c>
      <c r="AP1284" s="46">
        <v>0</v>
      </c>
      <c r="AQ1284" s="46">
        <v>0</v>
      </c>
      <c r="AR1284" s="46">
        <v>0</v>
      </c>
      <c r="AS1284" s="46">
        <v>0</v>
      </c>
      <c r="AT1284" s="46">
        <v>0</v>
      </c>
      <c r="AU1284" s="46">
        <v>0</v>
      </c>
      <c r="AV1284" s="46">
        <v>0</v>
      </c>
      <c r="AW1284" s="46">
        <v>0</v>
      </c>
      <c r="AX1284" s="46">
        <v>0</v>
      </c>
      <c r="AY1284" s="46">
        <v>0</v>
      </c>
      <c r="AZ1284" s="46">
        <v>0</v>
      </c>
      <c r="BA1284" s="46">
        <v>0</v>
      </c>
      <c r="BB1284" s="46">
        <v>0</v>
      </c>
      <c r="BC1284" s="46">
        <v>0</v>
      </c>
      <c r="BD1284" s="46">
        <v>0</v>
      </c>
      <c r="BE1284" s="46">
        <v>0</v>
      </c>
      <c r="BF1284" s="46">
        <v>0</v>
      </c>
      <c r="BG1284" s="46" t="s">
        <v>48</v>
      </c>
      <c r="BH1284" s="46">
        <v>0</v>
      </c>
      <c r="BI1284" s="46">
        <v>0</v>
      </c>
      <c r="BJ1284" s="46">
        <v>0</v>
      </c>
      <c r="BK1284" s="46">
        <v>0</v>
      </c>
      <c r="BL1284" s="46">
        <v>0</v>
      </c>
      <c r="BM1284" s="46">
        <v>0</v>
      </c>
      <c r="BN1284" s="46">
        <v>0</v>
      </c>
    </row>
    <row r="1285" spans="1:66" x14ac:dyDescent="0.35">
      <c r="A1285" t="s">
        <v>905</v>
      </c>
      <c r="B1285" s="44" t="s">
        <v>48</v>
      </c>
      <c r="C1285" t="s">
        <v>907</v>
      </c>
      <c r="D1285" t="s">
        <v>268</v>
      </c>
      <c r="E1285" t="s">
        <v>906</v>
      </c>
      <c r="F1285" t="s">
        <v>901</v>
      </c>
      <c r="G1285" t="s">
        <v>47</v>
      </c>
      <c r="H1285">
        <v>0</v>
      </c>
      <c r="I1285" s="60" t="s">
        <v>125</v>
      </c>
      <c r="J1285" s="33" t="s">
        <v>45</v>
      </c>
      <c r="K1285" s="46">
        <v>0</v>
      </c>
      <c r="L1285">
        <v>3.1</v>
      </c>
      <c r="M1285" t="s">
        <v>48</v>
      </c>
      <c r="N1285" s="46">
        <v>0</v>
      </c>
      <c r="O1285" s="46">
        <v>0</v>
      </c>
      <c r="P1285" s="46">
        <v>0</v>
      </c>
      <c r="Q1285" t="s">
        <v>48</v>
      </c>
      <c r="R1285" t="s">
        <v>48</v>
      </c>
      <c r="S1285" t="s">
        <v>48</v>
      </c>
      <c r="T1285" t="s">
        <v>48</v>
      </c>
      <c r="U1285" t="s">
        <v>48</v>
      </c>
      <c r="V1285" s="47">
        <v>0</v>
      </c>
      <c r="W1285" t="s">
        <v>48</v>
      </c>
      <c r="X1285" t="s">
        <v>48</v>
      </c>
      <c r="Y1285" t="s">
        <v>48</v>
      </c>
      <c r="Z1285">
        <v>0</v>
      </c>
      <c r="AA1285" t="s">
        <v>48</v>
      </c>
      <c r="AB1285" t="s">
        <v>48</v>
      </c>
      <c r="AC1285" t="s">
        <v>49</v>
      </c>
      <c r="AD1285" t="s">
        <v>93</v>
      </c>
      <c r="AE1285" t="s">
        <v>4532</v>
      </c>
      <c r="AF1285" t="s">
        <v>48</v>
      </c>
      <c r="AG1285" t="s">
        <v>48</v>
      </c>
      <c r="AH1285" t="s">
        <v>48</v>
      </c>
      <c r="AI1285" t="s">
        <v>48</v>
      </c>
      <c r="AJ1285" t="s">
        <v>48</v>
      </c>
      <c r="AK1285" t="s">
        <v>48</v>
      </c>
      <c r="AL1285" t="s">
        <v>48</v>
      </c>
      <c r="AM1285" t="s">
        <v>48</v>
      </c>
      <c r="AN1285" t="s">
        <v>48</v>
      </c>
      <c r="AO1285" t="s">
        <v>48</v>
      </c>
      <c r="AP1285" s="46">
        <v>0</v>
      </c>
      <c r="AQ1285" s="46">
        <v>0</v>
      </c>
      <c r="AR1285" s="46">
        <v>0</v>
      </c>
      <c r="AS1285" s="46">
        <v>0</v>
      </c>
      <c r="AT1285" s="46">
        <v>0</v>
      </c>
      <c r="AU1285" s="46">
        <v>0</v>
      </c>
      <c r="AV1285" s="46">
        <v>0</v>
      </c>
      <c r="AW1285" s="46">
        <v>0</v>
      </c>
      <c r="AX1285" s="46">
        <v>0</v>
      </c>
      <c r="AY1285" s="46">
        <v>0</v>
      </c>
      <c r="AZ1285" s="46">
        <v>0</v>
      </c>
      <c r="BA1285" s="46">
        <v>0</v>
      </c>
      <c r="BB1285" s="46">
        <v>0</v>
      </c>
      <c r="BC1285" s="46">
        <v>0</v>
      </c>
      <c r="BD1285" s="46">
        <v>0</v>
      </c>
      <c r="BE1285" s="46">
        <v>0</v>
      </c>
      <c r="BF1285" s="46">
        <v>0</v>
      </c>
      <c r="BG1285" s="46" t="s">
        <v>48</v>
      </c>
      <c r="BH1285" s="46">
        <v>0</v>
      </c>
      <c r="BI1285" s="46">
        <v>0</v>
      </c>
      <c r="BJ1285" s="46">
        <v>0</v>
      </c>
      <c r="BK1285" s="46">
        <v>0</v>
      </c>
      <c r="BL1285" s="46">
        <v>0</v>
      </c>
      <c r="BM1285" s="46">
        <v>0</v>
      </c>
      <c r="BN1285" s="46">
        <v>0</v>
      </c>
    </row>
    <row r="1286" spans="1:66" x14ac:dyDescent="0.35">
      <c r="A1286" t="s">
        <v>908</v>
      </c>
      <c r="B1286" s="44" t="s">
        <v>48</v>
      </c>
      <c r="C1286" t="s">
        <v>912</v>
      </c>
      <c r="D1286" t="s">
        <v>911</v>
      </c>
      <c r="E1286" t="s">
        <v>909</v>
      </c>
      <c r="F1286" t="s">
        <v>901</v>
      </c>
      <c r="G1286" t="s">
        <v>47</v>
      </c>
      <c r="H1286">
        <v>0</v>
      </c>
      <c r="I1286" s="60" t="s">
        <v>125</v>
      </c>
      <c r="J1286" s="33" t="s">
        <v>45</v>
      </c>
      <c r="K1286" s="46">
        <v>0</v>
      </c>
      <c r="L1286">
        <v>1.5</v>
      </c>
      <c r="M1286" t="s">
        <v>48</v>
      </c>
      <c r="N1286" s="46">
        <v>0</v>
      </c>
      <c r="O1286" s="46">
        <v>0</v>
      </c>
      <c r="P1286" s="46">
        <v>0</v>
      </c>
      <c r="Q1286" t="s">
        <v>48</v>
      </c>
      <c r="R1286" t="s">
        <v>48</v>
      </c>
      <c r="S1286" t="s">
        <v>910</v>
      </c>
      <c r="T1286" t="s">
        <v>48</v>
      </c>
      <c r="U1286" t="s">
        <v>910</v>
      </c>
      <c r="V1286" s="47">
        <v>0</v>
      </c>
      <c r="W1286" t="s">
        <v>48</v>
      </c>
      <c r="X1286" t="s">
        <v>48</v>
      </c>
      <c r="Y1286" t="s">
        <v>48</v>
      </c>
      <c r="Z1286">
        <v>0</v>
      </c>
      <c r="AA1286" t="s">
        <v>48</v>
      </c>
      <c r="AB1286" t="s">
        <v>48</v>
      </c>
      <c r="AC1286" t="s">
        <v>49</v>
      </c>
      <c r="AD1286" t="s">
        <v>93</v>
      </c>
      <c r="AE1286" t="s">
        <v>4532</v>
      </c>
      <c r="AF1286" t="s">
        <v>48</v>
      </c>
      <c r="AG1286" t="s">
        <v>48</v>
      </c>
      <c r="AH1286" t="s">
        <v>48</v>
      </c>
      <c r="AI1286" t="s">
        <v>48</v>
      </c>
      <c r="AJ1286" t="s">
        <v>48</v>
      </c>
      <c r="AK1286" t="s">
        <v>48</v>
      </c>
      <c r="AL1286" t="s">
        <v>48</v>
      </c>
      <c r="AM1286" t="s">
        <v>48</v>
      </c>
      <c r="AN1286" t="s">
        <v>48</v>
      </c>
      <c r="AO1286" t="s">
        <v>48</v>
      </c>
      <c r="AP1286" s="46">
        <v>0</v>
      </c>
      <c r="AQ1286" s="46">
        <v>0</v>
      </c>
      <c r="AR1286" s="46">
        <v>0</v>
      </c>
      <c r="AS1286" s="46">
        <v>0</v>
      </c>
      <c r="AT1286" s="46">
        <v>0</v>
      </c>
      <c r="AU1286" s="46">
        <v>0</v>
      </c>
      <c r="AV1286" s="46">
        <v>0</v>
      </c>
      <c r="AW1286" s="46">
        <v>0</v>
      </c>
      <c r="AX1286" s="46">
        <v>0</v>
      </c>
      <c r="AY1286" s="46">
        <v>0</v>
      </c>
      <c r="AZ1286" s="46">
        <v>0</v>
      </c>
      <c r="BA1286" s="46">
        <v>0</v>
      </c>
      <c r="BB1286" s="46">
        <v>0</v>
      </c>
      <c r="BC1286" s="46">
        <v>0</v>
      </c>
      <c r="BD1286" s="46">
        <v>0</v>
      </c>
      <c r="BE1286" s="46">
        <v>0</v>
      </c>
      <c r="BF1286" s="46">
        <v>0</v>
      </c>
      <c r="BG1286" s="46" t="s">
        <v>48</v>
      </c>
      <c r="BH1286" s="46">
        <v>0</v>
      </c>
      <c r="BI1286" s="46">
        <v>0</v>
      </c>
      <c r="BJ1286" s="46">
        <v>0</v>
      </c>
      <c r="BK1286" s="46">
        <v>0</v>
      </c>
      <c r="BL1286" s="46">
        <v>0</v>
      </c>
      <c r="BM1286" s="46">
        <v>0</v>
      </c>
      <c r="BN1286" s="46">
        <v>0</v>
      </c>
    </row>
    <row r="1287" spans="1:66" x14ac:dyDescent="0.35">
      <c r="A1287" t="s">
        <v>1142</v>
      </c>
      <c r="B1287" s="44" t="s">
        <v>48</v>
      </c>
      <c r="C1287" t="s">
        <v>1144</v>
      </c>
      <c r="D1287" t="s">
        <v>1070</v>
      </c>
      <c r="E1287" t="s">
        <v>8169</v>
      </c>
      <c r="F1287" t="s">
        <v>901</v>
      </c>
      <c r="G1287" t="s">
        <v>47</v>
      </c>
      <c r="H1287">
        <v>0</v>
      </c>
      <c r="I1287" s="61">
        <v>44729</v>
      </c>
      <c r="J1287" s="33" t="s">
        <v>45</v>
      </c>
      <c r="K1287" s="46">
        <v>0</v>
      </c>
      <c r="L1287">
        <v>13.1</v>
      </c>
      <c r="M1287" s="41" t="s">
        <v>48</v>
      </c>
      <c r="N1287" s="46">
        <v>0</v>
      </c>
      <c r="O1287" s="46">
        <v>0</v>
      </c>
      <c r="P1287" s="46">
        <v>0</v>
      </c>
      <c r="Q1287" s="41" t="s">
        <v>48</v>
      </c>
      <c r="R1287" s="41" t="s">
        <v>48</v>
      </c>
      <c r="S1287" t="s">
        <v>1143</v>
      </c>
      <c r="T1287" t="s">
        <v>48</v>
      </c>
      <c r="U1287" t="s">
        <v>1143</v>
      </c>
      <c r="V1287" s="47">
        <v>0</v>
      </c>
      <c r="W1287" t="s">
        <v>48</v>
      </c>
      <c r="X1287" t="s">
        <v>48</v>
      </c>
      <c r="Y1287" t="s">
        <v>48</v>
      </c>
      <c r="Z1287">
        <v>0</v>
      </c>
      <c r="AA1287" t="s">
        <v>48</v>
      </c>
      <c r="AB1287" t="s">
        <v>48</v>
      </c>
      <c r="AC1287" t="s">
        <v>49</v>
      </c>
      <c r="AD1287" t="s">
        <v>93</v>
      </c>
      <c r="AE1287" t="s">
        <v>4532</v>
      </c>
      <c r="AF1287" t="s">
        <v>48</v>
      </c>
      <c r="AG1287" t="s">
        <v>48</v>
      </c>
      <c r="AH1287" t="s">
        <v>48</v>
      </c>
      <c r="AI1287" t="s">
        <v>48</v>
      </c>
      <c r="AJ1287" t="s">
        <v>48</v>
      </c>
      <c r="AK1287" t="s">
        <v>48</v>
      </c>
      <c r="AL1287" t="s">
        <v>48</v>
      </c>
      <c r="AM1287" t="s">
        <v>48</v>
      </c>
      <c r="AN1287" t="s">
        <v>48</v>
      </c>
      <c r="AO1287" t="s">
        <v>48</v>
      </c>
      <c r="AP1287" s="46">
        <v>0</v>
      </c>
      <c r="AQ1287" s="46">
        <v>0</v>
      </c>
      <c r="AR1287" s="46">
        <v>0</v>
      </c>
      <c r="AS1287" s="46">
        <v>0</v>
      </c>
      <c r="AT1287" s="46">
        <v>0</v>
      </c>
      <c r="AU1287" s="46">
        <v>0</v>
      </c>
      <c r="AV1287" s="46">
        <v>0</v>
      </c>
      <c r="AW1287" s="46">
        <v>0</v>
      </c>
      <c r="AX1287" s="46">
        <v>0</v>
      </c>
      <c r="AY1287" s="46">
        <v>0</v>
      </c>
      <c r="AZ1287" s="46">
        <v>0</v>
      </c>
      <c r="BA1287" s="46">
        <v>0</v>
      </c>
      <c r="BB1287" s="46">
        <v>0</v>
      </c>
      <c r="BC1287" s="46">
        <v>0</v>
      </c>
      <c r="BD1287" s="46">
        <v>0</v>
      </c>
      <c r="BE1287" s="46">
        <v>0</v>
      </c>
      <c r="BF1287" s="46">
        <v>0</v>
      </c>
      <c r="BG1287" s="46" t="s">
        <v>48</v>
      </c>
      <c r="BH1287" s="46">
        <v>0</v>
      </c>
      <c r="BI1287" s="46">
        <v>0</v>
      </c>
      <c r="BJ1287" s="46">
        <v>0</v>
      </c>
      <c r="BK1287" s="46">
        <v>0</v>
      </c>
      <c r="BL1287" s="46">
        <v>0</v>
      </c>
      <c r="BM1287" s="46">
        <v>0</v>
      </c>
      <c r="BN1287" s="46">
        <v>0</v>
      </c>
    </row>
    <row r="1288" spans="1:66" x14ac:dyDescent="0.35">
      <c r="A1288" t="s">
        <v>8125</v>
      </c>
      <c r="B1288" s="44" t="s">
        <v>48</v>
      </c>
      <c r="C1288" t="s">
        <v>11625</v>
      </c>
      <c r="D1288" t="s">
        <v>571</v>
      </c>
      <c r="E1288" t="s">
        <v>8126</v>
      </c>
      <c r="F1288" t="s">
        <v>901</v>
      </c>
      <c r="G1288" t="s">
        <v>83</v>
      </c>
      <c r="H1288">
        <v>0</v>
      </c>
      <c r="I1288" s="61">
        <v>44729</v>
      </c>
      <c r="J1288" s="33" t="s">
        <v>45</v>
      </c>
      <c r="K1288" s="46">
        <v>0</v>
      </c>
      <c r="L1288">
        <v>3.2</v>
      </c>
      <c r="M1288" t="s">
        <v>48</v>
      </c>
      <c r="N1288" s="46">
        <v>0</v>
      </c>
      <c r="O1288" s="46">
        <v>0</v>
      </c>
      <c r="P1288" s="46">
        <v>0</v>
      </c>
      <c r="Q1288" t="s">
        <v>48</v>
      </c>
      <c r="R1288" t="s">
        <v>48</v>
      </c>
      <c r="S1288" t="s">
        <v>10012</v>
      </c>
      <c r="T1288" t="s">
        <v>48</v>
      </c>
      <c r="U1288" t="s">
        <v>10012</v>
      </c>
      <c r="V1288" s="47">
        <v>1</v>
      </c>
      <c r="W1288" t="s">
        <v>48</v>
      </c>
      <c r="X1288" t="s">
        <v>48</v>
      </c>
      <c r="Y1288" t="s">
        <v>48</v>
      </c>
      <c r="Z1288" t="s">
        <v>48</v>
      </c>
      <c r="AA1288" t="s">
        <v>48</v>
      </c>
      <c r="AB1288" t="s">
        <v>48</v>
      </c>
      <c r="AC1288" t="s">
        <v>49</v>
      </c>
      <c r="AD1288" t="s">
        <v>93</v>
      </c>
      <c r="AE1288" t="s">
        <v>4532</v>
      </c>
      <c r="AF1288" t="s">
        <v>48</v>
      </c>
      <c r="AG1288" t="s">
        <v>48</v>
      </c>
      <c r="AH1288" t="s">
        <v>48</v>
      </c>
      <c r="AI1288" t="s">
        <v>48</v>
      </c>
      <c r="AJ1288" t="s">
        <v>48</v>
      </c>
      <c r="AK1288" t="s">
        <v>48</v>
      </c>
      <c r="AL1288" t="s">
        <v>48</v>
      </c>
      <c r="AM1288" t="s">
        <v>48</v>
      </c>
      <c r="AN1288" t="s">
        <v>48</v>
      </c>
      <c r="AO1288" t="s">
        <v>48</v>
      </c>
      <c r="AP1288" s="46">
        <v>0</v>
      </c>
      <c r="AQ1288" s="46">
        <v>0</v>
      </c>
      <c r="AR1288" s="46">
        <v>0</v>
      </c>
      <c r="AS1288" s="46">
        <v>0</v>
      </c>
      <c r="AT1288" s="46">
        <v>0</v>
      </c>
      <c r="AU1288" s="46">
        <v>0</v>
      </c>
      <c r="AV1288" s="46">
        <v>0</v>
      </c>
      <c r="AW1288" s="46">
        <v>0</v>
      </c>
      <c r="AX1288" s="46">
        <v>0</v>
      </c>
      <c r="AY1288" s="46">
        <v>0</v>
      </c>
      <c r="AZ1288" s="46">
        <v>0</v>
      </c>
      <c r="BA1288" s="46">
        <v>0</v>
      </c>
      <c r="BB1288" s="46">
        <v>0</v>
      </c>
      <c r="BC1288" s="46">
        <v>0</v>
      </c>
      <c r="BD1288" s="46">
        <v>0</v>
      </c>
      <c r="BE1288" s="46">
        <v>0</v>
      </c>
      <c r="BF1288" s="46">
        <v>0</v>
      </c>
      <c r="BG1288" s="46" t="s">
        <v>48</v>
      </c>
      <c r="BH1288" s="46">
        <v>0</v>
      </c>
      <c r="BI1288" s="46">
        <v>0</v>
      </c>
      <c r="BJ1288" s="46">
        <v>0</v>
      </c>
      <c r="BK1288" s="46">
        <v>0</v>
      </c>
      <c r="BL1288" s="46">
        <v>0</v>
      </c>
      <c r="BM1288" s="46">
        <v>0</v>
      </c>
      <c r="BN1288" s="46">
        <v>0</v>
      </c>
    </row>
    <row r="1289" spans="1:66" x14ac:dyDescent="0.35">
      <c r="A1289" t="s">
        <v>933</v>
      </c>
      <c r="B1289" s="44" t="s">
        <v>48</v>
      </c>
      <c r="C1289" t="s">
        <v>935</v>
      </c>
      <c r="D1289" t="s">
        <v>934</v>
      </c>
      <c r="E1289" t="s">
        <v>8174</v>
      </c>
      <c r="F1289" t="s">
        <v>917</v>
      </c>
      <c r="G1289" t="s">
        <v>47</v>
      </c>
      <c r="H1289">
        <v>0</v>
      </c>
      <c r="I1289" s="61">
        <v>44729</v>
      </c>
      <c r="J1289" s="33" t="s">
        <v>45</v>
      </c>
      <c r="K1289" s="46">
        <v>0</v>
      </c>
      <c r="L1289">
        <v>11.8</v>
      </c>
      <c r="M1289" t="s">
        <v>48</v>
      </c>
      <c r="N1289" s="46">
        <v>0</v>
      </c>
      <c r="O1289" s="46">
        <v>0</v>
      </c>
      <c r="P1289" s="46">
        <v>0</v>
      </c>
      <c r="Q1289" t="s">
        <v>48</v>
      </c>
      <c r="R1289" t="s">
        <v>48</v>
      </c>
      <c r="S1289" t="s">
        <v>48</v>
      </c>
      <c r="T1289" t="s">
        <v>48</v>
      </c>
      <c r="U1289" t="s">
        <v>48</v>
      </c>
      <c r="V1289" s="47">
        <v>0</v>
      </c>
      <c r="W1289" t="s">
        <v>48</v>
      </c>
      <c r="X1289" t="s">
        <v>48</v>
      </c>
      <c r="Y1289" t="s">
        <v>48</v>
      </c>
      <c r="Z1289">
        <v>0</v>
      </c>
      <c r="AA1289" t="s">
        <v>48</v>
      </c>
      <c r="AB1289" t="s">
        <v>48</v>
      </c>
      <c r="AC1289" t="s">
        <v>49</v>
      </c>
      <c r="AD1289" t="s">
        <v>93</v>
      </c>
      <c r="AE1289" t="s">
        <v>4532</v>
      </c>
      <c r="AF1289" t="s">
        <v>48</v>
      </c>
      <c r="AG1289" t="s">
        <v>48</v>
      </c>
      <c r="AH1289" t="s">
        <v>48</v>
      </c>
      <c r="AI1289" t="s">
        <v>48</v>
      </c>
      <c r="AJ1289" t="s">
        <v>48</v>
      </c>
      <c r="AK1289" t="s">
        <v>48</v>
      </c>
      <c r="AL1289" t="s">
        <v>48</v>
      </c>
      <c r="AM1289" t="s">
        <v>48</v>
      </c>
      <c r="AN1289" t="s">
        <v>48</v>
      </c>
      <c r="AO1289" t="s">
        <v>48</v>
      </c>
      <c r="AP1289" s="46">
        <v>0</v>
      </c>
      <c r="AQ1289" s="46">
        <v>0</v>
      </c>
      <c r="AR1289" s="46">
        <v>0</v>
      </c>
      <c r="AS1289" s="46">
        <v>0</v>
      </c>
      <c r="AT1289" s="46">
        <v>0</v>
      </c>
      <c r="AU1289" s="46">
        <v>0</v>
      </c>
      <c r="AV1289" s="46">
        <v>0</v>
      </c>
      <c r="AW1289" s="46">
        <v>0</v>
      </c>
      <c r="AX1289" s="46">
        <v>0</v>
      </c>
      <c r="AY1289" s="46">
        <v>0</v>
      </c>
      <c r="AZ1289" s="46">
        <v>0</v>
      </c>
      <c r="BA1289" s="46">
        <v>0</v>
      </c>
      <c r="BB1289" s="46">
        <v>0</v>
      </c>
      <c r="BC1289" s="46">
        <v>0</v>
      </c>
      <c r="BD1289" s="46">
        <v>0</v>
      </c>
      <c r="BE1289" s="46">
        <v>0</v>
      </c>
      <c r="BF1289" s="46">
        <v>0</v>
      </c>
      <c r="BG1289" s="46" t="s">
        <v>48</v>
      </c>
      <c r="BH1289" s="46">
        <v>0</v>
      </c>
      <c r="BI1289" s="46">
        <v>0</v>
      </c>
      <c r="BJ1289" s="46">
        <v>0</v>
      </c>
      <c r="BK1289" s="46">
        <v>0</v>
      </c>
      <c r="BL1289" s="46">
        <v>0</v>
      </c>
      <c r="BM1289" s="46">
        <v>0</v>
      </c>
      <c r="BN1289" s="46">
        <v>0</v>
      </c>
    </row>
    <row r="1290" spans="1:66" x14ac:dyDescent="0.35">
      <c r="A1290" t="s">
        <v>8170</v>
      </c>
      <c r="B1290" s="44" t="s">
        <v>48</v>
      </c>
      <c r="C1290" t="s">
        <v>11626</v>
      </c>
      <c r="D1290" t="s">
        <v>2041</v>
      </c>
      <c r="E1290" t="s">
        <v>8171</v>
      </c>
      <c r="F1290" t="s">
        <v>917</v>
      </c>
      <c r="G1290" t="s">
        <v>47</v>
      </c>
      <c r="H1290">
        <v>0</v>
      </c>
      <c r="I1290" s="61">
        <v>44729</v>
      </c>
      <c r="J1290" s="33" t="s">
        <v>45</v>
      </c>
      <c r="K1290" s="46">
        <v>0</v>
      </c>
      <c r="L1290">
        <v>7.2</v>
      </c>
      <c r="M1290" t="s">
        <v>48</v>
      </c>
      <c r="N1290" s="46">
        <v>0</v>
      </c>
      <c r="O1290" s="46">
        <v>0</v>
      </c>
      <c r="P1290" s="46">
        <v>0</v>
      </c>
      <c r="Q1290" t="s">
        <v>48</v>
      </c>
      <c r="R1290" t="s">
        <v>48</v>
      </c>
      <c r="S1290" t="s">
        <v>48</v>
      </c>
      <c r="T1290" t="s">
        <v>48</v>
      </c>
      <c r="U1290" t="s">
        <v>48</v>
      </c>
      <c r="V1290" s="47">
        <v>1</v>
      </c>
      <c r="W1290" t="s">
        <v>48</v>
      </c>
      <c r="X1290" t="s">
        <v>48</v>
      </c>
      <c r="Y1290" t="s">
        <v>48</v>
      </c>
      <c r="Z1290" t="s">
        <v>48</v>
      </c>
      <c r="AA1290" t="s">
        <v>48</v>
      </c>
      <c r="AB1290" t="s">
        <v>48</v>
      </c>
      <c r="AC1290" t="s">
        <v>63</v>
      </c>
      <c r="AD1290" t="s">
        <v>93</v>
      </c>
      <c r="AE1290" t="s">
        <v>4532</v>
      </c>
      <c r="AF1290" t="s">
        <v>48</v>
      </c>
      <c r="AG1290" t="s">
        <v>48</v>
      </c>
      <c r="AH1290" t="s">
        <v>48</v>
      </c>
      <c r="AI1290" t="s">
        <v>48</v>
      </c>
      <c r="AJ1290" t="s">
        <v>48</v>
      </c>
      <c r="AK1290" t="s">
        <v>48</v>
      </c>
      <c r="AL1290" t="s">
        <v>48</v>
      </c>
      <c r="AM1290" t="s">
        <v>48</v>
      </c>
      <c r="AN1290" t="s">
        <v>48</v>
      </c>
      <c r="AO1290" t="s">
        <v>48</v>
      </c>
      <c r="AP1290" s="46">
        <v>0</v>
      </c>
      <c r="AQ1290" s="46">
        <v>0</v>
      </c>
      <c r="AR1290" s="46">
        <v>0</v>
      </c>
      <c r="AS1290" s="46">
        <v>0</v>
      </c>
      <c r="AT1290" s="46">
        <v>0</v>
      </c>
      <c r="AU1290" s="46">
        <v>0</v>
      </c>
      <c r="AV1290" s="46">
        <v>0</v>
      </c>
      <c r="AW1290" s="46">
        <v>0</v>
      </c>
      <c r="AX1290" s="46">
        <v>0</v>
      </c>
      <c r="AY1290" s="46">
        <v>0</v>
      </c>
      <c r="AZ1290" s="46">
        <v>0</v>
      </c>
      <c r="BA1290" s="46">
        <v>0</v>
      </c>
      <c r="BB1290" s="46">
        <v>0</v>
      </c>
      <c r="BC1290" s="46">
        <v>0</v>
      </c>
      <c r="BD1290" s="46">
        <v>0</v>
      </c>
      <c r="BE1290" s="46">
        <v>0</v>
      </c>
      <c r="BF1290" s="46">
        <v>0</v>
      </c>
      <c r="BG1290" s="46" t="s">
        <v>48</v>
      </c>
      <c r="BH1290" s="46">
        <v>0</v>
      </c>
      <c r="BI1290" s="46">
        <v>0</v>
      </c>
      <c r="BJ1290" s="46">
        <v>0</v>
      </c>
      <c r="BK1290" s="46">
        <v>0</v>
      </c>
      <c r="BL1290" s="46">
        <v>0</v>
      </c>
      <c r="BM1290" s="46">
        <v>0</v>
      </c>
      <c r="BN1290" s="46">
        <v>0</v>
      </c>
    </row>
    <row r="1291" spans="1:66" x14ac:dyDescent="0.35">
      <c r="A1291" t="s">
        <v>916</v>
      </c>
      <c r="B1291" s="44" t="s">
        <v>48</v>
      </c>
      <c r="C1291" t="s">
        <v>919</v>
      </c>
      <c r="D1291" t="s">
        <v>268</v>
      </c>
      <c r="E1291" t="s">
        <v>918</v>
      </c>
      <c r="F1291" t="s">
        <v>917</v>
      </c>
      <c r="G1291" t="s">
        <v>47</v>
      </c>
      <c r="H1291">
        <v>0</v>
      </c>
      <c r="I1291" s="60" t="s">
        <v>125</v>
      </c>
      <c r="J1291" s="33" t="s">
        <v>45</v>
      </c>
      <c r="K1291" s="46">
        <v>0</v>
      </c>
      <c r="L1291">
        <v>1.6</v>
      </c>
      <c r="M1291" t="s">
        <v>48</v>
      </c>
      <c r="N1291" s="46">
        <v>0</v>
      </c>
      <c r="O1291" s="46">
        <v>0</v>
      </c>
      <c r="P1291" s="46">
        <v>0</v>
      </c>
      <c r="Q1291" t="s">
        <v>48</v>
      </c>
      <c r="R1291" t="s">
        <v>48</v>
      </c>
      <c r="S1291" t="s">
        <v>10014</v>
      </c>
      <c r="T1291" t="s">
        <v>48</v>
      </c>
      <c r="U1291" t="s">
        <v>10014</v>
      </c>
      <c r="V1291" s="47">
        <v>0</v>
      </c>
      <c r="W1291" t="s">
        <v>48</v>
      </c>
      <c r="X1291" t="s">
        <v>48</v>
      </c>
      <c r="Y1291" t="s">
        <v>48</v>
      </c>
      <c r="Z1291">
        <v>0</v>
      </c>
      <c r="AA1291" t="s">
        <v>48</v>
      </c>
      <c r="AB1291" t="s">
        <v>48</v>
      </c>
      <c r="AC1291" t="s">
        <v>49</v>
      </c>
      <c r="AD1291" t="s">
        <v>93</v>
      </c>
      <c r="AE1291" t="s">
        <v>4532</v>
      </c>
      <c r="AF1291" t="s">
        <v>48</v>
      </c>
      <c r="AG1291" t="s">
        <v>48</v>
      </c>
      <c r="AH1291" t="s">
        <v>48</v>
      </c>
      <c r="AI1291" t="s">
        <v>48</v>
      </c>
      <c r="AJ1291" t="s">
        <v>48</v>
      </c>
      <c r="AK1291" t="s">
        <v>48</v>
      </c>
      <c r="AL1291" t="s">
        <v>48</v>
      </c>
      <c r="AM1291" t="s">
        <v>48</v>
      </c>
      <c r="AN1291" t="s">
        <v>48</v>
      </c>
      <c r="AO1291" t="s">
        <v>48</v>
      </c>
      <c r="AP1291" s="46">
        <v>0</v>
      </c>
      <c r="AQ1291" s="46">
        <v>0</v>
      </c>
      <c r="AR1291" s="46">
        <v>0</v>
      </c>
      <c r="AS1291" s="46">
        <v>0</v>
      </c>
      <c r="AT1291" s="46">
        <v>0</v>
      </c>
      <c r="AU1291" s="46">
        <v>0</v>
      </c>
      <c r="AV1291" s="46">
        <v>0</v>
      </c>
      <c r="AW1291" s="46">
        <v>0</v>
      </c>
      <c r="AX1291" s="46">
        <v>0</v>
      </c>
      <c r="AY1291" s="46">
        <v>0</v>
      </c>
      <c r="AZ1291" s="46">
        <v>0</v>
      </c>
      <c r="BA1291" s="46">
        <v>0</v>
      </c>
      <c r="BB1291" s="46">
        <v>0</v>
      </c>
      <c r="BC1291" s="46">
        <v>0</v>
      </c>
      <c r="BD1291" s="46">
        <v>0</v>
      </c>
      <c r="BE1291" s="46">
        <v>0</v>
      </c>
      <c r="BF1291" s="46">
        <v>0</v>
      </c>
      <c r="BG1291" s="46" t="s">
        <v>48</v>
      </c>
      <c r="BH1291" s="46">
        <v>0</v>
      </c>
      <c r="BI1291" s="46">
        <v>0</v>
      </c>
      <c r="BJ1291" s="46">
        <v>0</v>
      </c>
      <c r="BK1291" s="46">
        <v>0</v>
      </c>
      <c r="BL1291" s="46">
        <v>0</v>
      </c>
      <c r="BM1291" s="46">
        <v>0</v>
      </c>
      <c r="BN1291" s="46">
        <v>0</v>
      </c>
    </row>
    <row r="1292" spans="1:66" x14ac:dyDescent="0.35">
      <c r="A1292" t="s">
        <v>8172</v>
      </c>
      <c r="B1292" s="44" t="s">
        <v>48</v>
      </c>
      <c r="C1292" t="s">
        <v>2471</v>
      </c>
      <c r="D1292" t="s">
        <v>507</v>
      </c>
      <c r="E1292" t="s">
        <v>8173</v>
      </c>
      <c r="F1292" t="s">
        <v>917</v>
      </c>
      <c r="G1292" t="s">
        <v>47</v>
      </c>
      <c r="H1292">
        <v>0</v>
      </c>
      <c r="I1292" s="61">
        <v>44729</v>
      </c>
      <c r="J1292" s="33" t="s">
        <v>45</v>
      </c>
      <c r="K1292" s="46">
        <v>0</v>
      </c>
      <c r="L1292">
        <v>2.2999999999999998</v>
      </c>
      <c r="M1292" t="s">
        <v>48</v>
      </c>
      <c r="N1292" s="46">
        <v>0</v>
      </c>
      <c r="O1292" s="46">
        <v>0</v>
      </c>
      <c r="P1292" s="46">
        <v>0</v>
      </c>
      <c r="Q1292" t="s">
        <v>48</v>
      </c>
      <c r="R1292" t="s">
        <v>48</v>
      </c>
      <c r="S1292" t="s">
        <v>10015</v>
      </c>
      <c r="T1292" t="s">
        <v>48</v>
      </c>
      <c r="U1292" t="s">
        <v>10015</v>
      </c>
      <c r="V1292" s="47">
        <v>1</v>
      </c>
      <c r="W1292" t="s">
        <v>48</v>
      </c>
      <c r="X1292" t="s">
        <v>48</v>
      </c>
      <c r="Y1292" t="s">
        <v>48</v>
      </c>
      <c r="Z1292" t="s">
        <v>48</v>
      </c>
      <c r="AA1292" t="s">
        <v>48</v>
      </c>
      <c r="AB1292" t="s">
        <v>48</v>
      </c>
      <c r="AC1292" t="s">
        <v>63</v>
      </c>
      <c r="AD1292" t="s">
        <v>93</v>
      </c>
      <c r="AE1292" t="s">
        <v>2471</v>
      </c>
      <c r="AF1292" t="s">
        <v>48</v>
      </c>
      <c r="AG1292" t="s">
        <v>48</v>
      </c>
      <c r="AH1292" t="s">
        <v>48</v>
      </c>
      <c r="AI1292" t="s">
        <v>48</v>
      </c>
      <c r="AJ1292" t="s">
        <v>48</v>
      </c>
      <c r="AK1292" t="s">
        <v>48</v>
      </c>
      <c r="AL1292" t="s">
        <v>48</v>
      </c>
      <c r="AM1292" t="s">
        <v>48</v>
      </c>
      <c r="AN1292" t="s">
        <v>48</v>
      </c>
      <c r="AO1292" t="s">
        <v>48</v>
      </c>
      <c r="AP1292" s="46">
        <v>0</v>
      </c>
      <c r="AQ1292" s="46">
        <v>0</v>
      </c>
      <c r="AR1292" s="46">
        <v>0</v>
      </c>
      <c r="AS1292" s="46">
        <v>0</v>
      </c>
      <c r="AT1292" s="46">
        <v>0</v>
      </c>
      <c r="AU1292" s="46">
        <v>0</v>
      </c>
      <c r="AV1292" s="46">
        <v>0</v>
      </c>
      <c r="AW1292" s="46">
        <v>0</v>
      </c>
      <c r="AX1292" s="46">
        <v>0</v>
      </c>
      <c r="AY1292" s="46">
        <v>0</v>
      </c>
      <c r="AZ1292" s="46">
        <v>0</v>
      </c>
      <c r="BA1292" s="46">
        <v>0</v>
      </c>
      <c r="BB1292" s="46">
        <v>0</v>
      </c>
      <c r="BC1292" s="46">
        <v>0</v>
      </c>
      <c r="BD1292" s="46">
        <v>0</v>
      </c>
      <c r="BE1292" s="46">
        <v>0</v>
      </c>
      <c r="BF1292" s="46">
        <v>0</v>
      </c>
      <c r="BG1292" s="46" t="s">
        <v>48</v>
      </c>
      <c r="BH1292" s="46">
        <v>0</v>
      </c>
      <c r="BI1292" s="46">
        <v>0</v>
      </c>
      <c r="BJ1292" s="46">
        <v>0</v>
      </c>
      <c r="BK1292" s="46">
        <v>0</v>
      </c>
      <c r="BL1292" s="46">
        <v>0</v>
      </c>
      <c r="BM1292" s="46">
        <v>0</v>
      </c>
      <c r="BN1292" s="46">
        <v>0</v>
      </c>
    </row>
    <row r="1293" spans="1:66" x14ac:dyDescent="0.35">
      <c r="A1293" t="s">
        <v>8003</v>
      </c>
      <c r="B1293" s="44" t="s">
        <v>48</v>
      </c>
      <c r="C1293" t="s">
        <v>6200</v>
      </c>
      <c r="D1293" t="s">
        <v>655</v>
      </c>
      <c r="E1293" t="s">
        <v>8004</v>
      </c>
      <c r="F1293" t="s">
        <v>917</v>
      </c>
      <c r="G1293" t="s">
        <v>74</v>
      </c>
      <c r="H1293">
        <v>0</v>
      </c>
      <c r="I1293" s="61">
        <v>44729</v>
      </c>
      <c r="J1293" s="33" t="s">
        <v>45</v>
      </c>
      <c r="K1293" s="46">
        <v>0</v>
      </c>
      <c r="L1293">
        <v>5.0999999999999996</v>
      </c>
      <c r="M1293" t="s">
        <v>48</v>
      </c>
      <c r="N1293" s="46">
        <v>0</v>
      </c>
      <c r="O1293" s="46">
        <v>0</v>
      </c>
      <c r="P1293" s="46">
        <v>0</v>
      </c>
      <c r="Q1293" t="s">
        <v>48</v>
      </c>
      <c r="R1293" t="s">
        <v>48</v>
      </c>
      <c r="S1293" t="s">
        <v>10013</v>
      </c>
      <c r="T1293" t="s">
        <v>48</v>
      </c>
      <c r="U1293" t="s">
        <v>10013</v>
      </c>
      <c r="V1293" s="47">
        <v>1</v>
      </c>
      <c r="W1293" t="s">
        <v>48</v>
      </c>
      <c r="X1293" t="s">
        <v>48</v>
      </c>
      <c r="Y1293" t="s">
        <v>48</v>
      </c>
      <c r="Z1293" t="s">
        <v>48</v>
      </c>
      <c r="AA1293" t="s">
        <v>48</v>
      </c>
      <c r="AB1293" t="s">
        <v>48</v>
      </c>
      <c r="AC1293" t="s">
        <v>49</v>
      </c>
      <c r="AD1293" t="s">
        <v>93</v>
      </c>
      <c r="AE1293" t="s">
        <v>4532</v>
      </c>
      <c r="AF1293" t="s">
        <v>48</v>
      </c>
      <c r="AG1293" t="s">
        <v>48</v>
      </c>
      <c r="AH1293" t="s">
        <v>48</v>
      </c>
      <c r="AI1293" t="s">
        <v>48</v>
      </c>
      <c r="AJ1293" t="s">
        <v>48</v>
      </c>
      <c r="AK1293" t="s">
        <v>48</v>
      </c>
      <c r="AL1293" t="s">
        <v>48</v>
      </c>
      <c r="AM1293" t="s">
        <v>48</v>
      </c>
      <c r="AN1293" t="s">
        <v>48</v>
      </c>
      <c r="AO1293" t="s">
        <v>48</v>
      </c>
      <c r="AP1293" s="46">
        <v>0</v>
      </c>
      <c r="AQ1293" s="46">
        <v>0</v>
      </c>
      <c r="AR1293" s="46">
        <v>0</v>
      </c>
      <c r="AS1293" s="46">
        <v>0</v>
      </c>
      <c r="AT1293" s="46">
        <v>0</v>
      </c>
      <c r="AU1293" s="46">
        <v>0</v>
      </c>
      <c r="AV1293" s="46">
        <v>0</v>
      </c>
      <c r="AW1293" s="46">
        <v>0</v>
      </c>
      <c r="AX1293" s="46">
        <v>0</v>
      </c>
      <c r="AY1293" s="46">
        <v>0</v>
      </c>
      <c r="AZ1293" s="46">
        <v>0</v>
      </c>
      <c r="BA1293" s="46">
        <v>0</v>
      </c>
      <c r="BB1293" s="46">
        <v>0</v>
      </c>
      <c r="BC1293" s="46">
        <v>0</v>
      </c>
      <c r="BD1293" s="46">
        <v>0</v>
      </c>
      <c r="BE1293" s="46">
        <v>0</v>
      </c>
      <c r="BF1293" s="46">
        <v>0</v>
      </c>
      <c r="BG1293" s="46" t="s">
        <v>48</v>
      </c>
      <c r="BH1293" s="46">
        <v>0</v>
      </c>
      <c r="BI1293" s="46">
        <v>0</v>
      </c>
      <c r="BJ1293" s="46">
        <v>0</v>
      </c>
      <c r="BK1293" s="46">
        <v>0</v>
      </c>
      <c r="BL1293" s="46">
        <v>0</v>
      </c>
      <c r="BM1293" s="46">
        <v>0</v>
      </c>
      <c r="BN1293" s="46">
        <v>0</v>
      </c>
    </row>
    <row r="1294" spans="1:66" x14ac:dyDescent="0.35">
      <c r="A1294" t="s">
        <v>8005</v>
      </c>
      <c r="B1294" s="44" t="s">
        <v>48</v>
      </c>
      <c r="C1294" t="s">
        <v>11628</v>
      </c>
      <c r="D1294" t="s">
        <v>1118</v>
      </c>
      <c r="E1294" t="s">
        <v>8006</v>
      </c>
      <c r="F1294" t="s">
        <v>927</v>
      </c>
      <c r="G1294" t="s">
        <v>74</v>
      </c>
      <c r="H1294">
        <v>0</v>
      </c>
      <c r="I1294" s="61">
        <v>44729</v>
      </c>
      <c r="J1294" s="33" t="s">
        <v>45</v>
      </c>
      <c r="K1294" s="46">
        <v>0</v>
      </c>
      <c r="L1294">
        <v>7.7</v>
      </c>
      <c r="M1294" t="s">
        <v>48</v>
      </c>
      <c r="N1294" s="46">
        <v>0</v>
      </c>
      <c r="O1294" s="46">
        <v>0</v>
      </c>
      <c r="P1294" s="46">
        <v>0</v>
      </c>
      <c r="Q1294" t="s">
        <v>48</v>
      </c>
      <c r="R1294" t="s">
        <v>48</v>
      </c>
      <c r="S1294" t="s">
        <v>10017</v>
      </c>
      <c r="T1294" t="s">
        <v>48</v>
      </c>
      <c r="U1294" t="s">
        <v>10017</v>
      </c>
      <c r="V1294" s="47">
        <v>1</v>
      </c>
      <c r="W1294" t="s">
        <v>48</v>
      </c>
      <c r="X1294" t="s">
        <v>48</v>
      </c>
      <c r="Y1294" t="s">
        <v>48</v>
      </c>
      <c r="Z1294" t="s">
        <v>48</v>
      </c>
      <c r="AA1294" t="s">
        <v>48</v>
      </c>
      <c r="AB1294" t="s">
        <v>48</v>
      </c>
      <c r="AC1294" t="s">
        <v>49</v>
      </c>
      <c r="AD1294" t="s">
        <v>93</v>
      </c>
      <c r="AE1294" t="s">
        <v>4532</v>
      </c>
      <c r="AF1294" t="s">
        <v>48</v>
      </c>
      <c r="AG1294" t="s">
        <v>48</v>
      </c>
      <c r="AH1294" t="s">
        <v>48</v>
      </c>
      <c r="AI1294" t="s">
        <v>48</v>
      </c>
      <c r="AJ1294" t="s">
        <v>48</v>
      </c>
      <c r="AK1294" t="s">
        <v>48</v>
      </c>
      <c r="AL1294" t="s">
        <v>48</v>
      </c>
      <c r="AM1294" t="s">
        <v>48</v>
      </c>
      <c r="AN1294" t="s">
        <v>48</v>
      </c>
      <c r="AO1294" t="s">
        <v>48</v>
      </c>
      <c r="AP1294" s="46">
        <v>0</v>
      </c>
      <c r="AQ1294" s="46">
        <v>0</v>
      </c>
      <c r="AR1294" s="46">
        <v>0</v>
      </c>
      <c r="AS1294" s="46">
        <v>0</v>
      </c>
      <c r="AT1294" s="46">
        <v>0</v>
      </c>
      <c r="AU1294" s="46">
        <v>0</v>
      </c>
      <c r="AV1294" s="46">
        <v>0</v>
      </c>
      <c r="AW1294" s="46">
        <v>0</v>
      </c>
      <c r="AX1294" s="46">
        <v>0</v>
      </c>
      <c r="AY1294" s="46">
        <v>0</v>
      </c>
      <c r="AZ1294" s="46">
        <v>0</v>
      </c>
      <c r="BA1294" s="46">
        <v>0</v>
      </c>
      <c r="BB1294" s="46">
        <v>0</v>
      </c>
      <c r="BC1294" s="46">
        <v>0</v>
      </c>
      <c r="BD1294" s="46">
        <v>0</v>
      </c>
      <c r="BE1294" s="46">
        <v>0</v>
      </c>
      <c r="BF1294" s="46">
        <v>0</v>
      </c>
      <c r="BG1294" s="46" t="s">
        <v>48</v>
      </c>
      <c r="BH1294" s="46">
        <v>0</v>
      </c>
      <c r="BI1294" s="46">
        <v>0</v>
      </c>
      <c r="BJ1294" s="46">
        <v>0</v>
      </c>
      <c r="BK1294" s="46">
        <v>0</v>
      </c>
      <c r="BL1294" s="46">
        <v>0</v>
      </c>
      <c r="BM1294" s="46">
        <v>0</v>
      </c>
      <c r="BN1294" s="46">
        <v>0</v>
      </c>
    </row>
    <row r="1295" spans="1:66" x14ac:dyDescent="0.35">
      <c r="A1295" t="s">
        <v>963</v>
      </c>
      <c r="B1295" s="44" t="s">
        <v>48</v>
      </c>
      <c r="C1295" t="s">
        <v>967</v>
      </c>
      <c r="D1295" t="s">
        <v>966</v>
      </c>
      <c r="E1295" t="s">
        <v>964</v>
      </c>
      <c r="F1295" t="s">
        <v>940</v>
      </c>
      <c r="G1295" t="s">
        <v>74</v>
      </c>
      <c r="H1295">
        <v>0</v>
      </c>
      <c r="I1295" s="60" t="s">
        <v>125</v>
      </c>
      <c r="J1295" s="33" t="s">
        <v>45</v>
      </c>
      <c r="K1295" s="46">
        <v>0</v>
      </c>
      <c r="L1295">
        <v>9.9</v>
      </c>
      <c r="M1295" t="s">
        <v>48</v>
      </c>
      <c r="N1295" s="46">
        <v>0</v>
      </c>
      <c r="O1295" s="46">
        <v>0</v>
      </c>
      <c r="P1295" s="46">
        <v>0</v>
      </c>
      <c r="Q1295" t="s">
        <v>48</v>
      </c>
      <c r="R1295" t="s">
        <v>48</v>
      </c>
      <c r="S1295" t="s">
        <v>965</v>
      </c>
      <c r="T1295" t="s">
        <v>48</v>
      </c>
      <c r="U1295" t="s">
        <v>965</v>
      </c>
      <c r="V1295" s="47">
        <v>0</v>
      </c>
      <c r="W1295" t="s">
        <v>48</v>
      </c>
      <c r="X1295" t="s">
        <v>48</v>
      </c>
      <c r="Y1295" t="s">
        <v>48</v>
      </c>
      <c r="Z1295">
        <v>0</v>
      </c>
      <c r="AA1295" t="s">
        <v>48</v>
      </c>
      <c r="AB1295" t="s">
        <v>48</v>
      </c>
      <c r="AC1295" t="s">
        <v>63</v>
      </c>
      <c r="AD1295" t="s">
        <v>93</v>
      </c>
      <c r="AE1295" t="s">
        <v>2471</v>
      </c>
      <c r="AF1295" t="s">
        <v>48</v>
      </c>
      <c r="AG1295" t="s">
        <v>148</v>
      </c>
      <c r="AH1295" t="s">
        <v>48</v>
      </c>
      <c r="AI1295" t="s">
        <v>48</v>
      </c>
      <c r="AJ1295" t="s">
        <v>48</v>
      </c>
      <c r="AK1295" t="s">
        <v>48</v>
      </c>
      <c r="AL1295" t="s">
        <v>48</v>
      </c>
      <c r="AM1295" t="s">
        <v>48</v>
      </c>
      <c r="AN1295" t="s">
        <v>48</v>
      </c>
      <c r="AO1295" t="s">
        <v>48</v>
      </c>
      <c r="AP1295" s="46">
        <v>0</v>
      </c>
      <c r="AQ1295" s="46">
        <v>0</v>
      </c>
      <c r="AR1295" s="46">
        <v>0</v>
      </c>
      <c r="AS1295" s="46">
        <v>0</v>
      </c>
      <c r="AT1295" s="46">
        <v>0</v>
      </c>
      <c r="AU1295" s="46">
        <v>0</v>
      </c>
      <c r="AV1295" s="46">
        <v>0</v>
      </c>
      <c r="AW1295" s="46">
        <v>0</v>
      </c>
      <c r="AX1295" s="46">
        <v>0</v>
      </c>
      <c r="AY1295" s="46">
        <v>0</v>
      </c>
      <c r="AZ1295" s="46">
        <v>0</v>
      </c>
      <c r="BA1295" s="46">
        <v>0</v>
      </c>
      <c r="BB1295" s="46">
        <v>0</v>
      </c>
      <c r="BC1295" s="46">
        <v>0</v>
      </c>
      <c r="BD1295" s="46">
        <v>0</v>
      </c>
      <c r="BE1295" s="46">
        <v>0</v>
      </c>
      <c r="BF1295" s="46">
        <v>0</v>
      </c>
      <c r="BG1295" s="46" t="s">
        <v>48</v>
      </c>
      <c r="BH1295" s="46">
        <v>0</v>
      </c>
      <c r="BI1295" s="46">
        <v>0</v>
      </c>
      <c r="BJ1295" s="46">
        <v>0</v>
      </c>
      <c r="BK1295" s="46">
        <v>0</v>
      </c>
      <c r="BL1295" s="46">
        <v>0</v>
      </c>
      <c r="BM1295" s="46">
        <v>0</v>
      </c>
      <c r="BN1295" s="46">
        <v>0</v>
      </c>
    </row>
    <row r="1296" spans="1:66" x14ac:dyDescent="0.35">
      <c r="A1296" t="s">
        <v>8008</v>
      </c>
      <c r="B1296" s="44" t="s">
        <v>48</v>
      </c>
      <c r="C1296" t="s">
        <v>11630</v>
      </c>
      <c r="D1296" t="s">
        <v>237</v>
      </c>
      <c r="E1296" t="s">
        <v>8009</v>
      </c>
      <c r="F1296" t="s">
        <v>940</v>
      </c>
      <c r="G1296" t="s">
        <v>74</v>
      </c>
      <c r="H1296">
        <v>0</v>
      </c>
      <c r="I1296" s="61">
        <v>44729</v>
      </c>
      <c r="J1296" s="33" t="s">
        <v>45</v>
      </c>
      <c r="K1296" s="46">
        <v>0</v>
      </c>
      <c r="L1296">
        <v>2.4</v>
      </c>
      <c r="M1296" t="s">
        <v>48</v>
      </c>
      <c r="N1296" s="46">
        <v>0</v>
      </c>
      <c r="O1296" s="46">
        <v>0</v>
      </c>
      <c r="P1296" s="46">
        <v>0</v>
      </c>
      <c r="Q1296" t="s">
        <v>48</v>
      </c>
      <c r="R1296" t="s">
        <v>48</v>
      </c>
      <c r="S1296" t="s">
        <v>10018</v>
      </c>
      <c r="T1296" t="s">
        <v>48</v>
      </c>
      <c r="U1296" t="s">
        <v>10018</v>
      </c>
      <c r="V1296" s="47">
        <v>1</v>
      </c>
      <c r="W1296" t="s">
        <v>48</v>
      </c>
      <c r="X1296" t="s">
        <v>48</v>
      </c>
      <c r="Y1296" t="s">
        <v>48</v>
      </c>
      <c r="Z1296" t="s">
        <v>48</v>
      </c>
      <c r="AA1296" t="s">
        <v>48</v>
      </c>
      <c r="AB1296" t="s">
        <v>48</v>
      </c>
      <c r="AC1296" t="s">
        <v>49</v>
      </c>
      <c r="AD1296" t="s">
        <v>93</v>
      </c>
      <c r="AE1296" t="s">
        <v>4532</v>
      </c>
      <c r="AF1296" t="s">
        <v>48</v>
      </c>
      <c r="AG1296" t="s">
        <v>48</v>
      </c>
      <c r="AH1296" t="s">
        <v>48</v>
      </c>
      <c r="AI1296" t="s">
        <v>48</v>
      </c>
      <c r="AJ1296" t="s">
        <v>48</v>
      </c>
      <c r="AK1296" t="s">
        <v>48</v>
      </c>
      <c r="AL1296" t="s">
        <v>48</v>
      </c>
      <c r="AM1296" t="s">
        <v>48</v>
      </c>
      <c r="AN1296" t="s">
        <v>48</v>
      </c>
      <c r="AO1296" t="s">
        <v>48</v>
      </c>
      <c r="AP1296" s="46">
        <v>0</v>
      </c>
      <c r="AQ1296" s="46">
        <v>0</v>
      </c>
      <c r="AR1296" s="46">
        <v>0</v>
      </c>
      <c r="AS1296" s="46">
        <v>0</v>
      </c>
      <c r="AT1296" s="46">
        <v>0</v>
      </c>
      <c r="AU1296" s="46">
        <v>0</v>
      </c>
      <c r="AV1296" s="46">
        <v>0</v>
      </c>
      <c r="AW1296" s="46">
        <v>0</v>
      </c>
      <c r="AX1296" s="46">
        <v>0</v>
      </c>
      <c r="AY1296" s="46">
        <v>0</v>
      </c>
      <c r="AZ1296" s="46">
        <v>0</v>
      </c>
      <c r="BA1296" s="46">
        <v>0</v>
      </c>
      <c r="BB1296" s="46">
        <v>0</v>
      </c>
      <c r="BC1296" s="46">
        <v>0</v>
      </c>
      <c r="BD1296" s="46">
        <v>0</v>
      </c>
      <c r="BE1296" s="46">
        <v>0</v>
      </c>
      <c r="BF1296" s="46">
        <v>0</v>
      </c>
      <c r="BG1296" s="46" t="s">
        <v>48</v>
      </c>
      <c r="BH1296" s="46">
        <v>0</v>
      </c>
      <c r="BI1296" s="46">
        <v>0</v>
      </c>
      <c r="BJ1296" s="46">
        <v>0</v>
      </c>
      <c r="BK1296" s="46">
        <v>0</v>
      </c>
      <c r="BL1296" s="46">
        <v>0</v>
      </c>
      <c r="BM1296" s="46">
        <v>0</v>
      </c>
      <c r="BN1296" s="46">
        <v>0</v>
      </c>
    </row>
    <row r="1297" spans="1:66" x14ac:dyDescent="0.35">
      <c r="A1297" t="s">
        <v>958</v>
      </c>
      <c r="B1297" s="44" t="s">
        <v>48</v>
      </c>
      <c r="C1297" t="s">
        <v>962</v>
      </c>
      <c r="D1297" t="s">
        <v>961</v>
      </c>
      <c r="E1297" t="s">
        <v>959</v>
      </c>
      <c r="F1297" t="s">
        <v>940</v>
      </c>
      <c r="G1297" t="s">
        <v>74</v>
      </c>
      <c r="H1297">
        <v>0</v>
      </c>
      <c r="I1297" s="60" t="s">
        <v>125</v>
      </c>
      <c r="J1297" s="33" t="s">
        <v>45</v>
      </c>
      <c r="K1297" s="46">
        <v>0</v>
      </c>
      <c r="L1297">
        <v>2.8</v>
      </c>
      <c r="M1297" t="s">
        <v>48</v>
      </c>
      <c r="N1297" s="46">
        <v>0</v>
      </c>
      <c r="O1297" s="46">
        <v>0</v>
      </c>
      <c r="P1297" s="46">
        <v>0</v>
      </c>
      <c r="Q1297" t="s">
        <v>48</v>
      </c>
      <c r="R1297" t="s">
        <v>48</v>
      </c>
      <c r="S1297" t="s">
        <v>960</v>
      </c>
      <c r="T1297" t="s">
        <v>48</v>
      </c>
      <c r="U1297" t="s">
        <v>960</v>
      </c>
      <c r="V1297" s="47">
        <v>0</v>
      </c>
      <c r="W1297" t="s">
        <v>48</v>
      </c>
      <c r="X1297" t="s">
        <v>48</v>
      </c>
      <c r="Y1297" t="s">
        <v>48</v>
      </c>
      <c r="Z1297">
        <v>0</v>
      </c>
      <c r="AA1297" t="s">
        <v>48</v>
      </c>
      <c r="AB1297" t="s">
        <v>48</v>
      </c>
      <c r="AC1297" t="s">
        <v>49</v>
      </c>
      <c r="AD1297" t="s">
        <v>93</v>
      </c>
      <c r="AE1297" t="s">
        <v>4532</v>
      </c>
      <c r="AF1297" t="s">
        <v>48</v>
      </c>
      <c r="AG1297" t="s">
        <v>48</v>
      </c>
      <c r="AH1297" t="s">
        <v>48</v>
      </c>
      <c r="AI1297" t="s">
        <v>48</v>
      </c>
      <c r="AJ1297" t="s">
        <v>48</v>
      </c>
      <c r="AK1297" t="s">
        <v>48</v>
      </c>
      <c r="AL1297" t="s">
        <v>48</v>
      </c>
      <c r="AM1297" t="s">
        <v>48</v>
      </c>
      <c r="AN1297" t="s">
        <v>48</v>
      </c>
      <c r="AO1297" t="s">
        <v>48</v>
      </c>
      <c r="AP1297" s="46">
        <v>0</v>
      </c>
      <c r="AQ1297" s="46">
        <v>0</v>
      </c>
      <c r="AR1297" s="46">
        <v>0</v>
      </c>
      <c r="AS1297" s="46">
        <v>0</v>
      </c>
      <c r="AT1297" s="46">
        <v>0</v>
      </c>
      <c r="AU1297" s="46">
        <v>0</v>
      </c>
      <c r="AV1297" s="46">
        <v>0</v>
      </c>
      <c r="AW1297" s="46">
        <v>0</v>
      </c>
      <c r="AX1297" s="46">
        <v>0</v>
      </c>
      <c r="AY1297" s="46">
        <v>0</v>
      </c>
      <c r="AZ1297" s="46">
        <v>0</v>
      </c>
      <c r="BA1297" s="46">
        <v>0</v>
      </c>
      <c r="BB1297" s="46">
        <v>0</v>
      </c>
      <c r="BC1297" s="46">
        <v>0</v>
      </c>
      <c r="BD1297" s="46">
        <v>0</v>
      </c>
      <c r="BE1297" s="46">
        <v>0</v>
      </c>
      <c r="BF1297" s="46">
        <v>0</v>
      </c>
      <c r="BG1297" s="46" t="s">
        <v>48</v>
      </c>
      <c r="BH1297" s="46">
        <v>0</v>
      </c>
      <c r="BI1297" s="46">
        <v>0</v>
      </c>
      <c r="BJ1297" s="46">
        <v>0</v>
      </c>
      <c r="BK1297" s="46">
        <v>0</v>
      </c>
      <c r="BL1297" s="46">
        <v>0</v>
      </c>
      <c r="BM1297" s="46">
        <v>0</v>
      </c>
      <c r="BN1297" s="46">
        <v>0</v>
      </c>
    </row>
    <row r="1298" spans="1:66" x14ac:dyDescent="0.35">
      <c r="A1298" t="s">
        <v>968</v>
      </c>
      <c r="B1298" s="44" t="s">
        <v>48</v>
      </c>
      <c r="C1298" t="s">
        <v>973</v>
      </c>
      <c r="D1298" t="s">
        <v>972</v>
      </c>
      <c r="E1298" t="s">
        <v>970</v>
      </c>
      <c r="F1298" t="s">
        <v>969</v>
      </c>
      <c r="G1298" t="s">
        <v>74</v>
      </c>
      <c r="H1298">
        <v>0</v>
      </c>
      <c r="I1298" s="60" t="s">
        <v>51</v>
      </c>
      <c r="J1298" s="33" t="s">
        <v>45</v>
      </c>
      <c r="K1298" s="46">
        <v>0</v>
      </c>
      <c r="L1298">
        <v>7.2</v>
      </c>
      <c r="M1298" t="s">
        <v>48</v>
      </c>
      <c r="N1298" s="46">
        <v>0</v>
      </c>
      <c r="O1298" s="46">
        <v>0</v>
      </c>
      <c r="P1298" s="46">
        <v>0</v>
      </c>
      <c r="Q1298" t="s">
        <v>48</v>
      </c>
      <c r="R1298" t="s">
        <v>48</v>
      </c>
      <c r="S1298" t="s">
        <v>971</v>
      </c>
      <c r="T1298" t="s">
        <v>48</v>
      </c>
      <c r="U1298" t="s">
        <v>971</v>
      </c>
      <c r="V1298" s="47">
        <v>0</v>
      </c>
      <c r="W1298" t="s">
        <v>48</v>
      </c>
      <c r="X1298" t="s">
        <v>48</v>
      </c>
      <c r="Y1298" t="s">
        <v>48</v>
      </c>
      <c r="Z1298">
        <v>0</v>
      </c>
      <c r="AA1298" t="s">
        <v>48</v>
      </c>
      <c r="AB1298" t="s">
        <v>48</v>
      </c>
      <c r="AC1298" t="s">
        <v>49</v>
      </c>
      <c r="AD1298" t="s">
        <v>93</v>
      </c>
      <c r="AE1298" t="s">
        <v>977</v>
      </c>
      <c r="AF1298" t="s">
        <v>11053</v>
      </c>
      <c r="AG1298" t="s">
        <v>48</v>
      </c>
      <c r="AH1298" t="s">
        <v>48</v>
      </c>
      <c r="AI1298" t="s">
        <v>48</v>
      </c>
      <c r="AJ1298" t="s">
        <v>48</v>
      </c>
      <c r="AK1298" t="s">
        <v>48</v>
      </c>
      <c r="AL1298" t="s">
        <v>48</v>
      </c>
      <c r="AM1298" t="s">
        <v>48</v>
      </c>
      <c r="AN1298" t="s">
        <v>48</v>
      </c>
      <c r="AO1298" t="s">
        <v>48</v>
      </c>
      <c r="AP1298" s="46">
        <v>0</v>
      </c>
      <c r="AQ1298" s="46">
        <v>0</v>
      </c>
      <c r="AR1298" s="46">
        <v>0</v>
      </c>
      <c r="AS1298" s="46">
        <v>0</v>
      </c>
      <c r="AT1298" s="46">
        <v>0</v>
      </c>
      <c r="AU1298" s="46">
        <v>0</v>
      </c>
      <c r="AV1298" s="46">
        <v>0</v>
      </c>
      <c r="AW1298" s="46">
        <v>0</v>
      </c>
      <c r="AX1298" s="46">
        <v>0</v>
      </c>
      <c r="AY1298" s="46">
        <v>0</v>
      </c>
      <c r="AZ1298" s="46">
        <v>0</v>
      </c>
      <c r="BA1298" s="46">
        <v>0</v>
      </c>
      <c r="BB1298" s="46">
        <v>0</v>
      </c>
      <c r="BC1298" s="46">
        <v>0</v>
      </c>
      <c r="BD1298" s="46">
        <v>0</v>
      </c>
      <c r="BE1298" s="46">
        <v>0</v>
      </c>
      <c r="BF1298" s="46">
        <v>0</v>
      </c>
      <c r="BG1298" s="46" t="s">
        <v>48</v>
      </c>
      <c r="BH1298" s="46">
        <v>0</v>
      </c>
      <c r="BI1298" s="46">
        <v>0</v>
      </c>
      <c r="BJ1298" s="46">
        <v>0</v>
      </c>
      <c r="BK1298" s="46">
        <v>0</v>
      </c>
      <c r="BL1298" s="46">
        <v>0</v>
      </c>
      <c r="BM1298" s="46">
        <v>0</v>
      </c>
      <c r="BN1298" s="46">
        <v>0</v>
      </c>
    </row>
    <row r="1299" spans="1:66" x14ac:dyDescent="0.35">
      <c r="A1299" t="s">
        <v>10969</v>
      </c>
      <c r="B1299" s="44" t="s">
        <v>48</v>
      </c>
      <c r="C1299" t="s">
        <v>11633</v>
      </c>
      <c r="D1299" t="s">
        <v>603</v>
      </c>
      <c r="E1299" t="s">
        <v>10970</v>
      </c>
      <c r="F1299" t="s">
        <v>969</v>
      </c>
      <c r="G1299" t="s">
        <v>47</v>
      </c>
      <c r="H1299">
        <v>0</v>
      </c>
      <c r="I1299" s="61">
        <v>44825</v>
      </c>
      <c r="J1299" s="33" t="s">
        <v>45</v>
      </c>
      <c r="K1299" s="46">
        <v>0</v>
      </c>
      <c r="L1299">
        <v>14.5</v>
      </c>
      <c r="M1299" t="s">
        <v>48</v>
      </c>
      <c r="N1299" s="46">
        <v>0</v>
      </c>
      <c r="O1299" s="46">
        <v>0</v>
      </c>
      <c r="P1299" s="46">
        <v>0</v>
      </c>
      <c r="Q1299" t="s">
        <v>48</v>
      </c>
      <c r="R1299" t="s">
        <v>48</v>
      </c>
      <c r="S1299" t="s">
        <v>48</v>
      </c>
      <c r="T1299" t="s">
        <v>48</v>
      </c>
      <c r="U1299" t="s">
        <v>48</v>
      </c>
      <c r="V1299" s="47">
        <v>1</v>
      </c>
      <c r="W1299" t="s">
        <v>48</v>
      </c>
      <c r="X1299" t="s">
        <v>48</v>
      </c>
      <c r="Y1299" t="s">
        <v>48</v>
      </c>
      <c r="Z1299" t="s">
        <v>48</v>
      </c>
      <c r="AA1299" t="s">
        <v>48</v>
      </c>
      <c r="AB1299" t="s">
        <v>48</v>
      </c>
      <c r="AC1299" t="s">
        <v>49</v>
      </c>
      <c r="AD1299" t="s">
        <v>93</v>
      </c>
      <c r="AE1299" t="s">
        <v>4532</v>
      </c>
      <c r="AF1299" t="s">
        <v>48</v>
      </c>
      <c r="AG1299" t="s">
        <v>48</v>
      </c>
      <c r="AH1299" t="s">
        <v>48</v>
      </c>
      <c r="AI1299" t="s">
        <v>48</v>
      </c>
      <c r="AJ1299" t="s">
        <v>48</v>
      </c>
      <c r="AK1299" t="s">
        <v>48</v>
      </c>
      <c r="AL1299" t="s">
        <v>48</v>
      </c>
      <c r="AM1299" t="s">
        <v>48</v>
      </c>
      <c r="AN1299" t="s">
        <v>48</v>
      </c>
      <c r="AO1299" t="s">
        <v>48</v>
      </c>
      <c r="AP1299" s="46">
        <v>0</v>
      </c>
      <c r="AQ1299" s="46">
        <v>0</v>
      </c>
      <c r="AR1299" s="46">
        <v>0</v>
      </c>
      <c r="AS1299" s="46">
        <v>0</v>
      </c>
      <c r="AT1299" s="46">
        <v>0</v>
      </c>
      <c r="AU1299" s="46">
        <v>0</v>
      </c>
      <c r="AV1299" s="46">
        <v>0</v>
      </c>
      <c r="AW1299" s="46">
        <v>0</v>
      </c>
      <c r="AX1299" s="46">
        <v>0</v>
      </c>
      <c r="AY1299" s="46">
        <v>0</v>
      </c>
      <c r="AZ1299" s="46">
        <v>0</v>
      </c>
      <c r="BA1299" s="46">
        <v>0</v>
      </c>
      <c r="BB1299" s="46">
        <v>0</v>
      </c>
      <c r="BC1299" s="46">
        <v>0</v>
      </c>
      <c r="BD1299" s="46">
        <v>0</v>
      </c>
      <c r="BE1299" s="46">
        <v>0</v>
      </c>
      <c r="BF1299" s="46">
        <v>0</v>
      </c>
      <c r="BG1299" s="46" t="s">
        <v>48</v>
      </c>
      <c r="BH1299" s="46">
        <v>0</v>
      </c>
      <c r="BI1299" s="46">
        <v>0</v>
      </c>
      <c r="BJ1299" s="46">
        <v>0</v>
      </c>
      <c r="BK1299" s="46">
        <v>0</v>
      </c>
      <c r="BL1299" s="46">
        <v>0</v>
      </c>
      <c r="BM1299" s="46">
        <v>0</v>
      </c>
      <c r="BN1299" s="46">
        <v>0</v>
      </c>
    </row>
    <row r="1300" spans="1:66" x14ac:dyDescent="0.35">
      <c r="A1300" t="s">
        <v>980</v>
      </c>
      <c r="B1300" s="44" t="s">
        <v>48</v>
      </c>
      <c r="C1300" t="s">
        <v>983</v>
      </c>
      <c r="D1300" t="s">
        <v>982</v>
      </c>
      <c r="E1300" t="s">
        <v>981</v>
      </c>
      <c r="F1300" t="s">
        <v>969</v>
      </c>
      <c r="G1300" t="s">
        <v>47</v>
      </c>
      <c r="H1300">
        <v>0</v>
      </c>
      <c r="I1300" s="60" t="s">
        <v>125</v>
      </c>
      <c r="J1300" s="33" t="s">
        <v>45</v>
      </c>
      <c r="K1300" s="46">
        <v>0</v>
      </c>
      <c r="L1300">
        <v>5.5</v>
      </c>
      <c r="M1300" t="s">
        <v>48</v>
      </c>
      <c r="N1300" s="46">
        <v>0</v>
      </c>
      <c r="O1300" s="46">
        <v>0</v>
      </c>
      <c r="P1300" s="46">
        <v>0</v>
      </c>
      <c r="Q1300" t="s">
        <v>48</v>
      </c>
      <c r="R1300" t="s">
        <v>48</v>
      </c>
      <c r="S1300" t="s">
        <v>10020</v>
      </c>
      <c r="T1300" t="s">
        <v>48</v>
      </c>
      <c r="U1300" t="s">
        <v>10020</v>
      </c>
      <c r="V1300" s="47">
        <v>0</v>
      </c>
      <c r="W1300" t="s">
        <v>48</v>
      </c>
      <c r="X1300" t="s">
        <v>48</v>
      </c>
      <c r="Y1300" t="s">
        <v>48</v>
      </c>
      <c r="Z1300">
        <v>0</v>
      </c>
      <c r="AA1300" t="s">
        <v>48</v>
      </c>
      <c r="AB1300" t="s">
        <v>48</v>
      </c>
      <c r="AC1300" t="s">
        <v>49</v>
      </c>
      <c r="AD1300" t="s">
        <v>93</v>
      </c>
      <c r="AE1300" t="s">
        <v>2471</v>
      </c>
      <c r="AF1300" t="s">
        <v>48</v>
      </c>
      <c r="AG1300" t="s">
        <v>48</v>
      </c>
      <c r="AH1300" t="s">
        <v>48</v>
      </c>
      <c r="AI1300" t="s">
        <v>48</v>
      </c>
      <c r="AJ1300" t="s">
        <v>48</v>
      </c>
      <c r="AK1300" t="s">
        <v>48</v>
      </c>
      <c r="AL1300" t="s">
        <v>48</v>
      </c>
      <c r="AM1300" t="s">
        <v>48</v>
      </c>
      <c r="AN1300" t="s">
        <v>48</v>
      </c>
      <c r="AO1300" t="s">
        <v>48</v>
      </c>
      <c r="AP1300" s="46">
        <v>0</v>
      </c>
      <c r="AQ1300" s="46">
        <v>0</v>
      </c>
      <c r="AR1300" s="46">
        <v>0</v>
      </c>
      <c r="AS1300" s="46">
        <v>0</v>
      </c>
      <c r="AT1300" s="46">
        <v>0</v>
      </c>
      <c r="AU1300" s="46">
        <v>0</v>
      </c>
      <c r="AV1300" s="46">
        <v>0</v>
      </c>
      <c r="AW1300" s="46">
        <v>0</v>
      </c>
      <c r="AX1300" s="46">
        <v>0</v>
      </c>
      <c r="AY1300" s="46">
        <v>0</v>
      </c>
      <c r="AZ1300" s="46">
        <v>0</v>
      </c>
      <c r="BA1300" s="46">
        <v>0</v>
      </c>
      <c r="BB1300" s="46">
        <v>0</v>
      </c>
      <c r="BC1300" s="46">
        <v>0</v>
      </c>
      <c r="BD1300" s="46">
        <v>0</v>
      </c>
      <c r="BE1300" s="46">
        <v>0</v>
      </c>
      <c r="BF1300" s="46">
        <v>0</v>
      </c>
      <c r="BG1300" s="46" t="s">
        <v>48</v>
      </c>
      <c r="BH1300" s="46">
        <v>0</v>
      </c>
      <c r="BI1300" s="46">
        <v>0</v>
      </c>
      <c r="BJ1300" s="46">
        <v>0</v>
      </c>
      <c r="BK1300" s="46">
        <v>0</v>
      </c>
      <c r="BL1300" s="46">
        <v>0</v>
      </c>
      <c r="BM1300" s="46">
        <v>0</v>
      </c>
      <c r="BN1300" s="46">
        <v>0</v>
      </c>
    </row>
    <row r="1301" spans="1:66" x14ac:dyDescent="0.35">
      <c r="A1301" t="s">
        <v>974</v>
      </c>
      <c r="B1301" s="44" t="s">
        <v>48</v>
      </c>
      <c r="C1301" t="s">
        <v>979</v>
      </c>
      <c r="D1301" t="s">
        <v>978</v>
      </c>
      <c r="E1301" t="s">
        <v>975</v>
      </c>
      <c r="F1301" t="s">
        <v>969</v>
      </c>
      <c r="G1301" t="s">
        <v>74</v>
      </c>
      <c r="H1301">
        <v>0</v>
      </c>
      <c r="I1301" s="60" t="s">
        <v>125</v>
      </c>
      <c r="J1301" s="33" t="s">
        <v>45</v>
      </c>
      <c r="K1301" s="46">
        <v>0</v>
      </c>
      <c r="L1301">
        <v>2.7</v>
      </c>
      <c r="M1301" t="s">
        <v>48</v>
      </c>
      <c r="N1301" s="46">
        <v>0</v>
      </c>
      <c r="O1301" s="46">
        <v>0</v>
      </c>
      <c r="P1301" s="46">
        <v>0</v>
      </c>
      <c r="Q1301" t="s">
        <v>48</v>
      </c>
      <c r="R1301" t="s">
        <v>48</v>
      </c>
      <c r="S1301" t="s">
        <v>976</v>
      </c>
      <c r="T1301" t="s">
        <v>48</v>
      </c>
      <c r="U1301" t="s">
        <v>976</v>
      </c>
      <c r="V1301" s="47">
        <v>0</v>
      </c>
      <c r="W1301" t="s">
        <v>48</v>
      </c>
      <c r="X1301" t="s">
        <v>48</v>
      </c>
      <c r="Y1301" t="s">
        <v>48</v>
      </c>
      <c r="Z1301">
        <v>0</v>
      </c>
      <c r="AA1301" t="s">
        <v>48</v>
      </c>
      <c r="AB1301" t="s">
        <v>48</v>
      </c>
      <c r="AC1301" t="s">
        <v>63</v>
      </c>
      <c r="AD1301" t="s">
        <v>93</v>
      </c>
      <c r="AE1301" t="s">
        <v>977</v>
      </c>
      <c r="AF1301" t="s">
        <v>48</v>
      </c>
      <c r="AG1301" t="s">
        <v>48</v>
      </c>
      <c r="AH1301" t="s">
        <v>48</v>
      </c>
      <c r="AI1301" t="s">
        <v>48</v>
      </c>
      <c r="AJ1301" t="s">
        <v>48</v>
      </c>
      <c r="AK1301" t="s">
        <v>48</v>
      </c>
      <c r="AL1301" t="s">
        <v>48</v>
      </c>
      <c r="AM1301" t="s">
        <v>48</v>
      </c>
      <c r="AN1301" t="s">
        <v>48</v>
      </c>
      <c r="AO1301" t="s">
        <v>48</v>
      </c>
      <c r="AP1301" s="46">
        <v>0</v>
      </c>
      <c r="AQ1301" s="46">
        <v>0</v>
      </c>
      <c r="AR1301" s="46">
        <v>0</v>
      </c>
      <c r="AS1301" s="46">
        <v>0</v>
      </c>
      <c r="AT1301" s="46">
        <v>0</v>
      </c>
      <c r="AU1301" s="46">
        <v>0</v>
      </c>
      <c r="AV1301" s="46">
        <v>0</v>
      </c>
      <c r="AW1301" s="46">
        <v>0</v>
      </c>
      <c r="AX1301" s="46">
        <v>0</v>
      </c>
      <c r="AY1301" s="46">
        <v>0</v>
      </c>
      <c r="AZ1301" s="46">
        <v>0</v>
      </c>
      <c r="BA1301" s="46">
        <v>0</v>
      </c>
      <c r="BB1301" s="46">
        <v>0</v>
      </c>
      <c r="BC1301" s="46">
        <v>0</v>
      </c>
      <c r="BD1301" s="46">
        <v>0</v>
      </c>
      <c r="BE1301" s="46">
        <v>0</v>
      </c>
      <c r="BF1301" s="46">
        <v>0</v>
      </c>
      <c r="BG1301" s="46" t="s">
        <v>48</v>
      </c>
      <c r="BH1301" s="46">
        <v>0</v>
      </c>
      <c r="BI1301" s="46">
        <v>0</v>
      </c>
      <c r="BJ1301" s="46">
        <v>0</v>
      </c>
      <c r="BK1301" s="46">
        <v>0</v>
      </c>
      <c r="BL1301" s="46">
        <v>0</v>
      </c>
      <c r="BM1301" s="46">
        <v>0</v>
      </c>
      <c r="BN1301" s="46">
        <v>0</v>
      </c>
    </row>
    <row r="1302" spans="1:66" x14ac:dyDescent="0.35">
      <c r="A1302" t="s">
        <v>8011</v>
      </c>
      <c r="B1302" s="44" t="s">
        <v>48</v>
      </c>
      <c r="C1302" t="s">
        <v>11631</v>
      </c>
      <c r="D1302" t="s">
        <v>11632</v>
      </c>
      <c r="E1302" t="s">
        <v>8012</v>
      </c>
      <c r="F1302" t="s">
        <v>969</v>
      </c>
      <c r="G1302" t="s">
        <v>74</v>
      </c>
      <c r="H1302">
        <v>0</v>
      </c>
      <c r="I1302" s="61">
        <v>44729</v>
      </c>
      <c r="J1302" s="33" t="s">
        <v>45</v>
      </c>
      <c r="K1302" s="46">
        <v>0</v>
      </c>
      <c r="L1302">
        <v>3.3</v>
      </c>
      <c r="M1302" t="s">
        <v>48</v>
      </c>
      <c r="N1302" s="46">
        <v>0</v>
      </c>
      <c r="O1302" s="46">
        <v>0</v>
      </c>
      <c r="P1302" s="46">
        <v>0</v>
      </c>
      <c r="Q1302" t="s">
        <v>48</v>
      </c>
      <c r="R1302" t="s">
        <v>48</v>
      </c>
      <c r="S1302" t="s">
        <v>48</v>
      </c>
      <c r="T1302" t="s">
        <v>48</v>
      </c>
      <c r="U1302" t="s">
        <v>48</v>
      </c>
      <c r="V1302" s="47">
        <v>1</v>
      </c>
      <c r="W1302" t="s">
        <v>48</v>
      </c>
      <c r="X1302" t="s">
        <v>48</v>
      </c>
      <c r="Y1302" t="s">
        <v>48</v>
      </c>
      <c r="Z1302" t="s">
        <v>48</v>
      </c>
      <c r="AA1302" t="s">
        <v>48</v>
      </c>
      <c r="AB1302" t="s">
        <v>48</v>
      </c>
      <c r="AC1302" t="s">
        <v>49</v>
      </c>
      <c r="AD1302" t="s">
        <v>48</v>
      </c>
      <c r="AE1302" t="s">
        <v>48</v>
      </c>
      <c r="AF1302" t="s">
        <v>48</v>
      </c>
      <c r="AG1302" t="s">
        <v>48</v>
      </c>
      <c r="AH1302" t="s">
        <v>48</v>
      </c>
      <c r="AI1302" t="s">
        <v>48</v>
      </c>
      <c r="AJ1302" t="s">
        <v>48</v>
      </c>
      <c r="AK1302" t="s">
        <v>48</v>
      </c>
      <c r="AL1302" t="s">
        <v>48</v>
      </c>
      <c r="AM1302" t="s">
        <v>48</v>
      </c>
      <c r="AN1302" t="s">
        <v>48</v>
      </c>
      <c r="AO1302" t="s">
        <v>48</v>
      </c>
      <c r="AP1302" s="46">
        <v>0</v>
      </c>
      <c r="AQ1302" s="46">
        <v>0</v>
      </c>
      <c r="AR1302" s="46">
        <v>0</v>
      </c>
      <c r="AS1302" s="46">
        <v>0</v>
      </c>
      <c r="AT1302" s="46">
        <v>0</v>
      </c>
      <c r="AU1302" s="46">
        <v>0</v>
      </c>
      <c r="AV1302" s="46">
        <v>0</v>
      </c>
      <c r="AW1302" s="46">
        <v>0</v>
      </c>
      <c r="AX1302" s="46">
        <v>0</v>
      </c>
      <c r="AY1302" s="46">
        <v>0</v>
      </c>
      <c r="AZ1302" s="46">
        <v>0</v>
      </c>
      <c r="BA1302" s="46">
        <v>0</v>
      </c>
      <c r="BB1302" s="46">
        <v>0</v>
      </c>
      <c r="BC1302" s="46">
        <v>0</v>
      </c>
      <c r="BD1302" s="46">
        <v>0</v>
      </c>
      <c r="BE1302" s="46">
        <v>0</v>
      </c>
      <c r="BF1302" s="46">
        <v>0</v>
      </c>
      <c r="BG1302" s="46" t="s">
        <v>48</v>
      </c>
      <c r="BH1302" s="46">
        <v>0</v>
      </c>
      <c r="BI1302" s="46">
        <v>0</v>
      </c>
      <c r="BJ1302" s="46">
        <v>0</v>
      </c>
      <c r="BK1302" s="46">
        <v>0</v>
      </c>
      <c r="BL1302" s="46">
        <v>0</v>
      </c>
      <c r="BM1302" s="46">
        <v>0</v>
      </c>
      <c r="BN1302" s="46">
        <v>0</v>
      </c>
    </row>
    <row r="1303" spans="1:66" x14ac:dyDescent="0.35">
      <c r="A1303" t="s">
        <v>1020</v>
      </c>
      <c r="B1303" s="44" t="s">
        <v>48</v>
      </c>
      <c r="C1303" t="s">
        <v>11636</v>
      </c>
      <c r="D1303" t="s">
        <v>1023</v>
      </c>
      <c r="E1303" t="s">
        <v>8017</v>
      </c>
      <c r="F1303" t="s">
        <v>996</v>
      </c>
      <c r="G1303" t="s">
        <v>74</v>
      </c>
      <c r="H1303">
        <v>0</v>
      </c>
      <c r="I1303" s="61">
        <v>44729</v>
      </c>
      <c r="J1303" s="33" t="s">
        <v>45</v>
      </c>
      <c r="K1303" s="46">
        <v>0</v>
      </c>
      <c r="L1303">
        <v>1.3</v>
      </c>
      <c r="M1303" t="s">
        <v>48</v>
      </c>
      <c r="N1303" s="46">
        <v>0</v>
      </c>
      <c r="O1303" s="46">
        <v>0</v>
      </c>
      <c r="P1303" s="46">
        <v>0</v>
      </c>
      <c r="Q1303" t="s">
        <v>48</v>
      </c>
      <c r="R1303" t="s">
        <v>48</v>
      </c>
      <c r="S1303" t="s">
        <v>10022</v>
      </c>
      <c r="T1303" t="s">
        <v>48</v>
      </c>
      <c r="U1303" t="s">
        <v>10022</v>
      </c>
      <c r="V1303" s="47">
        <v>0</v>
      </c>
      <c r="W1303" t="s">
        <v>48</v>
      </c>
      <c r="X1303" t="s">
        <v>48</v>
      </c>
      <c r="Y1303" t="s">
        <v>48</v>
      </c>
      <c r="Z1303">
        <v>0</v>
      </c>
      <c r="AA1303" t="s">
        <v>48</v>
      </c>
      <c r="AB1303" t="s">
        <v>48</v>
      </c>
      <c r="AC1303" t="s">
        <v>1021</v>
      </c>
      <c r="AD1303" t="s">
        <v>93</v>
      </c>
      <c r="AE1303" t="s">
        <v>4532</v>
      </c>
      <c r="AF1303" t="s">
        <v>48</v>
      </c>
      <c r="AG1303" t="s">
        <v>48</v>
      </c>
      <c r="AH1303" t="s">
        <v>1022</v>
      </c>
      <c r="AI1303" t="s">
        <v>48</v>
      </c>
      <c r="AJ1303" t="s">
        <v>48</v>
      </c>
      <c r="AK1303" t="s">
        <v>48</v>
      </c>
      <c r="AL1303" t="s">
        <v>48</v>
      </c>
      <c r="AM1303" t="s">
        <v>48</v>
      </c>
      <c r="AN1303" t="s">
        <v>48</v>
      </c>
      <c r="AO1303" t="s">
        <v>48</v>
      </c>
      <c r="AP1303" s="46">
        <v>0</v>
      </c>
      <c r="AQ1303" s="46">
        <v>0</v>
      </c>
      <c r="AR1303" s="46">
        <v>0</v>
      </c>
      <c r="AS1303" s="46">
        <v>0</v>
      </c>
      <c r="AT1303" s="46">
        <v>0</v>
      </c>
      <c r="AU1303" s="46">
        <v>0</v>
      </c>
      <c r="AV1303" s="46">
        <v>0</v>
      </c>
      <c r="AW1303" s="46">
        <v>0</v>
      </c>
      <c r="AX1303" s="46">
        <v>0</v>
      </c>
      <c r="AY1303" s="46">
        <v>0</v>
      </c>
      <c r="AZ1303" s="46">
        <v>0</v>
      </c>
      <c r="BA1303" s="46">
        <v>0</v>
      </c>
      <c r="BB1303" s="46">
        <v>0</v>
      </c>
      <c r="BC1303" s="46">
        <v>0</v>
      </c>
      <c r="BD1303" s="46">
        <v>0</v>
      </c>
      <c r="BE1303" s="46">
        <v>0</v>
      </c>
      <c r="BF1303" s="46">
        <v>0</v>
      </c>
      <c r="BG1303" s="46" t="s">
        <v>48</v>
      </c>
      <c r="BH1303" s="46">
        <v>0</v>
      </c>
      <c r="BI1303" s="46">
        <v>0</v>
      </c>
      <c r="BJ1303" s="46">
        <v>0</v>
      </c>
      <c r="BK1303" s="46">
        <v>0</v>
      </c>
      <c r="BL1303" s="46">
        <v>0</v>
      </c>
      <c r="BM1303" s="46">
        <v>0</v>
      </c>
      <c r="BN1303" s="46">
        <v>0</v>
      </c>
    </row>
    <row r="1304" spans="1:66" x14ac:dyDescent="0.35">
      <c r="A1304" t="s">
        <v>1007</v>
      </c>
      <c r="B1304" s="44" t="s">
        <v>48</v>
      </c>
      <c r="C1304" t="s">
        <v>11635</v>
      </c>
      <c r="D1304" t="s">
        <v>1008</v>
      </c>
      <c r="E1304" t="s">
        <v>8181</v>
      </c>
      <c r="F1304" t="s">
        <v>996</v>
      </c>
      <c r="G1304" t="s">
        <v>47</v>
      </c>
      <c r="H1304">
        <v>0</v>
      </c>
      <c r="I1304" s="61">
        <v>44729</v>
      </c>
      <c r="J1304" s="33" t="s">
        <v>45</v>
      </c>
      <c r="K1304" s="46">
        <v>0</v>
      </c>
      <c r="L1304">
        <v>3.9</v>
      </c>
      <c r="M1304" s="41" t="s">
        <v>48</v>
      </c>
      <c r="N1304" s="46">
        <v>0</v>
      </c>
      <c r="O1304" s="46">
        <v>0</v>
      </c>
      <c r="P1304" s="46">
        <v>0</v>
      </c>
      <c r="Q1304" s="41" t="s">
        <v>48</v>
      </c>
      <c r="R1304" s="41" t="s">
        <v>48</v>
      </c>
      <c r="S1304" t="s">
        <v>48</v>
      </c>
      <c r="T1304" t="s">
        <v>48</v>
      </c>
      <c r="U1304" t="s">
        <v>48</v>
      </c>
      <c r="V1304" s="47">
        <v>0</v>
      </c>
      <c r="W1304" t="s">
        <v>48</v>
      </c>
      <c r="X1304" t="s">
        <v>48</v>
      </c>
      <c r="Y1304" t="s">
        <v>48</v>
      </c>
      <c r="Z1304">
        <v>0</v>
      </c>
      <c r="AA1304" t="s">
        <v>48</v>
      </c>
      <c r="AB1304" t="s">
        <v>48</v>
      </c>
      <c r="AC1304" t="s">
        <v>63</v>
      </c>
      <c r="AD1304" t="s">
        <v>951</v>
      </c>
      <c r="AE1304" t="s">
        <v>11051</v>
      </c>
      <c r="AF1304" t="s">
        <v>48</v>
      </c>
      <c r="AG1304" t="s">
        <v>48</v>
      </c>
      <c r="AH1304" t="s">
        <v>48</v>
      </c>
      <c r="AI1304" t="s">
        <v>48</v>
      </c>
      <c r="AJ1304" t="s">
        <v>48</v>
      </c>
      <c r="AK1304" t="s">
        <v>48</v>
      </c>
      <c r="AL1304" t="s">
        <v>48</v>
      </c>
      <c r="AM1304" t="s">
        <v>48</v>
      </c>
      <c r="AN1304" t="s">
        <v>48</v>
      </c>
      <c r="AO1304" t="s">
        <v>48</v>
      </c>
      <c r="AP1304" s="46">
        <v>0</v>
      </c>
      <c r="AQ1304" s="46">
        <v>0</v>
      </c>
      <c r="AR1304" s="46">
        <v>0</v>
      </c>
      <c r="AS1304" s="46">
        <v>0</v>
      </c>
      <c r="AT1304" s="46">
        <v>0</v>
      </c>
      <c r="AU1304" s="46">
        <v>0</v>
      </c>
      <c r="AV1304" s="46">
        <v>0</v>
      </c>
      <c r="AW1304" s="46">
        <v>0</v>
      </c>
      <c r="AX1304" s="46">
        <v>0</v>
      </c>
      <c r="AY1304" s="46">
        <v>0</v>
      </c>
      <c r="AZ1304" s="46">
        <v>0</v>
      </c>
      <c r="BA1304" s="46">
        <v>0</v>
      </c>
      <c r="BB1304" s="46">
        <v>0</v>
      </c>
      <c r="BC1304" s="46">
        <v>0</v>
      </c>
      <c r="BD1304" s="46">
        <v>0</v>
      </c>
      <c r="BE1304" s="46">
        <v>0</v>
      </c>
      <c r="BF1304" s="46">
        <v>0</v>
      </c>
      <c r="BG1304" s="46" t="s">
        <v>48</v>
      </c>
      <c r="BH1304" s="46">
        <v>0</v>
      </c>
      <c r="BI1304" s="46">
        <v>0</v>
      </c>
      <c r="BJ1304" s="46">
        <v>0</v>
      </c>
      <c r="BK1304" s="46">
        <v>0</v>
      </c>
      <c r="BL1304" s="46">
        <v>0</v>
      </c>
      <c r="BM1304" s="46">
        <v>0</v>
      </c>
      <c r="BN1304" s="46">
        <v>0</v>
      </c>
    </row>
    <row r="1305" spans="1:66" x14ac:dyDescent="0.35">
      <c r="A1305" t="s">
        <v>1017</v>
      </c>
      <c r="B1305" s="44" t="s">
        <v>48</v>
      </c>
      <c r="C1305" t="s">
        <v>1019</v>
      </c>
      <c r="D1305" t="s">
        <v>701</v>
      </c>
      <c r="E1305" t="s">
        <v>8016</v>
      </c>
      <c r="F1305" t="s">
        <v>996</v>
      </c>
      <c r="G1305" t="s">
        <v>74</v>
      </c>
      <c r="H1305">
        <v>0</v>
      </c>
      <c r="I1305" s="61">
        <v>44729</v>
      </c>
      <c r="J1305" s="33" t="s">
        <v>45</v>
      </c>
      <c r="K1305" s="46">
        <v>0</v>
      </c>
      <c r="L1305">
        <v>1.9</v>
      </c>
      <c r="M1305" s="41" t="s">
        <v>48</v>
      </c>
      <c r="N1305" s="46">
        <v>0</v>
      </c>
      <c r="O1305" s="46">
        <v>0</v>
      </c>
      <c r="P1305" s="46">
        <v>0</v>
      </c>
      <c r="Q1305" s="41" t="s">
        <v>48</v>
      </c>
      <c r="R1305" s="41" t="s">
        <v>48</v>
      </c>
      <c r="S1305" t="s">
        <v>10023</v>
      </c>
      <c r="T1305" t="s">
        <v>1018</v>
      </c>
      <c r="U1305" t="s">
        <v>10023</v>
      </c>
      <c r="V1305" s="47">
        <v>0</v>
      </c>
      <c r="W1305" t="s">
        <v>48</v>
      </c>
      <c r="X1305" t="s">
        <v>48</v>
      </c>
      <c r="Y1305" t="s">
        <v>48</v>
      </c>
      <c r="Z1305">
        <v>0</v>
      </c>
      <c r="AA1305" t="s">
        <v>48</v>
      </c>
      <c r="AB1305" t="s">
        <v>48</v>
      </c>
      <c r="AC1305" t="s">
        <v>49</v>
      </c>
      <c r="AD1305" t="s">
        <v>93</v>
      </c>
      <c r="AE1305" t="s">
        <v>4532</v>
      </c>
      <c r="AF1305" t="s">
        <v>48</v>
      </c>
      <c r="AG1305" t="s">
        <v>48</v>
      </c>
      <c r="AH1305" t="s">
        <v>48</v>
      </c>
      <c r="AI1305" t="s">
        <v>48</v>
      </c>
      <c r="AJ1305" t="s">
        <v>48</v>
      </c>
      <c r="AK1305" t="s">
        <v>48</v>
      </c>
      <c r="AL1305" t="s">
        <v>48</v>
      </c>
      <c r="AM1305" t="s">
        <v>48</v>
      </c>
      <c r="AN1305" t="s">
        <v>48</v>
      </c>
      <c r="AO1305" t="s">
        <v>48</v>
      </c>
      <c r="AP1305" s="46">
        <v>0</v>
      </c>
      <c r="AQ1305" s="46">
        <v>0</v>
      </c>
      <c r="AR1305" s="46">
        <v>0</v>
      </c>
      <c r="AS1305" s="46">
        <v>0</v>
      </c>
      <c r="AT1305" s="46">
        <v>0</v>
      </c>
      <c r="AU1305" s="46">
        <v>0</v>
      </c>
      <c r="AV1305" s="46">
        <v>0</v>
      </c>
      <c r="AW1305" s="46">
        <v>0</v>
      </c>
      <c r="AX1305" s="46">
        <v>0</v>
      </c>
      <c r="AY1305" s="46">
        <v>0</v>
      </c>
      <c r="AZ1305" s="46">
        <v>0</v>
      </c>
      <c r="BA1305" s="46">
        <v>0</v>
      </c>
      <c r="BB1305" s="46">
        <v>0</v>
      </c>
      <c r="BC1305" s="46">
        <v>0</v>
      </c>
      <c r="BD1305" s="46">
        <v>0</v>
      </c>
      <c r="BE1305" s="46">
        <v>0</v>
      </c>
      <c r="BF1305" s="46">
        <v>0</v>
      </c>
      <c r="BG1305" s="46" t="s">
        <v>48</v>
      </c>
      <c r="BH1305" s="46">
        <v>0</v>
      </c>
      <c r="BI1305" s="46">
        <v>0</v>
      </c>
      <c r="BJ1305" s="46">
        <v>0</v>
      </c>
      <c r="BK1305" s="46">
        <v>0</v>
      </c>
      <c r="BL1305" s="46">
        <v>0</v>
      </c>
      <c r="BM1305" s="46">
        <v>0</v>
      </c>
      <c r="BN1305" s="46">
        <v>0</v>
      </c>
    </row>
    <row r="1306" spans="1:66" x14ac:dyDescent="0.35">
      <c r="A1306" t="s">
        <v>1000</v>
      </c>
      <c r="B1306" s="44" t="s">
        <v>48</v>
      </c>
      <c r="C1306" t="s">
        <v>1004</v>
      </c>
      <c r="D1306" t="s">
        <v>1003</v>
      </c>
      <c r="E1306" t="s">
        <v>8014</v>
      </c>
      <c r="F1306" t="s">
        <v>996</v>
      </c>
      <c r="G1306" t="s">
        <v>74</v>
      </c>
      <c r="H1306">
        <v>0</v>
      </c>
      <c r="I1306" s="61">
        <v>44729</v>
      </c>
      <c r="J1306" s="33" t="s">
        <v>45</v>
      </c>
      <c r="K1306" s="46">
        <v>0</v>
      </c>
      <c r="L1306">
        <v>10.4</v>
      </c>
      <c r="M1306" s="41" t="s">
        <v>48</v>
      </c>
      <c r="N1306" s="46">
        <v>0</v>
      </c>
      <c r="O1306" s="46">
        <v>0</v>
      </c>
      <c r="P1306" s="46">
        <v>0</v>
      </c>
      <c r="Q1306" s="41" t="s">
        <v>48</v>
      </c>
      <c r="R1306" s="41" t="s">
        <v>48</v>
      </c>
      <c r="S1306" t="s">
        <v>1002</v>
      </c>
      <c r="T1306" t="s">
        <v>48</v>
      </c>
      <c r="U1306" t="s">
        <v>1002</v>
      </c>
      <c r="V1306" s="47">
        <v>0</v>
      </c>
      <c r="W1306" t="s">
        <v>48</v>
      </c>
      <c r="X1306" t="s">
        <v>48</v>
      </c>
      <c r="Y1306" t="s">
        <v>48</v>
      </c>
      <c r="Z1306">
        <v>0</v>
      </c>
      <c r="AA1306" t="s">
        <v>48</v>
      </c>
      <c r="AB1306" t="s">
        <v>48</v>
      </c>
      <c r="AC1306" t="s">
        <v>49</v>
      </c>
      <c r="AD1306" t="s">
        <v>93</v>
      </c>
      <c r="AE1306" t="s">
        <v>11051</v>
      </c>
      <c r="AF1306" t="s">
        <v>11058</v>
      </c>
      <c r="AG1306" t="s">
        <v>48</v>
      </c>
      <c r="AH1306" t="s">
        <v>48</v>
      </c>
      <c r="AI1306" t="s">
        <v>48</v>
      </c>
      <c r="AJ1306" t="s">
        <v>48</v>
      </c>
      <c r="AK1306" t="s">
        <v>48</v>
      </c>
      <c r="AL1306" t="s">
        <v>48</v>
      </c>
      <c r="AM1306" t="s">
        <v>48</v>
      </c>
      <c r="AN1306" t="s">
        <v>48</v>
      </c>
      <c r="AO1306" t="s">
        <v>48</v>
      </c>
      <c r="AP1306" s="46">
        <v>0</v>
      </c>
      <c r="AQ1306" s="46">
        <v>0</v>
      </c>
      <c r="AR1306" s="46">
        <v>0</v>
      </c>
      <c r="AS1306" s="46">
        <v>0</v>
      </c>
      <c r="AT1306" s="46">
        <v>0</v>
      </c>
      <c r="AU1306" s="46">
        <v>0</v>
      </c>
      <c r="AV1306" s="46">
        <v>0</v>
      </c>
      <c r="AW1306" s="46">
        <v>0</v>
      </c>
      <c r="AX1306" s="46">
        <v>0</v>
      </c>
      <c r="AY1306" s="46">
        <v>0</v>
      </c>
      <c r="AZ1306" s="46">
        <v>0</v>
      </c>
      <c r="BA1306" s="46">
        <v>0</v>
      </c>
      <c r="BB1306" s="46">
        <v>0</v>
      </c>
      <c r="BC1306" s="46">
        <v>0</v>
      </c>
      <c r="BD1306" s="46">
        <v>0</v>
      </c>
      <c r="BE1306" s="46">
        <v>0</v>
      </c>
      <c r="BF1306" s="46">
        <v>0</v>
      </c>
      <c r="BG1306" s="46" t="s">
        <v>48</v>
      </c>
      <c r="BH1306" s="46">
        <v>0</v>
      </c>
      <c r="BI1306" s="46">
        <v>0</v>
      </c>
      <c r="BJ1306" s="46">
        <v>0</v>
      </c>
      <c r="BK1306" s="46">
        <v>0</v>
      </c>
      <c r="BL1306" s="46">
        <v>0</v>
      </c>
      <c r="BM1306" s="46">
        <v>0</v>
      </c>
      <c r="BN1306" s="46">
        <v>0</v>
      </c>
    </row>
    <row r="1307" spans="1:66" x14ac:dyDescent="0.35">
      <c r="A1307" t="s">
        <v>8019</v>
      </c>
      <c r="B1307" s="44" t="s">
        <v>48</v>
      </c>
      <c r="C1307" t="s">
        <v>1201</v>
      </c>
      <c r="D1307" t="s">
        <v>1005</v>
      </c>
      <c r="E1307" t="s">
        <v>8020</v>
      </c>
      <c r="F1307" t="s">
        <v>1001</v>
      </c>
      <c r="G1307" t="s">
        <v>74</v>
      </c>
      <c r="H1307">
        <v>0</v>
      </c>
      <c r="I1307" s="61">
        <v>44729</v>
      </c>
      <c r="J1307" s="33" t="s">
        <v>45</v>
      </c>
      <c r="K1307" s="46">
        <v>0</v>
      </c>
      <c r="L1307">
        <v>2.4</v>
      </c>
      <c r="M1307" t="s">
        <v>48</v>
      </c>
      <c r="N1307" s="46">
        <v>0</v>
      </c>
      <c r="O1307" s="46">
        <v>0</v>
      </c>
      <c r="P1307" s="46">
        <v>0</v>
      </c>
      <c r="Q1307" t="s">
        <v>48</v>
      </c>
      <c r="R1307" t="s">
        <v>48</v>
      </c>
      <c r="S1307" t="s">
        <v>48</v>
      </c>
      <c r="T1307" t="s">
        <v>48</v>
      </c>
      <c r="U1307" t="s">
        <v>48</v>
      </c>
      <c r="V1307" s="47">
        <v>1</v>
      </c>
      <c r="W1307" t="s">
        <v>48</v>
      </c>
      <c r="X1307" t="s">
        <v>48</v>
      </c>
      <c r="Y1307" t="s">
        <v>48</v>
      </c>
      <c r="Z1307" t="s">
        <v>48</v>
      </c>
      <c r="AA1307" t="s">
        <v>48</v>
      </c>
      <c r="AB1307" t="s">
        <v>48</v>
      </c>
      <c r="AC1307" t="s">
        <v>49</v>
      </c>
      <c r="AD1307" t="s">
        <v>93</v>
      </c>
      <c r="AE1307" t="s">
        <v>2471</v>
      </c>
      <c r="AF1307" t="s">
        <v>48</v>
      </c>
      <c r="AG1307" t="s">
        <v>48</v>
      </c>
      <c r="AH1307" t="s">
        <v>48</v>
      </c>
      <c r="AI1307" t="s">
        <v>48</v>
      </c>
      <c r="AJ1307" t="s">
        <v>48</v>
      </c>
      <c r="AK1307" t="s">
        <v>48</v>
      </c>
      <c r="AL1307" t="s">
        <v>48</v>
      </c>
      <c r="AM1307" t="s">
        <v>48</v>
      </c>
      <c r="AN1307" t="s">
        <v>48</v>
      </c>
      <c r="AO1307" t="s">
        <v>48</v>
      </c>
      <c r="AP1307" s="46">
        <v>0</v>
      </c>
      <c r="AQ1307" s="46">
        <v>0</v>
      </c>
      <c r="AR1307" s="46">
        <v>0</v>
      </c>
      <c r="AS1307" s="46">
        <v>0</v>
      </c>
      <c r="AT1307" s="46">
        <v>0</v>
      </c>
      <c r="AU1307" s="46">
        <v>0</v>
      </c>
      <c r="AV1307" s="46">
        <v>0</v>
      </c>
      <c r="AW1307" s="46">
        <v>0</v>
      </c>
      <c r="AX1307" s="46">
        <v>0</v>
      </c>
      <c r="AY1307" s="46">
        <v>0</v>
      </c>
      <c r="AZ1307" s="46">
        <v>0</v>
      </c>
      <c r="BA1307" s="46">
        <v>0</v>
      </c>
      <c r="BB1307" s="46">
        <v>0</v>
      </c>
      <c r="BC1307" s="46">
        <v>0</v>
      </c>
      <c r="BD1307" s="46">
        <v>0</v>
      </c>
      <c r="BE1307" s="46">
        <v>0</v>
      </c>
      <c r="BF1307" s="46">
        <v>0</v>
      </c>
      <c r="BG1307" s="46" t="s">
        <v>48</v>
      </c>
      <c r="BH1307" s="46">
        <v>0</v>
      </c>
      <c r="BI1307" s="46">
        <v>0</v>
      </c>
      <c r="BJ1307" s="46">
        <v>0</v>
      </c>
      <c r="BK1307" s="46">
        <v>0</v>
      </c>
      <c r="BL1307" s="46">
        <v>0</v>
      </c>
      <c r="BM1307" s="46">
        <v>0</v>
      </c>
      <c r="BN1307" s="46">
        <v>0</v>
      </c>
    </row>
    <row r="1308" spans="1:66" x14ac:dyDescent="0.35">
      <c r="A1308" t="s">
        <v>8127</v>
      </c>
      <c r="B1308" s="44" t="s">
        <v>48</v>
      </c>
      <c r="C1308" t="s">
        <v>11637</v>
      </c>
      <c r="D1308" t="s">
        <v>171</v>
      </c>
      <c r="E1308" t="s">
        <v>11557</v>
      </c>
      <c r="F1308" t="s">
        <v>1001</v>
      </c>
      <c r="G1308" t="s">
        <v>83</v>
      </c>
      <c r="H1308">
        <v>0</v>
      </c>
      <c r="I1308" s="61">
        <v>44729</v>
      </c>
      <c r="J1308" s="33" t="s">
        <v>45</v>
      </c>
      <c r="K1308" s="46">
        <v>0</v>
      </c>
      <c r="L1308">
        <v>3.3</v>
      </c>
      <c r="M1308" t="s">
        <v>48</v>
      </c>
      <c r="N1308" s="46">
        <v>0</v>
      </c>
      <c r="O1308" s="46">
        <v>0</v>
      </c>
      <c r="P1308" s="46">
        <v>0</v>
      </c>
      <c r="Q1308" t="s">
        <v>48</v>
      </c>
      <c r="R1308" t="s">
        <v>48</v>
      </c>
      <c r="S1308" t="s">
        <v>10024</v>
      </c>
      <c r="T1308" t="s">
        <v>48</v>
      </c>
      <c r="U1308" t="s">
        <v>10024</v>
      </c>
      <c r="V1308" s="47">
        <v>1</v>
      </c>
      <c r="W1308" t="s">
        <v>48</v>
      </c>
      <c r="X1308" t="s">
        <v>48</v>
      </c>
      <c r="Y1308" t="s">
        <v>48</v>
      </c>
      <c r="Z1308" t="s">
        <v>48</v>
      </c>
      <c r="AA1308" t="s">
        <v>48</v>
      </c>
      <c r="AB1308" t="s">
        <v>48</v>
      </c>
      <c r="AC1308" t="s">
        <v>49</v>
      </c>
      <c r="AD1308" t="s">
        <v>93</v>
      </c>
      <c r="AE1308" t="s">
        <v>4532</v>
      </c>
      <c r="AF1308" t="s">
        <v>48</v>
      </c>
      <c r="AG1308" t="s">
        <v>48</v>
      </c>
      <c r="AH1308" t="s">
        <v>48</v>
      </c>
      <c r="AI1308" t="s">
        <v>48</v>
      </c>
      <c r="AJ1308" t="s">
        <v>48</v>
      </c>
      <c r="AK1308" t="s">
        <v>48</v>
      </c>
      <c r="AL1308" t="s">
        <v>48</v>
      </c>
      <c r="AM1308" t="s">
        <v>48</v>
      </c>
      <c r="AN1308" t="s">
        <v>48</v>
      </c>
      <c r="AO1308" t="s">
        <v>48</v>
      </c>
      <c r="AP1308" s="46">
        <v>0</v>
      </c>
      <c r="AQ1308" s="46">
        <v>0</v>
      </c>
      <c r="AR1308" s="46">
        <v>0</v>
      </c>
      <c r="AS1308" s="46">
        <v>0</v>
      </c>
      <c r="AT1308" s="46">
        <v>0</v>
      </c>
      <c r="AU1308" s="46">
        <v>0</v>
      </c>
      <c r="AV1308" s="46">
        <v>0</v>
      </c>
      <c r="AW1308" s="46">
        <v>0</v>
      </c>
      <c r="AX1308" s="46">
        <v>0</v>
      </c>
      <c r="AY1308" s="46">
        <v>0</v>
      </c>
      <c r="AZ1308" s="46">
        <v>0</v>
      </c>
      <c r="BA1308" s="46">
        <v>0</v>
      </c>
      <c r="BB1308" s="46">
        <v>0</v>
      </c>
      <c r="BC1308" s="46">
        <v>0</v>
      </c>
      <c r="BD1308" s="46">
        <v>0</v>
      </c>
      <c r="BE1308" s="46">
        <v>0</v>
      </c>
      <c r="BF1308" s="46">
        <v>0</v>
      </c>
      <c r="BG1308" s="46" t="s">
        <v>48</v>
      </c>
      <c r="BH1308" s="46">
        <v>0</v>
      </c>
      <c r="BI1308" s="46">
        <v>0</v>
      </c>
      <c r="BJ1308" s="46">
        <v>0</v>
      </c>
      <c r="BK1308" s="46">
        <v>0</v>
      </c>
      <c r="BL1308" s="46">
        <v>0</v>
      </c>
      <c r="BM1308" s="46">
        <v>0</v>
      </c>
      <c r="BN1308" s="46">
        <v>0</v>
      </c>
    </row>
    <row r="1309" spans="1:66" x14ac:dyDescent="0.35">
      <c r="A1309" t="s">
        <v>8183</v>
      </c>
      <c r="B1309" s="44" t="s">
        <v>48</v>
      </c>
      <c r="C1309" t="s">
        <v>11638</v>
      </c>
      <c r="D1309" t="s">
        <v>11639</v>
      </c>
      <c r="E1309" t="s">
        <v>8184</v>
      </c>
      <c r="F1309" t="s">
        <v>1001</v>
      </c>
      <c r="G1309" t="s">
        <v>47</v>
      </c>
      <c r="H1309">
        <v>0</v>
      </c>
      <c r="I1309" s="61">
        <v>44729</v>
      </c>
      <c r="J1309" s="33" t="s">
        <v>45</v>
      </c>
      <c r="K1309" s="46">
        <v>0</v>
      </c>
      <c r="L1309">
        <v>1.2</v>
      </c>
      <c r="M1309" t="s">
        <v>48</v>
      </c>
      <c r="N1309" s="46">
        <v>0</v>
      </c>
      <c r="O1309" s="46">
        <v>0</v>
      </c>
      <c r="P1309" s="46">
        <v>0</v>
      </c>
      <c r="Q1309" t="s">
        <v>48</v>
      </c>
      <c r="R1309" t="s">
        <v>48</v>
      </c>
      <c r="S1309" t="s">
        <v>48</v>
      </c>
      <c r="T1309" t="s">
        <v>48</v>
      </c>
      <c r="U1309" t="s">
        <v>48</v>
      </c>
      <c r="V1309" s="47">
        <v>1</v>
      </c>
      <c r="W1309" t="s">
        <v>48</v>
      </c>
      <c r="X1309" t="s">
        <v>48</v>
      </c>
      <c r="Y1309" t="s">
        <v>48</v>
      </c>
      <c r="Z1309" t="s">
        <v>48</v>
      </c>
      <c r="AA1309" t="s">
        <v>48</v>
      </c>
      <c r="AB1309" t="s">
        <v>48</v>
      </c>
      <c r="AC1309" t="s">
        <v>49</v>
      </c>
      <c r="AD1309" t="s">
        <v>48</v>
      </c>
      <c r="AE1309" t="s">
        <v>48</v>
      </c>
      <c r="AF1309" t="s">
        <v>48</v>
      </c>
      <c r="AG1309" t="s">
        <v>48</v>
      </c>
      <c r="AH1309" t="s">
        <v>48</v>
      </c>
      <c r="AI1309" t="s">
        <v>48</v>
      </c>
      <c r="AJ1309" t="s">
        <v>48</v>
      </c>
      <c r="AK1309" t="s">
        <v>48</v>
      </c>
      <c r="AL1309" t="s">
        <v>48</v>
      </c>
      <c r="AM1309" t="s">
        <v>48</v>
      </c>
      <c r="AN1309" t="s">
        <v>48</v>
      </c>
      <c r="AO1309" t="s">
        <v>48</v>
      </c>
      <c r="AP1309" s="46">
        <v>0</v>
      </c>
      <c r="AQ1309" s="46">
        <v>0</v>
      </c>
      <c r="AR1309" s="46">
        <v>0</v>
      </c>
      <c r="AS1309" s="46">
        <v>0</v>
      </c>
      <c r="AT1309" s="46">
        <v>0</v>
      </c>
      <c r="AU1309" s="46">
        <v>0</v>
      </c>
      <c r="AV1309" s="46">
        <v>0</v>
      </c>
      <c r="AW1309" s="46">
        <v>0</v>
      </c>
      <c r="AX1309" s="46">
        <v>0</v>
      </c>
      <c r="AY1309" s="46">
        <v>0</v>
      </c>
      <c r="AZ1309" s="46">
        <v>0</v>
      </c>
      <c r="BA1309" s="46">
        <v>0</v>
      </c>
      <c r="BB1309" s="46">
        <v>0</v>
      </c>
      <c r="BC1309" s="46">
        <v>0</v>
      </c>
      <c r="BD1309" s="46">
        <v>0</v>
      </c>
      <c r="BE1309" s="46">
        <v>0</v>
      </c>
      <c r="BF1309" s="46">
        <v>0</v>
      </c>
      <c r="BG1309" s="46" t="s">
        <v>48</v>
      </c>
      <c r="BH1309" s="46">
        <v>0</v>
      </c>
      <c r="BI1309" s="46">
        <v>0</v>
      </c>
      <c r="BJ1309" s="46">
        <v>0</v>
      </c>
      <c r="BK1309" s="46">
        <v>0</v>
      </c>
      <c r="BL1309" s="46">
        <v>0</v>
      </c>
      <c r="BM1309" s="46">
        <v>0</v>
      </c>
      <c r="BN1309" s="46">
        <v>0</v>
      </c>
    </row>
    <row r="1310" spans="1:66" x14ac:dyDescent="0.35">
      <c r="A1310" t="s">
        <v>1077</v>
      </c>
      <c r="B1310" s="44" t="s">
        <v>48</v>
      </c>
      <c r="C1310" t="s">
        <v>1079</v>
      </c>
      <c r="D1310" t="s">
        <v>268</v>
      </c>
      <c r="E1310" t="s">
        <v>8189</v>
      </c>
      <c r="F1310" t="s">
        <v>1025</v>
      </c>
      <c r="G1310" t="s">
        <v>47</v>
      </c>
      <c r="H1310">
        <v>0</v>
      </c>
      <c r="I1310" s="61">
        <v>44729</v>
      </c>
      <c r="J1310" s="33" t="s">
        <v>45</v>
      </c>
      <c r="K1310" s="46">
        <v>0</v>
      </c>
      <c r="L1310">
        <v>14.8</v>
      </c>
      <c r="M1310" s="41" t="s">
        <v>48</v>
      </c>
      <c r="N1310" s="46">
        <v>0</v>
      </c>
      <c r="O1310" s="46">
        <v>0</v>
      </c>
      <c r="P1310" s="46">
        <v>0</v>
      </c>
      <c r="Q1310" s="41" t="s">
        <v>48</v>
      </c>
      <c r="R1310" s="41" t="s">
        <v>48</v>
      </c>
      <c r="S1310" t="s">
        <v>1078</v>
      </c>
      <c r="T1310" t="s">
        <v>48</v>
      </c>
      <c r="U1310" t="s">
        <v>1078</v>
      </c>
      <c r="V1310" s="47">
        <v>0</v>
      </c>
      <c r="W1310" t="s">
        <v>48</v>
      </c>
      <c r="X1310" t="s">
        <v>48</v>
      </c>
      <c r="Y1310" t="s">
        <v>48</v>
      </c>
      <c r="Z1310">
        <v>0</v>
      </c>
      <c r="AA1310" t="s">
        <v>48</v>
      </c>
      <c r="AB1310" t="s">
        <v>48</v>
      </c>
      <c r="AC1310" t="s">
        <v>49</v>
      </c>
      <c r="AD1310" t="s">
        <v>93</v>
      </c>
      <c r="AE1310" t="s">
        <v>4532</v>
      </c>
      <c r="AF1310" t="s">
        <v>48</v>
      </c>
      <c r="AG1310" t="s">
        <v>109</v>
      </c>
      <c r="AH1310" t="s">
        <v>48</v>
      </c>
      <c r="AI1310" t="s">
        <v>48</v>
      </c>
      <c r="AJ1310" t="s">
        <v>48</v>
      </c>
      <c r="AK1310" t="s">
        <v>48</v>
      </c>
      <c r="AL1310" t="s">
        <v>48</v>
      </c>
      <c r="AM1310" t="s">
        <v>48</v>
      </c>
      <c r="AN1310" t="s">
        <v>48</v>
      </c>
      <c r="AO1310" t="s">
        <v>48</v>
      </c>
      <c r="AP1310" s="46">
        <v>0</v>
      </c>
      <c r="AQ1310" s="46">
        <v>0</v>
      </c>
      <c r="AR1310" s="46">
        <v>0</v>
      </c>
      <c r="AS1310" s="46">
        <v>0</v>
      </c>
      <c r="AT1310" s="46">
        <v>0</v>
      </c>
      <c r="AU1310" s="46">
        <v>0</v>
      </c>
      <c r="AV1310" s="46">
        <v>0</v>
      </c>
      <c r="AW1310" s="46">
        <v>0</v>
      </c>
      <c r="AX1310" s="46">
        <v>0</v>
      </c>
      <c r="AY1310" s="46">
        <v>0</v>
      </c>
      <c r="AZ1310" s="46">
        <v>0</v>
      </c>
      <c r="BA1310" s="46">
        <v>0</v>
      </c>
      <c r="BB1310" s="46">
        <v>0</v>
      </c>
      <c r="BC1310" s="46">
        <v>0</v>
      </c>
      <c r="BD1310" s="46">
        <v>0</v>
      </c>
      <c r="BE1310" s="46">
        <v>0</v>
      </c>
      <c r="BF1310" s="46">
        <v>0</v>
      </c>
      <c r="BG1310" s="46" t="s">
        <v>48</v>
      </c>
      <c r="BH1310" s="46">
        <v>0</v>
      </c>
      <c r="BI1310" s="46">
        <v>0</v>
      </c>
      <c r="BJ1310" s="46">
        <v>0</v>
      </c>
      <c r="BK1310" s="46">
        <v>0</v>
      </c>
      <c r="BL1310" s="46">
        <v>0</v>
      </c>
      <c r="BM1310" s="46">
        <v>0</v>
      </c>
      <c r="BN1310" s="46">
        <v>0</v>
      </c>
    </row>
    <row r="1311" spans="1:66" x14ac:dyDescent="0.35">
      <c r="A1311" t="s">
        <v>8190</v>
      </c>
      <c r="B1311" s="44" t="s">
        <v>48</v>
      </c>
      <c r="C1311" t="s">
        <v>1211</v>
      </c>
      <c r="D1311" t="s">
        <v>7006</v>
      </c>
      <c r="E1311" t="s">
        <v>8191</v>
      </c>
      <c r="F1311" t="s">
        <v>1025</v>
      </c>
      <c r="G1311" t="s">
        <v>47</v>
      </c>
      <c r="H1311">
        <v>0</v>
      </c>
      <c r="I1311" s="61">
        <v>44729</v>
      </c>
      <c r="J1311" s="33" t="s">
        <v>45</v>
      </c>
      <c r="K1311" s="46">
        <v>0</v>
      </c>
      <c r="L1311">
        <v>2.6</v>
      </c>
      <c r="M1311" t="s">
        <v>48</v>
      </c>
      <c r="N1311" s="46">
        <v>0</v>
      </c>
      <c r="O1311" s="46">
        <v>0</v>
      </c>
      <c r="P1311" s="46">
        <v>0</v>
      </c>
      <c r="Q1311" t="s">
        <v>48</v>
      </c>
      <c r="R1311" t="s">
        <v>48</v>
      </c>
      <c r="S1311" t="s">
        <v>48</v>
      </c>
      <c r="T1311" t="s">
        <v>48</v>
      </c>
      <c r="U1311" t="s">
        <v>48</v>
      </c>
      <c r="V1311" s="47">
        <v>1</v>
      </c>
      <c r="W1311" t="s">
        <v>48</v>
      </c>
      <c r="X1311" t="s">
        <v>48</v>
      </c>
      <c r="Y1311" t="s">
        <v>48</v>
      </c>
      <c r="Z1311" t="s">
        <v>48</v>
      </c>
      <c r="AA1311" t="s">
        <v>48</v>
      </c>
      <c r="AB1311" t="s">
        <v>48</v>
      </c>
      <c r="AC1311" t="s">
        <v>49</v>
      </c>
      <c r="AD1311" t="s">
        <v>951</v>
      </c>
      <c r="AE1311" t="s">
        <v>11051</v>
      </c>
      <c r="AF1311" t="s">
        <v>48</v>
      </c>
      <c r="AG1311" t="s">
        <v>48</v>
      </c>
      <c r="AH1311" t="s">
        <v>48</v>
      </c>
      <c r="AI1311" t="s">
        <v>48</v>
      </c>
      <c r="AJ1311" t="s">
        <v>48</v>
      </c>
      <c r="AK1311" t="s">
        <v>48</v>
      </c>
      <c r="AL1311" t="s">
        <v>48</v>
      </c>
      <c r="AM1311" t="s">
        <v>48</v>
      </c>
      <c r="AN1311" t="s">
        <v>48</v>
      </c>
      <c r="AO1311" t="s">
        <v>48</v>
      </c>
      <c r="AP1311" s="46">
        <v>0</v>
      </c>
      <c r="AQ1311" s="46">
        <v>0</v>
      </c>
      <c r="AR1311" s="46">
        <v>0</v>
      </c>
      <c r="AS1311" s="46">
        <v>0</v>
      </c>
      <c r="AT1311" s="46">
        <v>0</v>
      </c>
      <c r="AU1311" s="46">
        <v>0</v>
      </c>
      <c r="AV1311" s="46">
        <v>0</v>
      </c>
      <c r="AW1311" s="46">
        <v>0</v>
      </c>
      <c r="AX1311" s="46">
        <v>0</v>
      </c>
      <c r="AY1311" s="46">
        <v>0</v>
      </c>
      <c r="AZ1311" s="46">
        <v>0</v>
      </c>
      <c r="BA1311" s="46">
        <v>0</v>
      </c>
      <c r="BB1311" s="46">
        <v>0</v>
      </c>
      <c r="BC1311" s="46">
        <v>0</v>
      </c>
      <c r="BD1311" s="46">
        <v>0</v>
      </c>
      <c r="BE1311" s="46">
        <v>0</v>
      </c>
      <c r="BF1311" s="46">
        <v>0</v>
      </c>
      <c r="BG1311" s="46" t="s">
        <v>48</v>
      </c>
      <c r="BH1311" s="46">
        <v>0</v>
      </c>
      <c r="BI1311" s="46">
        <v>0</v>
      </c>
      <c r="BJ1311" s="46">
        <v>0</v>
      </c>
      <c r="BK1311" s="46">
        <v>0</v>
      </c>
      <c r="BL1311" s="46">
        <v>0</v>
      </c>
      <c r="BM1311" s="46">
        <v>0</v>
      </c>
      <c r="BN1311" s="46">
        <v>0</v>
      </c>
    </row>
    <row r="1312" spans="1:66" x14ac:dyDescent="0.35">
      <c r="A1312" t="s">
        <v>1134</v>
      </c>
      <c r="B1312" s="44" t="s">
        <v>48</v>
      </c>
      <c r="C1312" t="s">
        <v>1137</v>
      </c>
      <c r="D1312" t="s">
        <v>1136</v>
      </c>
      <c r="E1312" t="s">
        <v>8021</v>
      </c>
      <c r="F1312" t="s">
        <v>1025</v>
      </c>
      <c r="G1312" t="s">
        <v>74</v>
      </c>
      <c r="H1312">
        <v>0</v>
      </c>
      <c r="I1312" s="61">
        <v>44729</v>
      </c>
      <c r="J1312" s="33" t="s">
        <v>45</v>
      </c>
      <c r="K1312" s="46">
        <v>0</v>
      </c>
      <c r="L1312">
        <v>17.3</v>
      </c>
      <c r="M1312" s="41" t="s">
        <v>48</v>
      </c>
      <c r="N1312" s="46">
        <v>0</v>
      </c>
      <c r="O1312" s="46">
        <v>0</v>
      </c>
      <c r="P1312" s="46">
        <v>0</v>
      </c>
      <c r="Q1312" s="41" t="s">
        <v>48</v>
      </c>
      <c r="R1312" s="41" t="s">
        <v>48</v>
      </c>
      <c r="S1312" t="s">
        <v>10025</v>
      </c>
      <c r="T1312" t="s">
        <v>48</v>
      </c>
      <c r="U1312" t="s">
        <v>10025</v>
      </c>
      <c r="V1312" s="47">
        <v>0</v>
      </c>
      <c r="W1312" t="s">
        <v>48</v>
      </c>
      <c r="X1312" t="s">
        <v>48</v>
      </c>
      <c r="Y1312" t="s">
        <v>48</v>
      </c>
      <c r="Z1312">
        <v>0</v>
      </c>
      <c r="AA1312" t="s">
        <v>48</v>
      </c>
      <c r="AB1312" t="s">
        <v>48</v>
      </c>
      <c r="AC1312" t="s">
        <v>49</v>
      </c>
      <c r="AD1312" t="s">
        <v>951</v>
      </c>
      <c r="AE1312" t="s">
        <v>11051</v>
      </c>
      <c r="AF1312" t="s">
        <v>48</v>
      </c>
      <c r="AG1312" t="s">
        <v>48</v>
      </c>
      <c r="AH1312" t="s">
        <v>48</v>
      </c>
      <c r="AI1312" t="s">
        <v>48</v>
      </c>
      <c r="AJ1312" t="s">
        <v>48</v>
      </c>
      <c r="AK1312" t="s">
        <v>48</v>
      </c>
      <c r="AL1312" t="s">
        <v>48</v>
      </c>
      <c r="AM1312" t="s">
        <v>48</v>
      </c>
      <c r="AN1312" t="s">
        <v>48</v>
      </c>
      <c r="AO1312" t="s">
        <v>48</v>
      </c>
      <c r="AP1312" s="46">
        <v>0</v>
      </c>
      <c r="AQ1312" s="46">
        <v>0</v>
      </c>
      <c r="AR1312" s="46">
        <v>0</v>
      </c>
      <c r="AS1312" s="46">
        <v>0</v>
      </c>
      <c r="AT1312" s="46">
        <v>0</v>
      </c>
      <c r="AU1312" s="46">
        <v>0</v>
      </c>
      <c r="AV1312" s="46">
        <v>0</v>
      </c>
      <c r="AW1312" s="46">
        <v>0</v>
      </c>
      <c r="AX1312" s="46">
        <v>0</v>
      </c>
      <c r="AY1312" s="46">
        <v>0</v>
      </c>
      <c r="AZ1312" s="46">
        <v>0</v>
      </c>
      <c r="BA1312" s="46">
        <v>0</v>
      </c>
      <c r="BB1312" s="46">
        <v>0</v>
      </c>
      <c r="BC1312" s="46">
        <v>0</v>
      </c>
      <c r="BD1312" s="46">
        <v>0</v>
      </c>
      <c r="BE1312" s="46">
        <v>0</v>
      </c>
      <c r="BF1312" s="46">
        <v>0</v>
      </c>
      <c r="BG1312" s="46" t="s">
        <v>48</v>
      </c>
      <c r="BH1312" s="46">
        <v>0</v>
      </c>
      <c r="BI1312" s="46">
        <v>0</v>
      </c>
      <c r="BJ1312" s="46">
        <v>0</v>
      </c>
      <c r="BK1312" s="46">
        <v>0</v>
      </c>
      <c r="BL1312" s="46">
        <v>0</v>
      </c>
      <c r="BM1312" s="46">
        <v>0</v>
      </c>
      <c r="BN1312" s="46">
        <v>0</v>
      </c>
    </row>
    <row r="1313" spans="1:66" x14ac:dyDescent="0.35">
      <c r="A1313" t="s">
        <v>1052</v>
      </c>
      <c r="B1313" s="44" t="s">
        <v>48</v>
      </c>
      <c r="C1313" t="s">
        <v>1054</v>
      </c>
      <c r="D1313" t="s">
        <v>603</v>
      </c>
      <c r="E1313" t="s">
        <v>1053</v>
      </c>
      <c r="F1313" t="s">
        <v>1036</v>
      </c>
      <c r="G1313" t="s">
        <v>74</v>
      </c>
      <c r="H1313">
        <v>0</v>
      </c>
      <c r="I1313" s="60" t="s">
        <v>125</v>
      </c>
      <c r="J1313" s="33" t="s">
        <v>45</v>
      </c>
      <c r="K1313" s="46">
        <v>0</v>
      </c>
      <c r="L1313">
        <v>5.0999999999999996</v>
      </c>
      <c r="M1313" t="s">
        <v>48</v>
      </c>
      <c r="N1313" s="46">
        <v>0</v>
      </c>
      <c r="O1313" s="46">
        <v>0</v>
      </c>
      <c r="P1313" s="46">
        <v>0</v>
      </c>
      <c r="Q1313" t="s">
        <v>48</v>
      </c>
      <c r="R1313" t="s">
        <v>48</v>
      </c>
      <c r="S1313" t="s">
        <v>10026</v>
      </c>
      <c r="T1313" t="s">
        <v>48</v>
      </c>
      <c r="U1313" t="s">
        <v>10026</v>
      </c>
      <c r="V1313" s="47">
        <v>0</v>
      </c>
      <c r="W1313" t="s">
        <v>48</v>
      </c>
      <c r="X1313" t="s">
        <v>48</v>
      </c>
      <c r="Y1313" t="s">
        <v>48</v>
      </c>
      <c r="Z1313">
        <v>0</v>
      </c>
      <c r="AA1313" t="s">
        <v>48</v>
      </c>
      <c r="AB1313" t="s">
        <v>48</v>
      </c>
      <c r="AC1313" t="s">
        <v>49</v>
      </c>
      <c r="AD1313" t="s">
        <v>93</v>
      </c>
      <c r="AE1313" t="s">
        <v>4532</v>
      </c>
      <c r="AF1313" t="s">
        <v>48</v>
      </c>
      <c r="AG1313" t="s">
        <v>48</v>
      </c>
      <c r="AH1313" t="s">
        <v>48</v>
      </c>
      <c r="AI1313" t="s">
        <v>48</v>
      </c>
      <c r="AJ1313" t="s">
        <v>48</v>
      </c>
      <c r="AK1313" t="s">
        <v>48</v>
      </c>
      <c r="AL1313" t="s">
        <v>48</v>
      </c>
      <c r="AM1313" t="s">
        <v>48</v>
      </c>
      <c r="AN1313" t="s">
        <v>48</v>
      </c>
      <c r="AO1313" t="s">
        <v>48</v>
      </c>
      <c r="AP1313" s="46">
        <v>0</v>
      </c>
      <c r="AQ1313" s="46">
        <v>0</v>
      </c>
      <c r="AR1313" s="46">
        <v>0</v>
      </c>
      <c r="AS1313" s="46">
        <v>0</v>
      </c>
      <c r="AT1313" s="46">
        <v>0</v>
      </c>
      <c r="AU1313" s="46">
        <v>0</v>
      </c>
      <c r="AV1313" s="46">
        <v>0</v>
      </c>
      <c r="AW1313" s="46">
        <v>0</v>
      </c>
      <c r="AX1313" s="46">
        <v>0</v>
      </c>
      <c r="AY1313" s="46">
        <v>0</v>
      </c>
      <c r="AZ1313" s="46">
        <v>0</v>
      </c>
      <c r="BA1313" s="46">
        <v>0</v>
      </c>
      <c r="BB1313" s="46">
        <v>0</v>
      </c>
      <c r="BC1313" s="46">
        <v>0</v>
      </c>
      <c r="BD1313" s="46">
        <v>0</v>
      </c>
      <c r="BE1313" s="46">
        <v>0</v>
      </c>
      <c r="BF1313" s="46">
        <v>0</v>
      </c>
      <c r="BG1313" s="46" t="s">
        <v>48</v>
      </c>
      <c r="BH1313" s="46">
        <v>0</v>
      </c>
      <c r="BI1313" s="46">
        <v>0</v>
      </c>
      <c r="BJ1313" s="46">
        <v>0</v>
      </c>
      <c r="BK1313" s="46">
        <v>0</v>
      </c>
      <c r="BL1313" s="46">
        <v>0</v>
      </c>
      <c r="BM1313" s="46">
        <v>0</v>
      </c>
      <c r="BN1313" s="46">
        <v>0</v>
      </c>
    </row>
    <row r="1314" spans="1:66" x14ac:dyDescent="0.35">
      <c r="A1314" t="s">
        <v>8394</v>
      </c>
      <c r="B1314" s="44" t="s">
        <v>48</v>
      </c>
      <c r="C1314" t="s">
        <v>11642</v>
      </c>
      <c r="D1314" t="s">
        <v>3112</v>
      </c>
      <c r="E1314" t="s">
        <v>8395</v>
      </c>
      <c r="F1314" t="s">
        <v>1036</v>
      </c>
      <c r="G1314" t="s">
        <v>83</v>
      </c>
      <c r="H1314">
        <v>0</v>
      </c>
      <c r="I1314" s="61">
        <v>44729</v>
      </c>
      <c r="J1314" s="33" t="s">
        <v>45</v>
      </c>
      <c r="K1314" s="46">
        <v>0</v>
      </c>
      <c r="L1314">
        <v>0.5</v>
      </c>
      <c r="M1314" t="s">
        <v>48</v>
      </c>
      <c r="N1314" s="46">
        <v>0</v>
      </c>
      <c r="O1314" s="46">
        <v>0</v>
      </c>
      <c r="P1314" s="46">
        <v>0</v>
      </c>
      <c r="Q1314" t="s">
        <v>48</v>
      </c>
      <c r="R1314" t="s">
        <v>48</v>
      </c>
      <c r="S1314" t="s">
        <v>48</v>
      </c>
      <c r="T1314" t="s">
        <v>48</v>
      </c>
      <c r="U1314" t="s">
        <v>48</v>
      </c>
      <c r="V1314" s="47">
        <v>1</v>
      </c>
      <c r="W1314" t="s">
        <v>48</v>
      </c>
      <c r="X1314" t="s">
        <v>48</v>
      </c>
      <c r="Y1314" t="s">
        <v>48</v>
      </c>
      <c r="Z1314" t="s">
        <v>48</v>
      </c>
      <c r="AA1314" t="s">
        <v>48</v>
      </c>
      <c r="AB1314" t="s">
        <v>48</v>
      </c>
      <c r="AC1314" t="s">
        <v>49</v>
      </c>
      <c r="AD1314" t="s">
        <v>951</v>
      </c>
      <c r="AE1314" t="s">
        <v>11051</v>
      </c>
      <c r="AF1314" t="s">
        <v>48</v>
      </c>
      <c r="AG1314" t="s">
        <v>48</v>
      </c>
      <c r="AH1314" t="s">
        <v>48</v>
      </c>
      <c r="AI1314" t="s">
        <v>48</v>
      </c>
      <c r="AJ1314" t="s">
        <v>48</v>
      </c>
      <c r="AK1314" t="s">
        <v>48</v>
      </c>
      <c r="AL1314" t="s">
        <v>48</v>
      </c>
      <c r="AM1314" t="s">
        <v>48</v>
      </c>
      <c r="AN1314" t="s">
        <v>48</v>
      </c>
      <c r="AO1314" t="s">
        <v>48</v>
      </c>
      <c r="AP1314" s="46">
        <v>0</v>
      </c>
      <c r="AQ1314" s="46">
        <v>0</v>
      </c>
      <c r="AR1314" s="46">
        <v>0</v>
      </c>
      <c r="AS1314" s="46">
        <v>0</v>
      </c>
      <c r="AT1314" s="46">
        <v>0</v>
      </c>
      <c r="AU1314" s="46">
        <v>0</v>
      </c>
      <c r="AV1314" s="46">
        <v>0</v>
      </c>
      <c r="AW1314" s="46">
        <v>0</v>
      </c>
      <c r="AX1314" s="46">
        <v>0</v>
      </c>
      <c r="AY1314" s="46">
        <v>0</v>
      </c>
      <c r="AZ1314" s="46">
        <v>0</v>
      </c>
      <c r="BA1314" s="46">
        <v>0</v>
      </c>
      <c r="BB1314" s="46">
        <v>0</v>
      </c>
      <c r="BC1314" s="46">
        <v>0</v>
      </c>
      <c r="BD1314" s="46">
        <v>0</v>
      </c>
      <c r="BE1314" s="46">
        <v>0</v>
      </c>
      <c r="BF1314" s="46">
        <v>0</v>
      </c>
      <c r="BG1314" s="46" t="s">
        <v>48</v>
      </c>
      <c r="BH1314" s="46">
        <v>0</v>
      </c>
      <c r="BI1314" s="46">
        <v>0</v>
      </c>
      <c r="BJ1314" s="46">
        <v>0</v>
      </c>
      <c r="BK1314" s="46">
        <v>0</v>
      </c>
      <c r="BL1314" s="46">
        <v>0</v>
      </c>
      <c r="BM1314" s="46">
        <v>0</v>
      </c>
      <c r="BN1314" s="46">
        <v>0</v>
      </c>
    </row>
    <row r="1315" spans="1:66" x14ac:dyDescent="0.35">
      <c r="A1315" t="s">
        <v>8128</v>
      </c>
      <c r="B1315" s="44" t="s">
        <v>48</v>
      </c>
      <c r="C1315" t="s">
        <v>11643</v>
      </c>
      <c r="D1315" t="s">
        <v>11644</v>
      </c>
      <c r="E1315" t="s">
        <v>8129</v>
      </c>
      <c r="F1315" t="s">
        <v>1036</v>
      </c>
      <c r="G1315" t="s">
        <v>83</v>
      </c>
      <c r="H1315">
        <v>0</v>
      </c>
      <c r="I1315" s="61">
        <v>44729</v>
      </c>
      <c r="J1315" s="33" t="s">
        <v>45</v>
      </c>
      <c r="K1315" s="46">
        <v>0</v>
      </c>
      <c r="L1315">
        <v>2.1</v>
      </c>
      <c r="M1315" t="s">
        <v>48</v>
      </c>
      <c r="N1315" s="46">
        <v>0</v>
      </c>
      <c r="O1315" s="46">
        <v>0</v>
      </c>
      <c r="P1315" s="46">
        <v>0</v>
      </c>
      <c r="Q1315" t="s">
        <v>48</v>
      </c>
      <c r="R1315" t="s">
        <v>48</v>
      </c>
      <c r="S1315" t="s">
        <v>48</v>
      </c>
      <c r="T1315" t="s">
        <v>48</v>
      </c>
      <c r="U1315" t="s">
        <v>48</v>
      </c>
      <c r="V1315" s="47">
        <v>1</v>
      </c>
      <c r="W1315" t="s">
        <v>48</v>
      </c>
      <c r="X1315" t="s">
        <v>48</v>
      </c>
      <c r="Y1315" t="s">
        <v>48</v>
      </c>
      <c r="Z1315" t="s">
        <v>48</v>
      </c>
      <c r="AA1315" t="s">
        <v>48</v>
      </c>
      <c r="AB1315" t="s">
        <v>48</v>
      </c>
      <c r="AC1315" t="s">
        <v>49</v>
      </c>
      <c r="AD1315" t="s">
        <v>93</v>
      </c>
      <c r="AE1315" t="s">
        <v>977</v>
      </c>
      <c r="AF1315" t="s">
        <v>11053</v>
      </c>
      <c r="AG1315" t="s">
        <v>48</v>
      </c>
      <c r="AH1315" t="s">
        <v>48</v>
      </c>
      <c r="AI1315" t="s">
        <v>48</v>
      </c>
      <c r="AJ1315" t="s">
        <v>48</v>
      </c>
      <c r="AK1315" t="s">
        <v>48</v>
      </c>
      <c r="AL1315" t="s">
        <v>48</v>
      </c>
      <c r="AM1315" t="s">
        <v>48</v>
      </c>
      <c r="AN1315" t="s">
        <v>48</v>
      </c>
      <c r="AO1315" t="s">
        <v>48</v>
      </c>
      <c r="AP1315" s="46">
        <v>0</v>
      </c>
      <c r="AQ1315" s="46">
        <v>0</v>
      </c>
      <c r="AR1315" s="46">
        <v>0</v>
      </c>
      <c r="AS1315" s="46">
        <v>0</v>
      </c>
      <c r="AT1315" s="46">
        <v>0</v>
      </c>
      <c r="AU1315" s="46">
        <v>0</v>
      </c>
      <c r="AV1315" s="46">
        <v>0</v>
      </c>
      <c r="AW1315" s="46">
        <v>0</v>
      </c>
      <c r="AX1315" s="46">
        <v>0</v>
      </c>
      <c r="AY1315" s="46">
        <v>0</v>
      </c>
      <c r="AZ1315" s="46">
        <v>0</v>
      </c>
      <c r="BA1315" s="46">
        <v>0</v>
      </c>
      <c r="BB1315" s="46">
        <v>0</v>
      </c>
      <c r="BC1315" s="46">
        <v>0</v>
      </c>
      <c r="BD1315" s="46">
        <v>0</v>
      </c>
      <c r="BE1315" s="46">
        <v>0</v>
      </c>
      <c r="BF1315" s="46">
        <v>0</v>
      </c>
      <c r="BG1315" s="46" t="s">
        <v>48</v>
      </c>
      <c r="BH1315" s="46">
        <v>0</v>
      </c>
      <c r="BI1315" s="46">
        <v>0</v>
      </c>
      <c r="BJ1315" s="46">
        <v>0</v>
      </c>
      <c r="BK1315" s="46">
        <v>0</v>
      </c>
      <c r="BL1315" s="46">
        <v>0</v>
      </c>
      <c r="BM1315" s="46">
        <v>0</v>
      </c>
      <c r="BN1315" s="46">
        <v>0</v>
      </c>
    </row>
    <row r="1316" spans="1:66" x14ac:dyDescent="0.35">
      <c r="A1316" t="s">
        <v>1043</v>
      </c>
      <c r="B1316" s="44" t="s">
        <v>48</v>
      </c>
      <c r="C1316" t="s">
        <v>1045</v>
      </c>
      <c r="D1316" t="s">
        <v>571</v>
      </c>
      <c r="E1316" t="s">
        <v>1044</v>
      </c>
      <c r="F1316" t="s">
        <v>1036</v>
      </c>
      <c r="G1316" t="s">
        <v>47</v>
      </c>
      <c r="H1316">
        <v>0</v>
      </c>
      <c r="I1316" s="60" t="s">
        <v>125</v>
      </c>
      <c r="J1316" s="33" t="s">
        <v>45</v>
      </c>
      <c r="K1316" s="46">
        <v>0</v>
      </c>
      <c r="L1316">
        <v>8.9</v>
      </c>
      <c r="M1316" t="s">
        <v>48</v>
      </c>
      <c r="N1316" s="46">
        <v>0</v>
      </c>
      <c r="O1316" s="46">
        <v>0</v>
      </c>
      <c r="P1316" s="46">
        <v>0</v>
      </c>
      <c r="Q1316" t="s">
        <v>48</v>
      </c>
      <c r="R1316" t="s">
        <v>48</v>
      </c>
      <c r="S1316" t="s">
        <v>10027</v>
      </c>
      <c r="T1316" t="s">
        <v>48</v>
      </c>
      <c r="U1316" t="s">
        <v>10027</v>
      </c>
      <c r="V1316" s="47">
        <v>0</v>
      </c>
      <c r="W1316" t="s">
        <v>48</v>
      </c>
      <c r="X1316" t="s">
        <v>48</v>
      </c>
      <c r="Y1316" t="s">
        <v>48</v>
      </c>
      <c r="Z1316">
        <v>0</v>
      </c>
      <c r="AA1316" t="s">
        <v>48</v>
      </c>
      <c r="AB1316" t="s">
        <v>48</v>
      </c>
      <c r="AC1316" t="s">
        <v>49</v>
      </c>
      <c r="AD1316" t="s">
        <v>93</v>
      </c>
      <c r="AE1316" t="s">
        <v>977</v>
      </c>
      <c r="AF1316" t="s">
        <v>11053</v>
      </c>
      <c r="AG1316" t="s">
        <v>48</v>
      </c>
      <c r="AH1316" t="s">
        <v>48</v>
      </c>
      <c r="AI1316" t="s">
        <v>48</v>
      </c>
      <c r="AJ1316" t="s">
        <v>48</v>
      </c>
      <c r="AK1316" t="s">
        <v>48</v>
      </c>
      <c r="AL1316" t="s">
        <v>48</v>
      </c>
      <c r="AM1316" t="s">
        <v>48</v>
      </c>
      <c r="AN1316" t="s">
        <v>48</v>
      </c>
      <c r="AO1316" t="s">
        <v>48</v>
      </c>
      <c r="AP1316" s="46">
        <v>0</v>
      </c>
      <c r="AQ1316" s="46">
        <v>0</v>
      </c>
      <c r="AR1316" s="46">
        <v>0</v>
      </c>
      <c r="AS1316" s="46">
        <v>0</v>
      </c>
      <c r="AT1316" s="46">
        <v>0</v>
      </c>
      <c r="AU1316" s="46">
        <v>0</v>
      </c>
      <c r="AV1316" s="46">
        <v>0</v>
      </c>
      <c r="AW1316" s="46">
        <v>0</v>
      </c>
      <c r="AX1316" s="46">
        <v>0</v>
      </c>
      <c r="AY1316" s="46">
        <v>0</v>
      </c>
      <c r="AZ1316" s="46">
        <v>0</v>
      </c>
      <c r="BA1316" s="46">
        <v>0</v>
      </c>
      <c r="BB1316" s="46">
        <v>0</v>
      </c>
      <c r="BC1316" s="46">
        <v>0</v>
      </c>
      <c r="BD1316" s="46">
        <v>0</v>
      </c>
      <c r="BE1316" s="46">
        <v>0</v>
      </c>
      <c r="BF1316" s="46">
        <v>0</v>
      </c>
      <c r="BG1316" s="46" t="s">
        <v>48</v>
      </c>
      <c r="BH1316" s="46">
        <v>0</v>
      </c>
      <c r="BI1316" s="46">
        <v>0</v>
      </c>
      <c r="BJ1316" s="46">
        <v>0</v>
      </c>
      <c r="BK1316" s="46">
        <v>0</v>
      </c>
      <c r="BL1316" s="46">
        <v>0</v>
      </c>
      <c r="BM1316" s="46">
        <v>0</v>
      </c>
      <c r="BN1316" s="46">
        <v>0</v>
      </c>
    </row>
    <row r="1317" spans="1:66" x14ac:dyDescent="0.35">
      <c r="A1317" t="s">
        <v>8193</v>
      </c>
      <c r="B1317" s="44" t="s">
        <v>48</v>
      </c>
      <c r="C1317" t="s">
        <v>11645</v>
      </c>
      <c r="D1317" t="s">
        <v>585</v>
      </c>
      <c r="E1317" t="s">
        <v>8194</v>
      </c>
      <c r="F1317" t="s">
        <v>1036</v>
      </c>
      <c r="G1317" t="s">
        <v>47</v>
      </c>
      <c r="H1317">
        <v>0</v>
      </c>
      <c r="I1317" s="61">
        <v>44729</v>
      </c>
      <c r="J1317" s="33" t="s">
        <v>45</v>
      </c>
      <c r="K1317" s="46">
        <v>0</v>
      </c>
      <c r="L1317">
        <v>9.4</v>
      </c>
      <c r="M1317" t="s">
        <v>48</v>
      </c>
      <c r="N1317" s="46">
        <v>0</v>
      </c>
      <c r="O1317" s="46">
        <v>0</v>
      </c>
      <c r="P1317" s="46">
        <v>0</v>
      </c>
      <c r="Q1317" t="s">
        <v>48</v>
      </c>
      <c r="R1317" t="s">
        <v>48</v>
      </c>
      <c r="S1317" t="s">
        <v>10028</v>
      </c>
      <c r="T1317" t="s">
        <v>48</v>
      </c>
      <c r="U1317" t="s">
        <v>10028</v>
      </c>
      <c r="V1317" s="47">
        <v>1</v>
      </c>
      <c r="W1317" t="s">
        <v>48</v>
      </c>
      <c r="X1317" t="s">
        <v>48</v>
      </c>
      <c r="Y1317" t="s">
        <v>48</v>
      </c>
      <c r="Z1317" t="s">
        <v>48</v>
      </c>
      <c r="AA1317" t="s">
        <v>48</v>
      </c>
      <c r="AB1317" t="s">
        <v>48</v>
      </c>
      <c r="AC1317" t="s">
        <v>49</v>
      </c>
      <c r="AD1317" t="s">
        <v>93</v>
      </c>
      <c r="AE1317" t="s">
        <v>977</v>
      </c>
      <c r="AF1317" t="s">
        <v>48</v>
      </c>
      <c r="AG1317" t="s">
        <v>48</v>
      </c>
      <c r="AH1317" t="s">
        <v>48</v>
      </c>
      <c r="AI1317" t="s">
        <v>48</v>
      </c>
      <c r="AJ1317" t="s">
        <v>48</v>
      </c>
      <c r="AK1317" t="s">
        <v>48</v>
      </c>
      <c r="AL1317" t="s">
        <v>48</v>
      </c>
      <c r="AM1317" t="s">
        <v>48</v>
      </c>
      <c r="AN1317" t="s">
        <v>48</v>
      </c>
      <c r="AO1317" t="s">
        <v>48</v>
      </c>
      <c r="AP1317" s="46">
        <v>0</v>
      </c>
      <c r="AQ1317" s="46">
        <v>0</v>
      </c>
      <c r="AR1317" s="46">
        <v>0</v>
      </c>
      <c r="AS1317" s="46">
        <v>0</v>
      </c>
      <c r="AT1317" s="46">
        <v>0</v>
      </c>
      <c r="AU1317" s="46">
        <v>0</v>
      </c>
      <c r="AV1317" s="46">
        <v>0</v>
      </c>
      <c r="AW1317" s="46">
        <v>0</v>
      </c>
      <c r="AX1317" s="46">
        <v>0</v>
      </c>
      <c r="AY1317" s="46">
        <v>0</v>
      </c>
      <c r="AZ1317" s="46">
        <v>0</v>
      </c>
      <c r="BA1317" s="46">
        <v>0</v>
      </c>
      <c r="BB1317" s="46">
        <v>0</v>
      </c>
      <c r="BC1317" s="46">
        <v>0</v>
      </c>
      <c r="BD1317" s="46">
        <v>0</v>
      </c>
      <c r="BE1317" s="46">
        <v>0</v>
      </c>
      <c r="BF1317" s="46">
        <v>0</v>
      </c>
      <c r="BG1317" s="46" t="s">
        <v>48</v>
      </c>
      <c r="BH1317" s="46">
        <v>0</v>
      </c>
      <c r="BI1317" s="46">
        <v>0</v>
      </c>
      <c r="BJ1317" s="46">
        <v>0</v>
      </c>
      <c r="BK1317" s="46">
        <v>0</v>
      </c>
      <c r="BL1317" s="46">
        <v>0</v>
      </c>
      <c r="BM1317" s="46">
        <v>0</v>
      </c>
      <c r="BN1317" s="46">
        <v>0</v>
      </c>
    </row>
    <row r="1318" spans="1:66" x14ac:dyDescent="0.35">
      <c r="A1318" t="s">
        <v>1057</v>
      </c>
      <c r="B1318" s="44" t="s">
        <v>48</v>
      </c>
      <c r="C1318" t="s">
        <v>1059</v>
      </c>
      <c r="D1318" t="s">
        <v>259</v>
      </c>
      <c r="E1318" t="s">
        <v>8026</v>
      </c>
      <c r="F1318" t="s">
        <v>1060</v>
      </c>
      <c r="G1318" t="s">
        <v>74</v>
      </c>
      <c r="H1318">
        <v>0</v>
      </c>
      <c r="I1318" s="61">
        <v>44729</v>
      </c>
      <c r="J1318" s="33" t="s">
        <v>45</v>
      </c>
      <c r="K1318" s="46">
        <v>0</v>
      </c>
      <c r="L1318">
        <v>1.1000000000000001</v>
      </c>
      <c r="M1318" t="s">
        <v>48</v>
      </c>
      <c r="N1318" s="46">
        <v>0</v>
      </c>
      <c r="O1318" s="46">
        <v>0</v>
      </c>
      <c r="P1318" s="46">
        <v>0</v>
      </c>
      <c r="Q1318" t="s">
        <v>48</v>
      </c>
      <c r="R1318" t="s">
        <v>48</v>
      </c>
      <c r="S1318" t="s">
        <v>1058</v>
      </c>
      <c r="T1318" t="s">
        <v>48</v>
      </c>
      <c r="U1318" t="s">
        <v>1058</v>
      </c>
      <c r="V1318" s="47">
        <v>0</v>
      </c>
      <c r="W1318" t="s">
        <v>48</v>
      </c>
      <c r="X1318" t="s">
        <v>48</v>
      </c>
      <c r="Y1318" t="s">
        <v>48</v>
      </c>
      <c r="Z1318">
        <v>0</v>
      </c>
      <c r="AA1318" t="s">
        <v>48</v>
      </c>
      <c r="AB1318" t="s">
        <v>48</v>
      </c>
      <c r="AC1318" t="s">
        <v>49</v>
      </c>
      <c r="AD1318" t="s">
        <v>93</v>
      </c>
      <c r="AE1318" t="s">
        <v>4532</v>
      </c>
      <c r="AF1318" t="s">
        <v>48</v>
      </c>
      <c r="AG1318" t="s">
        <v>48</v>
      </c>
      <c r="AH1318" t="s">
        <v>48</v>
      </c>
      <c r="AI1318" t="s">
        <v>48</v>
      </c>
      <c r="AJ1318" t="s">
        <v>48</v>
      </c>
      <c r="AK1318" t="s">
        <v>48</v>
      </c>
      <c r="AL1318" t="s">
        <v>48</v>
      </c>
      <c r="AM1318" t="s">
        <v>48</v>
      </c>
      <c r="AN1318" t="s">
        <v>48</v>
      </c>
      <c r="AO1318" t="s">
        <v>48</v>
      </c>
      <c r="AP1318" s="46">
        <v>0</v>
      </c>
      <c r="AQ1318" s="46">
        <v>0</v>
      </c>
      <c r="AR1318" s="46">
        <v>0</v>
      </c>
      <c r="AS1318" s="46">
        <v>0</v>
      </c>
      <c r="AT1318" s="46">
        <v>0</v>
      </c>
      <c r="AU1318" s="46">
        <v>0</v>
      </c>
      <c r="AV1318" s="46">
        <v>0</v>
      </c>
      <c r="AW1318" s="46">
        <v>0</v>
      </c>
      <c r="AX1318" s="46">
        <v>0</v>
      </c>
      <c r="AY1318" s="46">
        <v>0</v>
      </c>
      <c r="AZ1318" s="46">
        <v>0</v>
      </c>
      <c r="BA1318" s="46">
        <v>0</v>
      </c>
      <c r="BB1318" s="46">
        <v>0</v>
      </c>
      <c r="BC1318" s="46">
        <v>0</v>
      </c>
      <c r="BD1318" s="46">
        <v>0</v>
      </c>
      <c r="BE1318" s="46">
        <v>0</v>
      </c>
      <c r="BF1318" s="46">
        <v>0</v>
      </c>
      <c r="BG1318" s="46" t="s">
        <v>48</v>
      </c>
      <c r="BH1318" s="46">
        <v>0</v>
      </c>
      <c r="BI1318" s="46">
        <v>0</v>
      </c>
      <c r="BJ1318" s="46">
        <v>0</v>
      </c>
      <c r="BK1318" s="46">
        <v>0</v>
      </c>
      <c r="BL1318" s="46">
        <v>0</v>
      </c>
      <c r="BM1318" s="46">
        <v>0</v>
      </c>
      <c r="BN1318" s="46">
        <v>0</v>
      </c>
    </row>
    <row r="1319" spans="1:66" x14ac:dyDescent="0.35">
      <c r="A1319" t="s">
        <v>1035</v>
      </c>
      <c r="B1319" s="44" t="s">
        <v>48</v>
      </c>
      <c r="C1319" t="s">
        <v>1039</v>
      </c>
      <c r="D1319" t="s">
        <v>1038</v>
      </c>
      <c r="E1319" t="s">
        <v>8023</v>
      </c>
      <c r="F1319" t="s">
        <v>1060</v>
      </c>
      <c r="G1319" t="s">
        <v>74</v>
      </c>
      <c r="H1319">
        <v>0</v>
      </c>
      <c r="I1319" s="61">
        <v>44729</v>
      </c>
      <c r="J1319" s="33" t="s">
        <v>45</v>
      </c>
      <c r="K1319" s="46">
        <v>0</v>
      </c>
      <c r="L1319">
        <v>14</v>
      </c>
      <c r="M1319" s="41" t="s">
        <v>48</v>
      </c>
      <c r="N1319" s="46">
        <v>0</v>
      </c>
      <c r="O1319" s="46">
        <v>0</v>
      </c>
      <c r="P1319" s="46">
        <v>0</v>
      </c>
      <c r="Q1319" s="41" t="s">
        <v>48</v>
      </c>
      <c r="R1319" s="41" t="s">
        <v>48</v>
      </c>
      <c r="S1319" t="s">
        <v>1037</v>
      </c>
      <c r="T1319" t="s">
        <v>48</v>
      </c>
      <c r="U1319" t="s">
        <v>1037</v>
      </c>
      <c r="V1319" s="47">
        <v>0</v>
      </c>
      <c r="W1319" t="s">
        <v>48</v>
      </c>
      <c r="X1319" t="s">
        <v>48</v>
      </c>
      <c r="Y1319" t="s">
        <v>48</v>
      </c>
      <c r="Z1319">
        <v>0</v>
      </c>
      <c r="AA1319" t="s">
        <v>48</v>
      </c>
      <c r="AB1319" t="s">
        <v>48</v>
      </c>
      <c r="AC1319" t="s">
        <v>63</v>
      </c>
      <c r="AD1319" t="s">
        <v>93</v>
      </c>
      <c r="AE1319" t="s">
        <v>4532</v>
      </c>
      <c r="AF1319" t="s">
        <v>48</v>
      </c>
      <c r="AG1319" t="s">
        <v>48</v>
      </c>
      <c r="AH1319" t="s">
        <v>48</v>
      </c>
      <c r="AI1319" t="s">
        <v>48</v>
      </c>
      <c r="AJ1319" t="s">
        <v>48</v>
      </c>
      <c r="AK1319" t="s">
        <v>48</v>
      </c>
      <c r="AL1319" t="s">
        <v>48</v>
      </c>
      <c r="AM1319" t="s">
        <v>48</v>
      </c>
      <c r="AN1319" t="s">
        <v>48</v>
      </c>
      <c r="AO1319" t="s">
        <v>48</v>
      </c>
      <c r="AP1319" s="46">
        <v>0</v>
      </c>
      <c r="AQ1319" s="46">
        <v>0</v>
      </c>
      <c r="AR1319" s="46">
        <v>0</v>
      </c>
      <c r="AS1319" s="46">
        <v>0</v>
      </c>
      <c r="AT1319" s="46">
        <v>0</v>
      </c>
      <c r="AU1319" s="46">
        <v>0</v>
      </c>
      <c r="AV1319" s="46">
        <v>0</v>
      </c>
      <c r="AW1319" s="46">
        <v>0</v>
      </c>
      <c r="AX1319" s="46">
        <v>0</v>
      </c>
      <c r="AY1319" s="46">
        <v>0</v>
      </c>
      <c r="AZ1319" s="46">
        <v>0</v>
      </c>
      <c r="BA1319" s="46">
        <v>0</v>
      </c>
      <c r="BB1319" s="46">
        <v>0</v>
      </c>
      <c r="BC1319" s="46">
        <v>0</v>
      </c>
      <c r="BD1319" s="46">
        <v>0</v>
      </c>
      <c r="BE1319" s="46">
        <v>0</v>
      </c>
      <c r="BF1319" s="46">
        <v>0</v>
      </c>
      <c r="BG1319" s="46" t="s">
        <v>48</v>
      </c>
      <c r="BH1319" s="46">
        <v>0</v>
      </c>
      <c r="BI1319" s="46">
        <v>0</v>
      </c>
      <c r="BJ1319" s="46">
        <v>0</v>
      </c>
      <c r="BK1319" s="46">
        <v>0</v>
      </c>
      <c r="BL1319" s="46">
        <v>0</v>
      </c>
      <c r="BM1319" s="46">
        <v>0</v>
      </c>
      <c r="BN1319" s="46">
        <v>0</v>
      </c>
    </row>
    <row r="1320" spans="1:66" x14ac:dyDescent="0.35">
      <c r="A1320" t="s">
        <v>8396</v>
      </c>
      <c r="B1320" s="44" t="s">
        <v>48</v>
      </c>
      <c r="C1320" t="s">
        <v>11647</v>
      </c>
      <c r="D1320" t="s">
        <v>11648</v>
      </c>
      <c r="E1320" t="s">
        <v>8397</v>
      </c>
      <c r="F1320" t="s">
        <v>1060</v>
      </c>
      <c r="G1320" t="s">
        <v>83</v>
      </c>
      <c r="H1320">
        <v>0</v>
      </c>
      <c r="I1320" s="61">
        <v>44729</v>
      </c>
      <c r="J1320" s="33" t="s">
        <v>45</v>
      </c>
      <c r="K1320" s="46">
        <v>0</v>
      </c>
      <c r="L1320">
        <v>0.5</v>
      </c>
      <c r="M1320" t="s">
        <v>48</v>
      </c>
      <c r="N1320" s="46">
        <v>0</v>
      </c>
      <c r="O1320" s="46">
        <v>0</v>
      </c>
      <c r="P1320" s="46">
        <v>0</v>
      </c>
      <c r="Q1320" t="s">
        <v>48</v>
      </c>
      <c r="R1320" t="s">
        <v>48</v>
      </c>
      <c r="S1320" t="s">
        <v>10029</v>
      </c>
      <c r="T1320" t="s">
        <v>48</v>
      </c>
      <c r="U1320" t="s">
        <v>10029</v>
      </c>
      <c r="V1320" s="47">
        <v>1</v>
      </c>
      <c r="W1320" t="s">
        <v>48</v>
      </c>
      <c r="X1320" t="s">
        <v>48</v>
      </c>
      <c r="Y1320" t="s">
        <v>48</v>
      </c>
      <c r="Z1320" t="s">
        <v>48</v>
      </c>
      <c r="AA1320" t="s">
        <v>48</v>
      </c>
      <c r="AB1320" t="s">
        <v>48</v>
      </c>
      <c r="AC1320" t="s">
        <v>49</v>
      </c>
      <c r="AD1320" t="s">
        <v>93</v>
      </c>
      <c r="AE1320" t="s">
        <v>4532</v>
      </c>
      <c r="AF1320" t="s">
        <v>48</v>
      </c>
      <c r="AG1320" t="s">
        <v>48</v>
      </c>
      <c r="AH1320" t="s">
        <v>48</v>
      </c>
      <c r="AI1320" t="s">
        <v>48</v>
      </c>
      <c r="AJ1320" t="s">
        <v>48</v>
      </c>
      <c r="AK1320" t="s">
        <v>48</v>
      </c>
      <c r="AL1320" t="s">
        <v>48</v>
      </c>
      <c r="AM1320" t="s">
        <v>48</v>
      </c>
      <c r="AN1320" t="s">
        <v>48</v>
      </c>
      <c r="AO1320" t="s">
        <v>48</v>
      </c>
      <c r="AP1320" s="46">
        <v>0</v>
      </c>
      <c r="AQ1320" s="46">
        <v>0</v>
      </c>
      <c r="AR1320" s="46">
        <v>0</v>
      </c>
      <c r="AS1320" s="46">
        <v>0</v>
      </c>
      <c r="AT1320" s="46">
        <v>0</v>
      </c>
      <c r="AU1320" s="46">
        <v>0</v>
      </c>
      <c r="AV1320" s="46">
        <v>0</v>
      </c>
      <c r="AW1320" s="46">
        <v>0</v>
      </c>
      <c r="AX1320" s="46">
        <v>0</v>
      </c>
      <c r="AY1320" s="46">
        <v>0</v>
      </c>
      <c r="AZ1320" s="46">
        <v>0</v>
      </c>
      <c r="BA1320" s="46">
        <v>0</v>
      </c>
      <c r="BB1320" s="46">
        <v>0</v>
      </c>
      <c r="BC1320" s="46">
        <v>0</v>
      </c>
      <c r="BD1320" s="46">
        <v>0</v>
      </c>
      <c r="BE1320" s="46">
        <v>0</v>
      </c>
      <c r="BF1320" s="46">
        <v>0</v>
      </c>
      <c r="BG1320" s="46" t="s">
        <v>48</v>
      </c>
      <c r="BH1320" s="46">
        <v>0</v>
      </c>
      <c r="BI1320" s="46">
        <v>0</v>
      </c>
      <c r="BJ1320" s="46">
        <v>0</v>
      </c>
      <c r="BK1320" s="46">
        <v>0</v>
      </c>
      <c r="BL1320" s="46">
        <v>0</v>
      </c>
      <c r="BM1320" s="46">
        <v>0</v>
      </c>
      <c r="BN1320" s="46">
        <v>0</v>
      </c>
    </row>
    <row r="1321" spans="1:66" x14ac:dyDescent="0.35">
      <c r="A1321" t="s">
        <v>1046</v>
      </c>
      <c r="B1321" s="44" t="s">
        <v>48</v>
      </c>
      <c r="C1321" t="s">
        <v>1048</v>
      </c>
      <c r="D1321" t="s">
        <v>1047</v>
      </c>
      <c r="E1321" t="s">
        <v>8195</v>
      </c>
      <c r="F1321" t="s">
        <v>1060</v>
      </c>
      <c r="G1321" t="s">
        <v>47</v>
      </c>
      <c r="H1321">
        <v>0</v>
      </c>
      <c r="I1321" s="61">
        <v>44729</v>
      </c>
      <c r="J1321" s="33" t="s">
        <v>45</v>
      </c>
      <c r="K1321" s="46">
        <v>0</v>
      </c>
      <c r="L1321">
        <v>16.600000000000001</v>
      </c>
      <c r="M1321" s="41" t="s">
        <v>48</v>
      </c>
      <c r="N1321" s="46">
        <v>0</v>
      </c>
      <c r="O1321" s="46">
        <v>0</v>
      </c>
      <c r="P1321" s="46">
        <v>0</v>
      </c>
      <c r="Q1321" s="41" t="s">
        <v>48</v>
      </c>
      <c r="R1321" s="41" t="s">
        <v>48</v>
      </c>
      <c r="S1321" t="s">
        <v>10030</v>
      </c>
      <c r="T1321" t="s">
        <v>48</v>
      </c>
      <c r="U1321" t="s">
        <v>10030</v>
      </c>
      <c r="V1321" s="47">
        <v>0</v>
      </c>
      <c r="W1321" t="s">
        <v>48</v>
      </c>
      <c r="X1321" t="s">
        <v>48</v>
      </c>
      <c r="Y1321" t="s">
        <v>48</v>
      </c>
      <c r="Z1321">
        <v>0</v>
      </c>
      <c r="AA1321" t="s">
        <v>48</v>
      </c>
      <c r="AB1321" t="s">
        <v>48</v>
      </c>
      <c r="AC1321" t="s">
        <v>49</v>
      </c>
      <c r="AD1321" t="s">
        <v>48</v>
      </c>
      <c r="AE1321" t="s">
        <v>48</v>
      </c>
      <c r="AF1321" t="s">
        <v>48</v>
      </c>
      <c r="AG1321" t="s">
        <v>48</v>
      </c>
      <c r="AH1321" t="s">
        <v>48</v>
      </c>
      <c r="AI1321" t="s">
        <v>48</v>
      </c>
      <c r="AJ1321" t="s">
        <v>48</v>
      </c>
      <c r="AK1321" t="s">
        <v>48</v>
      </c>
      <c r="AL1321" t="s">
        <v>48</v>
      </c>
      <c r="AM1321" t="s">
        <v>48</v>
      </c>
      <c r="AN1321" t="s">
        <v>48</v>
      </c>
      <c r="AO1321" t="s">
        <v>48</v>
      </c>
      <c r="AP1321" s="46">
        <v>0</v>
      </c>
      <c r="AQ1321" s="46">
        <v>0</v>
      </c>
      <c r="AR1321" s="46">
        <v>0</v>
      </c>
      <c r="AS1321" s="46">
        <v>0</v>
      </c>
      <c r="AT1321" s="46">
        <v>0</v>
      </c>
      <c r="AU1321" s="46">
        <v>0</v>
      </c>
      <c r="AV1321" s="46">
        <v>0</v>
      </c>
      <c r="AW1321" s="46">
        <v>0</v>
      </c>
      <c r="AX1321" s="46">
        <v>0</v>
      </c>
      <c r="AY1321" s="46">
        <v>0</v>
      </c>
      <c r="AZ1321" s="46">
        <v>0</v>
      </c>
      <c r="BA1321" s="46">
        <v>0</v>
      </c>
      <c r="BB1321" s="46">
        <v>0</v>
      </c>
      <c r="BC1321" s="46">
        <v>0</v>
      </c>
      <c r="BD1321" s="46">
        <v>0</v>
      </c>
      <c r="BE1321" s="46">
        <v>0</v>
      </c>
      <c r="BF1321" s="46">
        <v>0</v>
      </c>
      <c r="BG1321" s="46" t="s">
        <v>48</v>
      </c>
      <c r="BH1321" s="46">
        <v>0</v>
      </c>
      <c r="BI1321" s="46">
        <v>0</v>
      </c>
      <c r="BJ1321" s="46">
        <v>0</v>
      </c>
      <c r="BK1321" s="46">
        <v>0</v>
      </c>
      <c r="BL1321" s="46">
        <v>0</v>
      </c>
      <c r="BM1321" s="46">
        <v>0</v>
      </c>
      <c r="BN1321" s="46">
        <v>0</v>
      </c>
    </row>
    <row r="1322" spans="1:66" x14ac:dyDescent="0.35">
      <c r="A1322" t="s">
        <v>8130</v>
      </c>
      <c r="B1322" s="44" t="s">
        <v>48</v>
      </c>
      <c r="C1322" t="s">
        <v>11646</v>
      </c>
      <c r="D1322" t="s">
        <v>829</v>
      </c>
      <c r="E1322" t="s">
        <v>8131</v>
      </c>
      <c r="F1322" t="s">
        <v>1060</v>
      </c>
      <c r="G1322" t="s">
        <v>83</v>
      </c>
      <c r="H1322">
        <v>0</v>
      </c>
      <c r="I1322" s="61">
        <v>44729</v>
      </c>
      <c r="J1322" s="33" t="s">
        <v>45</v>
      </c>
      <c r="K1322" s="46">
        <v>0</v>
      </c>
      <c r="L1322">
        <v>2.1</v>
      </c>
      <c r="M1322" t="s">
        <v>48</v>
      </c>
      <c r="N1322" s="46">
        <v>0</v>
      </c>
      <c r="O1322" s="46">
        <v>0</v>
      </c>
      <c r="P1322" s="46">
        <v>0</v>
      </c>
      <c r="Q1322" t="s">
        <v>48</v>
      </c>
      <c r="R1322" t="s">
        <v>48</v>
      </c>
      <c r="S1322" t="s">
        <v>48</v>
      </c>
      <c r="T1322" t="s">
        <v>48</v>
      </c>
      <c r="U1322" t="s">
        <v>48</v>
      </c>
      <c r="V1322" s="47">
        <v>1</v>
      </c>
      <c r="W1322" t="s">
        <v>48</v>
      </c>
      <c r="X1322" t="s">
        <v>48</v>
      </c>
      <c r="Y1322" t="s">
        <v>48</v>
      </c>
      <c r="Z1322" t="s">
        <v>48</v>
      </c>
      <c r="AA1322" t="s">
        <v>48</v>
      </c>
      <c r="AB1322" t="s">
        <v>48</v>
      </c>
      <c r="AC1322" t="s">
        <v>49</v>
      </c>
      <c r="AD1322" t="s">
        <v>93</v>
      </c>
      <c r="AE1322" t="s">
        <v>4532</v>
      </c>
      <c r="AF1322" t="s">
        <v>48</v>
      </c>
      <c r="AG1322" t="s">
        <v>48</v>
      </c>
      <c r="AH1322" t="s">
        <v>48</v>
      </c>
      <c r="AI1322" t="s">
        <v>48</v>
      </c>
      <c r="AJ1322" t="s">
        <v>48</v>
      </c>
      <c r="AK1322" t="s">
        <v>48</v>
      </c>
      <c r="AL1322" t="s">
        <v>48</v>
      </c>
      <c r="AM1322" t="s">
        <v>48</v>
      </c>
      <c r="AN1322" t="s">
        <v>48</v>
      </c>
      <c r="AO1322" t="s">
        <v>48</v>
      </c>
      <c r="AP1322" s="46">
        <v>0</v>
      </c>
      <c r="AQ1322" s="46">
        <v>0</v>
      </c>
      <c r="AR1322" s="46">
        <v>0</v>
      </c>
      <c r="AS1322" s="46">
        <v>0</v>
      </c>
      <c r="AT1322" s="46">
        <v>0</v>
      </c>
      <c r="AU1322" s="46">
        <v>0</v>
      </c>
      <c r="AV1322" s="46">
        <v>0</v>
      </c>
      <c r="AW1322" s="46">
        <v>0</v>
      </c>
      <c r="AX1322" s="46">
        <v>0</v>
      </c>
      <c r="AY1322" s="46">
        <v>0</v>
      </c>
      <c r="AZ1322" s="46">
        <v>0</v>
      </c>
      <c r="BA1322" s="46">
        <v>0</v>
      </c>
      <c r="BB1322" s="46">
        <v>0</v>
      </c>
      <c r="BC1322" s="46">
        <v>0</v>
      </c>
      <c r="BD1322" s="46">
        <v>0</v>
      </c>
      <c r="BE1322" s="46">
        <v>0</v>
      </c>
      <c r="BF1322" s="46">
        <v>0</v>
      </c>
      <c r="BG1322" s="46" t="s">
        <v>48</v>
      </c>
      <c r="BH1322" s="46">
        <v>0</v>
      </c>
      <c r="BI1322" s="46">
        <v>0</v>
      </c>
      <c r="BJ1322" s="46">
        <v>0</v>
      </c>
      <c r="BK1322" s="46">
        <v>0</v>
      </c>
      <c r="BL1322" s="46">
        <v>0</v>
      </c>
      <c r="BM1322" s="46">
        <v>0</v>
      </c>
      <c r="BN1322" s="46">
        <v>0</v>
      </c>
    </row>
    <row r="1323" spans="1:66" x14ac:dyDescent="0.35">
      <c r="A1323" t="s">
        <v>1092</v>
      </c>
      <c r="B1323" s="44" t="s">
        <v>48</v>
      </c>
      <c r="C1323" t="s">
        <v>1095</v>
      </c>
      <c r="D1323" t="s">
        <v>1094</v>
      </c>
      <c r="E1323" t="s">
        <v>8029</v>
      </c>
      <c r="F1323" t="s">
        <v>1069</v>
      </c>
      <c r="G1323" t="s">
        <v>74</v>
      </c>
      <c r="H1323">
        <v>0</v>
      </c>
      <c r="I1323" s="61">
        <v>44732</v>
      </c>
      <c r="J1323" s="33" t="s">
        <v>45</v>
      </c>
      <c r="K1323" s="46">
        <v>0</v>
      </c>
      <c r="L1323">
        <v>6.7</v>
      </c>
      <c r="M1323" t="s">
        <v>48</v>
      </c>
      <c r="N1323" s="46">
        <v>0</v>
      </c>
      <c r="O1323" s="46">
        <v>0</v>
      </c>
      <c r="P1323" s="46">
        <v>0</v>
      </c>
      <c r="Q1323" t="s">
        <v>48</v>
      </c>
      <c r="R1323" t="s">
        <v>48</v>
      </c>
      <c r="S1323" t="s">
        <v>1093</v>
      </c>
      <c r="T1323" t="s">
        <v>48</v>
      </c>
      <c r="U1323" t="s">
        <v>1093</v>
      </c>
      <c r="V1323" s="47">
        <v>0</v>
      </c>
      <c r="W1323" t="s">
        <v>48</v>
      </c>
      <c r="X1323" t="s">
        <v>48</v>
      </c>
      <c r="Y1323" t="s">
        <v>48</v>
      </c>
      <c r="Z1323">
        <v>0</v>
      </c>
      <c r="AA1323" t="s">
        <v>48</v>
      </c>
      <c r="AB1323" t="s">
        <v>48</v>
      </c>
      <c r="AC1323" t="s">
        <v>49</v>
      </c>
      <c r="AD1323" t="s">
        <v>93</v>
      </c>
      <c r="AE1323" t="s">
        <v>2471</v>
      </c>
      <c r="AF1323" t="s">
        <v>48</v>
      </c>
      <c r="AG1323" t="s">
        <v>48</v>
      </c>
      <c r="AH1323" t="s">
        <v>48</v>
      </c>
      <c r="AI1323" t="s">
        <v>48</v>
      </c>
      <c r="AJ1323" t="s">
        <v>48</v>
      </c>
      <c r="AK1323" t="s">
        <v>48</v>
      </c>
      <c r="AL1323" t="s">
        <v>48</v>
      </c>
      <c r="AM1323" t="s">
        <v>48</v>
      </c>
      <c r="AN1323" t="s">
        <v>48</v>
      </c>
      <c r="AO1323" t="s">
        <v>48</v>
      </c>
      <c r="AP1323" s="46">
        <v>0</v>
      </c>
      <c r="AQ1323" s="46">
        <v>0</v>
      </c>
      <c r="AR1323" s="46">
        <v>0</v>
      </c>
      <c r="AS1323" s="46">
        <v>0</v>
      </c>
      <c r="AT1323" s="46">
        <v>0</v>
      </c>
      <c r="AU1323" s="46">
        <v>0</v>
      </c>
      <c r="AV1323" s="46">
        <v>0</v>
      </c>
      <c r="AW1323" s="46">
        <v>0</v>
      </c>
      <c r="AX1323" s="46">
        <v>0</v>
      </c>
      <c r="AY1323" s="46">
        <v>0</v>
      </c>
      <c r="AZ1323" s="46">
        <v>0</v>
      </c>
      <c r="BA1323" s="46">
        <v>0</v>
      </c>
      <c r="BB1323" s="46">
        <v>0</v>
      </c>
      <c r="BC1323" s="46">
        <v>0</v>
      </c>
      <c r="BD1323" s="46">
        <v>0</v>
      </c>
      <c r="BE1323" s="46">
        <v>0</v>
      </c>
      <c r="BF1323" s="46">
        <v>0</v>
      </c>
      <c r="BG1323" s="46" t="s">
        <v>48</v>
      </c>
      <c r="BH1323" s="46">
        <v>0</v>
      </c>
      <c r="BI1323" s="46">
        <v>0</v>
      </c>
      <c r="BJ1323" s="46">
        <v>0</v>
      </c>
      <c r="BK1323" s="46">
        <v>0</v>
      </c>
      <c r="BL1323" s="46">
        <v>0</v>
      </c>
      <c r="BM1323" s="46">
        <v>0</v>
      </c>
      <c r="BN1323" s="46">
        <v>0</v>
      </c>
    </row>
    <row r="1324" spans="1:66" x14ac:dyDescent="0.35">
      <c r="A1324" t="s">
        <v>1096</v>
      </c>
      <c r="B1324" s="44" t="s">
        <v>48</v>
      </c>
      <c r="C1324" t="s">
        <v>1097</v>
      </c>
      <c r="D1324" t="s">
        <v>744</v>
      </c>
      <c r="E1324" t="s">
        <v>8197</v>
      </c>
      <c r="F1324" t="s">
        <v>1069</v>
      </c>
      <c r="G1324" t="s">
        <v>47</v>
      </c>
      <c r="H1324">
        <v>0</v>
      </c>
      <c r="I1324" s="61">
        <v>44732</v>
      </c>
      <c r="J1324" s="33" t="s">
        <v>45</v>
      </c>
      <c r="K1324" s="46">
        <v>0</v>
      </c>
      <c r="L1324">
        <v>1.6</v>
      </c>
      <c r="M1324" t="s">
        <v>48</v>
      </c>
      <c r="N1324" s="46">
        <v>0</v>
      </c>
      <c r="O1324" s="46">
        <v>0</v>
      </c>
      <c r="P1324" s="46">
        <v>0</v>
      </c>
      <c r="Q1324" t="s">
        <v>48</v>
      </c>
      <c r="R1324" t="s">
        <v>48</v>
      </c>
      <c r="S1324" t="s">
        <v>48</v>
      </c>
      <c r="T1324" t="s">
        <v>48</v>
      </c>
      <c r="U1324" t="s">
        <v>48</v>
      </c>
      <c r="V1324" s="47">
        <v>0</v>
      </c>
      <c r="W1324" t="s">
        <v>48</v>
      </c>
      <c r="X1324" t="s">
        <v>48</v>
      </c>
      <c r="Y1324" t="s">
        <v>48</v>
      </c>
      <c r="Z1324">
        <v>0</v>
      </c>
      <c r="AA1324" t="s">
        <v>48</v>
      </c>
      <c r="AB1324" t="s">
        <v>48</v>
      </c>
      <c r="AC1324" t="s">
        <v>49</v>
      </c>
      <c r="AD1324" t="s">
        <v>93</v>
      </c>
      <c r="AE1324" t="s">
        <v>977</v>
      </c>
      <c r="AF1324" t="s">
        <v>11059</v>
      </c>
      <c r="AG1324" t="s">
        <v>266</v>
      </c>
      <c r="AH1324" t="s">
        <v>48</v>
      </c>
      <c r="AI1324" t="s">
        <v>48</v>
      </c>
      <c r="AJ1324" t="s">
        <v>48</v>
      </c>
      <c r="AK1324" t="s">
        <v>48</v>
      </c>
      <c r="AL1324" t="s">
        <v>48</v>
      </c>
      <c r="AM1324" t="s">
        <v>48</v>
      </c>
      <c r="AN1324" t="s">
        <v>48</v>
      </c>
      <c r="AO1324" t="s">
        <v>48</v>
      </c>
      <c r="AP1324" s="46">
        <v>0</v>
      </c>
      <c r="AQ1324" s="46">
        <v>0</v>
      </c>
      <c r="AR1324" s="46">
        <v>0</v>
      </c>
      <c r="AS1324" s="46">
        <v>0</v>
      </c>
      <c r="AT1324" s="46">
        <v>0</v>
      </c>
      <c r="AU1324" s="46">
        <v>0</v>
      </c>
      <c r="AV1324" s="46">
        <v>0</v>
      </c>
      <c r="AW1324" s="46">
        <v>0</v>
      </c>
      <c r="AX1324" s="46">
        <v>0</v>
      </c>
      <c r="AY1324" s="46">
        <v>0</v>
      </c>
      <c r="AZ1324" s="46">
        <v>0</v>
      </c>
      <c r="BA1324" s="46">
        <v>0</v>
      </c>
      <c r="BB1324" s="46">
        <v>0</v>
      </c>
      <c r="BC1324" s="46">
        <v>0</v>
      </c>
      <c r="BD1324" s="46">
        <v>0</v>
      </c>
      <c r="BE1324" s="46">
        <v>0</v>
      </c>
      <c r="BF1324" s="46">
        <v>0</v>
      </c>
      <c r="BG1324" s="46" t="s">
        <v>48</v>
      </c>
      <c r="BH1324" s="46">
        <v>0</v>
      </c>
      <c r="BI1324" s="46">
        <v>0</v>
      </c>
      <c r="BJ1324" s="46">
        <v>0</v>
      </c>
      <c r="BK1324" s="46">
        <v>0</v>
      </c>
      <c r="BL1324" s="46">
        <v>0</v>
      </c>
      <c r="BM1324" s="46">
        <v>0</v>
      </c>
      <c r="BN1324" s="46">
        <v>0</v>
      </c>
    </row>
    <row r="1325" spans="1:66" x14ac:dyDescent="0.35">
      <c r="A1325" t="s">
        <v>1098</v>
      </c>
      <c r="B1325" s="44" t="s">
        <v>48</v>
      </c>
      <c r="C1325" t="s">
        <v>1100</v>
      </c>
      <c r="D1325" t="s">
        <v>729</v>
      </c>
      <c r="E1325" t="s">
        <v>8030</v>
      </c>
      <c r="F1325" t="s">
        <v>1069</v>
      </c>
      <c r="G1325" t="s">
        <v>74</v>
      </c>
      <c r="H1325">
        <v>0</v>
      </c>
      <c r="I1325" s="61">
        <v>44732</v>
      </c>
      <c r="J1325" s="33" t="s">
        <v>45</v>
      </c>
      <c r="K1325" s="46">
        <v>0</v>
      </c>
      <c r="L1325">
        <v>6.6</v>
      </c>
      <c r="M1325" s="41" t="s">
        <v>48</v>
      </c>
      <c r="N1325" s="46">
        <v>0</v>
      </c>
      <c r="O1325" s="46">
        <v>0</v>
      </c>
      <c r="P1325" s="46">
        <v>0</v>
      </c>
      <c r="Q1325" s="41" t="s">
        <v>48</v>
      </c>
      <c r="R1325" s="41" t="s">
        <v>48</v>
      </c>
      <c r="S1325" t="s">
        <v>1099</v>
      </c>
      <c r="T1325" t="s">
        <v>48</v>
      </c>
      <c r="U1325" t="s">
        <v>1099</v>
      </c>
      <c r="V1325" s="47">
        <v>0</v>
      </c>
      <c r="W1325" t="s">
        <v>48</v>
      </c>
      <c r="X1325" t="s">
        <v>48</v>
      </c>
      <c r="Y1325" t="s">
        <v>48</v>
      </c>
      <c r="Z1325">
        <v>0</v>
      </c>
      <c r="AA1325" t="s">
        <v>48</v>
      </c>
      <c r="AB1325" t="s">
        <v>48</v>
      </c>
      <c r="AC1325" t="s">
        <v>49</v>
      </c>
      <c r="AD1325" t="s">
        <v>93</v>
      </c>
      <c r="AE1325" t="s">
        <v>977</v>
      </c>
      <c r="AF1325" t="s">
        <v>11056</v>
      </c>
      <c r="AG1325" t="s">
        <v>48</v>
      </c>
      <c r="AH1325" t="s">
        <v>48</v>
      </c>
      <c r="AI1325" t="s">
        <v>48</v>
      </c>
      <c r="AJ1325" t="s">
        <v>48</v>
      </c>
      <c r="AK1325" t="s">
        <v>48</v>
      </c>
      <c r="AL1325" t="s">
        <v>48</v>
      </c>
      <c r="AM1325" t="s">
        <v>48</v>
      </c>
      <c r="AN1325" t="s">
        <v>48</v>
      </c>
      <c r="AO1325" t="s">
        <v>48</v>
      </c>
      <c r="AP1325" s="46">
        <v>0</v>
      </c>
      <c r="AQ1325" s="46">
        <v>0</v>
      </c>
      <c r="AR1325" s="46">
        <v>0</v>
      </c>
      <c r="AS1325" s="46">
        <v>0</v>
      </c>
      <c r="AT1325" s="46">
        <v>0</v>
      </c>
      <c r="AU1325" s="46">
        <v>0</v>
      </c>
      <c r="AV1325" s="46">
        <v>0</v>
      </c>
      <c r="AW1325" s="46">
        <v>0</v>
      </c>
      <c r="AX1325" s="46">
        <v>0</v>
      </c>
      <c r="AY1325" s="46">
        <v>0</v>
      </c>
      <c r="AZ1325" s="46">
        <v>0</v>
      </c>
      <c r="BA1325" s="46">
        <v>0</v>
      </c>
      <c r="BB1325" s="46">
        <v>0</v>
      </c>
      <c r="BC1325" s="46">
        <v>0</v>
      </c>
      <c r="BD1325" s="46">
        <v>0</v>
      </c>
      <c r="BE1325" s="46">
        <v>0</v>
      </c>
      <c r="BF1325" s="46">
        <v>0</v>
      </c>
      <c r="BG1325" s="46" t="s">
        <v>48</v>
      </c>
      <c r="BH1325" s="46">
        <v>0</v>
      </c>
      <c r="BI1325" s="46">
        <v>0</v>
      </c>
      <c r="BJ1325" s="46">
        <v>0</v>
      </c>
      <c r="BK1325" s="46">
        <v>0</v>
      </c>
      <c r="BL1325" s="46">
        <v>0</v>
      </c>
      <c r="BM1325" s="46">
        <v>0</v>
      </c>
      <c r="BN1325" s="46">
        <v>0</v>
      </c>
    </row>
    <row r="1326" spans="1:66" x14ac:dyDescent="0.35">
      <c r="A1326" t="s">
        <v>8132</v>
      </c>
      <c r="B1326" s="44" t="s">
        <v>48</v>
      </c>
      <c r="C1326" t="s">
        <v>11649</v>
      </c>
      <c r="D1326" t="s">
        <v>221</v>
      </c>
      <c r="E1326" t="s">
        <v>8133</v>
      </c>
      <c r="F1326" t="s">
        <v>1069</v>
      </c>
      <c r="G1326" t="s">
        <v>83</v>
      </c>
      <c r="H1326">
        <v>0</v>
      </c>
      <c r="I1326" s="61">
        <v>44732</v>
      </c>
      <c r="J1326" s="33" t="s">
        <v>45</v>
      </c>
      <c r="K1326" s="46">
        <v>0</v>
      </c>
      <c r="L1326">
        <v>1.2</v>
      </c>
      <c r="M1326" t="s">
        <v>48</v>
      </c>
      <c r="N1326" s="46">
        <v>0</v>
      </c>
      <c r="O1326" s="46">
        <v>0</v>
      </c>
      <c r="P1326" s="46">
        <v>0</v>
      </c>
      <c r="Q1326" t="s">
        <v>48</v>
      </c>
      <c r="R1326" t="s">
        <v>48</v>
      </c>
      <c r="S1326" t="s">
        <v>48</v>
      </c>
      <c r="T1326" t="s">
        <v>48</v>
      </c>
      <c r="U1326" t="s">
        <v>48</v>
      </c>
      <c r="V1326" s="47">
        <v>1</v>
      </c>
      <c r="W1326" t="s">
        <v>48</v>
      </c>
      <c r="X1326" t="s">
        <v>48</v>
      </c>
      <c r="Y1326" t="s">
        <v>48</v>
      </c>
      <c r="Z1326" t="s">
        <v>48</v>
      </c>
      <c r="AA1326" t="s">
        <v>48</v>
      </c>
      <c r="AB1326" t="s">
        <v>48</v>
      </c>
      <c r="AC1326" t="s">
        <v>49</v>
      </c>
      <c r="AD1326" t="s">
        <v>93</v>
      </c>
      <c r="AE1326" t="s">
        <v>4532</v>
      </c>
      <c r="AF1326" t="s">
        <v>48</v>
      </c>
      <c r="AG1326" t="s">
        <v>48</v>
      </c>
      <c r="AH1326" t="s">
        <v>48</v>
      </c>
      <c r="AI1326" t="s">
        <v>48</v>
      </c>
      <c r="AJ1326" t="s">
        <v>48</v>
      </c>
      <c r="AK1326" t="s">
        <v>48</v>
      </c>
      <c r="AL1326" t="s">
        <v>48</v>
      </c>
      <c r="AM1326" t="s">
        <v>48</v>
      </c>
      <c r="AN1326" t="s">
        <v>48</v>
      </c>
      <c r="AO1326" t="s">
        <v>48</v>
      </c>
      <c r="AP1326" s="46">
        <v>0</v>
      </c>
      <c r="AQ1326" s="46">
        <v>0</v>
      </c>
      <c r="AR1326" s="46">
        <v>0</v>
      </c>
      <c r="AS1326" s="46">
        <v>0</v>
      </c>
      <c r="AT1326" s="46">
        <v>0</v>
      </c>
      <c r="AU1326" s="46">
        <v>0</v>
      </c>
      <c r="AV1326" s="46">
        <v>0</v>
      </c>
      <c r="AW1326" s="46">
        <v>0</v>
      </c>
      <c r="AX1326" s="46">
        <v>0</v>
      </c>
      <c r="AY1326" s="46">
        <v>0</v>
      </c>
      <c r="AZ1326" s="46">
        <v>0</v>
      </c>
      <c r="BA1326" s="46">
        <v>0</v>
      </c>
      <c r="BB1326" s="46">
        <v>0</v>
      </c>
      <c r="BC1326" s="46">
        <v>0</v>
      </c>
      <c r="BD1326" s="46">
        <v>0</v>
      </c>
      <c r="BE1326" s="46">
        <v>0</v>
      </c>
      <c r="BF1326" s="46">
        <v>0</v>
      </c>
      <c r="BG1326" s="46" t="s">
        <v>48</v>
      </c>
      <c r="BH1326" s="46">
        <v>0</v>
      </c>
      <c r="BI1326" s="46">
        <v>0</v>
      </c>
      <c r="BJ1326" s="46">
        <v>0</v>
      </c>
      <c r="BK1326" s="46">
        <v>0</v>
      </c>
      <c r="BL1326" s="46">
        <v>0</v>
      </c>
      <c r="BM1326" s="46">
        <v>0</v>
      </c>
      <c r="BN1326" s="46">
        <v>0</v>
      </c>
    </row>
    <row r="1327" spans="1:66" x14ac:dyDescent="0.35">
      <c r="A1327" t="s">
        <v>1089</v>
      </c>
      <c r="B1327" s="44" t="s">
        <v>48</v>
      </c>
      <c r="C1327" t="s">
        <v>1091</v>
      </c>
      <c r="D1327" t="s">
        <v>367</v>
      </c>
      <c r="E1327" t="s">
        <v>8196</v>
      </c>
      <c r="F1327" t="s">
        <v>1069</v>
      </c>
      <c r="G1327" t="s">
        <v>47</v>
      </c>
      <c r="H1327">
        <v>0</v>
      </c>
      <c r="I1327" s="61">
        <v>44732</v>
      </c>
      <c r="J1327" s="33" t="s">
        <v>45</v>
      </c>
      <c r="K1327" s="46">
        <v>0</v>
      </c>
      <c r="L1327">
        <v>12.6</v>
      </c>
      <c r="M1327" s="41" t="s">
        <v>48</v>
      </c>
      <c r="N1327" s="46">
        <v>0</v>
      </c>
      <c r="O1327" s="46">
        <v>0</v>
      </c>
      <c r="P1327" s="46">
        <v>0</v>
      </c>
      <c r="Q1327" s="41" t="s">
        <v>48</v>
      </c>
      <c r="R1327" s="41" t="s">
        <v>48</v>
      </c>
      <c r="S1327" t="s">
        <v>1090</v>
      </c>
      <c r="T1327" t="s">
        <v>48</v>
      </c>
      <c r="U1327" t="s">
        <v>1090</v>
      </c>
      <c r="V1327" s="47">
        <v>0</v>
      </c>
      <c r="W1327" t="s">
        <v>48</v>
      </c>
      <c r="X1327" t="s">
        <v>48</v>
      </c>
      <c r="Y1327" t="s">
        <v>48</v>
      </c>
      <c r="Z1327">
        <v>0</v>
      </c>
      <c r="AA1327" t="s">
        <v>48</v>
      </c>
      <c r="AB1327" t="s">
        <v>48</v>
      </c>
      <c r="AC1327" t="s">
        <v>49</v>
      </c>
      <c r="AD1327" t="s">
        <v>93</v>
      </c>
      <c r="AE1327" t="s">
        <v>977</v>
      </c>
      <c r="AF1327" t="s">
        <v>11056</v>
      </c>
      <c r="AG1327" t="s">
        <v>48</v>
      </c>
      <c r="AH1327" t="s">
        <v>48</v>
      </c>
      <c r="AI1327" t="s">
        <v>48</v>
      </c>
      <c r="AJ1327" t="s">
        <v>48</v>
      </c>
      <c r="AK1327" t="s">
        <v>48</v>
      </c>
      <c r="AL1327" t="s">
        <v>48</v>
      </c>
      <c r="AM1327" t="s">
        <v>48</v>
      </c>
      <c r="AN1327" t="s">
        <v>48</v>
      </c>
      <c r="AO1327" t="s">
        <v>48</v>
      </c>
      <c r="AP1327" s="46">
        <v>0</v>
      </c>
      <c r="AQ1327" s="46">
        <v>0</v>
      </c>
      <c r="AR1327" s="46">
        <v>0</v>
      </c>
      <c r="AS1327" s="46">
        <v>0</v>
      </c>
      <c r="AT1327" s="46">
        <v>0</v>
      </c>
      <c r="AU1327" s="46">
        <v>0</v>
      </c>
      <c r="AV1327" s="46">
        <v>0</v>
      </c>
      <c r="AW1327" s="46">
        <v>0</v>
      </c>
      <c r="AX1327" s="46">
        <v>0</v>
      </c>
      <c r="AY1327" s="46">
        <v>0</v>
      </c>
      <c r="AZ1327" s="46">
        <v>0</v>
      </c>
      <c r="BA1327" s="46">
        <v>0</v>
      </c>
      <c r="BB1327" s="46">
        <v>0</v>
      </c>
      <c r="BC1327" s="46">
        <v>0</v>
      </c>
      <c r="BD1327" s="46">
        <v>0</v>
      </c>
      <c r="BE1327" s="46">
        <v>0</v>
      </c>
      <c r="BF1327" s="46">
        <v>0</v>
      </c>
      <c r="BG1327" s="46" t="s">
        <v>48</v>
      </c>
      <c r="BH1327" s="46">
        <v>0</v>
      </c>
      <c r="BI1327" s="46">
        <v>0</v>
      </c>
      <c r="BJ1327" s="46">
        <v>0</v>
      </c>
      <c r="BK1327" s="46">
        <v>0</v>
      </c>
      <c r="BL1327" s="46">
        <v>0</v>
      </c>
      <c r="BM1327" s="46">
        <v>0</v>
      </c>
      <c r="BN1327" s="46">
        <v>0</v>
      </c>
    </row>
    <row r="1328" spans="1:66" x14ac:dyDescent="0.35">
      <c r="A1328" t="s">
        <v>1074</v>
      </c>
      <c r="B1328" s="44" t="s">
        <v>48</v>
      </c>
      <c r="C1328" t="s">
        <v>1076</v>
      </c>
      <c r="D1328" t="s">
        <v>328</v>
      </c>
      <c r="E1328" t="s">
        <v>1075</v>
      </c>
      <c r="F1328" t="s">
        <v>1069</v>
      </c>
      <c r="G1328" t="s">
        <v>47</v>
      </c>
      <c r="H1328">
        <v>0</v>
      </c>
      <c r="I1328" s="60" t="s">
        <v>125</v>
      </c>
      <c r="J1328" s="33" t="s">
        <v>45</v>
      </c>
      <c r="K1328" s="46">
        <v>0</v>
      </c>
      <c r="L1328">
        <v>7.8</v>
      </c>
      <c r="M1328" t="s">
        <v>48</v>
      </c>
      <c r="N1328" s="46">
        <v>0</v>
      </c>
      <c r="O1328" s="46">
        <v>0</v>
      </c>
      <c r="P1328" s="46">
        <v>0</v>
      </c>
      <c r="Q1328" t="s">
        <v>48</v>
      </c>
      <c r="R1328" t="s">
        <v>48</v>
      </c>
      <c r="S1328" t="s">
        <v>48</v>
      </c>
      <c r="T1328" t="s">
        <v>48</v>
      </c>
      <c r="U1328" t="s">
        <v>48</v>
      </c>
      <c r="V1328" s="47">
        <v>0</v>
      </c>
      <c r="W1328" t="s">
        <v>48</v>
      </c>
      <c r="X1328" t="s">
        <v>48</v>
      </c>
      <c r="Y1328" t="s">
        <v>48</v>
      </c>
      <c r="Z1328">
        <v>0</v>
      </c>
      <c r="AA1328" t="s">
        <v>48</v>
      </c>
      <c r="AB1328" t="s">
        <v>48</v>
      </c>
      <c r="AC1328" t="s">
        <v>49</v>
      </c>
      <c r="AD1328" t="s">
        <v>93</v>
      </c>
      <c r="AE1328" t="s">
        <v>4532</v>
      </c>
      <c r="AF1328" t="s">
        <v>48</v>
      </c>
      <c r="AG1328" t="s">
        <v>48</v>
      </c>
      <c r="AH1328" t="s">
        <v>48</v>
      </c>
      <c r="AI1328" t="s">
        <v>48</v>
      </c>
      <c r="AJ1328" t="s">
        <v>48</v>
      </c>
      <c r="AK1328" t="s">
        <v>48</v>
      </c>
      <c r="AL1328" t="s">
        <v>48</v>
      </c>
      <c r="AM1328" t="s">
        <v>48</v>
      </c>
      <c r="AN1328" t="s">
        <v>48</v>
      </c>
      <c r="AO1328" t="s">
        <v>48</v>
      </c>
      <c r="AP1328" s="46">
        <v>0</v>
      </c>
      <c r="AQ1328" s="46">
        <v>0</v>
      </c>
      <c r="AR1328" s="46">
        <v>0</v>
      </c>
      <c r="AS1328" s="46">
        <v>0</v>
      </c>
      <c r="AT1328" s="46">
        <v>0</v>
      </c>
      <c r="AU1328" s="46">
        <v>0</v>
      </c>
      <c r="AV1328" s="46">
        <v>0</v>
      </c>
      <c r="AW1328" s="46">
        <v>0</v>
      </c>
      <c r="AX1328" s="46">
        <v>0</v>
      </c>
      <c r="AY1328" s="46">
        <v>0</v>
      </c>
      <c r="AZ1328" s="46">
        <v>0</v>
      </c>
      <c r="BA1328" s="46">
        <v>0</v>
      </c>
      <c r="BB1328" s="46">
        <v>0</v>
      </c>
      <c r="BC1328" s="46">
        <v>0</v>
      </c>
      <c r="BD1328" s="46">
        <v>0</v>
      </c>
      <c r="BE1328" s="46">
        <v>0</v>
      </c>
      <c r="BF1328" s="46">
        <v>0</v>
      </c>
      <c r="BG1328" s="46" t="s">
        <v>48</v>
      </c>
      <c r="BH1328" s="46">
        <v>0</v>
      </c>
      <c r="BI1328" s="46">
        <v>0</v>
      </c>
      <c r="BJ1328" s="46">
        <v>0</v>
      </c>
      <c r="BK1328" s="46">
        <v>0</v>
      </c>
      <c r="BL1328" s="46">
        <v>0</v>
      </c>
      <c r="BM1328" s="46">
        <v>0</v>
      </c>
      <c r="BN1328" s="46">
        <v>0</v>
      </c>
    </row>
    <row r="1329" spans="1:66" x14ac:dyDescent="0.35">
      <c r="A1329" t="s">
        <v>8200</v>
      </c>
      <c r="B1329" s="44" t="s">
        <v>48</v>
      </c>
      <c r="C1329" t="s">
        <v>11650</v>
      </c>
      <c r="D1329" t="s">
        <v>1402</v>
      </c>
      <c r="E1329" t="s">
        <v>8201</v>
      </c>
      <c r="F1329" t="s">
        <v>100</v>
      </c>
      <c r="G1329" t="s">
        <v>47</v>
      </c>
      <c r="H1329">
        <v>0</v>
      </c>
      <c r="I1329" s="61">
        <v>44732</v>
      </c>
      <c r="J1329" s="33" t="s">
        <v>45</v>
      </c>
      <c r="K1329" s="46">
        <v>0</v>
      </c>
      <c r="L1329">
        <v>1.6</v>
      </c>
      <c r="M1329" t="s">
        <v>48</v>
      </c>
      <c r="N1329" s="46">
        <v>0</v>
      </c>
      <c r="O1329" s="46">
        <v>0</v>
      </c>
      <c r="P1329" s="46">
        <v>0</v>
      </c>
      <c r="Q1329" t="s">
        <v>48</v>
      </c>
      <c r="R1329" t="s">
        <v>48</v>
      </c>
      <c r="S1329" t="s">
        <v>48</v>
      </c>
      <c r="T1329" t="s">
        <v>48</v>
      </c>
      <c r="U1329" t="s">
        <v>48</v>
      </c>
      <c r="V1329" s="47">
        <v>1</v>
      </c>
      <c r="W1329" t="s">
        <v>48</v>
      </c>
      <c r="X1329" t="s">
        <v>48</v>
      </c>
      <c r="Y1329" t="s">
        <v>48</v>
      </c>
      <c r="Z1329" t="s">
        <v>48</v>
      </c>
      <c r="AA1329" t="s">
        <v>48</v>
      </c>
      <c r="AB1329" t="s">
        <v>48</v>
      </c>
      <c r="AC1329" t="s">
        <v>49</v>
      </c>
      <c r="AD1329" t="s">
        <v>93</v>
      </c>
      <c r="AE1329" t="s">
        <v>4532</v>
      </c>
      <c r="AF1329" t="s">
        <v>48</v>
      </c>
      <c r="AG1329" t="s">
        <v>48</v>
      </c>
      <c r="AH1329" t="s">
        <v>48</v>
      </c>
      <c r="AI1329" t="s">
        <v>48</v>
      </c>
      <c r="AJ1329" t="s">
        <v>48</v>
      </c>
      <c r="AK1329" t="s">
        <v>48</v>
      </c>
      <c r="AL1329" t="s">
        <v>48</v>
      </c>
      <c r="AM1329" t="s">
        <v>48</v>
      </c>
      <c r="AN1329" t="s">
        <v>48</v>
      </c>
      <c r="AO1329" t="s">
        <v>48</v>
      </c>
      <c r="AP1329" s="46">
        <v>0</v>
      </c>
      <c r="AQ1329" s="46">
        <v>0</v>
      </c>
      <c r="AR1329" s="46">
        <v>0</v>
      </c>
      <c r="AS1329" s="46">
        <v>0</v>
      </c>
      <c r="AT1329" s="46">
        <v>0</v>
      </c>
      <c r="AU1329" s="46">
        <v>0</v>
      </c>
      <c r="AV1329" s="46">
        <v>0</v>
      </c>
      <c r="AW1329" s="46">
        <v>0</v>
      </c>
      <c r="AX1329" s="46">
        <v>0</v>
      </c>
      <c r="AY1329" s="46">
        <v>0</v>
      </c>
      <c r="AZ1329" s="46">
        <v>0</v>
      </c>
      <c r="BA1329" s="46">
        <v>0</v>
      </c>
      <c r="BB1329" s="46">
        <v>0</v>
      </c>
      <c r="BC1329" s="46">
        <v>0</v>
      </c>
      <c r="BD1329" s="46">
        <v>0</v>
      </c>
      <c r="BE1329" s="46">
        <v>0</v>
      </c>
      <c r="BF1329" s="46">
        <v>0</v>
      </c>
      <c r="BG1329" s="46" t="s">
        <v>48</v>
      </c>
      <c r="BH1329" s="46">
        <v>0</v>
      </c>
      <c r="BI1329" s="46">
        <v>0</v>
      </c>
      <c r="BJ1329" s="46">
        <v>0</v>
      </c>
      <c r="BK1329" s="46">
        <v>0</v>
      </c>
      <c r="BL1329" s="46">
        <v>0</v>
      </c>
      <c r="BM1329" s="46">
        <v>0</v>
      </c>
      <c r="BN1329" s="46">
        <v>0</v>
      </c>
    </row>
    <row r="1330" spans="1:66" x14ac:dyDescent="0.35">
      <c r="A1330" t="s">
        <v>8033</v>
      </c>
      <c r="B1330" s="44" t="s">
        <v>48</v>
      </c>
      <c r="C1330" t="s">
        <v>11652</v>
      </c>
      <c r="D1330" t="s">
        <v>11653</v>
      </c>
      <c r="E1330" t="s">
        <v>8034</v>
      </c>
      <c r="F1330" t="s">
        <v>100</v>
      </c>
      <c r="G1330" t="s">
        <v>74</v>
      </c>
      <c r="H1330">
        <v>0</v>
      </c>
      <c r="I1330" s="61">
        <v>44732</v>
      </c>
      <c r="J1330" s="33" t="s">
        <v>45</v>
      </c>
      <c r="K1330" s="46">
        <v>0</v>
      </c>
      <c r="L1330">
        <v>2.1</v>
      </c>
      <c r="M1330" t="s">
        <v>48</v>
      </c>
      <c r="N1330" s="46">
        <v>0</v>
      </c>
      <c r="O1330" s="46">
        <v>0</v>
      </c>
      <c r="P1330" s="46">
        <v>0</v>
      </c>
      <c r="Q1330" t="s">
        <v>48</v>
      </c>
      <c r="R1330" t="s">
        <v>48</v>
      </c>
      <c r="S1330" t="s">
        <v>48</v>
      </c>
      <c r="T1330" t="s">
        <v>48</v>
      </c>
      <c r="U1330" t="s">
        <v>48</v>
      </c>
      <c r="V1330" s="47">
        <v>1</v>
      </c>
      <c r="W1330" t="s">
        <v>48</v>
      </c>
      <c r="X1330" t="s">
        <v>48</v>
      </c>
      <c r="Y1330" t="s">
        <v>48</v>
      </c>
      <c r="Z1330" t="s">
        <v>48</v>
      </c>
      <c r="AA1330" t="s">
        <v>48</v>
      </c>
      <c r="AB1330" t="s">
        <v>48</v>
      </c>
      <c r="AC1330" t="s">
        <v>49</v>
      </c>
      <c r="AD1330" t="s">
        <v>48</v>
      </c>
      <c r="AE1330" t="s">
        <v>48</v>
      </c>
      <c r="AF1330" t="s">
        <v>48</v>
      </c>
      <c r="AG1330" t="s">
        <v>48</v>
      </c>
      <c r="AH1330" t="s">
        <v>48</v>
      </c>
      <c r="AI1330" t="s">
        <v>48</v>
      </c>
      <c r="AJ1330" t="s">
        <v>48</v>
      </c>
      <c r="AK1330" t="s">
        <v>48</v>
      </c>
      <c r="AL1330" t="s">
        <v>48</v>
      </c>
      <c r="AM1330" t="s">
        <v>48</v>
      </c>
      <c r="AN1330" t="s">
        <v>48</v>
      </c>
      <c r="AO1330" t="s">
        <v>48</v>
      </c>
      <c r="AP1330" s="46">
        <v>0</v>
      </c>
      <c r="AQ1330" s="46">
        <v>0</v>
      </c>
      <c r="AR1330" s="46">
        <v>0</v>
      </c>
      <c r="AS1330" s="46">
        <v>0</v>
      </c>
      <c r="AT1330" s="46">
        <v>0</v>
      </c>
      <c r="AU1330" s="46">
        <v>0</v>
      </c>
      <c r="AV1330" s="46">
        <v>0</v>
      </c>
      <c r="AW1330" s="46">
        <v>0</v>
      </c>
      <c r="AX1330" s="46">
        <v>0</v>
      </c>
      <c r="AY1330" s="46">
        <v>0</v>
      </c>
      <c r="AZ1330" s="46">
        <v>0</v>
      </c>
      <c r="BA1330" s="46">
        <v>0</v>
      </c>
      <c r="BB1330" s="46">
        <v>0</v>
      </c>
      <c r="BC1330" s="46">
        <v>0</v>
      </c>
      <c r="BD1330" s="46">
        <v>0</v>
      </c>
      <c r="BE1330" s="46">
        <v>0</v>
      </c>
      <c r="BF1330" s="46">
        <v>0</v>
      </c>
      <c r="BG1330" s="46" t="s">
        <v>48</v>
      </c>
      <c r="BH1330" s="46">
        <v>0</v>
      </c>
      <c r="BI1330" s="46">
        <v>0</v>
      </c>
      <c r="BJ1330" s="46">
        <v>0</v>
      </c>
      <c r="BK1330" s="46">
        <v>0</v>
      </c>
      <c r="BL1330" s="46">
        <v>0</v>
      </c>
      <c r="BM1330" s="46">
        <v>0</v>
      </c>
      <c r="BN1330" s="46">
        <v>0</v>
      </c>
    </row>
    <row r="1331" spans="1:66" x14ac:dyDescent="0.35">
      <c r="A1331" t="s">
        <v>8031</v>
      </c>
      <c r="B1331" s="44" t="s">
        <v>48</v>
      </c>
      <c r="C1331" t="s">
        <v>11651</v>
      </c>
      <c r="D1331" t="s">
        <v>339</v>
      </c>
      <c r="E1331" t="s">
        <v>8032</v>
      </c>
      <c r="F1331" t="s">
        <v>100</v>
      </c>
      <c r="G1331" t="s">
        <v>74</v>
      </c>
      <c r="H1331">
        <v>0</v>
      </c>
      <c r="I1331" s="61">
        <v>44732</v>
      </c>
      <c r="J1331" s="33" t="s">
        <v>45</v>
      </c>
      <c r="K1331" s="46">
        <v>0</v>
      </c>
      <c r="L1331">
        <v>5</v>
      </c>
      <c r="M1331" t="s">
        <v>48</v>
      </c>
      <c r="N1331" s="46">
        <v>0</v>
      </c>
      <c r="O1331" s="46">
        <v>0</v>
      </c>
      <c r="P1331" s="46">
        <v>0</v>
      </c>
      <c r="Q1331" t="s">
        <v>48</v>
      </c>
      <c r="R1331" t="s">
        <v>48</v>
      </c>
      <c r="S1331" t="s">
        <v>48</v>
      </c>
      <c r="T1331" t="s">
        <v>48</v>
      </c>
      <c r="U1331" t="s">
        <v>48</v>
      </c>
      <c r="V1331" s="47">
        <v>1</v>
      </c>
      <c r="W1331" t="s">
        <v>48</v>
      </c>
      <c r="X1331" t="s">
        <v>48</v>
      </c>
      <c r="Y1331" t="s">
        <v>48</v>
      </c>
      <c r="Z1331" t="s">
        <v>48</v>
      </c>
      <c r="AA1331" t="s">
        <v>48</v>
      </c>
      <c r="AB1331" t="s">
        <v>48</v>
      </c>
      <c r="AC1331" t="s">
        <v>49</v>
      </c>
      <c r="AD1331" t="s">
        <v>48</v>
      </c>
      <c r="AE1331" t="s">
        <v>48</v>
      </c>
      <c r="AF1331" t="s">
        <v>48</v>
      </c>
      <c r="AG1331" t="s">
        <v>48</v>
      </c>
      <c r="AH1331" t="s">
        <v>48</v>
      </c>
      <c r="AI1331" t="s">
        <v>48</v>
      </c>
      <c r="AJ1331" t="s">
        <v>48</v>
      </c>
      <c r="AK1331" t="s">
        <v>48</v>
      </c>
      <c r="AL1331" t="s">
        <v>48</v>
      </c>
      <c r="AM1331" t="s">
        <v>48</v>
      </c>
      <c r="AN1331" t="s">
        <v>48</v>
      </c>
      <c r="AO1331" t="s">
        <v>48</v>
      </c>
      <c r="AP1331" s="46">
        <v>0</v>
      </c>
      <c r="AQ1331" s="46">
        <v>0</v>
      </c>
      <c r="AR1331" s="46">
        <v>0</v>
      </c>
      <c r="AS1331" s="46">
        <v>0</v>
      </c>
      <c r="AT1331" s="46">
        <v>0</v>
      </c>
      <c r="AU1331" s="46">
        <v>0</v>
      </c>
      <c r="AV1331" s="46">
        <v>0</v>
      </c>
      <c r="AW1331" s="46">
        <v>0</v>
      </c>
      <c r="AX1331" s="46">
        <v>0</v>
      </c>
      <c r="AY1331" s="46">
        <v>0</v>
      </c>
      <c r="AZ1331" s="46">
        <v>0</v>
      </c>
      <c r="BA1331" s="46">
        <v>0</v>
      </c>
      <c r="BB1331" s="46">
        <v>0</v>
      </c>
      <c r="BC1331" s="46">
        <v>0</v>
      </c>
      <c r="BD1331" s="46">
        <v>0</v>
      </c>
      <c r="BE1331" s="46">
        <v>0</v>
      </c>
      <c r="BF1331" s="46">
        <v>0</v>
      </c>
      <c r="BG1331" s="46" t="s">
        <v>48</v>
      </c>
      <c r="BH1331" s="46">
        <v>0</v>
      </c>
      <c r="BI1331" s="46">
        <v>0</v>
      </c>
      <c r="BJ1331" s="46">
        <v>0</v>
      </c>
      <c r="BK1331" s="46">
        <v>0</v>
      </c>
      <c r="BL1331" s="46">
        <v>0</v>
      </c>
      <c r="BM1331" s="46">
        <v>0</v>
      </c>
      <c r="BN1331" s="46">
        <v>0</v>
      </c>
    </row>
    <row r="1332" spans="1:66" x14ac:dyDescent="0.35">
      <c r="A1332" t="s">
        <v>8035</v>
      </c>
      <c r="B1332" s="44" t="s">
        <v>48</v>
      </c>
      <c r="C1332" t="s">
        <v>11656</v>
      </c>
      <c r="D1332" t="s">
        <v>786</v>
      </c>
      <c r="E1332" t="s">
        <v>11558</v>
      </c>
      <c r="F1332" t="s">
        <v>1081</v>
      </c>
      <c r="G1332" t="s">
        <v>74</v>
      </c>
      <c r="H1332">
        <v>0</v>
      </c>
      <c r="I1332" s="61">
        <v>44732</v>
      </c>
      <c r="J1332" s="33" t="s">
        <v>45</v>
      </c>
      <c r="K1332" s="46">
        <v>0</v>
      </c>
      <c r="L1332">
        <v>12.5</v>
      </c>
      <c r="M1332" t="s">
        <v>48</v>
      </c>
      <c r="N1332" s="46">
        <v>0</v>
      </c>
      <c r="O1332" s="46">
        <v>0</v>
      </c>
      <c r="P1332" s="46">
        <v>0</v>
      </c>
      <c r="Q1332" t="s">
        <v>48</v>
      </c>
      <c r="R1332" t="s">
        <v>48</v>
      </c>
      <c r="S1332" t="s">
        <v>48</v>
      </c>
      <c r="T1332" t="s">
        <v>48</v>
      </c>
      <c r="U1332" t="s">
        <v>48</v>
      </c>
      <c r="V1332" s="47">
        <v>1</v>
      </c>
      <c r="W1332" t="s">
        <v>48</v>
      </c>
      <c r="X1332" t="s">
        <v>48</v>
      </c>
      <c r="Y1332" t="s">
        <v>48</v>
      </c>
      <c r="Z1332" t="s">
        <v>48</v>
      </c>
      <c r="AA1332" t="s">
        <v>48</v>
      </c>
      <c r="AB1332" t="s">
        <v>48</v>
      </c>
      <c r="AC1332" t="s">
        <v>49</v>
      </c>
      <c r="AD1332" t="s">
        <v>951</v>
      </c>
      <c r="AE1332" t="s">
        <v>11051</v>
      </c>
      <c r="AF1332" t="s">
        <v>11054</v>
      </c>
      <c r="AG1332" t="s">
        <v>48</v>
      </c>
      <c r="AH1332" t="s">
        <v>48</v>
      </c>
      <c r="AI1332" t="s">
        <v>48</v>
      </c>
      <c r="AJ1332" t="s">
        <v>48</v>
      </c>
      <c r="AK1332" t="s">
        <v>48</v>
      </c>
      <c r="AL1332" t="s">
        <v>48</v>
      </c>
      <c r="AM1332" t="s">
        <v>48</v>
      </c>
      <c r="AN1332" t="s">
        <v>48</v>
      </c>
      <c r="AO1332" t="s">
        <v>48</v>
      </c>
      <c r="AP1332" s="46">
        <v>0</v>
      </c>
      <c r="AQ1332" s="46">
        <v>0</v>
      </c>
      <c r="AR1332" s="46">
        <v>0</v>
      </c>
      <c r="AS1332" s="46">
        <v>0</v>
      </c>
      <c r="AT1332" s="46">
        <v>0</v>
      </c>
      <c r="AU1332" s="46">
        <v>0</v>
      </c>
      <c r="AV1332" s="46">
        <v>0</v>
      </c>
      <c r="AW1332" s="46">
        <v>0</v>
      </c>
      <c r="AX1332" s="46">
        <v>0</v>
      </c>
      <c r="AY1332" s="46">
        <v>0</v>
      </c>
      <c r="AZ1332" s="46">
        <v>0</v>
      </c>
      <c r="BA1332" s="46">
        <v>0</v>
      </c>
      <c r="BB1332" s="46">
        <v>0</v>
      </c>
      <c r="BC1332" s="46">
        <v>0</v>
      </c>
      <c r="BD1332" s="46">
        <v>0</v>
      </c>
      <c r="BE1332" s="46">
        <v>0</v>
      </c>
      <c r="BF1332" s="46">
        <v>0</v>
      </c>
      <c r="BG1332" s="46" t="s">
        <v>48</v>
      </c>
      <c r="BH1332" s="46">
        <v>0</v>
      </c>
      <c r="BI1332" s="46">
        <v>0</v>
      </c>
      <c r="BJ1332" s="46">
        <v>0</v>
      </c>
      <c r="BK1332" s="46">
        <v>0</v>
      </c>
      <c r="BL1332" s="46">
        <v>0</v>
      </c>
      <c r="BM1332" s="46">
        <v>0</v>
      </c>
      <c r="BN1332" s="46">
        <v>0</v>
      </c>
    </row>
    <row r="1333" spans="1:66" x14ac:dyDescent="0.35">
      <c r="A1333" t="s">
        <v>1112</v>
      </c>
      <c r="B1333" s="44" t="s">
        <v>48</v>
      </c>
      <c r="C1333" t="s">
        <v>1114</v>
      </c>
      <c r="D1333" t="s">
        <v>1113</v>
      </c>
      <c r="E1333" t="s">
        <v>8204</v>
      </c>
      <c r="F1333" t="s">
        <v>1102</v>
      </c>
      <c r="G1333" t="s">
        <v>47</v>
      </c>
      <c r="H1333">
        <v>0</v>
      </c>
      <c r="I1333" s="61">
        <v>44732</v>
      </c>
      <c r="J1333" s="33" t="s">
        <v>45</v>
      </c>
      <c r="K1333" s="46">
        <v>0</v>
      </c>
      <c r="L1333">
        <v>6.3</v>
      </c>
      <c r="M1333" t="s">
        <v>48</v>
      </c>
      <c r="N1333" s="46">
        <v>0</v>
      </c>
      <c r="O1333" s="46">
        <v>0</v>
      </c>
      <c r="P1333" s="46">
        <v>0</v>
      </c>
      <c r="Q1333" t="s">
        <v>48</v>
      </c>
      <c r="R1333" t="s">
        <v>48</v>
      </c>
      <c r="S1333" t="s">
        <v>48</v>
      </c>
      <c r="T1333" t="s">
        <v>48</v>
      </c>
      <c r="U1333" t="s">
        <v>48</v>
      </c>
      <c r="V1333" s="47">
        <v>0</v>
      </c>
      <c r="W1333" t="s">
        <v>48</v>
      </c>
      <c r="X1333" t="s">
        <v>48</v>
      </c>
      <c r="Y1333" t="s">
        <v>48</v>
      </c>
      <c r="Z1333">
        <v>0</v>
      </c>
      <c r="AA1333" t="s">
        <v>10408</v>
      </c>
      <c r="AB1333" t="s">
        <v>48</v>
      </c>
      <c r="AC1333" t="s">
        <v>63</v>
      </c>
      <c r="AD1333" t="s">
        <v>93</v>
      </c>
      <c r="AE1333" t="s">
        <v>4532</v>
      </c>
      <c r="AF1333" t="s">
        <v>48</v>
      </c>
      <c r="AG1333" t="s">
        <v>48</v>
      </c>
      <c r="AH1333" t="s">
        <v>48</v>
      </c>
      <c r="AI1333" t="s">
        <v>48</v>
      </c>
      <c r="AJ1333" t="s">
        <v>48</v>
      </c>
      <c r="AK1333" t="s">
        <v>48</v>
      </c>
      <c r="AL1333" t="s">
        <v>48</v>
      </c>
      <c r="AM1333" t="s">
        <v>48</v>
      </c>
      <c r="AN1333" t="s">
        <v>48</v>
      </c>
      <c r="AO1333" t="s">
        <v>48</v>
      </c>
      <c r="AP1333" s="46">
        <v>0</v>
      </c>
      <c r="AQ1333" s="46">
        <v>0</v>
      </c>
      <c r="AR1333" s="46">
        <v>0</v>
      </c>
      <c r="AS1333" s="46">
        <v>0</v>
      </c>
      <c r="AT1333" s="46">
        <v>0</v>
      </c>
      <c r="AU1333" s="46">
        <v>0</v>
      </c>
      <c r="AV1333" s="46">
        <v>0</v>
      </c>
      <c r="AW1333" s="46">
        <v>0</v>
      </c>
      <c r="AX1333" s="46">
        <v>0</v>
      </c>
      <c r="AY1333" s="46">
        <v>0</v>
      </c>
      <c r="AZ1333" s="46">
        <v>0</v>
      </c>
      <c r="BA1333" s="46">
        <v>0</v>
      </c>
      <c r="BB1333" s="46">
        <v>0</v>
      </c>
      <c r="BC1333" s="46">
        <v>0</v>
      </c>
      <c r="BD1333" s="46">
        <v>0</v>
      </c>
      <c r="BE1333" s="46">
        <v>0</v>
      </c>
      <c r="BF1333" s="46">
        <v>0</v>
      </c>
      <c r="BG1333" s="46" t="s">
        <v>48</v>
      </c>
      <c r="BH1333" s="46">
        <v>0</v>
      </c>
      <c r="BI1333" s="46">
        <v>0</v>
      </c>
      <c r="BJ1333" s="46">
        <v>0</v>
      </c>
      <c r="BK1333" s="46">
        <v>0</v>
      </c>
      <c r="BL1333" s="46">
        <v>0</v>
      </c>
      <c r="BM1333" s="46">
        <v>0</v>
      </c>
      <c r="BN1333" s="46">
        <v>0</v>
      </c>
    </row>
    <row r="1334" spans="1:66" x14ac:dyDescent="0.35">
      <c r="A1334" t="s">
        <v>8037</v>
      </c>
      <c r="B1334" s="44" t="s">
        <v>48</v>
      </c>
      <c r="C1334" t="s">
        <v>11657</v>
      </c>
      <c r="D1334" t="s">
        <v>394</v>
      </c>
      <c r="E1334" t="s">
        <v>8038</v>
      </c>
      <c r="F1334" t="s">
        <v>1102</v>
      </c>
      <c r="G1334" t="s">
        <v>74</v>
      </c>
      <c r="H1334">
        <v>0</v>
      </c>
      <c r="I1334" s="61">
        <v>44732</v>
      </c>
      <c r="J1334" s="33" t="s">
        <v>45</v>
      </c>
      <c r="K1334" s="46">
        <v>0</v>
      </c>
      <c r="L1334">
        <v>3</v>
      </c>
      <c r="M1334" t="s">
        <v>48</v>
      </c>
      <c r="N1334" s="46">
        <v>0</v>
      </c>
      <c r="O1334" s="46">
        <v>0</v>
      </c>
      <c r="P1334" s="46">
        <v>0</v>
      </c>
      <c r="Q1334" t="s">
        <v>48</v>
      </c>
      <c r="R1334" t="s">
        <v>48</v>
      </c>
      <c r="S1334" t="s">
        <v>10032</v>
      </c>
      <c r="T1334" t="s">
        <v>48</v>
      </c>
      <c r="U1334" t="s">
        <v>10032</v>
      </c>
      <c r="V1334" s="47">
        <v>1</v>
      </c>
      <c r="W1334" t="s">
        <v>48</v>
      </c>
      <c r="X1334" t="s">
        <v>48</v>
      </c>
      <c r="Y1334" t="s">
        <v>48</v>
      </c>
      <c r="Z1334" t="s">
        <v>48</v>
      </c>
      <c r="AA1334" t="s">
        <v>48</v>
      </c>
      <c r="AB1334" t="s">
        <v>48</v>
      </c>
      <c r="AC1334" t="s">
        <v>49</v>
      </c>
      <c r="AD1334" t="s">
        <v>48</v>
      </c>
      <c r="AE1334" t="s">
        <v>48</v>
      </c>
      <c r="AF1334" t="s">
        <v>48</v>
      </c>
      <c r="AG1334" t="s">
        <v>48</v>
      </c>
      <c r="AH1334" t="s">
        <v>48</v>
      </c>
      <c r="AI1334" t="s">
        <v>48</v>
      </c>
      <c r="AJ1334" t="s">
        <v>48</v>
      </c>
      <c r="AK1334" t="s">
        <v>48</v>
      </c>
      <c r="AL1334" t="s">
        <v>48</v>
      </c>
      <c r="AM1334" t="s">
        <v>48</v>
      </c>
      <c r="AN1334" t="s">
        <v>48</v>
      </c>
      <c r="AO1334" t="s">
        <v>48</v>
      </c>
      <c r="AP1334" s="46">
        <v>0</v>
      </c>
      <c r="AQ1334" s="46">
        <v>0</v>
      </c>
      <c r="AR1334" s="46">
        <v>0</v>
      </c>
      <c r="AS1334" s="46">
        <v>0</v>
      </c>
      <c r="AT1334" s="46">
        <v>0</v>
      </c>
      <c r="AU1334" s="46">
        <v>0</v>
      </c>
      <c r="AV1334" s="46">
        <v>0</v>
      </c>
      <c r="AW1334" s="46">
        <v>0</v>
      </c>
      <c r="AX1334" s="46">
        <v>0</v>
      </c>
      <c r="AY1334" s="46">
        <v>0</v>
      </c>
      <c r="AZ1334" s="46">
        <v>0</v>
      </c>
      <c r="BA1334" s="46">
        <v>0</v>
      </c>
      <c r="BB1334" s="46">
        <v>0</v>
      </c>
      <c r="BC1334" s="46">
        <v>0</v>
      </c>
      <c r="BD1334" s="46">
        <v>0</v>
      </c>
      <c r="BE1334" s="46">
        <v>0</v>
      </c>
      <c r="BF1334" s="46">
        <v>0</v>
      </c>
      <c r="BG1334" s="46" t="s">
        <v>48</v>
      </c>
      <c r="BH1334" s="46">
        <v>0</v>
      </c>
      <c r="BI1334" s="46">
        <v>0</v>
      </c>
      <c r="BJ1334" s="46">
        <v>0</v>
      </c>
      <c r="BK1334" s="46">
        <v>0</v>
      </c>
      <c r="BL1334" s="46">
        <v>0</v>
      </c>
      <c r="BM1334" s="46">
        <v>0</v>
      </c>
      <c r="BN1334" s="46">
        <v>0</v>
      </c>
    </row>
    <row r="1335" spans="1:66" x14ac:dyDescent="0.35">
      <c r="A1335" t="s">
        <v>1108</v>
      </c>
      <c r="B1335" s="44" t="s">
        <v>48</v>
      </c>
      <c r="C1335" t="s">
        <v>1111</v>
      </c>
      <c r="D1335" t="s">
        <v>429</v>
      </c>
      <c r="E1335" t="s">
        <v>1110</v>
      </c>
      <c r="F1335" t="s">
        <v>1109</v>
      </c>
      <c r="G1335" t="s">
        <v>74</v>
      </c>
      <c r="H1335">
        <v>0</v>
      </c>
      <c r="I1335" s="60" t="s">
        <v>125</v>
      </c>
      <c r="J1335" s="33" t="s">
        <v>45</v>
      </c>
      <c r="K1335" s="46">
        <v>0</v>
      </c>
      <c r="L1335">
        <v>7.1</v>
      </c>
      <c r="M1335" t="s">
        <v>48</v>
      </c>
      <c r="N1335" s="46">
        <v>0</v>
      </c>
      <c r="O1335" s="46">
        <v>0</v>
      </c>
      <c r="P1335" s="46">
        <v>0</v>
      </c>
      <c r="Q1335" t="s">
        <v>48</v>
      </c>
      <c r="R1335" t="s">
        <v>48</v>
      </c>
      <c r="S1335" t="s">
        <v>10034</v>
      </c>
      <c r="T1335" t="s">
        <v>48</v>
      </c>
      <c r="U1335" t="s">
        <v>10034</v>
      </c>
      <c r="V1335" s="47">
        <v>0</v>
      </c>
      <c r="W1335" t="s">
        <v>48</v>
      </c>
      <c r="X1335" t="s">
        <v>48</v>
      </c>
      <c r="Y1335" t="s">
        <v>48</v>
      </c>
      <c r="Z1335">
        <v>0</v>
      </c>
      <c r="AA1335" t="s">
        <v>48</v>
      </c>
      <c r="AB1335" t="s">
        <v>48</v>
      </c>
      <c r="AC1335" t="s">
        <v>49</v>
      </c>
      <c r="AD1335" t="s">
        <v>93</v>
      </c>
      <c r="AE1335" t="s">
        <v>4532</v>
      </c>
      <c r="AF1335" t="s">
        <v>48</v>
      </c>
      <c r="AG1335" t="s">
        <v>48</v>
      </c>
      <c r="AH1335" t="s">
        <v>48</v>
      </c>
      <c r="AI1335" t="s">
        <v>48</v>
      </c>
      <c r="AJ1335" t="s">
        <v>48</v>
      </c>
      <c r="AK1335" t="s">
        <v>48</v>
      </c>
      <c r="AL1335" t="s">
        <v>48</v>
      </c>
      <c r="AM1335" t="s">
        <v>48</v>
      </c>
      <c r="AN1335" t="s">
        <v>48</v>
      </c>
      <c r="AO1335" t="s">
        <v>48</v>
      </c>
      <c r="AP1335" s="46">
        <v>0</v>
      </c>
      <c r="AQ1335" s="46">
        <v>0</v>
      </c>
      <c r="AR1335" s="46">
        <v>0</v>
      </c>
      <c r="AS1335" s="46">
        <v>0</v>
      </c>
      <c r="AT1335" s="46">
        <v>0</v>
      </c>
      <c r="AU1335" s="46">
        <v>0</v>
      </c>
      <c r="AV1335" s="46">
        <v>0</v>
      </c>
      <c r="AW1335" s="46">
        <v>0</v>
      </c>
      <c r="AX1335" s="46">
        <v>0</v>
      </c>
      <c r="AY1335" s="46">
        <v>0</v>
      </c>
      <c r="AZ1335" s="46">
        <v>0</v>
      </c>
      <c r="BA1335" s="46">
        <v>0</v>
      </c>
      <c r="BB1335" s="46">
        <v>0</v>
      </c>
      <c r="BC1335" s="46">
        <v>0</v>
      </c>
      <c r="BD1335" s="46">
        <v>0</v>
      </c>
      <c r="BE1335" s="46">
        <v>0</v>
      </c>
      <c r="BF1335" s="46">
        <v>0</v>
      </c>
      <c r="BG1335" s="46" t="s">
        <v>48</v>
      </c>
      <c r="BH1335" s="46">
        <v>0</v>
      </c>
      <c r="BI1335" s="46">
        <v>0</v>
      </c>
      <c r="BJ1335" s="46">
        <v>0</v>
      </c>
      <c r="BK1335" s="46">
        <v>0</v>
      </c>
      <c r="BL1335" s="46">
        <v>0</v>
      </c>
      <c r="BM1335" s="46">
        <v>0</v>
      </c>
      <c r="BN1335" s="46">
        <v>0</v>
      </c>
    </row>
    <row r="1336" spans="1:66" x14ac:dyDescent="0.35">
      <c r="A1336" t="s">
        <v>8207</v>
      </c>
      <c r="B1336" s="44" t="s">
        <v>48</v>
      </c>
      <c r="C1336" t="s">
        <v>2437</v>
      </c>
      <c r="D1336" t="s">
        <v>603</v>
      </c>
      <c r="E1336" t="s">
        <v>8208</v>
      </c>
      <c r="F1336" t="s">
        <v>1109</v>
      </c>
      <c r="G1336" t="s">
        <v>47</v>
      </c>
      <c r="H1336">
        <v>0</v>
      </c>
      <c r="I1336" s="61">
        <v>44732</v>
      </c>
      <c r="J1336" s="33" t="s">
        <v>45</v>
      </c>
      <c r="K1336" s="46">
        <v>0</v>
      </c>
      <c r="L1336">
        <v>4.7</v>
      </c>
      <c r="M1336" t="s">
        <v>48</v>
      </c>
      <c r="N1336" s="46">
        <v>0</v>
      </c>
      <c r="O1336" s="46">
        <v>0</v>
      </c>
      <c r="P1336" s="46">
        <v>0</v>
      </c>
      <c r="Q1336" t="s">
        <v>48</v>
      </c>
      <c r="R1336" t="s">
        <v>48</v>
      </c>
      <c r="S1336" t="s">
        <v>48</v>
      </c>
      <c r="T1336" t="s">
        <v>48</v>
      </c>
      <c r="U1336" t="s">
        <v>48</v>
      </c>
      <c r="V1336" s="47">
        <v>1</v>
      </c>
      <c r="W1336" t="s">
        <v>48</v>
      </c>
      <c r="X1336" t="s">
        <v>48</v>
      </c>
      <c r="Y1336" t="s">
        <v>48</v>
      </c>
      <c r="Z1336" t="s">
        <v>48</v>
      </c>
      <c r="AA1336" t="s">
        <v>48</v>
      </c>
      <c r="AB1336" t="s">
        <v>48</v>
      </c>
      <c r="AC1336" t="s">
        <v>49</v>
      </c>
      <c r="AD1336" t="s">
        <v>48</v>
      </c>
      <c r="AE1336" t="s">
        <v>48</v>
      </c>
      <c r="AF1336" t="s">
        <v>48</v>
      </c>
      <c r="AG1336" t="s">
        <v>48</v>
      </c>
      <c r="AH1336" t="s">
        <v>48</v>
      </c>
      <c r="AI1336" t="s">
        <v>48</v>
      </c>
      <c r="AJ1336" t="s">
        <v>48</v>
      </c>
      <c r="AK1336" t="s">
        <v>48</v>
      </c>
      <c r="AL1336" t="s">
        <v>48</v>
      </c>
      <c r="AM1336" t="s">
        <v>48</v>
      </c>
      <c r="AN1336" t="s">
        <v>48</v>
      </c>
      <c r="AO1336" t="s">
        <v>48</v>
      </c>
      <c r="AP1336" s="46">
        <v>0</v>
      </c>
      <c r="AQ1336" s="46">
        <v>0</v>
      </c>
      <c r="AR1336" s="46">
        <v>0</v>
      </c>
      <c r="AS1336" s="46">
        <v>0</v>
      </c>
      <c r="AT1336" s="46">
        <v>0</v>
      </c>
      <c r="AU1336" s="46">
        <v>0</v>
      </c>
      <c r="AV1336" s="46">
        <v>0</v>
      </c>
      <c r="AW1336" s="46">
        <v>0</v>
      </c>
      <c r="AX1336" s="46">
        <v>0</v>
      </c>
      <c r="AY1336" s="46">
        <v>0</v>
      </c>
      <c r="AZ1336" s="46">
        <v>0</v>
      </c>
      <c r="BA1336" s="46">
        <v>0</v>
      </c>
      <c r="BB1336" s="46">
        <v>0</v>
      </c>
      <c r="BC1336" s="46">
        <v>0</v>
      </c>
      <c r="BD1336" s="46">
        <v>0</v>
      </c>
      <c r="BE1336" s="46">
        <v>0</v>
      </c>
      <c r="BF1336" s="46">
        <v>0</v>
      </c>
      <c r="BG1336" s="46" t="s">
        <v>48</v>
      </c>
      <c r="BH1336" s="46">
        <v>0</v>
      </c>
      <c r="BI1336" s="46">
        <v>0</v>
      </c>
      <c r="BJ1336" s="46">
        <v>0</v>
      </c>
      <c r="BK1336" s="46">
        <v>0</v>
      </c>
      <c r="BL1336" s="46">
        <v>0</v>
      </c>
      <c r="BM1336" s="46">
        <v>0</v>
      </c>
      <c r="BN1336" s="46">
        <v>0</v>
      </c>
    </row>
    <row r="1337" spans="1:66" x14ac:dyDescent="0.35">
      <c r="A1337" t="s">
        <v>8209</v>
      </c>
      <c r="B1337" s="44" t="s">
        <v>48</v>
      </c>
      <c r="C1337" t="s">
        <v>11658</v>
      </c>
      <c r="D1337" t="s">
        <v>603</v>
      </c>
      <c r="E1337" t="s">
        <v>8210</v>
      </c>
      <c r="F1337" t="s">
        <v>1109</v>
      </c>
      <c r="G1337" t="s">
        <v>47</v>
      </c>
      <c r="H1337">
        <v>0</v>
      </c>
      <c r="I1337" s="61">
        <v>44732</v>
      </c>
      <c r="J1337" s="33" t="s">
        <v>45</v>
      </c>
      <c r="K1337" s="46">
        <v>0</v>
      </c>
      <c r="L1337">
        <v>3.9</v>
      </c>
      <c r="M1337" t="s">
        <v>48</v>
      </c>
      <c r="N1337" s="46">
        <v>0</v>
      </c>
      <c r="O1337" s="46">
        <v>0</v>
      </c>
      <c r="P1337" s="46">
        <v>0</v>
      </c>
      <c r="Q1337" t="s">
        <v>48</v>
      </c>
      <c r="R1337" t="s">
        <v>48</v>
      </c>
      <c r="S1337" t="s">
        <v>10035</v>
      </c>
      <c r="T1337" t="s">
        <v>48</v>
      </c>
      <c r="U1337" t="s">
        <v>10035</v>
      </c>
      <c r="V1337" s="47">
        <v>1</v>
      </c>
      <c r="W1337" t="s">
        <v>48</v>
      </c>
      <c r="X1337" t="s">
        <v>48</v>
      </c>
      <c r="Y1337" t="s">
        <v>48</v>
      </c>
      <c r="Z1337" t="s">
        <v>48</v>
      </c>
      <c r="AA1337" t="s">
        <v>48</v>
      </c>
      <c r="AB1337" t="s">
        <v>48</v>
      </c>
      <c r="AC1337" t="s">
        <v>49</v>
      </c>
      <c r="AD1337" t="s">
        <v>93</v>
      </c>
      <c r="AE1337" t="s">
        <v>4532</v>
      </c>
      <c r="AF1337" t="s">
        <v>48</v>
      </c>
      <c r="AG1337" t="s">
        <v>48</v>
      </c>
      <c r="AH1337" t="s">
        <v>48</v>
      </c>
      <c r="AI1337" t="s">
        <v>48</v>
      </c>
      <c r="AJ1337" t="s">
        <v>48</v>
      </c>
      <c r="AK1337" t="s">
        <v>48</v>
      </c>
      <c r="AL1337" t="s">
        <v>48</v>
      </c>
      <c r="AM1337" t="s">
        <v>48</v>
      </c>
      <c r="AN1337" t="s">
        <v>48</v>
      </c>
      <c r="AO1337" t="s">
        <v>48</v>
      </c>
      <c r="AP1337" s="46">
        <v>0</v>
      </c>
      <c r="AQ1337" s="46">
        <v>0</v>
      </c>
      <c r="AR1337" s="46">
        <v>0</v>
      </c>
      <c r="AS1337" s="46">
        <v>0</v>
      </c>
      <c r="AT1337" s="46">
        <v>0</v>
      </c>
      <c r="AU1337" s="46">
        <v>0</v>
      </c>
      <c r="AV1337" s="46">
        <v>0</v>
      </c>
      <c r="AW1337" s="46">
        <v>0</v>
      </c>
      <c r="AX1337" s="46">
        <v>0</v>
      </c>
      <c r="AY1337" s="46">
        <v>0</v>
      </c>
      <c r="AZ1337" s="46">
        <v>0</v>
      </c>
      <c r="BA1337" s="46">
        <v>0</v>
      </c>
      <c r="BB1337" s="46">
        <v>0</v>
      </c>
      <c r="BC1337" s="46">
        <v>0</v>
      </c>
      <c r="BD1337" s="46">
        <v>0</v>
      </c>
      <c r="BE1337" s="46">
        <v>0</v>
      </c>
      <c r="BF1337" s="46">
        <v>0</v>
      </c>
      <c r="BG1337" s="46" t="s">
        <v>48</v>
      </c>
      <c r="BH1337" s="46">
        <v>0</v>
      </c>
      <c r="BI1337" s="46">
        <v>0</v>
      </c>
      <c r="BJ1337" s="46">
        <v>0</v>
      </c>
      <c r="BK1337" s="46">
        <v>0</v>
      </c>
      <c r="BL1337" s="46">
        <v>0</v>
      </c>
      <c r="BM1337" s="46">
        <v>0</v>
      </c>
      <c r="BN1337" s="46">
        <v>0</v>
      </c>
    </row>
    <row r="1338" spans="1:66" x14ac:dyDescent="0.35">
      <c r="A1338" t="s">
        <v>1138</v>
      </c>
      <c r="B1338" s="44" t="s">
        <v>48</v>
      </c>
      <c r="C1338" t="s">
        <v>1140</v>
      </c>
      <c r="D1338" t="s">
        <v>1005</v>
      </c>
      <c r="E1338" t="s">
        <v>8042</v>
      </c>
      <c r="F1338" t="s">
        <v>107</v>
      </c>
      <c r="G1338" t="s">
        <v>74</v>
      </c>
      <c r="H1338">
        <v>0</v>
      </c>
      <c r="I1338" s="61">
        <v>44732</v>
      </c>
      <c r="J1338" s="33" t="s">
        <v>45</v>
      </c>
      <c r="K1338" s="46">
        <v>0</v>
      </c>
      <c r="L1338">
        <v>10</v>
      </c>
      <c r="M1338" s="41" t="s">
        <v>48</v>
      </c>
      <c r="N1338" s="46">
        <v>0</v>
      </c>
      <c r="O1338" s="46">
        <v>0</v>
      </c>
      <c r="P1338" s="46">
        <v>0</v>
      </c>
      <c r="Q1338" s="41" t="s">
        <v>48</v>
      </c>
      <c r="R1338" s="41" t="s">
        <v>48</v>
      </c>
      <c r="S1338" t="s">
        <v>1139</v>
      </c>
      <c r="T1338" t="s">
        <v>48</v>
      </c>
      <c r="U1338" t="s">
        <v>1139</v>
      </c>
      <c r="V1338" s="47">
        <v>0</v>
      </c>
      <c r="W1338" t="s">
        <v>48</v>
      </c>
      <c r="X1338" t="s">
        <v>48</v>
      </c>
      <c r="Y1338" t="s">
        <v>48</v>
      </c>
      <c r="Z1338">
        <v>0</v>
      </c>
      <c r="AA1338" t="s">
        <v>48</v>
      </c>
      <c r="AB1338" t="s">
        <v>48</v>
      </c>
      <c r="AC1338" t="s">
        <v>49</v>
      </c>
      <c r="AD1338" t="s">
        <v>951</v>
      </c>
      <c r="AE1338" t="s">
        <v>11051</v>
      </c>
      <c r="AF1338" t="s">
        <v>11054</v>
      </c>
      <c r="AG1338" t="s">
        <v>48</v>
      </c>
      <c r="AH1338" t="s">
        <v>48</v>
      </c>
      <c r="AI1338" t="s">
        <v>48</v>
      </c>
      <c r="AJ1338" t="s">
        <v>48</v>
      </c>
      <c r="AK1338" t="s">
        <v>48</v>
      </c>
      <c r="AL1338" t="s">
        <v>48</v>
      </c>
      <c r="AM1338" t="s">
        <v>48</v>
      </c>
      <c r="AN1338" t="s">
        <v>48</v>
      </c>
      <c r="AO1338" t="s">
        <v>48</v>
      </c>
      <c r="AP1338" s="46">
        <v>0</v>
      </c>
      <c r="AQ1338" s="46">
        <v>0</v>
      </c>
      <c r="AR1338" s="46">
        <v>0</v>
      </c>
      <c r="AS1338" s="46">
        <v>0</v>
      </c>
      <c r="AT1338" s="46">
        <v>0</v>
      </c>
      <c r="AU1338" s="46">
        <v>0</v>
      </c>
      <c r="AV1338" s="46">
        <v>0</v>
      </c>
      <c r="AW1338" s="46">
        <v>0</v>
      </c>
      <c r="AX1338" s="46">
        <v>0</v>
      </c>
      <c r="AY1338" s="46">
        <v>0</v>
      </c>
      <c r="AZ1338" s="46">
        <v>0</v>
      </c>
      <c r="BA1338" s="46">
        <v>0</v>
      </c>
      <c r="BB1338" s="46">
        <v>0</v>
      </c>
      <c r="BC1338" s="46">
        <v>0</v>
      </c>
      <c r="BD1338" s="46">
        <v>0</v>
      </c>
      <c r="BE1338" s="46">
        <v>0</v>
      </c>
      <c r="BF1338" s="46">
        <v>0</v>
      </c>
      <c r="BG1338" s="46" t="s">
        <v>48</v>
      </c>
      <c r="BH1338" s="46">
        <v>0</v>
      </c>
      <c r="BI1338" s="46">
        <v>0</v>
      </c>
      <c r="BJ1338" s="46">
        <v>0</v>
      </c>
      <c r="BK1338" s="46">
        <v>0</v>
      </c>
      <c r="BL1338" s="46">
        <v>0</v>
      </c>
      <c r="BM1338" s="46">
        <v>0</v>
      </c>
      <c r="BN1338" s="46">
        <v>0</v>
      </c>
    </row>
    <row r="1339" spans="1:66" x14ac:dyDescent="0.35">
      <c r="A1339" t="s">
        <v>8213</v>
      </c>
      <c r="B1339" s="44" t="s">
        <v>48</v>
      </c>
      <c r="C1339" t="s">
        <v>11659</v>
      </c>
      <c r="D1339" t="s">
        <v>1193</v>
      </c>
      <c r="E1339" t="s">
        <v>8214</v>
      </c>
      <c r="F1339" t="s">
        <v>107</v>
      </c>
      <c r="G1339" t="s">
        <v>47</v>
      </c>
      <c r="H1339">
        <v>0</v>
      </c>
      <c r="I1339" s="61">
        <v>44732</v>
      </c>
      <c r="J1339" s="33" t="s">
        <v>45</v>
      </c>
      <c r="K1339" s="46">
        <v>0</v>
      </c>
      <c r="L1339">
        <v>16.600000000000001</v>
      </c>
      <c r="M1339" t="s">
        <v>48</v>
      </c>
      <c r="N1339" s="46">
        <v>0</v>
      </c>
      <c r="O1339" s="46">
        <v>0</v>
      </c>
      <c r="P1339" s="46">
        <v>0</v>
      </c>
      <c r="Q1339" t="s">
        <v>48</v>
      </c>
      <c r="R1339" t="s">
        <v>48</v>
      </c>
      <c r="S1339" t="s">
        <v>10036</v>
      </c>
      <c r="T1339" t="s">
        <v>48</v>
      </c>
      <c r="U1339" t="s">
        <v>10036</v>
      </c>
      <c r="V1339" s="47">
        <v>1</v>
      </c>
      <c r="W1339" t="s">
        <v>48</v>
      </c>
      <c r="X1339" t="s">
        <v>48</v>
      </c>
      <c r="Y1339" t="s">
        <v>48</v>
      </c>
      <c r="Z1339" t="s">
        <v>48</v>
      </c>
      <c r="AA1339" t="s">
        <v>48</v>
      </c>
      <c r="AB1339" t="s">
        <v>48</v>
      </c>
      <c r="AC1339" t="s">
        <v>49</v>
      </c>
      <c r="AD1339" t="s">
        <v>93</v>
      </c>
      <c r="AE1339" t="s">
        <v>4532</v>
      </c>
      <c r="AF1339" t="s">
        <v>48</v>
      </c>
      <c r="AG1339" t="s">
        <v>48</v>
      </c>
      <c r="AH1339" t="s">
        <v>48</v>
      </c>
      <c r="AI1339" t="s">
        <v>48</v>
      </c>
      <c r="AJ1339" t="s">
        <v>48</v>
      </c>
      <c r="AK1339" t="s">
        <v>48</v>
      </c>
      <c r="AL1339" t="s">
        <v>48</v>
      </c>
      <c r="AM1339" t="s">
        <v>48</v>
      </c>
      <c r="AN1339" t="s">
        <v>48</v>
      </c>
      <c r="AO1339" t="s">
        <v>48</v>
      </c>
      <c r="AP1339" s="46">
        <v>0</v>
      </c>
      <c r="AQ1339" s="46">
        <v>0</v>
      </c>
      <c r="AR1339" s="46">
        <v>0</v>
      </c>
      <c r="AS1339" s="46">
        <v>0</v>
      </c>
      <c r="AT1339" s="46">
        <v>0</v>
      </c>
      <c r="AU1339" s="46">
        <v>0</v>
      </c>
      <c r="AV1339" s="46">
        <v>0</v>
      </c>
      <c r="AW1339" s="46">
        <v>0</v>
      </c>
      <c r="AX1339" s="46">
        <v>0</v>
      </c>
      <c r="AY1339" s="46">
        <v>0</v>
      </c>
      <c r="AZ1339" s="46">
        <v>0</v>
      </c>
      <c r="BA1339" s="46">
        <v>0</v>
      </c>
      <c r="BB1339" s="46">
        <v>0</v>
      </c>
      <c r="BC1339" s="46">
        <v>0</v>
      </c>
      <c r="BD1339" s="46">
        <v>0</v>
      </c>
      <c r="BE1339" s="46">
        <v>0</v>
      </c>
      <c r="BF1339" s="46">
        <v>0</v>
      </c>
      <c r="BG1339" s="46" t="s">
        <v>48</v>
      </c>
      <c r="BH1339" s="46">
        <v>0</v>
      </c>
      <c r="BI1339" s="46">
        <v>0</v>
      </c>
      <c r="BJ1339" s="46">
        <v>0</v>
      </c>
      <c r="BK1339" s="46">
        <v>0</v>
      </c>
      <c r="BL1339" s="46">
        <v>0</v>
      </c>
      <c r="BM1339" s="46">
        <v>0</v>
      </c>
      <c r="BN1339" s="46">
        <v>0</v>
      </c>
    </row>
    <row r="1340" spans="1:66" x14ac:dyDescent="0.35">
      <c r="A1340" t="s">
        <v>8216</v>
      </c>
      <c r="B1340" s="44" t="s">
        <v>48</v>
      </c>
      <c r="C1340" t="s">
        <v>11660</v>
      </c>
      <c r="D1340" t="s">
        <v>335</v>
      </c>
      <c r="E1340" t="s">
        <v>8217</v>
      </c>
      <c r="F1340" t="s">
        <v>1135</v>
      </c>
      <c r="G1340" t="s">
        <v>47</v>
      </c>
      <c r="H1340">
        <v>0</v>
      </c>
      <c r="I1340" s="61">
        <v>44732</v>
      </c>
      <c r="J1340" s="33" t="s">
        <v>45</v>
      </c>
      <c r="K1340" s="46">
        <v>0</v>
      </c>
      <c r="L1340">
        <v>7</v>
      </c>
      <c r="M1340" t="s">
        <v>48</v>
      </c>
      <c r="N1340" s="46">
        <v>0</v>
      </c>
      <c r="O1340" s="46">
        <v>0</v>
      </c>
      <c r="P1340" s="46">
        <v>0</v>
      </c>
      <c r="Q1340" t="s">
        <v>48</v>
      </c>
      <c r="R1340" t="s">
        <v>48</v>
      </c>
      <c r="S1340" t="s">
        <v>48</v>
      </c>
      <c r="T1340" t="s">
        <v>48</v>
      </c>
      <c r="U1340" t="s">
        <v>48</v>
      </c>
      <c r="V1340" s="47">
        <v>1</v>
      </c>
      <c r="W1340" t="s">
        <v>48</v>
      </c>
      <c r="X1340" t="s">
        <v>48</v>
      </c>
      <c r="Y1340" t="s">
        <v>48</v>
      </c>
      <c r="Z1340" t="s">
        <v>48</v>
      </c>
      <c r="AA1340" t="s">
        <v>48</v>
      </c>
      <c r="AB1340" t="s">
        <v>48</v>
      </c>
      <c r="AC1340" t="s">
        <v>49</v>
      </c>
      <c r="AD1340" t="s">
        <v>951</v>
      </c>
      <c r="AE1340" t="s">
        <v>11051</v>
      </c>
      <c r="AF1340" t="s">
        <v>48</v>
      </c>
      <c r="AG1340" t="s">
        <v>48</v>
      </c>
      <c r="AH1340" t="s">
        <v>48</v>
      </c>
      <c r="AI1340" t="s">
        <v>48</v>
      </c>
      <c r="AJ1340" t="s">
        <v>48</v>
      </c>
      <c r="AK1340" t="s">
        <v>48</v>
      </c>
      <c r="AL1340" t="s">
        <v>48</v>
      </c>
      <c r="AM1340" t="s">
        <v>48</v>
      </c>
      <c r="AN1340" t="s">
        <v>48</v>
      </c>
      <c r="AO1340" t="s">
        <v>48</v>
      </c>
      <c r="AP1340" s="46">
        <v>0</v>
      </c>
      <c r="AQ1340" s="46">
        <v>0</v>
      </c>
      <c r="AR1340" s="46">
        <v>0</v>
      </c>
      <c r="AS1340" s="46">
        <v>0</v>
      </c>
      <c r="AT1340" s="46">
        <v>0</v>
      </c>
      <c r="AU1340" s="46">
        <v>0</v>
      </c>
      <c r="AV1340" s="46">
        <v>0</v>
      </c>
      <c r="AW1340" s="46">
        <v>0</v>
      </c>
      <c r="AX1340" s="46">
        <v>0</v>
      </c>
      <c r="AY1340" s="46">
        <v>0</v>
      </c>
      <c r="AZ1340" s="46">
        <v>0</v>
      </c>
      <c r="BA1340" s="46">
        <v>0</v>
      </c>
      <c r="BB1340" s="46">
        <v>0</v>
      </c>
      <c r="BC1340" s="46">
        <v>0</v>
      </c>
      <c r="BD1340" s="46">
        <v>0</v>
      </c>
      <c r="BE1340" s="46">
        <v>0</v>
      </c>
      <c r="BF1340" s="46">
        <v>0</v>
      </c>
      <c r="BG1340" s="46" t="s">
        <v>48</v>
      </c>
      <c r="BH1340" s="46">
        <v>0</v>
      </c>
      <c r="BI1340" s="46">
        <v>0</v>
      </c>
      <c r="BJ1340" s="46">
        <v>0</v>
      </c>
      <c r="BK1340" s="46">
        <v>0</v>
      </c>
      <c r="BL1340" s="46">
        <v>0</v>
      </c>
      <c r="BM1340" s="46">
        <v>0</v>
      </c>
      <c r="BN1340" s="46">
        <v>0</v>
      </c>
    </row>
    <row r="1341" spans="1:66" x14ac:dyDescent="0.35">
      <c r="A1341" t="s">
        <v>1121</v>
      </c>
      <c r="B1341" t="s">
        <v>12420</v>
      </c>
      <c r="C1341" t="s">
        <v>1123</v>
      </c>
      <c r="D1341" t="s">
        <v>216</v>
      </c>
      <c r="E1341" s="39" t="s">
        <v>8215</v>
      </c>
      <c r="F1341" t="s">
        <v>1135</v>
      </c>
      <c r="G1341" t="s">
        <v>47</v>
      </c>
      <c r="H1341">
        <v>0</v>
      </c>
      <c r="I1341" s="61">
        <v>44732</v>
      </c>
      <c r="J1341" s="33" t="s">
        <v>45</v>
      </c>
      <c r="K1341" s="46">
        <v>0</v>
      </c>
      <c r="L1341">
        <v>22.2</v>
      </c>
      <c r="M1341" t="s">
        <v>48</v>
      </c>
      <c r="N1341" s="46">
        <v>0</v>
      </c>
      <c r="O1341" s="46">
        <v>0</v>
      </c>
      <c r="P1341" s="46">
        <v>0</v>
      </c>
      <c r="Q1341" t="s">
        <v>48</v>
      </c>
      <c r="R1341" t="s">
        <v>48</v>
      </c>
      <c r="S1341" t="s">
        <v>1122</v>
      </c>
      <c r="T1341" t="s">
        <v>48</v>
      </c>
      <c r="U1341" t="s">
        <v>1122</v>
      </c>
      <c r="V1341" s="47">
        <v>0</v>
      </c>
      <c r="W1341" t="s">
        <v>48</v>
      </c>
      <c r="X1341" t="s">
        <v>48</v>
      </c>
      <c r="Y1341" t="s">
        <v>48</v>
      </c>
      <c r="Z1341">
        <v>0</v>
      </c>
      <c r="AA1341" t="s">
        <v>11589</v>
      </c>
      <c r="AB1341" t="s">
        <v>48</v>
      </c>
      <c r="AC1341" t="s">
        <v>49</v>
      </c>
      <c r="AD1341" t="s">
        <v>93</v>
      </c>
      <c r="AE1341" t="s">
        <v>4532</v>
      </c>
      <c r="AF1341" t="s">
        <v>48</v>
      </c>
      <c r="AG1341" t="s">
        <v>48</v>
      </c>
      <c r="AH1341" t="s">
        <v>48</v>
      </c>
      <c r="AI1341" t="s">
        <v>48</v>
      </c>
      <c r="AJ1341" t="s">
        <v>48</v>
      </c>
      <c r="AK1341" t="s">
        <v>48</v>
      </c>
      <c r="AL1341" t="s">
        <v>48</v>
      </c>
      <c r="AM1341" t="s">
        <v>48</v>
      </c>
      <c r="AN1341" t="s">
        <v>48</v>
      </c>
      <c r="AO1341" t="s">
        <v>48</v>
      </c>
      <c r="AP1341" s="46">
        <v>0</v>
      </c>
      <c r="AQ1341" s="46">
        <v>0</v>
      </c>
      <c r="AR1341" s="46">
        <v>0</v>
      </c>
      <c r="AS1341" s="46">
        <v>0</v>
      </c>
      <c r="AT1341" s="46">
        <v>0</v>
      </c>
      <c r="AU1341" s="46">
        <v>0</v>
      </c>
      <c r="AV1341" s="46">
        <v>0</v>
      </c>
      <c r="AW1341" s="46">
        <v>0</v>
      </c>
      <c r="AX1341" s="46">
        <v>0</v>
      </c>
      <c r="AY1341" s="46">
        <v>0</v>
      </c>
      <c r="AZ1341" s="46">
        <v>0</v>
      </c>
      <c r="BA1341" s="46">
        <v>0</v>
      </c>
      <c r="BB1341" s="46">
        <v>0</v>
      </c>
      <c r="BC1341" s="46">
        <v>0</v>
      </c>
      <c r="BD1341" s="46">
        <v>0</v>
      </c>
      <c r="BE1341" s="46">
        <v>0</v>
      </c>
      <c r="BF1341" s="46">
        <v>0</v>
      </c>
      <c r="BG1341" s="46" t="s">
        <v>48</v>
      </c>
      <c r="BH1341" s="46">
        <v>0</v>
      </c>
      <c r="BI1341" s="46">
        <v>0</v>
      </c>
      <c r="BJ1341" s="46">
        <v>0</v>
      </c>
      <c r="BK1341" s="46">
        <v>0</v>
      </c>
      <c r="BL1341" s="46">
        <v>0</v>
      </c>
      <c r="BM1341" s="46">
        <v>0</v>
      </c>
      <c r="BN1341" s="46">
        <v>0</v>
      </c>
    </row>
    <row r="1342" spans="1:66" x14ac:dyDescent="0.35">
      <c r="A1342" t="s">
        <v>945</v>
      </c>
      <c r="B1342" s="44" t="s">
        <v>48</v>
      </c>
      <c r="C1342" t="s">
        <v>948</v>
      </c>
      <c r="D1342" t="s">
        <v>947</v>
      </c>
      <c r="E1342" t="s">
        <v>8044</v>
      </c>
      <c r="F1342" t="s">
        <v>1147</v>
      </c>
      <c r="G1342" t="s">
        <v>74</v>
      </c>
      <c r="H1342">
        <v>0</v>
      </c>
      <c r="I1342" s="61">
        <v>44732</v>
      </c>
      <c r="J1342" s="33" t="s">
        <v>45</v>
      </c>
      <c r="K1342" s="46">
        <v>0</v>
      </c>
      <c r="L1342">
        <v>17.3</v>
      </c>
      <c r="M1342" t="s">
        <v>48</v>
      </c>
      <c r="N1342" s="46">
        <v>0</v>
      </c>
      <c r="O1342" s="46">
        <v>0</v>
      </c>
      <c r="P1342" s="46">
        <v>0</v>
      </c>
      <c r="Q1342" t="s">
        <v>48</v>
      </c>
      <c r="R1342" t="s">
        <v>48</v>
      </c>
      <c r="S1342" t="s">
        <v>946</v>
      </c>
      <c r="T1342" t="s">
        <v>48</v>
      </c>
      <c r="U1342" t="s">
        <v>946</v>
      </c>
      <c r="V1342" s="47">
        <v>0</v>
      </c>
      <c r="W1342" t="s">
        <v>48</v>
      </c>
      <c r="X1342" t="s">
        <v>48</v>
      </c>
      <c r="Y1342" t="s">
        <v>48</v>
      </c>
      <c r="Z1342">
        <v>0</v>
      </c>
      <c r="AA1342" t="s">
        <v>48</v>
      </c>
      <c r="AB1342" t="s">
        <v>48</v>
      </c>
      <c r="AC1342" t="s">
        <v>63</v>
      </c>
      <c r="AD1342" t="s">
        <v>951</v>
      </c>
      <c r="AE1342" s="40" t="s">
        <v>11051</v>
      </c>
      <c r="AF1342" t="s">
        <v>108</v>
      </c>
      <c r="AG1342" t="s">
        <v>48</v>
      </c>
      <c r="AH1342" t="s">
        <v>48</v>
      </c>
      <c r="AI1342" t="s">
        <v>48</v>
      </c>
      <c r="AJ1342" t="s">
        <v>48</v>
      </c>
      <c r="AK1342" t="s">
        <v>48</v>
      </c>
      <c r="AL1342" t="s">
        <v>48</v>
      </c>
      <c r="AM1342" t="s">
        <v>48</v>
      </c>
      <c r="AN1342" t="s">
        <v>48</v>
      </c>
      <c r="AO1342" t="s">
        <v>48</v>
      </c>
      <c r="AP1342" s="46">
        <v>0</v>
      </c>
      <c r="AQ1342" s="46">
        <v>0</v>
      </c>
      <c r="AR1342" s="46">
        <v>0</v>
      </c>
      <c r="AS1342" s="46">
        <v>0</v>
      </c>
      <c r="AT1342" s="46">
        <v>0</v>
      </c>
      <c r="AU1342" s="46">
        <v>0</v>
      </c>
      <c r="AV1342" s="46">
        <v>0</v>
      </c>
      <c r="AW1342" s="46">
        <v>0</v>
      </c>
      <c r="AX1342" s="46">
        <v>0</v>
      </c>
      <c r="AY1342" s="46">
        <v>0</v>
      </c>
      <c r="AZ1342" s="46">
        <v>0</v>
      </c>
      <c r="BA1342" s="46">
        <v>0</v>
      </c>
      <c r="BB1342" s="46">
        <v>0</v>
      </c>
      <c r="BC1342" s="46">
        <v>0</v>
      </c>
      <c r="BD1342" s="46">
        <v>0</v>
      </c>
      <c r="BE1342" s="46">
        <v>0</v>
      </c>
      <c r="BF1342" s="46">
        <v>0</v>
      </c>
      <c r="BG1342" s="46" t="s">
        <v>48</v>
      </c>
      <c r="BH1342" s="46">
        <v>0</v>
      </c>
      <c r="BI1342" s="46">
        <v>0</v>
      </c>
      <c r="BJ1342" s="46">
        <v>0</v>
      </c>
      <c r="BK1342" s="46">
        <v>0</v>
      </c>
      <c r="BL1342" s="46">
        <v>0</v>
      </c>
      <c r="BM1342" s="46">
        <v>0</v>
      </c>
      <c r="BN1342" s="46">
        <v>0</v>
      </c>
    </row>
    <row r="1343" spans="1:66" x14ac:dyDescent="0.35">
      <c r="A1343" t="s">
        <v>8134</v>
      </c>
      <c r="B1343" s="44" t="s">
        <v>48</v>
      </c>
      <c r="C1343" t="s">
        <v>11661</v>
      </c>
      <c r="D1343" t="s">
        <v>273</v>
      </c>
      <c r="E1343" t="s">
        <v>8135</v>
      </c>
      <c r="F1343" t="s">
        <v>1158</v>
      </c>
      <c r="G1343" t="s">
        <v>83</v>
      </c>
      <c r="H1343">
        <v>0</v>
      </c>
      <c r="I1343" s="61">
        <v>44732</v>
      </c>
      <c r="J1343" s="33" t="s">
        <v>45</v>
      </c>
      <c r="K1343" s="46">
        <v>0</v>
      </c>
      <c r="L1343">
        <v>1.5</v>
      </c>
      <c r="M1343" t="s">
        <v>48</v>
      </c>
      <c r="N1343" s="46">
        <v>0</v>
      </c>
      <c r="O1343" s="46">
        <v>0</v>
      </c>
      <c r="P1343" s="46">
        <v>0</v>
      </c>
      <c r="Q1343" t="s">
        <v>48</v>
      </c>
      <c r="R1343" t="s">
        <v>48</v>
      </c>
      <c r="S1343" t="s">
        <v>48</v>
      </c>
      <c r="T1343" t="s">
        <v>48</v>
      </c>
      <c r="U1343" t="s">
        <v>48</v>
      </c>
      <c r="V1343" s="47">
        <v>1</v>
      </c>
      <c r="W1343" t="s">
        <v>48</v>
      </c>
      <c r="X1343" t="s">
        <v>48</v>
      </c>
      <c r="Y1343" t="s">
        <v>48</v>
      </c>
      <c r="Z1343" t="s">
        <v>48</v>
      </c>
      <c r="AA1343" t="s">
        <v>48</v>
      </c>
      <c r="AB1343" t="s">
        <v>48</v>
      </c>
      <c r="AC1343" t="s">
        <v>49</v>
      </c>
      <c r="AD1343" t="s">
        <v>93</v>
      </c>
      <c r="AE1343" t="s">
        <v>4532</v>
      </c>
      <c r="AF1343" t="s">
        <v>48</v>
      </c>
      <c r="AG1343" t="s">
        <v>48</v>
      </c>
      <c r="AH1343" t="s">
        <v>48</v>
      </c>
      <c r="AI1343" t="s">
        <v>48</v>
      </c>
      <c r="AJ1343" t="s">
        <v>48</v>
      </c>
      <c r="AK1343" t="s">
        <v>48</v>
      </c>
      <c r="AL1343" t="s">
        <v>48</v>
      </c>
      <c r="AM1343" t="s">
        <v>48</v>
      </c>
      <c r="AN1343" t="s">
        <v>48</v>
      </c>
      <c r="AO1343" t="s">
        <v>48</v>
      </c>
      <c r="AP1343" s="46">
        <v>0</v>
      </c>
      <c r="AQ1343" s="46">
        <v>0</v>
      </c>
      <c r="AR1343" s="46">
        <v>0</v>
      </c>
      <c r="AS1343" s="46">
        <v>0</v>
      </c>
      <c r="AT1343" s="46">
        <v>0</v>
      </c>
      <c r="AU1343" s="46">
        <v>0</v>
      </c>
      <c r="AV1343" s="46">
        <v>0</v>
      </c>
      <c r="AW1343" s="46">
        <v>0</v>
      </c>
      <c r="AX1343" s="46">
        <v>0</v>
      </c>
      <c r="AY1343" s="46">
        <v>0</v>
      </c>
      <c r="AZ1343" s="46">
        <v>0</v>
      </c>
      <c r="BA1343" s="46">
        <v>0</v>
      </c>
      <c r="BB1343" s="46">
        <v>0</v>
      </c>
      <c r="BC1343" s="46">
        <v>0</v>
      </c>
      <c r="BD1343" s="46">
        <v>0</v>
      </c>
      <c r="BE1343" s="46">
        <v>0</v>
      </c>
      <c r="BF1343" s="46">
        <v>0</v>
      </c>
      <c r="BG1343" s="46" t="s">
        <v>48</v>
      </c>
      <c r="BH1343" s="46">
        <v>0</v>
      </c>
      <c r="BI1343" s="46">
        <v>0</v>
      </c>
      <c r="BJ1343" s="46">
        <v>0</v>
      </c>
      <c r="BK1343" s="46">
        <v>0</v>
      </c>
      <c r="BL1343" s="46">
        <v>0</v>
      </c>
      <c r="BM1343" s="46">
        <v>0</v>
      </c>
      <c r="BN1343" s="46">
        <v>0</v>
      </c>
    </row>
    <row r="1344" spans="1:66" x14ac:dyDescent="0.35">
      <c r="A1344" t="s">
        <v>8136</v>
      </c>
      <c r="B1344" s="44" t="s">
        <v>48</v>
      </c>
      <c r="C1344" t="s">
        <v>11662</v>
      </c>
      <c r="D1344" t="s">
        <v>2044</v>
      </c>
      <c r="E1344" t="s">
        <v>11559</v>
      </c>
      <c r="F1344" t="s">
        <v>1158</v>
      </c>
      <c r="G1344" t="s">
        <v>83</v>
      </c>
      <c r="H1344">
        <v>0</v>
      </c>
      <c r="I1344" s="61" t="s">
        <v>11160</v>
      </c>
      <c r="J1344" s="33" t="s">
        <v>45</v>
      </c>
      <c r="K1344" s="46">
        <v>0</v>
      </c>
      <c r="L1344">
        <v>7.5</v>
      </c>
      <c r="M1344" t="s">
        <v>48</v>
      </c>
      <c r="N1344" s="46">
        <v>0</v>
      </c>
      <c r="O1344" s="46">
        <v>0</v>
      </c>
      <c r="P1344" s="46">
        <v>0</v>
      </c>
      <c r="Q1344" t="s">
        <v>48</v>
      </c>
      <c r="R1344" t="s">
        <v>48</v>
      </c>
      <c r="S1344" t="s">
        <v>11365</v>
      </c>
      <c r="T1344" t="s">
        <v>48</v>
      </c>
      <c r="U1344" t="s">
        <v>10040</v>
      </c>
      <c r="V1344" s="47">
        <v>1</v>
      </c>
      <c r="W1344" t="s">
        <v>48</v>
      </c>
      <c r="X1344" t="s">
        <v>48</v>
      </c>
      <c r="Y1344" t="s">
        <v>48</v>
      </c>
      <c r="Z1344" t="s">
        <v>48</v>
      </c>
      <c r="AA1344" t="s">
        <v>48</v>
      </c>
      <c r="AB1344" t="s">
        <v>48</v>
      </c>
      <c r="AC1344" t="s">
        <v>63</v>
      </c>
      <c r="AD1344" t="s">
        <v>48</v>
      </c>
      <c r="AE1344" t="s">
        <v>48</v>
      </c>
      <c r="AF1344" t="s">
        <v>48</v>
      </c>
      <c r="AG1344" t="s">
        <v>48</v>
      </c>
      <c r="AH1344" t="s">
        <v>48</v>
      </c>
      <c r="AI1344" t="s">
        <v>48</v>
      </c>
      <c r="AJ1344" t="s">
        <v>48</v>
      </c>
      <c r="AK1344" t="s">
        <v>48</v>
      </c>
      <c r="AL1344" t="s">
        <v>48</v>
      </c>
      <c r="AM1344" t="s">
        <v>48</v>
      </c>
      <c r="AN1344" t="s">
        <v>48</v>
      </c>
      <c r="AO1344" t="s">
        <v>48</v>
      </c>
      <c r="AP1344" s="46">
        <v>0</v>
      </c>
      <c r="AQ1344" s="46">
        <v>0</v>
      </c>
      <c r="AR1344" s="46">
        <v>0</v>
      </c>
      <c r="AS1344" s="46">
        <v>0</v>
      </c>
      <c r="AT1344" s="46">
        <v>0</v>
      </c>
      <c r="AU1344" s="46">
        <v>0</v>
      </c>
      <c r="AV1344" s="46">
        <v>0</v>
      </c>
      <c r="AW1344" s="46">
        <v>0</v>
      </c>
      <c r="AX1344" s="46">
        <v>0</v>
      </c>
      <c r="AY1344" s="46">
        <v>0</v>
      </c>
      <c r="AZ1344" s="46">
        <v>0</v>
      </c>
      <c r="BA1344" s="46">
        <v>0</v>
      </c>
      <c r="BB1344" s="46">
        <v>0</v>
      </c>
      <c r="BC1344" s="46">
        <v>0</v>
      </c>
      <c r="BD1344" s="46">
        <v>0</v>
      </c>
      <c r="BE1344" s="46">
        <v>0</v>
      </c>
      <c r="BF1344" s="46">
        <v>0</v>
      </c>
      <c r="BG1344" s="46" t="s">
        <v>48</v>
      </c>
      <c r="BH1344" s="46">
        <v>0</v>
      </c>
      <c r="BI1344" s="46">
        <v>0</v>
      </c>
      <c r="BJ1344" s="46">
        <v>0</v>
      </c>
      <c r="BK1344" s="46">
        <v>0</v>
      </c>
      <c r="BL1344" s="46">
        <v>0</v>
      </c>
      <c r="BM1344" s="46">
        <v>0</v>
      </c>
      <c r="BN1344" s="46">
        <v>0</v>
      </c>
    </row>
    <row r="1345" spans="1:66" x14ac:dyDescent="0.35">
      <c r="A1345" t="s">
        <v>1177</v>
      </c>
      <c r="B1345" s="44" t="s">
        <v>48</v>
      </c>
      <c r="C1345" t="s">
        <v>1179</v>
      </c>
      <c r="D1345" t="s">
        <v>195</v>
      </c>
      <c r="E1345" t="s">
        <v>1178</v>
      </c>
      <c r="F1345" t="s">
        <v>1164</v>
      </c>
      <c r="G1345" t="s">
        <v>47</v>
      </c>
      <c r="H1345">
        <v>0</v>
      </c>
      <c r="I1345" s="60" t="s">
        <v>125</v>
      </c>
      <c r="J1345" s="33" t="s">
        <v>45</v>
      </c>
      <c r="K1345" s="46">
        <v>0</v>
      </c>
      <c r="L1345">
        <v>14.3</v>
      </c>
      <c r="M1345" t="s">
        <v>48</v>
      </c>
      <c r="N1345" s="46">
        <v>0</v>
      </c>
      <c r="O1345" s="46">
        <v>0</v>
      </c>
      <c r="P1345" s="46">
        <v>0</v>
      </c>
      <c r="Q1345" t="s">
        <v>48</v>
      </c>
      <c r="R1345" t="s">
        <v>48</v>
      </c>
      <c r="S1345" t="s">
        <v>48</v>
      </c>
      <c r="T1345" t="s">
        <v>48</v>
      </c>
      <c r="U1345" t="s">
        <v>48</v>
      </c>
      <c r="V1345" s="47">
        <v>0</v>
      </c>
      <c r="W1345" t="s">
        <v>48</v>
      </c>
      <c r="X1345" t="s">
        <v>48</v>
      </c>
      <c r="Y1345" t="s">
        <v>48</v>
      </c>
      <c r="Z1345">
        <v>0</v>
      </c>
      <c r="AA1345" t="s">
        <v>48</v>
      </c>
      <c r="AB1345" t="s">
        <v>48</v>
      </c>
      <c r="AC1345" t="s">
        <v>49</v>
      </c>
      <c r="AD1345" t="s">
        <v>93</v>
      </c>
      <c r="AE1345" t="s">
        <v>4532</v>
      </c>
      <c r="AF1345" t="s">
        <v>48</v>
      </c>
      <c r="AG1345" t="s">
        <v>48</v>
      </c>
      <c r="AH1345" t="s">
        <v>48</v>
      </c>
      <c r="AI1345" t="s">
        <v>48</v>
      </c>
      <c r="AJ1345" t="s">
        <v>48</v>
      </c>
      <c r="AK1345" t="s">
        <v>48</v>
      </c>
      <c r="AL1345" t="s">
        <v>48</v>
      </c>
      <c r="AM1345" t="s">
        <v>48</v>
      </c>
      <c r="AN1345" t="s">
        <v>48</v>
      </c>
      <c r="AO1345" t="s">
        <v>48</v>
      </c>
      <c r="AP1345" s="46">
        <v>0</v>
      </c>
      <c r="AQ1345" s="46">
        <v>0</v>
      </c>
      <c r="AR1345" s="46">
        <v>0</v>
      </c>
      <c r="AS1345" s="46">
        <v>0</v>
      </c>
      <c r="AT1345" s="46">
        <v>0</v>
      </c>
      <c r="AU1345" s="46">
        <v>0</v>
      </c>
      <c r="AV1345" s="46">
        <v>0</v>
      </c>
      <c r="AW1345" s="46">
        <v>0</v>
      </c>
      <c r="AX1345" s="46">
        <v>0</v>
      </c>
      <c r="AY1345" s="46">
        <v>0</v>
      </c>
      <c r="AZ1345" s="46">
        <v>0</v>
      </c>
      <c r="BA1345" s="46">
        <v>0</v>
      </c>
      <c r="BB1345" s="46">
        <v>0</v>
      </c>
      <c r="BC1345" s="46">
        <v>0</v>
      </c>
      <c r="BD1345" s="46">
        <v>0</v>
      </c>
      <c r="BE1345" s="46">
        <v>0</v>
      </c>
      <c r="BF1345" s="46">
        <v>0</v>
      </c>
      <c r="BG1345" s="46" t="s">
        <v>48</v>
      </c>
      <c r="BH1345" s="46">
        <v>0</v>
      </c>
      <c r="BI1345" s="46">
        <v>0</v>
      </c>
      <c r="BJ1345" s="46">
        <v>0</v>
      </c>
      <c r="BK1345" s="46">
        <v>0</v>
      </c>
      <c r="BL1345" s="46">
        <v>0</v>
      </c>
      <c r="BM1345" s="46">
        <v>0</v>
      </c>
      <c r="BN1345" s="46">
        <v>0</v>
      </c>
    </row>
    <row r="1346" spans="1:66" x14ac:dyDescent="0.35">
      <c r="A1346" t="s">
        <v>8226</v>
      </c>
      <c r="B1346" s="44" t="s">
        <v>48</v>
      </c>
      <c r="C1346" t="s">
        <v>11663</v>
      </c>
      <c r="D1346" t="s">
        <v>11664</v>
      </c>
      <c r="E1346" t="s">
        <v>8227</v>
      </c>
      <c r="F1346" t="s">
        <v>1164</v>
      </c>
      <c r="G1346" t="s">
        <v>47</v>
      </c>
      <c r="H1346">
        <v>0</v>
      </c>
      <c r="I1346" s="61">
        <v>44732</v>
      </c>
      <c r="J1346" s="33" t="s">
        <v>45</v>
      </c>
      <c r="K1346" s="46">
        <v>0</v>
      </c>
      <c r="L1346">
        <v>3.1</v>
      </c>
      <c r="M1346" t="s">
        <v>48</v>
      </c>
      <c r="N1346" s="46">
        <v>0</v>
      </c>
      <c r="O1346" s="46">
        <v>0</v>
      </c>
      <c r="P1346" s="46">
        <v>0</v>
      </c>
      <c r="Q1346" t="s">
        <v>48</v>
      </c>
      <c r="R1346" t="s">
        <v>48</v>
      </c>
      <c r="S1346" t="s">
        <v>10041</v>
      </c>
      <c r="T1346" t="s">
        <v>48</v>
      </c>
      <c r="U1346" t="s">
        <v>10041</v>
      </c>
      <c r="V1346" s="47">
        <v>1</v>
      </c>
      <c r="W1346" t="s">
        <v>48</v>
      </c>
      <c r="X1346" t="s">
        <v>48</v>
      </c>
      <c r="Y1346" t="s">
        <v>48</v>
      </c>
      <c r="Z1346" t="s">
        <v>48</v>
      </c>
      <c r="AA1346" t="s">
        <v>48</v>
      </c>
      <c r="AB1346" t="s">
        <v>48</v>
      </c>
      <c r="AC1346" t="s">
        <v>49</v>
      </c>
      <c r="AD1346" t="s">
        <v>93</v>
      </c>
      <c r="AE1346" t="s">
        <v>977</v>
      </c>
      <c r="AF1346" t="s">
        <v>11053</v>
      </c>
      <c r="AG1346" t="s">
        <v>48</v>
      </c>
      <c r="AH1346" t="s">
        <v>48</v>
      </c>
      <c r="AI1346" t="s">
        <v>48</v>
      </c>
      <c r="AJ1346" t="s">
        <v>48</v>
      </c>
      <c r="AK1346" t="s">
        <v>48</v>
      </c>
      <c r="AL1346" t="s">
        <v>48</v>
      </c>
      <c r="AM1346" t="s">
        <v>48</v>
      </c>
      <c r="AN1346" t="s">
        <v>48</v>
      </c>
      <c r="AO1346" t="s">
        <v>48</v>
      </c>
      <c r="AP1346" s="46">
        <v>0</v>
      </c>
      <c r="AQ1346" s="46">
        <v>0</v>
      </c>
      <c r="AR1346" s="46">
        <v>0</v>
      </c>
      <c r="AS1346" s="46">
        <v>0</v>
      </c>
      <c r="AT1346" s="46">
        <v>0</v>
      </c>
      <c r="AU1346" s="46">
        <v>0</v>
      </c>
      <c r="AV1346" s="46">
        <v>0</v>
      </c>
      <c r="AW1346" s="46">
        <v>0</v>
      </c>
      <c r="AX1346" s="46">
        <v>0</v>
      </c>
      <c r="AY1346" s="46">
        <v>0</v>
      </c>
      <c r="AZ1346" s="46">
        <v>0</v>
      </c>
      <c r="BA1346" s="46">
        <v>0</v>
      </c>
      <c r="BB1346" s="46">
        <v>0</v>
      </c>
      <c r="BC1346" s="46">
        <v>0</v>
      </c>
      <c r="BD1346" s="46">
        <v>0</v>
      </c>
      <c r="BE1346" s="46">
        <v>0</v>
      </c>
      <c r="BF1346" s="46">
        <v>0</v>
      </c>
      <c r="BG1346" s="46" t="s">
        <v>48</v>
      </c>
      <c r="BH1346" s="46">
        <v>0</v>
      </c>
      <c r="BI1346" s="46">
        <v>0</v>
      </c>
      <c r="BJ1346" s="46">
        <v>0</v>
      </c>
      <c r="BK1346" s="46">
        <v>0</v>
      </c>
      <c r="BL1346" s="46">
        <v>0</v>
      </c>
      <c r="BM1346" s="46">
        <v>0</v>
      </c>
      <c r="BN1346" s="46">
        <v>0</v>
      </c>
    </row>
    <row r="1347" spans="1:66" x14ac:dyDescent="0.35">
      <c r="A1347" t="s">
        <v>1457</v>
      </c>
      <c r="B1347" s="44" t="s">
        <v>48</v>
      </c>
      <c r="C1347" t="s">
        <v>1459</v>
      </c>
      <c r="D1347" t="s">
        <v>1458</v>
      </c>
      <c r="E1347" t="s">
        <v>8224</v>
      </c>
      <c r="F1347" t="s">
        <v>1164</v>
      </c>
      <c r="G1347" t="s">
        <v>47</v>
      </c>
      <c r="H1347">
        <v>0</v>
      </c>
      <c r="I1347" s="61">
        <v>44732</v>
      </c>
      <c r="J1347" s="33" t="s">
        <v>45</v>
      </c>
      <c r="K1347" s="46">
        <v>0</v>
      </c>
      <c r="L1347">
        <v>1.9</v>
      </c>
      <c r="M1347" t="s">
        <v>48</v>
      </c>
      <c r="N1347" s="46">
        <v>0</v>
      </c>
      <c r="O1347" s="46">
        <v>0</v>
      </c>
      <c r="P1347" s="46">
        <v>0</v>
      </c>
      <c r="Q1347" t="s">
        <v>48</v>
      </c>
      <c r="R1347" t="s">
        <v>48</v>
      </c>
      <c r="S1347" t="s">
        <v>48</v>
      </c>
      <c r="T1347" t="s">
        <v>48</v>
      </c>
      <c r="U1347" t="s">
        <v>48</v>
      </c>
      <c r="V1347" s="47">
        <v>0</v>
      </c>
      <c r="W1347" t="s">
        <v>48</v>
      </c>
      <c r="X1347" t="s">
        <v>48</v>
      </c>
      <c r="Y1347" t="s">
        <v>48</v>
      </c>
      <c r="Z1347">
        <v>0</v>
      </c>
      <c r="AA1347" t="s">
        <v>48</v>
      </c>
      <c r="AB1347" t="s">
        <v>48</v>
      </c>
      <c r="AC1347" t="s">
        <v>63</v>
      </c>
      <c r="AD1347" t="s">
        <v>48</v>
      </c>
      <c r="AE1347" t="s">
        <v>48</v>
      </c>
      <c r="AF1347" t="s">
        <v>48</v>
      </c>
      <c r="AG1347" t="s">
        <v>48</v>
      </c>
      <c r="AH1347" t="s">
        <v>48</v>
      </c>
      <c r="AI1347" t="s">
        <v>48</v>
      </c>
      <c r="AJ1347" t="s">
        <v>48</v>
      </c>
      <c r="AK1347" t="s">
        <v>48</v>
      </c>
      <c r="AL1347" t="s">
        <v>48</v>
      </c>
      <c r="AM1347" t="s">
        <v>48</v>
      </c>
      <c r="AN1347" t="s">
        <v>48</v>
      </c>
      <c r="AO1347" t="s">
        <v>48</v>
      </c>
      <c r="AP1347" s="46">
        <v>0</v>
      </c>
      <c r="AQ1347" s="46">
        <v>0</v>
      </c>
      <c r="AR1347" s="46">
        <v>0</v>
      </c>
      <c r="AS1347" s="46">
        <v>0</v>
      </c>
      <c r="AT1347" s="46">
        <v>0</v>
      </c>
      <c r="AU1347" s="46">
        <v>0</v>
      </c>
      <c r="AV1347" s="46">
        <v>0</v>
      </c>
      <c r="AW1347" s="46">
        <v>0</v>
      </c>
      <c r="AX1347" s="46">
        <v>0</v>
      </c>
      <c r="AY1347" s="46">
        <v>0</v>
      </c>
      <c r="AZ1347" s="46">
        <v>0</v>
      </c>
      <c r="BA1347" s="46">
        <v>0</v>
      </c>
      <c r="BB1347" s="46">
        <v>0</v>
      </c>
      <c r="BC1347" s="46">
        <v>0</v>
      </c>
      <c r="BD1347" s="46">
        <v>0</v>
      </c>
      <c r="BE1347" s="46">
        <v>0</v>
      </c>
      <c r="BF1347" s="46">
        <v>0</v>
      </c>
      <c r="BG1347" s="46" t="s">
        <v>48</v>
      </c>
      <c r="BH1347" s="46">
        <v>0</v>
      </c>
      <c r="BI1347" s="46">
        <v>0</v>
      </c>
      <c r="BJ1347" s="46">
        <v>0</v>
      </c>
      <c r="BK1347" s="46">
        <v>0</v>
      </c>
      <c r="BL1347" s="46">
        <v>0</v>
      </c>
      <c r="BM1347" s="46">
        <v>0</v>
      </c>
      <c r="BN1347" s="46">
        <v>0</v>
      </c>
    </row>
    <row r="1348" spans="1:66" x14ac:dyDescent="0.35">
      <c r="A1348" t="s">
        <v>1299</v>
      </c>
      <c r="B1348" s="44" t="s">
        <v>48</v>
      </c>
      <c r="C1348" t="s">
        <v>1300</v>
      </c>
      <c r="D1348" t="s">
        <v>603</v>
      </c>
      <c r="E1348" t="s">
        <v>8222</v>
      </c>
      <c r="F1348" t="s">
        <v>1164</v>
      </c>
      <c r="G1348" t="s">
        <v>47</v>
      </c>
      <c r="H1348">
        <v>0</v>
      </c>
      <c r="I1348" s="61">
        <v>44732</v>
      </c>
      <c r="J1348" s="33" t="s">
        <v>45</v>
      </c>
      <c r="K1348" s="46">
        <v>0</v>
      </c>
      <c r="L1348">
        <v>6.2</v>
      </c>
      <c r="M1348" s="41" t="s">
        <v>48</v>
      </c>
      <c r="N1348" s="46">
        <v>0</v>
      </c>
      <c r="O1348" s="46">
        <v>0</v>
      </c>
      <c r="P1348" s="46">
        <v>0</v>
      </c>
      <c r="Q1348" s="41" t="s">
        <v>48</v>
      </c>
      <c r="R1348" s="41" t="s">
        <v>48</v>
      </c>
      <c r="S1348" t="s">
        <v>48</v>
      </c>
      <c r="T1348" t="s">
        <v>48</v>
      </c>
      <c r="U1348" t="s">
        <v>48</v>
      </c>
      <c r="V1348" s="47">
        <v>0</v>
      </c>
      <c r="W1348" t="s">
        <v>48</v>
      </c>
      <c r="X1348" t="s">
        <v>48</v>
      </c>
      <c r="Y1348" t="s">
        <v>48</v>
      </c>
      <c r="Z1348">
        <v>0</v>
      </c>
      <c r="AA1348" t="s">
        <v>48</v>
      </c>
      <c r="AB1348" t="s">
        <v>48</v>
      </c>
      <c r="AC1348" t="s">
        <v>49</v>
      </c>
      <c r="AD1348" t="s">
        <v>93</v>
      </c>
      <c r="AE1348" t="s">
        <v>4532</v>
      </c>
      <c r="AF1348" t="s">
        <v>48</v>
      </c>
      <c r="AG1348" t="s">
        <v>48</v>
      </c>
      <c r="AH1348" t="s">
        <v>48</v>
      </c>
      <c r="AI1348" t="s">
        <v>48</v>
      </c>
      <c r="AJ1348" t="s">
        <v>48</v>
      </c>
      <c r="AK1348" t="s">
        <v>48</v>
      </c>
      <c r="AL1348" t="s">
        <v>48</v>
      </c>
      <c r="AM1348" t="s">
        <v>48</v>
      </c>
      <c r="AN1348" t="s">
        <v>48</v>
      </c>
      <c r="AO1348" t="s">
        <v>48</v>
      </c>
      <c r="AP1348" s="46">
        <v>0</v>
      </c>
      <c r="AQ1348" s="46">
        <v>0</v>
      </c>
      <c r="AR1348" s="46">
        <v>0</v>
      </c>
      <c r="AS1348" s="46">
        <v>0</v>
      </c>
      <c r="AT1348" s="46">
        <v>0</v>
      </c>
      <c r="AU1348" s="46">
        <v>0</v>
      </c>
      <c r="AV1348" s="46">
        <v>0</v>
      </c>
      <c r="AW1348" s="46">
        <v>0</v>
      </c>
      <c r="AX1348" s="46">
        <v>0</v>
      </c>
      <c r="AY1348" s="46">
        <v>0</v>
      </c>
      <c r="AZ1348" s="46">
        <v>0</v>
      </c>
      <c r="BA1348" s="46">
        <v>0</v>
      </c>
      <c r="BB1348" s="46">
        <v>0</v>
      </c>
      <c r="BC1348" s="46">
        <v>0</v>
      </c>
      <c r="BD1348" s="46">
        <v>0</v>
      </c>
      <c r="BE1348" s="46">
        <v>0</v>
      </c>
      <c r="BF1348" s="46">
        <v>0</v>
      </c>
      <c r="BG1348" s="46" t="s">
        <v>48</v>
      </c>
      <c r="BH1348" s="46">
        <v>0</v>
      </c>
      <c r="BI1348" s="46">
        <v>0</v>
      </c>
      <c r="BJ1348" s="46">
        <v>0</v>
      </c>
      <c r="BK1348" s="46">
        <v>0</v>
      </c>
      <c r="BL1348" s="46">
        <v>0</v>
      </c>
      <c r="BM1348" s="46">
        <v>0</v>
      </c>
      <c r="BN1348" s="46">
        <v>0</v>
      </c>
    </row>
    <row r="1349" spans="1:66" x14ac:dyDescent="0.35">
      <c r="A1349" t="s">
        <v>1309</v>
      </c>
      <c r="B1349" s="44" t="s">
        <v>48</v>
      </c>
      <c r="C1349" t="s">
        <v>1310</v>
      </c>
      <c r="D1349" t="s">
        <v>982</v>
      </c>
      <c r="E1349" t="s">
        <v>8223</v>
      </c>
      <c r="F1349" t="s">
        <v>1164</v>
      </c>
      <c r="G1349" t="s">
        <v>47</v>
      </c>
      <c r="H1349">
        <v>0</v>
      </c>
      <c r="I1349" s="61">
        <v>44732</v>
      </c>
      <c r="J1349" s="33" t="s">
        <v>45</v>
      </c>
      <c r="K1349" s="46">
        <v>0</v>
      </c>
      <c r="L1349">
        <v>1.6</v>
      </c>
      <c r="M1349" s="41" t="s">
        <v>48</v>
      </c>
      <c r="N1349" s="46">
        <v>0</v>
      </c>
      <c r="O1349" s="46">
        <v>0</v>
      </c>
      <c r="P1349" s="46">
        <v>0</v>
      </c>
      <c r="Q1349" s="41" t="s">
        <v>48</v>
      </c>
      <c r="R1349" s="41" t="s">
        <v>48</v>
      </c>
      <c r="S1349" t="s">
        <v>10042</v>
      </c>
      <c r="T1349" t="s">
        <v>48</v>
      </c>
      <c r="U1349" t="s">
        <v>10042</v>
      </c>
      <c r="V1349" s="47">
        <v>0</v>
      </c>
      <c r="W1349" t="s">
        <v>48</v>
      </c>
      <c r="X1349" t="s">
        <v>48</v>
      </c>
      <c r="Y1349" t="s">
        <v>48</v>
      </c>
      <c r="Z1349">
        <v>0</v>
      </c>
      <c r="AA1349" t="s">
        <v>48</v>
      </c>
      <c r="AB1349" t="s">
        <v>48</v>
      </c>
      <c r="AC1349" t="s">
        <v>49</v>
      </c>
      <c r="AD1349" t="s">
        <v>93</v>
      </c>
      <c r="AE1349" t="s">
        <v>4532</v>
      </c>
      <c r="AF1349" t="s">
        <v>48</v>
      </c>
      <c r="AG1349" t="s">
        <v>48</v>
      </c>
      <c r="AH1349" t="s">
        <v>48</v>
      </c>
      <c r="AI1349" t="s">
        <v>48</v>
      </c>
      <c r="AJ1349" t="s">
        <v>48</v>
      </c>
      <c r="AK1349" t="s">
        <v>48</v>
      </c>
      <c r="AL1349" t="s">
        <v>48</v>
      </c>
      <c r="AM1349" t="s">
        <v>48</v>
      </c>
      <c r="AN1349" t="s">
        <v>48</v>
      </c>
      <c r="AO1349" t="s">
        <v>48</v>
      </c>
      <c r="AP1349" s="46">
        <v>0</v>
      </c>
      <c r="AQ1349" s="46">
        <v>0</v>
      </c>
      <c r="AR1349" s="46">
        <v>0</v>
      </c>
      <c r="AS1349" s="46">
        <v>0</v>
      </c>
      <c r="AT1349" s="46">
        <v>0</v>
      </c>
      <c r="AU1349" s="46">
        <v>0</v>
      </c>
      <c r="AV1349" s="46">
        <v>0</v>
      </c>
      <c r="AW1349" s="46">
        <v>0</v>
      </c>
      <c r="AX1349" s="46">
        <v>0</v>
      </c>
      <c r="AY1349" s="46">
        <v>0</v>
      </c>
      <c r="AZ1349" s="46">
        <v>0</v>
      </c>
      <c r="BA1349" s="46">
        <v>0</v>
      </c>
      <c r="BB1349" s="46">
        <v>0</v>
      </c>
      <c r="BC1349" s="46">
        <v>0</v>
      </c>
      <c r="BD1349" s="46">
        <v>0</v>
      </c>
      <c r="BE1349" s="46">
        <v>0</v>
      </c>
      <c r="BF1349" s="46">
        <v>0</v>
      </c>
      <c r="BG1349" s="46" t="s">
        <v>48</v>
      </c>
      <c r="BH1349" s="46">
        <v>0</v>
      </c>
      <c r="BI1349" s="46">
        <v>0</v>
      </c>
      <c r="BJ1349" s="46">
        <v>0</v>
      </c>
      <c r="BK1349" s="46">
        <v>0</v>
      </c>
      <c r="BL1349" s="46">
        <v>0</v>
      </c>
      <c r="BM1349" s="46">
        <v>0</v>
      </c>
      <c r="BN1349" s="46">
        <v>0</v>
      </c>
    </row>
    <row r="1350" spans="1:66" x14ac:dyDescent="0.35">
      <c r="A1350" t="s">
        <v>8137</v>
      </c>
      <c r="B1350" s="44" t="s">
        <v>48</v>
      </c>
      <c r="C1350" t="s">
        <v>11665</v>
      </c>
      <c r="D1350" t="s">
        <v>714</v>
      </c>
      <c r="E1350" t="s">
        <v>8138</v>
      </c>
      <c r="F1350" t="s">
        <v>1181</v>
      </c>
      <c r="G1350" t="s">
        <v>83</v>
      </c>
      <c r="H1350">
        <v>0</v>
      </c>
      <c r="I1350" s="61">
        <v>44732</v>
      </c>
      <c r="J1350" s="33" t="s">
        <v>45</v>
      </c>
      <c r="K1350" s="46">
        <v>0</v>
      </c>
      <c r="L1350">
        <v>2.2999999999999998</v>
      </c>
      <c r="M1350" t="s">
        <v>48</v>
      </c>
      <c r="N1350" s="46">
        <v>0</v>
      </c>
      <c r="O1350" s="46">
        <v>0</v>
      </c>
      <c r="P1350" s="46">
        <v>0</v>
      </c>
      <c r="Q1350" t="s">
        <v>48</v>
      </c>
      <c r="R1350" t="s">
        <v>48</v>
      </c>
      <c r="S1350" t="s">
        <v>48</v>
      </c>
      <c r="T1350" t="s">
        <v>48</v>
      </c>
      <c r="U1350" t="s">
        <v>48</v>
      </c>
      <c r="V1350" s="47">
        <v>1</v>
      </c>
      <c r="W1350" t="s">
        <v>48</v>
      </c>
      <c r="X1350" t="s">
        <v>48</v>
      </c>
      <c r="Y1350" t="s">
        <v>48</v>
      </c>
      <c r="Z1350" t="s">
        <v>48</v>
      </c>
      <c r="AA1350" t="s">
        <v>48</v>
      </c>
      <c r="AB1350" t="s">
        <v>48</v>
      </c>
      <c r="AC1350" t="s">
        <v>49</v>
      </c>
      <c r="AD1350" t="s">
        <v>93</v>
      </c>
      <c r="AE1350" t="s">
        <v>4532</v>
      </c>
      <c r="AF1350" t="s">
        <v>48</v>
      </c>
      <c r="AG1350" t="s">
        <v>48</v>
      </c>
      <c r="AH1350" t="s">
        <v>48</v>
      </c>
      <c r="AI1350" t="s">
        <v>48</v>
      </c>
      <c r="AJ1350" t="s">
        <v>48</v>
      </c>
      <c r="AK1350" t="s">
        <v>48</v>
      </c>
      <c r="AL1350" t="s">
        <v>48</v>
      </c>
      <c r="AM1350" t="s">
        <v>48</v>
      </c>
      <c r="AN1350" t="s">
        <v>48</v>
      </c>
      <c r="AO1350" t="s">
        <v>48</v>
      </c>
      <c r="AP1350" s="46">
        <v>0</v>
      </c>
      <c r="AQ1350" s="46">
        <v>0</v>
      </c>
      <c r="AR1350" s="46">
        <v>0</v>
      </c>
      <c r="AS1350" s="46">
        <v>0</v>
      </c>
      <c r="AT1350" s="46">
        <v>0</v>
      </c>
      <c r="AU1350" s="46">
        <v>0</v>
      </c>
      <c r="AV1350" s="46">
        <v>0</v>
      </c>
      <c r="AW1350" s="46">
        <v>0</v>
      </c>
      <c r="AX1350" s="46">
        <v>0</v>
      </c>
      <c r="AY1350" s="46">
        <v>0</v>
      </c>
      <c r="AZ1350" s="46">
        <v>0</v>
      </c>
      <c r="BA1350" s="46">
        <v>0</v>
      </c>
      <c r="BB1350" s="46">
        <v>0</v>
      </c>
      <c r="BC1350" s="46">
        <v>0</v>
      </c>
      <c r="BD1350" s="46">
        <v>0</v>
      </c>
      <c r="BE1350" s="46">
        <v>0</v>
      </c>
      <c r="BF1350" s="46">
        <v>0</v>
      </c>
      <c r="BG1350" s="46" t="s">
        <v>48</v>
      </c>
      <c r="BH1350" s="46">
        <v>0</v>
      </c>
      <c r="BI1350" s="46">
        <v>0</v>
      </c>
      <c r="BJ1350" s="46">
        <v>0</v>
      </c>
      <c r="BK1350" s="46">
        <v>0</v>
      </c>
      <c r="BL1350" s="46">
        <v>0</v>
      </c>
      <c r="BM1350" s="46">
        <v>0</v>
      </c>
      <c r="BN1350" s="46">
        <v>0</v>
      </c>
    </row>
    <row r="1351" spans="1:66" x14ac:dyDescent="0.35">
      <c r="A1351" t="s">
        <v>1195</v>
      </c>
      <c r="B1351" s="44" t="s">
        <v>48</v>
      </c>
      <c r="C1351" t="s">
        <v>1200</v>
      </c>
      <c r="D1351" t="s">
        <v>1199</v>
      </c>
      <c r="E1351" t="s">
        <v>1196</v>
      </c>
      <c r="F1351" t="s">
        <v>1181</v>
      </c>
      <c r="G1351" t="s">
        <v>47</v>
      </c>
      <c r="H1351">
        <v>0</v>
      </c>
      <c r="I1351" s="60" t="s">
        <v>125</v>
      </c>
      <c r="J1351" s="33" t="s">
        <v>45</v>
      </c>
      <c r="K1351" s="46">
        <v>0</v>
      </c>
      <c r="L1351">
        <v>1.6</v>
      </c>
      <c r="M1351" t="s">
        <v>48</v>
      </c>
      <c r="N1351" s="46">
        <v>0</v>
      </c>
      <c r="O1351" s="46">
        <v>0</v>
      </c>
      <c r="P1351" s="46">
        <v>0</v>
      </c>
      <c r="Q1351" t="s">
        <v>48</v>
      </c>
      <c r="R1351" t="s">
        <v>48</v>
      </c>
      <c r="S1351" t="s">
        <v>1197</v>
      </c>
      <c r="T1351" t="s">
        <v>48</v>
      </c>
      <c r="U1351" t="s">
        <v>1197</v>
      </c>
      <c r="V1351" s="47">
        <v>0</v>
      </c>
      <c r="W1351" t="s">
        <v>48</v>
      </c>
      <c r="X1351" t="s">
        <v>48</v>
      </c>
      <c r="Y1351" t="s">
        <v>48</v>
      </c>
      <c r="Z1351">
        <v>0</v>
      </c>
      <c r="AA1351" t="s">
        <v>48</v>
      </c>
      <c r="AB1351" t="s">
        <v>48</v>
      </c>
      <c r="AC1351" t="s">
        <v>49</v>
      </c>
      <c r="AD1351" t="s">
        <v>93</v>
      </c>
      <c r="AE1351" t="s">
        <v>11051</v>
      </c>
      <c r="AF1351" t="s">
        <v>5180</v>
      </c>
      <c r="AG1351" t="s">
        <v>1198</v>
      </c>
      <c r="AH1351" t="s">
        <v>48</v>
      </c>
      <c r="AI1351" t="s">
        <v>48</v>
      </c>
      <c r="AJ1351" t="s">
        <v>48</v>
      </c>
      <c r="AK1351" t="s">
        <v>48</v>
      </c>
      <c r="AL1351" t="s">
        <v>48</v>
      </c>
      <c r="AM1351" t="s">
        <v>48</v>
      </c>
      <c r="AN1351" t="s">
        <v>48</v>
      </c>
      <c r="AO1351" t="s">
        <v>48</v>
      </c>
      <c r="AP1351" s="46">
        <v>0</v>
      </c>
      <c r="AQ1351" s="46">
        <v>0</v>
      </c>
      <c r="AR1351" s="46">
        <v>0</v>
      </c>
      <c r="AS1351" s="46">
        <v>0</v>
      </c>
      <c r="AT1351" s="46">
        <v>0</v>
      </c>
      <c r="AU1351" s="46">
        <v>0</v>
      </c>
      <c r="AV1351" s="46">
        <v>0</v>
      </c>
      <c r="AW1351" s="46">
        <v>0</v>
      </c>
      <c r="AX1351" s="46">
        <v>0</v>
      </c>
      <c r="AY1351" s="46">
        <v>0</v>
      </c>
      <c r="AZ1351" s="46">
        <v>0</v>
      </c>
      <c r="BA1351" s="46">
        <v>0</v>
      </c>
      <c r="BB1351" s="46">
        <v>0</v>
      </c>
      <c r="BC1351" s="46">
        <v>0</v>
      </c>
      <c r="BD1351" s="46">
        <v>0</v>
      </c>
      <c r="BE1351" s="46">
        <v>0</v>
      </c>
      <c r="BF1351" s="46">
        <v>0</v>
      </c>
      <c r="BG1351" s="46" t="s">
        <v>48</v>
      </c>
      <c r="BH1351" s="46">
        <v>0</v>
      </c>
      <c r="BI1351" s="46">
        <v>0</v>
      </c>
      <c r="BJ1351" s="46">
        <v>0</v>
      </c>
      <c r="BK1351" s="46">
        <v>0</v>
      </c>
      <c r="BL1351" s="46">
        <v>0</v>
      </c>
      <c r="BM1351" s="46">
        <v>0</v>
      </c>
      <c r="BN1351" s="46">
        <v>0</v>
      </c>
    </row>
    <row r="1352" spans="1:66" x14ac:dyDescent="0.35">
      <c r="A1352" t="s">
        <v>8228</v>
      </c>
      <c r="B1352" s="44" t="s">
        <v>48</v>
      </c>
      <c r="C1352" t="s">
        <v>522</v>
      </c>
      <c r="D1352" t="s">
        <v>437</v>
      </c>
      <c r="E1352" t="s">
        <v>8229</v>
      </c>
      <c r="F1352" t="s">
        <v>1181</v>
      </c>
      <c r="G1352" t="s">
        <v>47</v>
      </c>
      <c r="H1352">
        <v>0</v>
      </c>
      <c r="I1352" s="61">
        <v>44732</v>
      </c>
      <c r="J1352" s="33" t="s">
        <v>45</v>
      </c>
      <c r="K1352" s="46">
        <v>0</v>
      </c>
      <c r="L1352">
        <v>3.3</v>
      </c>
      <c r="M1352" t="s">
        <v>48</v>
      </c>
      <c r="N1352" s="46">
        <v>0</v>
      </c>
      <c r="O1352" s="46">
        <v>0</v>
      </c>
      <c r="P1352" s="46">
        <v>0</v>
      </c>
      <c r="Q1352" t="s">
        <v>48</v>
      </c>
      <c r="R1352" t="s">
        <v>48</v>
      </c>
      <c r="S1352" t="s">
        <v>48</v>
      </c>
      <c r="T1352" t="s">
        <v>48</v>
      </c>
      <c r="U1352" t="s">
        <v>48</v>
      </c>
      <c r="V1352" s="47">
        <v>1</v>
      </c>
      <c r="W1352" t="s">
        <v>48</v>
      </c>
      <c r="X1352" t="s">
        <v>48</v>
      </c>
      <c r="Y1352" t="s">
        <v>48</v>
      </c>
      <c r="Z1352" t="s">
        <v>48</v>
      </c>
      <c r="AA1352" t="s">
        <v>48</v>
      </c>
      <c r="AB1352" t="s">
        <v>48</v>
      </c>
      <c r="AC1352" t="s">
        <v>49</v>
      </c>
      <c r="AD1352" t="s">
        <v>93</v>
      </c>
      <c r="AE1352" t="s">
        <v>4532</v>
      </c>
      <c r="AF1352" t="s">
        <v>48</v>
      </c>
      <c r="AG1352" t="s">
        <v>48</v>
      </c>
      <c r="AH1352" t="s">
        <v>48</v>
      </c>
      <c r="AI1352" t="s">
        <v>48</v>
      </c>
      <c r="AJ1352" t="s">
        <v>48</v>
      </c>
      <c r="AK1352" t="s">
        <v>48</v>
      </c>
      <c r="AL1352" t="s">
        <v>48</v>
      </c>
      <c r="AM1352" t="s">
        <v>48</v>
      </c>
      <c r="AN1352" t="s">
        <v>48</v>
      </c>
      <c r="AO1352" t="s">
        <v>48</v>
      </c>
      <c r="AP1352" s="46">
        <v>0</v>
      </c>
      <c r="AQ1352" s="46">
        <v>0</v>
      </c>
      <c r="AR1352" s="46">
        <v>0</v>
      </c>
      <c r="AS1352" s="46">
        <v>0</v>
      </c>
      <c r="AT1352" s="46">
        <v>0</v>
      </c>
      <c r="AU1352" s="46">
        <v>0</v>
      </c>
      <c r="AV1352" s="46">
        <v>0</v>
      </c>
      <c r="AW1352" s="46">
        <v>0</v>
      </c>
      <c r="AX1352" s="46">
        <v>0</v>
      </c>
      <c r="AY1352" s="46">
        <v>0</v>
      </c>
      <c r="AZ1352" s="46">
        <v>0</v>
      </c>
      <c r="BA1352" s="46">
        <v>0</v>
      </c>
      <c r="BB1352" s="46">
        <v>0</v>
      </c>
      <c r="BC1352" s="46">
        <v>0</v>
      </c>
      <c r="BD1352" s="46">
        <v>0</v>
      </c>
      <c r="BE1352" s="46">
        <v>0</v>
      </c>
      <c r="BF1352" s="46">
        <v>0</v>
      </c>
      <c r="BG1352" s="46" t="s">
        <v>48</v>
      </c>
      <c r="BH1352" s="46">
        <v>0</v>
      </c>
      <c r="BI1352" s="46">
        <v>0</v>
      </c>
      <c r="BJ1352" s="46">
        <v>0</v>
      </c>
      <c r="BK1352" s="46">
        <v>0</v>
      </c>
      <c r="BL1352" s="46">
        <v>0</v>
      </c>
      <c r="BM1352" s="46">
        <v>0</v>
      </c>
      <c r="BN1352" s="46">
        <v>0</v>
      </c>
    </row>
    <row r="1353" spans="1:66" x14ac:dyDescent="0.35">
      <c r="A1353" t="s">
        <v>8233</v>
      </c>
      <c r="B1353" s="44" t="s">
        <v>48</v>
      </c>
      <c r="C1353" t="s">
        <v>11668</v>
      </c>
      <c r="D1353" t="s">
        <v>268</v>
      </c>
      <c r="E1353" t="s">
        <v>8234</v>
      </c>
      <c r="F1353" t="s">
        <v>1203</v>
      </c>
      <c r="G1353" t="s">
        <v>47</v>
      </c>
      <c r="H1353">
        <v>0</v>
      </c>
      <c r="I1353" s="61">
        <v>44732</v>
      </c>
      <c r="J1353" s="33" t="s">
        <v>45</v>
      </c>
      <c r="K1353" s="46">
        <v>0</v>
      </c>
      <c r="L1353">
        <v>2.2000000000000002</v>
      </c>
      <c r="M1353" t="s">
        <v>48</v>
      </c>
      <c r="N1353" s="46">
        <v>0</v>
      </c>
      <c r="O1353" s="46">
        <v>0</v>
      </c>
      <c r="P1353" s="46">
        <v>0</v>
      </c>
      <c r="Q1353" t="s">
        <v>48</v>
      </c>
      <c r="R1353" t="s">
        <v>48</v>
      </c>
      <c r="S1353" t="s">
        <v>10044</v>
      </c>
      <c r="T1353" t="s">
        <v>48</v>
      </c>
      <c r="U1353" t="s">
        <v>10044</v>
      </c>
      <c r="V1353" s="47">
        <v>1</v>
      </c>
      <c r="W1353" t="s">
        <v>48</v>
      </c>
      <c r="X1353" t="s">
        <v>48</v>
      </c>
      <c r="Y1353" t="s">
        <v>48</v>
      </c>
      <c r="Z1353" t="s">
        <v>48</v>
      </c>
      <c r="AA1353" t="s">
        <v>48</v>
      </c>
      <c r="AB1353" t="s">
        <v>48</v>
      </c>
      <c r="AC1353" t="s">
        <v>49</v>
      </c>
      <c r="AD1353" t="s">
        <v>93</v>
      </c>
      <c r="AE1353" t="s">
        <v>4532</v>
      </c>
      <c r="AF1353" t="s">
        <v>48</v>
      </c>
      <c r="AG1353" t="s">
        <v>48</v>
      </c>
      <c r="AH1353" t="s">
        <v>48</v>
      </c>
      <c r="AI1353" t="s">
        <v>48</v>
      </c>
      <c r="AJ1353" t="s">
        <v>48</v>
      </c>
      <c r="AK1353" t="s">
        <v>48</v>
      </c>
      <c r="AL1353" t="s">
        <v>48</v>
      </c>
      <c r="AM1353" t="s">
        <v>48</v>
      </c>
      <c r="AN1353" t="s">
        <v>48</v>
      </c>
      <c r="AO1353" t="s">
        <v>48</v>
      </c>
      <c r="AP1353" s="46">
        <v>0</v>
      </c>
      <c r="AQ1353" s="46">
        <v>0</v>
      </c>
      <c r="AR1353" s="46">
        <v>0</v>
      </c>
      <c r="AS1353" s="46">
        <v>0</v>
      </c>
      <c r="AT1353" s="46">
        <v>0</v>
      </c>
      <c r="AU1353" s="46">
        <v>0</v>
      </c>
      <c r="AV1353" s="46">
        <v>0</v>
      </c>
      <c r="AW1353" s="46">
        <v>0</v>
      </c>
      <c r="AX1353" s="46">
        <v>0</v>
      </c>
      <c r="AY1353" s="46">
        <v>0</v>
      </c>
      <c r="AZ1353" s="46">
        <v>0</v>
      </c>
      <c r="BA1353" s="46">
        <v>0</v>
      </c>
      <c r="BB1353" s="46">
        <v>0</v>
      </c>
      <c r="BC1353" s="46">
        <v>0</v>
      </c>
      <c r="BD1353" s="46">
        <v>0</v>
      </c>
      <c r="BE1353" s="46">
        <v>0</v>
      </c>
      <c r="BF1353" s="46">
        <v>0</v>
      </c>
      <c r="BG1353" s="46" t="s">
        <v>48</v>
      </c>
      <c r="BH1353" s="46">
        <v>0</v>
      </c>
      <c r="BI1353" s="46">
        <v>0</v>
      </c>
      <c r="BJ1353" s="46">
        <v>0</v>
      </c>
      <c r="BK1353" s="46">
        <v>0</v>
      </c>
      <c r="BL1353" s="46">
        <v>0</v>
      </c>
      <c r="BM1353" s="46">
        <v>0</v>
      </c>
      <c r="BN1353" s="46">
        <v>0</v>
      </c>
    </row>
    <row r="1354" spans="1:66" x14ac:dyDescent="0.35">
      <c r="A1354" t="s">
        <v>8231</v>
      </c>
      <c r="B1354" s="44" t="s">
        <v>48</v>
      </c>
      <c r="C1354" t="s">
        <v>1571</v>
      </c>
      <c r="D1354" t="s">
        <v>655</v>
      </c>
      <c r="E1354" t="s">
        <v>8232</v>
      </c>
      <c r="F1354" t="s">
        <v>1203</v>
      </c>
      <c r="G1354" t="s">
        <v>47</v>
      </c>
      <c r="H1354">
        <v>0</v>
      </c>
      <c r="I1354" s="61">
        <v>44732</v>
      </c>
      <c r="J1354" s="33" t="s">
        <v>45</v>
      </c>
      <c r="K1354" s="46">
        <v>0</v>
      </c>
      <c r="L1354">
        <v>1.1000000000000001</v>
      </c>
      <c r="M1354" t="s">
        <v>48</v>
      </c>
      <c r="N1354" s="46">
        <v>0</v>
      </c>
      <c r="O1354" s="46">
        <v>0</v>
      </c>
      <c r="P1354" s="46">
        <v>0</v>
      </c>
      <c r="Q1354" t="s">
        <v>48</v>
      </c>
      <c r="R1354" t="s">
        <v>48</v>
      </c>
      <c r="S1354" t="s">
        <v>48</v>
      </c>
      <c r="T1354" t="s">
        <v>48</v>
      </c>
      <c r="U1354" t="s">
        <v>48</v>
      </c>
      <c r="V1354" s="47">
        <v>1</v>
      </c>
      <c r="W1354" t="s">
        <v>48</v>
      </c>
      <c r="X1354" t="s">
        <v>48</v>
      </c>
      <c r="Y1354" t="s">
        <v>48</v>
      </c>
      <c r="Z1354" t="s">
        <v>48</v>
      </c>
      <c r="AA1354" t="s">
        <v>48</v>
      </c>
      <c r="AB1354" t="s">
        <v>48</v>
      </c>
      <c r="AC1354" t="s">
        <v>49</v>
      </c>
      <c r="AD1354" t="s">
        <v>93</v>
      </c>
      <c r="AE1354" t="s">
        <v>4532</v>
      </c>
      <c r="AF1354" t="s">
        <v>48</v>
      </c>
      <c r="AG1354" t="s">
        <v>48</v>
      </c>
      <c r="AH1354" t="s">
        <v>48</v>
      </c>
      <c r="AI1354" t="s">
        <v>48</v>
      </c>
      <c r="AJ1354" t="s">
        <v>48</v>
      </c>
      <c r="AK1354" t="s">
        <v>48</v>
      </c>
      <c r="AL1354" t="s">
        <v>48</v>
      </c>
      <c r="AM1354" t="s">
        <v>48</v>
      </c>
      <c r="AN1354" t="s">
        <v>48</v>
      </c>
      <c r="AO1354" t="s">
        <v>48</v>
      </c>
      <c r="AP1354" s="46">
        <v>0</v>
      </c>
      <c r="AQ1354" s="46">
        <v>0</v>
      </c>
      <c r="AR1354" s="46">
        <v>0</v>
      </c>
      <c r="AS1354" s="46">
        <v>0</v>
      </c>
      <c r="AT1354" s="46">
        <v>0</v>
      </c>
      <c r="AU1354" s="46">
        <v>0</v>
      </c>
      <c r="AV1354" s="46">
        <v>0</v>
      </c>
      <c r="AW1354" s="46">
        <v>0</v>
      </c>
      <c r="AX1354" s="46">
        <v>0</v>
      </c>
      <c r="AY1354" s="46">
        <v>0</v>
      </c>
      <c r="AZ1354" s="46">
        <v>0</v>
      </c>
      <c r="BA1354" s="46">
        <v>0</v>
      </c>
      <c r="BB1354" s="46">
        <v>0</v>
      </c>
      <c r="BC1354" s="46">
        <v>0</v>
      </c>
      <c r="BD1354" s="46">
        <v>0</v>
      </c>
      <c r="BE1354" s="46">
        <v>0</v>
      </c>
      <c r="BF1354" s="46">
        <v>0</v>
      </c>
      <c r="BG1354" s="46" t="s">
        <v>48</v>
      </c>
      <c r="BH1354" s="46">
        <v>0</v>
      </c>
      <c r="BI1354" s="46">
        <v>0</v>
      </c>
      <c r="BJ1354" s="46">
        <v>0</v>
      </c>
      <c r="BK1354" s="46">
        <v>0</v>
      </c>
      <c r="BL1354" s="46">
        <v>0</v>
      </c>
      <c r="BM1354" s="46">
        <v>0</v>
      </c>
      <c r="BN1354" s="46">
        <v>0</v>
      </c>
    </row>
    <row r="1355" spans="1:66" x14ac:dyDescent="0.35">
      <c r="A1355" t="s">
        <v>8048</v>
      </c>
      <c r="B1355" s="44" t="s">
        <v>48</v>
      </c>
      <c r="C1355" t="s">
        <v>11666</v>
      </c>
      <c r="D1355" t="s">
        <v>11667</v>
      </c>
      <c r="E1355" t="s">
        <v>8049</v>
      </c>
      <c r="F1355" t="s">
        <v>1203</v>
      </c>
      <c r="G1355" t="s">
        <v>74</v>
      </c>
      <c r="H1355">
        <v>0</v>
      </c>
      <c r="I1355" s="61">
        <v>44732</v>
      </c>
      <c r="J1355" s="33" t="s">
        <v>45</v>
      </c>
      <c r="K1355" s="46">
        <v>0</v>
      </c>
      <c r="L1355">
        <v>6.7</v>
      </c>
      <c r="M1355" t="s">
        <v>48</v>
      </c>
      <c r="N1355" s="46">
        <v>0</v>
      </c>
      <c r="O1355" s="46">
        <v>0</v>
      </c>
      <c r="P1355" s="46">
        <v>0</v>
      </c>
      <c r="Q1355" t="s">
        <v>48</v>
      </c>
      <c r="R1355" t="s">
        <v>48</v>
      </c>
      <c r="S1355" t="s">
        <v>48</v>
      </c>
      <c r="T1355" t="s">
        <v>48</v>
      </c>
      <c r="U1355" t="s">
        <v>48</v>
      </c>
      <c r="V1355" s="47">
        <v>1</v>
      </c>
      <c r="W1355" t="s">
        <v>48</v>
      </c>
      <c r="X1355" t="s">
        <v>48</v>
      </c>
      <c r="Y1355" t="s">
        <v>48</v>
      </c>
      <c r="Z1355" t="s">
        <v>48</v>
      </c>
      <c r="AA1355" t="s">
        <v>48</v>
      </c>
      <c r="AB1355" t="s">
        <v>48</v>
      </c>
      <c r="AC1355" t="s">
        <v>49</v>
      </c>
      <c r="AD1355" t="s">
        <v>93</v>
      </c>
      <c r="AE1355" t="s">
        <v>2471</v>
      </c>
      <c r="AF1355" t="s">
        <v>48</v>
      </c>
      <c r="AG1355" t="s">
        <v>48</v>
      </c>
      <c r="AH1355" t="s">
        <v>48</v>
      </c>
      <c r="AI1355" t="s">
        <v>48</v>
      </c>
      <c r="AJ1355" t="s">
        <v>48</v>
      </c>
      <c r="AK1355" t="s">
        <v>48</v>
      </c>
      <c r="AL1355" t="s">
        <v>48</v>
      </c>
      <c r="AM1355" t="s">
        <v>48</v>
      </c>
      <c r="AN1355" t="s">
        <v>48</v>
      </c>
      <c r="AO1355" t="s">
        <v>48</v>
      </c>
      <c r="AP1355" s="46">
        <v>0</v>
      </c>
      <c r="AQ1355" s="46">
        <v>0</v>
      </c>
      <c r="AR1355" s="46">
        <v>0</v>
      </c>
      <c r="AS1355" s="46">
        <v>0</v>
      </c>
      <c r="AT1355" s="46">
        <v>0</v>
      </c>
      <c r="AU1355" s="46">
        <v>0</v>
      </c>
      <c r="AV1355" s="46">
        <v>0</v>
      </c>
      <c r="AW1355" s="46">
        <v>0</v>
      </c>
      <c r="AX1355" s="46">
        <v>0</v>
      </c>
      <c r="AY1355" s="46">
        <v>0</v>
      </c>
      <c r="AZ1355" s="46">
        <v>0</v>
      </c>
      <c r="BA1355" s="46">
        <v>0</v>
      </c>
      <c r="BB1355" s="46">
        <v>0</v>
      </c>
      <c r="BC1355" s="46">
        <v>0</v>
      </c>
      <c r="BD1355" s="46">
        <v>0</v>
      </c>
      <c r="BE1355" s="46">
        <v>0</v>
      </c>
      <c r="BF1355" s="46">
        <v>0</v>
      </c>
      <c r="BG1355" s="46" t="s">
        <v>48</v>
      </c>
      <c r="BH1355" s="46">
        <v>0</v>
      </c>
      <c r="BI1355" s="46">
        <v>0</v>
      </c>
      <c r="BJ1355" s="46">
        <v>0</v>
      </c>
      <c r="BK1355" s="46">
        <v>0</v>
      </c>
      <c r="BL1355" s="46">
        <v>0</v>
      </c>
      <c r="BM1355" s="46">
        <v>0</v>
      </c>
      <c r="BN1355" s="46">
        <v>0</v>
      </c>
    </row>
    <row r="1356" spans="1:66" x14ac:dyDescent="0.35">
      <c r="A1356" t="s">
        <v>1169</v>
      </c>
      <c r="B1356" s="44" t="s">
        <v>48</v>
      </c>
      <c r="C1356" t="s">
        <v>1173</v>
      </c>
      <c r="D1356" t="s">
        <v>1172</v>
      </c>
      <c r="E1356" t="s">
        <v>8047</v>
      </c>
      <c r="F1356" t="s">
        <v>1203</v>
      </c>
      <c r="G1356" t="s">
        <v>74</v>
      </c>
      <c r="H1356">
        <v>0</v>
      </c>
      <c r="I1356" s="61">
        <v>44732</v>
      </c>
      <c r="J1356" s="33" t="s">
        <v>45</v>
      </c>
      <c r="K1356" s="46">
        <v>0</v>
      </c>
      <c r="L1356">
        <v>5.4</v>
      </c>
      <c r="M1356" s="41" t="s">
        <v>48</v>
      </c>
      <c r="N1356" s="46">
        <v>0</v>
      </c>
      <c r="O1356" s="46">
        <v>0</v>
      </c>
      <c r="P1356" s="46">
        <v>0</v>
      </c>
      <c r="Q1356" s="41" t="s">
        <v>48</v>
      </c>
      <c r="R1356" s="41" t="s">
        <v>48</v>
      </c>
      <c r="S1356" t="s">
        <v>1170</v>
      </c>
      <c r="T1356" t="s">
        <v>48</v>
      </c>
      <c r="U1356" t="s">
        <v>1170</v>
      </c>
      <c r="V1356" s="47">
        <v>0</v>
      </c>
      <c r="W1356" t="s">
        <v>48</v>
      </c>
      <c r="X1356" t="s">
        <v>48</v>
      </c>
      <c r="Y1356" t="s">
        <v>48</v>
      </c>
      <c r="Z1356">
        <v>0</v>
      </c>
      <c r="AA1356" t="s">
        <v>1171</v>
      </c>
      <c r="AB1356" t="s">
        <v>48</v>
      </c>
      <c r="AC1356" t="s">
        <v>63</v>
      </c>
      <c r="AD1356" t="s">
        <v>951</v>
      </c>
      <c r="AE1356" t="s">
        <v>11051</v>
      </c>
      <c r="AF1356" t="s">
        <v>48</v>
      </c>
      <c r="AG1356" t="s">
        <v>48</v>
      </c>
      <c r="AH1356" t="s">
        <v>48</v>
      </c>
      <c r="AI1356" t="s">
        <v>48</v>
      </c>
      <c r="AJ1356" t="s">
        <v>48</v>
      </c>
      <c r="AK1356" t="s">
        <v>48</v>
      </c>
      <c r="AL1356" t="s">
        <v>48</v>
      </c>
      <c r="AM1356" t="s">
        <v>48</v>
      </c>
      <c r="AN1356" t="s">
        <v>48</v>
      </c>
      <c r="AO1356" t="s">
        <v>48</v>
      </c>
      <c r="AP1356" s="46">
        <v>0</v>
      </c>
      <c r="AQ1356" s="46">
        <v>0</v>
      </c>
      <c r="AR1356" s="46">
        <v>0</v>
      </c>
      <c r="AS1356" s="46">
        <v>0</v>
      </c>
      <c r="AT1356" s="46">
        <v>0</v>
      </c>
      <c r="AU1356" s="46">
        <v>0</v>
      </c>
      <c r="AV1356" s="46">
        <v>0</v>
      </c>
      <c r="AW1356" s="46">
        <v>0</v>
      </c>
      <c r="AX1356" s="46">
        <v>0</v>
      </c>
      <c r="AY1356" s="46">
        <v>0</v>
      </c>
      <c r="AZ1356" s="46">
        <v>0</v>
      </c>
      <c r="BA1356" s="46">
        <v>0</v>
      </c>
      <c r="BB1356" s="46">
        <v>0</v>
      </c>
      <c r="BC1356" s="46">
        <v>0</v>
      </c>
      <c r="BD1356" s="46">
        <v>0</v>
      </c>
      <c r="BE1356" s="46">
        <v>0</v>
      </c>
      <c r="BF1356" s="46">
        <v>0</v>
      </c>
      <c r="BG1356" s="46" t="s">
        <v>48</v>
      </c>
      <c r="BH1356" s="46">
        <v>0</v>
      </c>
      <c r="BI1356" s="46">
        <v>0</v>
      </c>
      <c r="BJ1356" s="46">
        <v>0</v>
      </c>
      <c r="BK1356" s="46">
        <v>0</v>
      </c>
      <c r="BL1356" s="46">
        <v>0</v>
      </c>
      <c r="BM1356" s="46">
        <v>0</v>
      </c>
      <c r="BN1356" s="46">
        <v>0</v>
      </c>
    </row>
    <row r="1357" spans="1:66" x14ac:dyDescent="0.35">
      <c r="A1357" t="s">
        <v>8051</v>
      </c>
      <c r="B1357" s="44" t="s">
        <v>48</v>
      </c>
      <c r="C1357" t="s">
        <v>11669</v>
      </c>
      <c r="D1357" t="s">
        <v>11670</v>
      </c>
      <c r="E1357" t="s">
        <v>8052</v>
      </c>
      <c r="F1357" t="s">
        <v>1208</v>
      </c>
      <c r="G1357" t="s">
        <v>74</v>
      </c>
      <c r="H1357">
        <v>0</v>
      </c>
      <c r="I1357" s="61">
        <v>44732</v>
      </c>
      <c r="J1357" s="33" t="s">
        <v>45</v>
      </c>
      <c r="K1357" s="46">
        <v>0</v>
      </c>
      <c r="L1357">
        <v>5.6</v>
      </c>
      <c r="M1357" t="s">
        <v>48</v>
      </c>
      <c r="N1357" s="46">
        <v>0</v>
      </c>
      <c r="O1357" s="46">
        <v>0</v>
      </c>
      <c r="P1357" s="46">
        <v>0</v>
      </c>
      <c r="Q1357" t="s">
        <v>48</v>
      </c>
      <c r="R1357" t="s">
        <v>48</v>
      </c>
      <c r="S1357" t="s">
        <v>48</v>
      </c>
      <c r="T1357" t="s">
        <v>48</v>
      </c>
      <c r="U1357" t="s">
        <v>48</v>
      </c>
      <c r="V1357" s="47">
        <v>1</v>
      </c>
      <c r="W1357" t="s">
        <v>48</v>
      </c>
      <c r="X1357" t="s">
        <v>48</v>
      </c>
      <c r="Y1357" t="s">
        <v>48</v>
      </c>
      <c r="Z1357" t="s">
        <v>48</v>
      </c>
      <c r="AA1357" t="s">
        <v>48</v>
      </c>
      <c r="AB1357" t="s">
        <v>48</v>
      </c>
      <c r="AC1357" t="s">
        <v>63</v>
      </c>
      <c r="AD1357" t="s">
        <v>48</v>
      </c>
      <c r="AE1357" t="s">
        <v>48</v>
      </c>
      <c r="AF1357" t="s">
        <v>48</v>
      </c>
      <c r="AG1357" t="s">
        <v>48</v>
      </c>
      <c r="AH1357" t="s">
        <v>48</v>
      </c>
      <c r="AI1357" t="s">
        <v>48</v>
      </c>
      <c r="AJ1357" t="s">
        <v>48</v>
      </c>
      <c r="AK1357" t="s">
        <v>48</v>
      </c>
      <c r="AL1357" t="s">
        <v>48</v>
      </c>
      <c r="AM1357" t="s">
        <v>48</v>
      </c>
      <c r="AN1357" t="s">
        <v>48</v>
      </c>
      <c r="AO1357" t="s">
        <v>48</v>
      </c>
      <c r="AP1357" s="46">
        <v>0</v>
      </c>
      <c r="AQ1357" s="46">
        <v>0</v>
      </c>
      <c r="AR1357" s="46">
        <v>0</v>
      </c>
      <c r="AS1357" s="46">
        <v>0</v>
      </c>
      <c r="AT1357" s="46">
        <v>0</v>
      </c>
      <c r="AU1357" s="46">
        <v>0</v>
      </c>
      <c r="AV1357" s="46">
        <v>0</v>
      </c>
      <c r="AW1357" s="46">
        <v>0</v>
      </c>
      <c r="AX1357" s="46">
        <v>0</v>
      </c>
      <c r="AY1357" s="46">
        <v>0</v>
      </c>
      <c r="AZ1357" s="46">
        <v>0</v>
      </c>
      <c r="BA1357" s="46">
        <v>0</v>
      </c>
      <c r="BB1357" s="46">
        <v>0</v>
      </c>
      <c r="BC1357" s="46">
        <v>0</v>
      </c>
      <c r="BD1357" s="46">
        <v>0</v>
      </c>
      <c r="BE1357" s="46">
        <v>0</v>
      </c>
      <c r="BF1357" s="46">
        <v>0</v>
      </c>
      <c r="BG1357" s="46" t="s">
        <v>48</v>
      </c>
      <c r="BH1357" s="46">
        <v>0</v>
      </c>
      <c r="BI1357" s="46">
        <v>0</v>
      </c>
      <c r="BJ1357" s="46">
        <v>0</v>
      </c>
      <c r="BK1357" s="46">
        <v>0</v>
      </c>
      <c r="BL1357" s="46">
        <v>0</v>
      </c>
      <c r="BM1357" s="46">
        <v>0</v>
      </c>
      <c r="BN1357" s="46">
        <v>0</v>
      </c>
    </row>
    <row r="1358" spans="1:66" x14ac:dyDescent="0.35">
      <c r="A1358" t="s">
        <v>8139</v>
      </c>
      <c r="B1358" s="44" t="s">
        <v>48</v>
      </c>
      <c r="C1358" t="s">
        <v>11671</v>
      </c>
      <c r="D1358" t="s">
        <v>11672</v>
      </c>
      <c r="E1358" t="s">
        <v>8140</v>
      </c>
      <c r="F1358" t="s">
        <v>1208</v>
      </c>
      <c r="G1358" t="s">
        <v>83</v>
      </c>
      <c r="H1358">
        <v>0</v>
      </c>
      <c r="I1358" s="61">
        <v>44732</v>
      </c>
      <c r="J1358" s="33" t="s">
        <v>45</v>
      </c>
      <c r="K1358" s="46">
        <v>0</v>
      </c>
      <c r="L1358">
        <v>2.1</v>
      </c>
      <c r="M1358" t="s">
        <v>48</v>
      </c>
      <c r="N1358" s="46">
        <v>0</v>
      </c>
      <c r="O1358" s="46">
        <v>0</v>
      </c>
      <c r="P1358" s="46">
        <v>0</v>
      </c>
      <c r="Q1358" t="s">
        <v>48</v>
      </c>
      <c r="R1358" t="s">
        <v>48</v>
      </c>
      <c r="S1358" t="s">
        <v>48</v>
      </c>
      <c r="T1358" t="s">
        <v>48</v>
      </c>
      <c r="U1358" t="s">
        <v>48</v>
      </c>
      <c r="V1358" s="47">
        <v>1</v>
      </c>
      <c r="W1358" t="s">
        <v>48</v>
      </c>
      <c r="X1358" t="s">
        <v>48</v>
      </c>
      <c r="Y1358" t="s">
        <v>48</v>
      </c>
      <c r="Z1358" t="s">
        <v>48</v>
      </c>
      <c r="AA1358" t="s">
        <v>48</v>
      </c>
      <c r="AB1358" t="s">
        <v>48</v>
      </c>
      <c r="AC1358" t="s">
        <v>49</v>
      </c>
      <c r="AD1358" t="s">
        <v>48</v>
      </c>
      <c r="AE1358" t="s">
        <v>48</v>
      </c>
      <c r="AF1358" t="s">
        <v>48</v>
      </c>
      <c r="AG1358" t="s">
        <v>48</v>
      </c>
      <c r="AH1358" t="s">
        <v>48</v>
      </c>
      <c r="AI1358" t="s">
        <v>48</v>
      </c>
      <c r="AJ1358" t="s">
        <v>48</v>
      </c>
      <c r="AK1358" t="s">
        <v>48</v>
      </c>
      <c r="AL1358" t="s">
        <v>48</v>
      </c>
      <c r="AM1358" t="s">
        <v>48</v>
      </c>
      <c r="AN1358" t="s">
        <v>48</v>
      </c>
      <c r="AO1358" t="s">
        <v>48</v>
      </c>
      <c r="AP1358" s="46">
        <v>0</v>
      </c>
      <c r="AQ1358" s="46">
        <v>0</v>
      </c>
      <c r="AR1358" s="46">
        <v>0</v>
      </c>
      <c r="AS1358" s="46">
        <v>0</v>
      </c>
      <c r="AT1358" s="46">
        <v>0</v>
      </c>
      <c r="AU1358" s="46">
        <v>0</v>
      </c>
      <c r="AV1358" s="46">
        <v>0</v>
      </c>
      <c r="AW1358" s="46">
        <v>0</v>
      </c>
      <c r="AX1358" s="46">
        <v>0</v>
      </c>
      <c r="AY1358" s="46">
        <v>0</v>
      </c>
      <c r="AZ1358" s="46">
        <v>0</v>
      </c>
      <c r="BA1358" s="46">
        <v>0</v>
      </c>
      <c r="BB1358" s="46">
        <v>0</v>
      </c>
      <c r="BC1358" s="46">
        <v>0</v>
      </c>
      <c r="BD1358" s="46">
        <v>0</v>
      </c>
      <c r="BE1358" s="46">
        <v>0</v>
      </c>
      <c r="BF1358" s="46">
        <v>0</v>
      </c>
      <c r="BG1358" s="46" t="s">
        <v>48</v>
      </c>
      <c r="BH1358" s="46">
        <v>0</v>
      </c>
      <c r="BI1358" s="46">
        <v>0</v>
      </c>
      <c r="BJ1358" s="46">
        <v>0</v>
      </c>
      <c r="BK1358" s="46">
        <v>0</v>
      </c>
      <c r="BL1358" s="46">
        <v>0</v>
      </c>
      <c r="BM1358" s="46">
        <v>0</v>
      </c>
      <c r="BN1358" s="46">
        <v>0</v>
      </c>
    </row>
    <row r="1359" spans="1:66" x14ac:dyDescent="0.35">
      <c r="A1359" t="s">
        <v>8241</v>
      </c>
      <c r="B1359" s="44" t="s">
        <v>48</v>
      </c>
      <c r="C1359" t="s">
        <v>3480</v>
      </c>
      <c r="D1359" t="s">
        <v>684</v>
      </c>
      <c r="E1359" t="s">
        <v>8242</v>
      </c>
      <c r="F1359" t="s">
        <v>1217</v>
      </c>
      <c r="G1359" t="s">
        <v>47</v>
      </c>
      <c r="H1359">
        <v>0</v>
      </c>
      <c r="I1359" s="61">
        <v>44732</v>
      </c>
      <c r="J1359" s="33" t="s">
        <v>45</v>
      </c>
      <c r="K1359" s="46">
        <v>0</v>
      </c>
      <c r="L1359">
        <v>6.2</v>
      </c>
      <c r="M1359" t="s">
        <v>48</v>
      </c>
      <c r="N1359" s="46">
        <v>0</v>
      </c>
      <c r="O1359" s="46">
        <v>0</v>
      </c>
      <c r="P1359" s="46">
        <v>0</v>
      </c>
      <c r="Q1359" t="s">
        <v>48</v>
      </c>
      <c r="R1359" t="s">
        <v>48</v>
      </c>
      <c r="S1359" t="s">
        <v>10046</v>
      </c>
      <c r="T1359" t="s">
        <v>48</v>
      </c>
      <c r="U1359" t="s">
        <v>10046</v>
      </c>
      <c r="V1359" s="47">
        <v>1</v>
      </c>
      <c r="W1359" t="s">
        <v>48</v>
      </c>
      <c r="X1359" t="s">
        <v>48</v>
      </c>
      <c r="Y1359" t="s">
        <v>48</v>
      </c>
      <c r="Z1359" t="s">
        <v>48</v>
      </c>
      <c r="AA1359" t="s">
        <v>48</v>
      </c>
      <c r="AB1359" t="s">
        <v>48</v>
      </c>
      <c r="AC1359" t="s">
        <v>49</v>
      </c>
      <c r="AD1359" t="s">
        <v>951</v>
      </c>
      <c r="AE1359" t="s">
        <v>11051</v>
      </c>
      <c r="AF1359" t="s">
        <v>11063</v>
      </c>
      <c r="AG1359" t="s">
        <v>48</v>
      </c>
      <c r="AH1359" t="s">
        <v>48</v>
      </c>
      <c r="AI1359" t="s">
        <v>48</v>
      </c>
      <c r="AJ1359" t="s">
        <v>48</v>
      </c>
      <c r="AK1359" t="s">
        <v>48</v>
      </c>
      <c r="AL1359" t="s">
        <v>48</v>
      </c>
      <c r="AM1359" t="s">
        <v>48</v>
      </c>
      <c r="AN1359" t="s">
        <v>48</v>
      </c>
      <c r="AO1359" t="s">
        <v>48</v>
      </c>
      <c r="AP1359" s="46">
        <v>0</v>
      </c>
      <c r="AQ1359" s="46">
        <v>0</v>
      </c>
      <c r="AR1359" s="46">
        <v>0</v>
      </c>
      <c r="AS1359" s="46">
        <v>0</v>
      </c>
      <c r="AT1359" s="46">
        <v>0</v>
      </c>
      <c r="AU1359" s="46">
        <v>0</v>
      </c>
      <c r="AV1359" s="46">
        <v>0</v>
      </c>
      <c r="AW1359" s="46">
        <v>0</v>
      </c>
      <c r="AX1359" s="46">
        <v>0</v>
      </c>
      <c r="AY1359" s="46">
        <v>0</v>
      </c>
      <c r="AZ1359" s="46">
        <v>0</v>
      </c>
      <c r="BA1359" s="46">
        <v>0</v>
      </c>
      <c r="BB1359" s="46">
        <v>0</v>
      </c>
      <c r="BC1359" s="46">
        <v>0</v>
      </c>
      <c r="BD1359" s="46">
        <v>0</v>
      </c>
      <c r="BE1359" s="46">
        <v>0</v>
      </c>
      <c r="BF1359" s="46">
        <v>0</v>
      </c>
      <c r="BG1359" s="46" t="s">
        <v>48</v>
      </c>
      <c r="BH1359" s="46">
        <v>0</v>
      </c>
      <c r="BI1359" s="46">
        <v>0</v>
      </c>
      <c r="BJ1359" s="46">
        <v>0</v>
      </c>
      <c r="BK1359" s="46">
        <v>0</v>
      </c>
      <c r="BL1359" s="46">
        <v>0</v>
      </c>
      <c r="BM1359" s="46">
        <v>0</v>
      </c>
      <c r="BN1359" s="46">
        <v>0</v>
      </c>
    </row>
    <row r="1360" spans="1:66" x14ac:dyDescent="0.35">
      <c r="A1360" t="s">
        <v>8237</v>
      </c>
      <c r="B1360" s="44" t="s">
        <v>48</v>
      </c>
      <c r="C1360" t="s">
        <v>11675</v>
      </c>
      <c r="D1360" t="s">
        <v>11676</v>
      </c>
      <c r="E1360" t="s">
        <v>8238</v>
      </c>
      <c r="F1360" t="s">
        <v>1217</v>
      </c>
      <c r="G1360" t="s">
        <v>47</v>
      </c>
      <c r="H1360">
        <v>0</v>
      </c>
      <c r="I1360" s="61">
        <v>44732</v>
      </c>
      <c r="J1360" s="33" t="s">
        <v>45</v>
      </c>
      <c r="K1360" s="46">
        <v>0</v>
      </c>
      <c r="L1360">
        <v>8.5</v>
      </c>
      <c r="M1360" t="s">
        <v>48</v>
      </c>
      <c r="N1360" s="46">
        <v>0</v>
      </c>
      <c r="O1360" s="46">
        <v>0</v>
      </c>
      <c r="P1360" s="46">
        <v>0</v>
      </c>
      <c r="Q1360" t="s">
        <v>48</v>
      </c>
      <c r="R1360" t="s">
        <v>48</v>
      </c>
      <c r="S1360" t="s">
        <v>48</v>
      </c>
      <c r="T1360" t="s">
        <v>48</v>
      </c>
      <c r="U1360" t="s">
        <v>48</v>
      </c>
      <c r="V1360" s="47">
        <v>1</v>
      </c>
      <c r="W1360" t="s">
        <v>48</v>
      </c>
      <c r="X1360" t="s">
        <v>48</v>
      </c>
      <c r="Y1360" t="s">
        <v>48</v>
      </c>
      <c r="Z1360" t="s">
        <v>48</v>
      </c>
      <c r="AA1360" t="s">
        <v>48</v>
      </c>
      <c r="AB1360" t="s">
        <v>48</v>
      </c>
      <c r="AC1360" t="s">
        <v>63</v>
      </c>
      <c r="AD1360" t="s">
        <v>951</v>
      </c>
      <c r="AE1360" t="s">
        <v>11051</v>
      </c>
      <c r="AF1360" t="s">
        <v>48</v>
      </c>
      <c r="AG1360" t="s">
        <v>48</v>
      </c>
      <c r="AH1360" t="s">
        <v>48</v>
      </c>
      <c r="AI1360" t="s">
        <v>48</v>
      </c>
      <c r="AJ1360" t="s">
        <v>48</v>
      </c>
      <c r="AK1360" t="s">
        <v>48</v>
      </c>
      <c r="AL1360" t="s">
        <v>48</v>
      </c>
      <c r="AM1360" t="s">
        <v>48</v>
      </c>
      <c r="AN1360" t="s">
        <v>48</v>
      </c>
      <c r="AO1360" t="s">
        <v>48</v>
      </c>
      <c r="AP1360" s="46">
        <v>0</v>
      </c>
      <c r="AQ1360" s="46">
        <v>0</v>
      </c>
      <c r="AR1360" s="46">
        <v>0</v>
      </c>
      <c r="AS1360" s="46">
        <v>0</v>
      </c>
      <c r="AT1360" s="46">
        <v>0</v>
      </c>
      <c r="AU1360" s="46">
        <v>0</v>
      </c>
      <c r="AV1360" s="46">
        <v>0</v>
      </c>
      <c r="AW1360" s="46">
        <v>0</v>
      </c>
      <c r="AX1360" s="46">
        <v>0</v>
      </c>
      <c r="AY1360" s="46">
        <v>0</v>
      </c>
      <c r="AZ1360" s="46">
        <v>0</v>
      </c>
      <c r="BA1360" s="46">
        <v>0</v>
      </c>
      <c r="BB1360" s="46">
        <v>0</v>
      </c>
      <c r="BC1360" s="46">
        <v>0</v>
      </c>
      <c r="BD1360" s="46">
        <v>0</v>
      </c>
      <c r="BE1360" s="46">
        <v>0</v>
      </c>
      <c r="BF1360" s="46">
        <v>0</v>
      </c>
      <c r="BG1360" s="46" t="s">
        <v>48</v>
      </c>
      <c r="BH1360" s="46">
        <v>0</v>
      </c>
      <c r="BI1360" s="46">
        <v>0</v>
      </c>
      <c r="BJ1360" s="46">
        <v>0</v>
      </c>
      <c r="BK1360" s="46">
        <v>0</v>
      </c>
      <c r="BL1360" s="46">
        <v>0</v>
      </c>
      <c r="BM1360" s="46">
        <v>0</v>
      </c>
      <c r="BN1360" s="46">
        <v>0</v>
      </c>
    </row>
    <row r="1361" spans="1:66" x14ac:dyDescent="0.35">
      <c r="A1361" t="s">
        <v>8239</v>
      </c>
      <c r="B1361" s="44" t="s">
        <v>48</v>
      </c>
      <c r="C1361" t="s">
        <v>11677</v>
      </c>
      <c r="D1361" t="s">
        <v>1127</v>
      </c>
      <c r="E1361" t="s">
        <v>8240</v>
      </c>
      <c r="F1361" t="s">
        <v>1217</v>
      </c>
      <c r="G1361" t="s">
        <v>47</v>
      </c>
      <c r="H1361">
        <v>0</v>
      </c>
      <c r="I1361" s="61">
        <v>44732</v>
      </c>
      <c r="J1361" s="33" t="s">
        <v>45</v>
      </c>
      <c r="K1361" s="46">
        <v>0</v>
      </c>
      <c r="L1361">
        <v>6</v>
      </c>
      <c r="M1361" t="s">
        <v>48</v>
      </c>
      <c r="N1361" s="46">
        <v>0</v>
      </c>
      <c r="O1361" s="46">
        <v>0</v>
      </c>
      <c r="P1361" s="46">
        <v>0</v>
      </c>
      <c r="Q1361" t="s">
        <v>48</v>
      </c>
      <c r="R1361" t="s">
        <v>48</v>
      </c>
      <c r="S1361" t="s">
        <v>48</v>
      </c>
      <c r="T1361" t="s">
        <v>48</v>
      </c>
      <c r="U1361" t="s">
        <v>48</v>
      </c>
      <c r="V1361" s="47">
        <v>1</v>
      </c>
      <c r="W1361" t="s">
        <v>48</v>
      </c>
      <c r="X1361" t="s">
        <v>48</v>
      </c>
      <c r="Y1361" t="s">
        <v>48</v>
      </c>
      <c r="Z1361" t="s">
        <v>48</v>
      </c>
      <c r="AA1361" t="s">
        <v>48</v>
      </c>
      <c r="AB1361" t="s">
        <v>48</v>
      </c>
      <c r="AC1361" t="s">
        <v>49</v>
      </c>
      <c r="AD1361" t="s">
        <v>48</v>
      </c>
      <c r="AE1361" t="s">
        <v>48</v>
      </c>
      <c r="AF1361" t="s">
        <v>48</v>
      </c>
      <c r="AG1361" t="s">
        <v>48</v>
      </c>
      <c r="AH1361" t="s">
        <v>48</v>
      </c>
      <c r="AI1361" t="s">
        <v>48</v>
      </c>
      <c r="AJ1361" t="s">
        <v>48</v>
      </c>
      <c r="AK1361" t="s">
        <v>48</v>
      </c>
      <c r="AL1361" t="s">
        <v>48</v>
      </c>
      <c r="AM1361" t="s">
        <v>48</v>
      </c>
      <c r="AN1361" t="s">
        <v>48</v>
      </c>
      <c r="AO1361" t="s">
        <v>48</v>
      </c>
      <c r="AP1361" s="46">
        <v>0</v>
      </c>
      <c r="AQ1361" s="46">
        <v>0</v>
      </c>
      <c r="AR1361" s="46">
        <v>0</v>
      </c>
      <c r="AS1361" s="46">
        <v>0</v>
      </c>
      <c r="AT1361" s="46">
        <v>0</v>
      </c>
      <c r="AU1361" s="46">
        <v>0</v>
      </c>
      <c r="AV1361" s="46">
        <v>0</v>
      </c>
      <c r="AW1361" s="46">
        <v>0</v>
      </c>
      <c r="AX1361" s="46">
        <v>0</v>
      </c>
      <c r="AY1361" s="46">
        <v>0</v>
      </c>
      <c r="AZ1361" s="46">
        <v>0</v>
      </c>
      <c r="BA1361" s="46">
        <v>0</v>
      </c>
      <c r="BB1361" s="46">
        <v>0</v>
      </c>
      <c r="BC1361" s="46">
        <v>0</v>
      </c>
      <c r="BD1361" s="46">
        <v>0</v>
      </c>
      <c r="BE1361" s="46">
        <v>0</v>
      </c>
      <c r="BF1361" s="46">
        <v>0</v>
      </c>
      <c r="BG1361" s="46" t="s">
        <v>48</v>
      </c>
      <c r="BH1361" s="46">
        <v>0</v>
      </c>
      <c r="BI1361" s="46">
        <v>0</v>
      </c>
      <c r="BJ1361" s="46">
        <v>0</v>
      </c>
      <c r="BK1361" s="46">
        <v>0</v>
      </c>
      <c r="BL1361" s="46">
        <v>0</v>
      </c>
      <c r="BM1361" s="46">
        <v>0</v>
      </c>
      <c r="BN1361" s="46">
        <v>0</v>
      </c>
    </row>
    <row r="1362" spans="1:66" x14ac:dyDescent="0.35">
      <c r="A1362" t="s">
        <v>8244</v>
      </c>
      <c r="B1362" s="44" t="s">
        <v>48</v>
      </c>
      <c r="C1362" t="s">
        <v>11681</v>
      </c>
      <c r="D1362" t="s">
        <v>1692</v>
      </c>
      <c r="E1362" t="s">
        <v>8245</v>
      </c>
      <c r="F1362" t="s">
        <v>1231</v>
      </c>
      <c r="G1362" t="s">
        <v>47</v>
      </c>
      <c r="H1362">
        <v>0</v>
      </c>
      <c r="I1362" s="61">
        <v>44732</v>
      </c>
      <c r="J1362" s="33" t="s">
        <v>45</v>
      </c>
      <c r="K1362" s="46">
        <v>0</v>
      </c>
      <c r="L1362">
        <v>4.8</v>
      </c>
      <c r="M1362" t="s">
        <v>48</v>
      </c>
      <c r="N1362" s="46">
        <v>0</v>
      </c>
      <c r="O1362" s="46">
        <v>0</v>
      </c>
      <c r="P1362" s="46">
        <v>0</v>
      </c>
      <c r="Q1362" t="s">
        <v>48</v>
      </c>
      <c r="R1362" t="s">
        <v>48</v>
      </c>
      <c r="S1362" t="s">
        <v>10048</v>
      </c>
      <c r="T1362" t="s">
        <v>48</v>
      </c>
      <c r="U1362" t="s">
        <v>10048</v>
      </c>
      <c r="V1362" s="47">
        <v>1</v>
      </c>
      <c r="W1362" t="s">
        <v>48</v>
      </c>
      <c r="X1362" t="s">
        <v>48</v>
      </c>
      <c r="Y1362" t="s">
        <v>48</v>
      </c>
      <c r="Z1362" t="s">
        <v>48</v>
      </c>
      <c r="AA1362" t="s">
        <v>48</v>
      </c>
      <c r="AB1362" t="s">
        <v>48</v>
      </c>
      <c r="AC1362" t="s">
        <v>49</v>
      </c>
      <c r="AD1362" t="s">
        <v>951</v>
      </c>
      <c r="AE1362" t="s">
        <v>4532</v>
      </c>
      <c r="AF1362" t="s">
        <v>48</v>
      </c>
      <c r="AG1362" t="s">
        <v>48</v>
      </c>
      <c r="AH1362" t="s">
        <v>48</v>
      </c>
      <c r="AI1362" t="s">
        <v>48</v>
      </c>
      <c r="AJ1362" t="s">
        <v>48</v>
      </c>
      <c r="AK1362" t="s">
        <v>48</v>
      </c>
      <c r="AL1362" t="s">
        <v>48</v>
      </c>
      <c r="AM1362" t="s">
        <v>48</v>
      </c>
      <c r="AN1362" t="s">
        <v>48</v>
      </c>
      <c r="AO1362" t="s">
        <v>48</v>
      </c>
      <c r="AP1362" s="46">
        <v>0</v>
      </c>
      <c r="AQ1362" s="46">
        <v>0</v>
      </c>
      <c r="AR1362" s="46">
        <v>0</v>
      </c>
      <c r="AS1362" s="46">
        <v>0</v>
      </c>
      <c r="AT1362" s="46">
        <v>0</v>
      </c>
      <c r="AU1362" s="46">
        <v>0</v>
      </c>
      <c r="AV1362" s="46">
        <v>0</v>
      </c>
      <c r="AW1362" s="46">
        <v>0</v>
      </c>
      <c r="AX1362" s="46">
        <v>0</v>
      </c>
      <c r="AY1362" s="46">
        <v>0</v>
      </c>
      <c r="AZ1362" s="46">
        <v>0</v>
      </c>
      <c r="BA1362" s="46">
        <v>0</v>
      </c>
      <c r="BB1362" s="46">
        <v>0</v>
      </c>
      <c r="BC1362" s="46">
        <v>0</v>
      </c>
      <c r="BD1362" s="46">
        <v>0</v>
      </c>
      <c r="BE1362" s="46">
        <v>0</v>
      </c>
      <c r="BF1362" s="46">
        <v>0</v>
      </c>
      <c r="BG1362" s="46" t="s">
        <v>48</v>
      </c>
      <c r="BH1362" s="46">
        <v>0</v>
      </c>
      <c r="BI1362" s="46">
        <v>0</v>
      </c>
      <c r="BJ1362" s="46">
        <v>0</v>
      </c>
      <c r="BK1362" s="46">
        <v>0</v>
      </c>
      <c r="BL1362" s="46">
        <v>0</v>
      </c>
      <c r="BM1362" s="46">
        <v>0</v>
      </c>
      <c r="BN1362" s="46">
        <v>0</v>
      </c>
    </row>
    <row r="1363" spans="1:66" ht="15" x14ac:dyDescent="0.4">
      <c r="A1363" t="s">
        <v>1280</v>
      </c>
      <c r="B1363" s="44" t="s">
        <v>48</v>
      </c>
      <c r="C1363" t="s">
        <v>1282</v>
      </c>
      <c r="D1363" t="s">
        <v>1281</v>
      </c>
      <c r="E1363" t="s">
        <v>8246</v>
      </c>
      <c r="F1363" t="s">
        <v>1231</v>
      </c>
      <c r="G1363" t="s">
        <v>47</v>
      </c>
      <c r="H1363">
        <v>0</v>
      </c>
      <c r="I1363" s="61" t="s">
        <v>11160</v>
      </c>
      <c r="J1363" s="33" t="s">
        <v>45</v>
      </c>
      <c r="K1363" s="46">
        <v>0</v>
      </c>
      <c r="L1363">
        <v>1.6</v>
      </c>
      <c r="M1363" s="41" t="s">
        <v>48</v>
      </c>
      <c r="N1363" s="46">
        <v>0</v>
      </c>
      <c r="O1363" s="46">
        <v>0</v>
      </c>
      <c r="P1363" s="46">
        <v>0</v>
      </c>
      <c r="Q1363" s="41" t="s">
        <v>48</v>
      </c>
      <c r="R1363" s="41" t="s">
        <v>48</v>
      </c>
      <c r="S1363" s="55" t="s">
        <v>11553</v>
      </c>
      <c r="T1363" t="s">
        <v>48</v>
      </c>
      <c r="U1363" t="s">
        <v>10049</v>
      </c>
      <c r="V1363" s="47">
        <v>0</v>
      </c>
      <c r="W1363" t="s">
        <v>48</v>
      </c>
      <c r="X1363" t="s">
        <v>48</v>
      </c>
      <c r="Y1363" t="s">
        <v>48</v>
      </c>
      <c r="Z1363">
        <v>0</v>
      </c>
      <c r="AA1363" t="s">
        <v>48</v>
      </c>
      <c r="AB1363" t="s">
        <v>48</v>
      </c>
      <c r="AC1363" t="s">
        <v>63</v>
      </c>
      <c r="AD1363" t="s">
        <v>951</v>
      </c>
      <c r="AE1363" s="40" t="s">
        <v>11051</v>
      </c>
      <c r="AF1363" t="s">
        <v>11054</v>
      </c>
      <c r="AG1363" t="s">
        <v>48</v>
      </c>
      <c r="AH1363" t="s">
        <v>48</v>
      </c>
      <c r="AI1363" t="s">
        <v>48</v>
      </c>
      <c r="AJ1363" t="s">
        <v>48</v>
      </c>
      <c r="AK1363" t="s">
        <v>48</v>
      </c>
      <c r="AL1363" t="s">
        <v>48</v>
      </c>
      <c r="AM1363" t="s">
        <v>48</v>
      </c>
      <c r="AN1363" t="s">
        <v>48</v>
      </c>
      <c r="AO1363" t="s">
        <v>48</v>
      </c>
      <c r="AP1363" s="46">
        <v>0</v>
      </c>
      <c r="AQ1363" s="46">
        <v>0</v>
      </c>
      <c r="AR1363" s="46">
        <v>0</v>
      </c>
      <c r="AS1363" s="46">
        <v>0</v>
      </c>
      <c r="AT1363" s="46">
        <v>0</v>
      </c>
      <c r="AU1363" s="46">
        <v>0</v>
      </c>
      <c r="AV1363" s="46">
        <v>0</v>
      </c>
      <c r="AW1363" s="46">
        <v>0</v>
      </c>
      <c r="AX1363" s="46">
        <v>0</v>
      </c>
      <c r="AY1363" s="46">
        <v>0</v>
      </c>
      <c r="AZ1363" s="46">
        <v>0</v>
      </c>
      <c r="BA1363" s="46">
        <v>0</v>
      </c>
      <c r="BB1363" s="46">
        <v>0</v>
      </c>
      <c r="BC1363" s="46">
        <v>0</v>
      </c>
      <c r="BD1363" s="46">
        <v>0</v>
      </c>
      <c r="BE1363" s="46">
        <v>0</v>
      </c>
      <c r="BF1363" s="46">
        <v>0</v>
      </c>
      <c r="BG1363" s="46" t="s">
        <v>48</v>
      </c>
      <c r="BH1363" s="46">
        <v>0</v>
      </c>
      <c r="BI1363" s="46">
        <v>0</v>
      </c>
      <c r="BJ1363" s="46">
        <v>0</v>
      </c>
      <c r="BK1363" s="46">
        <v>0</v>
      </c>
      <c r="BL1363" s="46">
        <v>0</v>
      </c>
      <c r="BM1363" s="46">
        <v>0</v>
      </c>
      <c r="BN1363" s="46">
        <v>0</v>
      </c>
    </row>
    <row r="1364" spans="1:66" ht="15" x14ac:dyDescent="0.4">
      <c r="A1364" t="s">
        <v>1235</v>
      </c>
      <c r="B1364" s="44" t="s">
        <v>48</v>
      </c>
      <c r="C1364" t="s">
        <v>1238</v>
      </c>
      <c r="D1364" t="s">
        <v>1237</v>
      </c>
      <c r="E1364" t="s">
        <v>1236</v>
      </c>
      <c r="F1364" t="s">
        <v>1231</v>
      </c>
      <c r="G1364" t="s">
        <v>47</v>
      </c>
      <c r="H1364">
        <v>0</v>
      </c>
      <c r="I1364" s="60" t="s">
        <v>11160</v>
      </c>
      <c r="J1364" s="33" t="s">
        <v>45</v>
      </c>
      <c r="K1364" s="46">
        <v>0</v>
      </c>
      <c r="L1364">
        <v>6.5</v>
      </c>
      <c r="M1364" t="s">
        <v>48</v>
      </c>
      <c r="N1364" s="46">
        <v>0</v>
      </c>
      <c r="O1364" s="46">
        <v>0</v>
      </c>
      <c r="P1364" s="46">
        <v>0</v>
      </c>
      <c r="Q1364" t="s">
        <v>48</v>
      </c>
      <c r="R1364" t="s">
        <v>48</v>
      </c>
      <c r="S1364" s="55" t="s">
        <v>48</v>
      </c>
      <c r="T1364" t="s">
        <v>48</v>
      </c>
      <c r="U1364" t="s">
        <v>48</v>
      </c>
      <c r="V1364" s="47">
        <v>0</v>
      </c>
      <c r="W1364" t="s">
        <v>48</v>
      </c>
      <c r="X1364" t="s">
        <v>48</v>
      </c>
      <c r="Y1364" t="s">
        <v>48</v>
      </c>
      <c r="Z1364">
        <v>0</v>
      </c>
      <c r="AA1364" t="s">
        <v>48</v>
      </c>
      <c r="AB1364" t="s">
        <v>48</v>
      </c>
      <c r="AC1364" t="s">
        <v>49</v>
      </c>
      <c r="AD1364" t="s">
        <v>48</v>
      </c>
      <c r="AE1364" t="s">
        <v>48</v>
      </c>
      <c r="AF1364" t="s">
        <v>48</v>
      </c>
      <c r="AG1364" t="s">
        <v>48</v>
      </c>
      <c r="AH1364" t="s">
        <v>48</v>
      </c>
      <c r="AI1364" t="s">
        <v>48</v>
      </c>
      <c r="AJ1364" t="s">
        <v>48</v>
      </c>
      <c r="AK1364" t="s">
        <v>48</v>
      </c>
      <c r="AL1364" t="s">
        <v>48</v>
      </c>
      <c r="AM1364" t="s">
        <v>48</v>
      </c>
      <c r="AN1364" t="s">
        <v>48</v>
      </c>
      <c r="AO1364" t="s">
        <v>48</v>
      </c>
      <c r="AP1364" s="46">
        <v>0</v>
      </c>
      <c r="AQ1364" s="46">
        <v>0</v>
      </c>
      <c r="AR1364" s="46">
        <v>0</v>
      </c>
      <c r="AS1364" s="46">
        <v>0</v>
      </c>
      <c r="AT1364" s="46">
        <v>0</v>
      </c>
      <c r="AU1364" s="46">
        <v>0</v>
      </c>
      <c r="AV1364" s="46">
        <v>0</v>
      </c>
      <c r="AW1364" s="46">
        <v>0</v>
      </c>
      <c r="AX1364" s="46">
        <v>0</v>
      </c>
      <c r="AY1364" s="46">
        <v>0</v>
      </c>
      <c r="AZ1364" s="46">
        <v>0</v>
      </c>
      <c r="BA1364" s="46">
        <v>0</v>
      </c>
      <c r="BB1364" s="46">
        <v>0</v>
      </c>
      <c r="BC1364" s="46">
        <v>0</v>
      </c>
      <c r="BD1364" s="46">
        <v>0</v>
      </c>
      <c r="BE1364" s="46">
        <v>0</v>
      </c>
      <c r="BF1364" s="46">
        <v>0</v>
      </c>
      <c r="BG1364" s="46" t="s">
        <v>48</v>
      </c>
      <c r="BH1364" s="46">
        <v>0</v>
      </c>
      <c r="BI1364" s="46">
        <v>0</v>
      </c>
      <c r="BJ1364" s="46">
        <v>0</v>
      </c>
      <c r="BK1364" s="46">
        <v>0</v>
      </c>
      <c r="BL1364" s="46">
        <v>0</v>
      </c>
      <c r="BM1364" s="46">
        <v>0</v>
      </c>
      <c r="BN1364" s="46">
        <v>0</v>
      </c>
    </row>
    <row r="1365" spans="1:66" x14ac:dyDescent="0.35">
      <c r="A1365" t="s">
        <v>1180</v>
      </c>
      <c r="B1365" s="44" t="s">
        <v>48</v>
      </c>
      <c r="C1365" t="s">
        <v>1183</v>
      </c>
      <c r="D1365" t="s">
        <v>1182</v>
      </c>
      <c r="E1365" t="s">
        <v>8243</v>
      </c>
      <c r="F1365" t="s">
        <v>1231</v>
      </c>
      <c r="G1365" t="s">
        <v>47</v>
      </c>
      <c r="H1365">
        <v>0</v>
      </c>
      <c r="I1365" s="61">
        <v>44732</v>
      </c>
      <c r="J1365" s="33" t="s">
        <v>45</v>
      </c>
      <c r="K1365" s="46">
        <v>0</v>
      </c>
      <c r="L1365">
        <v>8.6</v>
      </c>
      <c r="M1365" s="41" t="s">
        <v>48</v>
      </c>
      <c r="N1365" s="46">
        <v>0</v>
      </c>
      <c r="O1365" s="46">
        <v>0</v>
      </c>
      <c r="P1365" s="46">
        <v>0</v>
      </c>
      <c r="Q1365" s="41" t="s">
        <v>48</v>
      </c>
      <c r="R1365" s="41" t="s">
        <v>48</v>
      </c>
      <c r="S1365" t="s">
        <v>10050</v>
      </c>
      <c r="T1365" t="s">
        <v>48</v>
      </c>
      <c r="U1365" t="s">
        <v>10050</v>
      </c>
      <c r="V1365" s="47">
        <v>0</v>
      </c>
      <c r="W1365" t="s">
        <v>48</v>
      </c>
      <c r="X1365" t="s">
        <v>48</v>
      </c>
      <c r="Y1365" t="s">
        <v>48</v>
      </c>
      <c r="Z1365">
        <v>0</v>
      </c>
      <c r="AA1365" t="s">
        <v>48</v>
      </c>
      <c r="AB1365" t="s">
        <v>48</v>
      </c>
      <c r="AC1365" t="s">
        <v>63</v>
      </c>
      <c r="AD1365" t="s">
        <v>93</v>
      </c>
      <c r="AE1365" t="s">
        <v>2471</v>
      </c>
      <c r="AF1365" t="s">
        <v>11061</v>
      </c>
      <c r="AG1365" t="s">
        <v>48</v>
      </c>
      <c r="AH1365" t="s">
        <v>48</v>
      </c>
      <c r="AI1365" t="s">
        <v>48</v>
      </c>
      <c r="AJ1365" t="s">
        <v>48</v>
      </c>
      <c r="AK1365" t="s">
        <v>48</v>
      </c>
      <c r="AL1365" t="s">
        <v>48</v>
      </c>
      <c r="AM1365" t="s">
        <v>48</v>
      </c>
      <c r="AN1365" t="s">
        <v>48</v>
      </c>
      <c r="AO1365" t="s">
        <v>48</v>
      </c>
      <c r="AP1365" s="46">
        <v>0</v>
      </c>
      <c r="AQ1365" s="46">
        <v>0</v>
      </c>
      <c r="AR1365" s="46">
        <v>0</v>
      </c>
      <c r="AS1365" s="46">
        <v>0</v>
      </c>
      <c r="AT1365" s="46">
        <v>0</v>
      </c>
      <c r="AU1365" s="46">
        <v>0</v>
      </c>
      <c r="AV1365" s="46">
        <v>0</v>
      </c>
      <c r="AW1365" s="46">
        <v>0</v>
      </c>
      <c r="AX1365" s="46">
        <v>0</v>
      </c>
      <c r="AY1365" s="46">
        <v>0</v>
      </c>
      <c r="AZ1365" s="46">
        <v>0</v>
      </c>
      <c r="BA1365" s="46">
        <v>0</v>
      </c>
      <c r="BB1365" s="46">
        <v>0</v>
      </c>
      <c r="BC1365" s="46">
        <v>0</v>
      </c>
      <c r="BD1365" s="46">
        <v>0</v>
      </c>
      <c r="BE1365" s="46">
        <v>0</v>
      </c>
      <c r="BF1365" s="46">
        <v>0</v>
      </c>
      <c r="BG1365" s="46" t="s">
        <v>48</v>
      </c>
      <c r="BH1365" s="46">
        <v>0</v>
      </c>
      <c r="BI1365" s="46">
        <v>0</v>
      </c>
      <c r="BJ1365" s="46">
        <v>0</v>
      </c>
      <c r="BK1365" s="46">
        <v>0</v>
      </c>
      <c r="BL1365" s="46">
        <v>0</v>
      </c>
      <c r="BM1365" s="46">
        <v>0</v>
      </c>
      <c r="BN1365" s="46">
        <v>0</v>
      </c>
    </row>
    <row r="1366" spans="1:66" x14ac:dyDescent="0.35">
      <c r="A1366" t="s">
        <v>8054</v>
      </c>
      <c r="B1366" s="44" t="s">
        <v>48</v>
      </c>
      <c r="C1366" t="s">
        <v>11678</v>
      </c>
      <c r="D1366" t="s">
        <v>11679</v>
      </c>
      <c r="E1366" t="s">
        <v>8055</v>
      </c>
      <c r="F1366" t="s">
        <v>1231</v>
      </c>
      <c r="G1366" t="s">
        <v>74</v>
      </c>
      <c r="H1366">
        <v>0</v>
      </c>
      <c r="I1366" s="61">
        <v>44732</v>
      </c>
      <c r="J1366" s="33" t="s">
        <v>45</v>
      </c>
      <c r="K1366" s="46">
        <v>0</v>
      </c>
      <c r="L1366">
        <v>1.6</v>
      </c>
      <c r="M1366" t="s">
        <v>48</v>
      </c>
      <c r="N1366" s="46">
        <v>0</v>
      </c>
      <c r="O1366" s="46">
        <v>0</v>
      </c>
      <c r="P1366" s="46">
        <v>0</v>
      </c>
      <c r="Q1366" t="s">
        <v>48</v>
      </c>
      <c r="R1366" t="s">
        <v>48</v>
      </c>
      <c r="S1366" t="s">
        <v>48</v>
      </c>
      <c r="T1366" t="s">
        <v>48</v>
      </c>
      <c r="U1366" t="s">
        <v>48</v>
      </c>
      <c r="V1366" s="47">
        <v>1</v>
      </c>
      <c r="W1366" t="s">
        <v>48</v>
      </c>
      <c r="X1366" t="s">
        <v>48</v>
      </c>
      <c r="Y1366" t="s">
        <v>48</v>
      </c>
      <c r="Z1366" t="s">
        <v>48</v>
      </c>
      <c r="AA1366" t="s">
        <v>48</v>
      </c>
      <c r="AB1366" t="s">
        <v>48</v>
      </c>
      <c r="AC1366" t="s">
        <v>49</v>
      </c>
      <c r="AD1366" t="s">
        <v>48</v>
      </c>
      <c r="AE1366" t="s">
        <v>48</v>
      </c>
      <c r="AF1366" t="s">
        <v>48</v>
      </c>
      <c r="AG1366" t="s">
        <v>48</v>
      </c>
      <c r="AH1366" t="s">
        <v>48</v>
      </c>
      <c r="AI1366" t="s">
        <v>48</v>
      </c>
      <c r="AJ1366" t="s">
        <v>48</v>
      </c>
      <c r="AK1366" t="s">
        <v>48</v>
      </c>
      <c r="AL1366" t="s">
        <v>48</v>
      </c>
      <c r="AM1366" t="s">
        <v>48</v>
      </c>
      <c r="AN1366" t="s">
        <v>48</v>
      </c>
      <c r="AO1366" t="s">
        <v>48</v>
      </c>
      <c r="AP1366" s="46">
        <v>0</v>
      </c>
      <c r="AQ1366" s="46">
        <v>0</v>
      </c>
      <c r="AR1366" s="46">
        <v>0</v>
      </c>
      <c r="AS1366" s="46">
        <v>0</v>
      </c>
      <c r="AT1366" s="46">
        <v>0</v>
      </c>
      <c r="AU1366" s="46">
        <v>0</v>
      </c>
      <c r="AV1366" s="46">
        <v>0</v>
      </c>
      <c r="AW1366" s="46">
        <v>0</v>
      </c>
      <c r="AX1366" s="46">
        <v>0</v>
      </c>
      <c r="AY1366" s="46">
        <v>0</v>
      </c>
      <c r="AZ1366" s="46">
        <v>0</v>
      </c>
      <c r="BA1366" s="46">
        <v>0</v>
      </c>
      <c r="BB1366" s="46">
        <v>0</v>
      </c>
      <c r="BC1366" s="46">
        <v>0</v>
      </c>
      <c r="BD1366" s="46">
        <v>0</v>
      </c>
      <c r="BE1366" s="46">
        <v>0</v>
      </c>
      <c r="BF1366" s="46">
        <v>0</v>
      </c>
      <c r="BG1366" s="46" t="s">
        <v>48</v>
      </c>
      <c r="BH1366" s="46">
        <v>0</v>
      </c>
      <c r="BI1366" s="46">
        <v>0</v>
      </c>
      <c r="BJ1366" s="46">
        <v>0</v>
      </c>
      <c r="BK1366" s="46">
        <v>0</v>
      </c>
      <c r="BL1366" s="46">
        <v>0</v>
      </c>
      <c r="BM1366" s="46">
        <v>0</v>
      </c>
      <c r="BN1366" s="46">
        <v>0</v>
      </c>
    </row>
    <row r="1367" spans="1:66" x14ac:dyDescent="0.35">
      <c r="A1367" t="s">
        <v>8398</v>
      </c>
      <c r="B1367" s="44" t="s">
        <v>48</v>
      </c>
      <c r="C1367" t="s">
        <v>723</v>
      </c>
      <c r="D1367" t="s">
        <v>1222</v>
      </c>
      <c r="E1367" t="s">
        <v>8399</v>
      </c>
      <c r="F1367" t="s">
        <v>1231</v>
      </c>
      <c r="G1367" t="s">
        <v>83</v>
      </c>
      <c r="H1367">
        <v>0</v>
      </c>
      <c r="I1367" s="61">
        <v>44732</v>
      </c>
      <c r="J1367" s="33" t="s">
        <v>45</v>
      </c>
      <c r="K1367" s="46">
        <v>0</v>
      </c>
      <c r="L1367">
        <v>0.9</v>
      </c>
      <c r="M1367" t="s">
        <v>48</v>
      </c>
      <c r="N1367" s="46">
        <v>0</v>
      </c>
      <c r="O1367" s="46">
        <v>0</v>
      </c>
      <c r="P1367" s="46">
        <v>0</v>
      </c>
      <c r="Q1367" t="s">
        <v>48</v>
      </c>
      <c r="R1367" t="s">
        <v>48</v>
      </c>
      <c r="S1367" t="s">
        <v>10047</v>
      </c>
      <c r="T1367" t="s">
        <v>48</v>
      </c>
      <c r="U1367" t="s">
        <v>10047</v>
      </c>
      <c r="V1367" s="47">
        <v>1</v>
      </c>
      <c r="W1367" t="s">
        <v>48</v>
      </c>
      <c r="X1367" t="s">
        <v>48</v>
      </c>
      <c r="Y1367" t="s">
        <v>48</v>
      </c>
      <c r="Z1367" t="s">
        <v>48</v>
      </c>
      <c r="AA1367" t="s">
        <v>48</v>
      </c>
      <c r="AB1367" t="s">
        <v>48</v>
      </c>
      <c r="AC1367" t="s">
        <v>49</v>
      </c>
      <c r="AD1367" t="s">
        <v>951</v>
      </c>
      <c r="AE1367" t="s">
        <v>11051</v>
      </c>
      <c r="AF1367" t="s">
        <v>48</v>
      </c>
      <c r="AG1367" t="s">
        <v>48</v>
      </c>
      <c r="AH1367" t="s">
        <v>48</v>
      </c>
      <c r="AI1367" t="s">
        <v>48</v>
      </c>
      <c r="AJ1367" t="s">
        <v>48</v>
      </c>
      <c r="AK1367" t="s">
        <v>48</v>
      </c>
      <c r="AL1367" t="s">
        <v>48</v>
      </c>
      <c r="AM1367" t="s">
        <v>48</v>
      </c>
      <c r="AN1367" t="s">
        <v>48</v>
      </c>
      <c r="AO1367" t="s">
        <v>48</v>
      </c>
      <c r="AP1367" s="46">
        <v>0</v>
      </c>
      <c r="AQ1367" s="46">
        <v>0</v>
      </c>
      <c r="AR1367" s="46">
        <v>0</v>
      </c>
      <c r="AS1367" s="46">
        <v>0</v>
      </c>
      <c r="AT1367" s="46">
        <v>0</v>
      </c>
      <c r="AU1367" s="46">
        <v>0</v>
      </c>
      <c r="AV1367" s="46">
        <v>0</v>
      </c>
      <c r="AW1367" s="46">
        <v>0</v>
      </c>
      <c r="AX1367" s="46">
        <v>0</v>
      </c>
      <c r="AY1367" s="46">
        <v>0</v>
      </c>
      <c r="AZ1367" s="46">
        <v>0</v>
      </c>
      <c r="BA1367" s="46">
        <v>0</v>
      </c>
      <c r="BB1367" s="46">
        <v>0</v>
      </c>
      <c r="BC1367" s="46">
        <v>0</v>
      </c>
      <c r="BD1367" s="46">
        <v>0</v>
      </c>
      <c r="BE1367" s="46">
        <v>0</v>
      </c>
      <c r="BF1367" s="46">
        <v>0</v>
      </c>
      <c r="BG1367" s="46" t="s">
        <v>48</v>
      </c>
      <c r="BH1367" s="46">
        <v>0</v>
      </c>
      <c r="BI1367" s="46">
        <v>0</v>
      </c>
      <c r="BJ1367" s="46">
        <v>0</v>
      </c>
      <c r="BK1367" s="46">
        <v>0</v>
      </c>
      <c r="BL1367" s="46">
        <v>0</v>
      </c>
      <c r="BM1367" s="46">
        <v>0</v>
      </c>
      <c r="BN1367" s="46">
        <v>0</v>
      </c>
    </row>
    <row r="1368" spans="1:66" x14ac:dyDescent="0.35">
      <c r="A1368" t="s">
        <v>8141</v>
      </c>
      <c r="B1368" s="44" t="s">
        <v>48</v>
      </c>
      <c r="C1368" t="s">
        <v>11680</v>
      </c>
      <c r="D1368" t="s">
        <v>262</v>
      </c>
      <c r="E1368" t="s">
        <v>8142</v>
      </c>
      <c r="F1368" t="s">
        <v>1231</v>
      </c>
      <c r="G1368" t="s">
        <v>83</v>
      </c>
      <c r="H1368">
        <v>0</v>
      </c>
      <c r="I1368" s="61">
        <v>44732</v>
      </c>
      <c r="J1368" s="33" t="s">
        <v>45</v>
      </c>
      <c r="K1368" s="46">
        <v>0</v>
      </c>
      <c r="L1368">
        <v>1</v>
      </c>
      <c r="M1368" t="s">
        <v>48</v>
      </c>
      <c r="N1368" s="46">
        <v>0</v>
      </c>
      <c r="O1368" s="46">
        <v>0</v>
      </c>
      <c r="P1368" s="46">
        <v>0</v>
      </c>
      <c r="Q1368" t="s">
        <v>48</v>
      </c>
      <c r="R1368" t="s">
        <v>48</v>
      </c>
      <c r="S1368" t="s">
        <v>48</v>
      </c>
      <c r="T1368" t="s">
        <v>48</v>
      </c>
      <c r="U1368" t="s">
        <v>48</v>
      </c>
      <c r="V1368" s="47">
        <v>1</v>
      </c>
      <c r="W1368" t="s">
        <v>48</v>
      </c>
      <c r="X1368" t="s">
        <v>48</v>
      </c>
      <c r="Y1368" t="s">
        <v>48</v>
      </c>
      <c r="Z1368" t="s">
        <v>48</v>
      </c>
      <c r="AA1368" t="s">
        <v>48</v>
      </c>
      <c r="AB1368" t="s">
        <v>48</v>
      </c>
      <c r="AC1368" t="s">
        <v>49</v>
      </c>
      <c r="AD1368" t="s">
        <v>93</v>
      </c>
      <c r="AE1368" t="s">
        <v>4532</v>
      </c>
      <c r="AF1368" t="s">
        <v>48</v>
      </c>
      <c r="AG1368" t="s">
        <v>48</v>
      </c>
      <c r="AH1368" t="s">
        <v>48</v>
      </c>
      <c r="AI1368" t="s">
        <v>48</v>
      </c>
      <c r="AJ1368" t="s">
        <v>48</v>
      </c>
      <c r="AK1368" t="s">
        <v>48</v>
      </c>
      <c r="AL1368" t="s">
        <v>48</v>
      </c>
      <c r="AM1368" t="s">
        <v>48</v>
      </c>
      <c r="AN1368" t="s">
        <v>48</v>
      </c>
      <c r="AO1368" t="s">
        <v>48</v>
      </c>
      <c r="AP1368" s="46">
        <v>0</v>
      </c>
      <c r="AQ1368" s="46">
        <v>0</v>
      </c>
      <c r="AR1368" s="46">
        <v>0</v>
      </c>
      <c r="AS1368" s="46">
        <v>0</v>
      </c>
      <c r="AT1368" s="46">
        <v>0</v>
      </c>
      <c r="AU1368" s="46">
        <v>0</v>
      </c>
      <c r="AV1368" s="46">
        <v>0</v>
      </c>
      <c r="AW1368" s="46">
        <v>0</v>
      </c>
      <c r="AX1368" s="46">
        <v>0</v>
      </c>
      <c r="AY1368" s="46">
        <v>0</v>
      </c>
      <c r="AZ1368" s="46">
        <v>0</v>
      </c>
      <c r="BA1368" s="46">
        <v>0</v>
      </c>
      <c r="BB1368" s="46">
        <v>0</v>
      </c>
      <c r="BC1368" s="46">
        <v>0</v>
      </c>
      <c r="BD1368" s="46">
        <v>0</v>
      </c>
      <c r="BE1368" s="46">
        <v>0</v>
      </c>
      <c r="BF1368" s="46">
        <v>0</v>
      </c>
      <c r="BG1368" s="46" t="s">
        <v>48</v>
      </c>
      <c r="BH1368" s="46">
        <v>0</v>
      </c>
      <c r="BI1368" s="46">
        <v>0</v>
      </c>
      <c r="BJ1368" s="46">
        <v>0</v>
      </c>
      <c r="BK1368" s="46">
        <v>0</v>
      </c>
      <c r="BL1368" s="46">
        <v>0</v>
      </c>
      <c r="BM1368" s="46">
        <v>0</v>
      </c>
      <c r="BN1368" s="46">
        <v>0</v>
      </c>
    </row>
    <row r="1369" spans="1:66" x14ac:dyDescent="0.35">
      <c r="A1369" t="s">
        <v>8059</v>
      </c>
      <c r="B1369" s="44" t="s">
        <v>48</v>
      </c>
      <c r="C1369" t="s">
        <v>11684</v>
      </c>
      <c r="D1369" t="s">
        <v>11685</v>
      </c>
      <c r="E1369" t="s">
        <v>8060</v>
      </c>
      <c r="F1369" t="s">
        <v>1259</v>
      </c>
      <c r="G1369" t="s">
        <v>74</v>
      </c>
      <c r="H1369">
        <v>0</v>
      </c>
      <c r="I1369" s="61">
        <v>44732</v>
      </c>
      <c r="J1369" s="33" t="s">
        <v>45</v>
      </c>
      <c r="K1369" s="46">
        <v>0</v>
      </c>
      <c r="L1369">
        <v>7.7</v>
      </c>
      <c r="M1369" t="s">
        <v>48</v>
      </c>
      <c r="N1369" s="46">
        <v>0</v>
      </c>
      <c r="O1369" s="46">
        <v>0</v>
      </c>
      <c r="P1369" s="46">
        <v>0</v>
      </c>
      <c r="Q1369" t="s">
        <v>48</v>
      </c>
      <c r="R1369" t="s">
        <v>48</v>
      </c>
      <c r="S1369" t="s">
        <v>48</v>
      </c>
      <c r="T1369" t="s">
        <v>48</v>
      </c>
      <c r="U1369" t="s">
        <v>48</v>
      </c>
      <c r="V1369" s="47">
        <v>1</v>
      </c>
      <c r="W1369" t="s">
        <v>48</v>
      </c>
      <c r="X1369" t="s">
        <v>48</v>
      </c>
      <c r="Y1369" t="s">
        <v>48</v>
      </c>
      <c r="Z1369" t="s">
        <v>48</v>
      </c>
      <c r="AA1369" t="s">
        <v>48</v>
      </c>
      <c r="AB1369" t="s">
        <v>48</v>
      </c>
      <c r="AC1369" t="s">
        <v>49</v>
      </c>
      <c r="AD1369" t="s">
        <v>48</v>
      </c>
      <c r="AE1369" t="s">
        <v>48</v>
      </c>
      <c r="AF1369" t="s">
        <v>48</v>
      </c>
      <c r="AG1369" t="s">
        <v>48</v>
      </c>
      <c r="AH1369" t="s">
        <v>48</v>
      </c>
      <c r="AI1369" t="s">
        <v>48</v>
      </c>
      <c r="AJ1369" t="s">
        <v>48</v>
      </c>
      <c r="AK1369" t="s">
        <v>48</v>
      </c>
      <c r="AL1369" t="s">
        <v>48</v>
      </c>
      <c r="AM1369" t="s">
        <v>48</v>
      </c>
      <c r="AN1369" t="s">
        <v>48</v>
      </c>
      <c r="AO1369" t="s">
        <v>48</v>
      </c>
      <c r="AP1369" s="46">
        <v>0</v>
      </c>
      <c r="AQ1369" s="46">
        <v>0</v>
      </c>
      <c r="AR1369" s="46">
        <v>0</v>
      </c>
      <c r="AS1369" s="46">
        <v>0</v>
      </c>
      <c r="AT1369" s="46">
        <v>0</v>
      </c>
      <c r="AU1369" s="46">
        <v>0</v>
      </c>
      <c r="AV1369" s="46">
        <v>0</v>
      </c>
      <c r="AW1369" s="46">
        <v>0</v>
      </c>
      <c r="AX1369" s="46">
        <v>0</v>
      </c>
      <c r="AY1369" s="46">
        <v>0</v>
      </c>
      <c r="AZ1369" s="46">
        <v>0</v>
      </c>
      <c r="BA1369" s="46">
        <v>0</v>
      </c>
      <c r="BB1369" s="46">
        <v>0</v>
      </c>
      <c r="BC1369" s="46">
        <v>0</v>
      </c>
      <c r="BD1369" s="46">
        <v>0</v>
      </c>
      <c r="BE1369" s="46">
        <v>0</v>
      </c>
      <c r="BF1369" s="46">
        <v>0</v>
      </c>
      <c r="BG1369" s="46" t="s">
        <v>48</v>
      </c>
      <c r="BH1369" s="46">
        <v>0</v>
      </c>
      <c r="BI1369" s="46">
        <v>0</v>
      </c>
      <c r="BJ1369" s="46">
        <v>0</v>
      </c>
      <c r="BK1369" s="46">
        <v>0</v>
      </c>
      <c r="BL1369" s="46">
        <v>0</v>
      </c>
      <c r="BM1369" s="46">
        <v>0</v>
      </c>
      <c r="BN1369" s="46">
        <v>0</v>
      </c>
    </row>
    <row r="1370" spans="1:66" x14ac:dyDescent="0.35">
      <c r="A1370" t="s">
        <v>1247</v>
      </c>
      <c r="B1370" s="44" t="s">
        <v>48</v>
      </c>
      <c r="C1370" t="s">
        <v>1249</v>
      </c>
      <c r="D1370" t="s">
        <v>1248</v>
      </c>
      <c r="E1370" t="s">
        <v>8065</v>
      </c>
      <c r="F1370" t="s">
        <v>110</v>
      </c>
      <c r="G1370" t="s">
        <v>74</v>
      </c>
      <c r="H1370">
        <v>0</v>
      </c>
      <c r="I1370" s="61">
        <v>44732</v>
      </c>
      <c r="J1370" s="33" t="s">
        <v>45</v>
      </c>
      <c r="K1370" s="46">
        <v>0</v>
      </c>
      <c r="L1370">
        <v>5.2</v>
      </c>
      <c r="M1370" t="s">
        <v>48</v>
      </c>
      <c r="N1370" s="46">
        <v>0</v>
      </c>
      <c r="O1370" s="46">
        <v>0</v>
      </c>
      <c r="P1370" s="46">
        <v>0</v>
      </c>
      <c r="Q1370" t="s">
        <v>48</v>
      </c>
      <c r="R1370" t="s">
        <v>48</v>
      </c>
      <c r="S1370" t="s">
        <v>10051</v>
      </c>
      <c r="T1370" t="s">
        <v>48</v>
      </c>
      <c r="U1370" t="s">
        <v>10051</v>
      </c>
      <c r="V1370" s="47">
        <v>0</v>
      </c>
      <c r="W1370" t="s">
        <v>48</v>
      </c>
      <c r="X1370" t="s">
        <v>48</v>
      </c>
      <c r="Y1370" t="s">
        <v>48</v>
      </c>
      <c r="Z1370">
        <v>0</v>
      </c>
      <c r="AA1370" t="s">
        <v>48</v>
      </c>
      <c r="AB1370" t="s">
        <v>48</v>
      </c>
      <c r="AC1370" t="s">
        <v>63</v>
      </c>
      <c r="AD1370" t="s">
        <v>93</v>
      </c>
      <c r="AE1370" t="s">
        <v>2471</v>
      </c>
      <c r="AF1370" t="s">
        <v>11061</v>
      </c>
      <c r="AG1370" t="s">
        <v>48</v>
      </c>
      <c r="AH1370" t="s">
        <v>48</v>
      </c>
      <c r="AI1370" t="s">
        <v>48</v>
      </c>
      <c r="AJ1370" t="s">
        <v>48</v>
      </c>
      <c r="AK1370" t="s">
        <v>48</v>
      </c>
      <c r="AL1370" t="s">
        <v>48</v>
      </c>
      <c r="AM1370" t="s">
        <v>48</v>
      </c>
      <c r="AN1370" t="s">
        <v>48</v>
      </c>
      <c r="AO1370" t="s">
        <v>48</v>
      </c>
      <c r="AP1370" s="46">
        <v>0</v>
      </c>
      <c r="AQ1370" s="46">
        <v>0</v>
      </c>
      <c r="AR1370" s="46">
        <v>0</v>
      </c>
      <c r="AS1370" s="46">
        <v>0</v>
      </c>
      <c r="AT1370" s="46">
        <v>0</v>
      </c>
      <c r="AU1370" s="46">
        <v>0</v>
      </c>
      <c r="AV1370" s="46">
        <v>0</v>
      </c>
      <c r="AW1370" s="46">
        <v>0</v>
      </c>
      <c r="AX1370" s="46">
        <v>0</v>
      </c>
      <c r="AY1370" s="46">
        <v>0</v>
      </c>
      <c r="AZ1370" s="46">
        <v>0</v>
      </c>
      <c r="BA1370" s="46">
        <v>0</v>
      </c>
      <c r="BB1370" s="46">
        <v>0</v>
      </c>
      <c r="BC1370" s="46">
        <v>0</v>
      </c>
      <c r="BD1370" s="46">
        <v>0</v>
      </c>
      <c r="BE1370" s="46">
        <v>0</v>
      </c>
      <c r="BF1370" s="46">
        <v>0</v>
      </c>
      <c r="BG1370" s="46" t="s">
        <v>48</v>
      </c>
      <c r="BH1370" s="46">
        <v>0</v>
      </c>
      <c r="BI1370" s="46">
        <v>0</v>
      </c>
      <c r="BJ1370" s="46">
        <v>0</v>
      </c>
      <c r="BK1370" s="46">
        <v>0</v>
      </c>
      <c r="BL1370" s="46">
        <v>0</v>
      </c>
      <c r="BM1370" s="46">
        <v>0</v>
      </c>
      <c r="BN1370" s="46">
        <v>0</v>
      </c>
    </row>
    <row r="1371" spans="1:66" x14ac:dyDescent="0.35">
      <c r="A1371" t="s">
        <v>1241</v>
      </c>
      <c r="B1371" s="44" t="s">
        <v>48</v>
      </c>
      <c r="C1371" t="s">
        <v>1242</v>
      </c>
      <c r="D1371" t="s">
        <v>331</v>
      </c>
      <c r="E1371" t="s">
        <v>8063</v>
      </c>
      <c r="F1371" t="s">
        <v>110</v>
      </c>
      <c r="G1371" t="s">
        <v>74</v>
      </c>
      <c r="H1371">
        <v>0</v>
      </c>
      <c r="I1371" s="61">
        <v>44732</v>
      </c>
      <c r="J1371" s="33" t="s">
        <v>45</v>
      </c>
      <c r="K1371" s="46">
        <v>0</v>
      </c>
      <c r="L1371">
        <v>1.8</v>
      </c>
      <c r="M1371" s="41" t="s">
        <v>48</v>
      </c>
      <c r="N1371" s="46">
        <v>0</v>
      </c>
      <c r="O1371" s="46">
        <v>0</v>
      </c>
      <c r="P1371" s="46">
        <v>0</v>
      </c>
      <c r="Q1371" s="41" t="s">
        <v>48</v>
      </c>
      <c r="R1371" s="41" t="s">
        <v>48</v>
      </c>
      <c r="S1371" t="s">
        <v>10053</v>
      </c>
      <c r="T1371" t="s">
        <v>48</v>
      </c>
      <c r="U1371" t="s">
        <v>10053</v>
      </c>
      <c r="V1371" s="47">
        <v>0</v>
      </c>
      <c r="W1371" t="s">
        <v>48</v>
      </c>
      <c r="X1371" t="s">
        <v>48</v>
      </c>
      <c r="Y1371" t="s">
        <v>48</v>
      </c>
      <c r="Z1371">
        <v>0</v>
      </c>
      <c r="AA1371" t="s">
        <v>48</v>
      </c>
      <c r="AB1371" t="s">
        <v>48</v>
      </c>
      <c r="AC1371" t="s">
        <v>49</v>
      </c>
      <c r="AD1371" t="s">
        <v>93</v>
      </c>
      <c r="AE1371" t="s">
        <v>4532</v>
      </c>
      <c r="AF1371" t="s">
        <v>48</v>
      </c>
      <c r="AG1371" t="s">
        <v>48</v>
      </c>
      <c r="AH1371" t="s">
        <v>48</v>
      </c>
      <c r="AI1371" t="s">
        <v>48</v>
      </c>
      <c r="AJ1371" t="s">
        <v>48</v>
      </c>
      <c r="AK1371" t="s">
        <v>48</v>
      </c>
      <c r="AL1371" t="s">
        <v>48</v>
      </c>
      <c r="AM1371" t="s">
        <v>48</v>
      </c>
      <c r="AN1371" t="s">
        <v>48</v>
      </c>
      <c r="AO1371" t="s">
        <v>48</v>
      </c>
      <c r="AP1371" s="46">
        <v>0</v>
      </c>
      <c r="AQ1371" s="46">
        <v>0</v>
      </c>
      <c r="AR1371" s="46">
        <v>0</v>
      </c>
      <c r="AS1371" s="46">
        <v>0</v>
      </c>
      <c r="AT1371" s="46">
        <v>0</v>
      </c>
      <c r="AU1371" s="46">
        <v>0</v>
      </c>
      <c r="AV1371" s="46">
        <v>0</v>
      </c>
      <c r="AW1371" s="46">
        <v>0</v>
      </c>
      <c r="AX1371" s="46">
        <v>0</v>
      </c>
      <c r="AY1371" s="46">
        <v>0</v>
      </c>
      <c r="AZ1371" s="46">
        <v>0</v>
      </c>
      <c r="BA1371" s="46">
        <v>0</v>
      </c>
      <c r="BB1371" s="46">
        <v>0</v>
      </c>
      <c r="BC1371" s="46">
        <v>0</v>
      </c>
      <c r="BD1371" s="46">
        <v>0</v>
      </c>
      <c r="BE1371" s="46">
        <v>0</v>
      </c>
      <c r="BF1371" s="46">
        <v>0</v>
      </c>
      <c r="BG1371" s="46" t="s">
        <v>48</v>
      </c>
      <c r="BH1371" s="46">
        <v>0</v>
      </c>
      <c r="BI1371" s="46">
        <v>0</v>
      </c>
      <c r="BJ1371" s="46">
        <v>0</v>
      </c>
      <c r="BK1371" s="46">
        <v>0</v>
      </c>
      <c r="BL1371" s="46">
        <v>0</v>
      </c>
      <c r="BM1371" s="46">
        <v>0</v>
      </c>
      <c r="BN1371" s="46">
        <v>0</v>
      </c>
    </row>
    <row r="1372" spans="1:66" x14ac:dyDescent="0.35">
      <c r="A1372" t="s">
        <v>8249</v>
      </c>
      <c r="B1372" s="44" t="s">
        <v>48</v>
      </c>
      <c r="C1372" t="s">
        <v>11686</v>
      </c>
      <c r="D1372" t="s">
        <v>11687</v>
      </c>
      <c r="E1372" t="s">
        <v>8250</v>
      </c>
      <c r="F1372" t="s">
        <v>110</v>
      </c>
      <c r="G1372" t="s">
        <v>47</v>
      </c>
      <c r="H1372">
        <v>0</v>
      </c>
      <c r="I1372" s="61">
        <v>44732</v>
      </c>
      <c r="J1372" s="33" t="s">
        <v>45</v>
      </c>
      <c r="K1372" s="46">
        <v>0</v>
      </c>
      <c r="L1372">
        <v>8.5</v>
      </c>
      <c r="M1372" t="s">
        <v>48</v>
      </c>
      <c r="N1372" s="46">
        <v>0</v>
      </c>
      <c r="O1372" s="46">
        <v>0</v>
      </c>
      <c r="P1372" s="46">
        <v>0</v>
      </c>
      <c r="Q1372" t="s">
        <v>48</v>
      </c>
      <c r="R1372" t="s">
        <v>48</v>
      </c>
      <c r="S1372" t="s">
        <v>10054</v>
      </c>
      <c r="T1372" t="s">
        <v>48</v>
      </c>
      <c r="U1372" t="s">
        <v>10054</v>
      </c>
      <c r="V1372" s="47">
        <v>1</v>
      </c>
      <c r="W1372" t="s">
        <v>48</v>
      </c>
      <c r="X1372" t="s">
        <v>48</v>
      </c>
      <c r="Y1372" t="s">
        <v>48</v>
      </c>
      <c r="Z1372" t="s">
        <v>48</v>
      </c>
      <c r="AA1372" t="s">
        <v>48</v>
      </c>
      <c r="AB1372" t="s">
        <v>48</v>
      </c>
      <c r="AC1372" t="s">
        <v>63</v>
      </c>
      <c r="AD1372" t="s">
        <v>48</v>
      </c>
      <c r="AE1372" t="s">
        <v>48</v>
      </c>
      <c r="AF1372" t="s">
        <v>48</v>
      </c>
      <c r="AG1372" t="s">
        <v>48</v>
      </c>
      <c r="AH1372" t="s">
        <v>48</v>
      </c>
      <c r="AI1372" t="s">
        <v>48</v>
      </c>
      <c r="AJ1372" t="s">
        <v>48</v>
      </c>
      <c r="AK1372" t="s">
        <v>48</v>
      </c>
      <c r="AL1372" t="s">
        <v>48</v>
      </c>
      <c r="AM1372" t="s">
        <v>48</v>
      </c>
      <c r="AN1372" t="s">
        <v>48</v>
      </c>
      <c r="AO1372" t="s">
        <v>48</v>
      </c>
      <c r="AP1372" s="46">
        <v>0</v>
      </c>
      <c r="AQ1372" s="46">
        <v>0</v>
      </c>
      <c r="AR1372" s="46">
        <v>0</v>
      </c>
      <c r="AS1372" s="46">
        <v>0</v>
      </c>
      <c r="AT1372" s="46">
        <v>0</v>
      </c>
      <c r="AU1372" s="46">
        <v>0</v>
      </c>
      <c r="AV1372" s="46">
        <v>0</v>
      </c>
      <c r="AW1372" s="46">
        <v>0</v>
      </c>
      <c r="AX1372" s="46">
        <v>0</v>
      </c>
      <c r="AY1372" s="46">
        <v>0</v>
      </c>
      <c r="AZ1372" s="46">
        <v>0</v>
      </c>
      <c r="BA1372" s="46">
        <v>0</v>
      </c>
      <c r="BB1372" s="46">
        <v>0</v>
      </c>
      <c r="BC1372" s="46">
        <v>0</v>
      </c>
      <c r="BD1372" s="46">
        <v>0</v>
      </c>
      <c r="BE1372" s="46">
        <v>0</v>
      </c>
      <c r="BF1372" s="46">
        <v>0</v>
      </c>
      <c r="BG1372" s="46" t="s">
        <v>48</v>
      </c>
      <c r="BH1372" s="46">
        <v>0</v>
      </c>
      <c r="BI1372" s="46">
        <v>0</v>
      </c>
      <c r="BJ1372" s="46">
        <v>0</v>
      </c>
      <c r="BK1372" s="46">
        <v>0</v>
      </c>
      <c r="BL1372" s="46">
        <v>0</v>
      </c>
      <c r="BM1372" s="46">
        <v>0</v>
      </c>
      <c r="BN1372" s="46">
        <v>0</v>
      </c>
    </row>
    <row r="1373" spans="1:66" x14ac:dyDescent="0.35">
      <c r="A1373" t="s">
        <v>1243</v>
      </c>
      <c r="B1373" s="44" t="s">
        <v>48</v>
      </c>
      <c r="C1373" t="s">
        <v>1246</v>
      </c>
      <c r="D1373" t="s">
        <v>1245</v>
      </c>
      <c r="E1373" t="s">
        <v>8064</v>
      </c>
      <c r="F1373" t="s">
        <v>110</v>
      </c>
      <c r="G1373" t="s">
        <v>74</v>
      </c>
      <c r="H1373">
        <v>0</v>
      </c>
      <c r="I1373" s="61">
        <v>44732</v>
      </c>
      <c r="J1373" s="33" t="s">
        <v>45</v>
      </c>
      <c r="K1373" s="46">
        <v>0</v>
      </c>
      <c r="L1373">
        <v>1.8</v>
      </c>
      <c r="M1373" s="41" t="s">
        <v>48</v>
      </c>
      <c r="N1373" s="46">
        <v>0</v>
      </c>
      <c r="O1373" s="46">
        <v>0</v>
      </c>
      <c r="P1373" s="46">
        <v>0</v>
      </c>
      <c r="Q1373" s="41" t="s">
        <v>48</v>
      </c>
      <c r="R1373" s="41" t="s">
        <v>48</v>
      </c>
      <c r="S1373" t="s">
        <v>1244</v>
      </c>
      <c r="T1373" t="s">
        <v>48</v>
      </c>
      <c r="U1373" t="s">
        <v>1244</v>
      </c>
      <c r="V1373" s="47">
        <v>0</v>
      </c>
      <c r="W1373" t="s">
        <v>48</v>
      </c>
      <c r="X1373" t="s">
        <v>48</v>
      </c>
      <c r="Y1373" t="s">
        <v>48</v>
      </c>
      <c r="Z1373">
        <v>0</v>
      </c>
      <c r="AA1373" t="s">
        <v>48</v>
      </c>
      <c r="AB1373" t="s">
        <v>48</v>
      </c>
      <c r="AC1373" t="s">
        <v>49</v>
      </c>
      <c r="AD1373" t="s">
        <v>48</v>
      </c>
      <c r="AE1373" t="s">
        <v>48</v>
      </c>
      <c r="AF1373" t="s">
        <v>48</v>
      </c>
      <c r="AG1373" t="s">
        <v>48</v>
      </c>
      <c r="AH1373" t="s">
        <v>48</v>
      </c>
      <c r="AI1373" t="s">
        <v>48</v>
      </c>
      <c r="AJ1373" t="s">
        <v>48</v>
      </c>
      <c r="AK1373" t="s">
        <v>48</v>
      </c>
      <c r="AL1373" t="s">
        <v>48</v>
      </c>
      <c r="AM1373" t="s">
        <v>48</v>
      </c>
      <c r="AN1373" t="s">
        <v>48</v>
      </c>
      <c r="AO1373" t="s">
        <v>48</v>
      </c>
      <c r="AP1373" s="46">
        <v>0</v>
      </c>
      <c r="AQ1373" s="46">
        <v>0</v>
      </c>
      <c r="AR1373" s="46">
        <v>0</v>
      </c>
      <c r="AS1373" s="46">
        <v>0</v>
      </c>
      <c r="AT1373" s="46">
        <v>0</v>
      </c>
      <c r="AU1373" s="46">
        <v>0</v>
      </c>
      <c r="AV1373" s="46">
        <v>0</v>
      </c>
      <c r="AW1373" s="46">
        <v>0</v>
      </c>
      <c r="AX1373" s="46">
        <v>0</v>
      </c>
      <c r="AY1373" s="46">
        <v>0</v>
      </c>
      <c r="AZ1373" s="46">
        <v>0</v>
      </c>
      <c r="BA1373" s="46">
        <v>0</v>
      </c>
      <c r="BB1373" s="46">
        <v>0</v>
      </c>
      <c r="BC1373" s="46">
        <v>0</v>
      </c>
      <c r="BD1373" s="46">
        <v>0</v>
      </c>
      <c r="BE1373" s="46">
        <v>0</v>
      </c>
      <c r="BF1373" s="46">
        <v>0</v>
      </c>
      <c r="BG1373" s="46" t="s">
        <v>48</v>
      </c>
      <c r="BH1373" s="46">
        <v>0</v>
      </c>
      <c r="BI1373" s="46">
        <v>0</v>
      </c>
      <c r="BJ1373" s="46">
        <v>0</v>
      </c>
      <c r="BK1373" s="46">
        <v>0</v>
      </c>
      <c r="BL1373" s="46">
        <v>0</v>
      </c>
      <c r="BM1373" s="46">
        <v>0</v>
      </c>
      <c r="BN1373" s="46">
        <v>0</v>
      </c>
    </row>
    <row r="1374" spans="1:66" x14ac:dyDescent="0.35">
      <c r="A1374" t="s">
        <v>1230</v>
      </c>
      <c r="B1374" s="44" t="s">
        <v>48</v>
      </c>
      <c r="C1374" t="s">
        <v>1234</v>
      </c>
      <c r="D1374" t="s">
        <v>1233</v>
      </c>
      <c r="E1374" t="s">
        <v>8062</v>
      </c>
      <c r="F1374" t="s">
        <v>110</v>
      </c>
      <c r="G1374" t="s">
        <v>74</v>
      </c>
      <c r="H1374">
        <v>0</v>
      </c>
      <c r="I1374" s="61">
        <v>44732</v>
      </c>
      <c r="J1374" s="33" t="s">
        <v>45</v>
      </c>
      <c r="K1374" s="46">
        <v>0</v>
      </c>
      <c r="L1374">
        <v>9</v>
      </c>
      <c r="M1374" s="41" t="s">
        <v>48</v>
      </c>
      <c r="N1374" s="46">
        <v>0</v>
      </c>
      <c r="O1374" s="46">
        <v>0</v>
      </c>
      <c r="P1374" s="46">
        <v>0</v>
      </c>
      <c r="Q1374" s="41" t="s">
        <v>48</v>
      </c>
      <c r="R1374" s="41" t="s">
        <v>48</v>
      </c>
      <c r="S1374" t="s">
        <v>1232</v>
      </c>
      <c r="T1374" t="s">
        <v>48</v>
      </c>
      <c r="U1374" t="s">
        <v>1232</v>
      </c>
      <c r="V1374" s="47">
        <v>0</v>
      </c>
      <c r="W1374" t="s">
        <v>48</v>
      </c>
      <c r="X1374" t="s">
        <v>48</v>
      </c>
      <c r="Y1374" t="s">
        <v>48</v>
      </c>
      <c r="Z1374">
        <v>0</v>
      </c>
      <c r="AA1374" t="s">
        <v>48</v>
      </c>
      <c r="AB1374" t="s">
        <v>48</v>
      </c>
      <c r="AC1374" t="s">
        <v>49</v>
      </c>
      <c r="AD1374" t="s">
        <v>93</v>
      </c>
      <c r="AE1374" t="s">
        <v>11051</v>
      </c>
      <c r="AF1374" t="s">
        <v>11066</v>
      </c>
      <c r="AG1374" t="s">
        <v>48</v>
      </c>
      <c r="AH1374" t="s">
        <v>48</v>
      </c>
      <c r="AI1374" t="s">
        <v>48</v>
      </c>
      <c r="AJ1374" t="s">
        <v>48</v>
      </c>
      <c r="AK1374" t="s">
        <v>48</v>
      </c>
      <c r="AL1374" t="s">
        <v>48</v>
      </c>
      <c r="AM1374" t="s">
        <v>48</v>
      </c>
      <c r="AN1374" t="s">
        <v>48</v>
      </c>
      <c r="AO1374" t="s">
        <v>48</v>
      </c>
      <c r="AP1374" s="46">
        <v>0</v>
      </c>
      <c r="AQ1374" s="46">
        <v>0</v>
      </c>
      <c r="AR1374" s="46">
        <v>0</v>
      </c>
      <c r="AS1374" s="46">
        <v>1</v>
      </c>
      <c r="AT1374" s="46">
        <v>0</v>
      </c>
      <c r="AU1374" s="46">
        <v>0</v>
      </c>
      <c r="AV1374" s="46">
        <v>0</v>
      </c>
      <c r="AW1374" s="46">
        <v>0</v>
      </c>
      <c r="AX1374" s="46">
        <v>0</v>
      </c>
      <c r="AY1374" s="46">
        <v>0</v>
      </c>
      <c r="AZ1374" s="46">
        <v>0</v>
      </c>
      <c r="BA1374" s="46">
        <v>0</v>
      </c>
      <c r="BB1374" s="46">
        <v>0</v>
      </c>
      <c r="BC1374" s="46">
        <v>0</v>
      </c>
      <c r="BD1374" s="46">
        <v>0</v>
      </c>
      <c r="BE1374" s="46">
        <v>0</v>
      </c>
      <c r="BF1374" s="46">
        <v>0</v>
      </c>
      <c r="BG1374" s="46" t="s">
        <v>48</v>
      </c>
      <c r="BH1374" s="46">
        <v>0</v>
      </c>
      <c r="BI1374" s="46">
        <v>0</v>
      </c>
      <c r="BJ1374" s="46">
        <v>0</v>
      </c>
      <c r="BK1374" s="46">
        <v>1</v>
      </c>
      <c r="BL1374" s="46">
        <v>0</v>
      </c>
      <c r="BM1374" s="46">
        <v>0</v>
      </c>
      <c r="BN1374" s="46">
        <v>0</v>
      </c>
    </row>
    <row r="1375" spans="1:66" x14ac:dyDescent="0.35">
      <c r="A1375" t="s">
        <v>8255</v>
      </c>
      <c r="B1375" s="44" t="s">
        <v>48</v>
      </c>
      <c r="C1375" t="s">
        <v>11690</v>
      </c>
      <c r="D1375" t="s">
        <v>325</v>
      </c>
      <c r="E1375" t="s">
        <v>8256</v>
      </c>
      <c r="F1375" t="s">
        <v>1271</v>
      </c>
      <c r="G1375" t="s">
        <v>47</v>
      </c>
      <c r="H1375">
        <v>0</v>
      </c>
      <c r="I1375" s="61">
        <v>44733</v>
      </c>
      <c r="J1375" s="33" t="s">
        <v>45</v>
      </c>
      <c r="K1375" s="46">
        <v>0</v>
      </c>
      <c r="L1375">
        <v>7.1</v>
      </c>
      <c r="M1375" t="s">
        <v>48</v>
      </c>
      <c r="N1375" s="46">
        <v>0</v>
      </c>
      <c r="O1375" s="46">
        <v>0</v>
      </c>
      <c r="P1375" s="46">
        <v>0</v>
      </c>
      <c r="Q1375" t="s">
        <v>48</v>
      </c>
      <c r="R1375" t="s">
        <v>48</v>
      </c>
      <c r="S1375" t="s">
        <v>48</v>
      </c>
      <c r="T1375" t="s">
        <v>48</v>
      </c>
      <c r="U1375" t="s">
        <v>48</v>
      </c>
      <c r="V1375" s="47">
        <v>1</v>
      </c>
      <c r="W1375" t="s">
        <v>48</v>
      </c>
      <c r="X1375" t="s">
        <v>48</v>
      </c>
      <c r="Y1375" t="s">
        <v>48</v>
      </c>
      <c r="Z1375" t="s">
        <v>48</v>
      </c>
      <c r="AA1375" t="s">
        <v>48</v>
      </c>
      <c r="AB1375" t="s">
        <v>48</v>
      </c>
      <c r="AC1375" t="s">
        <v>49</v>
      </c>
      <c r="AD1375" t="s">
        <v>48</v>
      </c>
      <c r="AE1375" t="s">
        <v>48</v>
      </c>
      <c r="AF1375" t="s">
        <v>48</v>
      </c>
      <c r="AG1375" t="s">
        <v>48</v>
      </c>
      <c r="AH1375" t="s">
        <v>48</v>
      </c>
      <c r="AI1375" t="s">
        <v>48</v>
      </c>
      <c r="AJ1375" t="s">
        <v>48</v>
      </c>
      <c r="AK1375" t="s">
        <v>48</v>
      </c>
      <c r="AL1375" t="s">
        <v>48</v>
      </c>
      <c r="AM1375" t="s">
        <v>48</v>
      </c>
      <c r="AN1375" t="s">
        <v>48</v>
      </c>
      <c r="AO1375" t="s">
        <v>48</v>
      </c>
      <c r="AP1375" s="46">
        <v>0</v>
      </c>
      <c r="AQ1375" s="46">
        <v>0</v>
      </c>
      <c r="AR1375" s="46">
        <v>0</v>
      </c>
      <c r="AS1375" s="46">
        <v>0</v>
      </c>
      <c r="AT1375" s="46">
        <v>0</v>
      </c>
      <c r="AU1375" s="46">
        <v>0</v>
      </c>
      <c r="AV1375" s="46">
        <v>0</v>
      </c>
      <c r="AW1375" s="46">
        <v>0</v>
      </c>
      <c r="AX1375" s="46">
        <v>0</v>
      </c>
      <c r="AY1375" s="46">
        <v>0</v>
      </c>
      <c r="AZ1375" s="46">
        <v>0</v>
      </c>
      <c r="BA1375" s="46">
        <v>0</v>
      </c>
      <c r="BB1375" s="46">
        <v>0</v>
      </c>
      <c r="BC1375" s="46">
        <v>0</v>
      </c>
      <c r="BD1375" s="46">
        <v>0</v>
      </c>
      <c r="BE1375" s="46">
        <v>0</v>
      </c>
      <c r="BF1375" s="46">
        <v>0</v>
      </c>
      <c r="BG1375" s="46" t="s">
        <v>48</v>
      </c>
      <c r="BH1375" s="46">
        <v>0</v>
      </c>
      <c r="BI1375" s="46">
        <v>0</v>
      </c>
      <c r="BJ1375" s="46">
        <v>0</v>
      </c>
      <c r="BK1375" s="46">
        <v>0</v>
      </c>
      <c r="BL1375" s="46">
        <v>0</v>
      </c>
      <c r="BM1375" s="46">
        <v>0</v>
      </c>
      <c r="BN1375" s="46">
        <v>0</v>
      </c>
    </row>
    <row r="1376" spans="1:66" x14ac:dyDescent="0.35">
      <c r="A1376" t="s">
        <v>8251</v>
      </c>
      <c r="B1376" s="44" t="s">
        <v>48</v>
      </c>
      <c r="C1376" t="s">
        <v>11688</v>
      </c>
      <c r="D1376" t="s">
        <v>11689</v>
      </c>
      <c r="E1376" t="s">
        <v>8252</v>
      </c>
      <c r="F1376" t="s">
        <v>1271</v>
      </c>
      <c r="G1376" t="s">
        <v>47</v>
      </c>
      <c r="H1376">
        <v>0</v>
      </c>
      <c r="I1376" s="61">
        <v>44733</v>
      </c>
      <c r="J1376" s="33" t="s">
        <v>45</v>
      </c>
      <c r="K1376" s="46">
        <v>0</v>
      </c>
      <c r="L1376">
        <v>15.3</v>
      </c>
      <c r="M1376" t="s">
        <v>48</v>
      </c>
      <c r="N1376" s="46">
        <v>0</v>
      </c>
      <c r="O1376" s="46">
        <v>0</v>
      </c>
      <c r="P1376" s="46">
        <v>0</v>
      </c>
      <c r="Q1376" t="s">
        <v>48</v>
      </c>
      <c r="R1376" t="s">
        <v>48</v>
      </c>
      <c r="S1376" t="s">
        <v>48</v>
      </c>
      <c r="T1376" t="s">
        <v>48</v>
      </c>
      <c r="U1376" t="s">
        <v>48</v>
      </c>
      <c r="V1376" s="47">
        <v>1</v>
      </c>
      <c r="W1376" t="s">
        <v>48</v>
      </c>
      <c r="X1376" t="s">
        <v>48</v>
      </c>
      <c r="Y1376" t="s">
        <v>48</v>
      </c>
      <c r="Z1376" t="s">
        <v>48</v>
      </c>
      <c r="AA1376" t="s">
        <v>48</v>
      </c>
      <c r="AB1376" t="s">
        <v>48</v>
      </c>
      <c r="AC1376" t="s">
        <v>49</v>
      </c>
      <c r="AD1376" t="s">
        <v>951</v>
      </c>
      <c r="AE1376" t="s">
        <v>11051</v>
      </c>
      <c r="AF1376" t="s">
        <v>48</v>
      </c>
      <c r="AG1376" t="s">
        <v>48</v>
      </c>
      <c r="AH1376" t="s">
        <v>48</v>
      </c>
      <c r="AI1376" t="s">
        <v>48</v>
      </c>
      <c r="AJ1376" t="s">
        <v>48</v>
      </c>
      <c r="AK1376" t="s">
        <v>48</v>
      </c>
      <c r="AL1376" t="s">
        <v>48</v>
      </c>
      <c r="AM1376" t="s">
        <v>48</v>
      </c>
      <c r="AN1376" t="s">
        <v>48</v>
      </c>
      <c r="AO1376" t="s">
        <v>48</v>
      </c>
      <c r="AP1376" s="46">
        <v>0</v>
      </c>
      <c r="AQ1376" s="46">
        <v>0</v>
      </c>
      <c r="AR1376" s="46">
        <v>0</v>
      </c>
      <c r="AS1376" s="46">
        <v>0</v>
      </c>
      <c r="AT1376" s="46">
        <v>0</v>
      </c>
      <c r="AU1376" s="46">
        <v>0</v>
      </c>
      <c r="AV1376" s="46">
        <v>0</v>
      </c>
      <c r="AW1376" s="46">
        <v>0</v>
      </c>
      <c r="AX1376" s="46">
        <v>0</v>
      </c>
      <c r="AY1376" s="46">
        <v>0</v>
      </c>
      <c r="AZ1376" s="46">
        <v>0</v>
      </c>
      <c r="BA1376" s="46">
        <v>0</v>
      </c>
      <c r="BB1376" s="46">
        <v>0</v>
      </c>
      <c r="BC1376" s="46">
        <v>0</v>
      </c>
      <c r="BD1376" s="46">
        <v>0</v>
      </c>
      <c r="BE1376" s="46">
        <v>0</v>
      </c>
      <c r="BF1376" s="46">
        <v>0</v>
      </c>
      <c r="BG1376" s="46" t="s">
        <v>48</v>
      </c>
      <c r="BH1376" s="46">
        <v>0</v>
      </c>
      <c r="BI1376" s="46">
        <v>0</v>
      </c>
      <c r="BJ1376" s="46">
        <v>0</v>
      </c>
      <c r="BK1376" s="46">
        <v>0</v>
      </c>
      <c r="BL1376" s="46">
        <v>0</v>
      </c>
      <c r="BM1376" s="46">
        <v>0</v>
      </c>
      <c r="BN1376" s="46">
        <v>0</v>
      </c>
    </row>
    <row r="1377" spans="1:66" x14ac:dyDescent="0.35">
      <c r="A1377" t="s">
        <v>8257</v>
      </c>
      <c r="B1377" s="44" t="s">
        <v>48</v>
      </c>
      <c r="C1377" t="s">
        <v>11691</v>
      </c>
      <c r="D1377" t="s">
        <v>11692</v>
      </c>
      <c r="E1377" t="s">
        <v>8258</v>
      </c>
      <c r="F1377" t="s">
        <v>1284</v>
      </c>
      <c r="G1377" t="s">
        <v>47</v>
      </c>
      <c r="H1377">
        <v>0</v>
      </c>
      <c r="I1377" s="61">
        <v>44733</v>
      </c>
      <c r="J1377" s="33" t="s">
        <v>45</v>
      </c>
      <c r="K1377" s="46">
        <v>0</v>
      </c>
      <c r="L1377">
        <v>10.4</v>
      </c>
      <c r="M1377" t="s">
        <v>48</v>
      </c>
      <c r="N1377" s="46">
        <v>0</v>
      </c>
      <c r="O1377" s="46">
        <v>0</v>
      </c>
      <c r="P1377" s="46">
        <v>0</v>
      </c>
      <c r="Q1377" t="s">
        <v>48</v>
      </c>
      <c r="R1377" t="s">
        <v>48</v>
      </c>
      <c r="S1377" t="s">
        <v>48</v>
      </c>
      <c r="T1377" t="s">
        <v>48</v>
      </c>
      <c r="U1377" t="s">
        <v>48</v>
      </c>
      <c r="V1377" s="47">
        <v>1</v>
      </c>
      <c r="W1377" t="s">
        <v>48</v>
      </c>
      <c r="X1377" t="s">
        <v>48</v>
      </c>
      <c r="Y1377" t="s">
        <v>48</v>
      </c>
      <c r="Z1377" t="s">
        <v>48</v>
      </c>
      <c r="AA1377" t="s">
        <v>48</v>
      </c>
      <c r="AB1377" t="s">
        <v>48</v>
      </c>
      <c r="AC1377" t="s">
        <v>49</v>
      </c>
      <c r="AD1377" t="s">
        <v>48</v>
      </c>
      <c r="AE1377" t="s">
        <v>48</v>
      </c>
      <c r="AF1377" t="s">
        <v>48</v>
      </c>
      <c r="AG1377" t="s">
        <v>48</v>
      </c>
      <c r="AH1377" t="s">
        <v>48</v>
      </c>
      <c r="AI1377" t="s">
        <v>48</v>
      </c>
      <c r="AJ1377" t="s">
        <v>48</v>
      </c>
      <c r="AK1377" t="s">
        <v>48</v>
      </c>
      <c r="AL1377" t="s">
        <v>48</v>
      </c>
      <c r="AM1377" t="s">
        <v>48</v>
      </c>
      <c r="AN1377" t="s">
        <v>48</v>
      </c>
      <c r="AO1377" t="s">
        <v>48</v>
      </c>
      <c r="AP1377" s="46">
        <v>0</v>
      </c>
      <c r="AQ1377" s="46">
        <v>0</v>
      </c>
      <c r="AR1377" s="46">
        <v>0</v>
      </c>
      <c r="AS1377" s="46">
        <v>0</v>
      </c>
      <c r="AT1377" s="46">
        <v>0</v>
      </c>
      <c r="AU1377" s="46">
        <v>0</v>
      </c>
      <c r="AV1377" s="46">
        <v>0</v>
      </c>
      <c r="AW1377" s="46">
        <v>0</v>
      </c>
      <c r="AX1377" s="46">
        <v>0</v>
      </c>
      <c r="AY1377" s="46">
        <v>0</v>
      </c>
      <c r="AZ1377" s="46">
        <v>0</v>
      </c>
      <c r="BA1377" s="46">
        <v>0</v>
      </c>
      <c r="BB1377" s="46">
        <v>0</v>
      </c>
      <c r="BC1377" s="46">
        <v>0</v>
      </c>
      <c r="BD1377" s="46">
        <v>0</v>
      </c>
      <c r="BE1377" s="46">
        <v>0</v>
      </c>
      <c r="BF1377" s="46">
        <v>0</v>
      </c>
      <c r="BG1377" s="46" t="s">
        <v>48</v>
      </c>
      <c r="BH1377" s="46">
        <v>0</v>
      </c>
      <c r="BI1377" s="46">
        <v>0</v>
      </c>
      <c r="BJ1377" s="46">
        <v>0</v>
      </c>
      <c r="BK1377" s="46">
        <v>0</v>
      </c>
      <c r="BL1377" s="46">
        <v>0</v>
      </c>
      <c r="BM1377" s="46">
        <v>0</v>
      </c>
      <c r="BN1377" s="46">
        <v>0</v>
      </c>
    </row>
    <row r="1378" spans="1:66" x14ac:dyDescent="0.35">
      <c r="A1378" t="s">
        <v>8261</v>
      </c>
      <c r="B1378" s="44" t="s">
        <v>48</v>
      </c>
      <c r="C1378" t="s">
        <v>11694</v>
      </c>
      <c r="D1378" t="s">
        <v>2513</v>
      </c>
      <c r="E1378" t="s">
        <v>8262</v>
      </c>
      <c r="F1378" t="s">
        <v>1294</v>
      </c>
      <c r="G1378" t="s">
        <v>47</v>
      </c>
      <c r="H1378">
        <v>0</v>
      </c>
      <c r="I1378" s="61">
        <v>44733</v>
      </c>
      <c r="J1378" s="33" t="s">
        <v>45</v>
      </c>
      <c r="K1378" s="46">
        <v>0</v>
      </c>
      <c r="L1378">
        <v>5</v>
      </c>
      <c r="M1378" t="s">
        <v>48</v>
      </c>
      <c r="N1378" s="46">
        <v>0</v>
      </c>
      <c r="O1378" s="46">
        <v>0</v>
      </c>
      <c r="P1378" s="46">
        <v>0</v>
      </c>
      <c r="Q1378" t="s">
        <v>48</v>
      </c>
      <c r="R1378" t="s">
        <v>48</v>
      </c>
      <c r="S1378" t="s">
        <v>48</v>
      </c>
      <c r="T1378" t="s">
        <v>48</v>
      </c>
      <c r="U1378" t="s">
        <v>48</v>
      </c>
      <c r="V1378" s="47">
        <v>1</v>
      </c>
      <c r="W1378" t="s">
        <v>48</v>
      </c>
      <c r="X1378" t="s">
        <v>48</v>
      </c>
      <c r="Y1378" t="s">
        <v>48</v>
      </c>
      <c r="Z1378" t="s">
        <v>48</v>
      </c>
      <c r="AA1378" t="s">
        <v>48</v>
      </c>
      <c r="AB1378" t="s">
        <v>48</v>
      </c>
      <c r="AC1378" t="s">
        <v>49</v>
      </c>
      <c r="AD1378" t="s">
        <v>93</v>
      </c>
      <c r="AE1378" t="s">
        <v>4532</v>
      </c>
      <c r="AF1378" t="s">
        <v>48</v>
      </c>
      <c r="AG1378" t="s">
        <v>48</v>
      </c>
      <c r="AH1378" t="s">
        <v>48</v>
      </c>
      <c r="AI1378" t="s">
        <v>48</v>
      </c>
      <c r="AJ1378" t="s">
        <v>48</v>
      </c>
      <c r="AK1378" t="s">
        <v>48</v>
      </c>
      <c r="AL1378" t="s">
        <v>48</v>
      </c>
      <c r="AM1378" t="s">
        <v>48</v>
      </c>
      <c r="AN1378" t="s">
        <v>48</v>
      </c>
      <c r="AO1378" t="s">
        <v>48</v>
      </c>
      <c r="AP1378" s="46">
        <v>0</v>
      </c>
      <c r="AQ1378" s="46">
        <v>0</v>
      </c>
      <c r="AR1378" s="46">
        <v>0</v>
      </c>
      <c r="AS1378" s="46">
        <v>0</v>
      </c>
      <c r="AT1378" s="46">
        <v>0</v>
      </c>
      <c r="AU1378" s="46">
        <v>0</v>
      </c>
      <c r="AV1378" s="46">
        <v>0</v>
      </c>
      <c r="AW1378" s="46">
        <v>0</v>
      </c>
      <c r="AX1378" s="46">
        <v>0</v>
      </c>
      <c r="AY1378" s="46">
        <v>0</v>
      </c>
      <c r="AZ1378" s="46">
        <v>0</v>
      </c>
      <c r="BA1378" s="46">
        <v>0</v>
      </c>
      <c r="BB1378" s="46">
        <v>0</v>
      </c>
      <c r="BC1378" s="46">
        <v>0</v>
      </c>
      <c r="BD1378" s="46">
        <v>0</v>
      </c>
      <c r="BE1378" s="46">
        <v>0</v>
      </c>
      <c r="BF1378" s="46">
        <v>0</v>
      </c>
      <c r="BG1378" s="46" t="s">
        <v>48</v>
      </c>
      <c r="BH1378" s="46">
        <v>0</v>
      </c>
      <c r="BI1378" s="46">
        <v>0</v>
      </c>
      <c r="BJ1378" s="46">
        <v>0</v>
      </c>
      <c r="BK1378" s="46">
        <v>0</v>
      </c>
      <c r="BL1378" s="46">
        <v>0</v>
      </c>
      <c r="BM1378" s="46">
        <v>0</v>
      </c>
      <c r="BN1378" s="46">
        <v>0</v>
      </c>
    </row>
    <row r="1379" spans="1:66" x14ac:dyDescent="0.35">
      <c r="A1379" t="s">
        <v>8068</v>
      </c>
      <c r="B1379" s="44" t="s">
        <v>48</v>
      </c>
      <c r="C1379" t="s">
        <v>3837</v>
      </c>
      <c r="D1379" t="s">
        <v>5866</v>
      </c>
      <c r="E1379" t="s">
        <v>8069</v>
      </c>
      <c r="F1379" t="s">
        <v>1294</v>
      </c>
      <c r="G1379" t="s">
        <v>74</v>
      </c>
      <c r="H1379">
        <v>0</v>
      </c>
      <c r="I1379" s="61">
        <v>44733</v>
      </c>
      <c r="J1379" s="33" t="s">
        <v>45</v>
      </c>
      <c r="K1379" s="46">
        <v>0</v>
      </c>
      <c r="L1379">
        <v>4.4000000000000004</v>
      </c>
      <c r="M1379" t="s">
        <v>48</v>
      </c>
      <c r="N1379" s="46">
        <v>0</v>
      </c>
      <c r="O1379" s="46">
        <v>0</v>
      </c>
      <c r="P1379" s="46">
        <v>0</v>
      </c>
      <c r="Q1379" t="s">
        <v>48</v>
      </c>
      <c r="R1379" t="s">
        <v>48</v>
      </c>
      <c r="S1379" t="s">
        <v>48</v>
      </c>
      <c r="T1379" t="s">
        <v>48</v>
      </c>
      <c r="U1379" t="s">
        <v>48</v>
      </c>
      <c r="V1379" s="47">
        <v>1</v>
      </c>
      <c r="W1379" t="s">
        <v>48</v>
      </c>
      <c r="X1379" t="s">
        <v>48</v>
      </c>
      <c r="Y1379" t="s">
        <v>48</v>
      </c>
      <c r="Z1379" t="s">
        <v>48</v>
      </c>
      <c r="AA1379" t="s">
        <v>48</v>
      </c>
      <c r="AB1379" t="s">
        <v>48</v>
      </c>
      <c r="AC1379" t="s">
        <v>49</v>
      </c>
      <c r="AD1379" t="s">
        <v>93</v>
      </c>
      <c r="AE1379" t="s">
        <v>4532</v>
      </c>
      <c r="AF1379" t="s">
        <v>48</v>
      </c>
      <c r="AG1379" t="s">
        <v>48</v>
      </c>
      <c r="AH1379" t="s">
        <v>48</v>
      </c>
      <c r="AI1379" t="s">
        <v>48</v>
      </c>
      <c r="AJ1379" t="s">
        <v>48</v>
      </c>
      <c r="AK1379" t="s">
        <v>48</v>
      </c>
      <c r="AL1379" t="s">
        <v>48</v>
      </c>
      <c r="AM1379" t="s">
        <v>48</v>
      </c>
      <c r="AN1379" t="s">
        <v>48</v>
      </c>
      <c r="AO1379" t="s">
        <v>48</v>
      </c>
      <c r="AP1379" s="46">
        <v>0</v>
      </c>
      <c r="AQ1379" s="46">
        <v>0</v>
      </c>
      <c r="AR1379" s="46">
        <v>0</v>
      </c>
      <c r="AS1379" s="46">
        <v>0</v>
      </c>
      <c r="AT1379" s="46">
        <v>0</v>
      </c>
      <c r="AU1379" s="46">
        <v>0</v>
      </c>
      <c r="AV1379" s="46">
        <v>0</v>
      </c>
      <c r="AW1379" s="46">
        <v>0</v>
      </c>
      <c r="AX1379" s="46">
        <v>0</v>
      </c>
      <c r="AY1379" s="46">
        <v>0</v>
      </c>
      <c r="AZ1379" s="46">
        <v>0</v>
      </c>
      <c r="BA1379" s="46">
        <v>0</v>
      </c>
      <c r="BB1379" s="46">
        <v>0</v>
      </c>
      <c r="BC1379" s="46">
        <v>0</v>
      </c>
      <c r="BD1379" s="46">
        <v>0</v>
      </c>
      <c r="BE1379" s="46">
        <v>0</v>
      </c>
      <c r="BF1379" s="46">
        <v>0</v>
      </c>
      <c r="BG1379" s="46" t="s">
        <v>48</v>
      </c>
      <c r="BH1379" s="46">
        <v>0</v>
      </c>
      <c r="BI1379" s="46">
        <v>0</v>
      </c>
      <c r="BJ1379" s="46">
        <v>0</v>
      </c>
      <c r="BK1379" s="46">
        <v>0</v>
      </c>
      <c r="BL1379" s="46">
        <v>0</v>
      </c>
      <c r="BM1379" s="46">
        <v>0</v>
      </c>
      <c r="BN1379" s="46">
        <v>0</v>
      </c>
    </row>
    <row r="1380" spans="1:66" x14ac:dyDescent="0.35">
      <c r="A1380" t="s">
        <v>1293</v>
      </c>
      <c r="B1380" s="44" t="s">
        <v>48</v>
      </c>
      <c r="C1380" t="s">
        <v>1298</v>
      </c>
      <c r="D1380" t="s">
        <v>1297</v>
      </c>
      <c r="E1380" t="s">
        <v>1295</v>
      </c>
      <c r="F1380" t="s">
        <v>1294</v>
      </c>
      <c r="G1380" t="s">
        <v>47</v>
      </c>
      <c r="H1380">
        <v>0</v>
      </c>
      <c r="I1380" s="60" t="s">
        <v>125</v>
      </c>
      <c r="J1380" s="33" t="s">
        <v>45</v>
      </c>
      <c r="K1380" s="46">
        <v>0</v>
      </c>
      <c r="L1380">
        <v>11.1</v>
      </c>
      <c r="M1380" t="s">
        <v>48</v>
      </c>
      <c r="N1380" s="46">
        <v>0</v>
      </c>
      <c r="O1380" s="46">
        <v>0</v>
      </c>
      <c r="P1380" s="46">
        <v>0</v>
      </c>
      <c r="Q1380" t="s">
        <v>48</v>
      </c>
      <c r="R1380" t="s">
        <v>48</v>
      </c>
      <c r="S1380" t="s">
        <v>1296</v>
      </c>
      <c r="T1380" t="s">
        <v>48</v>
      </c>
      <c r="U1380" t="s">
        <v>1296</v>
      </c>
      <c r="V1380" s="47">
        <v>0</v>
      </c>
      <c r="W1380" t="s">
        <v>48</v>
      </c>
      <c r="X1380" t="s">
        <v>48</v>
      </c>
      <c r="Y1380" t="s">
        <v>48</v>
      </c>
      <c r="Z1380">
        <v>0</v>
      </c>
      <c r="AA1380" t="s">
        <v>48</v>
      </c>
      <c r="AB1380" t="s">
        <v>48</v>
      </c>
      <c r="AC1380" t="s">
        <v>49</v>
      </c>
      <c r="AD1380" t="s">
        <v>951</v>
      </c>
      <c r="AE1380" t="s">
        <v>11051</v>
      </c>
      <c r="AF1380" t="s">
        <v>11069</v>
      </c>
      <c r="AG1380" t="s">
        <v>48</v>
      </c>
      <c r="AH1380" t="s">
        <v>48</v>
      </c>
      <c r="AI1380" t="s">
        <v>48</v>
      </c>
      <c r="AJ1380" t="s">
        <v>48</v>
      </c>
      <c r="AK1380" t="s">
        <v>48</v>
      </c>
      <c r="AL1380" t="s">
        <v>48</v>
      </c>
      <c r="AM1380" t="s">
        <v>48</v>
      </c>
      <c r="AN1380" t="s">
        <v>48</v>
      </c>
      <c r="AO1380" t="s">
        <v>48</v>
      </c>
      <c r="AP1380" s="46">
        <v>0</v>
      </c>
      <c r="AQ1380" s="46">
        <v>0</v>
      </c>
      <c r="AR1380" s="46">
        <v>0</v>
      </c>
      <c r="AS1380" s="46">
        <v>0</v>
      </c>
      <c r="AT1380" s="46">
        <v>0</v>
      </c>
      <c r="AU1380" s="46">
        <v>0</v>
      </c>
      <c r="AV1380" s="46">
        <v>0</v>
      </c>
      <c r="AW1380" s="46">
        <v>0</v>
      </c>
      <c r="AX1380" s="46">
        <v>0</v>
      </c>
      <c r="AY1380" s="46">
        <v>0</v>
      </c>
      <c r="AZ1380" s="46">
        <v>0</v>
      </c>
      <c r="BA1380" s="46">
        <v>0</v>
      </c>
      <c r="BB1380" s="46">
        <v>0</v>
      </c>
      <c r="BC1380" s="46">
        <v>0</v>
      </c>
      <c r="BD1380" s="46">
        <v>0</v>
      </c>
      <c r="BE1380" s="46">
        <v>0</v>
      </c>
      <c r="BF1380" s="46">
        <v>0</v>
      </c>
      <c r="BG1380" s="46" t="s">
        <v>48</v>
      </c>
      <c r="BH1380" s="46">
        <v>0</v>
      </c>
      <c r="BI1380" s="46">
        <v>0</v>
      </c>
      <c r="BJ1380" s="46">
        <v>0</v>
      </c>
      <c r="BK1380" s="46">
        <v>0</v>
      </c>
      <c r="BL1380" s="46">
        <v>0</v>
      </c>
      <c r="BM1380" s="46">
        <v>0</v>
      </c>
      <c r="BN1380" s="46">
        <v>0</v>
      </c>
    </row>
    <row r="1381" spans="1:66" x14ac:dyDescent="0.35">
      <c r="A1381" t="s">
        <v>8265</v>
      </c>
      <c r="B1381" s="44" t="s">
        <v>48</v>
      </c>
      <c r="C1381" t="s">
        <v>11695</v>
      </c>
      <c r="D1381" t="s">
        <v>11696</v>
      </c>
      <c r="E1381" t="s">
        <v>8266</v>
      </c>
      <c r="F1381" t="s">
        <v>1307</v>
      </c>
      <c r="G1381" t="s">
        <v>47</v>
      </c>
      <c r="H1381">
        <v>0</v>
      </c>
      <c r="I1381" s="61">
        <v>44733</v>
      </c>
      <c r="J1381" s="33" t="s">
        <v>45</v>
      </c>
      <c r="K1381" s="46">
        <v>0</v>
      </c>
      <c r="L1381">
        <v>5.4</v>
      </c>
      <c r="M1381" t="s">
        <v>48</v>
      </c>
      <c r="N1381" s="46">
        <v>0</v>
      </c>
      <c r="O1381" s="46">
        <v>0</v>
      </c>
      <c r="P1381" s="46">
        <v>0</v>
      </c>
      <c r="Q1381" t="s">
        <v>48</v>
      </c>
      <c r="R1381" t="s">
        <v>48</v>
      </c>
      <c r="S1381" t="s">
        <v>48</v>
      </c>
      <c r="T1381" t="s">
        <v>48</v>
      </c>
      <c r="U1381" t="s">
        <v>48</v>
      </c>
      <c r="V1381" s="47">
        <v>1</v>
      </c>
      <c r="W1381" t="s">
        <v>48</v>
      </c>
      <c r="X1381" t="s">
        <v>48</v>
      </c>
      <c r="Y1381" t="s">
        <v>48</v>
      </c>
      <c r="Z1381" t="s">
        <v>48</v>
      </c>
      <c r="AA1381" t="s">
        <v>48</v>
      </c>
      <c r="AB1381" t="s">
        <v>48</v>
      </c>
      <c r="AC1381" t="s">
        <v>63</v>
      </c>
      <c r="AD1381" t="s">
        <v>48</v>
      </c>
      <c r="AE1381" t="s">
        <v>48</v>
      </c>
      <c r="AF1381" t="s">
        <v>48</v>
      </c>
      <c r="AG1381" t="s">
        <v>48</v>
      </c>
      <c r="AH1381" t="s">
        <v>48</v>
      </c>
      <c r="AI1381" t="s">
        <v>48</v>
      </c>
      <c r="AJ1381" t="s">
        <v>48</v>
      </c>
      <c r="AK1381" t="s">
        <v>48</v>
      </c>
      <c r="AL1381" t="s">
        <v>48</v>
      </c>
      <c r="AM1381" t="s">
        <v>48</v>
      </c>
      <c r="AN1381" t="s">
        <v>48</v>
      </c>
      <c r="AO1381" t="s">
        <v>48</v>
      </c>
      <c r="AP1381" s="46">
        <v>0</v>
      </c>
      <c r="AQ1381" s="46">
        <v>0</v>
      </c>
      <c r="AR1381" s="46">
        <v>0</v>
      </c>
      <c r="AS1381" s="46">
        <v>0</v>
      </c>
      <c r="AT1381" s="46">
        <v>0</v>
      </c>
      <c r="AU1381" s="46">
        <v>0</v>
      </c>
      <c r="AV1381" s="46">
        <v>0</v>
      </c>
      <c r="AW1381" s="46">
        <v>0</v>
      </c>
      <c r="AX1381" s="46">
        <v>0</v>
      </c>
      <c r="AY1381" s="46">
        <v>0</v>
      </c>
      <c r="AZ1381" s="46">
        <v>0</v>
      </c>
      <c r="BA1381" s="46">
        <v>0</v>
      </c>
      <c r="BB1381" s="46">
        <v>0</v>
      </c>
      <c r="BC1381" s="46">
        <v>0</v>
      </c>
      <c r="BD1381" s="46">
        <v>0</v>
      </c>
      <c r="BE1381" s="46">
        <v>0</v>
      </c>
      <c r="BF1381" s="46">
        <v>0</v>
      </c>
      <c r="BG1381" s="46" t="s">
        <v>48</v>
      </c>
      <c r="BH1381" s="46">
        <v>0</v>
      </c>
      <c r="BI1381" s="46">
        <v>0</v>
      </c>
      <c r="BJ1381" s="46">
        <v>0</v>
      </c>
      <c r="BK1381" s="46">
        <v>0</v>
      </c>
      <c r="BL1381" s="46">
        <v>0</v>
      </c>
      <c r="BM1381" s="46">
        <v>0</v>
      </c>
      <c r="BN1381" s="46">
        <v>0</v>
      </c>
    </row>
    <row r="1382" spans="1:66" x14ac:dyDescent="0.35">
      <c r="A1382" t="s">
        <v>8267</v>
      </c>
      <c r="B1382" s="44" t="s">
        <v>48</v>
      </c>
      <c r="C1382" t="s">
        <v>11699</v>
      </c>
      <c r="D1382" t="s">
        <v>3306</v>
      </c>
      <c r="E1382" t="s">
        <v>8268</v>
      </c>
      <c r="F1382" t="s">
        <v>1307</v>
      </c>
      <c r="G1382" t="s">
        <v>47</v>
      </c>
      <c r="H1382">
        <v>0</v>
      </c>
      <c r="I1382" s="61">
        <v>44733</v>
      </c>
      <c r="J1382" s="33" t="s">
        <v>45</v>
      </c>
      <c r="K1382" s="46">
        <v>0</v>
      </c>
      <c r="L1382">
        <v>4</v>
      </c>
      <c r="M1382" t="s">
        <v>48</v>
      </c>
      <c r="N1382" s="46">
        <v>0</v>
      </c>
      <c r="O1382" s="46">
        <v>0</v>
      </c>
      <c r="P1382" s="46">
        <v>0</v>
      </c>
      <c r="Q1382" t="s">
        <v>48</v>
      </c>
      <c r="R1382" t="s">
        <v>48</v>
      </c>
      <c r="S1382" t="s">
        <v>48</v>
      </c>
      <c r="T1382" t="s">
        <v>48</v>
      </c>
      <c r="U1382" t="s">
        <v>48</v>
      </c>
      <c r="V1382" s="47">
        <v>1</v>
      </c>
      <c r="W1382" t="s">
        <v>48</v>
      </c>
      <c r="X1382" t="s">
        <v>48</v>
      </c>
      <c r="Y1382" t="s">
        <v>48</v>
      </c>
      <c r="Z1382" t="s">
        <v>48</v>
      </c>
      <c r="AA1382" t="s">
        <v>48</v>
      </c>
      <c r="AB1382" t="s">
        <v>48</v>
      </c>
      <c r="AC1382" t="s">
        <v>63</v>
      </c>
      <c r="AD1382" t="s">
        <v>93</v>
      </c>
      <c r="AE1382" t="s">
        <v>4532</v>
      </c>
      <c r="AF1382" t="s">
        <v>48</v>
      </c>
      <c r="AG1382" t="s">
        <v>48</v>
      </c>
      <c r="AH1382" t="s">
        <v>48</v>
      </c>
      <c r="AI1382" t="s">
        <v>48</v>
      </c>
      <c r="AJ1382" t="s">
        <v>48</v>
      </c>
      <c r="AK1382" t="s">
        <v>48</v>
      </c>
      <c r="AL1382" t="s">
        <v>48</v>
      </c>
      <c r="AM1382" t="s">
        <v>48</v>
      </c>
      <c r="AN1382" t="s">
        <v>48</v>
      </c>
      <c r="AO1382" t="s">
        <v>48</v>
      </c>
      <c r="AP1382" s="46">
        <v>0</v>
      </c>
      <c r="AQ1382" s="46">
        <v>0</v>
      </c>
      <c r="AR1382" s="46">
        <v>0</v>
      </c>
      <c r="AS1382" s="46">
        <v>0</v>
      </c>
      <c r="AT1382" s="46">
        <v>0</v>
      </c>
      <c r="AU1382" s="46">
        <v>0</v>
      </c>
      <c r="AV1382" s="46">
        <v>0</v>
      </c>
      <c r="AW1382" s="46">
        <v>0</v>
      </c>
      <c r="AX1382" s="46">
        <v>0</v>
      </c>
      <c r="AY1382" s="46">
        <v>0</v>
      </c>
      <c r="AZ1382" s="46">
        <v>0</v>
      </c>
      <c r="BA1382" s="46">
        <v>0</v>
      </c>
      <c r="BB1382" s="46">
        <v>0</v>
      </c>
      <c r="BC1382" s="46">
        <v>0</v>
      </c>
      <c r="BD1382" s="46">
        <v>0</v>
      </c>
      <c r="BE1382" s="46">
        <v>0</v>
      </c>
      <c r="BF1382" s="46">
        <v>0</v>
      </c>
      <c r="BG1382" s="46" t="s">
        <v>48</v>
      </c>
      <c r="BH1382" s="46">
        <v>0</v>
      </c>
      <c r="BI1382" s="46">
        <v>0</v>
      </c>
      <c r="BJ1382" s="46">
        <v>0</v>
      </c>
      <c r="BK1382" s="46">
        <v>0</v>
      </c>
      <c r="BL1382" s="46">
        <v>0</v>
      </c>
      <c r="BM1382" s="46">
        <v>0</v>
      </c>
      <c r="BN1382" s="46">
        <v>0</v>
      </c>
    </row>
    <row r="1383" spans="1:66" x14ac:dyDescent="0.35">
      <c r="A1383" t="s">
        <v>8071</v>
      </c>
      <c r="B1383" s="44" t="s">
        <v>48</v>
      </c>
      <c r="C1383" t="s">
        <v>11698</v>
      </c>
      <c r="D1383" t="s">
        <v>1608</v>
      </c>
      <c r="E1383" t="s">
        <v>8072</v>
      </c>
      <c r="F1383" t="s">
        <v>1307</v>
      </c>
      <c r="G1383" t="s">
        <v>74</v>
      </c>
      <c r="H1383">
        <v>0</v>
      </c>
      <c r="I1383" s="61">
        <v>44733</v>
      </c>
      <c r="J1383" s="33" t="s">
        <v>45</v>
      </c>
      <c r="K1383" s="46">
        <v>0</v>
      </c>
      <c r="L1383">
        <v>3.4</v>
      </c>
      <c r="M1383" t="s">
        <v>48</v>
      </c>
      <c r="N1383" s="46">
        <v>0</v>
      </c>
      <c r="O1383" s="46">
        <v>0</v>
      </c>
      <c r="P1383" s="46">
        <v>0</v>
      </c>
      <c r="Q1383" t="s">
        <v>48</v>
      </c>
      <c r="R1383" t="s">
        <v>48</v>
      </c>
      <c r="S1383" t="s">
        <v>48</v>
      </c>
      <c r="T1383" t="s">
        <v>48</v>
      </c>
      <c r="U1383" t="s">
        <v>48</v>
      </c>
      <c r="V1383" s="47">
        <v>1</v>
      </c>
      <c r="W1383" t="s">
        <v>48</v>
      </c>
      <c r="X1383" t="s">
        <v>48</v>
      </c>
      <c r="Y1383" t="s">
        <v>48</v>
      </c>
      <c r="Z1383" t="s">
        <v>48</v>
      </c>
      <c r="AA1383" t="s">
        <v>48</v>
      </c>
      <c r="AB1383" t="s">
        <v>48</v>
      </c>
      <c r="AC1383" t="s">
        <v>49</v>
      </c>
      <c r="AD1383" t="s">
        <v>48</v>
      </c>
      <c r="AE1383" t="s">
        <v>48</v>
      </c>
      <c r="AF1383" t="s">
        <v>48</v>
      </c>
      <c r="AG1383" t="s">
        <v>48</v>
      </c>
      <c r="AH1383" t="s">
        <v>48</v>
      </c>
      <c r="AI1383" t="s">
        <v>48</v>
      </c>
      <c r="AJ1383" t="s">
        <v>48</v>
      </c>
      <c r="AK1383" t="s">
        <v>48</v>
      </c>
      <c r="AL1383" t="s">
        <v>48</v>
      </c>
      <c r="AM1383" t="s">
        <v>48</v>
      </c>
      <c r="AN1383" t="s">
        <v>48</v>
      </c>
      <c r="AO1383" t="s">
        <v>48</v>
      </c>
      <c r="AP1383" s="46">
        <v>0</v>
      </c>
      <c r="AQ1383" s="46">
        <v>0</v>
      </c>
      <c r="AR1383" s="46">
        <v>0</v>
      </c>
      <c r="AS1383" s="46">
        <v>0</v>
      </c>
      <c r="AT1383" s="46">
        <v>0</v>
      </c>
      <c r="AU1383" s="46">
        <v>0</v>
      </c>
      <c r="AV1383" s="46">
        <v>0</v>
      </c>
      <c r="AW1383" s="46">
        <v>0</v>
      </c>
      <c r="AX1383" s="46">
        <v>0</v>
      </c>
      <c r="AY1383" s="46">
        <v>0</v>
      </c>
      <c r="AZ1383" s="46">
        <v>0</v>
      </c>
      <c r="BA1383" s="46">
        <v>0</v>
      </c>
      <c r="BB1383" s="46">
        <v>0</v>
      </c>
      <c r="BC1383" s="46">
        <v>0</v>
      </c>
      <c r="BD1383" s="46">
        <v>0</v>
      </c>
      <c r="BE1383" s="46">
        <v>0</v>
      </c>
      <c r="BF1383" s="46">
        <v>0</v>
      </c>
      <c r="BG1383" s="46" t="s">
        <v>48</v>
      </c>
      <c r="BH1383" s="46">
        <v>0</v>
      </c>
      <c r="BI1383" s="46">
        <v>0</v>
      </c>
      <c r="BJ1383" s="46">
        <v>0</v>
      </c>
      <c r="BK1383" s="46">
        <v>0</v>
      </c>
      <c r="BL1383" s="46">
        <v>0</v>
      </c>
      <c r="BM1383" s="46">
        <v>0</v>
      </c>
      <c r="BN1383" s="46">
        <v>0</v>
      </c>
    </row>
    <row r="1384" spans="1:66" x14ac:dyDescent="0.35">
      <c r="A1384" t="s">
        <v>1270</v>
      </c>
      <c r="B1384" s="44" t="s">
        <v>48</v>
      </c>
      <c r="C1384" t="s">
        <v>1273</v>
      </c>
      <c r="D1384" t="s">
        <v>1272</v>
      </c>
      <c r="E1384" t="s">
        <v>8264</v>
      </c>
      <c r="F1384" t="s">
        <v>1307</v>
      </c>
      <c r="G1384" t="s">
        <v>47</v>
      </c>
      <c r="H1384">
        <v>0</v>
      </c>
      <c r="I1384" s="61">
        <v>44733</v>
      </c>
      <c r="J1384" s="33" t="s">
        <v>45</v>
      </c>
      <c r="K1384" s="46">
        <v>0</v>
      </c>
      <c r="L1384">
        <v>5.6</v>
      </c>
      <c r="M1384" t="s">
        <v>48</v>
      </c>
      <c r="N1384" s="46">
        <v>0</v>
      </c>
      <c r="O1384" s="46">
        <v>0</v>
      </c>
      <c r="P1384" s="46">
        <v>0</v>
      </c>
      <c r="Q1384" t="s">
        <v>48</v>
      </c>
      <c r="R1384" t="s">
        <v>48</v>
      </c>
      <c r="S1384" t="s">
        <v>10058</v>
      </c>
      <c r="T1384" t="s">
        <v>48</v>
      </c>
      <c r="U1384" t="s">
        <v>10058</v>
      </c>
      <c r="V1384" s="47">
        <v>0</v>
      </c>
      <c r="W1384" t="s">
        <v>48</v>
      </c>
      <c r="X1384" t="s">
        <v>48</v>
      </c>
      <c r="Y1384" t="s">
        <v>48</v>
      </c>
      <c r="Z1384">
        <v>0</v>
      </c>
      <c r="AA1384" t="s">
        <v>48</v>
      </c>
      <c r="AB1384" t="s">
        <v>48</v>
      </c>
      <c r="AC1384" t="s">
        <v>49</v>
      </c>
      <c r="AD1384" t="s">
        <v>93</v>
      </c>
      <c r="AE1384" t="s">
        <v>4532</v>
      </c>
      <c r="AF1384" t="s">
        <v>48</v>
      </c>
      <c r="AG1384" t="s">
        <v>266</v>
      </c>
      <c r="AH1384" t="s">
        <v>48</v>
      </c>
      <c r="AI1384" t="s">
        <v>48</v>
      </c>
      <c r="AJ1384" t="s">
        <v>48</v>
      </c>
      <c r="AK1384" t="s">
        <v>48</v>
      </c>
      <c r="AL1384" t="s">
        <v>48</v>
      </c>
      <c r="AM1384" t="s">
        <v>48</v>
      </c>
      <c r="AN1384" t="s">
        <v>48</v>
      </c>
      <c r="AO1384" t="s">
        <v>48</v>
      </c>
      <c r="AP1384" s="46">
        <v>0</v>
      </c>
      <c r="AQ1384" s="46">
        <v>0</v>
      </c>
      <c r="AR1384" s="46">
        <v>0</v>
      </c>
      <c r="AS1384" s="46">
        <v>0</v>
      </c>
      <c r="AT1384" s="46">
        <v>0</v>
      </c>
      <c r="AU1384" s="46">
        <v>0</v>
      </c>
      <c r="AV1384" s="46">
        <v>0</v>
      </c>
      <c r="AW1384" s="46">
        <v>0</v>
      </c>
      <c r="AX1384" s="46">
        <v>0</v>
      </c>
      <c r="AY1384" s="46">
        <v>0</v>
      </c>
      <c r="AZ1384" s="46">
        <v>0</v>
      </c>
      <c r="BA1384" s="46">
        <v>0</v>
      </c>
      <c r="BB1384" s="46">
        <v>0</v>
      </c>
      <c r="BC1384" s="46">
        <v>0</v>
      </c>
      <c r="BD1384" s="46">
        <v>0</v>
      </c>
      <c r="BE1384" s="46">
        <v>0</v>
      </c>
      <c r="BF1384" s="46">
        <v>0</v>
      </c>
      <c r="BG1384" s="46" t="s">
        <v>48</v>
      </c>
      <c r="BH1384" s="46">
        <v>0</v>
      </c>
      <c r="BI1384" s="46">
        <v>0</v>
      </c>
      <c r="BJ1384" s="46">
        <v>0</v>
      </c>
      <c r="BK1384" s="46">
        <v>0</v>
      </c>
      <c r="BL1384" s="46">
        <v>0</v>
      </c>
      <c r="BM1384" s="46">
        <v>0</v>
      </c>
      <c r="BN1384" s="46">
        <v>0</v>
      </c>
    </row>
    <row r="1385" spans="1:66" x14ac:dyDescent="0.35">
      <c r="A1385" t="s">
        <v>8400</v>
      </c>
      <c r="B1385" s="44" t="s">
        <v>48</v>
      </c>
      <c r="C1385" t="s">
        <v>11697</v>
      </c>
      <c r="D1385" t="s">
        <v>704</v>
      </c>
      <c r="E1385" t="s">
        <v>8401</v>
      </c>
      <c r="F1385" t="s">
        <v>1307</v>
      </c>
      <c r="G1385" t="s">
        <v>83</v>
      </c>
      <c r="H1385">
        <v>0</v>
      </c>
      <c r="I1385" s="61">
        <v>44733</v>
      </c>
      <c r="J1385" s="33" t="s">
        <v>45</v>
      </c>
      <c r="K1385" s="46">
        <v>0</v>
      </c>
      <c r="L1385">
        <v>0.5</v>
      </c>
      <c r="M1385" t="s">
        <v>48</v>
      </c>
      <c r="N1385" s="46">
        <v>0</v>
      </c>
      <c r="O1385" s="46">
        <v>0</v>
      </c>
      <c r="P1385" s="46">
        <v>0</v>
      </c>
      <c r="Q1385" t="s">
        <v>48</v>
      </c>
      <c r="R1385" t="s">
        <v>48</v>
      </c>
      <c r="S1385" t="s">
        <v>10056</v>
      </c>
      <c r="T1385" t="s">
        <v>48</v>
      </c>
      <c r="U1385" t="s">
        <v>10056</v>
      </c>
      <c r="V1385" s="47">
        <v>1</v>
      </c>
      <c r="W1385" t="s">
        <v>48</v>
      </c>
      <c r="X1385" t="s">
        <v>48</v>
      </c>
      <c r="Y1385" t="s">
        <v>48</v>
      </c>
      <c r="Z1385" t="s">
        <v>48</v>
      </c>
      <c r="AA1385" t="s">
        <v>48</v>
      </c>
      <c r="AB1385" t="s">
        <v>48</v>
      </c>
      <c r="AC1385" t="s">
        <v>49</v>
      </c>
      <c r="AD1385" t="s">
        <v>93</v>
      </c>
      <c r="AE1385" t="s">
        <v>4532</v>
      </c>
      <c r="AF1385" t="s">
        <v>48</v>
      </c>
      <c r="AG1385" t="s">
        <v>48</v>
      </c>
      <c r="AH1385" t="s">
        <v>48</v>
      </c>
      <c r="AI1385" t="s">
        <v>48</v>
      </c>
      <c r="AJ1385" t="s">
        <v>48</v>
      </c>
      <c r="AK1385" t="s">
        <v>48</v>
      </c>
      <c r="AL1385" t="s">
        <v>48</v>
      </c>
      <c r="AM1385" t="s">
        <v>48</v>
      </c>
      <c r="AN1385" t="s">
        <v>48</v>
      </c>
      <c r="AO1385" t="s">
        <v>48</v>
      </c>
      <c r="AP1385" s="46">
        <v>0</v>
      </c>
      <c r="AQ1385" s="46">
        <v>0</v>
      </c>
      <c r="AR1385" s="46">
        <v>0</v>
      </c>
      <c r="AS1385" s="46">
        <v>0</v>
      </c>
      <c r="AT1385" s="46">
        <v>0</v>
      </c>
      <c r="AU1385" s="46">
        <v>0</v>
      </c>
      <c r="AV1385" s="46">
        <v>0</v>
      </c>
      <c r="AW1385" s="46">
        <v>0</v>
      </c>
      <c r="AX1385" s="46">
        <v>0</v>
      </c>
      <c r="AY1385" s="46">
        <v>0</v>
      </c>
      <c r="AZ1385" s="46">
        <v>0</v>
      </c>
      <c r="BA1385" s="46">
        <v>0</v>
      </c>
      <c r="BB1385" s="46">
        <v>0</v>
      </c>
      <c r="BC1385" s="46">
        <v>0</v>
      </c>
      <c r="BD1385" s="46">
        <v>0</v>
      </c>
      <c r="BE1385" s="46">
        <v>0</v>
      </c>
      <c r="BF1385" s="46">
        <v>0</v>
      </c>
      <c r="BG1385" s="46" t="s">
        <v>48</v>
      </c>
      <c r="BH1385" s="46">
        <v>0</v>
      </c>
      <c r="BI1385" s="46">
        <v>0</v>
      </c>
      <c r="BJ1385" s="46">
        <v>0</v>
      </c>
      <c r="BK1385" s="46">
        <v>0</v>
      </c>
      <c r="BL1385" s="46">
        <v>0</v>
      </c>
      <c r="BM1385" s="46">
        <v>0</v>
      </c>
      <c r="BN1385" s="46">
        <v>0</v>
      </c>
    </row>
    <row r="1386" spans="1:66" x14ac:dyDescent="0.35">
      <c r="A1386" t="s">
        <v>8402</v>
      </c>
      <c r="B1386" s="44" t="s">
        <v>48</v>
      </c>
      <c r="C1386" t="s">
        <v>332</v>
      </c>
      <c r="D1386" t="s">
        <v>571</v>
      </c>
      <c r="E1386" t="s">
        <v>8403</v>
      </c>
      <c r="F1386" t="s">
        <v>1307</v>
      </c>
      <c r="G1386" t="s">
        <v>83</v>
      </c>
      <c r="H1386">
        <v>0</v>
      </c>
      <c r="I1386" s="61">
        <v>44733</v>
      </c>
      <c r="J1386" s="33" t="s">
        <v>45</v>
      </c>
      <c r="K1386" s="46">
        <v>0</v>
      </c>
      <c r="L1386">
        <v>0.6</v>
      </c>
      <c r="M1386" t="s">
        <v>48</v>
      </c>
      <c r="N1386" s="46">
        <v>0</v>
      </c>
      <c r="O1386" s="46">
        <v>0</v>
      </c>
      <c r="P1386" s="46">
        <v>0</v>
      </c>
      <c r="Q1386" t="s">
        <v>48</v>
      </c>
      <c r="R1386" t="s">
        <v>48</v>
      </c>
      <c r="S1386" t="s">
        <v>10057</v>
      </c>
      <c r="T1386" t="s">
        <v>48</v>
      </c>
      <c r="U1386" t="s">
        <v>10057</v>
      </c>
      <c r="V1386" s="47">
        <v>1</v>
      </c>
      <c r="W1386" t="s">
        <v>48</v>
      </c>
      <c r="X1386" t="s">
        <v>48</v>
      </c>
      <c r="Y1386" t="s">
        <v>48</v>
      </c>
      <c r="Z1386" t="s">
        <v>48</v>
      </c>
      <c r="AA1386" t="s">
        <v>48</v>
      </c>
      <c r="AB1386" t="s">
        <v>48</v>
      </c>
      <c r="AC1386" t="s">
        <v>49</v>
      </c>
      <c r="AD1386" t="s">
        <v>951</v>
      </c>
      <c r="AE1386" t="s">
        <v>11051</v>
      </c>
      <c r="AF1386" t="s">
        <v>11057</v>
      </c>
      <c r="AG1386" t="s">
        <v>48</v>
      </c>
      <c r="AH1386" t="s">
        <v>48</v>
      </c>
      <c r="AI1386" t="s">
        <v>48</v>
      </c>
      <c r="AJ1386" t="s">
        <v>48</v>
      </c>
      <c r="AK1386" t="s">
        <v>48</v>
      </c>
      <c r="AL1386" t="s">
        <v>48</v>
      </c>
      <c r="AM1386" t="s">
        <v>48</v>
      </c>
      <c r="AN1386" t="s">
        <v>48</v>
      </c>
      <c r="AO1386" t="s">
        <v>48</v>
      </c>
      <c r="AP1386" s="46">
        <v>0</v>
      </c>
      <c r="AQ1386" s="46">
        <v>0</v>
      </c>
      <c r="AR1386" s="46">
        <v>0</v>
      </c>
      <c r="AS1386" s="46">
        <v>0</v>
      </c>
      <c r="AT1386" s="46">
        <v>0</v>
      </c>
      <c r="AU1386" s="46">
        <v>0</v>
      </c>
      <c r="AV1386" s="46">
        <v>0</v>
      </c>
      <c r="AW1386" s="46">
        <v>0</v>
      </c>
      <c r="AX1386" s="46">
        <v>0</v>
      </c>
      <c r="AY1386" s="46">
        <v>0</v>
      </c>
      <c r="AZ1386" s="46">
        <v>0</v>
      </c>
      <c r="BA1386" s="46">
        <v>0</v>
      </c>
      <c r="BB1386" s="46">
        <v>0</v>
      </c>
      <c r="BC1386" s="46">
        <v>0</v>
      </c>
      <c r="BD1386" s="46">
        <v>0</v>
      </c>
      <c r="BE1386" s="46">
        <v>0</v>
      </c>
      <c r="BF1386" s="46">
        <v>0</v>
      </c>
      <c r="BG1386" s="46" t="s">
        <v>48</v>
      </c>
      <c r="BH1386" s="46">
        <v>0</v>
      </c>
      <c r="BI1386" s="46">
        <v>0</v>
      </c>
      <c r="BJ1386" s="46">
        <v>0</v>
      </c>
      <c r="BK1386" s="46">
        <v>0</v>
      </c>
      <c r="BL1386" s="46">
        <v>0</v>
      </c>
      <c r="BM1386" s="46">
        <v>0</v>
      </c>
      <c r="BN1386" s="46">
        <v>0</v>
      </c>
    </row>
    <row r="1387" spans="1:66" x14ac:dyDescent="0.35">
      <c r="A1387" t="s">
        <v>1318</v>
      </c>
      <c r="B1387" s="44" t="s">
        <v>48</v>
      </c>
      <c r="C1387" t="s">
        <v>1322</v>
      </c>
      <c r="D1387" t="s">
        <v>1321</v>
      </c>
      <c r="E1387" t="s">
        <v>1319</v>
      </c>
      <c r="F1387" t="s">
        <v>1316</v>
      </c>
      <c r="G1387" t="s">
        <v>47</v>
      </c>
      <c r="H1387">
        <v>0</v>
      </c>
      <c r="I1387" s="60" t="s">
        <v>125</v>
      </c>
      <c r="J1387" s="33" t="s">
        <v>45</v>
      </c>
      <c r="K1387" s="46">
        <v>0</v>
      </c>
      <c r="L1387">
        <v>3.6</v>
      </c>
      <c r="M1387" t="s">
        <v>48</v>
      </c>
      <c r="N1387" s="46">
        <v>0</v>
      </c>
      <c r="O1387" s="46">
        <v>0</v>
      </c>
      <c r="P1387" s="46">
        <v>0</v>
      </c>
      <c r="Q1387" t="s">
        <v>48</v>
      </c>
      <c r="R1387" t="s">
        <v>48</v>
      </c>
      <c r="S1387" t="s">
        <v>1320</v>
      </c>
      <c r="T1387" t="s">
        <v>48</v>
      </c>
      <c r="U1387" t="s">
        <v>1320</v>
      </c>
      <c r="V1387" s="47">
        <v>0</v>
      </c>
      <c r="W1387" t="s">
        <v>11317</v>
      </c>
      <c r="X1387" t="s">
        <v>48</v>
      </c>
      <c r="Y1387" t="s">
        <v>48</v>
      </c>
      <c r="Z1387">
        <v>0</v>
      </c>
      <c r="AA1387" t="s">
        <v>48</v>
      </c>
      <c r="AB1387" t="s">
        <v>48</v>
      </c>
      <c r="AC1387" t="s">
        <v>49</v>
      </c>
      <c r="AD1387" t="s">
        <v>951</v>
      </c>
      <c r="AE1387" t="s">
        <v>11051</v>
      </c>
      <c r="AF1387" t="s">
        <v>11070</v>
      </c>
      <c r="AG1387" t="s">
        <v>48</v>
      </c>
      <c r="AH1387" t="s">
        <v>48</v>
      </c>
      <c r="AI1387" t="s">
        <v>48</v>
      </c>
      <c r="AJ1387" t="s">
        <v>48</v>
      </c>
      <c r="AK1387" t="s">
        <v>48</v>
      </c>
      <c r="AL1387" t="s">
        <v>48</v>
      </c>
      <c r="AM1387" t="s">
        <v>48</v>
      </c>
      <c r="AN1387" t="s">
        <v>48</v>
      </c>
      <c r="AO1387" t="s">
        <v>48</v>
      </c>
      <c r="AP1387" s="46">
        <v>0</v>
      </c>
      <c r="AQ1387" s="46">
        <v>0</v>
      </c>
      <c r="AR1387" s="46">
        <v>0</v>
      </c>
      <c r="AS1387" s="46">
        <v>0</v>
      </c>
      <c r="AT1387" s="46">
        <v>0</v>
      </c>
      <c r="AU1387" s="46">
        <v>0</v>
      </c>
      <c r="AV1387" s="46">
        <v>0</v>
      </c>
      <c r="AW1387" s="46">
        <v>0</v>
      </c>
      <c r="AX1387" s="46">
        <v>0</v>
      </c>
      <c r="AY1387" s="46">
        <v>0</v>
      </c>
      <c r="AZ1387" s="46">
        <v>0</v>
      </c>
      <c r="BA1387" s="46">
        <v>0</v>
      </c>
      <c r="BB1387" s="46">
        <v>0</v>
      </c>
      <c r="BC1387" s="46">
        <v>0</v>
      </c>
      <c r="BD1387" s="46">
        <v>0</v>
      </c>
      <c r="BE1387" s="46">
        <v>0</v>
      </c>
      <c r="BF1387" s="46">
        <v>0</v>
      </c>
      <c r="BG1387" s="46" t="s">
        <v>48</v>
      </c>
      <c r="BH1387" s="46">
        <v>0</v>
      </c>
      <c r="BI1387" s="46">
        <v>0</v>
      </c>
      <c r="BJ1387" s="46">
        <v>0</v>
      </c>
      <c r="BK1387" s="46">
        <v>0</v>
      </c>
      <c r="BL1387" s="46">
        <v>0</v>
      </c>
      <c r="BM1387" s="46">
        <v>0</v>
      </c>
      <c r="BN1387" s="46">
        <v>0</v>
      </c>
    </row>
    <row r="1388" spans="1:66" x14ac:dyDescent="0.35">
      <c r="A1388" t="s">
        <v>8269</v>
      </c>
      <c r="B1388" s="44" t="s">
        <v>48</v>
      </c>
      <c r="C1388" t="s">
        <v>11700</v>
      </c>
      <c r="D1388" t="s">
        <v>216</v>
      </c>
      <c r="E1388" t="s">
        <v>8270</v>
      </c>
      <c r="F1388" t="s">
        <v>1316</v>
      </c>
      <c r="G1388" t="s">
        <v>47</v>
      </c>
      <c r="H1388">
        <v>0</v>
      </c>
      <c r="I1388" s="61">
        <v>44733</v>
      </c>
      <c r="J1388" s="33" t="s">
        <v>45</v>
      </c>
      <c r="K1388" s="46">
        <v>0</v>
      </c>
      <c r="L1388">
        <v>5.7</v>
      </c>
      <c r="M1388" t="s">
        <v>48</v>
      </c>
      <c r="N1388" s="46">
        <v>0</v>
      </c>
      <c r="O1388" s="46">
        <v>0</v>
      </c>
      <c r="P1388" s="46">
        <v>0</v>
      </c>
      <c r="Q1388" t="s">
        <v>48</v>
      </c>
      <c r="R1388" t="s">
        <v>48</v>
      </c>
      <c r="S1388" t="s">
        <v>48</v>
      </c>
      <c r="T1388" t="s">
        <v>48</v>
      </c>
      <c r="U1388" t="s">
        <v>48</v>
      </c>
      <c r="V1388" s="47">
        <v>1</v>
      </c>
      <c r="W1388" t="s">
        <v>48</v>
      </c>
      <c r="X1388" t="s">
        <v>48</v>
      </c>
      <c r="Y1388" t="s">
        <v>48</v>
      </c>
      <c r="Z1388" t="s">
        <v>48</v>
      </c>
      <c r="AA1388" t="s">
        <v>48</v>
      </c>
      <c r="AB1388" t="s">
        <v>48</v>
      </c>
      <c r="AC1388" t="s">
        <v>48</v>
      </c>
      <c r="AD1388" t="s">
        <v>93</v>
      </c>
      <c r="AE1388" t="s">
        <v>2471</v>
      </c>
      <c r="AF1388" t="s">
        <v>48</v>
      </c>
      <c r="AG1388" t="s">
        <v>48</v>
      </c>
      <c r="AH1388" t="s">
        <v>48</v>
      </c>
      <c r="AI1388" t="s">
        <v>48</v>
      </c>
      <c r="AJ1388" t="s">
        <v>48</v>
      </c>
      <c r="AK1388" t="s">
        <v>48</v>
      </c>
      <c r="AL1388" t="s">
        <v>48</v>
      </c>
      <c r="AM1388" t="s">
        <v>48</v>
      </c>
      <c r="AN1388" t="s">
        <v>48</v>
      </c>
      <c r="AO1388" t="s">
        <v>48</v>
      </c>
      <c r="AP1388" s="46">
        <v>0</v>
      </c>
      <c r="AQ1388" s="46">
        <v>0</v>
      </c>
      <c r="AR1388" s="46">
        <v>0</v>
      </c>
      <c r="AS1388" s="46">
        <v>0</v>
      </c>
      <c r="AT1388" s="46">
        <v>0</v>
      </c>
      <c r="AU1388" s="46">
        <v>0</v>
      </c>
      <c r="AV1388" s="46">
        <v>0</v>
      </c>
      <c r="AW1388" s="46">
        <v>0</v>
      </c>
      <c r="AX1388" s="46">
        <v>0</v>
      </c>
      <c r="AY1388" s="46">
        <v>0</v>
      </c>
      <c r="AZ1388" s="46">
        <v>0</v>
      </c>
      <c r="BA1388" s="46">
        <v>0</v>
      </c>
      <c r="BB1388" s="46">
        <v>0</v>
      </c>
      <c r="BC1388" s="46">
        <v>0</v>
      </c>
      <c r="BD1388" s="46">
        <v>0</v>
      </c>
      <c r="BE1388" s="46">
        <v>0</v>
      </c>
      <c r="BF1388" s="46">
        <v>0</v>
      </c>
      <c r="BG1388" s="46" t="s">
        <v>48</v>
      </c>
      <c r="BH1388" s="46">
        <v>0</v>
      </c>
      <c r="BI1388" s="46">
        <v>0</v>
      </c>
      <c r="BJ1388" s="46">
        <v>0</v>
      </c>
      <c r="BK1388" s="46">
        <v>0</v>
      </c>
      <c r="BL1388" s="46">
        <v>0</v>
      </c>
      <c r="BM1388" s="46">
        <v>0</v>
      </c>
      <c r="BN1388" s="46">
        <v>0</v>
      </c>
    </row>
    <row r="1389" spans="1:66" x14ac:dyDescent="0.35">
      <c r="A1389" t="s">
        <v>1329</v>
      </c>
      <c r="B1389" s="44" t="s">
        <v>48</v>
      </c>
      <c r="C1389" t="s">
        <v>1034</v>
      </c>
      <c r="D1389" t="s">
        <v>705</v>
      </c>
      <c r="E1389" t="s">
        <v>1330</v>
      </c>
      <c r="F1389" t="s">
        <v>1316</v>
      </c>
      <c r="G1389" t="s">
        <v>74</v>
      </c>
      <c r="H1389">
        <v>0</v>
      </c>
      <c r="I1389" s="60" t="s">
        <v>51</v>
      </c>
      <c r="J1389" s="33" t="s">
        <v>45</v>
      </c>
      <c r="K1389" s="46">
        <v>0</v>
      </c>
      <c r="L1389">
        <v>17.7</v>
      </c>
      <c r="M1389" t="s">
        <v>48</v>
      </c>
      <c r="N1389" s="46">
        <v>0</v>
      </c>
      <c r="O1389" s="46">
        <v>0</v>
      </c>
      <c r="P1389" s="46">
        <v>0</v>
      </c>
      <c r="Q1389" t="s">
        <v>48</v>
      </c>
      <c r="R1389" t="s">
        <v>48</v>
      </c>
      <c r="S1389" t="s">
        <v>1331</v>
      </c>
      <c r="T1389" t="s">
        <v>48</v>
      </c>
      <c r="U1389" t="s">
        <v>1331</v>
      </c>
      <c r="V1389" s="47">
        <v>0</v>
      </c>
      <c r="W1389" t="s">
        <v>48</v>
      </c>
      <c r="X1389" t="s">
        <v>48</v>
      </c>
      <c r="Y1389" t="s">
        <v>48</v>
      </c>
      <c r="Z1389">
        <v>0</v>
      </c>
      <c r="AA1389" t="s">
        <v>48</v>
      </c>
      <c r="AB1389" t="s">
        <v>48</v>
      </c>
      <c r="AC1389" t="s">
        <v>49</v>
      </c>
      <c r="AD1389" t="s">
        <v>93</v>
      </c>
      <c r="AE1389" s="40" t="s">
        <v>2471</v>
      </c>
      <c r="AF1389" t="s">
        <v>11061</v>
      </c>
      <c r="AG1389" t="s">
        <v>48</v>
      </c>
      <c r="AH1389" t="s">
        <v>48</v>
      </c>
      <c r="AI1389" t="s">
        <v>48</v>
      </c>
      <c r="AJ1389" t="s">
        <v>48</v>
      </c>
      <c r="AK1389" t="s">
        <v>48</v>
      </c>
      <c r="AL1389" t="s">
        <v>48</v>
      </c>
      <c r="AM1389" t="s">
        <v>48</v>
      </c>
      <c r="AN1389" t="s">
        <v>48</v>
      </c>
      <c r="AO1389" t="s">
        <v>48</v>
      </c>
      <c r="AP1389" s="46">
        <v>0</v>
      </c>
      <c r="AQ1389" s="46">
        <v>0</v>
      </c>
      <c r="AR1389" s="46">
        <v>0</v>
      </c>
      <c r="AS1389" s="46">
        <v>0</v>
      </c>
      <c r="AT1389" s="46">
        <v>0</v>
      </c>
      <c r="AU1389" s="46">
        <v>0</v>
      </c>
      <c r="AV1389" s="46">
        <v>0</v>
      </c>
      <c r="AW1389" s="46">
        <v>0</v>
      </c>
      <c r="AX1389" s="46">
        <v>0</v>
      </c>
      <c r="AY1389" s="46">
        <v>0</v>
      </c>
      <c r="AZ1389" s="46">
        <v>0</v>
      </c>
      <c r="BA1389" s="46">
        <v>0</v>
      </c>
      <c r="BB1389" s="46">
        <v>0</v>
      </c>
      <c r="BC1389" s="46">
        <v>0</v>
      </c>
      <c r="BD1389" s="46">
        <v>0</v>
      </c>
      <c r="BE1389" s="46">
        <v>0</v>
      </c>
      <c r="BF1389" s="46">
        <v>0</v>
      </c>
      <c r="BG1389" s="46" t="s">
        <v>48</v>
      </c>
      <c r="BH1389" s="46">
        <v>0</v>
      </c>
      <c r="BI1389" s="46">
        <v>0</v>
      </c>
      <c r="BJ1389" s="46">
        <v>0</v>
      </c>
      <c r="BK1389" s="46">
        <v>0</v>
      </c>
      <c r="BL1389" s="46">
        <v>0</v>
      </c>
      <c r="BM1389" s="46">
        <v>0</v>
      </c>
      <c r="BN1389" s="46">
        <v>0</v>
      </c>
    </row>
    <row r="1390" spans="1:66" x14ac:dyDescent="0.35">
      <c r="A1390" t="s">
        <v>8075</v>
      </c>
      <c r="B1390" s="44" t="s">
        <v>48</v>
      </c>
      <c r="C1390" t="s">
        <v>11702</v>
      </c>
      <c r="D1390" t="s">
        <v>396</v>
      </c>
      <c r="E1390" t="s">
        <v>8076</v>
      </c>
      <c r="F1390" t="s">
        <v>1316</v>
      </c>
      <c r="G1390" t="s">
        <v>74</v>
      </c>
      <c r="H1390">
        <v>0</v>
      </c>
      <c r="I1390" s="61">
        <v>44733</v>
      </c>
      <c r="J1390" s="33" t="s">
        <v>45</v>
      </c>
      <c r="K1390" s="46">
        <v>0</v>
      </c>
      <c r="L1390">
        <v>2.5</v>
      </c>
      <c r="M1390" t="s">
        <v>48</v>
      </c>
      <c r="N1390" s="46">
        <v>0</v>
      </c>
      <c r="O1390" s="46">
        <v>0</v>
      </c>
      <c r="P1390" s="46">
        <v>0</v>
      </c>
      <c r="Q1390" t="s">
        <v>48</v>
      </c>
      <c r="R1390" t="s">
        <v>48</v>
      </c>
      <c r="S1390" t="s">
        <v>10059</v>
      </c>
      <c r="T1390" t="s">
        <v>48</v>
      </c>
      <c r="U1390" t="s">
        <v>10059</v>
      </c>
      <c r="V1390" s="47">
        <v>1</v>
      </c>
      <c r="W1390" t="s">
        <v>48</v>
      </c>
      <c r="X1390" t="s">
        <v>48</v>
      </c>
      <c r="Y1390" t="s">
        <v>48</v>
      </c>
      <c r="Z1390" t="s">
        <v>48</v>
      </c>
      <c r="AA1390" t="s">
        <v>48</v>
      </c>
      <c r="AB1390" t="s">
        <v>48</v>
      </c>
      <c r="AC1390" t="s">
        <v>49</v>
      </c>
      <c r="AD1390" t="s">
        <v>93</v>
      </c>
      <c r="AE1390" t="s">
        <v>4532</v>
      </c>
      <c r="AF1390" t="s">
        <v>48</v>
      </c>
      <c r="AG1390" t="s">
        <v>48</v>
      </c>
      <c r="AH1390" t="s">
        <v>48</v>
      </c>
      <c r="AI1390" t="s">
        <v>48</v>
      </c>
      <c r="AJ1390" t="s">
        <v>48</v>
      </c>
      <c r="AK1390" t="s">
        <v>48</v>
      </c>
      <c r="AL1390" t="s">
        <v>48</v>
      </c>
      <c r="AM1390" t="s">
        <v>48</v>
      </c>
      <c r="AN1390" t="s">
        <v>48</v>
      </c>
      <c r="AO1390" t="s">
        <v>48</v>
      </c>
      <c r="AP1390" s="46">
        <v>0</v>
      </c>
      <c r="AQ1390" s="46">
        <v>0</v>
      </c>
      <c r="AR1390" s="46">
        <v>0</v>
      </c>
      <c r="AS1390" s="46">
        <v>0</v>
      </c>
      <c r="AT1390" s="46">
        <v>0</v>
      </c>
      <c r="AU1390" s="46">
        <v>0</v>
      </c>
      <c r="AV1390" s="46">
        <v>0</v>
      </c>
      <c r="AW1390" s="46">
        <v>0</v>
      </c>
      <c r="AX1390" s="46">
        <v>0</v>
      </c>
      <c r="AY1390" s="46">
        <v>0</v>
      </c>
      <c r="AZ1390" s="46">
        <v>0</v>
      </c>
      <c r="BA1390" s="46">
        <v>0</v>
      </c>
      <c r="BB1390" s="46">
        <v>0</v>
      </c>
      <c r="BC1390" s="46">
        <v>0</v>
      </c>
      <c r="BD1390" s="46">
        <v>0</v>
      </c>
      <c r="BE1390" s="46">
        <v>0</v>
      </c>
      <c r="BF1390" s="46">
        <v>0</v>
      </c>
      <c r="BG1390" s="46" t="s">
        <v>48</v>
      </c>
      <c r="BH1390" s="46">
        <v>0</v>
      </c>
      <c r="BI1390" s="46">
        <v>0</v>
      </c>
      <c r="BJ1390" s="46">
        <v>0</v>
      </c>
      <c r="BK1390" s="46">
        <v>0</v>
      </c>
      <c r="BL1390" s="46">
        <v>0</v>
      </c>
      <c r="BM1390" s="46">
        <v>0</v>
      </c>
      <c r="BN1390" s="46">
        <v>0</v>
      </c>
    </row>
    <row r="1391" spans="1:66" x14ac:dyDescent="0.35">
      <c r="A1391" t="s">
        <v>8073</v>
      </c>
      <c r="B1391" s="44" t="s">
        <v>48</v>
      </c>
      <c r="C1391" t="s">
        <v>11701</v>
      </c>
      <c r="D1391" t="s">
        <v>6833</v>
      </c>
      <c r="E1391" t="s">
        <v>8074</v>
      </c>
      <c r="F1391" t="s">
        <v>1316</v>
      </c>
      <c r="G1391" t="s">
        <v>74</v>
      </c>
      <c r="H1391">
        <v>0</v>
      </c>
      <c r="I1391" s="61">
        <v>44733</v>
      </c>
      <c r="J1391" s="33" t="s">
        <v>45</v>
      </c>
      <c r="K1391" s="46">
        <v>0</v>
      </c>
      <c r="L1391">
        <v>8.1999999999999993</v>
      </c>
      <c r="M1391" t="s">
        <v>48</v>
      </c>
      <c r="N1391" s="46">
        <v>0</v>
      </c>
      <c r="O1391" s="46">
        <v>0</v>
      </c>
      <c r="P1391" s="46">
        <v>0</v>
      </c>
      <c r="Q1391" t="s">
        <v>48</v>
      </c>
      <c r="R1391" t="s">
        <v>48</v>
      </c>
      <c r="S1391" t="s">
        <v>48</v>
      </c>
      <c r="T1391" t="s">
        <v>48</v>
      </c>
      <c r="U1391" t="s">
        <v>48</v>
      </c>
      <c r="V1391" s="47">
        <v>1</v>
      </c>
      <c r="W1391" t="s">
        <v>48</v>
      </c>
      <c r="X1391" t="s">
        <v>48</v>
      </c>
      <c r="Y1391" t="s">
        <v>48</v>
      </c>
      <c r="Z1391" t="s">
        <v>48</v>
      </c>
      <c r="AA1391" t="s">
        <v>48</v>
      </c>
      <c r="AB1391" t="s">
        <v>48</v>
      </c>
      <c r="AC1391" t="s">
        <v>63</v>
      </c>
      <c r="AD1391" t="s">
        <v>951</v>
      </c>
      <c r="AE1391" t="s">
        <v>11051</v>
      </c>
      <c r="AF1391" t="s">
        <v>48</v>
      </c>
      <c r="AG1391" t="s">
        <v>48</v>
      </c>
      <c r="AH1391" t="s">
        <v>48</v>
      </c>
      <c r="AI1391" t="s">
        <v>48</v>
      </c>
      <c r="AJ1391" t="s">
        <v>48</v>
      </c>
      <c r="AK1391" t="s">
        <v>48</v>
      </c>
      <c r="AL1391" t="s">
        <v>48</v>
      </c>
      <c r="AM1391" t="s">
        <v>48</v>
      </c>
      <c r="AN1391" t="s">
        <v>48</v>
      </c>
      <c r="AO1391" t="s">
        <v>48</v>
      </c>
      <c r="AP1391" s="46">
        <v>0</v>
      </c>
      <c r="AQ1391" s="46">
        <v>0</v>
      </c>
      <c r="AR1391" s="46">
        <v>0</v>
      </c>
      <c r="AS1391" s="46">
        <v>0</v>
      </c>
      <c r="AT1391" s="46">
        <v>0</v>
      </c>
      <c r="AU1391" s="46">
        <v>0</v>
      </c>
      <c r="AV1391" s="46">
        <v>0</v>
      </c>
      <c r="AW1391" s="46">
        <v>0</v>
      </c>
      <c r="AX1391" s="46">
        <v>0</v>
      </c>
      <c r="AY1391" s="46">
        <v>0</v>
      </c>
      <c r="AZ1391" s="46">
        <v>0</v>
      </c>
      <c r="BA1391" s="46">
        <v>0</v>
      </c>
      <c r="BB1391" s="46">
        <v>0</v>
      </c>
      <c r="BC1391" s="46">
        <v>0</v>
      </c>
      <c r="BD1391" s="46">
        <v>0</v>
      </c>
      <c r="BE1391" s="46">
        <v>0</v>
      </c>
      <c r="BF1391" s="46">
        <v>0</v>
      </c>
      <c r="BG1391" s="46" t="s">
        <v>48</v>
      </c>
      <c r="BH1391" s="46">
        <v>0</v>
      </c>
      <c r="BI1391" s="46">
        <v>0</v>
      </c>
      <c r="BJ1391" s="46">
        <v>0</v>
      </c>
      <c r="BK1391" s="46">
        <v>0</v>
      </c>
      <c r="BL1391" s="46">
        <v>0</v>
      </c>
      <c r="BM1391" s="46">
        <v>0</v>
      </c>
      <c r="BN1391" s="46">
        <v>0</v>
      </c>
    </row>
    <row r="1392" spans="1:66" x14ac:dyDescent="0.35">
      <c r="A1392" t="s">
        <v>8272</v>
      </c>
      <c r="B1392" s="44" t="s">
        <v>48</v>
      </c>
      <c r="C1392" t="s">
        <v>11703</v>
      </c>
      <c r="D1392" t="s">
        <v>221</v>
      </c>
      <c r="E1392" t="s">
        <v>8273</v>
      </c>
      <c r="F1392" t="s">
        <v>1336</v>
      </c>
      <c r="G1392" t="s">
        <v>47</v>
      </c>
      <c r="H1392">
        <v>0</v>
      </c>
      <c r="I1392" s="61">
        <v>44733</v>
      </c>
      <c r="J1392" s="33" t="s">
        <v>45</v>
      </c>
      <c r="K1392" s="46">
        <v>0</v>
      </c>
      <c r="L1392">
        <v>10.8</v>
      </c>
      <c r="M1392" t="s">
        <v>48</v>
      </c>
      <c r="N1392" s="46">
        <v>0</v>
      </c>
      <c r="O1392" s="46">
        <v>0</v>
      </c>
      <c r="P1392" s="46">
        <v>0</v>
      </c>
      <c r="Q1392" t="s">
        <v>48</v>
      </c>
      <c r="R1392" t="s">
        <v>48</v>
      </c>
      <c r="S1392" t="s">
        <v>48</v>
      </c>
      <c r="T1392" t="s">
        <v>48</v>
      </c>
      <c r="U1392" t="s">
        <v>48</v>
      </c>
      <c r="V1392" s="47">
        <v>1</v>
      </c>
      <c r="W1392" t="s">
        <v>48</v>
      </c>
      <c r="X1392" t="s">
        <v>48</v>
      </c>
      <c r="Y1392" t="s">
        <v>48</v>
      </c>
      <c r="Z1392" t="s">
        <v>48</v>
      </c>
      <c r="AA1392" t="s">
        <v>48</v>
      </c>
      <c r="AB1392" t="s">
        <v>48</v>
      </c>
      <c r="AC1392" t="s">
        <v>49</v>
      </c>
      <c r="AD1392" t="s">
        <v>48</v>
      </c>
      <c r="AE1392" t="s">
        <v>48</v>
      </c>
      <c r="AF1392" t="s">
        <v>48</v>
      </c>
      <c r="AG1392" t="s">
        <v>48</v>
      </c>
      <c r="AH1392" t="s">
        <v>48</v>
      </c>
      <c r="AI1392" t="s">
        <v>48</v>
      </c>
      <c r="AJ1392" t="s">
        <v>48</v>
      </c>
      <c r="AK1392" t="s">
        <v>48</v>
      </c>
      <c r="AL1392" t="s">
        <v>48</v>
      </c>
      <c r="AM1392" t="s">
        <v>48</v>
      </c>
      <c r="AN1392" t="s">
        <v>48</v>
      </c>
      <c r="AO1392" t="s">
        <v>48</v>
      </c>
      <c r="AP1392" s="46">
        <v>0</v>
      </c>
      <c r="AQ1392" s="46">
        <v>0</v>
      </c>
      <c r="AR1392" s="46">
        <v>0</v>
      </c>
      <c r="AS1392" s="46">
        <v>0</v>
      </c>
      <c r="AT1392" s="46">
        <v>0</v>
      </c>
      <c r="AU1392" s="46">
        <v>0</v>
      </c>
      <c r="AV1392" s="46">
        <v>0</v>
      </c>
      <c r="AW1392" s="46">
        <v>0</v>
      </c>
      <c r="AX1392" s="46">
        <v>0</v>
      </c>
      <c r="AY1392" s="46">
        <v>0</v>
      </c>
      <c r="AZ1392" s="46">
        <v>0</v>
      </c>
      <c r="BA1392" s="46">
        <v>0</v>
      </c>
      <c r="BB1392" s="46">
        <v>0</v>
      </c>
      <c r="BC1392" s="46">
        <v>0</v>
      </c>
      <c r="BD1392" s="46">
        <v>0</v>
      </c>
      <c r="BE1392" s="46">
        <v>0</v>
      </c>
      <c r="BF1392" s="46">
        <v>0</v>
      </c>
      <c r="BG1392" s="46" t="s">
        <v>48</v>
      </c>
      <c r="BH1392" s="46">
        <v>0</v>
      </c>
      <c r="BI1392" s="46">
        <v>0</v>
      </c>
      <c r="BJ1392" s="46">
        <v>0</v>
      </c>
      <c r="BK1392" s="46">
        <v>0</v>
      </c>
      <c r="BL1392" s="46">
        <v>0</v>
      </c>
      <c r="BM1392" s="46">
        <v>0</v>
      </c>
      <c r="BN1392" s="46">
        <v>0</v>
      </c>
    </row>
    <row r="1393" spans="1:66" x14ac:dyDescent="0.35">
      <c r="A1393" t="s">
        <v>8278</v>
      </c>
      <c r="B1393" s="44" t="s">
        <v>48</v>
      </c>
      <c r="C1393" t="s">
        <v>861</v>
      </c>
      <c r="D1393" t="s">
        <v>11706</v>
      </c>
      <c r="E1393" t="s">
        <v>8279</v>
      </c>
      <c r="F1393" t="s">
        <v>1346</v>
      </c>
      <c r="G1393" t="s">
        <v>47</v>
      </c>
      <c r="H1393">
        <v>0</v>
      </c>
      <c r="I1393" s="61">
        <v>44733</v>
      </c>
      <c r="J1393" s="33" t="s">
        <v>45</v>
      </c>
      <c r="K1393" s="46">
        <v>0</v>
      </c>
      <c r="L1393">
        <v>6.6</v>
      </c>
      <c r="M1393" t="s">
        <v>48</v>
      </c>
      <c r="N1393" s="46">
        <v>0</v>
      </c>
      <c r="O1393" s="46">
        <v>0</v>
      </c>
      <c r="P1393" s="46">
        <v>0</v>
      </c>
      <c r="Q1393" t="s">
        <v>48</v>
      </c>
      <c r="R1393" t="s">
        <v>48</v>
      </c>
      <c r="S1393" t="s">
        <v>48</v>
      </c>
      <c r="T1393" t="s">
        <v>48</v>
      </c>
      <c r="U1393" t="s">
        <v>48</v>
      </c>
      <c r="V1393" s="47">
        <v>1</v>
      </c>
      <c r="W1393" t="s">
        <v>48</v>
      </c>
      <c r="X1393" t="s">
        <v>48</v>
      </c>
      <c r="Y1393" t="s">
        <v>48</v>
      </c>
      <c r="Z1393" t="s">
        <v>48</v>
      </c>
      <c r="AA1393" t="s">
        <v>48</v>
      </c>
      <c r="AB1393" t="s">
        <v>48</v>
      </c>
      <c r="AC1393" t="s">
        <v>49</v>
      </c>
      <c r="AD1393" t="s">
        <v>93</v>
      </c>
      <c r="AE1393" t="s">
        <v>4532</v>
      </c>
      <c r="AF1393" t="s">
        <v>48</v>
      </c>
      <c r="AG1393" t="s">
        <v>48</v>
      </c>
      <c r="AH1393" t="s">
        <v>48</v>
      </c>
      <c r="AI1393" t="s">
        <v>48</v>
      </c>
      <c r="AJ1393" t="s">
        <v>48</v>
      </c>
      <c r="AK1393" t="s">
        <v>48</v>
      </c>
      <c r="AL1393" t="s">
        <v>48</v>
      </c>
      <c r="AM1393" t="s">
        <v>48</v>
      </c>
      <c r="AN1393" t="s">
        <v>48</v>
      </c>
      <c r="AO1393" t="s">
        <v>48</v>
      </c>
      <c r="AP1393" s="46">
        <v>0</v>
      </c>
      <c r="AQ1393" s="46">
        <v>0</v>
      </c>
      <c r="AR1393" s="46">
        <v>0</v>
      </c>
      <c r="AS1393" s="46">
        <v>0</v>
      </c>
      <c r="AT1393" s="46">
        <v>0</v>
      </c>
      <c r="AU1393" s="46">
        <v>0</v>
      </c>
      <c r="AV1393" s="46">
        <v>0</v>
      </c>
      <c r="AW1393" s="46">
        <v>0</v>
      </c>
      <c r="AX1393" s="46">
        <v>0</v>
      </c>
      <c r="AY1393" s="46">
        <v>0</v>
      </c>
      <c r="AZ1393" s="46">
        <v>0</v>
      </c>
      <c r="BA1393" s="46">
        <v>0</v>
      </c>
      <c r="BB1393" s="46">
        <v>0</v>
      </c>
      <c r="BC1393" s="46">
        <v>0</v>
      </c>
      <c r="BD1393" s="46">
        <v>0</v>
      </c>
      <c r="BE1393" s="46">
        <v>0</v>
      </c>
      <c r="BF1393" s="46">
        <v>0</v>
      </c>
      <c r="BG1393" s="46" t="s">
        <v>48</v>
      </c>
      <c r="BH1393" s="46">
        <v>0</v>
      </c>
      <c r="BI1393" s="46">
        <v>0</v>
      </c>
      <c r="BJ1393" s="46">
        <v>0</v>
      </c>
      <c r="BK1393" s="46">
        <v>0</v>
      </c>
      <c r="BL1393" s="46">
        <v>0</v>
      </c>
      <c r="BM1393" s="46">
        <v>0</v>
      </c>
      <c r="BN1393" s="46">
        <v>0</v>
      </c>
    </row>
    <row r="1394" spans="1:66" x14ac:dyDescent="0.35">
      <c r="A1394" t="s">
        <v>11579</v>
      </c>
      <c r="B1394" s="44" t="s">
        <v>48</v>
      </c>
      <c r="C1394" t="s">
        <v>11708</v>
      </c>
      <c r="D1394" t="s">
        <v>1915</v>
      </c>
      <c r="E1394" t="s">
        <v>8282</v>
      </c>
      <c r="F1394" t="s">
        <v>1346</v>
      </c>
      <c r="G1394" t="s">
        <v>47</v>
      </c>
      <c r="H1394">
        <v>0</v>
      </c>
      <c r="I1394" s="61">
        <v>44733</v>
      </c>
      <c r="J1394" s="33" t="s">
        <v>45</v>
      </c>
      <c r="K1394" s="46">
        <v>0</v>
      </c>
      <c r="L1394">
        <v>9.6</v>
      </c>
      <c r="M1394" t="s">
        <v>48</v>
      </c>
      <c r="N1394" s="46">
        <v>0</v>
      </c>
      <c r="O1394" s="46">
        <v>0</v>
      </c>
      <c r="P1394" s="46">
        <v>0</v>
      </c>
      <c r="Q1394" t="s">
        <v>48</v>
      </c>
      <c r="R1394" t="s">
        <v>48</v>
      </c>
      <c r="S1394" t="s">
        <v>48</v>
      </c>
      <c r="T1394" t="s">
        <v>48</v>
      </c>
      <c r="U1394" t="s">
        <v>48</v>
      </c>
      <c r="V1394" s="47">
        <v>1</v>
      </c>
      <c r="W1394" t="s">
        <v>48</v>
      </c>
      <c r="X1394" t="s">
        <v>48</v>
      </c>
      <c r="Y1394" t="s">
        <v>48</v>
      </c>
      <c r="Z1394" t="s">
        <v>48</v>
      </c>
      <c r="AA1394" t="s">
        <v>48</v>
      </c>
      <c r="AB1394" t="s">
        <v>48</v>
      </c>
      <c r="AC1394" t="s">
        <v>49</v>
      </c>
      <c r="AD1394" t="s">
        <v>48</v>
      </c>
      <c r="AE1394" t="s">
        <v>48</v>
      </c>
      <c r="AF1394" t="s">
        <v>48</v>
      </c>
      <c r="AG1394" t="s">
        <v>48</v>
      </c>
      <c r="AH1394" t="s">
        <v>48</v>
      </c>
      <c r="AI1394" t="s">
        <v>48</v>
      </c>
      <c r="AJ1394" t="s">
        <v>48</v>
      </c>
      <c r="AK1394" t="s">
        <v>48</v>
      </c>
      <c r="AL1394" t="s">
        <v>48</v>
      </c>
      <c r="AM1394" t="s">
        <v>48</v>
      </c>
      <c r="AN1394" t="s">
        <v>48</v>
      </c>
      <c r="AO1394" t="s">
        <v>48</v>
      </c>
      <c r="AP1394" s="46">
        <v>0</v>
      </c>
      <c r="AQ1394" s="46">
        <v>0</v>
      </c>
      <c r="AR1394" s="46">
        <v>0</v>
      </c>
      <c r="AS1394" s="46">
        <v>0</v>
      </c>
      <c r="AT1394" s="46">
        <v>0</v>
      </c>
      <c r="AU1394" s="46">
        <v>0</v>
      </c>
      <c r="AV1394" s="46">
        <v>0</v>
      </c>
      <c r="AW1394" s="46">
        <v>0</v>
      </c>
      <c r="AX1394" s="46">
        <v>0</v>
      </c>
      <c r="AY1394" s="46">
        <v>0</v>
      </c>
      <c r="AZ1394" s="46">
        <v>0</v>
      </c>
      <c r="BA1394" s="46">
        <v>0</v>
      </c>
      <c r="BB1394" s="46">
        <v>0</v>
      </c>
      <c r="BC1394" s="46">
        <v>0</v>
      </c>
      <c r="BD1394" s="46">
        <v>0</v>
      </c>
      <c r="BE1394" s="46">
        <v>0</v>
      </c>
      <c r="BF1394" s="46">
        <v>0</v>
      </c>
      <c r="BG1394" s="46" t="s">
        <v>48</v>
      </c>
      <c r="BH1394" s="46">
        <v>0</v>
      </c>
      <c r="BI1394" s="46">
        <v>0</v>
      </c>
      <c r="BJ1394" s="46">
        <v>0</v>
      </c>
      <c r="BK1394" s="46">
        <v>0</v>
      </c>
      <c r="BL1394" s="46">
        <v>0</v>
      </c>
      <c r="BM1394" s="46">
        <v>0</v>
      </c>
      <c r="BN1394" s="46">
        <v>0</v>
      </c>
    </row>
    <row r="1395" spans="1:66" x14ac:dyDescent="0.35">
      <c r="A1395" t="s">
        <v>8283</v>
      </c>
      <c r="B1395" s="44" t="s">
        <v>48</v>
      </c>
      <c r="C1395" t="s">
        <v>11709</v>
      </c>
      <c r="D1395" t="s">
        <v>11710</v>
      </c>
      <c r="E1395" t="s">
        <v>8284</v>
      </c>
      <c r="F1395" t="s">
        <v>1346</v>
      </c>
      <c r="G1395" t="s">
        <v>47</v>
      </c>
      <c r="H1395">
        <v>0</v>
      </c>
      <c r="I1395" s="61">
        <v>44733</v>
      </c>
      <c r="J1395" s="33" t="s">
        <v>45</v>
      </c>
      <c r="K1395" s="46">
        <v>0</v>
      </c>
      <c r="L1395">
        <v>2.1</v>
      </c>
      <c r="M1395" t="s">
        <v>48</v>
      </c>
      <c r="N1395" s="46">
        <v>0</v>
      </c>
      <c r="O1395" s="46">
        <v>0</v>
      </c>
      <c r="P1395" s="46">
        <v>0</v>
      </c>
      <c r="Q1395" t="s">
        <v>48</v>
      </c>
      <c r="R1395" t="s">
        <v>48</v>
      </c>
      <c r="S1395" t="s">
        <v>48</v>
      </c>
      <c r="T1395" t="s">
        <v>48</v>
      </c>
      <c r="U1395" t="s">
        <v>48</v>
      </c>
      <c r="V1395" s="47">
        <v>1</v>
      </c>
      <c r="W1395" t="s">
        <v>48</v>
      </c>
      <c r="X1395" t="s">
        <v>48</v>
      </c>
      <c r="Y1395" t="s">
        <v>48</v>
      </c>
      <c r="Z1395" t="s">
        <v>48</v>
      </c>
      <c r="AA1395" t="s">
        <v>48</v>
      </c>
      <c r="AB1395" t="s">
        <v>48</v>
      </c>
      <c r="AC1395" t="s">
        <v>49</v>
      </c>
      <c r="AD1395" t="s">
        <v>48</v>
      </c>
      <c r="AE1395" t="s">
        <v>48</v>
      </c>
      <c r="AF1395" t="s">
        <v>48</v>
      </c>
      <c r="AG1395" t="s">
        <v>48</v>
      </c>
      <c r="AH1395" t="s">
        <v>48</v>
      </c>
      <c r="AI1395" t="s">
        <v>48</v>
      </c>
      <c r="AJ1395" t="s">
        <v>48</v>
      </c>
      <c r="AK1395" t="s">
        <v>48</v>
      </c>
      <c r="AL1395" t="s">
        <v>48</v>
      </c>
      <c r="AM1395" t="s">
        <v>48</v>
      </c>
      <c r="AN1395" t="s">
        <v>48</v>
      </c>
      <c r="AO1395" t="s">
        <v>48</v>
      </c>
      <c r="AP1395" s="46">
        <v>0</v>
      </c>
      <c r="AQ1395" s="46">
        <v>0</v>
      </c>
      <c r="AR1395" s="46">
        <v>0</v>
      </c>
      <c r="AS1395" s="46">
        <v>0</v>
      </c>
      <c r="AT1395" s="46">
        <v>0</v>
      </c>
      <c r="AU1395" s="46">
        <v>0</v>
      </c>
      <c r="AV1395" s="46">
        <v>0</v>
      </c>
      <c r="AW1395" s="46">
        <v>0</v>
      </c>
      <c r="AX1395" s="46">
        <v>0</v>
      </c>
      <c r="AY1395" s="46">
        <v>0</v>
      </c>
      <c r="AZ1395" s="46">
        <v>0</v>
      </c>
      <c r="BA1395" s="46">
        <v>0</v>
      </c>
      <c r="BB1395" s="46">
        <v>0</v>
      </c>
      <c r="BC1395" s="46">
        <v>0</v>
      </c>
      <c r="BD1395" s="46">
        <v>0</v>
      </c>
      <c r="BE1395" s="46">
        <v>0</v>
      </c>
      <c r="BF1395" s="46">
        <v>0</v>
      </c>
      <c r="BG1395" s="46" t="s">
        <v>48</v>
      </c>
      <c r="BH1395" s="46">
        <v>0</v>
      </c>
      <c r="BI1395" s="46">
        <v>0</v>
      </c>
      <c r="BJ1395" s="46">
        <v>0</v>
      </c>
      <c r="BK1395" s="46">
        <v>0</v>
      </c>
      <c r="BL1395" s="46">
        <v>0</v>
      </c>
      <c r="BM1395" s="46">
        <v>0</v>
      </c>
      <c r="BN1395" s="46">
        <v>0</v>
      </c>
    </row>
    <row r="1396" spans="1:66" x14ac:dyDescent="0.35">
      <c r="A1396" t="s">
        <v>8274</v>
      </c>
      <c r="B1396" s="44" t="s">
        <v>48</v>
      </c>
      <c r="C1396" t="s">
        <v>11704</v>
      </c>
      <c r="D1396" t="s">
        <v>221</v>
      </c>
      <c r="E1396" t="s">
        <v>8275</v>
      </c>
      <c r="F1396" t="s">
        <v>1346</v>
      </c>
      <c r="G1396" t="s">
        <v>47</v>
      </c>
      <c r="H1396">
        <v>0</v>
      </c>
      <c r="I1396" s="61">
        <v>44733</v>
      </c>
      <c r="J1396" s="33" t="s">
        <v>45</v>
      </c>
      <c r="K1396" s="46">
        <v>0</v>
      </c>
      <c r="L1396">
        <v>4.7</v>
      </c>
      <c r="M1396" t="s">
        <v>48</v>
      </c>
      <c r="N1396" s="46">
        <v>0</v>
      </c>
      <c r="O1396" s="46">
        <v>0</v>
      </c>
      <c r="P1396" s="46">
        <v>0</v>
      </c>
      <c r="Q1396" t="s">
        <v>48</v>
      </c>
      <c r="R1396" t="s">
        <v>48</v>
      </c>
      <c r="S1396" t="s">
        <v>48</v>
      </c>
      <c r="T1396" t="s">
        <v>48</v>
      </c>
      <c r="U1396" t="s">
        <v>48</v>
      </c>
      <c r="V1396" s="47">
        <v>1</v>
      </c>
      <c r="W1396" t="s">
        <v>48</v>
      </c>
      <c r="X1396" t="s">
        <v>48</v>
      </c>
      <c r="Y1396" t="s">
        <v>48</v>
      </c>
      <c r="Z1396" t="s">
        <v>48</v>
      </c>
      <c r="AA1396" t="s">
        <v>48</v>
      </c>
      <c r="AB1396" t="s">
        <v>48</v>
      </c>
      <c r="AC1396" t="s">
        <v>49</v>
      </c>
      <c r="AD1396" t="s">
        <v>93</v>
      </c>
      <c r="AE1396" t="s">
        <v>4532</v>
      </c>
      <c r="AF1396" t="s">
        <v>48</v>
      </c>
      <c r="AG1396" t="s">
        <v>48</v>
      </c>
      <c r="AH1396" t="s">
        <v>48</v>
      </c>
      <c r="AI1396" t="s">
        <v>48</v>
      </c>
      <c r="AJ1396" t="s">
        <v>48</v>
      </c>
      <c r="AK1396" t="s">
        <v>48</v>
      </c>
      <c r="AL1396" t="s">
        <v>48</v>
      </c>
      <c r="AM1396" t="s">
        <v>48</v>
      </c>
      <c r="AN1396" t="s">
        <v>48</v>
      </c>
      <c r="AO1396" t="s">
        <v>48</v>
      </c>
      <c r="AP1396" s="46">
        <v>0</v>
      </c>
      <c r="AQ1396" s="46">
        <v>0</v>
      </c>
      <c r="AR1396" s="46">
        <v>0</v>
      </c>
      <c r="AS1396" s="46">
        <v>0</v>
      </c>
      <c r="AT1396" s="46">
        <v>0</v>
      </c>
      <c r="AU1396" s="46">
        <v>0</v>
      </c>
      <c r="AV1396" s="46">
        <v>0</v>
      </c>
      <c r="AW1396" s="46">
        <v>0</v>
      </c>
      <c r="AX1396" s="46">
        <v>0</v>
      </c>
      <c r="AY1396" s="46">
        <v>0</v>
      </c>
      <c r="AZ1396" s="46">
        <v>0</v>
      </c>
      <c r="BA1396" s="46">
        <v>0</v>
      </c>
      <c r="BB1396" s="46">
        <v>0</v>
      </c>
      <c r="BC1396" s="46">
        <v>0</v>
      </c>
      <c r="BD1396" s="46">
        <v>0</v>
      </c>
      <c r="BE1396" s="46">
        <v>0</v>
      </c>
      <c r="BF1396" s="46">
        <v>0</v>
      </c>
      <c r="BG1396" s="46" t="s">
        <v>48</v>
      </c>
      <c r="BH1396" s="46">
        <v>0</v>
      </c>
      <c r="BI1396" s="46">
        <v>0</v>
      </c>
      <c r="BJ1396" s="46">
        <v>0</v>
      </c>
      <c r="BK1396" s="46">
        <v>0</v>
      </c>
      <c r="BL1396" s="46">
        <v>0</v>
      </c>
      <c r="BM1396" s="46">
        <v>0</v>
      </c>
      <c r="BN1396" s="46">
        <v>0</v>
      </c>
    </row>
    <row r="1397" spans="1:66" x14ac:dyDescent="0.35">
      <c r="A1397" t="s">
        <v>8276</v>
      </c>
      <c r="B1397" s="44" t="s">
        <v>48</v>
      </c>
      <c r="C1397" t="s">
        <v>11705</v>
      </c>
      <c r="D1397" t="s">
        <v>1222</v>
      </c>
      <c r="E1397" t="s">
        <v>8277</v>
      </c>
      <c r="F1397" t="s">
        <v>1346</v>
      </c>
      <c r="G1397" t="s">
        <v>47</v>
      </c>
      <c r="H1397">
        <v>0</v>
      </c>
      <c r="I1397" s="61">
        <v>44733</v>
      </c>
      <c r="J1397" s="33" t="s">
        <v>45</v>
      </c>
      <c r="K1397" s="46">
        <v>0</v>
      </c>
      <c r="L1397">
        <v>7.1</v>
      </c>
      <c r="M1397" t="s">
        <v>48</v>
      </c>
      <c r="N1397" s="46">
        <v>0</v>
      </c>
      <c r="O1397" s="46">
        <v>0</v>
      </c>
      <c r="P1397" s="46">
        <v>0</v>
      </c>
      <c r="Q1397" t="s">
        <v>48</v>
      </c>
      <c r="R1397" t="s">
        <v>48</v>
      </c>
      <c r="S1397" t="s">
        <v>48</v>
      </c>
      <c r="T1397" t="s">
        <v>48</v>
      </c>
      <c r="U1397" t="s">
        <v>48</v>
      </c>
      <c r="V1397" s="47">
        <v>1</v>
      </c>
      <c r="W1397" t="s">
        <v>48</v>
      </c>
      <c r="X1397" t="s">
        <v>48</v>
      </c>
      <c r="Y1397" t="s">
        <v>48</v>
      </c>
      <c r="Z1397" t="s">
        <v>48</v>
      </c>
      <c r="AA1397" t="s">
        <v>48</v>
      </c>
      <c r="AB1397" t="s">
        <v>48</v>
      </c>
      <c r="AC1397" t="s">
        <v>49</v>
      </c>
      <c r="AD1397" t="s">
        <v>48</v>
      </c>
      <c r="AE1397" t="s">
        <v>48</v>
      </c>
      <c r="AF1397" t="s">
        <v>48</v>
      </c>
      <c r="AG1397" t="s">
        <v>48</v>
      </c>
      <c r="AH1397" t="s">
        <v>48</v>
      </c>
      <c r="AI1397" t="s">
        <v>48</v>
      </c>
      <c r="AJ1397" t="s">
        <v>48</v>
      </c>
      <c r="AK1397" t="s">
        <v>48</v>
      </c>
      <c r="AL1397" t="s">
        <v>48</v>
      </c>
      <c r="AM1397" t="s">
        <v>48</v>
      </c>
      <c r="AN1397" t="s">
        <v>48</v>
      </c>
      <c r="AO1397" t="s">
        <v>48</v>
      </c>
      <c r="AP1397" s="46">
        <v>0</v>
      </c>
      <c r="AQ1397" s="46">
        <v>0</v>
      </c>
      <c r="AR1397" s="46">
        <v>0</v>
      </c>
      <c r="AS1397" s="46">
        <v>0</v>
      </c>
      <c r="AT1397" s="46">
        <v>0</v>
      </c>
      <c r="AU1397" s="46">
        <v>0</v>
      </c>
      <c r="AV1397" s="46">
        <v>0</v>
      </c>
      <c r="AW1397" s="46">
        <v>0</v>
      </c>
      <c r="AX1397" s="46">
        <v>0</v>
      </c>
      <c r="AY1397" s="46">
        <v>0</v>
      </c>
      <c r="AZ1397" s="46">
        <v>0</v>
      </c>
      <c r="BA1397" s="46">
        <v>0</v>
      </c>
      <c r="BB1397" s="46">
        <v>0</v>
      </c>
      <c r="BC1397" s="46">
        <v>0</v>
      </c>
      <c r="BD1397" s="46">
        <v>0</v>
      </c>
      <c r="BE1397" s="46">
        <v>0</v>
      </c>
      <c r="BF1397" s="46">
        <v>0</v>
      </c>
      <c r="BG1397" s="46" t="s">
        <v>48</v>
      </c>
      <c r="BH1397" s="46">
        <v>0</v>
      </c>
      <c r="BI1397" s="46">
        <v>0</v>
      </c>
      <c r="BJ1397" s="46">
        <v>0</v>
      </c>
      <c r="BK1397" s="46">
        <v>0</v>
      </c>
      <c r="BL1397" s="46">
        <v>0</v>
      </c>
      <c r="BM1397" s="46">
        <v>0</v>
      </c>
      <c r="BN1397" s="46">
        <v>0</v>
      </c>
    </row>
    <row r="1398" spans="1:66" x14ac:dyDescent="0.35">
      <c r="A1398" t="s">
        <v>1363</v>
      </c>
      <c r="B1398" s="44" t="s">
        <v>48</v>
      </c>
      <c r="C1398" t="s">
        <v>1365</v>
      </c>
      <c r="D1398" t="s">
        <v>729</v>
      </c>
      <c r="E1398" t="s">
        <v>1364</v>
      </c>
      <c r="F1398" t="s">
        <v>1356</v>
      </c>
      <c r="G1398" t="s">
        <v>47</v>
      </c>
      <c r="H1398">
        <v>0</v>
      </c>
      <c r="I1398" s="60" t="s">
        <v>78</v>
      </c>
      <c r="J1398" s="33" t="s">
        <v>45</v>
      </c>
      <c r="K1398" s="46">
        <v>0</v>
      </c>
      <c r="L1398">
        <v>23.3</v>
      </c>
      <c r="M1398" t="s">
        <v>48</v>
      </c>
      <c r="N1398" s="46">
        <v>0</v>
      </c>
      <c r="O1398" s="46">
        <v>0</v>
      </c>
      <c r="P1398" s="46">
        <v>0</v>
      </c>
      <c r="Q1398" t="s">
        <v>48</v>
      </c>
      <c r="R1398" t="s">
        <v>48</v>
      </c>
      <c r="S1398" t="s">
        <v>10061</v>
      </c>
      <c r="T1398" t="s">
        <v>48</v>
      </c>
      <c r="U1398" t="s">
        <v>10061</v>
      </c>
      <c r="V1398" s="47">
        <v>0</v>
      </c>
      <c r="W1398" t="s">
        <v>48</v>
      </c>
      <c r="X1398" t="s">
        <v>48</v>
      </c>
      <c r="Y1398" t="s">
        <v>48</v>
      </c>
      <c r="Z1398">
        <v>0</v>
      </c>
      <c r="AA1398" t="s">
        <v>48</v>
      </c>
      <c r="AB1398" t="s">
        <v>48</v>
      </c>
      <c r="AC1398" t="s">
        <v>49</v>
      </c>
      <c r="AD1398" t="s">
        <v>93</v>
      </c>
      <c r="AE1398" t="s">
        <v>4532</v>
      </c>
      <c r="AF1398" t="s">
        <v>48</v>
      </c>
      <c r="AG1398" t="s">
        <v>48</v>
      </c>
      <c r="AH1398" t="s">
        <v>48</v>
      </c>
      <c r="AI1398" t="s">
        <v>48</v>
      </c>
      <c r="AJ1398" t="s">
        <v>48</v>
      </c>
      <c r="AK1398" t="s">
        <v>48</v>
      </c>
      <c r="AL1398" t="s">
        <v>48</v>
      </c>
      <c r="AM1398" t="s">
        <v>48</v>
      </c>
      <c r="AN1398" t="s">
        <v>48</v>
      </c>
      <c r="AO1398" t="s">
        <v>48</v>
      </c>
      <c r="AP1398" s="46">
        <v>0</v>
      </c>
      <c r="AQ1398" s="46">
        <v>0</v>
      </c>
      <c r="AR1398" s="46">
        <v>0</v>
      </c>
      <c r="AS1398" s="46">
        <v>0</v>
      </c>
      <c r="AT1398" s="46">
        <v>0</v>
      </c>
      <c r="AU1398" s="46">
        <v>0</v>
      </c>
      <c r="AV1398" s="46">
        <v>0</v>
      </c>
      <c r="AW1398" s="46">
        <v>0</v>
      </c>
      <c r="AX1398" s="46">
        <v>0</v>
      </c>
      <c r="AY1398" s="46">
        <v>0</v>
      </c>
      <c r="AZ1398" s="46">
        <v>0</v>
      </c>
      <c r="BA1398" s="46">
        <v>0</v>
      </c>
      <c r="BB1398" s="46">
        <v>0</v>
      </c>
      <c r="BC1398" s="46">
        <v>0</v>
      </c>
      <c r="BD1398" s="46">
        <v>0</v>
      </c>
      <c r="BE1398" s="46">
        <v>0</v>
      </c>
      <c r="BF1398" s="46">
        <v>0</v>
      </c>
      <c r="BG1398" s="46" t="s">
        <v>48</v>
      </c>
      <c r="BH1398" s="46">
        <v>0</v>
      </c>
      <c r="BI1398" s="46">
        <v>0</v>
      </c>
      <c r="BJ1398" s="46">
        <v>0</v>
      </c>
      <c r="BK1398" s="46">
        <v>0</v>
      </c>
      <c r="BL1398" s="46">
        <v>0</v>
      </c>
      <c r="BM1398" s="46">
        <v>0</v>
      </c>
      <c r="BN1398" s="46">
        <v>0</v>
      </c>
    </row>
    <row r="1399" spans="1:66" x14ac:dyDescent="0.35">
      <c r="A1399" t="s">
        <v>8286</v>
      </c>
      <c r="B1399" s="44" t="s">
        <v>48</v>
      </c>
      <c r="C1399" t="s">
        <v>11711</v>
      </c>
      <c r="D1399" t="s">
        <v>11712</v>
      </c>
      <c r="E1399" t="s">
        <v>8287</v>
      </c>
      <c r="F1399" t="s">
        <v>1356</v>
      </c>
      <c r="G1399" t="s">
        <v>47</v>
      </c>
      <c r="H1399">
        <v>0</v>
      </c>
      <c r="I1399" s="61">
        <v>44733</v>
      </c>
      <c r="J1399" s="33" t="s">
        <v>45</v>
      </c>
      <c r="K1399" s="46">
        <v>0</v>
      </c>
      <c r="L1399">
        <v>1.2</v>
      </c>
      <c r="M1399" t="s">
        <v>48</v>
      </c>
      <c r="N1399" s="46">
        <v>0</v>
      </c>
      <c r="O1399" s="46">
        <v>0</v>
      </c>
      <c r="P1399" s="46">
        <v>0</v>
      </c>
      <c r="Q1399" t="s">
        <v>48</v>
      </c>
      <c r="R1399" t="s">
        <v>48</v>
      </c>
      <c r="S1399" t="s">
        <v>48</v>
      </c>
      <c r="T1399" t="s">
        <v>48</v>
      </c>
      <c r="U1399" t="s">
        <v>48</v>
      </c>
      <c r="V1399" s="47">
        <v>1</v>
      </c>
      <c r="W1399" t="s">
        <v>48</v>
      </c>
      <c r="X1399" t="s">
        <v>48</v>
      </c>
      <c r="Y1399" t="s">
        <v>48</v>
      </c>
      <c r="Z1399" t="s">
        <v>48</v>
      </c>
      <c r="AA1399" t="s">
        <v>48</v>
      </c>
      <c r="AB1399" t="s">
        <v>48</v>
      </c>
      <c r="AC1399" t="s">
        <v>49</v>
      </c>
      <c r="AD1399" t="s">
        <v>48</v>
      </c>
      <c r="AE1399" t="s">
        <v>48</v>
      </c>
      <c r="AF1399" t="s">
        <v>48</v>
      </c>
      <c r="AG1399" t="s">
        <v>48</v>
      </c>
      <c r="AH1399" t="s">
        <v>48</v>
      </c>
      <c r="AI1399" t="s">
        <v>48</v>
      </c>
      <c r="AJ1399" t="s">
        <v>48</v>
      </c>
      <c r="AK1399" t="s">
        <v>48</v>
      </c>
      <c r="AL1399" t="s">
        <v>48</v>
      </c>
      <c r="AM1399" t="s">
        <v>48</v>
      </c>
      <c r="AN1399" t="s">
        <v>48</v>
      </c>
      <c r="AO1399" t="s">
        <v>48</v>
      </c>
      <c r="AP1399" s="46">
        <v>0</v>
      </c>
      <c r="AQ1399" s="46">
        <v>0</v>
      </c>
      <c r="AR1399" s="46">
        <v>0</v>
      </c>
      <c r="AS1399" s="46">
        <v>0</v>
      </c>
      <c r="AT1399" s="46">
        <v>0</v>
      </c>
      <c r="AU1399" s="46">
        <v>0</v>
      </c>
      <c r="AV1399" s="46">
        <v>0</v>
      </c>
      <c r="AW1399" s="46">
        <v>0</v>
      </c>
      <c r="AX1399" s="46">
        <v>0</v>
      </c>
      <c r="AY1399" s="46">
        <v>0</v>
      </c>
      <c r="AZ1399" s="46">
        <v>0</v>
      </c>
      <c r="BA1399" s="46">
        <v>0</v>
      </c>
      <c r="BB1399" s="46">
        <v>0</v>
      </c>
      <c r="BC1399" s="46">
        <v>0</v>
      </c>
      <c r="BD1399" s="46">
        <v>0</v>
      </c>
      <c r="BE1399" s="46">
        <v>0</v>
      </c>
      <c r="BF1399" s="46">
        <v>0</v>
      </c>
      <c r="BG1399" s="46" t="s">
        <v>48</v>
      </c>
      <c r="BH1399" s="46">
        <v>0</v>
      </c>
      <c r="BI1399" s="46">
        <v>0</v>
      </c>
      <c r="BJ1399" s="46">
        <v>0</v>
      </c>
      <c r="BK1399" s="46">
        <v>0</v>
      </c>
      <c r="BL1399" s="46">
        <v>0</v>
      </c>
      <c r="BM1399" s="46">
        <v>0</v>
      </c>
      <c r="BN1399" s="46">
        <v>0</v>
      </c>
    </row>
    <row r="1400" spans="1:66" x14ac:dyDescent="0.35">
      <c r="A1400" t="s">
        <v>8143</v>
      </c>
      <c r="B1400" s="44" t="s">
        <v>48</v>
      </c>
      <c r="C1400" t="s">
        <v>11714</v>
      </c>
      <c r="D1400" t="s">
        <v>280</v>
      </c>
      <c r="E1400" t="s">
        <v>8144</v>
      </c>
      <c r="F1400" t="s">
        <v>1367</v>
      </c>
      <c r="G1400" t="s">
        <v>83</v>
      </c>
      <c r="H1400">
        <v>0</v>
      </c>
      <c r="I1400" s="61">
        <v>44733</v>
      </c>
      <c r="J1400" s="33" t="s">
        <v>45</v>
      </c>
      <c r="K1400" s="46">
        <v>0</v>
      </c>
      <c r="L1400">
        <v>1.2</v>
      </c>
      <c r="M1400" t="s">
        <v>48</v>
      </c>
      <c r="N1400" s="46">
        <v>0</v>
      </c>
      <c r="O1400" s="46">
        <v>0</v>
      </c>
      <c r="P1400" s="46">
        <v>0</v>
      </c>
      <c r="Q1400" t="s">
        <v>48</v>
      </c>
      <c r="R1400" t="s">
        <v>48</v>
      </c>
      <c r="S1400" t="s">
        <v>10062</v>
      </c>
      <c r="T1400" t="s">
        <v>48</v>
      </c>
      <c r="U1400" t="s">
        <v>10062</v>
      </c>
      <c r="V1400" s="47">
        <v>1</v>
      </c>
      <c r="W1400" t="s">
        <v>48</v>
      </c>
      <c r="X1400" t="s">
        <v>48</v>
      </c>
      <c r="Y1400" t="s">
        <v>48</v>
      </c>
      <c r="Z1400" t="s">
        <v>48</v>
      </c>
      <c r="AA1400" t="s">
        <v>48</v>
      </c>
      <c r="AB1400" t="s">
        <v>48</v>
      </c>
      <c r="AC1400" t="s">
        <v>63</v>
      </c>
      <c r="AD1400" t="s">
        <v>93</v>
      </c>
      <c r="AE1400" t="s">
        <v>4532</v>
      </c>
      <c r="AF1400" t="s">
        <v>48</v>
      </c>
      <c r="AG1400" t="s">
        <v>48</v>
      </c>
      <c r="AH1400" t="s">
        <v>48</v>
      </c>
      <c r="AI1400" t="s">
        <v>48</v>
      </c>
      <c r="AJ1400" t="s">
        <v>48</v>
      </c>
      <c r="AK1400" t="s">
        <v>48</v>
      </c>
      <c r="AL1400" t="s">
        <v>48</v>
      </c>
      <c r="AM1400" t="s">
        <v>48</v>
      </c>
      <c r="AN1400" t="s">
        <v>48</v>
      </c>
      <c r="AO1400" t="s">
        <v>48</v>
      </c>
      <c r="AP1400" s="46">
        <v>0</v>
      </c>
      <c r="AQ1400" s="46">
        <v>0</v>
      </c>
      <c r="AR1400" s="46">
        <v>0</v>
      </c>
      <c r="AS1400" s="46">
        <v>0</v>
      </c>
      <c r="AT1400" s="46">
        <v>0</v>
      </c>
      <c r="AU1400" s="46">
        <v>0</v>
      </c>
      <c r="AV1400" s="46">
        <v>0</v>
      </c>
      <c r="AW1400" s="46">
        <v>0</v>
      </c>
      <c r="AX1400" s="46">
        <v>0</v>
      </c>
      <c r="AY1400" s="46">
        <v>0</v>
      </c>
      <c r="AZ1400" s="46">
        <v>0</v>
      </c>
      <c r="BA1400" s="46">
        <v>0</v>
      </c>
      <c r="BB1400" s="46">
        <v>0</v>
      </c>
      <c r="BC1400" s="46">
        <v>0</v>
      </c>
      <c r="BD1400" s="46">
        <v>0</v>
      </c>
      <c r="BE1400" s="46">
        <v>0</v>
      </c>
      <c r="BF1400" s="46">
        <v>0</v>
      </c>
      <c r="BG1400" s="46" t="s">
        <v>48</v>
      </c>
      <c r="BH1400" s="46">
        <v>0</v>
      </c>
      <c r="BI1400" s="46">
        <v>0</v>
      </c>
      <c r="BJ1400" s="46">
        <v>0</v>
      </c>
      <c r="BK1400" s="46">
        <v>0</v>
      </c>
      <c r="BL1400" s="46">
        <v>0</v>
      </c>
      <c r="BM1400" s="46">
        <v>0</v>
      </c>
      <c r="BN1400" s="46">
        <v>0</v>
      </c>
    </row>
    <row r="1401" spans="1:66" x14ac:dyDescent="0.35">
      <c r="A1401" t="s">
        <v>8289</v>
      </c>
      <c r="B1401" s="44" t="s">
        <v>48</v>
      </c>
      <c r="C1401" t="s">
        <v>11713</v>
      </c>
      <c r="D1401" t="s">
        <v>221</v>
      </c>
      <c r="E1401" t="s">
        <v>8290</v>
      </c>
      <c r="F1401" t="s">
        <v>1367</v>
      </c>
      <c r="G1401" t="s">
        <v>47</v>
      </c>
      <c r="H1401">
        <v>0</v>
      </c>
      <c r="I1401" s="61">
        <v>44733</v>
      </c>
      <c r="J1401" s="33" t="s">
        <v>45</v>
      </c>
      <c r="K1401" s="46">
        <v>0</v>
      </c>
      <c r="L1401">
        <v>4.5999999999999996</v>
      </c>
      <c r="M1401" t="s">
        <v>48</v>
      </c>
      <c r="N1401" s="46">
        <v>0</v>
      </c>
      <c r="O1401" s="46">
        <v>0</v>
      </c>
      <c r="P1401" s="46">
        <v>0</v>
      </c>
      <c r="Q1401" t="s">
        <v>48</v>
      </c>
      <c r="R1401" t="s">
        <v>48</v>
      </c>
      <c r="S1401" t="s">
        <v>48</v>
      </c>
      <c r="T1401" t="s">
        <v>48</v>
      </c>
      <c r="U1401" t="s">
        <v>48</v>
      </c>
      <c r="V1401" s="47">
        <v>1</v>
      </c>
      <c r="W1401" t="s">
        <v>48</v>
      </c>
      <c r="X1401" t="s">
        <v>48</v>
      </c>
      <c r="Y1401" t="s">
        <v>48</v>
      </c>
      <c r="Z1401" t="s">
        <v>48</v>
      </c>
      <c r="AA1401" t="s">
        <v>48</v>
      </c>
      <c r="AB1401" t="s">
        <v>48</v>
      </c>
      <c r="AC1401" t="s">
        <v>49</v>
      </c>
      <c r="AD1401" t="s">
        <v>48</v>
      </c>
      <c r="AE1401" t="s">
        <v>48</v>
      </c>
      <c r="AF1401" t="s">
        <v>48</v>
      </c>
      <c r="AG1401" t="s">
        <v>48</v>
      </c>
      <c r="AH1401" t="s">
        <v>48</v>
      </c>
      <c r="AI1401" t="s">
        <v>48</v>
      </c>
      <c r="AJ1401" t="s">
        <v>48</v>
      </c>
      <c r="AK1401" t="s">
        <v>48</v>
      </c>
      <c r="AL1401" t="s">
        <v>48</v>
      </c>
      <c r="AM1401" t="s">
        <v>48</v>
      </c>
      <c r="AN1401" t="s">
        <v>48</v>
      </c>
      <c r="AO1401" t="s">
        <v>48</v>
      </c>
      <c r="AP1401" s="46">
        <v>0</v>
      </c>
      <c r="AQ1401" s="46">
        <v>0</v>
      </c>
      <c r="AR1401" s="46">
        <v>0</v>
      </c>
      <c r="AS1401" s="46">
        <v>0</v>
      </c>
      <c r="AT1401" s="46">
        <v>0</v>
      </c>
      <c r="AU1401" s="46">
        <v>0</v>
      </c>
      <c r="AV1401" s="46">
        <v>0</v>
      </c>
      <c r="AW1401" s="46">
        <v>0</v>
      </c>
      <c r="AX1401" s="46">
        <v>0</v>
      </c>
      <c r="AY1401" s="46">
        <v>0</v>
      </c>
      <c r="AZ1401" s="46">
        <v>0</v>
      </c>
      <c r="BA1401" s="46">
        <v>0</v>
      </c>
      <c r="BB1401" s="46">
        <v>0</v>
      </c>
      <c r="BC1401" s="46">
        <v>0</v>
      </c>
      <c r="BD1401" s="46">
        <v>0</v>
      </c>
      <c r="BE1401" s="46">
        <v>0</v>
      </c>
      <c r="BF1401" s="46">
        <v>0</v>
      </c>
      <c r="BG1401" s="46" t="s">
        <v>48</v>
      </c>
      <c r="BH1401" s="46">
        <v>0</v>
      </c>
      <c r="BI1401" s="46">
        <v>0</v>
      </c>
      <c r="BJ1401" s="46">
        <v>0</v>
      </c>
      <c r="BK1401" s="46">
        <v>0</v>
      </c>
      <c r="BL1401" s="46">
        <v>0</v>
      </c>
      <c r="BM1401" s="46">
        <v>0</v>
      </c>
      <c r="BN1401" s="46">
        <v>0</v>
      </c>
    </row>
    <row r="1402" spans="1:66" x14ac:dyDescent="0.35">
      <c r="A1402" t="s">
        <v>1366</v>
      </c>
      <c r="B1402" s="44" t="s">
        <v>48</v>
      </c>
      <c r="C1402" t="s">
        <v>1371</v>
      </c>
      <c r="D1402" t="s">
        <v>1370</v>
      </c>
      <c r="E1402" t="s">
        <v>1368</v>
      </c>
      <c r="F1402" t="s">
        <v>1367</v>
      </c>
      <c r="G1402" t="s">
        <v>74</v>
      </c>
      <c r="H1402">
        <v>0</v>
      </c>
      <c r="I1402" s="60" t="s">
        <v>125</v>
      </c>
      <c r="J1402" s="33" t="s">
        <v>45</v>
      </c>
      <c r="K1402" s="46">
        <v>0</v>
      </c>
      <c r="L1402">
        <v>15.5</v>
      </c>
      <c r="M1402" t="s">
        <v>48</v>
      </c>
      <c r="N1402" s="46">
        <v>0</v>
      </c>
      <c r="O1402" s="46">
        <v>0</v>
      </c>
      <c r="P1402" s="46">
        <v>0</v>
      </c>
      <c r="Q1402" t="s">
        <v>48</v>
      </c>
      <c r="R1402" t="s">
        <v>48</v>
      </c>
      <c r="S1402" t="s">
        <v>1369</v>
      </c>
      <c r="T1402" t="s">
        <v>48</v>
      </c>
      <c r="U1402" t="s">
        <v>1369</v>
      </c>
      <c r="V1402" s="47">
        <v>0</v>
      </c>
      <c r="W1402" t="s">
        <v>48</v>
      </c>
      <c r="X1402" t="s">
        <v>48</v>
      </c>
      <c r="Y1402" t="s">
        <v>48</v>
      </c>
      <c r="Z1402">
        <v>0</v>
      </c>
      <c r="AA1402" t="s">
        <v>48</v>
      </c>
      <c r="AB1402" t="s">
        <v>48</v>
      </c>
      <c r="AC1402" t="s">
        <v>63</v>
      </c>
      <c r="AD1402" t="s">
        <v>93</v>
      </c>
      <c r="AE1402" t="s">
        <v>977</v>
      </c>
      <c r="AF1402" t="s">
        <v>11053</v>
      </c>
      <c r="AG1402" t="s">
        <v>48</v>
      </c>
      <c r="AH1402" t="s">
        <v>48</v>
      </c>
      <c r="AI1402" t="s">
        <v>48</v>
      </c>
      <c r="AJ1402" t="s">
        <v>48</v>
      </c>
      <c r="AK1402" t="s">
        <v>48</v>
      </c>
      <c r="AL1402" t="s">
        <v>48</v>
      </c>
      <c r="AM1402" t="s">
        <v>48</v>
      </c>
      <c r="AN1402" t="s">
        <v>48</v>
      </c>
      <c r="AO1402" t="s">
        <v>48</v>
      </c>
      <c r="AP1402" s="46">
        <v>0</v>
      </c>
      <c r="AQ1402" s="46">
        <v>0</v>
      </c>
      <c r="AR1402" s="46">
        <v>0</v>
      </c>
      <c r="AS1402" s="46">
        <v>0</v>
      </c>
      <c r="AT1402" s="46">
        <v>0</v>
      </c>
      <c r="AU1402" s="46">
        <v>0</v>
      </c>
      <c r="AV1402" s="46">
        <v>0</v>
      </c>
      <c r="AW1402" s="46">
        <v>0</v>
      </c>
      <c r="AX1402" s="46">
        <v>0</v>
      </c>
      <c r="AY1402" s="46">
        <v>0</v>
      </c>
      <c r="AZ1402" s="46">
        <v>0</v>
      </c>
      <c r="BA1402" s="46">
        <v>0</v>
      </c>
      <c r="BB1402" s="46">
        <v>0</v>
      </c>
      <c r="BC1402" s="46">
        <v>0</v>
      </c>
      <c r="BD1402" s="46">
        <v>0</v>
      </c>
      <c r="BE1402" s="46">
        <v>0</v>
      </c>
      <c r="BF1402" s="46">
        <v>0</v>
      </c>
      <c r="BG1402" s="46" t="s">
        <v>48</v>
      </c>
      <c r="BH1402" s="46">
        <v>0</v>
      </c>
      <c r="BI1402" s="46">
        <v>0</v>
      </c>
      <c r="BJ1402" s="46">
        <v>0</v>
      </c>
      <c r="BK1402" s="46">
        <v>0</v>
      </c>
      <c r="BL1402" s="46">
        <v>0</v>
      </c>
      <c r="BM1402" s="46">
        <v>0</v>
      </c>
      <c r="BN1402" s="46">
        <v>0</v>
      </c>
    </row>
    <row r="1403" spans="1:66" x14ac:dyDescent="0.35">
      <c r="A1403" t="s">
        <v>1383</v>
      </c>
      <c r="B1403" s="44" t="s">
        <v>48</v>
      </c>
      <c r="C1403" t="s">
        <v>1140</v>
      </c>
      <c r="D1403" t="s">
        <v>1386</v>
      </c>
      <c r="E1403" t="s">
        <v>1384</v>
      </c>
      <c r="F1403" t="s">
        <v>1377</v>
      </c>
      <c r="G1403" t="s">
        <v>74</v>
      </c>
      <c r="H1403">
        <v>0</v>
      </c>
      <c r="I1403" s="60" t="s">
        <v>78</v>
      </c>
      <c r="J1403" s="33" t="s">
        <v>45</v>
      </c>
      <c r="K1403" s="46">
        <v>0</v>
      </c>
      <c r="L1403">
        <v>12.5</v>
      </c>
      <c r="M1403" t="s">
        <v>48</v>
      </c>
      <c r="N1403" s="46">
        <v>0</v>
      </c>
      <c r="O1403" s="46">
        <v>0</v>
      </c>
      <c r="P1403" s="46">
        <v>0</v>
      </c>
      <c r="Q1403" t="s">
        <v>48</v>
      </c>
      <c r="R1403" t="s">
        <v>48</v>
      </c>
      <c r="S1403" t="s">
        <v>1385</v>
      </c>
      <c r="T1403" t="s">
        <v>48</v>
      </c>
      <c r="U1403" t="s">
        <v>1385</v>
      </c>
      <c r="V1403" s="47">
        <v>0</v>
      </c>
      <c r="W1403" t="s">
        <v>48</v>
      </c>
      <c r="X1403" t="s">
        <v>48</v>
      </c>
      <c r="Y1403" t="s">
        <v>48</v>
      </c>
      <c r="Z1403">
        <v>0</v>
      </c>
      <c r="AA1403" t="s">
        <v>48</v>
      </c>
      <c r="AB1403" t="s">
        <v>48</v>
      </c>
      <c r="AC1403" t="s">
        <v>63</v>
      </c>
      <c r="AD1403" t="s">
        <v>951</v>
      </c>
      <c r="AE1403" s="40" t="s">
        <v>11051</v>
      </c>
      <c r="AF1403" t="s">
        <v>108</v>
      </c>
      <c r="AG1403" t="s">
        <v>48</v>
      </c>
      <c r="AH1403" t="s">
        <v>48</v>
      </c>
      <c r="AI1403" t="s">
        <v>48</v>
      </c>
      <c r="AJ1403" t="s">
        <v>48</v>
      </c>
      <c r="AK1403" t="s">
        <v>48</v>
      </c>
      <c r="AL1403" t="s">
        <v>48</v>
      </c>
      <c r="AM1403" t="s">
        <v>48</v>
      </c>
      <c r="AN1403" t="s">
        <v>48</v>
      </c>
      <c r="AO1403" t="s">
        <v>48</v>
      </c>
      <c r="AP1403" s="46">
        <v>0</v>
      </c>
      <c r="AQ1403" s="46">
        <v>0</v>
      </c>
      <c r="AR1403" s="46">
        <v>0</v>
      </c>
      <c r="AS1403" s="46">
        <v>0</v>
      </c>
      <c r="AT1403" s="46">
        <v>0</v>
      </c>
      <c r="AU1403" s="46">
        <v>0</v>
      </c>
      <c r="AV1403" s="46">
        <v>0</v>
      </c>
      <c r="AW1403" s="46">
        <v>0</v>
      </c>
      <c r="AX1403" s="46">
        <v>0</v>
      </c>
      <c r="AY1403" s="46">
        <v>0</v>
      </c>
      <c r="AZ1403" s="46">
        <v>0</v>
      </c>
      <c r="BA1403" s="46">
        <v>0</v>
      </c>
      <c r="BB1403" s="46">
        <v>0</v>
      </c>
      <c r="BC1403" s="46">
        <v>0</v>
      </c>
      <c r="BD1403" s="46">
        <v>0</v>
      </c>
      <c r="BE1403" s="46">
        <v>0</v>
      </c>
      <c r="BF1403" s="46">
        <v>0</v>
      </c>
      <c r="BG1403" s="46" t="s">
        <v>48</v>
      </c>
      <c r="BH1403" s="46">
        <v>0</v>
      </c>
      <c r="BI1403" s="46">
        <v>0</v>
      </c>
      <c r="BJ1403" s="46">
        <v>0</v>
      </c>
      <c r="BK1403" s="46">
        <v>0</v>
      </c>
      <c r="BL1403" s="46">
        <v>0</v>
      </c>
      <c r="BM1403" s="46">
        <v>0</v>
      </c>
      <c r="BN1403" s="46">
        <v>0</v>
      </c>
    </row>
    <row r="1404" spans="1:66" x14ac:dyDescent="0.35">
      <c r="A1404" t="s">
        <v>8079</v>
      </c>
      <c r="B1404" s="44" t="s">
        <v>48</v>
      </c>
      <c r="C1404" t="s">
        <v>11715</v>
      </c>
      <c r="D1404" t="s">
        <v>1526</v>
      </c>
      <c r="E1404" t="s">
        <v>8080</v>
      </c>
      <c r="F1404" t="s">
        <v>1377</v>
      </c>
      <c r="G1404" t="s">
        <v>74</v>
      </c>
      <c r="H1404">
        <v>0</v>
      </c>
      <c r="I1404" s="61">
        <v>44733</v>
      </c>
      <c r="J1404" s="33" t="s">
        <v>45</v>
      </c>
      <c r="K1404" s="46">
        <v>0</v>
      </c>
      <c r="L1404">
        <v>2.4</v>
      </c>
      <c r="M1404" t="s">
        <v>48</v>
      </c>
      <c r="N1404" s="46">
        <v>0</v>
      </c>
      <c r="O1404" s="46">
        <v>0</v>
      </c>
      <c r="P1404" s="46">
        <v>0</v>
      </c>
      <c r="Q1404" t="s">
        <v>48</v>
      </c>
      <c r="R1404" t="s">
        <v>48</v>
      </c>
      <c r="S1404" t="s">
        <v>10063</v>
      </c>
      <c r="T1404" t="s">
        <v>48</v>
      </c>
      <c r="U1404" t="s">
        <v>10063</v>
      </c>
      <c r="V1404" s="47">
        <v>1</v>
      </c>
      <c r="W1404" t="s">
        <v>48</v>
      </c>
      <c r="X1404" t="s">
        <v>48</v>
      </c>
      <c r="Y1404" t="s">
        <v>48</v>
      </c>
      <c r="Z1404" t="s">
        <v>48</v>
      </c>
      <c r="AA1404" t="s">
        <v>48</v>
      </c>
      <c r="AB1404" t="s">
        <v>48</v>
      </c>
      <c r="AC1404" t="s">
        <v>49</v>
      </c>
      <c r="AD1404" t="s">
        <v>951</v>
      </c>
      <c r="AE1404" t="s">
        <v>11051</v>
      </c>
      <c r="AF1404" t="s">
        <v>48</v>
      </c>
      <c r="AG1404" t="s">
        <v>48</v>
      </c>
      <c r="AH1404" t="s">
        <v>48</v>
      </c>
      <c r="AI1404" t="s">
        <v>48</v>
      </c>
      <c r="AJ1404" t="s">
        <v>48</v>
      </c>
      <c r="AK1404" t="s">
        <v>48</v>
      </c>
      <c r="AL1404" t="s">
        <v>48</v>
      </c>
      <c r="AM1404" t="s">
        <v>48</v>
      </c>
      <c r="AN1404" t="s">
        <v>48</v>
      </c>
      <c r="AO1404" t="s">
        <v>48</v>
      </c>
      <c r="AP1404" s="46">
        <v>0</v>
      </c>
      <c r="AQ1404" s="46">
        <v>0</v>
      </c>
      <c r="AR1404" s="46">
        <v>0</v>
      </c>
      <c r="AS1404" s="46">
        <v>0</v>
      </c>
      <c r="AT1404" s="46">
        <v>0</v>
      </c>
      <c r="AU1404" s="46">
        <v>0</v>
      </c>
      <c r="AV1404" s="46">
        <v>0</v>
      </c>
      <c r="AW1404" s="46">
        <v>0</v>
      </c>
      <c r="AX1404" s="46">
        <v>0</v>
      </c>
      <c r="AY1404" s="46">
        <v>0</v>
      </c>
      <c r="AZ1404" s="46">
        <v>0</v>
      </c>
      <c r="BA1404" s="46">
        <v>0</v>
      </c>
      <c r="BB1404" s="46">
        <v>0</v>
      </c>
      <c r="BC1404" s="46">
        <v>0</v>
      </c>
      <c r="BD1404" s="46">
        <v>0</v>
      </c>
      <c r="BE1404" s="46">
        <v>0</v>
      </c>
      <c r="BF1404" s="46">
        <v>0</v>
      </c>
      <c r="BG1404" s="46" t="s">
        <v>48</v>
      </c>
      <c r="BH1404" s="46">
        <v>0</v>
      </c>
      <c r="BI1404" s="46">
        <v>0</v>
      </c>
      <c r="BJ1404" s="46">
        <v>0</v>
      </c>
      <c r="BK1404" s="46">
        <v>0</v>
      </c>
      <c r="BL1404" s="46">
        <v>0</v>
      </c>
      <c r="BM1404" s="46">
        <v>0</v>
      </c>
      <c r="BN1404" s="46">
        <v>0</v>
      </c>
    </row>
    <row r="1405" spans="1:66" x14ac:dyDescent="0.35">
      <c r="A1405" t="s">
        <v>8145</v>
      </c>
      <c r="B1405" s="44" t="s">
        <v>48</v>
      </c>
      <c r="C1405" t="s">
        <v>6976</v>
      </c>
      <c r="D1405" t="s">
        <v>52</v>
      </c>
      <c r="E1405" t="s">
        <v>8146</v>
      </c>
      <c r="F1405" t="s">
        <v>1377</v>
      </c>
      <c r="G1405" t="s">
        <v>83</v>
      </c>
      <c r="H1405">
        <v>0</v>
      </c>
      <c r="I1405" s="61">
        <v>44733</v>
      </c>
      <c r="J1405" s="33" t="s">
        <v>45</v>
      </c>
      <c r="K1405" s="46">
        <v>0</v>
      </c>
      <c r="L1405">
        <v>2.6</v>
      </c>
      <c r="M1405" t="s">
        <v>48</v>
      </c>
      <c r="N1405" s="46">
        <v>0</v>
      </c>
      <c r="O1405" s="46">
        <v>0</v>
      </c>
      <c r="P1405" s="46">
        <v>0</v>
      </c>
      <c r="Q1405" t="s">
        <v>48</v>
      </c>
      <c r="R1405" t="s">
        <v>48</v>
      </c>
      <c r="S1405" t="s">
        <v>48</v>
      </c>
      <c r="T1405" t="s">
        <v>48</v>
      </c>
      <c r="U1405" t="s">
        <v>48</v>
      </c>
      <c r="V1405" s="47">
        <v>1</v>
      </c>
      <c r="W1405" t="s">
        <v>48</v>
      </c>
      <c r="X1405" t="s">
        <v>48</v>
      </c>
      <c r="Y1405" t="s">
        <v>48</v>
      </c>
      <c r="Z1405" t="s">
        <v>48</v>
      </c>
      <c r="AA1405" t="s">
        <v>48</v>
      </c>
      <c r="AB1405" t="s">
        <v>48</v>
      </c>
      <c r="AC1405" t="s">
        <v>49</v>
      </c>
      <c r="AD1405" t="s">
        <v>951</v>
      </c>
      <c r="AE1405" t="s">
        <v>11051</v>
      </c>
      <c r="AF1405" t="s">
        <v>48</v>
      </c>
      <c r="AG1405" t="s">
        <v>48</v>
      </c>
      <c r="AH1405" t="s">
        <v>48</v>
      </c>
      <c r="AI1405" t="s">
        <v>48</v>
      </c>
      <c r="AJ1405" t="s">
        <v>48</v>
      </c>
      <c r="AK1405" t="s">
        <v>48</v>
      </c>
      <c r="AL1405" t="s">
        <v>48</v>
      </c>
      <c r="AM1405" t="s">
        <v>48</v>
      </c>
      <c r="AN1405" t="s">
        <v>48</v>
      </c>
      <c r="AO1405" t="s">
        <v>48</v>
      </c>
      <c r="AP1405" s="46">
        <v>0</v>
      </c>
      <c r="AQ1405" s="46">
        <v>0</v>
      </c>
      <c r="AR1405" s="46">
        <v>0</v>
      </c>
      <c r="AS1405" s="46">
        <v>0</v>
      </c>
      <c r="AT1405" s="46">
        <v>0</v>
      </c>
      <c r="AU1405" s="46">
        <v>0</v>
      </c>
      <c r="AV1405" s="46">
        <v>0</v>
      </c>
      <c r="AW1405" s="46">
        <v>0</v>
      </c>
      <c r="AX1405" s="46">
        <v>0</v>
      </c>
      <c r="AY1405" s="46">
        <v>0</v>
      </c>
      <c r="AZ1405" s="46">
        <v>0</v>
      </c>
      <c r="BA1405" s="46">
        <v>0</v>
      </c>
      <c r="BB1405" s="46">
        <v>0</v>
      </c>
      <c r="BC1405" s="46">
        <v>0</v>
      </c>
      <c r="BD1405" s="46">
        <v>0</v>
      </c>
      <c r="BE1405" s="46">
        <v>0</v>
      </c>
      <c r="BF1405" s="46">
        <v>0</v>
      </c>
      <c r="BG1405" s="46" t="s">
        <v>48</v>
      </c>
      <c r="BH1405" s="46">
        <v>0</v>
      </c>
      <c r="BI1405" s="46">
        <v>0</v>
      </c>
      <c r="BJ1405" s="46">
        <v>0</v>
      </c>
      <c r="BK1405" s="46">
        <v>0</v>
      </c>
      <c r="BL1405" s="46">
        <v>0</v>
      </c>
      <c r="BM1405" s="46">
        <v>0</v>
      </c>
      <c r="BN1405" s="46">
        <v>0</v>
      </c>
    </row>
    <row r="1406" spans="1:66" x14ac:dyDescent="0.35">
      <c r="A1406" t="s">
        <v>1355</v>
      </c>
      <c r="B1406" s="44" t="s">
        <v>48</v>
      </c>
      <c r="C1406" t="s">
        <v>64</v>
      </c>
      <c r="D1406" t="s">
        <v>1125</v>
      </c>
      <c r="E1406" t="s">
        <v>8082</v>
      </c>
      <c r="F1406" t="s">
        <v>1377</v>
      </c>
      <c r="G1406" t="s">
        <v>74</v>
      </c>
      <c r="H1406">
        <v>0</v>
      </c>
      <c r="I1406" s="61">
        <v>44733</v>
      </c>
      <c r="J1406" s="33" t="s">
        <v>45</v>
      </c>
      <c r="K1406" s="46">
        <v>0</v>
      </c>
      <c r="L1406">
        <v>3.4</v>
      </c>
      <c r="M1406" s="41" t="s">
        <v>48</v>
      </c>
      <c r="N1406" s="46">
        <v>0</v>
      </c>
      <c r="O1406" s="46">
        <v>0</v>
      </c>
      <c r="P1406" s="46">
        <v>0</v>
      </c>
      <c r="Q1406" s="41" t="s">
        <v>48</v>
      </c>
      <c r="R1406" s="41" t="s">
        <v>48</v>
      </c>
      <c r="S1406" t="s">
        <v>1357</v>
      </c>
      <c r="T1406" t="s">
        <v>48</v>
      </c>
      <c r="U1406" t="s">
        <v>1357</v>
      </c>
      <c r="V1406" s="47">
        <v>0</v>
      </c>
      <c r="W1406" t="s">
        <v>48</v>
      </c>
      <c r="X1406" t="s">
        <v>48</v>
      </c>
      <c r="Y1406" t="s">
        <v>48</v>
      </c>
      <c r="Z1406">
        <v>0</v>
      </c>
      <c r="AA1406" t="s">
        <v>48</v>
      </c>
      <c r="AB1406" t="s">
        <v>48</v>
      </c>
      <c r="AC1406" t="s">
        <v>63</v>
      </c>
      <c r="AD1406" t="s">
        <v>951</v>
      </c>
      <c r="AE1406" s="40" t="s">
        <v>11051</v>
      </c>
      <c r="AF1406" t="s">
        <v>11054</v>
      </c>
      <c r="AG1406" t="s">
        <v>48</v>
      </c>
      <c r="AH1406" t="s">
        <v>48</v>
      </c>
      <c r="AI1406" t="s">
        <v>48</v>
      </c>
      <c r="AJ1406" t="s">
        <v>48</v>
      </c>
      <c r="AK1406" t="s">
        <v>48</v>
      </c>
      <c r="AL1406" t="s">
        <v>48</v>
      </c>
      <c r="AM1406" t="s">
        <v>48</v>
      </c>
      <c r="AN1406" t="s">
        <v>48</v>
      </c>
      <c r="AO1406" t="s">
        <v>48</v>
      </c>
      <c r="AP1406" s="46">
        <v>0</v>
      </c>
      <c r="AQ1406" s="46">
        <v>0</v>
      </c>
      <c r="AR1406" s="46">
        <v>0</v>
      </c>
      <c r="AS1406" s="46">
        <v>0</v>
      </c>
      <c r="AT1406" s="46">
        <v>0</v>
      </c>
      <c r="AU1406" s="46">
        <v>0</v>
      </c>
      <c r="AV1406" s="46">
        <v>0</v>
      </c>
      <c r="AW1406" s="46">
        <v>0</v>
      </c>
      <c r="AX1406" s="46">
        <v>0</v>
      </c>
      <c r="AY1406" s="46">
        <v>0</v>
      </c>
      <c r="AZ1406" s="46">
        <v>0</v>
      </c>
      <c r="BA1406" s="46">
        <v>0</v>
      </c>
      <c r="BB1406" s="46">
        <v>0</v>
      </c>
      <c r="BC1406" s="46">
        <v>0</v>
      </c>
      <c r="BD1406" s="46">
        <v>0</v>
      </c>
      <c r="BE1406" s="46">
        <v>0</v>
      </c>
      <c r="BF1406" s="46">
        <v>0</v>
      </c>
      <c r="BG1406" s="46" t="s">
        <v>48</v>
      </c>
      <c r="BH1406" s="46">
        <v>0</v>
      </c>
      <c r="BI1406" s="46">
        <v>0</v>
      </c>
      <c r="BJ1406" s="46">
        <v>0</v>
      </c>
      <c r="BK1406" s="46">
        <v>0</v>
      </c>
      <c r="BL1406" s="46">
        <v>0</v>
      </c>
      <c r="BM1406" s="46">
        <v>0</v>
      </c>
      <c r="BN1406" s="46">
        <v>0</v>
      </c>
    </row>
    <row r="1407" spans="1:66" x14ac:dyDescent="0.35">
      <c r="A1407" t="s">
        <v>1387</v>
      </c>
      <c r="B1407" s="44" t="s">
        <v>48</v>
      </c>
      <c r="C1407" t="s">
        <v>1390</v>
      </c>
      <c r="D1407" t="s">
        <v>367</v>
      </c>
      <c r="E1407" t="s">
        <v>1388</v>
      </c>
      <c r="F1407" t="s">
        <v>1377</v>
      </c>
      <c r="G1407" t="s">
        <v>74</v>
      </c>
      <c r="H1407">
        <v>0</v>
      </c>
      <c r="I1407" s="60" t="s">
        <v>125</v>
      </c>
      <c r="J1407" s="33" t="s">
        <v>45</v>
      </c>
      <c r="K1407" s="46">
        <v>0</v>
      </c>
      <c r="L1407">
        <v>3.7</v>
      </c>
      <c r="M1407" t="s">
        <v>48</v>
      </c>
      <c r="N1407" s="46">
        <v>0</v>
      </c>
      <c r="O1407" s="46">
        <v>0</v>
      </c>
      <c r="P1407" s="46">
        <v>0</v>
      </c>
      <c r="Q1407" t="s">
        <v>48</v>
      </c>
      <c r="R1407" t="s">
        <v>48</v>
      </c>
      <c r="S1407" t="s">
        <v>1389</v>
      </c>
      <c r="T1407" t="s">
        <v>48</v>
      </c>
      <c r="U1407" t="s">
        <v>1389</v>
      </c>
      <c r="V1407" s="47">
        <v>0</v>
      </c>
      <c r="W1407" t="s">
        <v>48</v>
      </c>
      <c r="X1407" t="s">
        <v>48</v>
      </c>
      <c r="Y1407" t="s">
        <v>48</v>
      </c>
      <c r="Z1407">
        <v>0</v>
      </c>
      <c r="AA1407" t="s">
        <v>48</v>
      </c>
      <c r="AB1407" t="s">
        <v>48</v>
      </c>
      <c r="AC1407" t="s">
        <v>49</v>
      </c>
      <c r="AD1407" t="s">
        <v>48</v>
      </c>
      <c r="AE1407" t="s">
        <v>48</v>
      </c>
      <c r="AF1407" t="s">
        <v>48</v>
      </c>
      <c r="AG1407" t="s">
        <v>48</v>
      </c>
      <c r="AH1407" t="s">
        <v>48</v>
      </c>
      <c r="AI1407" t="s">
        <v>48</v>
      </c>
      <c r="AJ1407" t="s">
        <v>48</v>
      </c>
      <c r="AK1407" t="s">
        <v>48</v>
      </c>
      <c r="AL1407" t="s">
        <v>48</v>
      </c>
      <c r="AM1407" t="s">
        <v>48</v>
      </c>
      <c r="AN1407" t="s">
        <v>48</v>
      </c>
      <c r="AO1407" t="s">
        <v>48</v>
      </c>
      <c r="AP1407" s="46">
        <v>0</v>
      </c>
      <c r="AQ1407" s="46">
        <v>0</v>
      </c>
      <c r="AR1407" s="46">
        <v>0</v>
      </c>
      <c r="AS1407" s="46">
        <v>0</v>
      </c>
      <c r="AT1407" s="46">
        <v>0</v>
      </c>
      <c r="AU1407" s="46">
        <v>0</v>
      </c>
      <c r="AV1407" s="46">
        <v>0</v>
      </c>
      <c r="AW1407" s="46">
        <v>0</v>
      </c>
      <c r="AX1407" s="46">
        <v>0</v>
      </c>
      <c r="AY1407" s="46">
        <v>0</v>
      </c>
      <c r="AZ1407" s="46">
        <v>0</v>
      </c>
      <c r="BA1407" s="46">
        <v>0</v>
      </c>
      <c r="BB1407" s="46">
        <v>0</v>
      </c>
      <c r="BC1407" s="46">
        <v>0</v>
      </c>
      <c r="BD1407" s="46">
        <v>0</v>
      </c>
      <c r="BE1407" s="46">
        <v>0</v>
      </c>
      <c r="BF1407" s="46">
        <v>0</v>
      </c>
      <c r="BG1407" s="46" t="s">
        <v>48</v>
      </c>
      <c r="BH1407" s="46">
        <v>0</v>
      </c>
      <c r="BI1407" s="46">
        <v>0</v>
      </c>
      <c r="BJ1407" s="46">
        <v>0</v>
      </c>
      <c r="BK1407" s="46">
        <v>0</v>
      </c>
      <c r="BL1407" s="46">
        <v>0</v>
      </c>
      <c r="BM1407" s="46">
        <v>0</v>
      </c>
      <c r="BN1407" s="46">
        <v>0</v>
      </c>
    </row>
    <row r="1408" spans="1:66" x14ac:dyDescent="0.35">
      <c r="A1408" t="s">
        <v>1395</v>
      </c>
      <c r="B1408" s="44" t="s">
        <v>48</v>
      </c>
      <c r="C1408" t="s">
        <v>1398</v>
      </c>
      <c r="D1408" t="s">
        <v>262</v>
      </c>
      <c r="E1408" t="s">
        <v>1396</v>
      </c>
      <c r="F1408" t="s">
        <v>1377</v>
      </c>
      <c r="G1408" t="s">
        <v>74</v>
      </c>
      <c r="H1408">
        <v>0</v>
      </c>
      <c r="I1408" s="60" t="s">
        <v>125</v>
      </c>
      <c r="J1408" s="33" t="s">
        <v>45</v>
      </c>
      <c r="K1408" s="46">
        <v>0</v>
      </c>
      <c r="L1408">
        <v>2.5</v>
      </c>
      <c r="M1408" t="s">
        <v>48</v>
      </c>
      <c r="N1408" s="46">
        <v>0</v>
      </c>
      <c r="O1408" s="46">
        <v>0</v>
      </c>
      <c r="P1408" s="46">
        <v>0</v>
      </c>
      <c r="Q1408" t="s">
        <v>48</v>
      </c>
      <c r="R1408" t="s">
        <v>48</v>
      </c>
      <c r="S1408" t="s">
        <v>1397</v>
      </c>
      <c r="T1408" t="s">
        <v>48</v>
      </c>
      <c r="U1408" t="s">
        <v>1397</v>
      </c>
      <c r="V1408" s="47">
        <v>0</v>
      </c>
      <c r="W1408" t="s">
        <v>48</v>
      </c>
      <c r="X1408" t="s">
        <v>48</v>
      </c>
      <c r="Y1408" t="s">
        <v>48</v>
      </c>
      <c r="Z1408">
        <v>0</v>
      </c>
      <c r="AA1408" t="s">
        <v>48</v>
      </c>
      <c r="AB1408" t="s">
        <v>48</v>
      </c>
      <c r="AC1408" t="s">
        <v>49</v>
      </c>
      <c r="AD1408" t="s">
        <v>93</v>
      </c>
      <c r="AE1408" s="40" t="s">
        <v>2471</v>
      </c>
      <c r="AF1408" t="s">
        <v>11061</v>
      </c>
      <c r="AG1408" t="s">
        <v>48</v>
      </c>
      <c r="AH1408" t="s">
        <v>48</v>
      </c>
      <c r="AI1408" t="s">
        <v>48</v>
      </c>
      <c r="AJ1408" t="s">
        <v>48</v>
      </c>
      <c r="AK1408" t="s">
        <v>48</v>
      </c>
      <c r="AL1408" t="s">
        <v>48</v>
      </c>
      <c r="AM1408" t="s">
        <v>48</v>
      </c>
      <c r="AN1408" t="s">
        <v>48</v>
      </c>
      <c r="AO1408" t="s">
        <v>48</v>
      </c>
      <c r="AP1408" s="46">
        <v>0</v>
      </c>
      <c r="AQ1408" s="46">
        <v>0</v>
      </c>
      <c r="AR1408" s="46">
        <v>0</v>
      </c>
      <c r="AS1408" s="46">
        <v>0</v>
      </c>
      <c r="AT1408" s="46">
        <v>0</v>
      </c>
      <c r="AU1408" s="46">
        <v>0</v>
      </c>
      <c r="AV1408" s="46">
        <v>0</v>
      </c>
      <c r="AW1408" s="46">
        <v>0</v>
      </c>
      <c r="AX1408" s="46">
        <v>0</v>
      </c>
      <c r="AY1408" s="46">
        <v>0</v>
      </c>
      <c r="AZ1408" s="46">
        <v>0</v>
      </c>
      <c r="BA1408" s="46">
        <v>0</v>
      </c>
      <c r="BB1408" s="46">
        <v>0</v>
      </c>
      <c r="BC1408" s="46">
        <v>0</v>
      </c>
      <c r="BD1408" s="46">
        <v>0</v>
      </c>
      <c r="BE1408" s="46">
        <v>0</v>
      </c>
      <c r="BF1408" s="46">
        <v>0</v>
      </c>
      <c r="BG1408" s="46" t="s">
        <v>48</v>
      </c>
      <c r="BH1408" s="46">
        <v>0</v>
      </c>
      <c r="BI1408" s="46">
        <v>0</v>
      </c>
      <c r="BJ1408" s="46">
        <v>0</v>
      </c>
      <c r="BK1408" s="46">
        <v>0</v>
      </c>
      <c r="BL1408" s="46">
        <v>0</v>
      </c>
      <c r="BM1408" s="46">
        <v>0</v>
      </c>
      <c r="BN1408" s="46">
        <v>0</v>
      </c>
    </row>
    <row r="1409" spans="1:66" x14ac:dyDescent="0.35">
      <c r="A1409" t="s">
        <v>1409</v>
      </c>
      <c r="B1409" s="44" t="s">
        <v>48</v>
      </c>
      <c r="C1409" t="s">
        <v>1412</v>
      </c>
      <c r="D1409" t="s">
        <v>1411</v>
      </c>
      <c r="E1409" t="s">
        <v>1410</v>
      </c>
      <c r="F1409" t="s">
        <v>1400</v>
      </c>
      <c r="G1409" t="s">
        <v>47</v>
      </c>
      <c r="H1409">
        <v>0</v>
      </c>
      <c r="I1409" s="60" t="s">
        <v>125</v>
      </c>
      <c r="J1409" s="33" t="s">
        <v>45</v>
      </c>
      <c r="K1409" s="46">
        <v>0</v>
      </c>
      <c r="L1409">
        <v>7.4</v>
      </c>
      <c r="M1409" t="s">
        <v>48</v>
      </c>
      <c r="N1409" s="46">
        <v>0</v>
      </c>
      <c r="O1409" s="46">
        <v>0</v>
      </c>
      <c r="P1409" s="46">
        <v>0</v>
      </c>
      <c r="Q1409" t="s">
        <v>48</v>
      </c>
      <c r="R1409" t="s">
        <v>48</v>
      </c>
      <c r="S1409" t="s">
        <v>48</v>
      </c>
      <c r="T1409" t="s">
        <v>48</v>
      </c>
      <c r="U1409" t="s">
        <v>48</v>
      </c>
      <c r="V1409" s="47">
        <v>0</v>
      </c>
      <c r="W1409" t="s">
        <v>48</v>
      </c>
      <c r="X1409" t="s">
        <v>48</v>
      </c>
      <c r="Y1409" t="s">
        <v>48</v>
      </c>
      <c r="Z1409">
        <v>0</v>
      </c>
      <c r="AA1409" t="s">
        <v>48</v>
      </c>
      <c r="AB1409" t="s">
        <v>48</v>
      </c>
      <c r="AC1409" t="s">
        <v>63</v>
      </c>
      <c r="AD1409" t="s">
        <v>93</v>
      </c>
      <c r="AE1409" t="s">
        <v>2471</v>
      </c>
      <c r="AF1409" t="s">
        <v>48</v>
      </c>
      <c r="AG1409" t="s">
        <v>48</v>
      </c>
      <c r="AH1409" t="s">
        <v>48</v>
      </c>
      <c r="AI1409" t="s">
        <v>48</v>
      </c>
      <c r="AJ1409" t="s">
        <v>48</v>
      </c>
      <c r="AK1409" t="s">
        <v>48</v>
      </c>
      <c r="AL1409" t="s">
        <v>48</v>
      </c>
      <c r="AM1409" t="s">
        <v>48</v>
      </c>
      <c r="AN1409" t="s">
        <v>48</v>
      </c>
      <c r="AO1409" t="s">
        <v>48</v>
      </c>
      <c r="AP1409" s="46">
        <v>0</v>
      </c>
      <c r="AQ1409" s="46">
        <v>0</v>
      </c>
      <c r="AR1409" s="46">
        <v>0</v>
      </c>
      <c r="AS1409" s="46">
        <v>0</v>
      </c>
      <c r="AT1409" s="46">
        <v>0</v>
      </c>
      <c r="AU1409" s="46">
        <v>0</v>
      </c>
      <c r="AV1409" s="46">
        <v>0</v>
      </c>
      <c r="AW1409" s="46">
        <v>0</v>
      </c>
      <c r="AX1409" s="46">
        <v>0</v>
      </c>
      <c r="AY1409" s="46">
        <v>0</v>
      </c>
      <c r="AZ1409" s="46">
        <v>0</v>
      </c>
      <c r="BA1409" s="46">
        <v>0</v>
      </c>
      <c r="BB1409" s="46">
        <v>0</v>
      </c>
      <c r="BC1409" s="46">
        <v>0</v>
      </c>
      <c r="BD1409" s="46">
        <v>0</v>
      </c>
      <c r="BE1409" s="46">
        <v>0</v>
      </c>
      <c r="BF1409" s="46">
        <v>0</v>
      </c>
      <c r="BG1409" s="46" t="s">
        <v>48</v>
      </c>
      <c r="BH1409" s="46">
        <v>0</v>
      </c>
      <c r="BI1409" s="46">
        <v>0</v>
      </c>
      <c r="BJ1409" s="46">
        <v>0</v>
      </c>
      <c r="BK1409" s="46">
        <v>0</v>
      </c>
      <c r="BL1409" s="46">
        <v>0</v>
      </c>
      <c r="BM1409" s="46">
        <v>0</v>
      </c>
      <c r="BN1409" s="46">
        <v>0</v>
      </c>
    </row>
    <row r="1410" spans="1:66" x14ac:dyDescent="0.35">
      <c r="A1410" t="s">
        <v>8083</v>
      </c>
      <c r="B1410" s="44" t="s">
        <v>48</v>
      </c>
      <c r="C1410" t="s">
        <v>11717</v>
      </c>
      <c r="D1410" t="s">
        <v>11718</v>
      </c>
      <c r="E1410" t="s">
        <v>8084</v>
      </c>
      <c r="F1410" t="s">
        <v>1400</v>
      </c>
      <c r="G1410" t="s">
        <v>74</v>
      </c>
      <c r="H1410">
        <v>0</v>
      </c>
      <c r="I1410" s="61">
        <v>44733</v>
      </c>
      <c r="J1410" s="33" t="s">
        <v>45</v>
      </c>
      <c r="K1410" s="46">
        <v>0</v>
      </c>
      <c r="L1410">
        <v>6.6</v>
      </c>
      <c r="M1410" t="s">
        <v>48</v>
      </c>
      <c r="N1410" s="46">
        <v>0</v>
      </c>
      <c r="O1410" s="46">
        <v>0</v>
      </c>
      <c r="P1410" s="46">
        <v>0</v>
      </c>
      <c r="Q1410" t="s">
        <v>48</v>
      </c>
      <c r="R1410" t="s">
        <v>48</v>
      </c>
      <c r="S1410" t="s">
        <v>48</v>
      </c>
      <c r="T1410" t="s">
        <v>48</v>
      </c>
      <c r="U1410" t="s">
        <v>48</v>
      </c>
      <c r="V1410" s="47">
        <v>1</v>
      </c>
      <c r="W1410" t="s">
        <v>48</v>
      </c>
      <c r="X1410" t="s">
        <v>48</v>
      </c>
      <c r="Y1410" t="s">
        <v>48</v>
      </c>
      <c r="Z1410" t="s">
        <v>48</v>
      </c>
      <c r="AA1410" t="s">
        <v>48</v>
      </c>
      <c r="AB1410" t="s">
        <v>48</v>
      </c>
      <c r="AC1410" t="s">
        <v>49</v>
      </c>
      <c r="AD1410" t="s">
        <v>48</v>
      </c>
      <c r="AE1410" s="40" t="s">
        <v>48</v>
      </c>
      <c r="AF1410" t="s">
        <v>48</v>
      </c>
      <c r="AG1410" t="s">
        <v>48</v>
      </c>
      <c r="AH1410" t="s">
        <v>48</v>
      </c>
      <c r="AI1410" t="s">
        <v>48</v>
      </c>
      <c r="AJ1410" t="s">
        <v>48</v>
      </c>
      <c r="AK1410" t="s">
        <v>48</v>
      </c>
      <c r="AL1410" t="s">
        <v>48</v>
      </c>
      <c r="AM1410" t="s">
        <v>48</v>
      </c>
      <c r="AN1410" t="s">
        <v>48</v>
      </c>
      <c r="AO1410" t="s">
        <v>48</v>
      </c>
      <c r="AP1410" s="46">
        <v>0</v>
      </c>
      <c r="AQ1410" s="46">
        <v>0</v>
      </c>
      <c r="AR1410" s="46">
        <v>0</v>
      </c>
      <c r="AS1410" s="46">
        <v>0</v>
      </c>
      <c r="AT1410" s="46">
        <v>0</v>
      </c>
      <c r="AU1410" s="46">
        <v>0</v>
      </c>
      <c r="AV1410" s="46">
        <v>0</v>
      </c>
      <c r="AW1410" s="46">
        <v>0</v>
      </c>
      <c r="AX1410" s="46">
        <v>0</v>
      </c>
      <c r="AY1410" s="46">
        <v>0</v>
      </c>
      <c r="AZ1410" s="46">
        <v>0</v>
      </c>
      <c r="BA1410" s="46">
        <v>0</v>
      </c>
      <c r="BB1410" s="46">
        <v>0</v>
      </c>
      <c r="BC1410" s="46">
        <v>0</v>
      </c>
      <c r="BD1410" s="46">
        <v>0</v>
      </c>
      <c r="BE1410" s="46">
        <v>0</v>
      </c>
      <c r="BF1410" s="46">
        <v>0</v>
      </c>
      <c r="BG1410" s="46" t="s">
        <v>48</v>
      </c>
      <c r="BH1410" s="46">
        <v>0</v>
      </c>
      <c r="BI1410" s="46">
        <v>0</v>
      </c>
      <c r="BJ1410" s="46">
        <v>0</v>
      </c>
      <c r="BK1410" s="46">
        <v>0</v>
      </c>
      <c r="BL1410" s="46">
        <v>0</v>
      </c>
      <c r="BM1410" s="46">
        <v>0</v>
      </c>
      <c r="BN1410" s="46">
        <v>0</v>
      </c>
    </row>
    <row r="1411" spans="1:66" x14ac:dyDescent="0.35">
      <c r="A1411" t="s">
        <v>8085</v>
      </c>
      <c r="B1411" s="44" t="s">
        <v>48</v>
      </c>
      <c r="C1411" t="s">
        <v>255</v>
      </c>
      <c r="D1411" t="s">
        <v>2891</v>
      </c>
      <c r="E1411" t="s">
        <v>8086</v>
      </c>
      <c r="F1411" t="s">
        <v>1419</v>
      </c>
      <c r="G1411" t="s">
        <v>74</v>
      </c>
      <c r="H1411">
        <v>0</v>
      </c>
      <c r="I1411" s="61">
        <v>44733</v>
      </c>
      <c r="J1411" s="33" t="s">
        <v>45</v>
      </c>
      <c r="K1411" s="46">
        <v>0</v>
      </c>
      <c r="L1411">
        <v>7.1</v>
      </c>
      <c r="M1411" t="s">
        <v>48</v>
      </c>
      <c r="N1411" s="46">
        <v>0</v>
      </c>
      <c r="O1411" s="46">
        <v>0</v>
      </c>
      <c r="P1411" s="46">
        <v>0</v>
      </c>
      <c r="Q1411" t="s">
        <v>48</v>
      </c>
      <c r="R1411" t="s">
        <v>48</v>
      </c>
      <c r="S1411" t="s">
        <v>48</v>
      </c>
      <c r="T1411" t="s">
        <v>48</v>
      </c>
      <c r="U1411" t="s">
        <v>48</v>
      </c>
      <c r="V1411" s="47">
        <v>1</v>
      </c>
      <c r="W1411" t="s">
        <v>48</v>
      </c>
      <c r="X1411" t="s">
        <v>48</v>
      </c>
      <c r="Y1411" t="s">
        <v>48</v>
      </c>
      <c r="Z1411" t="s">
        <v>48</v>
      </c>
      <c r="AA1411" t="s">
        <v>48</v>
      </c>
      <c r="AB1411" t="s">
        <v>48</v>
      </c>
      <c r="AC1411" t="s">
        <v>49</v>
      </c>
      <c r="AD1411" t="s">
        <v>93</v>
      </c>
      <c r="AE1411" t="s">
        <v>2471</v>
      </c>
      <c r="AF1411" t="s">
        <v>48</v>
      </c>
      <c r="AG1411" t="s">
        <v>48</v>
      </c>
      <c r="AH1411" t="s">
        <v>48</v>
      </c>
      <c r="AI1411" t="s">
        <v>48</v>
      </c>
      <c r="AJ1411" t="s">
        <v>48</v>
      </c>
      <c r="AK1411" t="s">
        <v>48</v>
      </c>
      <c r="AL1411" t="s">
        <v>48</v>
      </c>
      <c r="AM1411" t="s">
        <v>48</v>
      </c>
      <c r="AN1411" t="s">
        <v>48</v>
      </c>
      <c r="AO1411" t="s">
        <v>48</v>
      </c>
      <c r="AP1411" s="46">
        <v>0</v>
      </c>
      <c r="AQ1411" s="46">
        <v>0</v>
      </c>
      <c r="AR1411" s="46">
        <v>0</v>
      </c>
      <c r="AS1411" s="46">
        <v>0</v>
      </c>
      <c r="AT1411" s="46">
        <v>0</v>
      </c>
      <c r="AU1411" s="46">
        <v>0</v>
      </c>
      <c r="AV1411" s="46">
        <v>0</v>
      </c>
      <c r="AW1411" s="46">
        <v>0</v>
      </c>
      <c r="AX1411" s="46">
        <v>0</v>
      </c>
      <c r="AY1411" s="46">
        <v>0</v>
      </c>
      <c r="AZ1411" s="46">
        <v>0</v>
      </c>
      <c r="BA1411" s="46">
        <v>0</v>
      </c>
      <c r="BB1411" s="46">
        <v>0</v>
      </c>
      <c r="BC1411" s="46">
        <v>0</v>
      </c>
      <c r="BD1411" s="46">
        <v>0</v>
      </c>
      <c r="BE1411" s="46">
        <v>0</v>
      </c>
      <c r="BF1411" s="46">
        <v>0</v>
      </c>
      <c r="BG1411" s="46" t="s">
        <v>48</v>
      </c>
      <c r="BH1411" s="46">
        <v>0</v>
      </c>
      <c r="BI1411" s="46">
        <v>0</v>
      </c>
      <c r="BJ1411" s="46">
        <v>0</v>
      </c>
      <c r="BK1411" s="46">
        <v>0</v>
      </c>
      <c r="BL1411" s="46">
        <v>0</v>
      </c>
      <c r="BM1411" s="46">
        <v>0</v>
      </c>
      <c r="BN1411" s="46">
        <v>0</v>
      </c>
    </row>
    <row r="1412" spans="1:66" x14ac:dyDescent="0.35">
      <c r="A1412" t="s">
        <v>1433</v>
      </c>
      <c r="B1412" s="44" t="s">
        <v>48</v>
      </c>
      <c r="C1412" t="s">
        <v>1436</v>
      </c>
      <c r="D1412" t="s">
        <v>1435</v>
      </c>
      <c r="E1412" t="s">
        <v>1434</v>
      </c>
      <c r="F1412" t="s">
        <v>1426</v>
      </c>
      <c r="G1412" t="s">
        <v>47</v>
      </c>
      <c r="H1412">
        <v>0</v>
      </c>
      <c r="I1412" s="60" t="s">
        <v>125</v>
      </c>
      <c r="J1412" s="33" t="s">
        <v>45</v>
      </c>
      <c r="K1412" s="46">
        <v>0</v>
      </c>
      <c r="L1412">
        <v>8.6</v>
      </c>
      <c r="M1412" t="s">
        <v>48</v>
      </c>
      <c r="N1412" s="46">
        <v>0</v>
      </c>
      <c r="O1412" s="46">
        <v>0</v>
      </c>
      <c r="P1412" s="46">
        <v>0</v>
      </c>
      <c r="Q1412" t="s">
        <v>48</v>
      </c>
      <c r="R1412" t="s">
        <v>48</v>
      </c>
      <c r="S1412" t="s">
        <v>48</v>
      </c>
      <c r="T1412" t="s">
        <v>48</v>
      </c>
      <c r="U1412" t="s">
        <v>48</v>
      </c>
      <c r="V1412" s="47">
        <v>0</v>
      </c>
      <c r="W1412" t="s">
        <v>48</v>
      </c>
      <c r="X1412" t="s">
        <v>48</v>
      </c>
      <c r="Y1412" t="s">
        <v>48</v>
      </c>
      <c r="Z1412">
        <v>0</v>
      </c>
      <c r="AA1412" t="s">
        <v>48</v>
      </c>
      <c r="AB1412" t="s">
        <v>48</v>
      </c>
      <c r="AC1412" t="s">
        <v>49</v>
      </c>
      <c r="AD1412" t="s">
        <v>93</v>
      </c>
      <c r="AE1412" t="s">
        <v>977</v>
      </c>
      <c r="AF1412" t="s">
        <v>11072</v>
      </c>
      <c r="AG1412" t="s">
        <v>48</v>
      </c>
      <c r="AH1412" t="s">
        <v>48</v>
      </c>
      <c r="AI1412" t="s">
        <v>48</v>
      </c>
      <c r="AJ1412" t="s">
        <v>48</v>
      </c>
      <c r="AK1412" t="s">
        <v>48</v>
      </c>
      <c r="AL1412" t="s">
        <v>48</v>
      </c>
      <c r="AM1412" t="s">
        <v>48</v>
      </c>
      <c r="AN1412" t="s">
        <v>48</v>
      </c>
      <c r="AO1412" t="s">
        <v>48</v>
      </c>
      <c r="AP1412" s="46">
        <v>0</v>
      </c>
      <c r="AQ1412" s="46">
        <v>0</v>
      </c>
      <c r="AR1412" s="46">
        <v>0</v>
      </c>
      <c r="AS1412" s="46">
        <v>0</v>
      </c>
      <c r="AT1412" s="46">
        <v>0</v>
      </c>
      <c r="AU1412" s="46">
        <v>0</v>
      </c>
      <c r="AV1412" s="46">
        <v>0</v>
      </c>
      <c r="AW1412" s="46">
        <v>0</v>
      </c>
      <c r="AX1412" s="46">
        <v>0</v>
      </c>
      <c r="AY1412" s="46">
        <v>0</v>
      </c>
      <c r="AZ1412" s="46">
        <v>0</v>
      </c>
      <c r="BA1412" s="46">
        <v>0</v>
      </c>
      <c r="BB1412" s="46">
        <v>0</v>
      </c>
      <c r="BC1412" s="46">
        <v>0</v>
      </c>
      <c r="BD1412" s="46">
        <v>0</v>
      </c>
      <c r="BE1412" s="46">
        <v>0</v>
      </c>
      <c r="BF1412" s="46">
        <v>0</v>
      </c>
      <c r="BG1412" s="46" t="s">
        <v>48</v>
      </c>
      <c r="BH1412" s="46">
        <v>0</v>
      </c>
      <c r="BI1412" s="46">
        <v>0</v>
      </c>
      <c r="BJ1412" s="46">
        <v>0</v>
      </c>
      <c r="BK1412" s="46">
        <v>0</v>
      </c>
      <c r="BL1412" s="46">
        <v>0</v>
      </c>
      <c r="BM1412" s="46">
        <v>0</v>
      </c>
      <c r="BN1412" s="46">
        <v>0</v>
      </c>
    </row>
    <row r="1413" spans="1:66" x14ac:dyDescent="0.35">
      <c r="A1413" t="s">
        <v>8147</v>
      </c>
      <c r="B1413" s="44" t="s">
        <v>48</v>
      </c>
      <c r="C1413" t="s">
        <v>11722</v>
      </c>
      <c r="D1413" t="s">
        <v>113</v>
      </c>
      <c r="E1413" t="s">
        <v>8148</v>
      </c>
      <c r="F1413" t="s">
        <v>1447</v>
      </c>
      <c r="G1413" t="s">
        <v>83</v>
      </c>
      <c r="H1413">
        <v>0</v>
      </c>
      <c r="I1413" s="61">
        <v>44733</v>
      </c>
      <c r="J1413" s="33" t="s">
        <v>45</v>
      </c>
      <c r="K1413" s="46">
        <v>0</v>
      </c>
      <c r="L1413">
        <v>1.7</v>
      </c>
      <c r="M1413" t="s">
        <v>48</v>
      </c>
      <c r="N1413" s="46">
        <v>0</v>
      </c>
      <c r="O1413" s="46">
        <v>0</v>
      </c>
      <c r="P1413" s="46">
        <v>0</v>
      </c>
      <c r="Q1413" t="s">
        <v>48</v>
      </c>
      <c r="R1413" t="s">
        <v>48</v>
      </c>
      <c r="S1413" t="s">
        <v>10065</v>
      </c>
      <c r="T1413" t="s">
        <v>48</v>
      </c>
      <c r="U1413" t="s">
        <v>10065</v>
      </c>
      <c r="V1413" s="47">
        <v>1</v>
      </c>
      <c r="W1413" t="s">
        <v>48</v>
      </c>
      <c r="X1413" t="s">
        <v>48</v>
      </c>
      <c r="Y1413" t="s">
        <v>48</v>
      </c>
      <c r="Z1413" t="s">
        <v>48</v>
      </c>
      <c r="AA1413" t="s">
        <v>48</v>
      </c>
      <c r="AB1413" t="s">
        <v>48</v>
      </c>
      <c r="AC1413" t="s">
        <v>49</v>
      </c>
      <c r="AD1413" t="s">
        <v>93</v>
      </c>
      <c r="AE1413" t="s">
        <v>4532</v>
      </c>
      <c r="AF1413" t="s">
        <v>48</v>
      </c>
      <c r="AG1413" t="s">
        <v>48</v>
      </c>
      <c r="AH1413" t="s">
        <v>48</v>
      </c>
      <c r="AI1413" t="s">
        <v>48</v>
      </c>
      <c r="AJ1413" t="s">
        <v>48</v>
      </c>
      <c r="AK1413" t="s">
        <v>48</v>
      </c>
      <c r="AL1413" t="s">
        <v>48</v>
      </c>
      <c r="AM1413" t="s">
        <v>48</v>
      </c>
      <c r="AN1413" t="s">
        <v>48</v>
      </c>
      <c r="AO1413" t="s">
        <v>48</v>
      </c>
      <c r="AP1413" s="46">
        <v>0</v>
      </c>
      <c r="AQ1413" s="46">
        <v>0</v>
      </c>
      <c r="AR1413" s="46">
        <v>0</v>
      </c>
      <c r="AS1413" s="46">
        <v>0</v>
      </c>
      <c r="AT1413" s="46">
        <v>0</v>
      </c>
      <c r="AU1413" s="46">
        <v>0</v>
      </c>
      <c r="AV1413" s="46">
        <v>0</v>
      </c>
      <c r="AW1413" s="46">
        <v>0</v>
      </c>
      <c r="AX1413" s="46">
        <v>0</v>
      </c>
      <c r="AY1413" s="46">
        <v>0</v>
      </c>
      <c r="AZ1413" s="46">
        <v>0</v>
      </c>
      <c r="BA1413" s="46">
        <v>0</v>
      </c>
      <c r="BB1413" s="46">
        <v>0</v>
      </c>
      <c r="BC1413" s="46">
        <v>0</v>
      </c>
      <c r="BD1413" s="46">
        <v>0</v>
      </c>
      <c r="BE1413" s="46">
        <v>0</v>
      </c>
      <c r="BF1413" s="46">
        <v>0</v>
      </c>
      <c r="BG1413" s="46" t="s">
        <v>48</v>
      </c>
      <c r="BH1413" s="46">
        <v>0</v>
      </c>
      <c r="BI1413" s="46">
        <v>0</v>
      </c>
      <c r="BJ1413" s="46">
        <v>0</v>
      </c>
      <c r="BK1413" s="46">
        <v>0</v>
      </c>
      <c r="BL1413" s="46">
        <v>0</v>
      </c>
      <c r="BM1413" s="46">
        <v>0</v>
      </c>
      <c r="BN1413" s="46">
        <v>0</v>
      </c>
    </row>
    <row r="1414" spans="1:66" x14ac:dyDescent="0.35">
      <c r="A1414" t="s">
        <v>8299</v>
      </c>
      <c r="B1414" s="44" t="s">
        <v>48</v>
      </c>
      <c r="C1414" t="s">
        <v>11720</v>
      </c>
      <c r="D1414" t="s">
        <v>11721</v>
      </c>
      <c r="E1414" t="s">
        <v>8300</v>
      </c>
      <c r="F1414" t="s">
        <v>1447</v>
      </c>
      <c r="G1414" t="s">
        <v>47</v>
      </c>
      <c r="H1414">
        <v>0</v>
      </c>
      <c r="I1414" s="61">
        <v>44733</v>
      </c>
      <c r="J1414" s="33" t="s">
        <v>45</v>
      </c>
      <c r="K1414" s="46">
        <v>0</v>
      </c>
      <c r="L1414">
        <v>9.3000000000000007</v>
      </c>
      <c r="M1414" t="s">
        <v>48</v>
      </c>
      <c r="N1414" s="46">
        <v>0</v>
      </c>
      <c r="O1414" s="46">
        <v>0</v>
      </c>
      <c r="P1414" s="46">
        <v>0</v>
      </c>
      <c r="Q1414" t="s">
        <v>48</v>
      </c>
      <c r="R1414" t="s">
        <v>48</v>
      </c>
      <c r="S1414" t="s">
        <v>48</v>
      </c>
      <c r="T1414" t="s">
        <v>48</v>
      </c>
      <c r="U1414" t="s">
        <v>48</v>
      </c>
      <c r="V1414" s="47">
        <v>1</v>
      </c>
      <c r="W1414" t="s">
        <v>48</v>
      </c>
      <c r="X1414" t="s">
        <v>48</v>
      </c>
      <c r="Y1414" t="s">
        <v>48</v>
      </c>
      <c r="Z1414" t="s">
        <v>48</v>
      </c>
      <c r="AA1414" t="s">
        <v>48</v>
      </c>
      <c r="AB1414" t="s">
        <v>48</v>
      </c>
      <c r="AC1414" t="s">
        <v>49</v>
      </c>
      <c r="AD1414" t="s">
        <v>48</v>
      </c>
      <c r="AE1414" t="s">
        <v>48</v>
      </c>
      <c r="AF1414" t="s">
        <v>48</v>
      </c>
      <c r="AG1414" t="s">
        <v>48</v>
      </c>
      <c r="AH1414" t="s">
        <v>48</v>
      </c>
      <c r="AI1414" t="s">
        <v>48</v>
      </c>
      <c r="AJ1414" t="s">
        <v>48</v>
      </c>
      <c r="AK1414" t="s">
        <v>48</v>
      </c>
      <c r="AL1414" t="s">
        <v>48</v>
      </c>
      <c r="AM1414" t="s">
        <v>48</v>
      </c>
      <c r="AN1414" t="s">
        <v>48</v>
      </c>
      <c r="AO1414" t="s">
        <v>48</v>
      </c>
      <c r="AP1414" s="46">
        <v>0</v>
      </c>
      <c r="AQ1414" s="46">
        <v>0</v>
      </c>
      <c r="AR1414" s="46">
        <v>0</v>
      </c>
      <c r="AS1414" s="46">
        <v>0</v>
      </c>
      <c r="AT1414" s="46">
        <v>0</v>
      </c>
      <c r="AU1414" s="46">
        <v>0</v>
      </c>
      <c r="AV1414" s="46">
        <v>0</v>
      </c>
      <c r="AW1414" s="46">
        <v>0</v>
      </c>
      <c r="AX1414" s="46">
        <v>0</v>
      </c>
      <c r="AY1414" s="46">
        <v>0</v>
      </c>
      <c r="AZ1414" s="46">
        <v>0</v>
      </c>
      <c r="BA1414" s="46">
        <v>0</v>
      </c>
      <c r="BB1414" s="46">
        <v>0</v>
      </c>
      <c r="BC1414" s="46">
        <v>0</v>
      </c>
      <c r="BD1414" s="46">
        <v>0</v>
      </c>
      <c r="BE1414" s="46">
        <v>0</v>
      </c>
      <c r="BF1414" s="46">
        <v>0</v>
      </c>
      <c r="BG1414" s="46" t="s">
        <v>48</v>
      </c>
      <c r="BH1414" s="46">
        <v>0</v>
      </c>
      <c r="BI1414" s="46">
        <v>0</v>
      </c>
      <c r="BJ1414" s="46">
        <v>0</v>
      </c>
      <c r="BK1414" s="46">
        <v>0</v>
      </c>
      <c r="BL1414" s="46">
        <v>0</v>
      </c>
      <c r="BM1414" s="46">
        <v>0</v>
      </c>
      <c r="BN1414" s="46">
        <v>0</v>
      </c>
    </row>
    <row r="1415" spans="1:66" x14ac:dyDescent="0.35">
      <c r="A1415" t="s">
        <v>1453</v>
      </c>
      <c r="B1415" s="44" t="s">
        <v>48</v>
      </c>
      <c r="C1415" t="s">
        <v>1456</v>
      </c>
      <c r="D1415" t="s">
        <v>396</v>
      </c>
      <c r="E1415" t="s">
        <v>1454</v>
      </c>
      <c r="F1415" t="s">
        <v>1447</v>
      </c>
      <c r="G1415" t="s">
        <v>74</v>
      </c>
      <c r="H1415">
        <v>0</v>
      </c>
      <c r="I1415" s="60" t="s">
        <v>51</v>
      </c>
      <c r="J1415" s="33" t="s">
        <v>45</v>
      </c>
      <c r="K1415" s="46">
        <v>0</v>
      </c>
      <c r="L1415">
        <v>12.3</v>
      </c>
      <c r="M1415" t="s">
        <v>48</v>
      </c>
      <c r="N1415" s="46">
        <v>0</v>
      </c>
      <c r="O1415" s="46">
        <v>0</v>
      </c>
      <c r="P1415" s="46">
        <v>0</v>
      </c>
      <c r="Q1415" t="s">
        <v>48</v>
      </c>
      <c r="R1415" t="s">
        <v>48</v>
      </c>
      <c r="S1415" t="s">
        <v>1455</v>
      </c>
      <c r="T1415" t="s">
        <v>48</v>
      </c>
      <c r="U1415" t="s">
        <v>1455</v>
      </c>
      <c r="V1415" s="47">
        <v>0</v>
      </c>
      <c r="W1415" t="s">
        <v>48</v>
      </c>
      <c r="X1415" t="s">
        <v>48</v>
      </c>
      <c r="Y1415" t="s">
        <v>48</v>
      </c>
      <c r="Z1415">
        <v>0</v>
      </c>
      <c r="AA1415" t="s">
        <v>48</v>
      </c>
      <c r="AB1415" t="s">
        <v>48</v>
      </c>
      <c r="AC1415" t="s">
        <v>49</v>
      </c>
      <c r="AD1415" t="s">
        <v>951</v>
      </c>
      <c r="AE1415" s="40" t="s">
        <v>11051</v>
      </c>
      <c r="AF1415" t="s">
        <v>11074</v>
      </c>
      <c r="AG1415" t="s">
        <v>48</v>
      </c>
      <c r="AH1415" t="s">
        <v>48</v>
      </c>
      <c r="AI1415" t="s">
        <v>48</v>
      </c>
      <c r="AJ1415" t="s">
        <v>48</v>
      </c>
      <c r="AK1415" t="s">
        <v>48</v>
      </c>
      <c r="AL1415" t="s">
        <v>48</v>
      </c>
      <c r="AM1415" t="s">
        <v>48</v>
      </c>
      <c r="AN1415" t="s">
        <v>48</v>
      </c>
      <c r="AO1415" t="s">
        <v>48</v>
      </c>
      <c r="AP1415" s="46">
        <v>0</v>
      </c>
      <c r="AQ1415" s="46">
        <v>0</v>
      </c>
      <c r="AR1415" s="46">
        <v>0</v>
      </c>
      <c r="AS1415" s="46">
        <v>0</v>
      </c>
      <c r="AT1415" s="46">
        <v>0</v>
      </c>
      <c r="AU1415" s="46">
        <v>0</v>
      </c>
      <c r="AV1415" s="46">
        <v>0</v>
      </c>
      <c r="AW1415" s="46">
        <v>0</v>
      </c>
      <c r="AX1415" s="46">
        <v>0</v>
      </c>
      <c r="AY1415" s="46">
        <v>0</v>
      </c>
      <c r="AZ1415" s="46">
        <v>0</v>
      </c>
      <c r="BA1415" s="46">
        <v>0</v>
      </c>
      <c r="BB1415" s="46">
        <v>0</v>
      </c>
      <c r="BC1415" s="46">
        <v>0</v>
      </c>
      <c r="BD1415" s="46">
        <v>0</v>
      </c>
      <c r="BE1415" s="46">
        <v>0</v>
      </c>
      <c r="BF1415" s="46">
        <v>0</v>
      </c>
      <c r="BG1415" s="46" t="s">
        <v>48</v>
      </c>
      <c r="BH1415" s="46">
        <v>0</v>
      </c>
      <c r="BI1415" s="46">
        <v>0</v>
      </c>
      <c r="BJ1415" s="46">
        <v>0</v>
      </c>
      <c r="BK1415" s="46">
        <v>0</v>
      </c>
      <c r="BL1415" s="46">
        <v>0</v>
      </c>
      <c r="BM1415" s="46">
        <v>0</v>
      </c>
      <c r="BN1415" s="46">
        <v>0</v>
      </c>
    </row>
    <row r="1416" spans="1:66" x14ac:dyDescent="0.35">
      <c r="A1416" t="s">
        <v>8297</v>
      </c>
      <c r="B1416" s="44" t="s">
        <v>48</v>
      </c>
      <c r="C1416" t="s">
        <v>11719</v>
      </c>
      <c r="D1416" t="s">
        <v>288</v>
      </c>
      <c r="E1416" t="s">
        <v>8298</v>
      </c>
      <c r="F1416" t="s">
        <v>1447</v>
      </c>
      <c r="G1416" t="s">
        <v>47</v>
      </c>
      <c r="H1416">
        <v>0</v>
      </c>
      <c r="I1416" s="61">
        <v>44733</v>
      </c>
      <c r="J1416" s="33" t="s">
        <v>45</v>
      </c>
      <c r="K1416" s="46">
        <v>0</v>
      </c>
      <c r="L1416">
        <v>12.1</v>
      </c>
      <c r="M1416" t="s">
        <v>48</v>
      </c>
      <c r="N1416" s="46">
        <v>0</v>
      </c>
      <c r="O1416" s="46">
        <v>0</v>
      </c>
      <c r="P1416" s="46">
        <v>0</v>
      </c>
      <c r="Q1416" t="s">
        <v>48</v>
      </c>
      <c r="R1416" t="s">
        <v>48</v>
      </c>
      <c r="S1416" t="s">
        <v>48</v>
      </c>
      <c r="T1416" t="s">
        <v>48</v>
      </c>
      <c r="U1416" t="s">
        <v>48</v>
      </c>
      <c r="V1416" s="47">
        <v>1</v>
      </c>
      <c r="W1416" t="s">
        <v>48</v>
      </c>
      <c r="X1416" t="s">
        <v>48</v>
      </c>
      <c r="Y1416" t="s">
        <v>48</v>
      </c>
      <c r="Z1416" t="s">
        <v>48</v>
      </c>
      <c r="AA1416" t="s">
        <v>48</v>
      </c>
      <c r="AB1416" t="s">
        <v>48</v>
      </c>
      <c r="AC1416" t="s">
        <v>49</v>
      </c>
      <c r="AD1416" t="s">
        <v>93</v>
      </c>
      <c r="AE1416" t="s">
        <v>977</v>
      </c>
      <c r="AF1416" t="s">
        <v>11072</v>
      </c>
      <c r="AG1416" t="s">
        <v>48</v>
      </c>
      <c r="AH1416" t="s">
        <v>48</v>
      </c>
      <c r="AI1416" t="s">
        <v>48</v>
      </c>
      <c r="AJ1416" t="s">
        <v>48</v>
      </c>
      <c r="AK1416" t="s">
        <v>48</v>
      </c>
      <c r="AL1416" t="s">
        <v>48</v>
      </c>
      <c r="AM1416" t="s">
        <v>48</v>
      </c>
      <c r="AN1416" t="s">
        <v>48</v>
      </c>
      <c r="AO1416" t="s">
        <v>48</v>
      </c>
      <c r="AP1416" s="46">
        <v>0</v>
      </c>
      <c r="AQ1416" s="46">
        <v>0</v>
      </c>
      <c r="AR1416" s="46">
        <v>0</v>
      </c>
      <c r="AS1416" s="46">
        <v>0</v>
      </c>
      <c r="AT1416" s="46">
        <v>0</v>
      </c>
      <c r="AU1416" s="46">
        <v>0</v>
      </c>
      <c r="AV1416" s="46">
        <v>0</v>
      </c>
      <c r="AW1416" s="46">
        <v>0</v>
      </c>
      <c r="AX1416" s="46">
        <v>0</v>
      </c>
      <c r="AY1416" s="46">
        <v>0</v>
      </c>
      <c r="AZ1416" s="46">
        <v>0</v>
      </c>
      <c r="BA1416" s="46">
        <v>0</v>
      </c>
      <c r="BB1416" s="46">
        <v>0</v>
      </c>
      <c r="BC1416" s="46">
        <v>0</v>
      </c>
      <c r="BD1416" s="46">
        <v>0</v>
      </c>
      <c r="BE1416" s="46">
        <v>0</v>
      </c>
      <c r="BF1416" s="46">
        <v>0</v>
      </c>
      <c r="BG1416" s="46" t="s">
        <v>48</v>
      </c>
      <c r="BH1416" s="46">
        <v>0</v>
      </c>
      <c r="BI1416" s="46">
        <v>0</v>
      </c>
      <c r="BJ1416" s="46">
        <v>0</v>
      </c>
      <c r="BK1416" s="46">
        <v>0</v>
      </c>
      <c r="BL1416" s="46">
        <v>0</v>
      </c>
      <c r="BM1416" s="46">
        <v>0</v>
      </c>
      <c r="BN1416" s="46">
        <v>0</v>
      </c>
    </row>
    <row r="1417" spans="1:66" x14ac:dyDescent="0.35">
      <c r="A1417" t="s">
        <v>1437</v>
      </c>
      <c r="B1417" s="44" t="s">
        <v>48</v>
      </c>
      <c r="C1417" t="s">
        <v>1440</v>
      </c>
      <c r="D1417" t="s">
        <v>1439</v>
      </c>
      <c r="E1417" t="s">
        <v>8302</v>
      </c>
      <c r="F1417" t="s">
        <v>1461</v>
      </c>
      <c r="G1417" t="s">
        <v>47</v>
      </c>
      <c r="H1417">
        <v>0</v>
      </c>
      <c r="I1417" s="61">
        <v>44733</v>
      </c>
      <c r="J1417" s="33" t="s">
        <v>45</v>
      </c>
      <c r="K1417" s="46">
        <v>0</v>
      </c>
      <c r="L1417">
        <v>8.3000000000000007</v>
      </c>
      <c r="M1417" t="s">
        <v>48</v>
      </c>
      <c r="N1417" s="46">
        <v>0</v>
      </c>
      <c r="O1417" s="46">
        <v>0</v>
      </c>
      <c r="P1417" s="46">
        <v>0</v>
      </c>
      <c r="Q1417" t="s">
        <v>48</v>
      </c>
      <c r="R1417" t="s">
        <v>48</v>
      </c>
      <c r="S1417" t="s">
        <v>1438</v>
      </c>
      <c r="T1417" t="s">
        <v>48</v>
      </c>
      <c r="U1417" t="s">
        <v>1438</v>
      </c>
      <c r="V1417" s="47">
        <v>0</v>
      </c>
      <c r="W1417" t="s">
        <v>48</v>
      </c>
      <c r="X1417" t="s">
        <v>48</v>
      </c>
      <c r="Y1417" t="s">
        <v>48</v>
      </c>
      <c r="Z1417">
        <v>0</v>
      </c>
      <c r="AA1417" t="s">
        <v>48</v>
      </c>
      <c r="AB1417" t="s">
        <v>48</v>
      </c>
      <c r="AC1417" t="s">
        <v>63</v>
      </c>
      <c r="AD1417" t="s">
        <v>93</v>
      </c>
      <c r="AE1417" t="s">
        <v>977</v>
      </c>
      <c r="AF1417" t="s">
        <v>11072</v>
      </c>
      <c r="AG1417" t="s">
        <v>48</v>
      </c>
      <c r="AH1417" t="s">
        <v>48</v>
      </c>
      <c r="AI1417" t="s">
        <v>48</v>
      </c>
      <c r="AJ1417" t="s">
        <v>48</v>
      </c>
      <c r="AK1417" t="s">
        <v>48</v>
      </c>
      <c r="AL1417" t="s">
        <v>48</v>
      </c>
      <c r="AM1417" t="s">
        <v>48</v>
      </c>
      <c r="AN1417" t="s">
        <v>48</v>
      </c>
      <c r="AO1417" t="s">
        <v>48</v>
      </c>
      <c r="AP1417" s="46">
        <v>0</v>
      </c>
      <c r="AQ1417" s="46">
        <v>0</v>
      </c>
      <c r="AR1417" s="46">
        <v>0</v>
      </c>
      <c r="AS1417" s="46">
        <v>0</v>
      </c>
      <c r="AT1417" s="46">
        <v>0</v>
      </c>
      <c r="AU1417" s="46">
        <v>0</v>
      </c>
      <c r="AV1417" s="46">
        <v>0</v>
      </c>
      <c r="AW1417" s="46">
        <v>0</v>
      </c>
      <c r="AX1417" s="46">
        <v>0</v>
      </c>
      <c r="AY1417" s="46">
        <v>0</v>
      </c>
      <c r="AZ1417" s="46">
        <v>0</v>
      </c>
      <c r="BA1417" s="46">
        <v>0</v>
      </c>
      <c r="BB1417" s="46">
        <v>0</v>
      </c>
      <c r="BC1417" s="46">
        <v>0</v>
      </c>
      <c r="BD1417" s="46">
        <v>0</v>
      </c>
      <c r="BE1417" s="46">
        <v>0</v>
      </c>
      <c r="BF1417" s="46">
        <v>0</v>
      </c>
      <c r="BG1417" s="46" t="s">
        <v>48</v>
      </c>
      <c r="BH1417" s="46">
        <v>0</v>
      </c>
      <c r="BI1417" s="46">
        <v>0</v>
      </c>
      <c r="BJ1417" s="46">
        <v>0</v>
      </c>
      <c r="BK1417" s="46">
        <v>0</v>
      </c>
      <c r="BL1417" s="46">
        <v>0</v>
      </c>
      <c r="BM1417" s="46">
        <v>0</v>
      </c>
      <c r="BN1417" s="46">
        <v>0</v>
      </c>
    </row>
    <row r="1418" spans="1:66" x14ac:dyDescent="0.35">
      <c r="A1418" t="s">
        <v>1425</v>
      </c>
      <c r="B1418" s="44" t="s">
        <v>48</v>
      </c>
      <c r="C1418" t="s">
        <v>1428</v>
      </c>
      <c r="D1418" t="s">
        <v>195</v>
      </c>
      <c r="E1418" t="s">
        <v>8301</v>
      </c>
      <c r="F1418" t="s">
        <v>1461</v>
      </c>
      <c r="G1418" t="s">
        <v>47</v>
      </c>
      <c r="H1418">
        <v>0</v>
      </c>
      <c r="I1418" s="61">
        <v>44733</v>
      </c>
      <c r="J1418" s="33" t="s">
        <v>45</v>
      </c>
      <c r="K1418" s="46">
        <v>0</v>
      </c>
      <c r="L1418">
        <v>7.1</v>
      </c>
      <c r="M1418" t="s">
        <v>48</v>
      </c>
      <c r="N1418" s="46">
        <v>0</v>
      </c>
      <c r="O1418" s="46">
        <v>0</v>
      </c>
      <c r="P1418" s="46">
        <v>0</v>
      </c>
      <c r="Q1418" t="s">
        <v>48</v>
      </c>
      <c r="R1418" t="s">
        <v>48</v>
      </c>
      <c r="S1418" t="s">
        <v>1427</v>
      </c>
      <c r="T1418" t="s">
        <v>48</v>
      </c>
      <c r="U1418" t="s">
        <v>1427</v>
      </c>
      <c r="V1418" s="47">
        <v>0</v>
      </c>
      <c r="W1418" t="s">
        <v>11317</v>
      </c>
      <c r="X1418" t="s">
        <v>48</v>
      </c>
      <c r="Y1418" t="s">
        <v>48</v>
      </c>
      <c r="Z1418">
        <v>0</v>
      </c>
      <c r="AA1418" t="s">
        <v>48</v>
      </c>
      <c r="AB1418" t="s">
        <v>48</v>
      </c>
      <c r="AC1418" t="s">
        <v>49</v>
      </c>
      <c r="AD1418" t="s">
        <v>93</v>
      </c>
      <c r="AE1418" t="s">
        <v>4532</v>
      </c>
      <c r="AF1418" t="s">
        <v>48</v>
      </c>
      <c r="AG1418" t="s">
        <v>48</v>
      </c>
      <c r="AH1418" t="s">
        <v>48</v>
      </c>
      <c r="AI1418" t="s">
        <v>48</v>
      </c>
      <c r="AJ1418" t="s">
        <v>48</v>
      </c>
      <c r="AK1418" t="s">
        <v>48</v>
      </c>
      <c r="AL1418" t="s">
        <v>48</v>
      </c>
      <c r="AM1418" t="s">
        <v>48</v>
      </c>
      <c r="AN1418" t="s">
        <v>48</v>
      </c>
      <c r="AO1418" t="s">
        <v>48</v>
      </c>
      <c r="AP1418" s="46">
        <v>0</v>
      </c>
      <c r="AQ1418" s="46">
        <v>0</v>
      </c>
      <c r="AR1418" s="46">
        <v>0</v>
      </c>
      <c r="AS1418" s="46">
        <v>0</v>
      </c>
      <c r="AT1418" s="46">
        <v>0</v>
      </c>
      <c r="AU1418" s="46">
        <v>0</v>
      </c>
      <c r="AV1418" s="46">
        <v>0</v>
      </c>
      <c r="AW1418" s="46">
        <v>0</v>
      </c>
      <c r="AX1418" s="46">
        <v>0</v>
      </c>
      <c r="AY1418" s="46">
        <v>0</v>
      </c>
      <c r="AZ1418" s="46">
        <v>0</v>
      </c>
      <c r="BA1418" s="46">
        <v>0</v>
      </c>
      <c r="BB1418" s="46">
        <v>0</v>
      </c>
      <c r="BC1418" s="46">
        <v>0</v>
      </c>
      <c r="BD1418" s="46">
        <v>0</v>
      </c>
      <c r="BE1418" s="46">
        <v>0</v>
      </c>
      <c r="BF1418" s="46">
        <v>0</v>
      </c>
      <c r="BG1418" s="46" t="s">
        <v>48</v>
      </c>
      <c r="BH1418" s="46">
        <v>0</v>
      </c>
      <c r="BI1418" s="46">
        <v>0</v>
      </c>
      <c r="BJ1418" s="46">
        <v>0</v>
      </c>
      <c r="BK1418" s="46">
        <v>0</v>
      </c>
      <c r="BL1418" s="46">
        <v>0</v>
      </c>
      <c r="BM1418" s="46">
        <v>0</v>
      </c>
      <c r="BN1418" s="46">
        <v>0</v>
      </c>
    </row>
    <row r="1419" spans="1:66" x14ac:dyDescent="0.35">
      <c r="A1419" t="s">
        <v>1470</v>
      </c>
      <c r="B1419" s="44" t="s">
        <v>48</v>
      </c>
      <c r="C1419" t="s">
        <v>1474</v>
      </c>
      <c r="D1419" t="s">
        <v>1473</v>
      </c>
      <c r="E1419" t="s">
        <v>1471</v>
      </c>
      <c r="F1419" t="s">
        <v>1461</v>
      </c>
      <c r="G1419" t="s">
        <v>47</v>
      </c>
      <c r="H1419">
        <v>0</v>
      </c>
      <c r="I1419" s="61" t="s">
        <v>11160</v>
      </c>
      <c r="J1419" s="33" t="s">
        <v>45</v>
      </c>
      <c r="K1419" s="46">
        <v>0</v>
      </c>
      <c r="L1419">
        <v>2</v>
      </c>
      <c r="M1419" t="s">
        <v>48</v>
      </c>
      <c r="N1419" s="46">
        <v>0</v>
      </c>
      <c r="O1419" s="46">
        <v>0</v>
      </c>
      <c r="P1419" s="46">
        <v>0</v>
      </c>
      <c r="Q1419" t="s">
        <v>48</v>
      </c>
      <c r="R1419" t="s">
        <v>48</v>
      </c>
      <c r="S1419" t="s">
        <v>11343</v>
      </c>
      <c r="T1419" t="s">
        <v>48</v>
      </c>
      <c r="U1419" t="s">
        <v>1472</v>
      </c>
      <c r="V1419" s="47">
        <v>0</v>
      </c>
      <c r="W1419" t="s">
        <v>48</v>
      </c>
      <c r="X1419" t="s">
        <v>48</v>
      </c>
      <c r="Y1419" t="s">
        <v>48</v>
      </c>
      <c r="Z1419">
        <v>0</v>
      </c>
      <c r="AA1419" t="s">
        <v>48</v>
      </c>
      <c r="AB1419" t="s">
        <v>48</v>
      </c>
      <c r="AC1419" t="s">
        <v>49</v>
      </c>
      <c r="AD1419" t="s">
        <v>93</v>
      </c>
      <c r="AE1419" s="40" t="s">
        <v>2471</v>
      </c>
      <c r="AF1419" t="s">
        <v>11075</v>
      </c>
      <c r="AG1419" t="s">
        <v>48</v>
      </c>
      <c r="AH1419" t="s">
        <v>48</v>
      </c>
      <c r="AI1419" t="s">
        <v>48</v>
      </c>
      <c r="AJ1419" t="s">
        <v>48</v>
      </c>
      <c r="AK1419" t="s">
        <v>48</v>
      </c>
      <c r="AL1419" t="s">
        <v>48</v>
      </c>
      <c r="AM1419" t="s">
        <v>48</v>
      </c>
      <c r="AN1419" t="s">
        <v>48</v>
      </c>
      <c r="AO1419" t="s">
        <v>48</v>
      </c>
      <c r="AP1419" s="46">
        <v>0</v>
      </c>
      <c r="AQ1419" s="46">
        <v>0</v>
      </c>
      <c r="AR1419" s="46">
        <v>0</v>
      </c>
      <c r="AS1419" s="46">
        <v>0</v>
      </c>
      <c r="AT1419" s="46">
        <v>0</v>
      </c>
      <c r="AU1419" s="46">
        <v>0</v>
      </c>
      <c r="AV1419" s="46">
        <v>0</v>
      </c>
      <c r="AW1419" s="46">
        <v>0</v>
      </c>
      <c r="AX1419" s="46">
        <v>0</v>
      </c>
      <c r="AY1419" s="46">
        <v>0</v>
      </c>
      <c r="AZ1419" s="46">
        <v>0</v>
      </c>
      <c r="BA1419" s="46">
        <v>0</v>
      </c>
      <c r="BB1419" s="46">
        <v>0</v>
      </c>
      <c r="BC1419" s="46">
        <v>0</v>
      </c>
      <c r="BD1419" s="46">
        <v>0</v>
      </c>
      <c r="BE1419" s="46">
        <v>0</v>
      </c>
      <c r="BF1419" s="46">
        <v>0</v>
      </c>
      <c r="BG1419" s="46" t="s">
        <v>48</v>
      </c>
      <c r="BH1419" s="46">
        <v>0</v>
      </c>
      <c r="BI1419" s="46">
        <v>0</v>
      </c>
      <c r="BJ1419" s="46">
        <v>0</v>
      </c>
      <c r="BK1419" s="46">
        <v>0</v>
      </c>
      <c r="BL1419" s="46">
        <v>0</v>
      </c>
      <c r="BM1419" s="46">
        <v>0</v>
      </c>
      <c r="BN1419" s="46">
        <v>0</v>
      </c>
    </row>
    <row r="1420" spans="1:66" x14ac:dyDescent="0.35">
      <c r="A1420" t="s">
        <v>9997</v>
      </c>
      <c r="B1420" s="44" t="s">
        <v>48</v>
      </c>
      <c r="C1420" t="s">
        <v>11723</v>
      </c>
      <c r="D1420" t="s">
        <v>11724</v>
      </c>
      <c r="E1420" t="s">
        <v>8149</v>
      </c>
      <c r="F1420" t="s">
        <v>1475</v>
      </c>
      <c r="G1420" t="s">
        <v>83</v>
      </c>
      <c r="H1420">
        <v>0</v>
      </c>
      <c r="I1420" s="60" t="s">
        <v>11552</v>
      </c>
      <c r="J1420" s="33" t="s">
        <v>45</v>
      </c>
      <c r="K1420" s="46">
        <v>0</v>
      </c>
      <c r="L1420">
        <v>1.6</v>
      </c>
      <c r="M1420" t="s">
        <v>48</v>
      </c>
      <c r="N1420" s="46">
        <v>0</v>
      </c>
      <c r="O1420" s="46">
        <v>0</v>
      </c>
      <c r="P1420" s="46">
        <v>0</v>
      </c>
      <c r="Q1420" t="s">
        <v>48</v>
      </c>
      <c r="R1420" t="s">
        <v>48</v>
      </c>
      <c r="S1420" s="41" t="s">
        <v>11404</v>
      </c>
      <c r="T1420" t="s">
        <v>48</v>
      </c>
      <c r="U1420" s="41" t="s">
        <v>9998</v>
      </c>
      <c r="V1420" s="47">
        <v>1</v>
      </c>
      <c r="W1420" t="s">
        <v>48</v>
      </c>
      <c r="X1420" t="s">
        <v>48</v>
      </c>
      <c r="Y1420" t="s">
        <v>48</v>
      </c>
      <c r="Z1420" t="s">
        <v>48</v>
      </c>
      <c r="AA1420" t="s">
        <v>48</v>
      </c>
      <c r="AB1420" t="s">
        <v>48</v>
      </c>
      <c r="AC1420" t="s">
        <v>63</v>
      </c>
      <c r="AD1420" t="s">
        <v>93</v>
      </c>
      <c r="AE1420" t="s">
        <v>4532</v>
      </c>
      <c r="AF1420" t="s">
        <v>48</v>
      </c>
      <c r="AG1420" t="s">
        <v>48</v>
      </c>
      <c r="AH1420" t="s">
        <v>48</v>
      </c>
      <c r="AI1420" t="s">
        <v>48</v>
      </c>
      <c r="AJ1420" t="s">
        <v>48</v>
      </c>
      <c r="AK1420" t="s">
        <v>48</v>
      </c>
      <c r="AL1420" t="s">
        <v>48</v>
      </c>
      <c r="AM1420" t="s">
        <v>48</v>
      </c>
      <c r="AN1420" t="s">
        <v>48</v>
      </c>
      <c r="AO1420" t="s">
        <v>48</v>
      </c>
      <c r="AP1420" s="46">
        <v>0</v>
      </c>
      <c r="AQ1420" s="46">
        <v>0</v>
      </c>
      <c r="AR1420" s="46">
        <v>0</v>
      </c>
      <c r="AS1420" s="46">
        <v>0</v>
      </c>
      <c r="AT1420" s="46">
        <v>0</v>
      </c>
      <c r="AU1420" s="46">
        <v>0</v>
      </c>
      <c r="AV1420" s="46">
        <v>0</v>
      </c>
      <c r="AW1420" s="46">
        <v>0</v>
      </c>
      <c r="AX1420" s="46">
        <v>0</v>
      </c>
      <c r="AY1420" s="46">
        <v>0</v>
      </c>
      <c r="AZ1420" s="46">
        <v>0</v>
      </c>
      <c r="BA1420" s="46">
        <v>0</v>
      </c>
      <c r="BB1420" s="46">
        <v>0</v>
      </c>
      <c r="BC1420" s="46">
        <v>0</v>
      </c>
      <c r="BD1420" s="46">
        <v>0</v>
      </c>
      <c r="BE1420" s="46">
        <v>0</v>
      </c>
      <c r="BF1420" s="46">
        <v>0</v>
      </c>
      <c r="BG1420" s="46" t="s">
        <v>48</v>
      </c>
      <c r="BH1420" s="46">
        <v>0</v>
      </c>
      <c r="BI1420" s="46">
        <v>0</v>
      </c>
      <c r="BJ1420" s="46">
        <v>0</v>
      </c>
      <c r="BK1420" s="46">
        <v>0</v>
      </c>
      <c r="BL1420" s="46">
        <v>0</v>
      </c>
      <c r="BM1420" s="46">
        <v>0</v>
      </c>
      <c r="BN1420" s="46">
        <v>0</v>
      </c>
    </row>
    <row r="1421" spans="1:66" x14ac:dyDescent="0.35">
      <c r="A1421" t="s">
        <v>8090</v>
      </c>
      <c r="B1421" s="44" t="s">
        <v>48</v>
      </c>
      <c r="C1421" t="s">
        <v>11725</v>
      </c>
      <c r="D1421" t="s">
        <v>704</v>
      </c>
      <c r="E1421" t="s">
        <v>8091</v>
      </c>
      <c r="F1421" t="s">
        <v>1475</v>
      </c>
      <c r="G1421" t="s">
        <v>74</v>
      </c>
      <c r="H1421">
        <v>0</v>
      </c>
      <c r="I1421" s="61">
        <v>44733</v>
      </c>
      <c r="J1421" s="33" t="s">
        <v>45</v>
      </c>
      <c r="K1421" s="46">
        <v>0</v>
      </c>
      <c r="L1421">
        <v>9.1</v>
      </c>
      <c r="M1421" t="s">
        <v>48</v>
      </c>
      <c r="N1421" s="46">
        <v>0</v>
      </c>
      <c r="O1421" s="46">
        <v>0</v>
      </c>
      <c r="P1421" s="46">
        <v>0</v>
      </c>
      <c r="Q1421" t="s">
        <v>48</v>
      </c>
      <c r="R1421" t="s">
        <v>48</v>
      </c>
      <c r="S1421" t="s">
        <v>10066</v>
      </c>
      <c r="T1421" t="s">
        <v>48</v>
      </c>
      <c r="U1421" t="s">
        <v>10066</v>
      </c>
      <c r="V1421" s="47">
        <v>1</v>
      </c>
      <c r="W1421" t="s">
        <v>48</v>
      </c>
      <c r="X1421" t="s">
        <v>48</v>
      </c>
      <c r="Y1421" t="s">
        <v>48</v>
      </c>
      <c r="Z1421" t="s">
        <v>48</v>
      </c>
      <c r="AA1421" t="s">
        <v>48</v>
      </c>
      <c r="AB1421" t="s">
        <v>48</v>
      </c>
      <c r="AC1421" t="s">
        <v>49</v>
      </c>
      <c r="AD1421" t="s">
        <v>93</v>
      </c>
      <c r="AE1421" t="s">
        <v>4532</v>
      </c>
      <c r="AF1421" t="s">
        <v>48</v>
      </c>
      <c r="AG1421" t="s">
        <v>48</v>
      </c>
      <c r="AH1421" t="s">
        <v>48</v>
      </c>
      <c r="AI1421" t="s">
        <v>48</v>
      </c>
      <c r="AJ1421" t="s">
        <v>48</v>
      </c>
      <c r="AK1421" t="s">
        <v>48</v>
      </c>
      <c r="AL1421" t="s">
        <v>48</v>
      </c>
      <c r="AM1421" t="s">
        <v>48</v>
      </c>
      <c r="AN1421" t="s">
        <v>48</v>
      </c>
      <c r="AO1421" t="s">
        <v>48</v>
      </c>
      <c r="AP1421" s="46">
        <v>0</v>
      </c>
      <c r="AQ1421" s="46">
        <v>0</v>
      </c>
      <c r="AR1421" s="46">
        <v>0</v>
      </c>
      <c r="AS1421" s="46">
        <v>0</v>
      </c>
      <c r="AT1421" s="46">
        <v>0</v>
      </c>
      <c r="AU1421" s="46">
        <v>0</v>
      </c>
      <c r="AV1421" s="46">
        <v>0</v>
      </c>
      <c r="AW1421" s="46">
        <v>0</v>
      </c>
      <c r="AX1421" s="46">
        <v>0</v>
      </c>
      <c r="AY1421" s="46">
        <v>0</v>
      </c>
      <c r="AZ1421" s="46">
        <v>0</v>
      </c>
      <c r="BA1421" s="46">
        <v>0</v>
      </c>
      <c r="BB1421" s="46">
        <v>0</v>
      </c>
      <c r="BC1421" s="46">
        <v>0</v>
      </c>
      <c r="BD1421" s="46">
        <v>0</v>
      </c>
      <c r="BE1421" s="46">
        <v>0</v>
      </c>
      <c r="BF1421" s="46">
        <v>0</v>
      </c>
      <c r="BG1421" s="46" t="s">
        <v>48</v>
      </c>
      <c r="BH1421" s="46">
        <v>0</v>
      </c>
      <c r="BI1421" s="46">
        <v>0</v>
      </c>
      <c r="BJ1421" s="46">
        <v>0</v>
      </c>
      <c r="BK1421" s="46">
        <v>0</v>
      </c>
      <c r="BL1421" s="46">
        <v>0</v>
      </c>
      <c r="BM1421" s="46">
        <v>0</v>
      </c>
      <c r="BN1421" s="46">
        <v>0</v>
      </c>
    </row>
    <row r="1422" spans="1:66" x14ac:dyDescent="0.35">
      <c r="A1422" t="s">
        <v>1493</v>
      </c>
      <c r="B1422" s="44" t="s">
        <v>48</v>
      </c>
      <c r="C1422" t="s">
        <v>723</v>
      </c>
      <c r="D1422" t="s">
        <v>237</v>
      </c>
      <c r="E1422" t="s">
        <v>1494</v>
      </c>
      <c r="F1422" t="s">
        <v>1481</v>
      </c>
      <c r="G1422" t="s">
        <v>47</v>
      </c>
      <c r="H1422">
        <v>0</v>
      </c>
      <c r="I1422" s="60" t="s">
        <v>51</v>
      </c>
      <c r="J1422" s="33" t="s">
        <v>45</v>
      </c>
      <c r="K1422" s="46">
        <v>0</v>
      </c>
      <c r="L1422">
        <v>9.6999999999999993</v>
      </c>
      <c r="M1422" t="s">
        <v>48</v>
      </c>
      <c r="N1422" s="46">
        <v>0</v>
      </c>
      <c r="O1422" s="46">
        <v>0</v>
      </c>
      <c r="P1422" s="46">
        <v>0</v>
      </c>
      <c r="Q1422" t="s">
        <v>48</v>
      </c>
      <c r="R1422" t="s">
        <v>48</v>
      </c>
      <c r="S1422" t="s">
        <v>1495</v>
      </c>
      <c r="T1422" t="s">
        <v>48</v>
      </c>
      <c r="U1422" t="s">
        <v>1495</v>
      </c>
      <c r="V1422" s="47">
        <v>0</v>
      </c>
      <c r="W1422" t="s">
        <v>48</v>
      </c>
      <c r="X1422" t="s">
        <v>48</v>
      </c>
      <c r="Y1422" t="s">
        <v>48</v>
      </c>
      <c r="Z1422">
        <v>0</v>
      </c>
      <c r="AA1422" t="s">
        <v>48</v>
      </c>
      <c r="AB1422" t="s">
        <v>48</v>
      </c>
      <c r="AC1422" t="s">
        <v>49</v>
      </c>
      <c r="AD1422" t="s">
        <v>951</v>
      </c>
      <c r="AE1422" s="40" t="s">
        <v>11051</v>
      </c>
      <c r="AF1422" t="s">
        <v>108</v>
      </c>
      <c r="AG1422" t="s">
        <v>48</v>
      </c>
      <c r="AH1422" t="s">
        <v>48</v>
      </c>
      <c r="AI1422" t="s">
        <v>48</v>
      </c>
      <c r="AJ1422" t="s">
        <v>48</v>
      </c>
      <c r="AK1422" t="s">
        <v>48</v>
      </c>
      <c r="AL1422" t="s">
        <v>48</v>
      </c>
      <c r="AM1422" t="s">
        <v>48</v>
      </c>
      <c r="AN1422" t="s">
        <v>48</v>
      </c>
      <c r="AO1422" t="s">
        <v>48</v>
      </c>
      <c r="AP1422" s="46">
        <v>0</v>
      </c>
      <c r="AQ1422" s="46">
        <v>0</v>
      </c>
      <c r="AR1422" s="46">
        <v>0</v>
      </c>
      <c r="AS1422" s="46">
        <v>0</v>
      </c>
      <c r="AT1422" s="46">
        <v>0</v>
      </c>
      <c r="AU1422" s="46">
        <v>0</v>
      </c>
      <c r="AV1422" s="46">
        <v>0</v>
      </c>
      <c r="AW1422" s="46">
        <v>0</v>
      </c>
      <c r="AX1422" s="46">
        <v>0</v>
      </c>
      <c r="AY1422" s="46">
        <v>0</v>
      </c>
      <c r="AZ1422" s="46">
        <v>0</v>
      </c>
      <c r="BA1422" s="46">
        <v>0</v>
      </c>
      <c r="BB1422" s="46">
        <v>0</v>
      </c>
      <c r="BC1422" s="46">
        <v>0</v>
      </c>
      <c r="BD1422" s="46">
        <v>0</v>
      </c>
      <c r="BE1422" s="46">
        <v>0</v>
      </c>
      <c r="BF1422" s="46">
        <v>0</v>
      </c>
      <c r="BG1422" s="46" t="s">
        <v>48</v>
      </c>
      <c r="BH1422" s="46">
        <v>0</v>
      </c>
      <c r="BI1422" s="46">
        <v>0</v>
      </c>
      <c r="BJ1422" s="46">
        <v>0</v>
      </c>
      <c r="BK1422" s="46">
        <v>0</v>
      </c>
      <c r="BL1422" s="46">
        <v>0</v>
      </c>
      <c r="BM1422" s="46">
        <v>0</v>
      </c>
      <c r="BN1422" s="46">
        <v>0</v>
      </c>
    </row>
    <row r="1423" spans="1:66" x14ac:dyDescent="0.35">
      <c r="A1423" t="s">
        <v>10971</v>
      </c>
      <c r="B1423" s="44" t="s">
        <v>48</v>
      </c>
      <c r="C1423">
        <v>0</v>
      </c>
      <c r="D1423" t="s">
        <v>10971</v>
      </c>
      <c r="E1423" t="s">
        <v>10972</v>
      </c>
      <c r="F1423" t="s">
        <v>1481</v>
      </c>
      <c r="G1423" t="s">
        <v>47</v>
      </c>
      <c r="H1423">
        <v>0</v>
      </c>
      <c r="I1423" s="60" t="s">
        <v>11552</v>
      </c>
      <c r="J1423" s="33" t="s">
        <v>45</v>
      </c>
      <c r="K1423" s="46">
        <v>0</v>
      </c>
      <c r="L1423">
        <v>7.8</v>
      </c>
      <c r="M1423" t="s">
        <v>48</v>
      </c>
      <c r="N1423" s="46">
        <v>0</v>
      </c>
      <c r="O1423" s="46">
        <v>0</v>
      </c>
      <c r="P1423" s="46">
        <v>0</v>
      </c>
      <c r="Q1423" t="s">
        <v>48</v>
      </c>
      <c r="R1423" t="s">
        <v>48</v>
      </c>
      <c r="S1423" t="s">
        <v>11405</v>
      </c>
      <c r="T1423" t="s">
        <v>48</v>
      </c>
      <c r="U1423" t="s">
        <v>10973</v>
      </c>
      <c r="V1423" s="47" t="s">
        <v>48</v>
      </c>
      <c r="W1423" t="s">
        <v>48</v>
      </c>
      <c r="X1423" t="s">
        <v>48</v>
      </c>
      <c r="Y1423" t="s">
        <v>48</v>
      </c>
      <c r="Z1423" t="s">
        <v>48</v>
      </c>
      <c r="AA1423" t="s">
        <v>48</v>
      </c>
      <c r="AB1423" t="s">
        <v>48</v>
      </c>
      <c r="AC1423" t="s">
        <v>49</v>
      </c>
      <c r="AD1423" t="s">
        <v>93</v>
      </c>
      <c r="AE1423" t="s">
        <v>4532</v>
      </c>
      <c r="AF1423" t="s">
        <v>48</v>
      </c>
      <c r="AG1423" t="s">
        <v>48</v>
      </c>
      <c r="AH1423" t="s">
        <v>48</v>
      </c>
      <c r="AI1423" t="s">
        <v>48</v>
      </c>
      <c r="AJ1423" t="s">
        <v>48</v>
      </c>
      <c r="AK1423" t="s">
        <v>48</v>
      </c>
      <c r="AL1423" t="s">
        <v>48</v>
      </c>
      <c r="AM1423" t="s">
        <v>48</v>
      </c>
      <c r="AN1423" t="s">
        <v>48</v>
      </c>
      <c r="AO1423" t="s">
        <v>48</v>
      </c>
      <c r="AP1423" s="46">
        <v>0</v>
      </c>
      <c r="AQ1423" s="46">
        <v>0</v>
      </c>
      <c r="AR1423" s="46">
        <v>0</v>
      </c>
      <c r="AS1423" s="46">
        <v>0</v>
      </c>
      <c r="AT1423" s="46">
        <v>0</v>
      </c>
      <c r="AU1423" s="46">
        <v>0</v>
      </c>
      <c r="AV1423" s="46">
        <v>0</v>
      </c>
      <c r="AW1423" s="46">
        <v>0</v>
      </c>
      <c r="AX1423" s="46">
        <v>0</v>
      </c>
      <c r="AY1423" s="46">
        <v>0</v>
      </c>
      <c r="AZ1423" s="46">
        <v>0</v>
      </c>
      <c r="BA1423" s="46">
        <v>0</v>
      </c>
      <c r="BB1423" s="46">
        <v>0</v>
      </c>
      <c r="BC1423" s="46">
        <v>0</v>
      </c>
      <c r="BD1423" s="46">
        <v>0</v>
      </c>
      <c r="BE1423" s="46">
        <v>0</v>
      </c>
      <c r="BF1423" s="46">
        <v>0</v>
      </c>
      <c r="BG1423" s="46" t="s">
        <v>48</v>
      </c>
      <c r="BH1423" s="46">
        <v>0</v>
      </c>
      <c r="BI1423" s="46">
        <v>0</v>
      </c>
      <c r="BJ1423" s="46">
        <v>0</v>
      </c>
      <c r="BK1423" s="46">
        <v>0</v>
      </c>
      <c r="BL1423" s="46">
        <v>0</v>
      </c>
      <c r="BM1423" s="46">
        <v>0</v>
      </c>
      <c r="BN1423" s="46">
        <v>0</v>
      </c>
    </row>
    <row r="1424" spans="1:66" x14ac:dyDescent="0.35">
      <c r="A1424" t="s">
        <v>1480</v>
      </c>
      <c r="B1424" s="44" t="s">
        <v>48</v>
      </c>
      <c r="C1424" t="s">
        <v>1483</v>
      </c>
      <c r="D1424" t="s">
        <v>355</v>
      </c>
      <c r="E1424" t="s">
        <v>1482</v>
      </c>
      <c r="F1424" t="s">
        <v>1481</v>
      </c>
      <c r="G1424" t="s">
        <v>47</v>
      </c>
      <c r="H1424">
        <v>0</v>
      </c>
      <c r="I1424" s="61" t="s">
        <v>11160</v>
      </c>
      <c r="J1424" s="33" t="s">
        <v>45</v>
      </c>
      <c r="K1424" s="46">
        <v>0</v>
      </c>
      <c r="L1424">
        <v>10.7</v>
      </c>
      <c r="M1424" t="s">
        <v>48</v>
      </c>
      <c r="N1424" s="46">
        <v>0</v>
      </c>
      <c r="O1424" s="46">
        <v>0</v>
      </c>
      <c r="P1424" s="46">
        <v>0</v>
      </c>
      <c r="Q1424" t="s">
        <v>48</v>
      </c>
      <c r="R1424" t="s">
        <v>48</v>
      </c>
      <c r="S1424" t="s">
        <v>11325</v>
      </c>
      <c r="T1424" t="s">
        <v>48</v>
      </c>
      <c r="U1424" t="s">
        <v>10067</v>
      </c>
      <c r="V1424" s="47">
        <v>0</v>
      </c>
      <c r="W1424" t="s">
        <v>48</v>
      </c>
      <c r="X1424" t="s">
        <v>48</v>
      </c>
      <c r="Y1424" t="s">
        <v>48</v>
      </c>
      <c r="Z1424">
        <v>0</v>
      </c>
      <c r="AA1424" t="s">
        <v>48</v>
      </c>
      <c r="AB1424" t="s">
        <v>48</v>
      </c>
      <c r="AC1424" t="s">
        <v>63</v>
      </c>
      <c r="AD1424" t="s">
        <v>93</v>
      </c>
      <c r="AE1424" t="s">
        <v>977</v>
      </c>
      <c r="AF1424" t="s">
        <v>11056</v>
      </c>
      <c r="AG1424" t="s">
        <v>48</v>
      </c>
      <c r="AH1424" t="s">
        <v>48</v>
      </c>
      <c r="AI1424" t="s">
        <v>48</v>
      </c>
      <c r="AJ1424" t="s">
        <v>48</v>
      </c>
      <c r="AK1424" t="s">
        <v>48</v>
      </c>
      <c r="AL1424" t="s">
        <v>48</v>
      </c>
      <c r="AM1424" t="s">
        <v>48</v>
      </c>
      <c r="AN1424" t="s">
        <v>48</v>
      </c>
      <c r="AO1424" t="s">
        <v>48</v>
      </c>
      <c r="AP1424" s="46">
        <v>0</v>
      </c>
      <c r="AQ1424" s="46">
        <v>0</v>
      </c>
      <c r="AR1424" s="46">
        <v>0</v>
      </c>
      <c r="AS1424" s="46">
        <v>0</v>
      </c>
      <c r="AT1424" s="46">
        <v>0</v>
      </c>
      <c r="AU1424" s="46">
        <v>0</v>
      </c>
      <c r="AV1424" s="46">
        <v>0</v>
      </c>
      <c r="AW1424" s="46">
        <v>0</v>
      </c>
      <c r="AX1424" s="46">
        <v>0</v>
      </c>
      <c r="AY1424" s="46">
        <v>0</v>
      </c>
      <c r="AZ1424" s="46">
        <v>0</v>
      </c>
      <c r="BA1424" s="46">
        <v>0</v>
      </c>
      <c r="BB1424" s="46">
        <v>0</v>
      </c>
      <c r="BC1424" s="46">
        <v>0</v>
      </c>
      <c r="BD1424" s="46">
        <v>0</v>
      </c>
      <c r="BE1424" s="46">
        <v>0</v>
      </c>
      <c r="BF1424" s="46">
        <v>0</v>
      </c>
      <c r="BG1424" s="46" t="s">
        <v>48</v>
      </c>
      <c r="BH1424" s="46">
        <v>0</v>
      </c>
      <c r="BI1424" s="46">
        <v>0</v>
      </c>
      <c r="BJ1424" s="46">
        <v>0</v>
      </c>
      <c r="BK1424" s="46">
        <v>0</v>
      </c>
      <c r="BL1424" s="46">
        <v>0</v>
      </c>
      <c r="BM1424" s="46">
        <v>0</v>
      </c>
      <c r="BN1424" s="46">
        <v>0</v>
      </c>
    </row>
    <row r="1425" spans="1:66" x14ac:dyDescent="0.35">
      <c r="A1425" t="s">
        <v>8092</v>
      </c>
      <c r="B1425" s="44" t="s">
        <v>48</v>
      </c>
      <c r="C1425" t="s">
        <v>11726</v>
      </c>
      <c r="D1425" t="s">
        <v>11727</v>
      </c>
      <c r="E1425" t="s">
        <v>8093</v>
      </c>
      <c r="F1425" t="s">
        <v>1481</v>
      </c>
      <c r="G1425" t="s">
        <v>74</v>
      </c>
      <c r="H1425">
        <v>0</v>
      </c>
      <c r="I1425" s="61">
        <v>44733</v>
      </c>
      <c r="J1425" s="33" t="s">
        <v>45</v>
      </c>
      <c r="K1425" s="46">
        <v>0</v>
      </c>
      <c r="L1425">
        <v>2.5</v>
      </c>
      <c r="M1425" t="s">
        <v>48</v>
      </c>
      <c r="N1425" s="46">
        <v>0</v>
      </c>
      <c r="O1425" s="46">
        <v>0</v>
      </c>
      <c r="P1425" s="46">
        <v>0</v>
      </c>
      <c r="Q1425" t="s">
        <v>48</v>
      </c>
      <c r="R1425" t="s">
        <v>48</v>
      </c>
      <c r="S1425" t="s">
        <v>48</v>
      </c>
      <c r="T1425" t="s">
        <v>48</v>
      </c>
      <c r="U1425" t="s">
        <v>48</v>
      </c>
      <c r="V1425" s="47">
        <v>1</v>
      </c>
      <c r="W1425" t="s">
        <v>48</v>
      </c>
      <c r="X1425" t="s">
        <v>48</v>
      </c>
      <c r="Y1425" t="s">
        <v>48</v>
      </c>
      <c r="Z1425" t="s">
        <v>48</v>
      </c>
      <c r="AA1425" t="s">
        <v>48</v>
      </c>
      <c r="AB1425" t="s">
        <v>48</v>
      </c>
      <c r="AC1425" t="s">
        <v>63</v>
      </c>
      <c r="AD1425" t="s">
        <v>93</v>
      </c>
      <c r="AE1425" t="s">
        <v>2471</v>
      </c>
      <c r="AF1425" t="s">
        <v>48</v>
      </c>
      <c r="AG1425" t="s">
        <v>48</v>
      </c>
      <c r="AH1425" t="s">
        <v>48</v>
      </c>
      <c r="AI1425" t="s">
        <v>48</v>
      </c>
      <c r="AJ1425" t="s">
        <v>48</v>
      </c>
      <c r="AK1425" t="s">
        <v>48</v>
      </c>
      <c r="AL1425" t="s">
        <v>48</v>
      </c>
      <c r="AM1425" t="s">
        <v>48</v>
      </c>
      <c r="AN1425" t="s">
        <v>48</v>
      </c>
      <c r="AO1425" t="s">
        <v>48</v>
      </c>
      <c r="AP1425" s="46">
        <v>0</v>
      </c>
      <c r="AQ1425" s="46">
        <v>0</v>
      </c>
      <c r="AR1425" s="46">
        <v>0</v>
      </c>
      <c r="AS1425" s="46">
        <v>0</v>
      </c>
      <c r="AT1425" s="46">
        <v>0</v>
      </c>
      <c r="AU1425" s="46">
        <v>0</v>
      </c>
      <c r="AV1425" s="46">
        <v>0</v>
      </c>
      <c r="AW1425" s="46">
        <v>0</v>
      </c>
      <c r="AX1425" s="46">
        <v>0</v>
      </c>
      <c r="AY1425" s="46">
        <v>0</v>
      </c>
      <c r="AZ1425" s="46">
        <v>0</v>
      </c>
      <c r="BA1425" s="46">
        <v>0</v>
      </c>
      <c r="BB1425" s="46">
        <v>0</v>
      </c>
      <c r="BC1425" s="46">
        <v>0</v>
      </c>
      <c r="BD1425" s="46">
        <v>0</v>
      </c>
      <c r="BE1425" s="46">
        <v>0</v>
      </c>
      <c r="BF1425" s="46">
        <v>0</v>
      </c>
      <c r="BG1425" s="46" t="s">
        <v>48</v>
      </c>
      <c r="BH1425" s="46">
        <v>0</v>
      </c>
      <c r="BI1425" s="46">
        <v>0</v>
      </c>
      <c r="BJ1425" s="46">
        <v>0</v>
      </c>
      <c r="BK1425" s="46">
        <v>0</v>
      </c>
      <c r="BL1425" s="46">
        <v>0</v>
      </c>
      <c r="BM1425" s="46">
        <v>0</v>
      </c>
      <c r="BN1425" s="46">
        <v>0</v>
      </c>
    </row>
    <row r="1426" spans="1:66" x14ac:dyDescent="0.35">
      <c r="A1426" t="s">
        <v>8304</v>
      </c>
      <c r="B1426" s="44" t="s">
        <v>48</v>
      </c>
      <c r="C1426" t="s">
        <v>522</v>
      </c>
      <c r="D1426" t="s">
        <v>4314</v>
      </c>
      <c r="E1426" t="s">
        <v>11560</v>
      </c>
      <c r="F1426" t="s">
        <v>1481</v>
      </c>
      <c r="G1426" t="s">
        <v>47</v>
      </c>
      <c r="H1426">
        <v>0</v>
      </c>
      <c r="I1426" s="61">
        <v>44733</v>
      </c>
      <c r="J1426" s="33" t="s">
        <v>45</v>
      </c>
      <c r="K1426" s="46">
        <v>0</v>
      </c>
      <c r="L1426">
        <v>1.4</v>
      </c>
      <c r="M1426" t="s">
        <v>48</v>
      </c>
      <c r="N1426" s="46">
        <v>0</v>
      </c>
      <c r="O1426" s="46">
        <v>0</v>
      </c>
      <c r="P1426" s="46">
        <v>0</v>
      </c>
      <c r="Q1426" t="s">
        <v>48</v>
      </c>
      <c r="R1426" t="s">
        <v>48</v>
      </c>
      <c r="S1426" t="s">
        <v>10068</v>
      </c>
      <c r="T1426" t="s">
        <v>48</v>
      </c>
      <c r="U1426" t="s">
        <v>10068</v>
      </c>
      <c r="V1426" s="47">
        <v>1</v>
      </c>
      <c r="W1426" t="s">
        <v>48</v>
      </c>
      <c r="X1426" t="s">
        <v>48</v>
      </c>
      <c r="Y1426" t="s">
        <v>48</v>
      </c>
      <c r="Z1426" t="s">
        <v>48</v>
      </c>
      <c r="AA1426" t="s">
        <v>48</v>
      </c>
      <c r="AB1426" t="s">
        <v>48</v>
      </c>
      <c r="AC1426" t="s">
        <v>63</v>
      </c>
      <c r="AD1426" t="s">
        <v>93</v>
      </c>
      <c r="AE1426" t="s">
        <v>4532</v>
      </c>
      <c r="AF1426" t="s">
        <v>48</v>
      </c>
      <c r="AG1426" t="s">
        <v>48</v>
      </c>
      <c r="AH1426" t="s">
        <v>48</v>
      </c>
      <c r="AI1426" t="s">
        <v>48</v>
      </c>
      <c r="AJ1426" t="s">
        <v>48</v>
      </c>
      <c r="AK1426" t="s">
        <v>48</v>
      </c>
      <c r="AL1426" t="s">
        <v>48</v>
      </c>
      <c r="AM1426" t="s">
        <v>48</v>
      </c>
      <c r="AN1426" t="s">
        <v>48</v>
      </c>
      <c r="AO1426" t="s">
        <v>48</v>
      </c>
      <c r="AP1426" s="46">
        <v>0</v>
      </c>
      <c r="AQ1426" s="46">
        <v>0</v>
      </c>
      <c r="AR1426" s="46">
        <v>0</v>
      </c>
      <c r="AS1426" s="46">
        <v>0</v>
      </c>
      <c r="AT1426" s="46">
        <v>0</v>
      </c>
      <c r="AU1426" s="46">
        <v>0</v>
      </c>
      <c r="AV1426" s="46">
        <v>0</v>
      </c>
      <c r="AW1426" s="46">
        <v>0</v>
      </c>
      <c r="AX1426" s="46">
        <v>0</v>
      </c>
      <c r="AY1426" s="46">
        <v>0</v>
      </c>
      <c r="AZ1426" s="46">
        <v>0</v>
      </c>
      <c r="BA1426" s="46">
        <v>0</v>
      </c>
      <c r="BB1426" s="46">
        <v>0</v>
      </c>
      <c r="BC1426" s="46">
        <v>0</v>
      </c>
      <c r="BD1426" s="46">
        <v>0</v>
      </c>
      <c r="BE1426" s="46">
        <v>0</v>
      </c>
      <c r="BF1426" s="46">
        <v>0</v>
      </c>
      <c r="BG1426" s="46" t="s">
        <v>48</v>
      </c>
      <c r="BH1426" s="46">
        <v>0</v>
      </c>
      <c r="BI1426" s="46">
        <v>0</v>
      </c>
      <c r="BJ1426" s="46">
        <v>0</v>
      </c>
      <c r="BK1426" s="46">
        <v>0</v>
      </c>
      <c r="BL1426" s="46">
        <v>0</v>
      </c>
      <c r="BM1426" s="46">
        <v>0</v>
      </c>
      <c r="BN1426" s="46">
        <v>0</v>
      </c>
    </row>
    <row r="1427" spans="1:66" x14ac:dyDescent="0.35">
      <c r="A1427" t="s">
        <v>1506</v>
      </c>
      <c r="B1427" s="44" t="s">
        <v>48</v>
      </c>
      <c r="C1427" t="s">
        <v>1509</v>
      </c>
      <c r="D1427" t="s">
        <v>335</v>
      </c>
      <c r="E1427" t="s">
        <v>1507</v>
      </c>
      <c r="F1427" t="s">
        <v>1496</v>
      </c>
      <c r="G1427" t="s">
        <v>74</v>
      </c>
      <c r="H1427">
        <v>0</v>
      </c>
      <c r="I1427" s="60" t="s">
        <v>149</v>
      </c>
      <c r="J1427" s="33" t="s">
        <v>45</v>
      </c>
      <c r="K1427" s="46">
        <v>0</v>
      </c>
      <c r="L1427">
        <v>3</v>
      </c>
      <c r="M1427" t="s">
        <v>48</v>
      </c>
      <c r="N1427" s="46">
        <v>0</v>
      </c>
      <c r="O1427" s="46">
        <v>0</v>
      </c>
      <c r="P1427" s="46">
        <v>0</v>
      </c>
      <c r="Q1427" t="s">
        <v>48</v>
      </c>
      <c r="R1427" t="s">
        <v>48</v>
      </c>
      <c r="S1427" t="s">
        <v>1508</v>
      </c>
      <c r="T1427" t="s">
        <v>48</v>
      </c>
      <c r="U1427" t="s">
        <v>1508</v>
      </c>
      <c r="V1427" s="47">
        <v>0</v>
      </c>
      <c r="W1427" t="s">
        <v>11317</v>
      </c>
      <c r="X1427" t="s">
        <v>48</v>
      </c>
      <c r="Y1427" t="s">
        <v>48</v>
      </c>
      <c r="Z1427">
        <v>0</v>
      </c>
      <c r="AA1427" t="s">
        <v>48</v>
      </c>
      <c r="AB1427" t="s">
        <v>48</v>
      </c>
      <c r="AC1427" t="s">
        <v>49</v>
      </c>
      <c r="AD1427" t="s">
        <v>93</v>
      </c>
      <c r="AE1427" t="s">
        <v>4532</v>
      </c>
      <c r="AF1427" t="s">
        <v>48</v>
      </c>
      <c r="AG1427" t="s">
        <v>633</v>
      </c>
      <c r="AH1427" t="s">
        <v>48</v>
      </c>
      <c r="AI1427" t="s">
        <v>48</v>
      </c>
      <c r="AJ1427" t="s">
        <v>48</v>
      </c>
      <c r="AK1427" t="s">
        <v>48</v>
      </c>
      <c r="AL1427" t="s">
        <v>48</v>
      </c>
      <c r="AM1427" t="s">
        <v>48</v>
      </c>
      <c r="AN1427" t="s">
        <v>48</v>
      </c>
      <c r="AO1427" t="s">
        <v>48</v>
      </c>
      <c r="AP1427" s="46">
        <v>0</v>
      </c>
      <c r="AQ1427" s="46">
        <v>0</v>
      </c>
      <c r="AR1427" s="46">
        <v>0</v>
      </c>
      <c r="AS1427" s="46">
        <v>0</v>
      </c>
      <c r="AT1427" s="46">
        <v>0</v>
      </c>
      <c r="AU1427" s="46">
        <v>0</v>
      </c>
      <c r="AV1427" s="46">
        <v>0</v>
      </c>
      <c r="AW1427" s="46">
        <v>0</v>
      </c>
      <c r="AX1427" s="46">
        <v>0</v>
      </c>
      <c r="AY1427" s="46">
        <v>0</v>
      </c>
      <c r="AZ1427" s="46">
        <v>0</v>
      </c>
      <c r="BA1427" s="46">
        <v>0</v>
      </c>
      <c r="BB1427" s="46">
        <v>0</v>
      </c>
      <c r="BC1427" s="46">
        <v>0</v>
      </c>
      <c r="BD1427" s="46">
        <v>0</v>
      </c>
      <c r="BE1427" s="46">
        <v>0</v>
      </c>
      <c r="BF1427" s="46">
        <v>0</v>
      </c>
      <c r="BG1427" s="46" t="s">
        <v>48</v>
      </c>
      <c r="BH1427" s="46">
        <v>0</v>
      </c>
      <c r="BI1427" s="46">
        <v>0</v>
      </c>
      <c r="BJ1427" s="46">
        <v>0</v>
      </c>
      <c r="BK1427" s="46">
        <v>0</v>
      </c>
      <c r="BL1427" s="46">
        <v>0</v>
      </c>
      <c r="BM1427" s="46">
        <v>0</v>
      </c>
      <c r="BN1427" s="46">
        <v>0</v>
      </c>
    </row>
    <row r="1428" spans="1:66" x14ac:dyDescent="0.35">
      <c r="A1428" t="s">
        <v>8305</v>
      </c>
      <c r="B1428" s="44" t="s">
        <v>48</v>
      </c>
      <c r="C1428" t="s">
        <v>11728</v>
      </c>
      <c r="D1428" t="s">
        <v>268</v>
      </c>
      <c r="E1428" t="s">
        <v>8306</v>
      </c>
      <c r="F1428" t="s">
        <v>1496</v>
      </c>
      <c r="G1428" t="s">
        <v>47</v>
      </c>
      <c r="H1428">
        <v>0</v>
      </c>
      <c r="I1428" s="61">
        <v>44733</v>
      </c>
      <c r="J1428" s="33" t="s">
        <v>45</v>
      </c>
      <c r="K1428" s="46">
        <v>0</v>
      </c>
      <c r="L1428">
        <v>5.4</v>
      </c>
      <c r="M1428" t="s">
        <v>48</v>
      </c>
      <c r="N1428" s="46">
        <v>0</v>
      </c>
      <c r="O1428" s="46">
        <v>0</v>
      </c>
      <c r="P1428" s="46">
        <v>0</v>
      </c>
      <c r="Q1428" t="s">
        <v>48</v>
      </c>
      <c r="R1428" t="s">
        <v>48</v>
      </c>
      <c r="S1428" t="s">
        <v>48</v>
      </c>
      <c r="T1428" t="s">
        <v>48</v>
      </c>
      <c r="U1428" t="s">
        <v>48</v>
      </c>
      <c r="V1428" s="47">
        <v>1</v>
      </c>
      <c r="W1428" t="s">
        <v>48</v>
      </c>
      <c r="X1428" t="s">
        <v>48</v>
      </c>
      <c r="Y1428" t="s">
        <v>48</v>
      </c>
      <c r="Z1428" t="s">
        <v>48</v>
      </c>
      <c r="AA1428" t="s">
        <v>48</v>
      </c>
      <c r="AB1428" t="s">
        <v>48</v>
      </c>
      <c r="AC1428" t="s">
        <v>49</v>
      </c>
      <c r="AD1428" t="s">
        <v>93</v>
      </c>
      <c r="AE1428" t="s">
        <v>4532</v>
      </c>
      <c r="AF1428" t="s">
        <v>48</v>
      </c>
      <c r="AG1428" t="s">
        <v>48</v>
      </c>
      <c r="AH1428" t="s">
        <v>48</v>
      </c>
      <c r="AI1428" t="s">
        <v>48</v>
      </c>
      <c r="AJ1428" t="s">
        <v>48</v>
      </c>
      <c r="AK1428" t="s">
        <v>48</v>
      </c>
      <c r="AL1428" t="s">
        <v>48</v>
      </c>
      <c r="AM1428" t="s">
        <v>48</v>
      </c>
      <c r="AN1428" t="s">
        <v>48</v>
      </c>
      <c r="AO1428" t="s">
        <v>48</v>
      </c>
      <c r="AP1428" s="46">
        <v>0</v>
      </c>
      <c r="AQ1428" s="46">
        <v>0</v>
      </c>
      <c r="AR1428" s="46">
        <v>0</v>
      </c>
      <c r="AS1428" s="46">
        <v>0</v>
      </c>
      <c r="AT1428" s="46">
        <v>0</v>
      </c>
      <c r="AU1428" s="46">
        <v>0</v>
      </c>
      <c r="AV1428" s="46">
        <v>0</v>
      </c>
      <c r="AW1428" s="46">
        <v>0</v>
      </c>
      <c r="AX1428" s="46">
        <v>0</v>
      </c>
      <c r="AY1428" s="46">
        <v>0</v>
      </c>
      <c r="AZ1428" s="46">
        <v>0</v>
      </c>
      <c r="BA1428" s="46">
        <v>0</v>
      </c>
      <c r="BB1428" s="46">
        <v>0</v>
      </c>
      <c r="BC1428" s="46">
        <v>0</v>
      </c>
      <c r="BD1428" s="46">
        <v>0</v>
      </c>
      <c r="BE1428" s="46">
        <v>0</v>
      </c>
      <c r="BF1428" s="46">
        <v>0</v>
      </c>
      <c r="BG1428" s="46" t="s">
        <v>48</v>
      </c>
      <c r="BH1428" s="46">
        <v>0</v>
      </c>
      <c r="BI1428" s="46">
        <v>0</v>
      </c>
      <c r="BJ1428" s="46">
        <v>0</v>
      </c>
      <c r="BK1428" s="46">
        <v>0</v>
      </c>
      <c r="BL1428" s="46">
        <v>0</v>
      </c>
      <c r="BM1428" s="46">
        <v>0</v>
      </c>
      <c r="BN1428" s="46">
        <v>0</v>
      </c>
    </row>
    <row r="1429" spans="1:66" x14ac:dyDescent="0.35">
      <c r="A1429" t="s">
        <v>8095</v>
      </c>
      <c r="B1429" s="44" t="s">
        <v>48</v>
      </c>
      <c r="C1429" t="s">
        <v>11730</v>
      </c>
      <c r="D1429" t="s">
        <v>11731</v>
      </c>
      <c r="E1429" t="s">
        <v>8096</v>
      </c>
      <c r="F1429" t="s">
        <v>1496</v>
      </c>
      <c r="G1429" t="s">
        <v>74</v>
      </c>
      <c r="H1429">
        <v>0</v>
      </c>
      <c r="I1429" s="61">
        <v>44733</v>
      </c>
      <c r="J1429" s="33" t="s">
        <v>45</v>
      </c>
      <c r="K1429" s="46">
        <v>0</v>
      </c>
      <c r="L1429">
        <v>9.3000000000000007</v>
      </c>
      <c r="M1429" t="s">
        <v>48</v>
      </c>
      <c r="N1429" s="46">
        <v>0</v>
      </c>
      <c r="O1429" s="46">
        <v>0</v>
      </c>
      <c r="P1429" s="46">
        <v>0</v>
      </c>
      <c r="Q1429" t="s">
        <v>48</v>
      </c>
      <c r="R1429" t="s">
        <v>48</v>
      </c>
      <c r="S1429" t="s">
        <v>10069</v>
      </c>
      <c r="T1429" t="s">
        <v>48</v>
      </c>
      <c r="U1429" t="s">
        <v>10069</v>
      </c>
      <c r="V1429" s="47">
        <v>1</v>
      </c>
      <c r="W1429" t="s">
        <v>48</v>
      </c>
      <c r="X1429" t="s">
        <v>48</v>
      </c>
      <c r="Y1429" t="s">
        <v>48</v>
      </c>
      <c r="Z1429" t="s">
        <v>48</v>
      </c>
      <c r="AA1429" t="s">
        <v>48</v>
      </c>
      <c r="AB1429" t="s">
        <v>48</v>
      </c>
      <c r="AC1429" t="s">
        <v>63</v>
      </c>
      <c r="AD1429" t="s">
        <v>93</v>
      </c>
      <c r="AE1429" t="s">
        <v>977</v>
      </c>
      <c r="AF1429" t="s">
        <v>11057</v>
      </c>
      <c r="AG1429" t="s">
        <v>48</v>
      </c>
      <c r="AH1429" t="s">
        <v>48</v>
      </c>
      <c r="AI1429" t="s">
        <v>48</v>
      </c>
      <c r="AJ1429" t="s">
        <v>48</v>
      </c>
      <c r="AK1429" t="s">
        <v>48</v>
      </c>
      <c r="AL1429" t="s">
        <v>48</v>
      </c>
      <c r="AM1429" t="s">
        <v>48</v>
      </c>
      <c r="AN1429" t="s">
        <v>48</v>
      </c>
      <c r="AO1429" t="s">
        <v>48</v>
      </c>
      <c r="AP1429" s="46">
        <v>0</v>
      </c>
      <c r="AQ1429" s="46">
        <v>0</v>
      </c>
      <c r="AR1429" s="46">
        <v>0</v>
      </c>
      <c r="AS1429" s="46">
        <v>0</v>
      </c>
      <c r="AT1429" s="46">
        <v>0</v>
      </c>
      <c r="AU1429" s="46">
        <v>0</v>
      </c>
      <c r="AV1429" s="46">
        <v>0</v>
      </c>
      <c r="AW1429" s="46">
        <v>0</v>
      </c>
      <c r="AX1429" s="46">
        <v>0</v>
      </c>
      <c r="AY1429" s="46">
        <v>0</v>
      </c>
      <c r="AZ1429" s="46">
        <v>0</v>
      </c>
      <c r="BA1429" s="46">
        <v>0</v>
      </c>
      <c r="BB1429" s="46">
        <v>0</v>
      </c>
      <c r="BC1429" s="46">
        <v>0</v>
      </c>
      <c r="BD1429" s="46">
        <v>0</v>
      </c>
      <c r="BE1429" s="46">
        <v>0</v>
      </c>
      <c r="BF1429" s="46">
        <v>0</v>
      </c>
      <c r="BG1429" s="46" t="s">
        <v>48</v>
      </c>
      <c r="BH1429" s="46">
        <v>0</v>
      </c>
      <c r="BI1429" s="46">
        <v>0</v>
      </c>
      <c r="BJ1429" s="46">
        <v>0</v>
      </c>
      <c r="BK1429" s="46">
        <v>0</v>
      </c>
      <c r="BL1429" s="46">
        <v>0</v>
      </c>
      <c r="BM1429" s="46">
        <v>0</v>
      </c>
      <c r="BN1429" s="46">
        <v>0</v>
      </c>
    </row>
    <row r="1430" spans="1:66" x14ac:dyDescent="0.35">
      <c r="A1430" t="s">
        <v>8150</v>
      </c>
      <c r="B1430" s="44" t="s">
        <v>48</v>
      </c>
      <c r="C1430" t="s">
        <v>11732</v>
      </c>
      <c r="D1430" t="s">
        <v>6549</v>
      </c>
      <c r="E1430" t="s">
        <v>8151</v>
      </c>
      <c r="F1430" t="s">
        <v>1511</v>
      </c>
      <c r="G1430" t="s">
        <v>83</v>
      </c>
      <c r="H1430">
        <v>0</v>
      </c>
      <c r="I1430" s="61">
        <v>44733</v>
      </c>
      <c r="J1430" s="33" t="s">
        <v>45</v>
      </c>
      <c r="K1430" s="46">
        <v>0</v>
      </c>
      <c r="L1430">
        <v>2.2000000000000002</v>
      </c>
      <c r="M1430" t="s">
        <v>48</v>
      </c>
      <c r="N1430" s="46">
        <v>0</v>
      </c>
      <c r="O1430" s="46">
        <v>0</v>
      </c>
      <c r="P1430" s="46">
        <v>0</v>
      </c>
      <c r="Q1430" t="s">
        <v>48</v>
      </c>
      <c r="R1430" t="s">
        <v>48</v>
      </c>
      <c r="S1430" t="s">
        <v>10071</v>
      </c>
      <c r="T1430" t="s">
        <v>48</v>
      </c>
      <c r="U1430" t="s">
        <v>10071</v>
      </c>
      <c r="V1430" s="47">
        <v>1</v>
      </c>
      <c r="W1430" t="s">
        <v>48</v>
      </c>
      <c r="X1430" t="s">
        <v>48</v>
      </c>
      <c r="Y1430" t="s">
        <v>48</v>
      </c>
      <c r="Z1430" t="s">
        <v>48</v>
      </c>
      <c r="AA1430" t="s">
        <v>48</v>
      </c>
      <c r="AB1430" t="s">
        <v>48</v>
      </c>
      <c r="AC1430" t="s">
        <v>49</v>
      </c>
      <c r="AD1430" t="s">
        <v>951</v>
      </c>
      <c r="AE1430" t="s">
        <v>11051</v>
      </c>
      <c r="AF1430" t="s">
        <v>48</v>
      </c>
      <c r="AG1430" t="s">
        <v>48</v>
      </c>
      <c r="AH1430" t="s">
        <v>48</v>
      </c>
      <c r="AI1430" t="s">
        <v>48</v>
      </c>
      <c r="AJ1430" t="s">
        <v>48</v>
      </c>
      <c r="AK1430" t="s">
        <v>48</v>
      </c>
      <c r="AL1430" t="s">
        <v>48</v>
      </c>
      <c r="AM1430" t="s">
        <v>48</v>
      </c>
      <c r="AN1430" t="s">
        <v>48</v>
      </c>
      <c r="AO1430" t="s">
        <v>48</v>
      </c>
      <c r="AP1430" s="46">
        <v>0</v>
      </c>
      <c r="AQ1430" s="46">
        <v>0</v>
      </c>
      <c r="AR1430" s="46">
        <v>0</v>
      </c>
      <c r="AS1430" s="46">
        <v>0</v>
      </c>
      <c r="AT1430" s="46">
        <v>0</v>
      </c>
      <c r="AU1430" s="46">
        <v>0</v>
      </c>
      <c r="AV1430" s="46">
        <v>0</v>
      </c>
      <c r="AW1430" s="46">
        <v>0</v>
      </c>
      <c r="AX1430" s="46">
        <v>0</v>
      </c>
      <c r="AY1430" s="46">
        <v>0</v>
      </c>
      <c r="AZ1430" s="46">
        <v>0</v>
      </c>
      <c r="BA1430" s="46">
        <v>0</v>
      </c>
      <c r="BB1430" s="46">
        <v>0</v>
      </c>
      <c r="BC1430" s="46">
        <v>0</v>
      </c>
      <c r="BD1430" s="46">
        <v>0</v>
      </c>
      <c r="BE1430" s="46">
        <v>0</v>
      </c>
      <c r="BF1430" s="46">
        <v>0</v>
      </c>
      <c r="BG1430" s="46" t="s">
        <v>48</v>
      </c>
      <c r="BH1430" s="46">
        <v>0</v>
      </c>
      <c r="BI1430" s="46">
        <v>0</v>
      </c>
      <c r="BJ1430" s="46">
        <v>0</v>
      </c>
      <c r="BK1430" s="46">
        <v>0</v>
      </c>
      <c r="BL1430" s="46">
        <v>0</v>
      </c>
      <c r="BM1430" s="46">
        <v>0</v>
      </c>
      <c r="BN1430" s="46">
        <v>0</v>
      </c>
    </row>
    <row r="1431" spans="1:66" x14ac:dyDescent="0.35">
      <c r="A1431" t="s">
        <v>1524</v>
      </c>
      <c r="B1431" s="44" t="s">
        <v>48</v>
      </c>
      <c r="C1431" t="s">
        <v>1527</v>
      </c>
      <c r="D1431" t="s">
        <v>1526</v>
      </c>
      <c r="E1431" t="s">
        <v>1525</v>
      </c>
      <c r="F1431" t="s">
        <v>1519</v>
      </c>
      <c r="G1431" t="s">
        <v>74</v>
      </c>
      <c r="H1431">
        <v>0</v>
      </c>
      <c r="I1431" s="60" t="s">
        <v>125</v>
      </c>
      <c r="J1431" s="33" t="s">
        <v>45</v>
      </c>
      <c r="K1431" s="46">
        <v>0</v>
      </c>
      <c r="L1431">
        <v>10.4</v>
      </c>
      <c r="M1431" t="s">
        <v>48</v>
      </c>
      <c r="N1431" s="46">
        <v>0</v>
      </c>
      <c r="O1431" s="46">
        <v>0</v>
      </c>
      <c r="P1431" s="46">
        <v>0</v>
      </c>
      <c r="Q1431" t="s">
        <v>48</v>
      </c>
      <c r="R1431" t="s">
        <v>48</v>
      </c>
      <c r="S1431" t="s">
        <v>10072</v>
      </c>
      <c r="T1431" t="s">
        <v>48</v>
      </c>
      <c r="U1431" t="s">
        <v>10072</v>
      </c>
      <c r="V1431" s="47">
        <v>0</v>
      </c>
      <c r="W1431" t="s">
        <v>48</v>
      </c>
      <c r="X1431" t="s">
        <v>48</v>
      </c>
      <c r="Y1431" t="s">
        <v>48</v>
      </c>
      <c r="Z1431">
        <v>0</v>
      </c>
      <c r="AA1431" t="s">
        <v>48</v>
      </c>
      <c r="AB1431" t="s">
        <v>48</v>
      </c>
      <c r="AC1431" t="s">
        <v>49</v>
      </c>
      <c r="AD1431" t="s">
        <v>951</v>
      </c>
      <c r="AE1431" t="s">
        <v>11051</v>
      </c>
      <c r="AF1431" t="s">
        <v>48</v>
      </c>
      <c r="AG1431" t="s">
        <v>48</v>
      </c>
      <c r="AH1431" t="s">
        <v>48</v>
      </c>
      <c r="AI1431" t="s">
        <v>48</v>
      </c>
      <c r="AJ1431" t="s">
        <v>48</v>
      </c>
      <c r="AK1431" t="s">
        <v>48</v>
      </c>
      <c r="AL1431" t="s">
        <v>48</v>
      </c>
      <c r="AM1431" t="s">
        <v>48</v>
      </c>
      <c r="AN1431" t="s">
        <v>48</v>
      </c>
      <c r="AO1431" t="s">
        <v>48</v>
      </c>
      <c r="AP1431" s="46">
        <v>0</v>
      </c>
      <c r="AQ1431" s="46">
        <v>0</v>
      </c>
      <c r="AR1431" s="46">
        <v>0</v>
      </c>
      <c r="AS1431" s="46">
        <v>0</v>
      </c>
      <c r="AT1431" s="46">
        <v>0</v>
      </c>
      <c r="AU1431" s="46">
        <v>0</v>
      </c>
      <c r="AV1431" s="46">
        <v>0</v>
      </c>
      <c r="AW1431" s="46">
        <v>0</v>
      </c>
      <c r="AX1431" s="46">
        <v>0</v>
      </c>
      <c r="AY1431" s="46">
        <v>0</v>
      </c>
      <c r="AZ1431" s="46">
        <v>0</v>
      </c>
      <c r="BA1431" s="46">
        <v>0</v>
      </c>
      <c r="BB1431" s="46">
        <v>0</v>
      </c>
      <c r="BC1431" s="46">
        <v>0</v>
      </c>
      <c r="BD1431" s="46">
        <v>0</v>
      </c>
      <c r="BE1431" s="46">
        <v>0</v>
      </c>
      <c r="BF1431" s="46">
        <v>0</v>
      </c>
      <c r="BG1431" s="46" t="s">
        <v>48</v>
      </c>
      <c r="BH1431" s="46">
        <v>0</v>
      </c>
      <c r="BI1431" s="46">
        <v>0</v>
      </c>
      <c r="BJ1431" s="46">
        <v>0</v>
      </c>
      <c r="BK1431" s="46">
        <v>0</v>
      </c>
      <c r="BL1431" s="46">
        <v>0</v>
      </c>
      <c r="BM1431" s="46">
        <v>0</v>
      </c>
      <c r="BN1431" s="46">
        <v>0</v>
      </c>
    </row>
    <row r="1432" spans="1:66" x14ac:dyDescent="0.35">
      <c r="A1432" t="s">
        <v>1591</v>
      </c>
      <c r="B1432" s="44" t="s">
        <v>48</v>
      </c>
      <c r="C1432" t="s">
        <v>1595</v>
      </c>
      <c r="D1432" t="s">
        <v>1594</v>
      </c>
      <c r="E1432" t="s">
        <v>1592</v>
      </c>
      <c r="F1432" t="s">
        <v>1585</v>
      </c>
      <c r="G1432" t="s">
        <v>74</v>
      </c>
      <c r="H1432">
        <v>0</v>
      </c>
      <c r="I1432" s="60" t="s">
        <v>51</v>
      </c>
      <c r="J1432" s="33" t="s">
        <v>45</v>
      </c>
      <c r="K1432" s="46">
        <v>0</v>
      </c>
      <c r="L1432">
        <v>16.5</v>
      </c>
      <c r="M1432" t="s">
        <v>48</v>
      </c>
      <c r="N1432" s="46">
        <v>0</v>
      </c>
      <c r="O1432" s="46">
        <v>0</v>
      </c>
      <c r="P1432" s="46">
        <v>0</v>
      </c>
      <c r="Q1432" t="s">
        <v>48</v>
      </c>
      <c r="R1432" t="s">
        <v>48</v>
      </c>
      <c r="S1432" t="s">
        <v>1593</v>
      </c>
      <c r="T1432" t="s">
        <v>48</v>
      </c>
      <c r="U1432" t="s">
        <v>1593</v>
      </c>
      <c r="V1432" s="47">
        <v>0</v>
      </c>
      <c r="W1432" t="s">
        <v>11317</v>
      </c>
      <c r="X1432" t="s">
        <v>48</v>
      </c>
      <c r="Y1432" t="s">
        <v>48</v>
      </c>
      <c r="Z1432">
        <v>0</v>
      </c>
      <c r="AA1432" t="s">
        <v>48</v>
      </c>
      <c r="AB1432" t="s">
        <v>48</v>
      </c>
      <c r="AC1432" t="s">
        <v>49</v>
      </c>
      <c r="AD1432" t="s">
        <v>93</v>
      </c>
      <c r="AE1432" t="s">
        <v>977</v>
      </c>
      <c r="AF1432" t="s">
        <v>11053</v>
      </c>
      <c r="AG1432" t="s">
        <v>48</v>
      </c>
      <c r="AH1432" t="s">
        <v>48</v>
      </c>
      <c r="AI1432" t="s">
        <v>48</v>
      </c>
      <c r="AJ1432" t="s">
        <v>48</v>
      </c>
      <c r="AK1432" t="s">
        <v>48</v>
      </c>
      <c r="AL1432" t="s">
        <v>48</v>
      </c>
      <c r="AM1432" t="s">
        <v>48</v>
      </c>
      <c r="AN1432" t="s">
        <v>48</v>
      </c>
      <c r="AO1432" t="s">
        <v>48</v>
      </c>
      <c r="AP1432" s="46">
        <v>0</v>
      </c>
      <c r="AQ1432" s="46">
        <v>0</v>
      </c>
      <c r="AR1432" s="46">
        <v>0</v>
      </c>
      <c r="AS1432" s="46">
        <v>0</v>
      </c>
      <c r="AT1432" s="46">
        <v>0</v>
      </c>
      <c r="AU1432" s="46">
        <v>0</v>
      </c>
      <c r="AV1432" s="46">
        <v>0</v>
      </c>
      <c r="AW1432" s="46">
        <v>0</v>
      </c>
      <c r="AX1432" s="46">
        <v>0</v>
      </c>
      <c r="AY1432" s="46">
        <v>0</v>
      </c>
      <c r="AZ1432" s="46">
        <v>0</v>
      </c>
      <c r="BA1432" s="46">
        <v>0</v>
      </c>
      <c r="BB1432" s="46">
        <v>0</v>
      </c>
      <c r="BC1432" s="46">
        <v>0</v>
      </c>
      <c r="BD1432" s="46">
        <v>0</v>
      </c>
      <c r="BE1432" s="46">
        <v>0</v>
      </c>
      <c r="BF1432" s="46">
        <v>0</v>
      </c>
      <c r="BG1432" s="46" t="s">
        <v>48</v>
      </c>
      <c r="BH1432" s="46">
        <v>0</v>
      </c>
      <c r="BI1432" s="46">
        <v>0</v>
      </c>
      <c r="BJ1432" s="46">
        <v>0</v>
      </c>
      <c r="BK1432" s="46">
        <v>0</v>
      </c>
      <c r="BL1432" s="46">
        <v>0</v>
      </c>
      <c r="BM1432" s="46">
        <v>0</v>
      </c>
      <c r="BN1432" s="46">
        <v>0</v>
      </c>
    </row>
    <row r="1433" spans="1:66" x14ac:dyDescent="0.35">
      <c r="A1433" t="s">
        <v>9446</v>
      </c>
      <c r="B1433" s="44" t="s">
        <v>48</v>
      </c>
      <c r="C1433" t="s">
        <v>2492</v>
      </c>
      <c r="D1433" t="s">
        <v>731</v>
      </c>
      <c r="E1433" t="s">
        <v>9447</v>
      </c>
      <c r="F1433" t="s">
        <v>1603</v>
      </c>
      <c r="G1433" t="s">
        <v>74</v>
      </c>
      <c r="H1433">
        <v>0</v>
      </c>
      <c r="I1433" s="61">
        <v>44741</v>
      </c>
      <c r="J1433" s="33" t="s">
        <v>45</v>
      </c>
      <c r="K1433" s="46">
        <v>0</v>
      </c>
      <c r="L1433">
        <v>15.7</v>
      </c>
      <c r="M1433" t="s">
        <v>48</v>
      </c>
      <c r="N1433" s="46">
        <v>0</v>
      </c>
      <c r="O1433" s="46">
        <v>0</v>
      </c>
      <c r="P1433" s="46">
        <v>0</v>
      </c>
      <c r="Q1433" t="s">
        <v>48</v>
      </c>
      <c r="R1433" t="s">
        <v>48</v>
      </c>
      <c r="S1433" t="s">
        <v>48</v>
      </c>
      <c r="T1433" t="s">
        <v>48</v>
      </c>
      <c r="U1433" t="s">
        <v>48</v>
      </c>
      <c r="V1433" s="47">
        <v>1</v>
      </c>
      <c r="W1433" t="s">
        <v>48</v>
      </c>
      <c r="X1433" t="s">
        <v>48</v>
      </c>
      <c r="Y1433" t="s">
        <v>48</v>
      </c>
      <c r="Z1433" t="s">
        <v>48</v>
      </c>
      <c r="AA1433" t="s">
        <v>48</v>
      </c>
      <c r="AB1433" t="s">
        <v>48</v>
      </c>
      <c r="AC1433" t="s">
        <v>49</v>
      </c>
      <c r="AD1433" t="s">
        <v>93</v>
      </c>
      <c r="AE1433" t="s">
        <v>4532</v>
      </c>
      <c r="AF1433" t="s">
        <v>48</v>
      </c>
      <c r="AG1433" t="s">
        <v>48</v>
      </c>
      <c r="AH1433" t="s">
        <v>48</v>
      </c>
      <c r="AI1433" t="s">
        <v>48</v>
      </c>
      <c r="AJ1433" t="s">
        <v>48</v>
      </c>
      <c r="AK1433" t="s">
        <v>48</v>
      </c>
      <c r="AL1433" t="s">
        <v>48</v>
      </c>
      <c r="AM1433" t="s">
        <v>48</v>
      </c>
      <c r="AN1433" t="s">
        <v>48</v>
      </c>
      <c r="AO1433" t="s">
        <v>48</v>
      </c>
      <c r="AP1433" s="46">
        <v>0</v>
      </c>
      <c r="AQ1433" s="46">
        <v>0</v>
      </c>
      <c r="AR1433" s="46">
        <v>0</v>
      </c>
      <c r="AS1433" s="46">
        <v>0</v>
      </c>
      <c r="AT1433" s="46">
        <v>0</v>
      </c>
      <c r="AU1433" s="46">
        <v>0</v>
      </c>
      <c r="AV1433" s="46">
        <v>0</v>
      </c>
      <c r="AW1433" s="46">
        <v>0</v>
      </c>
      <c r="AX1433" s="46">
        <v>0</v>
      </c>
      <c r="AY1433" s="46">
        <v>0</v>
      </c>
      <c r="AZ1433" s="46">
        <v>0</v>
      </c>
      <c r="BA1433" s="46">
        <v>0</v>
      </c>
      <c r="BB1433" s="46">
        <v>0</v>
      </c>
      <c r="BC1433" s="46">
        <v>0</v>
      </c>
      <c r="BD1433" s="46">
        <v>0</v>
      </c>
      <c r="BE1433" s="46">
        <v>0</v>
      </c>
      <c r="BF1433" s="46">
        <v>0</v>
      </c>
      <c r="BG1433" s="46" t="s">
        <v>48</v>
      </c>
      <c r="BH1433" s="46">
        <v>0</v>
      </c>
      <c r="BI1433" s="46">
        <v>0</v>
      </c>
      <c r="BJ1433" s="46">
        <v>0</v>
      </c>
      <c r="BK1433" s="46">
        <v>0</v>
      </c>
      <c r="BL1433" s="46">
        <v>0</v>
      </c>
      <c r="BM1433" s="46">
        <v>0</v>
      </c>
      <c r="BN1433" s="46">
        <v>0</v>
      </c>
    </row>
    <row r="1434" spans="1:66" x14ac:dyDescent="0.35">
      <c r="A1434" t="s">
        <v>1609</v>
      </c>
      <c r="B1434" s="44" t="s">
        <v>48</v>
      </c>
      <c r="C1434" t="s">
        <v>1611</v>
      </c>
      <c r="D1434" t="s">
        <v>269</v>
      </c>
      <c r="E1434" t="s">
        <v>1610</v>
      </c>
      <c r="F1434" t="s">
        <v>1603</v>
      </c>
      <c r="G1434" t="s">
        <v>47</v>
      </c>
      <c r="H1434">
        <v>0</v>
      </c>
      <c r="I1434" s="60" t="s">
        <v>11160</v>
      </c>
      <c r="J1434" s="33" t="s">
        <v>45</v>
      </c>
      <c r="K1434" s="46">
        <v>0</v>
      </c>
      <c r="L1434">
        <v>34.5</v>
      </c>
      <c r="M1434" t="s">
        <v>48</v>
      </c>
      <c r="N1434" s="46">
        <v>0</v>
      </c>
      <c r="O1434" s="46">
        <v>0</v>
      </c>
      <c r="P1434" s="46">
        <v>0</v>
      </c>
      <c r="Q1434" t="s">
        <v>48</v>
      </c>
      <c r="R1434" t="s">
        <v>48</v>
      </c>
      <c r="S1434" t="s">
        <v>10079</v>
      </c>
      <c r="T1434" t="s">
        <v>48</v>
      </c>
      <c r="U1434" t="s">
        <v>10079</v>
      </c>
      <c r="V1434" s="47">
        <v>0</v>
      </c>
      <c r="W1434" t="s">
        <v>11317</v>
      </c>
      <c r="X1434" t="s">
        <v>48</v>
      </c>
      <c r="Y1434" t="s">
        <v>48</v>
      </c>
      <c r="Z1434">
        <v>0</v>
      </c>
      <c r="AA1434" t="s">
        <v>48</v>
      </c>
      <c r="AB1434" t="s">
        <v>48</v>
      </c>
      <c r="AC1434" t="s">
        <v>49</v>
      </c>
      <c r="AD1434" t="s">
        <v>93</v>
      </c>
      <c r="AE1434" t="s">
        <v>4532</v>
      </c>
      <c r="AF1434" t="s">
        <v>48</v>
      </c>
      <c r="AG1434" t="s">
        <v>48</v>
      </c>
      <c r="AH1434" t="s">
        <v>48</v>
      </c>
      <c r="AI1434" t="s">
        <v>48</v>
      </c>
      <c r="AJ1434" t="s">
        <v>48</v>
      </c>
      <c r="AK1434" t="s">
        <v>48</v>
      </c>
      <c r="AL1434" t="s">
        <v>48</v>
      </c>
      <c r="AM1434" t="s">
        <v>48</v>
      </c>
      <c r="AN1434" t="s">
        <v>48</v>
      </c>
      <c r="AO1434" t="s">
        <v>48</v>
      </c>
      <c r="AP1434" s="46">
        <v>0</v>
      </c>
      <c r="AQ1434" s="46">
        <v>0</v>
      </c>
      <c r="AR1434" s="46">
        <v>0</v>
      </c>
      <c r="AS1434" s="46">
        <v>0</v>
      </c>
      <c r="AT1434" s="46">
        <v>0</v>
      </c>
      <c r="AU1434" s="46">
        <v>0</v>
      </c>
      <c r="AV1434" s="46">
        <v>0</v>
      </c>
      <c r="AW1434" s="46">
        <v>0</v>
      </c>
      <c r="AX1434" s="46">
        <v>0</v>
      </c>
      <c r="AY1434" s="46">
        <v>0</v>
      </c>
      <c r="AZ1434" s="46">
        <v>0</v>
      </c>
      <c r="BA1434" s="46">
        <v>0</v>
      </c>
      <c r="BB1434" s="46">
        <v>0</v>
      </c>
      <c r="BC1434" s="46">
        <v>0</v>
      </c>
      <c r="BD1434" s="46">
        <v>0</v>
      </c>
      <c r="BE1434" s="46">
        <v>0</v>
      </c>
      <c r="BF1434" s="46">
        <v>0</v>
      </c>
      <c r="BG1434" s="46" t="s">
        <v>48</v>
      </c>
      <c r="BH1434" s="46">
        <v>0</v>
      </c>
      <c r="BI1434" s="46">
        <v>0</v>
      </c>
      <c r="BJ1434" s="46">
        <v>0</v>
      </c>
      <c r="BK1434" s="46">
        <v>0</v>
      </c>
      <c r="BL1434" s="46">
        <v>0</v>
      </c>
      <c r="BM1434" s="46">
        <v>0</v>
      </c>
      <c r="BN1434" s="46">
        <v>0</v>
      </c>
    </row>
    <row r="1435" spans="1:66" x14ac:dyDescent="0.35">
      <c r="A1435" t="s">
        <v>1612</v>
      </c>
      <c r="B1435" s="44" t="s">
        <v>48</v>
      </c>
      <c r="C1435" t="s">
        <v>1616</v>
      </c>
      <c r="D1435" t="s">
        <v>1615</v>
      </c>
      <c r="E1435" t="s">
        <v>1613</v>
      </c>
      <c r="F1435" t="s">
        <v>1603</v>
      </c>
      <c r="G1435" t="s">
        <v>74</v>
      </c>
      <c r="H1435">
        <v>0</v>
      </c>
      <c r="I1435" s="60" t="s">
        <v>51</v>
      </c>
      <c r="J1435" s="33" t="s">
        <v>45</v>
      </c>
      <c r="K1435" s="46">
        <v>0</v>
      </c>
      <c r="L1435">
        <v>40.9</v>
      </c>
      <c r="M1435" t="s">
        <v>48</v>
      </c>
      <c r="N1435" s="46">
        <v>0</v>
      </c>
      <c r="O1435" s="46">
        <v>0</v>
      </c>
      <c r="P1435" s="46">
        <v>0</v>
      </c>
      <c r="Q1435" t="s">
        <v>48</v>
      </c>
      <c r="R1435" t="s">
        <v>48</v>
      </c>
      <c r="S1435" t="s">
        <v>1614</v>
      </c>
      <c r="T1435" t="s">
        <v>48</v>
      </c>
      <c r="U1435" t="s">
        <v>1614</v>
      </c>
      <c r="V1435" s="47">
        <v>0</v>
      </c>
      <c r="W1435" t="s">
        <v>48</v>
      </c>
      <c r="X1435" t="s">
        <v>48</v>
      </c>
      <c r="Y1435" t="s">
        <v>48</v>
      </c>
      <c r="Z1435">
        <v>0</v>
      </c>
      <c r="AA1435" t="s">
        <v>48</v>
      </c>
      <c r="AB1435" t="s">
        <v>48</v>
      </c>
      <c r="AC1435" t="s">
        <v>63</v>
      </c>
      <c r="AD1435" t="s">
        <v>951</v>
      </c>
      <c r="AE1435" s="40" t="s">
        <v>11051</v>
      </c>
      <c r="AF1435" t="s">
        <v>11054</v>
      </c>
      <c r="AG1435" t="s">
        <v>48</v>
      </c>
      <c r="AH1435" t="s">
        <v>48</v>
      </c>
      <c r="AI1435" t="s">
        <v>48</v>
      </c>
      <c r="AJ1435" t="s">
        <v>48</v>
      </c>
      <c r="AK1435" t="s">
        <v>48</v>
      </c>
      <c r="AL1435" t="s">
        <v>48</v>
      </c>
      <c r="AM1435" t="s">
        <v>48</v>
      </c>
      <c r="AN1435" t="s">
        <v>48</v>
      </c>
      <c r="AO1435" t="s">
        <v>48</v>
      </c>
      <c r="AP1435" s="46">
        <v>0</v>
      </c>
      <c r="AQ1435" s="46">
        <v>0</v>
      </c>
      <c r="AR1435" s="46">
        <v>0</v>
      </c>
      <c r="AS1435" s="46">
        <v>0</v>
      </c>
      <c r="AT1435" s="46">
        <v>0</v>
      </c>
      <c r="AU1435" s="46">
        <v>0</v>
      </c>
      <c r="AV1435" s="46">
        <v>0</v>
      </c>
      <c r="AW1435" s="46">
        <v>0</v>
      </c>
      <c r="AX1435" s="46">
        <v>0</v>
      </c>
      <c r="AY1435" s="46">
        <v>0</v>
      </c>
      <c r="AZ1435" s="46">
        <v>0</v>
      </c>
      <c r="BA1435" s="46">
        <v>0</v>
      </c>
      <c r="BB1435" s="46">
        <v>0</v>
      </c>
      <c r="BC1435" s="46">
        <v>0</v>
      </c>
      <c r="BD1435" s="46">
        <v>0</v>
      </c>
      <c r="BE1435" s="46">
        <v>0</v>
      </c>
      <c r="BF1435" s="46">
        <v>0</v>
      </c>
      <c r="BG1435" s="46" t="s">
        <v>48</v>
      </c>
      <c r="BH1435" s="46">
        <v>0</v>
      </c>
      <c r="BI1435" s="46">
        <v>0</v>
      </c>
      <c r="BJ1435" s="46">
        <v>0</v>
      </c>
      <c r="BK1435" s="46">
        <v>0</v>
      </c>
      <c r="BL1435" s="46">
        <v>0</v>
      </c>
      <c r="BM1435" s="46">
        <v>0</v>
      </c>
      <c r="BN1435" s="46">
        <v>0</v>
      </c>
    </row>
    <row r="1436" spans="1:66" x14ac:dyDescent="0.35">
      <c r="A1436" t="s">
        <v>9448</v>
      </c>
      <c r="B1436" s="44" t="s">
        <v>48</v>
      </c>
      <c r="C1436" t="s">
        <v>2660</v>
      </c>
      <c r="D1436" t="s">
        <v>210</v>
      </c>
      <c r="E1436" t="s">
        <v>9449</v>
      </c>
      <c r="F1436" t="s">
        <v>1620</v>
      </c>
      <c r="G1436" t="s">
        <v>47</v>
      </c>
      <c r="H1436">
        <v>0</v>
      </c>
      <c r="I1436" s="61">
        <v>44741</v>
      </c>
      <c r="J1436" s="33" t="s">
        <v>45</v>
      </c>
      <c r="K1436" s="46">
        <v>0</v>
      </c>
      <c r="L1436">
        <v>25.6</v>
      </c>
      <c r="M1436" t="s">
        <v>48</v>
      </c>
      <c r="N1436" s="46">
        <v>0</v>
      </c>
      <c r="O1436" s="46">
        <v>0</v>
      </c>
      <c r="P1436" s="46">
        <v>0</v>
      </c>
      <c r="Q1436" t="s">
        <v>48</v>
      </c>
      <c r="R1436" t="s">
        <v>48</v>
      </c>
      <c r="S1436" t="s">
        <v>48</v>
      </c>
      <c r="T1436" t="s">
        <v>48</v>
      </c>
      <c r="U1436" t="s">
        <v>48</v>
      </c>
      <c r="V1436" s="47">
        <v>1</v>
      </c>
      <c r="W1436" t="s">
        <v>11264</v>
      </c>
      <c r="X1436" t="s">
        <v>48</v>
      </c>
      <c r="Y1436" t="s">
        <v>48</v>
      </c>
      <c r="Z1436" t="s">
        <v>48</v>
      </c>
      <c r="AA1436" t="s">
        <v>48</v>
      </c>
      <c r="AB1436" t="s">
        <v>48</v>
      </c>
      <c r="AC1436" t="s">
        <v>49</v>
      </c>
      <c r="AD1436" t="s">
        <v>93</v>
      </c>
      <c r="AE1436" t="s">
        <v>4532</v>
      </c>
      <c r="AF1436" t="s">
        <v>48</v>
      </c>
      <c r="AG1436" t="s">
        <v>48</v>
      </c>
      <c r="AH1436" t="s">
        <v>48</v>
      </c>
      <c r="AI1436" t="s">
        <v>48</v>
      </c>
      <c r="AJ1436" t="s">
        <v>48</v>
      </c>
      <c r="AK1436" t="s">
        <v>48</v>
      </c>
      <c r="AL1436" t="s">
        <v>48</v>
      </c>
      <c r="AM1436" t="s">
        <v>48</v>
      </c>
      <c r="AN1436" t="s">
        <v>48</v>
      </c>
      <c r="AO1436" t="s">
        <v>48</v>
      </c>
      <c r="AP1436" s="46">
        <v>0</v>
      </c>
      <c r="AQ1436" s="46">
        <v>0</v>
      </c>
      <c r="AR1436" s="46">
        <v>0</v>
      </c>
      <c r="AS1436" s="46">
        <v>0</v>
      </c>
      <c r="AT1436" s="46">
        <v>0</v>
      </c>
      <c r="AU1436" s="46">
        <v>0</v>
      </c>
      <c r="AV1436" s="46">
        <v>0</v>
      </c>
      <c r="AW1436" s="46">
        <v>0</v>
      </c>
      <c r="AX1436" s="46">
        <v>0</v>
      </c>
      <c r="AY1436" s="46">
        <v>0</v>
      </c>
      <c r="AZ1436" s="46">
        <v>0</v>
      </c>
      <c r="BA1436" s="46">
        <v>0</v>
      </c>
      <c r="BB1436" s="46">
        <v>0</v>
      </c>
      <c r="BC1436" s="46">
        <v>0</v>
      </c>
      <c r="BD1436" s="46">
        <v>0</v>
      </c>
      <c r="BE1436" s="46">
        <v>0</v>
      </c>
      <c r="BF1436" s="46">
        <v>0</v>
      </c>
      <c r="BG1436" s="46" t="s">
        <v>48</v>
      </c>
      <c r="BH1436" s="46">
        <v>0</v>
      </c>
      <c r="BI1436" s="46">
        <v>0</v>
      </c>
      <c r="BJ1436" s="46">
        <v>0</v>
      </c>
      <c r="BK1436" s="46">
        <v>0</v>
      </c>
      <c r="BL1436" s="46">
        <v>0</v>
      </c>
      <c r="BM1436" s="46">
        <v>0</v>
      </c>
      <c r="BN1436" s="46">
        <v>0</v>
      </c>
    </row>
    <row r="1437" spans="1:66" x14ac:dyDescent="0.35">
      <c r="A1437" t="s">
        <v>9450</v>
      </c>
      <c r="B1437" s="44" t="s">
        <v>48</v>
      </c>
      <c r="C1437" t="s">
        <v>11750</v>
      </c>
      <c r="D1437" t="s">
        <v>259</v>
      </c>
      <c r="E1437" t="s">
        <v>9451</v>
      </c>
      <c r="F1437" t="s">
        <v>1630</v>
      </c>
      <c r="G1437" t="s">
        <v>47</v>
      </c>
      <c r="H1437">
        <v>0</v>
      </c>
      <c r="I1437" s="61">
        <v>44741</v>
      </c>
      <c r="J1437" s="33" t="s">
        <v>45</v>
      </c>
      <c r="K1437" s="46">
        <v>0</v>
      </c>
      <c r="L1437">
        <v>6.1</v>
      </c>
      <c r="M1437" t="s">
        <v>48</v>
      </c>
      <c r="N1437" s="46">
        <v>0</v>
      </c>
      <c r="O1437" s="46">
        <v>0</v>
      </c>
      <c r="P1437" s="46">
        <v>0</v>
      </c>
      <c r="Q1437" t="s">
        <v>48</v>
      </c>
      <c r="R1437" t="s">
        <v>48</v>
      </c>
      <c r="S1437" t="s">
        <v>48</v>
      </c>
      <c r="T1437" t="s">
        <v>48</v>
      </c>
      <c r="U1437" t="s">
        <v>48</v>
      </c>
      <c r="V1437" s="47">
        <v>1</v>
      </c>
      <c r="W1437" t="s">
        <v>48</v>
      </c>
      <c r="X1437" t="s">
        <v>48</v>
      </c>
      <c r="Y1437" t="s">
        <v>48</v>
      </c>
      <c r="Z1437" t="s">
        <v>48</v>
      </c>
      <c r="AA1437" t="s">
        <v>48</v>
      </c>
      <c r="AB1437" t="s">
        <v>48</v>
      </c>
      <c r="AC1437" t="s">
        <v>49</v>
      </c>
      <c r="AD1437" t="s">
        <v>93</v>
      </c>
      <c r="AE1437" t="s">
        <v>4532</v>
      </c>
      <c r="AF1437" t="s">
        <v>48</v>
      </c>
      <c r="AG1437" t="s">
        <v>48</v>
      </c>
      <c r="AH1437" t="s">
        <v>48</v>
      </c>
      <c r="AI1437" t="s">
        <v>48</v>
      </c>
      <c r="AJ1437" t="s">
        <v>48</v>
      </c>
      <c r="AK1437" t="s">
        <v>48</v>
      </c>
      <c r="AL1437" t="s">
        <v>48</v>
      </c>
      <c r="AM1437" t="s">
        <v>48</v>
      </c>
      <c r="AN1437" t="s">
        <v>48</v>
      </c>
      <c r="AO1437" t="s">
        <v>48</v>
      </c>
      <c r="AP1437" s="46">
        <v>0</v>
      </c>
      <c r="AQ1437" s="46">
        <v>0</v>
      </c>
      <c r="AR1437" s="46">
        <v>0</v>
      </c>
      <c r="AS1437" s="46">
        <v>0</v>
      </c>
      <c r="AT1437" s="46">
        <v>0</v>
      </c>
      <c r="AU1437" s="46">
        <v>0</v>
      </c>
      <c r="AV1437" s="46">
        <v>0</v>
      </c>
      <c r="AW1437" s="46">
        <v>0</v>
      </c>
      <c r="AX1437" s="46">
        <v>0</v>
      </c>
      <c r="AY1437" s="46">
        <v>0</v>
      </c>
      <c r="AZ1437" s="46">
        <v>0</v>
      </c>
      <c r="BA1437" s="46">
        <v>0</v>
      </c>
      <c r="BB1437" s="46">
        <v>0</v>
      </c>
      <c r="BC1437" s="46">
        <v>0</v>
      </c>
      <c r="BD1437" s="46">
        <v>0</v>
      </c>
      <c r="BE1437" s="46">
        <v>0</v>
      </c>
      <c r="BF1437" s="46">
        <v>0</v>
      </c>
      <c r="BG1437" s="46" t="s">
        <v>48</v>
      </c>
      <c r="BH1437" s="46">
        <v>0</v>
      </c>
      <c r="BI1437" s="46">
        <v>0</v>
      </c>
      <c r="BJ1437" s="46">
        <v>0</v>
      </c>
      <c r="BK1437" s="46">
        <v>0</v>
      </c>
      <c r="BL1437" s="46">
        <v>0</v>
      </c>
      <c r="BM1437" s="46">
        <v>0</v>
      </c>
      <c r="BN1437" s="46">
        <v>0</v>
      </c>
    </row>
    <row r="1438" spans="1:66" x14ac:dyDescent="0.35">
      <c r="A1438" t="s">
        <v>1653</v>
      </c>
      <c r="B1438" s="44" t="s">
        <v>48</v>
      </c>
      <c r="C1438" t="s">
        <v>332</v>
      </c>
      <c r="D1438" t="s">
        <v>714</v>
      </c>
      <c r="E1438" t="s">
        <v>1654</v>
      </c>
      <c r="F1438" t="s">
        <v>1630</v>
      </c>
      <c r="G1438" t="s">
        <v>47</v>
      </c>
      <c r="H1438">
        <v>0</v>
      </c>
      <c r="I1438" s="60" t="s">
        <v>125</v>
      </c>
      <c r="J1438" s="33" t="s">
        <v>45</v>
      </c>
      <c r="K1438" s="46">
        <v>0</v>
      </c>
      <c r="L1438">
        <v>32.9</v>
      </c>
      <c r="M1438" t="s">
        <v>48</v>
      </c>
      <c r="N1438" s="46">
        <v>0</v>
      </c>
      <c r="O1438" s="46">
        <v>0</v>
      </c>
      <c r="P1438" s="46">
        <v>0</v>
      </c>
      <c r="Q1438" t="s">
        <v>48</v>
      </c>
      <c r="R1438" t="s">
        <v>48</v>
      </c>
      <c r="S1438" t="s">
        <v>1655</v>
      </c>
      <c r="T1438" t="s">
        <v>48</v>
      </c>
      <c r="U1438" t="s">
        <v>1655</v>
      </c>
      <c r="V1438" s="47">
        <v>0</v>
      </c>
      <c r="W1438" t="s">
        <v>48</v>
      </c>
      <c r="X1438" t="s">
        <v>48</v>
      </c>
      <c r="Y1438" t="s">
        <v>48</v>
      </c>
      <c r="Z1438">
        <v>0</v>
      </c>
      <c r="AA1438" t="s">
        <v>48</v>
      </c>
      <c r="AB1438" t="s">
        <v>48</v>
      </c>
      <c r="AC1438" t="s">
        <v>49</v>
      </c>
      <c r="AD1438" t="s">
        <v>93</v>
      </c>
      <c r="AE1438" t="s">
        <v>4532</v>
      </c>
      <c r="AF1438" t="s">
        <v>48</v>
      </c>
      <c r="AG1438" t="s">
        <v>48</v>
      </c>
      <c r="AH1438" t="s">
        <v>48</v>
      </c>
      <c r="AI1438" t="s">
        <v>48</v>
      </c>
      <c r="AJ1438" t="s">
        <v>48</v>
      </c>
      <c r="AK1438" t="s">
        <v>48</v>
      </c>
      <c r="AL1438" t="s">
        <v>48</v>
      </c>
      <c r="AM1438" t="s">
        <v>48</v>
      </c>
      <c r="AN1438" t="s">
        <v>48</v>
      </c>
      <c r="AO1438" t="s">
        <v>48</v>
      </c>
      <c r="AP1438" s="46">
        <v>0</v>
      </c>
      <c r="AQ1438" s="46">
        <v>0</v>
      </c>
      <c r="AR1438" s="46">
        <v>0</v>
      </c>
      <c r="AS1438" s="46">
        <v>0</v>
      </c>
      <c r="AT1438" s="46">
        <v>0</v>
      </c>
      <c r="AU1438" s="46">
        <v>0</v>
      </c>
      <c r="AV1438" s="46">
        <v>0</v>
      </c>
      <c r="AW1438" s="46">
        <v>0</v>
      </c>
      <c r="AX1438" s="46">
        <v>0</v>
      </c>
      <c r="AY1438" s="46">
        <v>0</v>
      </c>
      <c r="AZ1438" s="46">
        <v>0</v>
      </c>
      <c r="BA1438" s="46">
        <v>0</v>
      </c>
      <c r="BB1438" s="46">
        <v>0</v>
      </c>
      <c r="BC1438" s="46">
        <v>0</v>
      </c>
      <c r="BD1438" s="46">
        <v>0</v>
      </c>
      <c r="BE1438" s="46">
        <v>0</v>
      </c>
      <c r="BF1438" s="46">
        <v>0</v>
      </c>
      <c r="BG1438" s="46" t="s">
        <v>48</v>
      </c>
      <c r="BH1438" s="46">
        <v>0</v>
      </c>
      <c r="BI1438" s="46">
        <v>0</v>
      </c>
      <c r="BJ1438" s="46">
        <v>0</v>
      </c>
      <c r="BK1438" s="46">
        <v>0</v>
      </c>
      <c r="BL1438" s="46">
        <v>0</v>
      </c>
      <c r="BM1438" s="46">
        <v>0</v>
      </c>
      <c r="BN1438" s="46">
        <v>0</v>
      </c>
    </row>
    <row r="1439" spans="1:66" x14ac:dyDescent="0.35">
      <c r="A1439" t="s">
        <v>1631</v>
      </c>
      <c r="B1439" s="44" t="s">
        <v>48</v>
      </c>
      <c r="C1439" t="s">
        <v>1634</v>
      </c>
      <c r="D1439" t="s">
        <v>396</v>
      </c>
      <c r="E1439" t="s">
        <v>1632</v>
      </c>
      <c r="F1439" t="s">
        <v>1630</v>
      </c>
      <c r="G1439" t="s">
        <v>74</v>
      </c>
      <c r="H1439">
        <v>0</v>
      </c>
      <c r="I1439" s="60" t="s">
        <v>11160</v>
      </c>
      <c r="J1439" s="33" t="s">
        <v>45</v>
      </c>
      <c r="K1439" s="46">
        <v>0</v>
      </c>
      <c r="L1439">
        <v>45.4</v>
      </c>
      <c r="M1439" t="s">
        <v>48</v>
      </c>
      <c r="N1439" s="46">
        <v>0</v>
      </c>
      <c r="O1439" s="46">
        <v>0</v>
      </c>
      <c r="P1439" s="46">
        <v>0</v>
      </c>
      <c r="Q1439" t="s">
        <v>48</v>
      </c>
      <c r="R1439" t="s">
        <v>48</v>
      </c>
      <c r="S1439" t="s">
        <v>1633</v>
      </c>
      <c r="T1439" t="s">
        <v>48</v>
      </c>
      <c r="U1439" t="s">
        <v>1633</v>
      </c>
      <c r="V1439" s="47">
        <v>0</v>
      </c>
      <c r="W1439" t="s">
        <v>11317</v>
      </c>
      <c r="X1439" t="s">
        <v>48</v>
      </c>
      <c r="Y1439" t="s">
        <v>48</v>
      </c>
      <c r="Z1439">
        <v>0</v>
      </c>
      <c r="AA1439" t="s">
        <v>48</v>
      </c>
      <c r="AB1439" t="s">
        <v>48</v>
      </c>
      <c r="AC1439" t="s">
        <v>49</v>
      </c>
      <c r="AD1439" t="s">
        <v>93</v>
      </c>
      <c r="AE1439" t="s">
        <v>4532</v>
      </c>
      <c r="AF1439" t="s">
        <v>48</v>
      </c>
      <c r="AG1439" t="s">
        <v>48</v>
      </c>
      <c r="AH1439" t="s">
        <v>48</v>
      </c>
      <c r="AI1439" t="s">
        <v>48</v>
      </c>
      <c r="AJ1439" t="s">
        <v>48</v>
      </c>
      <c r="AK1439" t="s">
        <v>48</v>
      </c>
      <c r="AL1439" t="s">
        <v>48</v>
      </c>
      <c r="AM1439" t="s">
        <v>48</v>
      </c>
      <c r="AN1439" t="s">
        <v>48</v>
      </c>
      <c r="AO1439" t="s">
        <v>48</v>
      </c>
      <c r="AP1439" s="46">
        <v>0</v>
      </c>
      <c r="AQ1439" s="46">
        <v>0</v>
      </c>
      <c r="AR1439" s="46">
        <v>0</v>
      </c>
      <c r="AS1439" s="46">
        <v>0</v>
      </c>
      <c r="AT1439" s="46">
        <v>0</v>
      </c>
      <c r="AU1439" s="46">
        <v>0</v>
      </c>
      <c r="AV1439" s="46">
        <v>0</v>
      </c>
      <c r="AW1439" s="46">
        <v>0</v>
      </c>
      <c r="AX1439" s="46">
        <v>0</v>
      </c>
      <c r="AY1439" s="46">
        <v>0</v>
      </c>
      <c r="AZ1439" s="46">
        <v>0</v>
      </c>
      <c r="BA1439" s="46">
        <v>0</v>
      </c>
      <c r="BB1439" s="46">
        <v>0</v>
      </c>
      <c r="BC1439" s="46">
        <v>0</v>
      </c>
      <c r="BD1439" s="46">
        <v>0</v>
      </c>
      <c r="BE1439" s="46">
        <v>0</v>
      </c>
      <c r="BF1439" s="46">
        <v>0</v>
      </c>
      <c r="BG1439" s="46" t="s">
        <v>48</v>
      </c>
      <c r="BH1439" s="46">
        <v>0</v>
      </c>
      <c r="BI1439" s="46">
        <v>0</v>
      </c>
      <c r="BJ1439" s="46">
        <v>0</v>
      </c>
      <c r="BK1439" s="46">
        <v>0</v>
      </c>
      <c r="BL1439" s="46">
        <v>0</v>
      </c>
      <c r="BM1439" s="46">
        <v>0</v>
      </c>
      <c r="BN1439" s="46">
        <v>0</v>
      </c>
    </row>
    <row r="1440" spans="1:66" x14ac:dyDescent="0.35">
      <c r="A1440" t="s">
        <v>1640</v>
      </c>
      <c r="B1440" s="44" t="s">
        <v>48</v>
      </c>
      <c r="C1440" t="s">
        <v>1644</v>
      </c>
      <c r="D1440" t="s">
        <v>1643</v>
      </c>
      <c r="E1440" t="s">
        <v>1641</v>
      </c>
      <c r="F1440" t="s">
        <v>1630</v>
      </c>
      <c r="G1440" t="s">
        <v>47</v>
      </c>
      <c r="H1440">
        <v>0</v>
      </c>
      <c r="I1440" s="60" t="s">
        <v>51</v>
      </c>
      <c r="J1440" s="33" t="s">
        <v>45</v>
      </c>
      <c r="K1440" s="46">
        <v>0</v>
      </c>
      <c r="L1440">
        <v>12.7</v>
      </c>
      <c r="M1440" t="s">
        <v>48</v>
      </c>
      <c r="N1440" s="46">
        <v>0</v>
      </c>
      <c r="O1440" s="46">
        <v>0</v>
      </c>
      <c r="P1440" s="46">
        <v>0</v>
      </c>
      <c r="Q1440" t="s">
        <v>48</v>
      </c>
      <c r="R1440" t="s">
        <v>48</v>
      </c>
      <c r="S1440" t="s">
        <v>1642</v>
      </c>
      <c r="T1440" t="s">
        <v>48</v>
      </c>
      <c r="U1440" t="s">
        <v>1642</v>
      </c>
      <c r="V1440" s="47">
        <v>0</v>
      </c>
      <c r="W1440" t="s">
        <v>48</v>
      </c>
      <c r="X1440" t="s">
        <v>48</v>
      </c>
      <c r="Y1440" t="s">
        <v>48</v>
      </c>
      <c r="Z1440">
        <v>0</v>
      </c>
      <c r="AA1440" t="s">
        <v>48</v>
      </c>
      <c r="AB1440" t="s">
        <v>48</v>
      </c>
      <c r="AC1440" t="s">
        <v>63</v>
      </c>
      <c r="AD1440" t="s">
        <v>93</v>
      </c>
      <c r="AE1440" t="s">
        <v>4532</v>
      </c>
      <c r="AF1440" t="s">
        <v>48</v>
      </c>
      <c r="AG1440" t="s">
        <v>92</v>
      </c>
      <c r="AH1440" t="s">
        <v>48</v>
      </c>
      <c r="AI1440" t="s">
        <v>48</v>
      </c>
      <c r="AJ1440" t="s">
        <v>48</v>
      </c>
      <c r="AK1440" t="s">
        <v>48</v>
      </c>
      <c r="AL1440" t="s">
        <v>48</v>
      </c>
      <c r="AM1440" t="s">
        <v>48</v>
      </c>
      <c r="AN1440" t="s">
        <v>48</v>
      </c>
      <c r="AO1440" t="s">
        <v>48</v>
      </c>
      <c r="AP1440" s="46">
        <v>0</v>
      </c>
      <c r="AQ1440" s="46">
        <v>0</v>
      </c>
      <c r="AR1440" s="46">
        <v>0</v>
      </c>
      <c r="AS1440" s="46">
        <v>0</v>
      </c>
      <c r="AT1440" s="46">
        <v>0</v>
      </c>
      <c r="AU1440" s="46">
        <v>0</v>
      </c>
      <c r="AV1440" s="46">
        <v>0</v>
      </c>
      <c r="AW1440" s="46">
        <v>0</v>
      </c>
      <c r="AX1440" s="46">
        <v>0</v>
      </c>
      <c r="AY1440" s="46">
        <v>0</v>
      </c>
      <c r="AZ1440" s="46">
        <v>0</v>
      </c>
      <c r="BA1440" s="46">
        <v>0</v>
      </c>
      <c r="BB1440" s="46">
        <v>0</v>
      </c>
      <c r="BC1440" s="46">
        <v>0</v>
      </c>
      <c r="BD1440" s="46">
        <v>0</v>
      </c>
      <c r="BE1440" s="46">
        <v>0</v>
      </c>
      <c r="BF1440" s="46">
        <v>0</v>
      </c>
      <c r="BG1440" s="46" t="s">
        <v>48</v>
      </c>
      <c r="BH1440" s="46">
        <v>0</v>
      </c>
      <c r="BI1440" s="46">
        <v>0</v>
      </c>
      <c r="BJ1440" s="46">
        <v>0</v>
      </c>
      <c r="BK1440" s="46">
        <v>0</v>
      </c>
      <c r="BL1440" s="46">
        <v>0</v>
      </c>
      <c r="BM1440" s="46">
        <v>0</v>
      </c>
      <c r="BN1440" s="46">
        <v>0</v>
      </c>
    </row>
    <row r="1441" spans="1:66" x14ac:dyDescent="0.35">
      <c r="A1441" t="s">
        <v>1667</v>
      </c>
      <c r="B1441" s="44" t="s">
        <v>48</v>
      </c>
      <c r="C1441" t="s">
        <v>1670</v>
      </c>
      <c r="D1441" t="s">
        <v>249</v>
      </c>
      <c r="E1441" t="s">
        <v>1668</v>
      </c>
      <c r="F1441" t="s">
        <v>111</v>
      </c>
      <c r="G1441" t="s">
        <v>47</v>
      </c>
      <c r="H1441">
        <v>0</v>
      </c>
      <c r="I1441" s="60" t="s">
        <v>51</v>
      </c>
      <c r="J1441" s="33" t="s">
        <v>45</v>
      </c>
      <c r="K1441" s="46">
        <v>0</v>
      </c>
      <c r="L1441">
        <v>16.100000000000001</v>
      </c>
      <c r="M1441" t="s">
        <v>48</v>
      </c>
      <c r="N1441" s="46">
        <v>0</v>
      </c>
      <c r="O1441" s="46">
        <v>0</v>
      </c>
      <c r="P1441" s="46">
        <v>0</v>
      </c>
      <c r="Q1441" t="s">
        <v>48</v>
      </c>
      <c r="R1441" t="s">
        <v>48</v>
      </c>
      <c r="S1441" t="s">
        <v>1669</v>
      </c>
      <c r="T1441" t="s">
        <v>48</v>
      </c>
      <c r="U1441" t="s">
        <v>1669</v>
      </c>
      <c r="V1441" s="47">
        <v>0</v>
      </c>
      <c r="W1441" t="s">
        <v>48</v>
      </c>
      <c r="X1441" t="s">
        <v>48</v>
      </c>
      <c r="Y1441" t="s">
        <v>48</v>
      </c>
      <c r="Z1441">
        <v>0</v>
      </c>
      <c r="AA1441" t="s">
        <v>48</v>
      </c>
      <c r="AB1441" t="s">
        <v>48</v>
      </c>
      <c r="AC1441" t="s">
        <v>63</v>
      </c>
      <c r="AD1441" t="s">
        <v>93</v>
      </c>
      <c r="AE1441" t="s">
        <v>4532</v>
      </c>
      <c r="AF1441" t="s">
        <v>48</v>
      </c>
      <c r="AG1441" t="s">
        <v>48</v>
      </c>
      <c r="AH1441" t="s">
        <v>48</v>
      </c>
      <c r="AI1441" t="s">
        <v>48</v>
      </c>
      <c r="AJ1441" t="s">
        <v>48</v>
      </c>
      <c r="AK1441" t="s">
        <v>48</v>
      </c>
      <c r="AL1441" t="s">
        <v>48</v>
      </c>
      <c r="AM1441" t="s">
        <v>48</v>
      </c>
      <c r="AN1441" t="s">
        <v>48</v>
      </c>
      <c r="AO1441" t="s">
        <v>48</v>
      </c>
      <c r="AP1441" s="46">
        <v>0</v>
      </c>
      <c r="AQ1441" s="46">
        <v>0</v>
      </c>
      <c r="AR1441" s="46">
        <v>0</v>
      </c>
      <c r="AS1441" s="46">
        <v>0</v>
      </c>
      <c r="AT1441" s="46">
        <v>0</v>
      </c>
      <c r="AU1441" s="46">
        <v>0</v>
      </c>
      <c r="AV1441" s="46">
        <v>0</v>
      </c>
      <c r="AW1441" s="46">
        <v>0</v>
      </c>
      <c r="AX1441" s="46">
        <v>0</v>
      </c>
      <c r="AY1441" s="46">
        <v>0</v>
      </c>
      <c r="AZ1441" s="46">
        <v>0</v>
      </c>
      <c r="BA1441" s="46">
        <v>0</v>
      </c>
      <c r="BB1441" s="46">
        <v>0</v>
      </c>
      <c r="BC1441" s="46">
        <v>0</v>
      </c>
      <c r="BD1441" s="46">
        <v>0</v>
      </c>
      <c r="BE1441" s="46">
        <v>0</v>
      </c>
      <c r="BF1441" s="46">
        <v>0</v>
      </c>
      <c r="BG1441" s="46" t="s">
        <v>48</v>
      </c>
      <c r="BH1441" s="46">
        <v>0</v>
      </c>
      <c r="BI1441" s="46">
        <v>0</v>
      </c>
      <c r="BJ1441" s="46">
        <v>0</v>
      </c>
      <c r="BK1441" s="46">
        <v>0</v>
      </c>
      <c r="BL1441" s="46">
        <v>0</v>
      </c>
      <c r="BM1441" s="46">
        <v>0</v>
      </c>
      <c r="BN1441" s="46">
        <v>0</v>
      </c>
    </row>
    <row r="1442" spans="1:66" x14ac:dyDescent="0.35">
      <c r="A1442" t="s">
        <v>1676</v>
      </c>
      <c r="B1442" s="44" t="s">
        <v>48</v>
      </c>
      <c r="C1442" t="s">
        <v>1678</v>
      </c>
      <c r="D1442" t="s">
        <v>198</v>
      </c>
      <c r="E1442" t="s">
        <v>1677</v>
      </c>
      <c r="F1442" t="s">
        <v>111</v>
      </c>
      <c r="G1442" t="s">
        <v>47</v>
      </c>
      <c r="H1442">
        <v>0</v>
      </c>
      <c r="I1442" s="60" t="s">
        <v>125</v>
      </c>
      <c r="J1442" s="33" t="s">
        <v>45</v>
      </c>
      <c r="K1442" s="46">
        <v>0</v>
      </c>
      <c r="L1442">
        <v>35.9</v>
      </c>
      <c r="M1442" t="s">
        <v>48</v>
      </c>
      <c r="N1442" s="46">
        <v>0</v>
      </c>
      <c r="O1442" s="46">
        <v>0</v>
      </c>
      <c r="P1442" s="46">
        <v>0</v>
      </c>
      <c r="Q1442" t="s">
        <v>48</v>
      </c>
      <c r="R1442" t="s">
        <v>48</v>
      </c>
      <c r="S1442" t="s">
        <v>10080</v>
      </c>
      <c r="T1442" t="s">
        <v>48</v>
      </c>
      <c r="U1442" t="s">
        <v>10080</v>
      </c>
      <c r="V1442" s="47">
        <v>0</v>
      </c>
      <c r="W1442" t="s">
        <v>48</v>
      </c>
      <c r="X1442" t="s">
        <v>48</v>
      </c>
      <c r="Y1442" t="s">
        <v>48</v>
      </c>
      <c r="Z1442">
        <v>0</v>
      </c>
      <c r="AA1442" t="s">
        <v>48</v>
      </c>
      <c r="AB1442" t="s">
        <v>48</v>
      </c>
      <c r="AC1442" t="s">
        <v>49</v>
      </c>
      <c r="AD1442" t="s">
        <v>48</v>
      </c>
      <c r="AE1442" t="s">
        <v>48</v>
      </c>
      <c r="AF1442" t="s">
        <v>48</v>
      </c>
      <c r="AG1442" t="s">
        <v>48</v>
      </c>
      <c r="AH1442" t="s">
        <v>48</v>
      </c>
      <c r="AI1442" t="s">
        <v>48</v>
      </c>
      <c r="AJ1442" t="s">
        <v>48</v>
      </c>
      <c r="AK1442" t="s">
        <v>48</v>
      </c>
      <c r="AL1442" t="s">
        <v>48</v>
      </c>
      <c r="AM1442" t="s">
        <v>48</v>
      </c>
      <c r="AN1442" t="s">
        <v>48</v>
      </c>
      <c r="AO1442" t="s">
        <v>48</v>
      </c>
      <c r="AP1442" s="46">
        <v>0</v>
      </c>
      <c r="AQ1442" s="46">
        <v>0</v>
      </c>
      <c r="AR1442" s="46">
        <v>0</v>
      </c>
      <c r="AS1442" s="46">
        <v>0</v>
      </c>
      <c r="AT1442" s="46">
        <v>0</v>
      </c>
      <c r="AU1442" s="46">
        <v>0</v>
      </c>
      <c r="AV1442" s="46">
        <v>0</v>
      </c>
      <c r="AW1442" s="46">
        <v>0</v>
      </c>
      <c r="AX1442" s="46">
        <v>0</v>
      </c>
      <c r="AY1442" s="46">
        <v>0</v>
      </c>
      <c r="AZ1442" s="46">
        <v>0</v>
      </c>
      <c r="BA1442" s="46">
        <v>0</v>
      </c>
      <c r="BB1442" s="46">
        <v>0</v>
      </c>
      <c r="BC1442" s="46">
        <v>0</v>
      </c>
      <c r="BD1442" s="46">
        <v>0</v>
      </c>
      <c r="BE1442" s="46">
        <v>0</v>
      </c>
      <c r="BF1442" s="46">
        <v>0</v>
      </c>
      <c r="BG1442" s="46" t="s">
        <v>48</v>
      </c>
      <c r="BH1442" s="46">
        <v>0</v>
      </c>
      <c r="BI1442" s="46">
        <v>0</v>
      </c>
      <c r="BJ1442" s="46">
        <v>0</v>
      </c>
      <c r="BK1442" s="46">
        <v>0</v>
      </c>
      <c r="BL1442" s="46">
        <v>0</v>
      </c>
      <c r="BM1442" s="46">
        <v>0</v>
      </c>
      <c r="BN1442" s="46">
        <v>0</v>
      </c>
    </row>
    <row r="1443" spans="1:66" x14ac:dyDescent="0.35">
      <c r="A1443" t="s">
        <v>1697</v>
      </c>
      <c r="B1443" s="44" t="s">
        <v>48</v>
      </c>
      <c r="C1443" t="s">
        <v>1700</v>
      </c>
      <c r="D1443" t="s">
        <v>612</v>
      </c>
      <c r="E1443" t="s">
        <v>1698</v>
      </c>
      <c r="F1443" t="s">
        <v>1680</v>
      </c>
      <c r="G1443" t="s">
        <v>47</v>
      </c>
      <c r="H1443">
        <v>0</v>
      </c>
      <c r="I1443" s="60" t="s">
        <v>149</v>
      </c>
      <c r="J1443" s="33" t="s">
        <v>45</v>
      </c>
      <c r="K1443" s="46">
        <v>0</v>
      </c>
      <c r="L1443">
        <v>22.8</v>
      </c>
      <c r="M1443" t="s">
        <v>48</v>
      </c>
      <c r="N1443" s="46">
        <v>0</v>
      </c>
      <c r="O1443" s="46">
        <v>0</v>
      </c>
      <c r="P1443" s="46">
        <v>0</v>
      </c>
      <c r="Q1443" t="s">
        <v>48</v>
      </c>
      <c r="R1443" t="s">
        <v>48</v>
      </c>
      <c r="S1443" t="s">
        <v>1699</v>
      </c>
      <c r="T1443" t="s">
        <v>48</v>
      </c>
      <c r="U1443" t="s">
        <v>1699</v>
      </c>
      <c r="V1443" s="47">
        <v>0</v>
      </c>
      <c r="W1443" t="s">
        <v>48</v>
      </c>
      <c r="X1443" t="s">
        <v>48</v>
      </c>
      <c r="Y1443" t="s">
        <v>48</v>
      </c>
      <c r="Z1443">
        <v>0</v>
      </c>
      <c r="AA1443" t="s">
        <v>1683</v>
      </c>
      <c r="AB1443" t="s">
        <v>48</v>
      </c>
      <c r="AC1443" t="s">
        <v>63</v>
      </c>
      <c r="AD1443" t="s">
        <v>93</v>
      </c>
      <c r="AE1443" t="s">
        <v>4532</v>
      </c>
      <c r="AF1443" t="s">
        <v>48</v>
      </c>
      <c r="AG1443" t="s">
        <v>48</v>
      </c>
      <c r="AH1443" t="s">
        <v>48</v>
      </c>
      <c r="AI1443" t="s">
        <v>48</v>
      </c>
      <c r="AJ1443" t="s">
        <v>48</v>
      </c>
      <c r="AK1443" t="s">
        <v>48</v>
      </c>
      <c r="AL1443" t="s">
        <v>48</v>
      </c>
      <c r="AM1443" t="s">
        <v>48</v>
      </c>
      <c r="AN1443" t="s">
        <v>48</v>
      </c>
      <c r="AO1443" t="s">
        <v>48</v>
      </c>
      <c r="AP1443" s="46">
        <v>0</v>
      </c>
      <c r="AQ1443" s="46">
        <v>0</v>
      </c>
      <c r="AR1443" s="46">
        <v>0</v>
      </c>
      <c r="AS1443" s="46">
        <v>0</v>
      </c>
      <c r="AT1443" s="46">
        <v>0</v>
      </c>
      <c r="AU1443" s="46">
        <v>0</v>
      </c>
      <c r="AV1443" s="46">
        <v>0</v>
      </c>
      <c r="AW1443" s="46">
        <v>0</v>
      </c>
      <c r="AX1443" s="46">
        <v>0</v>
      </c>
      <c r="AY1443" s="46">
        <v>0</v>
      </c>
      <c r="AZ1443" s="46">
        <v>0</v>
      </c>
      <c r="BA1443" s="46">
        <v>0</v>
      </c>
      <c r="BB1443" s="46">
        <v>0</v>
      </c>
      <c r="BC1443" s="46">
        <v>0</v>
      </c>
      <c r="BD1443" s="46">
        <v>0</v>
      </c>
      <c r="BE1443" s="46">
        <v>0</v>
      </c>
      <c r="BF1443" s="46">
        <v>0</v>
      </c>
      <c r="BG1443" s="46" t="s">
        <v>48</v>
      </c>
      <c r="BH1443" s="46">
        <v>0</v>
      </c>
      <c r="BI1443" s="46">
        <v>0</v>
      </c>
      <c r="BJ1443" s="46">
        <v>0</v>
      </c>
      <c r="BK1443" s="46">
        <v>0</v>
      </c>
      <c r="BL1443" s="46">
        <v>0</v>
      </c>
      <c r="BM1443" s="46">
        <v>0</v>
      </c>
      <c r="BN1443" s="46">
        <v>0</v>
      </c>
    </row>
    <row r="1444" spans="1:66" x14ac:dyDescent="0.35">
      <c r="A1444" t="s">
        <v>1701</v>
      </c>
      <c r="B1444" s="44" t="s">
        <v>48</v>
      </c>
      <c r="C1444" t="s">
        <v>1705</v>
      </c>
      <c r="D1444" t="s">
        <v>1704</v>
      </c>
      <c r="E1444" t="s">
        <v>1702</v>
      </c>
      <c r="F1444" t="s">
        <v>1680</v>
      </c>
      <c r="G1444" t="s">
        <v>47</v>
      </c>
      <c r="H1444">
        <v>0</v>
      </c>
      <c r="I1444" s="60" t="s">
        <v>661</v>
      </c>
      <c r="J1444" s="33" t="s">
        <v>45</v>
      </c>
      <c r="K1444" s="46">
        <v>0</v>
      </c>
      <c r="L1444">
        <v>20.5</v>
      </c>
      <c r="M1444" t="s">
        <v>48</v>
      </c>
      <c r="N1444" s="46">
        <v>0</v>
      </c>
      <c r="O1444" s="46">
        <v>0</v>
      </c>
      <c r="P1444" s="46">
        <v>0</v>
      </c>
      <c r="Q1444" t="s">
        <v>48</v>
      </c>
      <c r="R1444" t="s">
        <v>48</v>
      </c>
      <c r="S1444" t="s">
        <v>1703</v>
      </c>
      <c r="T1444" t="s">
        <v>48</v>
      </c>
      <c r="U1444" t="s">
        <v>1703</v>
      </c>
      <c r="V1444" s="47">
        <v>0</v>
      </c>
      <c r="W1444" t="s">
        <v>48</v>
      </c>
      <c r="X1444" t="s">
        <v>48</v>
      </c>
      <c r="Y1444" t="s">
        <v>48</v>
      </c>
      <c r="Z1444">
        <v>0</v>
      </c>
      <c r="AA1444" t="s">
        <v>1683</v>
      </c>
      <c r="AB1444" t="s">
        <v>48</v>
      </c>
      <c r="AC1444" t="s">
        <v>63</v>
      </c>
      <c r="AD1444" t="s">
        <v>93</v>
      </c>
      <c r="AE1444" t="s">
        <v>4532</v>
      </c>
      <c r="AF1444" t="s">
        <v>48</v>
      </c>
      <c r="AG1444" t="s">
        <v>48</v>
      </c>
      <c r="AH1444" t="s">
        <v>48</v>
      </c>
      <c r="AI1444" t="s">
        <v>48</v>
      </c>
      <c r="AJ1444" t="s">
        <v>48</v>
      </c>
      <c r="AK1444" t="s">
        <v>48</v>
      </c>
      <c r="AL1444" t="s">
        <v>48</v>
      </c>
      <c r="AM1444" t="s">
        <v>48</v>
      </c>
      <c r="AN1444" t="s">
        <v>48</v>
      </c>
      <c r="AO1444" t="s">
        <v>48</v>
      </c>
      <c r="AP1444" s="46">
        <v>0</v>
      </c>
      <c r="AQ1444" s="46">
        <v>0</v>
      </c>
      <c r="AR1444" s="46">
        <v>0</v>
      </c>
      <c r="AS1444" s="46">
        <v>0</v>
      </c>
      <c r="AT1444" s="46">
        <v>0</v>
      </c>
      <c r="AU1444" s="46">
        <v>0</v>
      </c>
      <c r="AV1444" s="46">
        <v>0</v>
      </c>
      <c r="AW1444" s="46">
        <v>0</v>
      </c>
      <c r="AX1444" s="46">
        <v>0</v>
      </c>
      <c r="AY1444" s="46">
        <v>0</v>
      </c>
      <c r="AZ1444" s="46">
        <v>0</v>
      </c>
      <c r="BA1444" s="46">
        <v>0</v>
      </c>
      <c r="BB1444" s="46">
        <v>0</v>
      </c>
      <c r="BC1444" s="46">
        <v>0</v>
      </c>
      <c r="BD1444" s="46">
        <v>0</v>
      </c>
      <c r="BE1444" s="46">
        <v>0</v>
      </c>
      <c r="BF1444" s="46">
        <v>0</v>
      </c>
      <c r="BG1444" s="46" t="s">
        <v>48</v>
      </c>
      <c r="BH1444" s="46">
        <v>0</v>
      </c>
      <c r="BI1444" s="46">
        <v>0</v>
      </c>
      <c r="BJ1444" s="46">
        <v>0</v>
      </c>
      <c r="BK1444" s="46">
        <v>0</v>
      </c>
      <c r="BL1444" s="46">
        <v>0</v>
      </c>
      <c r="BM1444" s="46">
        <v>0</v>
      </c>
      <c r="BN1444" s="46">
        <v>0</v>
      </c>
    </row>
    <row r="1445" spans="1:66" x14ac:dyDescent="0.35">
      <c r="A1445" t="s">
        <v>1679</v>
      </c>
      <c r="B1445" s="44" t="s">
        <v>48</v>
      </c>
      <c r="C1445" t="s">
        <v>1685</v>
      </c>
      <c r="D1445" t="s">
        <v>1684</v>
      </c>
      <c r="E1445" t="s">
        <v>1681</v>
      </c>
      <c r="F1445" t="s">
        <v>1680</v>
      </c>
      <c r="G1445" t="s">
        <v>47</v>
      </c>
      <c r="H1445">
        <v>0</v>
      </c>
      <c r="I1445" s="60" t="s">
        <v>78</v>
      </c>
      <c r="J1445" s="33" t="s">
        <v>45</v>
      </c>
      <c r="K1445" s="46">
        <v>0</v>
      </c>
      <c r="L1445">
        <v>16.600000000000001</v>
      </c>
      <c r="M1445" t="s">
        <v>48</v>
      </c>
      <c r="N1445" s="46">
        <v>0</v>
      </c>
      <c r="O1445" s="46">
        <v>0</v>
      </c>
      <c r="P1445" s="46">
        <v>0</v>
      </c>
      <c r="Q1445" t="s">
        <v>48</v>
      </c>
      <c r="R1445" t="s">
        <v>48</v>
      </c>
      <c r="S1445" t="s">
        <v>1682</v>
      </c>
      <c r="T1445" t="s">
        <v>48</v>
      </c>
      <c r="U1445" t="s">
        <v>1682</v>
      </c>
      <c r="V1445" s="47">
        <v>0</v>
      </c>
      <c r="W1445" t="s">
        <v>48</v>
      </c>
      <c r="X1445" t="s">
        <v>48</v>
      </c>
      <c r="Y1445" t="s">
        <v>48</v>
      </c>
      <c r="Z1445">
        <v>0</v>
      </c>
      <c r="AA1445" t="s">
        <v>1683</v>
      </c>
      <c r="AB1445" t="s">
        <v>48</v>
      </c>
      <c r="AC1445" t="s">
        <v>49</v>
      </c>
      <c r="AD1445" t="s">
        <v>93</v>
      </c>
      <c r="AE1445" t="s">
        <v>4532</v>
      </c>
      <c r="AF1445" t="s">
        <v>48</v>
      </c>
      <c r="AG1445" t="s">
        <v>48</v>
      </c>
      <c r="AH1445" t="s">
        <v>48</v>
      </c>
      <c r="AI1445" t="s">
        <v>48</v>
      </c>
      <c r="AJ1445" t="s">
        <v>48</v>
      </c>
      <c r="AK1445" t="s">
        <v>48</v>
      </c>
      <c r="AL1445" t="s">
        <v>48</v>
      </c>
      <c r="AM1445" t="s">
        <v>48</v>
      </c>
      <c r="AN1445" t="s">
        <v>48</v>
      </c>
      <c r="AO1445" t="s">
        <v>48</v>
      </c>
      <c r="AP1445" s="46">
        <v>0</v>
      </c>
      <c r="AQ1445" s="46">
        <v>0</v>
      </c>
      <c r="AR1445" s="46">
        <v>0</v>
      </c>
      <c r="AS1445" s="46">
        <v>0</v>
      </c>
      <c r="AT1445" s="46">
        <v>0</v>
      </c>
      <c r="AU1445" s="46">
        <v>0</v>
      </c>
      <c r="AV1445" s="46">
        <v>0</v>
      </c>
      <c r="AW1445" s="46">
        <v>0</v>
      </c>
      <c r="AX1445" s="46">
        <v>0</v>
      </c>
      <c r="AY1445" s="46">
        <v>0</v>
      </c>
      <c r="AZ1445" s="46">
        <v>0</v>
      </c>
      <c r="BA1445" s="46">
        <v>0</v>
      </c>
      <c r="BB1445" s="46">
        <v>0</v>
      </c>
      <c r="BC1445" s="46">
        <v>0</v>
      </c>
      <c r="BD1445" s="46">
        <v>0</v>
      </c>
      <c r="BE1445" s="46">
        <v>0</v>
      </c>
      <c r="BF1445" s="46">
        <v>0</v>
      </c>
      <c r="BG1445" s="46" t="s">
        <v>48</v>
      </c>
      <c r="BH1445" s="46">
        <v>0</v>
      </c>
      <c r="BI1445" s="46">
        <v>0</v>
      </c>
      <c r="BJ1445" s="46">
        <v>0</v>
      </c>
      <c r="BK1445" s="46">
        <v>0</v>
      </c>
      <c r="BL1445" s="46">
        <v>0</v>
      </c>
      <c r="BM1445" s="46">
        <v>0</v>
      </c>
      <c r="BN1445" s="46">
        <v>0</v>
      </c>
    </row>
    <row r="1446" spans="1:66" x14ac:dyDescent="0.35">
      <c r="A1446" t="s">
        <v>1764</v>
      </c>
      <c r="B1446" s="44" t="s">
        <v>48</v>
      </c>
      <c r="C1446" t="s">
        <v>1768</v>
      </c>
      <c r="D1446" t="s">
        <v>396</v>
      </c>
      <c r="E1446" t="s">
        <v>1766</v>
      </c>
      <c r="F1446" t="s">
        <v>1765</v>
      </c>
      <c r="G1446" t="s">
        <v>47</v>
      </c>
      <c r="H1446">
        <v>0</v>
      </c>
      <c r="I1446" s="60" t="s">
        <v>51</v>
      </c>
      <c r="J1446" s="33" t="s">
        <v>45</v>
      </c>
      <c r="K1446" s="46">
        <v>0</v>
      </c>
      <c r="L1446">
        <v>39.700000000000003</v>
      </c>
      <c r="M1446" t="s">
        <v>48</v>
      </c>
      <c r="N1446" s="46">
        <v>0</v>
      </c>
      <c r="O1446" s="46">
        <v>0</v>
      </c>
      <c r="P1446" s="46">
        <v>0</v>
      </c>
      <c r="Q1446" t="s">
        <v>48</v>
      </c>
      <c r="R1446" t="s">
        <v>48</v>
      </c>
      <c r="S1446" t="s">
        <v>1767</v>
      </c>
      <c r="T1446" t="s">
        <v>48</v>
      </c>
      <c r="U1446" t="s">
        <v>1767</v>
      </c>
      <c r="V1446" s="47">
        <v>0</v>
      </c>
      <c r="W1446" t="s">
        <v>48</v>
      </c>
      <c r="X1446" t="s">
        <v>48</v>
      </c>
      <c r="Y1446" t="s">
        <v>48</v>
      </c>
      <c r="Z1446">
        <v>0</v>
      </c>
      <c r="AA1446" t="s">
        <v>48</v>
      </c>
      <c r="AB1446" t="s">
        <v>48</v>
      </c>
      <c r="AC1446" t="s">
        <v>49</v>
      </c>
      <c r="AD1446" t="s">
        <v>93</v>
      </c>
      <c r="AE1446" t="s">
        <v>4532</v>
      </c>
      <c r="AF1446" t="s">
        <v>48</v>
      </c>
      <c r="AG1446" t="s">
        <v>48</v>
      </c>
      <c r="AH1446" t="s">
        <v>48</v>
      </c>
      <c r="AI1446" t="s">
        <v>48</v>
      </c>
      <c r="AJ1446" t="s">
        <v>48</v>
      </c>
      <c r="AK1446" t="s">
        <v>48</v>
      </c>
      <c r="AL1446" t="s">
        <v>48</v>
      </c>
      <c r="AM1446" t="s">
        <v>48</v>
      </c>
      <c r="AN1446" t="s">
        <v>48</v>
      </c>
      <c r="AO1446" t="s">
        <v>48</v>
      </c>
      <c r="AP1446" s="46">
        <v>0</v>
      </c>
      <c r="AQ1446" s="46">
        <v>0</v>
      </c>
      <c r="AR1446" s="46">
        <v>0</v>
      </c>
      <c r="AS1446" s="46">
        <v>0</v>
      </c>
      <c r="AT1446" s="46">
        <v>0</v>
      </c>
      <c r="AU1446" s="46">
        <v>0</v>
      </c>
      <c r="AV1446" s="46">
        <v>0</v>
      </c>
      <c r="AW1446" s="46">
        <v>0</v>
      </c>
      <c r="AX1446" s="46">
        <v>0</v>
      </c>
      <c r="AY1446" s="46">
        <v>0</v>
      </c>
      <c r="AZ1446" s="46">
        <v>0</v>
      </c>
      <c r="BA1446" s="46">
        <v>0</v>
      </c>
      <c r="BB1446" s="46">
        <v>0</v>
      </c>
      <c r="BC1446" s="46">
        <v>0</v>
      </c>
      <c r="BD1446" s="46">
        <v>0</v>
      </c>
      <c r="BE1446" s="46">
        <v>0</v>
      </c>
      <c r="BF1446" s="46">
        <v>0</v>
      </c>
      <c r="BG1446" s="46" t="s">
        <v>48</v>
      </c>
      <c r="BH1446" s="46">
        <v>0</v>
      </c>
      <c r="BI1446" s="46">
        <v>0</v>
      </c>
      <c r="BJ1446" s="46">
        <v>0</v>
      </c>
      <c r="BK1446" s="46">
        <v>0</v>
      </c>
      <c r="BL1446" s="46">
        <v>0</v>
      </c>
      <c r="BM1446" s="46">
        <v>0</v>
      </c>
      <c r="BN1446" s="46">
        <v>0</v>
      </c>
    </row>
    <row r="1447" spans="1:66" x14ac:dyDescent="0.35">
      <c r="A1447" t="s">
        <v>10430</v>
      </c>
      <c r="B1447" s="44" t="s">
        <v>48</v>
      </c>
      <c r="C1447" t="s">
        <v>11756</v>
      </c>
      <c r="D1447" t="s">
        <v>729</v>
      </c>
      <c r="E1447" t="s">
        <v>10431</v>
      </c>
      <c r="F1447" t="s">
        <v>1827</v>
      </c>
      <c r="G1447" t="s">
        <v>47</v>
      </c>
      <c r="H1447">
        <v>0</v>
      </c>
      <c r="I1447" s="60" t="s">
        <v>11552</v>
      </c>
      <c r="J1447" s="33" t="s">
        <v>45</v>
      </c>
      <c r="K1447" s="46">
        <v>0</v>
      </c>
      <c r="L1447">
        <v>5.9</v>
      </c>
      <c r="M1447" t="s">
        <v>48</v>
      </c>
      <c r="N1447" s="46">
        <v>0</v>
      </c>
      <c r="O1447" s="46">
        <v>0</v>
      </c>
      <c r="P1447" s="46">
        <v>0</v>
      </c>
      <c r="Q1447" t="s">
        <v>48</v>
      </c>
      <c r="R1447" t="s">
        <v>48</v>
      </c>
      <c r="S1447" t="s">
        <v>11410</v>
      </c>
      <c r="T1447" t="s">
        <v>48</v>
      </c>
      <c r="U1447" t="s">
        <v>10432</v>
      </c>
      <c r="V1447" s="47">
        <v>0</v>
      </c>
      <c r="W1447" t="s">
        <v>48</v>
      </c>
      <c r="X1447" t="s">
        <v>48</v>
      </c>
      <c r="Y1447" t="s">
        <v>48</v>
      </c>
      <c r="Z1447">
        <v>0</v>
      </c>
      <c r="AA1447" t="s">
        <v>48</v>
      </c>
      <c r="AB1447" t="s">
        <v>48</v>
      </c>
      <c r="AC1447" t="s">
        <v>49</v>
      </c>
      <c r="AD1447" t="s">
        <v>93</v>
      </c>
      <c r="AE1447" t="s">
        <v>4532</v>
      </c>
      <c r="AF1447" t="s">
        <v>48</v>
      </c>
      <c r="AG1447" t="s">
        <v>48</v>
      </c>
      <c r="AH1447" t="s">
        <v>48</v>
      </c>
      <c r="AI1447" t="s">
        <v>48</v>
      </c>
      <c r="AJ1447" t="s">
        <v>48</v>
      </c>
      <c r="AK1447" t="s">
        <v>48</v>
      </c>
      <c r="AL1447" t="s">
        <v>48</v>
      </c>
      <c r="AM1447" t="s">
        <v>48</v>
      </c>
      <c r="AN1447" t="s">
        <v>48</v>
      </c>
      <c r="AO1447" t="s">
        <v>48</v>
      </c>
      <c r="AP1447" s="46">
        <v>0</v>
      </c>
      <c r="AQ1447" s="46">
        <v>0</v>
      </c>
      <c r="AR1447" s="46">
        <v>0</v>
      </c>
      <c r="AS1447" s="46">
        <v>0</v>
      </c>
      <c r="AT1447" s="46">
        <v>0</v>
      </c>
      <c r="AU1447" s="46">
        <v>0</v>
      </c>
      <c r="AV1447" s="46">
        <v>0</v>
      </c>
      <c r="AW1447" s="46">
        <v>0</v>
      </c>
      <c r="AX1447" s="46">
        <v>0</v>
      </c>
      <c r="AY1447" s="46">
        <v>0</v>
      </c>
      <c r="AZ1447" s="46">
        <v>0</v>
      </c>
      <c r="BA1447" s="46">
        <v>0</v>
      </c>
      <c r="BB1447" s="46">
        <v>0</v>
      </c>
      <c r="BC1447" s="46">
        <v>0</v>
      </c>
      <c r="BD1447" s="46">
        <v>0</v>
      </c>
      <c r="BE1447" s="46">
        <v>0</v>
      </c>
      <c r="BF1447" s="46">
        <v>0</v>
      </c>
      <c r="BG1447" s="46" t="s">
        <v>48</v>
      </c>
      <c r="BH1447" s="46">
        <v>0</v>
      </c>
      <c r="BI1447" s="46">
        <v>0</v>
      </c>
      <c r="BJ1447" s="46">
        <v>0</v>
      </c>
      <c r="BK1447" s="46">
        <v>0</v>
      </c>
      <c r="BL1447" s="46">
        <v>0</v>
      </c>
      <c r="BM1447" s="46">
        <v>0</v>
      </c>
      <c r="BN1447" s="46">
        <v>0</v>
      </c>
    </row>
    <row r="1448" spans="1:66" x14ac:dyDescent="0.35">
      <c r="A1448" t="s">
        <v>1835</v>
      </c>
      <c r="B1448" s="44" t="s">
        <v>48</v>
      </c>
      <c r="C1448" t="s">
        <v>1838</v>
      </c>
      <c r="D1448" t="s">
        <v>1837</v>
      </c>
      <c r="E1448" t="s">
        <v>1836</v>
      </c>
      <c r="F1448" t="s">
        <v>1827</v>
      </c>
      <c r="G1448" t="s">
        <v>74</v>
      </c>
      <c r="H1448">
        <v>0</v>
      </c>
      <c r="I1448" s="60" t="s">
        <v>11552</v>
      </c>
      <c r="J1448" s="33" t="s">
        <v>45</v>
      </c>
      <c r="K1448" s="46">
        <v>0</v>
      </c>
      <c r="L1448">
        <v>37.4</v>
      </c>
      <c r="M1448" t="s">
        <v>48</v>
      </c>
      <c r="N1448" s="46">
        <v>0</v>
      </c>
      <c r="O1448" s="46">
        <v>0</v>
      </c>
      <c r="P1448" s="46">
        <v>0</v>
      </c>
      <c r="Q1448" t="s">
        <v>48</v>
      </c>
      <c r="R1448" t="s">
        <v>48</v>
      </c>
      <c r="S1448" t="s">
        <v>11409</v>
      </c>
      <c r="T1448" t="s">
        <v>48</v>
      </c>
      <c r="U1448" t="s">
        <v>10932</v>
      </c>
      <c r="V1448" s="47">
        <v>0</v>
      </c>
      <c r="W1448" t="s">
        <v>48</v>
      </c>
      <c r="X1448" t="s">
        <v>48</v>
      </c>
      <c r="Y1448" t="s">
        <v>48</v>
      </c>
      <c r="Z1448">
        <v>0</v>
      </c>
      <c r="AA1448" t="s">
        <v>48</v>
      </c>
      <c r="AB1448" t="s">
        <v>48</v>
      </c>
      <c r="AC1448" t="s">
        <v>63</v>
      </c>
      <c r="AD1448" t="s">
        <v>93</v>
      </c>
      <c r="AE1448" t="s">
        <v>4532</v>
      </c>
      <c r="AF1448" t="s">
        <v>48</v>
      </c>
      <c r="AG1448" t="s">
        <v>48</v>
      </c>
      <c r="AH1448" t="s">
        <v>48</v>
      </c>
      <c r="AI1448" t="s">
        <v>48</v>
      </c>
      <c r="AJ1448" t="s">
        <v>48</v>
      </c>
      <c r="AK1448" t="s">
        <v>48</v>
      </c>
      <c r="AL1448" t="s">
        <v>48</v>
      </c>
      <c r="AM1448" t="s">
        <v>48</v>
      </c>
      <c r="AN1448" t="s">
        <v>48</v>
      </c>
      <c r="AO1448" t="s">
        <v>48</v>
      </c>
      <c r="AP1448" s="46">
        <v>0</v>
      </c>
      <c r="AQ1448" s="46">
        <v>0</v>
      </c>
      <c r="AR1448" s="46">
        <v>0</v>
      </c>
      <c r="AS1448" s="46">
        <v>0</v>
      </c>
      <c r="AT1448" s="46">
        <v>0</v>
      </c>
      <c r="AU1448" s="46">
        <v>0</v>
      </c>
      <c r="AV1448" s="46">
        <v>0</v>
      </c>
      <c r="AW1448" s="46">
        <v>0</v>
      </c>
      <c r="AX1448" s="46">
        <v>0</v>
      </c>
      <c r="AY1448" s="46">
        <v>0</v>
      </c>
      <c r="AZ1448" s="46">
        <v>0</v>
      </c>
      <c r="BA1448" s="46">
        <v>0</v>
      </c>
      <c r="BB1448" s="46">
        <v>0</v>
      </c>
      <c r="BC1448" s="46">
        <v>0</v>
      </c>
      <c r="BD1448" s="46">
        <v>0</v>
      </c>
      <c r="BE1448" s="46">
        <v>0</v>
      </c>
      <c r="BF1448" s="46">
        <v>0</v>
      </c>
      <c r="BG1448" s="46" t="s">
        <v>48</v>
      </c>
      <c r="BH1448" s="46">
        <v>0</v>
      </c>
      <c r="BI1448" s="46">
        <v>0</v>
      </c>
      <c r="BJ1448" s="46">
        <v>0</v>
      </c>
      <c r="BK1448" s="46">
        <v>0</v>
      </c>
      <c r="BL1448" s="46">
        <v>0</v>
      </c>
      <c r="BM1448" s="46">
        <v>0</v>
      </c>
      <c r="BN1448" s="46">
        <v>0</v>
      </c>
    </row>
    <row r="1449" spans="1:66" x14ac:dyDescent="0.35">
      <c r="A1449" t="s">
        <v>10428</v>
      </c>
      <c r="B1449" s="44" t="s">
        <v>48</v>
      </c>
      <c r="C1449" t="s">
        <v>11755</v>
      </c>
      <c r="D1449" t="s">
        <v>655</v>
      </c>
      <c r="E1449" t="s">
        <v>10429</v>
      </c>
      <c r="F1449" t="s">
        <v>1827</v>
      </c>
      <c r="G1449" t="s">
        <v>47</v>
      </c>
      <c r="H1449">
        <v>0</v>
      </c>
      <c r="I1449" s="61">
        <v>44797</v>
      </c>
      <c r="J1449" s="33" t="s">
        <v>45</v>
      </c>
      <c r="K1449" s="46">
        <v>0</v>
      </c>
      <c r="L1449">
        <v>24.4</v>
      </c>
      <c r="M1449" t="s">
        <v>48</v>
      </c>
      <c r="N1449" s="46">
        <v>0</v>
      </c>
      <c r="O1449" s="46">
        <v>0</v>
      </c>
      <c r="P1449" s="46">
        <v>0</v>
      </c>
      <c r="Q1449" t="s">
        <v>48</v>
      </c>
      <c r="R1449" t="s">
        <v>48</v>
      </c>
      <c r="S1449" t="s">
        <v>48</v>
      </c>
      <c r="T1449" t="s">
        <v>48</v>
      </c>
      <c r="U1449" t="s">
        <v>48</v>
      </c>
      <c r="V1449" s="47">
        <v>1</v>
      </c>
      <c r="W1449" t="s">
        <v>48</v>
      </c>
      <c r="X1449" t="s">
        <v>48</v>
      </c>
      <c r="Y1449" t="s">
        <v>48</v>
      </c>
      <c r="Z1449">
        <v>0</v>
      </c>
      <c r="AA1449" t="s">
        <v>48</v>
      </c>
      <c r="AB1449" t="s">
        <v>48</v>
      </c>
      <c r="AC1449" t="s">
        <v>49</v>
      </c>
      <c r="AD1449" t="s">
        <v>93</v>
      </c>
      <c r="AE1449" t="s">
        <v>4532</v>
      </c>
      <c r="AF1449" t="s">
        <v>48</v>
      </c>
      <c r="AG1449" t="s">
        <v>48</v>
      </c>
      <c r="AH1449" t="s">
        <v>48</v>
      </c>
      <c r="AI1449" t="s">
        <v>48</v>
      </c>
      <c r="AJ1449" t="s">
        <v>48</v>
      </c>
      <c r="AK1449" t="s">
        <v>48</v>
      </c>
      <c r="AL1449" t="s">
        <v>48</v>
      </c>
      <c r="AM1449" t="s">
        <v>48</v>
      </c>
      <c r="AN1449" t="s">
        <v>48</v>
      </c>
      <c r="AO1449" t="s">
        <v>48</v>
      </c>
      <c r="AP1449" s="46">
        <v>0</v>
      </c>
      <c r="AQ1449" s="46">
        <v>0</v>
      </c>
      <c r="AR1449" s="46">
        <v>0</v>
      </c>
      <c r="AS1449" s="46">
        <v>0</v>
      </c>
      <c r="AT1449" s="46">
        <v>0</v>
      </c>
      <c r="AU1449" s="46">
        <v>0</v>
      </c>
      <c r="AV1449" s="46">
        <v>0</v>
      </c>
      <c r="AW1449" s="46">
        <v>0</v>
      </c>
      <c r="AX1449" s="46">
        <v>0</v>
      </c>
      <c r="AY1449" s="46">
        <v>0</v>
      </c>
      <c r="AZ1449" s="46">
        <v>0</v>
      </c>
      <c r="BA1449" s="46">
        <v>0</v>
      </c>
      <c r="BB1449" s="46">
        <v>0</v>
      </c>
      <c r="BC1449" s="46">
        <v>0</v>
      </c>
      <c r="BD1449" s="46">
        <v>0</v>
      </c>
      <c r="BE1449" s="46">
        <v>0</v>
      </c>
      <c r="BF1449" s="46">
        <v>0</v>
      </c>
      <c r="BG1449" s="46" t="s">
        <v>48</v>
      </c>
      <c r="BH1449" s="46">
        <v>0</v>
      </c>
      <c r="BI1449" s="46">
        <v>0</v>
      </c>
      <c r="BJ1449" s="46">
        <v>0</v>
      </c>
      <c r="BK1449" s="46">
        <v>0</v>
      </c>
      <c r="BL1449" s="46">
        <v>0</v>
      </c>
      <c r="BM1449" s="46">
        <v>0</v>
      </c>
      <c r="BN1449" s="46">
        <v>0</v>
      </c>
    </row>
    <row r="1450" spans="1:66" x14ac:dyDescent="0.35">
      <c r="A1450" t="s">
        <v>1857</v>
      </c>
      <c r="B1450" s="44" t="s">
        <v>48</v>
      </c>
      <c r="C1450" t="s">
        <v>1417</v>
      </c>
      <c r="D1450" t="s">
        <v>843</v>
      </c>
      <c r="E1450" t="s">
        <v>1858</v>
      </c>
      <c r="F1450" t="s">
        <v>1845</v>
      </c>
      <c r="G1450" t="s">
        <v>47</v>
      </c>
      <c r="H1450">
        <v>0</v>
      </c>
      <c r="I1450" s="60" t="s">
        <v>51</v>
      </c>
      <c r="J1450" s="33" t="s">
        <v>45</v>
      </c>
      <c r="K1450" s="46">
        <v>0</v>
      </c>
      <c r="L1450">
        <v>14.8</v>
      </c>
      <c r="M1450" t="s">
        <v>48</v>
      </c>
      <c r="N1450" s="46">
        <v>0</v>
      </c>
      <c r="O1450" s="46">
        <v>0</v>
      </c>
      <c r="P1450" s="46">
        <v>0</v>
      </c>
      <c r="Q1450" t="s">
        <v>48</v>
      </c>
      <c r="R1450" t="s">
        <v>48</v>
      </c>
      <c r="S1450" t="s">
        <v>1859</v>
      </c>
      <c r="T1450" t="s">
        <v>48</v>
      </c>
      <c r="U1450" t="s">
        <v>1859</v>
      </c>
      <c r="V1450" s="47">
        <v>0</v>
      </c>
      <c r="W1450" t="s">
        <v>48</v>
      </c>
      <c r="X1450" t="s">
        <v>48</v>
      </c>
      <c r="Y1450" t="s">
        <v>48</v>
      </c>
      <c r="Z1450">
        <v>0</v>
      </c>
      <c r="AA1450" t="s">
        <v>48</v>
      </c>
      <c r="AB1450" t="s">
        <v>48</v>
      </c>
      <c r="AC1450" t="s">
        <v>49</v>
      </c>
      <c r="AD1450" t="s">
        <v>93</v>
      </c>
      <c r="AE1450" t="s">
        <v>4532</v>
      </c>
      <c r="AF1450" t="s">
        <v>48</v>
      </c>
      <c r="AG1450" t="s">
        <v>48</v>
      </c>
      <c r="AH1450" t="s">
        <v>48</v>
      </c>
      <c r="AI1450" t="s">
        <v>48</v>
      </c>
      <c r="AJ1450" t="s">
        <v>48</v>
      </c>
      <c r="AK1450" t="s">
        <v>48</v>
      </c>
      <c r="AL1450" t="s">
        <v>48</v>
      </c>
      <c r="AM1450" t="s">
        <v>48</v>
      </c>
      <c r="AN1450" t="s">
        <v>48</v>
      </c>
      <c r="AO1450" t="s">
        <v>48</v>
      </c>
      <c r="AP1450" s="46">
        <v>0</v>
      </c>
      <c r="AQ1450" s="46">
        <v>0</v>
      </c>
      <c r="AR1450" s="46">
        <v>0</v>
      </c>
      <c r="AS1450" s="46">
        <v>0</v>
      </c>
      <c r="AT1450" s="46">
        <v>0</v>
      </c>
      <c r="AU1450" s="46">
        <v>0</v>
      </c>
      <c r="AV1450" s="46">
        <v>0</v>
      </c>
      <c r="AW1450" s="46">
        <v>0</v>
      </c>
      <c r="AX1450" s="46">
        <v>0</v>
      </c>
      <c r="AY1450" s="46">
        <v>0</v>
      </c>
      <c r="AZ1450" s="46">
        <v>0</v>
      </c>
      <c r="BA1450" s="46">
        <v>0</v>
      </c>
      <c r="BB1450" s="46">
        <v>0</v>
      </c>
      <c r="BC1450" s="46">
        <v>0</v>
      </c>
      <c r="BD1450" s="46">
        <v>0</v>
      </c>
      <c r="BE1450" s="46">
        <v>0</v>
      </c>
      <c r="BF1450" s="46">
        <v>0</v>
      </c>
      <c r="BG1450" s="46" t="s">
        <v>48</v>
      </c>
      <c r="BH1450" s="46">
        <v>0</v>
      </c>
      <c r="BI1450" s="46">
        <v>0</v>
      </c>
      <c r="BJ1450" s="46">
        <v>0</v>
      </c>
      <c r="BK1450" s="46">
        <v>0</v>
      </c>
      <c r="BL1450" s="46">
        <v>0</v>
      </c>
      <c r="BM1450" s="46">
        <v>0</v>
      </c>
      <c r="BN1450" s="46">
        <v>0</v>
      </c>
    </row>
    <row r="1451" spans="1:66" x14ac:dyDescent="0.35">
      <c r="A1451" t="s">
        <v>10434</v>
      </c>
      <c r="B1451" s="44" t="s">
        <v>48</v>
      </c>
      <c r="C1451" t="s">
        <v>11757</v>
      </c>
      <c r="D1451" t="s">
        <v>585</v>
      </c>
      <c r="E1451" t="s">
        <v>10435</v>
      </c>
      <c r="F1451" t="s">
        <v>1845</v>
      </c>
      <c r="G1451" t="s">
        <v>74</v>
      </c>
      <c r="H1451">
        <v>0</v>
      </c>
      <c r="I1451" s="60" t="s">
        <v>11552</v>
      </c>
      <c r="J1451" s="33" t="s">
        <v>45</v>
      </c>
      <c r="K1451" s="46">
        <v>0</v>
      </c>
      <c r="L1451">
        <v>32.4</v>
      </c>
      <c r="M1451" t="s">
        <v>48</v>
      </c>
      <c r="N1451" s="46">
        <v>0</v>
      </c>
      <c r="O1451" s="46">
        <v>0</v>
      </c>
      <c r="P1451" s="46">
        <v>0</v>
      </c>
      <c r="Q1451" t="s">
        <v>48</v>
      </c>
      <c r="R1451" t="s">
        <v>48</v>
      </c>
      <c r="S1451" t="s">
        <v>11411</v>
      </c>
      <c r="T1451" t="s">
        <v>48</v>
      </c>
      <c r="U1451" t="s">
        <v>10436</v>
      </c>
      <c r="V1451" s="47">
        <v>0</v>
      </c>
      <c r="W1451" t="s">
        <v>48</v>
      </c>
      <c r="X1451" t="s">
        <v>48</v>
      </c>
      <c r="Y1451" t="s">
        <v>48</v>
      </c>
      <c r="Z1451">
        <v>0</v>
      </c>
      <c r="AA1451" t="s">
        <v>48</v>
      </c>
      <c r="AB1451" t="s">
        <v>48</v>
      </c>
      <c r="AC1451" t="s">
        <v>49</v>
      </c>
      <c r="AD1451" t="s">
        <v>93</v>
      </c>
      <c r="AE1451" t="s">
        <v>4532</v>
      </c>
      <c r="AF1451" t="s">
        <v>48</v>
      </c>
      <c r="AG1451" t="s">
        <v>48</v>
      </c>
      <c r="AH1451" t="s">
        <v>48</v>
      </c>
      <c r="AI1451" t="s">
        <v>48</v>
      </c>
      <c r="AJ1451" t="s">
        <v>48</v>
      </c>
      <c r="AK1451" t="s">
        <v>48</v>
      </c>
      <c r="AL1451" t="s">
        <v>48</v>
      </c>
      <c r="AM1451" t="s">
        <v>48</v>
      </c>
      <c r="AN1451" t="s">
        <v>48</v>
      </c>
      <c r="AO1451" t="s">
        <v>48</v>
      </c>
      <c r="AP1451" s="46">
        <v>0</v>
      </c>
      <c r="AQ1451" s="46">
        <v>0</v>
      </c>
      <c r="AR1451" s="46">
        <v>0</v>
      </c>
      <c r="AS1451" s="46">
        <v>0</v>
      </c>
      <c r="AT1451" s="46">
        <v>0</v>
      </c>
      <c r="AU1451" s="46">
        <v>0</v>
      </c>
      <c r="AV1451" s="46">
        <v>0</v>
      </c>
      <c r="AW1451" s="46">
        <v>0</v>
      </c>
      <c r="AX1451" s="46">
        <v>0</v>
      </c>
      <c r="AY1451" s="46">
        <v>0</v>
      </c>
      <c r="AZ1451" s="46">
        <v>0</v>
      </c>
      <c r="BA1451" s="46">
        <v>0</v>
      </c>
      <c r="BB1451" s="46">
        <v>0</v>
      </c>
      <c r="BC1451" s="46">
        <v>0</v>
      </c>
      <c r="BD1451" s="46">
        <v>0</v>
      </c>
      <c r="BE1451" s="46">
        <v>0</v>
      </c>
      <c r="BF1451" s="46">
        <v>0</v>
      </c>
      <c r="BG1451" s="46" t="s">
        <v>48</v>
      </c>
      <c r="BH1451" s="46">
        <v>0</v>
      </c>
      <c r="BI1451" s="46">
        <v>0</v>
      </c>
      <c r="BJ1451" s="46">
        <v>0</v>
      </c>
      <c r="BK1451" s="46">
        <v>0</v>
      </c>
      <c r="BL1451" s="46">
        <v>0</v>
      </c>
      <c r="BM1451" s="46">
        <v>0</v>
      </c>
      <c r="BN1451" s="46">
        <v>0</v>
      </c>
    </row>
    <row r="1452" spans="1:66" x14ac:dyDescent="0.35">
      <c r="A1452" t="s">
        <v>10440</v>
      </c>
      <c r="B1452" s="44" t="s">
        <v>48</v>
      </c>
      <c r="C1452" t="s">
        <v>551</v>
      </c>
      <c r="D1452" t="s">
        <v>1748</v>
      </c>
      <c r="E1452" t="s">
        <v>10441</v>
      </c>
      <c r="F1452" t="s">
        <v>62</v>
      </c>
      <c r="G1452" t="s">
        <v>74</v>
      </c>
      <c r="H1452">
        <v>0</v>
      </c>
      <c r="I1452" s="61">
        <v>44797</v>
      </c>
      <c r="J1452" s="33" t="s">
        <v>45</v>
      </c>
      <c r="K1452" s="46">
        <v>0</v>
      </c>
      <c r="L1452">
        <v>49.8</v>
      </c>
      <c r="M1452" t="s">
        <v>48</v>
      </c>
      <c r="N1452" s="46">
        <v>0</v>
      </c>
      <c r="O1452" s="46">
        <v>0</v>
      </c>
      <c r="P1452" s="46">
        <v>0</v>
      </c>
      <c r="Q1452" t="s">
        <v>48</v>
      </c>
      <c r="R1452" t="s">
        <v>48</v>
      </c>
      <c r="S1452" t="s">
        <v>48</v>
      </c>
      <c r="T1452" t="s">
        <v>48</v>
      </c>
      <c r="U1452" t="s">
        <v>48</v>
      </c>
      <c r="V1452" s="47">
        <v>1</v>
      </c>
      <c r="W1452" t="s">
        <v>11264</v>
      </c>
      <c r="X1452" t="s">
        <v>48</v>
      </c>
      <c r="Y1452" t="s">
        <v>48</v>
      </c>
      <c r="Z1452">
        <v>0</v>
      </c>
      <c r="AA1452" t="s">
        <v>48</v>
      </c>
      <c r="AB1452" t="s">
        <v>48</v>
      </c>
      <c r="AC1452" t="s">
        <v>49</v>
      </c>
      <c r="AD1452" t="s">
        <v>93</v>
      </c>
      <c r="AE1452" t="s">
        <v>2471</v>
      </c>
      <c r="AF1452" t="s">
        <v>48</v>
      </c>
      <c r="AG1452" t="s">
        <v>48</v>
      </c>
      <c r="AH1452" t="s">
        <v>48</v>
      </c>
      <c r="AI1452" t="s">
        <v>48</v>
      </c>
      <c r="AJ1452" t="s">
        <v>48</v>
      </c>
      <c r="AK1452" t="s">
        <v>48</v>
      </c>
      <c r="AL1452" t="s">
        <v>48</v>
      </c>
      <c r="AM1452" t="s">
        <v>48</v>
      </c>
      <c r="AN1452" t="s">
        <v>48</v>
      </c>
      <c r="AO1452" t="s">
        <v>48</v>
      </c>
      <c r="AP1452" s="46">
        <v>0</v>
      </c>
      <c r="AQ1452" s="46">
        <v>0</v>
      </c>
      <c r="AR1452" s="46">
        <v>0</v>
      </c>
      <c r="AS1452" s="46">
        <v>0</v>
      </c>
      <c r="AT1452" s="46">
        <v>0</v>
      </c>
      <c r="AU1452" s="46">
        <v>0</v>
      </c>
      <c r="AV1452" s="46">
        <v>0</v>
      </c>
      <c r="AW1452" s="46">
        <v>0</v>
      </c>
      <c r="AX1452" s="46">
        <v>0</v>
      </c>
      <c r="AY1452" s="46">
        <v>0</v>
      </c>
      <c r="AZ1452" s="46">
        <v>0</v>
      </c>
      <c r="BA1452" s="46">
        <v>0</v>
      </c>
      <c r="BB1452" s="46">
        <v>0</v>
      </c>
      <c r="BC1452" s="46">
        <v>0</v>
      </c>
      <c r="BD1452" s="46">
        <v>0</v>
      </c>
      <c r="BE1452" s="46">
        <v>0</v>
      </c>
      <c r="BF1452" s="46">
        <v>0</v>
      </c>
      <c r="BG1452" s="46" t="s">
        <v>48</v>
      </c>
      <c r="BH1452" s="46">
        <v>0</v>
      </c>
      <c r="BI1452" s="46">
        <v>0</v>
      </c>
      <c r="BJ1452" s="46">
        <v>0</v>
      </c>
      <c r="BK1452" s="46">
        <v>0</v>
      </c>
      <c r="BL1452" s="46">
        <v>0</v>
      </c>
      <c r="BM1452" s="46">
        <v>0</v>
      </c>
      <c r="BN1452" s="46">
        <v>0</v>
      </c>
    </row>
    <row r="1453" spans="1:66" x14ac:dyDescent="0.35">
      <c r="A1453" t="s">
        <v>1860</v>
      </c>
      <c r="B1453" s="44" t="s">
        <v>48</v>
      </c>
      <c r="C1453" t="s">
        <v>1263</v>
      </c>
      <c r="D1453" t="s">
        <v>1863</v>
      </c>
      <c r="E1453" t="s">
        <v>1861</v>
      </c>
      <c r="F1453" t="s">
        <v>62</v>
      </c>
      <c r="G1453" t="s">
        <v>47</v>
      </c>
      <c r="H1453">
        <v>0</v>
      </c>
      <c r="I1453" s="60" t="s">
        <v>11160</v>
      </c>
      <c r="J1453" s="33" t="s">
        <v>45</v>
      </c>
      <c r="K1453" s="46">
        <v>0</v>
      </c>
      <c r="L1453">
        <v>25.8</v>
      </c>
      <c r="M1453" t="s">
        <v>48</v>
      </c>
      <c r="N1453" s="46">
        <v>0</v>
      </c>
      <c r="O1453" s="46">
        <v>0</v>
      </c>
      <c r="P1453" s="46">
        <v>0</v>
      </c>
      <c r="Q1453" t="s">
        <v>48</v>
      </c>
      <c r="R1453" t="s">
        <v>48</v>
      </c>
      <c r="S1453" t="s">
        <v>1862</v>
      </c>
      <c r="T1453" t="s">
        <v>48</v>
      </c>
      <c r="U1453" t="s">
        <v>1862</v>
      </c>
      <c r="V1453" s="47">
        <v>0</v>
      </c>
      <c r="W1453" t="s">
        <v>11317</v>
      </c>
      <c r="X1453" t="s">
        <v>48</v>
      </c>
      <c r="Y1453" t="s">
        <v>48</v>
      </c>
      <c r="Z1453">
        <v>0</v>
      </c>
      <c r="AA1453" t="s">
        <v>48</v>
      </c>
      <c r="AB1453" t="s">
        <v>48</v>
      </c>
      <c r="AC1453" t="s">
        <v>49</v>
      </c>
      <c r="AD1453" t="s">
        <v>951</v>
      </c>
      <c r="AE1453" s="40" t="s">
        <v>11051</v>
      </c>
      <c r="AF1453" t="s">
        <v>11080</v>
      </c>
      <c r="AG1453" t="s">
        <v>48</v>
      </c>
      <c r="AH1453" t="s">
        <v>48</v>
      </c>
      <c r="AI1453" t="s">
        <v>48</v>
      </c>
      <c r="AJ1453" t="s">
        <v>48</v>
      </c>
      <c r="AK1453" t="s">
        <v>48</v>
      </c>
      <c r="AL1453" t="s">
        <v>48</v>
      </c>
      <c r="AM1453" t="s">
        <v>48</v>
      </c>
      <c r="AN1453" t="s">
        <v>48</v>
      </c>
      <c r="AO1453" t="s">
        <v>48</v>
      </c>
      <c r="AP1453" s="46">
        <v>0</v>
      </c>
      <c r="AQ1453" s="46">
        <v>0</v>
      </c>
      <c r="AR1453" s="46">
        <v>0</v>
      </c>
      <c r="AS1453" s="46">
        <v>0</v>
      </c>
      <c r="AT1453" s="46">
        <v>0</v>
      </c>
      <c r="AU1453" s="46">
        <v>0</v>
      </c>
      <c r="AV1453" s="46">
        <v>0</v>
      </c>
      <c r="AW1453" s="46">
        <v>0</v>
      </c>
      <c r="AX1453" s="46">
        <v>0</v>
      </c>
      <c r="AY1453" s="46">
        <v>0</v>
      </c>
      <c r="AZ1453" s="46">
        <v>0</v>
      </c>
      <c r="BA1453" s="46">
        <v>0</v>
      </c>
      <c r="BB1453" s="46">
        <v>0</v>
      </c>
      <c r="BC1453" s="46">
        <v>0</v>
      </c>
      <c r="BD1453" s="46">
        <v>0</v>
      </c>
      <c r="BE1453" s="46">
        <v>0</v>
      </c>
      <c r="BF1453" s="46">
        <v>0</v>
      </c>
      <c r="BG1453" s="46" t="s">
        <v>48</v>
      </c>
      <c r="BH1453" s="46">
        <v>0</v>
      </c>
      <c r="BI1453" s="46">
        <v>0</v>
      </c>
      <c r="BJ1453" s="46">
        <v>0</v>
      </c>
      <c r="BK1453" s="46">
        <v>0</v>
      </c>
      <c r="BL1453" s="46">
        <v>0</v>
      </c>
      <c r="BM1453" s="46">
        <v>0</v>
      </c>
      <c r="BN1453" s="46">
        <v>0</v>
      </c>
    </row>
    <row r="1454" spans="1:66" x14ac:dyDescent="0.35">
      <c r="A1454" t="s">
        <v>1866</v>
      </c>
      <c r="B1454" s="44" t="s">
        <v>48</v>
      </c>
      <c r="C1454" t="s">
        <v>11759</v>
      </c>
      <c r="D1454" t="s">
        <v>1867</v>
      </c>
      <c r="E1454" t="s">
        <v>10445</v>
      </c>
      <c r="F1454" t="s">
        <v>62</v>
      </c>
      <c r="G1454" t="s">
        <v>47</v>
      </c>
      <c r="H1454">
        <v>0</v>
      </c>
      <c r="I1454" s="60" t="s">
        <v>11552</v>
      </c>
      <c r="J1454" s="33" t="s">
        <v>45</v>
      </c>
      <c r="K1454" s="46">
        <v>0</v>
      </c>
      <c r="L1454">
        <v>6.1</v>
      </c>
      <c r="M1454" t="s">
        <v>48</v>
      </c>
      <c r="N1454" s="46">
        <v>0</v>
      </c>
      <c r="O1454" s="46">
        <v>0</v>
      </c>
      <c r="P1454" s="46">
        <v>0</v>
      </c>
      <c r="Q1454" t="s">
        <v>48</v>
      </c>
      <c r="R1454" t="s">
        <v>48</v>
      </c>
      <c r="S1454" t="s">
        <v>11414</v>
      </c>
      <c r="T1454" t="s">
        <v>48</v>
      </c>
      <c r="U1454" t="s">
        <v>10446</v>
      </c>
      <c r="V1454" s="47">
        <v>0</v>
      </c>
      <c r="W1454" t="s">
        <v>48</v>
      </c>
      <c r="X1454" t="s">
        <v>48</v>
      </c>
      <c r="Y1454" t="s">
        <v>48</v>
      </c>
      <c r="Z1454">
        <v>0</v>
      </c>
      <c r="AA1454" t="s">
        <v>48</v>
      </c>
      <c r="AB1454" t="s">
        <v>48</v>
      </c>
      <c r="AC1454" t="s">
        <v>49</v>
      </c>
      <c r="AD1454" t="s">
        <v>93</v>
      </c>
      <c r="AE1454" t="s">
        <v>4532</v>
      </c>
      <c r="AF1454" t="s">
        <v>48</v>
      </c>
      <c r="AG1454" t="s">
        <v>48</v>
      </c>
      <c r="AH1454" t="s">
        <v>48</v>
      </c>
      <c r="AI1454" t="s">
        <v>48</v>
      </c>
      <c r="AJ1454" t="s">
        <v>48</v>
      </c>
      <c r="AK1454" t="s">
        <v>48</v>
      </c>
      <c r="AL1454" t="s">
        <v>48</v>
      </c>
      <c r="AM1454" t="s">
        <v>48</v>
      </c>
      <c r="AN1454" t="s">
        <v>48</v>
      </c>
      <c r="AO1454" t="s">
        <v>48</v>
      </c>
      <c r="AP1454" s="46">
        <v>0</v>
      </c>
      <c r="AQ1454" s="46">
        <v>0</v>
      </c>
      <c r="AR1454" s="46">
        <v>0</v>
      </c>
      <c r="AS1454" s="46">
        <v>0</v>
      </c>
      <c r="AT1454" s="46">
        <v>0</v>
      </c>
      <c r="AU1454" s="46">
        <v>0</v>
      </c>
      <c r="AV1454" s="46">
        <v>0</v>
      </c>
      <c r="AW1454" s="46">
        <v>0</v>
      </c>
      <c r="AX1454" s="46">
        <v>0</v>
      </c>
      <c r="AY1454" s="46">
        <v>0</v>
      </c>
      <c r="AZ1454" s="46">
        <v>0</v>
      </c>
      <c r="BA1454" s="46">
        <v>0</v>
      </c>
      <c r="BB1454" s="46">
        <v>0</v>
      </c>
      <c r="BC1454" s="46">
        <v>0</v>
      </c>
      <c r="BD1454" s="46">
        <v>0</v>
      </c>
      <c r="BE1454" s="46">
        <v>0</v>
      </c>
      <c r="BF1454" s="46">
        <v>0</v>
      </c>
      <c r="BG1454" s="46" t="s">
        <v>48</v>
      </c>
      <c r="BH1454" s="46">
        <v>0</v>
      </c>
      <c r="BI1454" s="46">
        <v>0</v>
      </c>
      <c r="BJ1454" s="46">
        <v>0</v>
      </c>
      <c r="BK1454" s="46">
        <v>0</v>
      </c>
      <c r="BL1454" s="46">
        <v>0</v>
      </c>
      <c r="BM1454" s="46">
        <v>0</v>
      </c>
      <c r="BN1454" s="46">
        <v>0</v>
      </c>
    </row>
    <row r="1455" spans="1:66" x14ac:dyDescent="0.35">
      <c r="A1455" t="s">
        <v>61</v>
      </c>
      <c r="B1455" s="44" t="s">
        <v>48</v>
      </c>
      <c r="C1455" t="s">
        <v>11762</v>
      </c>
      <c r="D1455" t="s">
        <v>11763</v>
      </c>
      <c r="E1455" t="s">
        <v>10452</v>
      </c>
      <c r="F1455" t="s">
        <v>116</v>
      </c>
      <c r="G1455" t="s">
        <v>47</v>
      </c>
      <c r="H1455">
        <v>0</v>
      </c>
      <c r="I1455" s="60" t="s">
        <v>11552</v>
      </c>
      <c r="J1455" s="33" t="s">
        <v>45</v>
      </c>
      <c r="K1455" s="46">
        <v>0</v>
      </c>
      <c r="L1455">
        <v>16.7</v>
      </c>
      <c r="M1455" t="s">
        <v>48</v>
      </c>
      <c r="N1455" s="46">
        <v>0</v>
      </c>
      <c r="O1455" s="46">
        <v>0</v>
      </c>
      <c r="P1455" s="46">
        <v>0</v>
      </c>
      <c r="Q1455" t="s">
        <v>48</v>
      </c>
      <c r="R1455" t="s">
        <v>48</v>
      </c>
      <c r="S1455" t="s">
        <v>11416</v>
      </c>
      <c r="T1455" t="s">
        <v>48</v>
      </c>
      <c r="U1455" t="s">
        <v>10453</v>
      </c>
      <c r="V1455" s="47">
        <v>0</v>
      </c>
      <c r="W1455" t="s">
        <v>48</v>
      </c>
      <c r="X1455" t="s">
        <v>48</v>
      </c>
      <c r="Y1455" t="s">
        <v>48</v>
      </c>
      <c r="Z1455">
        <v>0</v>
      </c>
      <c r="AA1455" t="s">
        <v>48</v>
      </c>
      <c r="AB1455" t="s">
        <v>48</v>
      </c>
      <c r="AC1455" t="s">
        <v>63</v>
      </c>
      <c r="AD1455" t="s">
        <v>93</v>
      </c>
      <c r="AE1455" t="s">
        <v>11081</v>
      </c>
      <c r="AF1455" t="s">
        <v>48</v>
      </c>
      <c r="AG1455" t="s">
        <v>48</v>
      </c>
      <c r="AH1455" t="s">
        <v>48</v>
      </c>
      <c r="AI1455" t="s">
        <v>48</v>
      </c>
      <c r="AJ1455" t="s">
        <v>48</v>
      </c>
      <c r="AK1455" t="s">
        <v>48</v>
      </c>
      <c r="AL1455" t="s">
        <v>48</v>
      </c>
      <c r="AM1455" t="s">
        <v>48</v>
      </c>
      <c r="AN1455" t="s">
        <v>48</v>
      </c>
      <c r="AO1455" t="s">
        <v>48</v>
      </c>
      <c r="AP1455" s="46">
        <v>0</v>
      </c>
      <c r="AQ1455" s="46">
        <v>0</v>
      </c>
      <c r="AR1455" s="46">
        <v>0</v>
      </c>
      <c r="AS1455" s="46">
        <v>0</v>
      </c>
      <c r="AT1455" s="46">
        <v>0</v>
      </c>
      <c r="AU1455" s="46">
        <v>0</v>
      </c>
      <c r="AV1455" s="46">
        <v>0</v>
      </c>
      <c r="AW1455" s="46">
        <v>0</v>
      </c>
      <c r="AX1455" s="46">
        <v>0</v>
      </c>
      <c r="AY1455" s="46">
        <v>0</v>
      </c>
      <c r="AZ1455" s="46">
        <v>0</v>
      </c>
      <c r="BA1455" s="46">
        <v>0</v>
      </c>
      <c r="BB1455" s="46">
        <v>0</v>
      </c>
      <c r="BC1455" s="46">
        <v>0</v>
      </c>
      <c r="BD1455" s="46">
        <v>0</v>
      </c>
      <c r="BE1455" s="46">
        <v>0</v>
      </c>
      <c r="BF1455" s="46">
        <v>0</v>
      </c>
      <c r="BG1455" s="46" t="s">
        <v>48</v>
      </c>
      <c r="BH1455" s="46">
        <v>0</v>
      </c>
      <c r="BI1455" s="46">
        <v>0</v>
      </c>
      <c r="BJ1455" s="46">
        <v>0</v>
      </c>
      <c r="BK1455" s="46">
        <v>0</v>
      </c>
      <c r="BL1455" s="46">
        <v>0</v>
      </c>
      <c r="BM1455" s="46">
        <v>0</v>
      </c>
      <c r="BN1455" s="46">
        <v>0</v>
      </c>
    </row>
    <row r="1456" spans="1:66" x14ac:dyDescent="0.35">
      <c r="A1456" t="s">
        <v>10449</v>
      </c>
      <c r="B1456" s="44" t="s">
        <v>48</v>
      </c>
      <c r="C1456" t="s">
        <v>11764</v>
      </c>
      <c r="D1456" t="s">
        <v>11765</v>
      </c>
      <c r="E1456" t="s">
        <v>10450</v>
      </c>
      <c r="F1456" t="s">
        <v>116</v>
      </c>
      <c r="G1456" t="s">
        <v>47</v>
      </c>
      <c r="H1456">
        <v>0</v>
      </c>
      <c r="I1456" s="60" t="s">
        <v>11552</v>
      </c>
      <c r="J1456" s="33" t="s">
        <v>45</v>
      </c>
      <c r="K1456" s="46">
        <v>0</v>
      </c>
      <c r="L1456">
        <v>17.7</v>
      </c>
      <c r="M1456" t="s">
        <v>48</v>
      </c>
      <c r="N1456" s="46">
        <v>0</v>
      </c>
      <c r="O1456" s="46">
        <v>0</v>
      </c>
      <c r="P1456" s="46">
        <v>0</v>
      </c>
      <c r="Q1456" t="s">
        <v>48</v>
      </c>
      <c r="R1456" t="s">
        <v>48</v>
      </c>
      <c r="S1456" t="s">
        <v>11417</v>
      </c>
      <c r="T1456" t="s">
        <v>48</v>
      </c>
      <c r="U1456" t="s">
        <v>10451</v>
      </c>
      <c r="V1456" s="47">
        <v>0</v>
      </c>
      <c r="W1456" t="s">
        <v>48</v>
      </c>
      <c r="X1456" t="s">
        <v>48</v>
      </c>
      <c r="Y1456" t="s">
        <v>48</v>
      </c>
      <c r="Z1456">
        <v>0</v>
      </c>
      <c r="AA1456" t="s">
        <v>48</v>
      </c>
      <c r="AB1456" t="s">
        <v>48</v>
      </c>
      <c r="AC1456" t="s">
        <v>63</v>
      </c>
      <c r="AD1456" t="s">
        <v>93</v>
      </c>
      <c r="AE1456" t="s">
        <v>4532</v>
      </c>
      <c r="AF1456" t="s">
        <v>48</v>
      </c>
      <c r="AG1456" t="s">
        <v>48</v>
      </c>
      <c r="AH1456" t="s">
        <v>48</v>
      </c>
      <c r="AI1456" t="s">
        <v>48</v>
      </c>
      <c r="AJ1456" t="s">
        <v>48</v>
      </c>
      <c r="AK1456" t="s">
        <v>48</v>
      </c>
      <c r="AL1456" t="s">
        <v>48</v>
      </c>
      <c r="AM1456" t="s">
        <v>48</v>
      </c>
      <c r="AN1456" t="s">
        <v>48</v>
      </c>
      <c r="AO1456" t="s">
        <v>48</v>
      </c>
      <c r="AP1456" s="46">
        <v>0</v>
      </c>
      <c r="AQ1456" s="46">
        <v>0</v>
      </c>
      <c r="AR1456" s="46">
        <v>0</v>
      </c>
      <c r="AS1456" s="46">
        <v>0</v>
      </c>
      <c r="AT1456" s="46">
        <v>0</v>
      </c>
      <c r="AU1456" s="46">
        <v>0</v>
      </c>
      <c r="AV1456" s="46">
        <v>0</v>
      </c>
      <c r="AW1456" s="46">
        <v>0</v>
      </c>
      <c r="AX1456" s="46">
        <v>0</v>
      </c>
      <c r="AY1456" s="46">
        <v>0</v>
      </c>
      <c r="AZ1456" s="46">
        <v>0</v>
      </c>
      <c r="BA1456" s="46">
        <v>0</v>
      </c>
      <c r="BB1456" s="46">
        <v>0</v>
      </c>
      <c r="BC1456" s="46">
        <v>0</v>
      </c>
      <c r="BD1456" s="46">
        <v>0</v>
      </c>
      <c r="BE1456" s="46">
        <v>0</v>
      </c>
      <c r="BF1456" s="46">
        <v>0</v>
      </c>
      <c r="BG1456" s="46" t="s">
        <v>48</v>
      </c>
      <c r="BH1456" s="46">
        <v>0</v>
      </c>
      <c r="BI1456" s="46">
        <v>0</v>
      </c>
      <c r="BJ1456" s="46">
        <v>0</v>
      </c>
      <c r="BK1456" s="46">
        <v>0</v>
      </c>
      <c r="BL1456" s="46">
        <v>0</v>
      </c>
      <c r="BM1456" s="46">
        <v>0</v>
      </c>
      <c r="BN1456" s="46">
        <v>0</v>
      </c>
    </row>
    <row r="1457" spans="1:66" x14ac:dyDescent="0.35">
      <c r="A1457" t="s">
        <v>10454</v>
      </c>
      <c r="B1457" s="44" t="s">
        <v>48</v>
      </c>
      <c r="C1457" t="s">
        <v>2437</v>
      </c>
      <c r="D1457" t="s">
        <v>1528</v>
      </c>
      <c r="E1457" t="s">
        <v>10455</v>
      </c>
      <c r="F1457" t="s">
        <v>1870</v>
      </c>
      <c r="G1457" t="s">
        <v>47</v>
      </c>
      <c r="H1457">
        <v>0</v>
      </c>
      <c r="I1457" s="61">
        <v>44798</v>
      </c>
      <c r="J1457" s="33" t="s">
        <v>45</v>
      </c>
      <c r="K1457" s="46">
        <v>0</v>
      </c>
      <c r="L1457">
        <v>22.6</v>
      </c>
      <c r="M1457" t="s">
        <v>48</v>
      </c>
      <c r="N1457" s="46">
        <v>0</v>
      </c>
      <c r="O1457" s="46">
        <v>0</v>
      </c>
      <c r="P1457" s="46">
        <v>0</v>
      </c>
      <c r="Q1457" t="s">
        <v>48</v>
      </c>
      <c r="R1457" t="s">
        <v>48</v>
      </c>
      <c r="S1457" t="s">
        <v>48</v>
      </c>
      <c r="T1457" t="s">
        <v>48</v>
      </c>
      <c r="U1457" t="s">
        <v>48</v>
      </c>
      <c r="V1457" s="47">
        <v>1</v>
      </c>
      <c r="W1457" t="s">
        <v>48</v>
      </c>
      <c r="X1457" t="s">
        <v>48</v>
      </c>
      <c r="Y1457" t="s">
        <v>48</v>
      </c>
      <c r="Z1457">
        <v>0</v>
      </c>
      <c r="AA1457" t="s">
        <v>48</v>
      </c>
      <c r="AB1457" t="s">
        <v>48</v>
      </c>
      <c r="AC1457" t="s">
        <v>49</v>
      </c>
      <c r="AD1457" t="s">
        <v>93</v>
      </c>
      <c r="AE1457" t="s">
        <v>4532</v>
      </c>
      <c r="AF1457" t="s">
        <v>48</v>
      </c>
      <c r="AG1457" t="s">
        <v>48</v>
      </c>
      <c r="AH1457" t="s">
        <v>48</v>
      </c>
      <c r="AI1457" t="s">
        <v>48</v>
      </c>
      <c r="AJ1457" t="s">
        <v>48</v>
      </c>
      <c r="AK1457" t="s">
        <v>48</v>
      </c>
      <c r="AL1457" t="s">
        <v>48</v>
      </c>
      <c r="AM1457" t="s">
        <v>48</v>
      </c>
      <c r="AN1457" t="s">
        <v>48</v>
      </c>
      <c r="AO1457" t="s">
        <v>48</v>
      </c>
      <c r="AP1457" s="46">
        <v>0</v>
      </c>
      <c r="AQ1457" s="46">
        <v>0</v>
      </c>
      <c r="AR1457" s="46">
        <v>0</v>
      </c>
      <c r="AS1457" s="46">
        <v>0</v>
      </c>
      <c r="AT1457" s="46">
        <v>0</v>
      </c>
      <c r="AU1457" s="46">
        <v>0</v>
      </c>
      <c r="AV1457" s="46">
        <v>0</v>
      </c>
      <c r="AW1457" s="46">
        <v>0</v>
      </c>
      <c r="AX1457" s="46">
        <v>0</v>
      </c>
      <c r="AY1457" s="46">
        <v>0</v>
      </c>
      <c r="AZ1457" s="46">
        <v>0</v>
      </c>
      <c r="BA1457" s="46">
        <v>0</v>
      </c>
      <c r="BB1457" s="46">
        <v>0</v>
      </c>
      <c r="BC1457" s="46">
        <v>0</v>
      </c>
      <c r="BD1457" s="46">
        <v>0</v>
      </c>
      <c r="BE1457" s="46">
        <v>0</v>
      </c>
      <c r="BF1457" s="46">
        <v>0</v>
      </c>
      <c r="BG1457" s="46" t="s">
        <v>48</v>
      </c>
      <c r="BH1457" s="46">
        <v>0</v>
      </c>
      <c r="BI1457" s="46">
        <v>0</v>
      </c>
      <c r="BJ1457" s="46">
        <v>0</v>
      </c>
      <c r="BK1457" s="46">
        <v>0</v>
      </c>
      <c r="BL1457" s="46">
        <v>0</v>
      </c>
      <c r="BM1457" s="46">
        <v>0</v>
      </c>
      <c r="BN1457" s="46">
        <v>0</v>
      </c>
    </row>
    <row r="1458" spans="1:66" x14ac:dyDescent="0.35">
      <c r="A1458" t="s">
        <v>121</v>
      </c>
      <c r="B1458" s="44" t="s">
        <v>48</v>
      </c>
      <c r="C1458" t="s">
        <v>124</v>
      </c>
      <c r="D1458" t="s">
        <v>85</v>
      </c>
      <c r="E1458" t="s">
        <v>123</v>
      </c>
      <c r="F1458" t="s">
        <v>122</v>
      </c>
      <c r="G1458" t="s">
        <v>74</v>
      </c>
      <c r="H1458">
        <v>0</v>
      </c>
      <c r="I1458" s="60" t="s">
        <v>11552</v>
      </c>
      <c r="J1458" s="33" t="s">
        <v>45</v>
      </c>
      <c r="K1458" s="46">
        <v>0</v>
      </c>
      <c r="L1458">
        <v>21</v>
      </c>
      <c r="M1458" t="s">
        <v>48</v>
      </c>
      <c r="N1458" s="46">
        <v>0</v>
      </c>
      <c r="O1458" s="46">
        <v>0</v>
      </c>
      <c r="P1458" s="46">
        <v>0</v>
      </c>
      <c r="Q1458" t="s">
        <v>48</v>
      </c>
      <c r="R1458" t="s">
        <v>48</v>
      </c>
      <c r="S1458" t="s">
        <v>11418</v>
      </c>
      <c r="T1458" t="s">
        <v>48</v>
      </c>
      <c r="U1458" t="s">
        <v>10933</v>
      </c>
      <c r="V1458" s="47">
        <v>0</v>
      </c>
      <c r="W1458" t="s">
        <v>48</v>
      </c>
      <c r="X1458" t="s">
        <v>48</v>
      </c>
      <c r="Y1458" t="s">
        <v>48</v>
      </c>
      <c r="Z1458">
        <v>0</v>
      </c>
      <c r="AA1458" t="s">
        <v>48</v>
      </c>
      <c r="AB1458" t="s">
        <v>48</v>
      </c>
      <c r="AC1458" t="s">
        <v>49</v>
      </c>
      <c r="AD1458" t="s">
        <v>93</v>
      </c>
      <c r="AE1458" t="s">
        <v>4532</v>
      </c>
      <c r="AF1458" t="s">
        <v>48</v>
      </c>
      <c r="AG1458" t="s">
        <v>48</v>
      </c>
      <c r="AH1458" t="s">
        <v>48</v>
      </c>
      <c r="AI1458" t="s">
        <v>48</v>
      </c>
      <c r="AJ1458" t="s">
        <v>48</v>
      </c>
      <c r="AK1458" t="s">
        <v>48</v>
      </c>
      <c r="AL1458" t="s">
        <v>48</v>
      </c>
      <c r="AM1458" t="s">
        <v>48</v>
      </c>
      <c r="AN1458" t="s">
        <v>48</v>
      </c>
      <c r="AO1458" t="s">
        <v>48</v>
      </c>
      <c r="AP1458" s="46">
        <v>0</v>
      </c>
      <c r="AQ1458" s="46">
        <v>0</v>
      </c>
      <c r="AR1458" s="46">
        <v>0</v>
      </c>
      <c r="AS1458" s="46">
        <v>0</v>
      </c>
      <c r="AT1458" s="46">
        <v>0</v>
      </c>
      <c r="AU1458" s="46">
        <v>0</v>
      </c>
      <c r="AV1458" s="46">
        <v>0</v>
      </c>
      <c r="AW1458" s="46">
        <v>0</v>
      </c>
      <c r="AX1458" s="46">
        <v>0</v>
      </c>
      <c r="AY1458" s="46">
        <v>0</v>
      </c>
      <c r="AZ1458" s="46">
        <v>0</v>
      </c>
      <c r="BA1458" s="46">
        <v>0</v>
      </c>
      <c r="BB1458" s="46">
        <v>0</v>
      </c>
      <c r="BC1458" s="46">
        <v>0</v>
      </c>
      <c r="BD1458" s="46">
        <v>0</v>
      </c>
      <c r="BE1458" s="46">
        <v>0</v>
      </c>
      <c r="BF1458" s="46">
        <v>0</v>
      </c>
      <c r="BG1458" s="46" t="s">
        <v>48</v>
      </c>
      <c r="BH1458" s="46">
        <v>0</v>
      </c>
      <c r="BI1458" s="46">
        <v>0</v>
      </c>
      <c r="BJ1458" s="46">
        <v>0</v>
      </c>
      <c r="BK1458" s="46">
        <v>0</v>
      </c>
      <c r="BL1458" s="46">
        <v>0</v>
      </c>
      <c r="BM1458" s="46">
        <v>0</v>
      </c>
      <c r="BN1458" s="46">
        <v>0</v>
      </c>
    </row>
    <row r="1459" spans="1:66" x14ac:dyDescent="0.35">
      <c r="A1459" t="s">
        <v>2186</v>
      </c>
      <c r="B1459" s="44" t="s">
        <v>48</v>
      </c>
      <c r="C1459" t="s">
        <v>11768</v>
      </c>
      <c r="D1459" t="s">
        <v>11769</v>
      </c>
      <c r="E1459" t="s">
        <v>10461</v>
      </c>
      <c r="F1459" t="s">
        <v>122</v>
      </c>
      <c r="G1459" t="s">
        <v>74</v>
      </c>
      <c r="H1459">
        <v>0</v>
      </c>
      <c r="I1459" s="60" t="s">
        <v>11552</v>
      </c>
      <c r="J1459" s="33" t="s">
        <v>45</v>
      </c>
      <c r="K1459" s="46">
        <v>0</v>
      </c>
      <c r="L1459">
        <v>14.2</v>
      </c>
      <c r="M1459" t="s">
        <v>48</v>
      </c>
      <c r="N1459" s="46">
        <v>0</v>
      </c>
      <c r="O1459" s="46">
        <v>0</v>
      </c>
      <c r="P1459" s="46">
        <v>0</v>
      </c>
      <c r="Q1459" t="s">
        <v>48</v>
      </c>
      <c r="R1459" t="s">
        <v>48</v>
      </c>
      <c r="S1459" t="s">
        <v>11419</v>
      </c>
      <c r="T1459" t="s">
        <v>48</v>
      </c>
      <c r="U1459" t="s">
        <v>10462</v>
      </c>
      <c r="V1459" s="47">
        <v>0</v>
      </c>
      <c r="W1459" t="s">
        <v>48</v>
      </c>
      <c r="X1459" t="s">
        <v>48</v>
      </c>
      <c r="Y1459" t="s">
        <v>48</v>
      </c>
      <c r="Z1459">
        <v>0</v>
      </c>
      <c r="AA1459" t="s">
        <v>48</v>
      </c>
      <c r="AB1459" t="s">
        <v>48</v>
      </c>
      <c r="AC1459" t="s">
        <v>49</v>
      </c>
      <c r="AD1459" t="s">
        <v>951</v>
      </c>
      <c r="AE1459" t="s">
        <v>11051</v>
      </c>
      <c r="AF1459" t="s">
        <v>11074</v>
      </c>
      <c r="AG1459" t="s">
        <v>48</v>
      </c>
      <c r="AH1459" t="s">
        <v>48</v>
      </c>
      <c r="AI1459" t="s">
        <v>48</v>
      </c>
      <c r="AJ1459" t="s">
        <v>48</v>
      </c>
      <c r="AK1459" t="s">
        <v>48</v>
      </c>
      <c r="AL1459" t="s">
        <v>48</v>
      </c>
      <c r="AM1459" t="s">
        <v>48</v>
      </c>
      <c r="AN1459" t="s">
        <v>48</v>
      </c>
      <c r="AO1459" t="s">
        <v>48</v>
      </c>
      <c r="AP1459" s="46">
        <v>0</v>
      </c>
      <c r="AQ1459" s="46">
        <v>0</v>
      </c>
      <c r="AR1459" s="46">
        <v>0</v>
      </c>
      <c r="AS1459" s="46">
        <v>0</v>
      </c>
      <c r="AT1459" s="46">
        <v>0</v>
      </c>
      <c r="AU1459" s="46">
        <v>0</v>
      </c>
      <c r="AV1459" s="46">
        <v>0</v>
      </c>
      <c r="AW1459" s="46">
        <v>0</v>
      </c>
      <c r="AX1459" s="46">
        <v>0</v>
      </c>
      <c r="AY1459" s="46">
        <v>0</v>
      </c>
      <c r="AZ1459" s="46">
        <v>0</v>
      </c>
      <c r="BA1459" s="46">
        <v>0</v>
      </c>
      <c r="BB1459" s="46">
        <v>0</v>
      </c>
      <c r="BC1459" s="46">
        <v>0</v>
      </c>
      <c r="BD1459" s="46">
        <v>0</v>
      </c>
      <c r="BE1459" s="46">
        <v>0</v>
      </c>
      <c r="BF1459" s="46">
        <v>0</v>
      </c>
      <c r="BG1459" s="46" t="s">
        <v>48</v>
      </c>
      <c r="BH1459" s="46">
        <v>0</v>
      </c>
      <c r="BI1459" s="46">
        <v>0</v>
      </c>
      <c r="BJ1459" s="46">
        <v>0</v>
      </c>
      <c r="BK1459" s="46">
        <v>0</v>
      </c>
      <c r="BL1459" s="46">
        <v>0</v>
      </c>
      <c r="BM1459" s="46">
        <v>0</v>
      </c>
      <c r="BN1459" s="46">
        <v>0</v>
      </c>
    </row>
    <row r="1460" spans="1:66" x14ac:dyDescent="0.35">
      <c r="A1460" t="s">
        <v>1897</v>
      </c>
      <c r="B1460" s="44" t="s">
        <v>48</v>
      </c>
      <c r="C1460" t="s">
        <v>1900</v>
      </c>
      <c r="D1460" t="s">
        <v>1748</v>
      </c>
      <c r="E1460" t="s">
        <v>1898</v>
      </c>
      <c r="F1460" t="s">
        <v>122</v>
      </c>
      <c r="G1460" t="s">
        <v>47</v>
      </c>
      <c r="H1460">
        <v>0</v>
      </c>
      <c r="I1460" s="60" t="s">
        <v>51</v>
      </c>
      <c r="J1460" s="33" t="s">
        <v>45</v>
      </c>
      <c r="K1460" s="46">
        <v>0</v>
      </c>
      <c r="L1460">
        <v>23.7</v>
      </c>
      <c r="M1460" t="s">
        <v>48</v>
      </c>
      <c r="N1460" s="46">
        <v>0</v>
      </c>
      <c r="O1460" s="46">
        <v>0</v>
      </c>
      <c r="P1460" s="46">
        <v>0</v>
      </c>
      <c r="Q1460" t="s">
        <v>48</v>
      </c>
      <c r="R1460" t="s">
        <v>48</v>
      </c>
      <c r="S1460" t="s">
        <v>1899</v>
      </c>
      <c r="T1460" t="s">
        <v>48</v>
      </c>
      <c r="U1460" t="s">
        <v>1899</v>
      </c>
      <c r="V1460" s="47">
        <v>0</v>
      </c>
      <c r="W1460" t="s">
        <v>48</v>
      </c>
      <c r="X1460" t="s">
        <v>48</v>
      </c>
      <c r="Y1460" t="s">
        <v>48</v>
      </c>
      <c r="Z1460">
        <v>0</v>
      </c>
      <c r="AA1460" t="s">
        <v>48</v>
      </c>
      <c r="AB1460" t="s">
        <v>48</v>
      </c>
      <c r="AC1460" t="s">
        <v>49</v>
      </c>
      <c r="AD1460" t="s">
        <v>93</v>
      </c>
      <c r="AE1460" t="s">
        <v>4532</v>
      </c>
      <c r="AF1460" t="s">
        <v>48</v>
      </c>
      <c r="AG1460" t="s">
        <v>48</v>
      </c>
      <c r="AH1460" t="s">
        <v>48</v>
      </c>
      <c r="AI1460" t="s">
        <v>48</v>
      </c>
      <c r="AJ1460" t="s">
        <v>48</v>
      </c>
      <c r="AK1460" t="s">
        <v>48</v>
      </c>
      <c r="AL1460" t="s">
        <v>48</v>
      </c>
      <c r="AM1460" t="s">
        <v>48</v>
      </c>
      <c r="AN1460" t="s">
        <v>48</v>
      </c>
      <c r="AO1460" t="s">
        <v>48</v>
      </c>
      <c r="AP1460" s="46">
        <v>0</v>
      </c>
      <c r="AQ1460" s="46">
        <v>0</v>
      </c>
      <c r="AR1460" s="46">
        <v>0</v>
      </c>
      <c r="AS1460" s="46">
        <v>0</v>
      </c>
      <c r="AT1460" s="46">
        <v>0</v>
      </c>
      <c r="AU1460" s="46">
        <v>0</v>
      </c>
      <c r="AV1460" s="46">
        <v>0</v>
      </c>
      <c r="AW1460" s="46">
        <v>0</v>
      </c>
      <c r="AX1460" s="46">
        <v>0</v>
      </c>
      <c r="AY1460" s="46">
        <v>0</v>
      </c>
      <c r="AZ1460" s="46">
        <v>0</v>
      </c>
      <c r="BA1460" s="46">
        <v>0</v>
      </c>
      <c r="BB1460" s="46">
        <v>0</v>
      </c>
      <c r="BC1460" s="46">
        <v>0</v>
      </c>
      <c r="BD1460" s="46">
        <v>0</v>
      </c>
      <c r="BE1460" s="46">
        <v>1</v>
      </c>
      <c r="BF1460" s="46">
        <v>0</v>
      </c>
      <c r="BG1460" s="46" t="s">
        <v>48</v>
      </c>
      <c r="BH1460" s="46">
        <v>0</v>
      </c>
      <c r="BI1460" s="46">
        <v>0</v>
      </c>
      <c r="BJ1460" s="46">
        <v>0</v>
      </c>
      <c r="BK1460" s="46">
        <v>0</v>
      </c>
      <c r="BL1460" s="46">
        <v>0</v>
      </c>
      <c r="BM1460" s="46">
        <v>0</v>
      </c>
      <c r="BN1460" s="46">
        <v>1</v>
      </c>
    </row>
    <row r="1461" spans="1:66" x14ac:dyDescent="0.35">
      <c r="A1461" t="s">
        <v>10468</v>
      </c>
      <c r="B1461" s="44" t="s">
        <v>48</v>
      </c>
      <c r="C1461" t="s">
        <v>5093</v>
      </c>
      <c r="D1461" t="s">
        <v>11770</v>
      </c>
      <c r="E1461" t="s">
        <v>10469</v>
      </c>
      <c r="F1461" t="s">
        <v>122</v>
      </c>
      <c r="G1461" t="s">
        <v>47</v>
      </c>
      <c r="H1461">
        <v>0</v>
      </c>
      <c r="I1461" s="60" t="s">
        <v>11552</v>
      </c>
      <c r="J1461" s="33" t="s">
        <v>45</v>
      </c>
      <c r="K1461" s="46">
        <v>0</v>
      </c>
      <c r="L1461">
        <v>2.1</v>
      </c>
      <c r="M1461" t="s">
        <v>48</v>
      </c>
      <c r="N1461" s="46">
        <v>0</v>
      </c>
      <c r="O1461" s="46">
        <v>0</v>
      </c>
      <c r="P1461" s="46">
        <v>0</v>
      </c>
      <c r="Q1461" t="s">
        <v>48</v>
      </c>
      <c r="R1461" t="s">
        <v>48</v>
      </c>
      <c r="S1461" t="s">
        <v>11391</v>
      </c>
      <c r="T1461" t="s">
        <v>48</v>
      </c>
      <c r="U1461" t="s">
        <v>10470</v>
      </c>
      <c r="V1461" s="47">
        <v>0</v>
      </c>
      <c r="W1461" t="s">
        <v>11317</v>
      </c>
      <c r="X1461" t="s">
        <v>48</v>
      </c>
      <c r="Y1461" t="s">
        <v>48</v>
      </c>
      <c r="Z1461">
        <v>0</v>
      </c>
      <c r="AA1461" t="s">
        <v>48</v>
      </c>
      <c r="AB1461" t="s">
        <v>48</v>
      </c>
      <c r="AC1461" t="s">
        <v>49</v>
      </c>
      <c r="AD1461" t="s">
        <v>951</v>
      </c>
      <c r="AE1461" t="s">
        <v>11051</v>
      </c>
      <c r="AF1461" t="s">
        <v>11074</v>
      </c>
      <c r="AG1461" t="s">
        <v>48</v>
      </c>
      <c r="AH1461" t="s">
        <v>48</v>
      </c>
      <c r="AI1461" t="s">
        <v>48</v>
      </c>
      <c r="AJ1461" t="s">
        <v>48</v>
      </c>
      <c r="AK1461" t="s">
        <v>48</v>
      </c>
      <c r="AL1461" t="s">
        <v>48</v>
      </c>
      <c r="AM1461" t="s">
        <v>48</v>
      </c>
      <c r="AN1461" t="s">
        <v>48</v>
      </c>
      <c r="AO1461" t="s">
        <v>48</v>
      </c>
      <c r="AP1461" s="46">
        <v>0</v>
      </c>
      <c r="AQ1461" s="46">
        <v>0</v>
      </c>
      <c r="AR1461" s="46">
        <v>0</v>
      </c>
      <c r="AS1461" s="46">
        <v>0</v>
      </c>
      <c r="AT1461" s="46">
        <v>0</v>
      </c>
      <c r="AU1461" s="46">
        <v>0</v>
      </c>
      <c r="AV1461" s="46">
        <v>0</v>
      </c>
      <c r="AW1461" s="46">
        <v>0</v>
      </c>
      <c r="AX1461" s="46">
        <v>0</v>
      </c>
      <c r="AY1461" s="46">
        <v>0</v>
      </c>
      <c r="AZ1461" s="46">
        <v>0</v>
      </c>
      <c r="BA1461" s="46">
        <v>0</v>
      </c>
      <c r="BB1461" s="46">
        <v>0</v>
      </c>
      <c r="BC1461" s="46">
        <v>0</v>
      </c>
      <c r="BD1461" s="46">
        <v>0</v>
      </c>
      <c r="BE1461" s="46">
        <v>0</v>
      </c>
      <c r="BF1461" s="46">
        <v>0</v>
      </c>
      <c r="BG1461" s="46" t="s">
        <v>48</v>
      </c>
      <c r="BH1461" s="46">
        <v>0</v>
      </c>
      <c r="BI1461" s="46">
        <v>0</v>
      </c>
      <c r="BJ1461" s="46">
        <v>0</v>
      </c>
      <c r="BK1461" s="46">
        <v>0</v>
      </c>
      <c r="BL1461" s="46">
        <v>0</v>
      </c>
      <c r="BM1461" s="46">
        <v>0</v>
      </c>
      <c r="BN1461" s="46">
        <v>0</v>
      </c>
    </row>
    <row r="1462" spans="1:66" x14ac:dyDescent="0.35">
      <c r="A1462" t="s">
        <v>1880</v>
      </c>
      <c r="B1462" s="44" t="s">
        <v>48</v>
      </c>
      <c r="C1462" t="s">
        <v>1884</v>
      </c>
      <c r="D1462" t="s">
        <v>1883</v>
      </c>
      <c r="E1462" t="s">
        <v>1881</v>
      </c>
      <c r="F1462" t="s">
        <v>122</v>
      </c>
      <c r="G1462" t="s">
        <v>47</v>
      </c>
      <c r="H1462">
        <v>0</v>
      </c>
      <c r="I1462" s="60" t="s">
        <v>51</v>
      </c>
      <c r="J1462" s="33" t="s">
        <v>45</v>
      </c>
      <c r="K1462" s="46">
        <v>0</v>
      </c>
      <c r="L1462">
        <v>15.3</v>
      </c>
      <c r="M1462" t="s">
        <v>48</v>
      </c>
      <c r="N1462" s="46">
        <v>0</v>
      </c>
      <c r="O1462" s="46">
        <v>0</v>
      </c>
      <c r="P1462" s="46">
        <v>0</v>
      </c>
      <c r="Q1462" t="s">
        <v>48</v>
      </c>
      <c r="R1462" t="s">
        <v>48</v>
      </c>
      <c r="S1462" t="s">
        <v>1882</v>
      </c>
      <c r="T1462" t="s">
        <v>48</v>
      </c>
      <c r="U1462" t="s">
        <v>1882</v>
      </c>
      <c r="V1462" s="47">
        <v>0</v>
      </c>
      <c r="W1462" t="s">
        <v>48</v>
      </c>
      <c r="X1462" t="s">
        <v>48</v>
      </c>
      <c r="Y1462" t="s">
        <v>48</v>
      </c>
      <c r="Z1462">
        <v>0</v>
      </c>
      <c r="AA1462" t="s">
        <v>48</v>
      </c>
      <c r="AB1462" t="s">
        <v>48</v>
      </c>
      <c r="AC1462" t="s">
        <v>49</v>
      </c>
      <c r="AD1462" t="s">
        <v>93</v>
      </c>
      <c r="AE1462" t="s">
        <v>4532</v>
      </c>
      <c r="AF1462" t="s">
        <v>48</v>
      </c>
      <c r="AG1462" t="s">
        <v>48</v>
      </c>
      <c r="AH1462" t="s">
        <v>48</v>
      </c>
      <c r="AI1462" t="s">
        <v>48</v>
      </c>
      <c r="AJ1462" t="s">
        <v>48</v>
      </c>
      <c r="AK1462" t="s">
        <v>48</v>
      </c>
      <c r="AL1462" t="s">
        <v>48</v>
      </c>
      <c r="AM1462" t="s">
        <v>48</v>
      </c>
      <c r="AN1462" t="s">
        <v>48</v>
      </c>
      <c r="AO1462" t="s">
        <v>48</v>
      </c>
      <c r="AP1462" s="46">
        <v>0</v>
      </c>
      <c r="AQ1462" s="46">
        <v>0</v>
      </c>
      <c r="AR1462" s="46">
        <v>0</v>
      </c>
      <c r="AS1462" s="46">
        <v>0</v>
      </c>
      <c r="AT1462" s="46">
        <v>0</v>
      </c>
      <c r="AU1462" s="46">
        <v>0</v>
      </c>
      <c r="AV1462" s="46">
        <v>0</v>
      </c>
      <c r="AW1462" s="46">
        <v>0</v>
      </c>
      <c r="AX1462" s="46">
        <v>0</v>
      </c>
      <c r="AY1462" s="46">
        <v>0</v>
      </c>
      <c r="AZ1462" s="46">
        <v>0</v>
      </c>
      <c r="BA1462" s="46">
        <v>0</v>
      </c>
      <c r="BB1462" s="46">
        <v>0</v>
      </c>
      <c r="BC1462" s="46">
        <v>0</v>
      </c>
      <c r="BD1462" s="46">
        <v>0</v>
      </c>
      <c r="BE1462" s="46">
        <v>0</v>
      </c>
      <c r="BF1462" s="46">
        <v>0</v>
      </c>
      <c r="BG1462" s="46" t="s">
        <v>48</v>
      </c>
      <c r="BH1462" s="46">
        <v>0</v>
      </c>
      <c r="BI1462" s="46">
        <v>0</v>
      </c>
      <c r="BJ1462" s="46">
        <v>0</v>
      </c>
      <c r="BK1462" s="46">
        <v>0</v>
      </c>
      <c r="BL1462" s="46">
        <v>0</v>
      </c>
      <c r="BM1462" s="46">
        <v>0</v>
      </c>
      <c r="BN1462" s="46">
        <v>0</v>
      </c>
    </row>
    <row r="1463" spans="1:66" x14ac:dyDescent="0.35">
      <c r="A1463" t="s">
        <v>1875</v>
      </c>
      <c r="B1463" s="44" t="s">
        <v>48</v>
      </c>
      <c r="C1463" t="s">
        <v>1879</v>
      </c>
      <c r="D1463" t="s">
        <v>1878</v>
      </c>
      <c r="E1463" t="s">
        <v>1876</v>
      </c>
      <c r="F1463" t="s">
        <v>122</v>
      </c>
      <c r="G1463" t="s">
        <v>47</v>
      </c>
      <c r="H1463">
        <v>0</v>
      </c>
      <c r="I1463" s="60" t="s">
        <v>51</v>
      </c>
      <c r="J1463" s="33" t="s">
        <v>45</v>
      </c>
      <c r="K1463" s="46">
        <v>0</v>
      </c>
      <c r="L1463">
        <v>5.4</v>
      </c>
      <c r="M1463" t="s">
        <v>48</v>
      </c>
      <c r="N1463" s="46">
        <v>0</v>
      </c>
      <c r="O1463" s="46">
        <v>0</v>
      </c>
      <c r="P1463" s="46">
        <v>0</v>
      </c>
      <c r="Q1463" t="s">
        <v>48</v>
      </c>
      <c r="R1463" t="s">
        <v>48</v>
      </c>
      <c r="S1463" t="s">
        <v>1877</v>
      </c>
      <c r="T1463" t="s">
        <v>48</v>
      </c>
      <c r="U1463" t="s">
        <v>1877</v>
      </c>
      <c r="V1463" s="47">
        <v>0</v>
      </c>
      <c r="W1463" t="s">
        <v>48</v>
      </c>
      <c r="X1463" t="s">
        <v>48</v>
      </c>
      <c r="Y1463" t="s">
        <v>48</v>
      </c>
      <c r="Z1463">
        <v>0</v>
      </c>
      <c r="AA1463" t="s">
        <v>48</v>
      </c>
      <c r="AB1463" t="s">
        <v>48</v>
      </c>
      <c r="AC1463" t="s">
        <v>63</v>
      </c>
      <c r="AD1463" t="s">
        <v>951</v>
      </c>
      <c r="AE1463" s="40" t="s">
        <v>11051</v>
      </c>
      <c r="AF1463" t="s">
        <v>11074</v>
      </c>
      <c r="AG1463" t="s">
        <v>48</v>
      </c>
      <c r="AH1463" t="s">
        <v>48</v>
      </c>
      <c r="AI1463" t="s">
        <v>48</v>
      </c>
      <c r="AJ1463" t="s">
        <v>48</v>
      </c>
      <c r="AK1463" t="s">
        <v>48</v>
      </c>
      <c r="AL1463" t="s">
        <v>48</v>
      </c>
      <c r="AM1463" t="s">
        <v>48</v>
      </c>
      <c r="AN1463" t="s">
        <v>48</v>
      </c>
      <c r="AO1463" t="s">
        <v>48</v>
      </c>
      <c r="AP1463" s="46">
        <v>0</v>
      </c>
      <c r="AQ1463" s="46">
        <v>0</v>
      </c>
      <c r="AR1463" s="46">
        <v>0</v>
      </c>
      <c r="AS1463" s="46">
        <v>0</v>
      </c>
      <c r="AT1463" s="46">
        <v>0</v>
      </c>
      <c r="AU1463" s="46">
        <v>0</v>
      </c>
      <c r="AV1463" s="46">
        <v>0</v>
      </c>
      <c r="AW1463" s="46">
        <v>0</v>
      </c>
      <c r="AX1463" s="46">
        <v>0</v>
      </c>
      <c r="AY1463" s="46">
        <v>0</v>
      </c>
      <c r="AZ1463" s="46">
        <v>0</v>
      </c>
      <c r="BA1463" s="46">
        <v>0</v>
      </c>
      <c r="BB1463" s="46">
        <v>0</v>
      </c>
      <c r="BC1463" s="46">
        <v>0</v>
      </c>
      <c r="BD1463" s="46">
        <v>0</v>
      </c>
      <c r="BE1463" s="46">
        <v>0</v>
      </c>
      <c r="BF1463" s="46">
        <v>0</v>
      </c>
      <c r="BG1463" s="46" t="s">
        <v>48</v>
      </c>
      <c r="BH1463" s="46">
        <v>0</v>
      </c>
      <c r="BI1463" s="46">
        <v>0</v>
      </c>
      <c r="BJ1463" s="46">
        <v>0</v>
      </c>
      <c r="BK1463" s="46">
        <v>0</v>
      </c>
      <c r="BL1463" s="46">
        <v>0</v>
      </c>
      <c r="BM1463" s="46">
        <v>0</v>
      </c>
      <c r="BN1463" s="46">
        <v>0</v>
      </c>
    </row>
    <row r="1464" spans="1:66" x14ac:dyDescent="0.35">
      <c r="A1464" t="s">
        <v>10459</v>
      </c>
      <c r="B1464" s="44" t="s">
        <v>48</v>
      </c>
      <c r="C1464" t="s">
        <v>11766</v>
      </c>
      <c r="D1464" t="s">
        <v>11767</v>
      </c>
      <c r="E1464" t="s">
        <v>10460</v>
      </c>
      <c r="F1464" t="s">
        <v>122</v>
      </c>
      <c r="G1464" t="s">
        <v>74</v>
      </c>
      <c r="H1464">
        <v>0</v>
      </c>
      <c r="I1464" s="61">
        <v>44798</v>
      </c>
      <c r="J1464" s="33" t="s">
        <v>45</v>
      </c>
      <c r="K1464" s="46">
        <v>0</v>
      </c>
      <c r="L1464">
        <v>20</v>
      </c>
      <c r="M1464" t="s">
        <v>48</v>
      </c>
      <c r="N1464" s="46">
        <v>0</v>
      </c>
      <c r="O1464" s="46">
        <v>0</v>
      </c>
      <c r="P1464" s="46">
        <v>0</v>
      </c>
      <c r="Q1464" t="s">
        <v>48</v>
      </c>
      <c r="R1464" t="s">
        <v>48</v>
      </c>
      <c r="S1464" t="s">
        <v>48</v>
      </c>
      <c r="T1464" t="s">
        <v>48</v>
      </c>
      <c r="U1464" t="s">
        <v>48</v>
      </c>
      <c r="V1464" s="47">
        <v>1</v>
      </c>
      <c r="W1464" t="s">
        <v>48</v>
      </c>
      <c r="X1464" t="s">
        <v>48</v>
      </c>
      <c r="Y1464" t="s">
        <v>48</v>
      </c>
      <c r="Z1464">
        <v>0</v>
      </c>
      <c r="AA1464" t="s">
        <v>48</v>
      </c>
      <c r="AB1464" t="s">
        <v>48</v>
      </c>
      <c r="AC1464" t="s">
        <v>63</v>
      </c>
      <c r="AD1464" t="s">
        <v>951</v>
      </c>
      <c r="AE1464" t="s">
        <v>93</v>
      </c>
      <c r="AF1464" t="s">
        <v>11074</v>
      </c>
      <c r="AG1464" t="s">
        <v>48</v>
      </c>
      <c r="AH1464" t="s">
        <v>48</v>
      </c>
      <c r="AI1464" t="s">
        <v>48</v>
      </c>
      <c r="AJ1464" t="s">
        <v>48</v>
      </c>
      <c r="AK1464" t="s">
        <v>48</v>
      </c>
      <c r="AL1464" t="s">
        <v>48</v>
      </c>
      <c r="AM1464" t="s">
        <v>48</v>
      </c>
      <c r="AN1464" t="s">
        <v>48</v>
      </c>
      <c r="AO1464" t="s">
        <v>48</v>
      </c>
      <c r="AP1464" s="46">
        <v>0</v>
      </c>
      <c r="AQ1464" s="46">
        <v>0</v>
      </c>
      <c r="AR1464" s="46">
        <v>0</v>
      </c>
      <c r="AS1464" s="46">
        <v>0</v>
      </c>
      <c r="AT1464" s="46">
        <v>0</v>
      </c>
      <c r="AU1464" s="46">
        <v>0</v>
      </c>
      <c r="AV1464" s="46">
        <v>0</v>
      </c>
      <c r="AW1464" s="46">
        <v>0</v>
      </c>
      <c r="AX1464" s="46">
        <v>0</v>
      </c>
      <c r="AY1464" s="46">
        <v>0</v>
      </c>
      <c r="AZ1464" s="46">
        <v>0</v>
      </c>
      <c r="BA1464" s="46">
        <v>0</v>
      </c>
      <c r="BB1464" s="46">
        <v>0</v>
      </c>
      <c r="BC1464" s="46">
        <v>0</v>
      </c>
      <c r="BD1464" s="46">
        <v>0</v>
      </c>
      <c r="BE1464" s="46">
        <v>0</v>
      </c>
      <c r="BF1464" s="46">
        <v>0</v>
      </c>
      <c r="BG1464" s="46" t="s">
        <v>48</v>
      </c>
      <c r="BH1464" s="46">
        <v>0</v>
      </c>
      <c r="BI1464" s="46">
        <v>0</v>
      </c>
      <c r="BJ1464" s="46">
        <v>0</v>
      </c>
      <c r="BK1464" s="46">
        <v>0</v>
      </c>
      <c r="BL1464" s="46">
        <v>0</v>
      </c>
      <c r="BM1464" s="46">
        <v>0</v>
      </c>
      <c r="BN1464" s="46">
        <v>0</v>
      </c>
    </row>
    <row r="1465" spans="1:66" x14ac:dyDescent="0.35">
      <c r="A1465" t="s">
        <v>10465</v>
      </c>
      <c r="B1465" s="44" t="s">
        <v>48</v>
      </c>
      <c r="C1465" t="s">
        <v>433</v>
      </c>
      <c r="D1465" t="s">
        <v>3068</v>
      </c>
      <c r="E1465" t="s">
        <v>10466</v>
      </c>
      <c r="F1465" t="s">
        <v>122</v>
      </c>
      <c r="G1465" t="s">
        <v>47</v>
      </c>
      <c r="H1465">
        <v>0</v>
      </c>
      <c r="I1465" s="60" t="s">
        <v>11552</v>
      </c>
      <c r="J1465" s="33" t="s">
        <v>45</v>
      </c>
      <c r="K1465" s="46">
        <v>0</v>
      </c>
      <c r="L1465">
        <v>5.5</v>
      </c>
      <c r="M1465" t="s">
        <v>48</v>
      </c>
      <c r="N1465" s="46">
        <v>0</v>
      </c>
      <c r="O1465" s="46">
        <v>0</v>
      </c>
      <c r="P1465" s="46">
        <v>0</v>
      </c>
      <c r="Q1465" t="s">
        <v>48</v>
      </c>
      <c r="R1465" t="s">
        <v>48</v>
      </c>
      <c r="S1465" t="s">
        <v>11421</v>
      </c>
      <c r="T1465" t="s">
        <v>48</v>
      </c>
      <c r="U1465" t="s">
        <v>10467</v>
      </c>
      <c r="V1465" s="47">
        <v>0</v>
      </c>
      <c r="W1465" t="s">
        <v>48</v>
      </c>
      <c r="X1465" t="s">
        <v>48</v>
      </c>
      <c r="Y1465" t="s">
        <v>48</v>
      </c>
      <c r="Z1465">
        <v>0</v>
      </c>
      <c r="AA1465" t="s">
        <v>48</v>
      </c>
      <c r="AB1465" t="s">
        <v>48</v>
      </c>
      <c r="AC1465" t="s">
        <v>49</v>
      </c>
      <c r="AD1465" t="s">
        <v>93</v>
      </c>
      <c r="AE1465" t="s">
        <v>4532</v>
      </c>
      <c r="AF1465" t="s">
        <v>48</v>
      </c>
      <c r="AG1465" t="s">
        <v>48</v>
      </c>
      <c r="AH1465" t="s">
        <v>48</v>
      </c>
      <c r="AI1465" t="s">
        <v>48</v>
      </c>
      <c r="AJ1465" t="s">
        <v>48</v>
      </c>
      <c r="AK1465" t="s">
        <v>48</v>
      </c>
      <c r="AL1465" t="s">
        <v>48</v>
      </c>
      <c r="AM1465" t="s">
        <v>48</v>
      </c>
      <c r="AN1465" t="s">
        <v>48</v>
      </c>
      <c r="AO1465" t="s">
        <v>48</v>
      </c>
      <c r="AP1465" s="46">
        <v>0</v>
      </c>
      <c r="AQ1465" s="46">
        <v>0</v>
      </c>
      <c r="AR1465" s="46">
        <v>0</v>
      </c>
      <c r="AS1465" s="46">
        <v>0</v>
      </c>
      <c r="AT1465" s="46">
        <v>0</v>
      </c>
      <c r="AU1465" s="46">
        <v>0</v>
      </c>
      <c r="AV1465" s="46">
        <v>0</v>
      </c>
      <c r="AW1465" s="46">
        <v>0</v>
      </c>
      <c r="AX1465" s="46">
        <v>0</v>
      </c>
      <c r="AY1465" s="46">
        <v>0</v>
      </c>
      <c r="AZ1465" s="46">
        <v>0</v>
      </c>
      <c r="BA1465" s="46">
        <v>0</v>
      </c>
      <c r="BB1465" s="46">
        <v>0</v>
      </c>
      <c r="BC1465" s="46">
        <v>0</v>
      </c>
      <c r="BD1465" s="46">
        <v>0</v>
      </c>
      <c r="BE1465" s="46">
        <v>0</v>
      </c>
      <c r="BF1465" s="46">
        <v>0</v>
      </c>
      <c r="BG1465" s="46" t="s">
        <v>48</v>
      </c>
      <c r="BH1465" s="46">
        <v>0</v>
      </c>
      <c r="BI1465" s="46">
        <v>0</v>
      </c>
      <c r="BJ1465" s="46">
        <v>0</v>
      </c>
      <c r="BK1465" s="46">
        <v>0</v>
      </c>
      <c r="BL1465" s="46">
        <v>0</v>
      </c>
      <c r="BM1465" s="46">
        <v>0</v>
      </c>
      <c r="BN1465" s="46">
        <v>0</v>
      </c>
    </row>
    <row r="1466" spans="1:66" x14ac:dyDescent="0.35">
      <c r="A1466" t="s">
        <v>1901</v>
      </c>
      <c r="B1466" s="44" t="s">
        <v>48</v>
      </c>
      <c r="C1466" t="s">
        <v>1904</v>
      </c>
      <c r="D1466" t="s">
        <v>885</v>
      </c>
      <c r="E1466" t="s">
        <v>1902</v>
      </c>
      <c r="F1466" t="s">
        <v>122</v>
      </c>
      <c r="G1466" t="s">
        <v>47</v>
      </c>
      <c r="H1466">
        <v>0</v>
      </c>
      <c r="I1466" s="60" t="s">
        <v>881</v>
      </c>
      <c r="J1466" s="33" t="s">
        <v>45</v>
      </c>
      <c r="K1466" s="46">
        <v>0</v>
      </c>
      <c r="L1466">
        <v>4.2</v>
      </c>
      <c r="M1466" t="s">
        <v>48</v>
      </c>
      <c r="N1466" s="46">
        <v>0</v>
      </c>
      <c r="O1466" s="46">
        <v>0</v>
      </c>
      <c r="P1466" s="46">
        <v>0</v>
      </c>
      <c r="Q1466" t="s">
        <v>48</v>
      </c>
      <c r="R1466" t="s">
        <v>48</v>
      </c>
      <c r="S1466" t="s">
        <v>1903</v>
      </c>
      <c r="T1466" t="s">
        <v>48</v>
      </c>
      <c r="U1466" t="s">
        <v>1903</v>
      </c>
      <c r="V1466" s="47">
        <v>0</v>
      </c>
      <c r="W1466" t="s">
        <v>48</v>
      </c>
      <c r="X1466" t="s">
        <v>48</v>
      </c>
      <c r="Y1466" t="s">
        <v>48</v>
      </c>
      <c r="Z1466">
        <v>0</v>
      </c>
      <c r="AA1466" t="s">
        <v>48</v>
      </c>
      <c r="AB1466" t="s">
        <v>48</v>
      </c>
      <c r="AC1466" t="s">
        <v>49</v>
      </c>
      <c r="AD1466" t="s">
        <v>93</v>
      </c>
      <c r="AE1466" t="s">
        <v>4532</v>
      </c>
      <c r="AF1466" t="s">
        <v>48</v>
      </c>
      <c r="AG1466" t="s">
        <v>48</v>
      </c>
      <c r="AH1466" t="s">
        <v>48</v>
      </c>
      <c r="AI1466" t="s">
        <v>48</v>
      </c>
      <c r="AJ1466" t="s">
        <v>48</v>
      </c>
      <c r="AK1466" t="s">
        <v>48</v>
      </c>
      <c r="AL1466" t="s">
        <v>48</v>
      </c>
      <c r="AM1466" t="s">
        <v>48</v>
      </c>
      <c r="AN1466" t="s">
        <v>48</v>
      </c>
      <c r="AO1466" t="s">
        <v>48</v>
      </c>
      <c r="AP1466" s="46">
        <v>0</v>
      </c>
      <c r="AQ1466" s="46">
        <v>0</v>
      </c>
      <c r="AR1466" s="46">
        <v>0</v>
      </c>
      <c r="AS1466" s="46">
        <v>0</v>
      </c>
      <c r="AT1466" s="46">
        <v>0</v>
      </c>
      <c r="AU1466" s="46">
        <v>0</v>
      </c>
      <c r="AV1466" s="46">
        <v>0</v>
      </c>
      <c r="AW1466" s="46">
        <v>0</v>
      </c>
      <c r="AX1466" s="46">
        <v>0</v>
      </c>
      <c r="AY1466" s="46">
        <v>0</v>
      </c>
      <c r="AZ1466" s="46">
        <v>0</v>
      </c>
      <c r="BA1466" s="46">
        <v>0</v>
      </c>
      <c r="BB1466" s="46">
        <v>0</v>
      </c>
      <c r="BC1466" s="46">
        <v>0</v>
      </c>
      <c r="BD1466" s="46">
        <v>0</v>
      </c>
      <c r="BE1466" s="46">
        <v>0</v>
      </c>
      <c r="BF1466" s="46">
        <v>0</v>
      </c>
      <c r="BG1466" s="46" t="s">
        <v>48</v>
      </c>
      <c r="BH1466" s="46">
        <v>0</v>
      </c>
      <c r="BI1466" s="46">
        <v>0</v>
      </c>
      <c r="BJ1466" s="46">
        <v>0</v>
      </c>
      <c r="BK1466" s="46">
        <v>0</v>
      </c>
      <c r="BL1466" s="46">
        <v>0</v>
      </c>
      <c r="BM1466" s="46">
        <v>0</v>
      </c>
      <c r="BN1466" s="46">
        <v>0</v>
      </c>
    </row>
    <row r="1467" spans="1:66" x14ac:dyDescent="0.35">
      <c r="A1467" t="s">
        <v>10463</v>
      </c>
      <c r="B1467" s="44" t="s">
        <v>48</v>
      </c>
      <c r="C1467" t="s">
        <v>3611</v>
      </c>
      <c r="D1467" t="s">
        <v>261</v>
      </c>
      <c r="E1467" t="s">
        <v>10464</v>
      </c>
      <c r="F1467" t="s">
        <v>122</v>
      </c>
      <c r="G1467" t="s">
        <v>47</v>
      </c>
      <c r="H1467">
        <v>0</v>
      </c>
      <c r="I1467" s="61">
        <v>44798</v>
      </c>
      <c r="J1467" s="33" t="s">
        <v>45</v>
      </c>
      <c r="K1467" s="46">
        <v>0</v>
      </c>
      <c r="L1467">
        <v>5.8</v>
      </c>
      <c r="M1467" t="s">
        <v>48</v>
      </c>
      <c r="N1467" s="46">
        <v>0</v>
      </c>
      <c r="O1467" s="46">
        <v>0</v>
      </c>
      <c r="P1467" s="46">
        <v>0</v>
      </c>
      <c r="Q1467" t="s">
        <v>48</v>
      </c>
      <c r="R1467" t="s">
        <v>48</v>
      </c>
      <c r="S1467" t="s">
        <v>48</v>
      </c>
      <c r="T1467" t="s">
        <v>48</v>
      </c>
      <c r="U1467" t="s">
        <v>48</v>
      </c>
      <c r="V1467" s="47">
        <v>1</v>
      </c>
      <c r="W1467" t="s">
        <v>48</v>
      </c>
      <c r="X1467" t="s">
        <v>48</v>
      </c>
      <c r="Y1467" t="s">
        <v>48</v>
      </c>
      <c r="Z1467">
        <v>0</v>
      </c>
      <c r="AA1467" t="s">
        <v>48</v>
      </c>
      <c r="AB1467" t="s">
        <v>48</v>
      </c>
      <c r="AC1467" t="s">
        <v>49</v>
      </c>
      <c r="AD1467" t="s">
        <v>93</v>
      </c>
      <c r="AE1467" t="s">
        <v>4532</v>
      </c>
      <c r="AF1467" t="s">
        <v>48</v>
      </c>
      <c r="AG1467" t="s">
        <v>48</v>
      </c>
      <c r="AH1467" t="s">
        <v>48</v>
      </c>
      <c r="AI1467" t="s">
        <v>48</v>
      </c>
      <c r="AJ1467" t="s">
        <v>48</v>
      </c>
      <c r="AK1467" t="s">
        <v>48</v>
      </c>
      <c r="AL1467" t="s">
        <v>48</v>
      </c>
      <c r="AM1467" t="s">
        <v>48</v>
      </c>
      <c r="AN1467" t="s">
        <v>48</v>
      </c>
      <c r="AO1467" t="s">
        <v>48</v>
      </c>
      <c r="AP1467" s="46">
        <v>0</v>
      </c>
      <c r="AQ1467" s="46">
        <v>0</v>
      </c>
      <c r="AR1467" s="46">
        <v>0</v>
      </c>
      <c r="AS1467" s="46">
        <v>0</v>
      </c>
      <c r="AT1467" s="46">
        <v>0</v>
      </c>
      <c r="AU1467" s="46">
        <v>0</v>
      </c>
      <c r="AV1467" s="46">
        <v>0</v>
      </c>
      <c r="AW1467" s="46">
        <v>0</v>
      </c>
      <c r="AX1467" s="46">
        <v>0</v>
      </c>
      <c r="AY1467" s="46">
        <v>0</v>
      </c>
      <c r="AZ1467" s="46">
        <v>0</v>
      </c>
      <c r="BA1467" s="46">
        <v>0</v>
      </c>
      <c r="BB1467" s="46">
        <v>0</v>
      </c>
      <c r="BC1467" s="46">
        <v>0</v>
      </c>
      <c r="BD1467" s="46">
        <v>0</v>
      </c>
      <c r="BE1467" s="46">
        <v>0</v>
      </c>
      <c r="BF1467" s="46">
        <v>0</v>
      </c>
      <c r="BG1467" s="46" t="s">
        <v>48</v>
      </c>
      <c r="BH1467" s="46">
        <v>0</v>
      </c>
      <c r="BI1467" s="46">
        <v>0</v>
      </c>
      <c r="BJ1467" s="46">
        <v>0</v>
      </c>
      <c r="BK1467" s="46">
        <v>0</v>
      </c>
      <c r="BL1467" s="46">
        <v>0</v>
      </c>
      <c r="BM1467" s="46">
        <v>0</v>
      </c>
      <c r="BN1467" s="46">
        <v>0</v>
      </c>
    </row>
    <row r="1468" spans="1:66" x14ac:dyDescent="0.35">
      <c r="A1468" t="s">
        <v>1905</v>
      </c>
      <c r="B1468" s="44" t="s">
        <v>48</v>
      </c>
      <c r="C1468" t="s">
        <v>1910</v>
      </c>
      <c r="D1468" t="s">
        <v>1909</v>
      </c>
      <c r="E1468" t="s">
        <v>1907</v>
      </c>
      <c r="F1468" t="s">
        <v>1906</v>
      </c>
      <c r="G1468" t="s">
        <v>74</v>
      </c>
      <c r="H1468">
        <v>0</v>
      </c>
      <c r="I1468" s="60" t="s">
        <v>125</v>
      </c>
      <c r="J1468" s="33" t="s">
        <v>45</v>
      </c>
      <c r="K1468" s="46">
        <v>0</v>
      </c>
      <c r="L1468">
        <v>45.4</v>
      </c>
      <c r="M1468" t="s">
        <v>48</v>
      </c>
      <c r="N1468" s="46">
        <v>0</v>
      </c>
      <c r="O1468" s="46">
        <v>0</v>
      </c>
      <c r="P1468" s="46">
        <v>0</v>
      </c>
      <c r="Q1468" t="s">
        <v>48</v>
      </c>
      <c r="R1468" t="s">
        <v>48</v>
      </c>
      <c r="S1468" t="s">
        <v>1908</v>
      </c>
      <c r="T1468" t="s">
        <v>48</v>
      </c>
      <c r="U1468" t="s">
        <v>1908</v>
      </c>
      <c r="V1468" s="47">
        <v>0</v>
      </c>
      <c r="W1468" t="s">
        <v>48</v>
      </c>
      <c r="X1468" t="s">
        <v>48</v>
      </c>
      <c r="Y1468" t="s">
        <v>48</v>
      </c>
      <c r="Z1468">
        <v>0</v>
      </c>
      <c r="AA1468" t="s">
        <v>48</v>
      </c>
      <c r="AB1468" t="s">
        <v>48</v>
      </c>
      <c r="AC1468" t="s">
        <v>63</v>
      </c>
      <c r="AD1468" t="s">
        <v>93</v>
      </c>
      <c r="AE1468" t="s">
        <v>4532</v>
      </c>
      <c r="AF1468" t="s">
        <v>48</v>
      </c>
      <c r="AG1468" t="s">
        <v>48</v>
      </c>
      <c r="AH1468" t="s">
        <v>48</v>
      </c>
      <c r="AI1468" t="s">
        <v>48</v>
      </c>
      <c r="AJ1468" t="s">
        <v>48</v>
      </c>
      <c r="AK1468" t="s">
        <v>48</v>
      </c>
      <c r="AL1468" t="s">
        <v>48</v>
      </c>
      <c r="AM1468" t="s">
        <v>48</v>
      </c>
      <c r="AN1468" t="s">
        <v>48</v>
      </c>
      <c r="AO1468" t="s">
        <v>48</v>
      </c>
      <c r="AP1468" s="46">
        <v>0</v>
      </c>
      <c r="AQ1468" s="46">
        <v>0</v>
      </c>
      <c r="AR1468" s="46">
        <v>0</v>
      </c>
      <c r="AS1468" s="46">
        <v>0</v>
      </c>
      <c r="AT1468" s="46">
        <v>0</v>
      </c>
      <c r="AU1468" s="46">
        <v>0</v>
      </c>
      <c r="AV1468" s="46">
        <v>0</v>
      </c>
      <c r="AW1468" s="46">
        <v>0</v>
      </c>
      <c r="AX1468" s="46">
        <v>0</v>
      </c>
      <c r="AY1468" s="46">
        <v>0</v>
      </c>
      <c r="AZ1468" s="46">
        <v>0</v>
      </c>
      <c r="BA1468" s="46">
        <v>0</v>
      </c>
      <c r="BB1468" s="46">
        <v>0</v>
      </c>
      <c r="BC1468" s="46">
        <v>0</v>
      </c>
      <c r="BD1468" s="46">
        <v>0</v>
      </c>
      <c r="BE1468" s="46">
        <v>0</v>
      </c>
      <c r="BF1468" s="46">
        <v>0</v>
      </c>
      <c r="BG1468" s="46" t="s">
        <v>48</v>
      </c>
      <c r="BH1468" s="46">
        <v>0</v>
      </c>
      <c r="BI1468" s="46">
        <v>0</v>
      </c>
      <c r="BJ1468" s="46">
        <v>0</v>
      </c>
      <c r="BK1468" s="46">
        <v>0</v>
      </c>
      <c r="BL1468" s="46">
        <v>0</v>
      </c>
      <c r="BM1468" s="46">
        <v>0</v>
      </c>
      <c r="BN1468" s="46">
        <v>0</v>
      </c>
    </row>
    <row r="1469" spans="1:66" x14ac:dyDescent="0.35">
      <c r="A1469" t="s">
        <v>10471</v>
      </c>
      <c r="B1469" s="44" t="s">
        <v>48</v>
      </c>
      <c r="C1469" t="s">
        <v>11771</v>
      </c>
      <c r="D1469" t="s">
        <v>11772</v>
      </c>
      <c r="E1469" t="s">
        <v>10472</v>
      </c>
      <c r="F1469" t="s">
        <v>1920</v>
      </c>
      <c r="G1469" t="s">
        <v>47</v>
      </c>
      <c r="H1469">
        <v>0</v>
      </c>
      <c r="I1469" s="61">
        <v>44798</v>
      </c>
      <c r="J1469" s="33" t="s">
        <v>45</v>
      </c>
      <c r="K1469" s="46">
        <v>0</v>
      </c>
      <c r="L1469">
        <v>13.1</v>
      </c>
      <c r="M1469" t="s">
        <v>48</v>
      </c>
      <c r="N1469" s="46">
        <v>0</v>
      </c>
      <c r="O1469" s="46">
        <v>0</v>
      </c>
      <c r="P1469" s="46">
        <v>0</v>
      </c>
      <c r="Q1469" t="s">
        <v>48</v>
      </c>
      <c r="R1469" t="s">
        <v>48</v>
      </c>
      <c r="S1469" t="s">
        <v>48</v>
      </c>
      <c r="T1469" t="s">
        <v>48</v>
      </c>
      <c r="U1469" t="s">
        <v>48</v>
      </c>
      <c r="V1469" s="47">
        <v>1</v>
      </c>
      <c r="W1469" t="s">
        <v>48</v>
      </c>
      <c r="X1469" t="s">
        <v>48</v>
      </c>
      <c r="Y1469" t="s">
        <v>48</v>
      </c>
      <c r="Z1469">
        <v>0</v>
      </c>
      <c r="AA1469" t="s">
        <v>48</v>
      </c>
      <c r="AB1469" t="s">
        <v>48</v>
      </c>
      <c r="AC1469" t="s">
        <v>63</v>
      </c>
      <c r="AD1469" t="s">
        <v>951</v>
      </c>
      <c r="AE1469" t="s">
        <v>11051</v>
      </c>
      <c r="AF1469" t="s">
        <v>11074</v>
      </c>
      <c r="AG1469" t="s">
        <v>48</v>
      </c>
      <c r="AH1469" t="s">
        <v>48</v>
      </c>
      <c r="AI1469" t="s">
        <v>48</v>
      </c>
      <c r="AJ1469" t="s">
        <v>48</v>
      </c>
      <c r="AK1469" t="s">
        <v>48</v>
      </c>
      <c r="AL1469" t="s">
        <v>48</v>
      </c>
      <c r="AM1469" t="s">
        <v>48</v>
      </c>
      <c r="AN1469" t="s">
        <v>48</v>
      </c>
      <c r="AO1469" t="s">
        <v>48</v>
      </c>
      <c r="AP1469" s="46">
        <v>0</v>
      </c>
      <c r="AQ1469" s="46">
        <v>0</v>
      </c>
      <c r="AR1469" s="46">
        <v>0</v>
      </c>
      <c r="AS1469" s="46">
        <v>0</v>
      </c>
      <c r="AT1469" s="46">
        <v>0</v>
      </c>
      <c r="AU1469" s="46">
        <v>0</v>
      </c>
      <c r="AV1469" s="46">
        <v>0</v>
      </c>
      <c r="AW1469" s="46">
        <v>0</v>
      </c>
      <c r="AX1469" s="46">
        <v>0</v>
      </c>
      <c r="AY1469" s="46">
        <v>0</v>
      </c>
      <c r="AZ1469" s="46">
        <v>0</v>
      </c>
      <c r="BA1469" s="46">
        <v>0</v>
      </c>
      <c r="BB1469" s="46">
        <v>0</v>
      </c>
      <c r="BC1469" s="46">
        <v>0</v>
      </c>
      <c r="BD1469" s="46">
        <v>0</v>
      </c>
      <c r="BE1469" s="46">
        <v>0</v>
      </c>
      <c r="BF1469" s="46">
        <v>0</v>
      </c>
      <c r="BG1469" s="46" t="s">
        <v>48</v>
      </c>
      <c r="BH1469" s="46">
        <v>0</v>
      </c>
      <c r="BI1469" s="46">
        <v>0</v>
      </c>
      <c r="BJ1469" s="46">
        <v>0</v>
      </c>
      <c r="BK1469" s="46">
        <v>0</v>
      </c>
      <c r="BL1469" s="46">
        <v>0</v>
      </c>
      <c r="BM1469" s="46">
        <v>0</v>
      </c>
      <c r="BN1469" s="46">
        <v>0</v>
      </c>
    </row>
    <row r="1470" spans="1:66" x14ac:dyDescent="0.35">
      <c r="A1470" t="s">
        <v>1921</v>
      </c>
      <c r="B1470" s="44" t="s">
        <v>48</v>
      </c>
      <c r="C1470" t="s">
        <v>1382</v>
      </c>
      <c r="D1470" t="s">
        <v>6549</v>
      </c>
      <c r="E1470" t="s">
        <v>1922</v>
      </c>
      <c r="F1470" t="s">
        <v>1920</v>
      </c>
      <c r="G1470" t="s">
        <v>47</v>
      </c>
      <c r="H1470">
        <v>0</v>
      </c>
      <c r="I1470" s="60" t="s">
        <v>177</v>
      </c>
      <c r="J1470" s="33" t="s">
        <v>45</v>
      </c>
      <c r="K1470" s="46">
        <v>0</v>
      </c>
      <c r="L1470">
        <v>24.8</v>
      </c>
      <c r="M1470" t="s">
        <v>48</v>
      </c>
      <c r="N1470" s="46">
        <v>0</v>
      </c>
      <c r="O1470" s="46">
        <v>0</v>
      </c>
      <c r="P1470" s="46">
        <v>0</v>
      </c>
      <c r="Q1470" t="s">
        <v>48</v>
      </c>
      <c r="R1470" t="s">
        <v>48</v>
      </c>
      <c r="S1470" t="s">
        <v>1923</v>
      </c>
      <c r="T1470" t="s">
        <v>48</v>
      </c>
      <c r="U1470" t="s">
        <v>1923</v>
      </c>
      <c r="V1470" s="47">
        <v>0</v>
      </c>
      <c r="W1470" t="s">
        <v>48</v>
      </c>
      <c r="X1470" t="s">
        <v>48</v>
      </c>
      <c r="Y1470" t="s">
        <v>48</v>
      </c>
      <c r="Z1470">
        <v>0</v>
      </c>
      <c r="AA1470" t="s">
        <v>48</v>
      </c>
      <c r="AB1470" t="s">
        <v>48</v>
      </c>
      <c r="AC1470" t="s">
        <v>49</v>
      </c>
      <c r="AD1470" t="s">
        <v>951</v>
      </c>
      <c r="AE1470" s="40" t="s">
        <v>11051</v>
      </c>
      <c r="AF1470" t="s">
        <v>11080</v>
      </c>
      <c r="AG1470" t="s">
        <v>140</v>
      </c>
      <c r="AH1470" t="s">
        <v>48</v>
      </c>
      <c r="AI1470" t="s">
        <v>48</v>
      </c>
      <c r="AJ1470" t="s">
        <v>48</v>
      </c>
      <c r="AK1470" t="s">
        <v>48</v>
      </c>
      <c r="AL1470" t="s">
        <v>48</v>
      </c>
      <c r="AM1470" t="s">
        <v>48</v>
      </c>
      <c r="AN1470" t="s">
        <v>48</v>
      </c>
      <c r="AO1470" t="s">
        <v>48</v>
      </c>
      <c r="AP1470" s="46">
        <v>0</v>
      </c>
      <c r="AQ1470" s="46">
        <v>0</v>
      </c>
      <c r="AR1470" s="46">
        <v>0</v>
      </c>
      <c r="AS1470" s="46">
        <v>0</v>
      </c>
      <c r="AT1470" s="46">
        <v>0</v>
      </c>
      <c r="AU1470" s="46">
        <v>0</v>
      </c>
      <c r="AV1470" s="46">
        <v>0</v>
      </c>
      <c r="AW1470" s="46">
        <v>0</v>
      </c>
      <c r="AX1470" s="46">
        <v>0</v>
      </c>
      <c r="AY1470" s="46">
        <v>0</v>
      </c>
      <c r="AZ1470" s="46">
        <v>0</v>
      </c>
      <c r="BA1470" s="46">
        <v>0</v>
      </c>
      <c r="BB1470" s="46">
        <v>0</v>
      </c>
      <c r="BC1470" s="46">
        <v>0</v>
      </c>
      <c r="BD1470" s="46">
        <v>0</v>
      </c>
      <c r="BE1470" s="46">
        <v>0</v>
      </c>
      <c r="BF1470" s="46">
        <v>0</v>
      </c>
      <c r="BG1470" s="46" t="s">
        <v>48</v>
      </c>
      <c r="BH1470" s="46">
        <v>0</v>
      </c>
      <c r="BI1470" s="46">
        <v>0</v>
      </c>
      <c r="BJ1470" s="46">
        <v>0</v>
      </c>
      <c r="BK1470" s="46">
        <v>0</v>
      </c>
      <c r="BL1470" s="46">
        <v>0</v>
      </c>
      <c r="BM1470" s="46">
        <v>0</v>
      </c>
      <c r="BN1470" s="46">
        <v>0</v>
      </c>
    </row>
    <row r="1471" spans="1:66" x14ac:dyDescent="0.35">
      <c r="A1471" t="s">
        <v>1930</v>
      </c>
      <c r="B1471" s="44" t="s">
        <v>48</v>
      </c>
      <c r="C1471" t="s">
        <v>1934</v>
      </c>
      <c r="D1471" t="s">
        <v>1933</v>
      </c>
      <c r="E1471" t="s">
        <v>1931</v>
      </c>
      <c r="F1471" t="s">
        <v>1920</v>
      </c>
      <c r="G1471" t="s">
        <v>47</v>
      </c>
      <c r="H1471">
        <v>0</v>
      </c>
      <c r="I1471" s="60" t="s">
        <v>149</v>
      </c>
      <c r="J1471" s="33" t="s">
        <v>45</v>
      </c>
      <c r="K1471" s="46">
        <v>0</v>
      </c>
      <c r="L1471">
        <v>6.3</v>
      </c>
      <c r="M1471" t="s">
        <v>48</v>
      </c>
      <c r="N1471" s="46">
        <v>0</v>
      </c>
      <c r="O1471" s="46">
        <v>0</v>
      </c>
      <c r="P1471" s="46">
        <v>0</v>
      </c>
      <c r="Q1471" t="s">
        <v>48</v>
      </c>
      <c r="R1471" t="s">
        <v>48</v>
      </c>
      <c r="S1471" t="s">
        <v>1932</v>
      </c>
      <c r="T1471" t="s">
        <v>48</v>
      </c>
      <c r="U1471" t="s">
        <v>1932</v>
      </c>
      <c r="V1471" s="47">
        <v>0</v>
      </c>
      <c r="W1471" t="s">
        <v>48</v>
      </c>
      <c r="X1471" t="s">
        <v>48</v>
      </c>
      <c r="Y1471" t="s">
        <v>48</v>
      </c>
      <c r="Z1471">
        <v>0</v>
      </c>
      <c r="AA1471" t="s">
        <v>48</v>
      </c>
      <c r="AB1471" t="s">
        <v>48</v>
      </c>
      <c r="AC1471" t="s">
        <v>49</v>
      </c>
      <c r="AD1471" t="s">
        <v>951</v>
      </c>
      <c r="AE1471" s="40" t="s">
        <v>11051</v>
      </c>
      <c r="AF1471" t="s">
        <v>11074</v>
      </c>
      <c r="AG1471" t="s">
        <v>48</v>
      </c>
      <c r="AH1471" t="s">
        <v>48</v>
      </c>
      <c r="AI1471" t="s">
        <v>48</v>
      </c>
      <c r="AJ1471" t="s">
        <v>48</v>
      </c>
      <c r="AK1471" t="s">
        <v>48</v>
      </c>
      <c r="AL1471" t="s">
        <v>48</v>
      </c>
      <c r="AM1471" t="s">
        <v>48</v>
      </c>
      <c r="AN1471" t="s">
        <v>48</v>
      </c>
      <c r="AO1471" t="s">
        <v>48</v>
      </c>
      <c r="AP1471" s="46">
        <v>0</v>
      </c>
      <c r="AQ1471" s="46">
        <v>0</v>
      </c>
      <c r="AR1471" s="46">
        <v>0</v>
      </c>
      <c r="AS1471" s="46">
        <v>0</v>
      </c>
      <c r="AT1471" s="46">
        <v>0</v>
      </c>
      <c r="AU1471" s="46">
        <v>0</v>
      </c>
      <c r="AV1471" s="46">
        <v>0</v>
      </c>
      <c r="AW1471" s="46">
        <v>0</v>
      </c>
      <c r="AX1471" s="46">
        <v>0</v>
      </c>
      <c r="AY1471" s="46">
        <v>0</v>
      </c>
      <c r="AZ1471" s="46">
        <v>0</v>
      </c>
      <c r="BA1471" s="46">
        <v>0</v>
      </c>
      <c r="BB1471" s="46">
        <v>0</v>
      </c>
      <c r="BC1471" s="46">
        <v>0</v>
      </c>
      <c r="BD1471" s="46">
        <v>0</v>
      </c>
      <c r="BE1471" s="46">
        <v>0</v>
      </c>
      <c r="BF1471" s="46">
        <v>0</v>
      </c>
      <c r="BG1471" s="46" t="s">
        <v>48</v>
      </c>
      <c r="BH1471" s="46">
        <v>0</v>
      </c>
      <c r="BI1471" s="46">
        <v>0</v>
      </c>
      <c r="BJ1471" s="46">
        <v>0</v>
      </c>
      <c r="BK1471" s="46">
        <v>0</v>
      </c>
      <c r="BL1471" s="46">
        <v>0</v>
      </c>
      <c r="BM1471" s="46">
        <v>0</v>
      </c>
      <c r="BN1471" s="46">
        <v>0</v>
      </c>
    </row>
    <row r="1472" spans="1:66" x14ac:dyDescent="0.35">
      <c r="A1472" t="s">
        <v>2184</v>
      </c>
      <c r="B1472" s="44" t="s">
        <v>48</v>
      </c>
      <c r="C1472" t="s">
        <v>11774</v>
      </c>
      <c r="D1472" t="s">
        <v>1468</v>
      </c>
      <c r="E1472" t="s">
        <v>10473</v>
      </c>
      <c r="F1472" t="s">
        <v>1942</v>
      </c>
      <c r="G1472" t="s">
        <v>74</v>
      </c>
      <c r="H1472">
        <v>0</v>
      </c>
      <c r="I1472" s="60" t="s">
        <v>11552</v>
      </c>
      <c r="J1472" s="33" t="s">
        <v>45</v>
      </c>
      <c r="K1472" s="46">
        <v>0</v>
      </c>
      <c r="L1472">
        <v>15.4</v>
      </c>
      <c r="M1472" t="s">
        <v>48</v>
      </c>
      <c r="N1472" s="46">
        <v>0</v>
      </c>
      <c r="O1472" s="46">
        <v>0</v>
      </c>
      <c r="P1472" s="46">
        <v>0</v>
      </c>
      <c r="Q1472" t="s">
        <v>48</v>
      </c>
      <c r="R1472" t="s">
        <v>48</v>
      </c>
      <c r="S1472" t="s">
        <v>11424</v>
      </c>
      <c r="T1472" t="s">
        <v>48</v>
      </c>
      <c r="U1472" t="s">
        <v>10474</v>
      </c>
      <c r="V1472" s="47">
        <v>0</v>
      </c>
      <c r="W1472" t="s">
        <v>48</v>
      </c>
      <c r="X1472" t="s">
        <v>48</v>
      </c>
      <c r="Y1472" t="s">
        <v>48</v>
      </c>
      <c r="Z1472">
        <v>0</v>
      </c>
      <c r="AA1472" t="s">
        <v>48</v>
      </c>
      <c r="AB1472" t="s">
        <v>48</v>
      </c>
      <c r="AC1472" t="s">
        <v>63</v>
      </c>
      <c r="AD1472" t="s">
        <v>93</v>
      </c>
      <c r="AE1472" t="s">
        <v>4532</v>
      </c>
      <c r="AF1472" t="s">
        <v>48</v>
      </c>
      <c r="AG1472" t="s">
        <v>48</v>
      </c>
      <c r="AH1472" t="s">
        <v>48</v>
      </c>
      <c r="AI1472" t="s">
        <v>48</v>
      </c>
      <c r="AJ1472" t="s">
        <v>48</v>
      </c>
      <c r="AK1472" t="s">
        <v>48</v>
      </c>
      <c r="AL1472" t="s">
        <v>48</v>
      </c>
      <c r="AM1472" t="s">
        <v>48</v>
      </c>
      <c r="AN1472" t="s">
        <v>48</v>
      </c>
      <c r="AO1472" t="s">
        <v>48</v>
      </c>
      <c r="AP1472" s="46">
        <v>0</v>
      </c>
      <c r="AQ1472" s="46">
        <v>0</v>
      </c>
      <c r="AR1472" s="46">
        <v>0</v>
      </c>
      <c r="AS1472" s="46">
        <v>0</v>
      </c>
      <c r="AT1472" s="46">
        <v>0</v>
      </c>
      <c r="AU1472" s="46">
        <v>0</v>
      </c>
      <c r="AV1472" s="46">
        <v>0</v>
      </c>
      <c r="AW1472" s="46">
        <v>0</v>
      </c>
      <c r="AX1472" s="46">
        <v>0</v>
      </c>
      <c r="AY1472" s="46">
        <v>0</v>
      </c>
      <c r="AZ1472" s="46">
        <v>0</v>
      </c>
      <c r="BA1472" s="46">
        <v>0</v>
      </c>
      <c r="BB1472" s="46">
        <v>0</v>
      </c>
      <c r="BC1472" s="46">
        <v>0</v>
      </c>
      <c r="BD1472" s="46">
        <v>0</v>
      </c>
      <c r="BE1472" s="46">
        <v>0</v>
      </c>
      <c r="BF1472" s="46">
        <v>0</v>
      </c>
      <c r="BG1472" s="46" t="s">
        <v>48</v>
      </c>
      <c r="BH1472" s="46">
        <v>0</v>
      </c>
      <c r="BI1472" s="46">
        <v>0</v>
      </c>
      <c r="BJ1472" s="46">
        <v>0</v>
      </c>
      <c r="BK1472" s="46">
        <v>0</v>
      </c>
      <c r="BL1472" s="46">
        <v>0</v>
      </c>
      <c r="BM1472" s="46">
        <v>0</v>
      </c>
      <c r="BN1472" s="46">
        <v>0</v>
      </c>
    </row>
    <row r="1473" spans="1:66" x14ac:dyDescent="0.35">
      <c r="A1473" t="s">
        <v>10475</v>
      </c>
      <c r="B1473" s="44" t="s">
        <v>48</v>
      </c>
      <c r="C1473" t="s">
        <v>211</v>
      </c>
      <c r="D1473" t="s">
        <v>11773</v>
      </c>
      <c r="E1473" t="s">
        <v>10476</v>
      </c>
      <c r="F1473" t="s">
        <v>1942</v>
      </c>
      <c r="G1473" t="s">
        <v>74</v>
      </c>
      <c r="H1473">
        <v>0</v>
      </c>
      <c r="I1473" s="61">
        <v>44798</v>
      </c>
      <c r="J1473" s="33" t="s">
        <v>45</v>
      </c>
      <c r="K1473" s="46">
        <v>0</v>
      </c>
      <c r="L1473">
        <v>9.5</v>
      </c>
      <c r="M1473" t="s">
        <v>48</v>
      </c>
      <c r="N1473" s="46">
        <v>0</v>
      </c>
      <c r="O1473" s="46">
        <v>0</v>
      </c>
      <c r="P1473" s="46">
        <v>0</v>
      </c>
      <c r="Q1473" t="s">
        <v>48</v>
      </c>
      <c r="R1473" t="s">
        <v>48</v>
      </c>
      <c r="S1473" t="s">
        <v>48</v>
      </c>
      <c r="T1473" t="s">
        <v>48</v>
      </c>
      <c r="U1473" t="s">
        <v>48</v>
      </c>
      <c r="V1473" s="47">
        <v>0</v>
      </c>
      <c r="W1473" t="s">
        <v>48</v>
      </c>
      <c r="X1473" t="s">
        <v>48</v>
      </c>
      <c r="Y1473" t="s">
        <v>48</v>
      </c>
      <c r="Z1473">
        <v>0</v>
      </c>
      <c r="AA1473" t="s">
        <v>48</v>
      </c>
      <c r="AB1473" t="s">
        <v>48</v>
      </c>
      <c r="AC1473" t="s">
        <v>63</v>
      </c>
      <c r="AD1473" t="s">
        <v>93</v>
      </c>
      <c r="AE1473" t="s">
        <v>2471</v>
      </c>
      <c r="AF1473" t="s">
        <v>48</v>
      </c>
      <c r="AG1473" t="s">
        <v>48</v>
      </c>
      <c r="AH1473" t="s">
        <v>48</v>
      </c>
      <c r="AI1473" t="s">
        <v>48</v>
      </c>
      <c r="AJ1473" t="s">
        <v>48</v>
      </c>
      <c r="AK1473" t="s">
        <v>48</v>
      </c>
      <c r="AL1473" t="s">
        <v>48</v>
      </c>
      <c r="AM1473" t="s">
        <v>48</v>
      </c>
      <c r="AN1473" t="s">
        <v>48</v>
      </c>
      <c r="AO1473" t="s">
        <v>48</v>
      </c>
      <c r="AP1473" s="46">
        <v>0</v>
      </c>
      <c r="AQ1473" s="46">
        <v>0</v>
      </c>
      <c r="AR1473" s="46">
        <v>0</v>
      </c>
      <c r="AS1473" s="46">
        <v>0</v>
      </c>
      <c r="AT1473" s="46">
        <v>0</v>
      </c>
      <c r="AU1473" s="46">
        <v>0</v>
      </c>
      <c r="AV1473" s="46">
        <v>0</v>
      </c>
      <c r="AW1473" s="46">
        <v>0</v>
      </c>
      <c r="AX1473" s="46">
        <v>0</v>
      </c>
      <c r="AY1473" s="46">
        <v>0</v>
      </c>
      <c r="AZ1473" s="46">
        <v>0</v>
      </c>
      <c r="BA1473" s="46">
        <v>0</v>
      </c>
      <c r="BB1473" s="46">
        <v>0</v>
      </c>
      <c r="BC1473" s="46">
        <v>0</v>
      </c>
      <c r="BD1473" s="46">
        <v>0</v>
      </c>
      <c r="BE1473" s="46">
        <v>0</v>
      </c>
      <c r="BF1473" s="46">
        <v>0</v>
      </c>
      <c r="BG1473" s="46" t="s">
        <v>48</v>
      </c>
      <c r="BH1473" s="46">
        <v>0</v>
      </c>
      <c r="BI1473" s="46">
        <v>0</v>
      </c>
      <c r="BJ1473" s="46">
        <v>0</v>
      </c>
      <c r="BK1473" s="46">
        <v>0</v>
      </c>
      <c r="BL1473" s="46">
        <v>0</v>
      </c>
      <c r="BM1473" s="46">
        <v>0</v>
      </c>
      <c r="BN1473" s="46">
        <v>0</v>
      </c>
    </row>
    <row r="1474" spans="1:66" x14ac:dyDescent="0.35">
      <c r="A1474" t="s">
        <v>1941</v>
      </c>
      <c r="B1474" s="44" t="s">
        <v>48</v>
      </c>
      <c r="C1474" t="s">
        <v>1945</v>
      </c>
      <c r="D1474" t="s">
        <v>390</v>
      </c>
      <c r="E1474" t="s">
        <v>1943</v>
      </c>
      <c r="F1474" t="s">
        <v>1942</v>
      </c>
      <c r="G1474" t="s">
        <v>74</v>
      </c>
      <c r="H1474">
        <v>0</v>
      </c>
      <c r="I1474" s="60" t="s">
        <v>51</v>
      </c>
      <c r="J1474" s="33" t="s">
        <v>45</v>
      </c>
      <c r="K1474" s="46">
        <v>0</v>
      </c>
      <c r="L1474">
        <v>1.3</v>
      </c>
      <c r="M1474" t="s">
        <v>48</v>
      </c>
      <c r="N1474" s="46">
        <v>0</v>
      </c>
      <c r="O1474" s="46">
        <v>0</v>
      </c>
      <c r="P1474" s="46">
        <v>0</v>
      </c>
      <c r="Q1474" t="s">
        <v>48</v>
      </c>
      <c r="R1474" t="s">
        <v>48</v>
      </c>
      <c r="S1474" t="s">
        <v>1944</v>
      </c>
      <c r="T1474" t="s">
        <v>48</v>
      </c>
      <c r="U1474" t="s">
        <v>1944</v>
      </c>
      <c r="V1474" s="47">
        <v>0</v>
      </c>
      <c r="W1474" t="s">
        <v>11317</v>
      </c>
      <c r="X1474" t="s">
        <v>48</v>
      </c>
      <c r="Y1474" t="s">
        <v>48</v>
      </c>
      <c r="Z1474">
        <v>0</v>
      </c>
      <c r="AA1474" t="s">
        <v>48</v>
      </c>
      <c r="AB1474" t="s">
        <v>48</v>
      </c>
      <c r="AC1474" t="s">
        <v>49</v>
      </c>
      <c r="AD1474" t="s">
        <v>93</v>
      </c>
      <c r="AE1474" t="s">
        <v>4532</v>
      </c>
      <c r="AF1474" t="s">
        <v>48</v>
      </c>
      <c r="AG1474" t="s">
        <v>48</v>
      </c>
      <c r="AH1474" t="s">
        <v>48</v>
      </c>
      <c r="AI1474" t="s">
        <v>48</v>
      </c>
      <c r="AJ1474" t="s">
        <v>48</v>
      </c>
      <c r="AK1474" t="s">
        <v>48</v>
      </c>
      <c r="AL1474" t="s">
        <v>48</v>
      </c>
      <c r="AM1474" t="s">
        <v>48</v>
      </c>
      <c r="AN1474" t="s">
        <v>48</v>
      </c>
      <c r="AO1474" t="s">
        <v>48</v>
      </c>
      <c r="AP1474" s="46">
        <v>0</v>
      </c>
      <c r="AQ1474" s="46">
        <v>0</v>
      </c>
      <c r="AR1474" s="46">
        <v>0</v>
      </c>
      <c r="AS1474" s="46">
        <v>0</v>
      </c>
      <c r="AT1474" s="46">
        <v>0</v>
      </c>
      <c r="AU1474" s="46">
        <v>0</v>
      </c>
      <c r="AV1474" s="46">
        <v>0</v>
      </c>
      <c r="AW1474" s="46">
        <v>0</v>
      </c>
      <c r="AX1474" s="46">
        <v>0</v>
      </c>
      <c r="AY1474" s="46">
        <v>0</v>
      </c>
      <c r="AZ1474" s="46">
        <v>0</v>
      </c>
      <c r="BA1474" s="46">
        <v>0</v>
      </c>
      <c r="BB1474" s="46">
        <v>0</v>
      </c>
      <c r="BC1474" s="46">
        <v>0</v>
      </c>
      <c r="BD1474" s="46">
        <v>0</v>
      </c>
      <c r="BE1474" s="46">
        <v>0</v>
      </c>
      <c r="BF1474" s="46">
        <v>0</v>
      </c>
      <c r="BG1474" s="46" t="s">
        <v>48</v>
      </c>
      <c r="BH1474" s="46">
        <v>0</v>
      </c>
      <c r="BI1474" s="46">
        <v>0</v>
      </c>
      <c r="BJ1474" s="46">
        <v>0</v>
      </c>
      <c r="BK1474" s="46">
        <v>0</v>
      </c>
      <c r="BL1474" s="46">
        <v>0</v>
      </c>
      <c r="BM1474" s="46">
        <v>0</v>
      </c>
      <c r="BN1474" s="46">
        <v>0</v>
      </c>
    </row>
    <row r="1475" spans="1:66" x14ac:dyDescent="0.35">
      <c r="A1475" t="s">
        <v>1946</v>
      </c>
      <c r="B1475" s="44" t="s">
        <v>48</v>
      </c>
      <c r="C1475" t="s">
        <v>1949</v>
      </c>
      <c r="D1475" t="s">
        <v>273</v>
      </c>
      <c r="E1475" t="s">
        <v>1947</v>
      </c>
      <c r="F1475" t="s">
        <v>1942</v>
      </c>
      <c r="G1475" t="s">
        <v>74</v>
      </c>
      <c r="H1475">
        <v>0</v>
      </c>
      <c r="I1475" s="60" t="s">
        <v>125</v>
      </c>
      <c r="J1475" s="33" t="s">
        <v>45</v>
      </c>
      <c r="K1475" s="46">
        <v>0</v>
      </c>
      <c r="L1475">
        <v>2.1</v>
      </c>
      <c r="M1475" t="s">
        <v>48</v>
      </c>
      <c r="N1475" s="46">
        <v>0</v>
      </c>
      <c r="O1475" s="46">
        <v>0</v>
      </c>
      <c r="P1475" s="46">
        <v>0</v>
      </c>
      <c r="Q1475" t="s">
        <v>48</v>
      </c>
      <c r="R1475" t="s">
        <v>48</v>
      </c>
      <c r="S1475" t="s">
        <v>1948</v>
      </c>
      <c r="T1475" t="s">
        <v>48</v>
      </c>
      <c r="U1475" t="s">
        <v>1948</v>
      </c>
      <c r="V1475" s="47">
        <v>0</v>
      </c>
      <c r="W1475" t="s">
        <v>48</v>
      </c>
      <c r="X1475" t="s">
        <v>48</v>
      </c>
      <c r="Y1475" t="s">
        <v>48</v>
      </c>
      <c r="Z1475">
        <v>0</v>
      </c>
      <c r="AA1475" t="s">
        <v>48</v>
      </c>
      <c r="AB1475" t="s">
        <v>48</v>
      </c>
      <c r="AC1475" t="s">
        <v>49</v>
      </c>
      <c r="AD1475" t="s">
        <v>93</v>
      </c>
      <c r="AE1475" s="40" t="s">
        <v>2471</v>
      </c>
      <c r="AF1475" t="s">
        <v>11061</v>
      </c>
      <c r="AG1475" t="s">
        <v>48</v>
      </c>
      <c r="AH1475" t="s">
        <v>48</v>
      </c>
      <c r="AI1475" t="s">
        <v>48</v>
      </c>
      <c r="AJ1475" t="s">
        <v>48</v>
      </c>
      <c r="AK1475" t="s">
        <v>48</v>
      </c>
      <c r="AL1475" t="s">
        <v>48</v>
      </c>
      <c r="AM1475" t="s">
        <v>48</v>
      </c>
      <c r="AN1475" t="s">
        <v>48</v>
      </c>
      <c r="AO1475" t="s">
        <v>48</v>
      </c>
      <c r="AP1475" s="46">
        <v>0</v>
      </c>
      <c r="AQ1475" s="46">
        <v>0</v>
      </c>
      <c r="AR1475" s="46">
        <v>0</v>
      </c>
      <c r="AS1475" s="46">
        <v>0</v>
      </c>
      <c r="AT1475" s="46">
        <v>0</v>
      </c>
      <c r="AU1475" s="46">
        <v>0</v>
      </c>
      <c r="AV1475" s="46">
        <v>0</v>
      </c>
      <c r="AW1475" s="46">
        <v>0</v>
      </c>
      <c r="AX1475" s="46">
        <v>0</v>
      </c>
      <c r="AY1475" s="46">
        <v>0</v>
      </c>
      <c r="AZ1475" s="46">
        <v>0</v>
      </c>
      <c r="BA1475" s="46">
        <v>0</v>
      </c>
      <c r="BB1475" s="46">
        <v>0</v>
      </c>
      <c r="BC1475" s="46">
        <v>0</v>
      </c>
      <c r="BD1475" s="46">
        <v>0</v>
      </c>
      <c r="BE1475" s="46">
        <v>0</v>
      </c>
      <c r="BF1475" s="46">
        <v>0</v>
      </c>
      <c r="BG1475" s="46" t="s">
        <v>48</v>
      </c>
      <c r="BH1475" s="46">
        <v>0</v>
      </c>
      <c r="BI1475" s="46">
        <v>0</v>
      </c>
      <c r="BJ1475" s="46">
        <v>0</v>
      </c>
      <c r="BK1475" s="46">
        <v>0</v>
      </c>
      <c r="BL1475" s="46">
        <v>0</v>
      </c>
      <c r="BM1475" s="46">
        <v>0</v>
      </c>
      <c r="BN1475" s="46">
        <v>0</v>
      </c>
    </row>
    <row r="1476" spans="1:66" x14ac:dyDescent="0.35">
      <c r="A1476" t="s">
        <v>10477</v>
      </c>
      <c r="B1476" s="44" t="s">
        <v>48</v>
      </c>
      <c r="C1476" t="s">
        <v>11780</v>
      </c>
      <c r="D1476" t="s">
        <v>11632</v>
      </c>
      <c r="E1476" t="s">
        <v>10478</v>
      </c>
      <c r="F1476" t="s">
        <v>1942</v>
      </c>
      <c r="G1476" t="s">
        <v>74</v>
      </c>
      <c r="H1476">
        <v>0</v>
      </c>
      <c r="I1476" s="60" t="s">
        <v>11552</v>
      </c>
      <c r="J1476" s="33" t="s">
        <v>45</v>
      </c>
      <c r="K1476" s="46">
        <v>0</v>
      </c>
      <c r="L1476">
        <v>1.1000000000000001</v>
      </c>
      <c r="M1476" t="s">
        <v>48</v>
      </c>
      <c r="N1476" s="46">
        <v>0</v>
      </c>
      <c r="O1476" s="46">
        <v>0</v>
      </c>
      <c r="P1476" s="46">
        <v>0</v>
      </c>
      <c r="Q1476" t="s">
        <v>48</v>
      </c>
      <c r="R1476" t="s">
        <v>48</v>
      </c>
      <c r="S1476" t="s">
        <v>11425</v>
      </c>
      <c r="T1476" t="s">
        <v>48</v>
      </c>
      <c r="U1476" t="s">
        <v>10479</v>
      </c>
      <c r="V1476" s="47">
        <v>0</v>
      </c>
      <c r="W1476" t="s">
        <v>48</v>
      </c>
      <c r="X1476" t="s">
        <v>48</v>
      </c>
      <c r="Y1476" t="s">
        <v>48</v>
      </c>
      <c r="Z1476">
        <v>0</v>
      </c>
      <c r="AA1476" t="s">
        <v>48</v>
      </c>
      <c r="AB1476" t="s">
        <v>48</v>
      </c>
      <c r="AC1476" t="s">
        <v>49</v>
      </c>
      <c r="AD1476" t="s">
        <v>93</v>
      </c>
      <c r="AE1476" t="s">
        <v>977</v>
      </c>
      <c r="AF1476" t="s">
        <v>11058</v>
      </c>
      <c r="AG1476" t="s">
        <v>48</v>
      </c>
      <c r="AH1476" t="s">
        <v>48</v>
      </c>
      <c r="AI1476" t="s">
        <v>48</v>
      </c>
      <c r="AJ1476" t="s">
        <v>48</v>
      </c>
      <c r="AK1476" t="s">
        <v>48</v>
      </c>
      <c r="AL1476" t="s">
        <v>48</v>
      </c>
      <c r="AM1476" t="s">
        <v>48</v>
      </c>
      <c r="AN1476" t="s">
        <v>48</v>
      </c>
      <c r="AO1476" t="s">
        <v>48</v>
      </c>
      <c r="AP1476" s="46">
        <v>0</v>
      </c>
      <c r="AQ1476" s="46">
        <v>0</v>
      </c>
      <c r="AR1476" s="46">
        <v>0</v>
      </c>
      <c r="AS1476" s="46">
        <v>0</v>
      </c>
      <c r="AT1476" s="46">
        <v>0</v>
      </c>
      <c r="AU1476" s="46">
        <v>0</v>
      </c>
      <c r="AV1476" s="46">
        <v>0</v>
      </c>
      <c r="AW1476" s="46">
        <v>0</v>
      </c>
      <c r="AX1476" s="46">
        <v>0</v>
      </c>
      <c r="AY1476" s="46">
        <v>0</v>
      </c>
      <c r="AZ1476" s="46">
        <v>0</v>
      </c>
      <c r="BA1476" s="46">
        <v>0</v>
      </c>
      <c r="BB1476" s="46">
        <v>0</v>
      </c>
      <c r="BC1476" s="46">
        <v>0</v>
      </c>
      <c r="BD1476" s="46">
        <v>0</v>
      </c>
      <c r="BE1476" s="46">
        <v>0</v>
      </c>
      <c r="BF1476" s="46">
        <v>0</v>
      </c>
      <c r="BG1476" s="46" t="s">
        <v>48</v>
      </c>
      <c r="BH1476" s="46">
        <v>0</v>
      </c>
      <c r="BI1476" s="46">
        <v>0</v>
      </c>
      <c r="BJ1476" s="46">
        <v>0</v>
      </c>
      <c r="BK1476" s="46">
        <v>0</v>
      </c>
      <c r="BL1476" s="46">
        <v>0</v>
      </c>
      <c r="BM1476" s="46">
        <v>0</v>
      </c>
      <c r="BN1476" s="46">
        <v>0</v>
      </c>
    </row>
    <row r="1477" spans="1:66" x14ac:dyDescent="0.35">
      <c r="A1477" t="s">
        <v>2099</v>
      </c>
      <c r="B1477" s="44" t="s">
        <v>48</v>
      </c>
      <c r="C1477" t="s">
        <v>886</v>
      </c>
      <c r="D1477" t="s">
        <v>11775</v>
      </c>
      <c r="E1477" t="s">
        <v>10486</v>
      </c>
      <c r="F1477" t="s">
        <v>1942</v>
      </c>
      <c r="G1477" t="s">
        <v>47</v>
      </c>
      <c r="H1477">
        <v>0</v>
      </c>
      <c r="I1477" s="60" t="s">
        <v>11552</v>
      </c>
      <c r="J1477" s="33" t="s">
        <v>45</v>
      </c>
      <c r="K1477" s="46">
        <v>0</v>
      </c>
      <c r="L1477">
        <v>5.9</v>
      </c>
      <c r="M1477" t="s">
        <v>48</v>
      </c>
      <c r="N1477" s="46">
        <v>0</v>
      </c>
      <c r="O1477" s="46">
        <v>0</v>
      </c>
      <c r="P1477" s="46">
        <v>0</v>
      </c>
      <c r="Q1477" t="s">
        <v>48</v>
      </c>
      <c r="R1477" t="s">
        <v>48</v>
      </c>
      <c r="S1477" t="s">
        <v>11427</v>
      </c>
      <c r="T1477" t="s">
        <v>48</v>
      </c>
      <c r="U1477" t="s">
        <v>10487</v>
      </c>
      <c r="V1477" s="47">
        <v>0</v>
      </c>
      <c r="W1477" t="s">
        <v>48</v>
      </c>
      <c r="X1477" t="s">
        <v>48</v>
      </c>
      <c r="Y1477" t="s">
        <v>48</v>
      </c>
      <c r="Z1477">
        <v>0</v>
      </c>
      <c r="AA1477" t="s">
        <v>48</v>
      </c>
      <c r="AB1477" t="s">
        <v>48</v>
      </c>
      <c r="AC1477" t="s">
        <v>63</v>
      </c>
      <c r="AD1477" t="s">
        <v>93</v>
      </c>
      <c r="AE1477" t="s">
        <v>2471</v>
      </c>
      <c r="AF1477" t="s">
        <v>48</v>
      </c>
      <c r="AG1477" t="s">
        <v>48</v>
      </c>
      <c r="AH1477" t="s">
        <v>48</v>
      </c>
      <c r="AI1477" t="s">
        <v>48</v>
      </c>
      <c r="AJ1477" t="s">
        <v>48</v>
      </c>
      <c r="AK1477" t="s">
        <v>48</v>
      </c>
      <c r="AL1477" t="s">
        <v>48</v>
      </c>
      <c r="AM1477" t="s">
        <v>48</v>
      </c>
      <c r="AN1477" t="s">
        <v>48</v>
      </c>
      <c r="AO1477" t="s">
        <v>48</v>
      </c>
      <c r="AP1477" s="46">
        <v>0</v>
      </c>
      <c r="AQ1477" s="46">
        <v>0</v>
      </c>
      <c r="AR1477" s="46">
        <v>0</v>
      </c>
      <c r="AS1477" s="46">
        <v>0</v>
      </c>
      <c r="AT1477" s="46">
        <v>0</v>
      </c>
      <c r="AU1477" s="46">
        <v>0</v>
      </c>
      <c r="AV1477" s="46">
        <v>0</v>
      </c>
      <c r="AW1477" s="46">
        <v>0</v>
      </c>
      <c r="AX1477" s="46">
        <v>0</v>
      </c>
      <c r="AY1477" s="46">
        <v>0</v>
      </c>
      <c r="AZ1477" s="46">
        <v>0</v>
      </c>
      <c r="BA1477" s="46">
        <v>0</v>
      </c>
      <c r="BB1477" s="46">
        <v>0</v>
      </c>
      <c r="BC1477" s="46">
        <v>0</v>
      </c>
      <c r="BD1477" s="46">
        <v>0</v>
      </c>
      <c r="BE1477" s="46">
        <v>0</v>
      </c>
      <c r="BF1477" s="46">
        <v>0</v>
      </c>
      <c r="BG1477" s="46" t="s">
        <v>48</v>
      </c>
      <c r="BH1477" s="46">
        <v>0</v>
      </c>
      <c r="BI1477" s="46">
        <v>0</v>
      </c>
      <c r="BJ1477" s="46">
        <v>0</v>
      </c>
      <c r="BK1477" s="46">
        <v>0</v>
      </c>
      <c r="BL1477" s="46">
        <v>0</v>
      </c>
      <c r="BM1477" s="46">
        <v>0</v>
      </c>
      <c r="BN1477" s="46">
        <v>0</v>
      </c>
    </row>
    <row r="1478" spans="1:66" x14ac:dyDescent="0.35">
      <c r="A1478" t="s">
        <v>1965</v>
      </c>
      <c r="B1478" s="44" t="s">
        <v>48</v>
      </c>
      <c r="C1478" t="s">
        <v>350</v>
      </c>
      <c r="D1478" t="s">
        <v>602</v>
      </c>
      <c r="E1478" t="s">
        <v>1966</v>
      </c>
      <c r="F1478" t="s">
        <v>1942</v>
      </c>
      <c r="G1478" t="s">
        <v>74</v>
      </c>
      <c r="H1478">
        <v>0</v>
      </c>
      <c r="I1478" s="60" t="s">
        <v>51</v>
      </c>
      <c r="J1478" s="33" t="s">
        <v>45</v>
      </c>
      <c r="K1478" s="46">
        <v>0</v>
      </c>
      <c r="L1478">
        <v>7</v>
      </c>
      <c r="M1478" t="s">
        <v>48</v>
      </c>
      <c r="N1478" s="46">
        <v>0</v>
      </c>
      <c r="O1478" s="46">
        <v>0</v>
      </c>
      <c r="P1478" s="46">
        <v>0</v>
      </c>
      <c r="Q1478" t="s">
        <v>48</v>
      </c>
      <c r="R1478" t="s">
        <v>48</v>
      </c>
      <c r="S1478" t="s">
        <v>1967</v>
      </c>
      <c r="T1478" t="s">
        <v>48</v>
      </c>
      <c r="U1478" t="s">
        <v>1967</v>
      </c>
      <c r="V1478" s="47">
        <v>0</v>
      </c>
      <c r="W1478" t="s">
        <v>48</v>
      </c>
      <c r="X1478" t="s">
        <v>48</v>
      </c>
      <c r="Y1478" t="s">
        <v>48</v>
      </c>
      <c r="Z1478">
        <v>0</v>
      </c>
      <c r="AA1478" t="s">
        <v>48</v>
      </c>
      <c r="AB1478" t="s">
        <v>48</v>
      </c>
      <c r="AC1478" t="s">
        <v>63</v>
      </c>
      <c r="AD1478" t="s">
        <v>93</v>
      </c>
      <c r="AE1478" s="40" t="s">
        <v>2471</v>
      </c>
      <c r="AF1478" t="s">
        <v>11061</v>
      </c>
      <c r="AG1478" t="s">
        <v>48</v>
      </c>
      <c r="AH1478" t="s">
        <v>48</v>
      </c>
      <c r="AI1478" t="s">
        <v>48</v>
      </c>
      <c r="AJ1478" t="s">
        <v>48</v>
      </c>
      <c r="AK1478" t="s">
        <v>48</v>
      </c>
      <c r="AL1478" t="s">
        <v>48</v>
      </c>
      <c r="AM1478" t="s">
        <v>48</v>
      </c>
      <c r="AN1478" t="s">
        <v>48</v>
      </c>
      <c r="AO1478" t="s">
        <v>48</v>
      </c>
      <c r="AP1478" s="46">
        <v>0</v>
      </c>
      <c r="AQ1478" s="46">
        <v>0</v>
      </c>
      <c r="AR1478" s="46">
        <v>0</v>
      </c>
      <c r="AS1478" s="46">
        <v>0</v>
      </c>
      <c r="AT1478" s="46">
        <v>0</v>
      </c>
      <c r="AU1478" s="46">
        <v>0</v>
      </c>
      <c r="AV1478" s="46">
        <v>0</v>
      </c>
      <c r="AW1478" s="46">
        <v>0</v>
      </c>
      <c r="AX1478" s="46">
        <v>0</v>
      </c>
      <c r="AY1478" s="46">
        <v>0</v>
      </c>
      <c r="AZ1478" s="46">
        <v>0</v>
      </c>
      <c r="BA1478" s="46">
        <v>0</v>
      </c>
      <c r="BB1478" s="46">
        <v>0</v>
      </c>
      <c r="BC1478" s="46">
        <v>0</v>
      </c>
      <c r="BD1478" s="46">
        <v>0</v>
      </c>
      <c r="BE1478" s="46">
        <v>0</v>
      </c>
      <c r="BF1478" s="46">
        <v>0</v>
      </c>
      <c r="BG1478" s="46" t="s">
        <v>48</v>
      </c>
      <c r="BH1478" s="46">
        <v>0</v>
      </c>
      <c r="BI1478" s="46">
        <v>0</v>
      </c>
      <c r="BJ1478" s="46">
        <v>0</v>
      </c>
      <c r="BK1478" s="46">
        <v>0</v>
      </c>
      <c r="BL1478" s="46">
        <v>0</v>
      </c>
      <c r="BM1478" s="46">
        <v>0</v>
      </c>
      <c r="BN1478" s="46">
        <v>0</v>
      </c>
    </row>
    <row r="1479" spans="1:66" x14ac:dyDescent="0.35">
      <c r="A1479" t="s">
        <v>1982</v>
      </c>
      <c r="B1479" s="44" t="s">
        <v>48</v>
      </c>
      <c r="C1479" t="s">
        <v>1984</v>
      </c>
      <c r="D1479" t="s">
        <v>367</v>
      </c>
      <c r="E1479" t="s">
        <v>1983</v>
      </c>
      <c r="F1479" t="s">
        <v>1942</v>
      </c>
      <c r="G1479" t="s">
        <v>47</v>
      </c>
      <c r="H1479">
        <v>0</v>
      </c>
      <c r="I1479" s="60" t="s">
        <v>125</v>
      </c>
      <c r="J1479" s="33" t="s">
        <v>45</v>
      </c>
      <c r="K1479" s="46">
        <v>0</v>
      </c>
      <c r="L1479">
        <v>13</v>
      </c>
      <c r="M1479" t="s">
        <v>48</v>
      </c>
      <c r="N1479" s="46">
        <v>0</v>
      </c>
      <c r="O1479" s="46">
        <v>0</v>
      </c>
      <c r="P1479" s="46">
        <v>0</v>
      </c>
      <c r="Q1479" t="s">
        <v>48</v>
      </c>
      <c r="R1479" t="s">
        <v>48</v>
      </c>
      <c r="S1479" t="s">
        <v>48</v>
      </c>
      <c r="T1479" t="s">
        <v>48</v>
      </c>
      <c r="U1479" t="s">
        <v>48</v>
      </c>
      <c r="V1479" s="47">
        <v>0</v>
      </c>
      <c r="W1479" t="s">
        <v>48</v>
      </c>
      <c r="X1479" t="s">
        <v>48</v>
      </c>
      <c r="Y1479" t="s">
        <v>48</v>
      </c>
      <c r="Z1479">
        <v>0</v>
      </c>
      <c r="AA1479" t="s">
        <v>48</v>
      </c>
      <c r="AB1479" t="s">
        <v>48</v>
      </c>
      <c r="AC1479" t="s">
        <v>49</v>
      </c>
      <c r="AD1479" t="s">
        <v>93</v>
      </c>
      <c r="AE1479" t="s">
        <v>4532</v>
      </c>
      <c r="AF1479" t="s">
        <v>48</v>
      </c>
      <c r="AG1479" t="s">
        <v>48</v>
      </c>
      <c r="AH1479" t="s">
        <v>48</v>
      </c>
      <c r="AI1479" t="s">
        <v>48</v>
      </c>
      <c r="AJ1479" t="s">
        <v>48</v>
      </c>
      <c r="AK1479" t="s">
        <v>48</v>
      </c>
      <c r="AL1479" t="s">
        <v>48</v>
      </c>
      <c r="AM1479" t="s">
        <v>48</v>
      </c>
      <c r="AN1479" t="s">
        <v>48</v>
      </c>
      <c r="AO1479" t="s">
        <v>48</v>
      </c>
      <c r="AP1479" s="46">
        <v>0</v>
      </c>
      <c r="AQ1479" s="46">
        <v>0</v>
      </c>
      <c r="AR1479" s="46">
        <v>0</v>
      </c>
      <c r="AS1479" s="46">
        <v>0</v>
      </c>
      <c r="AT1479" s="46">
        <v>0</v>
      </c>
      <c r="AU1479" s="46">
        <v>0</v>
      </c>
      <c r="AV1479" s="46">
        <v>0</v>
      </c>
      <c r="AW1479" s="46">
        <v>0</v>
      </c>
      <c r="AX1479" s="46">
        <v>0</v>
      </c>
      <c r="AY1479" s="46">
        <v>0</v>
      </c>
      <c r="AZ1479" s="46">
        <v>0</v>
      </c>
      <c r="BA1479" s="46">
        <v>0</v>
      </c>
      <c r="BB1479" s="46">
        <v>0</v>
      </c>
      <c r="BC1479" s="46">
        <v>0</v>
      </c>
      <c r="BD1479" s="46">
        <v>0</v>
      </c>
      <c r="BE1479" s="46">
        <v>0</v>
      </c>
      <c r="BF1479" s="46">
        <v>0</v>
      </c>
      <c r="BG1479" s="46" t="s">
        <v>48</v>
      </c>
      <c r="BH1479" s="46">
        <v>0</v>
      </c>
      <c r="BI1479" s="46">
        <v>0</v>
      </c>
      <c r="BJ1479" s="46">
        <v>0</v>
      </c>
      <c r="BK1479" s="46">
        <v>0</v>
      </c>
      <c r="BL1479" s="46">
        <v>0</v>
      </c>
      <c r="BM1479" s="46">
        <v>0</v>
      </c>
      <c r="BN1479" s="46">
        <v>0</v>
      </c>
    </row>
    <row r="1480" spans="1:66" x14ac:dyDescent="0.35">
      <c r="A1480" t="s">
        <v>1950</v>
      </c>
      <c r="B1480" s="44" t="s">
        <v>48</v>
      </c>
      <c r="C1480" t="s">
        <v>1955</v>
      </c>
      <c r="D1480" t="s">
        <v>1954</v>
      </c>
      <c r="E1480" t="s">
        <v>1951</v>
      </c>
      <c r="F1480" t="s">
        <v>1942</v>
      </c>
      <c r="G1480" t="s">
        <v>74</v>
      </c>
      <c r="H1480">
        <v>0</v>
      </c>
      <c r="I1480" s="60" t="s">
        <v>51</v>
      </c>
      <c r="J1480" s="33" t="s">
        <v>45</v>
      </c>
      <c r="K1480" s="46">
        <v>0</v>
      </c>
      <c r="L1480">
        <v>24.7</v>
      </c>
      <c r="M1480" t="s">
        <v>48</v>
      </c>
      <c r="N1480" s="46">
        <v>0</v>
      </c>
      <c r="O1480" s="46">
        <v>0</v>
      </c>
      <c r="P1480" s="46">
        <v>0</v>
      </c>
      <c r="Q1480" t="s">
        <v>48</v>
      </c>
      <c r="R1480" t="s">
        <v>48</v>
      </c>
      <c r="S1480" t="s">
        <v>1952</v>
      </c>
      <c r="T1480" t="s">
        <v>48</v>
      </c>
      <c r="U1480" t="s">
        <v>1952</v>
      </c>
      <c r="V1480" s="47">
        <v>0</v>
      </c>
      <c r="W1480" t="s">
        <v>48</v>
      </c>
      <c r="X1480" t="s">
        <v>48</v>
      </c>
      <c r="Y1480" t="s">
        <v>48</v>
      </c>
      <c r="Z1480">
        <v>0</v>
      </c>
      <c r="AA1480" t="s">
        <v>1953</v>
      </c>
      <c r="AB1480" t="s">
        <v>48</v>
      </c>
      <c r="AC1480" t="s">
        <v>49</v>
      </c>
      <c r="AD1480" t="s">
        <v>93</v>
      </c>
      <c r="AE1480" s="40" t="s">
        <v>2471</v>
      </c>
      <c r="AF1480" t="s">
        <v>11061</v>
      </c>
      <c r="AG1480" t="s">
        <v>48</v>
      </c>
      <c r="AH1480" t="s">
        <v>48</v>
      </c>
      <c r="AI1480" t="s">
        <v>48</v>
      </c>
      <c r="AJ1480" t="s">
        <v>48</v>
      </c>
      <c r="AK1480" t="s">
        <v>48</v>
      </c>
      <c r="AL1480" t="s">
        <v>48</v>
      </c>
      <c r="AM1480" t="s">
        <v>48</v>
      </c>
      <c r="AN1480" t="s">
        <v>48</v>
      </c>
      <c r="AO1480" t="s">
        <v>48</v>
      </c>
      <c r="AP1480" s="46">
        <v>0</v>
      </c>
      <c r="AQ1480" s="46">
        <v>0</v>
      </c>
      <c r="AR1480" s="46">
        <v>0</v>
      </c>
      <c r="AS1480" s="46">
        <v>0</v>
      </c>
      <c r="AT1480" s="46">
        <v>0</v>
      </c>
      <c r="AU1480" s="46">
        <v>0</v>
      </c>
      <c r="AV1480" s="46">
        <v>0</v>
      </c>
      <c r="AW1480" s="46">
        <v>0</v>
      </c>
      <c r="AX1480" s="46">
        <v>0</v>
      </c>
      <c r="AY1480" s="46">
        <v>0</v>
      </c>
      <c r="AZ1480" s="46">
        <v>0</v>
      </c>
      <c r="BA1480" s="46">
        <v>0</v>
      </c>
      <c r="BB1480" s="46">
        <v>0</v>
      </c>
      <c r="BC1480" s="46">
        <v>0</v>
      </c>
      <c r="BD1480" s="46">
        <v>0</v>
      </c>
      <c r="BE1480" s="46">
        <v>0</v>
      </c>
      <c r="BF1480" s="46">
        <v>0</v>
      </c>
      <c r="BG1480" s="46" t="s">
        <v>48</v>
      </c>
      <c r="BH1480" s="46">
        <v>0</v>
      </c>
      <c r="BI1480" s="46">
        <v>0</v>
      </c>
      <c r="BJ1480" s="46">
        <v>0</v>
      </c>
      <c r="BK1480" s="46">
        <v>0</v>
      </c>
      <c r="BL1480" s="46">
        <v>0</v>
      </c>
      <c r="BM1480" s="46">
        <v>0</v>
      </c>
      <c r="BN1480" s="46">
        <v>0</v>
      </c>
    </row>
    <row r="1481" spans="1:66" x14ac:dyDescent="0.35">
      <c r="A1481" t="s">
        <v>1961</v>
      </c>
      <c r="B1481" s="44" t="s">
        <v>48</v>
      </c>
      <c r="C1481" t="s">
        <v>1028</v>
      </c>
      <c r="D1481" t="s">
        <v>1964</v>
      </c>
      <c r="E1481" t="s">
        <v>1962</v>
      </c>
      <c r="F1481" t="s">
        <v>1942</v>
      </c>
      <c r="G1481" t="s">
        <v>74</v>
      </c>
      <c r="H1481">
        <v>0</v>
      </c>
      <c r="I1481" s="60" t="s">
        <v>51</v>
      </c>
      <c r="J1481" s="33" t="s">
        <v>45</v>
      </c>
      <c r="K1481" s="46">
        <v>0</v>
      </c>
      <c r="L1481">
        <v>1.9</v>
      </c>
      <c r="M1481" t="s">
        <v>48</v>
      </c>
      <c r="N1481" s="46">
        <v>0</v>
      </c>
      <c r="O1481" s="46">
        <v>0</v>
      </c>
      <c r="P1481" s="46">
        <v>0</v>
      </c>
      <c r="Q1481" t="s">
        <v>48</v>
      </c>
      <c r="R1481" t="s">
        <v>48</v>
      </c>
      <c r="S1481" t="s">
        <v>1963</v>
      </c>
      <c r="T1481" t="s">
        <v>48</v>
      </c>
      <c r="U1481" t="s">
        <v>1963</v>
      </c>
      <c r="V1481" s="47">
        <v>0</v>
      </c>
      <c r="W1481" t="s">
        <v>48</v>
      </c>
      <c r="X1481" t="s">
        <v>48</v>
      </c>
      <c r="Y1481" t="s">
        <v>48</v>
      </c>
      <c r="Z1481">
        <v>0</v>
      </c>
      <c r="AA1481" t="s">
        <v>48</v>
      </c>
      <c r="AB1481" t="s">
        <v>48</v>
      </c>
      <c r="AC1481" t="s">
        <v>49</v>
      </c>
      <c r="AD1481" t="s">
        <v>93</v>
      </c>
      <c r="AE1481" s="40" t="s">
        <v>2471</v>
      </c>
      <c r="AF1481" t="s">
        <v>11061</v>
      </c>
      <c r="AG1481" t="s">
        <v>48</v>
      </c>
      <c r="AH1481" t="s">
        <v>48</v>
      </c>
      <c r="AI1481" t="s">
        <v>48</v>
      </c>
      <c r="AJ1481" t="s">
        <v>48</v>
      </c>
      <c r="AK1481" t="s">
        <v>48</v>
      </c>
      <c r="AL1481" t="s">
        <v>48</v>
      </c>
      <c r="AM1481" t="s">
        <v>48</v>
      </c>
      <c r="AN1481" t="s">
        <v>48</v>
      </c>
      <c r="AO1481" t="s">
        <v>48</v>
      </c>
      <c r="AP1481" s="46">
        <v>0</v>
      </c>
      <c r="AQ1481" s="46">
        <v>0</v>
      </c>
      <c r="AR1481" s="46">
        <v>0</v>
      </c>
      <c r="AS1481" s="46">
        <v>0</v>
      </c>
      <c r="AT1481" s="46">
        <v>0</v>
      </c>
      <c r="AU1481" s="46">
        <v>0</v>
      </c>
      <c r="AV1481" s="46">
        <v>0</v>
      </c>
      <c r="AW1481" s="46">
        <v>0</v>
      </c>
      <c r="AX1481" s="46">
        <v>0</v>
      </c>
      <c r="AY1481" s="46">
        <v>0</v>
      </c>
      <c r="AZ1481" s="46">
        <v>0</v>
      </c>
      <c r="BA1481" s="46">
        <v>0</v>
      </c>
      <c r="BB1481" s="46">
        <v>0</v>
      </c>
      <c r="BC1481" s="46">
        <v>0</v>
      </c>
      <c r="BD1481" s="46">
        <v>0</v>
      </c>
      <c r="BE1481" s="46">
        <v>0</v>
      </c>
      <c r="BF1481" s="46">
        <v>0</v>
      </c>
      <c r="BG1481" s="46" t="s">
        <v>48</v>
      </c>
      <c r="BH1481" s="46">
        <v>0</v>
      </c>
      <c r="BI1481" s="46">
        <v>0</v>
      </c>
      <c r="BJ1481" s="46">
        <v>0</v>
      </c>
      <c r="BK1481" s="46">
        <v>0</v>
      </c>
      <c r="BL1481" s="46">
        <v>0</v>
      </c>
      <c r="BM1481" s="46">
        <v>0</v>
      </c>
      <c r="BN1481" s="46">
        <v>0</v>
      </c>
    </row>
    <row r="1482" spans="1:66" x14ac:dyDescent="0.35">
      <c r="A1482" t="s">
        <v>1976</v>
      </c>
      <c r="B1482" s="44" t="s">
        <v>48</v>
      </c>
      <c r="C1482" t="s">
        <v>1980</v>
      </c>
      <c r="D1482" t="s">
        <v>1979</v>
      </c>
      <c r="E1482" t="s">
        <v>1977</v>
      </c>
      <c r="F1482" t="s">
        <v>1942</v>
      </c>
      <c r="G1482" t="s">
        <v>74</v>
      </c>
      <c r="H1482">
        <v>0</v>
      </c>
      <c r="I1482" s="60" t="s">
        <v>51</v>
      </c>
      <c r="J1482" s="33" t="s">
        <v>45</v>
      </c>
      <c r="K1482" s="46">
        <v>0</v>
      </c>
      <c r="L1482">
        <v>2.2999999999999998</v>
      </c>
      <c r="M1482" t="s">
        <v>48</v>
      </c>
      <c r="N1482" s="46">
        <v>0</v>
      </c>
      <c r="O1482" s="46">
        <v>0</v>
      </c>
      <c r="P1482" s="46">
        <v>0</v>
      </c>
      <c r="Q1482" t="s">
        <v>48</v>
      </c>
      <c r="R1482" t="s">
        <v>48</v>
      </c>
      <c r="S1482" t="s">
        <v>1978</v>
      </c>
      <c r="T1482" t="s">
        <v>48</v>
      </c>
      <c r="U1482" t="s">
        <v>1978</v>
      </c>
      <c r="V1482" s="47">
        <v>0</v>
      </c>
      <c r="W1482" t="s">
        <v>48</v>
      </c>
      <c r="X1482" t="s">
        <v>48</v>
      </c>
      <c r="Y1482" t="s">
        <v>48</v>
      </c>
      <c r="Z1482">
        <v>0</v>
      </c>
      <c r="AA1482" t="s">
        <v>48</v>
      </c>
      <c r="AB1482" t="s">
        <v>48</v>
      </c>
      <c r="AC1482" t="s">
        <v>63</v>
      </c>
      <c r="AD1482" t="s">
        <v>93</v>
      </c>
      <c r="AE1482" t="s">
        <v>4532</v>
      </c>
      <c r="AF1482" t="s">
        <v>48</v>
      </c>
      <c r="AG1482" t="s">
        <v>48</v>
      </c>
      <c r="AH1482" t="s">
        <v>48</v>
      </c>
      <c r="AI1482" t="s">
        <v>48</v>
      </c>
      <c r="AJ1482" t="s">
        <v>48</v>
      </c>
      <c r="AK1482" t="s">
        <v>48</v>
      </c>
      <c r="AL1482" t="s">
        <v>48</v>
      </c>
      <c r="AM1482" t="s">
        <v>48</v>
      </c>
      <c r="AN1482" t="s">
        <v>48</v>
      </c>
      <c r="AO1482" t="s">
        <v>48</v>
      </c>
      <c r="AP1482" s="46">
        <v>0</v>
      </c>
      <c r="AQ1482" s="46">
        <v>0</v>
      </c>
      <c r="AR1482" s="46">
        <v>0</v>
      </c>
      <c r="AS1482" s="46">
        <v>0</v>
      </c>
      <c r="AT1482" s="46">
        <v>0</v>
      </c>
      <c r="AU1482" s="46">
        <v>0</v>
      </c>
      <c r="AV1482" s="46">
        <v>0</v>
      </c>
      <c r="AW1482" s="46">
        <v>0</v>
      </c>
      <c r="AX1482" s="46">
        <v>0</v>
      </c>
      <c r="AY1482" s="46">
        <v>0</v>
      </c>
      <c r="AZ1482" s="46">
        <v>0</v>
      </c>
      <c r="BA1482" s="46">
        <v>0</v>
      </c>
      <c r="BB1482" s="46">
        <v>0</v>
      </c>
      <c r="BC1482" s="46">
        <v>0</v>
      </c>
      <c r="BD1482" s="46">
        <v>0</v>
      </c>
      <c r="BE1482" s="46">
        <v>0</v>
      </c>
      <c r="BF1482" s="46">
        <v>0</v>
      </c>
      <c r="BG1482" s="46" t="s">
        <v>48</v>
      </c>
      <c r="BH1482" s="46">
        <v>0</v>
      </c>
      <c r="BI1482" s="46">
        <v>0</v>
      </c>
      <c r="BJ1482" s="46">
        <v>0</v>
      </c>
      <c r="BK1482" s="46">
        <v>0</v>
      </c>
      <c r="BL1482" s="46">
        <v>0</v>
      </c>
      <c r="BM1482" s="46">
        <v>0</v>
      </c>
      <c r="BN1482" s="46">
        <v>0</v>
      </c>
    </row>
    <row r="1483" spans="1:66" x14ac:dyDescent="0.35">
      <c r="A1483" t="s">
        <v>10483</v>
      </c>
      <c r="B1483" s="44" t="s">
        <v>48</v>
      </c>
      <c r="C1483" t="s">
        <v>11778</v>
      </c>
      <c r="D1483" t="s">
        <v>11779</v>
      </c>
      <c r="E1483" t="s">
        <v>10484</v>
      </c>
      <c r="F1483" t="s">
        <v>1942</v>
      </c>
      <c r="G1483" t="s">
        <v>47</v>
      </c>
      <c r="H1483">
        <v>0</v>
      </c>
      <c r="I1483" s="60" t="s">
        <v>11552</v>
      </c>
      <c r="J1483" s="33" t="s">
        <v>45</v>
      </c>
      <c r="K1483" s="46">
        <v>0</v>
      </c>
      <c r="L1483">
        <v>11.7</v>
      </c>
      <c r="M1483" t="s">
        <v>48</v>
      </c>
      <c r="N1483" s="46">
        <v>0</v>
      </c>
      <c r="O1483" s="46">
        <v>0</v>
      </c>
      <c r="P1483" s="46">
        <v>0</v>
      </c>
      <c r="Q1483" t="s">
        <v>48</v>
      </c>
      <c r="R1483" t="s">
        <v>48</v>
      </c>
      <c r="S1483" t="s">
        <v>11428</v>
      </c>
      <c r="T1483" t="s">
        <v>48</v>
      </c>
      <c r="U1483" t="s">
        <v>10485</v>
      </c>
      <c r="V1483" s="47">
        <v>0</v>
      </c>
      <c r="W1483" t="s">
        <v>48</v>
      </c>
      <c r="X1483" t="s">
        <v>48</v>
      </c>
      <c r="Y1483" t="s">
        <v>48</v>
      </c>
      <c r="Z1483">
        <v>0</v>
      </c>
      <c r="AA1483" t="s">
        <v>48</v>
      </c>
      <c r="AB1483" t="s">
        <v>48</v>
      </c>
      <c r="AC1483" t="s">
        <v>63</v>
      </c>
      <c r="AD1483" t="s">
        <v>93</v>
      </c>
      <c r="AE1483" t="s">
        <v>977</v>
      </c>
      <c r="AF1483" t="s">
        <v>48</v>
      </c>
      <c r="AG1483" t="s">
        <v>48</v>
      </c>
      <c r="AH1483" t="s">
        <v>48</v>
      </c>
      <c r="AI1483" t="s">
        <v>48</v>
      </c>
      <c r="AJ1483" t="s">
        <v>48</v>
      </c>
      <c r="AK1483" t="s">
        <v>48</v>
      </c>
      <c r="AL1483" t="s">
        <v>48</v>
      </c>
      <c r="AM1483" t="s">
        <v>48</v>
      </c>
      <c r="AN1483" t="s">
        <v>48</v>
      </c>
      <c r="AO1483" t="s">
        <v>48</v>
      </c>
      <c r="AP1483" s="46">
        <v>0</v>
      </c>
      <c r="AQ1483" s="46">
        <v>0</v>
      </c>
      <c r="AR1483" s="46">
        <v>0</v>
      </c>
      <c r="AS1483" s="46">
        <v>0</v>
      </c>
      <c r="AT1483" s="46">
        <v>0</v>
      </c>
      <c r="AU1483" s="46">
        <v>0</v>
      </c>
      <c r="AV1483" s="46">
        <v>0</v>
      </c>
      <c r="AW1483" s="46">
        <v>0</v>
      </c>
      <c r="AX1483" s="46">
        <v>0</v>
      </c>
      <c r="AY1483" s="46">
        <v>0</v>
      </c>
      <c r="AZ1483" s="46">
        <v>0</v>
      </c>
      <c r="BA1483" s="46">
        <v>0</v>
      </c>
      <c r="BB1483" s="46">
        <v>0</v>
      </c>
      <c r="BC1483" s="46">
        <v>0</v>
      </c>
      <c r="BD1483" s="46">
        <v>0</v>
      </c>
      <c r="BE1483" s="46">
        <v>0</v>
      </c>
      <c r="BF1483" s="46">
        <v>0</v>
      </c>
      <c r="BG1483" s="46" t="s">
        <v>48</v>
      </c>
      <c r="BH1483" s="46">
        <v>0</v>
      </c>
      <c r="BI1483" s="46">
        <v>0</v>
      </c>
      <c r="BJ1483" s="46">
        <v>0</v>
      </c>
      <c r="BK1483" s="46">
        <v>0</v>
      </c>
      <c r="BL1483" s="46">
        <v>0</v>
      </c>
      <c r="BM1483" s="46">
        <v>0</v>
      </c>
      <c r="BN1483" s="46">
        <v>0</v>
      </c>
    </row>
    <row r="1484" spans="1:66" x14ac:dyDescent="0.35">
      <c r="A1484" t="s">
        <v>10480</v>
      </c>
      <c r="B1484" s="44" t="s">
        <v>48</v>
      </c>
      <c r="C1484" t="s">
        <v>11776</v>
      </c>
      <c r="D1484" t="s">
        <v>11777</v>
      </c>
      <c r="E1484" t="s">
        <v>10481</v>
      </c>
      <c r="F1484" t="s">
        <v>1942</v>
      </c>
      <c r="G1484" t="s">
        <v>47</v>
      </c>
      <c r="H1484">
        <v>0</v>
      </c>
      <c r="I1484" s="60" t="s">
        <v>11552</v>
      </c>
      <c r="J1484" s="33" t="s">
        <v>45</v>
      </c>
      <c r="K1484" s="46">
        <v>0</v>
      </c>
      <c r="L1484">
        <v>13.3</v>
      </c>
      <c r="M1484" t="s">
        <v>48</v>
      </c>
      <c r="N1484" s="46">
        <v>0</v>
      </c>
      <c r="O1484" s="46">
        <v>0</v>
      </c>
      <c r="P1484" s="46">
        <v>0</v>
      </c>
      <c r="Q1484" t="s">
        <v>48</v>
      </c>
      <c r="R1484" t="s">
        <v>48</v>
      </c>
      <c r="S1484" t="s">
        <v>11429</v>
      </c>
      <c r="T1484" t="s">
        <v>48</v>
      </c>
      <c r="U1484" t="s">
        <v>10482</v>
      </c>
      <c r="V1484" s="47">
        <v>0</v>
      </c>
      <c r="W1484" t="s">
        <v>48</v>
      </c>
      <c r="X1484" t="s">
        <v>48</v>
      </c>
      <c r="Y1484" t="s">
        <v>48</v>
      </c>
      <c r="Z1484">
        <v>0</v>
      </c>
      <c r="AA1484" t="s">
        <v>48</v>
      </c>
      <c r="AB1484" t="s">
        <v>48</v>
      </c>
      <c r="AC1484" t="s">
        <v>49</v>
      </c>
      <c r="AD1484" t="s">
        <v>93</v>
      </c>
      <c r="AE1484" t="s">
        <v>977</v>
      </c>
      <c r="AF1484" t="s">
        <v>48</v>
      </c>
      <c r="AG1484" t="s">
        <v>48</v>
      </c>
      <c r="AH1484" t="s">
        <v>48</v>
      </c>
      <c r="AI1484" t="s">
        <v>48</v>
      </c>
      <c r="AJ1484" t="s">
        <v>48</v>
      </c>
      <c r="AK1484" t="s">
        <v>48</v>
      </c>
      <c r="AL1484" t="s">
        <v>48</v>
      </c>
      <c r="AM1484" t="s">
        <v>48</v>
      </c>
      <c r="AN1484" t="s">
        <v>48</v>
      </c>
      <c r="AO1484" t="s">
        <v>48</v>
      </c>
      <c r="AP1484" s="46">
        <v>0</v>
      </c>
      <c r="AQ1484" s="46">
        <v>0</v>
      </c>
      <c r="AR1484" s="46">
        <v>0</v>
      </c>
      <c r="AS1484" s="46">
        <v>0</v>
      </c>
      <c r="AT1484" s="46">
        <v>0</v>
      </c>
      <c r="AU1484" s="46">
        <v>0</v>
      </c>
      <c r="AV1484" s="46">
        <v>0</v>
      </c>
      <c r="AW1484" s="46">
        <v>0</v>
      </c>
      <c r="AX1484" s="46">
        <v>0</v>
      </c>
      <c r="AY1484" s="46">
        <v>0</v>
      </c>
      <c r="AZ1484" s="46">
        <v>0</v>
      </c>
      <c r="BA1484" s="46">
        <v>0</v>
      </c>
      <c r="BB1484" s="46">
        <v>0</v>
      </c>
      <c r="BC1484" s="46">
        <v>0</v>
      </c>
      <c r="BD1484" s="46">
        <v>0</v>
      </c>
      <c r="BE1484" s="46">
        <v>0</v>
      </c>
      <c r="BF1484" s="46">
        <v>0</v>
      </c>
      <c r="BG1484" s="46" t="s">
        <v>48</v>
      </c>
      <c r="BH1484" s="46">
        <v>0</v>
      </c>
      <c r="BI1484" s="46">
        <v>0</v>
      </c>
      <c r="BJ1484" s="46">
        <v>0</v>
      </c>
      <c r="BK1484" s="46">
        <v>0</v>
      </c>
      <c r="BL1484" s="46">
        <v>0</v>
      </c>
      <c r="BM1484" s="46">
        <v>0</v>
      </c>
      <c r="BN1484" s="46">
        <v>0</v>
      </c>
    </row>
    <row r="1485" spans="1:66" x14ac:dyDescent="0.35">
      <c r="A1485" t="s">
        <v>1969</v>
      </c>
      <c r="B1485" s="44" t="s">
        <v>48</v>
      </c>
      <c r="C1485" t="s">
        <v>1973</v>
      </c>
      <c r="D1485" t="s">
        <v>1972</v>
      </c>
      <c r="E1485" t="s">
        <v>1970</v>
      </c>
      <c r="F1485" t="s">
        <v>1942</v>
      </c>
      <c r="G1485" t="s">
        <v>47</v>
      </c>
      <c r="H1485">
        <v>0</v>
      </c>
      <c r="I1485" s="60" t="s">
        <v>51</v>
      </c>
      <c r="J1485" s="33" t="s">
        <v>45</v>
      </c>
      <c r="K1485" s="46">
        <v>0</v>
      </c>
      <c r="L1485">
        <v>11.6</v>
      </c>
      <c r="M1485" t="s">
        <v>48</v>
      </c>
      <c r="N1485" s="46">
        <v>0</v>
      </c>
      <c r="O1485" s="46">
        <v>0</v>
      </c>
      <c r="P1485" s="46">
        <v>0</v>
      </c>
      <c r="Q1485" t="s">
        <v>48</v>
      </c>
      <c r="R1485" t="s">
        <v>48</v>
      </c>
      <c r="S1485" t="s">
        <v>1971</v>
      </c>
      <c r="T1485" t="s">
        <v>48</v>
      </c>
      <c r="U1485" t="s">
        <v>1971</v>
      </c>
      <c r="V1485" s="47">
        <v>0</v>
      </c>
      <c r="W1485" t="s">
        <v>48</v>
      </c>
      <c r="X1485" t="s">
        <v>48</v>
      </c>
      <c r="Y1485" t="s">
        <v>48</v>
      </c>
      <c r="Z1485">
        <v>0</v>
      </c>
      <c r="AA1485" t="s">
        <v>48</v>
      </c>
      <c r="AB1485" t="s">
        <v>48</v>
      </c>
      <c r="AC1485" t="s">
        <v>49</v>
      </c>
      <c r="AD1485" t="s">
        <v>93</v>
      </c>
      <c r="AE1485" s="40" t="s">
        <v>2471</v>
      </c>
      <c r="AF1485" t="s">
        <v>11061</v>
      </c>
      <c r="AG1485" t="s">
        <v>48</v>
      </c>
      <c r="AH1485" t="s">
        <v>48</v>
      </c>
      <c r="AI1485" t="s">
        <v>48</v>
      </c>
      <c r="AJ1485" t="s">
        <v>48</v>
      </c>
      <c r="AK1485" t="s">
        <v>48</v>
      </c>
      <c r="AL1485" t="s">
        <v>48</v>
      </c>
      <c r="AM1485" t="s">
        <v>48</v>
      </c>
      <c r="AN1485" t="s">
        <v>48</v>
      </c>
      <c r="AO1485" t="s">
        <v>48</v>
      </c>
      <c r="AP1485" s="46">
        <v>0</v>
      </c>
      <c r="AQ1485" s="46">
        <v>0</v>
      </c>
      <c r="AR1485" s="46">
        <v>0</v>
      </c>
      <c r="AS1485" s="46">
        <v>0</v>
      </c>
      <c r="AT1485" s="46">
        <v>0</v>
      </c>
      <c r="AU1485" s="46">
        <v>0</v>
      </c>
      <c r="AV1485" s="46">
        <v>0</v>
      </c>
      <c r="AW1485" s="46">
        <v>0</v>
      </c>
      <c r="AX1485" s="46">
        <v>0</v>
      </c>
      <c r="AY1485" s="46">
        <v>0</v>
      </c>
      <c r="AZ1485" s="46">
        <v>0</v>
      </c>
      <c r="BA1485" s="46">
        <v>0</v>
      </c>
      <c r="BB1485" s="46">
        <v>0</v>
      </c>
      <c r="BC1485" s="46">
        <v>0</v>
      </c>
      <c r="BD1485" s="46">
        <v>0</v>
      </c>
      <c r="BE1485" s="46">
        <v>0</v>
      </c>
      <c r="BF1485" s="46">
        <v>0</v>
      </c>
      <c r="BG1485" s="46" t="s">
        <v>48</v>
      </c>
      <c r="BH1485" s="46">
        <v>0</v>
      </c>
      <c r="BI1485" s="46">
        <v>0</v>
      </c>
      <c r="BJ1485" s="46">
        <v>0</v>
      </c>
      <c r="BK1485" s="46">
        <v>0</v>
      </c>
      <c r="BL1485" s="46">
        <v>0</v>
      </c>
      <c r="BM1485" s="46">
        <v>0</v>
      </c>
      <c r="BN1485" s="46">
        <v>0</v>
      </c>
    </row>
    <row r="1486" spans="1:66" x14ac:dyDescent="0.35">
      <c r="A1486" t="s">
        <v>10492</v>
      </c>
      <c r="B1486" s="44" t="s">
        <v>48</v>
      </c>
      <c r="C1486" t="s">
        <v>11784</v>
      </c>
      <c r="D1486" t="s">
        <v>11785</v>
      </c>
      <c r="E1486" t="s">
        <v>10493</v>
      </c>
      <c r="F1486" t="s">
        <v>126</v>
      </c>
      <c r="G1486" t="s">
        <v>47</v>
      </c>
      <c r="H1486">
        <v>0</v>
      </c>
      <c r="I1486" s="60" t="s">
        <v>11552</v>
      </c>
      <c r="J1486" s="33" t="s">
        <v>45</v>
      </c>
      <c r="K1486" s="46">
        <v>0</v>
      </c>
      <c r="L1486">
        <v>4.8</v>
      </c>
      <c r="M1486" t="s">
        <v>48</v>
      </c>
      <c r="N1486" s="46">
        <v>0</v>
      </c>
      <c r="O1486" s="46">
        <v>0</v>
      </c>
      <c r="P1486" s="46">
        <v>0</v>
      </c>
      <c r="Q1486" t="s">
        <v>48</v>
      </c>
      <c r="R1486" t="s">
        <v>48</v>
      </c>
      <c r="S1486" t="s">
        <v>11431</v>
      </c>
      <c r="T1486" t="s">
        <v>48</v>
      </c>
      <c r="U1486" t="s">
        <v>10494</v>
      </c>
      <c r="V1486" s="47">
        <v>0</v>
      </c>
      <c r="W1486" t="s">
        <v>48</v>
      </c>
      <c r="X1486" t="s">
        <v>48</v>
      </c>
      <c r="Y1486" t="s">
        <v>48</v>
      </c>
      <c r="Z1486">
        <v>0</v>
      </c>
      <c r="AA1486" t="s">
        <v>48</v>
      </c>
      <c r="AB1486" t="s">
        <v>48</v>
      </c>
      <c r="AC1486" t="s">
        <v>49</v>
      </c>
      <c r="AD1486" t="s">
        <v>48</v>
      </c>
      <c r="AE1486" t="s">
        <v>48</v>
      </c>
      <c r="AF1486" t="s">
        <v>48</v>
      </c>
      <c r="AG1486" t="s">
        <v>48</v>
      </c>
      <c r="AH1486" t="s">
        <v>48</v>
      </c>
      <c r="AI1486" t="s">
        <v>48</v>
      </c>
      <c r="AJ1486" t="s">
        <v>48</v>
      </c>
      <c r="AK1486" t="s">
        <v>48</v>
      </c>
      <c r="AL1486" t="s">
        <v>48</v>
      </c>
      <c r="AM1486" t="s">
        <v>48</v>
      </c>
      <c r="AN1486" t="s">
        <v>48</v>
      </c>
      <c r="AO1486" t="s">
        <v>48</v>
      </c>
      <c r="AP1486" s="46">
        <v>0</v>
      </c>
      <c r="AQ1486" s="46">
        <v>0</v>
      </c>
      <c r="AR1486" s="46">
        <v>0</v>
      </c>
      <c r="AS1486" s="46">
        <v>0</v>
      </c>
      <c r="AT1486" s="46">
        <v>0</v>
      </c>
      <c r="AU1486" s="46">
        <v>0</v>
      </c>
      <c r="AV1486" s="46">
        <v>0</v>
      </c>
      <c r="AW1486" s="46">
        <v>0</v>
      </c>
      <c r="AX1486" s="46">
        <v>0</v>
      </c>
      <c r="AY1486" s="46">
        <v>0</v>
      </c>
      <c r="AZ1486" s="46">
        <v>0</v>
      </c>
      <c r="BA1486" s="46">
        <v>0</v>
      </c>
      <c r="BB1486" s="46">
        <v>0</v>
      </c>
      <c r="BC1486" s="46">
        <v>0</v>
      </c>
      <c r="BD1486" s="46">
        <v>0</v>
      </c>
      <c r="BE1486" s="46">
        <v>0</v>
      </c>
      <c r="BF1486" s="46">
        <v>0</v>
      </c>
      <c r="BG1486" s="46" t="s">
        <v>48</v>
      </c>
      <c r="BH1486" s="46">
        <v>0</v>
      </c>
      <c r="BI1486" s="46">
        <v>0</v>
      </c>
      <c r="BJ1486" s="46">
        <v>0</v>
      </c>
      <c r="BK1486" s="46">
        <v>0</v>
      </c>
      <c r="BL1486" s="46">
        <v>0</v>
      </c>
      <c r="BM1486" s="46">
        <v>0</v>
      </c>
      <c r="BN1486" s="46">
        <v>0</v>
      </c>
    </row>
    <row r="1487" spans="1:66" x14ac:dyDescent="0.35">
      <c r="A1487" t="s">
        <v>2113</v>
      </c>
      <c r="B1487" s="44" t="s">
        <v>48</v>
      </c>
      <c r="C1487" t="s">
        <v>11781</v>
      </c>
      <c r="D1487" t="s">
        <v>2114</v>
      </c>
      <c r="E1487" t="s">
        <v>10491</v>
      </c>
      <c r="F1487" t="s">
        <v>126</v>
      </c>
      <c r="G1487" t="s">
        <v>47</v>
      </c>
      <c r="H1487">
        <v>0</v>
      </c>
      <c r="I1487" s="61">
        <v>44798</v>
      </c>
      <c r="J1487" s="33" t="s">
        <v>45</v>
      </c>
      <c r="K1487" s="46">
        <v>0</v>
      </c>
      <c r="L1487">
        <v>44.2</v>
      </c>
      <c r="M1487" t="s">
        <v>48</v>
      </c>
      <c r="N1487" s="46">
        <v>0</v>
      </c>
      <c r="O1487" s="46">
        <v>0</v>
      </c>
      <c r="P1487" s="46">
        <v>0</v>
      </c>
      <c r="Q1487" t="s">
        <v>48</v>
      </c>
      <c r="R1487" t="s">
        <v>48</v>
      </c>
      <c r="S1487" t="s">
        <v>48</v>
      </c>
      <c r="T1487" t="s">
        <v>48</v>
      </c>
      <c r="U1487" t="s">
        <v>48</v>
      </c>
      <c r="V1487" s="47">
        <v>1</v>
      </c>
      <c r="W1487" t="s">
        <v>11264</v>
      </c>
      <c r="X1487" t="s">
        <v>48</v>
      </c>
      <c r="Y1487" t="s">
        <v>48</v>
      </c>
      <c r="Z1487">
        <v>0</v>
      </c>
      <c r="AA1487" t="s">
        <v>48</v>
      </c>
      <c r="AB1487" t="s">
        <v>48</v>
      </c>
      <c r="AC1487" t="s">
        <v>63</v>
      </c>
      <c r="AD1487" t="s">
        <v>48</v>
      </c>
      <c r="AE1487" t="s">
        <v>48</v>
      </c>
      <c r="AF1487" t="s">
        <v>48</v>
      </c>
      <c r="AG1487" t="s">
        <v>48</v>
      </c>
      <c r="AH1487" t="s">
        <v>48</v>
      </c>
      <c r="AI1487" t="s">
        <v>48</v>
      </c>
      <c r="AJ1487" t="s">
        <v>48</v>
      </c>
      <c r="AK1487" t="s">
        <v>48</v>
      </c>
      <c r="AL1487" t="s">
        <v>48</v>
      </c>
      <c r="AM1487" t="s">
        <v>48</v>
      </c>
      <c r="AN1487" t="s">
        <v>48</v>
      </c>
      <c r="AO1487" t="s">
        <v>48</v>
      </c>
      <c r="AP1487" s="46">
        <v>0</v>
      </c>
      <c r="AQ1487" s="46">
        <v>0</v>
      </c>
      <c r="AR1487" s="46">
        <v>0</v>
      </c>
      <c r="AS1487" s="46">
        <v>0</v>
      </c>
      <c r="AT1487" s="46">
        <v>0</v>
      </c>
      <c r="AU1487" s="46">
        <v>0</v>
      </c>
      <c r="AV1487" s="46">
        <v>0</v>
      </c>
      <c r="AW1487" s="46">
        <v>0</v>
      </c>
      <c r="AX1487" s="46">
        <v>0</v>
      </c>
      <c r="AY1487" s="46">
        <v>0</v>
      </c>
      <c r="AZ1487" s="46">
        <v>0</v>
      </c>
      <c r="BA1487" s="46">
        <v>0</v>
      </c>
      <c r="BB1487" s="46">
        <v>0</v>
      </c>
      <c r="BC1487" s="46">
        <v>0</v>
      </c>
      <c r="BD1487" s="46">
        <v>0</v>
      </c>
      <c r="BE1487" s="46">
        <v>0</v>
      </c>
      <c r="BF1487" s="46">
        <v>0</v>
      </c>
      <c r="BG1487" s="46" t="s">
        <v>48</v>
      </c>
      <c r="BH1487" s="46">
        <v>0</v>
      </c>
      <c r="BI1487" s="46">
        <v>0</v>
      </c>
      <c r="BJ1487" s="46">
        <v>0</v>
      </c>
      <c r="BK1487" s="46">
        <v>0</v>
      </c>
      <c r="BL1487" s="46">
        <v>0</v>
      </c>
      <c r="BM1487" s="46">
        <v>0</v>
      </c>
      <c r="BN1487" s="46">
        <v>0</v>
      </c>
    </row>
    <row r="1488" spans="1:66" x14ac:dyDescent="0.35">
      <c r="A1488" t="s">
        <v>2002</v>
      </c>
      <c r="B1488" s="44" t="s">
        <v>48</v>
      </c>
      <c r="C1488" t="s">
        <v>2005</v>
      </c>
      <c r="D1488" t="s">
        <v>195</v>
      </c>
      <c r="E1488" t="s">
        <v>2003</v>
      </c>
      <c r="F1488" t="s">
        <v>1997</v>
      </c>
      <c r="G1488" t="s">
        <v>47</v>
      </c>
      <c r="H1488">
        <v>0</v>
      </c>
      <c r="I1488" s="60" t="s">
        <v>661</v>
      </c>
      <c r="J1488" s="33" t="s">
        <v>45</v>
      </c>
      <c r="K1488" s="46">
        <v>0</v>
      </c>
      <c r="L1488">
        <v>3.8</v>
      </c>
      <c r="M1488" t="s">
        <v>48</v>
      </c>
      <c r="N1488" s="46">
        <v>0</v>
      </c>
      <c r="O1488" s="46">
        <v>0</v>
      </c>
      <c r="P1488" s="46">
        <v>0</v>
      </c>
      <c r="Q1488" t="s">
        <v>48</v>
      </c>
      <c r="R1488" t="s">
        <v>48</v>
      </c>
      <c r="S1488" t="s">
        <v>2004</v>
      </c>
      <c r="T1488" t="s">
        <v>48</v>
      </c>
      <c r="U1488" t="s">
        <v>2004</v>
      </c>
      <c r="V1488" s="47">
        <v>0</v>
      </c>
      <c r="W1488" t="s">
        <v>48</v>
      </c>
      <c r="X1488" t="s">
        <v>48</v>
      </c>
      <c r="Y1488" t="s">
        <v>48</v>
      </c>
      <c r="Z1488">
        <v>0</v>
      </c>
      <c r="AA1488" t="s">
        <v>48</v>
      </c>
      <c r="AB1488" t="s">
        <v>48</v>
      </c>
      <c r="AC1488" t="s">
        <v>49</v>
      </c>
      <c r="AD1488" t="s">
        <v>93</v>
      </c>
      <c r="AE1488" t="s">
        <v>4532</v>
      </c>
      <c r="AF1488" t="s">
        <v>48</v>
      </c>
      <c r="AG1488" t="s">
        <v>48</v>
      </c>
      <c r="AH1488" t="s">
        <v>48</v>
      </c>
      <c r="AI1488" t="s">
        <v>48</v>
      </c>
      <c r="AJ1488" t="s">
        <v>48</v>
      </c>
      <c r="AK1488" t="s">
        <v>48</v>
      </c>
      <c r="AL1488" t="s">
        <v>48</v>
      </c>
      <c r="AM1488" t="s">
        <v>48</v>
      </c>
      <c r="AN1488" t="s">
        <v>48</v>
      </c>
      <c r="AO1488" t="s">
        <v>48</v>
      </c>
      <c r="AP1488" s="46">
        <v>0</v>
      </c>
      <c r="AQ1488" s="46">
        <v>0</v>
      </c>
      <c r="AR1488" s="46">
        <v>0</v>
      </c>
      <c r="AS1488" s="46">
        <v>0</v>
      </c>
      <c r="AT1488" s="46">
        <v>0</v>
      </c>
      <c r="AU1488" s="46">
        <v>0</v>
      </c>
      <c r="AV1488" s="46">
        <v>0</v>
      </c>
      <c r="AW1488" s="46">
        <v>0</v>
      </c>
      <c r="AX1488" s="46">
        <v>0</v>
      </c>
      <c r="AY1488" s="46">
        <v>0</v>
      </c>
      <c r="AZ1488" s="46">
        <v>0</v>
      </c>
      <c r="BA1488" s="46">
        <v>0</v>
      </c>
      <c r="BB1488" s="46">
        <v>0</v>
      </c>
      <c r="BC1488" s="46">
        <v>0</v>
      </c>
      <c r="BD1488" s="46">
        <v>0</v>
      </c>
      <c r="BE1488" s="46">
        <v>0</v>
      </c>
      <c r="BF1488" s="46">
        <v>0</v>
      </c>
      <c r="BG1488" s="46" t="s">
        <v>48</v>
      </c>
      <c r="BH1488" s="46">
        <v>0</v>
      </c>
      <c r="BI1488" s="46">
        <v>0</v>
      </c>
      <c r="BJ1488" s="46">
        <v>0</v>
      </c>
      <c r="BK1488" s="46">
        <v>0</v>
      </c>
      <c r="BL1488" s="46">
        <v>0</v>
      </c>
      <c r="BM1488" s="46">
        <v>0</v>
      </c>
      <c r="BN1488" s="46">
        <v>0</v>
      </c>
    </row>
    <row r="1489" spans="1:66" x14ac:dyDescent="0.35">
      <c r="A1489" t="s">
        <v>10500</v>
      </c>
      <c r="B1489" s="44" t="s">
        <v>48</v>
      </c>
      <c r="C1489" t="s">
        <v>11786</v>
      </c>
      <c r="D1489" t="s">
        <v>216</v>
      </c>
      <c r="E1489" t="s">
        <v>10501</v>
      </c>
      <c r="F1489" t="s">
        <v>1997</v>
      </c>
      <c r="G1489" t="s">
        <v>47</v>
      </c>
      <c r="H1489">
        <v>0</v>
      </c>
      <c r="I1489" s="60" t="s">
        <v>11552</v>
      </c>
      <c r="J1489" s="33" t="s">
        <v>45</v>
      </c>
      <c r="K1489" s="46">
        <v>0</v>
      </c>
      <c r="L1489">
        <v>4.7</v>
      </c>
      <c r="M1489" t="s">
        <v>48</v>
      </c>
      <c r="N1489" s="46">
        <v>0</v>
      </c>
      <c r="O1489" s="46">
        <v>0</v>
      </c>
      <c r="P1489" s="46">
        <v>0</v>
      </c>
      <c r="Q1489" t="s">
        <v>48</v>
      </c>
      <c r="R1489" t="s">
        <v>48</v>
      </c>
      <c r="S1489" t="s">
        <v>11433</v>
      </c>
      <c r="T1489" t="s">
        <v>48</v>
      </c>
      <c r="U1489" t="s">
        <v>10502</v>
      </c>
      <c r="V1489" s="47">
        <v>0</v>
      </c>
      <c r="W1489" t="s">
        <v>48</v>
      </c>
      <c r="X1489" t="s">
        <v>48</v>
      </c>
      <c r="Y1489" t="s">
        <v>48</v>
      </c>
      <c r="Z1489">
        <v>0</v>
      </c>
      <c r="AA1489" t="s">
        <v>48</v>
      </c>
      <c r="AB1489" t="s">
        <v>48</v>
      </c>
      <c r="AC1489" t="s">
        <v>49</v>
      </c>
      <c r="AD1489" t="s">
        <v>93</v>
      </c>
      <c r="AE1489" t="s">
        <v>4532</v>
      </c>
      <c r="AF1489" t="s">
        <v>48</v>
      </c>
      <c r="AG1489" t="s">
        <v>48</v>
      </c>
      <c r="AH1489" t="s">
        <v>48</v>
      </c>
      <c r="AI1489" t="s">
        <v>48</v>
      </c>
      <c r="AJ1489" t="s">
        <v>48</v>
      </c>
      <c r="AK1489" t="s">
        <v>48</v>
      </c>
      <c r="AL1489" t="s">
        <v>48</v>
      </c>
      <c r="AM1489" t="s">
        <v>48</v>
      </c>
      <c r="AN1489" t="s">
        <v>48</v>
      </c>
      <c r="AO1489" t="s">
        <v>48</v>
      </c>
      <c r="AP1489" s="46">
        <v>0</v>
      </c>
      <c r="AQ1489" s="46">
        <v>0</v>
      </c>
      <c r="AR1489" s="46">
        <v>0</v>
      </c>
      <c r="AS1489" s="46">
        <v>0</v>
      </c>
      <c r="AT1489" s="46">
        <v>0</v>
      </c>
      <c r="AU1489" s="46">
        <v>0</v>
      </c>
      <c r="AV1489" s="46">
        <v>0</v>
      </c>
      <c r="AW1489" s="46">
        <v>0</v>
      </c>
      <c r="AX1489" s="46">
        <v>0</v>
      </c>
      <c r="AY1489" s="46">
        <v>0</v>
      </c>
      <c r="AZ1489" s="46">
        <v>0</v>
      </c>
      <c r="BA1489" s="46">
        <v>0</v>
      </c>
      <c r="BB1489" s="46">
        <v>0</v>
      </c>
      <c r="BC1489" s="46">
        <v>0</v>
      </c>
      <c r="BD1489" s="46">
        <v>0</v>
      </c>
      <c r="BE1489" s="46">
        <v>0</v>
      </c>
      <c r="BF1489" s="46">
        <v>0</v>
      </c>
      <c r="BG1489" s="46" t="s">
        <v>48</v>
      </c>
      <c r="BH1489" s="46">
        <v>0</v>
      </c>
      <c r="BI1489" s="46">
        <v>0</v>
      </c>
      <c r="BJ1489" s="46">
        <v>0</v>
      </c>
      <c r="BK1489" s="46">
        <v>0</v>
      </c>
      <c r="BL1489" s="46">
        <v>0</v>
      </c>
      <c r="BM1489" s="46">
        <v>0</v>
      </c>
      <c r="BN1489" s="46">
        <v>0</v>
      </c>
    </row>
    <row r="1490" spans="1:66" x14ac:dyDescent="0.35">
      <c r="A1490" t="s">
        <v>1989</v>
      </c>
      <c r="B1490" s="44" t="s">
        <v>48</v>
      </c>
      <c r="C1490" t="s">
        <v>772</v>
      </c>
      <c r="D1490" t="s">
        <v>390</v>
      </c>
      <c r="E1490" t="s">
        <v>10498</v>
      </c>
      <c r="F1490" t="s">
        <v>1997</v>
      </c>
      <c r="G1490" t="s">
        <v>47</v>
      </c>
      <c r="H1490">
        <v>0</v>
      </c>
      <c r="I1490" s="60" t="s">
        <v>11552</v>
      </c>
      <c r="J1490" s="33" t="s">
        <v>45</v>
      </c>
      <c r="K1490" s="46">
        <v>0</v>
      </c>
      <c r="L1490">
        <v>9.1999999999999993</v>
      </c>
      <c r="M1490" t="s">
        <v>48</v>
      </c>
      <c r="N1490" s="46">
        <v>0</v>
      </c>
      <c r="O1490" s="46">
        <v>0</v>
      </c>
      <c r="P1490" s="46">
        <v>0</v>
      </c>
      <c r="Q1490" t="s">
        <v>48</v>
      </c>
      <c r="R1490" t="s">
        <v>48</v>
      </c>
      <c r="S1490" t="s">
        <v>11434</v>
      </c>
      <c r="T1490" t="s">
        <v>48</v>
      </c>
      <c r="U1490" t="s">
        <v>10499</v>
      </c>
      <c r="V1490" s="47">
        <v>0</v>
      </c>
      <c r="W1490" t="s">
        <v>48</v>
      </c>
      <c r="X1490" t="s">
        <v>48</v>
      </c>
      <c r="Y1490" t="s">
        <v>48</v>
      </c>
      <c r="Z1490">
        <v>0</v>
      </c>
      <c r="AA1490" t="s">
        <v>48</v>
      </c>
      <c r="AB1490" t="s">
        <v>48</v>
      </c>
      <c r="AC1490" t="s">
        <v>49</v>
      </c>
      <c r="AD1490" t="s">
        <v>93</v>
      </c>
      <c r="AE1490" t="s">
        <v>4532</v>
      </c>
      <c r="AF1490" t="s">
        <v>48</v>
      </c>
      <c r="AG1490" t="s">
        <v>48</v>
      </c>
      <c r="AH1490" t="s">
        <v>48</v>
      </c>
      <c r="AI1490" t="s">
        <v>48</v>
      </c>
      <c r="AJ1490" t="s">
        <v>48</v>
      </c>
      <c r="AK1490" t="s">
        <v>48</v>
      </c>
      <c r="AL1490" t="s">
        <v>48</v>
      </c>
      <c r="AM1490" t="s">
        <v>48</v>
      </c>
      <c r="AN1490" t="s">
        <v>48</v>
      </c>
      <c r="AO1490" t="s">
        <v>48</v>
      </c>
      <c r="AP1490" s="46">
        <v>0</v>
      </c>
      <c r="AQ1490" s="46">
        <v>0</v>
      </c>
      <c r="AR1490" s="46">
        <v>0</v>
      </c>
      <c r="AS1490" s="46">
        <v>0</v>
      </c>
      <c r="AT1490" s="46">
        <v>0</v>
      </c>
      <c r="AU1490" s="46">
        <v>0</v>
      </c>
      <c r="AV1490" s="46">
        <v>0</v>
      </c>
      <c r="AW1490" s="46">
        <v>0</v>
      </c>
      <c r="AX1490" s="46">
        <v>0</v>
      </c>
      <c r="AY1490" s="46">
        <v>0</v>
      </c>
      <c r="AZ1490" s="46">
        <v>0</v>
      </c>
      <c r="BA1490" s="46">
        <v>0</v>
      </c>
      <c r="BB1490" s="46">
        <v>0</v>
      </c>
      <c r="BC1490" s="46">
        <v>0</v>
      </c>
      <c r="BD1490" s="46">
        <v>0</v>
      </c>
      <c r="BE1490" s="46">
        <v>0</v>
      </c>
      <c r="BF1490" s="46">
        <v>0</v>
      </c>
      <c r="BG1490" s="46" t="s">
        <v>48</v>
      </c>
      <c r="BH1490" s="46">
        <v>0</v>
      </c>
      <c r="BI1490" s="46">
        <v>0</v>
      </c>
      <c r="BJ1490" s="46">
        <v>0</v>
      </c>
      <c r="BK1490" s="46">
        <v>0</v>
      </c>
      <c r="BL1490" s="46">
        <v>0</v>
      </c>
      <c r="BM1490" s="46">
        <v>0</v>
      </c>
      <c r="BN1490" s="46">
        <v>0</v>
      </c>
    </row>
    <row r="1491" spans="1:66" x14ac:dyDescent="0.35">
      <c r="A1491" t="s">
        <v>2006</v>
      </c>
      <c r="B1491" s="44" t="s">
        <v>48</v>
      </c>
      <c r="C1491" t="s">
        <v>2009</v>
      </c>
      <c r="D1491" t="s">
        <v>2008</v>
      </c>
      <c r="E1491" t="s">
        <v>2007</v>
      </c>
      <c r="F1491" t="s">
        <v>1997</v>
      </c>
      <c r="G1491" t="s">
        <v>47</v>
      </c>
      <c r="H1491">
        <v>0</v>
      </c>
      <c r="I1491" s="60" t="s">
        <v>149</v>
      </c>
      <c r="J1491" s="33" t="s">
        <v>45</v>
      </c>
      <c r="K1491" s="46">
        <v>0</v>
      </c>
      <c r="L1491">
        <v>2.5</v>
      </c>
      <c r="M1491" t="s">
        <v>48</v>
      </c>
      <c r="N1491" s="46">
        <v>0</v>
      </c>
      <c r="O1491" s="46">
        <v>0</v>
      </c>
      <c r="P1491" s="46">
        <v>0</v>
      </c>
      <c r="Q1491" t="s">
        <v>48</v>
      </c>
      <c r="R1491" t="s">
        <v>48</v>
      </c>
      <c r="S1491" t="s">
        <v>48</v>
      </c>
      <c r="T1491" t="s">
        <v>48</v>
      </c>
      <c r="U1491" t="s">
        <v>48</v>
      </c>
      <c r="V1491" s="47">
        <v>0</v>
      </c>
      <c r="W1491" t="s">
        <v>48</v>
      </c>
      <c r="X1491" t="s">
        <v>48</v>
      </c>
      <c r="Y1491" t="s">
        <v>48</v>
      </c>
      <c r="Z1491">
        <v>0</v>
      </c>
      <c r="AA1491" t="s">
        <v>48</v>
      </c>
      <c r="AB1491" t="s">
        <v>48</v>
      </c>
      <c r="AC1491" t="s">
        <v>49</v>
      </c>
      <c r="AD1491" t="s">
        <v>93</v>
      </c>
      <c r="AE1491" t="s">
        <v>4532</v>
      </c>
      <c r="AF1491" t="s">
        <v>48</v>
      </c>
      <c r="AG1491" t="s">
        <v>48</v>
      </c>
      <c r="AH1491" t="s">
        <v>48</v>
      </c>
      <c r="AI1491" t="s">
        <v>48</v>
      </c>
      <c r="AJ1491" t="s">
        <v>48</v>
      </c>
      <c r="AK1491" t="s">
        <v>48</v>
      </c>
      <c r="AL1491" t="s">
        <v>48</v>
      </c>
      <c r="AM1491" t="s">
        <v>48</v>
      </c>
      <c r="AN1491" t="s">
        <v>48</v>
      </c>
      <c r="AO1491" t="s">
        <v>48</v>
      </c>
      <c r="AP1491" s="46">
        <v>0</v>
      </c>
      <c r="AQ1491" s="46">
        <v>0</v>
      </c>
      <c r="AR1491" s="46">
        <v>0</v>
      </c>
      <c r="AS1491" s="46">
        <v>0</v>
      </c>
      <c r="AT1491" s="46">
        <v>0</v>
      </c>
      <c r="AU1491" s="46">
        <v>0</v>
      </c>
      <c r="AV1491" s="46">
        <v>0</v>
      </c>
      <c r="AW1491" s="46">
        <v>0</v>
      </c>
      <c r="AX1491" s="46">
        <v>0</v>
      </c>
      <c r="AY1491" s="46">
        <v>0</v>
      </c>
      <c r="AZ1491" s="46">
        <v>0</v>
      </c>
      <c r="BA1491" s="46">
        <v>0</v>
      </c>
      <c r="BB1491" s="46">
        <v>0</v>
      </c>
      <c r="BC1491" s="46">
        <v>0</v>
      </c>
      <c r="BD1491" s="46">
        <v>0</v>
      </c>
      <c r="BE1491" s="46">
        <v>0</v>
      </c>
      <c r="BF1491" s="46">
        <v>0</v>
      </c>
      <c r="BG1491" s="46" t="s">
        <v>48</v>
      </c>
      <c r="BH1491" s="46">
        <v>0</v>
      </c>
      <c r="BI1491" s="46">
        <v>0</v>
      </c>
      <c r="BJ1491" s="46">
        <v>0</v>
      </c>
      <c r="BK1491" s="46">
        <v>0</v>
      </c>
      <c r="BL1491" s="46">
        <v>0</v>
      </c>
      <c r="BM1491" s="46">
        <v>0</v>
      </c>
      <c r="BN1491" s="46">
        <v>0</v>
      </c>
    </row>
    <row r="1492" spans="1:66" x14ac:dyDescent="0.35">
      <c r="A1492" t="s">
        <v>2033</v>
      </c>
      <c r="B1492" s="44" t="s">
        <v>48</v>
      </c>
      <c r="C1492" t="s">
        <v>2037</v>
      </c>
      <c r="D1492" t="s">
        <v>2036</v>
      </c>
      <c r="E1492" t="s">
        <v>2034</v>
      </c>
      <c r="F1492" t="s">
        <v>2011</v>
      </c>
      <c r="G1492" t="s">
        <v>47</v>
      </c>
      <c r="H1492">
        <v>0</v>
      </c>
      <c r="I1492" s="60" t="s">
        <v>51</v>
      </c>
      <c r="J1492" s="33" t="s">
        <v>45</v>
      </c>
      <c r="K1492" s="46">
        <v>0</v>
      </c>
      <c r="L1492">
        <v>17</v>
      </c>
      <c r="M1492" t="s">
        <v>48</v>
      </c>
      <c r="N1492" s="46">
        <v>0</v>
      </c>
      <c r="O1492" s="46">
        <v>0</v>
      </c>
      <c r="P1492" s="46">
        <v>0</v>
      </c>
      <c r="Q1492" t="s">
        <v>48</v>
      </c>
      <c r="R1492" t="s">
        <v>48</v>
      </c>
      <c r="S1492" t="s">
        <v>2035</v>
      </c>
      <c r="T1492" t="s">
        <v>48</v>
      </c>
      <c r="U1492" t="s">
        <v>2035</v>
      </c>
      <c r="V1492" s="47">
        <v>0</v>
      </c>
      <c r="W1492" t="s">
        <v>48</v>
      </c>
      <c r="X1492" t="s">
        <v>48</v>
      </c>
      <c r="Y1492" t="s">
        <v>48</v>
      </c>
      <c r="Z1492">
        <v>0</v>
      </c>
      <c r="AA1492" t="s">
        <v>48</v>
      </c>
      <c r="AB1492" t="s">
        <v>48</v>
      </c>
      <c r="AC1492" t="s">
        <v>63</v>
      </c>
      <c r="AD1492" t="s">
        <v>93</v>
      </c>
      <c r="AE1492" t="s">
        <v>11051</v>
      </c>
      <c r="AF1492" t="s">
        <v>11066</v>
      </c>
      <c r="AG1492" t="s">
        <v>151</v>
      </c>
      <c r="AH1492" t="s">
        <v>48</v>
      </c>
      <c r="AI1492" t="s">
        <v>48</v>
      </c>
      <c r="AJ1492" t="s">
        <v>48</v>
      </c>
      <c r="AK1492" t="s">
        <v>48</v>
      </c>
      <c r="AL1492" t="s">
        <v>48</v>
      </c>
      <c r="AM1492" t="s">
        <v>48</v>
      </c>
      <c r="AN1492" t="s">
        <v>48</v>
      </c>
      <c r="AO1492" t="s">
        <v>48</v>
      </c>
      <c r="AP1492" s="46">
        <v>0</v>
      </c>
      <c r="AQ1492" s="46">
        <v>0</v>
      </c>
      <c r="AR1492" s="46">
        <v>0</v>
      </c>
      <c r="AS1492" s="46">
        <v>0</v>
      </c>
      <c r="AT1492" s="46">
        <v>0</v>
      </c>
      <c r="AU1492" s="46">
        <v>0</v>
      </c>
      <c r="AV1492" s="46">
        <v>0</v>
      </c>
      <c r="AW1492" s="46">
        <v>0</v>
      </c>
      <c r="AX1492" s="46">
        <v>0</v>
      </c>
      <c r="AY1492" s="46">
        <v>0</v>
      </c>
      <c r="AZ1492" s="46">
        <v>0</v>
      </c>
      <c r="BA1492" s="46">
        <v>0</v>
      </c>
      <c r="BB1492" s="46">
        <v>0</v>
      </c>
      <c r="BC1492" s="46">
        <v>0</v>
      </c>
      <c r="BD1492" s="46">
        <v>0</v>
      </c>
      <c r="BE1492" s="46">
        <v>0</v>
      </c>
      <c r="BF1492" s="46">
        <v>0</v>
      </c>
      <c r="BG1492" s="46" t="s">
        <v>48</v>
      </c>
      <c r="BH1492" s="46">
        <v>0</v>
      </c>
      <c r="BI1492" s="46">
        <v>0</v>
      </c>
      <c r="BJ1492" s="46">
        <v>0</v>
      </c>
      <c r="BK1492" s="46">
        <v>0</v>
      </c>
      <c r="BL1492" s="46">
        <v>0</v>
      </c>
      <c r="BM1492" s="46">
        <v>0</v>
      </c>
      <c r="BN1492" s="46">
        <v>0</v>
      </c>
    </row>
    <row r="1493" spans="1:66" x14ac:dyDescent="0.35">
      <c r="A1493" t="s">
        <v>2038</v>
      </c>
      <c r="B1493" s="44" t="s">
        <v>48</v>
      </c>
      <c r="C1493" t="s">
        <v>2042</v>
      </c>
      <c r="D1493" t="s">
        <v>2041</v>
      </c>
      <c r="E1493" t="s">
        <v>2039</v>
      </c>
      <c r="F1493" t="s">
        <v>2011</v>
      </c>
      <c r="G1493" t="s">
        <v>47</v>
      </c>
      <c r="H1493">
        <v>0</v>
      </c>
      <c r="I1493" s="60" t="s">
        <v>125</v>
      </c>
      <c r="J1493" s="33" t="s">
        <v>45</v>
      </c>
      <c r="K1493" s="46">
        <v>0</v>
      </c>
      <c r="L1493">
        <v>3</v>
      </c>
      <c r="M1493" t="s">
        <v>48</v>
      </c>
      <c r="N1493" s="46">
        <v>0</v>
      </c>
      <c r="O1493" s="46">
        <v>0</v>
      </c>
      <c r="P1493" s="46">
        <v>0</v>
      </c>
      <c r="Q1493" t="s">
        <v>48</v>
      </c>
      <c r="R1493" t="s">
        <v>48</v>
      </c>
      <c r="S1493" t="s">
        <v>2040</v>
      </c>
      <c r="T1493" t="s">
        <v>48</v>
      </c>
      <c r="U1493" t="s">
        <v>2040</v>
      </c>
      <c r="V1493" s="47">
        <v>0</v>
      </c>
      <c r="W1493" t="s">
        <v>48</v>
      </c>
      <c r="X1493" t="s">
        <v>48</v>
      </c>
      <c r="Y1493" t="s">
        <v>48</v>
      </c>
      <c r="Z1493">
        <v>0</v>
      </c>
      <c r="AA1493" t="s">
        <v>48</v>
      </c>
      <c r="AB1493" t="s">
        <v>48</v>
      </c>
      <c r="AC1493" t="s">
        <v>63</v>
      </c>
      <c r="AD1493" t="s">
        <v>93</v>
      </c>
      <c r="AE1493" t="s">
        <v>4532</v>
      </c>
      <c r="AF1493" t="s">
        <v>48</v>
      </c>
      <c r="AG1493" t="s">
        <v>48</v>
      </c>
      <c r="AH1493" t="s">
        <v>48</v>
      </c>
      <c r="AI1493" t="s">
        <v>48</v>
      </c>
      <c r="AJ1493" t="s">
        <v>48</v>
      </c>
      <c r="AK1493" t="s">
        <v>48</v>
      </c>
      <c r="AL1493" t="s">
        <v>48</v>
      </c>
      <c r="AM1493" t="s">
        <v>48</v>
      </c>
      <c r="AN1493" t="s">
        <v>48</v>
      </c>
      <c r="AO1493" t="s">
        <v>48</v>
      </c>
      <c r="AP1493" s="46">
        <v>0</v>
      </c>
      <c r="AQ1493" s="46">
        <v>0</v>
      </c>
      <c r="AR1493" s="46">
        <v>0</v>
      </c>
      <c r="AS1493" s="46">
        <v>0</v>
      </c>
      <c r="AT1493" s="46">
        <v>0</v>
      </c>
      <c r="AU1493" s="46">
        <v>0</v>
      </c>
      <c r="AV1493" s="46">
        <v>0</v>
      </c>
      <c r="AW1493" s="46">
        <v>0</v>
      </c>
      <c r="AX1493" s="46">
        <v>0</v>
      </c>
      <c r="AY1493" s="46">
        <v>0</v>
      </c>
      <c r="AZ1493" s="46">
        <v>0</v>
      </c>
      <c r="BA1493" s="46">
        <v>0</v>
      </c>
      <c r="BB1493" s="46">
        <v>0</v>
      </c>
      <c r="BC1493" s="46">
        <v>0</v>
      </c>
      <c r="BD1493" s="46">
        <v>0</v>
      </c>
      <c r="BE1493" s="46">
        <v>0</v>
      </c>
      <c r="BF1493" s="46">
        <v>0</v>
      </c>
      <c r="BG1493" s="46" t="s">
        <v>48</v>
      </c>
      <c r="BH1493" s="46">
        <v>0</v>
      </c>
      <c r="BI1493" s="46">
        <v>0</v>
      </c>
      <c r="BJ1493" s="46">
        <v>0</v>
      </c>
      <c r="BK1493" s="46">
        <v>0</v>
      </c>
      <c r="BL1493" s="46">
        <v>0</v>
      </c>
      <c r="BM1493" s="46">
        <v>0</v>
      </c>
      <c r="BN1493" s="46">
        <v>0</v>
      </c>
    </row>
    <row r="1494" spans="1:66" x14ac:dyDescent="0.35">
      <c r="A1494" t="s">
        <v>2017</v>
      </c>
      <c r="B1494" s="44" t="s">
        <v>48</v>
      </c>
      <c r="C1494" t="s">
        <v>2020</v>
      </c>
      <c r="D1494" t="s">
        <v>427</v>
      </c>
      <c r="E1494" t="s">
        <v>2018</v>
      </c>
      <c r="F1494" t="s">
        <v>2011</v>
      </c>
      <c r="G1494" t="s">
        <v>47</v>
      </c>
      <c r="H1494">
        <v>0</v>
      </c>
      <c r="I1494" s="61" t="s">
        <v>11160</v>
      </c>
      <c r="J1494" s="33" t="s">
        <v>45</v>
      </c>
      <c r="K1494" s="46">
        <v>0</v>
      </c>
      <c r="L1494">
        <v>33.6</v>
      </c>
      <c r="M1494" t="s">
        <v>48</v>
      </c>
      <c r="N1494" s="46">
        <v>0</v>
      </c>
      <c r="O1494" s="46">
        <v>0</v>
      </c>
      <c r="P1494" s="46">
        <v>0</v>
      </c>
      <c r="Q1494" t="s">
        <v>48</v>
      </c>
      <c r="R1494" t="s">
        <v>48</v>
      </c>
      <c r="S1494" t="s">
        <v>11358</v>
      </c>
      <c r="T1494" t="s">
        <v>48</v>
      </c>
      <c r="U1494" t="s">
        <v>2019</v>
      </c>
      <c r="V1494" s="47">
        <v>0</v>
      </c>
      <c r="W1494" t="s">
        <v>48</v>
      </c>
      <c r="X1494" t="s">
        <v>48</v>
      </c>
      <c r="Y1494" t="s">
        <v>48</v>
      </c>
      <c r="Z1494">
        <v>0</v>
      </c>
      <c r="AA1494" t="s">
        <v>48</v>
      </c>
      <c r="AB1494" t="s">
        <v>48</v>
      </c>
      <c r="AC1494" t="s">
        <v>49</v>
      </c>
      <c r="AD1494" t="s">
        <v>93</v>
      </c>
      <c r="AE1494" t="s">
        <v>4532</v>
      </c>
      <c r="AF1494" t="s">
        <v>48</v>
      </c>
      <c r="AG1494" t="s">
        <v>48</v>
      </c>
      <c r="AH1494" t="s">
        <v>48</v>
      </c>
      <c r="AI1494" t="s">
        <v>48</v>
      </c>
      <c r="AJ1494" t="s">
        <v>48</v>
      </c>
      <c r="AK1494" t="s">
        <v>48</v>
      </c>
      <c r="AL1494" t="s">
        <v>48</v>
      </c>
      <c r="AM1494" t="s">
        <v>48</v>
      </c>
      <c r="AN1494" t="s">
        <v>48</v>
      </c>
      <c r="AO1494" t="s">
        <v>48</v>
      </c>
      <c r="AP1494" s="46">
        <v>0</v>
      </c>
      <c r="AQ1494" s="46">
        <v>0</v>
      </c>
      <c r="AR1494" s="46">
        <v>0</v>
      </c>
      <c r="AS1494" s="46">
        <v>0</v>
      </c>
      <c r="AT1494" s="46">
        <v>0</v>
      </c>
      <c r="AU1494" s="46">
        <v>0</v>
      </c>
      <c r="AV1494" s="46">
        <v>0</v>
      </c>
      <c r="AW1494" s="46">
        <v>0</v>
      </c>
      <c r="AX1494" s="46">
        <v>0</v>
      </c>
      <c r="AY1494" s="46">
        <v>0</v>
      </c>
      <c r="AZ1494" s="46">
        <v>0</v>
      </c>
      <c r="BA1494" s="46">
        <v>0</v>
      </c>
      <c r="BB1494" s="46">
        <v>0</v>
      </c>
      <c r="BC1494" s="46">
        <v>0</v>
      </c>
      <c r="BD1494" s="46">
        <v>0</v>
      </c>
      <c r="BE1494" s="46">
        <v>0</v>
      </c>
      <c r="BF1494" s="46">
        <v>0</v>
      </c>
      <c r="BG1494" s="46" t="s">
        <v>48</v>
      </c>
      <c r="BH1494" s="46">
        <v>0</v>
      </c>
      <c r="BI1494" s="46">
        <v>0</v>
      </c>
      <c r="BJ1494" s="46">
        <v>0</v>
      </c>
      <c r="BK1494" s="46">
        <v>0</v>
      </c>
      <c r="BL1494" s="46">
        <v>0</v>
      </c>
      <c r="BM1494" s="46">
        <v>0</v>
      </c>
      <c r="BN1494" s="46">
        <v>0</v>
      </c>
    </row>
    <row r="1495" spans="1:66" x14ac:dyDescent="0.35">
      <c r="A1495" t="s">
        <v>2022</v>
      </c>
      <c r="B1495" s="44" t="s">
        <v>48</v>
      </c>
      <c r="C1495" t="s">
        <v>2025</v>
      </c>
      <c r="D1495" t="s">
        <v>2024</v>
      </c>
      <c r="E1495" t="s">
        <v>2023</v>
      </c>
      <c r="F1495" t="s">
        <v>2011</v>
      </c>
      <c r="G1495" t="s">
        <v>47</v>
      </c>
      <c r="H1495">
        <v>0</v>
      </c>
      <c r="I1495" s="60" t="s">
        <v>11552</v>
      </c>
      <c r="J1495" s="33" t="s">
        <v>45</v>
      </c>
      <c r="K1495" s="46">
        <v>0</v>
      </c>
      <c r="L1495">
        <v>1.9</v>
      </c>
      <c r="M1495" t="s">
        <v>48</v>
      </c>
      <c r="N1495" s="46">
        <v>0</v>
      </c>
      <c r="O1495" s="46">
        <v>0</v>
      </c>
      <c r="P1495" s="46">
        <v>0</v>
      </c>
      <c r="Q1495" t="s">
        <v>48</v>
      </c>
      <c r="R1495" t="s">
        <v>48</v>
      </c>
      <c r="S1495" t="s">
        <v>11435</v>
      </c>
      <c r="T1495" t="s">
        <v>48</v>
      </c>
      <c r="U1495" t="s">
        <v>10937</v>
      </c>
      <c r="V1495" s="47">
        <v>0</v>
      </c>
      <c r="W1495" t="s">
        <v>48</v>
      </c>
      <c r="X1495" t="s">
        <v>48</v>
      </c>
      <c r="Y1495" t="s">
        <v>48</v>
      </c>
      <c r="Z1495">
        <v>0</v>
      </c>
      <c r="AA1495" t="s">
        <v>48</v>
      </c>
      <c r="AB1495" t="s">
        <v>48</v>
      </c>
      <c r="AC1495" t="s">
        <v>49</v>
      </c>
      <c r="AD1495" t="s">
        <v>93</v>
      </c>
      <c r="AE1495" t="s">
        <v>11051</v>
      </c>
      <c r="AF1495" t="s">
        <v>11076</v>
      </c>
      <c r="AG1495" t="s">
        <v>48</v>
      </c>
      <c r="AH1495" t="s">
        <v>48</v>
      </c>
      <c r="AI1495" t="s">
        <v>48</v>
      </c>
      <c r="AJ1495" t="s">
        <v>48</v>
      </c>
      <c r="AK1495" t="s">
        <v>48</v>
      </c>
      <c r="AL1495" t="s">
        <v>48</v>
      </c>
      <c r="AM1495" t="s">
        <v>48</v>
      </c>
      <c r="AN1495" t="s">
        <v>48</v>
      </c>
      <c r="AO1495" t="s">
        <v>48</v>
      </c>
      <c r="AP1495" s="46">
        <v>0</v>
      </c>
      <c r="AQ1495" s="46">
        <v>0</v>
      </c>
      <c r="AR1495" s="46">
        <v>0</v>
      </c>
      <c r="AS1495" s="46">
        <v>0</v>
      </c>
      <c r="AT1495" s="46">
        <v>0</v>
      </c>
      <c r="AU1495" s="46">
        <v>0</v>
      </c>
      <c r="AV1495" s="46">
        <v>0</v>
      </c>
      <c r="AW1495" s="46">
        <v>0</v>
      </c>
      <c r="AX1495" s="46">
        <v>0</v>
      </c>
      <c r="AY1495" s="46">
        <v>0</v>
      </c>
      <c r="AZ1495" s="46">
        <v>0</v>
      </c>
      <c r="BA1495" s="46">
        <v>0</v>
      </c>
      <c r="BB1495" s="46">
        <v>0</v>
      </c>
      <c r="BC1495" s="46">
        <v>0</v>
      </c>
      <c r="BD1495" s="46">
        <v>0</v>
      </c>
      <c r="BE1495" s="46">
        <v>0</v>
      </c>
      <c r="BF1495" s="46">
        <v>0</v>
      </c>
      <c r="BG1495" s="46" t="s">
        <v>48</v>
      </c>
      <c r="BH1495" s="46">
        <v>0</v>
      </c>
      <c r="BI1495" s="46">
        <v>0</v>
      </c>
      <c r="BJ1495" s="46">
        <v>0</v>
      </c>
      <c r="BK1495" s="46">
        <v>0</v>
      </c>
      <c r="BL1495" s="46">
        <v>0</v>
      </c>
      <c r="BM1495" s="46">
        <v>0</v>
      </c>
      <c r="BN1495" s="46">
        <v>0</v>
      </c>
    </row>
    <row r="1496" spans="1:66" x14ac:dyDescent="0.35">
      <c r="A1496" t="s">
        <v>2045</v>
      </c>
      <c r="B1496" s="44" t="s">
        <v>48</v>
      </c>
      <c r="C1496" t="s">
        <v>330</v>
      </c>
      <c r="D1496" t="s">
        <v>237</v>
      </c>
      <c r="E1496" t="s">
        <v>2047</v>
      </c>
      <c r="F1496" t="s">
        <v>2046</v>
      </c>
      <c r="G1496" t="s">
        <v>74</v>
      </c>
      <c r="H1496">
        <v>0</v>
      </c>
      <c r="I1496" s="60" t="s">
        <v>11552</v>
      </c>
      <c r="J1496" s="33" t="s">
        <v>45</v>
      </c>
      <c r="K1496" s="46">
        <v>0</v>
      </c>
      <c r="L1496">
        <v>9.6</v>
      </c>
      <c r="M1496" t="s">
        <v>48</v>
      </c>
      <c r="N1496" s="46">
        <v>0</v>
      </c>
      <c r="O1496" s="46">
        <v>0</v>
      </c>
      <c r="P1496" s="46">
        <v>0</v>
      </c>
      <c r="Q1496" t="s">
        <v>48</v>
      </c>
      <c r="R1496" t="s">
        <v>48</v>
      </c>
      <c r="S1496" t="s">
        <v>11436</v>
      </c>
      <c r="T1496" t="s">
        <v>48</v>
      </c>
      <c r="U1496" t="s">
        <v>10938</v>
      </c>
      <c r="V1496" s="47">
        <v>0</v>
      </c>
      <c r="W1496" t="s">
        <v>48</v>
      </c>
      <c r="X1496" t="s">
        <v>48</v>
      </c>
      <c r="Y1496" t="s">
        <v>48</v>
      </c>
      <c r="Z1496">
        <v>0</v>
      </c>
      <c r="AA1496" t="s">
        <v>48</v>
      </c>
      <c r="AB1496" t="s">
        <v>48</v>
      </c>
      <c r="AC1496" t="s">
        <v>49</v>
      </c>
      <c r="AD1496" t="s">
        <v>93</v>
      </c>
      <c r="AE1496" t="s">
        <v>4532</v>
      </c>
      <c r="AF1496" t="s">
        <v>48</v>
      </c>
      <c r="AG1496" t="s">
        <v>48</v>
      </c>
      <c r="AH1496" t="s">
        <v>48</v>
      </c>
      <c r="AI1496" t="s">
        <v>48</v>
      </c>
      <c r="AJ1496" t="s">
        <v>48</v>
      </c>
      <c r="AK1496" t="s">
        <v>48</v>
      </c>
      <c r="AL1496" t="s">
        <v>48</v>
      </c>
      <c r="AM1496" t="s">
        <v>48</v>
      </c>
      <c r="AN1496" t="s">
        <v>48</v>
      </c>
      <c r="AO1496" t="s">
        <v>48</v>
      </c>
      <c r="AP1496" s="46">
        <v>0</v>
      </c>
      <c r="AQ1496" s="46">
        <v>0</v>
      </c>
      <c r="AR1496" s="46">
        <v>0</v>
      </c>
      <c r="AS1496" s="46">
        <v>0</v>
      </c>
      <c r="AT1496" s="46">
        <v>0</v>
      </c>
      <c r="AU1496" s="46">
        <v>0</v>
      </c>
      <c r="AV1496" s="46">
        <v>0</v>
      </c>
      <c r="AW1496" s="46">
        <v>0</v>
      </c>
      <c r="AX1496" s="46">
        <v>0</v>
      </c>
      <c r="AY1496" s="46">
        <v>0</v>
      </c>
      <c r="AZ1496" s="46">
        <v>0</v>
      </c>
      <c r="BA1496" s="46">
        <v>0</v>
      </c>
      <c r="BB1496" s="46">
        <v>0</v>
      </c>
      <c r="BC1496" s="46">
        <v>0</v>
      </c>
      <c r="BD1496" s="46">
        <v>0</v>
      </c>
      <c r="BE1496" s="46">
        <v>0</v>
      </c>
      <c r="BF1496" s="46">
        <v>0</v>
      </c>
      <c r="BG1496" s="46" t="s">
        <v>48</v>
      </c>
      <c r="BH1496" s="46">
        <v>0</v>
      </c>
      <c r="BI1496" s="46">
        <v>0</v>
      </c>
      <c r="BJ1496" s="46">
        <v>0</v>
      </c>
      <c r="BK1496" s="46">
        <v>0</v>
      </c>
      <c r="BL1496" s="46">
        <v>0</v>
      </c>
      <c r="BM1496" s="46">
        <v>0</v>
      </c>
      <c r="BN1496" s="46">
        <v>0</v>
      </c>
    </row>
    <row r="1497" spans="1:66" ht="15" x14ac:dyDescent="0.4">
      <c r="A1497" t="s">
        <v>10506</v>
      </c>
      <c r="B1497" s="44" t="s">
        <v>48</v>
      </c>
      <c r="C1497" t="s">
        <v>646</v>
      </c>
      <c r="D1497" t="s">
        <v>372</v>
      </c>
      <c r="E1497" t="s">
        <v>10507</v>
      </c>
      <c r="F1497" t="s">
        <v>2046</v>
      </c>
      <c r="G1497" t="s">
        <v>47</v>
      </c>
      <c r="H1497">
        <v>0</v>
      </c>
      <c r="I1497" s="61" t="s">
        <v>11160</v>
      </c>
      <c r="J1497" s="33" t="s">
        <v>45</v>
      </c>
      <c r="K1497" s="46">
        <v>0</v>
      </c>
      <c r="L1497">
        <v>29.6</v>
      </c>
      <c r="M1497" t="s">
        <v>48</v>
      </c>
      <c r="N1497" s="46">
        <v>0</v>
      </c>
      <c r="O1497" s="46">
        <v>0</v>
      </c>
      <c r="P1497" s="46">
        <v>0</v>
      </c>
      <c r="Q1497" t="s">
        <v>48</v>
      </c>
      <c r="R1497" t="s">
        <v>48</v>
      </c>
      <c r="S1497" s="55" t="s">
        <v>11386</v>
      </c>
      <c r="T1497" t="s">
        <v>48</v>
      </c>
      <c r="U1497" t="s">
        <v>48</v>
      </c>
      <c r="V1497" s="47">
        <v>1</v>
      </c>
      <c r="W1497" t="s">
        <v>48</v>
      </c>
      <c r="X1497" t="s">
        <v>48</v>
      </c>
      <c r="Y1497" t="s">
        <v>48</v>
      </c>
      <c r="Z1497">
        <v>0</v>
      </c>
      <c r="AA1497" t="s">
        <v>48</v>
      </c>
      <c r="AB1497" t="s">
        <v>48</v>
      </c>
      <c r="AC1497" t="s">
        <v>49</v>
      </c>
      <c r="AD1497" t="s">
        <v>951</v>
      </c>
      <c r="AE1497" t="s">
        <v>11051</v>
      </c>
      <c r="AF1497" t="s">
        <v>48</v>
      </c>
      <c r="AG1497" t="s">
        <v>48</v>
      </c>
      <c r="AH1497" t="s">
        <v>48</v>
      </c>
      <c r="AI1497" t="s">
        <v>48</v>
      </c>
      <c r="AJ1497" t="s">
        <v>48</v>
      </c>
      <c r="AK1497" t="s">
        <v>48</v>
      </c>
      <c r="AL1497" t="s">
        <v>48</v>
      </c>
      <c r="AM1497" t="s">
        <v>48</v>
      </c>
      <c r="AN1497" t="s">
        <v>48</v>
      </c>
      <c r="AO1497" t="s">
        <v>48</v>
      </c>
      <c r="AP1497" s="46">
        <v>0</v>
      </c>
      <c r="AQ1497" s="46">
        <v>0</v>
      </c>
      <c r="AR1497" s="46">
        <v>0</v>
      </c>
      <c r="AS1497" s="46">
        <v>0</v>
      </c>
      <c r="AT1497" s="46">
        <v>0</v>
      </c>
      <c r="AU1497" s="46">
        <v>0</v>
      </c>
      <c r="AV1497" s="46">
        <v>0</v>
      </c>
      <c r="AW1497" s="46">
        <v>0</v>
      </c>
      <c r="AX1497" s="46">
        <v>0</v>
      </c>
      <c r="AY1497" s="46">
        <v>0</v>
      </c>
      <c r="AZ1497" s="46">
        <v>0</v>
      </c>
      <c r="BA1497" s="46">
        <v>0</v>
      </c>
      <c r="BB1497" s="46">
        <v>0</v>
      </c>
      <c r="BC1497" s="46">
        <v>0</v>
      </c>
      <c r="BD1497" s="46">
        <v>0</v>
      </c>
      <c r="BE1497" s="46">
        <v>0</v>
      </c>
      <c r="BF1497" s="46">
        <v>0</v>
      </c>
      <c r="BG1497" s="46" t="s">
        <v>48</v>
      </c>
      <c r="BH1497" s="46">
        <v>0</v>
      </c>
      <c r="BI1497" s="46">
        <v>0</v>
      </c>
      <c r="BJ1497" s="46">
        <v>0</v>
      </c>
      <c r="BK1497" s="46">
        <v>0</v>
      </c>
      <c r="BL1497" s="46">
        <v>0</v>
      </c>
      <c r="BM1497" s="46">
        <v>0</v>
      </c>
      <c r="BN1497" s="46">
        <v>0</v>
      </c>
    </row>
    <row r="1498" spans="1:66" x14ac:dyDescent="0.35">
      <c r="A1498" t="s">
        <v>10508</v>
      </c>
      <c r="B1498" s="44" t="s">
        <v>48</v>
      </c>
      <c r="C1498" t="s">
        <v>11790</v>
      </c>
      <c r="D1498" t="s">
        <v>11791</v>
      </c>
      <c r="E1498" t="s">
        <v>10509</v>
      </c>
      <c r="F1498" t="s">
        <v>2046</v>
      </c>
      <c r="G1498" t="s">
        <v>47</v>
      </c>
      <c r="H1498">
        <v>0</v>
      </c>
      <c r="I1498" s="60" t="s">
        <v>11552</v>
      </c>
      <c r="J1498" s="33" t="s">
        <v>45</v>
      </c>
      <c r="K1498" s="46">
        <v>0</v>
      </c>
      <c r="L1498">
        <v>17.3</v>
      </c>
      <c r="M1498" t="s">
        <v>48</v>
      </c>
      <c r="N1498" s="46">
        <v>0</v>
      </c>
      <c r="O1498" s="46">
        <v>0</v>
      </c>
      <c r="P1498" s="46">
        <v>0</v>
      </c>
      <c r="Q1498" t="s">
        <v>48</v>
      </c>
      <c r="R1498" t="s">
        <v>48</v>
      </c>
      <c r="S1498" t="s">
        <v>11438</v>
      </c>
      <c r="T1498" t="s">
        <v>48</v>
      </c>
      <c r="U1498" t="s">
        <v>10510</v>
      </c>
      <c r="V1498" s="47">
        <v>0</v>
      </c>
      <c r="W1498" t="s">
        <v>48</v>
      </c>
      <c r="X1498" t="s">
        <v>48</v>
      </c>
      <c r="Y1498" t="s">
        <v>48</v>
      </c>
      <c r="Z1498">
        <v>0</v>
      </c>
      <c r="AA1498" t="s">
        <v>48</v>
      </c>
      <c r="AB1498" t="s">
        <v>48</v>
      </c>
      <c r="AC1498" t="s">
        <v>49</v>
      </c>
      <c r="AD1498" t="s">
        <v>93</v>
      </c>
      <c r="AE1498" t="s">
        <v>11051</v>
      </c>
      <c r="AF1498" t="s">
        <v>11143</v>
      </c>
      <c r="AG1498" t="s">
        <v>48</v>
      </c>
      <c r="AH1498" t="s">
        <v>48</v>
      </c>
      <c r="AI1498" t="s">
        <v>48</v>
      </c>
      <c r="AJ1498" t="s">
        <v>48</v>
      </c>
      <c r="AK1498" t="s">
        <v>48</v>
      </c>
      <c r="AL1498" t="s">
        <v>48</v>
      </c>
      <c r="AM1498" t="s">
        <v>48</v>
      </c>
      <c r="AN1498" t="s">
        <v>48</v>
      </c>
      <c r="AO1498" t="s">
        <v>48</v>
      </c>
      <c r="AP1498" s="46">
        <v>0</v>
      </c>
      <c r="AQ1498" s="46">
        <v>0</v>
      </c>
      <c r="AR1498" s="46">
        <v>0</v>
      </c>
      <c r="AS1498" s="46">
        <v>0</v>
      </c>
      <c r="AT1498" s="46">
        <v>0</v>
      </c>
      <c r="AU1498" s="46">
        <v>0</v>
      </c>
      <c r="AV1498" s="46">
        <v>0</v>
      </c>
      <c r="AW1498" s="46">
        <v>0</v>
      </c>
      <c r="AX1498" s="46">
        <v>0</v>
      </c>
      <c r="AY1498" s="46">
        <v>0</v>
      </c>
      <c r="AZ1498" s="46">
        <v>0</v>
      </c>
      <c r="BA1498" s="46">
        <v>0</v>
      </c>
      <c r="BB1498" s="46">
        <v>0</v>
      </c>
      <c r="BC1498" s="46">
        <v>0</v>
      </c>
      <c r="BD1498" s="46">
        <v>0</v>
      </c>
      <c r="BE1498" s="46">
        <v>0</v>
      </c>
      <c r="BF1498" s="46">
        <v>0</v>
      </c>
      <c r="BG1498" s="46" t="s">
        <v>48</v>
      </c>
      <c r="BH1498" s="46">
        <v>0</v>
      </c>
      <c r="BI1498" s="46">
        <v>0</v>
      </c>
      <c r="BJ1498" s="46">
        <v>0</v>
      </c>
      <c r="BK1498" s="46">
        <v>0</v>
      </c>
      <c r="BL1498" s="46">
        <v>0</v>
      </c>
      <c r="BM1498" s="46">
        <v>0</v>
      </c>
      <c r="BN1498" s="46">
        <v>0</v>
      </c>
    </row>
    <row r="1499" spans="1:66" x14ac:dyDescent="0.35">
      <c r="A1499" t="s">
        <v>10516</v>
      </c>
      <c r="B1499" s="44" t="s">
        <v>48</v>
      </c>
      <c r="C1499" t="s">
        <v>2707</v>
      </c>
      <c r="D1499" t="s">
        <v>11795</v>
      </c>
      <c r="E1499" t="s">
        <v>10517</v>
      </c>
      <c r="F1499" t="s">
        <v>2054</v>
      </c>
      <c r="G1499" t="s">
        <v>74</v>
      </c>
      <c r="H1499">
        <v>0</v>
      </c>
      <c r="I1499" s="60" t="s">
        <v>11552</v>
      </c>
      <c r="J1499" s="33" t="s">
        <v>45</v>
      </c>
      <c r="K1499" s="46">
        <v>0</v>
      </c>
      <c r="L1499">
        <v>17.3</v>
      </c>
      <c r="M1499" t="s">
        <v>48</v>
      </c>
      <c r="N1499" s="46">
        <v>0</v>
      </c>
      <c r="O1499" s="46">
        <v>0</v>
      </c>
      <c r="P1499" s="46">
        <v>0</v>
      </c>
      <c r="Q1499" t="s">
        <v>48</v>
      </c>
      <c r="R1499" t="s">
        <v>48</v>
      </c>
      <c r="S1499" t="s">
        <v>11440</v>
      </c>
      <c r="T1499" t="s">
        <v>48</v>
      </c>
      <c r="U1499" t="s">
        <v>10518</v>
      </c>
      <c r="V1499" s="47">
        <v>0</v>
      </c>
      <c r="W1499" t="s">
        <v>48</v>
      </c>
      <c r="X1499" t="s">
        <v>48</v>
      </c>
      <c r="Y1499" t="s">
        <v>48</v>
      </c>
      <c r="Z1499">
        <v>0</v>
      </c>
      <c r="AA1499" t="s">
        <v>48</v>
      </c>
      <c r="AB1499" t="s">
        <v>48</v>
      </c>
      <c r="AC1499" t="s">
        <v>49</v>
      </c>
      <c r="AD1499" t="s">
        <v>951</v>
      </c>
      <c r="AE1499" t="s">
        <v>11051</v>
      </c>
      <c r="AF1499" t="s">
        <v>48</v>
      </c>
      <c r="AG1499" t="s">
        <v>48</v>
      </c>
      <c r="AH1499" t="s">
        <v>48</v>
      </c>
      <c r="AI1499" t="s">
        <v>48</v>
      </c>
      <c r="AJ1499" t="s">
        <v>48</v>
      </c>
      <c r="AK1499" t="s">
        <v>48</v>
      </c>
      <c r="AL1499" t="s">
        <v>48</v>
      </c>
      <c r="AM1499" t="s">
        <v>48</v>
      </c>
      <c r="AN1499" t="s">
        <v>48</v>
      </c>
      <c r="AO1499" t="s">
        <v>48</v>
      </c>
      <c r="AP1499" s="46">
        <v>0</v>
      </c>
      <c r="AQ1499" s="46">
        <v>0</v>
      </c>
      <c r="AR1499" s="46">
        <v>0</v>
      </c>
      <c r="AS1499" s="46">
        <v>0</v>
      </c>
      <c r="AT1499" s="46">
        <v>0</v>
      </c>
      <c r="AU1499" s="46">
        <v>0</v>
      </c>
      <c r="AV1499" s="46">
        <v>0</v>
      </c>
      <c r="AW1499" s="46">
        <v>0</v>
      </c>
      <c r="AX1499" s="46">
        <v>0</v>
      </c>
      <c r="AY1499" s="46">
        <v>0</v>
      </c>
      <c r="AZ1499" s="46">
        <v>0</v>
      </c>
      <c r="BA1499" s="46">
        <v>0</v>
      </c>
      <c r="BB1499" s="46">
        <v>0</v>
      </c>
      <c r="BC1499" s="46">
        <v>0</v>
      </c>
      <c r="BD1499" s="46">
        <v>0</v>
      </c>
      <c r="BE1499" s="46">
        <v>0</v>
      </c>
      <c r="BF1499" s="46">
        <v>0</v>
      </c>
      <c r="BG1499" s="46" t="s">
        <v>48</v>
      </c>
      <c r="BH1499" s="46">
        <v>0</v>
      </c>
      <c r="BI1499" s="46">
        <v>0</v>
      </c>
      <c r="BJ1499" s="46">
        <v>0</v>
      </c>
      <c r="BK1499" s="46">
        <v>0</v>
      </c>
      <c r="BL1499" s="46">
        <v>0</v>
      </c>
      <c r="BM1499" s="46">
        <v>0</v>
      </c>
      <c r="BN1499" s="46">
        <v>0</v>
      </c>
    </row>
    <row r="1500" spans="1:66" x14ac:dyDescent="0.35">
      <c r="A1500" t="s">
        <v>10529</v>
      </c>
      <c r="B1500" s="44" t="s">
        <v>48</v>
      </c>
      <c r="C1500" t="s">
        <v>11793</v>
      </c>
      <c r="D1500" t="s">
        <v>11794</v>
      </c>
      <c r="E1500" t="s">
        <v>10530</v>
      </c>
      <c r="F1500" t="s">
        <v>2054</v>
      </c>
      <c r="G1500" t="s">
        <v>47</v>
      </c>
      <c r="H1500">
        <v>0</v>
      </c>
      <c r="I1500" s="60" t="s">
        <v>11552</v>
      </c>
      <c r="J1500" s="33" t="s">
        <v>45</v>
      </c>
      <c r="K1500" s="46">
        <v>0</v>
      </c>
      <c r="L1500">
        <v>10.4</v>
      </c>
      <c r="M1500" t="s">
        <v>48</v>
      </c>
      <c r="N1500" s="46">
        <v>0</v>
      </c>
      <c r="O1500" s="46">
        <v>0</v>
      </c>
      <c r="P1500" s="46">
        <v>0</v>
      </c>
      <c r="Q1500" t="s">
        <v>48</v>
      </c>
      <c r="R1500" t="s">
        <v>48</v>
      </c>
      <c r="S1500" t="s">
        <v>11441</v>
      </c>
      <c r="T1500" t="s">
        <v>48</v>
      </c>
      <c r="U1500" t="s">
        <v>10531</v>
      </c>
      <c r="V1500" s="47">
        <v>0</v>
      </c>
      <c r="W1500" t="s">
        <v>48</v>
      </c>
      <c r="X1500" t="s">
        <v>48</v>
      </c>
      <c r="Y1500" t="s">
        <v>48</v>
      </c>
      <c r="Z1500">
        <v>0</v>
      </c>
      <c r="AA1500" t="s">
        <v>48</v>
      </c>
      <c r="AB1500" t="s">
        <v>48</v>
      </c>
      <c r="AC1500" t="s">
        <v>49</v>
      </c>
      <c r="AD1500" t="s">
        <v>93</v>
      </c>
      <c r="AE1500" t="s">
        <v>4532</v>
      </c>
      <c r="AF1500" t="s">
        <v>48</v>
      </c>
      <c r="AG1500" t="s">
        <v>48</v>
      </c>
      <c r="AH1500" t="s">
        <v>48</v>
      </c>
      <c r="AI1500" t="s">
        <v>48</v>
      </c>
      <c r="AJ1500" t="s">
        <v>48</v>
      </c>
      <c r="AK1500" t="s">
        <v>48</v>
      </c>
      <c r="AL1500" t="s">
        <v>48</v>
      </c>
      <c r="AM1500" t="s">
        <v>48</v>
      </c>
      <c r="AN1500" t="s">
        <v>48</v>
      </c>
      <c r="AO1500" t="s">
        <v>48</v>
      </c>
      <c r="AP1500" s="46">
        <v>0</v>
      </c>
      <c r="AQ1500" s="46">
        <v>0</v>
      </c>
      <c r="AR1500" s="46">
        <v>0</v>
      </c>
      <c r="AS1500" s="46">
        <v>0</v>
      </c>
      <c r="AT1500" s="46">
        <v>0</v>
      </c>
      <c r="AU1500" s="46">
        <v>0</v>
      </c>
      <c r="AV1500" s="46">
        <v>0</v>
      </c>
      <c r="AW1500" s="46">
        <v>0</v>
      </c>
      <c r="AX1500" s="46">
        <v>0</v>
      </c>
      <c r="AY1500" s="46">
        <v>0</v>
      </c>
      <c r="AZ1500" s="46">
        <v>0</v>
      </c>
      <c r="BA1500" s="46">
        <v>0</v>
      </c>
      <c r="BB1500" s="46">
        <v>0</v>
      </c>
      <c r="BC1500" s="46">
        <v>0</v>
      </c>
      <c r="BD1500" s="46">
        <v>0</v>
      </c>
      <c r="BE1500" s="46">
        <v>0</v>
      </c>
      <c r="BF1500" s="46">
        <v>0</v>
      </c>
      <c r="BG1500" s="46" t="s">
        <v>48</v>
      </c>
      <c r="BH1500" s="46">
        <v>0</v>
      </c>
      <c r="BI1500" s="46">
        <v>0</v>
      </c>
      <c r="BJ1500" s="46">
        <v>0</v>
      </c>
      <c r="BK1500" s="46">
        <v>0</v>
      </c>
      <c r="BL1500" s="46">
        <v>0</v>
      </c>
      <c r="BM1500" s="46">
        <v>0</v>
      </c>
      <c r="BN1500" s="46">
        <v>0</v>
      </c>
    </row>
    <row r="1501" spans="1:66" x14ac:dyDescent="0.35">
      <c r="A1501" t="s">
        <v>2055</v>
      </c>
      <c r="B1501" s="44" t="s">
        <v>48</v>
      </c>
      <c r="C1501" t="s">
        <v>2059</v>
      </c>
      <c r="D1501" t="s">
        <v>2058</v>
      </c>
      <c r="E1501" t="s">
        <v>2056</v>
      </c>
      <c r="F1501" t="s">
        <v>2054</v>
      </c>
      <c r="G1501" t="s">
        <v>74</v>
      </c>
      <c r="H1501">
        <v>0</v>
      </c>
      <c r="I1501" s="60" t="s">
        <v>51</v>
      </c>
      <c r="J1501" s="33" t="s">
        <v>45</v>
      </c>
      <c r="K1501" s="46">
        <v>0</v>
      </c>
      <c r="L1501">
        <v>21.9</v>
      </c>
      <c r="M1501" t="s">
        <v>48</v>
      </c>
      <c r="N1501" s="46">
        <v>0</v>
      </c>
      <c r="O1501" s="46">
        <v>0</v>
      </c>
      <c r="P1501" s="46">
        <v>0</v>
      </c>
      <c r="Q1501" t="s">
        <v>48</v>
      </c>
      <c r="R1501" t="s">
        <v>48</v>
      </c>
      <c r="S1501" t="s">
        <v>2057</v>
      </c>
      <c r="T1501" t="s">
        <v>48</v>
      </c>
      <c r="U1501" t="s">
        <v>2057</v>
      </c>
      <c r="V1501" s="47">
        <v>0</v>
      </c>
      <c r="W1501" t="s">
        <v>48</v>
      </c>
      <c r="X1501" t="s">
        <v>48</v>
      </c>
      <c r="Y1501" t="s">
        <v>48</v>
      </c>
      <c r="Z1501">
        <v>0</v>
      </c>
      <c r="AA1501" t="s">
        <v>48</v>
      </c>
      <c r="AB1501" t="s">
        <v>48</v>
      </c>
      <c r="AC1501" t="s">
        <v>49</v>
      </c>
      <c r="AD1501" t="s">
        <v>93</v>
      </c>
      <c r="AE1501" t="s">
        <v>4532</v>
      </c>
      <c r="AF1501" t="s">
        <v>48</v>
      </c>
      <c r="AG1501" t="s">
        <v>48</v>
      </c>
      <c r="AH1501" t="s">
        <v>48</v>
      </c>
      <c r="AI1501" t="s">
        <v>48</v>
      </c>
      <c r="AJ1501" t="s">
        <v>48</v>
      </c>
      <c r="AK1501" t="s">
        <v>48</v>
      </c>
      <c r="AL1501" t="s">
        <v>48</v>
      </c>
      <c r="AM1501" t="s">
        <v>48</v>
      </c>
      <c r="AN1501" t="s">
        <v>48</v>
      </c>
      <c r="AO1501" t="s">
        <v>48</v>
      </c>
      <c r="AP1501" s="46">
        <v>0</v>
      </c>
      <c r="AQ1501" s="46">
        <v>0</v>
      </c>
      <c r="AR1501" s="46">
        <v>0</v>
      </c>
      <c r="AS1501" s="46">
        <v>0</v>
      </c>
      <c r="AT1501" s="46">
        <v>0</v>
      </c>
      <c r="AU1501" s="46">
        <v>0</v>
      </c>
      <c r="AV1501" s="46">
        <v>0</v>
      </c>
      <c r="AW1501" s="46">
        <v>0</v>
      </c>
      <c r="AX1501" s="46">
        <v>0</v>
      </c>
      <c r="AY1501" s="46">
        <v>0</v>
      </c>
      <c r="AZ1501" s="46">
        <v>0</v>
      </c>
      <c r="BA1501" s="46">
        <v>0</v>
      </c>
      <c r="BB1501" s="46">
        <v>0</v>
      </c>
      <c r="BC1501" s="46">
        <v>0</v>
      </c>
      <c r="BD1501" s="46">
        <v>0</v>
      </c>
      <c r="BE1501" s="46">
        <v>0</v>
      </c>
      <c r="BF1501" s="46">
        <v>0</v>
      </c>
      <c r="BG1501" s="46" t="s">
        <v>48</v>
      </c>
      <c r="BH1501" s="46">
        <v>0</v>
      </c>
      <c r="BI1501" s="46">
        <v>0</v>
      </c>
      <c r="BJ1501" s="46">
        <v>0</v>
      </c>
      <c r="BK1501" s="46">
        <v>0</v>
      </c>
      <c r="BL1501" s="46">
        <v>0</v>
      </c>
      <c r="BM1501" s="46">
        <v>0</v>
      </c>
      <c r="BN1501" s="46">
        <v>0</v>
      </c>
    </row>
    <row r="1502" spans="1:66" x14ac:dyDescent="0.35">
      <c r="A1502" t="s">
        <v>10514</v>
      </c>
      <c r="B1502" s="44" t="s">
        <v>48</v>
      </c>
      <c r="C1502" t="s">
        <v>211</v>
      </c>
      <c r="D1502" t="s">
        <v>6272</v>
      </c>
      <c r="E1502" t="s">
        <v>10515</v>
      </c>
      <c r="F1502" t="s">
        <v>2054</v>
      </c>
      <c r="G1502" t="s">
        <v>74</v>
      </c>
      <c r="H1502">
        <v>0</v>
      </c>
      <c r="I1502" s="61">
        <v>44798</v>
      </c>
      <c r="J1502" s="33" t="s">
        <v>45</v>
      </c>
      <c r="K1502" s="46">
        <v>0</v>
      </c>
      <c r="L1502">
        <v>22.2</v>
      </c>
      <c r="M1502" t="s">
        <v>48</v>
      </c>
      <c r="N1502" s="46">
        <v>0</v>
      </c>
      <c r="O1502" s="46">
        <v>0</v>
      </c>
      <c r="P1502" s="46">
        <v>0</v>
      </c>
      <c r="Q1502" t="s">
        <v>48</v>
      </c>
      <c r="R1502" t="s">
        <v>48</v>
      </c>
      <c r="S1502" t="s">
        <v>48</v>
      </c>
      <c r="T1502" t="s">
        <v>48</v>
      </c>
      <c r="U1502" t="s">
        <v>48</v>
      </c>
      <c r="V1502" s="47">
        <v>1</v>
      </c>
      <c r="W1502" t="s">
        <v>48</v>
      </c>
      <c r="X1502" t="s">
        <v>48</v>
      </c>
      <c r="Y1502" t="s">
        <v>48</v>
      </c>
      <c r="Z1502">
        <v>0</v>
      </c>
      <c r="AA1502" t="s">
        <v>48</v>
      </c>
      <c r="AB1502" t="s">
        <v>48</v>
      </c>
      <c r="AC1502" t="s">
        <v>49</v>
      </c>
      <c r="AD1502" t="s">
        <v>93</v>
      </c>
      <c r="AE1502" t="s">
        <v>4532</v>
      </c>
      <c r="AF1502" t="s">
        <v>48</v>
      </c>
      <c r="AG1502" t="s">
        <v>48</v>
      </c>
      <c r="AH1502" t="s">
        <v>48</v>
      </c>
      <c r="AI1502" t="s">
        <v>48</v>
      </c>
      <c r="AJ1502" t="s">
        <v>48</v>
      </c>
      <c r="AK1502" t="s">
        <v>48</v>
      </c>
      <c r="AL1502" t="s">
        <v>48</v>
      </c>
      <c r="AM1502" t="s">
        <v>48</v>
      </c>
      <c r="AN1502" t="s">
        <v>48</v>
      </c>
      <c r="AO1502" t="s">
        <v>48</v>
      </c>
      <c r="AP1502" s="46">
        <v>0</v>
      </c>
      <c r="AQ1502" s="46">
        <v>0</v>
      </c>
      <c r="AR1502" s="46">
        <v>0</v>
      </c>
      <c r="AS1502" s="46">
        <v>0</v>
      </c>
      <c r="AT1502" s="46">
        <v>0</v>
      </c>
      <c r="AU1502" s="46">
        <v>0</v>
      </c>
      <c r="AV1502" s="46">
        <v>0</v>
      </c>
      <c r="AW1502" s="46">
        <v>0</v>
      </c>
      <c r="AX1502" s="46">
        <v>0</v>
      </c>
      <c r="AY1502" s="46">
        <v>0</v>
      </c>
      <c r="AZ1502" s="46">
        <v>0</v>
      </c>
      <c r="BA1502" s="46">
        <v>0</v>
      </c>
      <c r="BB1502" s="46">
        <v>0</v>
      </c>
      <c r="BC1502" s="46">
        <v>0</v>
      </c>
      <c r="BD1502" s="46">
        <v>0</v>
      </c>
      <c r="BE1502" s="46">
        <v>0</v>
      </c>
      <c r="BF1502" s="46">
        <v>0</v>
      </c>
      <c r="BG1502" s="46" t="s">
        <v>48</v>
      </c>
      <c r="BH1502" s="46">
        <v>0</v>
      </c>
      <c r="BI1502" s="46">
        <v>0</v>
      </c>
      <c r="BJ1502" s="46">
        <v>0</v>
      </c>
      <c r="BK1502" s="46">
        <v>0</v>
      </c>
      <c r="BL1502" s="46">
        <v>0</v>
      </c>
      <c r="BM1502" s="46">
        <v>0</v>
      </c>
      <c r="BN1502" s="46">
        <v>0</v>
      </c>
    </row>
    <row r="1503" spans="1:66" x14ac:dyDescent="0.35">
      <c r="A1503" t="s">
        <v>10527</v>
      </c>
      <c r="B1503" s="44" t="s">
        <v>48</v>
      </c>
      <c r="C1503" t="s">
        <v>11798</v>
      </c>
      <c r="D1503" t="s">
        <v>1056</v>
      </c>
      <c r="E1503" t="s">
        <v>10528</v>
      </c>
      <c r="F1503" t="s">
        <v>2054</v>
      </c>
      <c r="G1503" t="s">
        <v>47</v>
      </c>
      <c r="H1503">
        <v>0</v>
      </c>
      <c r="I1503" s="61">
        <v>44798</v>
      </c>
      <c r="J1503" s="33" t="s">
        <v>45</v>
      </c>
      <c r="K1503" s="46">
        <v>0</v>
      </c>
      <c r="L1503">
        <v>11.6</v>
      </c>
      <c r="M1503" t="s">
        <v>48</v>
      </c>
      <c r="N1503" s="46">
        <v>0</v>
      </c>
      <c r="O1503" s="46">
        <v>0</v>
      </c>
      <c r="P1503" s="46">
        <v>0</v>
      </c>
      <c r="Q1503" t="s">
        <v>48</v>
      </c>
      <c r="R1503" t="s">
        <v>48</v>
      </c>
      <c r="S1503" t="s">
        <v>48</v>
      </c>
      <c r="T1503" t="s">
        <v>48</v>
      </c>
      <c r="U1503" t="s">
        <v>48</v>
      </c>
      <c r="V1503" s="47">
        <v>1</v>
      </c>
      <c r="W1503" t="s">
        <v>48</v>
      </c>
      <c r="X1503" t="s">
        <v>48</v>
      </c>
      <c r="Y1503" t="s">
        <v>48</v>
      </c>
      <c r="Z1503">
        <v>0</v>
      </c>
      <c r="AA1503" t="s">
        <v>48</v>
      </c>
      <c r="AB1503" t="s">
        <v>48</v>
      </c>
      <c r="AC1503" t="s">
        <v>63</v>
      </c>
      <c r="AD1503" t="s">
        <v>951</v>
      </c>
      <c r="AE1503" t="s">
        <v>11051</v>
      </c>
      <c r="AF1503" t="s">
        <v>11071</v>
      </c>
      <c r="AG1503" t="s">
        <v>48</v>
      </c>
      <c r="AH1503" t="s">
        <v>48</v>
      </c>
      <c r="AI1503" t="s">
        <v>48</v>
      </c>
      <c r="AJ1503" t="s">
        <v>48</v>
      </c>
      <c r="AK1503" t="s">
        <v>48</v>
      </c>
      <c r="AL1503" t="s">
        <v>48</v>
      </c>
      <c r="AM1503" t="s">
        <v>48</v>
      </c>
      <c r="AN1503" t="s">
        <v>48</v>
      </c>
      <c r="AO1503" t="s">
        <v>48</v>
      </c>
      <c r="AP1503" s="46">
        <v>0</v>
      </c>
      <c r="AQ1503" s="46">
        <v>0</v>
      </c>
      <c r="AR1503" s="46">
        <v>0</v>
      </c>
      <c r="AS1503" s="46">
        <v>0</v>
      </c>
      <c r="AT1503" s="46">
        <v>0</v>
      </c>
      <c r="AU1503" s="46">
        <v>0</v>
      </c>
      <c r="AV1503" s="46">
        <v>0</v>
      </c>
      <c r="AW1503" s="46">
        <v>0</v>
      </c>
      <c r="AX1503" s="46">
        <v>0</v>
      </c>
      <c r="AY1503" s="46">
        <v>0</v>
      </c>
      <c r="AZ1503" s="46">
        <v>0</v>
      </c>
      <c r="BA1503" s="46">
        <v>0</v>
      </c>
      <c r="BB1503" s="46">
        <v>0</v>
      </c>
      <c r="BC1503" s="46">
        <v>0</v>
      </c>
      <c r="BD1503" s="46">
        <v>0</v>
      </c>
      <c r="BE1503" s="46">
        <v>0</v>
      </c>
      <c r="BF1503" s="46">
        <v>0</v>
      </c>
      <c r="BG1503" s="46" t="s">
        <v>48</v>
      </c>
      <c r="BH1503" s="46">
        <v>0</v>
      </c>
      <c r="BI1503" s="46">
        <v>0</v>
      </c>
      <c r="BJ1503" s="46">
        <v>0</v>
      </c>
      <c r="BK1503" s="46">
        <v>0</v>
      </c>
      <c r="BL1503" s="46">
        <v>0</v>
      </c>
      <c r="BM1503" s="46">
        <v>0</v>
      </c>
      <c r="BN1503" s="46">
        <v>0</v>
      </c>
    </row>
    <row r="1504" spans="1:66" x14ac:dyDescent="0.35">
      <c r="A1504" t="s">
        <v>10524</v>
      </c>
      <c r="B1504" s="44" t="s">
        <v>48</v>
      </c>
      <c r="C1504" t="s">
        <v>11796</v>
      </c>
      <c r="D1504" t="s">
        <v>11797</v>
      </c>
      <c r="E1504" t="s">
        <v>10525</v>
      </c>
      <c r="F1504" t="s">
        <v>2054</v>
      </c>
      <c r="G1504" t="s">
        <v>47</v>
      </c>
      <c r="H1504">
        <v>0</v>
      </c>
      <c r="I1504" s="60" t="s">
        <v>11552</v>
      </c>
      <c r="J1504" s="33" t="s">
        <v>45</v>
      </c>
      <c r="K1504" s="46">
        <v>0</v>
      </c>
      <c r="L1504">
        <v>27.8</v>
      </c>
      <c r="M1504" t="s">
        <v>48</v>
      </c>
      <c r="N1504" s="46">
        <v>0</v>
      </c>
      <c r="O1504" s="46">
        <v>0</v>
      </c>
      <c r="P1504" s="46">
        <v>0</v>
      </c>
      <c r="Q1504" t="s">
        <v>48</v>
      </c>
      <c r="R1504" t="s">
        <v>48</v>
      </c>
      <c r="S1504" t="s">
        <v>11442</v>
      </c>
      <c r="T1504" t="s">
        <v>48</v>
      </c>
      <c r="U1504" t="s">
        <v>10526</v>
      </c>
      <c r="V1504" s="47">
        <v>0</v>
      </c>
      <c r="W1504" t="s">
        <v>48</v>
      </c>
      <c r="X1504" t="s">
        <v>48</v>
      </c>
      <c r="Y1504" t="s">
        <v>48</v>
      </c>
      <c r="Z1504">
        <v>0</v>
      </c>
      <c r="AA1504" t="s">
        <v>48</v>
      </c>
      <c r="AB1504" t="s">
        <v>48</v>
      </c>
      <c r="AC1504" t="s">
        <v>63</v>
      </c>
      <c r="AD1504" t="s">
        <v>93</v>
      </c>
      <c r="AE1504" t="s">
        <v>4532</v>
      </c>
      <c r="AF1504" t="s">
        <v>48</v>
      </c>
      <c r="AG1504" t="s">
        <v>48</v>
      </c>
      <c r="AH1504" t="s">
        <v>48</v>
      </c>
      <c r="AI1504" t="s">
        <v>48</v>
      </c>
      <c r="AJ1504" t="s">
        <v>48</v>
      </c>
      <c r="AK1504" t="s">
        <v>48</v>
      </c>
      <c r="AL1504" t="s">
        <v>48</v>
      </c>
      <c r="AM1504" t="s">
        <v>48</v>
      </c>
      <c r="AN1504" t="s">
        <v>48</v>
      </c>
      <c r="AO1504" t="s">
        <v>48</v>
      </c>
      <c r="AP1504" s="46">
        <v>0</v>
      </c>
      <c r="AQ1504" s="46">
        <v>0</v>
      </c>
      <c r="AR1504" s="46">
        <v>0</v>
      </c>
      <c r="AS1504" s="46">
        <v>0</v>
      </c>
      <c r="AT1504" s="46">
        <v>0</v>
      </c>
      <c r="AU1504" s="46">
        <v>0</v>
      </c>
      <c r="AV1504" s="46">
        <v>0</v>
      </c>
      <c r="AW1504" s="46">
        <v>0</v>
      </c>
      <c r="AX1504" s="46">
        <v>0</v>
      </c>
      <c r="AY1504" s="46">
        <v>0</v>
      </c>
      <c r="AZ1504" s="46">
        <v>0</v>
      </c>
      <c r="BA1504" s="46">
        <v>0</v>
      </c>
      <c r="BB1504" s="46">
        <v>0</v>
      </c>
      <c r="BC1504" s="46">
        <v>0</v>
      </c>
      <c r="BD1504" s="46">
        <v>0</v>
      </c>
      <c r="BE1504" s="46">
        <v>0</v>
      </c>
      <c r="BF1504" s="46">
        <v>0</v>
      </c>
      <c r="BG1504" s="46" t="s">
        <v>48</v>
      </c>
      <c r="BH1504" s="46">
        <v>0</v>
      </c>
      <c r="BI1504" s="46">
        <v>0</v>
      </c>
      <c r="BJ1504" s="46">
        <v>0</v>
      </c>
      <c r="BK1504" s="46">
        <v>0</v>
      </c>
      <c r="BL1504" s="46">
        <v>0</v>
      </c>
      <c r="BM1504" s="46">
        <v>0</v>
      </c>
      <c r="BN1504" s="46">
        <v>0</v>
      </c>
    </row>
    <row r="1505" spans="1:66" x14ac:dyDescent="0.35">
      <c r="A1505" t="s">
        <v>1885</v>
      </c>
      <c r="B1505" s="44" t="s">
        <v>48</v>
      </c>
      <c r="C1505" t="s">
        <v>1886</v>
      </c>
      <c r="D1505" t="s">
        <v>427</v>
      </c>
      <c r="E1505" t="s">
        <v>10532</v>
      </c>
      <c r="F1505" t="s">
        <v>2054</v>
      </c>
      <c r="G1505" t="s">
        <v>47</v>
      </c>
      <c r="H1505">
        <v>0</v>
      </c>
      <c r="I1505" s="60" t="s">
        <v>11552</v>
      </c>
      <c r="J1505" s="33" t="s">
        <v>45</v>
      </c>
      <c r="K1505" s="46">
        <v>0</v>
      </c>
      <c r="L1505">
        <v>8.6999999999999993</v>
      </c>
      <c r="M1505" t="s">
        <v>48</v>
      </c>
      <c r="N1505" s="46">
        <v>0</v>
      </c>
      <c r="O1505" s="46">
        <v>0</v>
      </c>
      <c r="P1505" s="46">
        <v>0</v>
      </c>
      <c r="Q1505" t="s">
        <v>48</v>
      </c>
      <c r="R1505" t="s">
        <v>48</v>
      </c>
      <c r="S1505" t="s">
        <v>11443</v>
      </c>
      <c r="T1505" t="s">
        <v>48</v>
      </c>
      <c r="U1505" t="s">
        <v>10533</v>
      </c>
      <c r="V1505" s="47">
        <v>0</v>
      </c>
      <c r="W1505" t="s">
        <v>48</v>
      </c>
      <c r="X1505" t="s">
        <v>48</v>
      </c>
      <c r="Y1505" t="s">
        <v>48</v>
      </c>
      <c r="Z1505">
        <v>0</v>
      </c>
      <c r="AA1505" t="s">
        <v>48</v>
      </c>
      <c r="AB1505" t="s">
        <v>48</v>
      </c>
      <c r="AC1505" t="s">
        <v>49</v>
      </c>
      <c r="AD1505" t="s">
        <v>93</v>
      </c>
      <c r="AE1505" t="s">
        <v>4532</v>
      </c>
      <c r="AF1505" t="s">
        <v>48</v>
      </c>
      <c r="AG1505" t="s">
        <v>48</v>
      </c>
      <c r="AH1505" t="s">
        <v>48</v>
      </c>
      <c r="AI1505" t="s">
        <v>48</v>
      </c>
      <c r="AJ1505" t="s">
        <v>48</v>
      </c>
      <c r="AK1505" t="s">
        <v>48</v>
      </c>
      <c r="AL1505" t="s">
        <v>48</v>
      </c>
      <c r="AM1505" t="s">
        <v>48</v>
      </c>
      <c r="AN1505" t="s">
        <v>48</v>
      </c>
      <c r="AO1505" t="s">
        <v>48</v>
      </c>
      <c r="AP1505" s="46">
        <v>0</v>
      </c>
      <c r="AQ1505" s="46">
        <v>0</v>
      </c>
      <c r="AR1505" s="46">
        <v>0</v>
      </c>
      <c r="AS1505" s="46">
        <v>0</v>
      </c>
      <c r="AT1505" s="46">
        <v>0</v>
      </c>
      <c r="AU1505" s="46">
        <v>0</v>
      </c>
      <c r="AV1505" s="46">
        <v>0</v>
      </c>
      <c r="AW1505" s="46">
        <v>0</v>
      </c>
      <c r="AX1505" s="46">
        <v>0</v>
      </c>
      <c r="AY1505" s="46">
        <v>0</v>
      </c>
      <c r="AZ1505" s="46">
        <v>0</v>
      </c>
      <c r="BA1505" s="46">
        <v>0</v>
      </c>
      <c r="BB1505" s="46">
        <v>0</v>
      </c>
      <c r="BC1505" s="46">
        <v>0</v>
      </c>
      <c r="BD1505" s="46">
        <v>0</v>
      </c>
      <c r="BE1505" s="46">
        <v>0</v>
      </c>
      <c r="BF1505" s="46">
        <v>0</v>
      </c>
      <c r="BG1505" s="46" t="s">
        <v>48</v>
      </c>
      <c r="BH1505" s="46">
        <v>0</v>
      </c>
      <c r="BI1505" s="46">
        <v>0</v>
      </c>
      <c r="BJ1505" s="46">
        <v>0</v>
      </c>
      <c r="BK1505" s="46">
        <v>0</v>
      </c>
      <c r="BL1505" s="46">
        <v>0</v>
      </c>
      <c r="BM1505" s="46">
        <v>0</v>
      </c>
      <c r="BN1505" s="46">
        <v>0</v>
      </c>
    </row>
    <row r="1506" spans="1:66" x14ac:dyDescent="0.35">
      <c r="A1506" t="s">
        <v>10519</v>
      </c>
      <c r="B1506" s="44" t="s">
        <v>48</v>
      </c>
      <c r="C1506" t="s">
        <v>11799</v>
      </c>
      <c r="D1506" t="s">
        <v>262</v>
      </c>
      <c r="E1506" t="s">
        <v>10520</v>
      </c>
      <c r="F1506" t="s">
        <v>2054</v>
      </c>
      <c r="G1506" t="s">
        <v>74</v>
      </c>
      <c r="H1506">
        <v>0</v>
      </c>
      <c r="I1506" s="61">
        <v>44798</v>
      </c>
      <c r="J1506" s="33" t="s">
        <v>45</v>
      </c>
      <c r="K1506" s="46">
        <v>0</v>
      </c>
      <c r="L1506">
        <v>5.4</v>
      </c>
      <c r="M1506" t="s">
        <v>48</v>
      </c>
      <c r="N1506" s="46">
        <v>0</v>
      </c>
      <c r="O1506" s="46">
        <v>0</v>
      </c>
      <c r="P1506" s="46">
        <v>0</v>
      </c>
      <c r="Q1506" t="s">
        <v>48</v>
      </c>
      <c r="R1506" t="s">
        <v>48</v>
      </c>
      <c r="S1506" t="s">
        <v>48</v>
      </c>
      <c r="T1506" t="s">
        <v>48</v>
      </c>
      <c r="U1506" t="s">
        <v>48</v>
      </c>
      <c r="V1506" s="47">
        <v>1</v>
      </c>
      <c r="W1506" t="s">
        <v>48</v>
      </c>
      <c r="X1506" t="s">
        <v>48</v>
      </c>
      <c r="Y1506" t="s">
        <v>48</v>
      </c>
      <c r="Z1506">
        <v>0</v>
      </c>
      <c r="AA1506" t="s">
        <v>48</v>
      </c>
      <c r="AB1506" t="s">
        <v>48</v>
      </c>
      <c r="AC1506" t="s">
        <v>49</v>
      </c>
      <c r="AD1506" t="s">
        <v>93</v>
      </c>
      <c r="AE1506" t="s">
        <v>4532</v>
      </c>
      <c r="AF1506" t="s">
        <v>48</v>
      </c>
      <c r="AG1506" t="s">
        <v>48</v>
      </c>
      <c r="AH1506" t="s">
        <v>48</v>
      </c>
      <c r="AI1506" t="s">
        <v>48</v>
      </c>
      <c r="AJ1506" t="s">
        <v>48</v>
      </c>
      <c r="AK1506" t="s">
        <v>48</v>
      </c>
      <c r="AL1506" t="s">
        <v>48</v>
      </c>
      <c r="AM1506" t="s">
        <v>48</v>
      </c>
      <c r="AN1506" t="s">
        <v>48</v>
      </c>
      <c r="AO1506" t="s">
        <v>48</v>
      </c>
      <c r="AP1506" s="46">
        <v>0</v>
      </c>
      <c r="AQ1506" s="46">
        <v>0</v>
      </c>
      <c r="AR1506" s="46">
        <v>0</v>
      </c>
      <c r="AS1506" s="46">
        <v>0</v>
      </c>
      <c r="AT1506" s="46">
        <v>0</v>
      </c>
      <c r="AU1506" s="46">
        <v>0</v>
      </c>
      <c r="AV1506" s="46">
        <v>0</v>
      </c>
      <c r="AW1506" s="46">
        <v>0</v>
      </c>
      <c r="AX1506" s="46">
        <v>0</v>
      </c>
      <c r="AY1506" s="46">
        <v>0</v>
      </c>
      <c r="AZ1506" s="46">
        <v>0</v>
      </c>
      <c r="BA1506" s="46">
        <v>0</v>
      </c>
      <c r="BB1506" s="46">
        <v>0</v>
      </c>
      <c r="BC1506" s="46">
        <v>0</v>
      </c>
      <c r="BD1506" s="46">
        <v>0</v>
      </c>
      <c r="BE1506" s="46">
        <v>0</v>
      </c>
      <c r="BF1506" s="46">
        <v>0</v>
      </c>
      <c r="BG1506" s="46" t="s">
        <v>48</v>
      </c>
      <c r="BH1506" s="46">
        <v>0</v>
      </c>
      <c r="BI1506" s="46">
        <v>0</v>
      </c>
      <c r="BJ1506" s="46">
        <v>0</v>
      </c>
      <c r="BK1506" s="46">
        <v>0</v>
      </c>
      <c r="BL1506" s="46">
        <v>0</v>
      </c>
      <c r="BM1506" s="46">
        <v>0</v>
      </c>
      <c r="BN1506" s="46">
        <v>0</v>
      </c>
    </row>
    <row r="1507" spans="1:66" x14ac:dyDescent="0.35">
      <c r="A1507" t="s">
        <v>2068</v>
      </c>
      <c r="B1507" s="44" t="s">
        <v>48</v>
      </c>
      <c r="C1507" t="s">
        <v>1795</v>
      </c>
      <c r="D1507" t="s">
        <v>772</v>
      </c>
      <c r="E1507" t="s">
        <v>2069</v>
      </c>
      <c r="F1507" t="s">
        <v>2062</v>
      </c>
      <c r="G1507" t="s">
        <v>47</v>
      </c>
      <c r="H1507">
        <v>0</v>
      </c>
      <c r="I1507" s="60" t="s">
        <v>51</v>
      </c>
      <c r="J1507" s="33" t="s">
        <v>45</v>
      </c>
      <c r="K1507" s="46">
        <v>0</v>
      </c>
      <c r="L1507">
        <v>13.8</v>
      </c>
      <c r="M1507" t="s">
        <v>48</v>
      </c>
      <c r="N1507" s="46">
        <v>0</v>
      </c>
      <c r="O1507" s="46">
        <v>0</v>
      </c>
      <c r="P1507" s="46">
        <v>0</v>
      </c>
      <c r="Q1507" t="s">
        <v>48</v>
      </c>
      <c r="R1507" t="s">
        <v>48</v>
      </c>
      <c r="S1507" t="s">
        <v>48</v>
      </c>
      <c r="T1507" t="s">
        <v>48</v>
      </c>
      <c r="U1507" t="s">
        <v>48</v>
      </c>
      <c r="V1507" s="47">
        <v>0</v>
      </c>
      <c r="W1507" t="s">
        <v>48</v>
      </c>
      <c r="X1507" t="s">
        <v>48</v>
      </c>
      <c r="Y1507" t="s">
        <v>48</v>
      </c>
      <c r="Z1507">
        <v>0</v>
      </c>
      <c r="AA1507" t="s">
        <v>48</v>
      </c>
      <c r="AB1507" t="s">
        <v>48</v>
      </c>
      <c r="AC1507" t="s">
        <v>49</v>
      </c>
      <c r="AD1507" t="s">
        <v>93</v>
      </c>
      <c r="AE1507" t="s">
        <v>4532</v>
      </c>
      <c r="AF1507" t="s">
        <v>48</v>
      </c>
      <c r="AG1507" t="s">
        <v>48</v>
      </c>
      <c r="AH1507" t="s">
        <v>48</v>
      </c>
      <c r="AI1507" t="s">
        <v>48</v>
      </c>
      <c r="AJ1507" t="s">
        <v>48</v>
      </c>
      <c r="AK1507" t="s">
        <v>48</v>
      </c>
      <c r="AL1507" t="s">
        <v>48</v>
      </c>
      <c r="AM1507" t="s">
        <v>48</v>
      </c>
      <c r="AN1507" t="s">
        <v>48</v>
      </c>
      <c r="AO1507" t="s">
        <v>48</v>
      </c>
      <c r="AP1507" s="46">
        <v>0</v>
      </c>
      <c r="AQ1507" s="46">
        <v>0</v>
      </c>
      <c r="AR1507" s="46">
        <v>0</v>
      </c>
      <c r="AS1507" s="46">
        <v>0</v>
      </c>
      <c r="AT1507" s="46">
        <v>0</v>
      </c>
      <c r="AU1507" s="46">
        <v>0</v>
      </c>
      <c r="AV1507" s="46">
        <v>0</v>
      </c>
      <c r="AW1507" s="46">
        <v>0</v>
      </c>
      <c r="AX1507" s="46">
        <v>0</v>
      </c>
      <c r="AY1507" s="46">
        <v>0</v>
      </c>
      <c r="AZ1507" s="46">
        <v>0</v>
      </c>
      <c r="BA1507" s="46">
        <v>0</v>
      </c>
      <c r="BB1507" s="46">
        <v>0</v>
      </c>
      <c r="BC1507" s="46">
        <v>0</v>
      </c>
      <c r="BD1507" s="46">
        <v>0</v>
      </c>
      <c r="BE1507" s="46">
        <v>0</v>
      </c>
      <c r="BF1507" s="46">
        <v>0</v>
      </c>
      <c r="BG1507" s="46" t="s">
        <v>48</v>
      </c>
      <c r="BH1507" s="46">
        <v>0</v>
      </c>
      <c r="BI1507" s="46">
        <v>0</v>
      </c>
      <c r="BJ1507" s="46">
        <v>0</v>
      </c>
      <c r="BK1507" s="46">
        <v>0</v>
      </c>
      <c r="BL1507" s="46">
        <v>0</v>
      </c>
      <c r="BM1507" s="46">
        <v>0</v>
      </c>
      <c r="BN1507" s="46">
        <v>0</v>
      </c>
    </row>
    <row r="1508" spans="1:66" x14ac:dyDescent="0.35">
      <c r="A1508" t="s">
        <v>10548</v>
      </c>
      <c r="B1508" s="44" t="s">
        <v>48</v>
      </c>
      <c r="C1508" t="s">
        <v>11805</v>
      </c>
      <c r="D1508" t="s">
        <v>7042</v>
      </c>
      <c r="E1508" t="s">
        <v>10549</v>
      </c>
      <c r="F1508" t="s">
        <v>2077</v>
      </c>
      <c r="G1508" t="s">
        <v>47</v>
      </c>
      <c r="H1508">
        <v>0</v>
      </c>
      <c r="I1508" s="60" t="s">
        <v>11552</v>
      </c>
      <c r="J1508" s="33" t="s">
        <v>45</v>
      </c>
      <c r="K1508" s="46">
        <v>0</v>
      </c>
      <c r="L1508">
        <v>3</v>
      </c>
      <c r="M1508" t="s">
        <v>48</v>
      </c>
      <c r="N1508" s="46">
        <v>0</v>
      </c>
      <c r="O1508" s="46">
        <v>0</v>
      </c>
      <c r="P1508" s="46">
        <v>0</v>
      </c>
      <c r="Q1508" t="s">
        <v>48</v>
      </c>
      <c r="R1508" t="s">
        <v>48</v>
      </c>
      <c r="S1508" t="s">
        <v>11445</v>
      </c>
      <c r="T1508" t="s">
        <v>48</v>
      </c>
      <c r="U1508" t="s">
        <v>10550</v>
      </c>
      <c r="V1508" s="47">
        <v>0</v>
      </c>
      <c r="W1508" t="s">
        <v>48</v>
      </c>
      <c r="X1508" t="s">
        <v>48</v>
      </c>
      <c r="Y1508" t="s">
        <v>48</v>
      </c>
      <c r="Z1508">
        <v>0</v>
      </c>
      <c r="AA1508" t="s">
        <v>48</v>
      </c>
      <c r="AB1508" t="s">
        <v>48</v>
      </c>
      <c r="AC1508" t="s">
        <v>49</v>
      </c>
      <c r="AD1508" t="s">
        <v>951</v>
      </c>
      <c r="AE1508" t="s">
        <v>11051</v>
      </c>
      <c r="AF1508" t="s">
        <v>48</v>
      </c>
      <c r="AG1508" t="s">
        <v>48</v>
      </c>
      <c r="AH1508" t="s">
        <v>48</v>
      </c>
      <c r="AI1508" t="s">
        <v>48</v>
      </c>
      <c r="AJ1508" t="s">
        <v>48</v>
      </c>
      <c r="AK1508" t="s">
        <v>48</v>
      </c>
      <c r="AL1508" t="s">
        <v>48</v>
      </c>
      <c r="AM1508" t="s">
        <v>48</v>
      </c>
      <c r="AN1508" t="s">
        <v>48</v>
      </c>
      <c r="AO1508" t="s">
        <v>48</v>
      </c>
      <c r="AP1508" s="46">
        <v>0</v>
      </c>
      <c r="AQ1508" s="46">
        <v>0</v>
      </c>
      <c r="AR1508" s="46">
        <v>0</v>
      </c>
      <c r="AS1508" s="46">
        <v>0</v>
      </c>
      <c r="AT1508" s="46">
        <v>0</v>
      </c>
      <c r="AU1508" s="46">
        <v>0</v>
      </c>
      <c r="AV1508" s="46">
        <v>0</v>
      </c>
      <c r="AW1508" s="46">
        <v>0</v>
      </c>
      <c r="AX1508" s="46">
        <v>0</v>
      </c>
      <c r="AY1508" s="46">
        <v>0</v>
      </c>
      <c r="AZ1508" s="46">
        <v>0</v>
      </c>
      <c r="BA1508" s="46">
        <v>0</v>
      </c>
      <c r="BB1508" s="46">
        <v>0</v>
      </c>
      <c r="BC1508" s="46">
        <v>0</v>
      </c>
      <c r="BD1508" s="46">
        <v>0</v>
      </c>
      <c r="BE1508" s="46">
        <v>0</v>
      </c>
      <c r="BF1508" s="46">
        <v>0</v>
      </c>
      <c r="BG1508" s="46" t="s">
        <v>48</v>
      </c>
      <c r="BH1508" s="46">
        <v>0</v>
      </c>
      <c r="BI1508" s="46">
        <v>0</v>
      </c>
      <c r="BJ1508" s="46">
        <v>0</v>
      </c>
      <c r="BK1508" s="46">
        <v>0</v>
      </c>
      <c r="BL1508" s="46">
        <v>0</v>
      </c>
      <c r="BM1508" s="46">
        <v>0</v>
      </c>
      <c r="BN1508" s="46">
        <v>0</v>
      </c>
    </row>
    <row r="1509" spans="1:66" x14ac:dyDescent="0.35">
      <c r="A1509" t="s">
        <v>10541</v>
      </c>
      <c r="B1509" s="44" t="s">
        <v>48</v>
      </c>
      <c r="C1509" t="s">
        <v>11803</v>
      </c>
      <c r="D1509" t="s">
        <v>1445</v>
      </c>
      <c r="E1509" t="s">
        <v>10542</v>
      </c>
      <c r="F1509" t="s">
        <v>2077</v>
      </c>
      <c r="G1509" t="s">
        <v>47</v>
      </c>
      <c r="H1509">
        <v>0</v>
      </c>
      <c r="I1509" s="61">
        <v>44798</v>
      </c>
      <c r="J1509" s="33" t="s">
        <v>45</v>
      </c>
      <c r="K1509" s="46">
        <v>0</v>
      </c>
      <c r="L1509">
        <v>10.7</v>
      </c>
      <c r="M1509" t="s">
        <v>48</v>
      </c>
      <c r="N1509" s="46">
        <v>0</v>
      </c>
      <c r="O1509" s="46">
        <v>0</v>
      </c>
      <c r="P1509" s="46">
        <v>0</v>
      </c>
      <c r="Q1509" t="s">
        <v>48</v>
      </c>
      <c r="R1509" t="s">
        <v>48</v>
      </c>
      <c r="S1509" t="s">
        <v>48</v>
      </c>
      <c r="T1509" t="s">
        <v>48</v>
      </c>
      <c r="U1509" t="s">
        <v>48</v>
      </c>
      <c r="V1509" s="47">
        <v>1</v>
      </c>
      <c r="W1509" t="s">
        <v>48</v>
      </c>
      <c r="X1509" t="s">
        <v>48</v>
      </c>
      <c r="Y1509" t="s">
        <v>48</v>
      </c>
      <c r="Z1509">
        <v>0</v>
      </c>
      <c r="AA1509" t="s">
        <v>48</v>
      </c>
      <c r="AB1509" t="s">
        <v>48</v>
      </c>
      <c r="AC1509" t="s">
        <v>63</v>
      </c>
      <c r="AD1509" t="s">
        <v>93</v>
      </c>
      <c r="AE1509" t="s">
        <v>4532</v>
      </c>
      <c r="AF1509" t="s">
        <v>48</v>
      </c>
      <c r="AG1509" t="s">
        <v>48</v>
      </c>
      <c r="AH1509" t="s">
        <v>48</v>
      </c>
      <c r="AI1509" t="s">
        <v>48</v>
      </c>
      <c r="AJ1509" t="s">
        <v>48</v>
      </c>
      <c r="AK1509" t="s">
        <v>48</v>
      </c>
      <c r="AL1509" t="s">
        <v>48</v>
      </c>
      <c r="AM1509" t="s">
        <v>48</v>
      </c>
      <c r="AN1509" t="s">
        <v>48</v>
      </c>
      <c r="AO1509" t="s">
        <v>48</v>
      </c>
      <c r="AP1509" s="46">
        <v>0</v>
      </c>
      <c r="AQ1509" s="46">
        <v>0</v>
      </c>
      <c r="AR1509" s="46">
        <v>0</v>
      </c>
      <c r="AS1509" s="46">
        <v>0</v>
      </c>
      <c r="AT1509" s="46">
        <v>0</v>
      </c>
      <c r="AU1509" s="46">
        <v>0</v>
      </c>
      <c r="AV1509" s="46">
        <v>0</v>
      </c>
      <c r="AW1509" s="46">
        <v>0</v>
      </c>
      <c r="AX1509" s="46">
        <v>0</v>
      </c>
      <c r="AY1509" s="46">
        <v>0</v>
      </c>
      <c r="AZ1509" s="46">
        <v>0</v>
      </c>
      <c r="BA1509" s="46">
        <v>0</v>
      </c>
      <c r="BB1509" s="46">
        <v>0</v>
      </c>
      <c r="BC1509" s="46">
        <v>0</v>
      </c>
      <c r="BD1509" s="46">
        <v>0</v>
      </c>
      <c r="BE1509" s="46">
        <v>0</v>
      </c>
      <c r="BF1509" s="46">
        <v>0</v>
      </c>
      <c r="BG1509" s="46" t="s">
        <v>48</v>
      </c>
      <c r="BH1509" s="46">
        <v>0</v>
      </c>
      <c r="BI1509" s="46">
        <v>0</v>
      </c>
      <c r="BJ1509" s="46">
        <v>0</v>
      </c>
      <c r="BK1509" s="46">
        <v>0</v>
      </c>
      <c r="BL1509" s="46">
        <v>0</v>
      </c>
      <c r="BM1509" s="46">
        <v>0</v>
      </c>
      <c r="BN1509" s="46">
        <v>0</v>
      </c>
    </row>
    <row r="1510" spans="1:66" x14ac:dyDescent="0.35">
      <c r="A1510" t="s">
        <v>1924</v>
      </c>
      <c r="B1510" s="44" t="s">
        <v>48</v>
      </c>
      <c r="C1510" t="s">
        <v>11802</v>
      </c>
      <c r="D1510" t="s">
        <v>1925</v>
      </c>
      <c r="E1510" t="s">
        <v>10546</v>
      </c>
      <c r="F1510" t="s">
        <v>2077</v>
      </c>
      <c r="G1510" t="s">
        <v>47</v>
      </c>
      <c r="H1510">
        <v>0</v>
      </c>
      <c r="I1510" s="60" t="s">
        <v>11552</v>
      </c>
      <c r="J1510" s="33" t="s">
        <v>45</v>
      </c>
      <c r="K1510" s="46">
        <v>0</v>
      </c>
      <c r="L1510">
        <v>6.5</v>
      </c>
      <c r="M1510" t="s">
        <v>48</v>
      </c>
      <c r="N1510" s="46">
        <v>0</v>
      </c>
      <c r="O1510" s="46">
        <v>0</v>
      </c>
      <c r="P1510" s="46">
        <v>0</v>
      </c>
      <c r="Q1510" t="s">
        <v>48</v>
      </c>
      <c r="R1510" t="s">
        <v>48</v>
      </c>
      <c r="S1510" t="s">
        <v>11446</v>
      </c>
      <c r="T1510" t="s">
        <v>48</v>
      </c>
      <c r="U1510" t="s">
        <v>10547</v>
      </c>
      <c r="V1510" s="47">
        <v>0</v>
      </c>
      <c r="W1510" t="s">
        <v>48</v>
      </c>
      <c r="X1510" t="s">
        <v>48</v>
      </c>
      <c r="Y1510" t="s">
        <v>48</v>
      </c>
      <c r="Z1510">
        <v>0</v>
      </c>
      <c r="AA1510" t="s">
        <v>48</v>
      </c>
      <c r="AB1510" t="s">
        <v>48</v>
      </c>
      <c r="AC1510" t="s">
        <v>49</v>
      </c>
      <c r="AD1510" t="s">
        <v>93</v>
      </c>
      <c r="AE1510" t="s">
        <v>4532</v>
      </c>
      <c r="AF1510" t="s">
        <v>48</v>
      </c>
      <c r="AG1510" t="s">
        <v>48</v>
      </c>
      <c r="AH1510" t="s">
        <v>48</v>
      </c>
      <c r="AI1510" t="s">
        <v>48</v>
      </c>
      <c r="AJ1510" t="s">
        <v>48</v>
      </c>
      <c r="AK1510" t="s">
        <v>48</v>
      </c>
      <c r="AL1510" t="s">
        <v>48</v>
      </c>
      <c r="AM1510" t="s">
        <v>48</v>
      </c>
      <c r="AN1510" t="s">
        <v>48</v>
      </c>
      <c r="AO1510" t="s">
        <v>48</v>
      </c>
      <c r="AP1510" s="46">
        <v>0</v>
      </c>
      <c r="AQ1510" s="46">
        <v>0</v>
      </c>
      <c r="AR1510" s="46">
        <v>0</v>
      </c>
      <c r="AS1510" s="46">
        <v>0</v>
      </c>
      <c r="AT1510" s="46">
        <v>0</v>
      </c>
      <c r="AU1510" s="46">
        <v>0</v>
      </c>
      <c r="AV1510" s="46">
        <v>0</v>
      </c>
      <c r="AW1510" s="46">
        <v>0</v>
      </c>
      <c r="AX1510" s="46">
        <v>0</v>
      </c>
      <c r="AY1510" s="46">
        <v>0</v>
      </c>
      <c r="AZ1510" s="46">
        <v>0</v>
      </c>
      <c r="BA1510" s="46">
        <v>0</v>
      </c>
      <c r="BB1510" s="46">
        <v>0</v>
      </c>
      <c r="BC1510" s="46">
        <v>0</v>
      </c>
      <c r="BD1510" s="46">
        <v>0</v>
      </c>
      <c r="BE1510" s="46">
        <v>0</v>
      </c>
      <c r="BF1510" s="46">
        <v>0</v>
      </c>
      <c r="BG1510" s="46" t="s">
        <v>48</v>
      </c>
      <c r="BH1510" s="46">
        <v>0</v>
      </c>
      <c r="BI1510" s="46">
        <v>0</v>
      </c>
      <c r="BJ1510" s="46">
        <v>0</v>
      </c>
      <c r="BK1510" s="46">
        <v>0</v>
      </c>
      <c r="BL1510" s="46">
        <v>0</v>
      </c>
      <c r="BM1510" s="46">
        <v>0</v>
      </c>
      <c r="BN1510" s="46">
        <v>0</v>
      </c>
    </row>
    <row r="1511" spans="1:66" x14ac:dyDescent="0.35">
      <c r="A1511" t="s">
        <v>10543</v>
      </c>
      <c r="B1511" s="44" t="s">
        <v>48</v>
      </c>
      <c r="C1511" t="s">
        <v>11804</v>
      </c>
      <c r="D1511" t="s">
        <v>2436</v>
      </c>
      <c r="E1511" t="s">
        <v>10544</v>
      </c>
      <c r="F1511" t="s">
        <v>2077</v>
      </c>
      <c r="G1511" t="s">
        <v>47</v>
      </c>
      <c r="H1511">
        <v>0</v>
      </c>
      <c r="I1511" s="60" t="s">
        <v>11552</v>
      </c>
      <c r="J1511" s="33" t="s">
        <v>45</v>
      </c>
      <c r="K1511" s="46">
        <v>0</v>
      </c>
      <c r="L1511">
        <v>6.7</v>
      </c>
      <c r="M1511" t="s">
        <v>48</v>
      </c>
      <c r="N1511" s="46">
        <v>0</v>
      </c>
      <c r="O1511" s="46">
        <v>0</v>
      </c>
      <c r="P1511" s="46">
        <v>0</v>
      </c>
      <c r="Q1511" t="s">
        <v>48</v>
      </c>
      <c r="R1511" t="s">
        <v>48</v>
      </c>
      <c r="S1511" t="s">
        <v>11448</v>
      </c>
      <c r="T1511" t="s">
        <v>48</v>
      </c>
      <c r="U1511" t="s">
        <v>10545</v>
      </c>
      <c r="V1511" s="47">
        <v>0</v>
      </c>
      <c r="W1511" t="s">
        <v>48</v>
      </c>
      <c r="X1511" t="s">
        <v>48</v>
      </c>
      <c r="Y1511" t="s">
        <v>48</v>
      </c>
      <c r="Z1511">
        <v>0</v>
      </c>
      <c r="AA1511" t="s">
        <v>48</v>
      </c>
      <c r="AB1511" t="s">
        <v>48</v>
      </c>
      <c r="AC1511" t="s">
        <v>63</v>
      </c>
      <c r="AD1511" t="s">
        <v>93</v>
      </c>
      <c r="AE1511" t="s">
        <v>4532</v>
      </c>
      <c r="AF1511" t="s">
        <v>48</v>
      </c>
      <c r="AG1511" t="s">
        <v>48</v>
      </c>
      <c r="AH1511" t="s">
        <v>48</v>
      </c>
      <c r="AI1511" t="s">
        <v>48</v>
      </c>
      <c r="AJ1511" t="s">
        <v>48</v>
      </c>
      <c r="AK1511" t="s">
        <v>48</v>
      </c>
      <c r="AL1511" t="s">
        <v>48</v>
      </c>
      <c r="AM1511" t="s">
        <v>48</v>
      </c>
      <c r="AN1511" t="s">
        <v>48</v>
      </c>
      <c r="AO1511" t="s">
        <v>48</v>
      </c>
      <c r="AP1511" s="46">
        <v>0</v>
      </c>
      <c r="AQ1511" s="46">
        <v>0</v>
      </c>
      <c r="AR1511" s="46">
        <v>0</v>
      </c>
      <c r="AS1511" s="46">
        <v>0</v>
      </c>
      <c r="AT1511" s="46">
        <v>0</v>
      </c>
      <c r="AU1511" s="46">
        <v>0</v>
      </c>
      <c r="AV1511" s="46">
        <v>0</v>
      </c>
      <c r="AW1511" s="46">
        <v>0</v>
      </c>
      <c r="AX1511" s="46">
        <v>0</v>
      </c>
      <c r="AY1511" s="46">
        <v>0</v>
      </c>
      <c r="AZ1511" s="46">
        <v>0</v>
      </c>
      <c r="BA1511" s="46">
        <v>0</v>
      </c>
      <c r="BB1511" s="46">
        <v>0</v>
      </c>
      <c r="BC1511" s="46">
        <v>0</v>
      </c>
      <c r="BD1511" s="46">
        <v>0</v>
      </c>
      <c r="BE1511" s="46">
        <v>0</v>
      </c>
      <c r="BF1511" s="46">
        <v>0</v>
      </c>
      <c r="BG1511" s="46" t="s">
        <v>48</v>
      </c>
      <c r="BH1511" s="46">
        <v>0</v>
      </c>
      <c r="BI1511" s="46">
        <v>0</v>
      </c>
      <c r="BJ1511" s="46">
        <v>0</v>
      </c>
      <c r="BK1511" s="46">
        <v>0</v>
      </c>
      <c r="BL1511" s="46">
        <v>0</v>
      </c>
      <c r="BM1511" s="46">
        <v>0</v>
      </c>
      <c r="BN1511" s="46">
        <v>0</v>
      </c>
    </row>
    <row r="1512" spans="1:66" x14ac:dyDescent="0.35">
      <c r="A1512" t="s">
        <v>10551</v>
      </c>
      <c r="B1512" s="44" t="s">
        <v>48</v>
      </c>
      <c r="C1512" t="s">
        <v>11806</v>
      </c>
      <c r="D1512" t="s">
        <v>829</v>
      </c>
      <c r="E1512" t="s">
        <v>10552</v>
      </c>
      <c r="F1512" t="s">
        <v>2082</v>
      </c>
      <c r="G1512" t="s">
        <v>47</v>
      </c>
      <c r="H1512">
        <v>0</v>
      </c>
      <c r="I1512" s="60" t="s">
        <v>11552</v>
      </c>
      <c r="J1512" s="33" t="s">
        <v>45</v>
      </c>
      <c r="K1512" s="46">
        <v>0</v>
      </c>
      <c r="L1512">
        <v>16.2</v>
      </c>
      <c r="M1512" t="s">
        <v>48</v>
      </c>
      <c r="N1512" s="46">
        <v>0</v>
      </c>
      <c r="O1512" s="46">
        <v>0</v>
      </c>
      <c r="P1512" s="46">
        <v>0</v>
      </c>
      <c r="Q1512" t="s">
        <v>48</v>
      </c>
      <c r="R1512" t="s">
        <v>48</v>
      </c>
      <c r="S1512" t="s">
        <v>11449</v>
      </c>
      <c r="T1512" t="s">
        <v>48</v>
      </c>
      <c r="U1512" t="s">
        <v>10553</v>
      </c>
      <c r="V1512" s="47">
        <v>0</v>
      </c>
      <c r="W1512" t="s">
        <v>48</v>
      </c>
      <c r="X1512" t="s">
        <v>48</v>
      </c>
      <c r="Y1512" t="s">
        <v>48</v>
      </c>
      <c r="Z1512">
        <v>0</v>
      </c>
      <c r="AA1512" t="s">
        <v>48</v>
      </c>
      <c r="AB1512" t="s">
        <v>48</v>
      </c>
      <c r="AC1512" t="s">
        <v>49</v>
      </c>
      <c r="AD1512" t="s">
        <v>93</v>
      </c>
      <c r="AE1512" t="s">
        <v>4532</v>
      </c>
      <c r="AF1512" t="s">
        <v>48</v>
      </c>
      <c r="AG1512" t="s">
        <v>48</v>
      </c>
      <c r="AH1512" t="s">
        <v>48</v>
      </c>
      <c r="AI1512" t="s">
        <v>48</v>
      </c>
      <c r="AJ1512" t="s">
        <v>48</v>
      </c>
      <c r="AK1512" t="s">
        <v>48</v>
      </c>
      <c r="AL1512" t="s">
        <v>48</v>
      </c>
      <c r="AM1512" t="s">
        <v>48</v>
      </c>
      <c r="AN1512" t="s">
        <v>48</v>
      </c>
      <c r="AO1512" t="s">
        <v>48</v>
      </c>
      <c r="AP1512" s="46">
        <v>0</v>
      </c>
      <c r="AQ1512" s="46">
        <v>0</v>
      </c>
      <c r="AR1512" s="46">
        <v>0</v>
      </c>
      <c r="AS1512" s="46">
        <v>0</v>
      </c>
      <c r="AT1512" s="46">
        <v>0</v>
      </c>
      <c r="AU1512" s="46">
        <v>0</v>
      </c>
      <c r="AV1512" s="46">
        <v>0</v>
      </c>
      <c r="AW1512" s="46">
        <v>0</v>
      </c>
      <c r="AX1512" s="46">
        <v>0</v>
      </c>
      <c r="AY1512" s="46">
        <v>0</v>
      </c>
      <c r="AZ1512" s="46">
        <v>0</v>
      </c>
      <c r="BA1512" s="46">
        <v>0</v>
      </c>
      <c r="BB1512" s="46">
        <v>0</v>
      </c>
      <c r="BC1512" s="46">
        <v>0</v>
      </c>
      <c r="BD1512" s="46">
        <v>0</v>
      </c>
      <c r="BE1512" s="46">
        <v>0</v>
      </c>
      <c r="BF1512" s="46">
        <v>0</v>
      </c>
      <c r="BG1512" s="46" t="s">
        <v>48</v>
      </c>
      <c r="BH1512" s="46">
        <v>0</v>
      </c>
      <c r="BI1512" s="46">
        <v>0</v>
      </c>
      <c r="BJ1512" s="46">
        <v>0</v>
      </c>
      <c r="BK1512" s="46">
        <v>0</v>
      </c>
      <c r="BL1512" s="46">
        <v>0</v>
      </c>
      <c r="BM1512" s="46">
        <v>0</v>
      </c>
      <c r="BN1512" s="46">
        <v>0</v>
      </c>
    </row>
    <row r="1513" spans="1:66" x14ac:dyDescent="0.35">
      <c r="A1513" t="s">
        <v>10554</v>
      </c>
      <c r="B1513" s="44" t="s">
        <v>48</v>
      </c>
      <c r="C1513" t="s">
        <v>11808</v>
      </c>
      <c r="D1513" t="s">
        <v>11809</v>
      </c>
      <c r="E1513" t="s">
        <v>10555</v>
      </c>
      <c r="F1513" t="s">
        <v>2093</v>
      </c>
      <c r="G1513" t="s">
        <v>74</v>
      </c>
      <c r="H1513">
        <v>0</v>
      </c>
      <c r="I1513" s="61">
        <v>44799</v>
      </c>
      <c r="J1513" s="33" t="s">
        <v>45</v>
      </c>
      <c r="K1513" s="46">
        <v>0</v>
      </c>
      <c r="L1513">
        <v>5.8</v>
      </c>
      <c r="M1513" t="s">
        <v>48</v>
      </c>
      <c r="N1513" s="46">
        <v>0</v>
      </c>
      <c r="O1513" s="46">
        <v>0</v>
      </c>
      <c r="P1513" s="46">
        <v>0</v>
      </c>
      <c r="Q1513" t="s">
        <v>48</v>
      </c>
      <c r="R1513" t="s">
        <v>48</v>
      </c>
      <c r="S1513" t="s">
        <v>48</v>
      </c>
      <c r="T1513" t="s">
        <v>48</v>
      </c>
      <c r="U1513" t="s">
        <v>48</v>
      </c>
      <c r="V1513" s="47">
        <v>1</v>
      </c>
      <c r="W1513" t="s">
        <v>48</v>
      </c>
      <c r="X1513" t="s">
        <v>48</v>
      </c>
      <c r="Y1513" t="s">
        <v>48</v>
      </c>
      <c r="Z1513">
        <v>0</v>
      </c>
      <c r="AA1513" t="s">
        <v>48</v>
      </c>
      <c r="AB1513" t="s">
        <v>48</v>
      </c>
      <c r="AC1513" t="s">
        <v>63</v>
      </c>
      <c r="AD1513" t="s">
        <v>93</v>
      </c>
      <c r="AE1513" t="s">
        <v>2471</v>
      </c>
      <c r="AF1513" t="s">
        <v>48</v>
      </c>
      <c r="AG1513" t="s">
        <v>48</v>
      </c>
      <c r="AH1513" t="s">
        <v>48</v>
      </c>
      <c r="AI1513" t="s">
        <v>48</v>
      </c>
      <c r="AJ1513" t="s">
        <v>48</v>
      </c>
      <c r="AK1513" t="s">
        <v>48</v>
      </c>
      <c r="AL1513" t="s">
        <v>48</v>
      </c>
      <c r="AM1513" t="s">
        <v>48</v>
      </c>
      <c r="AN1513" t="s">
        <v>48</v>
      </c>
      <c r="AO1513" t="s">
        <v>48</v>
      </c>
      <c r="AP1513" s="46">
        <v>0</v>
      </c>
      <c r="AQ1513" s="46">
        <v>0</v>
      </c>
      <c r="AR1513" s="46">
        <v>0</v>
      </c>
      <c r="AS1513" s="46">
        <v>0</v>
      </c>
      <c r="AT1513" s="46">
        <v>0</v>
      </c>
      <c r="AU1513" s="46">
        <v>0</v>
      </c>
      <c r="AV1513" s="46">
        <v>0</v>
      </c>
      <c r="AW1513" s="46">
        <v>0</v>
      </c>
      <c r="AX1513" s="46">
        <v>0</v>
      </c>
      <c r="AY1513" s="46">
        <v>0</v>
      </c>
      <c r="AZ1513" s="46">
        <v>0</v>
      </c>
      <c r="BA1513" s="46">
        <v>0</v>
      </c>
      <c r="BB1513" s="46">
        <v>0</v>
      </c>
      <c r="BC1513" s="46">
        <v>0</v>
      </c>
      <c r="BD1513" s="46">
        <v>0</v>
      </c>
      <c r="BE1513" s="46">
        <v>0</v>
      </c>
      <c r="BF1513" s="46">
        <v>0</v>
      </c>
      <c r="BG1513" s="46" t="s">
        <v>48</v>
      </c>
      <c r="BH1513" s="46">
        <v>0</v>
      </c>
      <c r="BI1513" s="46">
        <v>0</v>
      </c>
      <c r="BJ1513" s="46">
        <v>0</v>
      </c>
      <c r="BK1513" s="46">
        <v>0</v>
      </c>
      <c r="BL1513" s="46">
        <v>0</v>
      </c>
      <c r="BM1513" s="46">
        <v>0</v>
      </c>
      <c r="BN1513" s="46">
        <v>0</v>
      </c>
    </row>
    <row r="1514" spans="1:66" x14ac:dyDescent="0.35">
      <c r="A1514" t="s">
        <v>2095</v>
      </c>
      <c r="B1514" s="44" t="s">
        <v>48</v>
      </c>
      <c r="C1514" t="s">
        <v>2098</v>
      </c>
      <c r="D1514" t="s">
        <v>441</v>
      </c>
      <c r="E1514" t="s">
        <v>2096</v>
      </c>
      <c r="F1514" t="s">
        <v>2093</v>
      </c>
      <c r="G1514" t="s">
        <v>74</v>
      </c>
      <c r="H1514">
        <v>0</v>
      </c>
      <c r="I1514" s="60" t="s">
        <v>149</v>
      </c>
      <c r="J1514" s="33" t="s">
        <v>45</v>
      </c>
      <c r="K1514" s="46">
        <v>0</v>
      </c>
      <c r="L1514">
        <v>28.6</v>
      </c>
      <c r="M1514" t="s">
        <v>48</v>
      </c>
      <c r="N1514" s="46">
        <v>0</v>
      </c>
      <c r="O1514" s="46">
        <v>0</v>
      </c>
      <c r="P1514" s="46">
        <v>0</v>
      </c>
      <c r="Q1514" t="s">
        <v>48</v>
      </c>
      <c r="R1514" t="s">
        <v>48</v>
      </c>
      <c r="S1514" t="s">
        <v>2097</v>
      </c>
      <c r="T1514" t="s">
        <v>48</v>
      </c>
      <c r="U1514" t="s">
        <v>2097</v>
      </c>
      <c r="V1514" s="47">
        <v>0</v>
      </c>
      <c r="W1514" t="s">
        <v>48</v>
      </c>
      <c r="X1514" t="s">
        <v>48</v>
      </c>
      <c r="Y1514" t="s">
        <v>48</v>
      </c>
      <c r="Z1514">
        <v>0</v>
      </c>
      <c r="AA1514" t="s">
        <v>48</v>
      </c>
      <c r="AB1514" t="s">
        <v>48</v>
      </c>
      <c r="AC1514" t="s">
        <v>49</v>
      </c>
      <c r="AD1514" t="s">
        <v>93</v>
      </c>
      <c r="AE1514" s="40" t="s">
        <v>2471</v>
      </c>
      <c r="AF1514" t="s">
        <v>11061</v>
      </c>
      <c r="AG1514" t="s">
        <v>48</v>
      </c>
      <c r="AH1514" t="s">
        <v>48</v>
      </c>
      <c r="AI1514" t="s">
        <v>48</v>
      </c>
      <c r="AJ1514" t="s">
        <v>48</v>
      </c>
      <c r="AK1514" t="s">
        <v>48</v>
      </c>
      <c r="AL1514" t="s">
        <v>48</v>
      </c>
      <c r="AM1514" t="s">
        <v>48</v>
      </c>
      <c r="AN1514" t="s">
        <v>48</v>
      </c>
      <c r="AO1514" t="s">
        <v>48</v>
      </c>
      <c r="AP1514" s="46">
        <v>0</v>
      </c>
      <c r="AQ1514" s="46">
        <v>0</v>
      </c>
      <c r="AR1514" s="46">
        <v>0</v>
      </c>
      <c r="AS1514" s="46">
        <v>0</v>
      </c>
      <c r="AT1514" s="46">
        <v>0</v>
      </c>
      <c r="AU1514" s="46">
        <v>0</v>
      </c>
      <c r="AV1514" s="46">
        <v>0</v>
      </c>
      <c r="AW1514" s="46">
        <v>0</v>
      </c>
      <c r="AX1514" s="46">
        <v>0</v>
      </c>
      <c r="AY1514" s="46">
        <v>0</v>
      </c>
      <c r="AZ1514" s="46">
        <v>0</v>
      </c>
      <c r="BA1514" s="46">
        <v>0</v>
      </c>
      <c r="BB1514" s="46">
        <v>0</v>
      </c>
      <c r="BC1514" s="46">
        <v>0</v>
      </c>
      <c r="BD1514" s="46">
        <v>0</v>
      </c>
      <c r="BE1514" s="46">
        <v>0</v>
      </c>
      <c r="BF1514" s="46">
        <v>0</v>
      </c>
      <c r="BG1514" s="46" t="s">
        <v>48</v>
      </c>
      <c r="BH1514" s="46">
        <v>0</v>
      </c>
      <c r="BI1514" s="46">
        <v>0</v>
      </c>
      <c r="BJ1514" s="46">
        <v>0</v>
      </c>
      <c r="BK1514" s="46">
        <v>0</v>
      </c>
      <c r="BL1514" s="46">
        <v>0</v>
      </c>
      <c r="BM1514" s="46">
        <v>0</v>
      </c>
      <c r="BN1514" s="46">
        <v>0</v>
      </c>
    </row>
    <row r="1515" spans="1:66" x14ac:dyDescent="0.35">
      <c r="A1515" t="s">
        <v>2104</v>
      </c>
      <c r="B1515" s="44" t="s">
        <v>48</v>
      </c>
      <c r="C1515" t="s">
        <v>2107</v>
      </c>
      <c r="D1515" t="s">
        <v>701</v>
      </c>
      <c r="E1515" t="s">
        <v>2105</v>
      </c>
      <c r="F1515" t="s">
        <v>2102</v>
      </c>
      <c r="G1515" t="s">
        <v>47</v>
      </c>
      <c r="H1515">
        <v>0</v>
      </c>
      <c r="I1515" s="61" t="s">
        <v>11160</v>
      </c>
      <c r="J1515" s="33" t="s">
        <v>45</v>
      </c>
      <c r="K1515" s="46">
        <v>0</v>
      </c>
      <c r="L1515">
        <v>12.2</v>
      </c>
      <c r="M1515" t="s">
        <v>48</v>
      </c>
      <c r="N1515" s="46">
        <v>0</v>
      </c>
      <c r="O1515" s="46">
        <v>0</v>
      </c>
      <c r="P1515" s="46">
        <v>0</v>
      </c>
      <c r="Q1515" t="s">
        <v>48</v>
      </c>
      <c r="R1515" t="s">
        <v>48</v>
      </c>
      <c r="S1515" t="s">
        <v>11355</v>
      </c>
      <c r="T1515" t="s">
        <v>48</v>
      </c>
      <c r="U1515" t="s">
        <v>2106</v>
      </c>
      <c r="V1515" s="47">
        <v>0</v>
      </c>
      <c r="W1515" t="s">
        <v>48</v>
      </c>
      <c r="X1515" t="s">
        <v>48</v>
      </c>
      <c r="Y1515" t="s">
        <v>48</v>
      </c>
      <c r="Z1515">
        <v>0</v>
      </c>
      <c r="AA1515" t="s">
        <v>48</v>
      </c>
      <c r="AB1515" t="s">
        <v>48</v>
      </c>
      <c r="AC1515" t="s">
        <v>49</v>
      </c>
      <c r="AD1515" t="s">
        <v>93</v>
      </c>
      <c r="AE1515" t="s">
        <v>4532</v>
      </c>
      <c r="AF1515" t="s">
        <v>48</v>
      </c>
      <c r="AG1515" t="s">
        <v>48</v>
      </c>
      <c r="AH1515" t="s">
        <v>48</v>
      </c>
      <c r="AI1515" t="s">
        <v>48</v>
      </c>
      <c r="AJ1515" t="s">
        <v>48</v>
      </c>
      <c r="AK1515" t="s">
        <v>48</v>
      </c>
      <c r="AL1515" t="s">
        <v>48</v>
      </c>
      <c r="AM1515" t="s">
        <v>48</v>
      </c>
      <c r="AN1515" t="s">
        <v>48</v>
      </c>
      <c r="AO1515" t="s">
        <v>48</v>
      </c>
      <c r="AP1515" s="46">
        <v>0</v>
      </c>
      <c r="AQ1515" s="46">
        <v>0</v>
      </c>
      <c r="AR1515" s="46">
        <v>0</v>
      </c>
      <c r="AS1515" s="46">
        <v>0</v>
      </c>
      <c r="AT1515" s="46">
        <v>0</v>
      </c>
      <c r="AU1515" s="46">
        <v>0</v>
      </c>
      <c r="AV1515" s="46">
        <v>0</v>
      </c>
      <c r="AW1515" s="46">
        <v>0</v>
      </c>
      <c r="AX1515" s="46">
        <v>0</v>
      </c>
      <c r="AY1515" s="46">
        <v>0</v>
      </c>
      <c r="AZ1515" s="46">
        <v>0</v>
      </c>
      <c r="BA1515" s="46">
        <v>0</v>
      </c>
      <c r="BB1515" s="46">
        <v>0</v>
      </c>
      <c r="BC1515" s="46">
        <v>0</v>
      </c>
      <c r="BD1515" s="46">
        <v>0</v>
      </c>
      <c r="BE1515" s="46">
        <v>0</v>
      </c>
      <c r="BF1515" s="46">
        <v>0</v>
      </c>
      <c r="BG1515" s="46" t="s">
        <v>48</v>
      </c>
      <c r="BH1515" s="46">
        <v>0</v>
      </c>
      <c r="BI1515" s="46">
        <v>0</v>
      </c>
      <c r="BJ1515" s="46">
        <v>0</v>
      </c>
      <c r="BK1515" s="46">
        <v>0</v>
      </c>
      <c r="BL1515" s="46">
        <v>0</v>
      </c>
      <c r="BM1515" s="46">
        <v>0</v>
      </c>
      <c r="BN1515" s="46">
        <v>0</v>
      </c>
    </row>
    <row r="1516" spans="1:66" x14ac:dyDescent="0.35">
      <c r="A1516" t="s">
        <v>2116</v>
      </c>
      <c r="B1516" s="44" t="s">
        <v>48</v>
      </c>
      <c r="C1516" t="s">
        <v>2120</v>
      </c>
      <c r="D1516" t="s">
        <v>2119</v>
      </c>
      <c r="E1516" t="s">
        <v>2117</v>
      </c>
      <c r="F1516" t="s">
        <v>2102</v>
      </c>
      <c r="G1516" t="s">
        <v>47</v>
      </c>
      <c r="H1516">
        <v>0</v>
      </c>
      <c r="I1516" s="60" t="s">
        <v>51</v>
      </c>
      <c r="J1516" s="33" t="s">
        <v>45</v>
      </c>
      <c r="K1516" s="46">
        <v>0</v>
      </c>
      <c r="L1516">
        <v>1.2</v>
      </c>
      <c r="M1516" t="s">
        <v>48</v>
      </c>
      <c r="N1516" s="46">
        <v>0</v>
      </c>
      <c r="O1516" s="46">
        <v>0</v>
      </c>
      <c r="P1516" s="46">
        <v>0</v>
      </c>
      <c r="Q1516" t="s">
        <v>48</v>
      </c>
      <c r="R1516" t="s">
        <v>48</v>
      </c>
      <c r="S1516" t="s">
        <v>2118</v>
      </c>
      <c r="T1516" t="s">
        <v>48</v>
      </c>
      <c r="U1516" t="s">
        <v>2118</v>
      </c>
      <c r="V1516" s="47">
        <v>0</v>
      </c>
      <c r="W1516" t="s">
        <v>48</v>
      </c>
      <c r="X1516" t="s">
        <v>48</v>
      </c>
      <c r="Y1516" t="s">
        <v>48</v>
      </c>
      <c r="Z1516">
        <v>0</v>
      </c>
      <c r="AA1516" t="s">
        <v>48</v>
      </c>
      <c r="AB1516" t="s">
        <v>48</v>
      </c>
      <c r="AC1516" t="s">
        <v>49</v>
      </c>
      <c r="AD1516" t="s">
        <v>93</v>
      </c>
      <c r="AE1516" t="s">
        <v>4532</v>
      </c>
      <c r="AF1516" t="s">
        <v>48</v>
      </c>
      <c r="AG1516" t="s">
        <v>48</v>
      </c>
      <c r="AH1516" t="s">
        <v>48</v>
      </c>
      <c r="AI1516" t="s">
        <v>48</v>
      </c>
      <c r="AJ1516" t="s">
        <v>48</v>
      </c>
      <c r="AK1516" t="s">
        <v>48</v>
      </c>
      <c r="AL1516" t="s">
        <v>48</v>
      </c>
      <c r="AM1516" t="s">
        <v>48</v>
      </c>
      <c r="AN1516" t="s">
        <v>48</v>
      </c>
      <c r="AO1516" t="s">
        <v>48</v>
      </c>
      <c r="AP1516" s="46">
        <v>0</v>
      </c>
      <c r="AQ1516" s="46">
        <v>0</v>
      </c>
      <c r="AR1516" s="46">
        <v>0</v>
      </c>
      <c r="AS1516" s="46">
        <v>0</v>
      </c>
      <c r="AT1516" s="46">
        <v>0</v>
      </c>
      <c r="AU1516" s="46">
        <v>0</v>
      </c>
      <c r="AV1516" s="46">
        <v>0</v>
      </c>
      <c r="AW1516" s="46">
        <v>0</v>
      </c>
      <c r="AX1516" s="46">
        <v>0</v>
      </c>
      <c r="AY1516" s="46">
        <v>0</v>
      </c>
      <c r="AZ1516" s="46">
        <v>0</v>
      </c>
      <c r="BA1516" s="46">
        <v>0</v>
      </c>
      <c r="BB1516" s="46">
        <v>0</v>
      </c>
      <c r="BC1516" s="46">
        <v>0</v>
      </c>
      <c r="BD1516" s="46">
        <v>0</v>
      </c>
      <c r="BE1516" s="46">
        <v>0</v>
      </c>
      <c r="BF1516" s="46">
        <v>0</v>
      </c>
      <c r="BG1516" s="46" t="s">
        <v>48</v>
      </c>
      <c r="BH1516" s="46">
        <v>0</v>
      </c>
      <c r="BI1516" s="46">
        <v>0</v>
      </c>
      <c r="BJ1516" s="46">
        <v>0</v>
      </c>
      <c r="BK1516" s="46">
        <v>0</v>
      </c>
      <c r="BL1516" s="46">
        <v>0</v>
      </c>
      <c r="BM1516" s="46">
        <v>0</v>
      </c>
      <c r="BN1516" s="46">
        <v>0</v>
      </c>
    </row>
    <row r="1517" spans="1:66" x14ac:dyDescent="0.35">
      <c r="A1517" t="s">
        <v>2076</v>
      </c>
      <c r="B1517" s="44" t="s">
        <v>48</v>
      </c>
      <c r="C1517" t="s">
        <v>11812</v>
      </c>
      <c r="D1517" t="s">
        <v>11687</v>
      </c>
      <c r="E1517" t="s">
        <v>10559</v>
      </c>
      <c r="F1517" t="s">
        <v>2102</v>
      </c>
      <c r="G1517" t="s">
        <v>47</v>
      </c>
      <c r="H1517">
        <v>0</v>
      </c>
      <c r="I1517" s="60" t="s">
        <v>11552</v>
      </c>
      <c r="J1517" s="33" t="s">
        <v>45</v>
      </c>
      <c r="K1517" s="46">
        <v>0</v>
      </c>
      <c r="L1517">
        <v>8.5</v>
      </c>
      <c r="M1517" t="s">
        <v>48</v>
      </c>
      <c r="N1517" s="46">
        <v>0</v>
      </c>
      <c r="O1517" s="46">
        <v>0</v>
      </c>
      <c r="P1517" s="46">
        <v>0</v>
      </c>
      <c r="Q1517" t="s">
        <v>48</v>
      </c>
      <c r="R1517" t="s">
        <v>48</v>
      </c>
      <c r="S1517" t="s">
        <v>11392</v>
      </c>
      <c r="T1517" t="s">
        <v>48</v>
      </c>
      <c r="U1517" t="s">
        <v>10560</v>
      </c>
      <c r="V1517" s="47">
        <v>0</v>
      </c>
      <c r="W1517" t="s">
        <v>11317</v>
      </c>
      <c r="X1517" t="s">
        <v>48</v>
      </c>
      <c r="Y1517" t="s">
        <v>48</v>
      </c>
      <c r="Z1517">
        <v>0</v>
      </c>
      <c r="AA1517" t="s">
        <v>48</v>
      </c>
      <c r="AB1517" t="s">
        <v>48</v>
      </c>
      <c r="AC1517" t="s">
        <v>63</v>
      </c>
      <c r="AD1517" t="s">
        <v>93</v>
      </c>
      <c r="AE1517" t="s">
        <v>4532</v>
      </c>
      <c r="AF1517" t="s">
        <v>48</v>
      </c>
      <c r="AG1517" t="s">
        <v>48</v>
      </c>
      <c r="AH1517" t="s">
        <v>48</v>
      </c>
      <c r="AI1517" t="s">
        <v>48</v>
      </c>
      <c r="AJ1517" t="s">
        <v>48</v>
      </c>
      <c r="AK1517" t="s">
        <v>48</v>
      </c>
      <c r="AL1517" t="s">
        <v>48</v>
      </c>
      <c r="AM1517" t="s">
        <v>48</v>
      </c>
      <c r="AN1517" t="s">
        <v>48</v>
      </c>
      <c r="AO1517" t="s">
        <v>48</v>
      </c>
      <c r="AP1517" s="46">
        <v>0</v>
      </c>
      <c r="AQ1517" s="46">
        <v>0</v>
      </c>
      <c r="AR1517" s="46">
        <v>0</v>
      </c>
      <c r="AS1517" s="46">
        <v>0</v>
      </c>
      <c r="AT1517" s="46">
        <v>0</v>
      </c>
      <c r="AU1517" s="46">
        <v>0</v>
      </c>
      <c r="AV1517" s="46">
        <v>0</v>
      </c>
      <c r="AW1517" s="46">
        <v>0</v>
      </c>
      <c r="AX1517" s="46">
        <v>0</v>
      </c>
      <c r="AY1517" s="46">
        <v>0</v>
      </c>
      <c r="AZ1517" s="46">
        <v>0</v>
      </c>
      <c r="BA1517" s="46">
        <v>0</v>
      </c>
      <c r="BB1517" s="46">
        <v>0</v>
      </c>
      <c r="BC1517" s="46">
        <v>0</v>
      </c>
      <c r="BD1517" s="46">
        <v>0</v>
      </c>
      <c r="BE1517" s="46">
        <v>0</v>
      </c>
      <c r="BF1517" s="46">
        <v>0</v>
      </c>
      <c r="BG1517" s="46" t="s">
        <v>48</v>
      </c>
      <c r="BH1517" s="46">
        <v>0</v>
      </c>
      <c r="BI1517" s="46">
        <v>0</v>
      </c>
      <c r="BJ1517" s="46">
        <v>0</v>
      </c>
      <c r="BK1517" s="46">
        <v>0</v>
      </c>
      <c r="BL1517" s="46">
        <v>0</v>
      </c>
      <c r="BM1517" s="46">
        <v>0</v>
      </c>
      <c r="BN1517" s="46">
        <v>0</v>
      </c>
    </row>
    <row r="1518" spans="1:66" x14ac:dyDescent="0.35">
      <c r="A1518" t="s">
        <v>10572</v>
      </c>
      <c r="B1518" s="44" t="s">
        <v>48</v>
      </c>
      <c r="C1518" t="s">
        <v>11820</v>
      </c>
      <c r="D1518" t="s">
        <v>7447</v>
      </c>
      <c r="E1518" t="s">
        <v>10573</v>
      </c>
      <c r="F1518" t="s">
        <v>2121</v>
      </c>
      <c r="G1518" t="s">
        <v>47</v>
      </c>
      <c r="H1518">
        <v>0</v>
      </c>
      <c r="I1518" s="61">
        <v>44799</v>
      </c>
      <c r="J1518" s="33" t="s">
        <v>45</v>
      </c>
      <c r="K1518" s="46">
        <v>0</v>
      </c>
      <c r="L1518">
        <v>6</v>
      </c>
      <c r="M1518" t="s">
        <v>48</v>
      </c>
      <c r="N1518" s="46">
        <v>0</v>
      </c>
      <c r="O1518" s="46">
        <v>0</v>
      </c>
      <c r="P1518" s="46">
        <v>0</v>
      </c>
      <c r="Q1518" t="s">
        <v>48</v>
      </c>
      <c r="R1518" t="s">
        <v>48</v>
      </c>
      <c r="S1518" t="s">
        <v>48</v>
      </c>
      <c r="T1518" t="s">
        <v>48</v>
      </c>
      <c r="U1518" t="s">
        <v>48</v>
      </c>
      <c r="V1518" s="47">
        <v>1</v>
      </c>
      <c r="W1518" t="s">
        <v>48</v>
      </c>
      <c r="X1518" t="s">
        <v>48</v>
      </c>
      <c r="Y1518" t="s">
        <v>48</v>
      </c>
      <c r="Z1518">
        <v>0</v>
      </c>
      <c r="AA1518" t="s">
        <v>48</v>
      </c>
      <c r="AB1518" t="s">
        <v>48</v>
      </c>
      <c r="AC1518" t="s">
        <v>63</v>
      </c>
      <c r="AD1518" t="s">
        <v>48</v>
      </c>
      <c r="AE1518" t="s">
        <v>48</v>
      </c>
      <c r="AF1518" t="s">
        <v>48</v>
      </c>
      <c r="AG1518" t="s">
        <v>48</v>
      </c>
      <c r="AH1518" t="s">
        <v>48</v>
      </c>
      <c r="AI1518" t="s">
        <v>48</v>
      </c>
      <c r="AJ1518" t="s">
        <v>48</v>
      </c>
      <c r="AK1518" t="s">
        <v>48</v>
      </c>
      <c r="AL1518" t="s">
        <v>48</v>
      </c>
      <c r="AM1518" t="s">
        <v>48</v>
      </c>
      <c r="AN1518" t="s">
        <v>48</v>
      </c>
      <c r="AO1518" t="s">
        <v>48</v>
      </c>
      <c r="AP1518" s="46">
        <v>0</v>
      </c>
      <c r="AQ1518" s="46">
        <v>0</v>
      </c>
      <c r="AR1518" s="46">
        <v>0</v>
      </c>
      <c r="AS1518" s="46">
        <v>0</v>
      </c>
      <c r="AT1518" s="46">
        <v>0</v>
      </c>
      <c r="AU1518" s="46">
        <v>0</v>
      </c>
      <c r="AV1518" s="46">
        <v>0</v>
      </c>
      <c r="AW1518" s="46">
        <v>0</v>
      </c>
      <c r="AX1518" s="46">
        <v>0</v>
      </c>
      <c r="AY1518" s="46">
        <v>0</v>
      </c>
      <c r="AZ1518" s="46">
        <v>0</v>
      </c>
      <c r="BA1518" s="46">
        <v>0</v>
      </c>
      <c r="BB1518" s="46">
        <v>0</v>
      </c>
      <c r="BC1518" s="46">
        <v>0</v>
      </c>
      <c r="BD1518" s="46">
        <v>0</v>
      </c>
      <c r="BE1518" s="46">
        <v>0</v>
      </c>
      <c r="BF1518" s="46">
        <v>0</v>
      </c>
      <c r="BG1518" s="46" t="s">
        <v>48</v>
      </c>
      <c r="BH1518" s="46">
        <v>0</v>
      </c>
      <c r="BI1518" s="46">
        <v>0</v>
      </c>
      <c r="BJ1518" s="46">
        <v>0</v>
      </c>
      <c r="BK1518" s="46">
        <v>0</v>
      </c>
      <c r="BL1518" s="46">
        <v>0</v>
      </c>
      <c r="BM1518" s="46">
        <v>0</v>
      </c>
      <c r="BN1518" s="46">
        <v>0</v>
      </c>
    </row>
    <row r="1519" spans="1:66" x14ac:dyDescent="0.35">
      <c r="A1519" t="s">
        <v>2101</v>
      </c>
      <c r="B1519" s="44" t="s">
        <v>48</v>
      </c>
      <c r="C1519" t="s">
        <v>11814</v>
      </c>
      <c r="D1519" t="s">
        <v>1720</v>
      </c>
      <c r="E1519" t="s">
        <v>10566</v>
      </c>
      <c r="F1519" t="s">
        <v>2121</v>
      </c>
      <c r="G1519" t="s">
        <v>47</v>
      </c>
      <c r="H1519">
        <v>0</v>
      </c>
      <c r="I1519" s="60" t="s">
        <v>11552</v>
      </c>
      <c r="J1519" s="33" t="s">
        <v>45</v>
      </c>
      <c r="K1519" s="46">
        <v>0</v>
      </c>
      <c r="L1519">
        <v>34.299999999999997</v>
      </c>
      <c r="M1519" t="s">
        <v>48</v>
      </c>
      <c r="N1519" s="46">
        <v>0</v>
      </c>
      <c r="O1519" s="46">
        <v>0</v>
      </c>
      <c r="P1519" s="46">
        <v>0</v>
      </c>
      <c r="Q1519" t="s">
        <v>48</v>
      </c>
      <c r="R1519" t="s">
        <v>48</v>
      </c>
      <c r="S1519" t="s">
        <v>11453</v>
      </c>
      <c r="T1519" t="s">
        <v>48</v>
      </c>
      <c r="U1519" t="s">
        <v>10567</v>
      </c>
      <c r="V1519" s="47">
        <v>0</v>
      </c>
      <c r="W1519" t="s">
        <v>48</v>
      </c>
      <c r="X1519" t="s">
        <v>48</v>
      </c>
      <c r="Y1519" t="s">
        <v>48</v>
      </c>
      <c r="Z1519">
        <v>0</v>
      </c>
      <c r="AA1519" t="s">
        <v>48</v>
      </c>
      <c r="AB1519" t="s">
        <v>48</v>
      </c>
      <c r="AC1519" t="s">
        <v>63</v>
      </c>
      <c r="AD1519" t="s">
        <v>48</v>
      </c>
      <c r="AE1519" t="s">
        <v>48</v>
      </c>
      <c r="AF1519" t="s">
        <v>48</v>
      </c>
      <c r="AG1519" t="s">
        <v>48</v>
      </c>
      <c r="AH1519" t="s">
        <v>48</v>
      </c>
      <c r="AI1519" t="s">
        <v>48</v>
      </c>
      <c r="AJ1519" t="s">
        <v>48</v>
      </c>
      <c r="AK1519" t="s">
        <v>48</v>
      </c>
      <c r="AL1519" t="s">
        <v>48</v>
      </c>
      <c r="AM1519" t="s">
        <v>48</v>
      </c>
      <c r="AN1519" t="s">
        <v>48</v>
      </c>
      <c r="AO1519" t="s">
        <v>48</v>
      </c>
      <c r="AP1519" s="46">
        <v>0</v>
      </c>
      <c r="AQ1519" s="46">
        <v>0</v>
      </c>
      <c r="AR1519" s="46">
        <v>0</v>
      </c>
      <c r="AS1519" s="46">
        <v>0</v>
      </c>
      <c r="AT1519" s="46">
        <v>0</v>
      </c>
      <c r="AU1519" s="46">
        <v>0</v>
      </c>
      <c r="AV1519" s="46">
        <v>0</v>
      </c>
      <c r="AW1519" s="46">
        <v>0</v>
      </c>
      <c r="AX1519" s="46">
        <v>0</v>
      </c>
      <c r="AY1519" s="46">
        <v>0</v>
      </c>
      <c r="AZ1519" s="46">
        <v>0</v>
      </c>
      <c r="BA1519" s="46">
        <v>0</v>
      </c>
      <c r="BB1519" s="46">
        <v>0</v>
      </c>
      <c r="BC1519" s="46">
        <v>0</v>
      </c>
      <c r="BD1519" s="46">
        <v>0</v>
      </c>
      <c r="BE1519" s="46">
        <v>0</v>
      </c>
      <c r="BF1519" s="46">
        <v>0</v>
      </c>
      <c r="BG1519" s="46" t="s">
        <v>48</v>
      </c>
      <c r="BH1519" s="46">
        <v>0</v>
      </c>
      <c r="BI1519" s="46">
        <v>0</v>
      </c>
      <c r="BJ1519" s="46">
        <v>0</v>
      </c>
      <c r="BK1519" s="46">
        <v>0</v>
      </c>
      <c r="BL1519" s="46">
        <v>0</v>
      </c>
      <c r="BM1519" s="46">
        <v>0</v>
      </c>
      <c r="BN1519" s="46">
        <v>0</v>
      </c>
    </row>
    <row r="1520" spans="1:66" x14ac:dyDescent="0.35">
      <c r="A1520" t="s">
        <v>2103</v>
      </c>
      <c r="B1520" s="44" t="s">
        <v>48</v>
      </c>
      <c r="C1520" t="s">
        <v>11815</v>
      </c>
      <c r="D1520" t="s">
        <v>367</v>
      </c>
      <c r="E1520" t="s">
        <v>10570</v>
      </c>
      <c r="F1520" t="s">
        <v>2121</v>
      </c>
      <c r="G1520" t="s">
        <v>47</v>
      </c>
      <c r="H1520">
        <v>0</v>
      </c>
      <c r="I1520" s="60" t="s">
        <v>11552</v>
      </c>
      <c r="J1520" s="33" t="s">
        <v>45</v>
      </c>
      <c r="K1520" s="46">
        <v>0</v>
      </c>
      <c r="L1520">
        <v>6</v>
      </c>
      <c r="M1520" t="s">
        <v>48</v>
      </c>
      <c r="N1520" s="46">
        <v>0</v>
      </c>
      <c r="O1520" s="46">
        <v>0</v>
      </c>
      <c r="P1520" s="46">
        <v>0</v>
      </c>
      <c r="Q1520" t="s">
        <v>48</v>
      </c>
      <c r="R1520" t="s">
        <v>48</v>
      </c>
      <c r="S1520" t="s">
        <v>11454</v>
      </c>
      <c r="T1520" t="s">
        <v>48</v>
      </c>
      <c r="U1520" t="s">
        <v>10571</v>
      </c>
      <c r="V1520" s="47">
        <v>0</v>
      </c>
      <c r="W1520" t="s">
        <v>48</v>
      </c>
      <c r="X1520" t="s">
        <v>48</v>
      </c>
      <c r="Y1520" t="s">
        <v>48</v>
      </c>
      <c r="Z1520">
        <v>0</v>
      </c>
      <c r="AA1520" t="s">
        <v>48</v>
      </c>
      <c r="AB1520" t="s">
        <v>48</v>
      </c>
      <c r="AC1520" t="s">
        <v>49</v>
      </c>
      <c r="AD1520" t="s">
        <v>951</v>
      </c>
      <c r="AE1520" t="s">
        <v>11051</v>
      </c>
      <c r="AF1520" t="s">
        <v>48</v>
      </c>
      <c r="AG1520" t="s">
        <v>48</v>
      </c>
      <c r="AH1520" t="s">
        <v>48</v>
      </c>
      <c r="AI1520" t="s">
        <v>48</v>
      </c>
      <c r="AJ1520" t="s">
        <v>48</v>
      </c>
      <c r="AK1520" t="s">
        <v>48</v>
      </c>
      <c r="AL1520" t="s">
        <v>48</v>
      </c>
      <c r="AM1520" t="s">
        <v>48</v>
      </c>
      <c r="AN1520" t="s">
        <v>48</v>
      </c>
      <c r="AO1520" t="s">
        <v>48</v>
      </c>
      <c r="AP1520" s="46">
        <v>0</v>
      </c>
      <c r="AQ1520" s="46">
        <v>0</v>
      </c>
      <c r="AR1520" s="46">
        <v>0</v>
      </c>
      <c r="AS1520" s="46">
        <v>0</v>
      </c>
      <c r="AT1520" s="46">
        <v>0</v>
      </c>
      <c r="AU1520" s="46">
        <v>0</v>
      </c>
      <c r="AV1520" s="46">
        <v>0</v>
      </c>
      <c r="AW1520" s="46">
        <v>0</v>
      </c>
      <c r="AX1520" s="46">
        <v>0</v>
      </c>
      <c r="AY1520" s="46">
        <v>0</v>
      </c>
      <c r="AZ1520" s="46">
        <v>0</v>
      </c>
      <c r="BA1520" s="46">
        <v>0</v>
      </c>
      <c r="BB1520" s="46">
        <v>0</v>
      </c>
      <c r="BC1520" s="46">
        <v>0</v>
      </c>
      <c r="BD1520" s="46">
        <v>0</v>
      </c>
      <c r="BE1520" s="46">
        <v>0</v>
      </c>
      <c r="BF1520" s="46">
        <v>0</v>
      </c>
      <c r="BG1520" s="46" t="s">
        <v>48</v>
      </c>
      <c r="BH1520" s="46">
        <v>0</v>
      </c>
      <c r="BI1520" s="46">
        <v>0</v>
      </c>
      <c r="BJ1520" s="46">
        <v>0</v>
      </c>
      <c r="BK1520" s="46">
        <v>0</v>
      </c>
      <c r="BL1520" s="46">
        <v>0</v>
      </c>
      <c r="BM1520" s="46">
        <v>0</v>
      </c>
      <c r="BN1520" s="46">
        <v>0</v>
      </c>
    </row>
    <row r="1521" spans="1:66" x14ac:dyDescent="0.35">
      <c r="A1521" t="s">
        <v>2108</v>
      </c>
      <c r="B1521" s="44" t="s">
        <v>48</v>
      </c>
      <c r="C1521" t="s">
        <v>11816</v>
      </c>
      <c r="D1521" t="s">
        <v>2109</v>
      </c>
      <c r="E1521" t="s">
        <v>10568</v>
      </c>
      <c r="F1521" t="s">
        <v>2121</v>
      </c>
      <c r="G1521" t="s">
        <v>47</v>
      </c>
      <c r="H1521">
        <v>0</v>
      </c>
      <c r="I1521" s="60" t="s">
        <v>11552</v>
      </c>
      <c r="J1521" s="33" t="s">
        <v>45</v>
      </c>
      <c r="K1521" s="46">
        <v>0</v>
      </c>
      <c r="L1521">
        <v>19.100000000000001</v>
      </c>
      <c r="M1521" t="s">
        <v>48</v>
      </c>
      <c r="N1521" s="46">
        <v>0</v>
      </c>
      <c r="O1521" s="46">
        <v>0</v>
      </c>
      <c r="P1521" s="46">
        <v>0</v>
      </c>
      <c r="Q1521" t="s">
        <v>48</v>
      </c>
      <c r="R1521" t="s">
        <v>48</v>
      </c>
      <c r="S1521" t="s">
        <v>11455</v>
      </c>
      <c r="T1521" t="s">
        <v>48</v>
      </c>
      <c r="U1521" t="s">
        <v>10569</v>
      </c>
      <c r="V1521" s="47">
        <v>0</v>
      </c>
      <c r="W1521" t="s">
        <v>48</v>
      </c>
      <c r="X1521" t="s">
        <v>48</v>
      </c>
      <c r="Y1521" t="s">
        <v>48</v>
      </c>
      <c r="Z1521">
        <v>0</v>
      </c>
      <c r="AA1521" t="s">
        <v>48</v>
      </c>
      <c r="AB1521" t="s">
        <v>48</v>
      </c>
      <c r="AC1521" t="s">
        <v>49</v>
      </c>
      <c r="AD1521" t="s">
        <v>951</v>
      </c>
      <c r="AE1521" t="s">
        <v>2471</v>
      </c>
      <c r="AF1521" t="s">
        <v>11145</v>
      </c>
      <c r="AG1521" t="s">
        <v>48</v>
      </c>
      <c r="AH1521" t="s">
        <v>48</v>
      </c>
      <c r="AI1521" t="s">
        <v>48</v>
      </c>
      <c r="AJ1521" t="s">
        <v>48</v>
      </c>
      <c r="AK1521" t="s">
        <v>48</v>
      </c>
      <c r="AL1521" t="s">
        <v>48</v>
      </c>
      <c r="AM1521" t="s">
        <v>48</v>
      </c>
      <c r="AN1521" t="s">
        <v>48</v>
      </c>
      <c r="AO1521" t="s">
        <v>48</v>
      </c>
      <c r="AP1521" s="46">
        <v>0</v>
      </c>
      <c r="AQ1521" s="46">
        <v>0</v>
      </c>
      <c r="AR1521" s="46">
        <v>0</v>
      </c>
      <c r="AS1521" s="46">
        <v>0</v>
      </c>
      <c r="AT1521" s="46">
        <v>0</v>
      </c>
      <c r="AU1521" s="46">
        <v>0</v>
      </c>
      <c r="AV1521" s="46">
        <v>0</v>
      </c>
      <c r="AW1521" s="46">
        <v>0</v>
      </c>
      <c r="AX1521" s="46">
        <v>0</v>
      </c>
      <c r="AY1521" s="46">
        <v>0</v>
      </c>
      <c r="AZ1521" s="46">
        <v>0</v>
      </c>
      <c r="BA1521" s="46">
        <v>0</v>
      </c>
      <c r="BB1521" s="46">
        <v>0</v>
      </c>
      <c r="BC1521" s="46">
        <v>0</v>
      </c>
      <c r="BD1521" s="46">
        <v>0</v>
      </c>
      <c r="BE1521" s="46">
        <v>0</v>
      </c>
      <c r="BF1521" s="46">
        <v>0</v>
      </c>
      <c r="BG1521" s="46" t="s">
        <v>48</v>
      </c>
      <c r="BH1521" s="46">
        <v>0</v>
      </c>
      <c r="BI1521" s="46">
        <v>0</v>
      </c>
      <c r="BJ1521" s="46">
        <v>0</v>
      </c>
      <c r="BK1521" s="46">
        <v>0</v>
      </c>
      <c r="BL1521" s="46">
        <v>0</v>
      </c>
      <c r="BM1521" s="46">
        <v>0</v>
      </c>
      <c r="BN1521" s="46">
        <v>0</v>
      </c>
    </row>
    <row r="1522" spans="1:66" x14ac:dyDescent="0.35">
      <c r="A1522" t="s">
        <v>2182</v>
      </c>
      <c r="B1522" s="44" t="s">
        <v>48</v>
      </c>
      <c r="C1522" t="s">
        <v>11822</v>
      </c>
      <c r="D1522" t="s">
        <v>2183</v>
      </c>
      <c r="E1522" t="s">
        <v>10583</v>
      </c>
      <c r="F1522" t="s">
        <v>2130</v>
      </c>
      <c r="G1522" t="s">
        <v>74</v>
      </c>
      <c r="H1522">
        <v>0</v>
      </c>
      <c r="I1522" s="60" t="s">
        <v>11552</v>
      </c>
      <c r="J1522" s="33" t="s">
        <v>45</v>
      </c>
      <c r="K1522" s="46">
        <v>0</v>
      </c>
      <c r="L1522">
        <v>6.2</v>
      </c>
      <c r="M1522" t="s">
        <v>48</v>
      </c>
      <c r="N1522" s="46">
        <v>0</v>
      </c>
      <c r="O1522" s="46">
        <v>0</v>
      </c>
      <c r="P1522" s="46">
        <v>0</v>
      </c>
      <c r="Q1522" t="s">
        <v>48</v>
      </c>
      <c r="R1522" t="s">
        <v>48</v>
      </c>
      <c r="S1522" t="s">
        <v>11456</v>
      </c>
      <c r="T1522" t="s">
        <v>48</v>
      </c>
      <c r="U1522" t="s">
        <v>10584</v>
      </c>
      <c r="V1522" s="47">
        <v>0</v>
      </c>
      <c r="W1522" t="s">
        <v>48</v>
      </c>
      <c r="X1522" t="s">
        <v>48</v>
      </c>
      <c r="Y1522" t="s">
        <v>48</v>
      </c>
      <c r="Z1522">
        <v>0</v>
      </c>
      <c r="AA1522" t="s">
        <v>48</v>
      </c>
      <c r="AB1522" t="s">
        <v>48</v>
      </c>
      <c r="AC1522" t="s">
        <v>49</v>
      </c>
      <c r="AD1522" t="s">
        <v>93</v>
      </c>
      <c r="AE1522" t="s">
        <v>2471</v>
      </c>
      <c r="AF1522" t="s">
        <v>48</v>
      </c>
      <c r="AG1522" t="s">
        <v>48</v>
      </c>
      <c r="AH1522" t="s">
        <v>48</v>
      </c>
      <c r="AI1522" t="s">
        <v>48</v>
      </c>
      <c r="AJ1522" t="s">
        <v>48</v>
      </c>
      <c r="AK1522" t="s">
        <v>48</v>
      </c>
      <c r="AL1522" t="s">
        <v>48</v>
      </c>
      <c r="AM1522" t="s">
        <v>48</v>
      </c>
      <c r="AN1522" t="s">
        <v>48</v>
      </c>
      <c r="AO1522" t="s">
        <v>48</v>
      </c>
      <c r="AP1522" s="46">
        <v>0</v>
      </c>
      <c r="AQ1522" s="46">
        <v>0</v>
      </c>
      <c r="AR1522" s="46">
        <v>0</v>
      </c>
      <c r="AS1522" s="46">
        <v>0</v>
      </c>
      <c r="AT1522" s="46">
        <v>0</v>
      </c>
      <c r="AU1522" s="46">
        <v>0</v>
      </c>
      <c r="AV1522" s="46">
        <v>0</v>
      </c>
      <c r="AW1522" s="46">
        <v>0</v>
      </c>
      <c r="AX1522" s="46">
        <v>0</v>
      </c>
      <c r="AY1522" s="46">
        <v>0</v>
      </c>
      <c r="AZ1522" s="46">
        <v>0</v>
      </c>
      <c r="BA1522" s="46">
        <v>0</v>
      </c>
      <c r="BB1522" s="46">
        <v>0</v>
      </c>
      <c r="BC1522" s="46">
        <v>0</v>
      </c>
      <c r="BD1522" s="46">
        <v>0</v>
      </c>
      <c r="BE1522" s="46">
        <v>0</v>
      </c>
      <c r="BF1522" s="46">
        <v>0</v>
      </c>
      <c r="BG1522" s="46" t="s">
        <v>48</v>
      </c>
      <c r="BH1522" s="46">
        <v>0</v>
      </c>
      <c r="BI1522" s="46">
        <v>0</v>
      </c>
      <c r="BJ1522" s="46">
        <v>0</v>
      </c>
      <c r="BK1522" s="46">
        <v>0</v>
      </c>
      <c r="BL1522" s="46">
        <v>0</v>
      </c>
      <c r="BM1522" s="46">
        <v>0</v>
      </c>
      <c r="BN1522" s="46">
        <v>0</v>
      </c>
    </row>
    <row r="1523" spans="1:66" x14ac:dyDescent="0.35">
      <c r="A1523" t="s">
        <v>10577</v>
      </c>
      <c r="B1523" s="44" t="s">
        <v>48</v>
      </c>
      <c r="C1523" t="s">
        <v>2900</v>
      </c>
      <c r="D1523" t="s">
        <v>429</v>
      </c>
      <c r="E1523" t="s">
        <v>10578</v>
      </c>
      <c r="F1523" t="s">
        <v>2130</v>
      </c>
      <c r="G1523" t="s">
        <v>74</v>
      </c>
      <c r="H1523">
        <v>0</v>
      </c>
      <c r="I1523" s="60" t="s">
        <v>11552</v>
      </c>
      <c r="J1523" s="33" t="s">
        <v>45</v>
      </c>
      <c r="K1523" s="46">
        <v>0</v>
      </c>
      <c r="L1523">
        <v>20.5</v>
      </c>
      <c r="M1523" t="s">
        <v>48</v>
      </c>
      <c r="N1523" s="46">
        <v>0</v>
      </c>
      <c r="O1523" s="46">
        <v>0</v>
      </c>
      <c r="P1523" s="46">
        <v>0</v>
      </c>
      <c r="Q1523" t="s">
        <v>48</v>
      </c>
      <c r="R1523" t="s">
        <v>48</v>
      </c>
      <c r="S1523" t="s">
        <v>11457</v>
      </c>
      <c r="T1523" t="s">
        <v>48</v>
      </c>
      <c r="U1523" t="s">
        <v>10579</v>
      </c>
      <c r="V1523" s="47">
        <v>0</v>
      </c>
      <c r="W1523" t="s">
        <v>48</v>
      </c>
      <c r="X1523" t="s">
        <v>48</v>
      </c>
      <c r="Y1523" t="s">
        <v>48</v>
      </c>
      <c r="Z1523">
        <v>0</v>
      </c>
      <c r="AA1523" t="s">
        <v>48</v>
      </c>
      <c r="AB1523" t="s">
        <v>48</v>
      </c>
      <c r="AC1523" t="s">
        <v>49</v>
      </c>
      <c r="AD1523" t="s">
        <v>93</v>
      </c>
      <c r="AE1523" t="s">
        <v>4532</v>
      </c>
      <c r="AF1523" t="s">
        <v>48</v>
      </c>
      <c r="AG1523" t="s">
        <v>48</v>
      </c>
      <c r="AH1523" t="s">
        <v>48</v>
      </c>
      <c r="AI1523" t="s">
        <v>48</v>
      </c>
      <c r="AJ1523" t="s">
        <v>48</v>
      </c>
      <c r="AK1523" t="s">
        <v>48</v>
      </c>
      <c r="AL1523" t="s">
        <v>48</v>
      </c>
      <c r="AM1523" t="s">
        <v>48</v>
      </c>
      <c r="AN1523" t="s">
        <v>48</v>
      </c>
      <c r="AO1523" t="s">
        <v>48</v>
      </c>
      <c r="AP1523" s="46">
        <v>0</v>
      </c>
      <c r="AQ1523" s="46">
        <v>0</v>
      </c>
      <c r="AR1523" s="46">
        <v>0</v>
      </c>
      <c r="AS1523" s="46">
        <v>0</v>
      </c>
      <c r="AT1523" s="46">
        <v>0</v>
      </c>
      <c r="AU1523" s="46">
        <v>0</v>
      </c>
      <c r="AV1523" s="46">
        <v>0</v>
      </c>
      <c r="AW1523" s="46">
        <v>0</v>
      </c>
      <c r="AX1523" s="46">
        <v>0</v>
      </c>
      <c r="AY1523" s="46">
        <v>0</v>
      </c>
      <c r="AZ1523" s="46">
        <v>0</v>
      </c>
      <c r="BA1523" s="46">
        <v>0</v>
      </c>
      <c r="BB1523" s="46">
        <v>0</v>
      </c>
      <c r="BC1523" s="46">
        <v>0</v>
      </c>
      <c r="BD1523" s="46">
        <v>0</v>
      </c>
      <c r="BE1523" s="46">
        <v>0</v>
      </c>
      <c r="BF1523" s="46">
        <v>0</v>
      </c>
      <c r="BG1523" s="46" t="s">
        <v>48</v>
      </c>
      <c r="BH1523" s="46">
        <v>0</v>
      </c>
      <c r="BI1523" s="46">
        <v>0</v>
      </c>
      <c r="BJ1523" s="46">
        <v>0</v>
      </c>
      <c r="BK1523" s="46">
        <v>0</v>
      </c>
      <c r="BL1523" s="46">
        <v>0</v>
      </c>
      <c r="BM1523" s="46">
        <v>0</v>
      </c>
      <c r="BN1523" s="46">
        <v>0</v>
      </c>
    </row>
    <row r="1524" spans="1:66" x14ac:dyDescent="0.35">
      <c r="A1524" t="s">
        <v>2115</v>
      </c>
      <c r="B1524" s="44" t="s">
        <v>48</v>
      </c>
      <c r="C1524" t="s">
        <v>11826</v>
      </c>
      <c r="D1524" t="s">
        <v>1176</v>
      </c>
      <c r="E1524" t="s">
        <v>10598</v>
      </c>
      <c r="F1524" t="s">
        <v>2130</v>
      </c>
      <c r="G1524" t="s">
        <v>47</v>
      </c>
      <c r="H1524">
        <v>0</v>
      </c>
      <c r="I1524" s="60" t="s">
        <v>11552</v>
      </c>
      <c r="J1524" s="33" t="s">
        <v>45</v>
      </c>
      <c r="K1524" s="46">
        <v>0</v>
      </c>
      <c r="L1524">
        <v>11.4</v>
      </c>
      <c r="M1524" t="s">
        <v>48</v>
      </c>
      <c r="N1524" s="46">
        <v>0</v>
      </c>
      <c r="O1524" s="46">
        <v>0</v>
      </c>
      <c r="P1524" s="46">
        <v>0</v>
      </c>
      <c r="Q1524" t="s">
        <v>48</v>
      </c>
      <c r="R1524" t="s">
        <v>48</v>
      </c>
      <c r="S1524" t="s">
        <v>11460</v>
      </c>
      <c r="T1524" t="s">
        <v>48</v>
      </c>
      <c r="U1524" t="s">
        <v>10599</v>
      </c>
      <c r="V1524" s="47">
        <v>0</v>
      </c>
      <c r="W1524" t="s">
        <v>48</v>
      </c>
      <c r="X1524" t="s">
        <v>48</v>
      </c>
      <c r="Y1524" t="s">
        <v>48</v>
      </c>
      <c r="Z1524">
        <v>0</v>
      </c>
      <c r="AA1524" t="s">
        <v>48</v>
      </c>
      <c r="AB1524" t="s">
        <v>48</v>
      </c>
      <c r="AC1524" t="s">
        <v>63</v>
      </c>
      <c r="AD1524" t="s">
        <v>93</v>
      </c>
      <c r="AE1524" t="s">
        <v>4532</v>
      </c>
      <c r="AF1524" t="s">
        <v>48</v>
      </c>
      <c r="AG1524" t="s">
        <v>48</v>
      </c>
      <c r="AH1524" t="s">
        <v>48</v>
      </c>
      <c r="AI1524" t="s">
        <v>48</v>
      </c>
      <c r="AJ1524" t="s">
        <v>48</v>
      </c>
      <c r="AK1524" t="s">
        <v>48</v>
      </c>
      <c r="AL1524" t="s">
        <v>48</v>
      </c>
      <c r="AM1524" t="s">
        <v>48</v>
      </c>
      <c r="AN1524" t="s">
        <v>48</v>
      </c>
      <c r="AO1524" t="s">
        <v>48</v>
      </c>
      <c r="AP1524" s="46">
        <v>0</v>
      </c>
      <c r="AQ1524" s="46">
        <v>0</v>
      </c>
      <c r="AR1524" s="46">
        <v>0</v>
      </c>
      <c r="AS1524" s="46">
        <v>0</v>
      </c>
      <c r="AT1524" s="46">
        <v>0</v>
      </c>
      <c r="AU1524" s="46">
        <v>0</v>
      </c>
      <c r="AV1524" s="46">
        <v>0</v>
      </c>
      <c r="AW1524" s="46">
        <v>0</v>
      </c>
      <c r="AX1524" s="46">
        <v>0</v>
      </c>
      <c r="AY1524" s="46">
        <v>0</v>
      </c>
      <c r="AZ1524" s="46">
        <v>0</v>
      </c>
      <c r="BA1524" s="46">
        <v>0</v>
      </c>
      <c r="BB1524" s="46">
        <v>0</v>
      </c>
      <c r="BC1524" s="46">
        <v>0</v>
      </c>
      <c r="BD1524" s="46">
        <v>0</v>
      </c>
      <c r="BE1524" s="46">
        <v>0</v>
      </c>
      <c r="BF1524" s="46">
        <v>0</v>
      </c>
      <c r="BG1524" s="46" t="s">
        <v>48</v>
      </c>
      <c r="BH1524" s="46">
        <v>0</v>
      </c>
      <c r="BI1524" s="46">
        <v>0</v>
      </c>
      <c r="BJ1524" s="46">
        <v>0</v>
      </c>
      <c r="BK1524" s="46">
        <v>0</v>
      </c>
      <c r="BL1524" s="46">
        <v>0</v>
      </c>
      <c r="BM1524" s="46">
        <v>0</v>
      </c>
      <c r="BN1524" s="46">
        <v>0</v>
      </c>
    </row>
    <row r="1525" spans="1:66" x14ac:dyDescent="0.35">
      <c r="A1525" t="s">
        <v>2129</v>
      </c>
      <c r="B1525" s="44" t="s">
        <v>48</v>
      </c>
      <c r="C1525" t="s">
        <v>11830</v>
      </c>
      <c r="D1525" t="s">
        <v>11831</v>
      </c>
      <c r="E1525" t="s">
        <v>10596</v>
      </c>
      <c r="F1525" t="s">
        <v>2130</v>
      </c>
      <c r="G1525" t="s">
        <v>47</v>
      </c>
      <c r="H1525">
        <v>0</v>
      </c>
      <c r="I1525" s="60" t="s">
        <v>11552</v>
      </c>
      <c r="J1525" s="33" t="s">
        <v>45</v>
      </c>
      <c r="K1525" s="46">
        <v>0</v>
      </c>
      <c r="L1525">
        <v>11.6</v>
      </c>
      <c r="M1525" t="s">
        <v>48</v>
      </c>
      <c r="N1525" s="46">
        <v>0</v>
      </c>
      <c r="O1525" s="46">
        <v>0</v>
      </c>
      <c r="P1525" s="46">
        <v>0</v>
      </c>
      <c r="Q1525" t="s">
        <v>48</v>
      </c>
      <c r="R1525" t="s">
        <v>48</v>
      </c>
      <c r="S1525" t="s">
        <v>11461</v>
      </c>
      <c r="T1525" t="s">
        <v>48</v>
      </c>
      <c r="U1525" t="s">
        <v>10597</v>
      </c>
      <c r="V1525" s="47">
        <v>0</v>
      </c>
      <c r="W1525" t="s">
        <v>48</v>
      </c>
      <c r="X1525" t="s">
        <v>48</v>
      </c>
      <c r="Y1525" t="s">
        <v>48</v>
      </c>
      <c r="Z1525">
        <v>0</v>
      </c>
      <c r="AA1525" t="s">
        <v>48</v>
      </c>
      <c r="AB1525" t="s">
        <v>48</v>
      </c>
      <c r="AC1525" t="s">
        <v>63</v>
      </c>
      <c r="AD1525" t="s">
        <v>951</v>
      </c>
      <c r="AE1525" t="s">
        <v>11051</v>
      </c>
      <c r="AF1525" t="s">
        <v>48</v>
      </c>
      <c r="AG1525" t="s">
        <v>48</v>
      </c>
      <c r="AH1525" t="s">
        <v>48</v>
      </c>
      <c r="AI1525" t="s">
        <v>48</v>
      </c>
      <c r="AJ1525" t="s">
        <v>48</v>
      </c>
      <c r="AK1525" t="s">
        <v>48</v>
      </c>
      <c r="AL1525" t="s">
        <v>48</v>
      </c>
      <c r="AM1525" t="s">
        <v>48</v>
      </c>
      <c r="AN1525" t="s">
        <v>48</v>
      </c>
      <c r="AO1525" t="s">
        <v>48</v>
      </c>
      <c r="AP1525" s="46">
        <v>0</v>
      </c>
      <c r="AQ1525" s="46">
        <v>0</v>
      </c>
      <c r="AR1525" s="46">
        <v>0</v>
      </c>
      <c r="AS1525" s="46">
        <v>0</v>
      </c>
      <c r="AT1525" s="46">
        <v>0</v>
      </c>
      <c r="AU1525" s="46">
        <v>0</v>
      </c>
      <c r="AV1525" s="46">
        <v>0</v>
      </c>
      <c r="AW1525" s="46">
        <v>0</v>
      </c>
      <c r="AX1525" s="46">
        <v>0</v>
      </c>
      <c r="AY1525" s="46">
        <v>0</v>
      </c>
      <c r="AZ1525" s="46">
        <v>0</v>
      </c>
      <c r="BA1525" s="46">
        <v>0</v>
      </c>
      <c r="BB1525" s="46">
        <v>0</v>
      </c>
      <c r="BC1525" s="46">
        <v>0</v>
      </c>
      <c r="BD1525" s="46">
        <v>0</v>
      </c>
      <c r="BE1525" s="46">
        <v>0</v>
      </c>
      <c r="BF1525" s="46">
        <v>0</v>
      </c>
      <c r="BG1525" s="46" t="s">
        <v>48</v>
      </c>
      <c r="BH1525" s="46">
        <v>0</v>
      </c>
      <c r="BI1525" s="46">
        <v>0</v>
      </c>
      <c r="BJ1525" s="46">
        <v>0</v>
      </c>
      <c r="BK1525" s="46">
        <v>0</v>
      </c>
      <c r="BL1525" s="46">
        <v>0</v>
      </c>
      <c r="BM1525" s="46">
        <v>0</v>
      </c>
      <c r="BN1525" s="46">
        <v>0</v>
      </c>
    </row>
    <row r="1526" spans="1:66" x14ac:dyDescent="0.35">
      <c r="A1526" t="s">
        <v>10580</v>
      </c>
      <c r="B1526" s="44" t="s">
        <v>48</v>
      </c>
      <c r="C1526" t="s">
        <v>11824</v>
      </c>
      <c r="D1526" t="s">
        <v>11825</v>
      </c>
      <c r="E1526" t="s">
        <v>10581</v>
      </c>
      <c r="F1526" t="s">
        <v>2130</v>
      </c>
      <c r="G1526" t="s">
        <v>74</v>
      </c>
      <c r="H1526">
        <v>0</v>
      </c>
      <c r="I1526" s="60" t="s">
        <v>11552</v>
      </c>
      <c r="J1526" s="33" t="s">
        <v>45</v>
      </c>
      <c r="K1526" s="46">
        <v>0</v>
      </c>
      <c r="L1526">
        <v>8.3000000000000007</v>
      </c>
      <c r="M1526" t="s">
        <v>48</v>
      </c>
      <c r="N1526" s="46">
        <v>0</v>
      </c>
      <c r="O1526" s="46">
        <v>0</v>
      </c>
      <c r="P1526" s="46">
        <v>0</v>
      </c>
      <c r="Q1526" t="s">
        <v>48</v>
      </c>
      <c r="R1526" t="s">
        <v>48</v>
      </c>
      <c r="S1526" t="s">
        <v>11388</v>
      </c>
      <c r="T1526" t="s">
        <v>48</v>
      </c>
      <c r="U1526" t="s">
        <v>10582</v>
      </c>
      <c r="V1526" s="47">
        <v>0</v>
      </c>
      <c r="W1526" t="s">
        <v>11318</v>
      </c>
      <c r="X1526" t="s">
        <v>48</v>
      </c>
      <c r="Y1526" t="s">
        <v>48</v>
      </c>
      <c r="Z1526">
        <v>0</v>
      </c>
      <c r="AA1526" t="s">
        <v>48</v>
      </c>
      <c r="AB1526" t="s">
        <v>48</v>
      </c>
      <c r="AC1526" t="s">
        <v>63</v>
      </c>
      <c r="AD1526" t="s">
        <v>48</v>
      </c>
      <c r="AE1526" t="s">
        <v>48</v>
      </c>
      <c r="AF1526" t="s">
        <v>48</v>
      </c>
      <c r="AG1526" t="s">
        <v>48</v>
      </c>
      <c r="AH1526" t="s">
        <v>48</v>
      </c>
      <c r="AI1526" t="s">
        <v>48</v>
      </c>
      <c r="AJ1526" t="s">
        <v>48</v>
      </c>
      <c r="AK1526" t="s">
        <v>48</v>
      </c>
      <c r="AL1526" t="s">
        <v>48</v>
      </c>
      <c r="AM1526" t="s">
        <v>48</v>
      </c>
      <c r="AN1526" t="s">
        <v>48</v>
      </c>
      <c r="AO1526" t="s">
        <v>48</v>
      </c>
      <c r="AP1526" s="46">
        <v>0</v>
      </c>
      <c r="AQ1526" s="46">
        <v>0</v>
      </c>
      <c r="AR1526" s="46">
        <v>0</v>
      </c>
      <c r="AS1526" s="46">
        <v>0</v>
      </c>
      <c r="AT1526" s="46">
        <v>0</v>
      </c>
      <c r="AU1526" s="46">
        <v>0</v>
      </c>
      <c r="AV1526" s="46">
        <v>0</v>
      </c>
      <c r="AW1526" s="46">
        <v>0</v>
      </c>
      <c r="AX1526" s="46">
        <v>0</v>
      </c>
      <c r="AY1526" s="46">
        <v>0</v>
      </c>
      <c r="AZ1526" s="46">
        <v>0</v>
      </c>
      <c r="BA1526" s="46">
        <v>0</v>
      </c>
      <c r="BB1526" s="46">
        <v>0</v>
      </c>
      <c r="BC1526" s="46">
        <v>0</v>
      </c>
      <c r="BD1526" s="46">
        <v>0</v>
      </c>
      <c r="BE1526" s="46">
        <v>0</v>
      </c>
      <c r="BF1526" s="46">
        <v>0</v>
      </c>
      <c r="BG1526" s="46" t="s">
        <v>48</v>
      </c>
      <c r="BH1526" s="46">
        <v>0</v>
      </c>
      <c r="BI1526" s="46">
        <v>0</v>
      </c>
      <c r="BJ1526" s="46">
        <v>0</v>
      </c>
      <c r="BK1526" s="46">
        <v>0</v>
      </c>
      <c r="BL1526" s="46">
        <v>0</v>
      </c>
      <c r="BM1526" s="46">
        <v>0</v>
      </c>
      <c r="BN1526" s="46">
        <v>0</v>
      </c>
    </row>
    <row r="1527" spans="1:66" x14ac:dyDescent="0.35">
      <c r="A1527" t="s">
        <v>10603</v>
      </c>
      <c r="B1527" s="44" t="s">
        <v>48</v>
      </c>
      <c r="C1527" t="s">
        <v>11833</v>
      </c>
      <c r="D1527" t="s">
        <v>11834</v>
      </c>
      <c r="E1527" t="s">
        <v>10604</v>
      </c>
      <c r="F1527" t="s">
        <v>2130</v>
      </c>
      <c r="G1527" t="s">
        <v>47</v>
      </c>
      <c r="H1527">
        <v>0</v>
      </c>
      <c r="I1527" s="60" t="s">
        <v>11552</v>
      </c>
      <c r="J1527" s="33" t="s">
        <v>45</v>
      </c>
      <c r="K1527" s="46">
        <v>0</v>
      </c>
      <c r="L1527">
        <v>6.9</v>
      </c>
      <c r="M1527" t="s">
        <v>48</v>
      </c>
      <c r="N1527" s="46">
        <v>0</v>
      </c>
      <c r="O1527" s="46">
        <v>0</v>
      </c>
      <c r="P1527" s="46">
        <v>0</v>
      </c>
      <c r="Q1527" t="s">
        <v>48</v>
      </c>
      <c r="R1527" t="s">
        <v>48</v>
      </c>
      <c r="S1527" t="s">
        <v>11462</v>
      </c>
      <c r="T1527" t="s">
        <v>48</v>
      </c>
      <c r="U1527" t="s">
        <v>10605</v>
      </c>
      <c r="V1527" s="47">
        <v>0</v>
      </c>
      <c r="W1527" t="s">
        <v>48</v>
      </c>
      <c r="X1527" t="s">
        <v>48</v>
      </c>
      <c r="Y1527" t="s">
        <v>48</v>
      </c>
      <c r="Z1527">
        <v>0</v>
      </c>
      <c r="AA1527" t="s">
        <v>48</v>
      </c>
      <c r="AB1527" t="s">
        <v>48</v>
      </c>
      <c r="AC1527" t="s">
        <v>49</v>
      </c>
      <c r="AD1527" t="s">
        <v>93</v>
      </c>
      <c r="AE1527" t="s">
        <v>4532</v>
      </c>
      <c r="AF1527" t="s">
        <v>48</v>
      </c>
      <c r="AG1527" t="s">
        <v>48</v>
      </c>
      <c r="AH1527" t="s">
        <v>48</v>
      </c>
      <c r="AI1527" t="s">
        <v>48</v>
      </c>
      <c r="AJ1527" t="s">
        <v>48</v>
      </c>
      <c r="AK1527" t="s">
        <v>48</v>
      </c>
      <c r="AL1527" t="s">
        <v>48</v>
      </c>
      <c r="AM1527" t="s">
        <v>48</v>
      </c>
      <c r="AN1527" t="s">
        <v>48</v>
      </c>
      <c r="AO1527" t="s">
        <v>48</v>
      </c>
      <c r="AP1527" s="46">
        <v>0</v>
      </c>
      <c r="AQ1527" s="46">
        <v>0</v>
      </c>
      <c r="AR1527" s="46">
        <v>0</v>
      </c>
      <c r="AS1527" s="46">
        <v>0</v>
      </c>
      <c r="AT1527" s="46">
        <v>0</v>
      </c>
      <c r="AU1527" s="46">
        <v>0</v>
      </c>
      <c r="AV1527" s="46">
        <v>0</v>
      </c>
      <c r="AW1527" s="46">
        <v>0</v>
      </c>
      <c r="AX1527" s="46">
        <v>0</v>
      </c>
      <c r="AY1527" s="46">
        <v>0</v>
      </c>
      <c r="AZ1527" s="46">
        <v>0</v>
      </c>
      <c r="BA1527" s="46">
        <v>0</v>
      </c>
      <c r="BB1527" s="46">
        <v>0</v>
      </c>
      <c r="BC1527" s="46">
        <v>0</v>
      </c>
      <c r="BD1527" s="46">
        <v>0</v>
      </c>
      <c r="BE1527" s="46">
        <v>0</v>
      </c>
      <c r="BF1527" s="46">
        <v>0</v>
      </c>
      <c r="BG1527" s="46" t="s">
        <v>48</v>
      </c>
      <c r="BH1527" s="46">
        <v>0</v>
      </c>
      <c r="BI1527" s="46">
        <v>0</v>
      </c>
      <c r="BJ1527" s="46">
        <v>0</v>
      </c>
      <c r="BK1527" s="46">
        <v>0</v>
      </c>
      <c r="BL1527" s="46">
        <v>0</v>
      </c>
      <c r="BM1527" s="46">
        <v>0</v>
      </c>
      <c r="BN1527" s="46">
        <v>0</v>
      </c>
    </row>
    <row r="1528" spans="1:66" x14ac:dyDescent="0.35">
      <c r="A1528" t="s">
        <v>2128</v>
      </c>
      <c r="B1528" s="44" t="s">
        <v>48</v>
      </c>
      <c r="C1528" t="s">
        <v>11829</v>
      </c>
      <c r="D1528" t="s">
        <v>603</v>
      </c>
      <c r="E1528" t="s">
        <v>10594</v>
      </c>
      <c r="F1528" t="s">
        <v>2130</v>
      </c>
      <c r="G1528" t="s">
        <v>47</v>
      </c>
      <c r="H1528">
        <v>0</v>
      </c>
      <c r="I1528" s="60" t="s">
        <v>11552</v>
      </c>
      <c r="J1528" s="33" t="s">
        <v>45</v>
      </c>
      <c r="K1528" s="46">
        <v>0</v>
      </c>
      <c r="L1528">
        <v>22.1</v>
      </c>
      <c r="M1528" t="s">
        <v>48</v>
      </c>
      <c r="N1528" s="46">
        <v>0</v>
      </c>
      <c r="O1528" s="46">
        <v>0</v>
      </c>
      <c r="P1528" s="46">
        <v>0</v>
      </c>
      <c r="Q1528" t="s">
        <v>48</v>
      </c>
      <c r="R1528" t="s">
        <v>48</v>
      </c>
      <c r="S1528" t="s">
        <v>11463</v>
      </c>
      <c r="T1528" t="s">
        <v>48</v>
      </c>
      <c r="U1528" t="s">
        <v>10595</v>
      </c>
      <c r="V1528" s="47">
        <v>0</v>
      </c>
      <c r="W1528" t="s">
        <v>48</v>
      </c>
      <c r="X1528" t="s">
        <v>48</v>
      </c>
      <c r="Y1528" t="s">
        <v>48</v>
      </c>
      <c r="Z1528">
        <v>0</v>
      </c>
      <c r="AA1528" t="s">
        <v>48</v>
      </c>
      <c r="AB1528" t="s">
        <v>48</v>
      </c>
      <c r="AC1528" t="s">
        <v>49</v>
      </c>
      <c r="AD1528" t="s">
        <v>93</v>
      </c>
      <c r="AE1528" t="s">
        <v>4532</v>
      </c>
      <c r="AF1528" t="s">
        <v>48</v>
      </c>
      <c r="AG1528" t="s">
        <v>48</v>
      </c>
      <c r="AH1528" t="s">
        <v>48</v>
      </c>
      <c r="AI1528" t="s">
        <v>48</v>
      </c>
      <c r="AJ1528" t="s">
        <v>48</v>
      </c>
      <c r="AK1528" t="s">
        <v>48</v>
      </c>
      <c r="AL1528" t="s">
        <v>48</v>
      </c>
      <c r="AM1528" t="s">
        <v>48</v>
      </c>
      <c r="AN1528" t="s">
        <v>48</v>
      </c>
      <c r="AO1528" t="s">
        <v>48</v>
      </c>
      <c r="AP1528" s="46">
        <v>0</v>
      </c>
      <c r="AQ1528" s="46">
        <v>0</v>
      </c>
      <c r="AR1528" s="46">
        <v>0</v>
      </c>
      <c r="AS1528" s="46">
        <v>0</v>
      </c>
      <c r="AT1528" s="46">
        <v>0</v>
      </c>
      <c r="AU1528" s="46">
        <v>0</v>
      </c>
      <c r="AV1528" s="46">
        <v>0</v>
      </c>
      <c r="AW1528" s="46">
        <v>0</v>
      </c>
      <c r="AX1528" s="46">
        <v>0</v>
      </c>
      <c r="AY1528" s="46">
        <v>0</v>
      </c>
      <c r="AZ1528" s="46">
        <v>0</v>
      </c>
      <c r="BA1528" s="46">
        <v>0</v>
      </c>
      <c r="BB1528" s="46">
        <v>0</v>
      </c>
      <c r="BC1528" s="46">
        <v>0</v>
      </c>
      <c r="BD1528" s="46">
        <v>0</v>
      </c>
      <c r="BE1528" s="46">
        <v>0</v>
      </c>
      <c r="BF1528" s="46">
        <v>0</v>
      </c>
      <c r="BG1528" s="46" t="s">
        <v>48</v>
      </c>
      <c r="BH1528" s="46">
        <v>0</v>
      </c>
      <c r="BI1528" s="46">
        <v>0</v>
      </c>
      <c r="BJ1528" s="46">
        <v>0</v>
      </c>
      <c r="BK1528" s="46">
        <v>0</v>
      </c>
      <c r="BL1528" s="46">
        <v>0</v>
      </c>
      <c r="BM1528" s="46">
        <v>0</v>
      </c>
      <c r="BN1528" s="46">
        <v>0</v>
      </c>
    </row>
    <row r="1529" spans="1:66" x14ac:dyDescent="0.35">
      <c r="A1529" t="s">
        <v>10585</v>
      </c>
      <c r="B1529" s="44" t="s">
        <v>48</v>
      </c>
      <c r="C1529" t="s">
        <v>11832</v>
      </c>
      <c r="D1529" t="s">
        <v>396</v>
      </c>
      <c r="E1529" t="s">
        <v>10586</v>
      </c>
      <c r="F1529" t="s">
        <v>2130</v>
      </c>
      <c r="G1529" t="s">
        <v>74</v>
      </c>
      <c r="H1529">
        <v>0</v>
      </c>
      <c r="I1529" s="60" t="s">
        <v>11552</v>
      </c>
      <c r="J1529" s="33" t="s">
        <v>45</v>
      </c>
      <c r="K1529" s="46">
        <v>0</v>
      </c>
      <c r="L1529">
        <v>2.2000000000000002</v>
      </c>
      <c r="M1529" t="s">
        <v>48</v>
      </c>
      <c r="N1529" s="46">
        <v>0</v>
      </c>
      <c r="O1529" s="46">
        <v>0</v>
      </c>
      <c r="P1529" s="46">
        <v>0</v>
      </c>
      <c r="Q1529" t="s">
        <v>48</v>
      </c>
      <c r="R1529" t="s">
        <v>48</v>
      </c>
      <c r="S1529" t="s">
        <v>11459</v>
      </c>
      <c r="T1529" t="s">
        <v>48</v>
      </c>
      <c r="U1529" t="s">
        <v>10587</v>
      </c>
      <c r="V1529" s="47">
        <v>0</v>
      </c>
      <c r="W1529" t="s">
        <v>48</v>
      </c>
      <c r="X1529" t="s">
        <v>48</v>
      </c>
      <c r="Y1529" t="s">
        <v>48</v>
      </c>
      <c r="Z1529">
        <v>0</v>
      </c>
      <c r="AA1529" t="s">
        <v>48</v>
      </c>
      <c r="AB1529" t="s">
        <v>48</v>
      </c>
      <c r="AC1529" t="s">
        <v>49</v>
      </c>
      <c r="AD1529" t="s">
        <v>93</v>
      </c>
      <c r="AE1529" t="s">
        <v>4532</v>
      </c>
      <c r="AF1529" t="s">
        <v>48</v>
      </c>
      <c r="AG1529" t="s">
        <v>48</v>
      </c>
      <c r="AH1529" t="s">
        <v>48</v>
      </c>
      <c r="AI1529" t="s">
        <v>48</v>
      </c>
      <c r="AJ1529" t="s">
        <v>48</v>
      </c>
      <c r="AK1529" t="s">
        <v>48</v>
      </c>
      <c r="AL1529" t="s">
        <v>48</v>
      </c>
      <c r="AM1529" t="s">
        <v>48</v>
      </c>
      <c r="AN1529" t="s">
        <v>48</v>
      </c>
      <c r="AO1529" t="s">
        <v>48</v>
      </c>
      <c r="AP1529" s="46">
        <v>0</v>
      </c>
      <c r="AQ1529" s="46">
        <v>0</v>
      </c>
      <c r="AR1529" s="46">
        <v>0</v>
      </c>
      <c r="AS1529" s="46">
        <v>0</v>
      </c>
      <c r="AT1529" s="46">
        <v>0</v>
      </c>
      <c r="AU1529" s="46">
        <v>0</v>
      </c>
      <c r="AV1529" s="46">
        <v>0</v>
      </c>
      <c r="AW1529" s="46">
        <v>0</v>
      </c>
      <c r="AX1529" s="46">
        <v>0</v>
      </c>
      <c r="AY1529" s="46">
        <v>0</v>
      </c>
      <c r="AZ1529" s="46">
        <v>0</v>
      </c>
      <c r="BA1529" s="46">
        <v>0</v>
      </c>
      <c r="BB1529" s="46">
        <v>0</v>
      </c>
      <c r="BC1529" s="46">
        <v>0</v>
      </c>
      <c r="BD1529" s="46">
        <v>0</v>
      </c>
      <c r="BE1529" s="46">
        <v>0</v>
      </c>
      <c r="BF1529" s="46">
        <v>0</v>
      </c>
      <c r="BG1529" s="46" t="s">
        <v>48</v>
      </c>
      <c r="BH1529" s="46">
        <v>0</v>
      </c>
      <c r="BI1529" s="46">
        <v>0</v>
      </c>
      <c r="BJ1529" s="46">
        <v>0</v>
      </c>
      <c r="BK1529" s="46">
        <v>0</v>
      </c>
      <c r="BL1529" s="46">
        <v>0</v>
      </c>
      <c r="BM1529" s="46">
        <v>0</v>
      </c>
      <c r="BN1529" s="46">
        <v>0</v>
      </c>
    </row>
    <row r="1530" spans="1:66" x14ac:dyDescent="0.35">
      <c r="A1530" t="s">
        <v>10588</v>
      </c>
      <c r="B1530" s="44" t="s">
        <v>48</v>
      </c>
      <c r="C1530" t="s">
        <v>3373</v>
      </c>
      <c r="D1530" t="s">
        <v>11823</v>
      </c>
      <c r="E1530" t="s">
        <v>10589</v>
      </c>
      <c r="F1530" t="s">
        <v>2130</v>
      </c>
      <c r="G1530" t="s">
        <v>74</v>
      </c>
      <c r="H1530">
        <v>0</v>
      </c>
      <c r="I1530" s="60" t="s">
        <v>11552</v>
      </c>
      <c r="J1530" s="33" t="s">
        <v>45</v>
      </c>
      <c r="K1530" s="46">
        <v>0</v>
      </c>
      <c r="L1530">
        <v>1.7</v>
      </c>
      <c r="M1530" t="s">
        <v>48</v>
      </c>
      <c r="N1530" s="46">
        <v>0</v>
      </c>
      <c r="O1530" s="46">
        <v>0</v>
      </c>
      <c r="P1530" s="46">
        <v>0</v>
      </c>
      <c r="Q1530" t="s">
        <v>48</v>
      </c>
      <c r="R1530" t="s">
        <v>48</v>
      </c>
      <c r="S1530" t="s">
        <v>11390</v>
      </c>
      <c r="T1530" t="s">
        <v>48</v>
      </c>
      <c r="U1530" t="s">
        <v>10590</v>
      </c>
      <c r="V1530" s="47">
        <v>0</v>
      </c>
      <c r="W1530" t="s">
        <v>48</v>
      </c>
      <c r="X1530" t="s">
        <v>48</v>
      </c>
      <c r="Y1530" t="s">
        <v>48</v>
      </c>
      <c r="Z1530">
        <v>0</v>
      </c>
      <c r="AA1530" t="s">
        <v>48</v>
      </c>
      <c r="AB1530" t="s">
        <v>48</v>
      </c>
      <c r="AC1530" t="s">
        <v>49</v>
      </c>
      <c r="AD1530" t="s">
        <v>48</v>
      </c>
      <c r="AE1530" t="s">
        <v>48</v>
      </c>
      <c r="AF1530" t="s">
        <v>48</v>
      </c>
      <c r="AG1530" t="s">
        <v>48</v>
      </c>
      <c r="AH1530" t="s">
        <v>48</v>
      </c>
      <c r="AI1530" t="s">
        <v>48</v>
      </c>
      <c r="AJ1530" t="s">
        <v>48</v>
      </c>
      <c r="AK1530" t="s">
        <v>48</v>
      </c>
      <c r="AL1530" t="s">
        <v>48</v>
      </c>
      <c r="AM1530" t="s">
        <v>48</v>
      </c>
      <c r="AN1530" t="s">
        <v>48</v>
      </c>
      <c r="AO1530" t="s">
        <v>48</v>
      </c>
      <c r="AP1530" s="46">
        <v>0</v>
      </c>
      <c r="AQ1530" s="46">
        <v>0</v>
      </c>
      <c r="AR1530" s="46">
        <v>0</v>
      </c>
      <c r="AS1530" s="46">
        <v>0</v>
      </c>
      <c r="AT1530" s="46">
        <v>0</v>
      </c>
      <c r="AU1530" s="46">
        <v>0</v>
      </c>
      <c r="AV1530" s="46">
        <v>0</v>
      </c>
      <c r="AW1530" s="46">
        <v>0</v>
      </c>
      <c r="AX1530" s="46">
        <v>0</v>
      </c>
      <c r="AY1530" s="46">
        <v>0</v>
      </c>
      <c r="AZ1530" s="46">
        <v>0</v>
      </c>
      <c r="BA1530" s="46">
        <v>0</v>
      </c>
      <c r="BB1530" s="46">
        <v>0</v>
      </c>
      <c r="BC1530" s="46">
        <v>0</v>
      </c>
      <c r="BD1530" s="46">
        <v>0</v>
      </c>
      <c r="BE1530" s="46">
        <v>0</v>
      </c>
      <c r="BF1530" s="46">
        <v>0</v>
      </c>
      <c r="BG1530" s="46" t="s">
        <v>48</v>
      </c>
      <c r="BH1530" s="46">
        <v>0</v>
      </c>
      <c r="BI1530" s="46">
        <v>0</v>
      </c>
      <c r="BJ1530" s="46">
        <v>0</v>
      </c>
      <c r="BK1530" s="46">
        <v>0</v>
      </c>
      <c r="BL1530" s="46">
        <v>0</v>
      </c>
      <c r="BM1530" s="46">
        <v>0</v>
      </c>
      <c r="BN1530" s="46">
        <v>0</v>
      </c>
    </row>
    <row r="1531" spans="1:66" x14ac:dyDescent="0.35">
      <c r="A1531" t="s">
        <v>10606</v>
      </c>
      <c r="B1531" s="44" t="s">
        <v>48</v>
      </c>
      <c r="C1531" t="s">
        <v>11828</v>
      </c>
      <c r="D1531" t="s">
        <v>7403</v>
      </c>
      <c r="E1531" t="s">
        <v>10607</v>
      </c>
      <c r="F1531" t="s">
        <v>2130</v>
      </c>
      <c r="G1531" t="s">
        <v>47</v>
      </c>
      <c r="H1531">
        <v>0</v>
      </c>
      <c r="I1531" s="61">
        <v>44799</v>
      </c>
      <c r="J1531" s="33" t="s">
        <v>45</v>
      </c>
      <c r="K1531" s="46">
        <v>0</v>
      </c>
      <c r="L1531">
        <v>1.9</v>
      </c>
      <c r="M1531" t="s">
        <v>48</v>
      </c>
      <c r="N1531" s="46">
        <v>0</v>
      </c>
      <c r="O1531" s="46">
        <v>0</v>
      </c>
      <c r="P1531" s="46">
        <v>0</v>
      </c>
      <c r="Q1531" t="s">
        <v>48</v>
      </c>
      <c r="R1531" t="s">
        <v>48</v>
      </c>
      <c r="S1531" t="s">
        <v>48</v>
      </c>
      <c r="T1531" t="s">
        <v>48</v>
      </c>
      <c r="U1531" t="s">
        <v>48</v>
      </c>
      <c r="V1531" s="47">
        <v>1</v>
      </c>
      <c r="W1531" t="s">
        <v>48</v>
      </c>
      <c r="X1531" t="s">
        <v>48</v>
      </c>
      <c r="Y1531" t="s">
        <v>48</v>
      </c>
      <c r="Z1531">
        <v>0</v>
      </c>
      <c r="AA1531" t="s">
        <v>48</v>
      </c>
      <c r="AB1531" t="s">
        <v>48</v>
      </c>
      <c r="AC1531" t="s">
        <v>49</v>
      </c>
      <c r="AD1531" t="s">
        <v>48</v>
      </c>
      <c r="AE1531" t="s">
        <v>48</v>
      </c>
      <c r="AF1531" t="s">
        <v>48</v>
      </c>
      <c r="AG1531" t="s">
        <v>48</v>
      </c>
      <c r="AH1531" t="s">
        <v>48</v>
      </c>
      <c r="AI1531" t="s">
        <v>48</v>
      </c>
      <c r="AJ1531" t="s">
        <v>48</v>
      </c>
      <c r="AK1531" t="s">
        <v>48</v>
      </c>
      <c r="AL1531" t="s">
        <v>48</v>
      </c>
      <c r="AM1531" t="s">
        <v>48</v>
      </c>
      <c r="AN1531" t="s">
        <v>48</v>
      </c>
      <c r="AO1531" t="s">
        <v>48</v>
      </c>
      <c r="AP1531" s="46">
        <v>0</v>
      </c>
      <c r="AQ1531" s="46">
        <v>0</v>
      </c>
      <c r="AR1531" s="46">
        <v>0</v>
      </c>
      <c r="AS1531" s="46">
        <v>0</v>
      </c>
      <c r="AT1531" s="46">
        <v>0</v>
      </c>
      <c r="AU1531" s="46">
        <v>0</v>
      </c>
      <c r="AV1531" s="46">
        <v>0</v>
      </c>
      <c r="AW1531" s="46">
        <v>0</v>
      </c>
      <c r="AX1531" s="46">
        <v>0</v>
      </c>
      <c r="AY1531" s="46">
        <v>0</v>
      </c>
      <c r="AZ1531" s="46">
        <v>0</v>
      </c>
      <c r="BA1531" s="46">
        <v>0</v>
      </c>
      <c r="BB1531" s="46">
        <v>0</v>
      </c>
      <c r="BC1531" s="46">
        <v>0</v>
      </c>
      <c r="BD1531" s="46">
        <v>0</v>
      </c>
      <c r="BE1531" s="46">
        <v>0</v>
      </c>
      <c r="BF1531" s="46">
        <v>0</v>
      </c>
      <c r="BG1531" s="46" t="s">
        <v>48</v>
      </c>
      <c r="BH1531" s="46">
        <v>0</v>
      </c>
      <c r="BI1531" s="46">
        <v>0</v>
      </c>
      <c r="BJ1531" s="46">
        <v>0</v>
      </c>
      <c r="BK1531" s="46">
        <v>0</v>
      </c>
      <c r="BL1531" s="46">
        <v>0</v>
      </c>
      <c r="BM1531" s="46">
        <v>0</v>
      </c>
      <c r="BN1531" s="46">
        <v>0</v>
      </c>
    </row>
    <row r="1532" spans="1:66" x14ac:dyDescent="0.35">
      <c r="A1532" t="s">
        <v>10600</v>
      </c>
      <c r="B1532" s="44" t="s">
        <v>48</v>
      </c>
      <c r="C1532" t="s">
        <v>11821</v>
      </c>
      <c r="D1532" t="s">
        <v>76</v>
      </c>
      <c r="E1532" t="s">
        <v>10601</v>
      </c>
      <c r="F1532" t="s">
        <v>2130</v>
      </c>
      <c r="G1532" t="s">
        <v>47</v>
      </c>
      <c r="H1532">
        <v>0</v>
      </c>
      <c r="I1532" s="60" t="s">
        <v>11552</v>
      </c>
      <c r="J1532" s="33" t="s">
        <v>45</v>
      </c>
      <c r="K1532" s="46">
        <v>0</v>
      </c>
      <c r="L1532">
        <v>8.5</v>
      </c>
      <c r="M1532" t="s">
        <v>48</v>
      </c>
      <c r="N1532" s="46">
        <v>0</v>
      </c>
      <c r="O1532" s="46">
        <v>0</v>
      </c>
      <c r="P1532" s="46">
        <v>0</v>
      </c>
      <c r="Q1532" t="s">
        <v>48</v>
      </c>
      <c r="R1532" t="s">
        <v>48</v>
      </c>
      <c r="S1532" t="s">
        <v>11465</v>
      </c>
      <c r="T1532" t="s">
        <v>48</v>
      </c>
      <c r="U1532" t="s">
        <v>10602</v>
      </c>
      <c r="V1532" s="47">
        <v>0</v>
      </c>
      <c r="W1532" t="s">
        <v>48</v>
      </c>
      <c r="X1532" t="s">
        <v>48</v>
      </c>
      <c r="Y1532" t="s">
        <v>48</v>
      </c>
      <c r="Z1532">
        <v>0</v>
      </c>
      <c r="AA1532" t="s">
        <v>48</v>
      </c>
      <c r="AB1532" t="s">
        <v>48</v>
      </c>
      <c r="AC1532" t="s">
        <v>49</v>
      </c>
      <c r="AD1532" t="s">
        <v>93</v>
      </c>
      <c r="AE1532" t="s">
        <v>4532</v>
      </c>
      <c r="AF1532" t="s">
        <v>48</v>
      </c>
      <c r="AG1532" t="s">
        <v>48</v>
      </c>
      <c r="AH1532" t="s">
        <v>48</v>
      </c>
      <c r="AI1532" t="s">
        <v>48</v>
      </c>
      <c r="AJ1532" t="s">
        <v>48</v>
      </c>
      <c r="AK1532" t="s">
        <v>48</v>
      </c>
      <c r="AL1532" t="s">
        <v>48</v>
      </c>
      <c r="AM1532" t="s">
        <v>48</v>
      </c>
      <c r="AN1532" t="s">
        <v>48</v>
      </c>
      <c r="AO1532" t="s">
        <v>48</v>
      </c>
      <c r="AP1532" s="46">
        <v>0</v>
      </c>
      <c r="AQ1532" s="46">
        <v>0</v>
      </c>
      <c r="AR1532" s="46">
        <v>0</v>
      </c>
      <c r="AS1532" s="46">
        <v>0</v>
      </c>
      <c r="AT1532" s="46">
        <v>0</v>
      </c>
      <c r="AU1532" s="46">
        <v>0</v>
      </c>
      <c r="AV1532" s="46">
        <v>0</v>
      </c>
      <c r="AW1532" s="46">
        <v>0</v>
      </c>
      <c r="AX1532" s="46">
        <v>0</v>
      </c>
      <c r="AY1532" s="46">
        <v>0</v>
      </c>
      <c r="AZ1532" s="46">
        <v>0</v>
      </c>
      <c r="BA1532" s="46">
        <v>0</v>
      </c>
      <c r="BB1532" s="46">
        <v>0</v>
      </c>
      <c r="BC1532" s="46">
        <v>0</v>
      </c>
      <c r="BD1532" s="46">
        <v>0</v>
      </c>
      <c r="BE1532" s="46">
        <v>0</v>
      </c>
      <c r="BF1532" s="46">
        <v>0</v>
      </c>
      <c r="BG1532" s="46" t="s">
        <v>48</v>
      </c>
      <c r="BH1532" s="46">
        <v>0</v>
      </c>
      <c r="BI1532" s="46">
        <v>0</v>
      </c>
      <c r="BJ1532" s="46">
        <v>0</v>
      </c>
      <c r="BK1532" s="46">
        <v>0</v>
      </c>
      <c r="BL1532" s="46">
        <v>0</v>
      </c>
      <c r="BM1532" s="46">
        <v>0</v>
      </c>
      <c r="BN1532" s="46">
        <v>0</v>
      </c>
    </row>
    <row r="1533" spans="1:66" x14ac:dyDescent="0.35">
      <c r="A1533" t="s">
        <v>2138</v>
      </c>
      <c r="B1533" s="44" t="s">
        <v>48</v>
      </c>
      <c r="C1533" t="s">
        <v>2140</v>
      </c>
      <c r="D1533" t="s">
        <v>427</v>
      </c>
      <c r="E1533" t="s">
        <v>2139</v>
      </c>
      <c r="F1533" t="s">
        <v>2137</v>
      </c>
      <c r="G1533" t="s">
        <v>74</v>
      </c>
      <c r="H1533">
        <v>0</v>
      </c>
      <c r="I1533" s="60" t="s">
        <v>177</v>
      </c>
      <c r="J1533" s="33" t="s">
        <v>45</v>
      </c>
      <c r="K1533" s="46">
        <v>0</v>
      </c>
      <c r="L1533">
        <v>10.7</v>
      </c>
      <c r="M1533" t="s">
        <v>48</v>
      </c>
      <c r="N1533" s="46">
        <v>0</v>
      </c>
      <c r="O1533" s="46">
        <v>0</v>
      </c>
      <c r="P1533" s="46">
        <v>0</v>
      </c>
      <c r="Q1533" t="s">
        <v>48</v>
      </c>
      <c r="R1533" t="s">
        <v>48</v>
      </c>
      <c r="S1533" t="s">
        <v>48</v>
      </c>
      <c r="T1533" t="s">
        <v>48</v>
      </c>
      <c r="U1533" t="s">
        <v>48</v>
      </c>
      <c r="V1533" s="47">
        <v>0</v>
      </c>
      <c r="W1533" t="s">
        <v>48</v>
      </c>
      <c r="X1533" t="s">
        <v>48</v>
      </c>
      <c r="Y1533" t="s">
        <v>48</v>
      </c>
      <c r="Z1533">
        <v>0</v>
      </c>
      <c r="AA1533" t="s">
        <v>48</v>
      </c>
      <c r="AB1533" t="s">
        <v>48</v>
      </c>
      <c r="AC1533" t="s">
        <v>49</v>
      </c>
      <c r="AD1533" t="s">
        <v>93</v>
      </c>
      <c r="AE1533" t="s">
        <v>2471</v>
      </c>
      <c r="AF1533" t="s">
        <v>48</v>
      </c>
      <c r="AG1533" t="s">
        <v>48</v>
      </c>
      <c r="AH1533" t="s">
        <v>48</v>
      </c>
      <c r="AI1533" t="s">
        <v>48</v>
      </c>
      <c r="AJ1533" t="s">
        <v>48</v>
      </c>
      <c r="AK1533" t="s">
        <v>48</v>
      </c>
      <c r="AL1533" t="s">
        <v>48</v>
      </c>
      <c r="AM1533" t="s">
        <v>48</v>
      </c>
      <c r="AN1533" t="s">
        <v>48</v>
      </c>
      <c r="AO1533" t="s">
        <v>48</v>
      </c>
      <c r="AP1533" s="46">
        <v>0</v>
      </c>
      <c r="AQ1533" s="46">
        <v>0</v>
      </c>
      <c r="AR1533" s="46">
        <v>0</v>
      </c>
      <c r="AS1533" s="46">
        <v>0</v>
      </c>
      <c r="AT1533" s="46">
        <v>0</v>
      </c>
      <c r="AU1533" s="46">
        <v>0</v>
      </c>
      <c r="AV1533" s="46">
        <v>0</v>
      </c>
      <c r="AW1533" s="46">
        <v>0</v>
      </c>
      <c r="AX1533" s="46">
        <v>0</v>
      </c>
      <c r="AY1533" s="46">
        <v>0</v>
      </c>
      <c r="AZ1533" s="46">
        <v>0</v>
      </c>
      <c r="BA1533" s="46">
        <v>0</v>
      </c>
      <c r="BB1533" s="46">
        <v>0</v>
      </c>
      <c r="BC1533" s="46">
        <v>0</v>
      </c>
      <c r="BD1533" s="46">
        <v>0</v>
      </c>
      <c r="BE1533" s="46">
        <v>0</v>
      </c>
      <c r="BF1533" s="46">
        <v>0</v>
      </c>
      <c r="BG1533" s="46" t="s">
        <v>48</v>
      </c>
      <c r="BH1533" s="46">
        <v>0</v>
      </c>
      <c r="BI1533" s="46">
        <v>0</v>
      </c>
      <c r="BJ1533" s="46">
        <v>0</v>
      </c>
      <c r="BK1533" s="46">
        <v>0</v>
      </c>
      <c r="BL1533" s="46">
        <v>0</v>
      </c>
      <c r="BM1533" s="46">
        <v>0</v>
      </c>
      <c r="BN1533" s="46">
        <v>0</v>
      </c>
    </row>
    <row r="1534" spans="1:66" x14ac:dyDescent="0.35">
      <c r="A1534" t="s">
        <v>10611</v>
      </c>
      <c r="B1534" s="44" t="s">
        <v>48</v>
      </c>
      <c r="C1534" t="s">
        <v>11836</v>
      </c>
      <c r="D1534" t="s">
        <v>11837</v>
      </c>
      <c r="E1534" t="s">
        <v>10612</v>
      </c>
      <c r="F1534" t="s">
        <v>2137</v>
      </c>
      <c r="G1534" t="s">
        <v>47</v>
      </c>
      <c r="H1534">
        <v>0</v>
      </c>
      <c r="I1534" s="60" t="s">
        <v>11552</v>
      </c>
      <c r="J1534" s="33" t="s">
        <v>45</v>
      </c>
      <c r="K1534" s="46">
        <v>0</v>
      </c>
      <c r="L1534">
        <v>35.5</v>
      </c>
      <c r="M1534" t="s">
        <v>48</v>
      </c>
      <c r="N1534" s="46">
        <v>0</v>
      </c>
      <c r="O1534" s="46">
        <v>0</v>
      </c>
      <c r="P1534" s="46">
        <v>0</v>
      </c>
      <c r="Q1534" t="s">
        <v>48</v>
      </c>
      <c r="R1534" t="s">
        <v>48</v>
      </c>
      <c r="S1534" t="s">
        <v>11467</v>
      </c>
      <c r="T1534" t="s">
        <v>48</v>
      </c>
      <c r="U1534" t="s">
        <v>10613</v>
      </c>
      <c r="V1534" s="47">
        <v>0</v>
      </c>
      <c r="W1534" t="s">
        <v>48</v>
      </c>
      <c r="X1534" t="s">
        <v>48</v>
      </c>
      <c r="Y1534" t="s">
        <v>48</v>
      </c>
      <c r="Z1534">
        <v>0</v>
      </c>
      <c r="AA1534" t="s">
        <v>48</v>
      </c>
      <c r="AB1534" t="s">
        <v>48</v>
      </c>
      <c r="AC1534" t="s">
        <v>63</v>
      </c>
      <c r="AD1534" t="s">
        <v>93</v>
      </c>
      <c r="AE1534" t="s">
        <v>2471</v>
      </c>
      <c r="AF1534" t="s">
        <v>48</v>
      </c>
      <c r="AG1534" t="s">
        <v>48</v>
      </c>
      <c r="AH1534" t="s">
        <v>48</v>
      </c>
      <c r="AI1534" t="s">
        <v>48</v>
      </c>
      <c r="AJ1534" t="s">
        <v>48</v>
      </c>
      <c r="AK1534" t="s">
        <v>48</v>
      </c>
      <c r="AL1534" t="s">
        <v>48</v>
      </c>
      <c r="AM1534" t="s">
        <v>48</v>
      </c>
      <c r="AN1534" t="s">
        <v>48</v>
      </c>
      <c r="AO1534" t="s">
        <v>48</v>
      </c>
      <c r="AP1534" s="46">
        <v>0</v>
      </c>
      <c r="AQ1534" s="46">
        <v>0</v>
      </c>
      <c r="AR1534" s="46">
        <v>0</v>
      </c>
      <c r="AS1534" s="46">
        <v>0</v>
      </c>
      <c r="AT1534" s="46">
        <v>0</v>
      </c>
      <c r="AU1534" s="46">
        <v>0</v>
      </c>
      <c r="AV1534" s="46">
        <v>0</v>
      </c>
      <c r="AW1534" s="46">
        <v>0</v>
      </c>
      <c r="AX1534" s="46">
        <v>0</v>
      </c>
      <c r="AY1534" s="46">
        <v>0</v>
      </c>
      <c r="AZ1534" s="46">
        <v>0</v>
      </c>
      <c r="BA1534" s="46">
        <v>0</v>
      </c>
      <c r="BB1534" s="46">
        <v>0</v>
      </c>
      <c r="BC1534" s="46">
        <v>0</v>
      </c>
      <c r="BD1534" s="46">
        <v>0</v>
      </c>
      <c r="BE1534" s="46">
        <v>0</v>
      </c>
      <c r="BF1534" s="46">
        <v>0</v>
      </c>
      <c r="BG1534" s="46" t="s">
        <v>48</v>
      </c>
      <c r="BH1534" s="46">
        <v>0</v>
      </c>
      <c r="BI1534" s="46">
        <v>0</v>
      </c>
      <c r="BJ1534" s="46">
        <v>0</v>
      </c>
      <c r="BK1534" s="46">
        <v>0</v>
      </c>
      <c r="BL1534" s="46">
        <v>0</v>
      </c>
      <c r="BM1534" s="46">
        <v>0</v>
      </c>
      <c r="BN1534" s="46">
        <v>0</v>
      </c>
    </row>
    <row r="1535" spans="1:66" x14ac:dyDescent="0.35">
      <c r="A1535" t="s">
        <v>10615</v>
      </c>
      <c r="B1535" s="44" t="s">
        <v>48</v>
      </c>
      <c r="C1535" t="s">
        <v>11838</v>
      </c>
      <c r="D1535" t="s">
        <v>210</v>
      </c>
      <c r="E1535" t="s">
        <v>10616</v>
      </c>
      <c r="F1535" t="s">
        <v>2148</v>
      </c>
      <c r="G1535" t="s">
        <v>74</v>
      </c>
      <c r="H1535">
        <v>0</v>
      </c>
      <c r="I1535" s="60" t="s">
        <v>11552</v>
      </c>
      <c r="J1535" s="33" t="s">
        <v>45</v>
      </c>
      <c r="K1535" s="46">
        <v>0</v>
      </c>
      <c r="L1535">
        <v>11</v>
      </c>
      <c r="M1535" t="s">
        <v>48</v>
      </c>
      <c r="N1535" s="46">
        <v>0</v>
      </c>
      <c r="O1535" s="46">
        <v>0</v>
      </c>
      <c r="P1535" s="46">
        <v>0</v>
      </c>
      <c r="Q1535" t="s">
        <v>48</v>
      </c>
      <c r="R1535" t="s">
        <v>48</v>
      </c>
      <c r="S1535" t="s">
        <v>11468</v>
      </c>
      <c r="T1535" t="s">
        <v>48</v>
      </c>
      <c r="U1535" t="s">
        <v>10617</v>
      </c>
      <c r="V1535" s="47">
        <v>0</v>
      </c>
      <c r="W1535" t="s">
        <v>48</v>
      </c>
      <c r="X1535" t="s">
        <v>48</v>
      </c>
      <c r="Y1535" t="s">
        <v>48</v>
      </c>
      <c r="Z1535">
        <v>0</v>
      </c>
      <c r="AA1535" t="s">
        <v>48</v>
      </c>
      <c r="AB1535" t="s">
        <v>48</v>
      </c>
      <c r="AC1535" t="s">
        <v>49</v>
      </c>
      <c r="AD1535" t="s">
        <v>93</v>
      </c>
      <c r="AE1535" t="s">
        <v>4532</v>
      </c>
      <c r="AF1535" t="s">
        <v>48</v>
      </c>
      <c r="AG1535" t="s">
        <v>48</v>
      </c>
      <c r="AH1535" t="s">
        <v>48</v>
      </c>
      <c r="AI1535" t="s">
        <v>48</v>
      </c>
      <c r="AJ1535" t="s">
        <v>48</v>
      </c>
      <c r="AK1535" t="s">
        <v>48</v>
      </c>
      <c r="AL1535" t="s">
        <v>48</v>
      </c>
      <c r="AM1535" t="s">
        <v>48</v>
      </c>
      <c r="AN1535" t="s">
        <v>48</v>
      </c>
      <c r="AO1535" t="s">
        <v>48</v>
      </c>
      <c r="AP1535" s="46">
        <v>0</v>
      </c>
      <c r="AQ1535" s="46">
        <v>0</v>
      </c>
      <c r="AR1535" s="46">
        <v>0</v>
      </c>
      <c r="AS1535" s="46">
        <v>0</v>
      </c>
      <c r="AT1535" s="46">
        <v>0</v>
      </c>
      <c r="AU1535" s="46">
        <v>0</v>
      </c>
      <c r="AV1535" s="46">
        <v>0</v>
      </c>
      <c r="AW1535" s="46">
        <v>0</v>
      </c>
      <c r="AX1535" s="46">
        <v>0</v>
      </c>
      <c r="AY1535" s="46">
        <v>0</v>
      </c>
      <c r="AZ1535" s="46">
        <v>0</v>
      </c>
      <c r="BA1535" s="46">
        <v>0</v>
      </c>
      <c r="BB1535" s="46">
        <v>0</v>
      </c>
      <c r="BC1535" s="46">
        <v>0</v>
      </c>
      <c r="BD1535" s="46">
        <v>0</v>
      </c>
      <c r="BE1535" s="46">
        <v>0</v>
      </c>
      <c r="BF1535" s="46">
        <v>0</v>
      </c>
      <c r="BG1535" s="46" t="s">
        <v>48</v>
      </c>
      <c r="BH1535" s="46">
        <v>0</v>
      </c>
      <c r="BI1535" s="46">
        <v>0</v>
      </c>
      <c r="BJ1535" s="46">
        <v>0</v>
      </c>
      <c r="BK1535" s="46">
        <v>0</v>
      </c>
      <c r="BL1535" s="46">
        <v>0</v>
      </c>
      <c r="BM1535" s="46">
        <v>0</v>
      </c>
      <c r="BN1535" s="46">
        <v>0</v>
      </c>
    </row>
    <row r="1536" spans="1:66" x14ac:dyDescent="0.35">
      <c r="A1536" t="s">
        <v>2136</v>
      </c>
      <c r="B1536" s="44" t="s">
        <v>48</v>
      </c>
      <c r="C1536" t="s">
        <v>341</v>
      </c>
      <c r="D1536" t="s">
        <v>11841</v>
      </c>
      <c r="E1536" t="s">
        <v>10620</v>
      </c>
      <c r="F1536" t="s">
        <v>2148</v>
      </c>
      <c r="G1536" t="s">
        <v>47</v>
      </c>
      <c r="H1536">
        <v>0</v>
      </c>
      <c r="I1536" s="60" t="s">
        <v>11552</v>
      </c>
      <c r="J1536" s="33" t="s">
        <v>45</v>
      </c>
      <c r="K1536" s="46">
        <v>0</v>
      </c>
      <c r="L1536">
        <v>28.4</v>
      </c>
      <c r="M1536" t="s">
        <v>48</v>
      </c>
      <c r="N1536" s="46">
        <v>0</v>
      </c>
      <c r="O1536" s="46">
        <v>0</v>
      </c>
      <c r="P1536" s="46">
        <v>0</v>
      </c>
      <c r="Q1536" t="s">
        <v>48</v>
      </c>
      <c r="R1536" t="s">
        <v>48</v>
      </c>
      <c r="S1536" t="s">
        <v>11393</v>
      </c>
      <c r="T1536" t="s">
        <v>48</v>
      </c>
      <c r="U1536" t="s">
        <v>10621</v>
      </c>
      <c r="V1536" s="47">
        <v>0</v>
      </c>
      <c r="W1536" t="s">
        <v>11317</v>
      </c>
      <c r="X1536" t="s">
        <v>48</v>
      </c>
      <c r="Y1536" t="s">
        <v>48</v>
      </c>
      <c r="Z1536">
        <v>0</v>
      </c>
      <c r="AA1536" t="s">
        <v>48</v>
      </c>
      <c r="AB1536" t="s">
        <v>48</v>
      </c>
      <c r="AC1536" t="s">
        <v>49</v>
      </c>
      <c r="AD1536" t="s">
        <v>93</v>
      </c>
      <c r="AE1536" t="s">
        <v>2471</v>
      </c>
      <c r="AF1536" t="s">
        <v>48</v>
      </c>
      <c r="AG1536" t="s">
        <v>48</v>
      </c>
      <c r="AH1536" t="s">
        <v>48</v>
      </c>
      <c r="AI1536" t="s">
        <v>48</v>
      </c>
      <c r="AJ1536" t="s">
        <v>48</v>
      </c>
      <c r="AK1536" t="s">
        <v>48</v>
      </c>
      <c r="AL1536" t="s">
        <v>48</v>
      </c>
      <c r="AM1536" t="s">
        <v>48</v>
      </c>
      <c r="AN1536" t="s">
        <v>48</v>
      </c>
      <c r="AO1536" t="s">
        <v>48</v>
      </c>
      <c r="AP1536" s="46">
        <v>0</v>
      </c>
      <c r="AQ1536" s="46">
        <v>0</v>
      </c>
      <c r="AR1536" s="46">
        <v>0</v>
      </c>
      <c r="AS1536" s="46">
        <v>0</v>
      </c>
      <c r="AT1536" s="46">
        <v>0</v>
      </c>
      <c r="AU1536" s="46">
        <v>0</v>
      </c>
      <c r="AV1536" s="46">
        <v>0</v>
      </c>
      <c r="AW1536" s="46">
        <v>0</v>
      </c>
      <c r="AX1536" s="46">
        <v>0</v>
      </c>
      <c r="AY1536" s="46">
        <v>0</v>
      </c>
      <c r="AZ1536" s="46">
        <v>0</v>
      </c>
      <c r="BA1536" s="46">
        <v>0</v>
      </c>
      <c r="BB1536" s="46">
        <v>0</v>
      </c>
      <c r="BC1536" s="46">
        <v>0</v>
      </c>
      <c r="BD1536" s="46">
        <v>0</v>
      </c>
      <c r="BE1536" s="46">
        <v>0</v>
      </c>
      <c r="BF1536" s="46">
        <v>0</v>
      </c>
      <c r="BG1536" s="46" t="s">
        <v>48</v>
      </c>
      <c r="BH1536" s="46">
        <v>0</v>
      </c>
      <c r="BI1536" s="46">
        <v>0</v>
      </c>
      <c r="BJ1536" s="46">
        <v>0</v>
      </c>
      <c r="BK1536" s="46">
        <v>0</v>
      </c>
      <c r="BL1536" s="46">
        <v>0</v>
      </c>
      <c r="BM1536" s="46">
        <v>0</v>
      </c>
      <c r="BN1536" s="46">
        <v>0</v>
      </c>
    </row>
    <row r="1537" spans="1:66" x14ac:dyDescent="0.35">
      <c r="A1537" t="s">
        <v>2147</v>
      </c>
      <c r="B1537" s="44" t="s">
        <v>48</v>
      </c>
      <c r="C1537" t="s">
        <v>11842</v>
      </c>
      <c r="D1537" t="s">
        <v>1939</v>
      </c>
      <c r="E1537" t="s">
        <v>10625</v>
      </c>
      <c r="F1537" t="s">
        <v>2156</v>
      </c>
      <c r="G1537" t="s">
        <v>47</v>
      </c>
      <c r="H1537">
        <v>0</v>
      </c>
      <c r="I1537" s="60" t="s">
        <v>11552</v>
      </c>
      <c r="J1537" s="33" t="s">
        <v>45</v>
      </c>
      <c r="K1537" s="46">
        <v>0</v>
      </c>
      <c r="L1537">
        <v>15.7</v>
      </c>
      <c r="M1537" t="s">
        <v>48</v>
      </c>
      <c r="N1537" s="46">
        <v>0</v>
      </c>
      <c r="O1537" s="46">
        <v>0</v>
      </c>
      <c r="P1537" s="46">
        <v>0</v>
      </c>
      <c r="Q1537" t="s">
        <v>48</v>
      </c>
      <c r="R1537" t="s">
        <v>48</v>
      </c>
      <c r="S1537" t="s">
        <v>11470</v>
      </c>
      <c r="T1537" t="s">
        <v>48</v>
      </c>
      <c r="U1537" t="s">
        <v>10626</v>
      </c>
      <c r="V1537" s="47">
        <v>0</v>
      </c>
      <c r="W1537" t="s">
        <v>48</v>
      </c>
      <c r="X1537" t="s">
        <v>48</v>
      </c>
      <c r="Y1537" t="s">
        <v>48</v>
      </c>
      <c r="Z1537">
        <v>0</v>
      </c>
      <c r="AA1537" t="s">
        <v>48</v>
      </c>
      <c r="AB1537" t="s">
        <v>48</v>
      </c>
      <c r="AC1537" t="s">
        <v>49</v>
      </c>
      <c r="AD1537" t="s">
        <v>951</v>
      </c>
      <c r="AE1537" t="s">
        <v>11051</v>
      </c>
      <c r="AF1537" t="s">
        <v>48</v>
      </c>
      <c r="AG1537" t="s">
        <v>48</v>
      </c>
      <c r="AH1537" t="s">
        <v>48</v>
      </c>
      <c r="AI1537" t="s">
        <v>48</v>
      </c>
      <c r="AJ1537" t="s">
        <v>48</v>
      </c>
      <c r="AK1537" t="s">
        <v>48</v>
      </c>
      <c r="AL1537" t="s">
        <v>48</v>
      </c>
      <c r="AM1537" t="s">
        <v>48</v>
      </c>
      <c r="AN1537" t="s">
        <v>48</v>
      </c>
      <c r="AO1537" t="s">
        <v>48</v>
      </c>
      <c r="AP1537" s="46">
        <v>0</v>
      </c>
      <c r="AQ1537" s="46">
        <v>0</v>
      </c>
      <c r="AR1537" s="46">
        <v>0</v>
      </c>
      <c r="AS1537" s="46">
        <v>0</v>
      </c>
      <c r="AT1537" s="46">
        <v>0</v>
      </c>
      <c r="AU1537" s="46">
        <v>0</v>
      </c>
      <c r="AV1537" s="46">
        <v>0</v>
      </c>
      <c r="AW1537" s="46">
        <v>0</v>
      </c>
      <c r="AX1537" s="46">
        <v>0</v>
      </c>
      <c r="AY1537" s="46">
        <v>0</v>
      </c>
      <c r="AZ1537" s="46">
        <v>0</v>
      </c>
      <c r="BA1537" s="46">
        <v>0</v>
      </c>
      <c r="BB1537" s="46">
        <v>0</v>
      </c>
      <c r="BC1537" s="46">
        <v>0</v>
      </c>
      <c r="BD1537" s="46">
        <v>0</v>
      </c>
      <c r="BE1537" s="46">
        <v>0</v>
      </c>
      <c r="BF1537" s="46">
        <v>0</v>
      </c>
      <c r="BG1537" s="46" t="s">
        <v>48</v>
      </c>
      <c r="BH1537" s="46">
        <v>0</v>
      </c>
      <c r="BI1537" s="46">
        <v>0</v>
      </c>
      <c r="BJ1537" s="46">
        <v>0</v>
      </c>
      <c r="BK1537" s="46">
        <v>0</v>
      </c>
      <c r="BL1537" s="46">
        <v>0</v>
      </c>
      <c r="BM1537" s="46">
        <v>0</v>
      </c>
      <c r="BN1537" s="46">
        <v>0</v>
      </c>
    </row>
    <row r="1538" spans="1:66" x14ac:dyDescent="0.35">
      <c r="A1538" t="s">
        <v>2163</v>
      </c>
      <c r="B1538" s="44" t="s">
        <v>48</v>
      </c>
      <c r="C1538" t="s">
        <v>2166</v>
      </c>
      <c r="D1538" t="s">
        <v>1120</v>
      </c>
      <c r="E1538" t="s">
        <v>2164</v>
      </c>
      <c r="F1538" t="s">
        <v>2162</v>
      </c>
      <c r="G1538" t="s">
        <v>74</v>
      </c>
      <c r="H1538">
        <v>0</v>
      </c>
      <c r="I1538" s="60" t="s">
        <v>51</v>
      </c>
      <c r="J1538" s="33" t="s">
        <v>45</v>
      </c>
      <c r="K1538" s="46">
        <v>0</v>
      </c>
      <c r="L1538">
        <v>6.3</v>
      </c>
      <c r="M1538" t="s">
        <v>48</v>
      </c>
      <c r="N1538" s="46">
        <v>0</v>
      </c>
      <c r="O1538" s="46">
        <v>0</v>
      </c>
      <c r="P1538" s="46">
        <v>0</v>
      </c>
      <c r="Q1538" t="s">
        <v>48</v>
      </c>
      <c r="R1538" t="s">
        <v>48</v>
      </c>
      <c r="S1538" t="s">
        <v>2165</v>
      </c>
      <c r="T1538" t="s">
        <v>48</v>
      </c>
      <c r="U1538" t="s">
        <v>2165</v>
      </c>
      <c r="V1538" s="47">
        <v>0</v>
      </c>
      <c r="W1538" t="s">
        <v>48</v>
      </c>
      <c r="X1538" t="s">
        <v>48</v>
      </c>
      <c r="Y1538" t="s">
        <v>48</v>
      </c>
      <c r="Z1538">
        <v>0</v>
      </c>
      <c r="AA1538" t="s">
        <v>48</v>
      </c>
      <c r="AB1538" t="s">
        <v>48</v>
      </c>
      <c r="AC1538" t="s">
        <v>49</v>
      </c>
      <c r="AD1538" t="s">
        <v>951</v>
      </c>
      <c r="AE1538" t="s">
        <v>11051</v>
      </c>
      <c r="AF1538" t="s">
        <v>48</v>
      </c>
      <c r="AG1538" t="s">
        <v>48</v>
      </c>
      <c r="AH1538" t="s">
        <v>48</v>
      </c>
      <c r="AI1538" t="s">
        <v>48</v>
      </c>
      <c r="AJ1538" t="s">
        <v>48</v>
      </c>
      <c r="AK1538" t="s">
        <v>48</v>
      </c>
      <c r="AL1538" t="s">
        <v>48</v>
      </c>
      <c r="AM1538" t="s">
        <v>48</v>
      </c>
      <c r="AN1538" t="s">
        <v>48</v>
      </c>
      <c r="AO1538" t="s">
        <v>48</v>
      </c>
      <c r="AP1538" s="46">
        <v>0</v>
      </c>
      <c r="AQ1538" s="46">
        <v>0</v>
      </c>
      <c r="AR1538" s="46">
        <v>0</v>
      </c>
      <c r="AS1538" s="46">
        <v>0</v>
      </c>
      <c r="AT1538" s="46">
        <v>0</v>
      </c>
      <c r="AU1538" s="46">
        <v>0</v>
      </c>
      <c r="AV1538" s="46">
        <v>0</v>
      </c>
      <c r="AW1538" s="46">
        <v>0</v>
      </c>
      <c r="AX1538" s="46">
        <v>0</v>
      </c>
      <c r="AY1538" s="46">
        <v>0</v>
      </c>
      <c r="AZ1538" s="46">
        <v>0</v>
      </c>
      <c r="BA1538" s="46">
        <v>0</v>
      </c>
      <c r="BB1538" s="46">
        <v>0</v>
      </c>
      <c r="BC1538" s="46">
        <v>0</v>
      </c>
      <c r="BD1538" s="46">
        <v>0</v>
      </c>
      <c r="BE1538" s="46">
        <v>0</v>
      </c>
      <c r="BF1538" s="46">
        <v>0</v>
      </c>
      <c r="BG1538" s="46" t="s">
        <v>48</v>
      </c>
      <c r="BH1538" s="46">
        <v>0</v>
      </c>
      <c r="BI1538" s="46">
        <v>0</v>
      </c>
      <c r="BJ1538" s="46">
        <v>0</v>
      </c>
      <c r="BK1538" s="46">
        <v>0</v>
      </c>
      <c r="BL1538" s="46">
        <v>0</v>
      </c>
      <c r="BM1538" s="46">
        <v>0</v>
      </c>
      <c r="BN1538" s="46">
        <v>0</v>
      </c>
    </row>
    <row r="1539" spans="1:66" x14ac:dyDescent="0.35">
      <c r="A1539" t="s">
        <v>2167</v>
      </c>
      <c r="B1539" s="44" t="s">
        <v>48</v>
      </c>
      <c r="C1539" t="s">
        <v>2170</v>
      </c>
      <c r="D1539" t="s">
        <v>817</v>
      </c>
      <c r="E1539" t="s">
        <v>2168</v>
      </c>
      <c r="F1539" t="s">
        <v>2162</v>
      </c>
      <c r="G1539" t="s">
        <v>47</v>
      </c>
      <c r="H1539">
        <v>0</v>
      </c>
      <c r="I1539" s="60" t="s">
        <v>125</v>
      </c>
      <c r="J1539" s="33" t="s">
        <v>45</v>
      </c>
      <c r="K1539" s="46">
        <v>0</v>
      </c>
      <c r="L1539">
        <v>19.2</v>
      </c>
      <c r="M1539" t="s">
        <v>48</v>
      </c>
      <c r="N1539" s="46">
        <v>0</v>
      </c>
      <c r="O1539" s="46">
        <v>0</v>
      </c>
      <c r="P1539" s="46">
        <v>0</v>
      </c>
      <c r="Q1539" t="s">
        <v>48</v>
      </c>
      <c r="R1539" t="s">
        <v>48</v>
      </c>
      <c r="S1539" t="s">
        <v>2169</v>
      </c>
      <c r="T1539" t="s">
        <v>48</v>
      </c>
      <c r="U1539" t="s">
        <v>2169</v>
      </c>
      <c r="V1539" s="47">
        <v>0</v>
      </c>
      <c r="W1539" t="s">
        <v>48</v>
      </c>
      <c r="X1539" t="s">
        <v>48</v>
      </c>
      <c r="Y1539" t="s">
        <v>48</v>
      </c>
      <c r="Z1539">
        <v>0</v>
      </c>
      <c r="AA1539" t="s">
        <v>48</v>
      </c>
      <c r="AB1539" t="s">
        <v>48</v>
      </c>
      <c r="AC1539" t="s">
        <v>49</v>
      </c>
      <c r="AD1539" t="s">
        <v>951</v>
      </c>
      <c r="AE1539" s="40" t="s">
        <v>11051</v>
      </c>
      <c r="AF1539" t="s">
        <v>108</v>
      </c>
      <c r="AG1539" t="s">
        <v>48</v>
      </c>
      <c r="AH1539" t="s">
        <v>48</v>
      </c>
      <c r="AI1539" t="s">
        <v>48</v>
      </c>
      <c r="AJ1539" t="s">
        <v>48</v>
      </c>
      <c r="AK1539" t="s">
        <v>48</v>
      </c>
      <c r="AL1539" t="s">
        <v>48</v>
      </c>
      <c r="AM1539" t="s">
        <v>48</v>
      </c>
      <c r="AN1539" t="s">
        <v>48</v>
      </c>
      <c r="AO1539" t="s">
        <v>48</v>
      </c>
      <c r="AP1539" s="46">
        <v>0</v>
      </c>
      <c r="AQ1539" s="46">
        <v>0</v>
      </c>
      <c r="AR1539" s="46">
        <v>0</v>
      </c>
      <c r="AS1539" s="46">
        <v>0</v>
      </c>
      <c r="AT1539" s="46">
        <v>0</v>
      </c>
      <c r="AU1539" s="46">
        <v>0</v>
      </c>
      <c r="AV1539" s="46">
        <v>0</v>
      </c>
      <c r="AW1539" s="46">
        <v>0</v>
      </c>
      <c r="AX1539" s="46">
        <v>0</v>
      </c>
      <c r="AY1539" s="46">
        <v>0</v>
      </c>
      <c r="AZ1539" s="46">
        <v>0</v>
      </c>
      <c r="BA1539" s="46">
        <v>0</v>
      </c>
      <c r="BB1539" s="46">
        <v>0</v>
      </c>
      <c r="BC1539" s="46">
        <v>0</v>
      </c>
      <c r="BD1539" s="46">
        <v>0</v>
      </c>
      <c r="BE1539" s="46">
        <v>0</v>
      </c>
      <c r="BF1539" s="46">
        <v>0</v>
      </c>
      <c r="BG1539" s="46" t="s">
        <v>48</v>
      </c>
      <c r="BH1539" s="46">
        <v>0</v>
      </c>
      <c r="BI1539" s="46">
        <v>0</v>
      </c>
      <c r="BJ1539" s="46">
        <v>0</v>
      </c>
      <c r="BK1539" s="46">
        <v>0</v>
      </c>
      <c r="BL1539" s="46">
        <v>0</v>
      </c>
      <c r="BM1539" s="46">
        <v>0</v>
      </c>
      <c r="BN1539" s="46">
        <v>0</v>
      </c>
    </row>
    <row r="1540" spans="1:66" x14ac:dyDescent="0.35">
      <c r="A1540" t="s">
        <v>2192</v>
      </c>
      <c r="B1540" s="44" t="s">
        <v>48</v>
      </c>
      <c r="C1540" t="s">
        <v>2193</v>
      </c>
      <c r="D1540" t="s">
        <v>1380</v>
      </c>
      <c r="E1540" t="s">
        <v>10630</v>
      </c>
      <c r="F1540" t="s">
        <v>2162</v>
      </c>
      <c r="G1540" t="s">
        <v>74</v>
      </c>
      <c r="H1540">
        <v>0</v>
      </c>
      <c r="I1540" s="60" t="s">
        <v>11552</v>
      </c>
      <c r="J1540" s="33" t="s">
        <v>45</v>
      </c>
      <c r="K1540" s="46">
        <v>0</v>
      </c>
      <c r="L1540">
        <v>25.9</v>
      </c>
      <c r="M1540" t="s">
        <v>48</v>
      </c>
      <c r="N1540" s="46">
        <v>0</v>
      </c>
      <c r="O1540" s="46">
        <v>0</v>
      </c>
      <c r="P1540" s="46">
        <v>0</v>
      </c>
      <c r="Q1540" t="s">
        <v>48</v>
      </c>
      <c r="R1540" t="s">
        <v>48</v>
      </c>
      <c r="S1540" t="s">
        <v>11472</v>
      </c>
      <c r="T1540" t="s">
        <v>48</v>
      </c>
      <c r="U1540" t="s">
        <v>10631</v>
      </c>
      <c r="V1540" s="47">
        <v>0</v>
      </c>
      <c r="W1540" t="s">
        <v>48</v>
      </c>
      <c r="X1540" t="s">
        <v>48</v>
      </c>
      <c r="Y1540" t="s">
        <v>48</v>
      </c>
      <c r="Z1540">
        <v>0</v>
      </c>
      <c r="AA1540" t="s">
        <v>48</v>
      </c>
      <c r="AB1540" t="s">
        <v>48</v>
      </c>
      <c r="AC1540" t="s">
        <v>49</v>
      </c>
      <c r="AD1540" t="s">
        <v>93</v>
      </c>
      <c r="AE1540" t="s">
        <v>4532</v>
      </c>
      <c r="AF1540" t="s">
        <v>48</v>
      </c>
      <c r="AG1540" t="s">
        <v>48</v>
      </c>
      <c r="AH1540" t="s">
        <v>48</v>
      </c>
      <c r="AI1540" t="s">
        <v>48</v>
      </c>
      <c r="AJ1540" t="s">
        <v>48</v>
      </c>
      <c r="AK1540" t="s">
        <v>48</v>
      </c>
      <c r="AL1540" t="s">
        <v>48</v>
      </c>
      <c r="AM1540" t="s">
        <v>48</v>
      </c>
      <c r="AN1540" t="s">
        <v>48</v>
      </c>
      <c r="AO1540" t="s">
        <v>48</v>
      </c>
      <c r="AP1540" s="46">
        <v>0</v>
      </c>
      <c r="AQ1540" s="46">
        <v>0</v>
      </c>
      <c r="AR1540" s="46">
        <v>0</v>
      </c>
      <c r="AS1540" s="46">
        <v>0</v>
      </c>
      <c r="AT1540" s="46">
        <v>0</v>
      </c>
      <c r="AU1540" s="46">
        <v>0</v>
      </c>
      <c r="AV1540" s="46">
        <v>0</v>
      </c>
      <c r="AW1540" s="46">
        <v>0</v>
      </c>
      <c r="AX1540" s="46">
        <v>0</v>
      </c>
      <c r="AY1540" s="46">
        <v>0</v>
      </c>
      <c r="AZ1540" s="46">
        <v>0</v>
      </c>
      <c r="BA1540" s="46">
        <v>0</v>
      </c>
      <c r="BB1540" s="46">
        <v>0</v>
      </c>
      <c r="BC1540" s="46">
        <v>0</v>
      </c>
      <c r="BD1540" s="46">
        <v>0</v>
      </c>
      <c r="BE1540" s="46">
        <v>0</v>
      </c>
      <c r="BF1540" s="46">
        <v>0</v>
      </c>
      <c r="BG1540" s="46" t="s">
        <v>48</v>
      </c>
      <c r="BH1540" s="46">
        <v>0</v>
      </c>
      <c r="BI1540" s="46">
        <v>0</v>
      </c>
      <c r="BJ1540" s="46">
        <v>0</v>
      </c>
      <c r="BK1540" s="46">
        <v>0</v>
      </c>
      <c r="BL1540" s="46">
        <v>0</v>
      </c>
      <c r="BM1540" s="46">
        <v>0</v>
      </c>
      <c r="BN1540" s="46">
        <v>0</v>
      </c>
    </row>
    <row r="1541" spans="1:66" x14ac:dyDescent="0.35">
      <c r="A1541" t="s">
        <v>10918</v>
      </c>
      <c r="B1541" s="44" t="s">
        <v>48</v>
      </c>
      <c r="C1541" t="s">
        <v>11848</v>
      </c>
      <c r="D1541" t="s">
        <v>2159</v>
      </c>
      <c r="E1541" t="s">
        <v>10919</v>
      </c>
      <c r="F1541" t="s">
        <v>10912</v>
      </c>
      <c r="G1541" t="s">
        <v>47</v>
      </c>
      <c r="H1541">
        <v>0</v>
      </c>
      <c r="I1541" s="60" t="s">
        <v>11552</v>
      </c>
      <c r="J1541" s="33" t="s">
        <v>45</v>
      </c>
      <c r="K1541" s="46">
        <v>0</v>
      </c>
      <c r="L1541">
        <v>15.4</v>
      </c>
      <c r="M1541" t="s">
        <v>48</v>
      </c>
      <c r="N1541" s="46">
        <v>0</v>
      </c>
      <c r="O1541" s="46">
        <v>0</v>
      </c>
      <c r="P1541" s="46">
        <v>0</v>
      </c>
      <c r="Q1541" t="s">
        <v>48</v>
      </c>
      <c r="R1541" t="s">
        <v>48</v>
      </c>
      <c r="S1541" t="s">
        <v>11475</v>
      </c>
      <c r="T1541" t="s">
        <v>48</v>
      </c>
      <c r="U1541" t="s">
        <v>10920</v>
      </c>
      <c r="V1541" s="47">
        <v>0</v>
      </c>
      <c r="W1541" t="s">
        <v>48</v>
      </c>
      <c r="X1541" t="s">
        <v>48</v>
      </c>
      <c r="Y1541" t="s">
        <v>48</v>
      </c>
      <c r="Z1541">
        <v>0</v>
      </c>
      <c r="AA1541" t="s">
        <v>48</v>
      </c>
      <c r="AB1541" t="s">
        <v>48</v>
      </c>
      <c r="AC1541" t="s">
        <v>49</v>
      </c>
      <c r="AD1541" t="s">
        <v>951</v>
      </c>
      <c r="AE1541" t="s">
        <v>11051</v>
      </c>
      <c r="AF1541" t="s">
        <v>11063</v>
      </c>
      <c r="AG1541" t="s">
        <v>48</v>
      </c>
      <c r="AH1541" t="s">
        <v>48</v>
      </c>
      <c r="AI1541" t="s">
        <v>48</v>
      </c>
      <c r="AJ1541" t="s">
        <v>48</v>
      </c>
      <c r="AK1541" t="s">
        <v>48</v>
      </c>
      <c r="AL1541" t="s">
        <v>48</v>
      </c>
      <c r="AM1541" t="s">
        <v>48</v>
      </c>
      <c r="AN1541" t="s">
        <v>48</v>
      </c>
      <c r="AO1541" t="s">
        <v>48</v>
      </c>
      <c r="AP1541" s="46">
        <v>0</v>
      </c>
      <c r="AQ1541" s="46">
        <v>0</v>
      </c>
      <c r="AR1541" s="46">
        <v>0</v>
      </c>
      <c r="AS1541" s="46">
        <v>0</v>
      </c>
      <c r="AT1541" s="46">
        <v>0</v>
      </c>
      <c r="AU1541" s="46">
        <v>0</v>
      </c>
      <c r="AV1541" s="46">
        <v>0</v>
      </c>
      <c r="AW1541" s="46">
        <v>0</v>
      </c>
      <c r="AX1541" s="46">
        <v>0</v>
      </c>
      <c r="AY1541" s="46">
        <v>0</v>
      </c>
      <c r="AZ1541" s="46">
        <v>0</v>
      </c>
      <c r="BA1541" s="46">
        <v>0</v>
      </c>
      <c r="BB1541" s="46">
        <v>0</v>
      </c>
      <c r="BC1541" s="46">
        <v>0</v>
      </c>
      <c r="BD1541" s="46">
        <v>0</v>
      </c>
      <c r="BE1541" s="46">
        <v>0</v>
      </c>
      <c r="BF1541" s="46">
        <v>0</v>
      </c>
      <c r="BG1541" s="46" t="s">
        <v>48</v>
      </c>
      <c r="BH1541" s="46">
        <v>0</v>
      </c>
      <c r="BI1541" s="46">
        <v>0</v>
      </c>
      <c r="BJ1541" s="46">
        <v>0</v>
      </c>
      <c r="BK1541" s="46">
        <v>0</v>
      </c>
      <c r="BL1541" s="46">
        <v>0</v>
      </c>
      <c r="BM1541" s="46">
        <v>0</v>
      </c>
      <c r="BN1541" s="46">
        <v>0</v>
      </c>
    </row>
    <row r="1542" spans="1:66" x14ac:dyDescent="0.35">
      <c r="A1542" t="s">
        <v>2160</v>
      </c>
      <c r="B1542" s="44" t="s">
        <v>48</v>
      </c>
      <c r="C1542" t="s">
        <v>11850</v>
      </c>
      <c r="D1542" t="s">
        <v>756</v>
      </c>
      <c r="E1542" t="s">
        <v>10915</v>
      </c>
      <c r="F1542" t="s">
        <v>10912</v>
      </c>
      <c r="G1542" t="s">
        <v>74</v>
      </c>
      <c r="H1542">
        <v>0</v>
      </c>
      <c r="I1542" s="60" t="s">
        <v>11552</v>
      </c>
      <c r="J1542" s="33" t="s">
        <v>45</v>
      </c>
      <c r="K1542" s="46">
        <v>0</v>
      </c>
      <c r="L1542">
        <v>30.7</v>
      </c>
      <c r="M1542" t="s">
        <v>48</v>
      </c>
      <c r="N1542" s="46">
        <v>0</v>
      </c>
      <c r="O1542" s="46">
        <v>0</v>
      </c>
      <c r="P1542" s="46">
        <v>0</v>
      </c>
      <c r="Q1542" t="s">
        <v>48</v>
      </c>
      <c r="R1542" t="s">
        <v>48</v>
      </c>
      <c r="S1542" t="s">
        <v>11473</v>
      </c>
      <c r="T1542" t="s">
        <v>48</v>
      </c>
      <c r="U1542" t="s">
        <v>10916</v>
      </c>
      <c r="V1542" s="47">
        <v>0</v>
      </c>
      <c r="W1542" t="s">
        <v>48</v>
      </c>
      <c r="X1542" t="s">
        <v>48</v>
      </c>
      <c r="Y1542" t="s">
        <v>48</v>
      </c>
      <c r="Z1542">
        <v>0</v>
      </c>
      <c r="AA1542" t="s">
        <v>48</v>
      </c>
      <c r="AB1542" t="s">
        <v>48</v>
      </c>
      <c r="AC1542" t="s">
        <v>49</v>
      </c>
      <c r="AD1542" t="s">
        <v>951</v>
      </c>
      <c r="AE1542" t="s">
        <v>11051</v>
      </c>
      <c r="AF1542" t="s">
        <v>48</v>
      </c>
      <c r="AG1542" t="s">
        <v>48</v>
      </c>
      <c r="AH1542" t="s">
        <v>48</v>
      </c>
      <c r="AI1542" t="s">
        <v>48</v>
      </c>
      <c r="AJ1542" t="s">
        <v>48</v>
      </c>
      <c r="AK1542" t="s">
        <v>48</v>
      </c>
      <c r="AL1542" t="s">
        <v>48</v>
      </c>
      <c r="AM1542" t="s">
        <v>48</v>
      </c>
      <c r="AN1542" t="s">
        <v>48</v>
      </c>
      <c r="AO1542" t="s">
        <v>48</v>
      </c>
      <c r="AP1542" s="46">
        <v>0</v>
      </c>
      <c r="AQ1542" s="46">
        <v>0</v>
      </c>
      <c r="AR1542" s="46">
        <v>0</v>
      </c>
      <c r="AS1542" s="46">
        <v>0</v>
      </c>
      <c r="AT1542" s="46">
        <v>0</v>
      </c>
      <c r="AU1542" s="46">
        <v>0</v>
      </c>
      <c r="AV1542" s="46">
        <v>0</v>
      </c>
      <c r="AW1542" s="46">
        <v>0</v>
      </c>
      <c r="AX1542" s="46">
        <v>0</v>
      </c>
      <c r="AY1542" s="46">
        <v>0</v>
      </c>
      <c r="AZ1542" s="46">
        <v>0</v>
      </c>
      <c r="BA1542" s="46">
        <v>0</v>
      </c>
      <c r="BB1542" s="46">
        <v>0</v>
      </c>
      <c r="BC1542" s="46">
        <v>0</v>
      </c>
      <c r="BD1542" s="46">
        <v>0</v>
      </c>
      <c r="BE1542" s="46">
        <v>0</v>
      </c>
      <c r="BF1542" s="46">
        <v>0</v>
      </c>
      <c r="BG1542" s="46" t="s">
        <v>48</v>
      </c>
      <c r="BH1542" s="46">
        <v>0</v>
      </c>
      <c r="BI1542" s="46">
        <v>0</v>
      </c>
      <c r="BJ1542" s="46">
        <v>0</v>
      </c>
      <c r="BK1542" s="46">
        <v>0</v>
      </c>
      <c r="BL1542" s="46">
        <v>0</v>
      </c>
      <c r="BM1542" s="46">
        <v>0</v>
      </c>
      <c r="BN1542" s="46">
        <v>0</v>
      </c>
    </row>
    <row r="1543" spans="1:66" x14ac:dyDescent="0.35">
      <c r="A1543" t="s">
        <v>10921</v>
      </c>
      <c r="B1543" s="44" t="s">
        <v>48</v>
      </c>
      <c r="C1543" t="s">
        <v>2185</v>
      </c>
      <c r="D1543" t="s">
        <v>359</v>
      </c>
      <c r="E1543" t="s">
        <v>10922</v>
      </c>
      <c r="F1543" t="s">
        <v>10912</v>
      </c>
      <c r="G1543" t="s">
        <v>47</v>
      </c>
      <c r="H1543">
        <v>0</v>
      </c>
      <c r="I1543" s="61">
        <v>44799</v>
      </c>
      <c r="J1543" s="33" t="s">
        <v>45</v>
      </c>
      <c r="K1543" s="46">
        <v>0</v>
      </c>
      <c r="L1543">
        <v>11.2</v>
      </c>
      <c r="M1543" t="s">
        <v>48</v>
      </c>
      <c r="N1543" s="46">
        <v>0</v>
      </c>
      <c r="O1543" s="46">
        <v>0</v>
      </c>
      <c r="P1543" s="46">
        <v>0</v>
      </c>
      <c r="Q1543" t="s">
        <v>48</v>
      </c>
      <c r="R1543" t="s">
        <v>48</v>
      </c>
      <c r="S1543" t="s">
        <v>48</v>
      </c>
      <c r="T1543" t="s">
        <v>48</v>
      </c>
      <c r="U1543" t="s">
        <v>48</v>
      </c>
      <c r="V1543" s="47">
        <v>1</v>
      </c>
      <c r="W1543" t="s">
        <v>48</v>
      </c>
      <c r="X1543" t="s">
        <v>48</v>
      </c>
      <c r="Y1543" t="s">
        <v>48</v>
      </c>
      <c r="Z1543">
        <v>0</v>
      </c>
      <c r="AA1543" t="s">
        <v>48</v>
      </c>
      <c r="AB1543" t="s">
        <v>48</v>
      </c>
      <c r="AC1543" t="s">
        <v>49</v>
      </c>
      <c r="AD1543" t="s">
        <v>93</v>
      </c>
      <c r="AE1543" t="s">
        <v>4532</v>
      </c>
      <c r="AF1543" t="s">
        <v>48</v>
      </c>
      <c r="AG1543" t="s">
        <v>48</v>
      </c>
      <c r="AH1543" t="s">
        <v>48</v>
      </c>
      <c r="AI1543" t="s">
        <v>48</v>
      </c>
      <c r="AJ1543" t="s">
        <v>48</v>
      </c>
      <c r="AK1543" t="s">
        <v>48</v>
      </c>
      <c r="AL1543" t="s">
        <v>48</v>
      </c>
      <c r="AM1543" t="s">
        <v>48</v>
      </c>
      <c r="AN1543" t="s">
        <v>48</v>
      </c>
      <c r="AO1543" t="s">
        <v>48</v>
      </c>
      <c r="AP1543" s="46">
        <v>0</v>
      </c>
      <c r="AQ1543" s="46">
        <v>0</v>
      </c>
      <c r="AR1543" s="46">
        <v>0</v>
      </c>
      <c r="AS1543" s="46">
        <v>0</v>
      </c>
      <c r="AT1543" s="46">
        <v>0</v>
      </c>
      <c r="AU1543" s="46">
        <v>0</v>
      </c>
      <c r="AV1543" s="46">
        <v>0</v>
      </c>
      <c r="AW1543" s="46">
        <v>0</v>
      </c>
      <c r="AX1543" s="46">
        <v>0</v>
      </c>
      <c r="AY1543" s="46">
        <v>0</v>
      </c>
      <c r="AZ1543" s="46">
        <v>0</v>
      </c>
      <c r="BA1543" s="46">
        <v>0</v>
      </c>
      <c r="BB1543" s="46">
        <v>0</v>
      </c>
      <c r="BC1543" s="46">
        <v>0</v>
      </c>
      <c r="BD1543" s="46">
        <v>0</v>
      </c>
      <c r="BE1543" s="46">
        <v>0</v>
      </c>
      <c r="BF1543" s="46">
        <v>0</v>
      </c>
      <c r="BG1543" s="46" t="s">
        <v>48</v>
      </c>
      <c r="BH1543" s="46">
        <v>0</v>
      </c>
      <c r="BI1543" s="46">
        <v>0</v>
      </c>
      <c r="BJ1543" s="46">
        <v>0</v>
      </c>
      <c r="BK1543" s="46">
        <v>0</v>
      </c>
      <c r="BL1543" s="46">
        <v>0</v>
      </c>
      <c r="BM1543" s="46">
        <v>0</v>
      </c>
      <c r="BN1543" s="46">
        <v>0</v>
      </c>
    </row>
    <row r="1544" spans="1:66" x14ac:dyDescent="0.35">
      <c r="A1544" t="s">
        <v>7962</v>
      </c>
      <c r="B1544" s="44" t="s">
        <v>48</v>
      </c>
      <c r="C1544" t="s">
        <v>11853</v>
      </c>
      <c r="D1544" t="s">
        <v>5377</v>
      </c>
      <c r="E1544" t="s">
        <v>7963</v>
      </c>
      <c r="F1544" t="s">
        <v>2199</v>
      </c>
      <c r="G1544" t="s">
        <v>74</v>
      </c>
      <c r="H1544">
        <v>0</v>
      </c>
      <c r="I1544" s="61">
        <v>44719</v>
      </c>
      <c r="J1544" s="33" t="s">
        <v>45</v>
      </c>
      <c r="K1544" s="46">
        <v>0</v>
      </c>
      <c r="L1544">
        <v>48.6</v>
      </c>
      <c r="M1544">
        <v>38.1</v>
      </c>
      <c r="N1544" s="46">
        <v>0</v>
      </c>
      <c r="O1544" s="46">
        <v>0</v>
      </c>
      <c r="P1544" s="46">
        <v>0</v>
      </c>
      <c r="Q1544" t="s">
        <v>48</v>
      </c>
      <c r="R1544" t="s">
        <v>48</v>
      </c>
      <c r="S1544" t="s">
        <v>10082</v>
      </c>
      <c r="T1544" t="s">
        <v>48</v>
      </c>
      <c r="U1544" t="s">
        <v>10082</v>
      </c>
      <c r="V1544" s="47">
        <v>0</v>
      </c>
      <c r="W1544" t="s">
        <v>48</v>
      </c>
      <c r="X1544" t="s">
        <v>48</v>
      </c>
      <c r="Y1544" t="s">
        <v>48</v>
      </c>
      <c r="Z1544" t="s">
        <v>48</v>
      </c>
      <c r="AA1544" t="s">
        <v>11230</v>
      </c>
      <c r="AB1544" t="s">
        <v>48</v>
      </c>
      <c r="AC1544" t="s">
        <v>63</v>
      </c>
      <c r="AD1544" t="s">
        <v>93</v>
      </c>
      <c r="AE1544" t="s">
        <v>2471</v>
      </c>
      <c r="AF1544" t="s">
        <v>48</v>
      </c>
      <c r="AG1544" t="s">
        <v>48</v>
      </c>
      <c r="AH1544" t="s">
        <v>48</v>
      </c>
      <c r="AI1544" t="s">
        <v>48</v>
      </c>
      <c r="AJ1544" t="s">
        <v>48</v>
      </c>
      <c r="AK1544" t="s">
        <v>48</v>
      </c>
      <c r="AL1544" t="s">
        <v>48</v>
      </c>
      <c r="AM1544" t="s">
        <v>48</v>
      </c>
      <c r="AN1544" t="s">
        <v>48</v>
      </c>
      <c r="AO1544" t="s">
        <v>48</v>
      </c>
      <c r="AP1544" s="46">
        <v>0</v>
      </c>
      <c r="AQ1544" s="46">
        <v>0</v>
      </c>
      <c r="AR1544" s="46">
        <v>0</v>
      </c>
      <c r="AS1544" s="46">
        <v>0</v>
      </c>
      <c r="AT1544" s="46">
        <v>0</v>
      </c>
      <c r="AU1544" s="46">
        <v>0</v>
      </c>
      <c r="AV1544" s="46">
        <v>0</v>
      </c>
      <c r="AW1544" s="46">
        <v>0</v>
      </c>
      <c r="AX1544" s="46">
        <v>0</v>
      </c>
      <c r="AY1544" s="46">
        <v>0</v>
      </c>
      <c r="AZ1544" s="46">
        <v>0</v>
      </c>
      <c r="BA1544" s="46">
        <v>0</v>
      </c>
      <c r="BB1544" s="46">
        <v>0</v>
      </c>
      <c r="BC1544" s="46">
        <v>0</v>
      </c>
      <c r="BD1544" s="46">
        <v>0</v>
      </c>
      <c r="BE1544" s="46">
        <v>0</v>
      </c>
      <c r="BF1544" s="46">
        <v>0</v>
      </c>
      <c r="BG1544" s="46" t="s">
        <v>48</v>
      </c>
      <c r="BH1544" s="46">
        <v>0</v>
      </c>
      <c r="BI1544" s="46">
        <v>0</v>
      </c>
      <c r="BJ1544" s="46">
        <v>0</v>
      </c>
      <c r="BK1544" s="46">
        <v>0</v>
      </c>
      <c r="BL1544" s="46">
        <v>0</v>
      </c>
      <c r="BM1544" s="46">
        <v>0</v>
      </c>
      <c r="BN1544" s="46">
        <v>0</v>
      </c>
    </row>
    <row r="1545" spans="1:66" x14ac:dyDescent="0.35">
      <c r="A1545" t="s">
        <v>2209</v>
      </c>
      <c r="B1545" s="44" t="s">
        <v>48</v>
      </c>
      <c r="C1545" t="s">
        <v>2211</v>
      </c>
      <c r="D1545" t="s">
        <v>1469</v>
      </c>
      <c r="E1545" t="s">
        <v>2210</v>
      </c>
      <c r="F1545" t="s">
        <v>2199</v>
      </c>
      <c r="G1545" t="s">
        <v>74</v>
      </c>
      <c r="H1545">
        <v>0</v>
      </c>
      <c r="I1545" s="60" t="s">
        <v>149</v>
      </c>
      <c r="J1545" s="33" t="s">
        <v>45</v>
      </c>
      <c r="K1545" s="46">
        <v>0</v>
      </c>
      <c r="L1545">
        <v>13.4</v>
      </c>
      <c r="M1545" t="s">
        <v>48</v>
      </c>
      <c r="N1545" s="46">
        <v>0</v>
      </c>
      <c r="O1545" s="46">
        <v>0</v>
      </c>
      <c r="P1545" s="46">
        <v>0</v>
      </c>
      <c r="Q1545" t="s">
        <v>48</v>
      </c>
      <c r="R1545" t="s">
        <v>48</v>
      </c>
      <c r="S1545" t="s">
        <v>48</v>
      </c>
      <c r="T1545" t="s">
        <v>48</v>
      </c>
      <c r="U1545" t="s">
        <v>48</v>
      </c>
      <c r="V1545" s="47">
        <v>0</v>
      </c>
      <c r="W1545" t="s">
        <v>48</v>
      </c>
      <c r="X1545" t="s">
        <v>48</v>
      </c>
      <c r="Y1545" t="s">
        <v>48</v>
      </c>
      <c r="Z1545">
        <v>0</v>
      </c>
      <c r="AA1545" t="s">
        <v>48</v>
      </c>
      <c r="AB1545" t="s">
        <v>48</v>
      </c>
      <c r="AC1545" t="s">
        <v>63</v>
      </c>
      <c r="AD1545" t="s">
        <v>93</v>
      </c>
      <c r="AE1545" t="s">
        <v>4532</v>
      </c>
      <c r="AF1545" t="s">
        <v>48</v>
      </c>
      <c r="AG1545" t="s">
        <v>48</v>
      </c>
      <c r="AH1545" t="s">
        <v>48</v>
      </c>
      <c r="AI1545" t="s">
        <v>48</v>
      </c>
      <c r="AJ1545" t="s">
        <v>48</v>
      </c>
      <c r="AK1545" t="s">
        <v>48</v>
      </c>
      <c r="AL1545" t="s">
        <v>48</v>
      </c>
      <c r="AM1545" t="s">
        <v>48</v>
      </c>
      <c r="AN1545" t="s">
        <v>48</v>
      </c>
      <c r="AO1545" t="s">
        <v>48</v>
      </c>
      <c r="AP1545" s="46">
        <v>0</v>
      </c>
      <c r="AQ1545" s="46">
        <v>0</v>
      </c>
      <c r="AR1545" s="46">
        <v>0</v>
      </c>
      <c r="AS1545" s="46">
        <v>0</v>
      </c>
      <c r="AT1545" s="46">
        <v>0</v>
      </c>
      <c r="AU1545" s="46">
        <v>0</v>
      </c>
      <c r="AV1545" s="46">
        <v>0</v>
      </c>
      <c r="AW1545" s="46">
        <v>0</v>
      </c>
      <c r="AX1545" s="46">
        <v>0</v>
      </c>
      <c r="AY1545" s="46">
        <v>0</v>
      </c>
      <c r="AZ1545" s="46">
        <v>0</v>
      </c>
      <c r="BA1545" s="46">
        <v>0</v>
      </c>
      <c r="BB1545" s="46">
        <v>0</v>
      </c>
      <c r="BC1545" s="46">
        <v>0</v>
      </c>
      <c r="BD1545" s="46">
        <v>0</v>
      </c>
      <c r="BE1545" s="46">
        <v>0</v>
      </c>
      <c r="BF1545" s="46">
        <v>0</v>
      </c>
      <c r="BG1545" s="46" t="s">
        <v>48</v>
      </c>
      <c r="BH1545" s="46">
        <v>0</v>
      </c>
      <c r="BI1545" s="46">
        <v>0</v>
      </c>
      <c r="BJ1545" s="46">
        <v>0</v>
      </c>
      <c r="BK1545" s="46">
        <v>0</v>
      </c>
      <c r="BL1545" s="46">
        <v>0</v>
      </c>
      <c r="BM1545" s="46">
        <v>0</v>
      </c>
      <c r="BN1545" s="46">
        <v>0</v>
      </c>
    </row>
    <row r="1546" spans="1:66" x14ac:dyDescent="0.35">
      <c r="A1546" t="s">
        <v>2222</v>
      </c>
      <c r="B1546" s="44" t="s">
        <v>48</v>
      </c>
      <c r="C1546" t="s">
        <v>2225</v>
      </c>
      <c r="D1546" t="s">
        <v>1635</v>
      </c>
      <c r="E1546" t="s">
        <v>2223</v>
      </c>
      <c r="F1546" t="s">
        <v>2212</v>
      </c>
      <c r="G1546" t="s">
        <v>47</v>
      </c>
      <c r="H1546">
        <v>0</v>
      </c>
      <c r="I1546" s="60" t="s">
        <v>881</v>
      </c>
      <c r="J1546" s="33" t="s">
        <v>45</v>
      </c>
      <c r="K1546" s="46">
        <v>0</v>
      </c>
      <c r="L1546">
        <v>37</v>
      </c>
      <c r="M1546">
        <v>48.7</v>
      </c>
      <c r="N1546" s="46">
        <v>0</v>
      </c>
      <c r="O1546" s="46">
        <v>0</v>
      </c>
      <c r="P1546" s="46">
        <v>0</v>
      </c>
      <c r="Q1546" t="s">
        <v>48</v>
      </c>
      <c r="R1546" t="s">
        <v>48</v>
      </c>
      <c r="S1546" t="s">
        <v>2224</v>
      </c>
      <c r="T1546" t="s">
        <v>48</v>
      </c>
      <c r="U1546" t="s">
        <v>2224</v>
      </c>
      <c r="V1546" s="47">
        <v>0</v>
      </c>
      <c r="W1546" t="s">
        <v>48</v>
      </c>
      <c r="X1546" t="s">
        <v>48</v>
      </c>
      <c r="Y1546" t="s">
        <v>48</v>
      </c>
      <c r="Z1546">
        <v>0</v>
      </c>
      <c r="AA1546" t="s">
        <v>48</v>
      </c>
      <c r="AB1546" t="s">
        <v>48</v>
      </c>
      <c r="AC1546" t="s">
        <v>49</v>
      </c>
      <c r="AD1546" t="s">
        <v>93</v>
      </c>
      <c r="AE1546" s="40" t="s">
        <v>2471</v>
      </c>
      <c r="AF1546" t="s">
        <v>11061</v>
      </c>
      <c r="AG1546" t="s">
        <v>48</v>
      </c>
      <c r="AH1546" t="s">
        <v>48</v>
      </c>
      <c r="AI1546" t="s">
        <v>48</v>
      </c>
      <c r="AJ1546" t="s">
        <v>48</v>
      </c>
      <c r="AK1546" t="s">
        <v>48</v>
      </c>
      <c r="AL1546" t="s">
        <v>48</v>
      </c>
      <c r="AM1546" t="s">
        <v>48</v>
      </c>
      <c r="AN1546" t="s">
        <v>48</v>
      </c>
      <c r="AO1546" t="s">
        <v>48</v>
      </c>
      <c r="AP1546" s="46">
        <v>0</v>
      </c>
      <c r="AQ1546" s="46">
        <v>0</v>
      </c>
      <c r="AR1546" s="46">
        <v>0</v>
      </c>
      <c r="AS1546" s="46">
        <v>0</v>
      </c>
      <c r="AT1546" s="46">
        <v>0</v>
      </c>
      <c r="AU1546" s="46">
        <v>0</v>
      </c>
      <c r="AV1546" s="46">
        <v>0</v>
      </c>
      <c r="AW1546" s="46">
        <v>0</v>
      </c>
      <c r="AX1546" s="46">
        <v>0</v>
      </c>
      <c r="AY1546" s="46">
        <v>0</v>
      </c>
      <c r="AZ1546" s="46">
        <v>0</v>
      </c>
      <c r="BA1546" s="46">
        <v>0</v>
      </c>
      <c r="BB1546" s="46">
        <v>0</v>
      </c>
      <c r="BC1546" s="46">
        <v>0</v>
      </c>
      <c r="BD1546" s="46">
        <v>0</v>
      </c>
      <c r="BE1546" s="46">
        <v>0</v>
      </c>
      <c r="BF1546" s="46">
        <v>0</v>
      </c>
      <c r="BG1546" s="46" t="s">
        <v>48</v>
      </c>
      <c r="BH1546" s="46">
        <v>0</v>
      </c>
      <c r="BI1546" s="46">
        <v>0</v>
      </c>
      <c r="BJ1546" s="46">
        <v>0</v>
      </c>
      <c r="BK1546" s="46">
        <v>0</v>
      </c>
      <c r="BL1546" s="46">
        <v>0</v>
      </c>
      <c r="BM1546" s="46">
        <v>0</v>
      </c>
      <c r="BN1546" s="46">
        <v>0</v>
      </c>
    </row>
    <row r="1547" spans="1:66" x14ac:dyDescent="0.35">
      <c r="A1547" t="s">
        <v>2230</v>
      </c>
      <c r="B1547" s="44" t="s">
        <v>48</v>
      </c>
      <c r="C1547" t="s">
        <v>12406</v>
      </c>
      <c r="D1547" t="s">
        <v>1505</v>
      </c>
      <c r="E1547" t="s">
        <v>2231</v>
      </c>
      <c r="F1547" t="s">
        <v>2212</v>
      </c>
      <c r="G1547" t="s">
        <v>74</v>
      </c>
      <c r="H1547">
        <v>0</v>
      </c>
      <c r="I1547" s="60" t="s">
        <v>190</v>
      </c>
      <c r="J1547" s="33" t="s">
        <v>45</v>
      </c>
      <c r="K1547" s="46">
        <v>0</v>
      </c>
      <c r="L1547">
        <v>6.4</v>
      </c>
      <c r="M1547" t="s">
        <v>48</v>
      </c>
      <c r="N1547" s="46">
        <v>0</v>
      </c>
      <c r="O1547" s="46">
        <v>0</v>
      </c>
      <c r="P1547" s="46">
        <v>0</v>
      </c>
      <c r="Q1547" t="s">
        <v>48</v>
      </c>
      <c r="R1547" t="s">
        <v>48</v>
      </c>
      <c r="S1547" t="s">
        <v>48</v>
      </c>
      <c r="T1547" t="s">
        <v>48</v>
      </c>
      <c r="U1547" t="s">
        <v>48</v>
      </c>
      <c r="V1547" s="47">
        <v>1</v>
      </c>
      <c r="W1547" t="s">
        <v>48</v>
      </c>
      <c r="X1547" t="s">
        <v>48</v>
      </c>
      <c r="Y1547" t="s">
        <v>48</v>
      </c>
      <c r="Z1547">
        <v>0</v>
      </c>
      <c r="AA1547" t="s">
        <v>48</v>
      </c>
      <c r="AB1547" t="s">
        <v>48</v>
      </c>
      <c r="AC1547" t="s">
        <v>49</v>
      </c>
      <c r="AD1547" t="s">
        <v>48</v>
      </c>
      <c r="AE1547" t="s">
        <v>48</v>
      </c>
      <c r="AF1547" t="s">
        <v>48</v>
      </c>
      <c r="AG1547" t="s">
        <v>48</v>
      </c>
      <c r="AH1547" t="s">
        <v>48</v>
      </c>
      <c r="AI1547" t="s">
        <v>48</v>
      </c>
      <c r="AJ1547" t="s">
        <v>48</v>
      </c>
      <c r="AK1547" t="s">
        <v>48</v>
      </c>
      <c r="AL1547" t="s">
        <v>48</v>
      </c>
      <c r="AM1547" t="s">
        <v>48</v>
      </c>
      <c r="AN1547" t="s">
        <v>48</v>
      </c>
      <c r="AO1547" t="s">
        <v>48</v>
      </c>
      <c r="AP1547" s="46">
        <v>0</v>
      </c>
      <c r="AQ1547" s="46">
        <v>0</v>
      </c>
      <c r="AR1547" s="46">
        <v>0</v>
      </c>
      <c r="AS1547" s="46">
        <v>0</v>
      </c>
      <c r="AT1547" s="46">
        <v>0</v>
      </c>
      <c r="AU1547" s="46">
        <v>0</v>
      </c>
      <c r="AV1547" s="46">
        <v>0</v>
      </c>
      <c r="AW1547" s="46">
        <v>0</v>
      </c>
      <c r="AX1547" s="46">
        <v>0</v>
      </c>
      <c r="AY1547" s="46">
        <v>0</v>
      </c>
      <c r="AZ1547" s="46">
        <v>0</v>
      </c>
      <c r="BA1547" s="46">
        <v>0</v>
      </c>
      <c r="BB1547" s="46">
        <v>0</v>
      </c>
      <c r="BC1547" s="46">
        <v>0</v>
      </c>
      <c r="BD1547" s="46">
        <v>0</v>
      </c>
      <c r="BE1547" s="46">
        <v>0</v>
      </c>
      <c r="BF1547" s="46">
        <v>0</v>
      </c>
      <c r="BG1547" s="46" t="s">
        <v>48</v>
      </c>
      <c r="BH1547" s="46">
        <v>0</v>
      </c>
      <c r="BI1547" s="46">
        <v>0</v>
      </c>
      <c r="BJ1547" s="46">
        <v>0</v>
      </c>
      <c r="BK1547" s="46">
        <v>0</v>
      </c>
      <c r="BL1547" s="46">
        <v>0</v>
      </c>
      <c r="BM1547" s="46">
        <v>0</v>
      </c>
      <c r="BN1547" s="46">
        <v>0</v>
      </c>
    </row>
    <row r="1548" spans="1:66" x14ac:dyDescent="0.35">
      <c r="A1548" t="s">
        <v>7964</v>
      </c>
      <c r="B1548" s="44" t="s">
        <v>48</v>
      </c>
      <c r="C1548" t="s">
        <v>11854</v>
      </c>
      <c r="D1548" t="s">
        <v>437</v>
      </c>
      <c r="E1548" t="s">
        <v>7965</v>
      </c>
      <c r="F1548" t="s">
        <v>2212</v>
      </c>
      <c r="G1548" t="s">
        <v>47</v>
      </c>
      <c r="H1548">
        <v>0</v>
      </c>
      <c r="I1548" s="61">
        <v>44719</v>
      </c>
      <c r="J1548" s="33" t="s">
        <v>45</v>
      </c>
      <c r="K1548" s="46">
        <v>0</v>
      </c>
      <c r="L1548">
        <v>3.3</v>
      </c>
      <c r="M1548" t="s">
        <v>48</v>
      </c>
      <c r="N1548" s="46">
        <v>0</v>
      </c>
      <c r="O1548" s="46">
        <v>0</v>
      </c>
      <c r="P1548" s="46">
        <v>0</v>
      </c>
      <c r="Q1548" t="s">
        <v>48</v>
      </c>
      <c r="R1548" t="s">
        <v>48</v>
      </c>
      <c r="S1548" t="s">
        <v>10083</v>
      </c>
      <c r="T1548" t="s">
        <v>48</v>
      </c>
      <c r="U1548" t="s">
        <v>10083</v>
      </c>
      <c r="V1548" s="47">
        <v>0</v>
      </c>
      <c r="W1548" t="s">
        <v>48</v>
      </c>
      <c r="X1548" t="s">
        <v>48</v>
      </c>
      <c r="Y1548" t="s">
        <v>48</v>
      </c>
      <c r="Z1548" t="s">
        <v>48</v>
      </c>
      <c r="AA1548" t="s">
        <v>48</v>
      </c>
      <c r="AB1548" t="s">
        <v>48</v>
      </c>
      <c r="AC1548" t="s">
        <v>49</v>
      </c>
      <c r="AD1548" t="s">
        <v>93</v>
      </c>
      <c r="AE1548" t="s">
        <v>4532</v>
      </c>
      <c r="AF1548" t="s">
        <v>48</v>
      </c>
      <c r="AG1548" t="s">
        <v>48</v>
      </c>
      <c r="AH1548" t="s">
        <v>48</v>
      </c>
      <c r="AI1548" t="s">
        <v>48</v>
      </c>
      <c r="AJ1548" t="s">
        <v>48</v>
      </c>
      <c r="AK1548" t="s">
        <v>48</v>
      </c>
      <c r="AL1548" t="s">
        <v>48</v>
      </c>
      <c r="AM1548" t="s">
        <v>48</v>
      </c>
      <c r="AN1548" t="s">
        <v>48</v>
      </c>
      <c r="AO1548" t="s">
        <v>48</v>
      </c>
      <c r="AP1548" s="46">
        <v>0</v>
      </c>
      <c r="AQ1548" s="46">
        <v>0</v>
      </c>
      <c r="AR1548" s="46">
        <v>0</v>
      </c>
      <c r="AS1548" s="46">
        <v>0</v>
      </c>
      <c r="AT1548" s="46">
        <v>0</v>
      </c>
      <c r="AU1548" s="46">
        <v>0</v>
      </c>
      <c r="AV1548" s="46">
        <v>0</v>
      </c>
      <c r="AW1548" s="46">
        <v>0</v>
      </c>
      <c r="AX1548" s="46">
        <v>0</v>
      </c>
      <c r="AY1548" s="46">
        <v>0</v>
      </c>
      <c r="AZ1548" s="46">
        <v>0</v>
      </c>
      <c r="BA1548" s="46">
        <v>0</v>
      </c>
      <c r="BB1548" s="46">
        <v>0</v>
      </c>
      <c r="BC1548" s="46">
        <v>0</v>
      </c>
      <c r="BD1548" s="46">
        <v>0</v>
      </c>
      <c r="BE1548" s="46">
        <v>0</v>
      </c>
      <c r="BF1548" s="46">
        <v>0</v>
      </c>
      <c r="BG1548" s="46" t="s">
        <v>48</v>
      </c>
      <c r="BH1548" s="46">
        <v>0</v>
      </c>
      <c r="BI1548" s="46">
        <v>0</v>
      </c>
      <c r="BJ1548" s="46">
        <v>0</v>
      </c>
      <c r="BK1548" s="46">
        <v>0</v>
      </c>
      <c r="BL1548" s="46">
        <v>0</v>
      </c>
      <c r="BM1548" s="46">
        <v>0</v>
      </c>
      <c r="BN1548" s="46">
        <v>0</v>
      </c>
    </row>
    <row r="1549" spans="1:66" x14ac:dyDescent="0.35">
      <c r="A1549" t="s">
        <v>2232</v>
      </c>
      <c r="B1549" s="44" t="s">
        <v>48</v>
      </c>
      <c r="C1549" t="s">
        <v>114</v>
      </c>
      <c r="D1549" t="s">
        <v>328</v>
      </c>
      <c r="E1549" t="s">
        <v>2233</v>
      </c>
      <c r="F1549" t="s">
        <v>2212</v>
      </c>
      <c r="G1549" t="s">
        <v>47</v>
      </c>
      <c r="H1549">
        <v>0</v>
      </c>
      <c r="I1549" s="60" t="s">
        <v>78</v>
      </c>
      <c r="J1549" s="33" t="s">
        <v>45</v>
      </c>
      <c r="K1549" s="46">
        <v>0</v>
      </c>
      <c r="L1549">
        <v>4.5</v>
      </c>
      <c r="M1549" t="s">
        <v>48</v>
      </c>
      <c r="N1549" s="46">
        <v>0</v>
      </c>
      <c r="O1549" s="46">
        <v>0</v>
      </c>
      <c r="P1549" s="46">
        <v>0</v>
      </c>
      <c r="Q1549" t="s">
        <v>48</v>
      </c>
      <c r="R1549" t="s">
        <v>48</v>
      </c>
      <c r="S1549" t="s">
        <v>48</v>
      </c>
      <c r="T1549" t="s">
        <v>48</v>
      </c>
      <c r="U1549" t="s">
        <v>48</v>
      </c>
      <c r="V1549" s="47">
        <v>0</v>
      </c>
      <c r="W1549" t="s">
        <v>48</v>
      </c>
      <c r="X1549" t="s">
        <v>48</v>
      </c>
      <c r="Y1549" t="s">
        <v>48</v>
      </c>
      <c r="Z1549">
        <v>0</v>
      </c>
      <c r="AA1549" t="s">
        <v>48</v>
      </c>
      <c r="AB1549" t="s">
        <v>48</v>
      </c>
      <c r="AC1549" t="s">
        <v>49</v>
      </c>
      <c r="AD1549" t="s">
        <v>93</v>
      </c>
      <c r="AE1549" t="s">
        <v>4532</v>
      </c>
      <c r="AF1549" t="s">
        <v>48</v>
      </c>
      <c r="AG1549" t="s">
        <v>48</v>
      </c>
      <c r="AH1549" t="s">
        <v>48</v>
      </c>
      <c r="AI1549" t="s">
        <v>48</v>
      </c>
      <c r="AJ1549" t="s">
        <v>48</v>
      </c>
      <c r="AK1549" t="s">
        <v>48</v>
      </c>
      <c r="AL1549" t="s">
        <v>48</v>
      </c>
      <c r="AM1549" t="s">
        <v>48</v>
      </c>
      <c r="AN1549" t="s">
        <v>48</v>
      </c>
      <c r="AO1549" t="s">
        <v>48</v>
      </c>
      <c r="AP1549" s="46">
        <v>0</v>
      </c>
      <c r="AQ1549" s="46">
        <v>0</v>
      </c>
      <c r="AR1549" s="46">
        <v>0</v>
      </c>
      <c r="AS1549" s="46">
        <v>0</v>
      </c>
      <c r="AT1549" s="46">
        <v>0</v>
      </c>
      <c r="AU1549" s="46">
        <v>0</v>
      </c>
      <c r="AV1549" s="46">
        <v>0</v>
      </c>
      <c r="AW1549" s="46">
        <v>0</v>
      </c>
      <c r="AX1549" s="46">
        <v>0</v>
      </c>
      <c r="AY1549" s="46">
        <v>0</v>
      </c>
      <c r="AZ1549" s="46">
        <v>0</v>
      </c>
      <c r="BA1549" s="46">
        <v>0</v>
      </c>
      <c r="BB1549" s="46">
        <v>0</v>
      </c>
      <c r="BC1549" s="46">
        <v>0</v>
      </c>
      <c r="BD1549" s="46">
        <v>0</v>
      </c>
      <c r="BE1549" s="46">
        <v>0</v>
      </c>
      <c r="BF1549" s="46">
        <v>0</v>
      </c>
      <c r="BG1549" s="46" t="s">
        <v>48</v>
      </c>
      <c r="BH1549" s="46">
        <v>0</v>
      </c>
      <c r="BI1549" s="46">
        <v>0</v>
      </c>
      <c r="BJ1549" s="46">
        <v>0</v>
      </c>
      <c r="BK1549" s="46">
        <v>0</v>
      </c>
      <c r="BL1549" s="46">
        <v>0</v>
      </c>
      <c r="BM1549" s="46">
        <v>0</v>
      </c>
      <c r="BN1549" s="46">
        <v>0</v>
      </c>
    </row>
    <row r="1550" spans="1:66" x14ac:dyDescent="0.35">
      <c r="A1550" t="s">
        <v>2217</v>
      </c>
      <c r="B1550" s="44" t="s">
        <v>48</v>
      </c>
      <c r="C1550" t="s">
        <v>2221</v>
      </c>
      <c r="D1550" t="s">
        <v>2220</v>
      </c>
      <c r="E1550" t="s">
        <v>2218</v>
      </c>
      <c r="F1550" t="s">
        <v>2212</v>
      </c>
      <c r="G1550" t="s">
        <v>47</v>
      </c>
      <c r="H1550">
        <v>0</v>
      </c>
      <c r="I1550" s="60" t="s">
        <v>125</v>
      </c>
      <c r="J1550" s="33" t="s">
        <v>45</v>
      </c>
      <c r="K1550" s="46">
        <v>0</v>
      </c>
      <c r="L1550">
        <v>6.4</v>
      </c>
      <c r="M1550" t="s">
        <v>48</v>
      </c>
      <c r="N1550" s="46">
        <v>0</v>
      </c>
      <c r="O1550" s="46">
        <v>0</v>
      </c>
      <c r="P1550" s="46">
        <v>0</v>
      </c>
      <c r="Q1550" t="s">
        <v>48</v>
      </c>
      <c r="R1550" t="s">
        <v>48</v>
      </c>
      <c r="S1550" t="s">
        <v>2219</v>
      </c>
      <c r="T1550" t="s">
        <v>48</v>
      </c>
      <c r="U1550" t="s">
        <v>2219</v>
      </c>
      <c r="V1550" s="47">
        <v>0</v>
      </c>
      <c r="W1550" t="s">
        <v>48</v>
      </c>
      <c r="X1550" t="s">
        <v>48</v>
      </c>
      <c r="Y1550" t="s">
        <v>48</v>
      </c>
      <c r="Z1550">
        <v>0</v>
      </c>
      <c r="AA1550" t="s">
        <v>48</v>
      </c>
      <c r="AB1550" t="s">
        <v>48</v>
      </c>
      <c r="AC1550" t="s">
        <v>63</v>
      </c>
      <c r="AD1550" t="s">
        <v>93</v>
      </c>
      <c r="AE1550" s="40" t="s">
        <v>2471</v>
      </c>
      <c r="AF1550" t="s">
        <v>11061</v>
      </c>
      <c r="AG1550" t="s">
        <v>48</v>
      </c>
      <c r="AH1550" t="s">
        <v>48</v>
      </c>
      <c r="AI1550" t="s">
        <v>48</v>
      </c>
      <c r="AJ1550" t="s">
        <v>48</v>
      </c>
      <c r="AK1550" t="s">
        <v>48</v>
      </c>
      <c r="AL1550" t="s">
        <v>48</v>
      </c>
      <c r="AM1550" t="s">
        <v>48</v>
      </c>
      <c r="AN1550" t="s">
        <v>48</v>
      </c>
      <c r="AO1550" t="s">
        <v>48</v>
      </c>
      <c r="AP1550" s="46">
        <v>0</v>
      </c>
      <c r="AQ1550" s="46">
        <v>0</v>
      </c>
      <c r="AR1550" s="46">
        <v>0</v>
      </c>
      <c r="AS1550" s="46">
        <v>0</v>
      </c>
      <c r="AT1550" s="46">
        <v>0</v>
      </c>
      <c r="AU1550" s="46">
        <v>0</v>
      </c>
      <c r="AV1550" s="46">
        <v>0</v>
      </c>
      <c r="AW1550" s="46">
        <v>0</v>
      </c>
      <c r="AX1550" s="46">
        <v>0</v>
      </c>
      <c r="AY1550" s="46">
        <v>0</v>
      </c>
      <c r="AZ1550" s="46">
        <v>0</v>
      </c>
      <c r="BA1550" s="46">
        <v>0</v>
      </c>
      <c r="BB1550" s="46">
        <v>0</v>
      </c>
      <c r="BC1550" s="46">
        <v>0</v>
      </c>
      <c r="BD1550" s="46">
        <v>0</v>
      </c>
      <c r="BE1550" s="46">
        <v>0</v>
      </c>
      <c r="BF1550" s="46">
        <v>0</v>
      </c>
      <c r="BG1550" s="46" t="s">
        <v>48</v>
      </c>
      <c r="BH1550" s="46">
        <v>0</v>
      </c>
      <c r="BI1550" s="46">
        <v>0</v>
      </c>
      <c r="BJ1550" s="46">
        <v>0</v>
      </c>
      <c r="BK1550" s="46">
        <v>0</v>
      </c>
      <c r="BL1550" s="46">
        <v>0</v>
      </c>
      <c r="BM1550" s="46">
        <v>0</v>
      </c>
      <c r="BN1550" s="46">
        <v>0</v>
      </c>
    </row>
    <row r="1551" spans="1:66" x14ac:dyDescent="0.35">
      <c r="A1551" t="s">
        <v>2226</v>
      </c>
      <c r="B1551" s="44" t="s">
        <v>48</v>
      </c>
      <c r="C1551" t="s">
        <v>718</v>
      </c>
      <c r="D1551" t="s">
        <v>2229</v>
      </c>
      <c r="E1551" t="s">
        <v>2227</v>
      </c>
      <c r="F1551" t="s">
        <v>2212</v>
      </c>
      <c r="G1551" t="s">
        <v>47</v>
      </c>
      <c r="H1551">
        <v>0</v>
      </c>
      <c r="I1551" s="60" t="s">
        <v>149</v>
      </c>
      <c r="J1551" s="33" t="s">
        <v>45</v>
      </c>
      <c r="K1551" s="46">
        <v>0</v>
      </c>
      <c r="L1551">
        <v>18.7</v>
      </c>
      <c r="M1551" t="s">
        <v>48</v>
      </c>
      <c r="N1551" s="46">
        <v>0</v>
      </c>
      <c r="O1551" s="46">
        <v>0</v>
      </c>
      <c r="P1551" s="46">
        <v>0</v>
      </c>
      <c r="Q1551" t="s">
        <v>48</v>
      </c>
      <c r="R1551" t="s">
        <v>48</v>
      </c>
      <c r="S1551" t="s">
        <v>2228</v>
      </c>
      <c r="T1551" t="s">
        <v>48</v>
      </c>
      <c r="U1551" t="s">
        <v>2228</v>
      </c>
      <c r="V1551" s="47">
        <v>1</v>
      </c>
      <c r="W1551" t="s">
        <v>48</v>
      </c>
      <c r="X1551" t="s">
        <v>48</v>
      </c>
      <c r="Y1551" t="s">
        <v>48</v>
      </c>
      <c r="Z1551">
        <v>0</v>
      </c>
      <c r="AA1551" t="s">
        <v>48</v>
      </c>
      <c r="AB1551" t="s">
        <v>48</v>
      </c>
      <c r="AC1551" t="s">
        <v>49</v>
      </c>
      <c r="AD1551" t="s">
        <v>93</v>
      </c>
      <c r="AE1551" t="s">
        <v>4532</v>
      </c>
      <c r="AF1551" t="s">
        <v>48</v>
      </c>
      <c r="AG1551" t="s">
        <v>48</v>
      </c>
      <c r="AH1551" t="s">
        <v>48</v>
      </c>
      <c r="AI1551" t="s">
        <v>48</v>
      </c>
      <c r="AJ1551" t="s">
        <v>48</v>
      </c>
      <c r="AK1551" t="s">
        <v>48</v>
      </c>
      <c r="AL1551" t="s">
        <v>48</v>
      </c>
      <c r="AM1551" t="s">
        <v>48</v>
      </c>
      <c r="AN1551" t="s">
        <v>48</v>
      </c>
      <c r="AO1551" t="s">
        <v>48</v>
      </c>
      <c r="AP1551" s="46">
        <v>0</v>
      </c>
      <c r="AQ1551" s="46">
        <v>0</v>
      </c>
      <c r="AR1551" s="46">
        <v>0</v>
      </c>
      <c r="AS1551" s="46">
        <v>0</v>
      </c>
      <c r="AT1551" s="46">
        <v>0</v>
      </c>
      <c r="AU1551" s="46">
        <v>0</v>
      </c>
      <c r="AV1551" s="46">
        <v>0</v>
      </c>
      <c r="AW1551" s="46">
        <v>0</v>
      </c>
      <c r="AX1551" s="46">
        <v>0</v>
      </c>
      <c r="AY1551" s="46">
        <v>0</v>
      </c>
      <c r="AZ1551" s="46">
        <v>0</v>
      </c>
      <c r="BA1551" s="46">
        <v>0</v>
      </c>
      <c r="BB1551" s="46">
        <v>0</v>
      </c>
      <c r="BC1551" s="46">
        <v>0</v>
      </c>
      <c r="BD1551" s="46">
        <v>0</v>
      </c>
      <c r="BE1551" s="46">
        <v>0</v>
      </c>
      <c r="BF1551" s="46">
        <v>0</v>
      </c>
      <c r="BG1551" s="46" t="s">
        <v>48</v>
      </c>
      <c r="BH1551" s="46">
        <v>0</v>
      </c>
      <c r="BI1551" s="46">
        <v>0</v>
      </c>
      <c r="BJ1551" s="46">
        <v>0</v>
      </c>
      <c r="BK1551" s="46">
        <v>0</v>
      </c>
      <c r="BL1551" s="46">
        <v>0</v>
      </c>
      <c r="BM1551" s="46">
        <v>0</v>
      </c>
      <c r="BN1551" s="46">
        <v>0</v>
      </c>
    </row>
    <row r="1552" spans="1:66" x14ac:dyDescent="0.35">
      <c r="A1552" t="s">
        <v>2475</v>
      </c>
      <c r="B1552" s="44" t="s">
        <v>48</v>
      </c>
      <c r="C1552" t="s">
        <v>818</v>
      </c>
      <c r="D1552" t="s">
        <v>877</v>
      </c>
      <c r="E1552" t="s">
        <v>7966</v>
      </c>
      <c r="F1552" t="s">
        <v>2238</v>
      </c>
      <c r="G1552" t="s">
        <v>47</v>
      </c>
      <c r="H1552">
        <v>0</v>
      </c>
      <c r="I1552" s="61">
        <v>44719</v>
      </c>
      <c r="J1552" s="33" t="s">
        <v>45</v>
      </c>
      <c r="K1552" s="46">
        <v>0</v>
      </c>
      <c r="L1552">
        <v>17.3</v>
      </c>
      <c r="M1552" t="s">
        <v>48</v>
      </c>
      <c r="N1552" s="46">
        <v>0</v>
      </c>
      <c r="O1552" s="46">
        <v>0</v>
      </c>
      <c r="P1552" s="46">
        <v>0</v>
      </c>
      <c r="Q1552" t="s">
        <v>48</v>
      </c>
      <c r="R1552" t="s">
        <v>48</v>
      </c>
      <c r="S1552" t="s">
        <v>48</v>
      </c>
      <c r="T1552" t="s">
        <v>48</v>
      </c>
      <c r="U1552" t="s">
        <v>48</v>
      </c>
      <c r="V1552" s="47">
        <v>0</v>
      </c>
      <c r="W1552" t="s">
        <v>48</v>
      </c>
      <c r="X1552" t="s">
        <v>48</v>
      </c>
      <c r="Y1552" t="s">
        <v>48</v>
      </c>
      <c r="Z1552" t="s">
        <v>48</v>
      </c>
      <c r="AA1552" t="s">
        <v>48</v>
      </c>
      <c r="AB1552" t="s">
        <v>48</v>
      </c>
      <c r="AC1552" t="s">
        <v>49</v>
      </c>
      <c r="AD1552" t="s">
        <v>93</v>
      </c>
      <c r="AE1552" t="s">
        <v>4532</v>
      </c>
      <c r="AF1552" t="s">
        <v>48</v>
      </c>
      <c r="AG1552" t="s">
        <v>48</v>
      </c>
      <c r="AH1552" t="s">
        <v>48</v>
      </c>
      <c r="AI1552" t="s">
        <v>48</v>
      </c>
      <c r="AJ1552" t="s">
        <v>48</v>
      </c>
      <c r="AK1552" t="s">
        <v>48</v>
      </c>
      <c r="AL1552" t="s">
        <v>48</v>
      </c>
      <c r="AM1552" t="s">
        <v>48</v>
      </c>
      <c r="AN1552" t="s">
        <v>48</v>
      </c>
      <c r="AO1552" t="s">
        <v>48</v>
      </c>
      <c r="AP1552" s="46">
        <v>0</v>
      </c>
      <c r="AQ1552" s="46">
        <v>0</v>
      </c>
      <c r="AR1552" s="46">
        <v>0</v>
      </c>
      <c r="AS1552" s="46">
        <v>0</v>
      </c>
      <c r="AT1552" s="46">
        <v>0</v>
      </c>
      <c r="AU1552" s="46">
        <v>0</v>
      </c>
      <c r="AV1552" s="46">
        <v>0</v>
      </c>
      <c r="AW1552" s="46">
        <v>0</v>
      </c>
      <c r="AX1552" s="46">
        <v>0</v>
      </c>
      <c r="AY1552" s="46">
        <v>0</v>
      </c>
      <c r="AZ1552" s="46">
        <v>0</v>
      </c>
      <c r="BA1552" s="46">
        <v>0</v>
      </c>
      <c r="BB1552" s="46">
        <v>0</v>
      </c>
      <c r="BC1552" s="46">
        <v>0</v>
      </c>
      <c r="BD1552" s="46">
        <v>0</v>
      </c>
      <c r="BE1552" s="46">
        <v>0</v>
      </c>
      <c r="BF1552" s="46">
        <v>0</v>
      </c>
      <c r="BG1552" s="46" t="s">
        <v>48</v>
      </c>
      <c r="BH1552" s="46">
        <v>0</v>
      </c>
      <c r="BI1552" s="46">
        <v>0</v>
      </c>
      <c r="BJ1552" s="46">
        <v>0</v>
      </c>
      <c r="BK1552" s="46">
        <v>0</v>
      </c>
      <c r="BL1552" s="46">
        <v>0</v>
      </c>
      <c r="BM1552" s="46">
        <v>0</v>
      </c>
      <c r="BN1552" s="46">
        <v>0</v>
      </c>
    </row>
    <row r="1553" spans="1:66" x14ac:dyDescent="0.35">
      <c r="A1553" t="s">
        <v>65</v>
      </c>
      <c r="B1553" s="44" t="s">
        <v>48</v>
      </c>
      <c r="C1553" t="s">
        <v>70</v>
      </c>
      <c r="D1553" t="s">
        <v>69</v>
      </c>
      <c r="E1553" t="s">
        <v>67</v>
      </c>
      <c r="F1553" t="s">
        <v>66</v>
      </c>
      <c r="G1553" t="s">
        <v>47</v>
      </c>
      <c r="H1553">
        <v>0</v>
      </c>
      <c r="I1553" s="60" t="s">
        <v>51</v>
      </c>
      <c r="J1553" s="33" t="s">
        <v>45</v>
      </c>
      <c r="K1553" s="46">
        <v>0</v>
      </c>
      <c r="L1553">
        <v>21.7</v>
      </c>
      <c r="M1553" t="s">
        <v>48</v>
      </c>
      <c r="N1553" s="46">
        <v>0</v>
      </c>
      <c r="O1553" s="46">
        <v>0</v>
      </c>
      <c r="P1553" s="46">
        <v>0</v>
      </c>
      <c r="Q1553" t="s">
        <v>48</v>
      </c>
      <c r="R1553" t="s">
        <v>48</v>
      </c>
      <c r="S1553" t="s">
        <v>48</v>
      </c>
      <c r="T1553" t="s">
        <v>48</v>
      </c>
      <c r="U1553" t="s">
        <v>48</v>
      </c>
      <c r="V1553" s="47">
        <v>0</v>
      </c>
      <c r="W1553" t="s">
        <v>48</v>
      </c>
      <c r="X1553" t="s">
        <v>48</v>
      </c>
      <c r="Y1553" t="s">
        <v>48</v>
      </c>
      <c r="Z1553">
        <v>0</v>
      </c>
      <c r="AA1553" t="s">
        <v>68</v>
      </c>
      <c r="AB1553" t="s">
        <v>48</v>
      </c>
      <c r="AC1553" t="s">
        <v>63</v>
      </c>
      <c r="AD1553" t="s">
        <v>93</v>
      </c>
      <c r="AE1553" t="s">
        <v>2471</v>
      </c>
      <c r="AF1553" t="s">
        <v>48</v>
      </c>
      <c r="AG1553" t="s">
        <v>48</v>
      </c>
      <c r="AH1553" t="s">
        <v>48</v>
      </c>
      <c r="AI1553" t="s">
        <v>48</v>
      </c>
      <c r="AJ1553" t="s">
        <v>48</v>
      </c>
      <c r="AK1553" t="s">
        <v>48</v>
      </c>
      <c r="AL1553" t="s">
        <v>48</v>
      </c>
      <c r="AM1553" t="s">
        <v>48</v>
      </c>
      <c r="AN1553" t="s">
        <v>48</v>
      </c>
      <c r="AO1553" t="s">
        <v>48</v>
      </c>
      <c r="AP1553" s="46">
        <v>0</v>
      </c>
      <c r="AQ1553" s="46">
        <v>0</v>
      </c>
      <c r="AR1553" s="46">
        <v>0</v>
      </c>
      <c r="AS1553" s="46">
        <v>0</v>
      </c>
      <c r="AT1553" s="46">
        <v>0</v>
      </c>
      <c r="AU1553" s="46">
        <v>0</v>
      </c>
      <c r="AV1553" s="46">
        <v>0</v>
      </c>
      <c r="AW1553" s="46">
        <v>0</v>
      </c>
      <c r="AX1553" s="46">
        <v>0</v>
      </c>
      <c r="AY1553" s="46">
        <v>0</v>
      </c>
      <c r="AZ1553" s="46">
        <v>0</v>
      </c>
      <c r="BA1553" s="46">
        <v>0</v>
      </c>
      <c r="BB1553" s="46">
        <v>0</v>
      </c>
      <c r="BC1553" s="46">
        <v>0</v>
      </c>
      <c r="BD1553" s="46">
        <v>0</v>
      </c>
      <c r="BE1553" s="46">
        <v>0</v>
      </c>
      <c r="BF1553" s="46">
        <v>0</v>
      </c>
      <c r="BG1553" s="46" t="s">
        <v>48</v>
      </c>
      <c r="BH1553" s="46">
        <v>0</v>
      </c>
      <c r="BI1553" s="46">
        <v>0</v>
      </c>
      <c r="BJ1553" s="46">
        <v>0</v>
      </c>
      <c r="BK1553" s="46">
        <v>0</v>
      </c>
      <c r="BL1553" s="46">
        <v>0</v>
      </c>
      <c r="BM1553" s="46">
        <v>0</v>
      </c>
      <c r="BN1553" s="46">
        <v>0</v>
      </c>
    </row>
    <row r="1554" spans="1:66" x14ac:dyDescent="0.35">
      <c r="A1554" t="s">
        <v>7967</v>
      </c>
      <c r="B1554" s="44" t="s">
        <v>48</v>
      </c>
      <c r="C1554" t="s">
        <v>11855</v>
      </c>
      <c r="D1554" t="s">
        <v>11856</v>
      </c>
      <c r="E1554" t="s">
        <v>7968</v>
      </c>
      <c r="F1554" t="s">
        <v>2257</v>
      </c>
      <c r="G1554" t="s">
        <v>74</v>
      </c>
      <c r="H1554">
        <v>0</v>
      </c>
      <c r="I1554" s="61">
        <v>44719</v>
      </c>
      <c r="J1554" s="33" t="s">
        <v>45</v>
      </c>
      <c r="K1554" s="46">
        <v>0</v>
      </c>
      <c r="L1554">
        <v>4.2</v>
      </c>
      <c r="M1554" t="s">
        <v>48</v>
      </c>
      <c r="N1554" s="46">
        <v>0</v>
      </c>
      <c r="O1554" s="46">
        <v>0</v>
      </c>
      <c r="P1554" s="46">
        <v>0</v>
      </c>
      <c r="Q1554" t="s">
        <v>48</v>
      </c>
      <c r="R1554" t="s">
        <v>48</v>
      </c>
      <c r="S1554" t="s">
        <v>48</v>
      </c>
      <c r="T1554" t="s">
        <v>48</v>
      </c>
      <c r="U1554" t="s">
        <v>48</v>
      </c>
      <c r="V1554" s="47">
        <v>0</v>
      </c>
      <c r="W1554" t="s">
        <v>48</v>
      </c>
      <c r="X1554" t="s">
        <v>48</v>
      </c>
      <c r="Y1554" t="s">
        <v>48</v>
      </c>
      <c r="Z1554" t="s">
        <v>48</v>
      </c>
      <c r="AA1554" t="s">
        <v>48</v>
      </c>
      <c r="AB1554" t="s">
        <v>48</v>
      </c>
      <c r="AC1554" t="s">
        <v>63</v>
      </c>
      <c r="AD1554" t="s">
        <v>93</v>
      </c>
      <c r="AE1554" t="s">
        <v>2471</v>
      </c>
      <c r="AF1554" t="s">
        <v>48</v>
      </c>
      <c r="AG1554" t="s">
        <v>48</v>
      </c>
      <c r="AH1554" t="s">
        <v>48</v>
      </c>
      <c r="AI1554" t="s">
        <v>48</v>
      </c>
      <c r="AJ1554" t="s">
        <v>48</v>
      </c>
      <c r="AK1554" t="s">
        <v>48</v>
      </c>
      <c r="AL1554" t="s">
        <v>48</v>
      </c>
      <c r="AM1554" t="s">
        <v>48</v>
      </c>
      <c r="AN1554" t="s">
        <v>48</v>
      </c>
      <c r="AO1554" t="s">
        <v>48</v>
      </c>
      <c r="AP1554" s="46">
        <v>0</v>
      </c>
      <c r="AQ1554" s="46">
        <v>0</v>
      </c>
      <c r="AR1554" s="46">
        <v>0</v>
      </c>
      <c r="AS1554" s="46">
        <v>0</v>
      </c>
      <c r="AT1554" s="46">
        <v>0</v>
      </c>
      <c r="AU1554" s="46">
        <v>0</v>
      </c>
      <c r="AV1554" s="46">
        <v>0</v>
      </c>
      <c r="AW1554" s="46">
        <v>0</v>
      </c>
      <c r="AX1554" s="46">
        <v>0</v>
      </c>
      <c r="AY1554" s="46">
        <v>0</v>
      </c>
      <c r="AZ1554" s="46">
        <v>0</v>
      </c>
      <c r="BA1554" s="46">
        <v>0</v>
      </c>
      <c r="BB1554" s="46">
        <v>0</v>
      </c>
      <c r="BC1554" s="46">
        <v>0</v>
      </c>
      <c r="BD1554" s="46">
        <v>0</v>
      </c>
      <c r="BE1554" s="46">
        <v>0</v>
      </c>
      <c r="BF1554" s="46">
        <v>0</v>
      </c>
      <c r="BG1554" s="46" t="s">
        <v>48</v>
      </c>
      <c r="BH1554" s="46">
        <v>0</v>
      </c>
      <c r="BI1554" s="46">
        <v>0</v>
      </c>
      <c r="BJ1554" s="46">
        <v>0</v>
      </c>
      <c r="BK1554" s="46">
        <v>0</v>
      </c>
      <c r="BL1554" s="46">
        <v>0</v>
      </c>
      <c r="BM1554" s="46">
        <v>0</v>
      </c>
      <c r="BN1554" s="46">
        <v>0</v>
      </c>
    </row>
    <row r="1555" spans="1:66" x14ac:dyDescent="0.35">
      <c r="A1555" t="s">
        <v>7969</v>
      </c>
      <c r="B1555" s="44" t="s">
        <v>48</v>
      </c>
      <c r="C1555" t="s">
        <v>11857</v>
      </c>
      <c r="D1555" t="s">
        <v>11858</v>
      </c>
      <c r="E1555" t="s">
        <v>7970</v>
      </c>
      <c r="F1555" t="s">
        <v>2257</v>
      </c>
      <c r="G1555" t="s">
        <v>74</v>
      </c>
      <c r="H1555">
        <v>0</v>
      </c>
      <c r="I1555" s="61">
        <v>44719</v>
      </c>
      <c r="J1555" s="33" t="s">
        <v>45</v>
      </c>
      <c r="K1555" s="46">
        <v>0</v>
      </c>
      <c r="L1555">
        <v>9.5</v>
      </c>
      <c r="M1555" t="s">
        <v>48</v>
      </c>
      <c r="N1555" s="46">
        <v>0</v>
      </c>
      <c r="O1555" s="46">
        <v>0</v>
      </c>
      <c r="P1555" s="46">
        <v>0</v>
      </c>
      <c r="Q1555" t="s">
        <v>48</v>
      </c>
      <c r="R1555" t="s">
        <v>48</v>
      </c>
      <c r="S1555" t="s">
        <v>48</v>
      </c>
      <c r="T1555" t="s">
        <v>48</v>
      </c>
      <c r="U1555" t="s">
        <v>48</v>
      </c>
      <c r="V1555" s="47">
        <v>0</v>
      </c>
      <c r="W1555" t="s">
        <v>48</v>
      </c>
      <c r="X1555" t="s">
        <v>48</v>
      </c>
      <c r="Y1555" t="s">
        <v>48</v>
      </c>
      <c r="Z1555" t="s">
        <v>48</v>
      </c>
      <c r="AA1555" t="s">
        <v>48</v>
      </c>
      <c r="AB1555" t="s">
        <v>48</v>
      </c>
      <c r="AC1555" t="s">
        <v>63</v>
      </c>
      <c r="AD1555" t="s">
        <v>93</v>
      </c>
      <c r="AE1555" t="s">
        <v>2471</v>
      </c>
      <c r="AF1555" t="s">
        <v>48</v>
      </c>
      <c r="AG1555" t="s">
        <v>48</v>
      </c>
      <c r="AH1555" t="s">
        <v>48</v>
      </c>
      <c r="AI1555" t="s">
        <v>48</v>
      </c>
      <c r="AJ1555" t="s">
        <v>48</v>
      </c>
      <c r="AK1555" t="s">
        <v>48</v>
      </c>
      <c r="AL1555" t="s">
        <v>48</v>
      </c>
      <c r="AM1555" t="s">
        <v>48</v>
      </c>
      <c r="AN1555" t="s">
        <v>48</v>
      </c>
      <c r="AO1555" t="s">
        <v>48</v>
      </c>
      <c r="AP1555" s="46">
        <v>0</v>
      </c>
      <c r="AQ1555" s="46">
        <v>0</v>
      </c>
      <c r="AR1555" s="46">
        <v>0</v>
      </c>
      <c r="AS1555" s="46">
        <v>0</v>
      </c>
      <c r="AT1555" s="46">
        <v>0</v>
      </c>
      <c r="AU1555" s="46">
        <v>0</v>
      </c>
      <c r="AV1555" s="46">
        <v>0</v>
      </c>
      <c r="AW1555" s="46">
        <v>0</v>
      </c>
      <c r="AX1555" s="46">
        <v>0</v>
      </c>
      <c r="AY1555" s="46">
        <v>0</v>
      </c>
      <c r="AZ1555" s="46">
        <v>0</v>
      </c>
      <c r="BA1555" s="46">
        <v>0</v>
      </c>
      <c r="BB1555" s="46">
        <v>0</v>
      </c>
      <c r="BC1555" s="46">
        <v>0</v>
      </c>
      <c r="BD1555" s="46">
        <v>0</v>
      </c>
      <c r="BE1555" s="46">
        <v>0</v>
      </c>
      <c r="BF1555" s="46">
        <v>0</v>
      </c>
      <c r="BG1555" s="46" t="s">
        <v>48</v>
      </c>
      <c r="BH1555" s="46">
        <v>0</v>
      </c>
      <c r="BI1555" s="46">
        <v>0</v>
      </c>
      <c r="BJ1555" s="46">
        <v>0</v>
      </c>
      <c r="BK1555" s="46">
        <v>0</v>
      </c>
      <c r="BL1555" s="46">
        <v>0</v>
      </c>
      <c r="BM1555" s="46">
        <v>0</v>
      </c>
      <c r="BN1555" s="46">
        <v>0</v>
      </c>
    </row>
    <row r="1556" spans="1:66" x14ac:dyDescent="0.35">
      <c r="A1556" t="s">
        <v>2281</v>
      </c>
      <c r="B1556" s="44" t="s">
        <v>48</v>
      </c>
      <c r="C1556" t="s">
        <v>2284</v>
      </c>
      <c r="D1556" t="s">
        <v>834</v>
      </c>
      <c r="E1556" t="s">
        <v>2282</v>
      </c>
      <c r="F1556" t="s">
        <v>2267</v>
      </c>
      <c r="G1556" t="s">
        <v>47</v>
      </c>
      <c r="H1556">
        <v>0</v>
      </c>
      <c r="I1556" s="60" t="s">
        <v>149</v>
      </c>
      <c r="J1556" s="33" t="s">
        <v>45</v>
      </c>
      <c r="K1556" s="46">
        <v>0</v>
      </c>
      <c r="L1556">
        <v>3.7</v>
      </c>
      <c r="M1556" t="s">
        <v>48</v>
      </c>
      <c r="N1556" s="46">
        <v>0</v>
      </c>
      <c r="O1556" s="46">
        <v>0</v>
      </c>
      <c r="P1556" s="46">
        <v>0</v>
      </c>
      <c r="Q1556" t="s">
        <v>48</v>
      </c>
      <c r="R1556" t="s">
        <v>48</v>
      </c>
      <c r="S1556" t="s">
        <v>2283</v>
      </c>
      <c r="T1556" t="s">
        <v>48</v>
      </c>
      <c r="U1556" t="s">
        <v>2283</v>
      </c>
      <c r="V1556" s="47">
        <v>1</v>
      </c>
      <c r="W1556" t="s">
        <v>48</v>
      </c>
      <c r="X1556" t="s">
        <v>48</v>
      </c>
      <c r="Y1556" t="s">
        <v>48</v>
      </c>
      <c r="Z1556">
        <v>0</v>
      </c>
      <c r="AA1556" t="s">
        <v>48</v>
      </c>
      <c r="AB1556" t="s">
        <v>48</v>
      </c>
      <c r="AC1556" t="s">
        <v>49</v>
      </c>
      <c r="AD1556" t="s">
        <v>93</v>
      </c>
      <c r="AE1556" t="s">
        <v>4532</v>
      </c>
      <c r="AF1556" t="s">
        <v>48</v>
      </c>
      <c r="AG1556" t="s">
        <v>48</v>
      </c>
      <c r="AH1556" t="s">
        <v>48</v>
      </c>
      <c r="AI1556" t="s">
        <v>48</v>
      </c>
      <c r="AJ1556" t="s">
        <v>48</v>
      </c>
      <c r="AK1556" t="s">
        <v>48</v>
      </c>
      <c r="AL1556" t="s">
        <v>48</v>
      </c>
      <c r="AM1556" t="s">
        <v>48</v>
      </c>
      <c r="AN1556" t="s">
        <v>48</v>
      </c>
      <c r="AO1556" t="s">
        <v>48</v>
      </c>
      <c r="AP1556" s="46">
        <v>0</v>
      </c>
      <c r="AQ1556" s="46">
        <v>0</v>
      </c>
      <c r="AR1556" s="46">
        <v>0</v>
      </c>
      <c r="AS1556" s="46">
        <v>0</v>
      </c>
      <c r="AT1556" s="46">
        <v>0</v>
      </c>
      <c r="AU1556" s="46">
        <v>0</v>
      </c>
      <c r="AV1556" s="46">
        <v>0</v>
      </c>
      <c r="AW1556" s="46">
        <v>0</v>
      </c>
      <c r="AX1556" s="46">
        <v>0</v>
      </c>
      <c r="AY1556" s="46">
        <v>0</v>
      </c>
      <c r="AZ1556" s="46">
        <v>0</v>
      </c>
      <c r="BA1556" s="46">
        <v>0</v>
      </c>
      <c r="BB1556" s="46">
        <v>0</v>
      </c>
      <c r="BC1556" s="46">
        <v>0</v>
      </c>
      <c r="BD1556" s="46">
        <v>0</v>
      </c>
      <c r="BE1556" s="46">
        <v>0</v>
      </c>
      <c r="BF1556" s="46">
        <v>0</v>
      </c>
      <c r="BG1556" s="46" t="s">
        <v>48</v>
      </c>
      <c r="BH1556" s="46">
        <v>0</v>
      </c>
      <c r="BI1556" s="46">
        <v>0</v>
      </c>
      <c r="BJ1556" s="46">
        <v>0</v>
      </c>
      <c r="BK1556" s="46">
        <v>0</v>
      </c>
      <c r="BL1556" s="46">
        <v>0</v>
      </c>
      <c r="BM1556" s="46">
        <v>0</v>
      </c>
      <c r="BN1556" s="46">
        <v>0</v>
      </c>
    </row>
    <row r="1557" spans="1:66" x14ac:dyDescent="0.35">
      <c r="A1557" t="s">
        <v>2272</v>
      </c>
      <c r="B1557" s="44" t="s">
        <v>48</v>
      </c>
      <c r="C1557" t="s">
        <v>2275</v>
      </c>
      <c r="D1557" t="s">
        <v>2091</v>
      </c>
      <c r="E1557" t="s">
        <v>2273</v>
      </c>
      <c r="F1557" t="s">
        <v>2267</v>
      </c>
      <c r="G1557" t="s">
        <v>47</v>
      </c>
      <c r="H1557">
        <v>0</v>
      </c>
      <c r="I1557" s="60" t="s">
        <v>149</v>
      </c>
      <c r="J1557" s="33" t="s">
        <v>45</v>
      </c>
      <c r="K1557" s="46">
        <v>0</v>
      </c>
      <c r="L1557">
        <v>3</v>
      </c>
      <c r="M1557" t="s">
        <v>48</v>
      </c>
      <c r="N1557" s="46">
        <v>0</v>
      </c>
      <c r="O1557" s="46">
        <v>0</v>
      </c>
      <c r="P1557" s="46">
        <v>0</v>
      </c>
      <c r="Q1557" t="s">
        <v>48</v>
      </c>
      <c r="R1557" t="s">
        <v>48</v>
      </c>
      <c r="S1557" t="s">
        <v>2274</v>
      </c>
      <c r="T1557" t="s">
        <v>48</v>
      </c>
      <c r="U1557" t="s">
        <v>2274</v>
      </c>
      <c r="V1557" s="47">
        <v>0</v>
      </c>
      <c r="W1557" t="s">
        <v>48</v>
      </c>
      <c r="X1557" t="s">
        <v>48</v>
      </c>
      <c r="Y1557" t="s">
        <v>48</v>
      </c>
      <c r="Z1557">
        <v>0</v>
      </c>
      <c r="AA1557" t="s">
        <v>48</v>
      </c>
      <c r="AB1557" t="s">
        <v>48</v>
      </c>
      <c r="AC1557" t="s">
        <v>49</v>
      </c>
      <c r="AD1557" t="s">
        <v>93</v>
      </c>
      <c r="AE1557" t="s">
        <v>4532</v>
      </c>
      <c r="AF1557" t="s">
        <v>48</v>
      </c>
      <c r="AG1557" t="s">
        <v>48</v>
      </c>
      <c r="AH1557" t="s">
        <v>48</v>
      </c>
      <c r="AI1557" t="s">
        <v>48</v>
      </c>
      <c r="AJ1557" t="s">
        <v>48</v>
      </c>
      <c r="AK1557" t="s">
        <v>48</v>
      </c>
      <c r="AL1557" t="s">
        <v>48</v>
      </c>
      <c r="AM1557" t="s">
        <v>48</v>
      </c>
      <c r="AN1557" t="s">
        <v>48</v>
      </c>
      <c r="AO1557" t="s">
        <v>48</v>
      </c>
      <c r="AP1557" s="46">
        <v>0</v>
      </c>
      <c r="AQ1557" s="46">
        <v>0</v>
      </c>
      <c r="AR1557" s="46">
        <v>0</v>
      </c>
      <c r="AS1557" s="46">
        <v>0</v>
      </c>
      <c r="AT1557" s="46">
        <v>0</v>
      </c>
      <c r="AU1557" s="46">
        <v>0</v>
      </c>
      <c r="AV1557" s="46">
        <v>0</v>
      </c>
      <c r="AW1557" s="46">
        <v>0</v>
      </c>
      <c r="AX1557" s="46">
        <v>0</v>
      </c>
      <c r="AY1557" s="46">
        <v>0</v>
      </c>
      <c r="AZ1557" s="46">
        <v>0</v>
      </c>
      <c r="BA1557" s="46">
        <v>0</v>
      </c>
      <c r="BB1557" s="46">
        <v>0</v>
      </c>
      <c r="BC1557" s="46">
        <v>0</v>
      </c>
      <c r="BD1557" s="46">
        <v>0</v>
      </c>
      <c r="BE1557" s="46">
        <v>0</v>
      </c>
      <c r="BF1557" s="46">
        <v>0</v>
      </c>
      <c r="BG1557" s="46" t="s">
        <v>48</v>
      </c>
      <c r="BH1557" s="46">
        <v>0</v>
      </c>
      <c r="BI1557" s="46">
        <v>0</v>
      </c>
      <c r="BJ1557" s="46">
        <v>0</v>
      </c>
      <c r="BK1557" s="46">
        <v>0</v>
      </c>
      <c r="BL1557" s="46">
        <v>0</v>
      </c>
      <c r="BM1557" s="46">
        <v>0</v>
      </c>
      <c r="BN1557" s="46">
        <v>0</v>
      </c>
    </row>
    <row r="1558" spans="1:66" x14ac:dyDescent="0.35">
      <c r="A1558" t="s">
        <v>2298</v>
      </c>
      <c r="B1558" s="44" t="s">
        <v>48</v>
      </c>
      <c r="C1558" t="s">
        <v>1730</v>
      </c>
      <c r="D1558" t="s">
        <v>994</v>
      </c>
      <c r="E1558" t="s">
        <v>2299</v>
      </c>
      <c r="F1558" t="s">
        <v>2267</v>
      </c>
      <c r="G1558" t="s">
        <v>47</v>
      </c>
      <c r="H1558">
        <v>0</v>
      </c>
      <c r="I1558" s="60" t="s">
        <v>125</v>
      </c>
      <c r="J1558" s="33" t="s">
        <v>45</v>
      </c>
      <c r="K1558" s="46">
        <v>0</v>
      </c>
      <c r="L1558">
        <v>6.5</v>
      </c>
      <c r="M1558" t="s">
        <v>48</v>
      </c>
      <c r="N1558" s="46">
        <v>0</v>
      </c>
      <c r="O1558" s="46">
        <v>0</v>
      </c>
      <c r="P1558" s="46">
        <v>0</v>
      </c>
      <c r="Q1558" t="s">
        <v>48</v>
      </c>
      <c r="R1558" t="s">
        <v>48</v>
      </c>
      <c r="S1558" t="s">
        <v>2300</v>
      </c>
      <c r="T1558" t="s">
        <v>48</v>
      </c>
      <c r="U1558" t="s">
        <v>2300</v>
      </c>
      <c r="V1558" s="47">
        <v>0</v>
      </c>
      <c r="W1558" t="s">
        <v>11317</v>
      </c>
      <c r="X1558" t="s">
        <v>48</v>
      </c>
      <c r="Y1558" t="s">
        <v>48</v>
      </c>
      <c r="Z1558">
        <v>0</v>
      </c>
      <c r="AA1558" t="s">
        <v>48</v>
      </c>
      <c r="AB1558" t="s">
        <v>48</v>
      </c>
      <c r="AC1558" t="s">
        <v>49</v>
      </c>
      <c r="AD1558" t="s">
        <v>93</v>
      </c>
      <c r="AE1558" t="s">
        <v>977</v>
      </c>
      <c r="AF1558" t="s">
        <v>11067</v>
      </c>
      <c r="AG1558" t="s">
        <v>48</v>
      </c>
      <c r="AH1558" t="s">
        <v>48</v>
      </c>
      <c r="AI1558" t="s">
        <v>48</v>
      </c>
      <c r="AJ1558" t="s">
        <v>48</v>
      </c>
      <c r="AK1558" t="s">
        <v>48</v>
      </c>
      <c r="AL1558" t="s">
        <v>48</v>
      </c>
      <c r="AM1558" t="s">
        <v>48</v>
      </c>
      <c r="AN1558" t="s">
        <v>48</v>
      </c>
      <c r="AO1558" t="s">
        <v>48</v>
      </c>
      <c r="AP1558" s="46">
        <v>0</v>
      </c>
      <c r="AQ1558" s="46">
        <v>0</v>
      </c>
      <c r="AR1558" s="46">
        <v>0</v>
      </c>
      <c r="AS1558" s="46">
        <v>0</v>
      </c>
      <c r="AT1558" s="46">
        <v>0</v>
      </c>
      <c r="AU1558" s="46">
        <v>0</v>
      </c>
      <c r="AV1558" s="46">
        <v>0</v>
      </c>
      <c r="AW1558" s="46">
        <v>0</v>
      </c>
      <c r="AX1558" s="46">
        <v>0</v>
      </c>
      <c r="AY1558" s="46">
        <v>0</v>
      </c>
      <c r="AZ1558" s="46">
        <v>0</v>
      </c>
      <c r="BA1558" s="46">
        <v>0</v>
      </c>
      <c r="BB1558" s="46">
        <v>0</v>
      </c>
      <c r="BC1558" s="46">
        <v>0</v>
      </c>
      <c r="BD1558" s="46">
        <v>0</v>
      </c>
      <c r="BE1558" s="46">
        <v>0</v>
      </c>
      <c r="BF1558" s="46">
        <v>0</v>
      </c>
      <c r="BG1558" s="46" t="s">
        <v>48</v>
      </c>
      <c r="BH1558" s="46">
        <v>0</v>
      </c>
      <c r="BI1558" s="46">
        <v>0</v>
      </c>
      <c r="BJ1558" s="46">
        <v>0</v>
      </c>
      <c r="BK1558" s="46">
        <v>0</v>
      </c>
      <c r="BL1558" s="46">
        <v>0</v>
      </c>
      <c r="BM1558" s="46">
        <v>0</v>
      </c>
      <c r="BN1558" s="46">
        <v>0</v>
      </c>
    </row>
    <row r="1559" spans="1:66" x14ac:dyDescent="0.35">
      <c r="A1559" t="s">
        <v>2269</v>
      </c>
      <c r="B1559" s="44" t="s">
        <v>48</v>
      </c>
      <c r="C1559" t="s">
        <v>50</v>
      </c>
      <c r="D1559" t="s">
        <v>518</v>
      </c>
      <c r="E1559" t="s">
        <v>2270</v>
      </c>
      <c r="F1559" t="s">
        <v>2267</v>
      </c>
      <c r="G1559" t="s">
        <v>47</v>
      </c>
      <c r="H1559">
        <v>0</v>
      </c>
      <c r="I1559" s="60" t="s">
        <v>51</v>
      </c>
      <c r="J1559" s="33" t="s">
        <v>45</v>
      </c>
      <c r="K1559" s="46">
        <v>0</v>
      </c>
      <c r="L1559">
        <v>23</v>
      </c>
      <c r="M1559">
        <v>33.5</v>
      </c>
      <c r="N1559" s="46">
        <v>0</v>
      </c>
      <c r="O1559" s="46">
        <v>0</v>
      </c>
      <c r="P1559" s="46">
        <v>0</v>
      </c>
      <c r="Q1559" t="s">
        <v>48</v>
      </c>
      <c r="R1559" t="s">
        <v>48</v>
      </c>
      <c r="S1559" t="s">
        <v>2271</v>
      </c>
      <c r="T1559" t="s">
        <v>48</v>
      </c>
      <c r="U1559" t="s">
        <v>2271</v>
      </c>
      <c r="V1559" s="47">
        <v>0</v>
      </c>
      <c r="W1559" t="s">
        <v>48</v>
      </c>
      <c r="X1559" t="s">
        <v>48</v>
      </c>
      <c r="Y1559" t="s">
        <v>48</v>
      </c>
      <c r="Z1559">
        <v>0</v>
      </c>
      <c r="AA1559" t="s">
        <v>48</v>
      </c>
      <c r="AB1559" t="s">
        <v>48</v>
      </c>
      <c r="AC1559" t="s">
        <v>49</v>
      </c>
      <c r="AD1559" t="s">
        <v>93</v>
      </c>
      <c r="AE1559" t="s">
        <v>4532</v>
      </c>
      <c r="AF1559" t="s">
        <v>48</v>
      </c>
      <c r="AG1559" t="s">
        <v>48</v>
      </c>
      <c r="AH1559" t="s">
        <v>48</v>
      </c>
      <c r="AI1559" t="s">
        <v>48</v>
      </c>
      <c r="AJ1559" t="s">
        <v>48</v>
      </c>
      <c r="AK1559" t="s">
        <v>48</v>
      </c>
      <c r="AL1559" t="s">
        <v>48</v>
      </c>
      <c r="AM1559" t="s">
        <v>48</v>
      </c>
      <c r="AN1559" t="s">
        <v>48</v>
      </c>
      <c r="AO1559" t="s">
        <v>48</v>
      </c>
      <c r="AP1559" s="46">
        <v>0</v>
      </c>
      <c r="AQ1559" s="46">
        <v>0</v>
      </c>
      <c r="AR1559" s="46">
        <v>0</v>
      </c>
      <c r="AS1559" s="46">
        <v>0</v>
      </c>
      <c r="AT1559" s="46">
        <v>0</v>
      </c>
      <c r="AU1559" s="46">
        <v>0</v>
      </c>
      <c r="AV1559" s="46">
        <v>0</v>
      </c>
      <c r="AW1559" s="46">
        <v>0</v>
      </c>
      <c r="AX1559" s="46">
        <v>0</v>
      </c>
      <c r="AY1559" s="46">
        <v>0</v>
      </c>
      <c r="AZ1559" s="46">
        <v>0</v>
      </c>
      <c r="BA1559" s="46">
        <v>0</v>
      </c>
      <c r="BB1559" s="46">
        <v>0</v>
      </c>
      <c r="BC1559" s="46">
        <v>1</v>
      </c>
      <c r="BD1559" s="46">
        <v>0</v>
      </c>
      <c r="BE1559" s="46">
        <v>0</v>
      </c>
      <c r="BF1559" s="46">
        <v>0</v>
      </c>
      <c r="BG1559" s="46" t="s">
        <v>48</v>
      </c>
      <c r="BH1559" s="46">
        <v>0</v>
      </c>
      <c r="BI1559" s="46">
        <v>0</v>
      </c>
      <c r="BJ1559" s="46">
        <v>0</v>
      </c>
      <c r="BK1559" s="46">
        <v>0</v>
      </c>
      <c r="BL1559" s="46">
        <v>0</v>
      </c>
      <c r="BM1559" s="46">
        <v>0</v>
      </c>
      <c r="BN1559" s="46">
        <v>0</v>
      </c>
    </row>
    <row r="1560" spans="1:66" x14ac:dyDescent="0.35">
      <c r="A1560" t="s">
        <v>2289</v>
      </c>
      <c r="B1560" s="44" t="s">
        <v>48</v>
      </c>
      <c r="C1560" t="s">
        <v>2292</v>
      </c>
      <c r="D1560" t="s">
        <v>2291</v>
      </c>
      <c r="E1560" t="s">
        <v>2290</v>
      </c>
      <c r="F1560" t="s">
        <v>2267</v>
      </c>
      <c r="G1560" t="s">
        <v>47</v>
      </c>
      <c r="H1560">
        <v>0</v>
      </c>
      <c r="I1560" s="60" t="s">
        <v>51</v>
      </c>
      <c r="J1560" s="33" t="s">
        <v>45</v>
      </c>
      <c r="K1560" s="46">
        <v>0</v>
      </c>
      <c r="L1560">
        <v>8.9</v>
      </c>
      <c r="M1560" t="s">
        <v>48</v>
      </c>
      <c r="N1560" s="46">
        <v>0</v>
      </c>
      <c r="O1560" s="46">
        <v>0</v>
      </c>
      <c r="P1560" s="46">
        <v>0</v>
      </c>
      <c r="Q1560" t="s">
        <v>48</v>
      </c>
      <c r="R1560" t="s">
        <v>48</v>
      </c>
      <c r="S1560" t="s">
        <v>10085</v>
      </c>
      <c r="T1560" t="s">
        <v>48</v>
      </c>
      <c r="U1560" t="s">
        <v>10085</v>
      </c>
      <c r="V1560" s="47">
        <v>0</v>
      </c>
      <c r="W1560" t="s">
        <v>48</v>
      </c>
      <c r="X1560" t="s">
        <v>48</v>
      </c>
      <c r="Y1560" t="s">
        <v>48</v>
      </c>
      <c r="Z1560">
        <v>0</v>
      </c>
      <c r="AA1560" t="s">
        <v>48</v>
      </c>
      <c r="AB1560" t="s">
        <v>48</v>
      </c>
      <c r="AC1560" t="s">
        <v>63</v>
      </c>
      <c r="AD1560" t="s">
        <v>93</v>
      </c>
      <c r="AE1560" t="s">
        <v>4532</v>
      </c>
      <c r="AF1560" t="s">
        <v>48</v>
      </c>
      <c r="AG1560" t="s">
        <v>48</v>
      </c>
      <c r="AH1560" t="s">
        <v>48</v>
      </c>
      <c r="AI1560" t="s">
        <v>48</v>
      </c>
      <c r="AJ1560" t="s">
        <v>48</v>
      </c>
      <c r="AK1560" t="s">
        <v>48</v>
      </c>
      <c r="AL1560" t="s">
        <v>48</v>
      </c>
      <c r="AM1560" t="s">
        <v>48</v>
      </c>
      <c r="AN1560" t="s">
        <v>48</v>
      </c>
      <c r="AO1560" t="s">
        <v>48</v>
      </c>
      <c r="AP1560" s="46">
        <v>0</v>
      </c>
      <c r="AQ1560" s="46">
        <v>0</v>
      </c>
      <c r="AR1560" s="46">
        <v>0</v>
      </c>
      <c r="AS1560" s="46">
        <v>0</v>
      </c>
      <c r="AT1560" s="46">
        <v>0</v>
      </c>
      <c r="AU1560" s="46">
        <v>0</v>
      </c>
      <c r="AV1560" s="46">
        <v>0</v>
      </c>
      <c r="AW1560" s="46">
        <v>0</v>
      </c>
      <c r="AX1560" s="46">
        <v>0</v>
      </c>
      <c r="AY1560" s="46">
        <v>0</v>
      </c>
      <c r="AZ1560" s="46">
        <v>0</v>
      </c>
      <c r="BA1560" s="46">
        <v>0</v>
      </c>
      <c r="BB1560" s="46">
        <v>0</v>
      </c>
      <c r="BC1560" s="46">
        <v>0</v>
      </c>
      <c r="BD1560" s="46">
        <v>0</v>
      </c>
      <c r="BE1560" s="46">
        <v>0</v>
      </c>
      <c r="BF1560" s="46">
        <v>0</v>
      </c>
      <c r="BG1560" s="46" t="s">
        <v>48</v>
      </c>
      <c r="BH1560" s="46">
        <v>0</v>
      </c>
      <c r="BI1560" s="46">
        <v>0</v>
      </c>
      <c r="BJ1560" s="46">
        <v>0</v>
      </c>
      <c r="BK1560" s="46">
        <v>0</v>
      </c>
      <c r="BL1560" s="46">
        <v>0</v>
      </c>
      <c r="BM1560" s="46">
        <v>0</v>
      </c>
      <c r="BN1560" s="46">
        <v>0</v>
      </c>
    </row>
    <row r="1561" spans="1:66" x14ac:dyDescent="0.35">
      <c r="A1561" t="s">
        <v>2276</v>
      </c>
      <c r="B1561" s="44" t="s">
        <v>48</v>
      </c>
      <c r="C1561" t="s">
        <v>2280</v>
      </c>
      <c r="D1561" t="s">
        <v>2279</v>
      </c>
      <c r="E1561" t="s">
        <v>2277</v>
      </c>
      <c r="F1561" t="s">
        <v>2267</v>
      </c>
      <c r="G1561" t="s">
        <v>47</v>
      </c>
      <c r="H1561">
        <v>0</v>
      </c>
      <c r="I1561" s="60" t="s">
        <v>51</v>
      </c>
      <c r="J1561" s="33" t="s">
        <v>45</v>
      </c>
      <c r="K1561" s="46">
        <v>0</v>
      </c>
      <c r="L1561">
        <v>8.4</v>
      </c>
      <c r="M1561" t="s">
        <v>48</v>
      </c>
      <c r="N1561" s="46">
        <v>0</v>
      </c>
      <c r="O1561" s="46">
        <v>0</v>
      </c>
      <c r="P1561" s="46">
        <v>0</v>
      </c>
      <c r="Q1561" t="s">
        <v>48</v>
      </c>
      <c r="R1561" t="s">
        <v>48</v>
      </c>
      <c r="S1561" t="s">
        <v>2278</v>
      </c>
      <c r="T1561" t="s">
        <v>48</v>
      </c>
      <c r="U1561" t="s">
        <v>2278</v>
      </c>
      <c r="V1561" s="47">
        <v>1</v>
      </c>
      <c r="W1561" t="s">
        <v>48</v>
      </c>
      <c r="X1561" t="s">
        <v>48</v>
      </c>
      <c r="Y1561" t="s">
        <v>48</v>
      </c>
      <c r="Z1561">
        <v>0</v>
      </c>
      <c r="AA1561" t="s">
        <v>48</v>
      </c>
      <c r="AB1561" t="s">
        <v>48</v>
      </c>
      <c r="AC1561" t="s">
        <v>63</v>
      </c>
      <c r="AD1561" t="s">
        <v>93</v>
      </c>
      <c r="AE1561" t="s">
        <v>4532</v>
      </c>
      <c r="AF1561" t="s">
        <v>48</v>
      </c>
      <c r="AG1561" t="s">
        <v>48</v>
      </c>
      <c r="AH1561" t="s">
        <v>48</v>
      </c>
      <c r="AI1561" t="s">
        <v>48</v>
      </c>
      <c r="AJ1561" t="s">
        <v>48</v>
      </c>
      <c r="AK1561" t="s">
        <v>48</v>
      </c>
      <c r="AL1561" t="s">
        <v>48</v>
      </c>
      <c r="AM1561" t="s">
        <v>48</v>
      </c>
      <c r="AN1561" t="s">
        <v>48</v>
      </c>
      <c r="AO1561" t="s">
        <v>48</v>
      </c>
      <c r="AP1561" s="46">
        <v>0</v>
      </c>
      <c r="AQ1561" s="46">
        <v>0</v>
      </c>
      <c r="AR1561" s="46">
        <v>0</v>
      </c>
      <c r="AS1561" s="46">
        <v>0</v>
      </c>
      <c r="AT1561" s="46">
        <v>0</v>
      </c>
      <c r="AU1561" s="46">
        <v>0</v>
      </c>
      <c r="AV1561" s="46">
        <v>0</v>
      </c>
      <c r="AW1561" s="46">
        <v>0</v>
      </c>
      <c r="AX1561" s="46">
        <v>0</v>
      </c>
      <c r="AY1561" s="46">
        <v>0</v>
      </c>
      <c r="AZ1561" s="46">
        <v>0</v>
      </c>
      <c r="BA1561" s="46">
        <v>0</v>
      </c>
      <c r="BB1561" s="46">
        <v>0</v>
      </c>
      <c r="BC1561" s="46">
        <v>0</v>
      </c>
      <c r="BD1561" s="46">
        <v>0</v>
      </c>
      <c r="BE1561" s="46">
        <v>0</v>
      </c>
      <c r="BF1561" s="46">
        <v>0</v>
      </c>
      <c r="BG1561" s="46" t="s">
        <v>48</v>
      </c>
      <c r="BH1561" s="46">
        <v>0</v>
      </c>
      <c r="BI1561" s="46">
        <v>0</v>
      </c>
      <c r="BJ1561" s="46">
        <v>0</v>
      </c>
      <c r="BK1561" s="46">
        <v>0</v>
      </c>
      <c r="BL1561" s="46">
        <v>0</v>
      </c>
      <c r="BM1561" s="46">
        <v>0</v>
      </c>
      <c r="BN1561" s="46">
        <v>0</v>
      </c>
    </row>
    <row r="1562" spans="1:66" x14ac:dyDescent="0.35">
      <c r="A1562" t="s">
        <v>7973</v>
      </c>
      <c r="B1562" s="44" t="s">
        <v>48</v>
      </c>
      <c r="C1562" t="s">
        <v>80</v>
      </c>
      <c r="D1562" t="s">
        <v>6607</v>
      </c>
      <c r="E1562" t="s">
        <v>7974</v>
      </c>
      <c r="F1562" t="s">
        <v>2267</v>
      </c>
      <c r="G1562" t="s">
        <v>47</v>
      </c>
      <c r="H1562">
        <v>0</v>
      </c>
      <c r="I1562" s="61">
        <v>44719</v>
      </c>
      <c r="J1562" s="33" t="s">
        <v>45</v>
      </c>
      <c r="K1562" s="46">
        <v>0</v>
      </c>
      <c r="L1562">
        <v>1</v>
      </c>
      <c r="M1562" t="s">
        <v>48</v>
      </c>
      <c r="N1562" s="46">
        <v>0</v>
      </c>
      <c r="O1562" s="46">
        <v>0</v>
      </c>
      <c r="P1562" s="46">
        <v>0</v>
      </c>
      <c r="Q1562" t="s">
        <v>48</v>
      </c>
      <c r="R1562" t="s">
        <v>48</v>
      </c>
      <c r="S1562" t="s">
        <v>48</v>
      </c>
      <c r="T1562" t="s">
        <v>48</v>
      </c>
      <c r="U1562" t="s">
        <v>48</v>
      </c>
      <c r="V1562" s="47">
        <v>0</v>
      </c>
      <c r="W1562" t="s">
        <v>48</v>
      </c>
      <c r="X1562" t="s">
        <v>48</v>
      </c>
      <c r="Y1562" t="s">
        <v>48</v>
      </c>
      <c r="Z1562" t="s">
        <v>48</v>
      </c>
      <c r="AA1562" t="s">
        <v>48</v>
      </c>
      <c r="AB1562" t="s">
        <v>48</v>
      </c>
      <c r="AC1562" t="s">
        <v>63</v>
      </c>
      <c r="AD1562" t="s">
        <v>48</v>
      </c>
      <c r="AE1562" t="s">
        <v>48</v>
      </c>
      <c r="AF1562" t="s">
        <v>48</v>
      </c>
      <c r="AG1562" t="s">
        <v>48</v>
      </c>
      <c r="AH1562" t="s">
        <v>48</v>
      </c>
      <c r="AI1562" t="s">
        <v>48</v>
      </c>
      <c r="AJ1562" t="s">
        <v>48</v>
      </c>
      <c r="AK1562" t="s">
        <v>48</v>
      </c>
      <c r="AL1562" t="s">
        <v>48</v>
      </c>
      <c r="AM1562" t="s">
        <v>48</v>
      </c>
      <c r="AN1562" t="s">
        <v>48</v>
      </c>
      <c r="AO1562" t="s">
        <v>48</v>
      </c>
      <c r="AP1562" s="46">
        <v>0</v>
      </c>
      <c r="AQ1562" s="46">
        <v>0</v>
      </c>
      <c r="AR1562" s="46">
        <v>0</v>
      </c>
      <c r="AS1562" s="46">
        <v>0</v>
      </c>
      <c r="AT1562" s="46">
        <v>0</v>
      </c>
      <c r="AU1562" s="46">
        <v>0</v>
      </c>
      <c r="AV1562" s="46">
        <v>0</v>
      </c>
      <c r="AW1562" s="46">
        <v>0</v>
      </c>
      <c r="AX1562" s="46">
        <v>0</v>
      </c>
      <c r="AY1562" s="46">
        <v>0</v>
      </c>
      <c r="AZ1562" s="46">
        <v>0</v>
      </c>
      <c r="BA1562" s="46">
        <v>0</v>
      </c>
      <c r="BB1562" s="46">
        <v>0</v>
      </c>
      <c r="BC1562" s="46">
        <v>0</v>
      </c>
      <c r="BD1562" s="46">
        <v>0</v>
      </c>
      <c r="BE1562" s="46">
        <v>0</v>
      </c>
      <c r="BF1562" s="46">
        <v>0</v>
      </c>
      <c r="BG1562" s="46" t="s">
        <v>48</v>
      </c>
      <c r="BH1562" s="46">
        <v>0</v>
      </c>
      <c r="BI1562" s="46">
        <v>0</v>
      </c>
      <c r="BJ1562" s="46">
        <v>0</v>
      </c>
      <c r="BK1562" s="46">
        <v>0</v>
      </c>
      <c r="BL1562" s="46">
        <v>0</v>
      </c>
      <c r="BM1562" s="46">
        <v>0</v>
      </c>
      <c r="BN1562" s="46">
        <v>0</v>
      </c>
    </row>
    <row r="1563" spans="1:66" x14ac:dyDescent="0.35">
      <c r="A1563" t="s">
        <v>2293</v>
      </c>
      <c r="B1563" s="44" t="s">
        <v>48</v>
      </c>
      <c r="C1563" t="s">
        <v>2297</v>
      </c>
      <c r="D1563" t="s">
        <v>2296</v>
      </c>
      <c r="E1563" t="s">
        <v>2294</v>
      </c>
      <c r="F1563" t="s">
        <v>2267</v>
      </c>
      <c r="G1563" t="s">
        <v>47</v>
      </c>
      <c r="H1563">
        <v>0</v>
      </c>
      <c r="I1563" s="60" t="s">
        <v>661</v>
      </c>
      <c r="J1563" s="33" t="s">
        <v>45</v>
      </c>
      <c r="K1563" s="46">
        <v>0</v>
      </c>
      <c r="L1563">
        <v>2.2999999999999998</v>
      </c>
      <c r="M1563" t="s">
        <v>48</v>
      </c>
      <c r="N1563" s="46">
        <v>0</v>
      </c>
      <c r="O1563" s="46">
        <v>0</v>
      </c>
      <c r="P1563" s="46">
        <v>0</v>
      </c>
      <c r="Q1563" t="s">
        <v>48</v>
      </c>
      <c r="R1563" t="s">
        <v>48</v>
      </c>
      <c r="S1563" t="s">
        <v>2295</v>
      </c>
      <c r="T1563" t="s">
        <v>48</v>
      </c>
      <c r="U1563" t="s">
        <v>2295</v>
      </c>
      <c r="V1563" s="47">
        <v>1</v>
      </c>
      <c r="W1563" t="s">
        <v>48</v>
      </c>
      <c r="X1563" t="s">
        <v>48</v>
      </c>
      <c r="Y1563" t="s">
        <v>48</v>
      </c>
      <c r="Z1563">
        <v>0</v>
      </c>
      <c r="AA1563" t="s">
        <v>48</v>
      </c>
      <c r="AB1563" t="s">
        <v>48</v>
      </c>
      <c r="AC1563" t="s">
        <v>63</v>
      </c>
      <c r="AD1563" t="s">
        <v>93</v>
      </c>
      <c r="AE1563" t="s">
        <v>4532</v>
      </c>
      <c r="AF1563" t="s">
        <v>48</v>
      </c>
      <c r="AG1563" t="s">
        <v>48</v>
      </c>
      <c r="AH1563" t="s">
        <v>48</v>
      </c>
      <c r="AI1563" t="s">
        <v>48</v>
      </c>
      <c r="AJ1563" t="s">
        <v>48</v>
      </c>
      <c r="AK1563" t="s">
        <v>48</v>
      </c>
      <c r="AL1563" t="s">
        <v>48</v>
      </c>
      <c r="AM1563" t="s">
        <v>48</v>
      </c>
      <c r="AN1563" t="s">
        <v>48</v>
      </c>
      <c r="AO1563" t="s">
        <v>48</v>
      </c>
      <c r="AP1563" s="46">
        <v>0</v>
      </c>
      <c r="AQ1563" s="46">
        <v>0</v>
      </c>
      <c r="AR1563" s="46">
        <v>0</v>
      </c>
      <c r="AS1563" s="46">
        <v>0</v>
      </c>
      <c r="AT1563" s="46">
        <v>0</v>
      </c>
      <c r="AU1563" s="46">
        <v>0</v>
      </c>
      <c r="AV1563" s="46">
        <v>0</v>
      </c>
      <c r="AW1563" s="46">
        <v>0</v>
      </c>
      <c r="AX1563" s="46">
        <v>0</v>
      </c>
      <c r="AY1563" s="46">
        <v>0</v>
      </c>
      <c r="AZ1563" s="46">
        <v>0</v>
      </c>
      <c r="BA1563" s="46">
        <v>0</v>
      </c>
      <c r="BB1563" s="46">
        <v>0</v>
      </c>
      <c r="BC1563" s="46">
        <v>0</v>
      </c>
      <c r="BD1563" s="46">
        <v>0</v>
      </c>
      <c r="BE1563" s="46">
        <v>0</v>
      </c>
      <c r="BF1563" s="46">
        <v>0</v>
      </c>
      <c r="BG1563" s="46" t="s">
        <v>48</v>
      </c>
      <c r="BH1563" s="46">
        <v>0</v>
      </c>
      <c r="BI1563" s="46">
        <v>0</v>
      </c>
      <c r="BJ1563" s="46">
        <v>0</v>
      </c>
      <c r="BK1563" s="46">
        <v>0</v>
      </c>
      <c r="BL1563" s="46">
        <v>0</v>
      </c>
      <c r="BM1563" s="46">
        <v>0</v>
      </c>
      <c r="BN1563" s="46">
        <v>0</v>
      </c>
    </row>
    <row r="1564" spans="1:66" ht="15" x14ac:dyDescent="0.4">
      <c r="A1564" t="s">
        <v>7975</v>
      </c>
      <c r="B1564" s="44" t="s">
        <v>48</v>
      </c>
      <c r="C1564" t="s">
        <v>4532</v>
      </c>
      <c r="D1564" t="s">
        <v>2229</v>
      </c>
      <c r="E1564" t="s">
        <v>7976</v>
      </c>
      <c r="F1564" t="s">
        <v>2267</v>
      </c>
      <c r="G1564" t="s">
        <v>74</v>
      </c>
      <c r="H1564">
        <v>0</v>
      </c>
      <c r="I1564" s="61" t="s">
        <v>11160</v>
      </c>
      <c r="J1564" s="33" t="s">
        <v>45</v>
      </c>
      <c r="K1564" s="46">
        <v>0</v>
      </c>
      <c r="L1564">
        <v>44.4</v>
      </c>
      <c r="M1564" t="s">
        <v>48</v>
      </c>
      <c r="N1564" s="46">
        <v>0</v>
      </c>
      <c r="O1564" s="46">
        <v>0</v>
      </c>
      <c r="P1564" s="46">
        <v>0</v>
      </c>
      <c r="Q1564" t="s">
        <v>48</v>
      </c>
      <c r="R1564" t="s">
        <v>48</v>
      </c>
      <c r="S1564" s="55" t="s">
        <v>11372</v>
      </c>
      <c r="T1564" t="s">
        <v>48</v>
      </c>
      <c r="U1564" t="s">
        <v>48</v>
      </c>
      <c r="V1564" s="47">
        <v>0</v>
      </c>
      <c r="W1564" t="s">
        <v>48</v>
      </c>
      <c r="X1564" t="s">
        <v>48</v>
      </c>
      <c r="Y1564" t="s">
        <v>48</v>
      </c>
      <c r="Z1564" t="s">
        <v>48</v>
      </c>
      <c r="AA1564" t="s">
        <v>48</v>
      </c>
      <c r="AB1564" t="s">
        <v>48</v>
      </c>
      <c r="AC1564" t="s">
        <v>49</v>
      </c>
      <c r="AD1564" t="s">
        <v>93</v>
      </c>
      <c r="AE1564" t="s">
        <v>4532</v>
      </c>
      <c r="AF1564" t="s">
        <v>48</v>
      </c>
      <c r="AG1564" t="s">
        <v>48</v>
      </c>
      <c r="AH1564" t="s">
        <v>48</v>
      </c>
      <c r="AI1564" t="s">
        <v>48</v>
      </c>
      <c r="AJ1564" t="s">
        <v>48</v>
      </c>
      <c r="AK1564" t="s">
        <v>48</v>
      </c>
      <c r="AL1564" t="s">
        <v>48</v>
      </c>
      <c r="AM1564" t="s">
        <v>48</v>
      </c>
      <c r="AN1564" t="s">
        <v>48</v>
      </c>
      <c r="AO1564" t="s">
        <v>48</v>
      </c>
      <c r="AP1564" s="46">
        <v>0</v>
      </c>
      <c r="AQ1564" s="46">
        <v>0</v>
      </c>
      <c r="AR1564" s="46">
        <v>0</v>
      </c>
      <c r="AS1564" s="46">
        <v>0</v>
      </c>
      <c r="AT1564" s="46">
        <v>0</v>
      </c>
      <c r="AU1564" s="46">
        <v>0</v>
      </c>
      <c r="AV1564" s="46">
        <v>0</v>
      </c>
      <c r="AW1564" s="46">
        <v>0</v>
      </c>
      <c r="AX1564" s="46">
        <v>0</v>
      </c>
      <c r="AY1564" s="46">
        <v>0</v>
      </c>
      <c r="AZ1564" s="46">
        <v>0</v>
      </c>
      <c r="BA1564" s="46">
        <v>0</v>
      </c>
      <c r="BB1564" s="46">
        <v>0</v>
      </c>
      <c r="BC1564" s="46">
        <v>0</v>
      </c>
      <c r="BD1564" s="46">
        <v>0</v>
      </c>
      <c r="BE1564" s="46">
        <v>0</v>
      </c>
      <c r="BF1564" s="46">
        <v>0</v>
      </c>
      <c r="BG1564" s="46" t="s">
        <v>48</v>
      </c>
      <c r="BH1564" s="46">
        <v>0</v>
      </c>
      <c r="BI1564" s="46">
        <v>0</v>
      </c>
      <c r="BJ1564" s="46">
        <v>0</v>
      </c>
      <c r="BK1564" s="46">
        <v>0</v>
      </c>
      <c r="BL1564" s="46">
        <v>0</v>
      </c>
      <c r="BM1564" s="46">
        <v>0</v>
      </c>
      <c r="BN1564" s="46">
        <v>0</v>
      </c>
    </row>
    <row r="1565" spans="1:66" x14ac:dyDescent="0.35">
      <c r="A1565" t="s">
        <v>2301</v>
      </c>
      <c r="B1565" t="s">
        <v>48</v>
      </c>
      <c r="C1565" t="s">
        <v>2306</v>
      </c>
      <c r="D1565" t="s">
        <v>1264</v>
      </c>
      <c r="E1565" t="s">
        <v>2303</v>
      </c>
      <c r="F1565" t="s">
        <v>2302</v>
      </c>
      <c r="G1565" t="s">
        <v>74</v>
      </c>
      <c r="H1565">
        <v>0</v>
      </c>
      <c r="I1565" s="60" t="s">
        <v>51</v>
      </c>
      <c r="J1565" s="33" t="s">
        <v>45</v>
      </c>
      <c r="K1565" s="46">
        <v>1</v>
      </c>
      <c r="L1565">
        <v>30.7</v>
      </c>
      <c r="M1565" t="s">
        <v>48</v>
      </c>
      <c r="N1565" s="46">
        <v>0</v>
      </c>
      <c r="O1565" s="46">
        <v>0</v>
      </c>
      <c r="P1565" s="46">
        <v>0</v>
      </c>
      <c r="Q1565" t="s">
        <v>48</v>
      </c>
      <c r="R1565" t="s">
        <v>48</v>
      </c>
      <c r="S1565" t="s">
        <v>2304</v>
      </c>
      <c r="T1565" t="s">
        <v>2305</v>
      </c>
      <c r="U1565" t="s">
        <v>2304</v>
      </c>
      <c r="V1565" s="47">
        <v>0</v>
      </c>
      <c r="W1565" t="s">
        <v>48</v>
      </c>
      <c r="X1565" t="s">
        <v>48</v>
      </c>
      <c r="Y1565" t="s">
        <v>48</v>
      </c>
      <c r="Z1565">
        <v>1</v>
      </c>
      <c r="AA1565" t="s">
        <v>48</v>
      </c>
      <c r="AB1565">
        <v>2020</v>
      </c>
      <c r="AC1565" t="s">
        <v>63</v>
      </c>
      <c r="AD1565" t="s">
        <v>93</v>
      </c>
      <c r="AE1565" t="s">
        <v>4532</v>
      </c>
      <c r="AF1565" t="s">
        <v>48</v>
      </c>
      <c r="AG1565" t="s">
        <v>48</v>
      </c>
      <c r="AH1565" t="s">
        <v>48</v>
      </c>
      <c r="AI1565">
        <v>22104</v>
      </c>
      <c r="AJ1565">
        <v>1970</v>
      </c>
      <c r="AK1565" t="s">
        <v>8852</v>
      </c>
      <c r="AL1565" t="s">
        <v>8853</v>
      </c>
      <c r="AM1565">
        <v>-0.30599999999999999</v>
      </c>
      <c r="AN1565">
        <v>0.55900000000000005</v>
      </c>
      <c r="AO1565">
        <v>-0.30599999999999999</v>
      </c>
      <c r="AP1565" s="46">
        <v>0</v>
      </c>
      <c r="AQ1565" s="46">
        <v>0</v>
      </c>
      <c r="AR1565" s="46">
        <v>0</v>
      </c>
      <c r="AS1565" s="46">
        <v>0</v>
      </c>
      <c r="AT1565" s="46">
        <v>0</v>
      </c>
      <c r="AU1565" s="46">
        <v>1</v>
      </c>
      <c r="AV1565" s="46">
        <v>1</v>
      </c>
      <c r="AW1565" s="46">
        <v>0</v>
      </c>
      <c r="AX1565" s="46">
        <v>0</v>
      </c>
      <c r="AY1565" s="46">
        <v>0</v>
      </c>
      <c r="AZ1565" s="46">
        <v>0</v>
      </c>
      <c r="BA1565" s="46">
        <v>1</v>
      </c>
      <c r="BB1565" s="46">
        <v>0</v>
      </c>
      <c r="BC1565" s="46">
        <v>0</v>
      </c>
      <c r="BD1565" s="46">
        <v>0</v>
      </c>
      <c r="BE1565" s="46">
        <v>0</v>
      </c>
      <c r="BF1565" s="46">
        <v>0</v>
      </c>
      <c r="BG1565" s="46" t="s">
        <v>48</v>
      </c>
      <c r="BH1565" s="46">
        <v>0</v>
      </c>
      <c r="BI1565" s="46">
        <v>0</v>
      </c>
      <c r="BJ1565" s="46">
        <v>0</v>
      </c>
      <c r="BK1565" s="46">
        <v>0</v>
      </c>
      <c r="BL1565" s="46">
        <v>0</v>
      </c>
      <c r="BM1565" s="46">
        <v>0</v>
      </c>
      <c r="BN1565" s="46">
        <v>0</v>
      </c>
    </row>
    <row r="1566" spans="1:66" x14ac:dyDescent="0.35">
      <c r="A1566" t="s">
        <v>2320</v>
      </c>
      <c r="B1566" s="44" t="s">
        <v>48</v>
      </c>
      <c r="C1566" t="s">
        <v>2323</v>
      </c>
      <c r="D1566" t="s">
        <v>241</v>
      </c>
      <c r="E1566" t="s">
        <v>2321</v>
      </c>
      <c r="F1566" t="s">
        <v>2302</v>
      </c>
      <c r="G1566" t="s">
        <v>74</v>
      </c>
      <c r="H1566">
        <v>0</v>
      </c>
      <c r="I1566" s="61" t="s">
        <v>11160</v>
      </c>
      <c r="J1566" s="33" t="s">
        <v>45</v>
      </c>
      <c r="K1566" s="46">
        <v>0</v>
      </c>
      <c r="L1566">
        <v>6.3</v>
      </c>
      <c r="M1566" t="s">
        <v>48</v>
      </c>
      <c r="N1566" s="46">
        <v>0</v>
      </c>
      <c r="O1566" s="46">
        <v>0</v>
      </c>
      <c r="P1566" s="46">
        <v>0</v>
      </c>
      <c r="Q1566" t="s">
        <v>48</v>
      </c>
      <c r="R1566" t="s">
        <v>48</v>
      </c>
      <c r="S1566" t="s">
        <v>11339</v>
      </c>
      <c r="T1566" t="s">
        <v>48</v>
      </c>
      <c r="U1566" t="s">
        <v>2322</v>
      </c>
      <c r="V1566" s="47">
        <v>1</v>
      </c>
      <c r="W1566" t="s">
        <v>48</v>
      </c>
      <c r="X1566" t="s">
        <v>48</v>
      </c>
      <c r="Y1566" t="s">
        <v>48</v>
      </c>
      <c r="Z1566">
        <v>0</v>
      </c>
      <c r="AA1566" t="s">
        <v>48</v>
      </c>
      <c r="AB1566" t="s">
        <v>48</v>
      </c>
      <c r="AC1566" t="s">
        <v>63</v>
      </c>
      <c r="AD1566" t="s">
        <v>93</v>
      </c>
      <c r="AE1566" s="40" t="s">
        <v>2471</v>
      </c>
      <c r="AF1566" t="s">
        <v>11075</v>
      </c>
      <c r="AG1566" t="s">
        <v>48</v>
      </c>
      <c r="AH1566" t="s">
        <v>48</v>
      </c>
      <c r="AI1566" t="s">
        <v>48</v>
      </c>
      <c r="AJ1566" t="s">
        <v>48</v>
      </c>
      <c r="AK1566" t="s">
        <v>48</v>
      </c>
      <c r="AL1566" t="s">
        <v>48</v>
      </c>
      <c r="AM1566" t="s">
        <v>48</v>
      </c>
      <c r="AN1566" t="s">
        <v>48</v>
      </c>
      <c r="AO1566" t="s">
        <v>48</v>
      </c>
      <c r="AP1566" s="46">
        <v>0</v>
      </c>
      <c r="AQ1566" s="46">
        <v>0</v>
      </c>
      <c r="AR1566" s="46">
        <v>0</v>
      </c>
      <c r="AS1566" s="46">
        <v>0</v>
      </c>
      <c r="AT1566" s="46">
        <v>0</v>
      </c>
      <c r="AU1566" s="46">
        <v>0</v>
      </c>
      <c r="AV1566" s="46">
        <v>0</v>
      </c>
      <c r="AW1566" s="46">
        <v>0</v>
      </c>
      <c r="AX1566" s="46">
        <v>0</v>
      </c>
      <c r="AY1566" s="46">
        <v>0</v>
      </c>
      <c r="AZ1566" s="46">
        <v>0</v>
      </c>
      <c r="BA1566" s="46">
        <v>0</v>
      </c>
      <c r="BB1566" s="46">
        <v>0</v>
      </c>
      <c r="BC1566" s="46">
        <v>0</v>
      </c>
      <c r="BD1566" s="46">
        <v>0</v>
      </c>
      <c r="BE1566" s="46">
        <v>0</v>
      </c>
      <c r="BF1566" s="46">
        <v>0</v>
      </c>
      <c r="BG1566" s="46" t="s">
        <v>48</v>
      </c>
      <c r="BH1566" s="46">
        <v>0</v>
      </c>
      <c r="BI1566" s="46">
        <v>0</v>
      </c>
      <c r="BJ1566" s="46">
        <v>0</v>
      </c>
      <c r="BK1566" s="46">
        <v>0</v>
      </c>
      <c r="BL1566" s="46">
        <v>0</v>
      </c>
      <c r="BM1566" s="46">
        <v>0</v>
      </c>
      <c r="BN1566" s="46">
        <v>0</v>
      </c>
    </row>
    <row r="1567" spans="1:66" x14ac:dyDescent="0.35">
      <c r="A1567" t="s">
        <v>9457</v>
      </c>
      <c r="B1567" s="44" t="s">
        <v>48</v>
      </c>
      <c r="C1567" t="s">
        <v>11860</v>
      </c>
      <c r="D1567" t="s">
        <v>355</v>
      </c>
      <c r="E1567" t="s">
        <v>9458</v>
      </c>
      <c r="F1567" t="s">
        <v>2302</v>
      </c>
      <c r="G1567" t="s">
        <v>47</v>
      </c>
      <c r="H1567">
        <v>0</v>
      </c>
      <c r="I1567" s="61">
        <v>44741</v>
      </c>
      <c r="J1567" s="33" t="s">
        <v>45</v>
      </c>
      <c r="K1567" s="46">
        <v>0</v>
      </c>
      <c r="L1567">
        <v>14.1</v>
      </c>
      <c r="M1567" t="s">
        <v>48</v>
      </c>
      <c r="N1567" s="46">
        <v>0</v>
      </c>
      <c r="O1567" s="46">
        <v>0</v>
      </c>
      <c r="P1567" s="46">
        <v>0</v>
      </c>
      <c r="Q1567" t="s">
        <v>48</v>
      </c>
      <c r="R1567" t="s">
        <v>48</v>
      </c>
      <c r="S1567" t="s">
        <v>48</v>
      </c>
      <c r="T1567" t="s">
        <v>48</v>
      </c>
      <c r="U1567" t="s">
        <v>48</v>
      </c>
      <c r="V1567" s="47">
        <v>0</v>
      </c>
      <c r="W1567" t="s">
        <v>48</v>
      </c>
      <c r="X1567" t="s">
        <v>48</v>
      </c>
      <c r="Y1567" t="s">
        <v>48</v>
      </c>
      <c r="Z1567" t="s">
        <v>48</v>
      </c>
      <c r="AA1567" t="s">
        <v>48</v>
      </c>
      <c r="AB1567" t="s">
        <v>48</v>
      </c>
      <c r="AC1567" t="s">
        <v>63</v>
      </c>
      <c r="AD1567" t="s">
        <v>93</v>
      </c>
      <c r="AE1567" t="s">
        <v>4532</v>
      </c>
      <c r="AF1567" t="s">
        <v>48</v>
      </c>
      <c r="AG1567" t="s">
        <v>48</v>
      </c>
      <c r="AH1567" t="s">
        <v>48</v>
      </c>
      <c r="AI1567" t="s">
        <v>48</v>
      </c>
      <c r="AJ1567" t="s">
        <v>48</v>
      </c>
      <c r="AK1567" t="s">
        <v>48</v>
      </c>
      <c r="AL1567" t="s">
        <v>48</v>
      </c>
      <c r="AM1567" t="s">
        <v>48</v>
      </c>
      <c r="AN1567" t="s">
        <v>48</v>
      </c>
      <c r="AO1567" t="s">
        <v>48</v>
      </c>
      <c r="AP1567" s="46">
        <v>0</v>
      </c>
      <c r="AQ1567" s="46">
        <v>0</v>
      </c>
      <c r="AR1567" s="46">
        <v>0</v>
      </c>
      <c r="AS1567" s="46">
        <v>0</v>
      </c>
      <c r="AT1567" s="46">
        <v>0</v>
      </c>
      <c r="AU1567" s="46">
        <v>0</v>
      </c>
      <c r="AV1567" s="46">
        <v>0</v>
      </c>
      <c r="AW1567" s="46">
        <v>0</v>
      </c>
      <c r="AX1567" s="46">
        <v>0</v>
      </c>
      <c r="AY1567" s="46">
        <v>0</v>
      </c>
      <c r="AZ1567" s="46">
        <v>0</v>
      </c>
      <c r="BA1567" s="46">
        <v>0</v>
      </c>
      <c r="BB1567" s="46">
        <v>0</v>
      </c>
      <c r="BC1567" s="46">
        <v>0</v>
      </c>
      <c r="BD1567" s="46">
        <v>0</v>
      </c>
      <c r="BE1567" s="46">
        <v>0</v>
      </c>
      <c r="BF1567" s="46">
        <v>0</v>
      </c>
      <c r="BG1567" s="46" t="s">
        <v>48</v>
      </c>
      <c r="BH1567" s="46">
        <v>0</v>
      </c>
      <c r="BI1567" s="46">
        <v>0</v>
      </c>
      <c r="BJ1567" s="46">
        <v>0</v>
      </c>
      <c r="BK1567" s="46">
        <v>0</v>
      </c>
      <c r="BL1567" s="46">
        <v>0</v>
      </c>
      <c r="BM1567" s="46">
        <v>0</v>
      </c>
      <c r="BN1567" s="46">
        <v>0</v>
      </c>
    </row>
    <row r="1568" spans="1:66" x14ac:dyDescent="0.35">
      <c r="A1568" t="s">
        <v>2311</v>
      </c>
      <c r="B1568" s="44" t="s">
        <v>48</v>
      </c>
      <c r="C1568" t="s">
        <v>2314</v>
      </c>
      <c r="D1568" t="s">
        <v>655</v>
      </c>
      <c r="E1568" t="s">
        <v>2312</v>
      </c>
      <c r="F1568" t="s">
        <v>2302</v>
      </c>
      <c r="G1568" t="s">
        <v>47</v>
      </c>
      <c r="H1568">
        <v>0</v>
      </c>
      <c r="I1568" s="60" t="s">
        <v>78</v>
      </c>
      <c r="J1568" s="33" t="s">
        <v>45</v>
      </c>
      <c r="K1568" s="46">
        <v>0</v>
      </c>
      <c r="L1568">
        <v>27.3</v>
      </c>
      <c r="M1568">
        <v>70.099999999999994</v>
      </c>
      <c r="N1568" s="46">
        <v>0</v>
      </c>
      <c r="O1568" s="46">
        <v>0</v>
      </c>
      <c r="P1568" s="46">
        <v>0</v>
      </c>
      <c r="Q1568" t="s">
        <v>48</v>
      </c>
      <c r="R1568" t="s">
        <v>48</v>
      </c>
      <c r="S1568" t="s">
        <v>2313</v>
      </c>
      <c r="T1568" t="s">
        <v>48</v>
      </c>
      <c r="U1568" t="s">
        <v>2313</v>
      </c>
      <c r="V1568" s="47">
        <v>0</v>
      </c>
      <c r="W1568" t="s">
        <v>48</v>
      </c>
      <c r="X1568" t="s">
        <v>48</v>
      </c>
      <c r="Y1568" t="s">
        <v>48</v>
      </c>
      <c r="Z1568">
        <v>0</v>
      </c>
      <c r="AA1568" t="s">
        <v>48</v>
      </c>
      <c r="AB1568" t="s">
        <v>48</v>
      </c>
      <c r="AC1568" t="s">
        <v>49</v>
      </c>
      <c r="AD1568" t="s">
        <v>93</v>
      </c>
      <c r="AE1568" t="s">
        <v>4532</v>
      </c>
      <c r="AF1568" t="s">
        <v>48</v>
      </c>
      <c r="AG1568" t="s">
        <v>48</v>
      </c>
      <c r="AH1568" t="s">
        <v>48</v>
      </c>
      <c r="AI1568" t="s">
        <v>48</v>
      </c>
      <c r="AJ1568" t="s">
        <v>48</v>
      </c>
      <c r="AK1568" t="s">
        <v>48</v>
      </c>
      <c r="AL1568" t="s">
        <v>48</v>
      </c>
      <c r="AM1568" t="s">
        <v>48</v>
      </c>
      <c r="AN1568" t="s">
        <v>48</v>
      </c>
      <c r="AO1568" t="s">
        <v>48</v>
      </c>
      <c r="AP1568" s="46">
        <v>0</v>
      </c>
      <c r="AQ1568" s="46">
        <v>0</v>
      </c>
      <c r="AR1568" s="46">
        <v>0</v>
      </c>
      <c r="AS1568" s="46">
        <v>0</v>
      </c>
      <c r="AT1568" s="46">
        <v>0</v>
      </c>
      <c r="AU1568" s="46">
        <v>0</v>
      </c>
      <c r="AV1568" s="46">
        <v>0</v>
      </c>
      <c r="AW1568" s="46">
        <v>0</v>
      </c>
      <c r="AX1568" s="46">
        <v>0</v>
      </c>
      <c r="AY1568" s="46">
        <v>0</v>
      </c>
      <c r="AZ1568" s="46">
        <v>0</v>
      </c>
      <c r="BA1568" s="46">
        <v>0</v>
      </c>
      <c r="BB1568" s="46">
        <v>0</v>
      </c>
      <c r="BC1568" s="46">
        <v>0</v>
      </c>
      <c r="BD1568" s="46">
        <v>0</v>
      </c>
      <c r="BE1568" s="46">
        <v>0</v>
      </c>
      <c r="BF1568" s="46">
        <v>0</v>
      </c>
      <c r="BG1568" s="46" t="s">
        <v>48</v>
      </c>
      <c r="BH1568" s="46">
        <v>0</v>
      </c>
      <c r="BI1568" s="46">
        <v>0</v>
      </c>
      <c r="BJ1568" s="46">
        <v>0</v>
      </c>
      <c r="BK1568" s="46">
        <v>0</v>
      </c>
      <c r="BL1568" s="46">
        <v>0</v>
      </c>
      <c r="BM1568" s="46">
        <v>0</v>
      </c>
      <c r="BN1568" s="46">
        <v>0</v>
      </c>
    </row>
    <row r="1569" spans="1:66" x14ac:dyDescent="0.35">
      <c r="A1569" t="s">
        <v>2388</v>
      </c>
      <c r="B1569" s="44" t="s">
        <v>48</v>
      </c>
      <c r="C1569" t="s">
        <v>1440</v>
      </c>
      <c r="D1569" t="s">
        <v>311</v>
      </c>
      <c r="E1569" t="s">
        <v>9459</v>
      </c>
      <c r="F1569" t="s">
        <v>2302</v>
      </c>
      <c r="G1569" t="s">
        <v>47</v>
      </c>
      <c r="H1569">
        <v>0</v>
      </c>
      <c r="I1569" s="61">
        <v>44741</v>
      </c>
      <c r="J1569" s="33" t="s">
        <v>45</v>
      </c>
      <c r="K1569" s="46">
        <v>0</v>
      </c>
      <c r="L1569">
        <v>9.6999999999999993</v>
      </c>
      <c r="M1569" t="s">
        <v>48</v>
      </c>
      <c r="N1569" s="46">
        <v>0</v>
      </c>
      <c r="O1569" s="46">
        <v>0</v>
      </c>
      <c r="P1569" s="46">
        <v>0</v>
      </c>
      <c r="Q1569" t="s">
        <v>48</v>
      </c>
      <c r="R1569" t="s">
        <v>48</v>
      </c>
      <c r="S1569" t="s">
        <v>48</v>
      </c>
      <c r="T1569" t="s">
        <v>48</v>
      </c>
      <c r="U1569" t="s">
        <v>48</v>
      </c>
      <c r="V1569" s="47">
        <v>0</v>
      </c>
      <c r="W1569" t="s">
        <v>48</v>
      </c>
      <c r="X1569" t="s">
        <v>48</v>
      </c>
      <c r="Y1569" t="s">
        <v>48</v>
      </c>
      <c r="Z1569">
        <v>0</v>
      </c>
      <c r="AA1569" t="s">
        <v>48</v>
      </c>
      <c r="AB1569" t="s">
        <v>48</v>
      </c>
      <c r="AC1569" t="s">
        <v>63</v>
      </c>
      <c r="AD1569" t="s">
        <v>93</v>
      </c>
      <c r="AE1569" s="40" t="s">
        <v>4532</v>
      </c>
      <c r="AF1569" t="s">
        <v>48</v>
      </c>
      <c r="AG1569" t="s">
        <v>48</v>
      </c>
      <c r="AH1569" t="s">
        <v>48</v>
      </c>
      <c r="AI1569" t="s">
        <v>48</v>
      </c>
      <c r="AJ1569" t="s">
        <v>48</v>
      </c>
      <c r="AK1569" t="s">
        <v>48</v>
      </c>
      <c r="AL1569" t="s">
        <v>48</v>
      </c>
      <c r="AM1569" t="s">
        <v>48</v>
      </c>
      <c r="AN1569" t="s">
        <v>48</v>
      </c>
      <c r="AO1569" t="s">
        <v>48</v>
      </c>
      <c r="AP1569" s="46">
        <v>0</v>
      </c>
      <c r="AQ1569" s="46">
        <v>0</v>
      </c>
      <c r="AR1569" s="46">
        <v>0</v>
      </c>
      <c r="AS1569" s="46">
        <v>0</v>
      </c>
      <c r="AT1569" s="46">
        <v>0</v>
      </c>
      <c r="AU1569" s="46">
        <v>0</v>
      </c>
      <c r="AV1569" s="46">
        <v>0</v>
      </c>
      <c r="AW1569" s="46">
        <v>0</v>
      </c>
      <c r="AX1569" s="46">
        <v>0</v>
      </c>
      <c r="AY1569" s="46">
        <v>0</v>
      </c>
      <c r="AZ1569" s="46">
        <v>0</v>
      </c>
      <c r="BA1569" s="46">
        <v>0</v>
      </c>
      <c r="BB1569" s="46">
        <v>0</v>
      </c>
      <c r="BC1569" s="46">
        <v>0</v>
      </c>
      <c r="BD1569" s="46">
        <v>0</v>
      </c>
      <c r="BE1569" s="46">
        <v>0</v>
      </c>
      <c r="BF1569" s="46">
        <v>0</v>
      </c>
      <c r="BG1569" s="46">
        <v>1</v>
      </c>
      <c r="BH1569" s="46">
        <v>0</v>
      </c>
      <c r="BI1569" s="46">
        <v>0</v>
      </c>
      <c r="BJ1569" s="46">
        <v>0</v>
      </c>
      <c r="BK1569" s="46">
        <v>0</v>
      </c>
      <c r="BL1569" s="46">
        <v>0</v>
      </c>
      <c r="BM1569" s="46">
        <v>0</v>
      </c>
      <c r="BN1569" s="46">
        <v>0</v>
      </c>
    </row>
    <row r="1570" spans="1:66" x14ac:dyDescent="0.35">
      <c r="A1570" t="s">
        <v>9460</v>
      </c>
      <c r="B1570" s="44" t="s">
        <v>48</v>
      </c>
      <c r="C1570" t="s">
        <v>11861</v>
      </c>
      <c r="D1570" t="s">
        <v>11862</v>
      </c>
      <c r="E1570" t="s">
        <v>9461</v>
      </c>
      <c r="F1570" t="s">
        <v>2302</v>
      </c>
      <c r="G1570" t="s">
        <v>47</v>
      </c>
      <c r="H1570">
        <v>0</v>
      </c>
      <c r="I1570" s="61">
        <v>44741</v>
      </c>
      <c r="J1570" s="33" t="s">
        <v>45</v>
      </c>
      <c r="K1570" s="46">
        <v>0</v>
      </c>
      <c r="L1570">
        <v>7.7</v>
      </c>
      <c r="M1570" t="s">
        <v>48</v>
      </c>
      <c r="N1570" s="46">
        <v>0</v>
      </c>
      <c r="O1570" s="46">
        <v>0</v>
      </c>
      <c r="P1570" s="46">
        <v>0</v>
      </c>
      <c r="Q1570" t="s">
        <v>48</v>
      </c>
      <c r="R1570" t="s">
        <v>48</v>
      </c>
      <c r="S1570" t="s">
        <v>48</v>
      </c>
      <c r="T1570" t="s">
        <v>48</v>
      </c>
      <c r="U1570" t="s">
        <v>48</v>
      </c>
      <c r="V1570" s="47">
        <v>0</v>
      </c>
      <c r="W1570" t="s">
        <v>48</v>
      </c>
      <c r="X1570" t="s">
        <v>48</v>
      </c>
      <c r="Y1570" t="s">
        <v>48</v>
      </c>
      <c r="Z1570" t="s">
        <v>48</v>
      </c>
      <c r="AA1570" t="s">
        <v>48</v>
      </c>
      <c r="AB1570" t="s">
        <v>48</v>
      </c>
      <c r="AC1570" t="s">
        <v>49</v>
      </c>
      <c r="AD1570" t="s">
        <v>93</v>
      </c>
      <c r="AE1570" s="40" t="s">
        <v>977</v>
      </c>
      <c r="AF1570" t="s">
        <v>48</v>
      </c>
      <c r="AG1570" t="s">
        <v>48</v>
      </c>
      <c r="AH1570" t="s">
        <v>48</v>
      </c>
      <c r="AI1570" t="s">
        <v>48</v>
      </c>
      <c r="AJ1570" t="s">
        <v>48</v>
      </c>
      <c r="AK1570" t="s">
        <v>48</v>
      </c>
      <c r="AL1570" t="s">
        <v>48</v>
      </c>
      <c r="AM1570" t="s">
        <v>48</v>
      </c>
      <c r="AN1570" t="s">
        <v>48</v>
      </c>
      <c r="AO1570" t="s">
        <v>48</v>
      </c>
      <c r="AP1570" s="46">
        <v>0</v>
      </c>
      <c r="AQ1570" s="46">
        <v>0</v>
      </c>
      <c r="AR1570" s="46">
        <v>0</v>
      </c>
      <c r="AS1570" s="46">
        <v>0</v>
      </c>
      <c r="AT1570" s="46">
        <v>0</v>
      </c>
      <c r="AU1570" s="46">
        <v>0</v>
      </c>
      <c r="AV1570" s="46">
        <v>0</v>
      </c>
      <c r="AW1570" s="46">
        <v>0</v>
      </c>
      <c r="AX1570" s="46">
        <v>0</v>
      </c>
      <c r="AY1570" s="46">
        <v>0</v>
      </c>
      <c r="AZ1570" s="46">
        <v>0</v>
      </c>
      <c r="BA1570" s="46">
        <v>0</v>
      </c>
      <c r="BB1570" s="46">
        <v>0</v>
      </c>
      <c r="BC1570" s="46">
        <v>0</v>
      </c>
      <c r="BD1570" s="46">
        <v>0</v>
      </c>
      <c r="BE1570" s="46">
        <v>0</v>
      </c>
      <c r="BF1570" s="46">
        <v>0</v>
      </c>
      <c r="BG1570" s="46" t="s">
        <v>48</v>
      </c>
      <c r="BH1570" s="46">
        <v>0</v>
      </c>
      <c r="BI1570" s="46">
        <v>0</v>
      </c>
      <c r="BJ1570" s="46">
        <v>0</v>
      </c>
      <c r="BK1570" s="46">
        <v>0</v>
      </c>
      <c r="BL1570" s="46">
        <v>0</v>
      </c>
      <c r="BM1570" s="46">
        <v>0</v>
      </c>
      <c r="BN1570" s="46">
        <v>0</v>
      </c>
    </row>
    <row r="1571" spans="1:66" x14ac:dyDescent="0.35">
      <c r="A1571" t="s">
        <v>2342</v>
      </c>
      <c r="B1571" s="44" t="s">
        <v>48</v>
      </c>
      <c r="C1571" t="s">
        <v>2345</v>
      </c>
      <c r="D1571" t="s">
        <v>744</v>
      </c>
      <c r="E1571" t="s">
        <v>2343</v>
      </c>
      <c r="F1571" t="s">
        <v>2336</v>
      </c>
      <c r="G1571" t="s">
        <v>47</v>
      </c>
      <c r="H1571">
        <v>0</v>
      </c>
      <c r="I1571" s="60" t="s">
        <v>125</v>
      </c>
      <c r="J1571" s="33" t="s">
        <v>45</v>
      </c>
      <c r="K1571" s="46">
        <v>0</v>
      </c>
      <c r="L1571">
        <v>15.1</v>
      </c>
      <c r="M1571" t="s">
        <v>48</v>
      </c>
      <c r="N1571" s="46">
        <v>0</v>
      </c>
      <c r="O1571" s="46">
        <v>0</v>
      </c>
      <c r="P1571" s="46">
        <v>0</v>
      </c>
      <c r="Q1571" t="s">
        <v>48</v>
      </c>
      <c r="R1571" t="s">
        <v>48</v>
      </c>
      <c r="S1571" t="s">
        <v>2344</v>
      </c>
      <c r="T1571" t="s">
        <v>48</v>
      </c>
      <c r="U1571" t="s">
        <v>2344</v>
      </c>
      <c r="V1571" s="47">
        <v>1</v>
      </c>
      <c r="W1571" t="s">
        <v>11317</v>
      </c>
      <c r="X1571" t="s">
        <v>48</v>
      </c>
      <c r="Y1571" t="s">
        <v>48</v>
      </c>
      <c r="Z1571">
        <v>0</v>
      </c>
      <c r="AA1571" t="s">
        <v>48</v>
      </c>
      <c r="AB1571" t="s">
        <v>48</v>
      </c>
      <c r="AC1571" t="s">
        <v>49</v>
      </c>
      <c r="AD1571" t="s">
        <v>93</v>
      </c>
      <c r="AE1571" t="s">
        <v>4532</v>
      </c>
      <c r="AF1571" t="s">
        <v>48</v>
      </c>
      <c r="AG1571" t="s">
        <v>48</v>
      </c>
      <c r="AH1571" t="s">
        <v>48</v>
      </c>
      <c r="AI1571" t="s">
        <v>48</v>
      </c>
      <c r="AJ1571" t="s">
        <v>48</v>
      </c>
      <c r="AK1571" t="s">
        <v>48</v>
      </c>
      <c r="AL1571" t="s">
        <v>48</v>
      </c>
      <c r="AM1571" t="s">
        <v>48</v>
      </c>
      <c r="AN1571" t="s">
        <v>48</v>
      </c>
      <c r="AO1571" t="s">
        <v>48</v>
      </c>
      <c r="AP1571" s="46">
        <v>0</v>
      </c>
      <c r="AQ1571" s="46">
        <v>0</v>
      </c>
      <c r="AR1571" s="46">
        <v>0</v>
      </c>
      <c r="AS1571" s="46">
        <v>0</v>
      </c>
      <c r="AT1571" s="46">
        <v>0</v>
      </c>
      <c r="AU1571" s="46">
        <v>0</v>
      </c>
      <c r="AV1571" s="46">
        <v>0</v>
      </c>
      <c r="AW1571" s="46">
        <v>0</v>
      </c>
      <c r="AX1571" s="46">
        <v>0</v>
      </c>
      <c r="AY1571" s="46">
        <v>0</v>
      </c>
      <c r="AZ1571" s="46">
        <v>0</v>
      </c>
      <c r="BA1571" s="46">
        <v>0</v>
      </c>
      <c r="BB1571" s="46">
        <v>0</v>
      </c>
      <c r="BC1571" s="46">
        <v>0</v>
      </c>
      <c r="BD1571" s="46">
        <v>0</v>
      </c>
      <c r="BE1571" s="46">
        <v>0</v>
      </c>
      <c r="BF1571" s="46">
        <v>0</v>
      </c>
      <c r="BG1571" s="46" t="s">
        <v>48</v>
      </c>
      <c r="BH1571" s="46">
        <v>0</v>
      </c>
      <c r="BI1571" s="46">
        <v>0</v>
      </c>
      <c r="BJ1571" s="46">
        <v>0</v>
      </c>
      <c r="BK1571" s="46">
        <v>0</v>
      </c>
      <c r="BL1571" s="46">
        <v>0</v>
      </c>
      <c r="BM1571" s="46">
        <v>0</v>
      </c>
      <c r="BN1571" s="46">
        <v>0</v>
      </c>
    </row>
    <row r="1572" spans="1:66" x14ac:dyDescent="0.35">
      <c r="A1572" t="s">
        <v>9462</v>
      </c>
      <c r="B1572" s="44" t="s">
        <v>48</v>
      </c>
      <c r="C1572" t="s">
        <v>3013</v>
      </c>
      <c r="D1572" t="s">
        <v>1726</v>
      </c>
      <c r="E1572" t="s">
        <v>11562</v>
      </c>
      <c r="F1572" t="s">
        <v>2336</v>
      </c>
      <c r="G1572" t="s">
        <v>47</v>
      </c>
      <c r="H1572">
        <v>0</v>
      </c>
      <c r="I1572" s="61">
        <v>44741</v>
      </c>
      <c r="J1572" s="33" t="s">
        <v>45</v>
      </c>
      <c r="K1572" s="46">
        <v>0</v>
      </c>
      <c r="L1572">
        <v>2.9</v>
      </c>
      <c r="M1572" t="s">
        <v>48</v>
      </c>
      <c r="N1572" s="46">
        <v>0</v>
      </c>
      <c r="O1572" s="46">
        <v>0</v>
      </c>
      <c r="P1572" s="46">
        <v>0</v>
      </c>
      <c r="Q1572" t="s">
        <v>48</v>
      </c>
      <c r="R1572" t="s">
        <v>48</v>
      </c>
      <c r="S1572" t="s">
        <v>48</v>
      </c>
      <c r="T1572" t="s">
        <v>48</v>
      </c>
      <c r="U1572" t="s">
        <v>48</v>
      </c>
      <c r="V1572" s="47">
        <v>1</v>
      </c>
      <c r="W1572" t="s">
        <v>48</v>
      </c>
      <c r="X1572" t="s">
        <v>48</v>
      </c>
      <c r="Y1572" t="s">
        <v>48</v>
      </c>
      <c r="Z1572" t="s">
        <v>48</v>
      </c>
      <c r="AA1572" t="s">
        <v>48</v>
      </c>
      <c r="AB1572" t="s">
        <v>48</v>
      </c>
      <c r="AC1572" t="s">
        <v>49</v>
      </c>
      <c r="AD1572" t="s">
        <v>48</v>
      </c>
      <c r="AE1572" t="s">
        <v>48</v>
      </c>
      <c r="AF1572" t="s">
        <v>48</v>
      </c>
      <c r="AG1572" t="s">
        <v>48</v>
      </c>
      <c r="AH1572" t="s">
        <v>48</v>
      </c>
      <c r="AI1572" t="s">
        <v>48</v>
      </c>
      <c r="AJ1572" t="s">
        <v>48</v>
      </c>
      <c r="AK1572" t="s">
        <v>48</v>
      </c>
      <c r="AL1572" t="s">
        <v>48</v>
      </c>
      <c r="AM1572" t="s">
        <v>48</v>
      </c>
      <c r="AN1572" t="s">
        <v>48</v>
      </c>
      <c r="AO1572" t="s">
        <v>48</v>
      </c>
      <c r="AP1572" s="46">
        <v>0</v>
      </c>
      <c r="AQ1572" s="46">
        <v>0</v>
      </c>
      <c r="AR1572" s="46">
        <v>0</v>
      </c>
      <c r="AS1572" s="46">
        <v>0</v>
      </c>
      <c r="AT1572" s="46">
        <v>0</v>
      </c>
      <c r="AU1572" s="46">
        <v>0</v>
      </c>
      <c r="AV1572" s="46">
        <v>0</v>
      </c>
      <c r="AW1572" s="46">
        <v>0</v>
      </c>
      <c r="AX1572" s="46">
        <v>0</v>
      </c>
      <c r="AY1572" s="46">
        <v>0</v>
      </c>
      <c r="AZ1572" s="46">
        <v>0</v>
      </c>
      <c r="BA1572" s="46">
        <v>0</v>
      </c>
      <c r="BB1572" s="46">
        <v>0</v>
      </c>
      <c r="BC1572" s="46">
        <v>0</v>
      </c>
      <c r="BD1572" s="46">
        <v>0</v>
      </c>
      <c r="BE1572" s="46">
        <v>0</v>
      </c>
      <c r="BF1572" s="46">
        <v>0</v>
      </c>
      <c r="BG1572" s="46" t="s">
        <v>48</v>
      </c>
      <c r="BH1572" s="46">
        <v>0</v>
      </c>
      <c r="BI1572" s="46">
        <v>0</v>
      </c>
      <c r="BJ1572" s="46">
        <v>0</v>
      </c>
      <c r="BK1572" s="46">
        <v>0</v>
      </c>
      <c r="BL1572" s="46">
        <v>0</v>
      </c>
      <c r="BM1572" s="46">
        <v>0</v>
      </c>
      <c r="BN1572" s="46">
        <v>0</v>
      </c>
    </row>
    <row r="1573" spans="1:66" x14ac:dyDescent="0.35">
      <c r="A1573" t="s">
        <v>9463</v>
      </c>
      <c r="B1573" s="44" t="s">
        <v>48</v>
      </c>
      <c r="C1573" t="s">
        <v>11864</v>
      </c>
      <c r="D1573" t="s">
        <v>221</v>
      </c>
      <c r="E1573" t="s">
        <v>9464</v>
      </c>
      <c r="F1573" t="s">
        <v>2336</v>
      </c>
      <c r="G1573" t="s">
        <v>47</v>
      </c>
      <c r="H1573">
        <v>0</v>
      </c>
      <c r="I1573" s="61">
        <v>44741</v>
      </c>
      <c r="J1573" s="33" t="s">
        <v>45</v>
      </c>
      <c r="K1573" s="46">
        <v>0</v>
      </c>
      <c r="L1573">
        <v>2</v>
      </c>
      <c r="M1573" t="s">
        <v>48</v>
      </c>
      <c r="N1573" s="46">
        <v>0</v>
      </c>
      <c r="O1573" s="46">
        <v>0</v>
      </c>
      <c r="P1573" s="46">
        <v>0</v>
      </c>
      <c r="Q1573" t="s">
        <v>48</v>
      </c>
      <c r="R1573" t="s">
        <v>48</v>
      </c>
      <c r="S1573" t="s">
        <v>48</v>
      </c>
      <c r="T1573" t="s">
        <v>48</v>
      </c>
      <c r="U1573" t="s">
        <v>48</v>
      </c>
      <c r="V1573" s="47">
        <v>1</v>
      </c>
      <c r="W1573" t="s">
        <v>48</v>
      </c>
      <c r="X1573" t="s">
        <v>48</v>
      </c>
      <c r="Y1573" t="s">
        <v>48</v>
      </c>
      <c r="Z1573" t="s">
        <v>48</v>
      </c>
      <c r="AA1573" t="s">
        <v>48</v>
      </c>
      <c r="AB1573" t="s">
        <v>48</v>
      </c>
      <c r="AC1573" t="s">
        <v>49</v>
      </c>
      <c r="AD1573" t="s">
        <v>48</v>
      </c>
      <c r="AE1573" t="s">
        <v>48</v>
      </c>
      <c r="AF1573" t="s">
        <v>48</v>
      </c>
      <c r="AG1573" t="s">
        <v>48</v>
      </c>
      <c r="AH1573" t="s">
        <v>48</v>
      </c>
      <c r="AI1573" t="s">
        <v>48</v>
      </c>
      <c r="AJ1573" t="s">
        <v>48</v>
      </c>
      <c r="AK1573" t="s">
        <v>48</v>
      </c>
      <c r="AL1573" t="s">
        <v>48</v>
      </c>
      <c r="AM1573" t="s">
        <v>48</v>
      </c>
      <c r="AN1573" t="s">
        <v>48</v>
      </c>
      <c r="AO1573" t="s">
        <v>48</v>
      </c>
      <c r="AP1573" s="46">
        <v>0</v>
      </c>
      <c r="AQ1573" s="46">
        <v>0</v>
      </c>
      <c r="AR1573" s="46">
        <v>0</v>
      </c>
      <c r="AS1573" s="46">
        <v>0</v>
      </c>
      <c r="AT1573" s="46">
        <v>0</v>
      </c>
      <c r="AU1573" s="46">
        <v>0</v>
      </c>
      <c r="AV1573" s="46">
        <v>0</v>
      </c>
      <c r="AW1573" s="46">
        <v>0</v>
      </c>
      <c r="AX1573" s="46">
        <v>0</v>
      </c>
      <c r="AY1573" s="46">
        <v>0</v>
      </c>
      <c r="AZ1573" s="46">
        <v>0</v>
      </c>
      <c r="BA1573" s="46">
        <v>0</v>
      </c>
      <c r="BB1573" s="46">
        <v>0</v>
      </c>
      <c r="BC1573" s="46">
        <v>0</v>
      </c>
      <c r="BD1573" s="46">
        <v>0</v>
      </c>
      <c r="BE1573" s="46">
        <v>0</v>
      </c>
      <c r="BF1573" s="46">
        <v>0</v>
      </c>
      <c r="BG1573" s="46" t="s">
        <v>48</v>
      </c>
      <c r="BH1573" s="46">
        <v>0</v>
      </c>
      <c r="BI1573" s="46">
        <v>0</v>
      </c>
      <c r="BJ1573" s="46">
        <v>0</v>
      </c>
      <c r="BK1573" s="46">
        <v>0</v>
      </c>
      <c r="BL1573" s="46">
        <v>0</v>
      </c>
      <c r="BM1573" s="46">
        <v>0</v>
      </c>
      <c r="BN1573" s="46">
        <v>0</v>
      </c>
    </row>
    <row r="1574" spans="1:66" x14ac:dyDescent="0.35">
      <c r="A1574" t="s">
        <v>7977</v>
      </c>
      <c r="B1574" s="44" t="s">
        <v>48</v>
      </c>
      <c r="C1574" t="s">
        <v>11863</v>
      </c>
      <c r="D1574" t="s">
        <v>396</v>
      </c>
      <c r="E1574" t="s">
        <v>7978</v>
      </c>
      <c r="F1574" t="s">
        <v>2336</v>
      </c>
      <c r="G1574" t="s">
        <v>47</v>
      </c>
      <c r="H1574">
        <v>0</v>
      </c>
      <c r="I1574" s="61">
        <v>44719</v>
      </c>
      <c r="J1574" s="33" t="s">
        <v>45</v>
      </c>
      <c r="K1574" s="46">
        <v>0</v>
      </c>
      <c r="L1574">
        <v>3.6</v>
      </c>
      <c r="M1574" t="s">
        <v>48</v>
      </c>
      <c r="N1574" s="46">
        <v>0</v>
      </c>
      <c r="O1574" s="46">
        <v>0</v>
      </c>
      <c r="P1574" s="46">
        <v>0</v>
      </c>
      <c r="Q1574" t="s">
        <v>48</v>
      </c>
      <c r="R1574" t="s">
        <v>48</v>
      </c>
      <c r="S1574" t="s">
        <v>48</v>
      </c>
      <c r="T1574" t="s">
        <v>48</v>
      </c>
      <c r="U1574" t="s">
        <v>48</v>
      </c>
      <c r="V1574" s="47">
        <v>0</v>
      </c>
      <c r="W1574" t="s">
        <v>48</v>
      </c>
      <c r="X1574" t="s">
        <v>48</v>
      </c>
      <c r="Y1574" t="s">
        <v>48</v>
      </c>
      <c r="Z1574" t="s">
        <v>48</v>
      </c>
      <c r="AA1574" t="s">
        <v>48</v>
      </c>
      <c r="AB1574" t="s">
        <v>48</v>
      </c>
      <c r="AC1574" t="s">
        <v>49</v>
      </c>
      <c r="AD1574" t="s">
        <v>93</v>
      </c>
      <c r="AE1574" t="s">
        <v>4532</v>
      </c>
      <c r="AF1574" t="s">
        <v>48</v>
      </c>
      <c r="AG1574" t="s">
        <v>48</v>
      </c>
      <c r="AH1574" t="s">
        <v>48</v>
      </c>
      <c r="AI1574" t="s">
        <v>48</v>
      </c>
      <c r="AJ1574" t="s">
        <v>48</v>
      </c>
      <c r="AK1574" t="s">
        <v>48</v>
      </c>
      <c r="AL1574" t="s">
        <v>48</v>
      </c>
      <c r="AM1574" t="s">
        <v>48</v>
      </c>
      <c r="AN1574" t="s">
        <v>48</v>
      </c>
      <c r="AO1574" t="s">
        <v>48</v>
      </c>
      <c r="AP1574" s="46">
        <v>0</v>
      </c>
      <c r="AQ1574" s="46">
        <v>0</v>
      </c>
      <c r="AR1574" s="46">
        <v>0</v>
      </c>
      <c r="AS1574" s="46">
        <v>0</v>
      </c>
      <c r="AT1574" s="46">
        <v>0</v>
      </c>
      <c r="AU1574" s="46">
        <v>0</v>
      </c>
      <c r="AV1574" s="46">
        <v>0</v>
      </c>
      <c r="AW1574" s="46">
        <v>0</v>
      </c>
      <c r="AX1574" s="46">
        <v>0</v>
      </c>
      <c r="AY1574" s="46">
        <v>0</v>
      </c>
      <c r="AZ1574" s="46">
        <v>0</v>
      </c>
      <c r="BA1574" s="46">
        <v>0</v>
      </c>
      <c r="BB1574" s="46">
        <v>0</v>
      </c>
      <c r="BC1574" s="46">
        <v>0</v>
      </c>
      <c r="BD1574" s="46">
        <v>0</v>
      </c>
      <c r="BE1574" s="46">
        <v>0</v>
      </c>
      <c r="BF1574" s="46">
        <v>0</v>
      </c>
      <c r="BG1574" s="46" t="s">
        <v>48</v>
      </c>
      <c r="BH1574" s="46">
        <v>0</v>
      </c>
      <c r="BI1574" s="46">
        <v>0</v>
      </c>
      <c r="BJ1574" s="46">
        <v>0</v>
      </c>
      <c r="BK1574" s="46">
        <v>0</v>
      </c>
      <c r="BL1574" s="46">
        <v>0</v>
      </c>
      <c r="BM1574" s="46">
        <v>0</v>
      </c>
      <c r="BN1574" s="46">
        <v>0</v>
      </c>
    </row>
    <row r="1575" spans="1:66" x14ac:dyDescent="0.35">
      <c r="A1575" t="s">
        <v>2380</v>
      </c>
      <c r="B1575" s="44" t="s">
        <v>48</v>
      </c>
      <c r="C1575" t="s">
        <v>2383</v>
      </c>
      <c r="D1575" t="s">
        <v>1468</v>
      </c>
      <c r="E1575" t="s">
        <v>2381</v>
      </c>
      <c r="F1575" t="s">
        <v>2348</v>
      </c>
      <c r="G1575" t="s">
        <v>47</v>
      </c>
      <c r="H1575">
        <v>0</v>
      </c>
      <c r="I1575" s="60" t="s">
        <v>51</v>
      </c>
      <c r="J1575" s="33" t="s">
        <v>45</v>
      </c>
      <c r="K1575" s="46">
        <v>0</v>
      </c>
      <c r="L1575">
        <v>6.6</v>
      </c>
      <c r="M1575" t="s">
        <v>48</v>
      </c>
      <c r="N1575" s="46">
        <v>0</v>
      </c>
      <c r="O1575" s="46">
        <v>0</v>
      </c>
      <c r="P1575" s="46">
        <v>0</v>
      </c>
      <c r="Q1575" t="s">
        <v>48</v>
      </c>
      <c r="R1575" t="s">
        <v>48</v>
      </c>
      <c r="S1575" t="s">
        <v>2382</v>
      </c>
      <c r="T1575" t="s">
        <v>48</v>
      </c>
      <c r="U1575" t="s">
        <v>2382</v>
      </c>
      <c r="V1575" s="47">
        <v>0</v>
      </c>
      <c r="W1575" t="s">
        <v>48</v>
      </c>
      <c r="X1575" t="s">
        <v>48</v>
      </c>
      <c r="Y1575" t="s">
        <v>48</v>
      </c>
      <c r="Z1575">
        <v>0</v>
      </c>
      <c r="AA1575" t="s">
        <v>48</v>
      </c>
      <c r="AB1575" t="s">
        <v>48</v>
      </c>
      <c r="AC1575" t="s">
        <v>49</v>
      </c>
      <c r="AD1575" t="s">
        <v>93</v>
      </c>
      <c r="AE1575" t="s">
        <v>4532</v>
      </c>
      <c r="AF1575" t="s">
        <v>48</v>
      </c>
      <c r="AG1575" t="s">
        <v>48</v>
      </c>
      <c r="AH1575" t="s">
        <v>48</v>
      </c>
      <c r="AI1575" t="s">
        <v>48</v>
      </c>
      <c r="AJ1575" t="s">
        <v>48</v>
      </c>
      <c r="AK1575" t="s">
        <v>48</v>
      </c>
      <c r="AL1575" t="s">
        <v>48</v>
      </c>
      <c r="AM1575" t="s">
        <v>48</v>
      </c>
      <c r="AN1575" t="s">
        <v>48</v>
      </c>
      <c r="AO1575" t="s">
        <v>48</v>
      </c>
      <c r="AP1575" s="46">
        <v>0</v>
      </c>
      <c r="AQ1575" s="46">
        <v>0</v>
      </c>
      <c r="AR1575" s="46">
        <v>0</v>
      </c>
      <c r="AS1575" s="46">
        <v>0</v>
      </c>
      <c r="AT1575" s="46">
        <v>0</v>
      </c>
      <c r="AU1575" s="46">
        <v>0</v>
      </c>
      <c r="AV1575" s="46">
        <v>0</v>
      </c>
      <c r="AW1575" s="46">
        <v>0</v>
      </c>
      <c r="AX1575" s="46">
        <v>0</v>
      </c>
      <c r="AY1575" s="46">
        <v>0</v>
      </c>
      <c r="AZ1575" s="46">
        <v>0</v>
      </c>
      <c r="BA1575" s="46">
        <v>0</v>
      </c>
      <c r="BB1575" s="46">
        <v>0</v>
      </c>
      <c r="BC1575" s="46">
        <v>0</v>
      </c>
      <c r="BD1575" s="46">
        <v>0</v>
      </c>
      <c r="BE1575" s="46">
        <v>0</v>
      </c>
      <c r="BF1575" s="46">
        <v>0</v>
      </c>
      <c r="BG1575" s="46" t="s">
        <v>48</v>
      </c>
      <c r="BH1575" s="46">
        <v>0</v>
      </c>
      <c r="BI1575" s="46">
        <v>0</v>
      </c>
      <c r="BJ1575" s="46">
        <v>0</v>
      </c>
      <c r="BK1575" s="46">
        <v>0</v>
      </c>
      <c r="BL1575" s="46">
        <v>0</v>
      </c>
      <c r="BM1575" s="46">
        <v>0</v>
      </c>
      <c r="BN1575" s="46">
        <v>0</v>
      </c>
    </row>
    <row r="1576" spans="1:66" x14ac:dyDescent="0.35">
      <c r="A1576" t="s">
        <v>2360</v>
      </c>
      <c r="B1576" s="44" t="s">
        <v>48</v>
      </c>
      <c r="C1576" t="s">
        <v>1006</v>
      </c>
      <c r="D1576" t="s">
        <v>268</v>
      </c>
      <c r="E1576" t="s">
        <v>2361</v>
      </c>
      <c r="F1576" t="s">
        <v>2348</v>
      </c>
      <c r="G1576" t="s">
        <v>47</v>
      </c>
      <c r="H1576">
        <v>0</v>
      </c>
      <c r="I1576" s="60" t="s">
        <v>51</v>
      </c>
      <c r="J1576" s="33" t="s">
        <v>45</v>
      </c>
      <c r="K1576" s="46">
        <v>0</v>
      </c>
      <c r="L1576">
        <v>9.4</v>
      </c>
      <c r="M1576" t="s">
        <v>48</v>
      </c>
      <c r="N1576" s="46">
        <v>0</v>
      </c>
      <c r="O1576" s="46">
        <v>0</v>
      </c>
      <c r="P1576" s="46">
        <v>0</v>
      </c>
      <c r="Q1576" t="s">
        <v>48</v>
      </c>
      <c r="R1576" t="s">
        <v>48</v>
      </c>
      <c r="S1576" t="s">
        <v>2362</v>
      </c>
      <c r="T1576" t="s">
        <v>48</v>
      </c>
      <c r="U1576" t="s">
        <v>2362</v>
      </c>
      <c r="V1576" s="47">
        <v>1</v>
      </c>
      <c r="W1576" t="s">
        <v>48</v>
      </c>
      <c r="X1576" t="s">
        <v>48</v>
      </c>
      <c r="Y1576" t="s">
        <v>48</v>
      </c>
      <c r="Z1576">
        <v>0</v>
      </c>
      <c r="AA1576" t="s">
        <v>48</v>
      </c>
      <c r="AB1576" t="s">
        <v>48</v>
      </c>
      <c r="AC1576" t="s">
        <v>49</v>
      </c>
      <c r="AD1576" t="s">
        <v>93</v>
      </c>
      <c r="AE1576" t="s">
        <v>4532</v>
      </c>
      <c r="AF1576" t="s">
        <v>48</v>
      </c>
      <c r="AG1576" t="s">
        <v>48</v>
      </c>
      <c r="AH1576" t="s">
        <v>48</v>
      </c>
      <c r="AI1576" t="s">
        <v>48</v>
      </c>
      <c r="AJ1576" t="s">
        <v>48</v>
      </c>
      <c r="AK1576" t="s">
        <v>48</v>
      </c>
      <c r="AL1576" t="s">
        <v>48</v>
      </c>
      <c r="AM1576" t="s">
        <v>48</v>
      </c>
      <c r="AN1576" t="s">
        <v>48</v>
      </c>
      <c r="AO1576" t="s">
        <v>48</v>
      </c>
      <c r="AP1576" s="46">
        <v>0</v>
      </c>
      <c r="AQ1576" s="46">
        <v>0</v>
      </c>
      <c r="AR1576" s="46">
        <v>0</v>
      </c>
      <c r="AS1576" s="46">
        <v>0</v>
      </c>
      <c r="AT1576" s="46">
        <v>0</v>
      </c>
      <c r="AU1576" s="46">
        <v>0</v>
      </c>
      <c r="AV1576" s="46">
        <v>0</v>
      </c>
      <c r="AW1576" s="46">
        <v>0</v>
      </c>
      <c r="AX1576" s="46">
        <v>0</v>
      </c>
      <c r="AY1576" s="46">
        <v>0</v>
      </c>
      <c r="AZ1576" s="46">
        <v>0</v>
      </c>
      <c r="BA1576" s="46">
        <v>0</v>
      </c>
      <c r="BB1576" s="46">
        <v>0</v>
      </c>
      <c r="BC1576" s="46">
        <v>0</v>
      </c>
      <c r="BD1576" s="46">
        <v>0</v>
      </c>
      <c r="BE1576" s="46">
        <v>0</v>
      </c>
      <c r="BF1576" s="46">
        <v>0</v>
      </c>
      <c r="BG1576" s="46" t="s">
        <v>48</v>
      </c>
      <c r="BH1576" s="46">
        <v>0</v>
      </c>
      <c r="BI1576" s="46">
        <v>0</v>
      </c>
      <c r="BJ1576" s="46">
        <v>0</v>
      </c>
      <c r="BK1576" s="46">
        <v>0</v>
      </c>
      <c r="BL1576" s="46">
        <v>0</v>
      </c>
      <c r="BM1576" s="46">
        <v>0</v>
      </c>
      <c r="BN1576" s="46">
        <v>0</v>
      </c>
    </row>
    <row r="1577" spans="1:66" x14ac:dyDescent="0.35">
      <c r="A1577" t="s">
        <v>7979</v>
      </c>
      <c r="B1577" s="44" t="s">
        <v>48</v>
      </c>
      <c r="C1577" t="s">
        <v>11867</v>
      </c>
      <c r="D1577" t="s">
        <v>11868</v>
      </c>
      <c r="E1577" t="s">
        <v>7980</v>
      </c>
      <c r="F1577" t="s">
        <v>2348</v>
      </c>
      <c r="G1577" t="s">
        <v>74</v>
      </c>
      <c r="H1577">
        <v>0</v>
      </c>
      <c r="I1577" s="61">
        <v>44719</v>
      </c>
      <c r="J1577" s="33" t="s">
        <v>45</v>
      </c>
      <c r="K1577" s="46">
        <v>0</v>
      </c>
      <c r="L1577">
        <v>11.7</v>
      </c>
      <c r="M1577" t="s">
        <v>48</v>
      </c>
      <c r="N1577" s="46">
        <v>0</v>
      </c>
      <c r="O1577" s="46">
        <v>0</v>
      </c>
      <c r="P1577" s="46">
        <v>0</v>
      </c>
      <c r="Q1577" t="s">
        <v>48</v>
      </c>
      <c r="R1577" t="s">
        <v>48</v>
      </c>
      <c r="S1577" t="s">
        <v>10087</v>
      </c>
      <c r="T1577" t="s">
        <v>48</v>
      </c>
      <c r="U1577" t="s">
        <v>10087</v>
      </c>
      <c r="V1577" s="47">
        <v>0</v>
      </c>
      <c r="W1577" t="s">
        <v>48</v>
      </c>
      <c r="X1577" t="s">
        <v>48</v>
      </c>
      <c r="Y1577" t="s">
        <v>48</v>
      </c>
      <c r="Z1577" t="s">
        <v>48</v>
      </c>
      <c r="AA1577" t="s">
        <v>48</v>
      </c>
      <c r="AB1577" t="s">
        <v>48</v>
      </c>
      <c r="AC1577" t="s">
        <v>49</v>
      </c>
      <c r="AD1577" t="s">
        <v>93</v>
      </c>
      <c r="AE1577" t="s">
        <v>2471</v>
      </c>
      <c r="AF1577" t="s">
        <v>48</v>
      </c>
      <c r="AG1577" t="s">
        <v>48</v>
      </c>
      <c r="AH1577" t="s">
        <v>48</v>
      </c>
      <c r="AI1577" t="s">
        <v>48</v>
      </c>
      <c r="AJ1577" t="s">
        <v>48</v>
      </c>
      <c r="AK1577" t="s">
        <v>48</v>
      </c>
      <c r="AL1577" t="s">
        <v>48</v>
      </c>
      <c r="AM1577" t="s">
        <v>48</v>
      </c>
      <c r="AN1577" t="s">
        <v>48</v>
      </c>
      <c r="AO1577" t="s">
        <v>48</v>
      </c>
      <c r="AP1577" s="46">
        <v>0</v>
      </c>
      <c r="AQ1577" s="46">
        <v>0</v>
      </c>
      <c r="AR1577" s="46">
        <v>0</v>
      </c>
      <c r="AS1577" s="46">
        <v>0</v>
      </c>
      <c r="AT1577" s="46">
        <v>0</v>
      </c>
      <c r="AU1577" s="46">
        <v>0</v>
      </c>
      <c r="AV1577" s="46">
        <v>0</v>
      </c>
      <c r="AW1577" s="46">
        <v>0</v>
      </c>
      <c r="AX1577" s="46">
        <v>0</v>
      </c>
      <c r="AY1577" s="46">
        <v>0</v>
      </c>
      <c r="AZ1577" s="46">
        <v>0</v>
      </c>
      <c r="BA1577" s="46">
        <v>0</v>
      </c>
      <c r="BB1577" s="46">
        <v>0</v>
      </c>
      <c r="BC1577" s="46">
        <v>0</v>
      </c>
      <c r="BD1577" s="46">
        <v>0</v>
      </c>
      <c r="BE1577" s="46">
        <v>0</v>
      </c>
      <c r="BF1577" s="46">
        <v>0</v>
      </c>
      <c r="BG1577" s="46" t="s">
        <v>48</v>
      </c>
      <c r="BH1577" s="46">
        <v>0</v>
      </c>
      <c r="BI1577" s="46">
        <v>0</v>
      </c>
      <c r="BJ1577" s="46">
        <v>0</v>
      </c>
      <c r="BK1577" s="46">
        <v>0</v>
      </c>
      <c r="BL1577" s="46">
        <v>0</v>
      </c>
      <c r="BM1577" s="46">
        <v>0</v>
      </c>
      <c r="BN1577" s="46">
        <v>0</v>
      </c>
    </row>
    <row r="1578" spans="1:66" x14ac:dyDescent="0.35">
      <c r="A1578" t="s">
        <v>2363</v>
      </c>
      <c r="B1578" s="44" t="s">
        <v>48</v>
      </c>
      <c r="C1578" t="s">
        <v>2366</v>
      </c>
      <c r="D1578" t="s">
        <v>521</v>
      </c>
      <c r="E1578" t="s">
        <v>2364</v>
      </c>
      <c r="F1578" t="s">
        <v>2348</v>
      </c>
      <c r="G1578" t="s">
        <v>74</v>
      </c>
      <c r="H1578">
        <v>0</v>
      </c>
      <c r="I1578" s="60" t="s">
        <v>125</v>
      </c>
      <c r="J1578" s="33" t="s">
        <v>45</v>
      </c>
      <c r="K1578" s="46">
        <v>0</v>
      </c>
      <c r="L1578">
        <v>19.2</v>
      </c>
      <c r="M1578">
        <v>35.6</v>
      </c>
      <c r="N1578" s="46">
        <v>0</v>
      </c>
      <c r="O1578" s="46">
        <v>0</v>
      </c>
      <c r="P1578" s="46">
        <v>0</v>
      </c>
      <c r="Q1578" t="s">
        <v>48</v>
      </c>
      <c r="R1578" t="s">
        <v>48</v>
      </c>
      <c r="S1578" t="s">
        <v>2365</v>
      </c>
      <c r="T1578" t="s">
        <v>48</v>
      </c>
      <c r="U1578" t="s">
        <v>2365</v>
      </c>
      <c r="V1578" s="47">
        <v>0</v>
      </c>
      <c r="W1578" t="s">
        <v>48</v>
      </c>
      <c r="X1578" t="s">
        <v>48</v>
      </c>
      <c r="Y1578" t="s">
        <v>48</v>
      </c>
      <c r="Z1578">
        <v>0</v>
      </c>
      <c r="AA1578" t="s">
        <v>48</v>
      </c>
      <c r="AB1578" t="s">
        <v>48</v>
      </c>
      <c r="AC1578" t="s">
        <v>63</v>
      </c>
      <c r="AD1578" t="s">
        <v>93</v>
      </c>
      <c r="AE1578" t="s">
        <v>4532</v>
      </c>
      <c r="AF1578" t="s">
        <v>48</v>
      </c>
      <c r="AG1578" t="s">
        <v>266</v>
      </c>
      <c r="AH1578" t="s">
        <v>48</v>
      </c>
      <c r="AI1578" t="s">
        <v>48</v>
      </c>
      <c r="AJ1578" t="s">
        <v>48</v>
      </c>
      <c r="AK1578" t="s">
        <v>48</v>
      </c>
      <c r="AL1578" t="s">
        <v>48</v>
      </c>
      <c r="AM1578" t="s">
        <v>48</v>
      </c>
      <c r="AN1578" t="s">
        <v>48</v>
      </c>
      <c r="AO1578" t="s">
        <v>48</v>
      </c>
      <c r="AP1578" s="46">
        <v>0</v>
      </c>
      <c r="AQ1578" s="46">
        <v>0</v>
      </c>
      <c r="AR1578" s="46">
        <v>0</v>
      </c>
      <c r="AS1578" s="46">
        <v>0</v>
      </c>
      <c r="AT1578" s="46">
        <v>0</v>
      </c>
      <c r="AU1578" s="46">
        <v>0</v>
      </c>
      <c r="AV1578" s="46">
        <v>0</v>
      </c>
      <c r="AW1578" s="46">
        <v>0</v>
      </c>
      <c r="AX1578" s="46">
        <v>0</v>
      </c>
      <c r="AY1578" s="46">
        <v>0</v>
      </c>
      <c r="AZ1578" s="46">
        <v>0</v>
      </c>
      <c r="BA1578" s="46">
        <v>0</v>
      </c>
      <c r="BB1578" s="46">
        <v>0</v>
      </c>
      <c r="BC1578" s="46">
        <v>0</v>
      </c>
      <c r="BD1578" s="46">
        <v>0</v>
      </c>
      <c r="BE1578" s="46">
        <v>0</v>
      </c>
      <c r="BF1578" s="46">
        <v>0</v>
      </c>
      <c r="BG1578" s="46" t="s">
        <v>48</v>
      </c>
      <c r="BH1578" s="46">
        <v>0</v>
      </c>
      <c r="BI1578" s="46">
        <v>0</v>
      </c>
      <c r="BJ1578" s="46">
        <v>0</v>
      </c>
      <c r="BK1578" s="46">
        <v>0</v>
      </c>
      <c r="BL1578" s="46">
        <v>0</v>
      </c>
      <c r="BM1578" s="46">
        <v>0</v>
      </c>
      <c r="BN1578" s="46">
        <v>0</v>
      </c>
    </row>
    <row r="1579" spans="1:66" x14ac:dyDescent="0.35">
      <c r="A1579" t="s">
        <v>2376</v>
      </c>
      <c r="B1579" s="44" t="s">
        <v>48</v>
      </c>
      <c r="C1579" t="s">
        <v>2378</v>
      </c>
      <c r="D1579" t="s">
        <v>1868</v>
      </c>
      <c r="E1579" t="s">
        <v>2377</v>
      </c>
      <c r="F1579" t="s">
        <v>2348</v>
      </c>
      <c r="G1579" t="s">
        <v>47</v>
      </c>
      <c r="H1579">
        <v>0</v>
      </c>
      <c r="I1579" s="60" t="s">
        <v>51</v>
      </c>
      <c r="J1579" s="33" t="s">
        <v>45</v>
      </c>
      <c r="K1579" s="46">
        <v>0</v>
      </c>
      <c r="L1579">
        <v>4.7</v>
      </c>
      <c r="M1579" t="s">
        <v>48</v>
      </c>
      <c r="N1579" s="46">
        <v>0</v>
      </c>
      <c r="O1579" s="46">
        <v>0</v>
      </c>
      <c r="P1579" s="46">
        <v>0</v>
      </c>
      <c r="Q1579" t="s">
        <v>48</v>
      </c>
      <c r="R1579" t="s">
        <v>48</v>
      </c>
      <c r="S1579" t="s">
        <v>48</v>
      </c>
      <c r="T1579" t="s">
        <v>48</v>
      </c>
      <c r="U1579" t="s">
        <v>48</v>
      </c>
      <c r="V1579" s="47">
        <v>0</v>
      </c>
      <c r="W1579" t="s">
        <v>48</v>
      </c>
      <c r="X1579" t="s">
        <v>48</v>
      </c>
      <c r="Y1579" t="s">
        <v>48</v>
      </c>
      <c r="Z1579">
        <v>0</v>
      </c>
      <c r="AA1579" t="s">
        <v>48</v>
      </c>
      <c r="AB1579" t="s">
        <v>48</v>
      </c>
      <c r="AC1579" t="s">
        <v>49</v>
      </c>
      <c r="AD1579" t="s">
        <v>93</v>
      </c>
      <c r="AE1579" t="s">
        <v>4532</v>
      </c>
      <c r="AF1579" t="s">
        <v>48</v>
      </c>
      <c r="AG1579" t="s">
        <v>48</v>
      </c>
      <c r="AH1579" t="s">
        <v>48</v>
      </c>
      <c r="AI1579" t="s">
        <v>48</v>
      </c>
      <c r="AJ1579" t="s">
        <v>48</v>
      </c>
      <c r="AK1579" t="s">
        <v>48</v>
      </c>
      <c r="AL1579" t="s">
        <v>48</v>
      </c>
      <c r="AM1579" t="s">
        <v>48</v>
      </c>
      <c r="AN1579" t="s">
        <v>48</v>
      </c>
      <c r="AO1579" t="s">
        <v>48</v>
      </c>
      <c r="AP1579" s="46">
        <v>0</v>
      </c>
      <c r="AQ1579" s="46">
        <v>0</v>
      </c>
      <c r="AR1579" s="46">
        <v>0</v>
      </c>
      <c r="AS1579" s="46">
        <v>0</v>
      </c>
      <c r="AT1579" s="46">
        <v>0</v>
      </c>
      <c r="AU1579" s="46">
        <v>0</v>
      </c>
      <c r="AV1579" s="46">
        <v>0</v>
      </c>
      <c r="AW1579" s="46">
        <v>0</v>
      </c>
      <c r="AX1579" s="46">
        <v>0</v>
      </c>
      <c r="AY1579" s="46">
        <v>0</v>
      </c>
      <c r="AZ1579" s="46">
        <v>0</v>
      </c>
      <c r="BA1579" s="46">
        <v>0</v>
      </c>
      <c r="BB1579" s="46">
        <v>0</v>
      </c>
      <c r="BC1579" s="46">
        <v>0</v>
      </c>
      <c r="BD1579" s="46">
        <v>0</v>
      </c>
      <c r="BE1579" s="46">
        <v>0</v>
      </c>
      <c r="BF1579" s="46">
        <v>0</v>
      </c>
      <c r="BG1579" s="46" t="s">
        <v>48</v>
      </c>
      <c r="BH1579" s="46">
        <v>0</v>
      </c>
      <c r="BI1579" s="46">
        <v>0</v>
      </c>
      <c r="BJ1579" s="46">
        <v>0</v>
      </c>
      <c r="BK1579" s="46">
        <v>0</v>
      </c>
      <c r="BL1579" s="46">
        <v>0</v>
      </c>
      <c r="BM1579" s="46">
        <v>0</v>
      </c>
      <c r="BN1579" s="46">
        <v>0</v>
      </c>
    </row>
    <row r="1580" spans="1:66" x14ac:dyDescent="0.35">
      <c r="A1580" t="s">
        <v>2384</v>
      </c>
      <c r="B1580" s="44" t="s">
        <v>48</v>
      </c>
      <c r="C1580" t="s">
        <v>2387</v>
      </c>
      <c r="D1580" t="s">
        <v>777</v>
      </c>
      <c r="E1580" t="s">
        <v>2385</v>
      </c>
      <c r="F1580" t="s">
        <v>2348</v>
      </c>
      <c r="G1580" t="s">
        <v>47</v>
      </c>
      <c r="H1580">
        <v>0</v>
      </c>
      <c r="I1580" s="60" t="s">
        <v>51</v>
      </c>
      <c r="J1580" s="33" t="s">
        <v>45</v>
      </c>
      <c r="K1580" s="46">
        <v>0</v>
      </c>
      <c r="L1580">
        <v>4.5999999999999996</v>
      </c>
      <c r="M1580" t="s">
        <v>48</v>
      </c>
      <c r="N1580" s="46">
        <v>0</v>
      </c>
      <c r="O1580" s="46">
        <v>0</v>
      </c>
      <c r="P1580" s="46">
        <v>0</v>
      </c>
      <c r="Q1580" t="s">
        <v>48</v>
      </c>
      <c r="R1580" t="s">
        <v>48</v>
      </c>
      <c r="S1580" t="s">
        <v>2386</v>
      </c>
      <c r="T1580" t="s">
        <v>48</v>
      </c>
      <c r="U1580" t="s">
        <v>2386</v>
      </c>
      <c r="V1580" s="47">
        <v>0</v>
      </c>
      <c r="W1580" t="s">
        <v>48</v>
      </c>
      <c r="X1580" t="s">
        <v>48</v>
      </c>
      <c r="Y1580" t="s">
        <v>48</v>
      </c>
      <c r="Z1580">
        <v>0</v>
      </c>
      <c r="AA1580" t="s">
        <v>48</v>
      </c>
      <c r="AB1580" t="s">
        <v>48</v>
      </c>
      <c r="AC1580" t="s">
        <v>49</v>
      </c>
      <c r="AD1580" t="s">
        <v>93</v>
      </c>
      <c r="AE1580" t="s">
        <v>4532</v>
      </c>
      <c r="AF1580" t="s">
        <v>48</v>
      </c>
      <c r="AG1580" t="s">
        <v>266</v>
      </c>
      <c r="AH1580" t="s">
        <v>48</v>
      </c>
      <c r="AI1580" t="s">
        <v>48</v>
      </c>
      <c r="AJ1580" t="s">
        <v>48</v>
      </c>
      <c r="AK1580" t="s">
        <v>48</v>
      </c>
      <c r="AL1580" t="s">
        <v>48</v>
      </c>
      <c r="AM1580" t="s">
        <v>48</v>
      </c>
      <c r="AN1580" t="s">
        <v>48</v>
      </c>
      <c r="AO1580" t="s">
        <v>48</v>
      </c>
      <c r="AP1580" s="46">
        <v>0</v>
      </c>
      <c r="AQ1580" s="46">
        <v>0</v>
      </c>
      <c r="AR1580" s="46">
        <v>0</v>
      </c>
      <c r="AS1580" s="46">
        <v>0</v>
      </c>
      <c r="AT1580" s="46">
        <v>0</v>
      </c>
      <c r="AU1580" s="46">
        <v>0</v>
      </c>
      <c r="AV1580" s="46">
        <v>0</v>
      </c>
      <c r="AW1580" s="46">
        <v>0</v>
      </c>
      <c r="AX1580" s="46">
        <v>0</v>
      </c>
      <c r="AY1580" s="46">
        <v>0</v>
      </c>
      <c r="AZ1580" s="46">
        <v>0</v>
      </c>
      <c r="BA1580" s="46">
        <v>0</v>
      </c>
      <c r="BB1580" s="46">
        <v>0</v>
      </c>
      <c r="BC1580" s="46">
        <v>0</v>
      </c>
      <c r="BD1580" s="46">
        <v>0</v>
      </c>
      <c r="BE1580" s="46">
        <v>0</v>
      </c>
      <c r="BF1580" s="46">
        <v>0</v>
      </c>
      <c r="BG1580" s="46" t="s">
        <v>48</v>
      </c>
      <c r="BH1580" s="46">
        <v>0</v>
      </c>
      <c r="BI1580" s="46">
        <v>0</v>
      </c>
      <c r="BJ1580" s="46">
        <v>0</v>
      </c>
      <c r="BK1580" s="46">
        <v>0</v>
      </c>
      <c r="BL1580" s="46">
        <v>0</v>
      </c>
      <c r="BM1580" s="46">
        <v>0</v>
      </c>
      <c r="BN1580" s="46">
        <v>0</v>
      </c>
    </row>
    <row r="1581" spans="1:66" x14ac:dyDescent="0.35">
      <c r="A1581" t="s">
        <v>2353</v>
      </c>
      <c r="B1581" s="44" t="s">
        <v>48</v>
      </c>
      <c r="C1581" t="s">
        <v>2356</v>
      </c>
      <c r="D1581" t="s">
        <v>437</v>
      </c>
      <c r="E1581" t="s">
        <v>2354</v>
      </c>
      <c r="F1581" t="s">
        <v>2348</v>
      </c>
      <c r="G1581" t="s">
        <v>47</v>
      </c>
      <c r="H1581">
        <v>0</v>
      </c>
      <c r="I1581" s="60" t="s">
        <v>51</v>
      </c>
      <c r="J1581" s="33" t="s">
        <v>45</v>
      </c>
      <c r="K1581" s="46">
        <v>0</v>
      </c>
      <c r="L1581">
        <v>13.3</v>
      </c>
      <c r="M1581" t="s">
        <v>48</v>
      </c>
      <c r="N1581" s="46">
        <v>0</v>
      </c>
      <c r="O1581" s="46">
        <v>0</v>
      </c>
      <c r="P1581" s="46">
        <v>0</v>
      </c>
      <c r="Q1581" t="s">
        <v>48</v>
      </c>
      <c r="R1581" t="s">
        <v>48</v>
      </c>
      <c r="S1581" t="s">
        <v>2355</v>
      </c>
      <c r="T1581" t="s">
        <v>48</v>
      </c>
      <c r="U1581" t="s">
        <v>2355</v>
      </c>
      <c r="V1581" s="47">
        <v>0</v>
      </c>
      <c r="W1581" t="s">
        <v>48</v>
      </c>
      <c r="X1581" t="s">
        <v>48</v>
      </c>
      <c r="Y1581" t="s">
        <v>48</v>
      </c>
      <c r="Z1581">
        <v>0</v>
      </c>
      <c r="AA1581" t="s">
        <v>48</v>
      </c>
      <c r="AB1581" t="s">
        <v>48</v>
      </c>
      <c r="AC1581" t="s">
        <v>49</v>
      </c>
      <c r="AD1581" t="s">
        <v>93</v>
      </c>
      <c r="AE1581" t="s">
        <v>4532</v>
      </c>
      <c r="AF1581" t="s">
        <v>48</v>
      </c>
      <c r="AG1581" t="s">
        <v>151</v>
      </c>
      <c r="AH1581" t="s">
        <v>48</v>
      </c>
      <c r="AI1581" t="s">
        <v>48</v>
      </c>
      <c r="AJ1581" t="s">
        <v>48</v>
      </c>
      <c r="AK1581" t="s">
        <v>48</v>
      </c>
      <c r="AL1581" t="s">
        <v>48</v>
      </c>
      <c r="AM1581" t="s">
        <v>48</v>
      </c>
      <c r="AN1581" t="s">
        <v>48</v>
      </c>
      <c r="AO1581" t="s">
        <v>48</v>
      </c>
      <c r="AP1581" s="46">
        <v>0</v>
      </c>
      <c r="AQ1581" s="46">
        <v>0</v>
      </c>
      <c r="AR1581" s="46">
        <v>0</v>
      </c>
      <c r="AS1581" s="46">
        <v>0</v>
      </c>
      <c r="AT1581" s="46">
        <v>0</v>
      </c>
      <c r="AU1581" s="46">
        <v>0</v>
      </c>
      <c r="AV1581" s="46">
        <v>0</v>
      </c>
      <c r="AW1581" s="46">
        <v>0</v>
      </c>
      <c r="AX1581" s="46">
        <v>0</v>
      </c>
      <c r="AY1581" s="46">
        <v>0</v>
      </c>
      <c r="AZ1581" s="46">
        <v>0</v>
      </c>
      <c r="BA1581" s="46">
        <v>0</v>
      </c>
      <c r="BB1581" s="46">
        <v>0</v>
      </c>
      <c r="BC1581" s="46">
        <v>0</v>
      </c>
      <c r="BD1581" s="46">
        <v>0</v>
      </c>
      <c r="BE1581" s="46">
        <v>0</v>
      </c>
      <c r="BF1581" s="46">
        <v>0</v>
      </c>
      <c r="BG1581" s="46" t="s">
        <v>48</v>
      </c>
      <c r="BH1581" s="46">
        <v>0</v>
      </c>
      <c r="BI1581" s="46">
        <v>0</v>
      </c>
      <c r="BJ1581" s="46">
        <v>0</v>
      </c>
      <c r="BK1581" s="46">
        <v>0</v>
      </c>
      <c r="BL1581" s="46">
        <v>0</v>
      </c>
      <c r="BM1581" s="46">
        <v>0</v>
      </c>
      <c r="BN1581" s="46">
        <v>0</v>
      </c>
    </row>
    <row r="1582" spans="1:66" x14ac:dyDescent="0.35">
      <c r="A1582" t="s">
        <v>2346</v>
      </c>
      <c r="B1582" s="44" t="s">
        <v>48</v>
      </c>
      <c r="C1582" t="s">
        <v>2347</v>
      </c>
      <c r="D1582" t="s">
        <v>437</v>
      </c>
      <c r="E1582" t="s">
        <v>7981</v>
      </c>
      <c r="F1582" t="s">
        <v>2348</v>
      </c>
      <c r="G1582" t="s">
        <v>74</v>
      </c>
      <c r="H1582">
        <v>0</v>
      </c>
      <c r="I1582" s="61">
        <v>44719</v>
      </c>
      <c r="J1582" s="33" t="s">
        <v>45</v>
      </c>
      <c r="K1582" s="46">
        <v>0</v>
      </c>
      <c r="L1582">
        <v>8.1999999999999993</v>
      </c>
      <c r="M1582" t="s">
        <v>48</v>
      </c>
      <c r="N1582" s="46">
        <v>0</v>
      </c>
      <c r="O1582" s="46">
        <v>0</v>
      </c>
      <c r="P1582" s="46">
        <v>0</v>
      </c>
      <c r="Q1582" t="s">
        <v>48</v>
      </c>
      <c r="R1582" t="s">
        <v>48</v>
      </c>
      <c r="S1582" t="s">
        <v>10088</v>
      </c>
      <c r="T1582" t="s">
        <v>48</v>
      </c>
      <c r="U1582" t="s">
        <v>10088</v>
      </c>
      <c r="V1582" s="47">
        <v>0</v>
      </c>
      <c r="W1582" t="s">
        <v>48</v>
      </c>
      <c r="X1582" t="s">
        <v>48</v>
      </c>
      <c r="Y1582" t="s">
        <v>48</v>
      </c>
      <c r="Z1582">
        <v>0</v>
      </c>
      <c r="AA1582" t="s">
        <v>48</v>
      </c>
      <c r="AB1582" t="s">
        <v>48</v>
      </c>
      <c r="AC1582" t="s">
        <v>49</v>
      </c>
      <c r="AD1582" t="s">
        <v>93</v>
      </c>
      <c r="AE1582" t="s">
        <v>2471</v>
      </c>
      <c r="AF1582" t="s">
        <v>48</v>
      </c>
      <c r="AG1582" t="s">
        <v>48</v>
      </c>
      <c r="AH1582" t="s">
        <v>48</v>
      </c>
      <c r="AI1582" t="s">
        <v>48</v>
      </c>
      <c r="AJ1582" t="s">
        <v>48</v>
      </c>
      <c r="AK1582" t="s">
        <v>48</v>
      </c>
      <c r="AL1582" t="s">
        <v>48</v>
      </c>
      <c r="AM1582" t="s">
        <v>48</v>
      </c>
      <c r="AN1582" t="s">
        <v>48</v>
      </c>
      <c r="AO1582" t="s">
        <v>48</v>
      </c>
      <c r="AP1582" s="46">
        <v>0</v>
      </c>
      <c r="AQ1582" s="46">
        <v>0</v>
      </c>
      <c r="AR1582" s="46">
        <v>0</v>
      </c>
      <c r="AS1582" s="46">
        <v>0</v>
      </c>
      <c r="AT1582" s="46">
        <v>0</v>
      </c>
      <c r="AU1582" s="46">
        <v>0</v>
      </c>
      <c r="AV1582" s="46">
        <v>0</v>
      </c>
      <c r="AW1582" s="46">
        <v>0</v>
      </c>
      <c r="AX1582" s="46">
        <v>0</v>
      </c>
      <c r="AY1582" s="46">
        <v>0</v>
      </c>
      <c r="AZ1582" s="46">
        <v>0</v>
      </c>
      <c r="BA1582" s="46">
        <v>0</v>
      </c>
      <c r="BB1582" s="46">
        <v>0</v>
      </c>
      <c r="BC1582" s="46">
        <v>0</v>
      </c>
      <c r="BD1582" s="46">
        <v>0</v>
      </c>
      <c r="BE1582" s="46">
        <v>0</v>
      </c>
      <c r="BF1582" s="46">
        <v>0</v>
      </c>
      <c r="BG1582" s="46" t="s">
        <v>48</v>
      </c>
      <c r="BH1582" s="46">
        <v>0</v>
      </c>
      <c r="BI1582" s="46">
        <v>0</v>
      </c>
      <c r="BJ1582" s="46">
        <v>0</v>
      </c>
      <c r="BK1582" s="46">
        <v>0</v>
      </c>
      <c r="BL1582" s="46">
        <v>0</v>
      </c>
      <c r="BM1582" s="46">
        <v>0</v>
      </c>
      <c r="BN1582" s="46">
        <v>0</v>
      </c>
    </row>
    <row r="1583" spans="1:66" x14ac:dyDescent="0.35">
      <c r="A1583" t="s">
        <v>2367</v>
      </c>
      <c r="B1583" s="44" t="s">
        <v>48</v>
      </c>
      <c r="C1583" t="s">
        <v>2370</v>
      </c>
      <c r="D1583" t="s">
        <v>379</v>
      </c>
      <c r="E1583" t="s">
        <v>2368</v>
      </c>
      <c r="F1583" t="s">
        <v>2348</v>
      </c>
      <c r="G1583" t="s">
        <v>74</v>
      </c>
      <c r="H1583">
        <v>0</v>
      </c>
      <c r="I1583" s="60" t="s">
        <v>51</v>
      </c>
      <c r="J1583" s="33" t="s">
        <v>45</v>
      </c>
      <c r="K1583" s="46">
        <v>0</v>
      </c>
      <c r="L1583">
        <v>18.899999999999999</v>
      </c>
      <c r="M1583" t="s">
        <v>48</v>
      </c>
      <c r="N1583" s="46">
        <v>0</v>
      </c>
      <c r="O1583" s="46">
        <v>0</v>
      </c>
      <c r="P1583" s="46">
        <v>0</v>
      </c>
      <c r="Q1583" t="s">
        <v>48</v>
      </c>
      <c r="R1583" t="s">
        <v>48</v>
      </c>
      <c r="S1583" t="s">
        <v>2369</v>
      </c>
      <c r="T1583" t="s">
        <v>48</v>
      </c>
      <c r="U1583" t="s">
        <v>2369</v>
      </c>
      <c r="V1583" s="47">
        <v>1</v>
      </c>
      <c r="W1583" t="s">
        <v>48</v>
      </c>
      <c r="X1583" t="s">
        <v>48</v>
      </c>
      <c r="Y1583" t="s">
        <v>48</v>
      </c>
      <c r="Z1583">
        <v>0</v>
      </c>
      <c r="AA1583" t="s">
        <v>48</v>
      </c>
      <c r="AB1583" t="s">
        <v>48</v>
      </c>
      <c r="AC1583" t="s">
        <v>63</v>
      </c>
      <c r="AD1583" t="s">
        <v>93</v>
      </c>
      <c r="AE1583" s="40" t="s">
        <v>2471</v>
      </c>
      <c r="AF1583" t="s">
        <v>11061</v>
      </c>
      <c r="AG1583" t="s">
        <v>479</v>
      </c>
      <c r="AH1583" t="s">
        <v>48</v>
      </c>
      <c r="AI1583" t="s">
        <v>48</v>
      </c>
      <c r="AJ1583" t="s">
        <v>48</v>
      </c>
      <c r="AK1583" t="s">
        <v>48</v>
      </c>
      <c r="AL1583" t="s">
        <v>48</v>
      </c>
      <c r="AM1583" t="s">
        <v>48</v>
      </c>
      <c r="AN1583" t="s">
        <v>48</v>
      </c>
      <c r="AO1583" t="s">
        <v>48</v>
      </c>
      <c r="AP1583" s="46">
        <v>0</v>
      </c>
      <c r="AQ1583" s="46">
        <v>0</v>
      </c>
      <c r="AR1583" s="46">
        <v>0</v>
      </c>
      <c r="AS1583" s="46">
        <v>0</v>
      </c>
      <c r="AT1583" s="46">
        <v>0</v>
      </c>
      <c r="AU1583" s="46">
        <v>0</v>
      </c>
      <c r="AV1583" s="46">
        <v>0</v>
      </c>
      <c r="AW1583" s="46">
        <v>0</v>
      </c>
      <c r="AX1583" s="46">
        <v>0</v>
      </c>
      <c r="AY1583" s="46">
        <v>0</v>
      </c>
      <c r="AZ1583" s="46">
        <v>0</v>
      </c>
      <c r="BA1583" s="46">
        <v>0</v>
      </c>
      <c r="BB1583" s="46">
        <v>0</v>
      </c>
      <c r="BC1583" s="46">
        <v>0</v>
      </c>
      <c r="BD1583" s="46">
        <v>0</v>
      </c>
      <c r="BE1583" s="46">
        <v>0</v>
      </c>
      <c r="BF1583" s="46">
        <v>0</v>
      </c>
      <c r="BG1583" s="46" t="s">
        <v>48</v>
      </c>
      <c r="BH1583" s="46">
        <v>0</v>
      </c>
      <c r="BI1583" s="46">
        <v>0</v>
      </c>
      <c r="BJ1583" s="46">
        <v>0</v>
      </c>
      <c r="BK1583" s="46">
        <v>0</v>
      </c>
      <c r="BL1583" s="46">
        <v>0</v>
      </c>
      <c r="BM1583" s="46">
        <v>0</v>
      </c>
      <c r="BN1583" s="46">
        <v>0</v>
      </c>
    </row>
    <row r="1584" spans="1:66" x14ac:dyDescent="0.35">
      <c r="A1584" t="s">
        <v>2349</v>
      </c>
      <c r="B1584" s="44" t="s">
        <v>48</v>
      </c>
      <c r="C1584" t="s">
        <v>2352</v>
      </c>
      <c r="D1584" t="s">
        <v>849</v>
      </c>
      <c r="E1584" t="s">
        <v>2350</v>
      </c>
      <c r="F1584" t="s">
        <v>2348</v>
      </c>
      <c r="G1584" t="s">
        <v>47</v>
      </c>
      <c r="H1584">
        <v>0</v>
      </c>
      <c r="I1584" s="60" t="s">
        <v>51</v>
      </c>
      <c r="J1584" s="33" t="s">
        <v>45</v>
      </c>
      <c r="K1584" s="46">
        <v>0</v>
      </c>
      <c r="L1584">
        <v>14.3</v>
      </c>
      <c r="M1584" t="s">
        <v>48</v>
      </c>
      <c r="N1584" s="46">
        <v>0</v>
      </c>
      <c r="O1584" s="46">
        <v>0</v>
      </c>
      <c r="P1584" s="46">
        <v>0</v>
      </c>
      <c r="Q1584" t="s">
        <v>48</v>
      </c>
      <c r="R1584" t="s">
        <v>48</v>
      </c>
      <c r="S1584" t="s">
        <v>2351</v>
      </c>
      <c r="T1584" t="s">
        <v>48</v>
      </c>
      <c r="U1584" t="s">
        <v>2351</v>
      </c>
      <c r="V1584" s="47">
        <v>0</v>
      </c>
      <c r="W1584" t="s">
        <v>11317</v>
      </c>
      <c r="X1584" t="s">
        <v>48</v>
      </c>
      <c r="Y1584" t="s">
        <v>48</v>
      </c>
      <c r="Z1584">
        <v>0</v>
      </c>
      <c r="AA1584" t="s">
        <v>48</v>
      </c>
      <c r="AB1584" t="s">
        <v>48</v>
      </c>
      <c r="AC1584" t="s">
        <v>49</v>
      </c>
      <c r="AD1584" t="s">
        <v>93</v>
      </c>
      <c r="AE1584" t="s">
        <v>4532</v>
      </c>
      <c r="AF1584" t="s">
        <v>48</v>
      </c>
      <c r="AG1584" t="s">
        <v>48</v>
      </c>
      <c r="AH1584" t="s">
        <v>48</v>
      </c>
      <c r="AI1584" t="s">
        <v>48</v>
      </c>
      <c r="AJ1584" t="s">
        <v>48</v>
      </c>
      <c r="AK1584" t="s">
        <v>48</v>
      </c>
      <c r="AL1584" t="s">
        <v>48</v>
      </c>
      <c r="AM1584" t="s">
        <v>48</v>
      </c>
      <c r="AN1584" t="s">
        <v>48</v>
      </c>
      <c r="AO1584" t="s">
        <v>48</v>
      </c>
      <c r="AP1584" s="46">
        <v>0</v>
      </c>
      <c r="AQ1584" s="46">
        <v>0</v>
      </c>
      <c r="AR1584" s="46">
        <v>0</v>
      </c>
      <c r="AS1584" s="46">
        <v>0</v>
      </c>
      <c r="AT1584" s="46">
        <v>0</v>
      </c>
      <c r="AU1584" s="46">
        <v>0</v>
      </c>
      <c r="AV1584" s="46">
        <v>0</v>
      </c>
      <c r="AW1584" s="46">
        <v>0</v>
      </c>
      <c r="AX1584" s="46">
        <v>0</v>
      </c>
      <c r="AY1584" s="46">
        <v>0</v>
      </c>
      <c r="AZ1584" s="46">
        <v>0</v>
      </c>
      <c r="BA1584" s="46">
        <v>0</v>
      </c>
      <c r="BB1584" s="46">
        <v>0</v>
      </c>
      <c r="BC1584" s="46">
        <v>0</v>
      </c>
      <c r="BD1584" s="46">
        <v>0</v>
      </c>
      <c r="BE1584" s="46">
        <v>0</v>
      </c>
      <c r="BF1584" s="46">
        <v>0</v>
      </c>
      <c r="BG1584" s="46" t="s">
        <v>48</v>
      </c>
      <c r="BH1584" s="46">
        <v>0</v>
      </c>
      <c r="BI1584" s="46">
        <v>0</v>
      </c>
      <c r="BJ1584" s="46">
        <v>0</v>
      </c>
      <c r="BK1584" s="46">
        <v>0</v>
      </c>
      <c r="BL1584" s="46">
        <v>0</v>
      </c>
      <c r="BM1584" s="46">
        <v>0</v>
      </c>
      <c r="BN1584" s="46">
        <v>0</v>
      </c>
    </row>
    <row r="1585" spans="1:66" x14ac:dyDescent="0.35">
      <c r="A1585" t="s">
        <v>2372</v>
      </c>
      <c r="B1585" s="44" t="s">
        <v>48</v>
      </c>
      <c r="C1585" t="s">
        <v>886</v>
      </c>
      <c r="D1585" t="s">
        <v>2375</v>
      </c>
      <c r="E1585" t="s">
        <v>2373</v>
      </c>
      <c r="F1585" t="s">
        <v>2348</v>
      </c>
      <c r="G1585" t="s">
        <v>47</v>
      </c>
      <c r="H1585">
        <v>0</v>
      </c>
      <c r="I1585" s="60" t="s">
        <v>125</v>
      </c>
      <c r="J1585" s="33" t="s">
        <v>45</v>
      </c>
      <c r="K1585" s="46">
        <v>0</v>
      </c>
      <c r="L1585">
        <v>21.5</v>
      </c>
      <c r="M1585">
        <v>25.5</v>
      </c>
      <c r="N1585" s="46">
        <v>0</v>
      </c>
      <c r="O1585" s="46">
        <v>0</v>
      </c>
      <c r="P1585" s="46">
        <v>0</v>
      </c>
      <c r="Q1585" t="s">
        <v>48</v>
      </c>
      <c r="R1585" t="s">
        <v>48</v>
      </c>
      <c r="S1585" t="s">
        <v>2374</v>
      </c>
      <c r="T1585" t="s">
        <v>48</v>
      </c>
      <c r="U1585" t="s">
        <v>2374</v>
      </c>
      <c r="V1585" s="47">
        <v>0</v>
      </c>
      <c r="W1585" t="s">
        <v>11317</v>
      </c>
      <c r="X1585" t="s">
        <v>48</v>
      </c>
      <c r="Y1585" t="s">
        <v>48</v>
      </c>
      <c r="Z1585">
        <v>0</v>
      </c>
      <c r="AA1585" t="s">
        <v>48</v>
      </c>
      <c r="AB1585" t="s">
        <v>48</v>
      </c>
      <c r="AC1585" t="s">
        <v>49</v>
      </c>
      <c r="AD1585" t="s">
        <v>93</v>
      </c>
      <c r="AE1585" s="40" t="s">
        <v>2471</v>
      </c>
      <c r="AF1585" t="s">
        <v>11061</v>
      </c>
      <c r="AG1585" t="s">
        <v>48</v>
      </c>
      <c r="AH1585" t="s">
        <v>48</v>
      </c>
      <c r="AI1585" t="s">
        <v>48</v>
      </c>
      <c r="AJ1585" t="s">
        <v>48</v>
      </c>
      <c r="AK1585" t="s">
        <v>48</v>
      </c>
      <c r="AL1585" t="s">
        <v>48</v>
      </c>
      <c r="AM1585" t="s">
        <v>48</v>
      </c>
      <c r="AN1585" t="s">
        <v>48</v>
      </c>
      <c r="AO1585" t="s">
        <v>48</v>
      </c>
      <c r="AP1585" s="46">
        <v>0</v>
      </c>
      <c r="AQ1585" s="46">
        <v>0</v>
      </c>
      <c r="AR1585" s="46">
        <v>0</v>
      </c>
      <c r="AS1585" s="46">
        <v>0</v>
      </c>
      <c r="AT1585" s="46">
        <v>0</v>
      </c>
      <c r="AU1585" s="46">
        <v>0</v>
      </c>
      <c r="AV1585" s="46">
        <v>0</v>
      </c>
      <c r="AW1585" s="46">
        <v>0</v>
      </c>
      <c r="AX1585" s="46">
        <v>0</v>
      </c>
      <c r="AY1585" s="46">
        <v>0</v>
      </c>
      <c r="AZ1585" s="46">
        <v>0</v>
      </c>
      <c r="BA1585" s="46">
        <v>0</v>
      </c>
      <c r="BB1585" s="46">
        <v>0</v>
      </c>
      <c r="BC1585" s="46">
        <v>1</v>
      </c>
      <c r="BD1585" s="46">
        <v>0</v>
      </c>
      <c r="BE1585" s="46">
        <v>0</v>
      </c>
      <c r="BF1585" s="46">
        <v>0</v>
      </c>
      <c r="BG1585" s="46" t="s">
        <v>48</v>
      </c>
      <c r="BH1585" s="46">
        <v>0</v>
      </c>
      <c r="BI1585" s="46">
        <v>0</v>
      </c>
      <c r="BJ1585" s="46">
        <v>0</v>
      </c>
      <c r="BK1585" s="46">
        <v>0</v>
      </c>
      <c r="BL1585" s="46">
        <v>0</v>
      </c>
      <c r="BM1585" s="46">
        <v>0</v>
      </c>
      <c r="BN1585" s="46">
        <v>0</v>
      </c>
    </row>
    <row r="1586" spans="1:66" x14ac:dyDescent="0.35">
      <c r="A1586" t="s">
        <v>2418</v>
      </c>
      <c r="B1586" s="44" t="s">
        <v>48</v>
      </c>
      <c r="C1586" t="s">
        <v>2422</v>
      </c>
      <c r="D1586" t="s">
        <v>2421</v>
      </c>
      <c r="E1586" t="s">
        <v>2419</v>
      </c>
      <c r="F1586" t="s">
        <v>2410</v>
      </c>
      <c r="G1586" t="s">
        <v>47</v>
      </c>
      <c r="H1586">
        <v>0</v>
      </c>
      <c r="I1586" s="60" t="s">
        <v>149</v>
      </c>
      <c r="J1586" s="33" t="s">
        <v>45</v>
      </c>
      <c r="K1586" s="46">
        <v>0</v>
      </c>
      <c r="L1586">
        <v>22.7</v>
      </c>
      <c r="M1586" t="s">
        <v>48</v>
      </c>
      <c r="N1586" s="46">
        <v>0</v>
      </c>
      <c r="O1586" s="46">
        <v>0</v>
      </c>
      <c r="P1586" s="46">
        <v>0</v>
      </c>
      <c r="Q1586" t="s">
        <v>48</v>
      </c>
      <c r="R1586" t="s">
        <v>48</v>
      </c>
      <c r="S1586" t="s">
        <v>2420</v>
      </c>
      <c r="T1586" t="s">
        <v>48</v>
      </c>
      <c r="U1586" t="s">
        <v>2420</v>
      </c>
      <c r="V1586" s="47">
        <v>1</v>
      </c>
      <c r="W1586" t="s">
        <v>48</v>
      </c>
      <c r="X1586" t="s">
        <v>48</v>
      </c>
      <c r="Y1586" t="s">
        <v>48</v>
      </c>
      <c r="Z1586">
        <v>0</v>
      </c>
      <c r="AA1586" t="s">
        <v>48</v>
      </c>
      <c r="AB1586" t="s">
        <v>48</v>
      </c>
      <c r="AC1586" t="s">
        <v>63</v>
      </c>
      <c r="AD1586" t="s">
        <v>93</v>
      </c>
      <c r="AE1586" t="s">
        <v>4532</v>
      </c>
      <c r="AF1586" t="s">
        <v>48</v>
      </c>
      <c r="AG1586" t="s">
        <v>48</v>
      </c>
      <c r="AH1586" t="s">
        <v>48</v>
      </c>
      <c r="AI1586" t="s">
        <v>48</v>
      </c>
      <c r="AJ1586" t="s">
        <v>48</v>
      </c>
      <c r="AK1586" t="s">
        <v>48</v>
      </c>
      <c r="AL1586" t="s">
        <v>48</v>
      </c>
      <c r="AM1586" t="s">
        <v>48</v>
      </c>
      <c r="AN1586" t="s">
        <v>48</v>
      </c>
      <c r="AO1586" t="s">
        <v>48</v>
      </c>
      <c r="AP1586" s="46">
        <v>0</v>
      </c>
      <c r="AQ1586" s="46">
        <v>0</v>
      </c>
      <c r="AR1586" s="46">
        <v>0</v>
      </c>
      <c r="AS1586" s="46">
        <v>0</v>
      </c>
      <c r="AT1586" s="46">
        <v>0</v>
      </c>
      <c r="AU1586" s="46">
        <v>0</v>
      </c>
      <c r="AV1586" s="46">
        <v>0</v>
      </c>
      <c r="AW1586" s="46">
        <v>0</v>
      </c>
      <c r="AX1586" s="46">
        <v>0</v>
      </c>
      <c r="AY1586" s="46">
        <v>0</v>
      </c>
      <c r="AZ1586" s="46">
        <v>0</v>
      </c>
      <c r="BA1586" s="46">
        <v>0</v>
      </c>
      <c r="BB1586" s="46">
        <v>0</v>
      </c>
      <c r="BC1586" s="46">
        <v>0</v>
      </c>
      <c r="BD1586" s="46">
        <v>0</v>
      </c>
      <c r="BE1586" s="46">
        <v>0</v>
      </c>
      <c r="BF1586" s="46">
        <v>0</v>
      </c>
      <c r="BG1586" s="46" t="s">
        <v>48</v>
      </c>
      <c r="BH1586" s="46">
        <v>0</v>
      </c>
      <c r="BI1586" s="46">
        <v>0</v>
      </c>
      <c r="BJ1586" s="46">
        <v>0</v>
      </c>
      <c r="BK1586" s="46">
        <v>0</v>
      </c>
      <c r="BL1586" s="46">
        <v>0</v>
      </c>
      <c r="BM1586" s="46">
        <v>0</v>
      </c>
      <c r="BN1586" s="46">
        <v>0</v>
      </c>
    </row>
    <row r="1587" spans="1:66" x14ac:dyDescent="0.35">
      <c r="A1587" t="s">
        <v>7986</v>
      </c>
      <c r="B1587" s="44" t="s">
        <v>48</v>
      </c>
      <c r="C1587" t="s">
        <v>853</v>
      </c>
      <c r="D1587" t="s">
        <v>11873</v>
      </c>
      <c r="E1587" t="s">
        <v>7987</v>
      </c>
      <c r="F1587" t="s">
        <v>2410</v>
      </c>
      <c r="G1587" t="s">
        <v>47</v>
      </c>
      <c r="H1587">
        <v>0</v>
      </c>
      <c r="I1587" s="61">
        <v>44719</v>
      </c>
      <c r="J1587" s="33" t="s">
        <v>45</v>
      </c>
      <c r="K1587" s="46">
        <v>0</v>
      </c>
      <c r="L1587">
        <v>20.100000000000001</v>
      </c>
      <c r="M1587" t="s">
        <v>48</v>
      </c>
      <c r="N1587" s="46">
        <v>0</v>
      </c>
      <c r="O1587" s="46">
        <v>0</v>
      </c>
      <c r="P1587" s="46">
        <v>0</v>
      </c>
      <c r="Q1587" t="s">
        <v>48</v>
      </c>
      <c r="R1587" t="s">
        <v>48</v>
      </c>
      <c r="S1587" t="s">
        <v>48</v>
      </c>
      <c r="T1587" t="s">
        <v>48</v>
      </c>
      <c r="U1587" t="s">
        <v>48</v>
      </c>
      <c r="V1587" s="47">
        <v>0</v>
      </c>
      <c r="W1587" t="s">
        <v>48</v>
      </c>
      <c r="X1587" t="s">
        <v>48</v>
      </c>
      <c r="Y1587" t="s">
        <v>48</v>
      </c>
      <c r="Z1587" t="s">
        <v>48</v>
      </c>
      <c r="AA1587" t="s">
        <v>48</v>
      </c>
      <c r="AB1587" t="s">
        <v>48</v>
      </c>
      <c r="AC1587" t="s">
        <v>63</v>
      </c>
      <c r="AD1587" t="s">
        <v>93</v>
      </c>
      <c r="AE1587" t="s">
        <v>2471</v>
      </c>
      <c r="AF1587" t="s">
        <v>48</v>
      </c>
      <c r="AG1587" t="s">
        <v>48</v>
      </c>
      <c r="AH1587" t="s">
        <v>48</v>
      </c>
      <c r="AI1587" t="s">
        <v>48</v>
      </c>
      <c r="AJ1587" t="s">
        <v>48</v>
      </c>
      <c r="AK1587" t="s">
        <v>48</v>
      </c>
      <c r="AL1587" t="s">
        <v>48</v>
      </c>
      <c r="AM1587" t="s">
        <v>48</v>
      </c>
      <c r="AN1587" t="s">
        <v>48</v>
      </c>
      <c r="AO1587" t="s">
        <v>48</v>
      </c>
      <c r="AP1587" s="46">
        <v>0</v>
      </c>
      <c r="AQ1587" s="46">
        <v>0</v>
      </c>
      <c r="AR1587" s="46">
        <v>0</v>
      </c>
      <c r="AS1587" s="46">
        <v>0</v>
      </c>
      <c r="AT1587" s="46">
        <v>0</v>
      </c>
      <c r="AU1587" s="46">
        <v>0</v>
      </c>
      <c r="AV1587" s="46">
        <v>0</v>
      </c>
      <c r="AW1587" s="46">
        <v>0</v>
      </c>
      <c r="AX1587" s="46">
        <v>0</v>
      </c>
      <c r="AY1587" s="46">
        <v>0</v>
      </c>
      <c r="AZ1587" s="46">
        <v>0</v>
      </c>
      <c r="BA1587" s="46">
        <v>0</v>
      </c>
      <c r="BB1587" s="46">
        <v>0</v>
      </c>
      <c r="BC1587" s="46">
        <v>0</v>
      </c>
      <c r="BD1587" s="46">
        <v>0</v>
      </c>
      <c r="BE1587" s="46">
        <v>0</v>
      </c>
      <c r="BF1587" s="46">
        <v>0</v>
      </c>
      <c r="BG1587" s="46" t="s">
        <v>48</v>
      </c>
      <c r="BH1587" s="46">
        <v>0</v>
      </c>
      <c r="BI1587" s="46">
        <v>0</v>
      </c>
      <c r="BJ1587" s="46">
        <v>0</v>
      </c>
      <c r="BK1587" s="46">
        <v>0</v>
      </c>
      <c r="BL1587" s="46">
        <v>0</v>
      </c>
      <c r="BM1587" s="46">
        <v>0</v>
      </c>
      <c r="BN1587" s="46">
        <v>0</v>
      </c>
    </row>
    <row r="1588" spans="1:66" x14ac:dyDescent="0.35">
      <c r="A1588" t="s">
        <v>2409</v>
      </c>
      <c r="B1588" s="44" t="s">
        <v>48</v>
      </c>
      <c r="C1588" t="s">
        <v>2412</v>
      </c>
      <c r="D1588" t="s">
        <v>655</v>
      </c>
      <c r="E1588" t="s">
        <v>2411</v>
      </c>
      <c r="F1588" t="s">
        <v>2410</v>
      </c>
      <c r="G1588" t="s">
        <v>74</v>
      </c>
      <c r="H1588">
        <v>0</v>
      </c>
      <c r="I1588" s="60" t="s">
        <v>149</v>
      </c>
      <c r="J1588" s="33" t="s">
        <v>45</v>
      </c>
      <c r="K1588" s="46">
        <v>0</v>
      </c>
      <c r="L1588">
        <v>12.6</v>
      </c>
      <c r="M1588" t="s">
        <v>48</v>
      </c>
      <c r="N1588" s="46">
        <v>0</v>
      </c>
      <c r="O1588" s="46">
        <v>0</v>
      </c>
      <c r="P1588" s="46">
        <v>0</v>
      </c>
      <c r="Q1588" t="s">
        <v>48</v>
      </c>
      <c r="R1588" t="s">
        <v>48</v>
      </c>
      <c r="S1588" t="s">
        <v>48</v>
      </c>
      <c r="T1588" t="s">
        <v>48</v>
      </c>
      <c r="U1588" t="s">
        <v>48</v>
      </c>
      <c r="V1588" s="47">
        <v>1</v>
      </c>
      <c r="W1588" t="s">
        <v>48</v>
      </c>
      <c r="X1588" t="s">
        <v>48</v>
      </c>
      <c r="Y1588" t="s">
        <v>48</v>
      </c>
      <c r="Z1588">
        <v>0</v>
      </c>
      <c r="AA1588" t="s">
        <v>48</v>
      </c>
      <c r="AB1588" t="s">
        <v>48</v>
      </c>
      <c r="AC1588" t="s">
        <v>49</v>
      </c>
      <c r="AD1588" t="s">
        <v>93</v>
      </c>
      <c r="AE1588" s="40" t="s">
        <v>2471</v>
      </c>
      <c r="AF1588" t="s">
        <v>11061</v>
      </c>
      <c r="AG1588" t="s">
        <v>48</v>
      </c>
      <c r="AH1588" t="s">
        <v>48</v>
      </c>
      <c r="AI1588" t="s">
        <v>48</v>
      </c>
      <c r="AJ1588" t="s">
        <v>48</v>
      </c>
      <c r="AK1588" t="s">
        <v>48</v>
      </c>
      <c r="AL1588" t="s">
        <v>48</v>
      </c>
      <c r="AM1588" t="s">
        <v>48</v>
      </c>
      <c r="AN1588" t="s">
        <v>48</v>
      </c>
      <c r="AO1588" t="s">
        <v>48</v>
      </c>
      <c r="AP1588" s="46">
        <v>0</v>
      </c>
      <c r="AQ1588" s="46">
        <v>0</v>
      </c>
      <c r="AR1588" s="46">
        <v>0</v>
      </c>
      <c r="AS1588" s="46">
        <v>0</v>
      </c>
      <c r="AT1588" s="46">
        <v>0</v>
      </c>
      <c r="AU1588" s="46">
        <v>0</v>
      </c>
      <c r="AV1588" s="46">
        <v>0</v>
      </c>
      <c r="AW1588" s="46">
        <v>0</v>
      </c>
      <c r="AX1588" s="46">
        <v>0</v>
      </c>
      <c r="AY1588" s="46">
        <v>0</v>
      </c>
      <c r="AZ1588" s="46">
        <v>0</v>
      </c>
      <c r="BA1588" s="46">
        <v>0</v>
      </c>
      <c r="BB1588" s="46">
        <v>0</v>
      </c>
      <c r="BC1588" s="46">
        <v>0</v>
      </c>
      <c r="BD1588" s="46">
        <v>0</v>
      </c>
      <c r="BE1588" s="46">
        <v>0</v>
      </c>
      <c r="BF1588" s="46">
        <v>0</v>
      </c>
      <c r="BG1588" s="46" t="s">
        <v>48</v>
      </c>
      <c r="BH1588" s="46">
        <v>0</v>
      </c>
      <c r="BI1588" s="46">
        <v>0</v>
      </c>
      <c r="BJ1588" s="46">
        <v>0</v>
      </c>
      <c r="BK1588" s="46">
        <v>0</v>
      </c>
      <c r="BL1588" s="46">
        <v>0</v>
      </c>
      <c r="BM1588" s="46">
        <v>0</v>
      </c>
      <c r="BN1588" s="46">
        <v>0</v>
      </c>
    </row>
    <row r="1589" spans="1:66" x14ac:dyDescent="0.35">
      <c r="A1589" t="s">
        <v>7988</v>
      </c>
      <c r="B1589" s="44" t="s">
        <v>48</v>
      </c>
      <c r="C1589" t="s">
        <v>11870</v>
      </c>
      <c r="D1589" t="s">
        <v>11871</v>
      </c>
      <c r="E1589" t="s">
        <v>7989</v>
      </c>
      <c r="F1589" t="s">
        <v>2410</v>
      </c>
      <c r="G1589" t="s">
        <v>74</v>
      </c>
      <c r="H1589">
        <v>0</v>
      </c>
      <c r="I1589" s="61">
        <v>44719</v>
      </c>
      <c r="J1589" s="33" t="s">
        <v>45</v>
      </c>
      <c r="K1589" s="46">
        <v>0</v>
      </c>
      <c r="L1589">
        <v>11.8</v>
      </c>
      <c r="M1589" t="s">
        <v>48</v>
      </c>
      <c r="N1589" s="46">
        <v>0</v>
      </c>
      <c r="O1589" s="46">
        <v>0</v>
      </c>
      <c r="P1589" s="46">
        <v>0</v>
      </c>
      <c r="Q1589" t="s">
        <v>48</v>
      </c>
      <c r="R1589" t="s">
        <v>48</v>
      </c>
      <c r="S1589" t="s">
        <v>48</v>
      </c>
      <c r="T1589" t="s">
        <v>48</v>
      </c>
      <c r="U1589" t="s">
        <v>48</v>
      </c>
      <c r="V1589" s="47">
        <v>0</v>
      </c>
      <c r="W1589" t="s">
        <v>48</v>
      </c>
      <c r="X1589" t="s">
        <v>48</v>
      </c>
      <c r="Y1589" t="s">
        <v>48</v>
      </c>
      <c r="Z1589" t="s">
        <v>48</v>
      </c>
      <c r="AA1589" t="s">
        <v>48</v>
      </c>
      <c r="AB1589" t="s">
        <v>48</v>
      </c>
      <c r="AC1589" t="s">
        <v>11082</v>
      </c>
      <c r="AD1589" t="s">
        <v>93</v>
      </c>
      <c r="AE1589" t="s">
        <v>2471</v>
      </c>
      <c r="AF1589" t="s">
        <v>48</v>
      </c>
      <c r="AG1589" t="s">
        <v>48</v>
      </c>
      <c r="AH1589" t="s">
        <v>48</v>
      </c>
      <c r="AI1589" t="s">
        <v>48</v>
      </c>
      <c r="AJ1589" t="s">
        <v>48</v>
      </c>
      <c r="AK1589" t="s">
        <v>48</v>
      </c>
      <c r="AL1589" t="s">
        <v>48</v>
      </c>
      <c r="AM1589" t="s">
        <v>48</v>
      </c>
      <c r="AN1589" t="s">
        <v>48</v>
      </c>
      <c r="AO1589" t="s">
        <v>48</v>
      </c>
      <c r="AP1589" s="46">
        <v>0</v>
      </c>
      <c r="AQ1589" s="46">
        <v>0</v>
      </c>
      <c r="AR1589" s="46">
        <v>0</v>
      </c>
      <c r="AS1589" s="46">
        <v>0</v>
      </c>
      <c r="AT1589" s="46">
        <v>0</v>
      </c>
      <c r="AU1589" s="46">
        <v>0</v>
      </c>
      <c r="AV1589" s="46">
        <v>0</v>
      </c>
      <c r="AW1589" s="46">
        <v>0</v>
      </c>
      <c r="AX1589" s="46">
        <v>0</v>
      </c>
      <c r="AY1589" s="46">
        <v>0</v>
      </c>
      <c r="AZ1589" s="46">
        <v>0</v>
      </c>
      <c r="BA1589" s="46">
        <v>0</v>
      </c>
      <c r="BB1589" s="46">
        <v>0</v>
      </c>
      <c r="BC1589" s="46">
        <v>0</v>
      </c>
      <c r="BD1589" s="46">
        <v>0</v>
      </c>
      <c r="BE1589" s="46">
        <v>0</v>
      </c>
      <c r="BF1589" s="46">
        <v>0</v>
      </c>
      <c r="BG1589" s="46" t="s">
        <v>48</v>
      </c>
      <c r="BH1589" s="46">
        <v>0</v>
      </c>
      <c r="BI1589" s="46">
        <v>0</v>
      </c>
      <c r="BJ1589" s="46">
        <v>0</v>
      </c>
      <c r="BK1589" s="46">
        <v>0</v>
      </c>
      <c r="BL1589" s="46">
        <v>0</v>
      </c>
      <c r="BM1589" s="46">
        <v>0</v>
      </c>
      <c r="BN1589" s="46">
        <v>0</v>
      </c>
    </row>
    <row r="1590" spans="1:66" x14ac:dyDescent="0.35">
      <c r="A1590" t="s">
        <v>2413</v>
      </c>
      <c r="B1590" s="44" t="s">
        <v>48</v>
      </c>
      <c r="C1590" t="s">
        <v>2417</v>
      </c>
      <c r="D1590" t="s">
        <v>2416</v>
      </c>
      <c r="E1590" t="s">
        <v>2414</v>
      </c>
      <c r="F1590" t="s">
        <v>2410</v>
      </c>
      <c r="G1590" t="s">
        <v>74</v>
      </c>
      <c r="H1590">
        <v>0</v>
      </c>
      <c r="I1590" s="61" t="s">
        <v>11160</v>
      </c>
      <c r="J1590" s="33" t="s">
        <v>45</v>
      </c>
      <c r="K1590" s="46">
        <v>0</v>
      </c>
      <c r="L1590">
        <v>9.9</v>
      </c>
      <c r="M1590" t="s">
        <v>48</v>
      </c>
      <c r="N1590" s="46">
        <v>0</v>
      </c>
      <c r="O1590" s="46">
        <v>0</v>
      </c>
      <c r="P1590" s="46">
        <v>0</v>
      </c>
      <c r="Q1590" t="s">
        <v>48</v>
      </c>
      <c r="R1590" t="s">
        <v>48</v>
      </c>
      <c r="S1590" t="s">
        <v>11345</v>
      </c>
      <c r="T1590" t="s">
        <v>48</v>
      </c>
      <c r="U1590" t="s">
        <v>2415</v>
      </c>
      <c r="V1590" s="47">
        <v>0</v>
      </c>
      <c r="W1590" t="s">
        <v>48</v>
      </c>
      <c r="X1590" t="s">
        <v>48</v>
      </c>
      <c r="Y1590" t="s">
        <v>48</v>
      </c>
      <c r="Z1590">
        <v>0</v>
      </c>
      <c r="AA1590" t="s">
        <v>48</v>
      </c>
      <c r="AB1590" t="s">
        <v>48</v>
      </c>
      <c r="AC1590" t="s">
        <v>49</v>
      </c>
      <c r="AD1590" t="s">
        <v>93</v>
      </c>
      <c r="AE1590" s="40" t="s">
        <v>2471</v>
      </c>
      <c r="AF1590" t="s">
        <v>11061</v>
      </c>
      <c r="AG1590" t="s">
        <v>48</v>
      </c>
      <c r="AH1590" t="s">
        <v>48</v>
      </c>
      <c r="AI1590" t="s">
        <v>48</v>
      </c>
      <c r="AJ1590" t="s">
        <v>48</v>
      </c>
      <c r="AK1590" t="s">
        <v>48</v>
      </c>
      <c r="AL1590" t="s">
        <v>48</v>
      </c>
      <c r="AM1590" t="s">
        <v>48</v>
      </c>
      <c r="AN1590" t="s">
        <v>48</v>
      </c>
      <c r="AO1590" t="s">
        <v>48</v>
      </c>
      <c r="AP1590" s="46">
        <v>0</v>
      </c>
      <c r="AQ1590" s="46">
        <v>0</v>
      </c>
      <c r="AR1590" s="46">
        <v>0</v>
      </c>
      <c r="AS1590" s="46">
        <v>0</v>
      </c>
      <c r="AT1590" s="46">
        <v>0</v>
      </c>
      <c r="AU1590" s="46">
        <v>0</v>
      </c>
      <c r="AV1590" s="46">
        <v>0</v>
      </c>
      <c r="AW1590" s="46">
        <v>0</v>
      </c>
      <c r="AX1590" s="46">
        <v>0</v>
      </c>
      <c r="AY1590" s="46">
        <v>0</v>
      </c>
      <c r="AZ1590" s="46">
        <v>0</v>
      </c>
      <c r="BA1590" s="46">
        <v>0</v>
      </c>
      <c r="BB1590" s="46">
        <v>0</v>
      </c>
      <c r="BC1590" s="46">
        <v>0</v>
      </c>
      <c r="BD1590" s="46">
        <v>0</v>
      </c>
      <c r="BE1590" s="46">
        <v>0</v>
      </c>
      <c r="BF1590" s="46">
        <v>0</v>
      </c>
      <c r="BG1590" s="46" t="s">
        <v>48</v>
      </c>
      <c r="BH1590" s="46">
        <v>0</v>
      </c>
      <c r="BI1590" s="46">
        <v>0</v>
      </c>
      <c r="BJ1590" s="46">
        <v>0</v>
      </c>
      <c r="BK1590" s="46">
        <v>0</v>
      </c>
      <c r="BL1590" s="46">
        <v>0</v>
      </c>
      <c r="BM1590" s="46">
        <v>0</v>
      </c>
      <c r="BN1590" s="46">
        <v>0</v>
      </c>
    </row>
    <row r="1591" spans="1:66" x14ac:dyDescent="0.35">
      <c r="A1591" t="s">
        <v>2449</v>
      </c>
      <c r="B1591" s="44" t="s">
        <v>48</v>
      </c>
      <c r="C1591" t="s">
        <v>2452</v>
      </c>
      <c r="D1591" t="s">
        <v>1528</v>
      </c>
      <c r="E1591" t="s">
        <v>2450</v>
      </c>
      <c r="F1591" t="s">
        <v>2427</v>
      </c>
      <c r="G1591" t="s">
        <v>47</v>
      </c>
      <c r="H1591">
        <v>0</v>
      </c>
      <c r="I1591" s="60" t="s">
        <v>78</v>
      </c>
      <c r="J1591" s="33" t="s">
        <v>45</v>
      </c>
      <c r="K1591" s="46">
        <v>0</v>
      </c>
      <c r="L1591">
        <v>2.2000000000000002</v>
      </c>
      <c r="M1591" t="s">
        <v>48</v>
      </c>
      <c r="N1591" s="46">
        <v>0</v>
      </c>
      <c r="O1591" s="46">
        <v>0</v>
      </c>
      <c r="P1591" s="46">
        <v>0</v>
      </c>
      <c r="Q1591" t="s">
        <v>48</v>
      </c>
      <c r="R1591" t="s">
        <v>48</v>
      </c>
      <c r="S1591" t="s">
        <v>2451</v>
      </c>
      <c r="T1591" t="s">
        <v>48</v>
      </c>
      <c r="U1591" t="s">
        <v>2451</v>
      </c>
      <c r="V1591" s="47">
        <v>0</v>
      </c>
      <c r="W1591" t="s">
        <v>48</v>
      </c>
      <c r="X1591" t="s">
        <v>48</v>
      </c>
      <c r="Y1591" t="s">
        <v>48</v>
      </c>
      <c r="Z1591">
        <v>0</v>
      </c>
      <c r="AA1591" t="s">
        <v>48</v>
      </c>
      <c r="AB1591" t="s">
        <v>48</v>
      </c>
      <c r="AC1591" t="s">
        <v>49</v>
      </c>
      <c r="AD1591" t="s">
        <v>93</v>
      </c>
      <c r="AE1591" t="s">
        <v>4532</v>
      </c>
      <c r="AF1591" t="s">
        <v>48</v>
      </c>
      <c r="AG1591" t="s">
        <v>48</v>
      </c>
      <c r="AH1591" t="s">
        <v>48</v>
      </c>
      <c r="AI1591" t="s">
        <v>48</v>
      </c>
      <c r="AJ1591" t="s">
        <v>48</v>
      </c>
      <c r="AK1591" t="s">
        <v>48</v>
      </c>
      <c r="AL1591" t="s">
        <v>48</v>
      </c>
      <c r="AM1591" t="s">
        <v>48</v>
      </c>
      <c r="AN1591" t="s">
        <v>48</v>
      </c>
      <c r="AO1591" t="s">
        <v>48</v>
      </c>
      <c r="AP1591" s="46">
        <v>0</v>
      </c>
      <c r="AQ1591" s="46">
        <v>0</v>
      </c>
      <c r="AR1591" s="46">
        <v>0</v>
      </c>
      <c r="AS1591" s="46">
        <v>0</v>
      </c>
      <c r="AT1591" s="46">
        <v>0</v>
      </c>
      <c r="AU1591" s="46">
        <v>0</v>
      </c>
      <c r="AV1591" s="46">
        <v>0</v>
      </c>
      <c r="AW1591" s="46">
        <v>0</v>
      </c>
      <c r="AX1591" s="46">
        <v>0</v>
      </c>
      <c r="AY1591" s="46">
        <v>0</v>
      </c>
      <c r="AZ1591" s="46">
        <v>0</v>
      </c>
      <c r="BA1591" s="46">
        <v>0</v>
      </c>
      <c r="BB1591" s="46">
        <v>0</v>
      </c>
      <c r="BC1591" s="46">
        <v>0</v>
      </c>
      <c r="BD1591" s="46">
        <v>0</v>
      </c>
      <c r="BE1591" s="46">
        <v>0</v>
      </c>
      <c r="BF1591" s="46">
        <v>0</v>
      </c>
      <c r="BG1591" s="46" t="s">
        <v>48</v>
      </c>
      <c r="BH1591" s="46">
        <v>0</v>
      </c>
      <c r="BI1591" s="46">
        <v>0</v>
      </c>
      <c r="BJ1591" s="46">
        <v>0</v>
      </c>
      <c r="BK1591" s="46">
        <v>0</v>
      </c>
      <c r="BL1591" s="46">
        <v>0</v>
      </c>
      <c r="BM1591" s="46">
        <v>0</v>
      </c>
      <c r="BN1591" s="46">
        <v>0</v>
      </c>
    </row>
    <row r="1592" spans="1:66" x14ac:dyDescent="0.35">
      <c r="A1592" t="s">
        <v>2429</v>
      </c>
      <c r="B1592" s="44" t="s">
        <v>48</v>
      </c>
      <c r="C1592" t="s">
        <v>2432</v>
      </c>
      <c r="D1592" t="s">
        <v>1005</v>
      </c>
      <c r="E1592" t="s">
        <v>2430</v>
      </c>
      <c r="F1592" t="s">
        <v>2427</v>
      </c>
      <c r="G1592" t="s">
        <v>47</v>
      </c>
      <c r="H1592">
        <v>0</v>
      </c>
      <c r="I1592" s="60" t="s">
        <v>78</v>
      </c>
      <c r="J1592" s="33" t="s">
        <v>45</v>
      </c>
      <c r="K1592" s="46">
        <v>0</v>
      </c>
      <c r="L1592">
        <v>6.1</v>
      </c>
      <c r="M1592" t="s">
        <v>48</v>
      </c>
      <c r="N1592" s="46">
        <v>0</v>
      </c>
      <c r="O1592" s="46">
        <v>0</v>
      </c>
      <c r="P1592" s="46">
        <v>0</v>
      </c>
      <c r="Q1592" t="s">
        <v>48</v>
      </c>
      <c r="R1592" t="s">
        <v>48</v>
      </c>
      <c r="S1592" t="s">
        <v>2431</v>
      </c>
      <c r="T1592" t="s">
        <v>48</v>
      </c>
      <c r="U1592" t="s">
        <v>2431</v>
      </c>
      <c r="V1592" s="47">
        <v>0</v>
      </c>
      <c r="W1592" t="s">
        <v>48</v>
      </c>
      <c r="X1592" t="s">
        <v>48</v>
      </c>
      <c r="Y1592" t="s">
        <v>48</v>
      </c>
      <c r="Z1592">
        <v>0</v>
      </c>
      <c r="AA1592" t="s">
        <v>48</v>
      </c>
      <c r="AB1592" t="s">
        <v>48</v>
      </c>
      <c r="AC1592" t="s">
        <v>49</v>
      </c>
      <c r="AD1592" t="s">
        <v>93</v>
      </c>
      <c r="AE1592" t="s">
        <v>4532</v>
      </c>
      <c r="AF1592" t="s">
        <v>48</v>
      </c>
      <c r="AG1592" t="s">
        <v>48</v>
      </c>
      <c r="AH1592" t="s">
        <v>48</v>
      </c>
      <c r="AI1592" t="s">
        <v>48</v>
      </c>
      <c r="AJ1592" t="s">
        <v>48</v>
      </c>
      <c r="AK1592" t="s">
        <v>48</v>
      </c>
      <c r="AL1592" t="s">
        <v>48</v>
      </c>
      <c r="AM1592" t="s">
        <v>48</v>
      </c>
      <c r="AN1592" t="s">
        <v>48</v>
      </c>
      <c r="AO1592" t="s">
        <v>48</v>
      </c>
      <c r="AP1592" s="46">
        <v>0</v>
      </c>
      <c r="AQ1592" s="46">
        <v>0</v>
      </c>
      <c r="AR1592" s="46">
        <v>0</v>
      </c>
      <c r="AS1592" s="46">
        <v>0</v>
      </c>
      <c r="AT1592" s="46">
        <v>0</v>
      </c>
      <c r="AU1592" s="46">
        <v>0</v>
      </c>
      <c r="AV1592" s="46">
        <v>0</v>
      </c>
      <c r="AW1592" s="46">
        <v>0</v>
      </c>
      <c r="AX1592" s="46">
        <v>0</v>
      </c>
      <c r="AY1592" s="46">
        <v>0</v>
      </c>
      <c r="AZ1592" s="46">
        <v>0</v>
      </c>
      <c r="BA1592" s="46">
        <v>0</v>
      </c>
      <c r="BB1592" s="46">
        <v>0</v>
      </c>
      <c r="BC1592" s="46">
        <v>0</v>
      </c>
      <c r="BD1592" s="46">
        <v>0</v>
      </c>
      <c r="BE1592" s="46">
        <v>0</v>
      </c>
      <c r="BF1592" s="46">
        <v>0</v>
      </c>
      <c r="BG1592" s="46" t="s">
        <v>48</v>
      </c>
      <c r="BH1592" s="46">
        <v>0</v>
      </c>
      <c r="BI1592" s="46">
        <v>0</v>
      </c>
      <c r="BJ1592" s="46">
        <v>0</v>
      </c>
      <c r="BK1592" s="46">
        <v>0</v>
      </c>
      <c r="BL1592" s="46">
        <v>0</v>
      </c>
      <c r="BM1592" s="46">
        <v>0</v>
      </c>
      <c r="BN1592" s="46">
        <v>0</v>
      </c>
    </row>
    <row r="1593" spans="1:66" x14ac:dyDescent="0.35">
      <c r="A1593" t="s">
        <v>2453</v>
      </c>
      <c r="B1593" s="44" t="s">
        <v>48</v>
      </c>
      <c r="C1593" t="s">
        <v>2457</v>
      </c>
      <c r="D1593" t="s">
        <v>2456</v>
      </c>
      <c r="E1593" t="s">
        <v>2454</v>
      </c>
      <c r="F1593" t="s">
        <v>2427</v>
      </c>
      <c r="G1593" t="s">
        <v>74</v>
      </c>
      <c r="H1593">
        <v>0</v>
      </c>
      <c r="I1593" s="60" t="s">
        <v>51</v>
      </c>
      <c r="J1593" s="33" t="s">
        <v>45</v>
      </c>
      <c r="K1593" s="46">
        <v>0</v>
      </c>
      <c r="L1593">
        <v>6.2</v>
      </c>
      <c r="M1593" t="s">
        <v>48</v>
      </c>
      <c r="N1593" s="46">
        <v>0</v>
      </c>
      <c r="O1593" s="46">
        <v>0</v>
      </c>
      <c r="P1593" s="46">
        <v>0</v>
      </c>
      <c r="Q1593" t="s">
        <v>48</v>
      </c>
      <c r="R1593" t="s">
        <v>48</v>
      </c>
      <c r="S1593" t="s">
        <v>2455</v>
      </c>
      <c r="T1593" t="s">
        <v>48</v>
      </c>
      <c r="U1593" t="s">
        <v>2455</v>
      </c>
      <c r="V1593" s="47">
        <v>1</v>
      </c>
      <c r="W1593" t="s">
        <v>11317</v>
      </c>
      <c r="X1593" t="s">
        <v>48</v>
      </c>
      <c r="Y1593" t="s">
        <v>48</v>
      </c>
      <c r="Z1593">
        <v>0</v>
      </c>
      <c r="AA1593" t="s">
        <v>48</v>
      </c>
      <c r="AB1593" t="s">
        <v>48</v>
      </c>
      <c r="AC1593" t="s">
        <v>63</v>
      </c>
      <c r="AD1593" t="s">
        <v>93</v>
      </c>
      <c r="AE1593" t="s">
        <v>4532</v>
      </c>
      <c r="AF1593" t="s">
        <v>48</v>
      </c>
      <c r="AG1593" t="s">
        <v>48</v>
      </c>
      <c r="AH1593" t="s">
        <v>48</v>
      </c>
      <c r="AI1593" t="s">
        <v>48</v>
      </c>
      <c r="AJ1593" t="s">
        <v>48</v>
      </c>
      <c r="AK1593" t="s">
        <v>48</v>
      </c>
      <c r="AL1593" t="s">
        <v>48</v>
      </c>
      <c r="AM1593" t="s">
        <v>48</v>
      </c>
      <c r="AN1593" t="s">
        <v>48</v>
      </c>
      <c r="AO1593" t="s">
        <v>48</v>
      </c>
      <c r="AP1593" s="46">
        <v>0</v>
      </c>
      <c r="AQ1593" s="46">
        <v>0</v>
      </c>
      <c r="AR1593" s="46">
        <v>0</v>
      </c>
      <c r="AS1593" s="46">
        <v>0</v>
      </c>
      <c r="AT1593" s="46">
        <v>0</v>
      </c>
      <c r="AU1593" s="46">
        <v>0</v>
      </c>
      <c r="AV1593" s="46">
        <v>0</v>
      </c>
      <c r="AW1593" s="46">
        <v>0</v>
      </c>
      <c r="AX1593" s="46">
        <v>0</v>
      </c>
      <c r="AY1593" s="46">
        <v>0</v>
      </c>
      <c r="AZ1593" s="46">
        <v>0</v>
      </c>
      <c r="BA1593" s="46">
        <v>0</v>
      </c>
      <c r="BB1593" s="46">
        <v>0</v>
      </c>
      <c r="BC1593" s="46">
        <v>0</v>
      </c>
      <c r="BD1593" s="46">
        <v>0</v>
      </c>
      <c r="BE1593" s="46">
        <v>0</v>
      </c>
      <c r="BF1593" s="46">
        <v>0</v>
      </c>
      <c r="BG1593" s="46" t="s">
        <v>48</v>
      </c>
      <c r="BH1593" s="46">
        <v>0</v>
      </c>
      <c r="BI1593" s="46">
        <v>0</v>
      </c>
      <c r="BJ1593" s="46">
        <v>0</v>
      </c>
      <c r="BK1593" s="46">
        <v>0</v>
      </c>
      <c r="BL1593" s="46">
        <v>0</v>
      </c>
      <c r="BM1593" s="46">
        <v>0</v>
      </c>
      <c r="BN1593" s="46">
        <v>0</v>
      </c>
    </row>
    <row r="1594" spans="1:66" x14ac:dyDescent="0.35">
      <c r="A1594" t="s">
        <v>7990</v>
      </c>
      <c r="B1594" s="44" t="s">
        <v>48</v>
      </c>
      <c r="C1594" t="s">
        <v>11874</v>
      </c>
      <c r="D1594" t="s">
        <v>603</v>
      </c>
      <c r="E1594" t="s">
        <v>7991</v>
      </c>
      <c r="F1594" t="s">
        <v>2427</v>
      </c>
      <c r="G1594" t="s">
        <v>47</v>
      </c>
      <c r="H1594">
        <v>0</v>
      </c>
      <c r="I1594" s="61">
        <v>44719</v>
      </c>
      <c r="J1594" s="33" t="s">
        <v>45</v>
      </c>
      <c r="K1594" s="46">
        <v>0</v>
      </c>
      <c r="L1594">
        <v>3.7</v>
      </c>
      <c r="M1594" t="s">
        <v>48</v>
      </c>
      <c r="N1594" s="46">
        <v>0</v>
      </c>
      <c r="O1594" s="46">
        <v>0</v>
      </c>
      <c r="P1594" s="46">
        <v>0</v>
      </c>
      <c r="Q1594" t="s">
        <v>48</v>
      </c>
      <c r="R1594" t="s">
        <v>48</v>
      </c>
      <c r="S1594" t="s">
        <v>48</v>
      </c>
      <c r="T1594" t="s">
        <v>48</v>
      </c>
      <c r="U1594" t="s">
        <v>48</v>
      </c>
      <c r="V1594" s="47">
        <v>0</v>
      </c>
      <c r="W1594" t="s">
        <v>48</v>
      </c>
      <c r="X1594" t="s">
        <v>48</v>
      </c>
      <c r="Y1594" t="s">
        <v>48</v>
      </c>
      <c r="Z1594" t="s">
        <v>48</v>
      </c>
      <c r="AA1594" t="s">
        <v>48</v>
      </c>
      <c r="AB1594" t="s">
        <v>48</v>
      </c>
      <c r="AC1594" t="s">
        <v>49</v>
      </c>
      <c r="AD1594" t="s">
        <v>93</v>
      </c>
      <c r="AE1594" t="s">
        <v>4532</v>
      </c>
      <c r="AF1594" t="s">
        <v>48</v>
      </c>
      <c r="AG1594" t="s">
        <v>48</v>
      </c>
      <c r="AH1594" t="s">
        <v>48</v>
      </c>
      <c r="AI1594" t="s">
        <v>48</v>
      </c>
      <c r="AJ1594" t="s">
        <v>48</v>
      </c>
      <c r="AK1594" t="s">
        <v>48</v>
      </c>
      <c r="AL1594" t="s">
        <v>48</v>
      </c>
      <c r="AM1594" t="s">
        <v>48</v>
      </c>
      <c r="AN1594" t="s">
        <v>48</v>
      </c>
      <c r="AO1594" t="s">
        <v>48</v>
      </c>
      <c r="AP1594" s="46">
        <v>0</v>
      </c>
      <c r="AQ1594" s="46">
        <v>0</v>
      </c>
      <c r="AR1594" s="46">
        <v>0</v>
      </c>
      <c r="AS1594" s="46">
        <v>0</v>
      </c>
      <c r="AT1594" s="46">
        <v>0</v>
      </c>
      <c r="AU1594" s="46">
        <v>0</v>
      </c>
      <c r="AV1594" s="46">
        <v>0</v>
      </c>
      <c r="AW1594" s="46">
        <v>0</v>
      </c>
      <c r="AX1594" s="46">
        <v>0</v>
      </c>
      <c r="AY1594" s="46">
        <v>0</v>
      </c>
      <c r="AZ1594" s="46">
        <v>0</v>
      </c>
      <c r="BA1594" s="46">
        <v>0</v>
      </c>
      <c r="BB1594" s="46">
        <v>0</v>
      </c>
      <c r="BC1594" s="46">
        <v>0</v>
      </c>
      <c r="BD1594" s="46">
        <v>0</v>
      </c>
      <c r="BE1594" s="46">
        <v>0</v>
      </c>
      <c r="BF1594" s="46">
        <v>0</v>
      </c>
      <c r="BG1594" s="46" t="s">
        <v>48</v>
      </c>
      <c r="BH1594" s="46">
        <v>0</v>
      </c>
      <c r="BI1594" s="46">
        <v>0</v>
      </c>
      <c r="BJ1594" s="46">
        <v>0</v>
      </c>
      <c r="BK1594" s="46">
        <v>0</v>
      </c>
      <c r="BL1594" s="46">
        <v>0</v>
      </c>
      <c r="BM1594" s="46">
        <v>0</v>
      </c>
      <c r="BN1594" s="46">
        <v>0</v>
      </c>
    </row>
    <row r="1595" spans="1:66" x14ac:dyDescent="0.35">
      <c r="A1595" t="s">
        <v>2458</v>
      </c>
      <c r="B1595" s="44" t="s">
        <v>48</v>
      </c>
      <c r="C1595" t="s">
        <v>2460</v>
      </c>
      <c r="D1595" t="s">
        <v>1445</v>
      </c>
      <c r="E1595" t="s">
        <v>2459</v>
      </c>
      <c r="F1595" t="s">
        <v>2427</v>
      </c>
      <c r="G1595" t="s">
        <v>47</v>
      </c>
      <c r="H1595">
        <v>0</v>
      </c>
      <c r="I1595" s="60" t="s">
        <v>51</v>
      </c>
      <c r="J1595" s="33" t="s">
        <v>45</v>
      </c>
      <c r="K1595" s="46">
        <v>0</v>
      </c>
      <c r="L1595">
        <v>16.899999999999999</v>
      </c>
      <c r="M1595" t="s">
        <v>48</v>
      </c>
      <c r="N1595" s="46">
        <v>0</v>
      </c>
      <c r="O1595" s="46">
        <v>0</v>
      </c>
      <c r="P1595" s="46">
        <v>0</v>
      </c>
      <c r="Q1595" t="s">
        <v>48</v>
      </c>
      <c r="R1595" t="s">
        <v>48</v>
      </c>
      <c r="S1595" t="s">
        <v>10090</v>
      </c>
      <c r="T1595" t="s">
        <v>48</v>
      </c>
      <c r="U1595" t="s">
        <v>10090</v>
      </c>
      <c r="V1595" s="47">
        <v>0</v>
      </c>
      <c r="W1595" t="s">
        <v>11319</v>
      </c>
      <c r="X1595" t="s">
        <v>48</v>
      </c>
      <c r="Y1595" t="s">
        <v>48</v>
      </c>
      <c r="Z1595">
        <v>0</v>
      </c>
      <c r="AA1595" t="s">
        <v>48</v>
      </c>
      <c r="AB1595" t="s">
        <v>48</v>
      </c>
      <c r="AC1595" t="s">
        <v>63</v>
      </c>
      <c r="AD1595" t="s">
        <v>93</v>
      </c>
      <c r="AE1595" t="s">
        <v>4532</v>
      </c>
      <c r="AF1595" t="s">
        <v>48</v>
      </c>
      <c r="AG1595" t="s">
        <v>48</v>
      </c>
      <c r="AH1595" t="s">
        <v>48</v>
      </c>
      <c r="AI1595" t="s">
        <v>48</v>
      </c>
      <c r="AJ1595" t="s">
        <v>48</v>
      </c>
      <c r="AK1595" t="s">
        <v>48</v>
      </c>
      <c r="AL1595" t="s">
        <v>48</v>
      </c>
      <c r="AM1595" t="s">
        <v>48</v>
      </c>
      <c r="AN1595" t="s">
        <v>48</v>
      </c>
      <c r="AO1595" t="s">
        <v>48</v>
      </c>
      <c r="AP1595" s="46">
        <v>0</v>
      </c>
      <c r="AQ1595" s="46">
        <v>0</v>
      </c>
      <c r="AR1595" s="46">
        <v>0</v>
      </c>
      <c r="AS1595" s="46">
        <v>0</v>
      </c>
      <c r="AT1595" s="46">
        <v>0</v>
      </c>
      <c r="AU1595" s="46">
        <v>0</v>
      </c>
      <c r="AV1595" s="46">
        <v>0</v>
      </c>
      <c r="AW1595" s="46">
        <v>0</v>
      </c>
      <c r="AX1595" s="46">
        <v>0</v>
      </c>
      <c r="AY1595" s="46">
        <v>0</v>
      </c>
      <c r="AZ1595" s="46">
        <v>0</v>
      </c>
      <c r="BA1595" s="46">
        <v>0</v>
      </c>
      <c r="BB1595" s="46">
        <v>0</v>
      </c>
      <c r="BC1595" s="46">
        <v>0</v>
      </c>
      <c r="BD1595" s="46">
        <v>0</v>
      </c>
      <c r="BE1595" s="46">
        <v>0</v>
      </c>
      <c r="BF1595" s="46">
        <v>0</v>
      </c>
      <c r="BG1595" s="46" t="s">
        <v>48</v>
      </c>
      <c r="BH1595" s="46">
        <v>0</v>
      </c>
      <c r="BI1595" s="46">
        <v>0</v>
      </c>
      <c r="BJ1595" s="46">
        <v>0</v>
      </c>
      <c r="BK1595" s="46">
        <v>0</v>
      </c>
      <c r="BL1595" s="46">
        <v>0</v>
      </c>
      <c r="BM1595" s="46">
        <v>0</v>
      </c>
      <c r="BN1595" s="46">
        <v>0</v>
      </c>
    </row>
    <row r="1596" spans="1:66" x14ac:dyDescent="0.35">
      <c r="A1596" t="s">
        <v>7992</v>
      </c>
      <c r="B1596" s="44" t="s">
        <v>48</v>
      </c>
      <c r="C1596" t="s">
        <v>11875</v>
      </c>
      <c r="D1596" t="s">
        <v>898</v>
      </c>
      <c r="E1596" t="s">
        <v>7993</v>
      </c>
      <c r="F1596" t="s">
        <v>2427</v>
      </c>
      <c r="G1596" t="s">
        <v>47</v>
      </c>
      <c r="H1596">
        <v>0</v>
      </c>
      <c r="I1596" s="61">
        <v>44719</v>
      </c>
      <c r="J1596" s="33" t="s">
        <v>45</v>
      </c>
      <c r="K1596" s="46">
        <v>0</v>
      </c>
      <c r="L1596">
        <v>1.5</v>
      </c>
      <c r="M1596" t="s">
        <v>48</v>
      </c>
      <c r="N1596" s="46">
        <v>0</v>
      </c>
      <c r="O1596" s="46">
        <v>0</v>
      </c>
      <c r="P1596" s="46">
        <v>0</v>
      </c>
      <c r="Q1596" t="s">
        <v>48</v>
      </c>
      <c r="R1596" t="s">
        <v>48</v>
      </c>
      <c r="S1596" t="s">
        <v>10091</v>
      </c>
      <c r="T1596" t="s">
        <v>48</v>
      </c>
      <c r="U1596" t="s">
        <v>10091</v>
      </c>
      <c r="V1596" s="47">
        <v>0</v>
      </c>
      <c r="W1596" t="s">
        <v>48</v>
      </c>
      <c r="X1596" t="s">
        <v>48</v>
      </c>
      <c r="Y1596" t="s">
        <v>48</v>
      </c>
      <c r="Z1596" t="s">
        <v>48</v>
      </c>
      <c r="AA1596" t="s">
        <v>48</v>
      </c>
      <c r="AB1596" t="s">
        <v>48</v>
      </c>
      <c r="AC1596" t="s">
        <v>49</v>
      </c>
      <c r="AD1596" t="s">
        <v>93</v>
      </c>
      <c r="AE1596" t="s">
        <v>4532</v>
      </c>
      <c r="AF1596" t="s">
        <v>48</v>
      </c>
      <c r="AG1596" t="s">
        <v>48</v>
      </c>
      <c r="AH1596" t="s">
        <v>48</v>
      </c>
      <c r="AI1596" t="s">
        <v>48</v>
      </c>
      <c r="AJ1596" t="s">
        <v>48</v>
      </c>
      <c r="AK1596" t="s">
        <v>48</v>
      </c>
      <c r="AL1596" t="s">
        <v>48</v>
      </c>
      <c r="AM1596" t="s">
        <v>48</v>
      </c>
      <c r="AN1596" t="s">
        <v>48</v>
      </c>
      <c r="AO1596" t="s">
        <v>48</v>
      </c>
      <c r="AP1596" s="46">
        <v>0</v>
      </c>
      <c r="AQ1596" s="46">
        <v>0</v>
      </c>
      <c r="AR1596" s="46">
        <v>0</v>
      </c>
      <c r="AS1596" s="46">
        <v>0</v>
      </c>
      <c r="AT1596" s="46">
        <v>0</v>
      </c>
      <c r="AU1596" s="46">
        <v>0</v>
      </c>
      <c r="AV1596" s="46">
        <v>0</v>
      </c>
      <c r="AW1596" s="46">
        <v>0</v>
      </c>
      <c r="AX1596" s="46">
        <v>0</v>
      </c>
      <c r="AY1596" s="46">
        <v>0</v>
      </c>
      <c r="AZ1596" s="46">
        <v>0</v>
      </c>
      <c r="BA1596" s="46">
        <v>0</v>
      </c>
      <c r="BB1596" s="46">
        <v>0</v>
      </c>
      <c r="BC1596" s="46">
        <v>0</v>
      </c>
      <c r="BD1596" s="46">
        <v>0</v>
      </c>
      <c r="BE1596" s="46">
        <v>0</v>
      </c>
      <c r="BF1596" s="46">
        <v>0</v>
      </c>
      <c r="BG1596" s="46" t="s">
        <v>48</v>
      </c>
      <c r="BH1596" s="46">
        <v>0</v>
      </c>
      <c r="BI1596" s="46">
        <v>0</v>
      </c>
      <c r="BJ1596" s="46">
        <v>0</v>
      </c>
      <c r="BK1596" s="46">
        <v>0</v>
      </c>
      <c r="BL1596" s="46">
        <v>0</v>
      </c>
      <c r="BM1596" s="46">
        <v>0</v>
      </c>
      <c r="BN1596" s="46">
        <v>0</v>
      </c>
    </row>
    <row r="1597" spans="1:66" x14ac:dyDescent="0.35">
      <c r="A1597" t="s">
        <v>2433</v>
      </c>
      <c r="B1597" s="44" t="s">
        <v>48</v>
      </c>
      <c r="C1597" t="s">
        <v>2437</v>
      </c>
      <c r="D1597" t="s">
        <v>2436</v>
      </c>
      <c r="E1597" t="s">
        <v>2434</v>
      </c>
      <c r="F1597" t="s">
        <v>2427</v>
      </c>
      <c r="G1597" t="s">
        <v>74</v>
      </c>
      <c r="H1597">
        <v>0</v>
      </c>
      <c r="I1597" s="60" t="s">
        <v>51</v>
      </c>
      <c r="J1597" s="33" t="s">
        <v>45</v>
      </c>
      <c r="K1597" s="46">
        <v>0</v>
      </c>
      <c r="L1597">
        <v>19.100000000000001</v>
      </c>
      <c r="M1597" t="s">
        <v>48</v>
      </c>
      <c r="N1597" s="46">
        <v>0</v>
      </c>
      <c r="O1597" s="46">
        <v>0</v>
      </c>
      <c r="P1597" s="46">
        <v>0</v>
      </c>
      <c r="Q1597" t="s">
        <v>48</v>
      </c>
      <c r="R1597" t="s">
        <v>48</v>
      </c>
      <c r="S1597" t="s">
        <v>2435</v>
      </c>
      <c r="T1597" t="s">
        <v>48</v>
      </c>
      <c r="U1597" t="s">
        <v>2435</v>
      </c>
      <c r="V1597" s="47">
        <v>0</v>
      </c>
      <c r="W1597" t="s">
        <v>48</v>
      </c>
      <c r="X1597" t="s">
        <v>48</v>
      </c>
      <c r="Y1597" t="s">
        <v>48</v>
      </c>
      <c r="Z1597">
        <v>0</v>
      </c>
      <c r="AA1597" t="s">
        <v>48</v>
      </c>
      <c r="AB1597" t="s">
        <v>48</v>
      </c>
      <c r="AC1597" t="s">
        <v>63</v>
      </c>
      <c r="AD1597" t="s">
        <v>93</v>
      </c>
      <c r="AE1597" t="s">
        <v>4532</v>
      </c>
      <c r="AF1597" t="s">
        <v>48</v>
      </c>
      <c r="AG1597" t="s">
        <v>48</v>
      </c>
      <c r="AH1597" t="s">
        <v>48</v>
      </c>
      <c r="AI1597" t="s">
        <v>48</v>
      </c>
      <c r="AJ1597" t="s">
        <v>48</v>
      </c>
      <c r="AK1597" t="s">
        <v>48</v>
      </c>
      <c r="AL1597" t="s">
        <v>48</v>
      </c>
      <c r="AM1597" t="s">
        <v>48</v>
      </c>
      <c r="AN1597" t="s">
        <v>48</v>
      </c>
      <c r="AO1597" t="s">
        <v>48</v>
      </c>
      <c r="AP1597" s="46">
        <v>0</v>
      </c>
      <c r="AQ1597" s="46">
        <v>0</v>
      </c>
      <c r="AR1597" s="46">
        <v>0</v>
      </c>
      <c r="AS1597" s="46">
        <v>0</v>
      </c>
      <c r="AT1597" s="46">
        <v>0</v>
      </c>
      <c r="AU1597" s="46">
        <v>0</v>
      </c>
      <c r="AV1597" s="46">
        <v>0</v>
      </c>
      <c r="AW1597" s="46">
        <v>0</v>
      </c>
      <c r="AX1597" s="46">
        <v>0</v>
      </c>
      <c r="AY1597" s="46">
        <v>0</v>
      </c>
      <c r="AZ1597" s="46">
        <v>0</v>
      </c>
      <c r="BA1597" s="46">
        <v>0</v>
      </c>
      <c r="BB1597" s="46">
        <v>0</v>
      </c>
      <c r="BC1597" s="46">
        <v>0</v>
      </c>
      <c r="BD1597" s="46">
        <v>0</v>
      </c>
      <c r="BE1597" s="46">
        <v>0</v>
      </c>
      <c r="BF1597" s="46">
        <v>0</v>
      </c>
      <c r="BG1597" s="46" t="s">
        <v>48</v>
      </c>
      <c r="BH1597" s="46">
        <v>0</v>
      </c>
      <c r="BI1597" s="46">
        <v>0</v>
      </c>
      <c r="BJ1597" s="46">
        <v>0</v>
      </c>
      <c r="BK1597" s="46">
        <v>0</v>
      </c>
      <c r="BL1597" s="46">
        <v>0</v>
      </c>
      <c r="BM1597" s="46">
        <v>0</v>
      </c>
      <c r="BN1597" s="46">
        <v>0</v>
      </c>
    </row>
    <row r="1598" spans="1:66" x14ac:dyDescent="0.35">
      <c r="A1598" t="s">
        <v>10644</v>
      </c>
      <c r="B1598" s="44" t="s">
        <v>48</v>
      </c>
      <c r="C1598" t="s">
        <v>11880</v>
      </c>
      <c r="D1598" t="s">
        <v>11881</v>
      </c>
      <c r="E1598" t="s">
        <v>10645</v>
      </c>
      <c r="F1598" t="s">
        <v>128</v>
      </c>
      <c r="G1598" t="s">
        <v>47</v>
      </c>
      <c r="H1598">
        <v>0</v>
      </c>
      <c r="I1598" s="61">
        <v>44790</v>
      </c>
      <c r="J1598" s="33" t="s">
        <v>45</v>
      </c>
      <c r="K1598" s="46">
        <v>0</v>
      </c>
      <c r="L1598">
        <v>28</v>
      </c>
      <c r="M1598" t="s">
        <v>48</v>
      </c>
      <c r="N1598" s="46">
        <v>0</v>
      </c>
      <c r="O1598" s="46">
        <v>0</v>
      </c>
      <c r="P1598" s="46">
        <v>0</v>
      </c>
      <c r="Q1598" t="s">
        <v>48</v>
      </c>
      <c r="R1598" t="s">
        <v>48</v>
      </c>
      <c r="S1598" t="s">
        <v>48</v>
      </c>
      <c r="T1598" t="s">
        <v>48</v>
      </c>
      <c r="U1598" t="s">
        <v>48</v>
      </c>
      <c r="V1598" s="47">
        <v>1</v>
      </c>
      <c r="W1598" t="s">
        <v>11264</v>
      </c>
      <c r="X1598" t="s">
        <v>48</v>
      </c>
      <c r="Y1598" t="s">
        <v>48</v>
      </c>
      <c r="Z1598">
        <v>0</v>
      </c>
      <c r="AA1598" t="s">
        <v>48</v>
      </c>
      <c r="AB1598" t="s">
        <v>48</v>
      </c>
      <c r="AC1598" t="s">
        <v>49</v>
      </c>
      <c r="AD1598" t="s">
        <v>48</v>
      </c>
      <c r="AE1598" t="s">
        <v>48</v>
      </c>
      <c r="AF1598" t="s">
        <v>48</v>
      </c>
      <c r="AG1598" t="s">
        <v>48</v>
      </c>
      <c r="AH1598" t="s">
        <v>48</v>
      </c>
      <c r="AI1598" t="s">
        <v>48</v>
      </c>
      <c r="AJ1598" t="s">
        <v>48</v>
      </c>
      <c r="AK1598" t="s">
        <v>48</v>
      </c>
      <c r="AL1598" t="s">
        <v>48</v>
      </c>
      <c r="AM1598" t="s">
        <v>48</v>
      </c>
      <c r="AN1598" t="s">
        <v>48</v>
      </c>
      <c r="AO1598" t="s">
        <v>48</v>
      </c>
      <c r="AP1598" s="46">
        <v>0</v>
      </c>
      <c r="AQ1598" s="46">
        <v>0</v>
      </c>
      <c r="AR1598" s="46">
        <v>0</v>
      </c>
      <c r="AS1598" s="46">
        <v>0</v>
      </c>
      <c r="AT1598" s="46">
        <v>0</v>
      </c>
      <c r="AU1598" s="46">
        <v>0</v>
      </c>
      <c r="AV1598" s="46">
        <v>0</v>
      </c>
      <c r="AW1598" s="46">
        <v>0</v>
      </c>
      <c r="AX1598" s="46">
        <v>0</v>
      </c>
      <c r="AY1598" s="46">
        <v>0</v>
      </c>
      <c r="AZ1598" s="46">
        <v>0</v>
      </c>
      <c r="BA1598" s="46">
        <v>0</v>
      </c>
      <c r="BB1598" s="46">
        <v>0</v>
      </c>
      <c r="BC1598" s="46">
        <v>0</v>
      </c>
      <c r="BD1598" s="46">
        <v>0</v>
      </c>
      <c r="BE1598" s="46">
        <v>0</v>
      </c>
      <c r="BF1598" s="46">
        <v>0</v>
      </c>
      <c r="BG1598" s="46" t="s">
        <v>48</v>
      </c>
      <c r="BH1598" s="46">
        <v>0</v>
      </c>
      <c r="BI1598" s="46">
        <v>0</v>
      </c>
      <c r="BJ1598" s="46">
        <v>0</v>
      </c>
      <c r="BK1598" s="46">
        <v>0</v>
      </c>
      <c r="BL1598" s="46">
        <v>0</v>
      </c>
      <c r="BM1598" s="46">
        <v>0</v>
      </c>
      <c r="BN1598" s="46">
        <v>0</v>
      </c>
    </row>
    <row r="1599" spans="1:66" x14ac:dyDescent="0.35">
      <c r="A1599" t="s">
        <v>10646</v>
      </c>
      <c r="B1599" s="44" t="s">
        <v>48</v>
      </c>
      <c r="C1599" t="s">
        <v>11879</v>
      </c>
      <c r="D1599" t="s">
        <v>1237</v>
      </c>
      <c r="E1599" t="s">
        <v>10647</v>
      </c>
      <c r="F1599" t="s">
        <v>128</v>
      </c>
      <c r="G1599" t="s">
        <v>47</v>
      </c>
      <c r="H1599">
        <v>0</v>
      </c>
      <c r="I1599" s="61">
        <v>44790</v>
      </c>
      <c r="J1599" s="33" t="s">
        <v>45</v>
      </c>
      <c r="K1599" s="46">
        <v>0</v>
      </c>
      <c r="L1599">
        <v>21.7</v>
      </c>
      <c r="M1599" t="s">
        <v>48</v>
      </c>
      <c r="N1599" s="46">
        <v>0</v>
      </c>
      <c r="O1599" s="46">
        <v>0</v>
      </c>
      <c r="P1599" s="46">
        <v>0</v>
      </c>
      <c r="Q1599" t="s">
        <v>48</v>
      </c>
      <c r="R1599" t="s">
        <v>48</v>
      </c>
      <c r="S1599" t="s">
        <v>48</v>
      </c>
      <c r="T1599" t="s">
        <v>48</v>
      </c>
      <c r="U1599" t="s">
        <v>48</v>
      </c>
      <c r="V1599" s="47">
        <v>0</v>
      </c>
      <c r="W1599" t="s">
        <v>48</v>
      </c>
      <c r="X1599" t="s">
        <v>48</v>
      </c>
      <c r="Y1599" t="s">
        <v>48</v>
      </c>
      <c r="Z1599">
        <v>0</v>
      </c>
      <c r="AA1599" t="s">
        <v>48</v>
      </c>
      <c r="AB1599" t="s">
        <v>48</v>
      </c>
      <c r="AC1599" t="s">
        <v>49</v>
      </c>
      <c r="AD1599" t="s">
        <v>48</v>
      </c>
      <c r="AE1599" t="s">
        <v>48</v>
      </c>
      <c r="AF1599" t="s">
        <v>48</v>
      </c>
      <c r="AG1599" t="s">
        <v>48</v>
      </c>
      <c r="AH1599" t="s">
        <v>48</v>
      </c>
      <c r="AI1599" t="s">
        <v>48</v>
      </c>
      <c r="AJ1599" t="s">
        <v>48</v>
      </c>
      <c r="AK1599" t="s">
        <v>48</v>
      </c>
      <c r="AL1599" t="s">
        <v>48</v>
      </c>
      <c r="AM1599" t="s">
        <v>48</v>
      </c>
      <c r="AN1599" t="s">
        <v>48</v>
      </c>
      <c r="AO1599" t="s">
        <v>48</v>
      </c>
      <c r="AP1599" s="46">
        <v>0</v>
      </c>
      <c r="AQ1599" s="46">
        <v>0</v>
      </c>
      <c r="AR1599" s="46">
        <v>0</v>
      </c>
      <c r="AS1599" s="46">
        <v>0</v>
      </c>
      <c r="AT1599" s="46">
        <v>0</v>
      </c>
      <c r="AU1599" s="46">
        <v>0</v>
      </c>
      <c r="AV1599" s="46">
        <v>0</v>
      </c>
      <c r="AW1599" s="46">
        <v>0</v>
      </c>
      <c r="AX1599" s="46">
        <v>0</v>
      </c>
      <c r="AY1599" s="46">
        <v>0</v>
      </c>
      <c r="AZ1599" s="46">
        <v>0</v>
      </c>
      <c r="BA1599" s="46">
        <v>0</v>
      </c>
      <c r="BB1599" s="46">
        <v>0</v>
      </c>
      <c r="BC1599" s="46">
        <v>0</v>
      </c>
      <c r="BD1599" s="46">
        <v>0</v>
      </c>
      <c r="BE1599" s="46">
        <v>0</v>
      </c>
      <c r="BF1599" s="46">
        <v>0</v>
      </c>
      <c r="BG1599" s="46" t="s">
        <v>48</v>
      </c>
      <c r="BH1599" s="46">
        <v>0</v>
      </c>
      <c r="BI1599" s="46">
        <v>0</v>
      </c>
      <c r="BJ1599" s="46">
        <v>0</v>
      </c>
      <c r="BK1599" s="46">
        <v>0</v>
      </c>
      <c r="BL1599" s="46">
        <v>0</v>
      </c>
      <c r="BM1599" s="46">
        <v>0</v>
      </c>
      <c r="BN1599" s="46">
        <v>0</v>
      </c>
    </row>
    <row r="1600" spans="1:66" x14ac:dyDescent="0.35">
      <c r="A1600" t="s">
        <v>2498</v>
      </c>
      <c r="B1600" s="44" t="s">
        <v>48</v>
      </c>
      <c r="C1600" t="s">
        <v>2501</v>
      </c>
      <c r="D1600" t="s">
        <v>1933</v>
      </c>
      <c r="E1600" t="s">
        <v>2499</v>
      </c>
      <c r="F1600" t="s">
        <v>128</v>
      </c>
      <c r="G1600" t="s">
        <v>74</v>
      </c>
      <c r="H1600">
        <v>0</v>
      </c>
      <c r="I1600" s="60" t="s">
        <v>149</v>
      </c>
      <c r="J1600" s="33" t="s">
        <v>45</v>
      </c>
      <c r="K1600" s="46">
        <v>0</v>
      </c>
      <c r="L1600">
        <v>16.8</v>
      </c>
      <c r="M1600" t="s">
        <v>48</v>
      </c>
      <c r="N1600" s="46">
        <v>0</v>
      </c>
      <c r="O1600" s="46">
        <v>0</v>
      </c>
      <c r="P1600" s="46">
        <v>0</v>
      </c>
      <c r="Q1600" t="s">
        <v>48</v>
      </c>
      <c r="R1600" t="s">
        <v>48</v>
      </c>
      <c r="S1600" t="s">
        <v>2500</v>
      </c>
      <c r="T1600" t="s">
        <v>48</v>
      </c>
      <c r="U1600" t="s">
        <v>2500</v>
      </c>
      <c r="V1600" s="47">
        <v>0</v>
      </c>
      <c r="W1600" t="s">
        <v>48</v>
      </c>
      <c r="X1600" t="s">
        <v>48</v>
      </c>
      <c r="Y1600" t="s">
        <v>48</v>
      </c>
      <c r="Z1600">
        <v>0</v>
      </c>
      <c r="AA1600" t="s">
        <v>48</v>
      </c>
      <c r="AB1600" t="s">
        <v>48</v>
      </c>
      <c r="AC1600" t="s">
        <v>49</v>
      </c>
      <c r="AD1600" t="s">
        <v>93</v>
      </c>
      <c r="AE1600" t="s">
        <v>977</v>
      </c>
      <c r="AF1600" t="s">
        <v>11057</v>
      </c>
      <c r="AG1600" t="s">
        <v>48</v>
      </c>
      <c r="AH1600" t="s">
        <v>48</v>
      </c>
      <c r="AI1600" t="s">
        <v>48</v>
      </c>
      <c r="AJ1600" t="s">
        <v>48</v>
      </c>
      <c r="AK1600" t="s">
        <v>48</v>
      </c>
      <c r="AL1600" t="s">
        <v>48</v>
      </c>
      <c r="AM1600" t="s">
        <v>48</v>
      </c>
      <c r="AN1600" t="s">
        <v>48</v>
      </c>
      <c r="AO1600" t="s">
        <v>48</v>
      </c>
      <c r="AP1600" s="46">
        <v>0</v>
      </c>
      <c r="AQ1600" s="46">
        <v>0</v>
      </c>
      <c r="AR1600" s="46">
        <v>0</v>
      </c>
      <c r="AS1600" s="46">
        <v>0</v>
      </c>
      <c r="AT1600" s="46">
        <v>0</v>
      </c>
      <c r="AU1600" s="46">
        <v>0</v>
      </c>
      <c r="AV1600" s="46">
        <v>0</v>
      </c>
      <c r="AW1600" s="46">
        <v>0</v>
      </c>
      <c r="AX1600" s="46">
        <v>0</v>
      </c>
      <c r="AY1600" s="46">
        <v>0</v>
      </c>
      <c r="AZ1600" s="46">
        <v>0</v>
      </c>
      <c r="BA1600" s="46">
        <v>0</v>
      </c>
      <c r="BB1600" s="46">
        <v>0</v>
      </c>
      <c r="BC1600" s="46">
        <v>0</v>
      </c>
      <c r="BD1600" s="46">
        <v>0</v>
      </c>
      <c r="BE1600" s="46">
        <v>0</v>
      </c>
      <c r="BF1600" s="46">
        <v>0</v>
      </c>
      <c r="BG1600" s="46" t="s">
        <v>48</v>
      </c>
      <c r="BH1600" s="46">
        <v>0</v>
      </c>
      <c r="BI1600" s="46">
        <v>0</v>
      </c>
      <c r="BJ1600" s="46">
        <v>0</v>
      </c>
      <c r="BK1600" s="46">
        <v>0</v>
      </c>
      <c r="BL1600" s="46">
        <v>0</v>
      </c>
      <c r="BM1600" s="46">
        <v>0</v>
      </c>
      <c r="BN1600" s="46">
        <v>0</v>
      </c>
    </row>
    <row r="1601" spans="1:66" x14ac:dyDescent="0.35">
      <c r="A1601" t="s">
        <v>11159</v>
      </c>
      <c r="B1601" s="44" t="s">
        <v>48</v>
      </c>
      <c r="C1601" t="s">
        <v>11885</v>
      </c>
      <c r="D1601" t="s">
        <v>5771</v>
      </c>
      <c r="E1601" t="s">
        <v>11161</v>
      </c>
      <c r="F1601" t="s">
        <v>2502</v>
      </c>
      <c r="G1601" t="s">
        <v>74</v>
      </c>
      <c r="H1601">
        <v>0</v>
      </c>
      <c r="I1601" s="61" t="s">
        <v>11160</v>
      </c>
      <c r="J1601" s="33" t="s">
        <v>45</v>
      </c>
      <c r="K1601" s="46">
        <v>0</v>
      </c>
      <c r="L1601">
        <v>5.5</v>
      </c>
      <c r="M1601" t="s">
        <v>48</v>
      </c>
      <c r="N1601" s="46">
        <v>0</v>
      </c>
      <c r="O1601" s="46">
        <v>0</v>
      </c>
      <c r="P1601" s="46">
        <v>0</v>
      </c>
      <c r="Q1601" t="s">
        <v>48</v>
      </c>
      <c r="R1601" t="s">
        <v>48</v>
      </c>
      <c r="S1601" t="s">
        <v>48</v>
      </c>
      <c r="T1601" t="s">
        <v>48</v>
      </c>
      <c r="U1601" t="s">
        <v>48</v>
      </c>
      <c r="V1601" s="47" t="s">
        <v>48</v>
      </c>
      <c r="W1601" t="s">
        <v>48</v>
      </c>
      <c r="X1601" t="s">
        <v>48</v>
      </c>
      <c r="Y1601" t="s">
        <v>48</v>
      </c>
      <c r="Z1601" t="s">
        <v>48</v>
      </c>
      <c r="AA1601" t="s">
        <v>48</v>
      </c>
      <c r="AB1601" t="s">
        <v>48</v>
      </c>
      <c r="AC1601" t="s">
        <v>48</v>
      </c>
      <c r="AD1601" t="s">
        <v>48</v>
      </c>
      <c r="AE1601" t="s">
        <v>48</v>
      </c>
      <c r="AF1601" t="s">
        <v>48</v>
      </c>
      <c r="AG1601" t="s">
        <v>48</v>
      </c>
      <c r="AH1601" t="s">
        <v>48</v>
      </c>
      <c r="AI1601" t="s">
        <v>48</v>
      </c>
      <c r="AJ1601" t="s">
        <v>48</v>
      </c>
      <c r="AK1601" t="s">
        <v>48</v>
      </c>
      <c r="AL1601" t="s">
        <v>48</v>
      </c>
      <c r="AM1601" t="s">
        <v>48</v>
      </c>
      <c r="AN1601" t="s">
        <v>48</v>
      </c>
      <c r="AO1601" t="s">
        <v>48</v>
      </c>
      <c r="AP1601" s="46">
        <v>0</v>
      </c>
      <c r="AQ1601" s="46">
        <v>0</v>
      </c>
      <c r="AR1601" s="46">
        <v>0</v>
      </c>
      <c r="AS1601" s="46">
        <v>0</v>
      </c>
      <c r="AT1601" s="46">
        <v>0</v>
      </c>
      <c r="AU1601" s="46">
        <v>0</v>
      </c>
      <c r="AV1601" s="46">
        <v>0</v>
      </c>
      <c r="AW1601" s="46">
        <v>0</v>
      </c>
      <c r="AX1601" s="46">
        <v>0</v>
      </c>
      <c r="AY1601" s="46">
        <v>0</v>
      </c>
      <c r="AZ1601" s="46">
        <v>0</v>
      </c>
      <c r="BA1601" s="46">
        <v>0</v>
      </c>
      <c r="BB1601" s="46">
        <v>0</v>
      </c>
      <c r="BC1601" s="46">
        <v>0</v>
      </c>
      <c r="BD1601" s="46">
        <v>0</v>
      </c>
      <c r="BE1601" s="46">
        <v>0</v>
      </c>
      <c r="BF1601" s="46">
        <v>0</v>
      </c>
      <c r="BG1601" s="46" t="s">
        <v>48</v>
      </c>
      <c r="BH1601" s="46">
        <v>0</v>
      </c>
      <c r="BI1601" s="46">
        <v>0</v>
      </c>
      <c r="BJ1601" s="46">
        <v>0</v>
      </c>
      <c r="BK1601" s="46">
        <v>0</v>
      </c>
      <c r="BL1601" s="46">
        <v>0</v>
      </c>
      <c r="BM1601" s="46">
        <v>0</v>
      </c>
      <c r="BN1601" s="46">
        <v>0</v>
      </c>
    </row>
    <row r="1602" spans="1:66" x14ac:dyDescent="0.35">
      <c r="A1602" t="s">
        <v>10659</v>
      </c>
      <c r="B1602" s="44" t="s">
        <v>48</v>
      </c>
      <c r="C1602" t="s">
        <v>1995</v>
      </c>
      <c r="D1602" t="s">
        <v>1505</v>
      </c>
      <c r="E1602" t="s">
        <v>10660</v>
      </c>
      <c r="F1602" t="s">
        <v>2502</v>
      </c>
      <c r="G1602" t="s">
        <v>47</v>
      </c>
      <c r="H1602">
        <v>0</v>
      </c>
      <c r="I1602" s="60" t="s">
        <v>11552</v>
      </c>
      <c r="J1602" s="33" t="s">
        <v>45</v>
      </c>
      <c r="K1602" s="46">
        <v>0</v>
      </c>
      <c r="L1602">
        <v>16.100000000000001</v>
      </c>
      <c r="M1602" t="s">
        <v>48</v>
      </c>
      <c r="N1602" s="46">
        <v>0</v>
      </c>
      <c r="O1602" s="46">
        <v>0</v>
      </c>
      <c r="P1602" s="46">
        <v>0</v>
      </c>
      <c r="Q1602" t="s">
        <v>48</v>
      </c>
      <c r="R1602" t="s">
        <v>48</v>
      </c>
      <c r="S1602" t="s">
        <v>11483</v>
      </c>
      <c r="T1602" t="s">
        <v>48</v>
      </c>
      <c r="U1602" t="s">
        <v>10661</v>
      </c>
      <c r="V1602" s="47">
        <v>0</v>
      </c>
      <c r="W1602" t="s">
        <v>48</v>
      </c>
      <c r="X1602" t="s">
        <v>48</v>
      </c>
      <c r="Y1602" t="s">
        <v>48</v>
      </c>
      <c r="Z1602">
        <v>0</v>
      </c>
      <c r="AA1602" t="s">
        <v>48</v>
      </c>
      <c r="AB1602" t="s">
        <v>48</v>
      </c>
      <c r="AC1602" t="s">
        <v>49</v>
      </c>
      <c r="AD1602" t="s">
        <v>93</v>
      </c>
      <c r="AE1602" t="s">
        <v>4532</v>
      </c>
      <c r="AF1602" t="s">
        <v>48</v>
      </c>
      <c r="AG1602" t="s">
        <v>48</v>
      </c>
      <c r="AH1602" t="s">
        <v>48</v>
      </c>
      <c r="AI1602" t="s">
        <v>48</v>
      </c>
      <c r="AJ1602" t="s">
        <v>48</v>
      </c>
      <c r="AK1602" t="s">
        <v>48</v>
      </c>
      <c r="AL1602" t="s">
        <v>48</v>
      </c>
      <c r="AM1602" t="s">
        <v>48</v>
      </c>
      <c r="AN1602" t="s">
        <v>48</v>
      </c>
      <c r="AO1602" t="s">
        <v>48</v>
      </c>
      <c r="AP1602" s="46">
        <v>0</v>
      </c>
      <c r="AQ1602" s="46">
        <v>0</v>
      </c>
      <c r="AR1602" s="46">
        <v>0</v>
      </c>
      <c r="AS1602" s="46">
        <v>0</v>
      </c>
      <c r="AT1602" s="46">
        <v>0</v>
      </c>
      <c r="AU1602" s="46">
        <v>0</v>
      </c>
      <c r="AV1602" s="46">
        <v>0</v>
      </c>
      <c r="AW1602" s="46">
        <v>0</v>
      </c>
      <c r="AX1602" s="46">
        <v>0</v>
      </c>
      <c r="AY1602" s="46">
        <v>0</v>
      </c>
      <c r="AZ1602" s="46">
        <v>0</v>
      </c>
      <c r="BA1602" s="46">
        <v>0</v>
      </c>
      <c r="BB1602" s="46">
        <v>0</v>
      </c>
      <c r="BC1602" s="46">
        <v>0</v>
      </c>
      <c r="BD1602" s="46">
        <v>0</v>
      </c>
      <c r="BE1602" s="46">
        <v>0</v>
      </c>
      <c r="BF1602" s="46">
        <v>0</v>
      </c>
      <c r="BG1602" s="46" t="s">
        <v>48</v>
      </c>
      <c r="BH1602" s="46">
        <v>0</v>
      </c>
      <c r="BI1602" s="46">
        <v>0</v>
      </c>
      <c r="BJ1602" s="46">
        <v>0</v>
      </c>
      <c r="BK1602" s="46">
        <v>0</v>
      </c>
      <c r="BL1602" s="46">
        <v>0</v>
      </c>
      <c r="BM1602" s="46">
        <v>0</v>
      </c>
      <c r="BN1602" s="46">
        <v>0</v>
      </c>
    </row>
    <row r="1603" spans="1:66" x14ac:dyDescent="0.35">
      <c r="A1603" t="s">
        <v>10654</v>
      </c>
      <c r="B1603" s="44" t="s">
        <v>48</v>
      </c>
      <c r="C1603" t="s">
        <v>11889</v>
      </c>
      <c r="D1603" t="s">
        <v>1666</v>
      </c>
      <c r="E1603" t="s">
        <v>10655</v>
      </c>
      <c r="F1603" t="s">
        <v>2502</v>
      </c>
      <c r="G1603" t="s">
        <v>74</v>
      </c>
      <c r="H1603">
        <v>0</v>
      </c>
      <c r="I1603" s="61">
        <v>44790</v>
      </c>
      <c r="J1603" s="33" t="s">
        <v>45</v>
      </c>
      <c r="K1603" s="46">
        <v>0</v>
      </c>
      <c r="L1603">
        <v>5.9</v>
      </c>
      <c r="M1603" t="s">
        <v>48</v>
      </c>
      <c r="N1603" s="46">
        <v>0</v>
      </c>
      <c r="O1603" s="46">
        <v>0</v>
      </c>
      <c r="P1603" s="46">
        <v>0</v>
      </c>
      <c r="Q1603" t="s">
        <v>48</v>
      </c>
      <c r="R1603" t="s">
        <v>48</v>
      </c>
      <c r="S1603" t="s">
        <v>48</v>
      </c>
      <c r="T1603" t="s">
        <v>48</v>
      </c>
      <c r="U1603" t="s">
        <v>48</v>
      </c>
      <c r="V1603" s="47">
        <v>0</v>
      </c>
      <c r="W1603" t="s">
        <v>48</v>
      </c>
      <c r="X1603" t="s">
        <v>48</v>
      </c>
      <c r="Y1603" t="s">
        <v>48</v>
      </c>
      <c r="Z1603">
        <v>0</v>
      </c>
      <c r="AA1603" t="s">
        <v>48</v>
      </c>
      <c r="AB1603" t="s">
        <v>48</v>
      </c>
      <c r="AC1603" t="s">
        <v>49</v>
      </c>
      <c r="AD1603" t="s">
        <v>93</v>
      </c>
      <c r="AE1603" t="s">
        <v>977</v>
      </c>
      <c r="AF1603" t="s">
        <v>48</v>
      </c>
      <c r="AG1603" t="s">
        <v>48</v>
      </c>
      <c r="AH1603" t="s">
        <v>48</v>
      </c>
      <c r="AI1603" t="s">
        <v>48</v>
      </c>
      <c r="AJ1603" t="s">
        <v>48</v>
      </c>
      <c r="AK1603" t="s">
        <v>48</v>
      </c>
      <c r="AL1603" t="s">
        <v>48</v>
      </c>
      <c r="AM1603" t="s">
        <v>48</v>
      </c>
      <c r="AN1603" t="s">
        <v>48</v>
      </c>
      <c r="AO1603" t="s">
        <v>48</v>
      </c>
      <c r="AP1603" s="46">
        <v>0</v>
      </c>
      <c r="AQ1603" s="46">
        <v>0</v>
      </c>
      <c r="AR1603" s="46">
        <v>0</v>
      </c>
      <c r="AS1603" s="46">
        <v>0</v>
      </c>
      <c r="AT1603" s="46">
        <v>0</v>
      </c>
      <c r="AU1603" s="46">
        <v>0</v>
      </c>
      <c r="AV1603" s="46">
        <v>0</v>
      </c>
      <c r="AW1603" s="46">
        <v>0</v>
      </c>
      <c r="AX1603" s="46">
        <v>0</v>
      </c>
      <c r="AY1603" s="46">
        <v>0</v>
      </c>
      <c r="AZ1603" s="46">
        <v>0</v>
      </c>
      <c r="BA1603" s="46">
        <v>0</v>
      </c>
      <c r="BB1603" s="46">
        <v>0</v>
      </c>
      <c r="BC1603" s="46">
        <v>0</v>
      </c>
      <c r="BD1603" s="46">
        <v>0</v>
      </c>
      <c r="BE1603" s="46">
        <v>0</v>
      </c>
      <c r="BF1603" s="46">
        <v>0</v>
      </c>
      <c r="BG1603" s="46" t="s">
        <v>48</v>
      </c>
      <c r="BH1603" s="46">
        <v>0</v>
      </c>
      <c r="BI1603" s="46">
        <v>0</v>
      </c>
      <c r="BJ1603" s="46">
        <v>0</v>
      </c>
      <c r="BK1603" s="46">
        <v>0</v>
      </c>
      <c r="BL1603" s="46">
        <v>0</v>
      </c>
      <c r="BM1603" s="46">
        <v>0</v>
      </c>
      <c r="BN1603" s="46">
        <v>0</v>
      </c>
    </row>
    <row r="1604" spans="1:66" x14ac:dyDescent="0.35">
      <c r="A1604" t="s">
        <v>11162</v>
      </c>
      <c r="B1604" s="44" t="s">
        <v>48</v>
      </c>
      <c r="C1604" t="s">
        <v>11884</v>
      </c>
      <c r="D1604" t="s">
        <v>1125</v>
      </c>
      <c r="E1604" t="s">
        <v>11163</v>
      </c>
      <c r="F1604" t="s">
        <v>2502</v>
      </c>
      <c r="G1604" t="s">
        <v>74</v>
      </c>
      <c r="H1604">
        <v>0</v>
      </c>
      <c r="I1604" s="61" t="s">
        <v>11160</v>
      </c>
      <c r="J1604" s="33" t="s">
        <v>45</v>
      </c>
      <c r="K1604" s="46">
        <v>0</v>
      </c>
      <c r="L1604">
        <v>3.4</v>
      </c>
      <c r="M1604" t="s">
        <v>48</v>
      </c>
      <c r="N1604" s="46">
        <v>0</v>
      </c>
      <c r="O1604" s="46">
        <v>0</v>
      </c>
      <c r="P1604" s="46">
        <v>0</v>
      </c>
      <c r="Q1604" t="s">
        <v>48</v>
      </c>
      <c r="R1604" t="s">
        <v>48</v>
      </c>
      <c r="S1604" t="s">
        <v>11166</v>
      </c>
      <c r="T1604" t="s">
        <v>48</v>
      </c>
      <c r="U1604" t="s">
        <v>11166</v>
      </c>
      <c r="V1604" s="47" t="s">
        <v>48</v>
      </c>
      <c r="W1604" t="s">
        <v>11167</v>
      </c>
      <c r="X1604" t="s">
        <v>48</v>
      </c>
      <c r="Y1604" t="s">
        <v>48</v>
      </c>
      <c r="Z1604" t="s">
        <v>48</v>
      </c>
      <c r="AA1604" t="s">
        <v>48</v>
      </c>
      <c r="AB1604" t="s">
        <v>48</v>
      </c>
      <c r="AC1604" t="s">
        <v>48</v>
      </c>
      <c r="AD1604" t="s">
        <v>48</v>
      </c>
      <c r="AE1604" t="s">
        <v>48</v>
      </c>
      <c r="AF1604" t="s">
        <v>48</v>
      </c>
      <c r="AG1604" t="s">
        <v>48</v>
      </c>
      <c r="AH1604" t="s">
        <v>48</v>
      </c>
      <c r="AI1604" t="s">
        <v>48</v>
      </c>
      <c r="AJ1604" t="s">
        <v>48</v>
      </c>
      <c r="AK1604" t="s">
        <v>48</v>
      </c>
      <c r="AL1604" t="s">
        <v>48</v>
      </c>
      <c r="AM1604" t="s">
        <v>48</v>
      </c>
      <c r="AN1604" t="s">
        <v>48</v>
      </c>
      <c r="AO1604" t="s">
        <v>48</v>
      </c>
      <c r="AP1604" s="46">
        <v>0</v>
      </c>
      <c r="AQ1604" s="46">
        <v>0</v>
      </c>
      <c r="AR1604" s="46">
        <v>0</v>
      </c>
      <c r="AS1604" s="46">
        <v>0</v>
      </c>
      <c r="AT1604" s="46">
        <v>0</v>
      </c>
      <c r="AU1604" s="46">
        <v>0</v>
      </c>
      <c r="AV1604" s="46">
        <v>0</v>
      </c>
      <c r="AW1604" s="46">
        <v>0</v>
      </c>
      <c r="AX1604" s="46">
        <v>0</v>
      </c>
      <c r="AY1604" s="46">
        <v>0</v>
      </c>
      <c r="AZ1604" s="46">
        <v>0</v>
      </c>
      <c r="BA1604" s="46">
        <v>0</v>
      </c>
      <c r="BB1604" s="46">
        <v>0</v>
      </c>
      <c r="BC1604" s="46">
        <v>0</v>
      </c>
      <c r="BD1604" s="46">
        <v>0</v>
      </c>
      <c r="BE1604" s="46">
        <v>0</v>
      </c>
      <c r="BF1604" s="46">
        <v>0</v>
      </c>
      <c r="BG1604" s="46" t="s">
        <v>48</v>
      </c>
      <c r="BH1604" s="46">
        <v>0</v>
      </c>
      <c r="BI1604" s="46">
        <v>0</v>
      </c>
      <c r="BJ1604" s="46">
        <v>0</v>
      </c>
      <c r="BK1604" s="46">
        <v>0</v>
      </c>
      <c r="BL1604" s="46">
        <v>0</v>
      </c>
      <c r="BM1604" s="46">
        <v>0</v>
      </c>
      <c r="BN1604" s="46">
        <v>0</v>
      </c>
    </row>
    <row r="1605" spans="1:66" x14ac:dyDescent="0.35">
      <c r="A1605" t="s">
        <v>10651</v>
      </c>
      <c r="B1605" s="44" t="s">
        <v>48</v>
      </c>
      <c r="C1605" t="s">
        <v>11883</v>
      </c>
      <c r="D1605" t="s">
        <v>1237</v>
      </c>
      <c r="E1605" t="s">
        <v>10652</v>
      </c>
      <c r="F1605" t="s">
        <v>2502</v>
      </c>
      <c r="G1605" t="s">
        <v>74</v>
      </c>
      <c r="H1605">
        <v>0</v>
      </c>
      <c r="I1605" s="60" t="s">
        <v>11552</v>
      </c>
      <c r="J1605" s="33" t="s">
        <v>45</v>
      </c>
      <c r="K1605" s="46">
        <v>0</v>
      </c>
      <c r="L1605">
        <v>24.7</v>
      </c>
      <c r="M1605" t="s">
        <v>48</v>
      </c>
      <c r="N1605" s="46">
        <v>0</v>
      </c>
      <c r="O1605" s="46">
        <v>0</v>
      </c>
      <c r="P1605" s="46">
        <v>0</v>
      </c>
      <c r="Q1605" t="s">
        <v>48</v>
      </c>
      <c r="R1605" t="s">
        <v>48</v>
      </c>
      <c r="S1605" t="s">
        <v>11481</v>
      </c>
      <c r="T1605" t="s">
        <v>48</v>
      </c>
      <c r="U1605" t="s">
        <v>10653</v>
      </c>
      <c r="V1605" s="47">
        <v>0</v>
      </c>
      <c r="W1605" t="s">
        <v>48</v>
      </c>
      <c r="X1605" t="s">
        <v>48</v>
      </c>
      <c r="Y1605" t="s">
        <v>48</v>
      </c>
      <c r="Z1605">
        <v>0</v>
      </c>
      <c r="AA1605" t="s">
        <v>48</v>
      </c>
      <c r="AB1605" t="s">
        <v>48</v>
      </c>
      <c r="AC1605" t="s">
        <v>49</v>
      </c>
      <c r="AD1605" t="s">
        <v>48</v>
      </c>
      <c r="AE1605" t="s">
        <v>48</v>
      </c>
      <c r="AF1605" t="s">
        <v>48</v>
      </c>
      <c r="AG1605" t="s">
        <v>48</v>
      </c>
      <c r="AH1605" t="s">
        <v>48</v>
      </c>
      <c r="AI1605" t="s">
        <v>48</v>
      </c>
      <c r="AJ1605" t="s">
        <v>48</v>
      </c>
      <c r="AK1605" t="s">
        <v>48</v>
      </c>
      <c r="AL1605" t="s">
        <v>48</v>
      </c>
      <c r="AM1605" t="s">
        <v>48</v>
      </c>
      <c r="AN1605" t="s">
        <v>48</v>
      </c>
      <c r="AO1605" t="s">
        <v>48</v>
      </c>
      <c r="AP1605" s="46">
        <v>0</v>
      </c>
      <c r="AQ1605" s="46">
        <v>0</v>
      </c>
      <c r="AR1605" s="46">
        <v>0</v>
      </c>
      <c r="AS1605" s="46">
        <v>0</v>
      </c>
      <c r="AT1605" s="46">
        <v>0</v>
      </c>
      <c r="AU1605" s="46">
        <v>0</v>
      </c>
      <c r="AV1605" s="46">
        <v>0</v>
      </c>
      <c r="AW1605" s="46">
        <v>0</v>
      </c>
      <c r="AX1605" s="46">
        <v>0</v>
      </c>
      <c r="AY1605" s="46">
        <v>0</v>
      </c>
      <c r="AZ1605" s="46">
        <v>0</v>
      </c>
      <c r="BA1605" s="46">
        <v>0</v>
      </c>
      <c r="BB1605" s="46">
        <v>0</v>
      </c>
      <c r="BC1605" s="46">
        <v>0</v>
      </c>
      <c r="BD1605" s="46">
        <v>0</v>
      </c>
      <c r="BE1605" s="46">
        <v>0</v>
      </c>
      <c r="BF1605" s="46">
        <v>0</v>
      </c>
      <c r="BG1605" s="46" t="s">
        <v>48</v>
      </c>
      <c r="BH1605" s="46">
        <v>0</v>
      </c>
      <c r="BI1605" s="46">
        <v>0</v>
      </c>
      <c r="BJ1605" s="46">
        <v>0</v>
      </c>
      <c r="BK1605" s="46">
        <v>0</v>
      </c>
      <c r="BL1605" s="46">
        <v>0</v>
      </c>
      <c r="BM1605" s="46">
        <v>0</v>
      </c>
      <c r="BN1605" s="46">
        <v>0</v>
      </c>
    </row>
    <row r="1606" spans="1:66" x14ac:dyDescent="0.35">
      <c r="A1606" t="s">
        <v>11164</v>
      </c>
      <c r="B1606" s="44" t="s">
        <v>48</v>
      </c>
      <c r="C1606" t="s">
        <v>11886</v>
      </c>
      <c r="D1606" t="s">
        <v>76</v>
      </c>
      <c r="E1606" t="s">
        <v>11165</v>
      </c>
      <c r="F1606" t="s">
        <v>2502</v>
      </c>
      <c r="G1606" t="s">
        <v>74</v>
      </c>
      <c r="H1606">
        <v>0</v>
      </c>
      <c r="I1606" s="61" t="s">
        <v>11160</v>
      </c>
      <c r="J1606" s="33" t="s">
        <v>45</v>
      </c>
      <c r="K1606" s="46">
        <v>0</v>
      </c>
      <c r="L1606">
        <v>2</v>
      </c>
      <c r="M1606" t="s">
        <v>48</v>
      </c>
      <c r="N1606" s="46">
        <v>0</v>
      </c>
      <c r="O1606" s="46">
        <v>0</v>
      </c>
      <c r="P1606" s="46">
        <v>0</v>
      </c>
      <c r="Q1606" t="s">
        <v>48</v>
      </c>
      <c r="R1606" t="s">
        <v>48</v>
      </c>
      <c r="S1606" t="s">
        <v>48</v>
      </c>
      <c r="T1606" t="s">
        <v>48</v>
      </c>
      <c r="U1606" t="s">
        <v>48</v>
      </c>
      <c r="V1606" s="47" t="s">
        <v>48</v>
      </c>
      <c r="W1606" t="s">
        <v>48</v>
      </c>
      <c r="X1606" t="s">
        <v>48</v>
      </c>
      <c r="Y1606" t="s">
        <v>48</v>
      </c>
      <c r="Z1606" t="s">
        <v>48</v>
      </c>
      <c r="AA1606" t="s">
        <v>48</v>
      </c>
      <c r="AB1606" t="s">
        <v>48</v>
      </c>
      <c r="AC1606" t="s">
        <v>48</v>
      </c>
      <c r="AD1606" t="s">
        <v>48</v>
      </c>
      <c r="AE1606" t="s">
        <v>48</v>
      </c>
      <c r="AF1606" t="s">
        <v>48</v>
      </c>
      <c r="AG1606" t="s">
        <v>48</v>
      </c>
      <c r="AH1606" t="s">
        <v>48</v>
      </c>
      <c r="AI1606" t="s">
        <v>48</v>
      </c>
      <c r="AJ1606" t="s">
        <v>48</v>
      </c>
      <c r="AK1606" t="s">
        <v>48</v>
      </c>
      <c r="AL1606" t="s">
        <v>48</v>
      </c>
      <c r="AM1606" t="s">
        <v>48</v>
      </c>
      <c r="AN1606" t="s">
        <v>48</v>
      </c>
      <c r="AO1606" t="s">
        <v>48</v>
      </c>
      <c r="AP1606" s="46">
        <v>0</v>
      </c>
      <c r="AQ1606" s="46">
        <v>0</v>
      </c>
      <c r="AR1606" s="46">
        <v>0</v>
      </c>
      <c r="AS1606" s="46">
        <v>0</v>
      </c>
      <c r="AT1606" s="46">
        <v>0</v>
      </c>
      <c r="AU1606" s="46">
        <v>0</v>
      </c>
      <c r="AV1606" s="46">
        <v>0</v>
      </c>
      <c r="AW1606" s="46">
        <v>0</v>
      </c>
      <c r="AX1606" s="46">
        <v>0</v>
      </c>
      <c r="AY1606" s="46">
        <v>0</v>
      </c>
      <c r="AZ1606" s="46">
        <v>0</v>
      </c>
      <c r="BA1606" s="46">
        <v>0</v>
      </c>
      <c r="BB1606" s="46">
        <v>0</v>
      </c>
      <c r="BC1606" s="46">
        <v>0</v>
      </c>
      <c r="BD1606" s="46">
        <v>0</v>
      </c>
      <c r="BE1606" s="46">
        <v>0</v>
      </c>
      <c r="BF1606" s="46">
        <v>0</v>
      </c>
      <c r="BG1606" s="46" t="s">
        <v>48</v>
      </c>
      <c r="BH1606" s="46">
        <v>0</v>
      </c>
      <c r="BI1606" s="46">
        <v>0</v>
      </c>
      <c r="BJ1606" s="46">
        <v>0</v>
      </c>
      <c r="BK1606" s="46">
        <v>0</v>
      </c>
      <c r="BL1606" s="46">
        <v>0</v>
      </c>
      <c r="BM1606" s="46">
        <v>0</v>
      </c>
      <c r="BN1606" s="46">
        <v>0</v>
      </c>
    </row>
    <row r="1607" spans="1:66" x14ac:dyDescent="0.35">
      <c r="A1607" t="s">
        <v>2549</v>
      </c>
      <c r="B1607" s="44" t="s">
        <v>48</v>
      </c>
      <c r="C1607" t="s">
        <v>2551</v>
      </c>
      <c r="D1607" t="s">
        <v>467</v>
      </c>
      <c r="E1607" t="s">
        <v>2550</v>
      </c>
      <c r="F1607" t="s">
        <v>2540</v>
      </c>
      <c r="G1607" t="s">
        <v>47</v>
      </c>
      <c r="H1607">
        <v>0</v>
      </c>
      <c r="I1607" s="60" t="s">
        <v>51</v>
      </c>
      <c r="J1607" s="33" t="s">
        <v>45</v>
      </c>
      <c r="K1607" s="46">
        <v>0</v>
      </c>
      <c r="L1607">
        <v>14.7</v>
      </c>
      <c r="M1607" t="s">
        <v>48</v>
      </c>
      <c r="N1607" s="46">
        <v>0</v>
      </c>
      <c r="O1607" s="46">
        <v>0</v>
      </c>
      <c r="P1607" s="46">
        <v>0</v>
      </c>
      <c r="Q1607" t="s">
        <v>48</v>
      </c>
      <c r="R1607" t="s">
        <v>48</v>
      </c>
      <c r="S1607" t="s">
        <v>10092</v>
      </c>
      <c r="T1607" t="s">
        <v>48</v>
      </c>
      <c r="U1607" t="s">
        <v>10092</v>
      </c>
      <c r="V1607" s="47">
        <v>0</v>
      </c>
      <c r="W1607" t="s">
        <v>48</v>
      </c>
      <c r="X1607" t="s">
        <v>48</v>
      </c>
      <c r="Y1607" t="s">
        <v>48</v>
      </c>
      <c r="Z1607">
        <v>0</v>
      </c>
      <c r="AA1607" t="s">
        <v>48</v>
      </c>
      <c r="AB1607" t="s">
        <v>48</v>
      </c>
      <c r="AC1607" t="s">
        <v>49</v>
      </c>
      <c r="AD1607" t="s">
        <v>93</v>
      </c>
      <c r="AE1607" t="s">
        <v>4532</v>
      </c>
      <c r="AF1607" t="s">
        <v>48</v>
      </c>
      <c r="AG1607" t="s">
        <v>48</v>
      </c>
      <c r="AH1607" t="s">
        <v>48</v>
      </c>
      <c r="AI1607" t="s">
        <v>48</v>
      </c>
      <c r="AJ1607" t="s">
        <v>48</v>
      </c>
      <c r="AK1607" t="s">
        <v>48</v>
      </c>
      <c r="AL1607" t="s">
        <v>48</v>
      </c>
      <c r="AM1607" t="s">
        <v>48</v>
      </c>
      <c r="AN1607" t="s">
        <v>48</v>
      </c>
      <c r="AO1607" t="s">
        <v>48</v>
      </c>
      <c r="AP1607" s="46">
        <v>0</v>
      </c>
      <c r="AQ1607" s="46">
        <v>0</v>
      </c>
      <c r="AR1607" s="46">
        <v>0</v>
      </c>
      <c r="AS1607" s="46">
        <v>0</v>
      </c>
      <c r="AT1607" s="46">
        <v>0</v>
      </c>
      <c r="AU1607" s="46">
        <v>0</v>
      </c>
      <c r="AV1607" s="46">
        <v>0</v>
      </c>
      <c r="AW1607" s="46">
        <v>0</v>
      </c>
      <c r="AX1607" s="46">
        <v>0</v>
      </c>
      <c r="AY1607" s="46">
        <v>0</v>
      </c>
      <c r="AZ1607" s="46">
        <v>0</v>
      </c>
      <c r="BA1607" s="46">
        <v>0</v>
      </c>
      <c r="BB1607" s="46">
        <v>0</v>
      </c>
      <c r="BC1607" s="46">
        <v>0</v>
      </c>
      <c r="BD1607" s="46">
        <v>0</v>
      </c>
      <c r="BE1607" s="46">
        <v>0</v>
      </c>
      <c r="BF1607" s="46">
        <v>0</v>
      </c>
      <c r="BG1607" s="46" t="s">
        <v>48</v>
      </c>
      <c r="BH1607" s="46">
        <v>0</v>
      </c>
      <c r="BI1607" s="46">
        <v>0</v>
      </c>
      <c r="BJ1607" s="46">
        <v>0</v>
      </c>
      <c r="BK1607" s="46">
        <v>0</v>
      </c>
      <c r="BL1607" s="46">
        <v>0</v>
      </c>
      <c r="BM1607" s="46">
        <v>0</v>
      </c>
      <c r="BN1607" s="46">
        <v>0</v>
      </c>
    </row>
    <row r="1608" spans="1:66" x14ac:dyDescent="0.35">
      <c r="A1608" t="s">
        <v>2545</v>
      </c>
      <c r="B1608" s="44" t="s">
        <v>48</v>
      </c>
      <c r="C1608" t="s">
        <v>2548</v>
      </c>
      <c r="D1608" t="s">
        <v>1125</v>
      </c>
      <c r="E1608" t="s">
        <v>2546</v>
      </c>
      <c r="F1608" t="s">
        <v>2540</v>
      </c>
      <c r="G1608" t="s">
        <v>47</v>
      </c>
      <c r="H1608">
        <v>0</v>
      </c>
      <c r="I1608" s="60" t="s">
        <v>51</v>
      </c>
      <c r="J1608" s="33" t="s">
        <v>45</v>
      </c>
      <c r="K1608" s="46">
        <v>0</v>
      </c>
      <c r="L1608">
        <v>19.399999999999999</v>
      </c>
      <c r="M1608" t="s">
        <v>48</v>
      </c>
      <c r="N1608" s="46">
        <v>0</v>
      </c>
      <c r="O1608" s="46">
        <v>0</v>
      </c>
      <c r="P1608" s="46">
        <v>0</v>
      </c>
      <c r="Q1608" t="s">
        <v>48</v>
      </c>
      <c r="R1608" t="s">
        <v>48</v>
      </c>
      <c r="S1608" t="s">
        <v>2547</v>
      </c>
      <c r="T1608" t="s">
        <v>48</v>
      </c>
      <c r="U1608" t="s">
        <v>2547</v>
      </c>
      <c r="V1608" s="47">
        <v>0</v>
      </c>
      <c r="W1608" t="s">
        <v>11317</v>
      </c>
      <c r="X1608" t="s">
        <v>48</v>
      </c>
      <c r="Y1608" t="s">
        <v>48</v>
      </c>
      <c r="Z1608">
        <v>0</v>
      </c>
      <c r="AA1608" t="s">
        <v>48</v>
      </c>
      <c r="AB1608" t="s">
        <v>48</v>
      </c>
      <c r="AC1608" t="s">
        <v>63</v>
      </c>
      <c r="AD1608" t="s">
        <v>93</v>
      </c>
      <c r="AE1608" s="40" t="s">
        <v>2471</v>
      </c>
      <c r="AF1608" t="s">
        <v>11061</v>
      </c>
      <c r="AG1608" t="s">
        <v>48</v>
      </c>
      <c r="AH1608" t="s">
        <v>48</v>
      </c>
      <c r="AI1608" t="s">
        <v>48</v>
      </c>
      <c r="AJ1608" t="s">
        <v>48</v>
      </c>
      <c r="AK1608" t="s">
        <v>48</v>
      </c>
      <c r="AL1608" t="s">
        <v>48</v>
      </c>
      <c r="AM1608" t="s">
        <v>48</v>
      </c>
      <c r="AN1608" t="s">
        <v>48</v>
      </c>
      <c r="AO1608" t="s">
        <v>48</v>
      </c>
      <c r="AP1608" s="46">
        <v>0</v>
      </c>
      <c r="AQ1608" s="46">
        <v>0</v>
      </c>
      <c r="AR1608" s="46">
        <v>0</v>
      </c>
      <c r="AS1608" s="46">
        <v>0</v>
      </c>
      <c r="AT1608" s="46">
        <v>0</v>
      </c>
      <c r="AU1608" s="46">
        <v>0</v>
      </c>
      <c r="AV1608" s="46">
        <v>0</v>
      </c>
      <c r="AW1608" s="46">
        <v>0</v>
      </c>
      <c r="AX1608" s="46">
        <v>0</v>
      </c>
      <c r="AY1608" s="46">
        <v>0</v>
      </c>
      <c r="AZ1608" s="46">
        <v>0</v>
      </c>
      <c r="BA1608" s="46">
        <v>0</v>
      </c>
      <c r="BB1608" s="46">
        <v>0</v>
      </c>
      <c r="BC1608" s="46">
        <v>0</v>
      </c>
      <c r="BD1608" s="46">
        <v>0</v>
      </c>
      <c r="BE1608" s="46">
        <v>0</v>
      </c>
      <c r="BF1608" s="46">
        <v>0</v>
      </c>
      <c r="BG1608" s="46" t="s">
        <v>48</v>
      </c>
      <c r="BH1608" s="46">
        <v>0</v>
      </c>
      <c r="BI1608" s="46">
        <v>0</v>
      </c>
      <c r="BJ1608" s="46">
        <v>0</v>
      </c>
      <c r="BK1608" s="46">
        <v>0</v>
      </c>
      <c r="BL1608" s="46">
        <v>0</v>
      </c>
      <c r="BM1608" s="46">
        <v>0</v>
      </c>
      <c r="BN1608" s="46">
        <v>0</v>
      </c>
    </row>
    <row r="1609" spans="1:66" x14ac:dyDescent="0.35">
      <c r="A1609" t="s">
        <v>2607</v>
      </c>
      <c r="B1609" s="44" t="s">
        <v>48</v>
      </c>
      <c r="C1609" t="s">
        <v>80</v>
      </c>
      <c r="D1609" t="s">
        <v>1124</v>
      </c>
      <c r="E1609" t="s">
        <v>2608</v>
      </c>
      <c r="F1609" t="s">
        <v>2603</v>
      </c>
      <c r="G1609" t="s">
        <v>47</v>
      </c>
      <c r="H1609">
        <v>0</v>
      </c>
      <c r="I1609" s="60" t="s">
        <v>51</v>
      </c>
      <c r="J1609" s="33" t="s">
        <v>45</v>
      </c>
      <c r="K1609" s="46">
        <v>0</v>
      </c>
      <c r="L1609">
        <v>32.700000000000003</v>
      </c>
      <c r="M1609" t="s">
        <v>48</v>
      </c>
      <c r="N1609" s="46">
        <v>0</v>
      </c>
      <c r="O1609" s="46">
        <v>0</v>
      </c>
      <c r="P1609" s="46">
        <v>0</v>
      </c>
      <c r="Q1609" t="s">
        <v>48</v>
      </c>
      <c r="R1609" t="s">
        <v>48</v>
      </c>
      <c r="S1609" t="s">
        <v>48</v>
      </c>
      <c r="T1609" t="s">
        <v>48</v>
      </c>
      <c r="U1609" t="s">
        <v>48</v>
      </c>
      <c r="V1609" s="47">
        <v>1</v>
      </c>
      <c r="W1609" t="s">
        <v>11264</v>
      </c>
      <c r="X1609" t="s">
        <v>48</v>
      </c>
      <c r="Y1609" t="s">
        <v>48</v>
      </c>
      <c r="Z1609">
        <v>0</v>
      </c>
      <c r="AA1609" t="s">
        <v>48</v>
      </c>
      <c r="AB1609" t="s">
        <v>48</v>
      </c>
      <c r="AC1609" t="s">
        <v>49</v>
      </c>
      <c r="AD1609" t="s">
        <v>93</v>
      </c>
      <c r="AE1609" t="s">
        <v>4532</v>
      </c>
      <c r="AF1609" t="s">
        <v>48</v>
      </c>
      <c r="AG1609" t="s">
        <v>48</v>
      </c>
      <c r="AH1609" t="s">
        <v>48</v>
      </c>
      <c r="AI1609" t="s">
        <v>48</v>
      </c>
      <c r="AJ1609" t="s">
        <v>48</v>
      </c>
      <c r="AK1609" t="s">
        <v>48</v>
      </c>
      <c r="AL1609" t="s">
        <v>48</v>
      </c>
      <c r="AM1609" t="s">
        <v>48</v>
      </c>
      <c r="AN1609" t="s">
        <v>48</v>
      </c>
      <c r="AO1609" t="s">
        <v>48</v>
      </c>
      <c r="AP1609" s="46">
        <v>0</v>
      </c>
      <c r="AQ1609" s="46">
        <v>0</v>
      </c>
      <c r="AR1609" s="46">
        <v>0</v>
      </c>
      <c r="AS1609" s="46">
        <v>0</v>
      </c>
      <c r="AT1609" s="46">
        <v>0</v>
      </c>
      <c r="AU1609" s="46">
        <v>0</v>
      </c>
      <c r="AV1609" s="46">
        <v>0</v>
      </c>
      <c r="AW1609" s="46">
        <v>0</v>
      </c>
      <c r="AX1609" s="46">
        <v>0</v>
      </c>
      <c r="AY1609" s="46">
        <v>0</v>
      </c>
      <c r="AZ1609" s="46">
        <v>0</v>
      </c>
      <c r="BA1609" s="46">
        <v>0</v>
      </c>
      <c r="BB1609" s="46">
        <v>0</v>
      </c>
      <c r="BC1609" s="46">
        <v>0</v>
      </c>
      <c r="BD1609" s="46">
        <v>0</v>
      </c>
      <c r="BE1609" s="46">
        <v>0</v>
      </c>
      <c r="BF1609" s="46">
        <v>0</v>
      </c>
      <c r="BG1609" s="46" t="s">
        <v>48</v>
      </c>
      <c r="BH1609" s="46">
        <v>0</v>
      </c>
      <c r="BI1609" s="46">
        <v>0</v>
      </c>
      <c r="BJ1609" s="46">
        <v>0</v>
      </c>
      <c r="BK1609" s="46">
        <v>0</v>
      </c>
      <c r="BL1609" s="46">
        <v>0</v>
      </c>
      <c r="BM1609" s="46">
        <v>0</v>
      </c>
      <c r="BN1609" s="46">
        <v>0</v>
      </c>
    </row>
    <row r="1610" spans="1:66" x14ac:dyDescent="0.35">
      <c r="A1610" t="s">
        <v>7954</v>
      </c>
      <c r="B1610" s="44" t="s">
        <v>48</v>
      </c>
      <c r="C1610" t="s">
        <v>1444</v>
      </c>
      <c r="D1610" t="s">
        <v>216</v>
      </c>
      <c r="E1610" t="s">
        <v>7953</v>
      </c>
      <c r="F1610" t="s">
        <v>2603</v>
      </c>
      <c r="G1610" t="s">
        <v>47</v>
      </c>
      <c r="H1610">
        <v>0</v>
      </c>
      <c r="I1610" s="61">
        <v>44720</v>
      </c>
      <c r="J1610" s="33" t="s">
        <v>45</v>
      </c>
      <c r="K1610" s="46">
        <v>0</v>
      </c>
      <c r="L1610">
        <v>5.2</v>
      </c>
      <c r="M1610" t="s">
        <v>48</v>
      </c>
      <c r="N1610" s="46">
        <v>0</v>
      </c>
      <c r="O1610" s="46">
        <v>0</v>
      </c>
      <c r="P1610" s="46">
        <v>0</v>
      </c>
      <c r="Q1610" t="s">
        <v>48</v>
      </c>
      <c r="R1610" t="s">
        <v>48</v>
      </c>
      <c r="S1610" t="s">
        <v>48</v>
      </c>
      <c r="T1610" t="s">
        <v>48</v>
      </c>
      <c r="U1610" t="s">
        <v>48</v>
      </c>
      <c r="V1610" s="47">
        <v>1</v>
      </c>
      <c r="W1610" t="s">
        <v>48</v>
      </c>
      <c r="X1610" t="s">
        <v>48</v>
      </c>
      <c r="Y1610" t="s">
        <v>48</v>
      </c>
      <c r="Z1610" t="s">
        <v>48</v>
      </c>
      <c r="AA1610" t="s">
        <v>48</v>
      </c>
      <c r="AB1610" t="s">
        <v>48</v>
      </c>
      <c r="AC1610" t="s">
        <v>49</v>
      </c>
      <c r="AD1610" t="s">
        <v>48</v>
      </c>
      <c r="AE1610" t="s">
        <v>48</v>
      </c>
      <c r="AF1610" t="s">
        <v>48</v>
      </c>
      <c r="AG1610" t="s">
        <v>48</v>
      </c>
      <c r="AH1610" t="s">
        <v>48</v>
      </c>
      <c r="AI1610" t="s">
        <v>48</v>
      </c>
      <c r="AJ1610" t="s">
        <v>48</v>
      </c>
      <c r="AK1610" t="s">
        <v>48</v>
      </c>
      <c r="AL1610" t="s">
        <v>48</v>
      </c>
      <c r="AM1610" t="s">
        <v>48</v>
      </c>
      <c r="AN1610" t="s">
        <v>48</v>
      </c>
      <c r="AO1610" t="s">
        <v>48</v>
      </c>
      <c r="AP1610" s="46">
        <v>0</v>
      </c>
      <c r="AQ1610" s="46">
        <v>0</v>
      </c>
      <c r="AR1610" s="46">
        <v>0</v>
      </c>
      <c r="AS1610" s="46">
        <v>0</v>
      </c>
      <c r="AT1610" s="46">
        <v>0</v>
      </c>
      <c r="AU1610" s="46">
        <v>0</v>
      </c>
      <c r="AV1610" s="46">
        <v>0</v>
      </c>
      <c r="AW1610" s="46">
        <v>0</v>
      </c>
      <c r="AX1610" s="46">
        <v>0</v>
      </c>
      <c r="AY1610" s="46">
        <v>0</v>
      </c>
      <c r="AZ1610" s="46">
        <v>0</v>
      </c>
      <c r="BA1610" s="46">
        <v>0</v>
      </c>
      <c r="BB1610" s="46">
        <v>0</v>
      </c>
      <c r="BC1610" s="46">
        <v>0</v>
      </c>
      <c r="BD1610" s="46">
        <v>0</v>
      </c>
      <c r="BE1610" s="46">
        <v>0</v>
      </c>
      <c r="BF1610" s="46">
        <v>0</v>
      </c>
      <c r="BG1610" s="46" t="s">
        <v>48</v>
      </c>
      <c r="BH1610" s="46">
        <v>0</v>
      </c>
      <c r="BI1610" s="46">
        <v>0</v>
      </c>
      <c r="BJ1610" s="46">
        <v>0</v>
      </c>
      <c r="BK1610" s="46">
        <v>0</v>
      </c>
      <c r="BL1610" s="46">
        <v>0</v>
      </c>
      <c r="BM1610" s="46">
        <v>0</v>
      </c>
      <c r="BN1610" s="46">
        <v>0</v>
      </c>
    </row>
    <row r="1611" spans="1:66" x14ac:dyDescent="0.35">
      <c r="A1611" t="s">
        <v>7952</v>
      </c>
      <c r="B1611" s="44" t="s">
        <v>48</v>
      </c>
      <c r="C1611" t="s">
        <v>1805</v>
      </c>
      <c r="D1611" t="s">
        <v>705</v>
      </c>
      <c r="E1611" t="s">
        <v>7951</v>
      </c>
      <c r="F1611" t="s">
        <v>2603</v>
      </c>
      <c r="G1611" t="s">
        <v>47</v>
      </c>
      <c r="H1611">
        <v>0</v>
      </c>
      <c r="I1611" s="61">
        <v>44720</v>
      </c>
      <c r="J1611" s="33" t="s">
        <v>45</v>
      </c>
      <c r="K1611" s="46">
        <v>0</v>
      </c>
      <c r="L1611">
        <v>1.8</v>
      </c>
      <c r="M1611" t="s">
        <v>48</v>
      </c>
      <c r="N1611" s="46">
        <v>0</v>
      </c>
      <c r="O1611" s="46">
        <v>0</v>
      </c>
      <c r="P1611" s="46">
        <v>0</v>
      </c>
      <c r="Q1611" t="s">
        <v>48</v>
      </c>
      <c r="R1611" t="s">
        <v>48</v>
      </c>
      <c r="S1611" t="s">
        <v>48</v>
      </c>
      <c r="T1611" t="s">
        <v>48</v>
      </c>
      <c r="U1611" t="s">
        <v>48</v>
      </c>
      <c r="V1611" s="47">
        <v>1</v>
      </c>
      <c r="W1611" t="s">
        <v>48</v>
      </c>
      <c r="X1611" t="s">
        <v>48</v>
      </c>
      <c r="Y1611" t="s">
        <v>48</v>
      </c>
      <c r="Z1611" t="s">
        <v>48</v>
      </c>
      <c r="AA1611" t="s">
        <v>48</v>
      </c>
      <c r="AB1611" t="s">
        <v>48</v>
      </c>
      <c r="AC1611" t="s">
        <v>49</v>
      </c>
      <c r="AD1611" t="s">
        <v>48</v>
      </c>
      <c r="AE1611" t="s">
        <v>48</v>
      </c>
      <c r="AF1611" t="s">
        <v>48</v>
      </c>
      <c r="AG1611" t="s">
        <v>48</v>
      </c>
      <c r="AH1611" t="s">
        <v>48</v>
      </c>
      <c r="AI1611" t="s">
        <v>48</v>
      </c>
      <c r="AJ1611" t="s">
        <v>48</v>
      </c>
      <c r="AK1611" t="s">
        <v>48</v>
      </c>
      <c r="AL1611" t="s">
        <v>48</v>
      </c>
      <c r="AM1611" t="s">
        <v>48</v>
      </c>
      <c r="AN1611" t="s">
        <v>48</v>
      </c>
      <c r="AO1611" t="s">
        <v>48</v>
      </c>
      <c r="AP1611" s="46">
        <v>0</v>
      </c>
      <c r="AQ1611" s="46">
        <v>0</v>
      </c>
      <c r="AR1611" s="46">
        <v>0</v>
      </c>
      <c r="AS1611" s="46">
        <v>0</v>
      </c>
      <c r="AT1611" s="46">
        <v>0</v>
      </c>
      <c r="AU1611" s="46">
        <v>0</v>
      </c>
      <c r="AV1611" s="46">
        <v>0</v>
      </c>
      <c r="AW1611" s="46">
        <v>0</v>
      </c>
      <c r="AX1611" s="46">
        <v>0</v>
      </c>
      <c r="AY1611" s="46">
        <v>0</v>
      </c>
      <c r="AZ1611" s="46">
        <v>0</v>
      </c>
      <c r="BA1611" s="46">
        <v>0</v>
      </c>
      <c r="BB1611" s="46">
        <v>0</v>
      </c>
      <c r="BC1611" s="46">
        <v>0</v>
      </c>
      <c r="BD1611" s="46">
        <v>0</v>
      </c>
      <c r="BE1611" s="46">
        <v>0</v>
      </c>
      <c r="BF1611" s="46">
        <v>0</v>
      </c>
      <c r="BG1611" s="46" t="s">
        <v>48</v>
      </c>
      <c r="BH1611" s="46">
        <v>0</v>
      </c>
      <c r="BI1611" s="46">
        <v>0</v>
      </c>
      <c r="BJ1611" s="46">
        <v>0</v>
      </c>
      <c r="BK1611" s="46">
        <v>0</v>
      </c>
      <c r="BL1611" s="46">
        <v>0</v>
      </c>
      <c r="BM1611" s="46">
        <v>0</v>
      </c>
      <c r="BN1611" s="46">
        <v>0</v>
      </c>
    </row>
    <row r="1612" spans="1:66" x14ac:dyDescent="0.35">
      <c r="A1612" t="s">
        <v>7950</v>
      </c>
      <c r="B1612" s="44" t="s">
        <v>48</v>
      </c>
      <c r="C1612" t="s">
        <v>11897</v>
      </c>
      <c r="D1612" t="s">
        <v>11898</v>
      </c>
      <c r="E1612" t="s">
        <v>7949</v>
      </c>
      <c r="F1612" t="s">
        <v>2603</v>
      </c>
      <c r="G1612" t="s">
        <v>47</v>
      </c>
      <c r="H1612">
        <v>0</v>
      </c>
      <c r="I1612" s="61">
        <v>44720</v>
      </c>
      <c r="J1612" s="33" t="s">
        <v>45</v>
      </c>
      <c r="K1612" s="46">
        <v>0</v>
      </c>
      <c r="L1612">
        <v>5.8</v>
      </c>
      <c r="M1612" t="s">
        <v>48</v>
      </c>
      <c r="N1612" s="46">
        <v>0</v>
      </c>
      <c r="O1612" s="46">
        <v>0</v>
      </c>
      <c r="P1612" s="46">
        <v>0</v>
      </c>
      <c r="Q1612" t="s">
        <v>48</v>
      </c>
      <c r="R1612" t="s">
        <v>48</v>
      </c>
      <c r="S1612" t="s">
        <v>48</v>
      </c>
      <c r="T1612" t="s">
        <v>48</v>
      </c>
      <c r="U1612" t="s">
        <v>48</v>
      </c>
      <c r="V1612" s="47">
        <v>1</v>
      </c>
      <c r="W1612" t="s">
        <v>48</v>
      </c>
      <c r="X1612" t="s">
        <v>48</v>
      </c>
      <c r="Y1612" t="s">
        <v>48</v>
      </c>
      <c r="Z1612" t="s">
        <v>48</v>
      </c>
      <c r="AA1612" t="s">
        <v>48</v>
      </c>
      <c r="AB1612" t="s">
        <v>48</v>
      </c>
      <c r="AC1612" t="s">
        <v>49</v>
      </c>
      <c r="AD1612" t="s">
        <v>93</v>
      </c>
      <c r="AE1612" t="s">
        <v>4532</v>
      </c>
      <c r="AF1612" t="s">
        <v>48</v>
      </c>
      <c r="AG1612" t="s">
        <v>48</v>
      </c>
      <c r="AH1612" t="s">
        <v>48</v>
      </c>
      <c r="AI1612" t="s">
        <v>48</v>
      </c>
      <c r="AJ1612" t="s">
        <v>48</v>
      </c>
      <c r="AK1612" t="s">
        <v>48</v>
      </c>
      <c r="AL1612" t="s">
        <v>48</v>
      </c>
      <c r="AM1612" t="s">
        <v>48</v>
      </c>
      <c r="AN1612" t="s">
        <v>48</v>
      </c>
      <c r="AO1612" t="s">
        <v>48</v>
      </c>
      <c r="AP1612" s="46">
        <v>0</v>
      </c>
      <c r="AQ1612" s="46">
        <v>0</v>
      </c>
      <c r="AR1612" s="46">
        <v>0</v>
      </c>
      <c r="AS1612" s="46">
        <v>0</v>
      </c>
      <c r="AT1612" s="46">
        <v>0</v>
      </c>
      <c r="AU1612" s="46">
        <v>0</v>
      </c>
      <c r="AV1612" s="46">
        <v>0</v>
      </c>
      <c r="AW1612" s="46">
        <v>0</v>
      </c>
      <c r="AX1612" s="46">
        <v>0</v>
      </c>
      <c r="AY1612" s="46">
        <v>0</v>
      </c>
      <c r="AZ1612" s="46">
        <v>0</v>
      </c>
      <c r="BA1612" s="46">
        <v>0</v>
      </c>
      <c r="BB1612" s="46">
        <v>0</v>
      </c>
      <c r="BC1612" s="46">
        <v>0</v>
      </c>
      <c r="BD1612" s="46">
        <v>0</v>
      </c>
      <c r="BE1612" s="46">
        <v>0</v>
      </c>
      <c r="BF1612" s="46">
        <v>0</v>
      </c>
      <c r="BG1612" s="46" t="s">
        <v>48</v>
      </c>
      <c r="BH1612" s="46">
        <v>0</v>
      </c>
      <c r="BI1612" s="46">
        <v>0</v>
      </c>
      <c r="BJ1612" s="46">
        <v>0</v>
      </c>
      <c r="BK1612" s="46">
        <v>0</v>
      </c>
      <c r="BL1612" s="46">
        <v>0</v>
      </c>
      <c r="BM1612" s="46">
        <v>0</v>
      </c>
      <c r="BN1612" s="46">
        <v>0</v>
      </c>
    </row>
    <row r="1613" spans="1:66" x14ac:dyDescent="0.35">
      <c r="A1613" t="s">
        <v>9468</v>
      </c>
      <c r="B1613" s="44" t="s">
        <v>48</v>
      </c>
      <c r="C1613" t="s">
        <v>5257</v>
      </c>
      <c r="D1613" t="s">
        <v>11903</v>
      </c>
      <c r="E1613" t="s">
        <v>9469</v>
      </c>
      <c r="F1613" t="s">
        <v>2628</v>
      </c>
      <c r="G1613" t="s">
        <v>74</v>
      </c>
      <c r="H1613">
        <v>0</v>
      </c>
      <c r="I1613" s="61">
        <v>44741</v>
      </c>
      <c r="J1613" s="33" t="s">
        <v>45</v>
      </c>
      <c r="K1613" s="46">
        <v>0</v>
      </c>
      <c r="L1613">
        <v>0.9</v>
      </c>
      <c r="M1613" t="s">
        <v>48</v>
      </c>
      <c r="N1613" s="46">
        <v>0</v>
      </c>
      <c r="O1613" s="46">
        <v>0</v>
      </c>
      <c r="P1613" s="46">
        <v>0</v>
      </c>
      <c r="Q1613" t="s">
        <v>48</v>
      </c>
      <c r="R1613" t="s">
        <v>48</v>
      </c>
      <c r="S1613" t="s">
        <v>48</v>
      </c>
      <c r="T1613" t="s">
        <v>48</v>
      </c>
      <c r="U1613" t="s">
        <v>48</v>
      </c>
      <c r="V1613" s="47">
        <v>0</v>
      </c>
      <c r="W1613" t="s">
        <v>48</v>
      </c>
      <c r="X1613" t="s">
        <v>48</v>
      </c>
      <c r="Y1613" t="s">
        <v>48</v>
      </c>
      <c r="Z1613" t="s">
        <v>48</v>
      </c>
      <c r="AA1613" t="s">
        <v>48</v>
      </c>
      <c r="AB1613" t="s">
        <v>48</v>
      </c>
      <c r="AC1613" t="s">
        <v>63</v>
      </c>
      <c r="AD1613" t="s">
        <v>93</v>
      </c>
      <c r="AE1613" t="s">
        <v>2471</v>
      </c>
      <c r="AF1613" t="s">
        <v>48</v>
      </c>
      <c r="AG1613" t="s">
        <v>48</v>
      </c>
      <c r="AH1613" t="s">
        <v>48</v>
      </c>
      <c r="AI1613" t="s">
        <v>48</v>
      </c>
      <c r="AJ1613" t="s">
        <v>48</v>
      </c>
      <c r="AK1613" t="s">
        <v>48</v>
      </c>
      <c r="AL1613" t="s">
        <v>48</v>
      </c>
      <c r="AM1613" t="s">
        <v>48</v>
      </c>
      <c r="AN1613" t="s">
        <v>48</v>
      </c>
      <c r="AO1613" t="s">
        <v>48</v>
      </c>
      <c r="AP1613" s="46">
        <v>0</v>
      </c>
      <c r="AQ1613" s="46">
        <v>0</v>
      </c>
      <c r="AR1613" s="46">
        <v>0</v>
      </c>
      <c r="AS1613" s="46">
        <v>0</v>
      </c>
      <c r="AT1613" s="46">
        <v>0</v>
      </c>
      <c r="AU1613" s="46">
        <v>0</v>
      </c>
      <c r="AV1613" s="46">
        <v>0</v>
      </c>
      <c r="AW1613" s="46">
        <v>0</v>
      </c>
      <c r="AX1613" s="46">
        <v>0</v>
      </c>
      <c r="AY1613" s="46">
        <v>0</v>
      </c>
      <c r="AZ1613" s="46">
        <v>0</v>
      </c>
      <c r="BA1613" s="46">
        <v>0</v>
      </c>
      <c r="BB1613" s="46">
        <v>0</v>
      </c>
      <c r="BC1613" s="46">
        <v>0</v>
      </c>
      <c r="BD1613" s="46">
        <v>0</v>
      </c>
      <c r="BE1613" s="46">
        <v>0</v>
      </c>
      <c r="BF1613" s="46">
        <v>0</v>
      </c>
      <c r="BG1613" s="46" t="s">
        <v>48</v>
      </c>
      <c r="BH1613" s="46">
        <v>0</v>
      </c>
      <c r="BI1613" s="46">
        <v>0</v>
      </c>
      <c r="BJ1613" s="46">
        <v>0</v>
      </c>
      <c r="BK1613" s="46">
        <v>0</v>
      </c>
      <c r="BL1613" s="46">
        <v>0</v>
      </c>
      <c r="BM1613" s="46">
        <v>0</v>
      </c>
      <c r="BN1613" s="46">
        <v>0</v>
      </c>
    </row>
    <row r="1614" spans="1:66" x14ac:dyDescent="0.35">
      <c r="A1614" t="s">
        <v>2652</v>
      </c>
      <c r="B1614" s="44" t="s">
        <v>48</v>
      </c>
      <c r="C1614" t="s">
        <v>2655</v>
      </c>
      <c r="D1614" t="s">
        <v>2654</v>
      </c>
      <c r="E1614" t="s">
        <v>2653</v>
      </c>
      <c r="F1614" t="s">
        <v>2628</v>
      </c>
      <c r="G1614" t="s">
        <v>74</v>
      </c>
      <c r="H1614">
        <v>0</v>
      </c>
      <c r="I1614" s="60" t="s">
        <v>881</v>
      </c>
      <c r="J1614" s="33" t="s">
        <v>45</v>
      </c>
      <c r="K1614" s="46">
        <v>0</v>
      </c>
      <c r="L1614">
        <v>1.9</v>
      </c>
      <c r="M1614" t="s">
        <v>48</v>
      </c>
      <c r="N1614" s="46">
        <v>0</v>
      </c>
      <c r="O1614" s="46">
        <v>0</v>
      </c>
      <c r="P1614" s="46">
        <v>0</v>
      </c>
      <c r="Q1614" t="s">
        <v>48</v>
      </c>
      <c r="R1614" t="s">
        <v>48</v>
      </c>
      <c r="S1614" t="s">
        <v>48</v>
      </c>
      <c r="T1614" t="s">
        <v>48</v>
      </c>
      <c r="U1614" t="s">
        <v>48</v>
      </c>
      <c r="V1614" s="47">
        <v>0</v>
      </c>
      <c r="W1614" t="s">
        <v>48</v>
      </c>
      <c r="X1614" t="s">
        <v>48</v>
      </c>
      <c r="Y1614" t="s">
        <v>48</v>
      </c>
      <c r="Z1614">
        <v>0</v>
      </c>
      <c r="AA1614" t="s">
        <v>48</v>
      </c>
      <c r="AB1614" t="s">
        <v>48</v>
      </c>
      <c r="AC1614" t="s">
        <v>63</v>
      </c>
      <c r="AD1614" t="s">
        <v>93</v>
      </c>
      <c r="AE1614" s="40" t="s">
        <v>2471</v>
      </c>
      <c r="AF1614" t="s">
        <v>11061</v>
      </c>
      <c r="AG1614" t="s">
        <v>48</v>
      </c>
      <c r="AH1614" t="s">
        <v>48</v>
      </c>
      <c r="AI1614" t="s">
        <v>48</v>
      </c>
      <c r="AJ1614" t="s">
        <v>48</v>
      </c>
      <c r="AK1614" t="s">
        <v>48</v>
      </c>
      <c r="AL1614" t="s">
        <v>48</v>
      </c>
      <c r="AM1614" t="s">
        <v>48</v>
      </c>
      <c r="AN1614" t="s">
        <v>48</v>
      </c>
      <c r="AO1614" t="s">
        <v>48</v>
      </c>
      <c r="AP1614" s="46">
        <v>0</v>
      </c>
      <c r="AQ1614" s="46">
        <v>0</v>
      </c>
      <c r="AR1614" s="46">
        <v>0</v>
      </c>
      <c r="AS1614" s="46">
        <v>0</v>
      </c>
      <c r="AT1614" s="46">
        <v>0</v>
      </c>
      <c r="AU1614" s="46">
        <v>0</v>
      </c>
      <c r="AV1614" s="46">
        <v>0</v>
      </c>
      <c r="AW1614" s="46">
        <v>0</v>
      </c>
      <c r="AX1614" s="46">
        <v>0</v>
      </c>
      <c r="AY1614" s="46">
        <v>0</v>
      </c>
      <c r="AZ1614" s="46">
        <v>0</v>
      </c>
      <c r="BA1614" s="46">
        <v>0</v>
      </c>
      <c r="BB1614" s="46">
        <v>0</v>
      </c>
      <c r="BC1614" s="46">
        <v>0</v>
      </c>
      <c r="BD1614" s="46">
        <v>0</v>
      </c>
      <c r="BE1614" s="46">
        <v>0</v>
      </c>
      <c r="BF1614" s="46">
        <v>0</v>
      </c>
      <c r="BG1614" s="46" t="s">
        <v>48</v>
      </c>
      <c r="BH1614" s="46">
        <v>0</v>
      </c>
      <c r="BI1614" s="46">
        <v>0</v>
      </c>
      <c r="BJ1614" s="46">
        <v>0</v>
      </c>
      <c r="BK1614" s="46">
        <v>0</v>
      </c>
      <c r="BL1614" s="46">
        <v>0</v>
      </c>
      <c r="BM1614" s="46">
        <v>0</v>
      </c>
      <c r="BN1614" s="46">
        <v>0</v>
      </c>
    </row>
    <row r="1615" spans="1:66" x14ac:dyDescent="0.35">
      <c r="A1615" t="s">
        <v>2680</v>
      </c>
      <c r="B1615" s="44" t="s">
        <v>48</v>
      </c>
      <c r="C1615" t="s">
        <v>332</v>
      </c>
      <c r="D1615" t="s">
        <v>2682</v>
      </c>
      <c r="E1615" t="s">
        <v>2681</v>
      </c>
      <c r="F1615" t="s">
        <v>2628</v>
      </c>
      <c r="G1615" t="s">
        <v>74</v>
      </c>
      <c r="H1615">
        <v>0</v>
      </c>
      <c r="I1615" s="60" t="s">
        <v>125</v>
      </c>
      <c r="J1615" s="33" t="s">
        <v>45</v>
      </c>
      <c r="K1615" s="46">
        <v>0</v>
      </c>
      <c r="L1615">
        <v>2.1</v>
      </c>
      <c r="M1615" t="s">
        <v>48</v>
      </c>
      <c r="N1615" s="46">
        <v>0</v>
      </c>
      <c r="O1615" s="46">
        <v>0</v>
      </c>
      <c r="P1615" s="46">
        <v>0</v>
      </c>
      <c r="Q1615" t="s">
        <v>48</v>
      </c>
      <c r="R1615" t="s">
        <v>48</v>
      </c>
      <c r="S1615" t="s">
        <v>10097</v>
      </c>
      <c r="T1615" t="s">
        <v>48</v>
      </c>
      <c r="U1615" t="s">
        <v>10097</v>
      </c>
      <c r="V1615" s="47">
        <v>0</v>
      </c>
      <c r="W1615" t="s">
        <v>11317</v>
      </c>
      <c r="X1615" t="s">
        <v>48</v>
      </c>
      <c r="Y1615" t="s">
        <v>48</v>
      </c>
      <c r="Z1615">
        <v>0</v>
      </c>
      <c r="AA1615" t="s">
        <v>48</v>
      </c>
      <c r="AB1615" t="s">
        <v>48</v>
      </c>
      <c r="AC1615" t="s">
        <v>63</v>
      </c>
      <c r="AD1615" t="s">
        <v>93</v>
      </c>
      <c r="AE1615" s="40" t="s">
        <v>2471</v>
      </c>
      <c r="AF1615" t="s">
        <v>11061</v>
      </c>
      <c r="AG1615" t="s">
        <v>48</v>
      </c>
      <c r="AH1615" t="s">
        <v>48</v>
      </c>
      <c r="AI1615" t="s">
        <v>48</v>
      </c>
      <c r="AJ1615" t="s">
        <v>48</v>
      </c>
      <c r="AK1615" t="s">
        <v>48</v>
      </c>
      <c r="AL1615" t="s">
        <v>48</v>
      </c>
      <c r="AM1615" t="s">
        <v>48</v>
      </c>
      <c r="AN1615" t="s">
        <v>48</v>
      </c>
      <c r="AO1615" t="s">
        <v>48</v>
      </c>
      <c r="AP1615" s="46">
        <v>0</v>
      </c>
      <c r="AQ1615" s="46">
        <v>0</v>
      </c>
      <c r="AR1615" s="46">
        <v>0</v>
      </c>
      <c r="AS1615" s="46">
        <v>0</v>
      </c>
      <c r="AT1615" s="46">
        <v>0</v>
      </c>
      <c r="AU1615" s="46">
        <v>0</v>
      </c>
      <c r="AV1615" s="46">
        <v>0</v>
      </c>
      <c r="AW1615" s="46">
        <v>0</v>
      </c>
      <c r="AX1615" s="46">
        <v>0</v>
      </c>
      <c r="AY1615" s="46">
        <v>0</v>
      </c>
      <c r="AZ1615" s="46">
        <v>0</v>
      </c>
      <c r="BA1615" s="46">
        <v>0</v>
      </c>
      <c r="BB1615" s="46">
        <v>0</v>
      </c>
      <c r="BC1615" s="46">
        <v>0</v>
      </c>
      <c r="BD1615" s="46">
        <v>0</v>
      </c>
      <c r="BE1615" s="46">
        <v>0</v>
      </c>
      <c r="BF1615" s="46">
        <v>0</v>
      </c>
      <c r="BG1615" s="46" t="s">
        <v>48</v>
      </c>
      <c r="BH1615" s="46">
        <v>0</v>
      </c>
      <c r="BI1615" s="46">
        <v>0</v>
      </c>
      <c r="BJ1615" s="46">
        <v>0</v>
      </c>
      <c r="BK1615" s="46">
        <v>0</v>
      </c>
      <c r="BL1615" s="46">
        <v>0</v>
      </c>
      <c r="BM1615" s="46">
        <v>0</v>
      </c>
      <c r="BN1615" s="46">
        <v>0</v>
      </c>
    </row>
    <row r="1616" spans="1:66" x14ac:dyDescent="0.35">
      <c r="A1616" t="s">
        <v>2633</v>
      </c>
      <c r="B1616" s="44" t="s">
        <v>48</v>
      </c>
      <c r="C1616" t="s">
        <v>2329</v>
      </c>
      <c r="D1616" t="s">
        <v>216</v>
      </c>
      <c r="E1616" t="s">
        <v>2634</v>
      </c>
      <c r="F1616" t="s">
        <v>2628</v>
      </c>
      <c r="G1616" t="s">
        <v>74</v>
      </c>
      <c r="H1616">
        <v>0</v>
      </c>
      <c r="I1616" s="60" t="s">
        <v>51</v>
      </c>
      <c r="J1616" s="33" t="s">
        <v>45</v>
      </c>
      <c r="K1616" s="46">
        <v>0</v>
      </c>
      <c r="L1616">
        <v>5.6</v>
      </c>
      <c r="M1616" t="s">
        <v>48</v>
      </c>
      <c r="N1616" s="46">
        <v>0</v>
      </c>
      <c r="O1616" s="46">
        <v>0</v>
      </c>
      <c r="P1616" s="46">
        <v>0</v>
      </c>
      <c r="Q1616" t="s">
        <v>48</v>
      </c>
      <c r="R1616" t="s">
        <v>48</v>
      </c>
      <c r="S1616" t="s">
        <v>2635</v>
      </c>
      <c r="T1616" t="s">
        <v>48</v>
      </c>
      <c r="U1616" t="s">
        <v>2635</v>
      </c>
      <c r="V1616" s="47">
        <v>0</v>
      </c>
      <c r="W1616" t="s">
        <v>48</v>
      </c>
      <c r="X1616" t="s">
        <v>48</v>
      </c>
      <c r="Y1616" t="s">
        <v>48</v>
      </c>
      <c r="Z1616">
        <v>0</v>
      </c>
      <c r="AA1616" t="s">
        <v>48</v>
      </c>
      <c r="AB1616" t="s">
        <v>48</v>
      </c>
      <c r="AC1616" t="s">
        <v>49</v>
      </c>
      <c r="AD1616" t="s">
        <v>93</v>
      </c>
      <c r="AE1616" s="40" t="s">
        <v>2471</v>
      </c>
      <c r="AF1616" t="s">
        <v>11061</v>
      </c>
      <c r="AG1616" t="s">
        <v>48</v>
      </c>
      <c r="AH1616" t="s">
        <v>93</v>
      </c>
      <c r="AI1616" t="s">
        <v>48</v>
      </c>
      <c r="AJ1616" t="s">
        <v>48</v>
      </c>
      <c r="AK1616" t="s">
        <v>48</v>
      </c>
      <c r="AL1616" t="s">
        <v>48</v>
      </c>
      <c r="AM1616" t="s">
        <v>48</v>
      </c>
      <c r="AN1616" t="s">
        <v>48</v>
      </c>
      <c r="AO1616" t="s">
        <v>48</v>
      </c>
      <c r="AP1616" s="46">
        <v>0</v>
      </c>
      <c r="AQ1616" s="46">
        <v>0</v>
      </c>
      <c r="AR1616" s="46">
        <v>0</v>
      </c>
      <c r="AS1616" s="46">
        <v>0</v>
      </c>
      <c r="AT1616" s="46">
        <v>0</v>
      </c>
      <c r="AU1616" s="46">
        <v>0</v>
      </c>
      <c r="AV1616" s="46">
        <v>0</v>
      </c>
      <c r="AW1616" s="46">
        <v>0</v>
      </c>
      <c r="AX1616" s="46">
        <v>0</v>
      </c>
      <c r="AY1616" s="46">
        <v>0</v>
      </c>
      <c r="AZ1616" s="46">
        <v>0</v>
      </c>
      <c r="BA1616" s="46">
        <v>0</v>
      </c>
      <c r="BB1616" s="46">
        <v>0</v>
      </c>
      <c r="BC1616" s="46">
        <v>0</v>
      </c>
      <c r="BD1616" s="46">
        <v>0</v>
      </c>
      <c r="BE1616" s="46">
        <v>0</v>
      </c>
      <c r="BF1616" s="46">
        <v>0</v>
      </c>
      <c r="BG1616" s="46" t="s">
        <v>48</v>
      </c>
      <c r="BH1616" s="46">
        <v>0</v>
      </c>
      <c r="BI1616" s="46">
        <v>0</v>
      </c>
      <c r="BJ1616" s="46">
        <v>0</v>
      </c>
      <c r="BK1616" s="46">
        <v>0</v>
      </c>
      <c r="BL1616" s="46">
        <v>0</v>
      </c>
      <c r="BM1616" s="46">
        <v>0</v>
      </c>
      <c r="BN1616" s="46">
        <v>0</v>
      </c>
    </row>
    <row r="1617" spans="1:66" x14ac:dyDescent="0.35">
      <c r="A1617" t="s">
        <v>2873</v>
      </c>
      <c r="B1617" s="44" t="s">
        <v>48</v>
      </c>
      <c r="C1617" t="s">
        <v>341</v>
      </c>
      <c r="D1617" t="s">
        <v>2874</v>
      </c>
      <c r="E1617" t="s">
        <v>9470</v>
      </c>
      <c r="F1617" t="s">
        <v>2628</v>
      </c>
      <c r="G1617" t="s">
        <v>47</v>
      </c>
      <c r="H1617">
        <v>0</v>
      </c>
      <c r="I1617" s="61">
        <v>44741</v>
      </c>
      <c r="J1617" s="33" t="s">
        <v>45</v>
      </c>
      <c r="K1617" s="46">
        <v>0</v>
      </c>
      <c r="L1617">
        <v>14.4</v>
      </c>
      <c r="M1617" t="s">
        <v>48</v>
      </c>
      <c r="N1617" s="46">
        <v>0</v>
      </c>
      <c r="O1617" s="46">
        <v>0</v>
      </c>
      <c r="P1617" s="46">
        <v>0</v>
      </c>
      <c r="Q1617" t="s">
        <v>48</v>
      </c>
      <c r="R1617" t="s">
        <v>48</v>
      </c>
      <c r="S1617" t="s">
        <v>48</v>
      </c>
      <c r="T1617" t="s">
        <v>48</v>
      </c>
      <c r="U1617" t="s">
        <v>48</v>
      </c>
      <c r="V1617" s="47">
        <v>0</v>
      </c>
      <c r="W1617" t="s">
        <v>48</v>
      </c>
      <c r="X1617" t="s">
        <v>48</v>
      </c>
      <c r="Y1617" t="s">
        <v>48</v>
      </c>
      <c r="Z1617">
        <v>0</v>
      </c>
      <c r="AA1617" t="s">
        <v>48</v>
      </c>
      <c r="AB1617" t="s">
        <v>48</v>
      </c>
      <c r="AC1617" t="s">
        <v>49</v>
      </c>
      <c r="AD1617" t="s">
        <v>93</v>
      </c>
      <c r="AE1617" s="40" t="s">
        <v>2471</v>
      </c>
      <c r="AF1617" t="s">
        <v>11061</v>
      </c>
      <c r="AG1617" t="s">
        <v>48</v>
      </c>
      <c r="AH1617" t="s">
        <v>48</v>
      </c>
      <c r="AI1617" t="s">
        <v>48</v>
      </c>
      <c r="AJ1617" t="s">
        <v>48</v>
      </c>
      <c r="AK1617" t="s">
        <v>48</v>
      </c>
      <c r="AL1617" t="s">
        <v>48</v>
      </c>
      <c r="AM1617" t="s">
        <v>48</v>
      </c>
      <c r="AN1617" t="s">
        <v>48</v>
      </c>
      <c r="AO1617" t="s">
        <v>48</v>
      </c>
      <c r="AP1617" s="46">
        <v>0</v>
      </c>
      <c r="AQ1617" s="46">
        <v>0</v>
      </c>
      <c r="AR1617" s="46">
        <v>0</v>
      </c>
      <c r="AS1617" s="46">
        <v>0</v>
      </c>
      <c r="AT1617" s="46">
        <v>0</v>
      </c>
      <c r="AU1617" s="46">
        <v>0</v>
      </c>
      <c r="AV1617" s="46">
        <v>0</v>
      </c>
      <c r="AW1617" s="46">
        <v>0</v>
      </c>
      <c r="AX1617" s="46">
        <v>0</v>
      </c>
      <c r="AY1617" s="46">
        <v>0</v>
      </c>
      <c r="AZ1617" s="46">
        <v>0</v>
      </c>
      <c r="BA1617" s="46">
        <v>0</v>
      </c>
      <c r="BB1617" s="46">
        <v>0</v>
      </c>
      <c r="BC1617" s="46">
        <v>0</v>
      </c>
      <c r="BD1617" s="46">
        <v>0</v>
      </c>
      <c r="BE1617" s="46">
        <v>0</v>
      </c>
      <c r="BF1617" s="46">
        <v>0</v>
      </c>
      <c r="BG1617" s="46" t="s">
        <v>48</v>
      </c>
      <c r="BH1617" s="46">
        <v>0</v>
      </c>
      <c r="BI1617" s="46">
        <v>0</v>
      </c>
      <c r="BJ1617" s="46">
        <v>0</v>
      </c>
      <c r="BK1617" s="46">
        <v>0</v>
      </c>
      <c r="BL1617" s="46">
        <v>0</v>
      </c>
      <c r="BM1617" s="46">
        <v>0</v>
      </c>
      <c r="BN1617" s="46">
        <v>0</v>
      </c>
    </row>
    <row r="1618" spans="1:66" x14ac:dyDescent="0.35">
      <c r="A1618" t="s">
        <v>2645</v>
      </c>
      <c r="B1618" s="44" t="s">
        <v>48</v>
      </c>
      <c r="C1618" t="s">
        <v>1403</v>
      </c>
      <c r="D1618" t="s">
        <v>2647</v>
      </c>
      <c r="E1618" t="s">
        <v>2646</v>
      </c>
      <c r="F1618" t="s">
        <v>2628</v>
      </c>
      <c r="G1618" t="s">
        <v>74</v>
      </c>
      <c r="H1618">
        <v>0</v>
      </c>
      <c r="I1618" s="60" t="s">
        <v>881</v>
      </c>
      <c r="J1618" s="33" t="s">
        <v>45</v>
      </c>
      <c r="K1618" s="46">
        <v>0</v>
      </c>
      <c r="L1618">
        <v>12</v>
      </c>
      <c r="M1618" t="s">
        <v>48</v>
      </c>
      <c r="N1618" s="46">
        <v>0</v>
      </c>
      <c r="O1618" s="46">
        <v>0</v>
      </c>
      <c r="P1618" s="46">
        <v>0</v>
      </c>
      <c r="Q1618" t="s">
        <v>48</v>
      </c>
      <c r="R1618" t="s">
        <v>48</v>
      </c>
      <c r="S1618" t="s">
        <v>10098</v>
      </c>
      <c r="T1618" t="s">
        <v>48</v>
      </c>
      <c r="U1618" t="s">
        <v>10098</v>
      </c>
      <c r="V1618" s="47">
        <v>0</v>
      </c>
      <c r="W1618" t="s">
        <v>48</v>
      </c>
      <c r="X1618" t="s">
        <v>48</v>
      </c>
      <c r="Y1618" t="s">
        <v>48</v>
      </c>
      <c r="Z1618">
        <v>0</v>
      </c>
      <c r="AA1618" t="s">
        <v>48</v>
      </c>
      <c r="AB1618" t="s">
        <v>48</v>
      </c>
      <c r="AC1618" t="s">
        <v>63</v>
      </c>
      <c r="AD1618" t="s">
        <v>93</v>
      </c>
      <c r="AE1618" s="40" t="s">
        <v>2471</v>
      </c>
      <c r="AF1618" t="s">
        <v>11061</v>
      </c>
      <c r="AG1618" t="s">
        <v>48</v>
      </c>
      <c r="AH1618" t="s">
        <v>48</v>
      </c>
      <c r="AI1618" t="s">
        <v>48</v>
      </c>
      <c r="AJ1618" t="s">
        <v>48</v>
      </c>
      <c r="AK1618" t="s">
        <v>48</v>
      </c>
      <c r="AL1618" t="s">
        <v>48</v>
      </c>
      <c r="AM1618" t="s">
        <v>48</v>
      </c>
      <c r="AN1618" t="s">
        <v>48</v>
      </c>
      <c r="AO1618" t="s">
        <v>48</v>
      </c>
      <c r="AP1618" s="46">
        <v>0</v>
      </c>
      <c r="AQ1618" s="46">
        <v>0</v>
      </c>
      <c r="AR1618" s="46">
        <v>0</v>
      </c>
      <c r="AS1618" s="46">
        <v>0</v>
      </c>
      <c r="AT1618" s="46">
        <v>0</v>
      </c>
      <c r="AU1618" s="46">
        <v>0</v>
      </c>
      <c r="AV1618" s="46">
        <v>0</v>
      </c>
      <c r="AW1618" s="46">
        <v>0</v>
      </c>
      <c r="AX1618" s="46">
        <v>0</v>
      </c>
      <c r="AY1618" s="46">
        <v>0</v>
      </c>
      <c r="AZ1618" s="46">
        <v>0</v>
      </c>
      <c r="BA1618" s="46">
        <v>0</v>
      </c>
      <c r="BB1618" s="46">
        <v>0</v>
      </c>
      <c r="BC1618" s="46">
        <v>0</v>
      </c>
      <c r="BD1618" s="46">
        <v>0</v>
      </c>
      <c r="BE1618" s="46">
        <v>0</v>
      </c>
      <c r="BF1618" s="46">
        <v>0</v>
      </c>
      <c r="BG1618" s="46" t="s">
        <v>48</v>
      </c>
      <c r="BH1618" s="46">
        <v>0</v>
      </c>
      <c r="BI1618" s="46">
        <v>0</v>
      </c>
      <c r="BJ1618" s="46">
        <v>0</v>
      </c>
      <c r="BK1618" s="46">
        <v>0</v>
      </c>
      <c r="BL1618" s="46">
        <v>0</v>
      </c>
      <c r="BM1618" s="46">
        <v>0</v>
      </c>
      <c r="BN1618" s="46">
        <v>0</v>
      </c>
    </row>
    <row r="1619" spans="1:66" x14ac:dyDescent="0.35">
      <c r="A1619" t="s">
        <v>2640</v>
      </c>
      <c r="B1619" s="44" t="s">
        <v>48</v>
      </c>
      <c r="C1619" t="s">
        <v>2644</v>
      </c>
      <c r="D1619" t="s">
        <v>2643</v>
      </c>
      <c r="E1619" t="s">
        <v>2641</v>
      </c>
      <c r="F1619" t="s">
        <v>2628</v>
      </c>
      <c r="G1619" t="s">
        <v>74</v>
      </c>
      <c r="H1619">
        <v>0</v>
      </c>
      <c r="I1619" s="60" t="s">
        <v>51</v>
      </c>
      <c r="J1619" s="33" t="s">
        <v>45</v>
      </c>
      <c r="K1619" s="46">
        <v>0</v>
      </c>
      <c r="L1619">
        <v>5</v>
      </c>
      <c r="M1619" t="s">
        <v>48</v>
      </c>
      <c r="N1619" s="46">
        <v>0</v>
      </c>
      <c r="O1619" s="46">
        <v>0</v>
      </c>
      <c r="P1619" s="46">
        <v>0</v>
      </c>
      <c r="Q1619" t="s">
        <v>48</v>
      </c>
      <c r="R1619" t="s">
        <v>48</v>
      </c>
      <c r="S1619" t="s">
        <v>2642</v>
      </c>
      <c r="T1619" t="s">
        <v>48</v>
      </c>
      <c r="U1619" t="s">
        <v>2642</v>
      </c>
      <c r="V1619" s="47">
        <v>1</v>
      </c>
      <c r="W1619" t="s">
        <v>48</v>
      </c>
      <c r="X1619" t="s">
        <v>48</v>
      </c>
      <c r="Y1619" t="s">
        <v>48</v>
      </c>
      <c r="Z1619">
        <v>0</v>
      </c>
      <c r="AA1619" t="s">
        <v>48</v>
      </c>
      <c r="AB1619" t="s">
        <v>48</v>
      </c>
      <c r="AC1619" t="s">
        <v>49</v>
      </c>
      <c r="AD1619" t="s">
        <v>93</v>
      </c>
      <c r="AE1619" s="40" t="s">
        <v>2471</v>
      </c>
      <c r="AF1619" t="s">
        <v>11061</v>
      </c>
      <c r="AG1619" t="s">
        <v>48</v>
      </c>
      <c r="AH1619" t="s">
        <v>48</v>
      </c>
      <c r="AI1619" t="s">
        <v>48</v>
      </c>
      <c r="AJ1619" t="s">
        <v>48</v>
      </c>
      <c r="AK1619" t="s">
        <v>48</v>
      </c>
      <c r="AL1619" t="s">
        <v>48</v>
      </c>
      <c r="AM1619" t="s">
        <v>48</v>
      </c>
      <c r="AN1619" t="s">
        <v>48</v>
      </c>
      <c r="AO1619" t="s">
        <v>48</v>
      </c>
      <c r="AP1619" s="46">
        <v>0</v>
      </c>
      <c r="AQ1619" s="46">
        <v>0</v>
      </c>
      <c r="AR1619" s="46">
        <v>0</v>
      </c>
      <c r="AS1619" s="46">
        <v>0</v>
      </c>
      <c r="AT1619" s="46">
        <v>0</v>
      </c>
      <c r="AU1619" s="46">
        <v>0</v>
      </c>
      <c r="AV1619" s="46">
        <v>0</v>
      </c>
      <c r="AW1619" s="46">
        <v>0</v>
      </c>
      <c r="AX1619" s="46">
        <v>0</v>
      </c>
      <c r="AY1619" s="46">
        <v>0</v>
      </c>
      <c r="AZ1619" s="46">
        <v>0</v>
      </c>
      <c r="BA1619" s="46">
        <v>0</v>
      </c>
      <c r="BB1619" s="46">
        <v>0</v>
      </c>
      <c r="BC1619" s="46">
        <v>0</v>
      </c>
      <c r="BD1619" s="46">
        <v>0</v>
      </c>
      <c r="BE1619" s="46">
        <v>0</v>
      </c>
      <c r="BF1619" s="46">
        <v>0</v>
      </c>
      <c r="BG1619" s="46" t="s">
        <v>48</v>
      </c>
      <c r="BH1619" s="46">
        <v>0</v>
      </c>
      <c r="BI1619" s="46">
        <v>0</v>
      </c>
      <c r="BJ1619" s="46">
        <v>0</v>
      </c>
      <c r="BK1619" s="46">
        <v>0</v>
      </c>
      <c r="BL1619" s="46">
        <v>0</v>
      </c>
      <c r="BM1619" s="46">
        <v>0</v>
      </c>
      <c r="BN1619" s="46">
        <v>0</v>
      </c>
    </row>
    <row r="1620" spans="1:66" ht="15" x14ac:dyDescent="0.4">
      <c r="A1620" t="s">
        <v>9471</v>
      </c>
      <c r="B1620" s="44" t="s">
        <v>48</v>
      </c>
      <c r="C1620" t="s">
        <v>11905</v>
      </c>
      <c r="D1620" t="s">
        <v>11906</v>
      </c>
      <c r="E1620" t="s">
        <v>9472</v>
      </c>
      <c r="F1620" t="s">
        <v>2628</v>
      </c>
      <c r="G1620" t="s">
        <v>47</v>
      </c>
      <c r="H1620">
        <v>0</v>
      </c>
      <c r="I1620" s="61" t="s">
        <v>11160</v>
      </c>
      <c r="J1620" s="33" t="s">
        <v>45</v>
      </c>
      <c r="K1620" s="46">
        <v>0</v>
      </c>
      <c r="L1620">
        <v>39.1</v>
      </c>
      <c r="M1620" t="s">
        <v>48</v>
      </c>
      <c r="N1620" s="46">
        <v>0</v>
      </c>
      <c r="O1620" s="46">
        <v>0</v>
      </c>
      <c r="P1620" s="46">
        <v>0</v>
      </c>
      <c r="Q1620" t="s">
        <v>48</v>
      </c>
      <c r="R1620" t="s">
        <v>48</v>
      </c>
      <c r="S1620" s="55" t="s">
        <v>11381</v>
      </c>
      <c r="T1620" t="s">
        <v>48</v>
      </c>
      <c r="U1620" t="s">
        <v>48</v>
      </c>
      <c r="V1620" s="47">
        <v>0</v>
      </c>
      <c r="W1620" t="s">
        <v>48</v>
      </c>
      <c r="X1620" t="s">
        <v>48</v>
      </c>
      <c r="Y1620" t="s">
        <v>48</v>
      </c>
      <c r="Z1620" t="s">
        <v>48</v>
      </c>
      <c r="AA1620" t="s">
        <v>48</v>
      </c>
      <c r="AB1620" t="s">
        <v>48</v>
      </c>
      <c r="AC1620" t="s">
        <v>49</v>
      </c>
      <c r="AD1620" t="s">
        <v>93</v>
      </c>
      <c r="AE1620" s="40" t="s">
        <v>4532</v>
      </c>
      <c r="AF1620" t="s">
        <v>48</v>
      </c>
      <c r="AG1620" t="s">
        <v>48</v>
      </c>
      <c r="AH1620" t="s">
        <v>48</v>
      </c>
      <c r="AI1620" t="s">
        <v>48</v>
      </c>
      <c r="AJ1620" t="s">
        <v>48</v>
      </c>
      <c r="AK1620" t="s">
        <v>48</v>
      </c>
      <c r="AL1620" t="s">
        <v>48</v>
      </c>
      <c r="AM1620" t="s">
        <v>48</v>
      </c>
      <c r="AN1620" t="s">
        <v>48</v>
      </c>
      <c r="AO1620" t="s">
        <v>48</v>
      </c>
      <c r="AP1620" s="46">
        <v>0</v>
      </c>
      <c r="AQ1620" s="46">
        <v>0</v>
      </c>
      <c r="AR1620" s="46">
        <v>0</v>
      </c>
      <c r="AS1620" s="46">
        <v>0</v>
      </c>
      <c r="AT1620" s="46">
        <v>0</v>
      </c>
      <c r="AU1620" s="46">
        <v>0</v>
      </c>
      <c r="AV1620" s="46">
        <v>0</v>
      </c>
      <c r="AW1620" s="46">
        <v>0</v>
      </c>
      <c r="AX1620" s="46">
        <v>0</v>
      </c>
      <c r="AY1620" s="46">
        <v>0</v>
      </c>
      <c r="AZ1620" s="46">
        <v>0</v>
      </c>
      <c r="BA1620" s="46">
        <v>0</v>
      </c>
      <c r="BB1620" s="46">
        <v>0</v>
      </c>
      <c r="BC1620" s="46">
        <v>0</v>
      </c>
      <c r="BD1620" s="46">
        <v>0</v>
      </c>
      <c r="BE1620" s="46">
        <v>0</v>
      </c>
      <c r="BF1620" s="46">
        <v>0</v>
      </c>
      <c r="BG1620" s="46" t="s">
        <v>48</v>
      </c>
      <c r="BH1620" s="46">
        <v>0</v>
      </c>
      <c r="BI1620" s="46">
        <v>0</v>
      </c>
      <c r="BJ1620" s="46">
        <v>0</v>
      </c>
      <c r="BK1620" s="46">
        <v>0</v>
      </c>
      <c r="BL1620" s="46">
        <v>0</v>
      </c>
      <c r="BM1620" s="46">
        <v>0</v>
      </c>
      <c r="BN1620" s="46">
        <v>0</v>
      </c>
    </row>
    <row r="1621" spans="1:66" x14ac:dyDescent="0.35">
      <c r="A1621" t="s">
        <v>2672</v>
      </c>
      <c r="B1621" s="44" t="s">
        <v>48</v>
      </c>
      <c r="C1621" t="s">
        <v>2675</v>
      </c>
      <c r="D1621" t="s">
        <v>982</v>
      </c>
      <c r="E1621" t="s">
        <v>2673</v>
      </c>
      <c r="F1621" t="s">
        <v>2628</v>
      </c>
      <c r="G1621" t="s">
        <v>74</v>
      </c>
      <c r="H1621">
        <v>0</v>
      </c>
      <c r="I1621" s="60" t="s">
        <v>125</v>
      </c>
      <c r="J1621" s="33" t="s">
        <v>45</v>
      </c>
      <c r="K1621" s="46">
        <v>0</v>
      </c>
      <c r="L1621">
        <v>3.3</v>
      </c>
      <c r="M1621" t="s">
        <v>48</v>
      </c>
      <c r="N1621" s="46">
        <v>0</v>
      </c>
      <c r="O1621" s="46">
        <v>0</v>
      </c>
      <c r="P1621" s="46">
        <v>0</v>
      </c>
      <c r="Q1621" t="s">
        <v>48</v>
      </c>
      <c r="R1621" t="s">
        <v>48</v>
      </c>
      <c r="S1621" t="s">
        <v>2674</v>
      </c>
      <c r="T1621" t="s">
        <v>48</v>
      </c>
      <c r="U1621" t="s">
        <v>2674</v>
      </c>
      <c r="V1621" s="47">
        <v>0</v>
      </c>
      <c r="W1621" t="s">
        <v>11317</v>
      </c>
      <c r="X1621" t="s">
        <v>48</v>
      </c>
      <c r="Y1621" t="s">
        <v>48</v>
      </c>
      <c r="Z1621">
        <v>0</v>
      </c>
      <c r="AA1621" t="s">
        <v>48</v>
      </c>
      <c r="AB1621" t="s">
        <v>48</v>
      </c>
      <c r="AC1621" t="s">
        <v>49</v>
      </c>
      <c r="AD1621" t="s">
        <v>93</v>
      </c>
      <c r="AE1621" s="40" t="s">
        <v>2471</v>
      </c>
      <c r="AF1621" t="s">
        <v>11061</v>
      </c>
      <c r="AG1621" t="s">
        <v>48</v>
      </c>
      <c r="AH1621" t="s">
        <v>48</v>
      </c>
      <c r="AI1621" t="s">
        <v>48</v>
      </c>
      <c r="AJ1621" t="s">
        <v>48</v>
      </c>
      <c r="AK1621" t="s">
        <v>48</v>
      </c>
      <c r="AL1621" t="s">
        <v>48</v>
      </c>
      <c r="AM1621" t="s">
        <v>48</v>
      </c>
      <c r="AN1621" t="s">
        <v>48</v>
      </c>
      <c r="AO1621" t="s">
        <v>48</v>
      </c>
      <c r="AP1621" s="46">
        <v>0</v>
      </c>
      <c r="AQ1621" s="46">
        <v>0</v>
      </c>
      <c r="AR1621" s="46">
        <v>0</v>
      </c>
      <c r="AS1621" s="46">
        <v>0</v>
      </c>
      <c r="AT1621" s="46">
        <v>0</v>
      </c>
      <c r="AU1621" s="46">
        <v>0</v>
      </c>
      <c r="AV1621" s="46">
        <v>0</v>
      </c>
      <c r="AW1621" s="46">
        <v>0</v>
      </c>
      <c r="AX1621" s="46">
        <v>0</v>
      </c>
      <c r="AY1621" s="46">
        <v>0</v>
      </c>
      <c r="AZ1621" s="46">
        <v>0</v>
      </c>
      <c r="BA1621" s="46">
        <v>0</v>
      </c>
      <c r="BB1621" s="46">
        <v>0</v>
      </c>
      <c r="BC1621" s="46">
        <v>0</v>
      </c>
      <c r="BD1621" s="46">
        <v>0</v>
      </c>
      <c r="BE1621" s="46">
        <v>0</v>
      </c>
      <c r="BF1621" s="46">
        <v>0</v>
      </c>
      <c r="BG1621" s="46" t="s">
        <v>48</v>
      </c>
      <c r="BH1621" s="46">
        <v>0</v>
      </c>
      <c r="BI1621" s="46">
        <v>0</v>
      </c>
      <c r="BJ1621" s="46">
        <v>0</v>
      </c>
      <c r="BK1621" s="46">
        <v>0</v>
      </c>
      <c r="BL1621" s="46">
        <v>0</v>
      </c>
      <c r="BM1621" s="46">
        <v>0</v>
      </c>
      <c r="BN1621" s="46">
        <v>0</v>
      </c>
    </row>
    <row r="1622" spans="1:66" x14ac:dyDescent="0.35">
      <c r="A1622" t="s">
        <v>2664</v>
      </c>
      <c r="B1622" s="44" t="s">
        <v>48</v>
      </c>
      <c r="C1622" t="s">
        <v>2668</v>
      </c>
      <c r="D1622" t="s">
        <v>2667</v>
      </c>
      <c r="E1622" t="s">
        <v>2665</v>
      </c>
      <c r="F1622" t="s">
        <v>2628</v>
      </c>
      <c r="G1622" t="s">
        <v>74</v>
      </c>
      <c r="H1622">
        <v>0</v>
      </c>
      <c r="I1622" s="60" t="s">
        <v>125</v>
      </c>
      <c r="J1622" s="33" t="s">
        <v>45</v>
      </c>
      <c r="K1622" s="46">
        <v>0</v>
      </c>
      <c r="L1622">
        <v>13.9</v>
      </c>
      <c r="M1622" t="s">
        <v>48</v>
      </c>
      <c r="N1622" s="46">
        <v>0</v>
      </c>
      <c r="O1622" s="46">
        <v>0</v>
      </c>
      <c r="P1622" s="46">
        <v>0</v>
      </c>
      <c r="Q1622" t="s">
        <v>48</v>
      </c>
      <c r="R1622" t="s">
        <v>48</v>
      </c>
      <c r="S1622" t="s">
        <v>2666</v>
      </c>
      <c r="T1622" t="s">
        <v>48</v>
      </c>
      <c r="U1622" t="s">
        <v>2666</v>
      </c>
      <c r="V1622" s="47">
        <v>0</v>
      </c>
      <c r="W1622" t="s">
        <v>48</v>
      </c>
      <c r="X1622" t="s">
        <v>48</v>
      </c>
      <c r="Y1622" t="s">
        <v>48</v>
      </c>
      <c r="Z1622">
        <v>0</v>
      </c>
      <c r="AA1622" t="s">
        <v>48</v>
      </c>
      <c r="AB1622" t="s">
        <v>48</v>
      </c>
      <c r="AC1622" t="s">
        <v>63</v>
      </c>
      <c r="AD1622" t="s">
        <v>93</v>
      </c>
      <c r="AE1622" s="40" t="s">
        <v>2471</v>
      </c>
      <c r="AF1622" t="s">
        <v>11061</v>
      </c>
      <c r="AG1622" t="s">
        <v>48</v>
      </c>
      <c r="AH1622" t="s">
        <v>48</v>
      </c>
      <c r="AI1622" t="s">
        <v>48</v>
      </c>
      <c r="AJ1622" t="s">
        <v>48</v>
      </c>
      <c r="AK1622" t="s">
        <v>48</v>
      </c>
      <c r="AL1622" t="s">
        <v>48</v>
      </c>
      <c r="AM1622" t="s">
        <v>48</v>
      </c>
      <c r="AN1622" t="s">
        <v>48</v>
      </c>
      <c r="AO1622" t="s">
        <v>48</v>
      </c>
      <c r="AP1622" s="46">
        <v>0</v>
      </c>
      <c r="AQ1622" s="46">
        <v>0</v>
      </c>
      <c r="AR1622" s="46">
        <v>0</v>
      </c>
      <c r="AS1622" s="46">
        <v>0</v>
      </c>
      <c r="AT1622" s="46">
        <v>0</v>
      </c>
      <c r="AU1622" s="46">
        <v>0</v>
      </c>
      <c r="AV1622" s="46">
        <v>0</v>
      </c>
      <c r="AW1622" s="46">
        <v>0</v>
      </c>
      <c r="AX1622" s="46">
        <v>0</v>
      </c>
      <c r="AY1622" s="46">
        <v>0</v>
      </c>
      <c r="AZ1622" s="46">
        <v>0</v>
      </c>
      <c r="BA1622" s="46">
        <v>0</v>
      </c>
      <c r="BB1622" s="46">
        <v>0</v>
      </c>
      <c r="BC1622" s="46">
        <v>0</v>
      </c>
      <c r="BD1622" s="46">
        <v>0</v>
      </c>
      <c r="BE1622" s="46">
        <v>0</v>
      </c>
      <c r="BF1622" s="46">
        <v>0</v>
      </c>
      <c r="BG1622" s="46" t="s">
        <v>48</v>
      </c>
      <c r="BH1622" s="46">
        <v>0</v>
      </c>
      <c r="BI1622" s="46">
        <v>0</v>
      </c>
      <c r="BJ1622" s="46">
        <v>0</v>
      </c>
      <c r="BK1622" s="46">
        <v>0</v>
      </c>
      <c r="BL1622" s="46">
        <v>0</v>
      </c>
      <c r="BM1622" s="46">
        <v>0</v>
      </c>
      <c r="BN1622" s="46">
        <v>0</v>
      </c>
    </row>
    <row r="1623" spans="1:66" x14ac:dyDescent="0.35">
      <c r="A1623" t="s">
        <v>2627</v>
      </c>
      <c r="B1623" s="44" t="s">
        <v>48</v>
      </c>
      <c r="C1623" t="s">
        <v>2632</v>
      </c>
      <c r="D1623" t="s">
        <v>2631</v>
      </c>
      <c r="E1623" t="s">
        <v>2629</v>
      </c>
      <c r="F1623" t="s">
        <v>2628</v>
      </c>
      <c r="G1623" t="s">
        <v>74</v>
      </c>
      <c r="H1623">
        <v>0</v>
      </c>
      <c r="I1623" s="61" t="s">
        <v>11160</v>
      </c>
      <c r="J1623" s="33" t="s">
        <v>45</v>
      </c>
      <c r="K1623" s="46">
        <v>0</v>
      </c>
      <c r="L1623">
        <v>0.6</v>
      </c>
      <c r="M1623" t="s">
        <v>48</v>
      </c>
      <c r="N1623" s="46">
        <v>0</v>
      </c>
      <c r="O1623" s="46">
        <v>0</v>
      </c>
      <c r="P1623" s="46">
        <v>0</v>
      </c>
      <c r="Q1623" t="s">
        <v>48</v>
      </c>
      <c r="R1623" t="s">
        <v>48</v>
      </c>
      <c r="S1623" t="s">
        <v>11359</v>
      </c>
      <c r="T1623" t="s">
        <v>48</v>
      </c>
      <c r="U1623" t="s">
        <v>2630</v>
      </c>
      <c r="V1623" s="47">
        <v>0</v>
      </c>
      <c r="W1623" t="s">
        <v>48</v>
      </c>
      <c r="X1623" t="s">
        <v>48</v>
      </c>
      <c r="Y1623" t="s">
        <v>48</v>
      </c>
      <c r="Z1623">
        <v>0</v>
      </c>
      <c r="AA1623" t="s">
        <v>48</v>
      </c>
      <c r="AB1623" t="s">
        <v>48</v>
      </c>
      <c r="AC1623" t="s">
        <v>49</v>
      </c>
      <c r="AD1623" t="s">
        <v>93</v>
      </c>
      <c r="AE1623" s="40" t="s">
        <v>2471</v>
      </c>
      <c r="AF1623" t="s">
        <v>11061</v>
      </c>
      <c r="AG1623" t="s">
        <v>48</v>
      </c>
      <c r="AH1623" t="s">
        <v>426</v>
      </c>
      <c r="AI1623" t="s">
        <v>48</v>
      </c>
      <c r="AJ1623" t="s">
        <v>48</v>
      </c>
      <c r="AK1623" t="s">
        <v>48</v>
      </c>
      <c r="AL1623" t="s">
        <v>48</v>
      </c>
      <c r="AM1623" t="s">
        <v>48</v>
      </c>
      <c r="AN1623" t="s">
        <v>48</v>
      </c>
      <c r="AO1623" t="s">
        <v>48</v>
      </c>
      <c r="AP1623" s="46">
        <v>0</v>
      </c>
      <c r="AQ1623" s="46">
        <v>0</v>
      </c>
      <c r="AR1623" s="46">
        <v>0</v>
      </c>
      <c r="AS1623" s="46">
        <v>0</v>
      </c>
      <c r="AT1623" s="46">
        <v>0</v>
      </c>
      <c r="AU1623" s="46">
        <v>0</v>
      </c>
      <c r="AV1623" s="46">
        <v>0</v>
      </c>
      <c r="AW1623" s="46">
        <v>0</v>
      </c>
      <c r="AX1623" s="46">
        <v>0</v>
      </c>
      <c r="AY1623" s="46">
        <v>0</v>
      </c>
      <c r="AZ1623" s="46">
        <v>0</v>
      </c>
      <c r="BA1623" s="46">
        <v>0</v>
      </c>
      <c r="BB1623" s="46">
        <v>0</v>
      </c>
      <c r="BC1623" s="46">
        <v>0</v>
      </c>
      <c r="BD1623" s="46">
        <v>0</v>
      </c>
      <c r="BE1623" s="46">
        <v>0</v>
      </c>
      <c r="BF1623" s="46">
        <v>0</v>
      </c>
      <c r="BG1623" s="46" t="s">
        <v>48</v>
      </c>
      <c r="BH1623" s="46">
        <v>0</v>
      </c>
      <c r="BI1623" s="46">
        <v>0</v>
      </c>
      <c r="BJ1623" s="46">
        <v>0</v>
      </c>
      <c r="BK1623" s="46">
        <v>0</v>
      </c>
      <c r="BL1623" s="46">
        <v>0</v>
      </c>
      <c r="BM1623" s="46">
        <v>0</v>
      </c>
      <c r="BN1623" s="46">
        <v>0</v>
      </c>
    </row>
    <row r="1624" spans="1:66" x14ac:dyDescent="0.35">
      <c r="A1624" t="s">
        <v>2658</v>
      </c>
      <c r="B1624" s="44" t="s">
        <v>48</v>
      </c>
      <c r="C1624" t="s">
        <v>2660</v>
      </c>
      <c r="D1624" t="s">
        <v>2441</v>
      </c>
      <c r="E1624" t="s">
        <v>2659</v>
      </c>
      <c r="F1624" t="s">
        <v>2628</v>
      </c>
      <c r="G1624" t="s">
        <v>74</v>
      </c>
      <c r="H1624">
        <v>0</v>
      </c>
      <c r="I1624" s="60" t="s">
        <v>881</v>
      </c>
      <c r="J1624" s="33" t="s">
        <v>45</v>
      </c>
      <c r="K1624" s="46">
        <v>0</v>
      </c>
      <c r="L1624">
        <v>1.2</v>
      </c>
      <c r="M1624" t="s">
        <v>48</v>
      </c>
      <c r="N1624" s="46">
        <v>0</v>
      </c>
      <c r="O1624" s="46">
        <v>0</v>
      </c>
      <c r="P1624" s="46">
        <v>0</v>
      </c>
      <c r="Q1624" t="s">
        <v>48</v>
      </c>
      <c r="R1624" t="s">
        <v>48</v>
      </c>
      <c r="S1624" t="s">
        <v>48</v>
      </c>
      <c r="T1624" t="s">
        <v>48</v>
      </c>
      <c r="U1624" t="s">
        <v>48</v>
      </c>
      <c r="V1624" s="47">
        <v>0</v>
      </c>
      <c r="W1624" t="s">
        <v>48</v>
      </c>
      <c r="X1624" t="s">
        <v>48</v>
      </c>
      <c r="Y1624" t="s">
        <v>48</v>
      </c>
      <c r="Z1624">
        <v>0</v>
      </c>
      <c r="AA1624" t="s">
        <v>48</v>
      </c>
      <c r="AB1624" t="s">
        <v>48</v>
      </c>
      <c r="AC1624" t="s">
        <v>49</v>
      </c>
      <c r="AD1624" t="s">
        <v>93</v>
      </c>
      <c r="AE1624" s="40" t="s">
        <v>2471</v>
      </c>
      <c r="AF1624" t="s">
        <v>11061</v>
      </c>
      <c r="AG1624" t="s">
        <v>48</v>
      </c>
      <c r="AH1624" t="s">
        <v>48</v>
      </c>
      <c r="AI1624" t="s">
        <v>48</v>
      </c>
      <c r="AJ1624" t="s">
        <v>48</v>
      </c>
      <c r="AK1624" t="s">
        <v>48</v>
      </c>
      <c r="AL1624" t="s">
        <v>48</v>
      </c>
      <c r="AM1624" t="s">
        <v>48</v>
      </c>
      <c r="AN1624" t="s">
        <v>48</v>
      </c>
      <c r="AO1624" t="s">
        <v>48</v>
      </c>
      <c r="AP1624" s="46">
        <v>0</v>
      </c>
      <c r="AQ1624" s="46">
        <v>0</v>
      </c>
      <c r="AR1624" s="46">
        <v>0</v>
      </c>
      <c r="AS1624" s="46">
        <v>0</v>
      </c>
      <c r="AT1624" s="46">
        <v>0</v>
      </c>
      <c r="AU1624" s="46">
        <v>0</v>
      </c>
      <c r="AV1624" s="46">
        <v>0</v>
      </c>
      <c r="AW1624" s="46">
        <v>0</v>
      </c>
      <c r="AX1624" s="46">
        <v>0</v>
      </c>
      <c r="AY1624" s="46">
        <v>0</v>
      </c>
      <c r="AZ1624" s="46">
        <v>0</v>
      </c>
      <c r="BA1624" s="46">
        <v>0</v>
      </c>
      <c r="BB1624" s="46">
        <v>0</v>
      </c>
      <c r="BC1624" s="46">
        <v>0</v>
      </c>
      <c r="BD1624" s="46">
        <v>0</v>
      </c>
      <c r="BE1624" s="46">
        <v>0</v>
      </c>
      <c r="BF1624" s="46">
        <v>0</v>
      </c>
      <c r="BG1624" s="46" t="s">
        <v>48</v>
      </c>
      <c r="BH1624" s="46">
        <v>0</v>
      </c>
      <c r="BI1624" s="46">
        <v>0</v>
      </c>
      <c r="BJ1624" s="46">
        <v>0</v>
      </c>
      <c r="BK1624" s="46">
        <v>0</v>
      </c>
      <c r="BL1624" s="46">
        <v>0</v>
      </c>
      <c r="BM1624" s="46">
        <v>0</v>
      </c>
      <c r="BN1624" s="46">
        <v>0</v>
      </c>
    </row>
    <row r="1625" spans="1:66" x14ac:dyDescent="0.35">
      <c r="A1625" t="s">
        <v>2676</v>
      </c>
      <c r="B1625" s="44" t="s">
        <v>48</v>
      </c>
      <c r="C1625" t="s">
        <v>447</v>
      </c>
      <c r="D1625" t="s">
        <v>396</v>
      </c>
      <c r="E1625" t="s">
        <v>2677</v>
      </c>
      <c r="F1625" t="s">
        <v>2628</v>
      </c>
      <c r="G1625" t="s">
        <v>74</v>
      </c>
      <c r="H1625">
        <v>0</v>
      </c>
      <c r="I1625" s="60" t="s">
        <v>51</v>
      </c>
      <c r="J1625" s="33" t="s">
        <v>45</v>
      </c>
      <c r="K1625" s="46">
        <v>0</v>
      </c>
      <c r="L1625">
        <v>2.2000000000000002</v>
      </c>
      <c r="M1625" t="s">
        <v>48</v>
      </c>
      <c r="N1625" s="46">
        <v>0</v>
      </c>
      <c r="O1625" s="46">
        <v>0</v>
      </c>
      <c r="P1625" s="46">
        <v>0</v>
      </c>
      <c r="Q1625" t="s">
        <v>48</v>
      </c>
      <c r="R1625" t="s">
        <v>48</v>
      </c>
      <c r="S1625" t="s">
        <v>2678</v>
      </c>
      <c r="T1625" t="s">
        <v>48</v>
      </c>
      <c r="U1625" t="s">
        <v>2678</v>
      </c>
      <c r="V1625" s="47">
        <v>0</v>
      </c>
      <c r="W1625" t="s">
        <v>48</v>
      </c>
      <c r="X1625" t="s">
        <v>48</v>
      </c>
      <c r="Y1625" t="s">
        <v>48</v>
      </c>
      <c r="Z1625">
        <v>0</v>
      </c>
      <c r="AA1625" t="s">
        <v>48</v>
      </c>
      <c r="AB1625" t="s">
        <v>48</v>
      </c>
      <c r="AC1625" t="s">
        <v>49</v>
      </c>
      <c r="AD1625" t="s">
        <v>93</v>
      </c>
      <c r="AE1625" s="40" t="s">
        <v>2471</v>
      </c>
      <c r="AF1625" t="s">
        <v>11061</v>
      </c>
      <c r="AG1625" t="s">
        <v>2679</v>
      </c>
      <c r="AH1625" t="s">
        <v>48</v>
      </c>
      <c r="AI1625" t="s">
        <v>48</v>
      </c>
      <c r="AJ1625" t="s">
        <v>48</v>
      </c>
      <c r="AK1625" t="s">
        <v>48</v>
      </c>
      <c r="AL1625" t="s">
        <v>48</v>
      </c>
      <c r="AM1625" t="s">
        <v>48</v>
      </c>
      <c r="AN1625" t="s">
        <v>48</v>
      </c>
      <c r="AO1625" t="s">
        <v>48</v>
      </c>
      <c r="AP1625" s="46">
        <v>0</v>
      </c>
      <c r="AQ1625" s="46">
        <v>0</v>
      </c>
      <c r="AR1625" s="46">
        <v>0</v>
      </c>
      <c r="AS1625" s="46">
        <v>0</v>
      </c>
      <c r="AT1625" s="46">
        <v>0</v>
      </c>
      <c r="AU1625" s="46">
        <v>0</v>
      </c>
      <c r="AV1625" s="46">
        <v>0</v>
      </c>
      <c r="AW1625" s="46">
        <v>0</v>
      </c>
      <c r="AX1625" s="46">
        <v>0</v>
      </c>
      <c r="AY1625" s="46">
        <v>0</v>
      </c>
      <c r="AZ1625" s="46">
        <v>0</v>
      </c>
      <c r="BA1625" s="46">
        <v>0</v>
      </c>
      <c r="BB1625" s="46">
        <v>0</v>
      </c>
      <c r="BC1625" s="46">
        <v>0</v>
      </c>
      <c r="BD1625" s="46">
        <v>0</v>
      </c>
      <c r="BE1625" s="46">
        <v>0</v>
      </c>
      <c r="BF1625" s="46">
        <v>0</v>
      </c>
      <c r="BG1625" s="46" t="s">
        <v>48</v>
      </c>
      <c r="BH1625" s="46">
        <v>0</v>
      </c>
      <c r="BI1625" s="46">
        <v>0</v>
      </c>
      <c r="BJ1625" s="46">
        <v>0</v>
      </c>
      <c r="BK1625" s="46">
        <v>0</v>
      </c>
      <c r="BL1625" s="46">
        <v>0</v>
      </c>
      <c r="BM1625" s="46">
        <v>0</v>
      </c>
      <c r="BN1625" s="46">
        <v>0</v>
      </c>
    </row>
    <row r="1626" spans="1:66" x14ac:dyDescent="0.35">
      <c r="A1626" t="s">
        <v>2661</v>
      </c>
      <c r="B1626" s="44" t="s">
        <v>48</v>
      </c>
      <c r="C1626" t="s">
        <v>11904</v>
      </c>
      <c r="D1626" t="s">
        <v>2663</v>
      </c>
      <c r="E1626" t="s">
        <v>2662</v>
      </c>
      <c r="F1626" t="s">
        <v>2628</v>
      </c>
      <c r="G1626" t="s">
        <v>74</v>
      </c>
      <c r="H1626">
        <v>0</v>
      </c>
      <c r="I1626" s="60" t="s">
        <v>125</v>
      </c>
      <c r="J1626" s="33" t="s">
        <v>45</v>
      </c>
      <c r="K1626" s="46">
        <v>0</v>
      </c>
      <c r="L1626">
        <v>1.1000000000000001</v>
      </c>
      <c r="M1626" t="s">
        <v>48</v>
      </c>
      <c r="N1626" s="46">
        <v>0</v>
      </c>
      <c r="O1626" s="46">
        <v>0</v>
      </c>
      <c r="P1626" s="46">
        <v>0</v>
      </c>
      <c r="Q1626" t="s">
        <v>48</v>
      </c>
      <c r="R1626" t="s">
        <v>48</v>
      </c>
      <c r="S1626" t="s">
        <v>10100</v>
      </c>
      <c r="T1626" t="s">
        <v>48</v>
      </c>
      <c r="U1626" t="s">
        <v>10100</v>
      </c>
      <c r="V1626" s="47">
        <v>0</v>
      </c>
      <c r="W1626" t="s">
        <v>48</v>
      </c>
      <c r="X1626" t="s">
        <v>48</v>
      </c>
      <c r="Y1626" t="s">
        <v>48</v>
      </c>
      <c r="Z1626">
        <v>0</v>
      </c>
      <c r="AA1626" t="s">
        <v>48</v>
      </c>
      <c r="AB1626" t="s">
        <v>48</v>
      </c>
      <c r="AC1626" t="s">
        <v>63</v>
      </c>
      <c r="AD1626" t="s">
        <v>93</v>
      </c>
      <c r="AE1626" s="40" t="s">
        <v>2471</v>
      </c>
      <c r="AF1626" t="s">
        <v>11061</v>
      </c>
      <c r="AG1626" t="s">
        <v>48</v>
      </c>
      <c r="AH1626" t="s">
        <v>48</v>
      </c>
      <c r="AI1626" t="s">
        <v>48</v>
      </c>
      <c r="AJ1626" t="s">
        <v>48</v>
      </c>
      <c r="AK1626" t="s">
        <v>48</v>
      </c>
      <c r="AL1626" t="s">
        <v>48</v>
      </c>
      <c r="AM1626" t="s">
        <v>48</v>
      </c>
      <c r="AN1626" t="s">
        <v>48</v>
      </c>
      <c r="AO1626" t="s">
        <v>48</v>
      </c>
      <c r="AP1626" s="46">
        <v>0</v>
      </c>
      <c r="AQ1626" s="46">
        <v>0</v>
      </c>
      <c r="AR1626" s="46">
        <v>0</v>
      </c>
      <c r="AS1626" s="46">
        <v>0</v>
      </c>
      <c r="AT1626" s="46">
        <v>0</v>
      </c>
      <c r="AU1626" s="46">
        <v>0</v>
      </c>
      <c r="AV1626" s="46">
        <v>0</v>
      </c>
      <c r="AW1626" s="46">
        <v>0</v>
      </c>
      <c r="AX1626" s="46">
        <v>0</v>
      </c>
      <c r="AY1626" s="46">
        <v>0</v>
      </c>
      <c r="AZ1626" s="46">
        <v>0</v>
      </c>
      <c r="BA1626" s="46">
        <v>0</v>
      </c>
      <c r="BB1626" s="46">
        <v>0</v>
      </c>
      <c r="BC1626" s="46">
        <v>0</v>
      </c>
      <c r="BD1626" s="46">
        <v>0</v>
      </c>
      <c r="BE1626" s="46">
        <v>0</v>
      </c>
      <c r="BF1626" s="46">
        <v>0</v>
      </c>
      <c r="BG1626" s="46" t="s">
        <v>48</v>
      </c>
      <c r="BH1626" s="46">
        <v>0</v>
      </c>
      <c r="BI1626" s="46">
        <v>0</v>
      </c>
      <c r="BJ1626" s="46">
        <v>0</v>
      </c>
      <c r="BK1626" s="46">
        <v>0</v>
      </c>
      <c r="BL1626" s="46">
        <v>0</v>
      </c>
      <c r="BM1626" s="46">
        <v>0</v>
      </c>
      <c r="BN1626" s="46">
        <v>0</v>
      </c>
    </row>
    <row r="1627" spans="1:66" x14ac:dyDescent="0.35">
      <c r="A1627" t="s">
        <v>2648</v>
      </c>
      <c r="B1627" s="44" t="s">
        <v>48</v>
      </c>
      <c r="C1627" t="s">
        <v>1636</v>
      </c>
      <c r="D1627" t="s">
        <v>2651</v>
      </c>
      <c r="E1627" t="s">
        <v>2649</v>
      </c>
      <c r="F1627" t="s">
        <v>2628</v>
      </c>
      <c r="G1627" t="s">
        <v>74</v>
      </c>
      <c r="H1627">
        <v>0</v>
      </c>
      <c r="I1627" s="60" t="s">
        <v>78</v>
      </c>
      <c r="J1627" s="33" t="s">
        <v>45</v>
      </c>
      <c r="K1627" s="46">
        <v>0</v>
      </c>
      <c r="L1627">
        <v>19.3</v>
      </c>
      <c r="M1627" t="s">
        <v>48</v>
      </c>
      <c r="N1627" s="46">
        <v>0</v>
      </c>
      <c r="O1627" s="46">
        <v>0</v>
      </c>
      <c r="P1627" s="46">
        <v>0</v>
      </c>
      <c r="Q1627" t="s">
        <v>48</v>
      </c>
      <c r="R1627" t="s">
        <v>48</v>
      </c>
      <c r="S1627" t="s">
        <v>2650</v>
      </c>
      <c r="T1627" t="s">
        <v>48</v>
      </c>
      <c r="U1627" t="s">
        <v>2650</v>
      </c>
      <c r="V1627" s="47">
        <v>1</v>
      </c>
      <c r="W1627" t="s">
        <v>48</v>
      </c>
      <c r="X1627" t="s">
        <v>48</v>
      </c>
      <c r="Y1627" t="s">
        <v>48</v>
      </c>
      <c r="Z1627">
        <v>0</v>
      </c>
      <c r="AA1627" t="s">
        <v>48</v>
      </c>
      <c r="AB1627" t="s">
        <v>48</v>
      </c>
      <c r="AC1627" t="s">
        <v>63</v>
      </c>
      <c r="AD1627" t="s">
        <v>93</v>
      </c>
      <c r="AE1627" s="40" t="s">
        <v>2471</v>
      </c>
      <c r="AF1627" t="s">
        <v>11061</v>
      </c>
      <c r="AG1627" t="s">
        <v>48</v>
      </c>
      <c r="AH1627" t="s">
        <v>48</v>
      </c>
      <c r="AI1627" t="s">
        <v>48</v>
      </c>
      <c r="AJ1627" t="s">
        <v>48</v>
      </c>
      <c r="AK1627" t="s">
        <v>48</v>
      </c>
      <c r="AL1627" t="s">
        <v>48</v>
      </c>
      <c r="AM1627" t="s">
        <v>48</v>
      </c>
      <c r="AN1627" t="s">
        <v>48</v>
      </c>
      <c r="AO1627" t="s">
        <v>48</v>
      </c>
      <c r="AP1627" s="46">
        <v>0</v>
      </c>
      <c r="AQ1627" s="46">
        <v>0</v>
      </c>
      <c r="AR1627" s="46">
        <v>0</v>
      </c>
      <c r="AS1627" s="46">
        <v>0</v>
      </c>
      <c r="AT1627" s="46">
        <v>0</v>
      </c>
      <c r="AU1627" s="46">
        <v>0</v>
      </c>
      <c r="AV1627" s="46">
        <v>0</v>
      </c>
      <c r="AW1627" s="46">
        <v>0</v>
      </c>
      <c r="AX1627" s="46">
        <v>0</v>
      </c>
      <c r="AY1627" s="46">
        <v>0</v>
      </c>
      <c r="AZ1627" s="46">
        <v>0</v>
      </c>
      <c r="BA1627" s="46">
        <v>0</v>
      </c>
      <c r="BB1627" s="46">
        <v>0</v>
      </c>
      <c r="BC1627" s="46">
        <v>0</v>
      </c>
      <c r="BD1627" s="46">
        <v>0</v>
      </c>
      <c r="BE1627" s="46">
        <v>0</v>
      </c>
      <c r="BF1627" s="46">
        <v>0</v>
      </c>
      <c r="BG1627" s="46" t="s">
        <v>48</v>
      </c>
      <c r="BH1627" s="46">
        <v>0</v>
      </c>
      <c r="BI1627" s="46">
        <v>0</v>
      </c>
      <c r="BJ1627" s="46">
        <v>0</v>
      </c>
      <c r="BK1627" s="46">
        <v>0</v>
      </c>
      <c r="BL1627" s="46">
        <v>0</v>
      </c>
      <c r="BM1627" s="46">
        <v>0</v>
      </c>
      <c r="BN1627" s="46">
        <v>0</v>
      </c>
    </row>
    <row r="1628" spans="1:66" x14ac:dyDescent="0.35">
      <c r="A1628" t="s">
        <v>9473</v>
      </c>
      <c r="B1628" s="44" t="s">
        <v>48</v>
      </c>
      <c r="C1628" t="s">
        <v>4532</v>
      </c>
      <c r="D1628" t="s">
        <v>11909</v>
      </c>
      <c r="E1628" t="s">
        <v>9474</v>
      </c>
      <c r="F1628" t="s">
        <v>2628</v>
      </c>
      <c r="G1628" t="s">
        <v>47</v>
      </c>
      <c r="H1628">
        <v>0</v>
      </c>
      <c r="I1628" s="61">
        <v>44741</v>
      </c>
      <c r="J1628" s="33" t="s">
        <v>45</v>
      </c>
      <c r="K1628" s="46">
        <v>0</v>
      </c>
      <c r="L1628">
        <v>5.9</v>
      </c>
      <c r="M1628" t="s">
        <v>48</v>
      </c>
      <c r="N1628" s="46">
        <v>0</v>
      </c>
      <c r="O1628" s="46">
        <v>0</v>
      </c>
      <c r="P1628" s="46">
        <v>0</v>
      </c>
      <c r="Q1628" t="s">
        <v>48</v>
      </c>
      <c r="R1628" t="s">
        <v>48</v>
      </c>
      <c r="S1628" t="s">
        <v>48</v>
      </c>
      <c r="T1628" t="s">
        <v>48</v>
      </c>
      <c r="U1628" t="s">
        <v>48</v>
      </c>
      <c r="V1628" s="47">
        <v>1</v>
      </c>
      <c r="W1628" t="s">
        <v>48</v>
      </c>
      <c r="X1628" t="s">
        <v>48</v>
      </c>
      <c r="Y1628" t="s">
        <v>48</v>
      </c>
      <c r="Z1628" t="s">
        <v>48</v>
      </c>
      <c r="AA1628" t="s">
        <v>48</v>
      </c>
      <c r="AB1628" t="s">
        <v>48</v>
      </c>
      <c r="AC1628" t="s">
        <v>63</v>
      </c>
      <c r="AD1628" t="s">
        <v>93</v>
      </c>
      <c r="AE1628" s="40" t="s">
        <v>2471</v>
      </c>
      <c r="AF1628" t="s">
        <v>48</v>
      </c>
      <c r="AG1628" t="s">
        <v>48</v>
      </c>
      <c r="AH1628" t="s">
        <v>48</v>
      </c>
      <c r="AI1628" t="s">
        <v>48</v>
      </c>
      <c r="AJ1628" t="s">
        <v>48</v>
      </c>
      <c r="AK1628" t="s">
        <v>48</v>
      </c>
      <c r="AL1628" t="s">
        <v>48</v>
      </c>
      <c r="AM1628" t="s">
        <v>48</v>
      </c>
      <c r="AN1628" t="s">
        <v>48</v>
      </c>
      <c r="AO1628" t="s">
        <v>48</v>
      </c>
      <c r="AP1628" s="46">
        <v>0</v>
      </c>
      <c r="AQ1628" s="46">
        <v>0</v>
      </c>
      <c r="AR1628" s="46">
        <v>0</v>
      </c>
      <c r="AS1628" s="46">
        <v>0</v>
      </c>
      <c r="AT1628" s="46">
        <v>0</v>
      </c>
      <c r="AU1628" s="46">
        <v>0</v>
      </c>
      <c r="AV1628" s="46">
        <v>0</v>
      </c>
      <c r="AW1628" s="46">
        <v>0</v>
      </c>
      <c r="AX1628" s="46">
        <v>0</v>
      </c>
      <c r="AY1628" s="46">
        <v>0</v>
      </c>
      <c r="AZ1628" s="46">
        <v>0</v>
      </c>
      <c r="BA1628" s="46">
        <v>0</v>
      </c>
      <c r="BB1628" s="46">
        <v>0</v>
      </c>
      <c r="BC1628" s="46">
        <v>0</v>
      </c>
      <c r="BD1628" s="46">
        <v>0</v>
      </c>
      <c r="BE1628" s="46">
        <v>0</v>
      </c>
      <c r="BF1628" s="46">
        <v>0</v>
      </c>
      <c r="BG1628" s="46" t="s">
        <v>48</v>
      </c>
      <c r="BH1628" s="46">
        <v>0</v>
      </c>
      <c r="BI1628" s="46">
        <v>0</v>
      </c>
      <c r="BJ1628" s="46">
        <v>0</v>
      </c>
      <c r="BK1628" s="46">
        <v>0</v>
      </c>
      <c r="BL1628" s="46">
        <v>0</v>
      </c>
      <c r="BM1628" s="46">
        <v>0</v>
      </c>
      <c r="BN1628" s="46">
        <v>0</v>
      </c>
    </row>
    <row r="1629" spans="1:66" x14ac:dyDescent="0.35">
      <c r="A1629" t="s">
        <v>9475</v>
      </c>
      <c r="B1629" s="44" t="s">
        <v>48</v>
      </c>
      <c r="C1629" t="s">
        <v>468</v>
      </c>
      <c r="D1629" t="s">
        <v>210</v>
      </c>
      <c r="E1629" t="s">
        <v>9476</v>
      </c>
      <c r="F1629" t="s">
        <v>2628</v>
      </c>
      <c r="G1629" t="s">
        <v>74</v>
      </c>
      <c r="H1629">
        <v>0</v>
      </c>
      <c r="I1629" s="61">
        <v>44741</v>
      </c>
      <c r="J1629" s="33" t="s">
        <v>45</v>
      </c>
      <c r="K1629" s="46">
        <v>0</v>
      </c>
      <c r="L1629">
        <v>1.2</v>
      </c>
      <c r="M1629" t="s">
        <v>48</v>
      </c>
      <c r="N1629" s="46">
        <v>0</v>
      </c>
      <c r="O1629" s="46">
        <v>0</v>
      </c>
      <c r="P1629" s="46">
        <v>0</v>
      </c>
      <c r="Q1629" t="s">
        <v>48</v>
      </c>
      <c r="R1629" t="s">
        <v>48</v>
      </c>
      <c r="S1629" t="s">
        <v>48</v>
      </c>
      <c r="T1629" t="s">
        <v>48</v>
      </c>
      <c r="U1629" t="s">
        <v>48</v>
      </c>
      <c r="V1629" s="47">
        <v>1</v>
      </c>
      <c r="W1629" t="s">
        <v>48</v>
      </c>
      <c r="X1629" t="s">
        <v>48</v>
      </c>
      <c r="Y1629" t="s">
        <v>48</v>
      </c>
      <c r="Z1629" t="s">
        <v>48</v>
      </c>
      <c r="AA1629" t="s">
        <v>48</v>
      </c>
      <c r="AB1629" t="s">
        <v>48</v>
      </c>
      <c r="AC1629" t="s">
        <v>49</v>
      </c>
      <c r="AD1629" t="s">
        <v>48</v>
      </c>
      <c r="AE1629" s="40" t="s">
        <v>48</v>
      </c>
      <c r="AF1629" t="s">
        <v>48</v>
      </c>
      <c r="AG1629" t="s">
        <v>48</v>
      </c>
      <c r="AH1629" t="s">
        <v>48</v>
      </c>
      <c r="AI1629" t="s">
        <v>48</v>
      </c>
      <c r="AJ1629" t="s">
        <v>48</v>
      </c>
      <c r="AK1629" t="s">
        <v>48</v>
      </c>
      <c r="AL1629" t="s">
        <v>48</v>
      </c>
      <c r="AM1629" t="s">
        <v>48</v>
      </c>
      <c r="AN1629" t="s">
        <v>48</v>
      </c>
      <c r="AO1629" t="s">
        <v>48</v>
      </c>
      <c r="AP1629" s="46">
        <v>0</v>
      </c>
      <c r="AQ1629" s="46">
        <v>0</v>
      </c>
      <c r="AR1629" s="46">
        <v>0</v>
      </c>
      <c r="AS1629" s="46">
        <v>0</v>
      </c>
      <c r="AT1629" s="46">
        <v>0</v>
      </c>
      <c r="AU1629" s="46">
        <v>0</v>
      </c>
      <c r="AV1629" s="46">
        <v>0</v>
      </c>
      <c r="AW1629" s="46">
        <v>0</v>
      </c>
      <c r="AX1629" s="46">
        <v>0</v>
      </c>
      <c r="AY1629" s="46">
        <v>0</v>
      </c>
      <c r="AZ1629" s="46">
        <v>0</v>
      </c>
      <c r="BA1629" s="46">
        <v>0</v>
      </c>
      <c r="BB1629" s="46">
        <v>0</v>
      </c>
      <c r="BC1629" s="46">
        <v>0</v>
      </c>
      <c r="BD1629" s="46">
        <v>0</v>
      </c>
      <c r="BE1629" s="46">
        <v>0</v>
      </c>
      <c r="BF1629" s="46">
        <v>0</v>
      </c>
      <c r="BG1629" s="46" t="s">
        <v>48</v>
      </c>
      <c r="BH1629" s="46">
        <v>0</v>
      </c>
      <c r="BI1629" s="46">
        <v>0</v>
      </c>
      <c r="BJ1629" s="46">
        <v>0</v>
      </c>
      <c r="BK1629" s="46">
        <v>0</v>
      </c>
      <c r="BL1629" s="46">
        <v>0</v>
      </c>
      <c r="BM1629" s="46">
        <v>0</v>
      </c>
      <c r="BN1629" s="46">
        <v>0</v>
      </c>
    </row>
    <row r="1630" spans="1:66" x14ac:dyDescent="0.35">
      <c r="A1630" t="s">
        <v>9477</v>
      </c>
      <c r="B1630" s="44" t="s">
        <v>48</v>
      </c>
      <c r="C1630" t="s">
        <v>11907</v>
      </c>
      <c r="D1630" t="s">
        <v>11908</v>
      </c>
      <c r="E1630" t="s">
        <v>9478</v>
      </c>
      <c r="F1630" t="s">
        <v>2628</v>
      </c>
      <c r="G1630" t="s">
        <v>74</v>
      </c>
      <c r="H1630">
        <v>0</v>
      </c>
      <c r="I1630" s="61">
        <v>44741</v>
      </c>
      <c r="J1630" s="33" t="s">
        <v>45</v>
      </c>
      <c r="K1630" s="46">
        <v>0</v>
      </c>
      <c r="L1630">
        <v>1</v>
      </c>
      <c r="M1630" t="s">
        <v>48</v>
      </c>
      <c r="N1630" s="46">
        <v>0</v>
      </c>
      <c r="O1630" s="46">
        <v>0</v>
      </c>
      <c r="P1630" s="46">
        <v>0</v>
      </c>
      <c r="Q1630" t="s">
        <v>48</v>
      </c>
      <c r="R1630" t="s">
        <v>48</v>
      </c>
      <c r="S1630" t="s">
        <v>48</v>
      </c>
      <c r="T1630" t="s">
        <v>48</v>
      </c>
      <c r="U1630" t="s">
        <v>48</v>
      </c>
      <c r="V1630" s="47">
        <v>0</v>
      </c>
      <c r="W1630" t="s">
        <v>48</v>
      </c>
      <c r="X1630" t="s">
        <v>48</v>
      </c>
      <c r="Y1630" t="s">
        <v>48</v>
      </c>
      <c r="Z1630" t="s">
        <v>48</v>
      </c>
      <c r="AA1630" t="s">
        <v>48</v>
      </c>
      <c r="AB1630" t="s">
        <v>48</v>
      </c>
      <c r="AC1630" t="s">
        <v>63</v>
      </c>
      <c r="AD1630" t="s">
        <v>48</v>
      </c>
      <c r="AE1630" s="40" t="s">
        <v>48</v>
      </c>
      <c r="AF1630" t="s">
        <v>48</v>
      </c>
      <c r="AG1630" t="s">
        <v>48</v>
      </c>
      <c r="AH1630" t="s">
        <v>48</v>
      </c>
      <c r="AI1630" t="s">
        <v>48</v>
      </c>
      <c r="AJ1630" t="s">
        <v>48</v>
      </c>
      <c r="AK1630" t="s">
        <v>48</v>
      </c>
      <c r="AL1630" t="s">
        <v>48</v>
      </c>
      <c r="AM1630" t="s">
        <v>48</v>
      </c>
      <c r="AN1630" t="s">
        <v>48</v>
      </c>
      <c r="AO1630" t="s">
        <v>48</v>
      </c>
      <c r="AP1630" s="46">
        <v>0</v>
      </c>
      <c r="AQ1630" s="46">
        <v>0</v>
      </c>
      <c r="AR1630" s="46">
        <v>0</v>
      </c>
      <c r="AS1630" s="46">
        <v>0</v>
      </c>
      <c r="AT1630" s="46">
        <v>0</v>
      </c>
      <c r="AU1630" s="46">
        <v>0</v>
      </c>
      <c r="AV1630" s="46">
        <v>0</v>
      </c>
      <c r="AW1630" s="46">
        <v>0</v>
      </c>
      <c r="AX1630" s="46">
        <v>0</v>
      </c>
      <c r="AY1630" s="46">
        <v>0</v>
      </c>
      <c r="AZ1630" s="46">
        <v>0</v>
      </c>
      <c r="BA1630" s="46">
        <v>0</v>
      </c>
      <c r="BB1630" s="46">
        <v>0</v>
      </c>
      <c r="BC1630" s="46">
        <v>0</v>
      </c>
      <c r="BD1630" s="46">
        <v>0</v>
      </c>
      <c r="BE1630" s="46">
        <v>0</v>
      </c>
      <c r="BF1630" s="46">
        <v>0</v>
      </c>
      <c r="BG1630" s="46" t="s">
        <v>48</v>
      </c>
      <c r="BH1630" s="46">
        <v>0</v>
      </c>
      <c r="BI1630" s="46">
        <v>0</v>
      </c>
      <c r="BJ1630" s="46">
        <v>0</v>
      </c>
      <c r="BK1630" s="46">
        <v>0</v>
      </c>
      <c r="BL1630" s="46">
        <v>0</v>
      </c>
      <c r="BM1630" s="46">
        <v>0</v>
      </c>
      <c r="BN1630" s="46">
        <v>0</v>
      </c>
    </row>
    <row r="1631" spans="1:66" x14ac:dyDescent="0.35">
      <c r="A1631" t="s">
        <v>2689</v>
      </c>
      <c r="B1631" s="44" t="s">
        <v>48</v>
      </c>
      <c r="C1631" t="s">
        <v>2691</v>
      </c>
      <c r="D1631" t="s">
        <v>2523</v>
      </c>
      <c r="E1631" t="s">
        <v>2690</v>
      </c>
      <c r="F1631" t="s">
        <v>2684</v>
      </c>
      <c r="G1631" t="s">
        <v>47</v>
      </c>
      <c r="H1631">
        <v>0</v>
      </c>
      <c r="I1631" s="60" t="s">
        <v>881</v>
      </c>
      <c r="J1631" s="33" t="s">
        <v>45</v>
      </c>
      <c r="K1631" s="46">
        <v>0</v>
      </c>
      <c r="L1631">
        <v>27.1</v>
      </c>
      <c r="M1631" t="s">
        <v>48</v>
      </c>
      <c r="N1631" s="46">
        <v>0</v>
      </c>
      <c r="O1631" s="46">
        <v>0</v>
      </c>
      <c r="P1631" s="46">
        <v>0</v>
      </c>
      <c r="Q1631" t="s">
        <v>48</v>
      </c>
      <c r="R1631" t="s">
        <v>48</v>
      </c>
      <c r="S1631" t="s">
        <v>48</v>
      </c>
      <c r="T1631" t="s">
        <v>48</v>
      </c>
      <c r="U1631" t="s">
        <v>48</v>
      </c>
      <c r="V1631" s="47">
        <v>1</v>
      </c>
      <c r="W1631" t="s">
        <v>11264</v>
      </c>
      <c r="X1631" t="s">
        <v>48</v>
      </c>
      <c r="Y1631" t="s">
        <v>48</v>
      </c>
      <c r="Z1631">
        <v>0</v>
      </c>
      <c r="AA1631" t="s">
        <v>48</v>
      </c>
      <c r="AB1631" t="s">
        <v>48</v>
      </c>
      <c r="AC1631" t="s">
        <v>63</v>
      </c>
      <c r="AD1631" t="s">
        <v>48</v>
      </c>
      <c r="AE1631" s="40" t="s">
        <v>48</v>
      </c>
      <c r="AF1631" t="s">
        <v>48</v>
      </c>
      <c r="AG1631" t="s">
        <v>48</v>
      </c>
      <c r="AH1631" t="s">
        <v>48</v>
      </c>
      <c r="AI1631" t="s">
        <v>48</v>
      </c>
      <c r="AJ1631" t="s">
        <v>48</v>
      </c>
      <c r="AK1631" t="s">
        <v>48</v>
      </c>
      <c r="AL1631" t="s">
        <v>48</v>
      </c>
      <c r="AM1631" t="s">
        <v>48</v>
      </c>
      <c r="AN1631" t="s">
        <v>48</v>
      </c>
      <c r="AO1631" t="s">
        <v>48</v>
      </c>
      <c r="AP1631" s="46">
        <v>0</v>
      </c>
      <c r="AQ1631" s="46">
        <v>0</v>
      </c>
      <c r="AR1631" s="46">
        <v>0</v>
      </c>
      <c r="AS1631" s="46">
        <v>0</v>
      </c>
      <c r="AT1631" s="46">
        <v>0</v>
      </c>
      <c r="AU1631" s="46">
        <v>0</v>
      </c>
      <c r="AV1631" s="46">
        <v>0</v>
      </c>
      <c r="AW1631" s="46">
        <v>0</v>
      </c>
      <c r="AX1631" s="46">
        <v>0</v>
      </c>
      <c r="AY1631" s="46">
        <v>0</v>
      </c>
      <c r="AZ1631" s="46">
        <v>0</v>
      </c>
      <c r="BA1631" s="46">
        <v>0</v>
      </c>
      <c r="BB1631" s="46">
        <v>0</v>
      </c>
      <c r="BC1631" s="46">
        <v>0</v>
      </c>
      <c r="BD1631" s="46">
        <v>0</v>
      </c>
      <c r="BE1631" s="46">
        <v>0</v>
      </c>
      <c r="BF1631" s="46">
        <v>0</v>
      </c>
      <c r="BG1631" s="46" t="s">
        <v>48</v>
      </c>
      <c r="BH1631" s="46">
        <v>0</v>
      </c>
      <c r="BI1631" s="46">
        <v>0</v>
      </c>
      <c r="BJ1631" s="46">
        <v>0</v>
      </c>
      <c r="BK1631" s="46">
        <v>0</v>
      </c>
      <c r="BL1631" s="46">
        <v>0</v>
      </c>
      <c r="BM1631" s="46">
        <v>0</v>
      </c>
      <c r="BN1631" s="46">
        <v>0</v>
      </c>
    </row>
    <row r="1632" spans="1:66" x14ac:dyDescent="0.35">
      <c r="A1632" t="s">
        <v>9479</v>
      </c>
      <c r="B1632" s="44" t="s">
        <v>48</v>
      </c>
      <c r="C1632" t="s">
        <v>11910</v>
      </c>
      <c r="D1632" t="s">
        <v>11911</v>
      </c>
      <c r="E1632" t="s">
        <v>9480</v>
      </c>
      <c r="F1632" t="s">
        <v>2684</v>
      </c>
      <c r="G1632" t="s">
        <v>47</v>
      </c>
      <c r="H1632">
        <v>0</v>
      </c>
      <c r="I1632" s="61">
        <v>44748</v>
      </c>
      <c r="J1632" s="33" t="s">
        <v>45</v>
      </c>
      <c r="K1632" s="46">
        <v>0</v>
      </c>
      <c r="L1632">
        <v>35.700000000000003</v>
      </c>
      <c r="M1632" t="s">
        <v>48</v>
      </c>
      <c r="N1632" s="46">
        <v>0</v>
      </c>
      <c r="O1632" s="46">
        <v>0</v>
      </c>
      <c r="P1632" s="46">
        <v>0</v>
      </c>
      <c r="Q1632" t="s">
        <v>48</v>
      </c>
      <c r="R1632" t="s">
        <v>48</v>
      </c>
      <c r="S1632" t="s">
        <v>48</v>
      </c>
      <c r="T1632" t="s">
        <v>48</v>
      </c>
      <c r="U1632" t="s">
        <v>48</v>
      </c>
      <c r="V1632" s="47">
        <v>1</v>
      </c>
      <c r="W1632" t="s">
        <v>11264</v>
      </c>
      <c r="X1632" t="s">
        <v>48</v>
      </c>
      <c r="Y1632" t="s">
        <v>48</v>
      </c>
      <c r="Z1632" t="s">
        <v>48</v>
      </c>
      <c r="AA1632" t="s">
        <v>48</v>
      </c>
      <c r="AB1632" t="s">
        <v>48</v>
      </c>
      <c r="AC1632" t="s">
        <v>49</v>
      </c>
      <c r="AD1632" t="s">
        <v>93</v>
      </c>
      <c r="AE1632" s="40" t="s">
        <v>4532</v>
      </c>
      <c r="AF1632" t="s">
        <v>48</v>
      </c>
      <c r="AG1632" t="s">
        <v>48</v>
      </c>
      <c r="AH1632" t="s">
        <v>48</v>
      </c>
      <c r="AI1632" t="s">
        <v>48</v>
      </c>
      <c r="AJ1632" t="s">
        <v>48</v>
      </c>
      <c r="AK1632" t="s">
        <v>48</v>
      </c>
      <c r="AL1632" t="s">
        <v>48</v>
      </c>
      <c r="AM1632" t="s">
        <v>48</v>
      </c>
      <c r="AN1632" t="s">
        <v>48</v>
      </c>
      <c r="AO1632" t="s">
        <v>48</v>
      </c>
      <c r="AP1632" s="46">
        <v>0</v>
      </c>
      <c r="AQ1632" s="46">
        <v>0</v>
      </c>
      <c r="AR1632" s="46">
        <v>0</v>
      </c>
      <c r="AS1632" s="46">
        <v>0</v>
      </c>
      <c r="AT1632" s="46">
        <v>0</v>
      </c>
      <c r="AU1632" s="46">
        <v>0</v>
      </c>
      <c r="AV1632" s="46">
        <v>0</v>
      </c>
      <c r="AW1632" s="46">
        <v>0</v>
      </c>
      <c r="AX1632" s="46">
        <v>0</v>
      </c>
      <c r="AY1632" s="46">
        <v>0</v>
      </c>
      <c r="AZ1632" s="46">
        <v>0</v>
      </c>
      <c r="BA1632" s="46">
        <v>0</v>
      </c>
      <c r="BB1632" s="46">
        <v>0</v>
      </c>
      <c r="BC1632" s="46">
        <v>0</v>
      </c>
      <c r="BD1632" s="46">
        <v>0</v>
      </c>
      <c r="BE1632" s="46">
        <v>0</v>
      </c>
      <c r="BF1632" s="46">
        <v>0</v>
      </c>
      <c r="BG1632" s="46" t="s">
        <v>48</v>
      </c>
      <c r="BH1632" s="46">
        <v>0</v>
      </c>
      <c r="BI1632" s="46">
        <v>0</v>
      </c>
      <c r="BJ1632" s="46">
        <v>0</v>
      </c>
      <c r="BK1632" s="46">
        <v>0</v>
      </c>
      <c r="BL1632" s="46">
        <v>0</v>
      </c>
      <c r="BM1632" s="46">
        <v>0</v>
      </c>
      <c r="BN1632" s="46">
        <v>0</v>
      </c>
    </row>
    <row r="1633" spans="1:66" x14ac:dyDescent="0.35">
      <c r="A1633" t="s">
        <v>2708</v>
      </c>
      <c r="B1633" s="44" t="s">
        <v>48</v>
      </c>
      <c r="C1633" t="s">
        <v>2710</v>
      </c>
      <c r="D1633" t="s">
        <v>2624</v>
      </c>
      <c r="E1633" t="s">
        <v>2709</v>
      </c>
      <c r="F1633" t="s">
        <v>2693</v>
      </c>
      <c r="G1633" t="s">
        <v>74</v>
      </c>
      <c r="H1633">
        <v>0</v>
      </c>
      <c r="I1633" s="60" t="s">
        <v>149</v>
      </c>
      <c r="J1633" s="33" t="s">
        <v>45</v>
      </c>
      <c r="K1633" s="46">
        <v>0</v>
      </c>
      <c r="L1633">
        <v>23.8</v>
      </c>
      <c r="M1633" t="s">
        <v>48</v>
      </c>
      <c r="N1633" s="46">
        <v>0</v>
      </c>
      <c r="O1633" s="46">
        <v>0</v>
      </c>
      <c r="P1633" s="46">
        <v>0</v>
      </c>
      <c r="Q1633" t="s">
        <v>48</v>
      </c>
      <c r="R1633" t="s">
        <v>48</v>
      </c>
      <c r="S1633" t="s">
        <v>10101</v>
      </c>
      <c r="T1633" t="s">
        <v>48</v>
      </c>
      <c r="U1633" t="s">
        <v>10101</v>
      </c>
      <c r="V1633" s="47">
        <v>0</v>
      </c>
      <c r="W1633" t="s">
        <v>48</v>
      </c>
      <c r="X1633" t="s">
        <v>48</v>
      </c>
      <c r="Y1633" t="s">
        <v>48</v>
      </c>
      <c r="Z1633">
        <v>0</v>
      </c>
      <c r="AA1633" t="s">
        <v>48</v>
      </c>
      <c r="AB1633" t="s">
        <v>48</v>
      </c>
      <c r="AC1633" t="s">
        <v>49</v>
      </c>
      <c r="AD1633" t="s">
        <v>951</v>
      </c>
      <c r="AE1633" s="40" t="s">
        <v>11051</v>
      </c>
      <c r="AF1633" t="s">
        <v>108</v>
      </c>
      <c r="AG1633" t="s">
        <v>48</v>
      </c>
      <c r="AH1633" t="s">
        <v>48</v>
      </c>
      <c r="AI1633" t="s">
        <v>48</v>
      </c>
      <c r="AJ1633" t="s">
        <v>48</v>
      </c>
      <c r="AK1633" t="s">
        <v>48</v>
      </c>
      <c r="AL1633" t="s">
        <v>48</v>
      </c>
      <c r="AM1633" t="s">
        <v>48</v>
      </c>
      <c r="AN1633" t="s">
        <v>48</v>
      </c>
      <c r="AO1633" t="s">
        <v>48</v>
      </c>
      <c r="AP1633" s="46">
        <v>0</v>
      </c>
      <c r="AQ1633" s="46">
        <v>0</v>
      </c>
      <c r="AR1633" s="46">
        <v>0</v>
      </c>
      <c r="AS1633" s="46">
        <v>0</v>
      </c>
      <c r="AT1633" s="46">
        <v>0</v>
      </c>
      <c r="AU1633" s="46">
        <v>0</v>
      </c>
      <c r="AV1633" s="46">
        <v>0</v>
      </c>
      <c r="AW1633" s="46">
        <v>0</v>
      </c>
      <c r="AX1633" s="46">
        <v>0</v>
      </c>
      <c r="AY1633" s="46">
        <v>0</v>
      </c>
      <c r="AZ1633" s="46">
        <v>0</v>
      </c>
      <c r="BA1633" s="46">
        <v>0</v>
      </c>
      <c r="BB1633" s="46">
        <v>0</v>
      </c>
      <c r="BC1633" s="46">
        <v>0</v>
      </c>
      <c r="BD1633" s="46">
        <v>0</v>
      </c>
      <c r="BE1633" s="46">
        <v>0</v>
      </c>
      <c r="BF1633" s="46">
        <v>0</v>
      </c>
      <c r="BG1633" s="46" t="s">
        <v>48</v>
      </c>
      <c r="BH1633" s="46">
        <v>0</v>
      </c>
      <c r="BI1633" s="46">
        <v>0</v>
      </c>
      <c r="BJ1633" s="46">
        <v>0</v>
      </c>
      <c r="BK1633" s="46">
        <v>0</v>
      </c>
      <c r="BL1633" s="46">
        <v>0</v>
      </c>
      <c r="BM1633" s="46">
        <v>0</v>
      </c>
      <c r="BN1633" s="46">
        <v>0</v>
      </c>
    </row>
    <row r="1634" spans="1:66" x14ac:dyDescent="0.35">
      <c r="A1634" t="s">
        <v>2692</v>
      </c>
      <c r="B1634" s="44" t="s">
        <v>48</v>
      </c>
      <c r="C1634" t="s">
        <v>2697</v>
      </c>
      <c r="D1634" t="s">
        <v>2696</v>
      </c>
      <c r="E1634" t="s">
        <v>2694</v>
      </c>
      <c r="F1634" t="s">
        <v>2693</v>
      </c>
      <c r="G1634" t="s">
        <v>74</v>
      </c>
      <c r="H1634">
        <v>0</v>
      </c>
      <c r="I1634" s="60" t="s">
        <v>78</v>
      </c>
      <c r="J1634" s="33" t="s">
        <v>45</v>
      </c>
      <c r="K1634" s="46">
        <v>0</v>
      </c>
      <c r="L1634">
        <v>6.6</v>
      </c>
      <c r="M1634" t="s">
        <v>48</v>
      </c>
      <c r="N1634" s="46">
        <v>0</v>
      </c>
      <c r="O1634" s="46">
        <v>0</v>
      </c>
      <c r="P1634" s="46">
        <v>0</v>
      </c>
      <c r="Q1634" t="s">
        <v>48</v>
      </c>
      <c r="R1634" t="s">
        <v>48</v>
      </c>
      <c r="S1634" t="s">
        <v>2695</v>
      </c>
      <c r="T1634" t="s">
        <v>48</v>
      </c>
      <c r="U1634" t="s">
        <v>2695</v>
      </c>
      <c r="V1634" s="47">
        <v>1</v>
      </c>
      <c r="W1634" t="s">
        <v>48</v>
      </c>
      <c r="X1634" t="s">
        <v>48</v>
      </c>
      <c r="Y1634" t="s">
        <v>48</v>
      </c>
      <c r="Z1634">
        <v>0</v>
      </c>
      <c r="AA1634" t="s">
        <v>48</v>
      </c>
      <c r="AB1634" t="s">
        <v>48</v>
      </c>
      <c r="AC1634" t="s">
        <v>49</v>
      </c>
      <c r="AD1634" t="s">
        <v>93</v>
      </c>
      <c r="AE1634" t="s">
        <v>11051</v>
      </c>
      <c r="AF1634" t="s">
        <v>11083</v>
      </c>
      <c r="AG1634" t="s">
        <v>48</v>
      </c>
      <c r="AH1634" t="s">
        <v>48</v>
      </c>
      <c r="AI1634" t="s">
        <v>48</v>
      </c>
      <c r="AJ1634" t="s">
        <v>48</v>
      </c>
      <c r="AK1634" t="s">
        <v>48</v>
      </c>
      <c r="AL1634" t="s">
        <v>48</v>
      </c>
      <c r="AM1634" t="s">
        <v>48</v>
      </c>
      <c r="AN1634" t="s">
        <v>48</v>
      </c>
      <c r="AO1634" t="s">
        <v>48</v>
      </c>
      <c r="AP1634" s="46">
        <v>0</v>
      </c>
      <c r="AQ1634" s="46">
        <v>0</v>
      </c>
      <c r="AR1634" s="46">
        <v>0</v>
      </c>
      <c r="AS1634" s="46">
        <v>0</v>
      </c>
      <c r="AT1634" s="46">
        <v>0</v>
      </c>
      <c r="AU1634" s="46">
        <v>0</v>
      </c>
      <c r="AV1634" s="46">
        <v>0</v>
      </c>
      <c r="AW1634" s="46">
        <v>0</v>
      </c>
      <c r="AX1634" s="46">
        <v>0</v>
      </c>
      <c r="AY1634" s="46">
        <v>0</v>
      </c>
      <c r="AZ1634" s="46">
        <v>0</v>
      </c>
      <c r="BA1634" s="46">
        <v>0</v>
      </c>
      <c r="BB1634" s="46">
        <v>0</v>
      </c>
      <c r="BC1634" s="46">
        <v>0</v>
      </c>
      <c r="BD1634" s="46">
        <v>0</v>
      </c>
      <c r="BE1634" s="46">
        <v>0</v>
      </c>
      <c r="BF1634" s="46">
        <v>0</v>
      </c>
      <c r="BG1634" s="46" t="s">
        <v>48</v>
      </c>
      <c r="BH1634" s="46">
        <v>0</v>
      </c>
      <c r="BI1634" s="46">
        <v>0</v>
      </c>
      <c r="BJ1634" s="46">
        <v>0</v>
      </c>
      <c r="BK1634" s="46">
        <v>0</v>
      </c>
      <c r="BL1634" s="46">
        <v>0</v>
      </c>
      <c r="BM1634" s="46">
        <v>0</v>
      </c>
      <c r="BN1634" s="46">
        <v>0</v>
      </c>
    </row>
    <row r="1635" spans="1:66" x14ac:dyDescent="0.35">
      <c r="A1635" t="s">
        <v>9483</v>
      </c>
      <c r="B1635" s="44" t="s">
        <v>48</v>
      </c>
      <c r="C1635" t="s">
        <v>11912</v>
      </c>
      <c r="D1635" t="s">
        <v>756</v>
      </c>
      <c r="E1635" t="s">
        <v>9484</v>
      </c>
      <c r="F1635" t="s">
        <v>2693</v>
      </c>
      <c r="G1635" t="s">
        <v>74</v>
      </c>
      <c r="H1635">
        <v>0</v>
      </c>
      <c r="I1635" s="61">
        <v>44748</v>
      </c>
      <c r="J1635" s="33" t="s">
        <v>45</v>
      </c>
      <c r="K1635" s="46">
        <v>0</v>
      </c>
      <c r="L1635">
        <v>3.9</v>
      </c>
      <c r="M1635" t="s">
        <v>48</v>
      </c>
      <c r="N1635" s="46">
        <v>0</v>
      </c>
      <c r="O1635" s="46">
        <v>0</v>
      </c>
      <c r="P1635" s="46">
        <v>0</v>
      </c>
      <c r="Q1635" t="s">
        <v>48</v>
      </c>
      <c r="R1635" t="s">
        <v>48</v>
      </c>
      <c r="S1635" t="s">
        <v>48</v>
      </c>
      <c r="T1635" t="s">
        <v>48</v>
      </c>
      <c r="U1635" t="s">
        <v>48</v>
      </c>
      <c r="V1635" s="47">
        <v>0</v>
      </c>
      <c r="W1635" t="s">
        <v>48</v>
      </c>
      <c r="X1635" t="s">
        <v>48</v>
      </c>
      <c r="Y1635" t="s">
        <v>48</v>
      </c>
      <c r="Z1635" t="s">
        <v>48</v>
      </c>
      <c r="AA1635" t="s">
        <v>48</v>
      </c>
      <c r="AB1635" t="s">
        <v>48</v>
      </c>
      <c r="AC1635" t="s">
        <v>49</v>
      </c>
      <c r="AD1635" t="s">
        <v>951</v>
      </c>
      <c r="AE1635" s="40" t="s">
        <v>11051</v>
      </c>
      <c r="AF1635" t="s">
        <v>48</v>
      </c>
      <c r="AG1635" t="s">
        <v>48</v>
      </c>
      <c r="AH1635" t="s">
        <v>48</v>
      </c>
      <c r="AI1635" t="s">
        <v>48</v>
      </c>
      <c r="AJ1635" t="s">
        <v>48</v>
      </c>
      <c r="AK1635" t="s">
        <v>48</v>
      </c>
      <c r="AL1635" t="s">
        <v>48</v>
      </c>
      <c r="AM1635" t="s">
        <v>48</v>
      </c>
      <c r="AN1635" t="s">
        <v>48</v>
      </c>
      <c r="AO1635" t="s">
        <v>48</v>
      </c>
      <c r="AP1635" s="46">
        <v>0</v>
      </c>
      <c r="AQ1635" s="46">
        <v>0</v>
      </c>
      <c r="AR1635" s="46">
        <v>0</v>
      </c>
      <c r="AS1635" s="46">
        <v>0</v>
      </c>
      <c r="AT1635" s="46">
        <v>0</v>
      </c>
      <c r="AU1635" s="46">
        <v>0</v>
      </c>
      <c r="AV1635" s="46">
        <v>0</v>
      </c>
      <c r="AW1635" s="46">
        <v>0</v>
      </c>
      <c r="AX1635" s="46">
        <v>0</v>
      </c>
      <c r="AY1635" s="46">
        <v>0</v>
      </c>
      <c r="AZ1635" s="46">
        <v>0</v>
      </c>
      <c r="BA1635" s="46">
        <v>0</v>
      </c>
      <c r="BB1635" s="46">
        <v>0</v>
      </c>
      <c r="BC1635" s="46">
        <v>0</v>
      </c>
      <c r="BD1635" s="46">
        <v>0</v>
      </c>
      <c r="BE1635" s="46">
        <v>0</v>
      </c>
      <c r="BF1635" s="46">
        <v>0</v>
      </c>
      <c r="BG1635" s="46" t="s">
        <v>48</v>
      </c>
      <c r="BH1635" s="46">
        <v>0</v>
      </c>
      <c r="BI1635" s="46">
        <v>0</v>
      </c>
      <c r="BJ1635" s="46">
        <v>0</v>
      </c>
      <c r="BK1635" s="46">
        <v>0</v>
      </c>
      <c r="BL1635" s="46">
        <v>0</v>
      </c>
      <c r="BM1635" s="46">
        <v>0</v>
      </c>
      <c r="BN1635" s="46">
        <v>0</v>
      </c>
    </row>
    <row r="1636" spans="1:66" ht="15" x14ac:dyDescent="0.4">
      <c r="A1636" t="s">
        <v>9488</v>
      </c>
      <c r="B1636" s="44" t="s">
        <v>48</v>
      </c>
      <c r="C1636" t="s">
        <v>11914</v>
      </c>
      <c r="D1636" t="s">
        <v>11915</v>
      </c>
      <c r="E1636" t="s">
        <v>9489</v>
      </c>
      <c r="F1636" t="s">
        <v>2717</v>
      </c>
      <c r="G1636" t="s">
        <v>47</v>
      </c>
      <c r="H1636">
        <v>0</v>
      </c>
      <c r="I1636" s="61" t="s">
        <v>11160</v>
      </c>
      <c r="J1636" s="33" t="s">
        <v>45</v>
      </c>
      <c r="K1636" s="46">
        <v>0</v>
      </c>
      <c r="L1636">
        <v>44.6</v>
      </c>
      <c r="M1636" t="s">
        <v>48</v>
      </c>
      <c r="N1636" s="46">
        <v>0</v>
      </c>
      <c r="O1636" s="46">
        <v>0</v>
      </c>
      <c r="P1636" s="46">
        <v>0</v>
      </c>
      <c r="Q1636" t="s">
        <v>48</v>
      </c>
      <c r="R1636" t="s">
        <v>48</v>
      </c>
      <c r="S1636" s="55" t="s">
        <v>11371</v>
      </c>
      <c r="T1636" t="s">
        <v>48</v>
      </c>
      <c r="U1636" t="s">
        <v>48</v>
      </c>
      <c r="V1636" s="47">
        <v>1</v>
      </c>
      <c r="W1636" t="s">
        <v>48</v>
      </c>
      <c r="X1636" t="s">
        <v>48</v>
      </c>
      <c r="Y1636" t="s">
        <v>48</v>
      </c>
      <c r="Z1636" t="s">
        <v>48</v>
      </c>
      <c r="AA1636" t="s">
        <v>48</v>
      </c>
      <c r="AB1636" t="s">
        <v>48</v>
      </c>
      <c r="AC1636" t="s">
        <v>63</v>
      </c>
      <c r="AD1636" t="s">
        <v>93</v>
      </c>
      <c r="AE1636" s="40" t="s">
        <v>4532</v>
      </c>
      <c r="AF1636" t="s">
        <v>11147</v>
      </c>
      <c r="AG1636" t="s">
        <v>48</v>
      </c>
      <c r="AH1636" t="s">
        <v>48</v>
      </c>
      <c r="AI1636" t="s">
        <v>48</v>
      </c>
      <c r="AJ1636" t="s">
        <v>48</v>
      </c>
      <c r="AK1636" t="s">
        <v>48</v>
      </c>
      <c r="AL1636" t="s">
        <v>48</v>
      </c>
      <c r="AM1636" t="s">
        <v>48</v>
      </c>
      <c r="AN1636" t="s">
        <v>48</v>
      </c>
      <c r="AO1636" t="s">
        <v>48</v>
      </c>
      <c r="AP1636" s="46">
        <v>0</v>
      </c>
      <c r="AQ1636" s="46">
        <v>0</v>
      </c>
      <c r="AR1636" s="46">
        <v>0</v>
      </c>
      <c r="AS1636" s="46">
        <v>0</v>
      </c>
      <c r="AT1636" s="46">
        <v>0</v>
      </c>
      <c r="AU1636" s="46">
        <v>0</v>
      </c>
      <c r="AV1636" s="46">
        <v>0</v>
      </c>
      <c r="AW1636" s="46">
        <v>0</v>
      </c>
      <c r="AX1636" s="46">
        <v>0</v>
      </c>
      <c r="AY1636" s="46">
        <v>0</v>
      </c>
      <c r="AZ1636" s="46">
        <v>0</v>
      </c>
      <c r="BA1636" s="46">
        <v>0</v>
      </c>
      <c r="BB1636" s="46">
        <v>0</v>
      </c>
      <c r="BC1636" s="46">
        <v>0</v>
      </c>
      <c r="BD1636" s="46">
        <v>0</v>
      </c>
      <c r="BE1636" s="46">
        <v>0</v>
      </c>
      <c r="BF1636" s="46">
        <v>0</v>
      </c>
      <c r="BG1636" s="46" t="s">
        <v>48</v>
      </c>
      <c r="BH1636" s="46">
        <v>0</v>
      </c>
      <c r="BI1636" s="46">
        <v>0</v>
      </c>
      <c r="BJ1636" s="46">
        <v>0</v>
      </c>
      <c r="BK1636" s="46">
        <v>0</v>
      </c>
      <c r="BL1636" s="46">
        <v>0</v>
      </c>
      <c r="BM1636" s="46">
        <v>0</v>
      </c>
      <c r="BN1636" s="46">
        <v>0</v>
      </c>
    </row>
    <row r="1637" spans="1:66" x14ac:dyDescent="0.35">
      <c r="A1637" t="s">
        <v>9492</v>
      </c>
      <c r="B1637" s="44" t="s">
        <v>48</v>
      </c>
      <c r="C1637" t="s">
        <v>12407</v>
      </c>
      <c r="D1637" t="s">
        <v>5037</v>
      </c>
      <c r="E1637" t="s">
        <v>9493</v>
      </c>
      <c r="F1637" t="s">
        <v>2725</v>
      </c>
      <c r="G1637" t="s">
        <v>47</v>
      </c>
      <c r="H1637">
        <v>0</v>
      </c>
      <c r="I1637" s="61">
        <v>44748</v>
      </c>
      <c r="J1637" s="33" t="s">
        <v>45</v>
      </c>
      <c r="K1637" s="46">
        <v>0</v>
      </c>
      <c r="L1637">
        <v>10.1</v>
      </c>
      <c r="M1637" t="s">
        <v>48</v>
      </c>
      <c r="N1637" s="46">
        <v>0</v>
      </c>
      <c r="O1637" s="46">
        <v>0</v>
      </c>
      <c r="P1637" s="46">
        <v>0</v>
      </c>
      <c r="Q1637" t="s">
        <v>48</v>
      </c>
      <c r="R1637" t="s">
        <v>48</v>
      </c>
      <c r="S1637" t="s">
        <v>48</v>
      </c>
      <c r="T1637" t="s">
        <v>48</v>
      </c>
      <c r="U1637" t="s">
        <v>48</v>
      </c>
      <c r="V1637" s="47">
        <v>1</v>
      </c>
      <c r="W1637" t="s">
        <v>48</v>
      </c>
      <c r="X1637" t="s">
        <v>48</v>
      </c>
      <c r="Y1637" t="s">
        <v>48</v>
      </c>
      <c r="Z1637" t="s">
        <v>48</v>
      </c>
      <c r="AA1637" t="s">
        <v>48</v>
      </c>
      <c r="AB1637" t="s">
        <v>48</v>
      </c>
      <c r="AC1637" t="s">
        <v>63</v>
      </c>
      <c r="AD1637" t="s">
        <v>93</v>
      </c>
      <c r="AE1637" t="s">
        <v>4532</v>
      </c>
      <c r="AF1637" t="s">
        <v>48</v>
      </c>
      <c r="AG1637" t="s">
        <v>48</v>
      </c>
      <c r="AH1637" t="s">
        <v>48</v>
      </c>
      <c r="AI1637" t="s">
        <v>48</v>
      </c>
      <c r="AJ1637" t="s">
        <v>48</v>
      </c>
      <c r="AK1637" t="s">
        <v>48</v>
      </c>
      <c r="AL1637" t="s">
        <v>48</v>
      </c>
      <c r="AM1637" t="s">
        <v>48</v>
      </c>
      <c r="AN1637" t="s">
        <v>48</v>
      </c>
      <c r="AO1637" t="s">
        <v>48</v>
      </c>
      <c r="AP1637" s="46">
        <v>0</v>
      </c>
      <c r="AQ1637" s="46">
        <v>0</v>
      </c>
      <c r="AR1637" s="46">
        <v>0</v>
      </c>
      <c r="AS1637" s="46">
        <v>0</v>
      </c>
      <c r="AT1637" s="46">
        <v>0</v>
      </c>
      <c r="AU1637" s="46">
        <v>0</v>
      </c>
      <c r="AV1637" s="46">
        <v>0</v>
      </c>
      <c r="AW1637" s="46">
        <v>0</v>
      </c>
      <c r="AX1637" s="46">
        <v>0</v>
      </c>
      <c r="AY1637" s="46">
        <v>0</v>
      </c>
      <c r="AZ1637" s="46">
        <v>0</v>
      </c>
      <c r="BA1637" s="46">
        <v>0</v>
      </c>
      <c r="BB1637" s="46">
        <v>0</v>
      </c>
      <c r="BC1637" s="46">
        <v>0</v>
      </c>
      <c r="BD1637" s="46">
        <v>0</v>
      </c>
      <c r="BE1637" s="46">
        <v>0</v>
      </c>
      <c r="BF1637" s="46">
        <v>0</v>
      </c>
      <c r="BG1637" s="46" t="s">
        <v>48</v>
      </c>
      <c r="BH1637" s="46">
        <v>0</v>
      </c>
      <c r="BI1637" s="46">
        <v>0</v>
      </c>
      <c r="BJ1637" s="46">
        <v>0</v>
      </c>
      <c r="BK1637" s="46">
        <v>0</v>
      </c>
      <c r="BL1637" s="46">
        <v>0</v>
      </c>
      <c r="BM1637" s="46">
        <v>0</v>
      </c>
      <c r="BN1637" s="46">
        <v>0</v>
      </c>
    </row>
    <row r="1638" spans="1:66" x14ac:dyDescent="0.35">
      <c r="A1638" t="s">
        <v>9494</v>
      </c>
      <c r="B1638" s="44" t="s">
        <v>48</v>
      </c>
      <c r="C1638" t="s">
        <v>11916</v>
      </c>
      <c r="D1638" t="s">
        <v>1528</v>
      </c>
      <c r="E1638" t="s">
        <v>9495</v>
      </c>
      <c r="F1638" t="s">
        <v>2725</v>
      </c>
      <c r="G1638" t="s">
        <v>74</v>
      </c>
      <c r="H1638">
        <v>0</v>
      </c>
      <c r="I1638" s="61">
        <v>44748</v>
      </c>
      <c r="J1638" s="33" t="s">
        <v>45</v>
      </c>
      <c r="K1638" s="46">
        <v>0</v>
      </c>
      <c r="L1638">
        <v>3.1</v>
      </c>
      <c r="M1638" t="s">
        <v>48</v>
      </c>
      <c r="N1638" s="46">
        <v>0</v>
      </c>
      <c r="O1638" s="46">
        <v>0</v>
      </c>
      <c r="P1638" s="46">
        <v>0</v>
      </c>
      <c r="Q1638" t="s">
        <v>48</v>
      </c>
      <c r="R1638" t="s">
        <v>48</v>
      </c>
      <c r="S1638" t="s">
        <v>48</v>
      </c>
      <c r="T1638" t="s">
        <v>48</v>
      </c>
      <c r="U1638" t="s">
        <v>48</v>
      </c>
      <c r="V1638" s="47">
        <v>0</v>
      </c>
      <c r="W1638" t="s">
        <v>48</v>
      </c>
      <c r="X1638" t="s">
        <v>48</v>
      </c>
      <c r="Y1638" t="s">
        <v>48</v>
      </c>
      <c r="Z1638" t="s">
        <v>48</v>
      </c>
      <c r="AA1638" t="s">
        <v>48</v>
      </c>
      <c r="AB1638" t="s">
        <v>48</v>
      </c>
      <c r="AC1638" t="s">
        <v>49</v>
      </c>
      <c r="AD1638" t="s">
        <v>93</v>
      </c>
      <c r="AE1638" s="40" t="s">
        <v>4532</v>
      </c>
      <c r="AF1638" t="s">
        <v>48</v>
      </c>
      <c r="AG1638" t="s">
        <v>48</v>
      </c>
      <c r="AH1638" t="s">
        <v>48</v>
      </c>
      <c r="AI1638" t="s">
        <v>48</v>
      </c>
      <c r="AJ1638" t="s">
        <v>48</v>
      </c>
      <c r="AK1638" t="s">
        <v>48</v>
      </c>
      <c r="AL1638" t="s">
        <v>48</v>
      </c>
      <c r="AM1638" t="s">
        <v>48</v>
      </c>
      <c r="AN1638" t="s">
        <v>48</v>
      </c>
      <c r="AO1638" t="s">
        <v>48</v>
      </c>
      <c r="AP1638" s="46">
        <v>0</v>
      </c>
      <c r="AQ1638" s="46">
        <v>0</v>
      </c>
      <c r="AR1638" s="46">
        <v>0</v>
      </c>
      <c r="AS1638" s="46">
        <v>0</v>
      </c>
      <c r="AT1638" s="46">
        <v>0</v>
      </c>
      <c r="AU1638" s="46">
        <v>0</v>
      </c>
      <c r="AV1638" s="46">
        <v>0</v>
      </c>
      <c r="AW1638" s="46">
        <v>0</v>
      </c>
      <c r="AX1638" s="46">
        <v>0</v>
      </c>
      <c r="AY1638" s="46">
        <v>0</v>
      </c>
      <c r="AZ1638" s="46">
        <v>0</v>
      </c>
      <c r="BA1638" s="46">
        <v>0</v>
      </c>
      <c r="BB1638" s="46">
        <v>0</v>
      </c>
      <c r="BC1638" s="46">
        <v>0</v>
      </c>
      <c r="BD1638" s="46">
        <v>0</v>
      </c>
      <c r="BE1638" s="46">
        <v>0</v>
      </c>
      <c r="BF1638" s="46">
        <v>0</v>
      </c>
      <c r="BG1638" s="46" t="s">
        <v>48</v>
      </c>
      <c r="BH1638" s="46">
        <v>0</v>
      </c>
      <c r="BI1638" s="46">
        <v>0</v>
      </c>
      <c r="BJ1638" s="46">
        <v>0</v>
      </c>
      <c r="BK1638" s="46">
        <v>0</v>
      </c>
      <c r="BL1638" s="46">
        <v>0</v>
      </c>
      <c r="BM1638" s="46">
        <v>0</v>
      </c>
      <c r="BN1638" s="46">
        <v>0</v>
      </c>
    </row>
    <row r="1639" spans="1:66" x14ac:dyDescent="0.35">
      <c r="A1639" t="s">
        <v>2737</v>
      </c>
      <c r="B1639" s="44" t="s">
        <v>48</v>
      </c>
      <c r="C1639" t="s">
        <v>2739</v>
      </c>
      <c r="D1639" t="s">
        <v>467</v>
      </c>
      <c r="E1639" t="s">
        <v>2738</v>
      </c>
      <c r="F1639" t="s">
        <v>2725</v>
      </c>
      <c r="G1639" t="s">
        <v>47</v>
      </c>
      <c r="H1639">
        <v>0</v>
      </c>
      <c r="I1639" s="60" t="s">
        <v>78</v>
      </c>
      <c r="J1639" s="33" t="s">
        <v>45</v>
      </c>
      <c r="K1639" s="46">
        <v>0</v>
      </c>
      <c r="L1639">
        <v>27.1</v>
      </c>
      <c r="M1639" t="s">
        <v>48</v>
      </c>
      <c r="N1639" s="46">
        <v>0</v>
      </c>
      <c r="O1639" s="46">
        <v>0</v>
      </c>
      <c r="P1639" s="46">
        <v>0</v>
      </c>
      <c r="Q1639" t="s">
        <v>48</v>
      </c>
      <c r="R1639" t="s">
        <v>48</v>
      </c>
      <c r="S1639" t="s">
        <v>10102</v>
      </c>
      <c r="T1639" t="s">
        <v>48</v>
      </c>
      <c r="U1639" t="s">
        <v>10102</v>
      </c>
      <c r="V1639" s="47">
        <v>0</v>
      </c>
      <c r="W1639" t="s">
        <v>48</v>
      </c>
      <c r="X1639" t="s">
        <v>48</v>
      </c>
      <c r="Y1639" t="s">
        <v>48</v>
      </c>
      <c r="Z1639">
        <v>0</v>
      </c>
      <c r="AA1639" t="s">
        <v>48</v>
      </c>
      <c r="AB1639" t="s">
        <v>48</v>
      </c>
      <c r="AC1639" t="s">
        <v>49</v>
      </c>
      <c r="AD1639" t="s">
        <v>93</v>
      </c>
      <c r="AE1639" t="s">
        <v>4532</v>
      </c>
      <c r="AF1639" t="s">
        <v>48</v>
      </c>
      <c r="AG1639" t="s">
        <v>48</v>
      </c>
      <c r="AH1639" t="s">
        <v>48</v>
      </c>
      <c r="AI1639" t="s">
        <v>48</v>
      </c>
      <c r="AJ1639" t="s">
        <v>48</v>
      </c>
      <c r="AK1639" t="s">
        <v>48</v>
      </c>
      <c r="AL1639" t="s">
        <v>48</v>
      </c>
      <c r="AM1639" t="s">
        <v>48</v>
      </c>
      <c r="AN1639" t="s">
        <v>48</v>
      </c>
      <c r="AO1639" t="s">
        <v>48</v>
      </c>
      <c r="AP1639" s="46">
        <v>0</v>
      </c>
      <c r="AQ1639" s="46">
        <v>0</v>
      </c>
      <c r="AR1639" s="46">
        <v>0</v>
      </c>
      <c r="AS1639" s="46">
        <v>0</v>
      </c>
      <c r="AT1639" s="46">
        <v>0</v>
      </c>
      <c r="AU1639" s="46">
        <v>0</v>
      </c>
      <c r="AV1639" s="46">
        <v>0</v>
      </c>
      <c r="AW1639" s="46">
        <v>0</v>
      </c>
      <c r="AX1639" s="46">
        <v>0</v>
      </c>
      <c r="AY1639" s="46">
        <v>0</v>
      </c>
      <c r="AZ1639" s="46">
        <v>0</v>
      </c>
      <c r="BA1639" s="46">
        <v>0</v>
      </c>
      <c r="BB1639" s="46">
        <v>0</v>
      </c>
      <c r="BC1639" s="46">
        <v>0</v>
      </c>
      <c r="BD1639" s="46">
        <v>0</v>
      </c>
      <c r="BE1639" s="46">
        <v>0</v>
      </c>
      <c r="BF1639" s="46">
        <v>0</v>
      </c>
      <c r="BG1639" s="46" t="s">
        <v>48</v>
      </c>
      <c r="BH1639" s="46">
        <v>0</v>
      </c>
      <c r="BI1639" s="46">
        <v>0</v>
      </c>
      <c r="BJ1639" s="46">
        <v>0</v>
      </c>
      <c r="BK1639" s="46">
        <v>0</v>
      </c>
      <c r="BL1639" s="46">
        <v>0</v>
      </c>
      <c r="BM1639" s="46">
        <v>0</v>
      </c>
      <c r="BN1639" s="46">
        <v>0</v>
      </c>
    </row>
    <row r="1640" spans="1:66" x14ac:dyDescent="0.35">
      <c r="A1640" t="s">
        <v>2700</v>
      </c>
      <c r="B1640" s="44" t="s">
        <v>48</v>
      </c>
      <c r="C1640" t="s">
        <v>899</v>
      </c>
      <c r="D1640" t="s">
        <v>1544</v>
      </c>
      <c r="E1640" t="s">
        <v>9496</v>
      </c>
      <c r="F1640" t="s">
        <v>2725</v>
      </c>
      <c r="G1640" t="s">
        <v>74</v>
      </c>
      <c r="H1640">
        <v>0</v>
      </c>
      <c r="I1640" s="61">
        <v>44748</v>
      </c>
      <c r="J1640" s="33" t="s">
        <v>45</v>
      </c>
      <c r="K1640" s="46">
        <v>1</v>
      </c>
      <c r="L1640">
        <v>28.8</v>
      </c>
      <c r="M1640" t="s">
        <v>48</v>
      </c>
      <c r="N1640" s="46">
        <v>0</v>
      </c>
      <c r="O1640" s="46">
        <v>0</v>
      </c>
      <c r="P1640" s="46">
        <v>0</v>
      </c>
      <c r="Q1640" t="s">
        <v>48</v>
      </c>
      <c r="R1640" t="s">
        <v>48</v>
      </c>
      <c r="S1640" t="s">
        <v>2701</v>
      </c>
      <c r="T1640" t="s">
        <v>2702</v>
      </c>
      <c r="U1640" t="s">
        <v>2701</v>
      </c>
      <c r="V1640" s="47">
        <v>0</v>
      </c>
      <c r="W1640" t="s">
        <v>48</v>
      </c>
      <c r="X1640" t="s">
        <v>48</v>
      </c>
      <c r="Y1640" t="s">
        <v>48</v>
      </c>
      <c r="Z1640">
        <v>1</v>
      </c>
      <c r="AA1640" t="s">
        <v>48</v>
      </c>
      <c r="AB1640">
        <v>2020</v>
      </c>
      <c r="AC1640" t="s">
        <v>63</v>
      </c>
      <c r="AD1640" t="s">
        <v>93</v>
      </c>
      <c r="AE1640" t="s">
        <v>4532</v>
      </c>
      <c r="AF1640" t="s">
        <v>48</v>
      </c>
      <c r="AG1640" t="s">
        <v>48</v>
      </c>
      <c r="AH1640" t="s">
        <v>48</v>
      </c>
      <c r="AI1640">
        <v>22144</v>
      </c>
      <c r="AJ1640">
        <v>1964</v>
      </c>
      <c r="AK1640" t="s">
        <v>8882</v>
      </c>
      <c r="AL1640" t="s">
        <v>8883</v>
      </c>
      <c r="AM1640">
        <v>-0.627</v>
      </c>
      <c r="AN1640">
        <v>-0.17299999999999999</v>
      </c>
      <c r="AO1640">
        <v>-0.627</v>
      </c>
      <c r="AP1640" s="46">
        <v>1</v>
      </c>
      <c r="AQ1640" s="46">
        <v>1</v>
      </c>
      <c r="AR1640" s="46">
        <v>1</v>
      </c>
      <c r="AS1640" s="46">
        <v>0</v>
      </c>
      <c r="AT1640" s="46">
        <v>1</v>
      </c>
      <c r="AU1640" s="46">
        <v>0</v>
      </c>
      <c r="AV1640" s="46">
        <v>0</v>
      </c>
      <c r="AW1640" s="46">
        <v>0</v>
      </c>
      <c r="AX1640" s="46">
        <v>0</v>
      </c>
      <c r="AY1640" s="46">
        <v>0</v>
      </c>
      <c r="AZ1640" s="46">
        <v>0</v>
      </c>
      <c r="BA1640" s="46">
        <v>0</v>
      </c>
      <c r="BB1640" s="46">
        <v>0</v>
      </c>
      <c r="BC1640" s="46">
        <v>0</v>
      </c>
      <c r="BD1640" s="46">
        <v>0</v>
      </c>
      <c r="BE1640" s="46">
        <v>0</v>
      </c>
      <c r="BF1640" s="46">
        <v>0</v>
      </c>
      <c r="BG1640" s="46" t="s">
        <v>48</v>
      </c>
      <c r="BH1640" s="46">
        <v>0</v>
      </c>
      <c r="BI1640" s="46">
        <v>0</v>
      </c>
      <c r="BJ1640" s="46">
        <v>0</v>
      </c>
      <c r="BK1640" s="46">
        <v>1</v>
      </c>
      <c r="BL1640" s="46">
        <v>0</v>
      </c>
      <c r="BM1640" s="46">
        <v>0</v>
      </c>
      <c r="BN1640" s="46">
        <v>0</v>
      </c>
    </row>
    <row r="1641" spans="1:66" x14ac:dyDescent="0.35">
      <c r="A1641" t="s">
        <v>2732</v>
      </c>
      <c r="B1641" s="44" t="s">
        <v>48</v>
      </c>
      <c r="C1641" t="s">
        <v>2736</v>
      </c>
      <c r="D1641" t="s">
        <v>2735</v>
      </c>
      <c r="E1641" t="s">
        <v>2733</v>
      </c>
      <c r="F1641" t="s">
        <v>2725</v>
      </c>
      <c r="G1641" t="s">
        <v>47</v>
      </c>
      <c r="H1641">
        <v>0</v>
      </c>
      <c r="I1641" s="60" t="s">
        <v>51</v>
      </c>
      <c r="J1641" s="33" t="s">
        <v>45</v>
      </c>
      <c r="K1641" s="46">
        <v>0</v>
      </c>
      <c r="L1641">
        <v>11.4</v>
      </c>
      <c r="M1641" t="s">
        <v>48</v>
      </c>
      <c r="N1641" s="46">
        <v>0</v>
      </c>
      <c r="O1641" s="46">
        <v>0</v>
      </c>
      <c r="P1641" s="46">
        <v>0</v>
      </c>
      <c r="Q1641" t="s">
        <v>48</v>
      </c>
      <c r="R1641" t="s">
        <v>48</v>
      </c>
      <c r="S1641" t="s">
        <v>2734</v>
      </c>
      <c r="T1641" t="s">
        <v>48</v>
      </c>
      <c r="U1641" t="s">
        <v>2734</v>
      </c>
      <c r="V1641" s="47">
        <v>1</v>
      </c>
      <c r="W1641" t="s">
        <v>48</v>
      </c>
      <c r="X1641" t="s">
        <v>48</v>
      </c>
      <c r="Y1641" t="s">
        <v>48</v>
      </c>
      <c r="Z1641">
        <v>0</v>
      </c>
      <c r="AA1641" t="s">
        <v>48</v>
      </c>
      <c r="AB1641" t="s">
        <v>48</v>
      </c>
      <c r="AC1641" t="s">
        <v>63</v>
      </c>
      <c r="AD1641" t="s">
        <v>93</v>
      </c>
      <c r="AE1641" t="s">
        <v>4532</v>
      </c>
      <c r="AF1641" t="s">
        <v>48</v>
      </c>
      <c r="AG1641" t="s">
        <v>48</v>
      </c>
      <c r="AH1641" t="s">
        <v>48</v>
      </c>
      <c r="AI1641" t="s">
        <v>48</v>
      </c>
      <c r="AJ1641" t="s">
        <v>48</v>
      </c>
      <c r="AK1641" t="s">
        <v>48</v>
      </c>
      <c r="AL1641" t="s">
        <v>48</v>
      </c>
      <c r="AM1641" t="s">
        <v>48</v>
      </c>
      <c r="AN1641" t="s">
        <v>48</v>
      </c>
      <c r="AO1641" t="s">
        <v>48</v>
      </c>
      <c r="AP1641" s="46">
        <v>0</v>
      </c>
      <c r="AQ1641" s="46">
        <v>0</v>
      </c>
      <c r="AR1641" s="46">
        <v>0</v>
      </c>
      <c r="AS1641" s="46">
        <v>0</v>
      </c>
      <c r="AT1641" s="46">
        <v>0</v>
      </c>
      <c r="AU1641" s="46">
        <v>0</v>
      </c>
      <c r="AV1641" s="46">
        <v>0</v>
      </c>
      <c r="AW1641" s="46">
        <v>0</v>
      </c>
      <c r="AX1641" s="46">
        <v>0</v>
      </c>
      <c r="AY1641" s="46">
        <v>0</v>
      </c>
      <c r="AZ1641" s="46">
        <v>0</v>
      </c>
      <c r="BA1641" s="46">
        <v>0</v>
      </c>
      <c r="BB1641" s="46">
        <v>0</v>
      </c>
      <c r="BC1641" s="46">
        <v>0</v>
      </c>
      <c r="BD1641" s="46">
        <v>0</v>
      </c>
      <c r="BE1641" s="46">
        <v>0</v>
      </c>
      <c r="BF1641" s="46">
        <v>0</v>
      </c>
      <c r="BG1641" s="46" t="s">
        <v>48</v>
      </c>
      <c r="BH1641" s="46">
        <v>0</v>
      </c>
      <c r="BI1641" s="46">
        <v>0</v>
      </c>
      <c r="BJ1641" s="46">
        <v>0</v>
      </c>
      <c r="BK1641" s="46">
        <v>0</v>
      </c>
      <c r="BL1641" s="46">
        <v>0</v>
      </c>
      <c r="BM1641" s="46">
        <v>0</v>
      </c>
      <c r="BN1641" s="46">
        <v>0</v>
      </c>
    </row>
    <row r="1642" spans="1:66" x14ac:dyDescent="0.35">
      <c r="A1642" t="s">
        <v>9497</v>
      </c>
      <c r="B1642" s="44" t="s">
        <v>48</v>
      </c>
      <c r="C1642" t="s">
        <v>2699</v>
      </c>
      <c r="D1642" t="s">
        <v>210</v>
      </c>
      <c r="E1642" t="s">
        <v>9498</v>
      </c>
      <c r="F1642" t="s">
        <v>2725</v>
      </c>
      <c r="G1642" t="s">
        <v>47</v>
      </c>
      <c r="H1642">
        <v>0</v>
      </c>
      <c r="I1642" s="61">
        <v>44748</v>
      </c>
      <c r="J1642" s="33" t="s">
        <v>45</v>
      </c>
      <c r="K1642" s="46">
        <v>0</v>
      </c>
      <c r="L1642">
        <v>5.8</v>
      </c>
      <c r="M1642" t="s">
        <v>48</v>
      </c>
      <c r="N1642" s="46">
        <v>0</v>
      </c>
      <c r="O1642" s="46">
        <v>0</v>
      </c>
      <c r="P1642" s="46">
        <v>0</v>
      </c>
      <c r="Q1642" t="s">
        <v>48</v>
      </c>
      <c r="R1642" t="s">
        <v>48</v>
      </c>
      <c r="S1642" t="s">
        <v>48</v>
      </c>
      <c r="T1642" t="s">
        <v>48</v>
      </c>
      <c r="U1642" t="s">
        <v>48</v>
      </c>
      <c r="V1642" s="47">
        <v>0</v>
      </c>
      <c r="W1642" t="s">
        <v>48</v>
      </c>
      <c r="X1642" t="s">
        <v>48</v>
      </c>
      <c r="Y1642" t="s">
        <v>48</v>
      </c>
      <c r="Z1642" t="s">
        <v>48</v>
      </c>
      <c r="AA1642" t="s">
        <v>48</v>
      </c>
      <c r="AB1642" t="s">
        <v>48</v>
      </c>
      <c r="AC1642" t="s">
        <v>49</v>
      </c>
      <c r="AD1642" t="s">
        <v>951</v>
      </c>
      <c r="AE1642" t="s">
        <v>11051</v>
      </c>
      <c r="AF1642" t="s">
        <v>48</v>
      </c>
      <c r="AG1642" t="s">
        <v>48</v>
      </c>
      <c r="AH1642" t="s">
        <v>48</v>
      </c>
      <c r="AI1642" t="s">
        <v>48</v>
      </c>
      <c r="AJ1642" t="s">
        <v>48</v>
      </c>
      <c r="AK1642" t="s">
        <v>48</v>
      </c>
      <c r="AL1642" t="s">
        <v>48</v>
      </c>
      <c r="AM1642" t="s">
        <v>48</v>
      </c>
      <c r="AN1642" t="s">
        <v>48</v>
      </c>
      <c r="AO1642" t="s">
        <v>48</v>
      </c>
      <c r="AP1642" s="46">
        <v>0</v>
      </c>
      <c r="AQ1642" s="46">
        <v>0</v>
      </c>
      <c r="AR1642" s="46">
        <v>0</v>
      </c>
      <c r="AS1642" s="46">
        <v>0</v>
      </c>
      <c r="AT1642" s="46">
        <v>0</v>
      </c>
      <c r="AU1642" s="46">
        <v>0</v>
      </c>
      <c r="AV1642" s="46">
        <v>0</v>
      </c>
      <c r="AW1642" s="46">
        <v>0</v>
      </c>
      <c r="AX1642" s="46">
        <v>0</v>
      </c>
      <c r="AY1642" s="46">
        <v>0</v>
      </c>
      <c r="AZ1642" s="46">
        <v>0</v>
      </c>
      <c r="BA1642" s="46">
        <v>0</v>
      </c>
      <c r="BB1642" s="46">
        <v>0</v>
      </c>
      <c r="BC1642" s="46">
        <v>0</v>
      </c>
      <c r="BD1642" s="46">
        <v>0</v>
      </c>
      <c r="BE1642" s="46">
        <v>0</v>
      </c>
      <c r="BF1642" s="46">
        <v>0</v>
      </c>
      <c r="BG1642" s="46" t="s">
        <v>48</v>
      </c>
      <c r="BH1642" s="46">
        <v>0</v>
      </c>
      <c r="BI1642" s="46">
        <v>0</v>
      </c>
      <c r="BJ1642" s="46">
        <v>0</v>
      </c>
      <c r="BK1642" s="46">
        <v>0</v>
      </c>
      <c r="BL1642" s="46">
        <v>0</v>
      </c>
      <c r="BM1642" s="46">
        <v>0</v>
      </c>
      <c r="BN1642" s="46">
        <v>0</v>
      </c>
    </row>
    <row r="1643" spans="1:66" x14ac:dyDescent="0.35">
      <c r="A1643" t="s">
        <v>2740</v>
      </c>
      <c r="B1643" s="44" t="s">
        <v>48</v>
      </c>
      <c r="C1643" t="s">
        <v>2743</v>
      </c>
      <c r="D1643" t="s">
        <v>885</v>
      </c>
      <c r="E1643" t="s">
        <v>2741</v>
      </c>
      <c r="F1643" t="s">
        <v>2725</v>
      </c>
      <c r="G1643" t="s">
        <v>47</v>
      </c>
      <c r="H1643">
        <v>0</v>
      </c>
      <c r="I1643" s="60" t="s">
        <v>125</v>
      </c>
      <c r="J1643" s="33" t="s">
        <v>45</v>
      </c>
      <c r="K1643" s="46">
        <v>0</v>
      </c>
      <c r="L1643">
        <v>6.8</v>
      </c>
      <c r="M1643" t="s">
        <v>48</v>
      </c>
      <c r="N1643" s="46">
        <v>0</v>
      </c>
      <c r="O1643" s="46">
        <v>0</v>
      </c>
      <c r="P1643" s="46">
        <v>0</v>
      </c>
      <c r="Q1643" t="s">
        <v>48</v>
      </c>
      <c r="R1643" t="s">
        <v>48</v>
      </c>
      <c r="S1643" t="s">
        <v>2742</v>
      </c>
      <c r="T1643" t="s">
        <v>48</v>
      </c>
      <c r="U1643" t="s">
        <v>2742</v>
      </c>
      <c r="V1643" s="47">
        <v>1</v>
      </c>
      <c r="W1643" t="s">
        <v>48</v>
      </c>
      <c r="X1643" t="s">
        <v>48</v>
      </c>
      <c r="Y1643" t="s">
        <v>48</v>
      </c>
      <c r="Z1643">
        <v>0</v>
      </c>
      <c r="AA1643" t="s">
        <v>48</v>
      </c>
      <c r="AB1643" t="s">
        <v>48</v>
      </c>
      <c r="AC1643" t="s">
        <v>49</v>
      </c>
      <c r="AD1643" t="s">
        <v>93</v>
      </c>
      <c r="AE1643" t="s">
        <v>4532</v>
      </c>
      <c r="AF1643" t="s">
        <v>48</v>
      </c>
      <c r="AG1643" t="s">
        <v>48</v>
      </c>
      <c r="AH1643" t="s">
        <v>48</v>
      </c>
      <c r="AI1643" t="s">
        <v>48</v>
      </c>
      <c r="AJ1643" t="s">
        <v>48</v>
      </c>
      <c r="AK1643" t="s">
        <v>48</v>
      </c>
      <c r="AL1643" t="s">
        <v>48</v>
      </c>
      <c r="AM1643" t="s">
        <v>48</v>
      </c>
      <c r="AN1643" t="s">
        <v>48</v>
      </c>
      <c r="AO1643" t="s">
        <v>48</v>
      </c>
      <c r="AP1643" s="46">
        <v>0</v>
      </c>
      <c r="AQ1643" s="46">
        <v>0</v>
      </c>
      <c r="AR1643" s="46">
        <v>0</v>
      </c>
      <c r="AS1643" s="46">
        <v>0</v>
      </c>
      <c r="AT1643" s="46">
        <v>0</v>
      </c>
      <c r="AU1643" s="46">
        <v>0</v>
      </c>
      <c r="AV1643" s="46">
        <v>0</v>
      </c>
      <c r="AW1643" s="46">
        <v>0</v>
      </c>
      <c r="AX1643" s="46">
        <v>0</v>
      </c>
      <c r="AY1643" s="46">
        <v>0</v>
      </c>
      <c r="AZ1643" s="46">
        <v>0</v>
      </c>
      <c r="BA1643" s="46">
        <v>0</v>
      </c>
      <c r="BB1643" s="46">
        <v>0</v>
      </c>
      <c r="BC1643" s="46">
        <v>0</v>
      </c>
      <c r="BD1643" s="46">
        <v>0</v>
      </c>
      <c r="BE1643" s="46">
        <v>0</v>
      </c>
      <c r="BF1643" s="46">
        <v>0</v>
      </c>
      <c r="BG1643" s="46" t="s">
        <v>48</v>
      </c>
      <c r="BH1643" s="46">
        <v>0</v>
      </c>
      <c r="BI1643" s="46">
        <v>0</v>
      </c>
      <c r="BJ1643" s="46">
        <v>0</v>
      </c>
      <c r="BK1643" s="46">
        <v>0</v>
      </c>
      <c r="BL1643" s="46">
        <v>0</v>
      </c>
      <c r="BM1643" s="46">
        <v>0</v>
      </c>
      <c r="BN1643" s="46">
        <v>0</v>
      </c>
    </row>
    <row r="1644" spans="1:66" x14ac:dyDescent="0.35">
      <c r="A1644" t="s">
        <v>9499</v>
      </c>
      <c r="B1644" s="44" t="s">
        <v>48</v>
      </c>
      <c r="C1644" t="s">
        <v>5042</v>
      </c>
      <c r="D1644" t="s">
        <v>11917</v>
      </c>
      <c r="E1644" t="s">
        <v>9500</v>
      </c>
      <c r="F1644" t="s">
        <v>2749</v>
      </c>
      <c r="G1644" t="s">
        <v>74</v>
      </c>
      <c r="H1644">
        <v>0</v>
      </c>
      <c r="I1644" s="61">
        <v>44748</v>
      </c>
      <c r="J1644" s="33" t="s">
        <v>45</v>
      </c>
      <c r="K1644" s="46">
        <v>0</v>
      </c>
      <c r="L1644">
        <v>2.4</v>
      </c>
      <c r="M1644" t="s">
        <v>48</v>
      </c>
      <c r="N1644" s="46">
        <v>0</v>
      </c>
      <c r="O1644" s="46">
        <v>0</v>
      </c>
      <c r="P1644" s="46">
        <v>0</v>
      </c>
      <c r="Q1644" t="s">
        <v>48</v>
      </c>
      <c r="R1644" t="s">
        <v>48</v>
      </c>
      <c r="S1644" t="s">
        <v>48</v>
      </c>
      <c r="T1644" t="s">
        <v>48</v>
      </c>
      <c r="U1644" t="s">
        <v>48</v>
      </c>
      <c r="V1644" s="47">
        <v>0</v>
      </c>
      <c r="W1644" t="s">
        <v>48</v>
      </c>
      <c r="X1644" t="s">
        <v>48</v>
      </c>
      <c r="Y1644" t="s">
        <v>48</v>
      </c>
      <c r="Z1644" t="s">
        <v>48</v>
      </c>
      <c r="AA1644" t="s">
        <v>48</v>
      </c>
      <c r="AB1644" t="s">
        <v>48</v>
      </c>
      <c r="AC1644" t="s">
        <v>49</v>
      </c>
      <c r="AD1644" t="s">
        <v>93</v>
      </c>
      <c r="AE1644" t="s">
        <v>2471</v>
      </c>
      <c r="AF1644" t="s">
        <v>48</v>
      </c>
      <c r="AG1644" t="s">
        <v>48</v>
      </c>
      <c r="AH1644" t="s">
        <v>48</v>
      </c>
      <c r="AI1644" t="s">
        <v>48</v>
      </c>
      <c r="AJ1644" t="s">
        <v>48</v>
      </c>
      <c r="AK1644" t="s">
        <v>48</v>
      </c>
      <c r="AL1644" t="s">
        <v>48</v>
      </c>
      <c r="AM1644" t="s">
        <v>48</v>
      </c>
      <c r="AN1644" t="s">
        <v>48</v>
      </c>
      <c r="AO1644" t="s">
        <v>48</v>
      </c>
      <c r="AP1644" s="46">
        <v>0</v>
      </c>
      <c r="AQ1644" s="46">
        <v>0</v>
      </c>
      <c r="AR1644" s="46">
        <v>0</v>
      </c>
      <c r="AS1644" s="46">
        <v>0</v>
      </c>
      <c r="AT1644" s="46">
        <v>0</v>
      </c>
      <c r="AU1644" s="46">
        <v>0</v>
      </c>
      <c r="AV1644" s="46">
        <v>0</v>
      </c>
      <c r="AW1644" s="46">
        <v>0</v>
      </c>
      <c r="AX1644" s="46">
        <v>0</v>
      </c>
      <c r="AY1644" s="46">
        <v>0</v>
      </c>
      <c r="AZ1644" s="46">
        <v>0</v>
      </c>
      <c r="BA1644" s="46">
        <v>0</v>
      </c>
      <c r="BB1644" s="46">
        <v>0</v>
      </c>
      <c r="BC1644" s="46">
        <v>0</v>
      </c>
      <c r="BD1644" s="46">
        <v>0</v>
      </c>
      <c r="BE1644" s="46">
        <v>0</v>
      </c>
      <c r="BF1644" s="46">
        <v>0</v>
      </c>
      <c r="BG1644" s="46" t="s">
        <v>48</v>
      </c>
      <c r="BH1644" s="46">
        <v>0</v>
      </c>
      <c r="BI1644" s="46">
        <v>0</v>
      </c>
      <c r="BJ1644" s="46">
        <v>0</v>
      </c>
      <c r="BK1644" s="46">
        <v>0</v>
      </c>
      <c r="BL1644" s="46">
        <v>0</v>
      </c>
      <c r="BM1644" s="46">
        <v>0</v>
      </c>
      <c r="BN1644" s="46">
        <v>0</v>
      </c>
    </row>
    <row r="1645" spans="1:66" x14ac:dyDescent="0.35">
      <c r="A1645" t="s">
        <v>2748</v>
      </c>
      <c r="B1645" s="44" t="s">
        <v>48</v>
      </c>
      <c r="C1645" t="s">
        <v>1403</v>
      </c>
      <c r="D1645" t="s">
        <v>2752</v>
      </c>
      <c r="E1645" t="s">
        <v>2750</v>
      </c>
      <c r="F1645" t="s">
        <v>2749</v>
      </c>
      <c r="G1645" t="s">
        <v>74</v>
      </c>
      <c r="H1645">
        <v>0</v>
      </c>
      <c r="I1645" s="60" t="s">
        <v>51</v>
      </c>
      <c r="J1645" s="33" t="s">
        <v>45</v>
      </c>
      <c r="K1645" s="46">
        <v>0</v>
      </c>
      <c r="L1645">
        <v>45.5</v>
      </c>
      <c r="M1645" t="s">
        <v>48</v>
      </c>
      <c r="N1645" s="46">
        <v>0</v>
      </c>
      <c r="O1645" s="46">
        <v>0</v>
      </c>
      <c r="P1645" s="46">
        <v>0</v>
      </c>
      <c r="Q1645" t="s">
        <v>48</v>
      </c>
      <c r="R1645" t="s">
        <v>48</v>
      </c>
      <c r="S1645" t="s">
        <v>2751</v>
      </c>
      <c r="T1645" t="s">
        <v>48</v>
      </c>
      <c r="U1645" t="s">
        <v>2751</v>
      </c>
      <c r="V1645" s="47">
        <v>1</v>
      </c>
      <c r="W1645" t="s">
        <v>48</v>
      </c>
      <c r="X1645" t="s">
        <v>48</v>
      </c>
      <c r="Y1645" t="s">
        <v>48</v>
      </c>
      <c r="Z1645">
        <v>0</v>
      </c>
      <c r="AA1645" t="s">
        <v>48</v>
      </c>
      <c r="AB1645" t="s">
        <v>48</v>
      </c>
      <c r="AC1645" t="s">
        <v>63</v>
      </c>
      <c r="AD1645" t="s">
        <v>93</v>
      </c>
      <c r="AE1645" s="40" t="s">
        <v>2471</v>
      </c>
      <c r="AF1645" t="s">
        <v>11061</v>
      </c>
      <c r="AG1645" t="s">
        <v>48</v>
      </c>
      <c r="AH1645" t="s">
        <v>48</v>
      </c>
      <c r="AI1645" t="s">
        <v>48</v>
      </c>
      <c r="AJ1645" t="s">
        <v>48</v>
      </c>
      <c r="AK1645" t="s">
        <v>48</v>
      </c>
      <c r="AL1645" t="s">
        <v>48</v>
      </c>
      <c r="AM1645" t="s">
        <v>48</v>
      </c>
      <c r="AN1645" t="s">
        <v>48</v>
      </c>
      <c r="AO1645" t="s">
        <v>48</v>
      </c>
      <c r="AP1645" s="46">
        <v>1</v>
      </c>
      <c r="AQ1645" s="46">
        <v>0</v>
      </c>
      <c r="AR1645" s="46">
        <v>1</v>
      </c>
      <c r="AS1645" s="46">
        <v>0</v>
      </c>
      <c r="AT1645" s="46">
        <v>0</v>
      </c>
      <c r="AU1645" s="46">
        <v>0</v>
      </c>
      <c r="AV1645" s="46">
        <v>0</v>
      </c>
      <c r="AW1645" s="46">
        <v>0</v>
      </c>
      <c r="AX1645" s="46">
        <v>0</v>
      </c>
      <c r="AY1645" s="46">
        <v>0</v>
      </c>
      <c r="AZ1645" s="46">
        <v>0</v>
      </c>
      <c r="BA1645" s="46">
        <v>0</v>
      </c>
      <c r="BB1645" s="46">
        <v>0</v>
      </c>
      <c r="BC1645" s="46">
        <v>0</v>
      </c>
      <c r="BD1645" s="46">
        <v>0</v>
      </c>
      <c r="BE1645" s="46">
        <v>0</v>
      </c>
      <c r="BF1645" s="46">
        <v>0</v>
      </c>
      <c r="BG1645" s="46" t="s">
        <v>48</v>
      </c>
      <c r="BH1645" s="46">
        <v>0</v>
      </c>
      <c r="BI1645" s="46">
        <v>0</v>
      </c>
      <c r="BJ1645" s="46">
        <v>0</v>
      </c>
      <c r="BK1645" s="46">
        <v>1</v>
      </c>
      <c r="BL1645" s="46">
        <v>0</v>
      </c>
      <c r="BM1645" s="46">
        <v>0</v>
      </c>
      <c r="BN1645" s="46">
        <v>0</v>
      </c>
    </row>
    <row r="1646" spans="1:66" x14ac:dyDescent="0.35">
      <c r="A1646" t="s">
        <v>9501</v>
      </c>
      <c r="B1646" s="44" t="s">
        <v>48</v>
      </c>
      <c r="C1646" t="s">
        <v>11919</v>
      </c>
      <c r="D1646" t="s">
        <v>4353</v>
      </c>
      <c r="E1646" t="s">
        <v>9502</v>
      </c>
      <c r="F1646" t="s">
        <v>2758</v>
      </c>
      <c r="G1646" t="s">
        <v>47</v>
      </c>
      <c r="H1646">
        <v>0</v>
      </c>
      <c r="I1646" s="61">
        <v>44748</v>
      </c>
      <c r="J1646" s="33" t="s">
        <v>45</v>
      </c>
      <c r="K1646" s="46">
        <v>0</v>
      </c>
      <c r="L1646">
        <v>14.1</v>
      </c>
      <c r="M1646" t="s">
        <v>48</v>
      </c>
      <c r="N1646" s="46">
        <v>0</v>
      </c>
      <c r="O1646" s="46">
        <v>0</v>
      </c>
      <c r="P1646" s="46">
        <v>0</v>
      </c>
      <c r="Q1646" t="s">
        <v>48</v>
      </c>
      <c r="R1646" t="s">
        <v>48</v>
      </c>
      <c r="S1646" t="s">
        <v>48</v>
      </c>
      <c r="T1646" t="s">
        <v>48</v>
      </c>
      <c r="U1646" t="s">
        <v>48</v>
      </c>
      <c r="V1646" s="47">
        <v>1</v>
      </c>
      <c r="W1646" t="s">
        <v>48</v>
      </c>
      <c r="X1646" t="s">
        <v>48</v>
      </c>
      <c r="Y1646" t="s">
        <v>48</v>
      </c>
      <c r="Z1646" t="s">
        <v>48</v>
      </c>
      <c r="AA1646" t="s">
        <v>48</v>
      </c>
      <c r="AB1646" t="s">
        <v>48</v>
      </c>
      <c r="AC1646" t="s">
        <v>49</v>
      </c>
      <c r="AD1646" t="s">
        <v>93</v>
      </c>
      <c r="AE1646" t="s">
        <v>4532</v>
      </c>
      <c r="AF1646" t="s">
        <v>48</v>
      </c>
      <c r="AG1646" t="s">
        <v>48</v>
      </c>
      <c r="AH1646" t="s">
        <v>48</v>
      </c>
      <c r="AI1646" t="s">
        <v>48</v>
      </c>
      <c r="AJ1646" t="s">
        <v>48</v>
      </c>
      <c r="AK1646" t="s">
        <v>48</v>
      </c>
      <c r="AL1646" t="s">
        <v>48</v>
      </c>
      <c r="AM1646" t="s">
        <v>48</v>
      </c>
      <c r="AN1646" t="s">
        <v>48</v>
      </c>
      <c r="AO1646" t="s">
        <v>48</v>
      </c>
      <c r="AP1646" s="46">
        <v>0</v>
      </c>
      <c r="AQ1646" s="46">
        <v>0</v>
      </c>
      <c r="AR1646" s="46">
        <v>0</v>
      </c>
      <c r="AS1646" s="46">
        <v>0</v>
      </c>
      <c r="AT1646" s="46">
        <v>0</v>
      </c>
      <c r="AU1646" s="46">
        <v>0</v>
      </c>
      <c r="AV1646" s="46">
        <v>0</v>
      </c>
      <c r="AW1646" s="46">
        <v>0</v>
      </c>
      <c r="AX1646" s="46">
        <v>0</v>
      </c>
      <c r="AY1646" s="46">
        <v>0</v>
      </c>
      <c r="AZ1646" s="46">
        <v>0</v>
      </c>
      <c r="BA1646" s="46">
        <v>0</v>
      </c>
      <c r="BB1646" s="46">
        <v>0</v>
      </c>
      <c r="BC1646" s="46">
        <v>0</v>
      </c>
      <c r="BD1646" s="46">
        <v>0</v>
      </c>
      <c r="BE1646" s="46">
        <v>0</v>
      </c>
      <c r="BF1646" s="46">
        <v>0</v>
      </c>
      <c r="BG1646" s="46" t="s">
        <v>48</v>
      </c>
      <c r="BH1646" s="46">
        <v>0</v>
      </c>
      <c r="BI1646" s="46">
        <v>0</v>
      </c>
      <c r="BJ1646" s="46">
        <v>0</v>
      </c>
      <c r="BK1646" s="46">
        <v>0</v>
      </c>
      <c r="BL1646" s="46">
        <v>0</v>
      </c>
      <c r="BM1646" s="46">
        <v>0</v>
      </c>
      <c r="BN1646" s="46">
        <v>0</v>
      </c>
    </row>
    <row r="1647" spans="1:66" x14ac:dyDescent="0.35">
      <c r="A1647" t="s">
        <v>2757</v>
      </c>
      <c r="B1647" s="44" t="s">
        <v>48</v>
      </c>
      <c r="C1647" t="s">
        <v>2762</v>
      </c>
      <c r="D1647" t="s">
        <v>2761</v>
      </c>
      <c r="E1647" t="s">
        <v>2759</v>
      </c>
      <c r="F1647" t="s">
        <v>2758</v>
      </c>
      <c r="G1647" t="s">
        <v>74</v>
      </c>
      <c r="H1647">
        <v>0</v>
      </c>
      <c r="I1647" s="60" t="s">
        <v>51</v>
      </c>
      <c r="J1647" s="33" t="s">
        <v>45</v>
      </c>
      <c r="K1647" s="46">
        <v>0</v>
      </c>
      <c r="L1647">
        <v>29.5</v>
      </c>
      <c r="M1647" t="s">
        <v>48</v>
      </c>
      <c r="N1647" s="46">
        <v>0</v>
      </c>
      <c r="O1647" s="46">
        <v>0</v>
      </c>
      <c r="P1647" s="46">
        <v>0</v>
      </c>
      <c r="Q1647" t="s">
        <v>48</v>
      </c>
      <c r="R1647" t="s">
        <v>48</v>
      </c>
      <c r="S1647" t="s">
        <v>2760</v>
      </c>
      <c r="T1647" t="s">
        <v>48</v>
      </c>
      <c r="U1647" t="s">
        <v>2760</v>
      </c>
      <c r="V1647" s="47">
        <v>0</v>
      </c>
      <c r="W1647" t="s">
        <v>48</v>
      </c>
      <c r="X1647" t="s">
        <v>48</v>
      </c>
      <c r="Y1647" t="s">
        <v>48</v>
      </c>
      <c r="Z1647">
        <v>0</v>
      </c>
      <c r="AA1647" t="s">
        <v>48</v>
      </c>
      <c r="AB1647" t="s">
        <v>48</v>
      </c>
      <c r="AC1647" t="s">
        <v>49</v>
      </c>
      <c r="AD1647" t="s">
        <v>93</v>
      </c>
      <c r="AE1647" t="s">
        <v>11051</v>
      </c>
      <c r="AF1647" t="s">
        <v>48</v>
      </c>
      <c r="AG1647" t="s">
        <v>48</v>
      </c>
      <c r="AH1647" t="s">
        <v>48</v>
      </c>
      <c r="AI1647" t="s">
        <v>48</v>
      </c>
      <c r="AJ1647" t="s">
        <v>48</v>
      </c>
      <c r="AK1647" t="s">
        <v>48</v>
      </c>
      <c r="AL1647" t="s">
        <v>48</v>
      </c>
      <c r="AM1647" t="s">
        <v>48</v>
      </c>
      <c r="AN1647" t="s">
        <v>48</v>
      </c>
      <c r="AO1647" t="s">
        <v>48</v>
      </c>
      <c r="AP1647" s="46">
        <v>0</v>
      </c>
      <c r="AQ1647" s="46">
        <v>0</v>
      </c>
      <c r="AR1647" s="46">
        <v>0</v>
      </c>
      <c r="AS1647" s="46">
        <v>0</v>
      </c>
      <c r="AT1647" s="46">
        <v>0</v>
      </c>
      <c r="AU1647" s="46">
        <v>0</v>
      </c>
      <c r="AV1647" s="46">
        <v>0</v>
      </c>
      <c r="AW1647" s="46">
        <v>0</v>
      </c>
      <c r="AX1647" s="46">
        <v>0</v>
      </c>
      <c r="AY1647" s="46">
        <v>0</v>
      </c>
      <c r="AZ1647" s="46">
        <v>0</v>
      </c>
      <c r="BA1647" s="46">
        <v>0</v>
      </c>
      <c r="BB1647" s="46">
        <v>0</v>
      </c>
      <c r="BC1647" s="46">
        <v>0</v>
      </c>
      <c r="BD1647" s="46">
        <v>0</v>
      </c>
      <c r="BE1647" s="46">
        <v>0</v>
      </c>
      <c r="BF1647" s="46">
        <v>0</v>
      </c>
      <c r="BG1647" s="46" t="s">
        <v>48</v>
      </c>
      <c r="BH1647" s="46">
        <v>0</v>
      </c>
      <c r="BI1647" s="46">
        <v>0</v>
      </c>
      <c r="BJ1647" s="46">
        <v>0</v>
      </c>
      <c r="BK1647" s="46">
        <v>0</v>
      </c>
      <c r="BL1647" s="46">
        <v>0</v>
      </c>
      <c r="BM1647" s="46">
        <v>0</v>
      </c>
      <c r="BN1647" s="46">
        <v>0</v>
      </c>
    </row>
    <row r="1648" spans="1:66" x14ac:dyDescent="0.35">
      <c r="A1648" t="s">
        <v>2763</v>
      </c>
      <c r="B1648" s="44" t="s">
        <v>48</v>
      </c>
      <c r="C1648" t="s">
        <v>2765</v>
      </c>
      <c r="D1648" t="s">
        <v>1317</v>
      </c>
      <c r="E1648" t="s">
        <v>2764</v>
      </c>
      <c r="F1648" t="s">
        <v>2758</v>
      </c>
      <c r="G1648" t="s">
        <v>47</v>
      </c>
      <c r="H1648">
        <v>0</v>
      </c>
      <c r="I1648" s="60" t="s">
        <v>125</v>
      </c>
      <c r="J1648" s="33" t="s">
        <v>45</v>
      </c>
      <c r="K1648" s="46">
        <v>0</v>
      </c>
      <c r="L1648">
        <v>17.399999999999999</v>
      </c>
      <c r="M1648" t="s">
        <v>48</v>
      </c>
      <c r="N1648" s="46">
        <v>0</v>
      </c>
      <c r="O1648" s="46">
        <v>0</v>
      </c>
      <c r="P1648" s="46">
        <v>0</v>
      </c>
      <c r="Q1648" t="s">
        <v>48</v>
      </c>
      <c r="R1648" t="s">
        <v>48</v>
      </c>
      <c r="S1648" t="s">
        <v>48</v>
      </c>
      <c r="T1648" t="s">
        <v>48</v>
      </c>
      <c r="U1648" t="s">
        <v>48</v>
      </c>
      <c r="V1648" s="47">
        <v>0</v>
      </c>
      <c r="W1648" t="s">
        <v>48</v>
      </c>
      <c r="X1648" t="s">
        <v>48</v>
      </c>
      <c r="Y1648" t="s">
        <v>48</v>
      </c>
      <c r="Z1648">
        <v>0</v>
      </c>
      <c r="AA1648" t="s">
        <v>48</v>
      </c>
      <c r="AB1648" t="s">
        <v>48</v>
      </c>
      <c r="AC1648" t="s">
        <v>63</v>
      </c>
      <c r="AD1648" t="s">
        <v>48</v>
      </c>
      <c r="AE1648" s="40" t="s">
        <v>48</v>
      </c>
      <c r="AF1648" t="s">
        <v>48</v>
      </c>
      <c r="AG1648" t="s">
        <v>48</v>
      </c>
      <c r="AH1648" t="s">
        <v>48</v>
      </c>
      <c r="AI1648" t="s">
        <v>48</v>
      </c>
      <c r="AJ1648" t="s">
        <v>48</v>
      </c>
      <c r="AK1648" t="s">
        <v>48</v>
      </c>
      <c r="AL1648" t="s">
        <v>48</v>
      </c>
      <c r="AM1648" t="s">
        <v>48</v>
      </c>
      <c r="AN1648" t="s">
        <v>48</v>
      </c>
      <c r="AO1648" t="s">
        <v>48</v>
      </c>
      <c r="AP1648" s="46">
        <v>0</v>
      </c>
      <c r="AQ1648" s="46">
        <v>0</v>
      </c>
      <c r="AR1648" s="46">
        <v>0</v>
      </c>
      <c r="AS1648" s="46">
        <v>0</v>
      </c>
      <c r="AT1648" s="46">
        <v>0</v>
      </c>
      <c r="AU1648" s="46">
        <v>0</v>
      </c>
      <c r="AV1648" s="46">
        <v>0</v>
      </c>
      <c r="AW1648" s="46">
        <v>0</v>
      </c>
      <c r="AX1648" s="46">
        <v>0</v>
      </c>
      <c r="AY1648" s="46">
        <v>0</v>
      </c>
      <c r="AZ1648" s="46">
        <v>0</v>
      </c>
      <c r="BA1648" s="46">
        <v>0</v>
      </c>
      <c r="BB1648" s="46">
        <v>0</v>
      </c>
      <c r="BC1648" s="46">
        <v>0</v>
      </c>
      <c r="BD1648" s="46">
        <v>0</v>
      </c>
      <c r="BE1648" s="46">
        <v>0</v>
      </c>
      <c r="BF1648" s="46">
        <v>0</v>
      </c>
      <c r="BG1648" s="46" t="s">
        <v>48</v>
      </c>
      <c r="BH1648" s="46">
        <v>0</v>
      </c>
      <c r="BI1648" s="46">
        <v>0</v>
      </c>
      <c r="BJ1648" s="46">
        <v>0</v>
      </c>
      <c r="BK1648" s="46">
        <v>0</v>
      </c>
      <c r="BL1648" s="46">
        <v>0</v>
      </c>
      <c r="BM1648" s="46">
        <v>0</v>
      </c>
      <c r="BN1648" s="46">
        <v>0</v>
      </c>
    </row>
    <row r="1649" spans="1:66" x14ac:dyDescent="0.35">
      <c r="A1649" t="s">
        <v>2766</v>
      </c>
      <c r="B1649" s="44" t="s">
        <v>48</v>
      </c>
      <c r="C1649" t="s">
        <v>2768</v>
      </c>
      <c r="D1649" t="s">
        <v>367</v>
      </c>
      <c r="E1649" t="s">
        <v>2767</v>
      </c>
      <c r="F1649" t="s">
        <v>2758</v>
      </c>
      <c r="G1649" t="s">
        <v>47</v>
      </c>
      <c r="H1649">
        <v>0</v>
      </c>
      <c r="I1649" s="60" t="s">
        <v>149</v>
      </c>
      <c r="J1649" s="33" t="s">
        <v>45</v>
      </c>
      <c r="K1649" s="46">
        <v>0</v>
      </c>
      <c r="L1649">
        <v>17.600000000000001</v>
      </c>
      <c r="M1649" t="s">
        <v>48</v>
      </c>
      <c r="N1649" s="46">
        <v>0</v>
      </c>
      <c r="O1649" s="46">
        <v>0</v>
      </c>
      <c r="P1649" s="46">
        <v>0</v>
      </c>
      <c r="Q1649" t="s">
        <v>48</v>
      </c>
      <c r="R1649" t="s">
        <v>48</v>
      </c>
      <c r="S1649" t="s">
        <v>48</v>
      </c>
      <c r="T1649" t="s">
        <v>48</v>
      </c>
      <c r="U1649" t="s">
        <v>48</v>
      </c>
      <c r="V1649" s="47">
        <v>1</v>
      </c>
      <c r="W1649" t="s">
        <v>48</v>
      </c>
      <c r="X1649" t="s">
        <v>48</v>
      </c>
      <c r="Y1649" t="s">
        <v>48</v>
      </c>
      <c r="Z1649">
        <v>0</v>
      </c>
      <c r="AA1649" t="s">
        <v>48</v>
      </c>
      <c r="AB1649" t="s">
        <v>48</v>
      </c>
      <c r="AC1649" t="s">
        <v>49</v>
      </c>
      <c r="AD1649" t="s">
        <v>93</v>
      </c>
      <c r="AE1649" t="s">
        <v>4532</v>
      </c>
      <c r="AF1649" t="s">
        <v>48</v>
      </c>
      <c r="AG1649" t="s">
        <v>48</v>
      </c>
      <c r="AH1649" t="s">
        <v>48</v>
      </c>
      <c r="AI1649" t="s">
        <v>48</v>
      </c>
      <c r="AJ1649" t="s">
        <v>48</v>
      </c>
      <c r="AK1649" t="s">
        <v>48</v>
      </c>
      <c r="AL1649" t="s">
        <v>48</v>
      </c>
      <c r="AM1649" t="s">
        <v>48</v>
      </c>
      <c r="AN1649" t="s">
        <v>48</v>
      </c>
      <c r="AO1649" t="s">
        <v>48</v>
      </c>
      <c r="AP1649" s="46">
        <v>0</v>
      </c>
      <c r="AQ1649" s="46">
        <v>0</v>
      </c>
      <c r="AR1649" s="46">
        <v>0</v>
      </c>
      <c r="AS1649" s="46">
        <v>0</v>
      </c>
      <c r="AT1649" s="46">
        <v>0</v>
      </c>
      <c r="AU1649" s="46">
        <v>0</v>
      </c>
      <c r="AV1649" s="46">
        <v>0</v>
      </c>
      <c r="AW1649" s="46">
        <v>0</v>
      </c>
      <c r="AX1649" s="46">
        <v>0</v>
      </c>
      <c r="AY1649" s="46">
        <v>0</v>
      </c>
      <c r="AZ1649" s="46">
        <v>0</v>
      </c>
      <c r="BA1649" s="46">
        <v>0</v>
      </c>
      <c r="BB1649" s="46">
        <v>0</v>
      </c>
      <c r="BC1649" s="46">
        <v>0</v>
      </c>
      <c r="BD1649" s="46">
        <v>0</v>
      </c>
      <c r="BE1649" s="46">
        <v>0</v>
      </c>
      <c r="BF1649" s="46">
        <v>0</v>
      </c>
      <c r="BG1649" s="46" t="s">
        <v>48</v>
      </c>
      <c r="BH1649" s="46">
        <v>0</v>
      </c>
      <c r="BI1649" s="46">
        <v>0</v>
      </c>
      <c r="BJ1649" s="46">
        <v>0</v>
      </c>
      <c r="BK1649" s="46">
        <v>0</v>
      </c>
      <c r="BL1649" s="46">
        <v>0</v>
      </c>
      <c r="BM1649" s="46">
        <v>0</v>
      </c>
      <c r="BN1649" s="46">
        <v>0</v>
      </c>
    </row>
    <row r="1650" spans="1:66" x14ac:dyDescent="0.35">
      <c r="A1650" t="s">
        <v>9505</v>
      </c>
      <c r="B1650" s="44" t="s">
        <v>48</v>
      </c>
      <c r="C1650" t="s">
        <v>1156</v>
      </c>
      <c r="D1650" t="s">
        <v>2990</v>
      </c>
      <c r="E1650" t="s">
        <v>9506</v>
      </c>
      <c r="F1650" t="s">
        <v>2758</v>
      </c>
      <c r="G1650" t="s">
        <v>47</v>
      </c>
      <c r="H1650">
        <v>0</v>
      </c>
      <c r="I1650" s="61">
        <v>44748</v>
      </c>
      <c r="J1650" s="33" t="s">
        <v>45</v>
      </c>
      <c r="K1650" s="46">
        <v>0</v>
      </c>
      <c r="L1650">
        <v>18.899999999999999</v>
      </c>
      <c r="M1650" t="s">
        <v>48</v>
      </c>
      <c r="N1650" s="46">
        <v>0</v>
      </c>
      <c r="O1650" s="46">
        <v>0</v>
      </c>
      <c r="P1650" s="46">
        <v>0</v>
      </c>
      <c r="Q1650" t="s">
        <v>48</v>
      </c>
      <c r="R1650" t="s">
        <v>48</v>
      </c>
      <c r="S1650" t="s">
        <v>48</v>
      </c>
      <c r="T1650" t="s">
        <v>48</v>
      </c>
      <c r="U1650" t="s">
        <v>48</v>
      </c>
      <c r="V1650" s="47">
        <v>1</v>
      </c>
      <c r="W1650" t="s">
        <v>48</v>
      </c>
      <c r="X1650" t="s">
        <v>48</v>
      </c>
      <c r="Y1650" t="s">
        <v>48</v>
      </c>
      <c r="Z1650" t="s">
        <v>48</v>
      </c>
      <c r="AA1650" t="s">
        <v>48</v>
      </c>
      <c r="AB1650" t="s">
        <v>48</v>
      </c>
      <c r="AC1650" t="s">
        <v>49</v>
      </c>
      <c r="AD1650" t="s">
        <v>93</v>
      </c>
      <c r="AE1650" s="40" t="s">
        <v>4532</v>
      </c>
      <c r="AF1650" t="s">
        <v>48</v>
      </c>
      <c r="AG1650" t="s">
        <v>48</v>
      </c>
      <c r="AH1650" t="s">
        <v>48</v>
      </c>
      <c r="AI1650" t="s">
        <v>48</v>
      </c>
      <c r="AJ1650" t="s">
        <v>48</v>
      </c>
      <c r="AK1650" t="s">
        <v>48</v>
      </c>
      <c r="AL1650" t="s">
        <v>48</v>
      </c>
      <c r="AM1650" t="s">
        <v>48</v>
      </c>
      <c r="AN1650" t="s">
        <v>48</v>
      </c>
      <c r="AO1650" t="s">
        <v>48</v>
      </c>
      <c r="AP1650" s="46">
        <v>0</v>
      </c>
      <c r="AQ1650" s="46">
        <v>0</v>
      </c>
      <c r="AR1650" s="46">
        <v>0</v>
      </c>
      <c r="AS1650" s="46">
        <v>0</v>
      </c>
      <c r="AT1650" s="46">
        <v>0</v>
      </c>
      <c r="AU1650" s="46">
        <v>0</v>
      </c>
      <c r="AV1650" s="46">
        <v>0</v>
      </c>
      <c r="AW1650" s="46">
        <v>0</v>
      </c>
      <c r="AX1650" s="46">
        <v>0</v>
      </c>
      <c r="AY1650" s="46">
        <v>0</v>
      </c>
      <c r="AZ1650" s="46">
        <v>0</v>
      </c>
      <c r="BA1650" s="46">
        <v>0</v>
      </c>
      <c r="BB1650" s="46">
        <v>0</v>
      </c>
      <c r="BC1650" s="46">
        <v>0</v>
      </c>
      <c r="BD1650" s="46">
        <v>0</v>
      </c>
      <c r="BE1650" s="46">
        <v>0</v>
      </c>
      <c r="BF1650" s="46">
        <v>0</v>
      </c>
      <c r="BG1650" s="46" t="s">
        <v>48</v>
      </c>
      <c r="BH1650" s="46">
        <v>0</v>
      </c>
      <c r="BI1650" s="46">
        <v>0</v>
      </c>
      <c r="BJ1650" s="46">
        <v>0</v>
      </c>
      <c r="BK1650" s="46">
        <v>0</v>
      </c>
      <c r="BL1650" s="46">
        <v>0</v>
      </c>
      <c r="BM1650" s="46">
        <v>0</v>
      </c>
      <c r="BN1650" s="46">
        <v>0</v>
      </c>
    </row>
    <row r="1651" spans="1:66" x14ac:dyDescent="0.35">
      <c r="A1651" t="s">
        <v>2796</v>
      </c>
      <c r="B1651" s="44" t="s">
        <v>48</v>
      </c>
      <c r="C1651" t="s">
        <v>2800</v>
      </c>
      <c r="D1651" t="s">
        <v>2799</v>
      </c>
      <c r="E1651" t="s">
        <v>2797</v>
      </c>
      <c r="F1651" t="s">
        <v>2788</v>
      </c>
      <c r="G1651" t="s">
        <v>47</v>
      </c>
      <c r="H1651">
        <v>0</v>
      </c>
      <c r="I1651" s="60" t="s">
        <v>125</v>
      </c>
      <c r="J1651" s="33" t="s">
        <v>45</v>
      </c>
      <c r="K1651" s="46">
        <v>0</v>
      </c>
      <c r="L1651">
        <v>6.7</v>
      </c>
      <c r="M1651" t="s">
        <v>48</v>
      </c>
      <c r="N1651" s="46">
        <v>0</v>
      </c>
      <c r="O1651" s="46">
        <v>0</v>
      </c>
      <c r="P1651" s="46">
        <v>0</v>
      </c>
      <c r="Q1651" t="s">
        <v>48</v>
      </c>
      <c r="R1651" t="s">
        <v>48</v>
      </c>
      <c r="S1651" t="s">
        <v>2798</v>
      </c>
      <c r="T1651" t="s">
        <v>48</v>
      </c>
      <c r="U1651" t="s">
        <v>2798</v>
      </c>
      <c r="V1651" s="47">
        <v>0</v>
      </c>
      <c r="W1651" t="s">
        <v>48</v>
      </c>
      <c r="X1651" t="s">
        <v>48</v>
      </c>
      <c r="Y1651" t="s">
        <v>48</v>
      </c>
      <c r="Z1651">
        <v>0</v>
      </c>
      <c r="AA1651" t="s">
        <v>48</v>
      </c>
      <c r="AB1651" t="s">
        <v>48</v>
      </c>
      <c r="AC1651" t="s">
        <v>63</v>
      </c>
      <c r="AD1651" t="s">
        <v>48</v>
      </c>
      <c r="AE1651" t="s">
        <v>48</v>
      </c>
      <c r="AF1651" t="s">
        <v>48</v>
      </c>
      <c r="AG1651" t="s">
        <v>48</v>
      </c>
      <c r="AH1651" t="s">
        <v>48</v>
      </c>
      <c r="AI1651" t="s">
        <v>48</v>
      </c>
      <c r="AJ1651" t="s">
        <v>48</v>
      </c>
      <c r="AK1651" t="s">
        <v>48</v>
      </c>
      <c r="AL1651" t="s">
        <v>48</v>
      </c>
      <c r="AM1651" t="s">
        <v>48</v>
      </c>
      <c r="AN1651" t="s">
        <v>48</v>
      </c>
      <c r="AO1651" t="s">
        <v>48</v>
      </c>
      <c r="AP1651" s="46">
        <v>0</v>
      </c>
      <c r="AQ1651" s="46">
        <v>0</v>
      </c>
      <c r="AR1651" s="46">
        <v>0</v>
      </c>
      <c r="AS1651" s="46">
        <v>0</v>
      </c>
      <c r="AT1651" s="46">
        <v>0</v>
      </c>
      <c r="AU1651" s="46">
        <v>0</v>
      </c>
      <c r="AV1651" s="46">
        <v>0</v>
      </c>
      <c r="AW1651" s="46">
        <v>0</v>
      </c>
      <c r="AX1651" s="46">
        <v>0</v>
      </c>
      <c r="AY1651" s="46">
        <v>0</v>
      </c>
      <c r="AZ1651" s="46">
        <v>0</v>
      </c>
      <c r="BA1651" s="46">
        <v>0</v>
      </c>
      <c r="BB1651" s="46">
        <v>0</v>
      </c>
      <c r="BC1651" s="46">
        <v>0</v>
      </c>
      <c r="BD1651" s="46">
        <v>0</v>
      </c>
      <c r="BE1651" s="46">
        <v>0</v>
      </c>
      <c r="BF1651" s="46">
        <v>0</v>
      </c>
      <c r="BG1651" s="46" t="s">
        <v>48</v>
      </c>
      <c r="BH1651" s="46">
        <v>0</v>
      </c>
      <c r="BI1651" s="46">
        <v>0</v>
      </c>
      <c r="BJ1651" s="46">
        <v>0</v>
      </c>
      <c r="BK1651" s="46">
        <v>0</v>
      </c>
      <c r="BL1651" s="46">
        <v>0</v>
      </c>
      <c r="BM1651" s="46">
        <v>0</v>
      </c>
      <c r="BN1651" s="46">
        <v>0</v>
      </c>
    </row>
    <row r="1652" spans="1:66" x14ac:dyDescent="0.35">
      <c r="A1652" t="s">
        <v>2801</v>
      </c>
      <c r="B1652" s="44" t="s">
        <v>48</v>
      </c>
      <c r="C1652" t="s">
        <v>2185</v>
      </c>
      <c r="D1652" t="s">
        <v>2654</v>
      </c>
      <c r="E1652" t="s">
        <v>2802</v>
      </c>
      <c r="F1652" t="s">
        <v>2788</v>
      </c>
      <c r="G1652" t="s">
        <v>47</v>
      </c>
      <c r="H1652">
        <v>0</v>
      </c>
      <c r="I1652" s="60" t="s">
        <v>125</v>
      </c>
      <c r="J1652" s="33" t="s">
        <v>45</v>
      </c>
      <c r="K1652" s="46">
        <v>0</v>
      </c>
      <c r="L1652">
        <v>7.5</v>
      </c>
      <c r="M1652" t="s">
        <v>48</v>
      </c>
      <c r="N1652" s="46">
        <v>0</v>
      </c>
      <c r="O1652" s="46">
        <v>0</v>
      </c>
      <c r="P1652" s="46">
        <v>0</v>
      </c>
      <c r="Q1652" t="s">
        <v>48</v>
      </c>
      <c r="R1652" t="s">
        <v>48</v>
      </c>
      <c r="S1652" t="s">
        <v>2803</v>
      </c>
      <c r="T1652" t="s">
        <v>48</v>
      </c>
      <c r="U1652" t="s">
        <v>2803</v>
      </c>
      <c r="V1652" s="47">
        <v>0</v>
      </c>
      <c r="W1652" t="s">
        <v>48</v>
      </c>
      <c r="X1652" t="s">
        <v>48</v>
      </c>
      <c r="Y1652" t="s">
        <v>48</v>
      </c>
      <c r="Z1652">
        <v>0</v>
      </c>
      <c r="AA1652" t="s">
        <v>48</v>
      </c>
      <c r="AB1652" t="s">
        <v>48</v>
      </c>
      <c r="AC1652" t="s">
        <v>63</v>
      </c>
      <c r="AD1652" t="s">
        <v>93</v>
      </c>
      <c r="AE1652" t="s">
        <v>4532</v>
      </c>
      <c r="AF1652" t="s">
        <v>48</v>
      </c>
      <c r="AG1652" t="s">
        <v>48</v>
      </c>
      <c r="AH1652" t="s">
        <v>48</v>
      </c>
      <c r="AI1652" t="s">
        <v>48</v>
      </c>
      <c r="AJ1652" t="s">
        <v>48</v>
      </c>
      <c r="AK1652" t="s">
        <v>48</v>
      </c>
      <c r="AL1652" t="s">
        <v>48</v>
      </c>
      <c r="AM1652" t="s">
        <v>48</v>
      </c>
      <c r="AN1652" t="s">
        <v>48</v>
      </c>
      <c r="AO1652" t="s">
        <v>48</v>
      </c>
      <c r="AP1652" s="46">
        <v>0</v>
      </c>
      <c r="AQ1652" s="46">
        <v>0</v>
      </c>
      <c r="AR1652" s="46">
        <v>0</v>
      </c>
      <c r="AS1652" s="46">
        <v>0</v>
      </c>
      <c r="AT1652" s="46">
        <v>0</v>
      </c>
      <c r="AU1652" s="46">
        <v>0</v>
      </c>
      <c r="AV1652" s="46">
        <v>0</v>
      </c>
      <c r="AW1652" s="46">
        <v>0</v>
      </c>
      <c r="AX1652" s="46">
        <v>0</v>
      </c>
      <c r="AY1652" s="46">
        <v>0</v>
      </c>
      <c r="AZ1652" s="46">
        <v>0</v>
      </c>
      <c r="BA1652" s="46">
        <v>0</v>
      </c>
      <c r="BB1652" s="46">
        <v>0</v>
      </c>
      <c r="BC1652" s="46">
        <v>0</v>
      </c>
      <c r="BD1652" s="46">
        <v>0</v>
      </c>
      <c r="BE1652" s="46">
        <v>0</v>
      </c>
      <c r="BF1652" s="46">
        <v>0</v>
      </c>
      <c r="BG1652" s="46" t="s">
        <v>48</v>
      </c>
      <c r="BH1652" s="46">
        <v>0</v>
      </c>
      <c r="BI1652" s="46">
        <v>0</v>
      </c>
      <c r="BJ1652" s="46">
        <v>0</v>
      </c>
      <c r="BK1652" s="46">
        <v>0</v>
      </c>
      <c r="BL1652" s="46">
        <v>0</v>
      </c>
      <c r="BM1652" s="46">
        <v>0</v>
      </c>
      <c r="BN1652" s="46">
        <v>0</v>
      </c>
    </row>
    <row r="1653" spans="1:66" x14ac:dyDescent="0.35">
      <c r="A1653" t="s">
        <v>2787</v>
      </c>
      <c r="B1653" s="44" t="s">
        <v>48</v>
      </c>
      <c r="C1653" t="s">
        <v>50</v>
      </c>
      <c r="D1653" t="s">
        <v>372</v>
      </c>
      <c r="E1653" t="s">
        <v>2789</v>
      </c>
      <c r="F1653" t="s">
        <v>2788</v>
      </c>
      <c r="G1653" t="s">
        <v>47</v>
      </c>
      <c r="H1653">
        <v>0</v>
      </c>
      <c r="I1653" s="60" t="s">
        <v>125</v>
      </c>
      <c r="J1653" s="33" t="s">
        <v>45</v>
      </c>
      <c r="K1653" s="46">
        <v>0</v>
      </c>
      <c r="L1653">
        <v>22.5</v>
      </c>
      <c r="M1653" t="s">
        <v>48</v>
      </c>
      <c r="N1653" s="46">
        <v>0</v>
      </c>
      <c r="O1653" s="46">
        <v>0</v>
      </c>
      <c r="P1653" s="46">
        <v>0</v>
      </c>
      <c r="Q1653" t="s">
        <v>48</v>
      </c>
      <c r="R1653" t="s">
        <v>48</v>
      </c>
      <c r="S1653" t="s">
        <v>2790</v>
      </c>
      <c r="T1653" t="s">
        <v>48</v>
      </c>
      <c r="U1653" t="s">
        <v>2790</v>
      </c>
      <c r="V1653" s="47">
        <v>1</v>
      </c>
      <c r="W1653" t="s">
        <v>48</v>
      </c>
      <c r="X1653" t="s">
        <v>48</v>
      </c>
      <c r="Y1653" t="s">
        <v>48</v>
      </c>
      <c r="Z1653">
        <v>0</v>
      </c>
      <c r="AA1653" t="s">
        <v>48</v>
      </c>
      <c r="AB1653" t="s">
        <v>48</v>
      </c>
      <c r="AC1653" t="s">
        <v>49</v>
      </c>
      <c r="AD1653" t="s">
        <v>93</v>
      </c>
      <c r="AE1653" t="s">
        <v>4532</v>
      </c>
      <c r="AF1653" t="s">
        <v>48</v>
      </c>
      <c r="AG1653" t="s">
        <v>48</v>
      </c>
      <c r="AH1653" t="s">
        <v>48</v>
      </c>
      <c r="AI1653" t="s">
        <v>48</v>
      </c>
      <c r="AJ1653" t="s">
        <v>48</v>
      </c>
      <c r="AK1653" t="s">
        <v>48</v>
      </c>
      <c r="AL1653" t="s">
        <v>48</v>
      </c>
      <c r="AM1653" t="s">
        <v>48</v>
      </c>
      <c r="AN1653" t="s">
        <v>48</v>
      </c>
      <c r="AO1653" t="s">
        <v>48</v>
      </c>
      <c r="AP1653" s="46">
        <v>0</v>
      </c>
      <c r="AQ1653" s="46">
        <v>0</v>
      </c>
      <c r="AR1653" s="46">
        <v>0</v>
      </c>
      <c r="AS1653" s="46">
        <v>0</v>
      </c>
      <c r="AT1653" s="46">
        <v>0</v>
      </c>
      <c r="AU1653" s="46">
        <v>0</v>
      </c>
      <c r="AV1653" s="46">
        <v>0</v>
      </c>
      <c r="AW1653" s="46">
        <v>0</v>
      </c>
      <c r="AX1653" s="46">
        <v>0</v>
      </c>
      <c r="AY1653" s="46">
        <v>0</v>
      </c>
      <c r="AZ1653" s="46">
        <v>0</v>
      </c>
      <c r="BA1653" s="46">
        <v>0</v>
      </c>
      <c r="BB1653" s="46">
        <v>0</v>
      </c>
      <c r="BC1653" s="46">
        <v>0</v>
      </c>
      <c r="BD1653" s="46">
        <v>0</v>
      </c>
      <c r="BE1653" s="46">
        <v>0</v>
      </c>
      <c r="BF1653" s="46">
        <v>0</v>
      </c>
      <c r="BG1653" s="46" t="s">
        <v>48</v>
      </c>
      <c r="BH1653" s="46">
        <v>0</v>
      </c>
      <c r="BI1653" s="46">
        <v>0</v>
      </c>
      <c r="BJ1653" s="46">
        <v>0</v>
      </c>
      <c r="BK1653" s="46">
        <v>0</v>
      </c>
      <c r="BL1653" s="46">
        <v>0</v>
      </c>
      <c r="BM1653" s="46">
        <v>0</v>
      </c>
      <c r="BN1653" s="46">
        <v>0</v>
      </c>
    </row>
    <row r="1654" spans="1:66" x14ac:dyDescent="0.35">
      <c r="A1654" t="s">
        <v>9512</v>
      </c>
      <c r="B1654" s="44" t="s">
        <v>48</v>
      </c>
      <c r="C1654" t="s">
        <v>11921</v>
      </c>
      <c r="D1654" t="s">
        <v>655</v>
      </c>
      <c r="E1654" t="s">
        <v>9513</v>
      </c>
      <c r="F1654" t="s">
        <v>2788</v>
      </c>
      <c r="G1654" t="s">
        <v>47</v>
      </c>
      <c r="H1654">
        <v>0</v>
      </c>
      <c r="I1654" s="61">
        <v>44748</v>
      </c>
      <c r="J1654" s="33" t="s">
        <v>45</v>
      </c>
      <c r="K1654" s="46">
        <v>0</v>
      </c>
      <c r="L1654">
        <v>20.100000000000001</v>
      </c>
      <c r="M1654" t="s">
        <v>48</v>
      </c>
      <c r="N1654" s="46">
        <v>0</v>
      </c>
      <c r="O1654" s="46">
        <v>0</v>
      </c>
      <c r="P1654" s="46">
        <v>0</v>
      </c>
      <c r="Q1654" t="s">
        <v>48</v>
      </c>
      <c r="R1654" t="s">
        <v>48</v>
      </c>
      <c r="S1654" t="s">
        <v>48</v>
      </c>
      <c r="T1654" t="s">
        <v>48</v>
      </c>
      <c r="U1654" t="s">
        <v>48</v>
      </c>
      <c r="V1654" s="47">
        <v>1</v>
      </c>
      <c r="W1654" t="s">
        <v>48</v>
      </c>
      <c r="X1654" t="s">
        <v>48</v>
      </c>
      <c r="Y1654" t="s">
        <v>48</v>
      </c>
      <c r="Z1654" t="s">
        <v>48</v>
      </c>
      <c r="AA1654" t="s">
        <v>48</v>
      </c>
      <c r="AB1654" t="s">
        <v>48</v>
      </c>
      <c r="AC1654" t="s">
        <v>49</v>
      </c>
      <c r="AD1654" t="s">
        <v>93</v>
      </c>
      <c r="AE1654" t="s">
        <v>4532</v>
      </c>
      <c r="AF1654" t="s">
        <v>48</v>
      </c>
      <c r="AG1654" t="s">
        <v>48</v>
      </c>
      <c r="AH1654" t="s">
        <v>48</v>
      </c>
      <c r="AI1654" t="s">
        <v>48</v>
      </c>
      <c r="AJ1654" t="s">
        <v>48</v>
      </c>
      <c r="AK1654" t="s">
        <v>48</v>
      </c>
      <c r="AL1654" t="s">
        <v>48</v>
      </c>
      <c r="AM1654" t="s">
        <v>48</v>
      </c>
      <c r="AN1654" t="s">
        <v>48</v>
      </c>
      <c r="AO1654" t="s">
        <v>48</v>
      </c>
      <c r="AP1654" s="46">
        <v>0</v>
      </c>
      <c r="AQ1654" s="46">
        <v>0</v>
      </c>
      <c r="AR1654" s="46">
        <v>0</v>
      </c>
      <c r="AS1654" s="46">
        <v>0</v>
      </c>
      <c r="AT1654" s="46">
        <v>0</v>
      </c>
      <c r="AU1654" s="46">
        <v>0</v>
      </c>
      <c r="AV1654" s="46">
        <v>0</v>
      </c>
      <c r="AW1654" s="46">
        <v>0</v>
      </c>
      <c r="AX1654" s="46">
        <v>0</v>
      </c>
      <c r="AY1654" s="46">
        <v>0</v>
      </c>
      <c r="AZ1654" s="46">
        <v>0</v>
      </c>
      <c r="BA1654" s="46">
        <v>0</v>
      </c>
      <c r="BB1654" s="46">
        <v>0</v>
      </c>
      <c r="BC1654" s="46">
        <v>0</v>
      </c>
      <c r="BD1654" s="46">
        <v>0</v>
      </c>
      <c r="BE1654" s="46">
        <v>0</v>
      </c>
      <c r="BF1654" s="46">
        <v>0</v>
      </c>
      <c r="BG1654" s="46" t="s">
        <v>48</v>
      </c>
      <c r="BH1654" s="46">
        <v>0</v>
      </c>
      <c r="BI1654" s="46">
        <v>0</v>
      </c>
      <c r="BJ1654" s="46">
        <v>0</v>
      </c>
      <c r="BK1654" s="46">
        <v>0</v>
      </c>
      <c r="BL1654" s="46">
        <v>0</v>
      </c>
      <c r="BM1654" s="46">
        <v>0</v>
      </c>
      <c r="BN1654" s="46">
        <v>0</v>
      </c>
    </row>
    <row r="1655" spans="1:66" x14ac:dyDescent="0.35">
      <c r="A1655" t="s">
        <v>9514</v>
      </c>
      <c r="B1655" s="44" t="s">
        <v>48</v>
      </c>
      <c r="C1655" t="s">
        <v>11922</v>
      </c>
      <c r="D1655" t="s">
        <v>1239</v>
      </c>
      <c r="E1655" t="s">
        <v>9515</v>
      </c>
      <c r="F1655" t="s">
        <v>2788</v>
      </c>
      <c r="G1655" t="s">
        <v>47</v>
      </c>
      <c r="H1655">
        <v>0</v>
      </c>
      <c r="I1655" s="61">
        <v>44748</v>
      </c>
      <c r="J1655" s="33" t="s">
        <v>45</v>
      </c>
      <c r="K1655" s="46">
        <v>0</v>
      </c>
      <c r="L1655">
        <v>12.1</v>
      </c>
      <c r="M1655" t="s">
        <v>48</v>
      </c>
      <c r="N1655" s="46">
        <v>0</v>
      </c>
      <c r="O1655" s="46">
        <v>0</v>
      </c>
      <c r="P1655" s="46">
        <v>0</v>
      </c>
      <c r="Q1655" t="s">
        <v>48</v>
      </c>
      <c r="R1655" t="s">
        <v>48</v>
      </c>
      <c r="S1655" t="s">
        <v>48</v>
      </c>
      <c r="T1655" t="s">
        <v>48</v>
      </c>
      <c r="U1655" t="s">
        <v>48</v>
      </c>
      <c r="V1655" s="47">
        <v>1</v>
      </c>
      <c r="W1655" t="s">
        <v>48</v>
      </c>
      <c r="X1655" t="s">
        <v>48</v>
      </c>
      <c r="Y1655" t="s">
        <v>48</v>
      </c>
      <c r="Z1655" t="s">
        <v>48</v>
      </c>
      <c r="AA1655" t="s">
        <v>48</v>
      </c>
      <c r="AB1655" t="s">
        <v>48</v>
      </c>
      <c r="AC1655" t="s">
        <v>63</v>
      </c>
      <c r="AD1655" t="s">
        <v>93</v>
      </c>
      <c r="AE1655" t="s">
        <v>4532</v>
      </c>
      <c r="AF1655" t="s">
        <v>48</v>
      </c>
      <c r="AG1655" t="s">
        <v>48</v>
      </c>
      <c r="AH1655" t="s">
        <v>48</v>
      </c>
      <c r="AI1655" t="s">
        <v>48</v>
      </c>
      <c r="AJ1655" t="s">
        <v>48</v>
      </c>
      <c r="AK1655" t="s">
        <v>48</v>
      </c>
      <c r="AL1655" t="s">
        <v>48</v>
      </c>
      <c r="AM1655" t="s">
        <v>48</v>
      </c>
      <c r="AN1655" t="s">
        <v>48</v>
      </c>
      <c r="AO1655" t="s">
        <v>48</v>
      </c>
      <c r="AP1655" s="46">
        <v>0</v>
      </c>
      <c r="AQ1655" s="46">
        <v>0</v>
      </c>
      <c r="AR1655" s="46">
        <v>0</v>
      </c>
      <c r="AS1655" s="46">
        <v>0</v>
      </c>
      <c r="AT1655" s="46">
        <v>0</v>
      </c>
      <c r="AU1655" s="46">
        <v>0</v>
      </c>
      <c r="AV1655" s="46">
        <v>0</v>
      </c>
      <c r="AW1655" s="46">
        <v>0</v>
      </c>
      <c r="AX1655" s="46">
        <v>0</v>
      </c>
      <c r="AY1655" s="46">
        <v>0</v>
      </c>
      <c r="AZ1655" s="46">
        <v>0</v>
      </c>
      <c r="BA1655" s="46">
        <v>0</v>
      </c>
      <c r="BB1655" s="46">
        <v>0</v>
      </c>
      <c r="BC1655" s="46">
        <v>0</v>
      </c>
      <c r="BD1655" s="46">
        <v>0</v>
      </c>
      <c r="BE1655" s="46">
        <v>0</v>
      </c>
      <c r="BF1655" s="46">
        <v>0</v>
      </c>
      <c r="BG1655" s="46" t="s">
        <v>48</v>
      </c>
      <c r="BH1655" s="46">
        <v>0</v>
      </c>
      <c r="BI1655" s="46">
        <v>0</v>
      </c>
      <c r="BJ1655" s="46">
        <v>0</v>
      </c>
      <c r="BK1655" s="46">
        <v>0</v>
      </c>
      <c r="BL1655" s="46">
        <v>0</v>
      </c>
      <c r="BM1655" s="46">
        <v>0</v>
      </c>
      <c r="BN1655" s="46">
        <v>0</v>
      </c>
    </row>
    <row r="1656" spans="1:66" x14ac:dyDescent="0.35">
      <c r="A1656" t="s">
        <v>9518</v>
      </c>
      <c r="B1656" s="44" t="s">
        <v>48</v>
      </c>
      <c r="C1656" t="s">
        <v>11925</v>
      </c>
      <c r="D1656" t="s">
        <v>412</v>
      </c>
      <c r="E1656" t="s">
        <v>9519</v>
      </c>
      <c r="F1656" t="s">
        <v>2805</v>
      </c>
      <c r="G1656" t="s">
        <v>74</v>
      </c>
      <c r="H1656">
        <v>0</v>
      </c>
      <c r="I1656" s="61">
        <v>44748</v>
      </c>
      <c r="J1656" s="33" t="s">
        <v>45</v>
      </c>
      <c r="K1656" s="46">
        <v>0</v>
      </c>
      <c r="L1656">
        <v>43.2</v>
      </c>
      <c r="M1656" t="s">
        <v>48</v>
      </c>
      <c r="N1656" s="46">
        <v>0</v>
      </c>
      <c r="O1656" s="46">
        <v>0</v>
      </c>
      <c r="P1656" s="46">
        <v>0</v>
      </c>
      <c r="Q1656" t="s">
        <v>48</v>
      </c>
      <c r="R1656" t="s">
        <v>48</v>
      </c>
      <c r="S1656" t="s">
        <v>48</v>
      </c>
      <c r="T1656" t="s">
        <v>48</v>
      </c>
      <c r="U1656" t="s">
        <v>48</v>
      </c>
      <c r="V1656" s="47">
        <v>1</v>
      </c>
      <c r="W1656" t="s">
        <v>11264</v>
      </c>
      <c r="X1656" t="s">
        <v>48</v>
      </c>
      <c r="Y1656" t="s">
        <v>48</v>
      </c>
      <c r="Z1656" t="s">
        <v>48</v>
      </c>
      <c r="AA1656" t="s">
        <v>48</v>
      </c>
      <c r="AB1656" t="s">
        <v>48</v>
      </c>
      <c r="AC1656" t="s">
        <v>49</v>
      </c>
      <c r="AD1656" t="s">
        <v>48</v>
      </c>
      <c r="AE1656" t="s">
        <v>48</v>
      </c>
      <c r="AF1656" t="s">
        <v>48</v>
      </c>
      <c r="AG1656" t="s">
        <v>48</v>
      </c>
      <c r="AH1656" t="s">
        <v>48</v>
      </c>
      <c r="AI1656" t="s">
        <v>48</v>
      </c>
      <c r="AJ1656" t="s">
        <v>48</v>
      </c>
      <c r="AK1656" t="s">
        <v>48</v>
      </c>
      <c r="AL1656" t="s">
        <v>48</v>
      </c>
      <c r="AM1656" t="s">
        <v>48</v>
      </c>
      <c r="AN1656" t="s">
        <v>48</v>
      </c>
      <c r="AO1656" t="s">
        <v>48</v>
      </c>
      <c r="AP1656" s="46">
        <v>0</v>
      </c>
      <c r="AQ1656" s="46">
        <v>0</v>
      </c>
      <c r="AR1656" s="46">
        <v>0</v>
      </c>
      <c r="AS1656" s="46">
        <v>0</v>
      </c>
      <c r="AT1656" s="46">
        <v>0</v>
      </c>
      <c r="AU1656" s="46">
        <v>0</v>
      </c>
      <c r="AV1656" s="46">
        <v>0</v>
      </c>
      <c r="AW1656" s="46">
        <v>0</v>
      </c>
      <c r="AX1656" s="46">
        <v>0</v>
      </c>
      <c r="AY1656" s="46">
        <v>0</v>
      </c>
      <c r="AZ1656" s="46">
        <v>0</v>
      </c>
      <c r="BA1656" s="46">
        <v>0</v>
      </c>
      <c r="BB1656" s="46">
        <v>0</v>
      </c>
      <c r="BC1656" s="46">
        <v>0</v>
      </c>
      <c r="BD1656" s="46">
        <v>0</v>
      </c>
      <c r="BE1656" s="46">
        <v>0</v>
      </c>
      <c r="BF1656" s="46">
        <v>0</v>
      </c>
      <c r="BG1656" s="46" t="s">
        <v>48</v>
      </c>
      <c r="BH1656" s="46">
        <v>0</v>
      </c>
      <c r="BI1656" s="46">
        <v>0</v>
      </c>
      <c r="BJ1656" s="46">
        <v>0</v>
      </c>
      <c r="BK1656" s="46">
        <v>0</v>
      </c>
      <c r="BL1656" s="46">
        <v>0</v>
      </c>
      <c r="BM1656" s="46">
        <v>0</v>
      </c>
      <c r="BN1656" s="46">
        <v>0</v>
      </c>
    </row>
    <row r="1657" spans="1:66" x14ac:dyDescent="0.35">
      <c r="A1657" t="s">
        <v>2828</v>
      </c>
      <c r="B1657" s="44" t="s">
        <v>48</v>
      </c>
      <c r="C1657" t="s">
        <v>468</v>
      </c>
      <c r="D1657" t="s">
        <v>268</v>
      </c>
      <c r="E1657" t="s">
        <v>2829</v>
      </c>
      <c r="F1657" t="s">
        <v>2812</v>
      </c>
      <c r="G1657" t="s">
        <v>74</v>
      </c>
      <c r="H1657">
        <v>0</v>
      </c>
      <c r="I1657" s="60" t="s">
        <v>51</v>
      </c>
      <c r="J1657" s="33" t="s">
        <v>45</v>
      </c>
      <c r="K1657" s="46">
        <v>0</v>
      </c>
      <c r="L1657">
        <v>24.2</v>
      </c>
      <c r="M1657" t="s">
        <v>48</v>
      </c>
      <c r="N1657" s="46">
        <v>0</v>
      </c>
      <c r="O1657" s="46">
        <v>0</v>
      </c>
      <c r="P1657" s="46">
        <v>0</v>
      </c>
      <c r="Q1657" t="s">
        <v>48</v>
      </c>
      <c r="R1657" t="s">
        <v>48</v>
      </c>
      <c r="S1657" t="s">
        <v>2830</v>
      </c>
      <c r="T1657" t="s">
        <v>48</v>
      </c>
      <c r="U1657" t="s">
        <v>2830</v>
      </c>
      <c r="V1657" s="47">
        <v>0</v>
      </c>
      <c r="W1657" t="s">
        <v>48</v>
      </c>
      <c r="X1657" t="s">
        <v>48</v>
      </c>
      <c r="Y1657" t="s">
        <v>48</v>
      </c>
      <c r="Z1657">
        <v>0</v>
      </c>
      <c r="AA1657" t="s">
        <v>48</v>
      </c>
      <c r="AB1657" t="s">
        <v>48</v>
      </c>
      <c r="AC1657" t="s">
        <v>49</v>
      </c>
      <c r="AD1657" t="s">
        <v>93</v>
      </c>
      <c r="AE1657" s="40" t="s">
        <v>2471</v>
      </c>
      <c r="AF1657" t="s">
        <v>11061</v>
      </c>
      <c r="AG1657" t="s">
        <v>48</v>
      </c>
      <c r="AH1657" t="s">
        <v>48</v>
      </c>
      <c r="AI1657" t="s">
        <v>48</v>
      </c>
      <c r="AJ1657" t="s">
        <v>48</v>
      </c>
      <c r="AK1657" t="s">
        <v>48</v>
      </c>
      <c r="AL1657" t="s">
        <v>48</v>
      </c>
      <c r="AM1657" t="s">
        <v>48</v>
      </c>
      <c r="AN1657" t="s">
        <v>48</v>
      </c>
      <c r="AO1657" t="s">
        <v>48</v>
      </c>
      <c r="AP1657" s="46">
        <v>0</v>
      </c>
      <c r="AQ1657" s="46">
        <v>0</v>
      </c>
      <c r="AR1657" s="46">
        <v>0</v>
      </c>
      <c r="AS1657" s="46">
        <v>0</v>
      </c>
      <c r="AT1657" s="46">
        <v>0</v>
      </c>
      <c r="AU1657" s="46">
        <v>0</v>
      </c>
      <c r="AV1657" s="46">
        <v>0</v>
      </c>
      <c r="AW1657" s="46">
        <v>0</v>
      </c>
      <c r="AX1657" s="46">
        <v>0</v>
      </c>
      <c r="AY1657" s="46">
        <v>0</v>
      </c>
      <c r="AZ1657" s="46">
        <v>0</v>
      </c>
      <c r="BA1657" s="46">
        <v>0</v>
      </c>
      <c r="BB1657" s="46">
        <v>0</v>
      </c>
      <c r="BC1657" s="46">
        <v>0</v>
      </c>
      <c r="BD1657" s="46">
        <v>0</v>
      </c>
      <c r="BE1657" s="46">
        <v>0</v>
      </c>
      <c r="BF1657" s="46">
        <v>0</v>
      </c>
      <c r="BG1657" s="46" t="s">
        <v>48</v>
      </c>
      <c r="BH1657" s="46">
        <v>0</v>
      </c>
      <c r="BI1657" s="46">
        <v>0</v>
      </c>
      <c r="BJ1657" s="46">
        <v>0</v>
      </c>
      <c r="BK1657" s="46">
        <v>0</v>
      </c>
      <c r="BL1657" s="46">
        <v>0</v>
      </c>
      <c r="BM1657" s="46">
        <v>0</v>
      </c>
      <c r="BN1657" s="46">
        <v>0</v>
      </c>
    </row>
    <row r="1658" spans="1:66" x14ac:dyDescent="0.35">
      <c r="A1658" t="s">
        <v>2831</v>
      </c>
      <c r="B1658" s="44" t="s">
        <v>48</v>
      </c>
      <c r="C1658" t="s">
        <v>2834</v>
      </c>
      <c r="D1658" t="s">
        <v>2060</v>
      </c>
      <c r="E1658" t="s">
        <v>2832</v>
      </c>
      <c r="F1658" t="s">
        <v>2812</v>
      </c>
      <c r="G1658" t="s">
        <v>47</v>
      </c>
      <c r="H1658">
        <v>0</v>
      </c>
      <c r="I1658" s="60" t="s">
        <v>11160</v>
      </c>
      <c r="J1658" s="33" t="s">
        <v>45</v>
      </c>
      <c r="K1658" s="46">
        <v>0</v>
      </c>
      <c r="L1658">
        <v>33.1</v>
      </c>
      <c r="M1658" t="s">
        <v>48</v>
      </c>
      <c r="N1658" s="46">
        <v>0</v>
      </c>
      <c r="O1658" s="46">
        <v>0</v>
      </c>
      <c r="P1658" s="46">
        <v>0</v>
      </c>
      <c r="Q1658" t="s">
        <v>48</v>
      </c>
      <c r="R1658" t="s">
        <v>48</v>
      </c>
      <c r="S1658" t="s">
        <v>2833</v>
      </c>
      <c r="T1658" t="s">
        <v>48</v>
      </c>
      <c r="U1658" t="s">
        <v>2833</v>
      </c>
      <c r="V1658" s="47">
        <v>0</v>
      </c>
      <c r="W1658" t="s">
        <v>11318</v>
      </c>
      <c r="X1658" t="s">
        <v>48</v>
      </c>
      <c r="Y1658" t="s">
        <v>48</v>
      </c>
      <c r="Z1658">
        <v>0</v>
      </c>
      <c r="AA1658" t="s">
        <v>48</v>
      </c>
      <c r="AB1658" t="s">
        <v>48</v>
      </c>
      <c r="AC1658" t="s">
        <v>49</v>
      </c>
      <c r="AD1658" t="s">
        <v>93</v>
      </c>
      <c r="AE1658" t="s">
        <v>4532</v>
      </c>
      <c r="AF1658" t="s">
        <v>48</v>
      </c>
      <c r="AG1658" t="s">
        <v>48</v>
      </c>
      <c r="AH1658" t="s">
        <v>48</v>
      </c>
      <c r="AI1658" t="s">
        <v>48</v>
      </c>
      <c r="AJ1658" t="s">
        <v>48</v>
      </c>
      <c r="AK1658" t="s">
        <v>48</v>
      </c>
      <c r="AL1658" t="s">
        <v>48</v>
      </c>
      <c r="AM1658" t="s">
        <v>48</v>
      </c>
      <c r="AN1658" t="s">
        <v>48</v>
      </c>
      <c r="AO1658" t="s">
        <v>48</v>
      </c>
      <c r="AP1658" s="46">
        <v>0</v>
      </c>
      <c r="AQ1658" s="46">
        <v>0</v>
      </c>
      <c r="AR1658" s="46">
        <v>0</v>
      </c>
      <c r="AS1658" s="46">
        <v>0</v>
      </c>
      <c r="AT1658" s="46">
        <v>0</v>
      </c>
      <c r="AU1658" s="46">
        <v>0</v>
      </c>
      <c r="AV1658" s="46">
        <v>0</v>
      </c>
      <c r="AW1658" s="46">
        <v>0</v>
      </c>
      <c r="AX1658" s="46">
        <v>0</v>
      </c>
      <c r="AY1658" s="46">
        <v>0</v>
      </c>
      <c r="AZ1658" s="46">
        <v>0</v>
      </c>
      <c r="BA1658" s="46">
        <v>0</v>
      </c>
      <c r="BB1658" s="46">
        <v>0</v>
      </c>
      <c r="BC1658" s="46">
        <v>0</v>
      </c>
      <c r="BD1658" s="46">
        <v>0</v>
      </c>
      <c r="BE1658" s="46">
        <v>0</v>
      </c>
      <c r="BF1658" s="46">
        <v>0</v>
      </c>
      <c r="BG1658" s="46" t="s">
        <v>48</v>
      </c>
      <c r="BH1658" s="46">
        <v>0</v>
      </c>
      <c r="BI1658" s="46">
        <v>0</v>
      </c>
      <c r="BJ1658" s="46">
        <v>0</v>
      </c>
      <c r="BK1658" s="46">
        <v>0</v>
      </c>
      <c r="BL1658" s="46">
        <v>0</v>
      </c>
      <c r="BM1658" s="46">
        <v>0</v>
      </c>
      <c r="BN1658" s="46">
        <v>0</v>
      </c>
    </row>
    <row r="1659" spans="1:66" x14ac:dyDescent="0.35">
      <c r="A1659" t="s">
        <v>2825</v>
      </c>
      <c r="B1659" s="44" t="s">
        <v>48</v>
      </c>
      <c r="C1659" t="s">
        <v>2827</v>
      </c>
      <c r="D1659" t="s">
        <v>1193</v>
      </c>
      <c r="E1659" t="s">
        <v>2826</v>
      </c>
      <c r="F1659" t="s">
        <v>2812</v>
      </c>
      <c r="G1659" t="s">
        <v>47</v>
      </c>
      <c r="H1659">
        <v>0</v>
      </c>
      <c r="I1659" s="60" t="s">
        <v>125</v>
      </c>
      <c r="J1659" s="33" t="s">
        <v>45</v>
      </c>
      <c r="K1659" s="46">
        <v>0</v>
      </c>
      <c r="L1659">
        <v>23.7</v>
      </c>
      <c r="M1659" t="s">
        <v>48</v>
      </c>
      <c r="N1659" s="46">
        <v>0</v>
      </c>
      <c r="O1659" s="46">
        <v>0</v>
      </c>
      <c r="P1659" s="46">
        <v>0</v>
      </c>
      <c r="Q1659" t="s">
        <v>48</v>
      </c>
      <c r="R1659" t="s">
        <v>48</v>
      </c>
      <c r="S1659" t="s">
        <v>10103</v>
      </c>
      <c r="T1659" t="s">
        <v>48</v>
      </c>
      <c r="U1659" t="s">
        <v>10103</v>
      </c>
      <c r="V1659" s="47">
        <v>0</v>
      </c>
      <c r="W1659" t="s">
        <v>48</v>
      </c>
      <c r="X1659" t="s">
        <v>48</v>
      </c>
      <c r="Y1659" t="s">
        <v>48</v>
      </c>
      <c r="Z1659">
        <v>0</v>
      </c>
      <c r="AA1659" t="s">
        <v>48</v>
      </c>
      <c r="AB1659" t="s">
        <v>48</v>
      </c>
      <c r="AC1659" t="s">
        <v>49</v>
      </c>
      <c r="AD1659" t="s">
        <v>93</v>
      </c>
      <c r="AE1659" t="s">
        <v>4532</v>
      </c>
      <c r="AF1659" t="s">
        <v>48</v>
      </c>
      <c r="AG1659" t="s">
        <v>48</v>
      </c>
      <c r="AH1659" t="s">
        <v>48</v>
      </c>
      <c r="AI1659" t="s">
        <v>48</v>
      </c>
      <c r="AJ1659" t="s">
        <v>48</v>
      </c>
      <c r="AK1659" t="s">
        <v>48</v>
      </c>
      <c r="AL1659" t="s">
        <v>48</v>
      </c>
      <c r="AM1659" t="s">
        <v>48</v>
      </c>
      <c r="AN1659" t="s">
        <v>48</v>
      </c>
      <c r="AO1659" t="s">
        <v>48</v>
      </c>
      <c r="AP1659" s="46">
        <v>0</v>
      </c>
      <c r="AQ1659" s="46">
        <v>0</v>
      </c>
      <c r="AR1659" s="46">
        <v>0</v>
      </c>
      <c r="AS1659" s="46">
        <v>0</v>
      </c>
      <c r="AT1659" s="46">
        <v>0</v>
      </c>
      <c r="AU1659" s="46">
        <v>0</v>
      </c>
      <c r="AV1659" s="46">
        <v>0</v>
      </c>
      <c r="AW1659" s="46">
        <v>0</v>
      </c>
      <c r="AX1659" s="46">
        <v>0</v>
      </c>
      <c r="AY1659" s="46">
        <v>0</v>
      </c>
      <c r="AZ1659" s="46">
        <v>0</v>
      </c>
      <c r="BA1659" s="46">
        <v>0</v>
      </c>
      <c r="BB1659" s="46">
        <v>0</v>
      </c>
      <c r="BC1659" s="46">
        <v>0</v>
      </c>
      <c r="BD1659" s="46">
        <v>0</v>
      </c>
      <c r="BE1659" s="46">
        <v>0</v>
      </c>
      <c r="BF1659" s="46">
        <v>0</v>
      </c>
      <c r="BG1659" s="46" t="s">
        <v>48</v>
      </c>
      <c r="BH1659" s="46">
        <v>0</v>
      </c>
      <c r="BI1659" s="46">
        <v>0</v>
      </c>
      <c r="BJ1659" s="46">
        <v>0</v>
      </c>
      <c r="BK1659" s="46">
        <v>0</v>
      </c>
      <c r="BL1659" s="46">
        <v>0</v>
      </c>
      <c r="BM1659" s="46">
        <v>0</v>
      </c>
      <c r="BN1659" s="46">
        <v>0</v>
      </c>
    </row>
    <row r="1660" spans="1:66" x14ac:dyDescent="0.35">
      <c r="A1660" t="s">
        <v>9520</v>
      </c>
      <c r="B1660" s="44" t="s">
        <v>48</v>
      </c>
      <c r="C1660" t="s">
        <v>772</v>
      </c>
      <c r="D1660" t="s">
        <v>1429</v>
      </c>
      <c r="E1660" t="s">
        <v>9521</v>
      </c>
      <c r="F1660" t="s">
        <v>2812</v>
      </c>
      <c r="G1660" t="s">
        <v>47</v>
      </c>
      <c r="H1660">
        <v>0</v>
      </c>
      <c r="I1660" s="61">
        <v>44748</v>
      </c>
      <c r="J1660" s="33" t="s">
        <v>45</v>
      </c>
      <c r="K1660" s="46">
        <v>0</v>
      </c>
      <c r="L1660">
        <v>8.6</v>
      </c>
      <c r="M1660" t="s">
        <v>48</v>
      </c>
      <c r="N1660" s="46">
        <v>0</v>
      </c>
      <c r="O1660" s="46">
        <v>0</v>
      </c>
      <c r="P1660" s="46">
        <v>0</v>
      </c>
      <c r="Q1660" t="s">
        <v>48</v>
      </c>
      <c r="R1660" t="s">
        <v>48</v>
      </c>
      <c r="S1660" t="s">
        <v>48</v>
      </c>
      <c r="T1660" t="s">
        <v>48</v>
      </c>
      <c r="U1660" t="s">
        <v>48</v>
      </c>
      <c r="V1660" s="47">
        <v>0</v>
      </c>
      <c r="W1660" t="s">
        <v>48</v>
      </c>
      <c r="X1660" t="s">
        <v>48</v>
      </c>
      <c r="Y1660" t="s">
        <v>48</v>
      </c>
      <c r="Z1660" t="s">
        <v>48</v>
      </c>
      <c r="AA1660" t="s">
        <v>48</v>
      </c>
      <c r="AB1660" t="s">
        <v>48</v>
      </c>
      <c r="AC1660" t="s">
        <v>49</v>
      </c>
      <c r="AD1660" t="s">
        <v>93</v>
      </c>
      <c r="AE1660" t="s">
        <v>4532</v>
      </c>
      <c r="AF1660" t="s">
        <v>48</v>
      </c>
      <c r="AG1660" t="s">
        <v>48</v>
      </c>
      <c r="AH1660" t="s">
        <v>48</v>
      </c>
      <c r="AI1660" t="s">
        <v>48</v>
      </c>
      <c r="AJ1660" t="s">
        <v>48</v>
      </c>
      <c r="AK1660" t="s">
        <v>48</v>
      </c>
      <c r="AL1660" t="s">
        <v>48</v>
      </c>
      <c r="AM1660" t="s">
        <v>48</v>
      </c>
      <c r="AN1660" t="s">
        <v>48</v>
      </c>
      <c r="AO1660" t="s">
        <v>48</v>
      </c>
      <c r="AP1660" s="46">
        <v>0</v>
      </c>
      <c r="AQ1660" s="46">
        <v>0</v>
      </c>
      <c r="AR1660" s="46">
        <v>0</v>
      </c>
      <c r="AS1660" s="46">
        <v>0</v>
      </c>
      <c r="AT1660" s="46">
        <v>0</v>
      </c>
      <c r="AU1660" s="46">
        <v>0</v>
      </c>
      <c r="AV1660" s="46">
        <v>0</v>
      </c>
      <c r="AW1660" s="46">
        <v>0</v>
      </c>
      <c r="AX1660" s="46">
        <v>0</v>
      </c>
      <c r="AY1660" s="46">
        <v>0</v>
      </c>
      <c r="AZ1660" s="46">
        <v>0</v>
      </c>
      <c r="BA1660" s="46">
        <v>0</v>
      </c>
      <c r="BB1660" s="46">
        <v>0</v>
      </c>
      <c r="BC1660" s="46">
        <v>0</v>
      </c>
      <c r="BD1660" s="46">
        <v>0</v>
      </c>
      <c r="BE1660" s="46">
        <v>0</v>
      </c>
      <c r="BF1660" s="46">
        <v>0</v>
      </c>
      <c r="BG1660" s="46" t="s">
        <v>48</v>
      </c>
      <c r="BH1660" s="46">
        <v>0</v>
      </c>
      <c r="BI1660" s="46">
        <v>0</v>
      </c>
      <c r="BJ1660" s="46">
        <v>0</v>
      </c>
      <c r="BK1660" s="46">
        <v>0</v>
      </c>
      <c r="BL1660" s="46">
        <v>0</v>
      </c>
      <c r="BM1660" s="46">
        <v>0</v>
      </c>
      <c r="BN1660" s="46">
        <v>0</v>
      </c>
    </row>
    <row r="1661" spans="1:66" x14ac:dyDescent="0.35">
      <c r="A1661" t="s">
        <v>2863</v>
      </c>
      <c r="B1661" s="44" t="s">
        <v>48</v>
      </c>
      <c r="C1661" t="s">
        <v>2865</v>
      </c>
      <c r="D1661" t="s">
        <v>390</v>
      </c>
      <c r="E1661" t="s">
        <v>9522</v>
      </c>
      <c r="F1661" t="s">
        <v>2837</v>
      </c>
      <c r="G1661" t="s">
        <v>47</v>
      </c>
      <c r="H1661">
        <v>0</v>
      </c>
      <c r="I1661" s="61">
        <v>44748</v>
      </c>
      <c r="J1661" s="33" t="s">
        <v>45</v>
      </c>
      <c r="K1661" s="46">
        <v>0</v>
      </c>
      <c r="L1661">
        <v>14.1</v>
      </c>
      <c r="M1661" t="s">
        <v>48</v>
      </c>
      <c r="N1661" s="46">
        <v>0</v>
      </c>
      <c r="O1661" s="46">
        <v>0</v>
      </c>
      <c r="P1661" s="46">
        <v>0</v>
      </c>
      <c r="Q1661" t="s">
        <v>48</v>
      </c>
      <c r="R1661" t="s">
        <v>48</v>
      </c>
      <c r="S1661" t="s">
        <v>2864</v>
      </c>
      <c r="T1661" t="s">
        <v>48</v>
      </c>
      <c r="U1661" t="s">
        <v>2864</v>
      </c>
      <c r="V1661" s="47">
        <v>1</v>
      </c>
      <c r="W1661" t="s">
        <v>48</v>
      </c>
      <c r="X1661" t="s">
        <v>48</v>
      </c>
      <c r="Y1661" t="s">
        <v>48</v>
      </c>
      <c r="Z1661">
        <v>0</v>
      </c>
      <c r="AA1661" t="s">
        <v>48</v>
      </c>
      <c r="AB1661" t="s">
        <v>48</v>
      </c>
      <c r="AC1661" t="s">
        <v>49</v>
      </c>
      <c r="AD1661" t="s">
        <v>93</v>
      </c>
      <c r="AE1661" t="s">
        <v>4532</v>
      </c>
      <c r="AF1661" t="s">
        <v>48</v>
      </c>
      <c r="AG1661" t="s">
        <v>48</v>
      </c>
      <c r="AH1661" t="s">
        <v>48</v>
      </c>
      <c r="AI1661" t="s">
        <v>48</v>
      </c>
      <c r="AJ1661" t="s">
        <v>48</v>
      </c>
      <c r="AK1661" t="s">
        <v>48</v>
      </c>
      <c r="AL1661" t="s">
        <v>48</v>
      </c>
      <c r="AM1661" t="s">
        <v>48</v>
      </c>
      <c r="AN1661" t="s">
        <v>48</v>
      </c>
      <c r="AO1661" t="s">
        <v>48</v>
      </c>
      <c r="AP1661" s="46">
        <v>0</v>
      </c>
      <c r="AQ1661" s="46">
        <v>0</v>
      </c>
      <c r="AR1661" s="46">
        <v>0</v>
      </c>
      <c r="AS1661" s="46">
        <v>0</v>
      </c>
      <c r="AT1661" s="46">
        <v>0</v>
      </c>
      <c r="AU1661" s="46">
        <v>0</v>
      </c>
      <c r="AV1661" s="46">
        <v>0</v>
      </c>
      <c r="AW1661" s="46">
        <v>0</v>
      </c>
      <c r="AX1661" s="46">
        <v>0</v>
      </c>
      <c r="AY1661" s="46">
        <v>0</v>
      </c>
      <c r="AZ1661" s="46">
        <v>0</v>
      </c>
      <c r="BA1661" s="46">
        <v>0</v>
      </c>
      <c r="BB1661" s="46">
        <v>0</v>
      </c>
      <c r="BC1661" s="46">
        <v>0</v>
      </c>
      <c r="BD1661" s="46">
        <v>0</v>
      </c>
      <c r="BE1661" s="46">
        <v>0</v>
      </c>
      <c r="BF1661" s="46">
        <v>0</v>
      </c>
      <c r="BG1661" s="46" t="s">
        <v>48</v>
      </c>
      <c r="BH1661" s="46">
        <v>0</v>
      </c>
      <c r="BI1661" s="46">
        <v>0</v>
      </c>
      <c r="BJ1661" s="46">
        <v>0</v>
      </c>
      <c r="BK1661" s="46">
        <v>0</v>
      </c>
      <c r="BL1661" s="46">
        <v>0</v>
      </c>
      <c r="BM1661" s="46">
        <v>0</v>
      </c>
      <c r="BN1661" s="46">
        <v>0</v>
      </c>
    </row>
    <row r="1662" spans="1:66" x14ac:dyDescent="0.35">
      <c r="A1662" t="s">
        <v>9523</v>
      </c>
      <c r="B1662" s="44" t="s">
        <v>48</v>
      </c>
      <c r="C1662" t="s">
        <v>11926</v>
      </c>
      <c r="D1662" t="s">
        <v>7001</v>
      </c>
      <c r="E1662" t="s">
        <v>9524</v>
      </c>
      <c r="F1662" t="s">
        <v>2837</v>
      </c>
      <c r="G1662" t="s">
        <v>47</v>
      </c>
      <c r="H1662">
        <v>0</v>
      </c>
      <c r="I1662" s="61">
        <v>44748</v>
      </c>
      <c r="J1662" s="33" t="s">
        <v>45</v>
      </c>
      <c r="K1662" s="46">
        <v>0</v>
      </c>
      <c r="L1662">
        <v>10.199999999999999</v>
      </c>
      <c r="M1662" t="s">
        <v>48</v>
      </c>
      <c r="N1662" s="46">
        <v>0</v>
      </c>
      <c r="O1662" s="46">
        <v>0</v>
      </c>
      <c r="P1662" s="46">
        <v>0</v>
      </c>
      <c r="Q1662" t="s">
        <v>48</v>
      </c>
      <c r="R1662" t="s">
        <v>48</v>
      </c>
      <c r="S1662" t="s">
        <v>48</v>
      </c>
      <c r="T1662" t="s">
        <v>48</v>
      </c>
      <c r="U1662" t="s">
        <v>48</v>
      </c>
      <c r="V1662" s="47">
        <v>0</v>
      </c>
      <c r="W1662" t="s">
        <v>48</v>
      </c>
      <c r="X1662" t="s">
        <v>48</v>
      </c>
      <c r="Y1662" t="s">
        <v>48</v>
      </c>
      <c r="Z1662" t="s">
        <v>48</v>
      </c>
      <c r="AA1662" t="s">
        <v>48</v>
      </c>
      <c r="AB1662" t="s">
        <v>48</v>
      </c>
      <c r="AC1662" t="s">
        <v>63</v>
      </c>
      <c r="AD1662" t="s">
        <v>93</v>
      </c>
      <c r="AE1662" t="s">
        <v>4532</v>
      </c>
      <c r="AF1662" t="s">
        <v>48</v>
      </c>
      <c r="AG1662" t="s">
        <v>48</v>
      </c>
      <c r="AH1662" t="s">
        <v>48</v>
      </c>
      <c r="AI1662" t="s">
        <v>48</v>
      </c>
      <c r="AJ1662" t="s">
        <v>48</v>
      </c>
      <c r="AK1662" t="s">
        <v>48</v>
      </c>
      <c r="AL1662" t="s">
        <v>48</v>
      </c>
      <c r="AM1662" t="s">
        <v>48</v>
      </c>
      <c r="AN1662" t="s">
        <v>48</v>
      </c>
      <c r="AO1662" t="s">
        <v>48</v>
      </c>
      <c r="AP1662" s="46">
        <v>0</v>
      </c>
      <c r="AQ1662" s="46">
        <v>0</v>
      </c>
      <c r="AR1662" s="46">
        <v>0</v>
      </c>
      <c r="AS1662" s="46">
        <v>0</v>
      </c>
      <c r="AT1662" s="46">
        <v>0</v>
      </c>
      <c r="AU1662" s="46">
        <v>0</v>
      </c>
      <c r="AV1662" s="46">
        <v>0</v>
      </c>
      <c r="AW1662" s="46">
        <v>0</v>
      </c>
      <c r="AX1662" s="46">
        <v>0</v>
      </c>
      <c r="AY1662" s="46">
        <v>0</v>
      </c>
      <c r="AZ1662" s="46">
        <v>0</v>
      </c>
      <c r="BA1662" s="46">
        <v>0</v>
      </c>
      <c r="BB1662" s="46">
        <v>0</v>
      </c>
      <c r="BC1662" s="46">
        <v>0</v>
      </c>
      <c r="BD1662" s="46">
        <v>0</v>
      </c>
      <c r="BE1662" s="46">
        <v>0</v>
      </c>
      <c r="BF1662" s="46">
        <v>0</v>
      </c>
      <c r="BG1662" s="46" t="s">
        <v>48</v>
      </c>
      <c r="BH1662" s="46">
        <v>0</v>
      </c>
      <c r="BI1662" s="46">
        <v>0</v>
      </c>
      <c r="BJ1662" s="46">
        <v>0</v>
      </c>
      <c r="BK1662" s="46">
        <v>0</v>
      </c>
      <c r="BL1662" s="46">
        <v>0</v>
      </c>
      <c r="BM1662" s="46">
        <v>0</v>
      </c>
      <c r="BN1662" s="46">
        <v>0</v>
      </c>
    </row>
    <row r="1663" spans="1:66" x14ac:dyDescent="0.35">
      <c r="A1663" t="s">
        <v>2844</v>
      </c>
      <c r="B1663" s="44" t="s">
        <v>48</v>
      </c>
      <c r="C1663" t="s">
        <v>2847</v>
      </c>
      <c r="D1663" t="s">
        <v>603</v>
      </c>
      <c r="E1663" t="s">
        <v>2845</v>
      </c>
      <c r="F1663" t="s">
        <v>2837</v>
      </c>
      <c r="G1663" t="s">
        <v>47</v>
      </c>
      <c r="H1663">
        <v>0</v>
      </c>
      <c r="I1663" s="60" t="s">
        <v>675</v>
      </c>
      <c r="J1663" s="33" t="s">
        <v>45</v>
      </c>
      <c r="K1663" s="46">
        <v>0</v>
      </c>
      <c r="L1663">
        <v>24.2</v>
      </c>
      <c r="M1663" t="s">
        <v>48</v>
      </c>
      <c r="N1663" s="46">
        <v>0</v>
      </c>
      <c r="O1663" s="46">
        <v>0</v>
      </c>
      <c r="P1663" s="46">
        <v>0</v>
      </c>
      <c r="Q1663" t="s">
        <v>48</v>
      </c>
      <c r="R1663" t="s">
        <v>48</v>
      </c>
      <c r="S1663" t="s">
        <v>2846</v>
      </c>
      <c r="T1663" t="s">
        <v>48</v>
      </c>
      <c r="U1663" t="s">
        <v>2846</v>
      </c>
      <c r="V1663" s="47">
        <v>0</v>
      </c>
      <c r="W1663" t="s">
        <v>48</v>
      </c>
      <c r="X1663" t="s">
        <v>48</v>
      </c>
      <c r="Y1663" t="s">
        <v>48</v>
      </c>
      <c r="Z1663">
        <v>0</v>
      </c>
      <c r="AA1663" t="s">
        <v>48</v>
      </c>
      <c r="AB1663" t="s">
        <v>48</v>
      </c>
      <c r="AC1663" t="s">
        <v>49</v>
      </c>
      <c r="AD1663" t="s">
        <v>93</v>
      </c>
      <c r="AE1663" t="s">
        <v>4532</v>
      </c>
      <c r="AF1663" t="s">
        <v>48</v>
      </c>
      <c r="AG1663" t="s">
        <v>48</v>
      </c>
      <c r="AH1663" t="s">
        <v>48</v>
      </c>
      <c r="AI1663" t="s">
        <v>48</v>
      </c>
      <c r="AJ1663" t="s">
        <v>48</v>
      </c>
      <c r="AK1663" t="s">
        <v>48</v>
      </c>
      <c r="AL1663" t="s">
        <v>48</v>
      </c>
      <c r="AM1663" t="s">
        <v>48</v>
      </c>
      <c r="AN1663" t="s">
        <v>48</v>
      </c>
      <c r="AO1663" t="s">
        <v>48</v>
      </c>
      <c r="AP1663" s="46">
        <v>0</v>
      </c>
      <c r="AQ1663" s="46">
        <v>0</v>
      </c>
      <c r="AR1663" s="46">
        <v>0</v>
      </c>
      <c r="AS1663" s="46">
        <v>0</v>
      </c>
      <c r="AT1663" s="46">
        <v>0</v>
      </c>
      <c r="AU1663" s="46">
        <v>0</v>
      </c>
      <c r="AV1663" s="46">
        <v>0</v>
      </c>
      <c r="AW1663" s="46">
        <v>0</v>
      </c>
      <c r="AX1663" s="46">
        <v>0</v>
      </c>
      <c r="AY1663" s="46">
        <v>0</v>
      </c>
      <c r="AZ1663" s="46">
        <v>0</v>
      </c>
      <c r="BA1663" s="46">
        <v>0</v>
      </c>
      <c r="BB1663" s="46">
        <v>0</v>
      </c>
      <c r="BC1663" s="46">
        <v>0</v>
      </c>
      <c r="BD1663" s="46">
        <v>0</v>
      </c>
      <c r="BE1663" s="46">
        <v>0</v>
      </c>
      <c r="BF1663" s="46">
        <v>0</v>
      </c>
      <c r="BG1663" s="46" t="s">
        <v>48</v>
      </c>
      <c r="BH1663" s="46">
        <v>0</v>
      </c>
      <c r="BI1663" s="46">
        <v>0</v>
      </c>
      <c r="BJ1663" s="46">
        <v>0</v>
      </c>
      <c r="BK1663" s="46">
        <v>0</v>
      </c>
      <c r="BL1663" s="46">
        <v>0</v>
      </c>
      <c r="BM1663" s="46">
        <v>0</v>
      </c>
      <c r="BN1663" s="46">
        <v>0</v>
      </c>
    </row>
    <row r="1664" spans="1:66" x14ac:dyDescent="0.35">
      <c r="A1664" t="s">
        <v>2840</v>
      </c>
      <c r="B1664" s="44" t="s">
        <v>48</v>
      </c>
      <c r="C1664" t="s">
        <v>2843</v>
      </c>
      <c r="D1664" t="s">
        <v>396</v>
      </c>
      <c r="E1664" t="s">
        <v>2841</v>
      </c>
      <c r="F1664" t="s">
        <v>2837</v>
      </c>
      <c r="G1664" t="s">
        <v>47</v>
      </c>
      <c r="H1664">
        <v>0</v>
      </c>
      <c r="I1664" s="60" t="s">
        <v>149</v>
      </c>
      <c r="J1664" s="33" t="s">
        <v>45</v>
      </c>
      <c r="K1664" s="46">
        <v>0</v>
      </c>
      <c r="L1664">
        <v>20.6</v>
      </c>
      <c r="M1664" t="s">
        <v>48</v>
      </c>
      <c r="N1664" s="46">
        <v>0</v>
      </c>
      <c r="O1664" s="46">
        <v>0</v>
      </c>
      <c r="P1664" s="46">
        <v>0</v>
      </c>
      <c r="Q1664" t="s">
        <v>48</v>
      </c>
      <c r="R1664" t="s">
        <v>48</v>
      </c>
      <c r="S1664" t="s">
        <v>2842</v>
      </c>
      <c r="T1664" t="s">
        <v>48</v>
      </c>
      <c r="U1664" t="s">
        <v>2842</v>
      </c>
      <c r="V1664" s="47">
        <v>0</v>
      </c>
      <c r="W1664" t="s">
        <v>48</v>
      </c>
      <c r="X1664" t="s">
        <v>48</v>
      </c>
      <c r="Y1664" t="s">
        <v>48</v>
      </c>
      <c r="Z1664">
        <v>0</v>
      </c>
      <c r="AA1664" t="s">
        <v>48</v>
      </c>
      <c r="AB1664" t="s">
        <v>48</v>
      </c>
      <c r="AC1664" t="s">
        <v>49</v>
      </c>
      <c r="AD1664" t="s">
        <v>93</v>
      </c>
      <c r="AE1664" t="s">
        <v>4532</v>
      </c>
      <c r="AF1664" t="s">
        <v>48</v>
      </c>
      <c r="AG1664" t="s">
        <v>48</v>
      </c>
      <c r="AH1664" t="s">
        <v>48</v>
      </c>
      <c r="AI1664" t="s">
        <v>48</v>
      </c>
      <c r="AJ1664" t="s">
        <v>48</v>
      </c>
      <c r="AK1664" t="s">
        <v>48</v>
      </c>
      <c r="AL1664" t="s">
        <v>48</v>
      </c>
      <c r="AM1664" t="s">
        <v>48</v>
      </c>
      <c r="AN1664" t="s">
        <v>48</v>
      </c>
      <c r="AO1664" t="s">
        <v>48</v>
      </c>
      <c r="AP1664" s="46">
        <v>0</v>
      </c>
      <c r="AQ1664" s="46">
        <v>0</v>
      </c>
      <c r="AR1664" s="46">
        <v>0</v>
      </c>
      <c r="AS1664" s="46">
        <v>0</v>
      </c>
      <c r="AT1664" s="46">
        <v>0</v>
      </c>
      <c r="AU1664" s="46">
        <v>0</v>
      </c>
      <c r="AV1664" s="46">
        <v>0</v>
      </c>
      <c r="AW1664" s="46">
        <v>0</v>
      </c>
      <c r="AX1664" s="46">
        <v>0</v>
      </c>
      <c r="AY1664" s="46">
        <v>0</v>
      </c>
      <c r="AZ1664" s="46">
        <v>0</v>
      </c>
      <c r="BA1664" s="46">
        <v>0</v>
      </c>
      <c r="BB1664" s="46">
        <v>0</v>
      </c>
      <c r="BC1664" s="46">
        <v>0</v>
      </c>
      <c r="BD1664" s="46">
        <v>0</v>
      </c>
      <c r="BE1664" s="46">
        <v>0</v>
      </c>
      <c r="BF1664" s="46">
        <v>0</v>
      </c>
      <c r="BG1664" s="46" t="s">
        <v>48</v>
      </c>
      <c r="BH1664" s="46">
        <v>0</v>
      </c>
      <c r="BI1664" s="46">
        <v>0</v>
      </c>
      <c r="BJ1664" s="46">
        <v>0</v>
      </c>
      <c r="BK1664" s="46">
        <v>0</v>
      </c>
      <c r="BL1664" s="46">
        <v>0</v>
      </c>
      <c r="BM1664" s="46">
        <v>0</v>
      </c>
      <c r="BN1664" s="46">
        <v>0</v>
      </c>
    </row>
    <row r="1665" spans="1:66" x14ac:dyDescent="0.35">
      <c r="A1665" t="s">
        <v>2817</v>
      </c>
      <c r="B1665" t="s">
        <v>48</v>
      </c>
      <c r="C1665" t="s">
        <v>2437</v>
      </c>
      <c r="D1665" t="s">
        <v>2249</v>
      </c>
      <c r="E1665" t="s">
        <v>9527</v>
      </c>
      <c r="F1665" t="s">
        <v>2854</v>
      </c>
      <c r="G1665" t="s">
        <v>47</v>
      </c>
      <c r="H1665">
        <v>0</v>
      </c>
      <c r="I1665" s="61">
        <v>44748</v>
      </c>
      <c r="J1665" s="33" t="s">
        <v>45</v>
      </c>
      <c r="K1665" s="46">
        <v>1</v>
      </c>
      <c r="L1665">
        <v>42.4</v>
      </c>
      <c r="M1665" t="s">
        <v>48</v>
      </c>
      <c r="N1665" s="46">
        <v>0</v>
      </c>
      <c r="O1665" s="46">
        <v>0</v>
      </c>
      <c r="P1665" s="46">
        <v>0</v>
      </c>
      <c r="Q1665" t="s">
        <v>48</v>
      </c>
      <c r="R1665" t="s">
        <v>48</v>
      </c>
      <c r="S1665" t="s">
        <v>2818</v>
      </c>
      <c r="T1665" t="s">
        <v>2819</v>
      </c>
      <c r="U1665" t="s">
        <v>2818</v>
      </c>
      <c r="V1665" s="47">
        <v>0</v>
      </c>
      <c r="W1665" t="s">
        <v>48</v>
      </c>
      <c r="X1665" t="s">
        <v>48</v>
      </c>
      <c r="Y1665" t="s">
        <v>48</v>
      </c>
      <c r="Z1665">
        <v>0</v>
      </c>
      <c r="AA1665" t="s">
        <v>48</v>
      </c>
      <c r="AB1665">
        <v>2012</v>
      </c>
      <c r="AC1665" t="s">
        <v>49</v>
      </c>
      <c r="AD1665" t="s">
        <v>93</v>
      </c>
      <c r="AE1665" t="s">
        <v>4532</v>
      </c>
      <c r="AF1665" t="s">
        <v>48</v>
      </c>
      <c r="AG1665" t="s">
        <v>140</v>
      </c>
      <c r="AH1665" t="s">
        <v>93</v>
      </c>
      <c r="AI1665">
        <v>21328</v>
      </c>
      <c r="AJ1665">
        <v>1970</v>
      </c>
      <c r="AK1665" t="s">
        <v>8902</v>
      </c>
      <c r="AL1665" t="s">
        <v>8903</v>
      </c>
      <c r="AM1665">
        <v>0.27900000000000003</v>
      </c>
      <c r="AN1665">
        <v>0.16600000000000001</v>
      </c>
      <c r="AO1665">
        <v>0.27900000000000003</v>
      </c>
      <c r="AP1665" s="46">
        <v>0</v>
      </c>
      <c r="AQ1665" s="46">
        <v>0</v>
      </c>
      <c r="AR1665" s="46">
        <v>0</v>
      </c>
      <c r="AS1665" s="46">
        <v>0</v>
      </c>
      <c r="AT1665" s="46">
        <v>0</v>
      </c>
      <c r="AU1665" s="46">
        <v>0</v>
      </c>
      <c r="AV1665" s="46">
        <v>0</v>
      </c>
      <c r="AW1665" s="46">
        <v>0</v>
      </c>
      <c r="AX1665" s="46">
        <v>0</v>
      </c>
      <c r="AY1665" s="46">
        <v>1</v>
      </c>
      <c r="AZ1665" s="46">
        <v>0</v>
      </c>
      <c r="BA1665" s="46">
        <v>0</v>
      </c>
      <c r="BB1665" s="46">
        <v>0</v>
      </c>
      <c r="BC1665" s="46">
        <v>0</v>
      </c>
      <c r="BD1665" s="46">
        <v>0</v>
      </c>
      <c r="BE1665" s="46">
        <v>0</v>
      </c>
      <c r="BF1665" s="46">
        <v>0</v>
      </c>
      <c r="BG1665" s="46" t="s">
        <v>48</v>
      </c>
      <c r="BH1665" s="46">
        <v>0</v>
      </c>
      <c r="BI1665" s="46">
        <v>0</v>
      </c>
      <c r="BJ1665" s="46">
        <v>0</v>
      </c>
      <c r="BK1665" s="46">
        <v>0</v>
      </c>
      <c r="BL1665" s="46">
        <v>0</v>
      </c>
      <c r="BM1665" s="46">
        <v>1</v>
      </c>
      <c r="BN1665" s="46">
        <v>0</v>
      </c>
    </row>
    <row r="1666" spans="1:66" x14ac:dyDescent="0.35">
      <c r="A1666" t="s">
        <v>9529</v>
      </c>
      <c r="B1666" s="44" t="s">
        <v>48</v>
      </c>
      <c r="C1666" t="s">
        <v>11928</v>
      </c>
      <c r="D1666" t="s">
        <v>11929</v>
      </c>
      <c r="E1666" t="s">
        <v>9530</v>
      </c>
      <c r="F1666" t="s">
        <v>2858</v>
      </c>
      <c r="G1666" t="s">
        <v>47</v>
      </c>
      <c r="H1666">
        <v>0</v>
      </c>
      <c r="I1666" s="61">
        <v>44748</v>
      </c>
      <c r="J1666" s="33" t="s">
        <v>45</v>
      </c>
      <c r="K1666" s="46">
        <v>0</v>
      </c>
      <c r="L1666">
        <v>12.3</v>
      </c>
      <c r="M1666" t="s">
        <v>48</v>
      </c>
      <c r="N1666" s="46">
        <v>0</v>
      </c>
      <c r="O1666" s="46">
        <v>0</v>
      </c>
      <c r="P1666" s="46">
        <v>0</v>
      </c>
      <c r="Q1666" t="s">
        <v>48</v>
      </c>
      <c r="R1666" t="s">
        <v>48</v>
      </c>
      <c r="S1666" t="s">
        <v>48</v>
      </c>
      <c r="T1666" t="s">
        <v>48</v>
      </c>
      <c r="U1666" t="s">
        <v>48</v>
      </c>
      <c r="V1666" s="47">
        <v>0</v>
      </c>
      <c r="W1666" t="s">
        <v>48</v>
      </c>
      <c r="X1666" t="s">
        <v>48</v>
      </c>
      <c r="Y1666" t="s">
        <v>48</v>
      </c>
      <c r="Z1666" t="s">
        <v>48</v>
      </c>
      <c r="AA1666" t="s">
        <v>48</v>
      </c>
      <c r="AB1666" t="s">
        <v>48</v>
      </c>
      <c r="AC1666" t="s">
        <v>63</v>
      </c>
      <c r="AD1666" t="s">
        <v>93</v>
      </c>
      <c r="AE1666" t="s">
        <v>2471</v>
      </c>
      <c r="AF1666" t="s">
        <v>48</v>
      </c>
      <c r="AG1666" t="s">
        <v>48</v>
      </c>
      <c r="AH1666" t="s">
        <v>48</v>
      </c>
      <c r="AI1666" t="s">
        <v>48</v>
      </c>
      <c r="AJ1666" t="s">
        <v>48</v>
      </c>
      <c r="AK1666" t="s">
        <v>48</v>
      </c>
      <c r="AL1666" t="s">
        <v>48</v>
      </c>
      <c r="AM1666" t="s">
        <v>48</v>
      </c>
      <c r="AN1666" t="s">
        <v>48</v>
      </c>
      <c r="AO1666" t="s">
        <v>48</v>
      </c>
      <c r="AP1666" s="46">
        <v>0</v>
      </c>
      <c r="AQ1666" s="46">
        <v>0</v>
      </c>
      <c r="AR1666" s="46">
        <v>0</v>
      </c>
      <c r="AS1666" s="46">
        <v>0</v>
      </c>
      <c r="AT1666" s="46">
        <v>0</v>
      </c>
      <c r="AU1666" s="46">
        <v>0</v>
      </c>
      <c r="AV1666" s="46">
        <v>0</v>
      </c>
      <c r="AW1666" s="46">
        <v>0</v>
      </c>
      <c r="AX1666" s="46">
        <v>0</v>
      </c>
      <c r="AY1666" s="46">
        <v>0</v>
      </c>
      <c r="AZ1666" s="46">
        <v>0</v>
      </c>
      <c r="BA1666" s="46">
        <v>0</v>
      </c>
      <c r="BB1666" s="46">
        <v>0</v>
      </c>
      <c r="BC1666" s="46">
        <v>0</v>
      </c>
      <c r="BD1666" s="46">
        <v>0</v>
      </c>
      <c r="BE1666" s="46">
        <v>0</v>
      </c>
      <c r="BF1666" s="46">
        <v>0</v>
      </c>
      <c r="BG1666" s="46" t="s">
        <v>48</v>
      </c>
      <c r="BH1666" s="46">
        <v>0</v>
      </c>
      <c r="BI1666" s="46">
        <v>0</v>
      </c>
      <c r="BJ1666" s="46">
        <v>0</v>
      </c>
      <c r="BK1666" s="46">
        <v>0</v>
      </c>
      <c r="BL1666" s="46">
        <v>0</v>
      </c>
      <c r="BM1666" s="46">
        <v>0</v>
      </c>
      <c r="BN1666" s="46">
        <v>0</v>
      </c>
    </row>
    <row r="1667" spans="1:66" x14ac:dyDescent="0.35">
      <c r="A1667" t="s">
        <v>2867</v>
      </c>
      <c r="B1667" s="44" t="s">
        <v>48</v>
      </c>
      <c r="C1667" t="s">
        <v>2869</v>
      </c>
      <c r="D1667" t="s">
        <v>396</v>
      </c>
      <c r="E1667" t="s">
        <v>2868</v>
      </c>
      <c r="F1667" t="s">
        <v>2858</v>
      </c>
      <c r="G1667" t="s">
        <v>47</v>
      </c>
      <c r="H1667">
        <v>0</v>
      </c>
      <c r="I1667" s="60" t="s">
        <v>51</v>
      </c>
      <c r="J1667" s="33" t="s">
        <v>45</v>
      </c>
      <c r="K1667" s="46">
        <v>0</v>
      </c>
      <c r="L1667">
        <v>8.1</v>
      </c>
      <c r="M1667" t="s">
        <v>48</v>
      </c>
      <c r="N1667" s="46">
        <v>0</v>
      </c>
      <c r="O1667" s="46">
        <v>0</v>
      </c>
      <c r="P1667" s="46">
        <v>0</v>
      </c>
      <c r="Q1667" t="s">
        <v>48</v>
      </c>
      <c r="R1667" t="s">
        <v>48</v>
      </c>
      <c r="S1667" t="s">
        <v>48</v>
      </c>
      <c r="T1667" t="s">
        <v>48</v>
      </c>
      <c r="U1667" t="s">
        <v>48</v>
      </c>
      <c r="V1667" s="47">
        <v>1</v>
      </c>
      <c r="W1667" t="s">
        <v>48</v>
      </c>
      <c r="X1667" t="s">
        <v>48</v>
      </c>
      <c r="Y1667" t="s">
        <v>48</v>
      </c>
      <c r="Z1667">
        <v>0</v>
      </c>
      <c r="AA1667" t="s">
        <v>48</v>
      </c>
      <c r="AB1667" t="s">
        <v>48</v>
      </c>
      <c r="AC1667" t="s">
        <v>49</v>
      </c>
      <c r="AD1667" t="s">
        <v>93</v>
      </c>
      <c r="AE1667" t="s">
        <v>4532</v>
      </c>
      <c r="AF1667" t="s">
        <v>48</v>
      </c>
      <c r="AG1667" t="s">
        <v>48</v>
      </c>
      <c r="AH1667" t="s">
        <v>48</v>
      </c>
      <c r="AI1667" t="s">
        <v>48</v>
      </c>
      <c r="AJ1667" t="s">
        <v>48</v>
      </c>
      <c r="AK1667" t="s">
        <v>48</v>
      </c>
      <c r="AL1667" t="s">
        <v>48</v>
      </c>
      <c r="AM1667" t="s">
        <v>48</v>
      </c>
      <c r="AN1667" t="s">
        <v>48</v>
      </c>
      <c r="AO1667" t="s">
        <v>48</v>
      </c>
      <c r="AP1667" s="46">
        <v>0</v>
      </c>
      <c r="AQ1667" s="46">
        <v>0</v>
      </c>
      <c r="AR1667" s="46">
        <v>0</v>
      </c>
      <c r="AS1667" s="46">
        <v>0</v>
      </c>
      <c r="AT1667" s="46">
        <v>0</v>
      </c>
      <c r="AU1667" s="46">
        <v>0</v>
      </c>
      <c r="AV1667" s="46">
        <v>0</v>
      </c>
      <c r="AW1667" s="46">
        <v>0</v>
      </c>
      <c r="AX1667" s="46">
        <v>0</v>
      </c>
      <c r="AY1667" s="46">
        <v>0</v>
      </c>
      <c r="AZ1667" s="46">
        <v>0</v>
      </c>
      <c r="BA1667" s="46">
        <v>0</v>
      </c>
      <c r="BB1667" s="46">
        <v>0</v>
      </c>
      <c r="BC1667" s="46">
        <v>0</v>
      </c>
      <c r="BD1667" s="46">
        <v>0</v>
      </c>
      <c r="BE1667" s="46">
        <v>0</v>
      </c>
      <c r="BF1667" s="46">
        <v>0</v>
      </c>
      <c r="BG1667" s="46" t="s">
        <v>48</v>
      </c>
      <c r="BH1667" s="46">
        <v>0</v>
      </c>
      <c r="BI1667" s="46">
        <v>0</v>
      </c>
      <c r="BJ1667" s="46">
        <v>0</v>
      </c>
      <c r="BK1667" s="46">
        <v>0</v>
      </c>
      <c r="BL1667" s="46">
        <v>0</v>
      </c>
      <c r="BM1667" s="46">
        <v>0</v>
      </c>
      <c r="BN1667" s="46">
        <v>0</v>
      </c>
    </row>
    <row r="1668" spans="1:66" x14ac:dyDescent="0.35">
      <c r="A1668" t="s">
        <v>9531</v>
      </c>
      <c r="B1668" s="44" t="s">
        <v>48</v>
      </c>
      <c r="C1668" t="s">
        <v>1054</v>
      </c>
      <c r="D1668" t="s">
        <v>11931</v>
      </c>
      <c r="E1668" t="s">
        <v>9532</v>
      </c>
      <c r="F1668" t="s">
        <v>2858</v>
      </c>
      <c r="G1668" t="s">
        <v>47</v>
      </c>
      <c r="H1668">
        <v>0</v>
      </c>
      <c r="I1668" s="61">
        <v>44748</v>
      </c>
      <c r="J1668" s="33" t="s">
        <v>45</v>
      </c>
      <c r="K1668" s="46">
        <v>0</v>
      </c>
      <c r="L1668">
        <v>13.3</v>
      </c>
      <c r="M1668" t="s">
        <v>48</v>
      </c>
      <c r="N1668" s="46">
        <v>0</v>
      </c>
      <c r="O1668" s="46">
        <v>0</v>
      </c>
      <c r="P1668" s="46">
        <v>0</v>
      </c>
      <c r="Q1668" t="s">
        <v>48</v>
      </c>
      <c r="R1668" t="s">
        <v>48</v>
      </c>
      <c r="S1668" t="s">
        <v>48</v>
      </c>
      <c r="T1668" t="s">
        <v>48</v>
      </c>
      <c r="U1668" t="s">
        <v>48</v>
      </c>
      <c r="V1668" s="47">
        <v>0</v>
      </c>
      <c r="W1668" t="s">
        <v>48</v>
      </c>
      <c r="X1668" t="s">
        <v>48</v>
      </c>
      <c r="Y1668" t="s">
        <v>48</v>
      </c>
      <c r="Z1668" t="s">
        <v>48</v>
      </c>
      <c r="AA1668" t="s">
        <v>48</v>
      </c>
      <c r="AB1668" t="s">
        <v>48</v>
      </c>
      <c r="AC1668" t="s">
        <v>49</v>
      </c>
      <c r="AD1668" t="s">
        <v>93</v>
      </c>
      <c r="AE1668" t="s">
        <v>4532</v>
      </c>
      <c r="AF1668" t="s">
        <v>48</v>
      </c>
      <c r="AG1668" t="s">
        <v>48</v>
      </c>
      <c r="AH1668" t="s">
        <v>48</v>
      </c>
      <c r="AI1668" t="s">
        <v>48</v>
      </c>
      <c r="AJ1668" t="s">
        <v>48</v>
      </c>
      <c r="AK1668" t="s">
        <v>48</v>
      </c>
      <c r="AL1668" t="s">
        <v>48</v>
      </c>
      <c r="AM1668" t="s">
        <v>48</v>
      </c>
      <c r="AN1668" t="s">
        <v>48</v>
      </c>
      <c r="AO1668" t="s">
        <v>48</v>
      </c>
      <c r="AP1668" s="46">
        <v>0</v>
      </c>
      <c r="AQ1668" s="46">
        <v>0</v>
      </c>
      <c r="AR1668" s="46">
        <v>0</v>
      </c>
      <c r="AS1668" s="46">
        <v>0</v>
      </c>
      <c r="AT1668" s="46">
        <v>0</v>
      </c>
      <c r="AU1668" s="46">
        <v>0</v>
      </c>
      <c r="AV1668" s="46">
        <v>0</v>
      </c>
      <c r="AW1668" s="46">
        <v>0</v>
      </c>
      <c r="AX1668" s="46">
        <v>0</v>
      </c>
      <c r="AY1668" s="46">
        <v>0</v>
      </c>
      <c r="AZ1668" s="46">
        <v>0</v>
      </c>
      <c r="BA1668" s="46">
        <v>0</v>
      </c>
      <c r="BB1668" s="46">
        <v>0</v>
      </c>
      <c r="BC1668" s="46">
        <v>0</v>
      </c>
      <c r="BD1668" s="46">
        <v>0</v>
      </c>
      <c r="BE1668" s="46">
        <v>0</v>
      </c>
      <c r="BF1668" s="46">
        <v>0</v>
      </c>
      <c r="BG1668" s="46" t="s">
        <v>48</v>
      </c>
      <c r="BH1668" s="46">
        <v>0</v>
      </c>
      <c r="BI1668" s="46">
        <v>0</v>
      </c>
      <c r="BJ1668" s="46">
        <v>0</v>
      </c>
      <c r="BK1668" s="46">
        <v>0</v>
      </c>
      <c r="BL1668" s="46">
        <v>0</v>
      </c>
      <c r="BM1668" s="46">
        <v>0</v>
      </c>
      <c r="BN1668" s="46">
        <v>0</v>
      </c>
    </row>
    <row r="1669" spans="1:66" x14ac:dyDescent="0.35">
      <c r="A1669" t="s">
        <v>2892</v>
      </c>
      <c r="B1669" s="44" t="s">
        <v>48</v>
      </c>
      <c r="C1669" t="s">
        <v>2896</v>
      </c>
      <c r="D1669" t="s">
        <v>2895</v>
      </c>
      <c r="E1669" t="s">
        <v>2893</v>
      </c>
      <c r="F1669" t="s">
        <v>2875</v>
      </c>
      <c r="G1669" t="s">
        <v>74</v>
      </c>
      <c r="H1669">
        <v>0</v>
      </c>
      <c r="I1669" s="60" t="s">
        <v>716</v>
      </c>
      <c r="J1669" s="33" t="s">
        <v>45</v>
      </c>
      <c r="K1669" s="46">
        <v>0</v>
      </c>
      <c r="L1669">
        <v>12.4</v>
      </c>
      <c r="M1669" t="s">
        <v>48</v>
      </c>
      <c r="N1669" s="46">
        <v>0</v>
      </c>
      <c r="O1669" s="46">
        <v>0</v>
      </c>
      <c r="P1669" s="46">
        <v>0</v>
      </c>
      <c r="Q1669" t="s">
        <v>48</v>
      </c>
      <c r="R1669" t="s">
        <v>48</v>
      </c>
      <c r="S1669" t="s">
        <v>2894</v>
      </c>
      <c r="T1669" t="s">
        <v>48</v>
      </c>
      <c r="U1669" t="s">
        <v>2894</v>
      </c>
      <c r="V1669" s="47">
        <v>0</v>
      </c>
      <c r="W1669" t="s">
        <v>48</v>
      </c>
      <c r="X1669" t="s">
        <v>48</v>
      </c>
      <c r="Y1669" t="s">
        <v>48</v>
      </c>
      <c r="Z1669">
        <v>0</v>
      </c>
      <c r="AA1669" t="s">
        <v>48</v>
      </c>
      <c r="AB1669" t="s">
        <v>48</v>
      </c>
      <c r="AC1669" t="s">
        <v>63</v>
      </c>
      <c r="AD1669" t="s">
        <v>93</v>
      </c>
      <c r="AE1669" t="s">
        <v>4532</v>
      </c>
      <c r="AF1669" t="s">
        <v>48</v>
      </c>
      <c r="AG1669" t="s">
        <v>48</v>
      </c>
      <c r="AH1669" t="s">
        <v>48</v>
      </c>
      <c r="AI1669" t="s">
        <v>48</v>
      </c>
      <c r="AJ1669" t="s">
        <v>48</v>
      </c>
      <c r="AK1669" t="s">
        <v>48</v>
      </c>
      <c r="AL1669" t="s">
        <v>48</v>
      </c>
      <c r="AM1669" t="s">
        <v>48</v>
      </c>
      <c r="AN1669" t="s">
        <v>48</v>
      </c>
      <c r="AO1669" t="s">
        <v>48</v>
      </c>
      <c r="AP1669" s="46">
        <v>0</v>
      </c>
      <c r="AQ1669" s="46">
        <v>0</v>
      </c>
      <c r="AR1669" s="46">
        <v>0</v>
      </c>
      <c r="AS1669" s="46">
        <v>0</v>
      </c>
      <c r="AT1669" s="46">
        <v>0</v>
      </c>
      <c r="AU1669" s="46">
        <v>0</v>
      </c>
      <c r="AV1669" s="46">
        <v>0</v>
      </c>
      <c r="AW1669" s="46">
        <v>0</v>
      </c>
      <c r="AX1669" s="46">
        <v>0</v>
      </c>
      <c r="AY1669" s="46">
        <v>0</v>
      </c>
      <c r="AZ1669" s="46">
        <v>0</v>
      </c>
      <c r="BA1669" s="46">
        <v>0</v>
      </c>
      <c r="BB1669" s="46">
        <v>0</v>
      </c>
      <c r="BC1669" s="46">
        <v>0</v>
      </c>
      <c r="BD1669" s="46">
        <v>0</v>
      </c>
      <c r="BE1669" s="46">
        <v>0</v>
      </c>
      <c r="BF1669" s="46">
        <v>0</v>
      </c>
      <c r="BG1669" s="46" t="s">
        <v>48</v>
      </c>
      <c r="BH1669" s="46">
        <v>0</v>
      </c>
      <c r="BI1669" s="46">
        <v>0</v>
      </c>
      <c r="BJ1669" s="46">
        <v>0</v>
      </c>
      <c r="BK1669" s="46">
        <v>0</v>
      </c>
      <c r="BL1669" s="46">
        <v>0</v>
      </c>
      <c r="BM1669" s="46">
        <v>0</v>
      </c>
      <c r="BN1669" s="46">
        <v>0</v>
      </c>
    </row>
    <row r="1670" spans="1:66" x14ac:dyDescent="0.35">
      <c r="A1670" t="s">
        <v>2877</v>
      </c>
      <c r="B1670" s="44" t="s">
        <v>48</v>
      </c>
      <c r="C1670" t="s">
        <v>2879</v>
      </c>
      <c r="D1670" t="s">
        <v>446</v>
      </c>
      <c r="E1670" t="s">
        <v>2878</v>
      </c>
      <c r="F1670" t="s">
        <v>2875</v>
      </c>
      <c r="G1670" t="s">
        <v>47</v>
      </c>
      <c r="H1670">
        <v>0</v>
      </c>
      <c r="I1670" s="60" t="s">
        <v>11160</v>
      </c>
      <c r="J1670" s="33" t="s">
        <v>45</v>
      </c>
      <c r="K1670" s="46">
        <v>0</v>
      </c>
      <c r="L1670">
        <v>31.3</v>
      </c>
      <c r="M1670" t="s">
        <v>48</v>
      </c>
      <c r="N1670" s="46">
        <v>0</v>
      </c>
      <c r="O1670" s="46">
        <v>0</v>
      </c>
      <c r="P1670" s="46">
        <v>0</v>
      </c>
      <c r="Q1670" t="s">
        <v>48</v>
      </c>
      <c r="R1670" t="s">
        <v>48</v>
      </c>
      <c r="S1670" t="s">
        <v>10106</v>
      </c>
      <c r="T1670" t="s">
        <v>48</v>
      </c>
      <c r="U1670" t="s">
        <v>10106</v>
      </c>
      <c r="V1670" s="47">
        <v>0</v>
      </c>
      <c r="W1670" t="s">
        <v>48</v>
      </c>
      <c r="X1670" t="s">
        <v>48</v>
      </c>
      <c r="Y1670" t="s">
        <v>48</v>
      </c>
      <c r="Z1670">
        <v>0</v>
      </c>
      <c r="AA1670" t="s">
        <v>48</v>
      </c>
      <c r="AB1670" t="s">
        <v>48</v>
      </c>
      <c r="AC1670" t="s">
        <v>49</v>
      </c>
      <c r="AD1670" t="s">
        <v>93</v>
      </c>
      <c r="AE1670" t="s">
        <v>4532</v>
      </c>
      <c r="AF1670" t="s">
        <v>48</v>
      </c>
      <c r="AG1670" t="s">
        <v>48</v>
      </c>
      <c r="AH1670" t="s">
        <v>48</v>
      </c>
      <c r="AI1670" t="s">
        <v>48</v>
      </c>
      <c r="AJ1670" t="s">
        <v>48</v>
      </c>
      <c r="AK1670" t="s">
        <v>48</v>
      </c>
      <c r="AL1670" t="s">
        <v>48</v>
      </c>
      <c r="AM1670" t="s">
        <v>48</v>
      </c>
      <c r="AN1670" t="s">
        <v>48</v>
      </c>
      <c r="AO1670" t="s">
        <v>48</v>
      </c>
      <c r="AP1670" s="46">
        <v>0</v>
      </c>
      <c r="AQ1670" s="46">
        <v>0</v>
      </c>
      <c r="AR1670" s="46">
        <v>0</v>
      </c>
      <c r="AS1670" s="46">
        <v>0</v>
      </c>
      <c r="AT1670" s="46">
        <v>0</v>
      </c>
      <c r="AU1670" s="46">
        <v>0</v>
      </c>
      <c r="AV1670" s="46">
        <v>0</v>
      </c>
      <c r="AW1670" s="46">
        <v>0</v>
      </c>
      <c r="AX1670" s="46">
        <v>0</v>
      </c>
      <c r="AY1670" s="46">
        <v>0</v>
      </c>
      <c r="AZ1670" s="46">
        <v>0</v>
      </c>
      <c r="BA1670" s="46">
        <v>0</v>
      </c>
      <c r="BB1670" s="46">
        <v>0</v>
      </c>
      <c r="BC1670" s="46">
        <v>0</v>
      </c>
      <c r="BD1670" s="46">
        <v>0</v>
      </c>
      <c r="BE1670" s="46">
        <v>0</v>
      </c>
      <c r="BF1670" s="46">
        <v>0</v>
      </c>
      <c r="BG1670" s="46" t="s">
        <v>48</v>
      </c>
      <c r="BH1670" s="46">
        <v>0</v>
      </c>
      <c r="BI1670" s="46">
        <v>0</v>
      </c>
      <c r="BJ1670" s="46">
        <v>0</v>
      </c>
      <c r="BK1670" s="46">
        <v>0</v>
      </c>
      <c r="BL1670" s="46">
        <v>0</v>
      </c>
      <c r="BM1670" s="46">
        <v>0</v>
      </c>
      <c r="BN1670" s="46">
        <v>0</v>
      </c>
    </row>
    <row r="1671" spans="1:66" x14ac:dyDescent="0.35">
      <c r="A1671" t="s">
        <v>2888</v>
      </c>
      <c r="B1671" s="44" t="s">
        <v>48</v>
      </c>
      <c r="C1671" t="s">
        <v>2890</v>
      </c>
      <c r="D1671" t="s">
        <v>2647</v>
      </c>
      <c r="E1671" t="s">
        <v>2889</v>
      </c>
      <c r="F1671" t="s">
        <v>2875</v>
      </c>
      <c r="G1671" t="s">
        <v>74</v>
      </c>
      <c r="H1671">
        <v>0</v>
      </c>
      <c r="I1671" s="60" t="s">
        <v>78</v>
      </c>
      <c r="J1671" s="33" t="s">
        <v>45</v>
      </c>
      <c r="K1671" s="46">
        <v>0</v>
      </c>
      <c r="L1671">
        <v>5.2</v>
      </c>
      <c r="M1671" t="s">
        <v>48</v>
      </c>
      <c r="N1671" s="46">
        <v>0</v>
      </c>
      <c r="O1671" s="46">
        <v>0</v>
      </c>
      <c r="P1671" s="46">
        <v>0</v>
      </c>
      <c r="Q1671" t="s">
        <v>48</v>
      </c>
      <c r="R1671" t="s">
        <v>48</v>
      </c>
      <c r="S1671" t="s">
        <v>10105</v>
      </c>
      <c r="T1671" t="s">
        <v>48</v>
      </c>
      <c r="U1671" t="s">
        <v>10105</v>
      </c>
      <c r="V1671" s="47">
        <v>0</v>
      </c>
      <c r="W1671" t="s">
        <v>48</v>
      </c>
      <c r="X1671" t="s">
        <v>48</v>
      </c>
      <c r="Y1671" t="s">
        <v>48</v>
      </c>
      <c r="Z1671">
        <v>0</v>
      </c>
      <c r="AA1671" t="s">
        <v>48</v>
      </c>
      <c r="AB1671" t="s">
        <v>48</v>
      </c>
      <c r="AC1671" t="s">
        <v>63</v>
      </c>
      <c r="AD1671" t="s">
        <v>93</v>
      </c>
      <c r="AE1671" t="s">
        <v>4532</v>
      </c>
      <c r="AF1671" t="s">
        <v>48</v>
      </c>
      <c r="AG1671" t="s">
        <v>48</v>
      </c>
      <c r="AH1671" t="s">
        <v>48</v>
      </c>
      <c r="AI1671" t="s">
        <v>48</v>
      </c>
      <c r="AJ1671" t="s">
        <v>48</v>
      </c>
      <c r="AK1671" t="s">
        <v>48</v>
      </c>
      <c r="AL1671" t="s">
        <v>48</v>
      </c>
      <c r="AM1671" t="s">
        <v>48</v>
      </c>
      <c r="AN1671" t="s">
        <v>48</v>
      </c>
      <c r="AO1671" t="s">
        <v>48</v>
      </c>
      <c r="AP1671" s="46">
        <v>0</v>
      </c>
      <c r="AQ1671" s="46">
        <v>0</v>
      </c>
      <c r="AR1671" s="46">
        <v>0</v>
      </c>
      <c r="AS1671" s="46">
        <v>0</v>
      </c>
      <c r="AT1671" s="46">
        <v>0</v>
      </c>
      <c r="AU1671" s="46">
        <v>0</v>
      </c>
      <c r="AV1671" s="46">
        <v>0</v>
      </c>
      <c r="AW1671" s="46">
        <v>0</v>
      </c>
      <c r="AX1671" s="46">
        <v>0</v>
      </c>
      <c r="AY1671" s="46">
        <v>0</v>
      </c>
      <c r="AZ1671" s="46">
        <v>0</v>
      </c>
      <c r="BA1671" s="46">
        <v>0</v>
      </c>
      <c r="BB1671" s="46">
        <v>0</v>
      </c>
      <c r="BC1671" s="46">
        <v>0</v>
      </c>
      <c r="BD1671" s="46">
        <v>0</v>
      </c>
      <c r="BE1671" s="46">
        <v>0</v>
      </c>
      <c r="BF1671" s="46">
        <v>0</v>
      </c>
      <c r="BG1671" s="46" t="s">
        <v>48</v>
      </c>
      <c r="BH1671" s="46">
        <v>0</v>
      </c>
      <c r="BI1671" s="46">
        <v>0</v>
      </c>
      <c r="BJ1671" s="46">
        <v>0</v>
      </c>
      <c r="BK1671" s="46">
        <v>0</v>
      </c>
      <c r="BL1671" s="46">
        <v>0</v>
      </c>
      <c r="BM1671" s="46">
        <v>0</v>
      </c>
      <c r="BN1671" s="46">
        <v>0</v>
      </c>
    </row>
    <row r="1672" spans="1:66" x14ac:dyDescent="0.35">
      <c r="A1672" t="s">
        <v>2884</v>
      </c>
      <c r="B1672" s="44" t="s">
        <v>48</v>
      </c>
      <c r="C1672" t="s">
        <v>2887</v>
      </c>
      <c r="D1672" t="s">
        <v>982</v>
      </c>
      <c r="E1672" t="s">
        <v>2885</v>
      </c>
      <c r="F1672" t="s">
        <v>2875</v>
      </c>
      <c r="G1672" t="s">
        <v>74</v>
      </c>
      <c r="H1672">
        <v>0</v>
      </c>
      <c r="I1672" s="60" t="s">
        <v>177</v>
      </c>
      <c r="J1672" s="33" t="s">
        <v>45</v>
      </c>
      <c r="K1672" s="46">
        <v>0</v>
      </c>
      <c r="L1672">
        <v>14.5</v>
      </c>
      <c r="M1672" t="s">
        <v>48</v>
      </c>
      <c r="N1672" s="46">
        <v>0</v>
      </c>
      <c r="O1672" s="46">
        <v>0</v>
      </c>
      <c r="P1672" s="46">
        <v>0</v>
      </c>
      <c r="Q1672" t="s">
        <v>48</v>
      </c>
      <c r="R1672" t="s">
        <v>48</v>
      </c>
      <c r="S1672" t="s">
        <v>2886</v>
      </c>
      <c r="T1672" t="s">
        <v>48</v>
      </c>
      <c r="U1672" t="s">
        <v>2886</v>
      </c>
      <c r="V1672" s="47">
        <v>0</v>
      </c>
      <c r="W1672" t="s">
        <v>48</v>
      </c>
      <c r="X1672" t="s">
        <v>48</v>
      </c>
      <c r="Y1672" t="s">
        <v>48</v>
      </c>
      <c r="Z1672">
        <v>0</v>
      </c>
      <c r="AA1672" t="s">
        <v>48</v>
      </c>
      <c r="AB1672" t="s">
        <v>48</v>
      </c>
      <c r="AC1672" t="s">
        <v>49</v>
      </c>
      <c r="AD1672" t="s">
        <v>93</v>
      </c>
      <c r="AE1672" t="s">
        <v>4532</v>
      </c>
      <c r="AF1672" t="s">
        <v>48</v>
      </c>
      <c r="AG1672" t="s">
        <v>48</v>
      </c>
      <c r="AH1672" t="s">
        <v>48</v>
      </c>
      <c r="AI1672" t="s">
        <v>48</v>
      </c>
      <c r="AJ1672" t="s">
        <v>48</v>
      </c>
      <c r="AK1672" t="s">
        <v>48</v>
      </c>
      <c r="AL1672" t="s">
        <v>48</v>
      </c>
      <c r="AM1672" t="s">
        <v>48</v>
      </c>
      <c r="AN1672" t="s">
        <v>48</v>
      </c>
      <c r="AO1672" t="s">
        <v>48</v>
      </c>
      <c r="AP1672" s="46">
        <v>0</v>
      </c>
      <c r="AQ1672" s="46">
        <v>0</v>
      </c>
      <c r="AR1672" s="46">
        <v>0</v>
      </c>
      <c r="AS1672" s="46">
        <v>0</v>
      </c>
      <c r="AT1672" s="46">
        <v>0</v>
      </c>
      <c r="AU1672" s="46">
        <v>0</v>
      </c>
      <c r="AV1672" s="46">
        <v>0</v>
      </c>
      <c r="AW1672" s="46">
        <v>0</v>
      </c>
      <c r="AX1672" s="46">
        <v>0</v>
      </c>
      <c r="AY1672" s="46">
        <v>0</v>
      </c>
      <c r="AZ1672" s="46">
        <v>0</v>
      </c>
      <c r="BA1672" s="46">
        <v>0</v>
      </c>
      <c r="BB1672" s="46">
        <v>0</v>
      </c>
      <c r="BC1672" s="46">
        <v>0</v>
      </c>
      <c r="BD1672" s="46">
        <v>0</v>
      </c>
      <c r="BE1672" s="46">
        <v>0</v>
      </c>
      <c r="BF1672" s="46">
        <v>0</v>
      </c>
      <c r="BG1672" s="46" t="s">
        <v>48</v>
      </c>
      <c r="BH1672" s="46">
        <v>0</v>
      </c>
      <c r="BI1672" s="46">
        <v>0</v>
      </c>
      <c r="BJ1672" s="46">
        <v>0</v>
      </c>
      <c r="BK1672" s="46">
        <v>0</v>
      </c>
      <c r="BL1672" s="46">
        <v>0</v>
      </c>
      <c r="BM1672" s="46">
        <v>0</v>
      </c>
      <c r="BN1672" s="46">
        <v>0</v>
      </c>
    </row>
    <row r="1673" spans="1:66" x14ac:dyDescent="0.35">
      <c r="A1673" t="s">
        <v>2901</v>
      </c>
      <c r="B1673" s="44" t="s">
        <v>48</v>
      </c>
      <c r="C1673" t="s">
        <v>2905</v>
      </c>
      <c r="D1673" t="s">
        <v>2904</v>
      </c>
      <c r="E1673" t="s">
        <v>2902</v>
      </c>
      <c r="F1673" t="s">
        <v>2875</v>
      </c>
      <c r="G1673" t="s">
        <v>74</v>
      </c>
      <c r="H1673">
        <v>0</v>
      </c>
      <c r="I1673" s="60" t="s">
        <v>149</v>
      </c>
      <c r="J1673" s="33" t="s">
        <v>45</v>
      </c>
      <c r="K1673" s="46">
        <v>0</v>
      </c>
      <c r="L1673">
        <v>23.2</v>
      </c>
      <c r="M1673" t="s">
        <v>48</v>
      </c>
      <c r="N1673" s="46">
        <v>0</v>
      </c>
      <c r="O1673" s="46">
        <v>0</v>
      </c>
      <c r="P1673" s="46">
        <v>0</v>
      </c>
      <c r="Q1673" t="s">
        <v>48</v>
      </c>
      <c r="R1673" t="s">
        <v>48</v>
      </c>
      <c r="S1673" t="s">
        <v>2903</v>
      </c>
      <c r="T1673" t="s">
        <v>48</v>
      </c>
      <c r="U1673" t="s">
        <v>2903</v>
      </c>
      <c r="V1673" s="47">
        <v>0</v>
      </c>
      <c r="W1673" t="s">
        <v>11317</v>
      </c>
      <c r="X1673" t="s">
        <v>48</v>
      </c>
      <c r="Y1673" t="s">
        <v>48</v>
      </c>
      <c r="Z1673">
        <v>0</v>
      </c>
      <c r="AA1673" t="s">
        <v>48</v>
      </c>
      <c r="AB1673" t="s">
        <v>48</v>
      </c>
      <c r="AC1673" t="s">
        <v>63</v>
      </c>
      <c r="AD1673" t="s">
        <v>93</v>
      </c>
      <c r="AE1673" s="40" t="s">
        <v>2471</v>
      </c>
      <c r="AF1673" t="s">
        <v>11061</v>
      </c>
      <c r="AG1673" t="s">
        <v>48</v>
      </c>
      <c r="AH1673" t="s">
        <v>48</v>
      </c>
      <c r="AI1673" t="s">
        <v>48</v>
      </c>
      <c r="AJ1673" t="s">
        <v>48</v>
      </c>
      <c r="AK1673" t="s">
        <v>48</v>
      </c>
      <c r="AL1673" t="s">
        <v>48</v>
      </c>
      <c r="AM1673" t="s">
        <v>48</v>
      </c>
      <c r="AN1673" t="s">
        <v>48</v>
      </c>
      <c r="AO1673" t="s">
        <v>48</v>
      </c>
      <c r="AP1673" s="46">
        <v>0</v>
      </c>
      <c r="AQ1673" s="46">
        <v>0</v>
      </c>
      <c r="AR1673" s="46">
        <v>1</v>
      </c>
      <c r="AS1673" s="46">
        <v>0</v>
      </c>
      <c r="AT1673" s="46">
        <v>0</v>
      </c>
      <c r="AU1673" s="46">
        <v>0</v>
      </c>
      <c r="AV1673" s="46">
        <v>0</v>
      </c>
      <c r="AW1673" s="46">
        <v>0</v>
      </c>
      <c r="AX1673" s="46">
        <v>0</v>
      </c>
      <c r="AY1673" s="46">
        <v>0</v>
      </c>
      <c r="AZ1673" s="46">
        <v>0</v>
      </c>
      <c r="BA1673" s="46">
        <v>0</v>
      </c>
      <c r="BB1673" s="46">
        <v>0</v>
      </c>
      <c r="BC1673" s="46">
        <v>0</v>
      </c>
      <c r="BD1673" s="46">
        <v>0</v>
      </c>
      <c r="BE1673" s="46">
        <v>0</v>
      </c>
      <c r="BF1673" s="46">
        <v>0</v>
      </c>
      <c r="BG1673" s="46" t="s">
        <v>48</v>
      </c>
      <c r="BH1673" s="46">
        <v>0</v>
      </c>
      <c r="BI1673" s="46">
        <v>0</v>
      </c>
      <c r="BJ1673" s="46">
        <v>0</v>
      </c>
      <c r="BK1673" s="46">
        <v>1</v>
      </c>
      <c r="BL1673" s="46">
        <v>0</v>
      </c>
      <c r="BM1673" s="46">
        <v>0</v>
      </c>
      <c r="BN1673" s="46">
        <v>0</v>
      </c>
    </row>
    <row r="1674" spans="1:66" x14ac:dyDescent="0.35">
      <c r="A1674" t="s">
        <v>2870</v>
      </c>
      <c r="B1674" s="44" t="s">
        <v>48</v>
      </c>
      <c r="C1674" t="s">
        <v>332</v>
      </c>
      <c r="D1674" t="s">
        <v>2872</v>
      </c>
      <c r="E1674" t="s">
        <v>9533</v>
      </c>
      <c r="F1674" t="s">
        <v>2875</v>
      </c>
      <c r="G1674" t="s">
        <v>74</v>
      </c>
      <c r="H1674">
        <v>0</v>
      </c>
      <c r="I1674" s="61">
        <v>44748</v>
      </c>
      <c r="J1674" s="33" t="s">
        <v>45</v>
      </c>
      <c r="K1674" s="46">
        <v>0</v>
      </c>
      <c r="L1674">
        <v>6.9</v>
      </c>
      <c r="M1674" t="s">
        <v>48</v>
      </c>
      <c r="N1674" s="46">
        <v>0</v>
      </c>
      <c r="O1674" s="46">
        <v>0</v>
      </c>
      <c r="P1674" s="46">
        <v>0</v>
      </c>
      <c r="Q1674" t="s">
        <v>48</v>
      </c>
      <c r="R1674" t="s">
        <v>48</v>
      </c>
      <c r="S1674" t="s">
        <v>2871</v>
      </c>
      <c r="T1674" t="s">
        <v>48</v>
      </c>
      <c r="U1674" t="s">
        <v>2871</v>
      </c>
      <c r="V1674" s="47">
        <v>1</v>
      </c>
      <c r="W1674" t="s">
        <v>48</v>
      </c>
      <c r="X1674" t="s">
        <v>48</v>
      </c>
      <c r="Y1674" t="s">
        <v>48</v>
      </c>
      <c r="Z1674">
        <v>0</v>
      </c>
      <c r="AA1674" t="s">
        <v>48</v>
      </c>
      <c r="AB1674" t="s">
        <v>48</v>
      </c>
      <c r="AC1674" t="s">
        <v>63</v>
      </c>
      <c r="AD1674" t="s">
        <v>93</v>
      </c>
      <c r="AE1674" t="s">
        <v>4532</v>
      </c>
      <c r="AF1674" t="s">
        <v>48</v>
      </c>
      <c r="AG1674" t="s">
        <v>48</v>
      </c>
      <c r="AH1674" t="s">
        <v>48</v>
      </c>
      <c r="AI1674" t="s">
        <v>48</v>
      </c>
      <c r="AJ1674" t="s">
        <v>48</v>
      </c>
      <c r="AK1674" t="s">
        <v>48</v>
      </c>
      <c r="AL1674" t="s">
        <v>48</v>
      </c>
      <c r="AM1674" t="s">
        <v>48</v>
      </c>
      <c r="AN1674" t="s">
        <v>48</v>
      </c>
      <c r="AO1674" t="s">
        <v>48</v>
      </c>
      <c r="AP1674" s="46">
        <v>0</v>
      </c>
      <c r="AQ1674" s="46">
        <v>0</v>
      </c>
      <c r="AR1674" s="46">
        <v>0</v>
      </c>
      <c r="AS1674" s="46">
        <v>1</v>
      </c>
      <c r="AT1674" s="46">
        <v>0</v>
      </c>
      <c r="AU1674" s="46">
        <v>0</v>
      </c>
      <c r="AV1674" s="46">
        <v>0</v>
      </c>
      <c r="AW1674" s="46">
        <v>0</v>
      </c>
      <c r="AX1674" s="46">
        <v>0</v>
      </c>
      <c r="AY1674" s="46">
        <v>0</v>
      </c>
      <c r="AZ1674" s="46">
        <v>0</v>
      </c>
      <c r="BA1674" s="46">
        <v>0</v>
      </c>
      <c r="BB1674" s="46">
        <v>0</v>
      </c>
      <c r="BC1674" s="46">
        <v>0</v>
      </c>
      <c r="BD1674" s="46">
        <v>0</v>
      </c>
      <c r="BE1674" s="46">
        <v>0</v>
      </c>
      <c r="BF1674" s="46">
        <v>0</v>
      </c>
      <c r="BG1674" s="46" t="s">
        <v>48</v>
      </c>
      <c r="BH1674" s="46">
        <v>0</v>
      </c>
      <c r="BI1674" s="46">
        <v>0</v>
      </c>
      <c r="BJ1674" s="46">
        <v>0</v>
      </c>
      <c r="BK1674" s="46">
        <v>1</v>
      </c>
      <c r="BL1674" s="46">
        <v>0</v>
      </c>
      <c r="BM1674" s="46">
        <v>0</v>
      </c>
      <c r="BN1674" s="46">
        <v>0</v>
      </c>
    </row>
    <row r="1675" spans="1:66" x14ac:dyDescent="0.35">
      <c r="A1675" t="s">
        <v>2969</v>
      </c>
      <c r="B1675" s="44" t="s">
        <v>48</v>
      </c>
      <c r="C1675" t="s">
        <v>2971</v>
      </c>
      <c r="D1675" t="s">
        <v>879</v>
      </c>
      <c r="E1675" t="s">
        <v>2970</v>
      </c>
      <c r="F1675" t="s">
        <v>2942</v>
      </c>
      <c r="G1675" t="s">
        <v>47</v>
      </c>
      <c r="H1675">
        <v>0</v>
      </c>
      <c r="I1675" s="60" t="s">
        <v>881</v>
      </c>
      <c r="J1675" s="33" t="s">
        <v>45</v>
      </c>
      <c r="K1675" s="46">
        <v>0</v>
      </c>
      <c r="L1675">
        <v>2.2000000000000002</v>
      </c>
      <c r="M1675" t="s">
        <v>48</v>
      </c>
      <c r="N1675" s="46">
        <v>0</v>
      </c>
      <c r="O1675" s="46">
        <v>0</v>
      </c>
      <c r="P1675" s="46">
        <v>0</v>
      </c>
      <c r="Q1675" t="s">
        <v>48</v>
      </c>
      <c r="R1675" t="s">
        <v>48</v>
      </c>
      <c r="S1675" t="s">
        <v>48</v>
      </c>
      <c r="T1675" t="s">
        <v>48</v>
      </c>
      <c r="U1675" t="s">
        <v>48</v>
      </c>
      <c r="V1675" s="47">
        <v>0</v>
      </c>
      <c r="W1675" t="s">
        <v>48</v>
      </c>
      <c r="X1675" t="s">
        <v>48</v>
      </c>
      <c r="Y1675" t="s">
        <v>48</v>
      </c>
      <c r="Z1675">
        <v>0</v>
      </c>
      <c r="AA1675" t="s">
        <v>48</v>
      </c>
      <c r="AB1675" t="s">
        <v>48</v>
      </c>
      <c r="AC1675" t="s">
        <v>49</v>
      </c>
      <c r="AD1675" t="s">
        <v>93</v>
      </c>
      <c r="AE1675" t="s">
        <v>4532</v>
      </c>
      <c r="AF1675" t="s">
        <v>48</v>
      </c>
      <c r="AG1675" t="s">
        <v>48</v>
      </c>
      <c r="AH1675" t="s">
        <v>48</v>
      </c>
      <c r="AI1675" t="s">
        <v>48</v>
      </c>
      <c r="AJ1675" t="s">
        <v>48</v>
      </c>
      <c r="AK1675" t="s">
        <v>48</v>
      </c>
      <c r="AL1675" t="s">
        <v>48</v>
      </c>
      <c r="AM1675" t="s">
        <v>48</v>
      </c>
      <c r="AN1675" t="s">
        <v>48</v>
      </c>
      <c r="AO1675" t="s">
        <v>48</v>
      </c>
      <c r="AP1675" s="46">
        <v>0</v>
      </c>
      <c r="AQ1675" s="46">
        <v>0</v>
      </c>
      <c r="AR1675" s="46">
        <v>0</v>
      </c>
      <c r="AS1675" s="46">
        <v>0</v>
      </c>
      <c r="AT1675" s="46">
        <v>0</v>
      </c>
      <c r="AU1675" s="46">
        <v>0</v>
      </c>
      <c r="AV1675" s="46">
        <v>0</v>
      </c>
      <c r="AW1675" s="46">
        <v>0</v>
      </c>
      <c r="AX1675" s="46">
        <v>0</v>
      </c>
      <c r="AY1675" s="46">
        <v>0</v>
      </c>
      <c r="AZ1675" s="46">
        <v>0</v>
      </c>
      <c r="BA1675" s="46">
        <v>0</v>
      </c>
      <c r="BB1675" s="46">
        <v>0</v>
      </c>
      <c r="BC1675" s="46">
        <v>0</v>
      </c>
      <c r="BD1675" s="46">
        <v>0</v>
      </c>
      <c r="BE1675" s="46">
        <v>0</v>
      </c>
      <c r="BF1675" s="46">
        <v>0</v>
      </c>
      <c r="BG1675" s="46" t="s">
        <v>48</v>
      </c>
      <c r="BH1675" s="46">
        <v>0</v>
      </c>
      <c r="BI1675" s="46">
        <v>0</v>
      </c>
      <c r="BJ1675" s="46">
        <v>0</v>
      </c>
      <c r="BK1675" s="46">
        <v>0</v>
      </c>
      <c r="BL1675" s="46">
        <v>0</v>
      </c>
      <c r="BM1675" s="46">
        <v>0</v>
      </c>
      <c r="BN1675" s="46">
        <v>0</v>
      </c>
    </row>
    <row r="1676" spans="1:66" x14ac:dyDescent="0.35">
      <c r="A1676" t="s">
        <v>2955</v>
      </c>
      <c r="B1676" s="44" t="s">
        <v>48</v>
      </c>
      <c r="C1676" t="s">
        <v>2958</v>
      </c>
      <c r="D1676" t="s">
        <v>2957</v>
      </c>
      <c r="E1676" t="s">
        <v>2956</v>
      </c>
      <c r="F1676" t="s">
        <v>2942</v>
      </c>
      <c r="G1676" t="s">
        <v>47</v>
      </c>
      <c r="H1676">
        <v>0</v>
      </c>
      <c r="I1676" s="60" t="s">
        <v>881</v>
      </c>
      <c r="J1676" s="33" t="s">
        <v>45</v>
      </c>
      <c r="K1676" s="46">
        <v>0</v>
      </c>
      <c r="L1676">
        <v>22.5</v>
      </c>
      <c r="M1676" t="s">
        <v>48</v>
      </c>
      <c r="N1676" s="46">
        <v>0</v>
      </c>
      <c r="O1676" s="46">
        <v>0</v>
      </c>
      <c r="P1676" s="46">
        <v>0</v>
      </c>
      <c r="Q1676" t="s">
        <v>48</v>
      </c>
      <c r="R1676" t="s">
        <v>48</v>
      </c>
      <c r="S1676" t="s">
        <v>10108</v>
      </c>
      <c r="T1676" t="s">
        <v>48</v>
      </c>
      <c r="U1676" t="s">
        <v>10108</v>
      </c>
      <c r="V1676" s="47">
        <v>0</v>
      </c>
      <c r="W1676" t="s">
        <v>48</v>
      </c>
      <c r="X1676" t="s">
        <v>48</v>
      </c>
      <c r="Y1676" t="s">
        <v>48</v>
      </c>
      <c r="Z1676">
        <v>0</v>
      </c>
      <c r="AA1676" t="s">
        <v>48</v>
      </c>
      <c r="AB1676" t="s">
        <v>48</v>
      </c>
      <c r="AC1676" t="s">
        <v>63</v>
      </c>
      <c r="AD1676" t="s">
        <v>93</v>
      </c>
      <c r="AE1676" t="s">
        <v>4532</v>
      </c>
      <c r="AF1676" t="s">
        <v>48</v>
      </c>
      <c r="AG1676" t="s">
        <v>48</v>
      </c>
      <c r="AH1676" t="s">
        <v>48</v>
      </c>
      <c r="AI1676" t="s">
        <v>48</v>
      </c>
      <c r="AJ1676" t="s">
        <v>48</v>
      </c>
      <c r="AK1676" t="s">
        <v>48</v>
      </c>
      <c r="AL1676" t="s">
        <v>48</v>
      </c>
      <c r="AM1676" t="s">
        <v>48</v>
      </c>
      <c r="AN1676" t="s">
        <v>48</v>
      </c>
      <c r="AO1676" t="s">
        <v>48</v>
      </c>
      <c r="AP1676" s="46">
        <v>0</v>
      </c>
      <c r="AQ1676" s="46">
        <v>0</v>
      </c>
      <c r="AR1676" s="46">
        <v>0</v>
      </c>
      <c r="AS1676" s="46">
        <v>0</v>
      </c>
      <c r="AT1676" s="46">
        <v>0</v>
      </c>
      <c r="AU1676" s="46">
        <v>0</v>
      </c>
      <c r="AV1676" s="46">
        <v>0</v>
      </c>
      <c r="AW1676" s="46">
        <v>0</v>
      </c>
      <c r="AX1676" s="46">
        <v>0</v>
      </c>
      <c r="AY1676" s="46">
        <v>0</v>
      </c>
      <c r="AZ1676" s="46">
        <v>0</v>
      </c>
      <c r="BA1676" s="46">
        <v>0</v>
      </c>
      <c r="BB1676" s="46">
        <v>0</v>
      </c>
      <c r="BC1676" s="46">
        <v>0</v>
      </c>
      <c r="BD1676" s="46">
        <v>0</v>
      </c>
      <c r="BE1676" s="46">
        <v>0</v>
      </c>
      <c r="BF1676" s="46">
        <v>0</v>
      </c>
      <c r="BG1676" s="46" t="s">
        <v>48</v>
      </c>
      <c r="BH1676" s="46">
        <v>0</v>
      </c>
      <c r="BI1676" s="46">
        <v>0</v>
      </c>
      <c r="BJ1676" s="46">
        <v>0</v>
      </c>
      <c r="BK1676" s="46">
        <v>0</v>
      </c>
      <c r="BL1676" s="46">
        <v>0</v>
      </c>
      <c r="BM1676" s="46">
        <v>0</v>
      </c>
      <c r="BN1676" s="46">
        <v>0</v>
      </c>
    </row>
    <row r="1677" spans="1:66" x14ac:dyDescent="0.35">
      <c r="A1677" t="s">
        <v>2967</v>
      </c>
      <c r="B1677" s="44" t="s">
        <v>48</v>
      </c>
      <c r="C1677" t="s">
        <v>1315</v>
      </c>
      <c r="D1677" t="s">
        <v>268</v>
      </c>
      <c r="E1677" t="s">
        <v>2968</v>
      </c>
      <c r="F1677" t="s">
        <v>2942</v>
      </c>
      <c r="G1677" t="s">
        <v>47</v>
      </c>
      <c r="H1677">
        <v>0</v>
      </c>
      <c r="I1677" s="60" t="s">
        <v>78</v>
      </c>
      <c r="J1677" s="33" t="s">
        <v>45</v>
      </c>
      <c r="K1677" s="46">
        <v>0</v>
      </c>
      <c r="L1677">
        <v>3.4</v>
      </c>
      <c r="M1677" t="s">
        <v>48</v>
      </c>
      <c r="N1677" s="46">
        <v>0</v>
      </c>
      <c r="O1677" s="46">
        <v>0</v>
      </c>
      <c r="P1677" s="46">
        <v>0</v>
      </c>
      <c r="Q1677" t="s">
        <v>48</v>
      </c>
      <c r="R1677" t="s">
        <v>48</v>
      </c>
      <c r="S1677" t="s">
        <v>48</v>
      </c>
      <c r="T1677" t="s">
        <v>48</v>
      </c>
      <c r="U1677" t="s">
        <v>48</v>
      </c>
      <c r="V1677" s="47">
        <v>0</v>
      </c>
      <c r="W1677" t="s">
        <v>48</v>
      </c>
      <c r="X1677" t="s">
        <v>48</v>
      </c>
      <c r="Y1677" t="s">
        <v>48</v>
      </c>
      <c r="Z1677">
        <v>0</v>
      </c>
      <c r="AA1677" t="s">
        <v>48</v>
      </c>
      <c r="AB1677" t="s">
        <v>48</v>
      </c>
      <c r="AC1677" t="s">
        <v>49</v>
      </c>
      <c r="AD1677" t="s">
        <v>951</v>
      </c>
      <c r="AE1677" s="40" t="s">
        <v>11051</v>
      </c>
      <c r="AF1677" t="s">
        <v>108</v>
      </c>
      <c r="AG1677" t="s">
        <v>48</v>
      </c>
      <c r="AH1677" t="s">
        <v>48</v>
      </c>
      <c r="AI1677" t="s">
        <v>48</v>
      </c>
      <c r="AJ1677" t="s">
        <v>48</v>
      </c>
      <c r="AK1677" t="s">
        <v>48</v>
      </c>
      <c r="AL1677" t="s">
        <v>48</v>
      </c>
      <c r="AM1677" t="s">
        <v>48</v>
      </c>
      <c r="AN1677" t="s">
        <v>48</v>
      </c>
      <c r="AO1677" t="s">
        <v>48</v>
      </c>
      <c r="AP1677" s="46">
        <v>0</v>
      </c>
      <c r="AQ1677" s="46">
        <v>0</v>
      </c>
      <c r="AR1677" s="46">
        <v>0</v>
      </c>
      <c r="AS1677" s="46">
        <v>0</v>
      </c>
      <c r="AT1677" s="46">
        <v>0</v>
      </c>
      <c r="AU1677" s="46">
        <v>0</v>
      </c>
      <c r="AV1677" s="46">
        <v>0</v>
      </c>
      <c r="AW1677" s="46">
        <v>0</v>
      </c>
      <c r="AX1677" s="46">
        <v>0</v>
      </c>
      <c r="AY1677" s="46">
        <v>0</v>
      </c>
      <c r="AZ1677" s="46">
        <v>0</v>
      </c>
      <c r="BA1677" s="46">
        <v>0</v>
      </c>
      <c r="BB1677" s="46">
        <v>0</v>
      </c>
      <c r="BC1677" s="46">
        <v>0</v>
      </c>
      <c r="BD1677" s="46">
        <v>0</v>
      </c>
      <c r="BE1677" s="46">
        <v>0</v>
      </c>
      <c r="BF1677" s="46">
        <v>0</v>
      </c>
      <c r="BG1677" s="46" t="s">
        <v>48</v>
      </c>
      <c r="BH1677" s="46">
        <v>0</v>
      </c>
      <c r="BI1677" s="46">
        <v>0</v>
      </c>
      <c r="BJ1677" s="46">
        <v>0</v>
      </c>
      <c r="BK1677" s="46">
        <v>0</v>
      </c>
      <c r="BL1677" s="46">
        <v>0</v>
      </c>
      <c r="BM1677" s="46">
        <v>0</v>
      </c>
      <c r="BN1677" s="46">
        <v>0</v>
      </c>
    </row>
    <row r="1678" spans="1:66" x14ac:dyDescent="0.35">
      <c r="A1678" t="s">
        <v>2948</v>
      </c>
      <c r="B1678" s="44" t="s">
        <v>48</v>
      </c>
      <c r="C1678" t="s">
        <v>2950</v>
      </c>
      <c r="D1678" t="s">
        <v>655</v>
      </c>
      <c r="E1678" t="s">
        <v>2949</v>
      </c>
      <c r="F1678" t="s">
        <v>2942</v>
      </c>
      <c r="G1678" t="s">
        <v>47</v>
      </c>
      <c r="H1678">
        <v>0</v>
      </c>
      <c r="I1678" s="60" t="s">
        <v>125</v>
      </c>
      <c r="J1678" s="33" t="s">
        <v>45</v>
      </c>
      <c r="K1678" s="46">
        <v>0</v>
      </c>
      <c r="L1678">
        <v>13.4</v>
      </c>
      <c r="M1678" t="s">
        <v>48</v>
      </c>
      <c r="N1678" s="46">
        <v>0</v>
      </c>
      <c r="O1678" s="46">
        <v>0</v>
      </c>
      <c r="P1678" s="46">
        <v>0</v>
      </c>
      <c r="Q1678" t="s">
        <v>48</v>
      </c>
      <c r="R1678" t="s">
        <v>48</v>
      </c>
      <c r="S1678" t="s">
        <v>48</v>
      </c>
      <c r="T1678" t="s">
        <v>48</v>
      </c>
      <c r="U1678" t="s">
        <v>48</v>
      </c>
      <c r="V1678" s="47">
        <v>0</v>
      </c>
      <c r="W1678" t="s">
        <v>48</v>
      </c>
      <c r="X1678" t="s">
        <v>48</v>
      </c>
      <c r="Y1678" t="s">
        <v>48</v>
      </c>
      <c r="Z1678">
        <v>0</v>
      </c>
      <c r="AA1678" t="s">
        <v>48</v>
      </c>
      <c r="AB1678" t="s">
        <v>48</v>
      </c>
      <c r="AC1678" t="s">
        <v>49</v>
      </c>
      <c r="AD1678" t="s">
        <v>951</v>
      </c>
      <c r="AE1678" s="40" t="s">
        <v>11051</v>
      </c>
      <c r="AF1678" t="s">
        <v>11054</v>
      </c>
      <c r="AG1678" t="s">
        <v>48</v>
      </c>
      <c r="AH1678" t="s">
        <v>48</v>
      </c>
      <c r="AI1678" t="s">
        <v>48</v>
      </c>
      <c r="AJ1678" t="s">
        <v>48</v>
      </c>
      <c r="AK1678" t="s">
        <v>48</v>
      </c>
      <c r="AL1678" t="s">
        <v>48</v>
      </c>
      <c r="AM1678" t="s">
        <v>48</v>
      </c>
      <c r="AN1678" t="s">
        <v>48</v>
      </c>
      <c r="AO1678" t="s">
        <v>48</v>
      </c>
      <c r="AP1678" s="46">
        <v>0</v>
      </c>
      <c r="AQ1678" s="46">
        <v>0</v>
      </c>
      <c r="AR1678" s="46">
        <v>0</v>
      </c>
      <c r="AS1678" s="46">
        <v>0</v>
      </c>
      <c r="AT1678" s="46">
        <v>0</v>
      </c>
      <c r="AU1678" s="46">
        <v>0</v>
      </c>
      <c r="AV1678" s="46">
        <v>0</v>
      </c>
      <c r="AW1678" s="46">
        <v>0</v>
      </c>
      <c r="AX1678" s="46">
        <v>0</v>
      </c>
      <c r="AY1678" s="46">
        <v>0</v>
      </c>
      <c r="AZ1678" s="46">
        <v>0</v>
      </c>
      <c r="BA1678" s="46">
        <v>0</v>
      </c>
      <c r="BB1678" s="46">
        <v>0</v>
      </c>
      <c r="BC1678" s="46">
        <v>0</v>
      </c>
      <c r="BD1678" s="46">
        <v>0</v>
      </c>
      <c r="BE1678" s="46">
        <v>0</v>
      </c>
      <c r="BF1678" s="46">
        <v>0</v>
      </c>
      <c r="BG1678" s="46" t="s">
        <v>48</v>
      </c>
      <c r="BH1678" s="46">
        <v>0</v>
      </c>
      <c r="BI1678" s="46">
        <v>0</v>
      </c>
      <c r="BJ1678" s="46">
        <v>0</v>
      </c>
      <c r="BK1678" s="46">
        <v>0</v>
      </c>
      <c r="BL1678" s="46">
        <v>0</v>
      </c>
      <c r="BM1678" s="46">
        <v>0</v>
      </c>
      <c r="BN1678" s="46">
        <v>0</v>
      </c>
    </row>
    <row r="1679" spans="1:66" x14ac:dyDescent="0.35">
      <c r="A1679" t="s">
        <v>2951</v>
      </c>
      <c r="B1679" s="44" t="s">
        <v>48</v>
      </c>
      <c r="C1679" t="s">
        <v>2954</v>
      </c>
      <c r="D1679" t="s">
        <v>772</v>
      </c>
      <c r="E1679" t="s">
        <v>2952</v>
      </c>
      <c r="F1679" t="s">
        <v>2942</v>
      </c>
      <c r="G1679" t="s">
        <v>47</v>
      </c>
      <c r="H1679">
        <v>0</v>
      </c>
      <c r="I1679" s="60" t="s">
        <v>125</v>
      </c>
      <c r="J1679" s="33" t="s">
        <v>45</v>
      </c>
      <c r="K1679" s="46">
        <v>0</v>
      </c>
      <c r="L1679">
        <v>3.6</v>
      </c>
      <c r="M1679" t="s">
        <v>48</v>
      </c>
      <c r="N1679" s="46">
        <v>0</v>
      </c>
      <c r="O1679" s="46">
        <v>0</v>
      </c>
      <c r="P1679" s="46">
        <v>0</v>
      </c>
      <c r="Q1679" t="s">
        <v>48</v>
      </c>
      <c r="R1679" t="s">
        <v>48</v>
      </c>
      <c r="S1679" t="s">
        <v>2953</v>
      </c>
      <c r="T1679" t="s">
        <v>48</v>
      </c>
      <c r="U1679" t="s">
        <v>2953</v>
      </c>
      <c r="V1679" s="47">
        <v>0</v>
      </c>
      <c r="W1679" t="s">
        <v>48</v>
      </c>
      <c r="X1679" t="s">
        <v>48</v>
      </c>
      <c r="Y1679" t="s">
        <v>48</v>
      </c>
      <c r="Z1679">
        <v>0</v>
      </c>
      <c r="AA1679" t="s">
        <v>48</v>
      </c>
      <c r="AB1679" t="s">
        <v>48</v>
      </c>
      <c r="AC1679" t="s">
        <v>49</v>
      </c>
      <c r="AD1679" t="s">
        <v>93</v>
      </c>
      <c r="AE1679" t="s">
        <v>4532</v>
      </c>
      <c r="AF1679" t="s">
        <v>48</v>
      </c>
      <c r="AG1679" t="s">
        <v>48</v>
      </c>
      <c r="AH1679" t="s">
        <v>48</v>
      </c>
      <c r="AI1679" t="s">
        <v>48</v>
      </c>
      <c r="AJ1679" t="s">
        <v>48</v>
      </c>
      <c r="AK1679" t="s">
        <v>48</v>
      </c>
      <c r="AL1679" t="s">
        <v>48</v>
      </c>
      <c r="AM1679" t="s">
        <v>48</v>
      </c>
      <c r="AN1679" t="s">
        <v>48</v>
      </c>
      <c r="AO1679" t="s">
        <v>48</v>
      </c>
      <c r="AP1679" s="46">
        <v>0</v>
      </c>
      <c r="AQ1679" s="46">
        <v>0</v>
      </c>
      <c r="AR1679" s="46">
        <v>0</v>
      </c>
      <c r="AS1679" s="46">
        <v>0</v>
      </c>
      <c r="AT1679" s="46">
        <v>0</v>
      </c>
      <c r="AU1679" s="46">
        <v>0</v>
      </c>
      <c r="AV1679" s="46">
        <v>0</v>
      </c>
      <c r="AW1679" s="46">
        <v>0</v>
      </c>
      <c r="AX1679" s="46">
        <v>0</v>
      </c>
      <c r="AY1679" s="46">
        <v>0</v>
      </c>
      <c r="AZ1679" s="46">
        <v>0</v>
      </c>
      <c r="BA1679" s="46">
        <v>0</v>
      </c>
      <c r="BB1679" s="46">
        <v>0</v>
      </c>
      <c r="BC1679" s="46">
        <v>0</v>
      </c>
      <c r="BD1679" s="46">
        <v>0</v>
      </c>
      <c r="BE1679" s="46">
        <v>0</v>
      </c>
      <c r="BF1679" s="46">
        <v>0</v>
      </c>
      <c r="BG1679" s="46" t="s">
        <v>48</v>
      </c>
      <c r="BH1679" s="46">
        <v>0</v>
      </c>
      <c r="BI1679" s="46">
        <v>0</v>
      </c>
      <c r="BJ1679" s="46">
        <v>0</v>
      </c>
      <c r="BK1679" s="46">
        <v>0</v>
      </c>
      <c r="BL1679" s="46">
        <v>0</v>
      </c>
      <c r="BM1679" s="46">
        <v>0</v>
      </c>
      <c r="BN1679" s="46">
        <v>0</v>
      </c>
    </row>
    <row r="1680" spans="1:66" x14ac:dyDescent="0.35">
      <c r="A1680" t="s">
        <v>2964</v>
      </c>
      <c r="B1680" s="44" t="s">
        <v>48</v>
      </c>
      <c r="C1680" t="s">
        <v>2966</v>
      </c>
      <c r="D1680" t="s">
        <v>203</v>
      </c>
      <c r="E1680" t="s">
        <v>2965</v>
      </c>
      <c r="F1680" t="s">
        <v>2942</v>
      </c>
      <c r="G1680" t="s">
        <v>47</v>
      </c>
      <c r="H1680">
        <v>0</v>
      </c>
      <c r="I1680" s="60" t="s">
        <v>125</v>
      </c>
      <c r="J1680" s="33" t="s">
        <v>45</v>
      </c>
      <c r="K1680" s="46">
        <v>0</v>
      </c>
      <c r="L1680">
        <v>7.8</v>
      </c>
      <c r="M1680" t="s">
        <v>48</v>
      </c>
      <c r="N1680" s="46">
        <v>0</v>
      </c>
      <c r="O1680" s="46">
        <v>0</v>
      </c>
      <c r="P1680" s="46">
        <v>0</v>
      </c>
      <c r="Q1680" t="s">
        <v>48</v>
      </c>
      <c r="R1680" t="s">
        <v>48</v>
      </c>
      <c r="S1680" t="s">
        <v>48</v>
      </c>
      <c r="T1680" t="s">
        <v>48</v>
      </c>
      <c r="U1680" t="s">
        <v>48</v>
      </c>
      <c r="V1680" s="47">
        <v>0</v>
      </c>
      <c r="W1680" t="s">
        <v>48</v>
      </c>
      <c r="X1680" t="s">
        <v>48</v>
      </c>
      <c r="Y1680" t="s">
        <v>48</v>
      </c>
      <c r="Z1680">
        <v>0</v>
      </c>
      <c r="AA1680" t="s">
        <v>48</v>
      </c>
      <c r="AB1680" t="s">
        <v>48</v>
      </c>
      <c r="AC1680" t="s">
        <v>49</v>
      </c>
      <c r="AD1680" t="s">
        <v>48</v>
      </c>
      <c r="AE1680" s="40" t="s">
        <v>48</v>
      </c>
      <c r="AF1680" t="s">
        <v>48</v>
      </c>
      <c r="AG1680" t="s">
        <v>48</v>
      </c>
      <c r="AH1680" t="s">
        <v>48</v>
      </c>
      <c r="AI1680" t="s">
        <v>48</v>
      </c>
      <c r="AJ1680" t="s">
        <v>48</v>
      </c>
      <c r="AK1680" t="s">
        <v>48</v>
      </c>
      <c r="AL1680" t="s">
        <v>48</v>
      </c>
      <c r="AM1680" t="s">
        <v>48</v>
      </c>
      <c r="AN1680" t="s">
        <v>48</v>
      </c>
      <c r="AO1680" t="s">
        <v>48</v>
      </c>
      <c r="AP1680" s="46">
        <v>0</v>
      </c>
      <c r="AQ1680" s="46">
        <v>0</v>
      </c>
      <c r="AR1680" s="46">
        <v>0</v>
      </c>
      <c r="AS1680" s="46">
        <v>0</v>
      </c>
      <c r="AT1680" s="46">
        <v>0</v>
      </c>
      <c r="AU1680" s="46">
        <v>0</v>
      </c>
      <c r="AV1680" s="46">
        <v>0</v>
      </c>
      <c r="AW1680" s="46">
        <v>0</v>
      </c>
      <c r="AX1680" s="46">
        <v>0</v>
      </c>
      <c r="AY1680" s="46">
        <v>0</v>
      </c>
      <c r="AZ1680" s="46">
        <v>0</v>
      </c>
      <c r="BA1680" s="46">
        <v>0</v>
      </c>
      <c r="BB1680" s="46">
        <v>0</v>
      </c>
      <c r="BC1680" s="46">
        <v>0</v>
      </c>
      <c r="BD1680" s="46">
        <v>0</v>
      </c>
      <c r="BE1680" s="46">
        <v>0</v>
      </c>
      <c r="BF1680" s="46">
        <v>0</v>
      </c>
      <c r="BG1680" s="46" t="s">
        <v>48</v>
      </c>
      <c r="BH1680" s="46">
        <v>0</v>
      </c>
      <c r="BI1680" s="46">
        <v>0</v>
      </c>
      <c r="BJ1680" s="46">
        <v>0</v>
      </c>
      <c r="BK1680" s="46">
        <v>0</v>
      </c>
      <c r="BL1680" s="46">
        <v>0</v>
      </c>
      <c r="BM1680" s="46">
        <v>0</v>
      </c>
      <c r="BN1680" s="46">
        <v>0</v>
      </c>
    </row>
    <row r="1681" spans="1:66" x14ac:dyDescent="0.35">
      <c r="A1681" t="s">
        <v>2941</v>
      </c>
      <c r="B1681" s="44" t="s">
        <v>48</v>
      </c>
      <c r="C1681" t="s">
        <v>2944</v>
      </c>
      <c r="D1681" t="s">
        <v>328</v>
      </c>
      <c r="E1681" t="s">
        <v>2943</v>
      </c>
      <c r="F1681" t="s">
        <v>2942</v>
      </c>
      <c r="G1681" t="s">
        <v>74</v>
      </c>
      <c r="H1681">
        <v>0</v>
      </c>
      <c r="I1681" s="60" t="s">
        <v>125</v>
      </c>
      <c r="J1681" s="33" t="s">
        <v>45</v>
      </c>
      <c r="K1681" s="46">
        <v>0</v>
      </c>
      <c r="L1681">
        <v>13.6</v>
      </c>
      <c r="M1681" t="s">
        <v>48</v>
      </c>
      <c r="N1681" s="46">
        <v>0</v>
      </c>
      <c r="O1681" s="46">
        <v>0</v>
      </c>
      <c r="P1681" s="46">
        <v>0</v>
      </c>
      <c r="Q1681" t="s">
        <v>48</v>
      </c>
      <c r="R1681" t="s">
        <v>48</v>
      </c>
      <c r="S1681" t="s">
        <v>48</v>
      </c>
      <c r="T1681" t="s">
        <v>48</v>
      </c>
      <c r="U1681" t="s">
        <v>48</v>
      </c>
      <c r="V1681" s="47">
        <v>0</v>
      </c>
      <c r="W1681" t="s">
        <v>48</v>
      </c>
      <c r="X1681" t="s">
        <v>48</v>
      </c>
      <c r="Y1681" t="s">
        <v>48</v>
      </c>
      <c r="Z1681">
        <v>0</v>
      </c>
      <c r="AA1681" t="s">
        <v>48</v>
      </c>
      <c r="AB1681" t="s">
        <v>48</v>
      </c>
      <c r="AC1681" t="s">
        <v>49</v>
      </c>
      <c r="AD1681" t="s">
        <v>48</v>
      </c>
      <c r="AE1681" s="40" t="s">
        <v>48</v>
      </c>
      <c r="AF1681" t="s">
        <v>48</v>
      </c>
      <c r="AG1681" t="s">
        <v>48</v>
      </c>
      <c r="AH1681" t="s">
        <v>48</v>
      </c>
      <c r="AI1681" t="s">
        <v>48</v>
      </c>
      <c r="AJ1681" t="s">
        <v>48</v>
      </c>
      <c r="AK1681" t="s">
        <v>48</v>
      </c>
      <c r="AL1681" t="s">
        <v>48</v>
      </c>
      <c r="AM1681" t="s">
        <v>48</v>
      </c>
      <c r="AN1681" t="s">
        <v>48</v>
      </c>
      <c r="AO1681" t="s">
        <v>48</v>
      </c>
      <c r="AP1681" s="46">
        <v>0</v>
      </c>
      <c r="AQ1681" s="46">
        <v>0</v>
      </c>
      <c r="AR1681" s="46">
        <v>0</v>
      </c>
      <c r="AS1681" s="46">
        <v>0</v>
      </c>
      <c r="AT1681" s="46">
        <v>0</v>
      </c>
      <c r="AU1681" s="46">
        <v>0</v>
      </c>
      <c r="AV1681" s="46">
        <v>0</v>
      </c>
      <c r="AW1681" s="46">
        <v>0</v>
      </c>
      <c r="AX1681" s="46">
        <v>0</v>
      </c>
      <c r="AY1681" s="46">
        <v>0</v>
      </c>
      <c r="AZ1681" s="46">
        <v>0</v>
      </c>
      <c r="BA1681" s="46">
        <v>0</v>
      </c>
      <c r="BB1681" s="46">
        <v>0</v>
      </c>
      <c r="BC1681" s="46">
        <v>0</v>
      </c>
      <c r="BD1681" s="46">
        <v>0</v>
      </c>
      <c r="BE1681" s="46">
        <v>0</v>
      </c>
      <c r="BF1681" s="46">
        <v>0</v>
      </c>
      <c r="BG1681" s="46" t="s">
        <v>48</v>
      </c>
      <c r="BH1681" s="46">
        <v>0</v>
      </c>
      <c r="BI1681" s="46">
        <v>0</v>
      </c>
      <c r="BJ1681" s="46">
        <v>0</v>
      </c>
      <c r="BK1681" s="46">
        <v>0</v>
      </c>
      <c r="BL1681" s="46">
        <v>0</v>
      </c>
      <c r="BM1681" s="46">
        <v>0</v>
      </c>
      <c r="BN1681" s="46">
        <v>0</v>
      </c>
    </row>
    <row r="1682" spans="1:66" x14ac:dyDescent="0.35">
      <c r="A1682" t="s">
        <v>2976</v>
      </c>
      <c r="B1682" s="44" t="s">
        <v>48</v>
      </c>
      <c r="C1682" t="s">
        <v>2981</v>
      </c>
      <c r="D1682" t="s">
        <v>1056</v>
      </c>
      <c r="E1682" t="s">
        <v>2977</v>
      </c>
      <c r="F1682" t="s">
        <v>2972</v>
      </c>
      <c r="G1682" t="s">
        <v>47</v>
      </c>
      <c r="H1682">
        <v>0</v>
      </c>
      <c r="I1682" s="60" t="s">
        <v>51</v>
      </c>
      <c r="J1682" s="33" t="s">
        <v>45</v>
      </c>
      <c r="K1682" s="46">
        <v>1</v>
      </c>
      <c r="L1682">
        <v>100</v>
      </c>
      <c r="M1682" t="s">
        <v>48</v>
      </c>
      <c r="N1682" s="46">
        <v>0</v>
      </c>
      <c r="O1682" s="46">
        <v>0</v>
      </c>
      <c r="P1682" s="46">
        <v>0</v>
      </c>
      <c r="Q1682" t="s">
        <v>48</v>
      </c>
      <c r="R1682" t="s">
        <v>48</v>
      </c>
      <c r="S1682" t="s">
        <v>2978</v>
      </c>
      <c r="T1682" t="s">
        <v>2979</v>
      </c>
      <c r="U1682" t="s">
        <v>2978</v>
      </c>
      <c r="V1682" s="47">
        <v>0</v>
      </c>
      <c r="W1682" t="s">
        <v>48</v>
      </c>
      <c r="X1682" t="s">
        <v>48</v>
      </c>
      <c r="Y1682" t="s">
        <v>48</v>
      </c>
      <c r="Z1682">
        <v>0</v>
      </c>
      <c r="AA1682" t="s">
        <v>11231</v>
      </c>
      <c r="AB1682">
        <v>2012</v>
      </c>
      <c r="AC1682" t="s">
        <v>63</v>
      </c>
      <c r="AD1682" t="s">
        <v>93</v>
      </c>
      <c r="AE1682" t="s">
        <v>4532</v>
      </c>
      <c r="AF1682" t="s">
        <v>48</v>
      </c>
      <c r="AG1682" t="s">
        <v>2980</v>
      </c>
      <c r="AH1682" t="s">
        <v>93</v>
      </c>
      <c r="AI1682">
        <v>21330</v>
      </c>
      <c r="AJ1682">
        <v>1963</v>
      </c>
      <c r="AK1682" t="s">
        <v>8912</v>
      </c>
      <c r="AL1682" t="s">
        <v>8913</v>
      </c>
      <c r="AM1682">
        <v>0.434</v>
      </c>
      <c r="AN1682">
        <v>0.32200000000000001</v>
      </c>
      <c r="AO1682">
        <v>0.434</v>
      </c>
      <c r="AP1682" s="46">
        <v>0</v>
      </c>
      <c r="AQ1682" s="46">
        <v>0</v>
      </c>
      <c r="AR1682" s="46">
        <v>0</v>
      </c>
      <c r="AS1682" s="46">
        <v>0</v>
      </c>
      <c r="AT1682" s="46">
        <v>0</v>
      </c>
      <c r="AU1682" s="46">
        <v>0</v>
      </c>
      <c r="AV1682" s="46">
        <v>0</v>
      </c>
      <c r="AW1682" s="46">
        <v>0</v>
      </c>
      <c r="AX1682" s="46">
        <v>0</v>
      </c>
      <c r="AY1682" s="46">
        <v>0</v>
      </c>
      <c r="AZ1682" s="46">
        <v>0</v>
      </c>
      <c r="BA1682" s="46">
        <v>0</v>
      </c>
      <c r="BB1682" s="46">
        <v>1</v>
      </c>
      <c r="BC1682" s="46">
        <v>0</v>
      </c>
      <c r="BD1682" s="46">
        <v>0</v>
      </c>
      <c r="BE1682" s="46">
        <v>0</v>
      </c>
      <c r="BF1682" s="46">
        <v>0</v>
      </c>
      <c r="BG1682" s="46" t="s">
        <v>48</v>
      </c>
      <c r="BH1682" s="46">
        <v>0</v>
      </c>
      <c r="BI1682" s="46">
        <v>0</v>
      </c>
      <c r="BJ1682" s="46">
        <v>0</v>
      </c>
      <c r="BK1682" s="46">
        <v>0</v>
      </c>
      <c r="BL1682" s="46">
        <v>0</v>
      </c>
      <c r="BM1682" s="46">
        <v>0</v>
      </c>
      <c r="BN1682" s="46">
        <v>0</v>
      </c>
    </row>
    <row r="1683" spans="1:66" x14ac:dyDescent="0.35">
      <c r="A1683" t="s">
        <v>2992</v>
      </c>
      <c r="B1683" s="44" t="s">
        <v>48</v>
      </c>
      <c r="C1683" t="s">
        <v>2994</v>
      </c>
      <c r="D1683" t="s">
        <v>879</v>
      </c>
      <c r="E1683" t="s">
        <v>2993</v>
      </c>
      <c r="F1683" t="s">
        <v>2983</v>
      </c>
      <c r="G1683" t="s">
        <v>74</v>
      </c>
      <c r="H1683">
        <v>0</v>
      </c>
      <c r="I1683" s="60" t="s">
        <v>125</v>
      </c>
      <c r="J1683" s="33" t="s">
        <v>45</v>
      </c>
      <c r="K1683" s="46">
        <v>0</v>
      </c>
      <c r="L1683">
        <v>24</v>
      </c>
      <c r="M1683" t="s">
        <v>48</v>
      </c>
      <c r="N1683" s="46">
        <v>0</v>
      </c>
      <c r="O1683" s="46">
        <v>0</v>
      </c>
      <c r="P1683" s="46">
        <v>0</v>
      </c>
      <c r="Q1683" t="s">
        <v>48</v>
      </c>
      <c r="R1683" t="s">
        <v>48</v>
      </c>
      <c r="S1683" t="s">
        <v>48</v>
      </c>
      <c r="T1683" t="s">
        <v>48</v>
      </c>
      <c r="U1683" t="s">
        <v>48</v>
      </c>
      <c r="V1683" s="47">
        <v>0</v>
      </c>
      <c r="W1683" t="s">
        <v>48</v>
      </c>
      <c r="X1683" t="s">
        <v>48</v>
      </c>
      <c r="Y1683" t="s">
        <v>48</v>
      </c>
      <c r="Z1683">
        <v>0</v>
      </c>
      <c r="AA1683" t="s">
        <v>48</v>
      </c>
      <c r="AB1683" t="s">
        <v>48</v>
      </c>
      <c r="AC1683" t="s">
        <v>49</v>
      </c>
      <c r="AD1683" t="s">
        <v>93</v>
      </c>
      <c r="AE1683" s="40" t="s">
        <v>4532</v>
      </c>
      <c r="AF1683" t="s">
        <v>48</v>
      </c>
      <c r="AG1683" t="s">
        <v>48</v>
      </c>
      <c r="AH1683" t="s">
        <v>48</v>
      </c>
      <c r="AI1683" t="s">
        <v>48</v>
      </c>
      <c r="AJ1683" t="s">
        <v>48</v>
      </c>
      <c r="AK1683" t="s">
        <v>48</v>
      </c>
      <c r="AL1683" t="s">
        <v>48</v>
      </c>
      <c r="AM1683" t="s">
        <v>48</v>
      </c>
      <c r="AN1683" t="s">
        <v>48</v>
      </c>
      <c r="AO1683" t="s">
        <v>48</v>
      </c>
      <c r="AP1683" s="46">
        <v>0</v>
      </c>
      <c r="AQ1683" s="46">
        <v>0</v>
      </c>
      <c r="AR1683" s="46">
        <v>0</v>
      </c>
      <c r="AS1683" s="46">
        <v>0</v>
      </c>
      <c r="AT1683" s="46">
        <v>0</v>
      </c>
      <c r="AU1683" s="46">
        <v>0</v>
      </c>
      <c r="AV1683" s="46">
        <v>0</v>
      </c>
      <c r="AW1683" s="46">
        <v>0</v>
      </c>
      <c r="AX1683" s="46">
        <v>0</v>
      </c>
      <c r="AY1683" s="46">
        <v>0</v>
      </c>
      <c r="AZ1683" s="46">
        <v>0</v>
      </c>
      <c r="BA1683" s="46">
        <v>0</v>
      </c>
      <c r="BB1683" s="46">
        <v>0</v>
      </c>
      <c r="BC1683" s="46">
        <v>0</v>
      </c>
      <c r="BD1683" s="46">
        <v>0</v>
      </c>
      <c r="BE1683" s="46">
        <v>0</v>
      </c>
      <c r="BF1683" s="46">
        <v>0</v>
      </c>
      <c r="BG1683" s="46" t="s">
        <v>48</v>
      </c>
      <c r="BH1683" s="46">
        <v>0</v>
      </c>
      <c r="BI1683" s="46">
        <v>0</v>
      </c>
      <c r="BJ1683" s="46">
        <v>0</v>
      </c>
      <c r="BK1683" s="46">
        <v>0</v>
      </c>
      <c r="BL1683" s="46">
        <v>0</v>
      </c>
      <c r="BM1683" s="46">
        <v>0</v>
      </c>
      <c r="BN1683" s="46">
        <v>0</v>
      </c>
    </row>
    <row r="1684" spans="1:66" x14ac:dyDescent="0.35">
      <c r="A1684" t="s">
        <v>2988</v>
      </c>
      <c r="B1684" s="44" t="s">
        <v>48</v>
      </c>
      <c r="C1684" t="s">
        <v>2991</v>
      </c>
      <c r="D1684" t="s">
        <v>2990</v>
      </c>
      <c r="E1684" t="s">
        <v>2989</v>
      </c>
      <c r="F1684" t="s">
        <v>2983</v>
      </c>
      <c r="G1684" t="s">
        <v>74</v>
      </c>
      <c r="H1684">
        <v>0</v>
      </c>
      <c r="I1684" s="60" t="s">
        <v>125</v>
      </c>
      <c r="J1684" s="33" t="s">
        <v>45</v>
      </c>
      <c r="K1684" s="46">
        <v>0</v>
      </c>
      <c r="L1684">
        <v>19.899999999999999</v>
      </c>
      <c r="M1684" t="s">
        <v>48</v>
      </c>
      <c r="N1684" s="46">
        <v>0</v>
      </c>
      <c r="O1684" s="46">
        <v>0</v>
      </c>
      <c r="P1684" s="46">
        <v>0</v>
      </c>
      <c r="Q1684" t="s">
        <v>48</v>
      </c>
      <c r="R1684" t="s">
        <v>48</v>
      </c>
      <c r="S1684" t="s">
        <v>48</v>
      </c>
      <c r="T1684" t="s">
        <v>48</v>
      </c>
      <c r="U1684" t="s">
        <v>48</v>
      </c>
      <c r="V1684" s="47">
        <v>0</v>
      </c>
      <c r="W1684" t="s">
        <v>48</v>
      </c>
      <c r="X1684" t="s">
        <v>48</v>
      </c>
      <c r="Y1684" t="s">
        <v>48</v>
      </c>
      <c r="Z1684">
        <v>0</v>
      </c>
      <c r="AA1684" t="s">
        <v>48</v>
      </c>
      <c r="AB1684" t="s">
        <v>48</v>
      </c>
      <c r="AC1684" t="s">
        <v>49</v>
      </c>
      <c r="AD1684" t="s">
        <v>93</v>
      </c>
      <c r="AE1684" t="s">
        <v>4532</v>
      </c>
      <c r="AF1684" t="s">
        <v>48</v>
      </c>
      <c r="AG1684" t="s">
        <v>48</v>
      </c>
      <c r="AH1684" t="s">
        <v>48</v>
      </c>
      <c r="AI1684" t="s">
        <v>48</v>
      </c>
      <c r="AJ1684" t="s">
        <v>48</v>
      </c>
      <c r="AK1684" t="s">
        <v>48</v>
      </c>
      <c r="AL1684" t="s">
        <v>48</v>
      </c>
      <c r="AM1684" t="s">
        <v>48</v>
      </c>
      <c r="AN1684" t="s">
        <v>48</v>
      </c>
      <c r="AO1684" t="s">
        <v>48</v>
      </c>
      <c r="AP1684" s="46">
        <v>0</v>
      </c>
      <c r="AQ1684" s="46">
        <v>0</v>
      </c>
      <c r="AR1684" s="46">
        <v>0</v>
      </c>
      <c r="AS1684" s="46">
        <v>0</v>
      </c>
      <c r="AT1684" s="46">
        <v>0</v>
      </c>
      <c r="AU1684" s="46">
        <v>0</v>
      </c>
      <c r="AV1684" s="46">
        <v>0</v>
      </c>
      <c r="AW1684" s="46">
        <v>0</v>
      </c>
      <c r="AX1684" s="46">
        <v>0</v>
      </c>
      <c r="AY1684" s="46">
        <v>0</v>
      </c>
      <c r="AZ1684" s="46">
        <v>0</v>
      </c>
      <c r="BA1684" s="46">
        <v>0</v>
      </c>
      <c r="BB1684" s="46">
        <v>0</v>
      </c>
      <c r="BC1684" s="46">
        <v>0</v>
      </c>
      <c r="BD1684" s="46">
        <v>0</v>
      </c>
      <c r="BE1684" s="46">
        <v>0</v>
      </c>
      <c r="BF1684" s="46">
        <v>0</v>
      </c>
      <c r="BG1684" s="46" t="s">
        <v>48</v>
      </c>
      <c r="BH1684" s="46">
        <v>0</v>
      </c>
      <c r="BI1684" s="46">
        <v>0</v>
      </c>
      <c r="BJ1684" s="46">
        <v>0</v>
      </c>
      <c r="BK1684" s="46">
        <v>0</v>
      </c>
      <c r="BL1684" s="46">
        <v>0</v>
      </c>
      <c r="BM1684" s="46">
        <v>0</v>
      </c>
      <c r="BN1684" s="46">
        <v>0</v>
      </c>
    </row>
    <row r="1685" spans="1:66" x14ac:dyDescent="0.35">
      <c r="A1685" t="s">
        <v>3011</v>
      </c>
      <c r="B1685" s="44" t="s">
        <v>48</v>
      </c>
      <c r="C1685" t="s">
        <v>3014</v>
      </c>
      <c r="D1685" t="s">
        <v>3013</v>
      </c>
      <c r="E1685" t="s">
        <v>3012</v>
      </c>
      <c r="F1685" t="s">
        <v>3001</v>
      </c>
      <c r="G1685" t="s">
        <v>74</v>
      </c>
      <c r="H1685">
        <v>0</v>
      </c>
      <c r="I1685" s="60" t="s">
        <v>125</v>
      </c>
      <c r="J1685" s="33" t="s">
        <v>45</v>
      </c>
      <c r="K1685" s="46">
        <v>0</v>
      </c>
      <c r="L1685">
        <v>31.8</v>
      </c>
      <c r="M1685" t="s">
        <v>48</v>
      </c>
      <c r="N1685" s="46">
        <v>0</v>
      </c>
      <c r="O1685" s="46">
        <v>0</v>
      </c>
      <c r="P1685" s="46">
        <v>0</v>
      </c>
      <c r="Q1685" t="s">
        <v>48</v>
      </c>
      <c r="R1685" t="s">
        <v>48</v>
      </c>
      <c r="S1685" t="s">
        <v>48</v>
      </c>
      <c r="T1685" t="s">
        <v>48</v>
      </c>
      <c r="U1685" t="s">
        <v>48</v>
      </c>
      <c r="V1685" s="47">
        <v>1</v>
      </c>
      <c r="W1685" t="s">
        <v>11264</v>
      </c>
      <c r="X1685" t="s">
        <v>48</v>
      </c>
      <c r="Y1685" t="s">
        <v>48</v>
      </c>
      <c r="Z1685">
        <v>0</v>
      </c>
      <c r="AA1685" t="s">
        <v>48</v>
      </c>
      <c r="AB1685" t="s">
        <v>48</v>
      </c>
      <c r="AC1685" t="s">
        <v>49</v>
      </c>
      <c r="AD1685" t="s">
        <v>48</v>
      </c>
      <c r="AE1685" t="s">
        <v>48</v>
      </c>
      <c r="AF1685" t="s">
        <v>48</v>
      </c>
      <c r="AG1685" t="s">
        <v>48</v>
      </c>
      <c r="AH1685" t="s">
        <v>48</v>
      </c>
      <c r="AI1685" t="s">
        <v>48</v>
      </c>
      <c r="AJ1685" t="s">
        <v>48</v>
      </c>
      <c r="AK1685" t="s">
        <v>48</v>
      </c>
      <c r="AL1685" t="s">
        <v>48</v>
      </c>
      <c r="AM1685" t="s">
        <v>48</v>
      </c>
      <c r="AN1685" t="s">
        <v>48</v>
      </c>
      <c r="AO1685" t="s">
        <v>48</v>
      </c>
      <c r="AP1685" s="46">
        <v>0</v>
      </c>
      <c r="AQ1685" s="46">
        <v>0</v>
      </c>
      <c r="AR1685" s="46">
        <v>0</v>
      </c>
      <c r="AS1685" s="46">
        <v>0</v>
      </c>
      <c r="AT1685" s="46">
        <v>0</v>
      </c>
      <c r="AU1685" s="46">
        <v>0</v>
      </c>
      <c r="AV1685" s="46">
        <v>0</v>
      </c>
      <c r="AW1685" s="46">
        <v>0</v>
      </c>
      <c r="AX1685" s="46">
        <v>0</v>
      </c>
      <c r="AY1685" s="46">
        <v>0</v>
      </c>
      <c r="AZ1685" s="46">
        <v>0</v>
      </c>
      <c r="BA1685" s="46">
        <v>0</v>
      </c>
      <c r="BB1685" s="46">
        <v>0</v>
      </c>
      <c r="BC1685" s="46">
        <v>0</v>
      </c>
      <c r="BD1685" s="46">
        <v>0</v>
      </c>
      <c r="BE1685" s="46">
        <v>0</v>
      </c>
      <c r="BF1685" s="46">
        <v>0</v>
      </c>
      <c r="BG1685" s="46" t="s">
        <v>48</v>
      </c>
      <c r="BH1685" s="46">
        <v>0</v>
      </c>
      <c r="BI1685" s="46">
        <v>0</v>
      </c>
      <c r="BJ1685" s="46">
        <v>0</v>
      </c>
      <c r="BK1685" s="46">
        <v>0</v>
      </c>
      <c r="BL1685" s="46">
        <v>0</v>
      </c>
      <c r="BM1685" s="46">
        <v>0</v>
      </c>
      <c r="BN1685" s="46">
        <v>0</v>
      </c>
    </row>
    <row r="1686" spans="1:66" x14ac:dyDescent="0.35">
      <c r="A1686" t="s">
        <v>3015</v>
      </c>
      <c r="B1686" s="44" t="s">
        <v>48</v>
      </c>
      <c r="C1686" t="s">
        <v>3018</v>
      </c>
      <c r="D1686" t="s">
        <v>1193</v>
      </c>
      <c r="E1686" t="s">
        <v>3017</v>
      </c>
      <c r="F1686" t="s">
        <v>3016</v>
      </c>
      <c r="G1686" t="s">
        <v>74</v>
      </c>
      <c r="H1686">
        <v>0</v>
      </c>
      <c r="I1686" s="60" t="s">
        <v>881</v>
      </c>
      <c r="J1686" s="33" t="s">
        <v>45</v>
      </c>
      <c r="K1686" s="46">
        <v>0</v>
      </c>
      <c r="L1686">
        <v>40</v>
      </c>
      <c r="M1686" t="s">
        <v>48</v>
      </c>
      <c r="N1686" s="46">
        <v>0</v>
      </c>
      <c r="O1686" s="46">
        <v>0</v>
      </c>
      <c r="P1686" s="46">
        <v>0</v>
      </c>
      <c r="Q1686" t="s">
        <v>48</v>
      </c>
      <c r="R1686" t="s">
        <v>48</v>
      </c>
      <c r="S1686" t="s">
        <v>10110</v>
      </c>
      <c r="T1686" t="s">
        <v>48</v>
      </c>
      <c r="U1686" t="s">
        <v>10110</v>
      </c>
      <c r="V1686" s="47">
        <v>0</v>
      </c>
      <c r="W1686" t="s">
        <v>48</v>
      </c>
      <c r="X1686" t="s">
        <v>48</v>
      </c>
      <c r="Y1686" t="s">
        <v>48</v>
      </c>
      <c r="Z1686">
        <v>0</v>
      </c>
      <c r="AA1686" t="s">
        <v>48</v>
      </c>
      <c r="AB1686" t="s">
        <v>48</v>
      </c>
      <c r="AC1686" t="s">
        <v>49</v>
      </c>
      <c r="AD1686" t="s">
        <v>93</v>
      </c>
      <c r="AE1686" t="s">
        <v>4532</v>
      </c>
      <c r="AF1686" t="s">
        <v>48</v>
      </c>
      <c r="AG1686" t="s">
        <v>48</v>
      </c>
      <c r="AH1686" t="s">
        <v>48</v>
      </c>
      <c r="AI1686" t="s">
        <v>48</v>
      </c>
      <c r="AJ1686" t="s">
        <v>48</v>
      </c>
      <c r="AK1686" t="s">
        <v>48</v>
      </c>
      <c r="AL1686" t="s">
        <v>48</v>
      </c>
      <c r="AM1686" t="s">
        <v>48</v>
      </c>
      <c r="AN1686" t="s">
        <v>48</v>
      </c>
      <c r="AO1686" t="s">
        <v>48</v>
      </c>
      <c r="AP1686" s="46">
        <v>0</v>
      </c>
      <c r="AQ1686" s="46">
        <v>0</v>
      </c>
      <c r="AR1686" s="46">
        <v>0</v>
      </c>
      <c r="AS1686" s="46">
        <v>0</v>
      </c>
      <c r="AT1686" s="46">
        <v>0</v>
      </c>
      <c r="AU1686" s="46">
        <v>0</v>
      </c>
      <c r="AV1686" s="46">
        <v>0</v>
      </c>
      <c r="AW1686" s="46">
        <v>0</v>
      </c>
      <c r="AX1686" s="46">
        <v>0</v>
      </c>
      <c r="AY1686" s="46">
        <v>0</v>
      </c>
      <c r="AZ1686" s="46">
        <v>0</v>
      </c>
      <c r="BA1686" s="46">
        <v>0</v>
      </c>
      <c r="BB1686" s="46">
        <v>0</v>
      </c>
      <c r="BC1686" s="46">
        <v>0</v>
      </c>
      <c r="BD1686" s="46">
        <v>0</v>
      </c>
      <c r="BE1686" s="46">
        <v>0</v>
      </c>
      <c r="BF1686" s="46">
        <v>0</v>
      </c>
      <c r="BG1686" s="46" t="s">
        <v>48</v>
      </c>
      <c r="BH1686" s="46">
        <v>0</v>
      </c>
      <c r="BI1686" s="46">
        <v>0</v>
      </c>
      <c r="BJ1686" s="46">
        <v>0</v>
      </c>
      <c r="BK1686" s="46">
        <v>0</v>
      </c>
      <c r="BL1686" s="46">
        <v>0</v>
      </c>
      <c r="BM1686" s="46">
        <v>0</v>
      </c>
      <c r="BN1686" s="46">
        <v>0</v>
      </c>
    </row>
    <row r="1687" spans="1:66" x14ac:dyDescent="0.35">
      <c r="A1687" t="s">
        <v>3035</v>
      </c>
      <c r="B1687" s="44" t="s">
        <v>48</v>
      </c>
      <c r="C1687" t="s">
        <v>3037</v>
      </c>
      <c r="D1687" t="s">
        <v>1783</v>
      </c>
      <c r="E1687" t="s">
        <v>3036</v>
      </c>
      <c r="F1687" t="s">
        <v>3030</v>
      </c>
      <c r="G1687" t="s">
        <v>74</v>
      </c>
      <c r="H1687">
        <v>0</v>
      </c>
      <c r="I1687" s="60" t="s">
        <v>125</v>
      </c>
      <c r="J1687" s="33" t="s">
        <v>45</v>
      </c>
      <c r="K1687" s="46">
        <v>0</v>
      </c>
      <c r="L1687">
        <v>26.9</v>
      </c>
      <c r="M1687" t="s">
        <v>48</v>
      </c>
      <c r="N1687" s="46">
        <v>0</v>
      </c>
      <c r="O1687" s="46">
        <v>0</v>
      </c>
      <c r="P1687" s="46">
        <v>0</v>
      </c>
      <c r="Q1687" t="s">
        <v>48</v>
      </c>
      <c r="R1687" t="s">
        <v>48</v>
      </c>
      <c r="S1687" t="s">
        <v>48</v>
      </c>
      <c r="T1687" t="s">
        <v>48</v>
      </c>
      <c r="U1687" t="s">
        <v>48</v>
      </c>
      <c r="V1687" s="47">
        <v>1</v>
      </c>
      <c r="W1687" t="s">
        <v>11264</v>
      </c>
      <c r="X1687" t="s">
        <v>48</v>
      </c>
      <c r="Y1687" t="s">
        <v>48</v>
      </c>
      <c r="Z1687">
        <v>0</v>
      </c>
      <c r="AA1687" t="s">
        <v>48</v>
      </c>
      <c r="AB1687" t="s">
        <v>48</v>
      </c>
      <c r="AC1687" t="s">
        <v>49</v>
      </c>
      <c r="AD1687" t="s">
        <v>93</v>
      </c>
      <c r="AE1687" t="s">
        <v>4532</v>
      </c>
      <c r="AF1687" t="s">
        <v>48</v>
      </c>
      <c r="AG1687" t="s">
        <v>48</v>
      </c>
      <c r="AH1687" t="s">
        <v>48</v>
      </c>
      <c r="AI1687" t="s">
        <v>48</v>
      </c>
      <c r="AJ1687" t="s">
        <v>48</v>
      </c>
      <c r="AK1687" t="s">
        <v>48</v>
      </c>
      <c r="AL1687" t="s">
        <v>48</v>
      </c>
      <c r="AM1687" t="s">
        <v>48</v>
      </c>
      <c r="AN1687" t="s">
        <v>48</v>
      </c>
      <c r="AO1687" t="s">
        <v>48</v>
      </c>
      <c r="AP1687" s="46">
        <v>0</v>
      </c>
      <c r="AQ1687" s="46">
        <v>0</v>
      </c>
      <c r="AR1687" s="46">
        <v>0</v>
      </c>
      <c r="AS1687" s="46">
        <v>0</v>
      </c>
      <c r="AT1687" s="46">
        <v>0</v>
      </c>
      <c r="AU1687" s="46">
        <v>0</v>
      </c>
      <c r="AV1687" s="46">
        <v>0</v>
      </c>
      <c r="AW1687" s="46">
        <v>0</v>
      </c>
      <c r="AX1687" s="46">
        <v>0</v>
      </c>
      <c r="AY1687" s="46">
        <v>0</v>
      </c>
      <c r="AZ1687" s="46">
        <v>0</v>
      </c>
      <c r="BA1687" s="46">
        <v>0</v>
      </c>
      <c r="BB1687" s="46">
        <v>0</v>
      </c>
      <c r="BC1687" s="46">
        <v>0</v>
      </c>
      <c r="BD1687" s="46">
        <v>0</v>
      </c>
      <c r="BE1687" s="46">
        <v>0</v>
      </c>
      <c r="BF1687" s="46">
        <v>0</v>
      </c>
      <c r="BG1687" s="46" t="s">
        <v>48</v>
      </c>
      <c r="BH1687" s="46">
        <v>0</v>
      </c>
      <c r="BI1687" s="46">
        <v>0</v>
      </c>
      <c r="BJ1687" s="46">
        <v>0</v>
      </c>
      <c r="BK1687" s="46">
        <v>0</v>
      </c>
      <c r="BL1687" s="46">
        <v>0</v>
      </c>
      <c r="BM1687" s="46">
        <v>0</v>
      </c>
      <c r="BN1687" s="46">
        <v>0</v>
      </c>
    </row>
    <row r="1688" spans="1:66" x14ac:dyDescent="0.35">
      <c r="A1688" t="s">
        <v>3029</v>
      </c>
      <c r="B1688" s="44" t="s">
        <v>48</v>
      </c>
      <c r="C1688" t="s">
        <v>3033</v>
      </c>
      <c r="D1688" t="s">
        <v>603</v>
      </c>
      <c r="E1688" t="s">
        <v>3031</v>
      </c>
      <c r="F1688" t="s">
        <v>3030</v>
      </c>
      <c r="G1688" t="s">
        <v>47</v>
      </c>
      <c r="H1688">
        <v>0</v>
      </c>
      <c r="I1688" s="60" t="s">
        <v>125</v>
      </c>
      <c r="J1688" s="33" t="s">
        <v>45</v>
      </c>
      <c r="K1688" s="46">
        <v>0</v>
      </c>
      <c r="L1688">
        <v>22.4</v>
      </c>
      <c r="M1688" t="s">
        <v>48</v>
      </c>
      <c r="N1688" s="46">
        <v>0</v>
      </c>
      <c r="O1688" s="46">
        <v>0</v>
      </c>
      <c r="P1688" s="46">
        <v>0</v>
      </c>
      <c r="Q1688" t="s">
        <v>48</v>
      </c>
      <c r="R1688" t="s">
        <v>48</v>
      </c>
      <c r="S1688" t="s">
        <v>3032</v>
      </c>
      <c r="T1688" t="s">
        <v>48</v>
      </c>
      <c r="U1688" t="s">
        <v>3032</v>
      </c>
      <c r="V1688" s="47">
        <v>0</v>
      </c>
      <c r="W1688" t="s">
        <v>48</v>
      </c>
      <c r="X1688" t="s">
        <v>48</v>
      </c>
      <c r="Y1688" t="s">
        <v>48</v>
      </c>
      <c r="Z1688">
        <v>0</v>
      </c>
      <c r="AA1688" t="s">
        <v>48</v>
      </c>
      <c r="AB1688" t="s">
        <v>48</v>
      </c>
      <c r="AC1688" t="s">
        <v>49</v>
      </c>
      <c r="AD1688" t="s">
        <v>48</v>
      </c>
      <c r="AE1688" t="s">
        <v>48</v>
      </c>
      <c r="AF1688" t="s">
        <v>48</v>
      </c>
      <c r="AG1688" t="s">
        <v>48</v>
      </c>
      <c r="AH1688" t="s">
        <v>48</v>
      </c>
      <c r="AI1688" t="s">
        <v>48</v>
      </c>
      <c r="AJ1688" t="s">
        <v>48</v>
      </c>
      <c r="AK1688" t="s">
        <v>48</v>
      </c>
      <c r="AL1688" t="s">
        <v>48</v>
      </c>
      <c r="AM1688" t="s">
        <v>48</v>
      </c>
      <c r="AN1688" t="s">
        <v>48</v>
      </c>
      <c r="AO1688" t="s">
        <v>48</v>
      </c>
      <c r="AP1688" s="46">
        <v>0</v>
      </c>
      <c r="AQ1688" s="46">
        <v>0</v>
      </c>
      <c r="AR1688" s="46">
        <v>0</v>
      </c>
      <c r="AS1688" s="46">
        <v>0</v>
      </c>
      <c r="AT1688" s="46">
        <v>0</v>
      </c>
      <c r="AU1688" s="46">
        <v>0</v>
      </c>
      <c r="AV1688" s="46">
        <v>0</v>
      </c>
      <c r="AW1688" s="46">
        <v>0</v>
      </c>
      <c r="AX1688" s="46">
        <v>0</v>
      </c>
      <c r="AY1688" s="46">
        <v>0</v>
      </c>
      <c r="AZ1688" s="46">
        <v>0</v>
      </c>
      <c r="BA1688" s="46">
        <v>0</v>
      </c>
      <c r="BB1688" s="46">
        <v>0</v>
      </c>
      <c r="BC1688" s="46">
        <v>0</v>
      </c>
      <c r="BD1688" s="46">
        <v>0</v>
      </c>
      <c r="BE1688" s="46">
        <v>0</v>
      </c>
      <c r="BF1688" s="46">
        <v>0</v>
      </c>
      <c r="BG1688" s="46" t="s">
        <v>48</v>
      </c>
      <c r="BH1688" s="46">
        <v>0</v>
      </c>
      <c r="BI1688" s="46">
        <v>0</v>
      </c>
      <c r="BJ1688" s="46">
        <v>0</v>
      </c>
      <c r="BK1688" s="46">
        <v>0</v>
      </c>
      <c r="BL1688" s="46">
        <v>0</v>
      </c>
      <c r="BM1688" s="46">
        <v>0</v>
      </c>
      <c r="BN1688" s="46">
        <v>0</v>
      </c>
    </row>
    <row r="1689" spans="1:66" x14ac:dyDescent="0.35">
      <c r="A1689" t="s">
        <v>3048</v>
      </c>
      <c r="B1689" s="44" t="s">
        <v>48</v>
      </c>
      <c r="C1689" t="s">
        <v>2183</v>
      </c>
      <c r="D1689" t="s">
        <v>1915</v>
      </c>
      <c r="E1689" t="s">
        <v>3050</v>
      </c>
      <c r="F1689" t="s">
        <v>3049</v>
      </c>
      <c r="G1689" t="s">
        <v>47</v>
      </c>
      <c r="H1689">
        <v>0</v>
      </c>
      <c r="I1689" s="60" t="s">
        <v>125</v>
      </c>
      <c r="J1689" s="33" t="s">
        <v>45</v>
      </c>
      <c r="K1689" s="46">
        <v>0</v>
      </c>
      <c r="L1689">
        <v>11.6</v>
      </c>
      <c r="M1689" t="s">
        <v>48</v>
      </c>
      <c r="N1689" s="46">
        <v>0</v>
      </c>
      <c r="O1689" s="46">
        <v>0</v>
      </c>
      <c r="P1689" s="46">
        <v>0</v>
      </c>
      <c r="Q1689" t="s">
        <v>48</v>
      </c>
      <c r="R1689" t="s">
        <v>48</v>
      </c>
      <c r="S1689" t="s">
        <v>48</v>
      </c>
      <c r="T1689" t="s">
        <v>48</v>
      </c>
      <c r="U1689" t="s">
        <v>48</v>
      </c>
      <c r="V1689" s="47">
        <v>0</v>
      </c>
      <c r="W1689" t="s">
        <v>48</v>
      </c>
      <c r="X1689" t="s">
        <v>48</v>
      </c>
      <c r="Y1689" t="s">
        <v>48</v>
      </c>
      <c r="Z1689">
        <v>0</v>
      </c>
      <c r="AA1689" t="s">
        <v>48</v>
      </c>
      <c r="AB1689" t="s">
        <v>48</v>
      </c>
      <c r="AC1689" t="s">
        <v>49</v>
      </c>
      <c r="AD1689" t="s">
        <v>93</v>
      </c>
      <c r="AE1689" t="s">
        <v>4532</v>
      </c>
      <c r="AF1689" t="s">
        <v>48</v>
      </c>
      <c r="AG1689" t="s">
        <v>48</v>
      </c>
      <c r="AH1689" t="s">
        <v>48</v>
      </c>
      <c r="AI1689" t="s">
        <v>48</v>
      </c>
      <c r="AJ1689" t="s">
        <v>48</v>
      </c>
      <c r="AK1689" t="s">
        <v>48</v>
      </c>
      <c r="AL1689" t="s">
        <v>48</v>
      </c>
      <c r="AM1689" t="s">
        <v>48</v>
      </c>
      <c r="AN1689" t="s">
        <v>48</v>
      </c>
      <c r="AO1689" t="s">
        <v>48</v>
      </c>
      <c r="AP1689" s="46">
        <v>0</v>
      </c>
      <c r="AQ1689" s="46">
        <v>0</v>
      </c>
      <c r="AR1689" s="46">
        <v>0</v>
      </c>
      <c r="AS1689" s="46">
        <v>0</v>
      </c>
      <c r="AT1689" s="46">
        <v>0</v>
      </c>
      <c r="AU1689" s="46">
        <v>0</v>
      </c>
      <c r="AV1689" s="46">
        <v>0</v>
      </c>
      <c r="AW1689" s="46">
        <v>0</v>
      </c>
      <c r="AX1689" s="46">
        <v>0</v>
      </c>
      <c r="AY1689" s="46">
        <v>0</v>
      </c>
      <c r="AZ1689" s="46">
        <v>0</v>
      </c>
      <c r="BA1689" s="46">
        <v>0</v>
      </c>
      <c r="BB1689" s="46">
        <v>0</v>
      </c>
      <c r="BC1689" s="46">
        <v>0</v>
      </c>
      <c r="BD1689" s="46">
        <v>0</v>
      </c>
      <c r="BE1689" s="46">
        <v>0</v>
      </c>
      <c r="BF1689" s="46">
        <v>0</v>
      </c>
      <c r="BG1689" s="46" t="s">
        <v>48</v>
      </c>
      <c r="BH1689" s="46">
        <v>0</v>
      </c>
      <c r="BI1689" s="46">
        <v>0</v>
      </c>
      <c r="BJ1689" s="46">
        <v>0</v>
      </c>
      <c r="BK1689" s="46">
        <v>0</v>
      </c>
      <c r="BL1689" s="46">
        <v>0</v>
      </c>
      <c r="BM1689" s="46">
        <v>0</v>
      </c>
      <c r="BN1689" s="46">
        <v>0</v>
      </c>
    </row>
    <row r="1690" spans="1:66" x14ac:dyDescent="0.35">
      <c r="A1690" t="s">
        <v>3058</v>
      </c>
      <c r="B1690" s="44" t="s">
        <v>48</v>
      </c>
      <c r="C1690" t="s">
        <v>3061</v>
      </c>
      <c r="D1690" t="s">
        <v>3060</v>
      </c>
      <c r="E1690" t="s">
        <v>3059</v>
      </c>
      <c r="F1690" t="s">
        <v>3049</v>
      </c>
      <c r="G1690" t="s">
        <v>74</v>
      </c>
      <c r="H1690">
        <v>0</v>
      </c>
      <c r="I1690" s="60" t="s">
        <v>125</v>
      </c>
      <c r="J1690" s="33" t="s">
        <v>45</v>
      </c>
      <c r="K1690" s="46">
        <v>0</v>
      </c>
      <c r="L1690">
        <v>3.9</v>
      </c>
      <c r="M1690" t="s">
        <v>48</v>
      </c>
      <c r="N1690" s="46">
        <v>0</v>
      </c>
      <c r="O1690" s="46">
        <v>0</v>
      </c>
      <c r="P1690" s="46">
        <v>0</v>
      </c>
      <c r="Q1690" t="s">
        <v>48</v>
      </c>
      <c r="R1690" t="s">
        <v>48</v>
      </c>
      <c r="S1690" t="s">
        <v>48</v>
      </c>
      <c r="T1690" t="s">
        <v>48</v>
      </c>
      <c r="U1690" t="s">
        <v>48</v>
      </c>
      <c r="V1690" s="47">
        <v>0</v>
      </c>
      <c r="W1690" t="s">
        <v>48</v>
      </c>
      <c r="X1690" t="s">
        <v>48</v>
      </c>
      <c r="Y1690" t="s">
        <v>48</v>
      </c>
      <c r="Z1690">
        <v>0</v>
      </c>
      <c r="AA1690" t="s">
        <v>48</v>
      </c>
      <c r="AB1690" t="s">
        <v>48</v>
      </c>
      <c r="AC1690" t="s">
        <v>49</v>
      </c>
      <c r="AD1690" t="s">
        <v>93</v>
      </c>
      <c r="AE1690" s="40" t="s">
        <v>2471</v>
      </c>
      <c r="AF1690" t="s">
        <v>11061</v>
      </c>
      <c r="AG1690" t="s">
        <v>48</v>
      </c>
      <c r="AH1690" t="s">
        <v>48</v>
      </c>
      <c r="AI1690" t="s">
        <v>48</v>
      </c>
      <c r="AJ1690" t="s">
        <v>48</v>
      </c>
      <c r="AK1690" t="s">
        <v>48</v>
      </c>
      <c r="AL1690" t="s">
        <v>48</v>
      </c>
      <c r="AM1690" t="s">
        <v>48</v>
      </c>
      <c r="AN1690" t="s">
        <v>48</v>
      </c>
      <c r="AO1690" t="s">
        <v>48</v>
      </c>
      <c r="AP1690" s="46">
        <v>0</v>
      </c>
      <c r="AQ1690" s="46">
        <v>0</v>
      </c>
      <c r="AR1690" s="46">
        <v>0</v>
      </c>
      <c r="AS1690" s="46">
        <v>0</v>
      </c>
      <c r="AT1690" s="46">
        <v>0</v>
      </c>
      <c r="AU1690" s="46">
        <v>0</v>
      </c>
      <c r="AV1690" s="46">
        <v>0</v>
      </c>
      <c r="AW1690" s="46">
        <v>0</v>
      </c>
      <c r="AX1690" s="46">
        <v>0</v>
      </c>
      <c r="AY1690" s="46">
        <v>0</v>
      </c>
      <c r="AZ1690" s="46">
        <v>0</v>
      </c>
      <c r="BA1690" s="46">
        <v>0</v>
      </c>
      <c r="BB1690" s="46">
        <v>0</v>
      </c>
      <c r="BC1690" s="46">
        <v>0</v>
      </c>
      <c r="BD1690" s="46">
        <v>0</v>
      </c>
      <c r="BE1690" s="46">
        <v>0</v>
      </c>
      <c r="BF1690" s="46">
        <v>0</v>
      </c>
      <c r="BG1690" s="46" t="s">
        <v>48</v>
      </c>
      <c r="BH1690" s="46">
        <v>0</v>
      </c>
      <c r="BI1690" s="46">
        <v>0</v>
      </c>
      <c r="BJ1690" s="46">
        <v>0</v>
      </c>
      <c r="BK1690" s="46">
        <v>0</v>
      </c>
      <c r="BL1690" s="46">
        <v>0</v>
      </c>
      <c r="BM1690" s="46">
        <v>0</v>
      </c>
      <c r="BN1690" s="46">
        <v>0</v>
      </c>
    </row>
    <row r="1691" spans="1:66" x14ac:dyDescent="0.35">
      <c r="A1691" t="s">
        <v>3076</v>
      </c>
      <c r="B1691" s="44" t="s">
        <v>48</v>
      </c>
      <c r="C1691" t="s">
        <v>3079</v>
      </c>
      <c r="D1691" t="s">
        <v>3078</v>
      </c>
      <c r="E1691" t="s">
        <v>3077</v>
      </c>
      <c r="F1691" t="s">
        <v>3049</v>
      </c>
      <c r="G1691" t="s">
        <v>47</v>
      </c>
      <c r="H1691">
        <v>0</v>
      </c>
      <c r="I1691" s="60" t="s">
        <v>125</v>
      </c>
      <c r="J1691" s="33" t="s">
        <v>45</v>
      </c>
      <c r="K1691" s="46">
        <v>0</v>
      </c>
      <c r="L1691">
        <v>5.6</v>
      </c>
      <c r="M1691" t="s">
        <v>48</v>
      </c>
      <c r="N1691" s="46">
        <v>0</v>
      </c>
      <c r="O1691" s="46">
        <v>0</v>
      </c>
      <c r="P1691" s="46">
        <v>0</v>
      </c>
      <c r="Q1691" t="s">
        <v>48</v>
      </c>
      <c r="R1691" t="s">
        <v>48</v>
      </c>
      <c r="S1691" t="s">
        <v>48</v>
      </c>
      <c r="T1691" t="s">
        <v>48</v>
      </c>
      <c r="U1691" t="s">
        <v>48</v>
      </c>
      <c r="V1691" s="47">
        <v>0</v>
      </c>
      <c r="W1691" t="s">
        <v>48</v>
      </c>
      <c r="X1691" t="s">
        <v>48</v>
      </c>
      <c r="Y1691" t="s">
        <v>48</v>
      </c>
      <c r="Z1691">
        <v>0</v>
      </c>
      <c r="AA1691" t="s">
        <v>48</v>
      </c>
      <c r="AB1691" t="s">
        <v>48</v>
      </c>
      <c r="AC1691" t="s">
        <v>49</v>
      </c>
      <c r="AD1691" t="s">
        <v>93</v>
      </c>
      <c r="AE1691" t="s">
        <v>4532</v>
      </c>
      <c r="AF1691" t="s">
        <v>48</v>
      </c>
      <c r="AG1691" t="s">
        <v>48</v>
      </c>
      <c r="AH1691" t="s">
        <v>48</v>
      </c>
      <c r="AI1691" t="s">
        <v>48</v>
      </c>
      <c r="AJ1691" t="s">
        <v>48</v>
      </c>
      <c r="AK1691" t="s">
        <v>48</v>
      </c>
      <c r="AL1691" t="s">
        <v>48</v>
      </c>
      <c r="AM1691" t="s">
        <v>48</v>
      </c>
      <c r="AN1691" t="s">
        <v>48</v>
      </c>
      <c r="AO1691" t="s">
        <v>48</v>
      </c>
      <c r="AP1691" s="46">
        <v>0</v>
      </c>
      <c r="AQ1691" s="46">
        <v>0</v>
      </c>
      <c r="AR1691" s="46">
        <v>0</v>
      </c>
      <c r="AS1691" s="46">
        <v>0</v>
      </c>
      <c r="AT1691" s="46">
        <v>0</v>
      </c>
      <c r="AU1691" s="46">
        <v>0</v>
      </c>
      <c r="AV1691" s="46">
        <v>0</v>
      </c>
      <c r="AW1691" s="46">
        <v>0</v>
      </c>
      <c r="AX1691" s="46">
        <v>0</v>
      </c>
      <c r="AY1691" s="46">
        <v>0</v>
      </c>
      <c r="AZ1691" s="46">
        <v>0</v>
      </c>
      <c r="BA1691" s="46">
        <v>0</v>
      </c>
      <c r="BB1691" s="46">
        <v>0</v>
      </c>
      <c r="BC1691" s="46">
        <v>0</v>
      </c>
      <c r="BD1691" s="46">
        <v>0</v>
      </c>
      <c r="BE1691" s="46">
        <v>0</v>
      </c>
      <c r="BF1691" s="46">
        <v>0</v>
      </c>
      <c r="BG1691" s="46" t="s">
        <v>48</v>
      </c>
      <c r="BH1691" s="46">
        <v>0</v>
      </c>
      <c r="BI1691" s="46">
        <v>0</v>
      </c>
      <c r="BJ1691" s="46">
        <v>0</v>
      </c>
      <c r="BK1691" s="46">
        <v>0</v>
      </c>
      <c r="BL1691" s="46">
        <v>0</v>
      </c>
      <c r="BM1691" s="46">
        <v>0</v>
      </c>
      <c r="BN1691" s="46">
        <v>0</v>
      </c>
    </row>
    <row r="1692" spans="1:66" x14ac:dyDescent="0.35">
      <c r="A1692" t="s">
        <v>3069</v>
      </c>
      <c r="B1692" s="44" t="s">
        <v>48</v>
      </c>
      <c r="C1692" t="s">
        <v>3071</v>
      </c>
      <c r="D1692" t="s">
        <v>1445</v>
      </c>
      <c r="E1692" t="s">
        <v>3070</v>
      </c>
      <c r="F1692" t="s">
        <v>3049</v>
      </c>
      <c r="G1692" t="s">
        <v>47</v>
      </c>
      <c r="H1692">
        <v>0</v>
      </c>
      <c r="I1692" s="60" t="s">
        <v>125</v>
      </c>
      <c r="J1692" s="33" t="s">
        <v>45</v>
      </c>
      <c r="K1692" s="46">
        <v>0</v>
      </c>
      <c r="L1692">
        <v>12.1</v>
      </c>
      <c r="M1692" t="s">
        <v>48</v>
      </c>
      <c r="N1692" s="46">
        <v>0</v>
      </c>
      <c r="O1692" s="46">
        <v>0</v>
      </c>
      <c r="P1692" s="46">
        <v>0</v>
      </c>
      <c r="Q1692" t="s">
        <v>48</v>
      </c>
      <c r="R1692" t="s">
        <v>48</v>
      </c>
      <c r="S1692" t="s">
        <v>48</v>
      </c>
      <c r="T1692" t="s">
        <v>48</v>
      </c>
      <c r="U1692" t="s">
        <v>48</v>
      </c>
      <c r="V1692" s="47">
        <v>0</v>
      </c>
      <c r="W1692" t="s">
        <v>48</v>
      </c>
      <c r="X1692" t="s">
        <v>48</v>
      </c>
      <c r="Y1692" t="s">
        <v>48</v>
      </c>
      <c r="Z1692">
        <v>0</v>
      </c>
      <c r="AA1692" t="s">
        <v>48</v>
      </c>
      <c r="AB1692" t="s">
        <v>48</v>
      </c>
      <c r="AC1692" t="s">
        <v>63</v>
      </c>
      <c r="AD1692" t="s">
        <v>48</v>
      </c>
      <c r="AE1692" t="s">
        <v>48</v>
      </c>
      <c r="AF1692" t="s">
        <v>48</v>
      </c>
      <c r="AG1692" t="s">
        <v>48</v>
      </c>
      <c r="AH1692" t="s">
        <v>48</v>
      </c>
      <c r="AI1692" t="s">
        <v>48</v>
      </c>
      <c r="AJ1692" t="s">
        <v>48</v>
      </c>
      <c r="AK1692" t="s">
        <v>48</v>
      </c>
      <c r="AL1692" t="s">
        <v>48</v>
      </c>
      <c r="AM1692" t="s">
        <v>48</v>
      </c>
      <c r="AN1692" t="s">
        <v>48</v>
      </c>
      <c r="AO1692" t="s">
        <v>48</v>
      </c>
      <c r="AP1692" s="46">
        <v>0</v>
      </c>
      <c r="AQ1692" s="46">
        <v>0</v>
      </c>
      <c r="AR1692" s="46">
        <v>0</v>
      </c>
      <c r="AS1692" s="46">
        <v>0</v>
      </c>
      <c r="AT1692" s="46">
        <v>0</v>
      </c>
      <c r="AU1692" s="46">
        <v>0</v>
      </c>
      <c r="AV1692" s="46">
        <v>0</v>
      </c>
      <c r="AW1692" s="46">
        <v>0</v>
      </c>
      <c r="AX1692" s="46">
        <v>0</v>
      </c>
      <c r="AY1692" s="46">
        <v>0</v>
      </c>
      <c r="AZ1692" s="46">
        <v>0</v>
      </c>
      <c r="BA1692" s="46">
        <v>0</v>
      </c>
      <c r="BB1692" s="46">
        <v>0</v>
      </c>
      <c r="BC1692" s="46">
        <v>0</v>
      </c>
      <c r="BD1692" s="46">
        <v>0</v>
      </c>
      <c r="BE1692" s="46">
        <v>0</v>
      </c>
      <c r="BF1692" s="46">
        <v>0</v>
      </c>
      <c r="BG1692" s="46" t="s">
        <v>48</v>
      </c>
      <c r="BH1692" s="46">
        <v>0</v>
      </c>
      <c r="BI1692" s="46">
        <v>0</v>
      </c>
      <c r="BJ1692" s="46">
        <v>0</v>
      </c>
      <c r="BK1692" s="46">
        <v>0</v>
      </c>
      <c r="BL1692" s="46">
        <v>0</v>
      </c>
      <c r="BM1692" s="46">
        <v>0</v>
      </c>
      <c r="BN1692" s="46">
        <v>0</v>
      </c>
    </row>
    <row r="1693" spans="1:66" x14ac:dyDescent="0.35">
      <c r="A1693" t="s">
        <v>3072</v>
      </c>
      <c r="B1693" s="44" t="s">
        <v>48</v>
      </c>
      <c r="C1693" t="s">
        <v>3075</v>
      </c>
      <c r="D1693" t="s">
        <v>3074</v>
      </c>
      <c r="E1693" t="s">
        <v>3073</v>
      </c>
      <c r="F1693" t="s">
        <v>3049</v>
      </c>
      <c r="G1693" t="s">
        <v>74</v>
      </c>
      <c r="H1693">
        <v>0</v>
      </c>
      <c r="I1693" s="60" t="s">
        <v>125</v>
      </c>
      <c r="J1693" s="33" t="s">
        <v>45</v>
      </c>
      <c r="K1693" s="46">
        <v>0</v>
      </c>
      <c r="L1693">
        <v>2.1</v>
      </c>
      <c r="M1693" t="s">
        <v>48</v>
      </c>
      <c r="N1693" s="46">
        <v>0</v>
      </c>
      <c r="O1693" s="46">
        <v>0</v>
      </c>
      <c r="P1693" s="46">
        <v>0</v>
      </c>
      <c r="Q1693" t="s">
        <v>48</v>
      </c>
      <c r="R1693" t="s">
        <v>48</v>
      </c>
      <c r="S1693" t="s">
        <v>10112</v>
      </c>
      <c r="T1693" t="s">
        <v>48</v>
      </c>
      <c r="U1693" t="s">
        <v>10112</v>
      </c>
      <c r="V1693" s="47">
        <v>0</v>
      </c>
      <c r="W1693" t="s">
        <v>48</v>
      </c>
      <c r="X1693" t="s">
        <v>48</v>
      </c>
      <c r="Y1693" t="s">
        <v>48</v>
      </c>
      <c r="Z1693">
        <v>0</v>
      </c>
      <c r="AA1693" t="s">
        <v>48</v>
      </c>
      <c r="AB1693" t="s">
        <v>48</v>
      </c>
      <c r="AC1693" t="s">
        <v>49</v>
      </c>
      <c r="AD1693" t="s">
        <v>93</v>
      </c>
      <c r="AE1693" t="s">
        <v>2471</v>
      </c>
      <c r="AF1693" t="s">
        <v>48</v>
      </c>
      <c r="AG1693" t="s">
        <v>48</v>
      </c>
      <c r="AH1693" t="s">
        <v>48</v>
      </c>
      <c r="AI1693" t="s">
        <v>48</v>
      </c>
      <c r="AJ1693" t="s">
        <v>48</v>
      </c>
      <c r="AK1693" t="s">
        <v>48</v>
      </c>
      <c r="AL1693" t="s">
        <v>48</v>
      </c>
      <c r="AM1693" t="s">
        <v>48</v>
      </c>
      <c r="AN1693" t="s">
        <v>48</v>
      </c>
      <c r="AO1693" t="s">
        <v>48</v>
      </c>
      <c r="AP1693" s="46">
        <v>0</v>
      </c>
      <c r="AQ1693" s="46">
        <v>0</v>
      </c>
      <c r="AR1693" s="46">
        <v>0</v>
      </c>
      <c r="AS1693" s="46">
        <v>0</v>
      </c>
      <c r="AT1693" s="46">
        <v>0</v>
      </c>
      <c r="AU1693" s="46">
        <v>0</v>
      </c>
      <c r="AV1693" s="46">
        <v>0</v>
      </c>
      <c r="AW1693" s="46">
        <v>0</v>
      </c>
      <c r="AX1693" s="46">
        <v>0</v>
      </c>
      <c r="AY1693" s="46">
        <v>0</v>
      </c>
      <c r="AZ1693" s="46">
        <v>0</v>
      </c>
      <c r="BA1693" s="46">
        <v>0</v>
      </c>
      <c r="BB1693" s="46">
        <v>0</v>
      </c>
      <c r="BC1693" s="46">
        <v>0</v>
      </c>
      <c r="BD1693" s="46">
        <v>0</v>
      </c>
      <c r="BE1693" s="46">
        <v>0</v>
      </c>
      <c r="BF1693" s="46">
        <v>0</v>
      </c>
      <c r="BG1693" s="46" t="s">
        <v>48</v>
      </c>
      <c r="BH1693" s="46">
        <v>0</v>
      </c>
      <c r="BI1693" s="46">
        <v>0</v>
      </c>
      <c r="BJ1693" s="46">
        <v>0</v>
      </c>
      <c r="BK1693" s="46">
        <v>0</v>
      </c>
      <c r="BL1693" s="46">
        <v>0</v>
      </c>
      <c r="BM1693" s="46">
        <v>0</v>
      </c>
      <c r="BN1693" s="46">
        <v>0</v>
      </c>
    </row>
    <row r="1694" spans="1:66" x14ac:dyDescent="0.35">
      <c r="A1694" t="s">
        <v>3066</v>
      </c>
      <c r="B1694" s="44" t="s">
        <v>48</v>
      </c>
      <c r="C1694" t="s">
        <v>718</v>
      </c>
      <c r="D1694" t="s">
        <v>3068</v>
      </c>
      <c r="E1694" t="s">
        <v>3067</v>
      </c>
      <c r="F1694" t="s">
        <v>3049</v>
      </c>
      <c r="G1694" t="s">
        <v>47</v>
      </c>
      <c r="H1694">
        <v>0</v>
      </c>
      <c r="I1694" s="60" t="s">
        <v>51</v>
      </c>
      <c r="J1694" s="33" t="s">
        <v>45</v>
      </c>
      <c r="K1694" s="46">
        <v>0</v>
      </c>
      <c r="L1694">
        <v>17</v>
      </c>
      <c r="M1694" t="s">
        <v>48</v>
      </c>
      <c r="N1694" s="46">
        <v>0</v>
      </c>
      <c r="O1694" s="46">
        <v>0</v>
      </c>
      <c r="P1694" s="46">
        <v>0</v>
      </c>
      <c r="Q1694" t="s">
        <v>48</v>
      </c>
      <c r="R1694" t="s">
        <v>48</v>
      </c>
      <c r="S1694" t="s">
        <v>48</v>
      </c>
      <c r="T1694" t="s">
        <v>48</v>
      </c>
      <c r="U1694" t="s">
        <v>48</v>
      </c>
      <c r="V1694" s="47">
        <v>0</v>
      </c>
      <c r="W1694" t="s">
        <v>48</v>
      </c>
      <c r="X1694" t="s">
        <v>48</v>
      </c>
      <c r="Y1694" t="s">
        <v>48</v>
      </c>
      <c r="Z1694">
        <v>0</v>
      </c>
      <c r="AA1694" t="s">
        <v>48</v>
      </c>
      <c r="AB1694" t="s">
        <v>48</v>
      </c>
      <c r="AC1694" t="s">
        <v>49</v>
      </c>
      <c r="AD1694" t="s">
        <v>93</v>
      </c>
      <c r="AE1694" t="s">
        <v>4532</v>
      </c>
      <c r="AF1694" t="s">
        <v>48</v>
      </c>
      <c r="AG1694" t="s">
        <v>48</v>
      </c>
      <c r="AH1694" t="s">
        <v>48</v>
      </c>
      <c r="AI1694" t="s">
        <v>48</v>
      </c>
      <c r="AJ1694" t="s">
        <v>48</v>
      </c>
      <c r="AK1694" t="s">
        <v>48</v>
      </c>
      <c r="AL1694" t="s">
        <v>48</v>
      </c>
      <c r="AM1694" t="s">
        <v>48</v>
      </c>
      <c r="AN1694" t="s">
        <v>48</v>
      </c>
      <c r="AO1694" t="s">
        <v>48</v>
      </c>
      <c r="AP1694" s="46">
        <v>0</v>
      </c>
      <c r="AQ1694" s="46">
        <v>0</v>
      </c>
      <c r="AR1694" s="46">
        <v>0</v>
      </c>
      <c r="AS1694" s="46">
        <v>0</v>
      </c>
      <c r="AT1694" s="46">
        <v>0</v>
      </c>
      <c r="AU1694" s="46">
        <v>0</v>
      </c>
      <c r="AV1694" s="46">
        <v>0</v>
      </c>
      <c r="AW1694" s="46">
        <v>0</v>
      </c>
      <c r="AX1694" s="46">
        <v>0</v>
      </c>
      <c r="AY1694" s="46">
        <v>0</v>
      </c>
      <c r="AZ1694" s="46">
        <v>0</v>
      </c>
      <c r="BA1694" s="46">
        <v>0</v>
      </c>
      <c r="BB1694" s="46">
        <v>0</v>
      </c>
      <c r="BC1694" s="46">
        <v>0</v>
      </c>
      <c r="BD1694" s="46">
        <v>0</v>
      </c>
      <c r="BE1694" s="46">
        <v>0</v>
      </c>
      <c r="BF1694" s="46">
        <v>0</v>
      </c>
      <c r="BG1694" s="46" t="s">
        <v>48</v>
      </c>
      <c r="BH1694" s="46">
        <v>0</v>
      </c>
      <c r="BI1694" s="46">
        <v>0</v>
      </c>
      <c r="BJ1694" s="46">
        <v>0</v>
      </c>
      <c r="BK1694" s="46">
        <v>0</v>
      </c>
      <c r="BL1694" s="46">
        <v>0</v>
      </c>
      <c r="BM1694" s="46">
        <v>0</v>
      </c>
      <c r="BN1694" s="46">
        <v>0</v>
      </c>
    </row>
    <row r="1695" spans="1:66" x14ac:dyDescent="0.35">
      <c r="A1695" t="s">
        <v>3086</v>
      </c>
      <c r="B1695" s="44" t="s">
        <v>48</v>
      </c>
      <c r="C1695" t="s">
        <v>11937</v>
      </c>
      <c r="D1695" t="s">
        <v>3089</v>
      </c>
      <c r="E1695" t="s">
        <v>3087</v>
      </c>
      <c r="F1695" t="s">
        <v>3081</v>
      </c>
      <c r="G1695" t="s">
        <v>74</v>
      </c>
      <c r="H1695">
        <v>0</v>
      </c>
      <c r="I1695" s="60" t="s">
        <v>125</v>
      </c>
      <c r="J1695" s="33" t="s">
        <v>45</v>
      </c>
      <c r="K1695" s="46">
        <v>0</v>
      </c>
      <c r="L1695">
        <v>18.7</v>
      </c>
      <c r="M1695" t="s">
        <v>48</v>
      </c>
      <c r="N1695" s="46">
        <v>0</v>
      </c>
      <c r="O1695" s="46">
        <v>0</v>
      </c>
      <c r="P1695" s="46">
        <v>0</v>
      </c>
      <c r="Q1695" t="s">
        <v>48</v>
      </c>
      <c r="R1695" t="s">
        <v>48</v>
      </c>
      <c r="S1695" t="s">
        <v>3088</v>
      </c>
      <c r="T1695" t="s">
        <v>48</v>
      </c>
      <c r="U1695" t="s">
        <v>3088</v>
      </c>
      <c r="V1695" s="47">
        <v>0</v>
      </c>
      <c r="W1695" t="s">
        <v>48</v>
      </c>
      <c r="X1695" t="s">
        <v>48</v>
      </c>
      <c r="Y1695" t="s">
        <v>48</v>
      </c>
      <c r="Z1695">
        <v>0</v>
      </c>
      <c r="AA1695" t="s">
        <v>48</v>
      </c>
      <c r="AB1695" t="s">
        <v>48</v>
      </c>
      <c r="AC1695" t="s">
        <v>49</v>
      </c>
      <c r="AD1695" t="s">
        <v>93</v>
      </c>
      <c r="AE1695" t="s">
        <v>11051</v>
      </c>
      <c r="AF1695" t="s">
        <v>48</v>
      </c>
      <c r="AG1695" t="s">
        <v>48</v>
      </c>
      <c r="AH1695" t="s">
        <v>48</v>
      </c>
      <c r="AI1695" t="s">
        <v>48</v>
      </c>
      <c r="AJ1695" t="s">
        <v>48</v>
      </c>
      <c r="AK1695" t="s">
        <v>48</v>
      </c>
      <c r="AL1695" t="s">
        <v>48</v>
      </c>
      <c r="AM1695" t="s">
        <v>48</v>
      </c>
      <c r="AN1695" t="s">
        <v>48</v>
      </c>
      <c r="AO1695" t="s">
        <v>48</v>
      </c>
      <c r="AP1695" s="46">
        <v>0</v>
      </c>
      <c r="AQ1695" s="46">
        <v>0</v>
      </c>
      <c r="AR1695" s="46">
        <v>0</v>
      </c>
      <c r="AS1695" s="46">
        <v>0</v>
      </c>
      <c r="AT1695" s="46">
        <v>0</v>
      </c>
      <c r="AU1695" s="46">
        <v>0</v>
      </c>
      <c r="AV1695" s="46">
        <v>0</v>
      </c>
      <c r="AW1695" s="46">
        <v>0</v>
      </c>
      <c r="AX1695" s="46">
        <v>0</v>
      </c>
      <c r="AY1695" s="46">
        <v>0</v>
      </c>
      <c r="AZ1695" s="46">
        <v>0</v>
      </c>
      <c r="BA1695" s="46">
        <v>0</v>
      </c>
      <c r="BB1695" s="46">
        <v>0</v>
      </c>
      <c r="BC1695" s="46">
        <v>0</v>
      </c>
      <c r="BD1695" s="46">
        <v>0</v>
      </c>
      <c r="BE1695" s="46">
        <v>0</v>
      </c>
      <c r="BF1695" s="46">
        <v>0</v>
      </c>
      <c r="BG1695" s="46" t="s">
        <v>48</v>
      </c>
      <c r="BH1695" s="46">
        <v>0</v>
      </c>
      <c r="BI1695" s="46">
        <v>0</v>
      </c>
      <c r="BJ1695" s="46">
        <v>0</v>
      </c>
      <c r="BK1695" s="46">
        <v>0</v>
      </c>
      <c r="BL1695" s="46">
        <v>0</v>
      </c>
      <c r="BM1695" s="46">
        <v>0</v>
      </c>
      <c r="BN1695" s="46">
        <v>0</v>
      </c>
    </row>
    <row r="1696" spans="1:66" x14ac:dyDescent="0.35">
      <c r="A1696" t="s">
        <v>3093</v>
      </c>
      <c r="B1696" s="44" t="s">
        <v>48</v>
      </c>
      <c r="C1696" t="s">
        <v>3095</v>
      </c>
      <c r="D1696" t="s">
        <v>367</v>
      </c>
      <c r="E1696" t="s">
        <v>3094</v>
      </c>
      <c r="F1696" t="s">
        <v>3081</v>
      </c>
      <c r="G1696" t="s">
        <v>74</v>
      </c>
      <c r="H1696">
        <v>0</v>
      </c>
      <c r="I1696" s="60" t="s">
        <v>125</v>
      </c>
      <c r="J1696" s="33" t="s">
        <v>45</v>
      </c>
      <c r="K1696" s="46">
        <v>0</v>
      </c>
      <c r="L1696">
        <v>11.6</v>
      </c>
      <c r="M1696" t="s">
        <v>48</v>
      </c>
      <c r="N1696" s="46">
        <v>0</v>
      </c>
      <c r="O1696" s="46">
        <v>0</v>
      </c>
      <c r="P1696" s="46">
        <v>0</v>
      </c>
      <c r="Q1696" t="s">
        <v>48</v>
      </c>
      <c r="R1696" t="s">
        <v>48</v>
      </c>
      <c r="S1696" t="s">
        <v>48</v>
      </c>
      <c r="T1696" t="s">
        <v>48</v>
      </c>
      <c r="U1696" t="s">
        <v>48</v>
      </c>
      <c r="V1696" s="47">
        <v>0</v>
      </c>
      <c r="W1696" t="s">
        <v>48</v>
      </c>
      <c r="X1696" t="s">
        <v>48</v>
      </c>
      <c r="Y1696" t="s">
        <v>48</v>
      </c>
      <c r="Z1696">
        <v>0</v>
      </c>
      <c r="AA1696" t="s">
        <v>48</v>
      </c>
      <c r="AB1696" t="s">
        <v>48</v>
      </c>
      <c r="AC1696" t="s">
        <v>49</v>
      </c>
      <c r="AD1696" t="s">
        <v>48</v>
      </c>
      <c r="AE1696" t="s">
        <v>48</v>
      </c>
      <c r="AF1696" t="s">
        <v>48</v>
      </c>
      <c r="AG1696" t="s">
        <v>48</v>
      </c>
      <c r="AH1696" t="s">
        <v>48</v>
      </c>
      <c r="AI1696" t="s">
        <v>48</v>
      </c>
      <c r="AJ1696" t="s">
        <v>48</v>
      </c>
      <c r="AK1696" t="s">
        <v>48</v>
      </c>
      <c r="AL1696" t="s">
        <v>48</v>
      </c>
      <c r="AM1696" t="s">
        <v>48</v>
      </c>
      <c r="AN1696" t="s">
        <v>48</v>
      </c>
      <c r="AO1696" t="s">
        <v>48</v>
      </c>
      <c r="AP1696" s="46">
        <v>0</v>
      </c>
      <c r="AQ1696" s="46">
        <v>0</v>
      </c>
      <c r="AR1696" s="46">
        <v>0</v>
      </c>
      <c r="AS1696" s="46">
        <v>0</v>
      </c>
      <c r="AT1696" s="46">
        <v>0</v>
      </c>
      <c r="AU1696" s="46">
        <v>0</v>
      </c>
      <c r="AV1696" s="46">
        <v>0</v>
      </c>
      <c r="AW1696" s="46">
        <v>0</v>
      </c>
      <c r="AX1696" s="46">
        <v>0</v>
      </c>
      <c r="AY1696" s="46">
        <v>0</v>
      </c>
      <c r="AZ1696" s="46">
        <v>0</v>
      </c>
      <c r="BA1696" s="46">
        <v>0</v>
      </c>
      <c r="BB1696" s="46">
        <v>0</v>
      </c>
      <c r="BC1696" s="46">
        <v>0</v>
      </c>
      <c r="BD1696" s="46">
        <v>0</v>
      </c>
      <c r="BE1696" s="46">
        <v>0</v>
      </c>
      <c r="BF1696" s="46">
        <v>0</v>
      </c>
      <c r="BG1696" s="46" t="s">
        <v>48</v>
      </c>
      <c r="BH1696" s="46">
        <v>0</v>
      </c>
      <c r="BI1696" s="46">
        <v>0</v>
      </c>
      <c r="BJ1696" s="46">
        <v>0</v>
      </c>
      <c r="BK1696" s="46">
        <v>0</v>
      </c>
      <c r="BL1696" s="46">
        <v>0</v>
      </c>
      <c r="BM1696" s="46">
        <v>0</v>
      </c>
      <c r="BN1696" s="46">
        <v>0</v>
      </c>
    </row>
    <row r="1697" spans="1:66" x14ac:dyDescent="0.35">
      <c r="A1697" t="s">
        <v>3140</v>
      </c>
      <c r="B1697" s="44" t="s">
        <v>48</v>
      </c>
      <c r="C1697" t="s">
        <v>253</v>
      </c>
      <c r="D1697" t="s">
        <v>1915</v>
      </c>
      <c r="E1697" t="s">
        <v>3141</v>
      </c>
      <c r="F1697" t="s">
        <v>3098</v>
      </c>
      <c r="G1697" t="s">
        <v>47</v>
      </c>
      <c r="H1697">
        <v>0</v>
      </c>
      <c r="I1697" s="60" t="s">
        <v>125</v>
      </c>
      <c r="J1697" s="33" t="s">
        <v>45</v>
      </c>
      <c r="K1697" s="46">
        <v>0</v>
      </c>
      <c r="L1697">
        <v>1.3</v>
      </c>
      <c r="M1697" t="s">
        <v>48</v>
      </c>
      <c r="N1697" s="46">
        <v>0</v>
      </c>
      <c r="O1697" s="46">
        <v>0</v>
      </c>
      <c r="P1697" s="46">
        <v>0</v>
      </c>
      <c r="Q1697" t="s">
        <v>48</v>
      </c>
      <c r="R1697" t="s">
        <v>48</v>
      </c>
      <c r="S1697" t="s">
        <v>48</v>
      </c>
      <c r="T1697" t="s">
        <v>48</v>
      </c>
      <c r="U1697" t="s">
        <v>48</v>
      </c>
      <c r="V1697" s="47">
        <v>0</v>
      </c>
      <c r="W1697" t="s">
        <v>48</v>
      </c>
      <c r="X1697" t="s">
        <v>48</v>
      </c>
      <c r="Y1697" t="s">
        <v>48</v>
      </c>
      <c r="Z1697">
        <v>0</v>
      </c>
      <c r="AA1697" t="s">
        <v>48</v>
      </c>
      <c r="AB1697" t="s">
        <v>48</v>
      </c>
      <c r="AC1697" t="s">
        <v>49</v>
      </c>
      <c r="AD1697" t="s">
        <v>93</v>
      </c>
      <c r="AE1697" t="s">
        <v>4532</v>
      </c>
      <c r="AF1697" t="s">
        <v>48</v>
      </c>
      <c r="AG1697" t="s">
        <v>48</v>
      </c>
      <c r="AH1697" t="s">
        <v>48</v>
      </c>
      <c r="AI1697" t="s">
        <v>48</v>
      </c>
      <c r="AJ1697" t="s">
        <v>48</v>
      </c>
      <c r="AK1697" t="s">
        <v>48</v>
      </c>
      <c r="AL1697" t="s">
        <v>48</v>
      </c>
      <c r="AM1697" t="s">
        <v>48</v>
      </c>
      <c r="AN1697" t="s">
        <v>48</v>
      </c>
      <c r="AO1697" t="s">
        <v>48</v>
      </c>
      <c r="AP1697" s="46">
        <v>0</v>
      </c>
      <c r="AQ1697" s="46">
        <v>0</v>
      </c>
      <c r="AR1697" s="46">
        <v>0</v>
      </c>
      <c r="AS1697" s="46">
        <v>0</v>
      </c>
      <c r="AT1697" s="46">
        <v>0</v>
      </c>
      <c r="AU1697" s="46">
        <v>0</v>
      </c>
      <c r="AV1697" s="46">
        <v>0</v>
      </c>
      <c r="AW1697" s="46">
        <v>0</v>
      </c>
      <c r="AX1697" s="46">
        <v>0</v>
      </c>
      <c r="AY1697" s="46">
        <v>0</v>
      </c>
      <c r="AZ1697" s="46">
        <v>0</v>
      </c>
      <c r="BA1697" s="46">
        <v>0</v>
      </c>
      <c r="BB1697" s="46">
        <v>0</v>
      </c>
      <c r="BC1697" s="46">
        <v>0</v>
      </c>
      <c r="BD1697" s="46">
        <v>0</v>
      </c>
      <c r="BE1697" s="46">
        <v>0</v>
      </c>
      <c r="BF1697" s="46">
        <v>0</v>
      </c>
      <c r="BG1697" s="46" t="s">
        <v>48</v>
      </c>
      <c r="BH1697" s="46">
        <v>0</v>
      </c>
      <c r="BI1697" s="46">
        <v>0</v>
      </c>
      <c r="BJ1697" s="46">
        <v>0</v>
      </c>
      <c r="BK1697" s="46">
        <v>0</v>
      </c>
      <c r="BL1697" s="46">
        <v>0</v>
      </c>
      <c r="BM1697" s="46">
        <v>0</v>
      </c>
      <c r="BN1697" s="46">
        <v>0</v>
      </c>
    </row>
    <row r="1698" spans="1:66" x14ac:dyDescent="0.35">
      <c r="A1698" t="s">
        <v>3142</v>
      </c>
      <c r="B1698" s="44" t="s">
        <v>48</v>
      </c>
      <c r="C1698" t="s">
        <v>3145</v>
      </c>
      <c r="D1698" t="s">
        <v>195</v>
      </c>
      <c r="E1698" t="s">
        <v>3143</v>
      </c>
      <c r="F1698" t="s">
        <v>3098</v>
      </c>
      <c r="G1698" t="s">
        <v>47</v>
      </c>
      <c r="H1698">
        <v>0</v>
      </c>
      <c r="I1698" s="60" t="s">
        <v>125</v>
      </c>
      <c r="J1698" s="33" t="s">
        <v>45</v>
      </c>
      <c r="K1698" s="46">
        <v>0</v>
      </c>
      <c r="L1698">
        <v>2.5</v>
      </c>
      <c r="M1698" t="s">
        <v>48</v>
      </c>
      <c r="N1698" s="46">
        <v>0</v>
      </c>
      <c r="O1698" s="46">
        <v>0</v>
      </c>
      <c r="P1698" s="46">
        <v>0</v>
      </c>
      <c r="Q1698" t="s">
        <v>48</v>
      </c>
      <c r="R1698" t="s">
        <v>48</v>
      </c>
      <c r="S1698" t="s">
        <v>3144</v>
      </c>
      <c r="T1698" t="s">
        <v>48</v>
      </c>
      <c r="U1698" t="s">
        <v>3144</v>
      </c>
      <c r="V1698" s="47">
        <v>0</v>
      </c>
      <c r="W1698" t="s">
        <v>48</v>
      </c>
      <c r="X1698" t="s">
        <v>48</v>
      </c>
      <c r="Y1698" t="s">
        <v>48</v>
      </c>
      <c r="Z1698">
        <v>0</v>
      </c>
      <c r="AA1698" t="s">
        <v>48</v>
      </c>
      <c r="AB1698" t="s">
        <v>48</v>
      </c>
      <c r="AC1698" t="s">
        <v>49</v>
      </c>
      <c r="AD1698" t="s">
        <v>93</v>
      </c>
      <c r="AE1698" t="s">
        <v>4532</v>
      </c>
      <c r="AF1698" t="s">
        <v>48</v>
      </c>
      <c r="AG1698" t="s">
        <v>48</v>
      </c>
      <c r="AH1698" t="s">
        <v>48</v>
      </c>
      <c r="AI1698" t="s">
        <v>48</v>
      </c>
      <c r="AJ1698" t="s">
        <v>48</v>
      </c>
      <c r="AK1698" t="s">
        <v>48</v>
      </c>
      <c r="AL1698" t="s">
        <v>48</v>
      </c>
      <c r="AM1698" t="s">
        <v>48</v>
      </c>
      <c r="AN1698" t="s">
        <v>48</v>
      </c>
      <c r="AO1698" t="s">
        <v>48</v>
      </c>
      <c r="AP1698" s="46">
        <v>0</v>
      </c>
      <c r="AQ1698" s="46">
        <v>0</v>
      </c>
      <c r="AR1698" s="46">
        <v>0</v>
      </c>
      <c r="AS1698" s="46">
        <v>0</v>
      </c>
      <c r="AT1698" s="46">
        <v>0</v>
      </c>
      <c r="AU1698" s="46">
        <v>0</v>
      </c>
      <c r="AV1698" s="46">
        <v>0</v>
      </c>
      <c r="AW1698" s="46">
        <v>0</v>
      </c>
      <c r="AX1698" s="46">
        <v>0</v>
      </c>
      <c r="AY1698" s="46">
        <v>0</v>
      </c>
      <c r="AZ1698" s="46">
        <v>0</v>
      </c>
      <c r="BA1698" s="46">
        <v>0</v>
      </c>
      <c r="BB1698" s="46">
        <v>0</v>
      </c>
      <c r="BC1698" s="46">
        <v>0</v>
      </c>
      <c r="BD1698" s="46">
        <v>0</v>
      </c>
      <c r="BE1698" s="46">
        <v>0</v>
      </c>
      <c r="BF1698" s="46">
        <v>0</v>
      </c>
      <c r="BG1698" s="46" t="s">
        <v>48</v>
      </c>
      <c r="BH1698" s="46">
        <v>0</v>
      </c>
      <c r="BI1698" s="46">
        <v>0</v>
      </c>
      <c r="BJ1698" s="46">
        <v>0</v>
      </c>
      <c r="BK1698" s="46">
        <v>0</v>
      </c>
      <c r="BL1698" s="46">
        <v>0</v>
      </c>
      <c r="BM1698" s="46">
        <v>0</v>
      </c>
      <c r="BN1698" s="46">
        <v>0</v>
      </c>
    </row>
    <row r="1699" spans="1:66" x14ac:dyDescent="0.35">
      <c r="A1699" t="s">
        <v>3118</v>
      </c>
      <c r="B1699" s="44" t="s">
        <v>48</v>
      </c>
      <c r="C1699" t="s">
        <v>3121</v>
      </c>
      <c r="D1699" t="s">
        <v>347</v>
      </c>
      <c r="E1699" t="s">
        <v>3119</v>
      </c>
      <c r="F1699" t="s">
        <v>3098</v>
      </c>
      <c r="G1699" t="s">
        <v>47</v>
      </c>
      <c r="H1699">
        <v>0</v>
      </c>
      <c r="I1699" s="61" t="s">
        <v>11160</v>
      </c>
      <c r="J1699" s="33" t="s">
        <v>45</v>
      </c>
      <c r="K1699" s="46">
        <v>0</v>
      </c>
      <c r="L1699">
        <v>1.6</v>
      </c>
      <c r="M1699" t="s">
        <v>48</v>
      </c>
      <c r="N1699" s="46">
        <v>0</v>
      </c>
      <c r="O1699" s="46">
        <v>0</v>
      </c>
      <c r="P1699" s="46">
        <v>0</v>
      </c>
      <c r="Q1699" t="s">
        <v>48</v>
      </c>
      <c r="R1699" t="s">
        <v>48</v>
      </c>
      <c r="S1699" t="s">
        <v>11351</v>
      </c>
      <c r="T1699" t="s">
        <v>48</v>
      </c>
      <c r="U1699" t="s">
        <v>3120</v>
      </c>
      <c r="V1699" s="47">
        <v>0</v>
      </c>
      <c r="W1699" t="s">
        <v>48</v>
      </c>
      <c r="X1699" t="s">
        <v>48</v>
      </c>
      <c r="Y1699" t="s">
        <v>48</v>
      </c>
      <c r="Z1699">
        <v>0</v>
      </c>
      <c r="AA1699" t="s">
        <v>48</v>
      </c>
      <c r="AB1699" t="s">
        <v>48</v>
      </c>
      <c r="AC1699" t="s">
        <v>49</v>
      </c>
      <c r="AD1699" t="s">
        <v>93</v>
      </c>
      <c r="AE1699" t="s">
        <v>4532</v>
      </c>
      <c r="AF1699" t="s">
        <v>48</v>
      </c>
      <c r="AG1699" t="s">
        <v>48</v>
      </c>
      <c r="AH1699" t="s">
        <v>48</v>
      </c>
      <c r="AI1699" t="s">
        <v>48</v>
      </c>
      <c r="AJ1699" t="s">
        <v>48</v>
      </c>
      <c r="AK1699" t="s">
        <v>48</v>
      </c>
      <c r="AL1699" t="s">
        <v>48</v>
      </c>
      <c r="AM1699" t="s">
        <v>48</v>
      </c>
      <c r="AN1699" t="s">
        <v>48</v>
      </c>
      <c r="AO1699" t="s">
        <v>48</v>
      </c>
      <c r="AP1699" s="46">
        <v>0</v>
      </c>
      <c r="AQ1699" s="46">
        <v>0</v>
      </c>
      <c r="AR1699" s="46">
        <v>0</v>
      </c>
      <c r="AS1699" s="46">
        <v>0</v>
      </c>
      <c r="AT1699" s="46">
        <v>0</v>
      </c>
      <c r="AU1699" s="46">
        <v>0</v>
      </c>
      <c r="AV1699" s="46">
        <v>0</v>
      </c>
      <c r="AW1699" s="46">
        <v>0</v>
      </c>
      <c r="AX1699" s="46">
        <v>0</v>
      </c>
      <c r="AY1699" s="46">
        <v>0</v>
      </c>
      <c r="AZ1699" s="46">
        <v>0</v>
      </c>
      <c r="BA1699" s="46">
        <v>0</v>
      </c>
      <c r="BB1699" s="46">
        <v>0</v>
      </c>
      <c r="BC1699" s="46">
        <v>0</v>
      </c>
      <c r="BD1699" s="46">
        <v>0</v>
      </c>
      <c r="BE1699" s="46">
        <v>0</v>
      </c>
      <c r="BF1699" s="46">
        <v>0</v>
      </c>
      <c r="BG1699" s="46" t="s">
        <v>48</v>
      </c>
      <c r="BH1699" s="46">
        <v>0</v>
      </c>
      <c r="BI1699" s="46">
        <v>0</v>
      </c>
      <c r="BJ1699" s="46">
        <v>0</v>
      </c>
      <c r="BK1699" s="46">
        <v>0</v>
      </c>
      <c r="BL1699" s="46">
        <v>0</v>
      </c>
      <c r="BM1699" s="46">
        <v>0</v>
      </c>
      <c r="BN1699" s="46">
        <v>0</v>
      </c>
    </row>
    <row r="1700" spans="1:66" x14ac:dyDescent="0.35">
      <c r="A1700" t="s">
        <v>3133</v>
      </c>
      <c r="B1700" s="44" t="s">
        <v>48</v>
      </c>
      <c r="C1700" t="s">
        <v>3135</v>
      </c>
      <c r="D1700" t="s">
        <v>1005</v>
      </c>
      <c r="E1700" t="s">
        <v>3134</v>
      </c>
      <c r="F1700" t="s">
        <v>3098</v>
      </c>
      <c r="G1700" t="s">
        <v>47</v>
      </c>
      <c r="H1700">
        <v>0</v>
      </c>
      <c r="I1700" s="60" t="s">
        <v>125</v>
      </c>
      <c r="J1700" s="33" t="s">
        <v>45</v>
      </c>
      <c r="K1700" s="46">
        <v>0</v>
      </c>
      <c r="L1700">
        <v>2.7</v>
      </c>
      <c r="M1700" t="s">
        <v>48</v>
      </c>
      <c r="N1700" s="46">
        <v>0</v>
      </c>
      <c r="O1700" s="46">
        <v>0</v>
      </c>
      <c r="P1700" s="46">
        <v>0</v>
      </c>
      <c r="Q1700" t="s">
        <v>48</v>
      </c>
      <c r="R1700" t="s">
        <v>48</v>
      </c>
      <c r="S1700" t="s">
        <v>48</v>
      </c>
      <c r="T1700" t="s">
        <v>48</v>
      </c>
      <c r="U1700" t="s">
        <v>48</v>
      </c>
      <c r="V1700" s="47">
        <v>0</v>
      </c>
      <c r="W1700" t="s">
        <v>48</v>
      </c>
      <c r="X1700" t="s">
        <v>48</v>
      </c>
      <c r="Y1700" t="s">
        <v>48</v>
      </c>
      <c r="Z1700">
        <v>0</v>
      </c>
      <c r="AA1700" t="s">
        <v>48</v>
      </c>
      <c r="AB1700" t="s">
        <v>48</v>
      </c>
      <c r="AC1700" t="s">
        <v>49</v>
      </c>
      <c r="AD1700" t="s">
        <v>93</v>
      </c>
      <c r="AE1700" t="s">
        <v>4532</v>
      </c>
      <c r="AF1700" t="s">
        <v>48</v>
      </c>
      <c r="AG1700" t="s">
        <v>48</v>
      </c>
      <c r="AH1700" t="s">
        <v>48</v>
      </c>
      <c r="AI1700" t="s">
        <v>48</v>
      </c>
      <c r="AJ1700" t="s">
        <v>48</v>
      </c>
      <c r="AK1700" t="s">
        <v>48</v>
      </c>
      <c r="AL1700" t="s">
        <v>48</v>
      </c>
      <c r="AM1700" t="s">
        <v>48</v>
      </c>
      <c r="AN1700" t="s">
        <v>48</v>
      </c>
      <c r="AO1700" t="s">
        <v>48</v>
      </c>
      <c r="AP1700" s="46">
        <v>0</v>
      </c>
      <c r="AQ1700" s="46">
        <v>0</v>
      </c>
      <c r="AR1700" s="46">
        <v>0</v>
      </c>
      <c r="AS1700" s="46">
        <v>0</v>
      </c>
      <c r="AT1700" s="46">
        <v>0</v>
      </c>
      <c r="AU1700" s="46">
        <v>0</v>
      </c>
      <c r="AV1700" s="46">
        <v>0</v>
      </c>
      <c r="AW1700" s="46">
        <v>0</v>
      </c>
      <c r="AX1700" s="46">
        <v>0</v>
      </c>
      <c r="AY1700" s="46">
        <v>0</v>
      </c>
      <c r="AZ1700" s="46">
        <v>0</v>
      </c>
      <c r="BA1700" s="46">
        <v>0</v>
      </c>
      <c r="BB1700" s="46">
        <v>0</v>
      </c>
      <c r="BC1700" s="46">
        <v>0</v>
      </c>
      <c r="BD1700" s="46">
        <v>0</v>
      </c>
      <c r="BE1700" s="46">
        <v>0</v>
      </c>
      <c r="BF1700" s="46">
        <v>0</v>
      </c>
      <c r="BG1700" s="46" t="s">
        <v>48</v>
      </c>
      <c r="BH1700" s="46">
        <v>0</v>
      </c>
      <c r="BI1700" s="46">
        <v>0</v>
      </c>
      <c r="BJ1700" s="46">
        <v>0</v>
      </c>
      <c r="BK1700" s="46">
        <v>0</v>
      </c>
      <c r="BL1700" s="46">
        <v>0</v>
      </c>
      <c r="BM1700" s="46">
        <v>0</v>
      </c>
      <c r="BN1700" s="46">
        <v>0</v>
      </c>
    </row>
    <row r="1701" spans="1:66" x14ac:dyDescent="0.35">
      <c r="A1701" t="s">
        <v>3097</v>
      </c>
      <c r="B1701" s="44" t="s">
        <v>48</v>
      </c>
      <c r="C1701" t="s">
        <v>11938</v>
      </c>
      <c r="D1701" t="s">
        <v>3101</v>
      </c>
      <c r="E1701" t="s">
        <v>3099</v>
      </c>
      <c r="F1701" t="s">
        <v>3098</v>
      </c>
      <c r="G1701" t="s">
        <v>74</v>
      </c>
      <c r="H1701">
        <v>0</v>
      </c>
      <c r="I1701" s="60" t="s">
        <v>149</v>
      </c>
      <c r="J1701" s="33" t="s">
        <v>45</v>
      </c>
      <c r="K1701" s="46">
        <v>0</v>
      </c>
      <c r="L1701">
        <v>29.2</v>
      </c>
      <c r="M1701" t="s">
        <v>48</v>
      </c>
      <c r="N1701" s="46">
        <v>0</v>
      </c>
      <c r="O1701" s="46">
        <v>0</v>
      </c>
      <c r="P1701" s="46">
        <v>0</v>
      </c>
      <c r="Q1701" t="s">
        <v>48</v>
      </c>
      <c r="R1701" t="s">
        <v>48</v>
      </c>
      <c r="S1701" t="s">
        <v>3100</v>
      </c>
      <c r="T1701" t="s">
        <v>48</v>
      </c>
      <c r="U1701" t="s">
        <v>3100</v>
      </c>
      <c r="V1701" s="47">
        <v>0</v>
      </c>
      <c r="W1701" t="s">
        <v>48</v>
      </c>
      <c r="X1701" t="s">
        <v>48</v>
      </c>
      <c r="Y1701" t="s">
        <v>48</v>
      </c>
      <c r="Z1701">
        <v>0</v>
      </c>
      <c r="AA1701" t="s">
        <v>48</v>
      </c>
      <c r="AB1701" t="s">
        <v>48</v>
      </c>
      <c r="AC1701" t="s">
        <v>49</v>
      </c>
      <c r="AD1701" t="s">
        <v>11050</v>
      </c>
      <c r="AE1701" t="s">
        <v>2471</v>
      </c>
      <c r="AF1701" t="s">
        <v>11061</v>
      </c>
      <c r="AG1701" t="s">
        <v>48</v>
      </c>
      <c r="AH1701" t="s">
        <v>48</v>
      </c>
      <c r="AI1701" t="s">
        <v>48</v>
      </c>
      <c r="AJ1701" t="s">
        <v>48</v>
      </c>
      <c r="AK1701" t="s">
        <v>48</v>
      </c>
      <c r="AL1701" t="s">
        <v>48</v>
      </c>
      <c r="AM1701" t="s">
        <v>48</v>
      </c>
      <c r="AN1701" t="s">
        <v>48</v>
      </c>
      <c r="AO1701" t="s">
        <v>48</v>
      </c>
      <c r="AP1701" s="46">
        <v>0</v>
      </c>
      <c r="AQ1701" s="46">
        <v>0</v>
      </c>
      <c r="AR1701" s="46">
        <v>0</v>
      </c>
      <c r="AS1701" s="46">
        <v>0</v>
      </c>
      <c r="AT1701" s="46">
        <v>0</v>
      </c>
      <c r="AU1701" s="46">
        <v>0</v>
      </c>
      <c r="AV1701" s="46">
        <v>0</v>
      </c>
      <c r="AW1701" s="46">
        <v>0</v>
      </c>
      <c r="AX1701" s="46">
        <v>0</v>
      </c>
      <c r="AY1701" s="46">
        <v>0</v>
      </c>
      <c r="AZ1701" s="46">
        <v>0</v>
      </c>
      <c r="BA1701" s="46">
        <v>0</v>
      </c>
      <c r="BB1701" s="46">
        <v>0</v>
      </c>
      <c r="BC1701" s="46">
        <v>0</v>
      </c>
      <c r="BD1701" s="46">
        <v>0</v>
      </c>
      <c r="BE1701" s="46">
        <v>0</v>
      </c>
      <c r="BF1701" s="46">
        <v>0</v>
      </c>
      <c r="BG1701" s="46" t="s">
        <v>48</v>
      </c>
      <c r="BH1701" s="46">
        <v>0</v>
      </c>
      <c r="BI1701" s="46">
        <v>0</v>
      </c>
      <c r="BJ1701" s="46">
        <v>0</v>
      </c>
      <c r="BK1701" s="46">
        <v>0</v>
      </c>
      <c r="BL1701" s="46">
        <v>0</v>
      </c>
      <c r="BM1701" s="46">
        <v>0</v>
      </c>
      <c r="BN1701" s="46">
        <v>0</v>
      </c>
    </row>
    <row r="1702" spans="1:66" x14ac:dyDescent="0.35">
      <c r="A1702" t="s">
        <v>3102</v>
      </c>
      <c r="B1702" s="44" t="s">
        <v>48</v>
      </c>
      <c r="C1702" t="s">
        <v>2412</v>
      </c>
      <c r="D1702" t="s">
        <v>829</v>
      </c>
      <c r="E1702" t="s">
        <v>3103</v>
      </c>
      <c r="F1702" t="s">
        <v>3098</v>
      </c>
      <c r="G1702" t="s">
        <v>47</v>
      </c>
      <c r="H1702">
        <v>0</v>
      </c>
      <c r="I1702" s="60" t="s">
        <v>125</v>
      </c>
      <c r="J1702" s="33" t="s">
        <v>45</v>
      </c>
      <c r="K1702" s="46">
        <v>0</v>
      </c>
      <c r="L1702">
        <v>5.0999999999999996</v>
      </c>
      <c r="M1702" t="s">
        <v>48</v>
      </c>
      <c r="N1702" s="46">
        <v>0</v>
      </c>
      <c r="O1702" s="46">
        <v>0</v>
      </c>
      <c r="P1702" s="46">
        <v>0</v>
      </c>
      <c r="Q1702" t="s">
        <v>48</v>
      </c>
      <c r="R1702" t="s">
        <v>48</v>
      </c>
      <c r="S1702" t="s">
        <v>10113</v>
      </c>
      <c r="T1702" t="s">
        <v>48</v>
      </c>
      <c r="U1702" t="s">
        <v>10113</v>
      </c>
      <c r="V1702" s="47">
        <v>0</v>
      </c>
      <c r="W1702" t="s">
        <v>48</v>
      </c>
      <c r="X1702" t="s">
        <v>48</v>
      </c>
      <c r="Y1702" t="s">
        <v>48</v>
      </c>
      <c r="Z1702">
        <v>0</v>
      </c>
      <c r="AA1702" t="s">
        <v>48</v>
      </c>
      <c r="AB1702" t="s">
        <v>48</v>
      </c>
      <c r="AC1702" t="s">
        <v>49</v>
      </c>
      <c r="AD1702" t="s">
        <v>48</v>
      </c>
      <c r="AE1702" t="s">
        <v>48</v>
      </c>
      <c r="AF1702" t="s">
        <v>48</v>
      </c>
      <c r="AG1702" t="s">
        <v>48</v>
      </c>
      <c r="AH1702" t="s">
        <v>48</v>
      </c>
      <c r="AI1702" t="s">
        <v>48</v>
      </c>
      <c r="AJ1702" t="s">
        <v>48</v>
      </c>
      <c r="AK1702" t="s">
        <v>48</v>
      </c>
      <c r="AL1702" t="s">
        <v>48</v>
      </c>
      <c r="AM1702" t="s">
        <v>48</v>
      </c>
      <c r="AN1702" t="s">
        <v>48</v>
      </c>
      <c r="AO1702" t="s">
        <v>48</v>
      </c>
      <c r="AP1702" s="46">
        <v>0</v>
      </c>
      <c r="AQ1702" s="46">
        <v>0</v>
      </c>
      <c r="AR1702" s="46">
        <v>0</v>
      </c>
      <c r="AS1702" s="46">
        <v>0</v>
      </c>
      <c r="AT1702" s="46">
        <v>0</v>
      </c>
      <c r="AU1702" s="46">
        <v>0</v>
      </c>
      <c r="AV1702" s="46">
        <v>0</v>
      </c>
      <c r="AW1702" s="46">
        <v>0</v>
      </c>
      <c r="AX1702" s="46">
        <v>0</v>
      </c>
      <c r="AY1702" s="46">
        <v>0</v>
      </c>
      <c r="AZ1702" s="46">
        <v>0</v>
      </c>
      <c r="BA1702" s="46">
        <v>0</v>
      </c>
      <c r="BB1702" s="46">
        <v>0</v>
      </c>
      <c r="BC1702" s="46">
        <v>0</v>
      </c>
      <c r="BD1702" s="46">
        <v>0</v>
      </c>
      <c r="BE1702" s="46">
        <v>0</v>
      </c>
      <c r="BF1702" s="46">
        <v>0</v>
      </c>
      <c r="BG1702" s="46" t="s">
        <v>48</v>
      </c>
      <c r="BH1702" s="46">
        <v>0</v>
      </c>
      <c r="BI1702" s="46">
        <v>0</v>
      </c>
      <c r="BJ1702" s="46">
        <v>0</v>
      </c>
      <c r="BK1702" s="46">
        <v>0</v>
      </c>
      <c r="BL1702" s="46">
        <v>0</v>
      </c>
      <c r="BM1702" s="46">
        <v>0</v>
      </c>
      <c r="BN1702" s="46">
        <v>0</v>
      </c>
    </row>
    <row r="1703" spans="1:66" x14ac:dyDescent="0.35">
      <c r="A1703" t="s">
        <v>3108</v>
      </c>
      <c r="B1703" s="44" t="s">
        <v>48</v>
      </c>
      <c r="C1703" t="s">
        <v>3113</v>
      </c>
      <c r="D1703" t="s">
        <v>3112</v>
      </c>
      <c r="E1703" t="s">
        <v>3109</v>
      </c>
      <c r="F1703" t="s">
        <v>3098</v>
      </c>
      <c r="G1703" t="s">
        <v>74</v>
      </c>
      <c r="H1703">
        <v>0</v>
      </c>
      <c r="I1703" s="60" t="s">
        <v>51</v>
      </c>
      <c r="J1703" s="33" t="s">
        <v>45</v>
      </c>
      <c r="K1703" s="46">
        <v>0</v>
      </c>
      <c r="L1703">
        <v>14</v>
      </c>
      <c r="M1703" t="s">
        <v>48</v>
      </c>
      <c r="N1703" s="46">
        <v>0</v>
      </c>
      <c r="O1703" s="46">
        <v>0</v>
      </c>
      <c r="P1703" s="46">
        <v>0</v>
      </c>
      <c r="Q1703" t="s">
        <v>48</v>
      </c>
      <c r="R1703" t="s">
        <v>48</v>
      </c>
      <c r="S1703" t="s">
        <v>3110</v>
      </c>
      <c r="T1703" t="s">
        <v>48</v>
      </c>
      <c r="U1703" t="s">
        <v>3110</v>
      </c>
      <c r="V1703" s="47">
        <v>0</v>
      </c>
      <c r="W1703" t="s">
        <v>48</v>
      </c>
      <c r="X1703" t="s">
        <v>48</v>
      </c>
      <c r="Y1703" t="s">
        <v>48</v>
      </c>
      <c r="Z1703">
        <v>0</v>
      </c>
      <c r="AA1703" t="s">
        <v>3111</v>
      </c>
      <c r="AB1703" t="s">
        <v>48</v>
      </c>
      <c r="AC1703" t="s">
        <v>49</v>
      </c>
      <c r="AD1703" t="s">
        <v>93</v>
      </c>
      <c r="AE1703" t="s">
        <v>4532</v>
      </c>
      <c r="AF1703" t="s">
        <v>48</v>
      </c>
      <c r="AG1703" t="s">
        <v>48</v>
      </c>
      <c r="AH1703" t="s">
        <v>48</v>
      </c>
      <c r="AI1703" t="s">
        <v>48</v>
      </c>
      <c r="AJ1703" t="s">
        <v>48</v>
      </c>
      <c r="AK1703" t="s">
        <v>48</v>
      </c>
      <c r="AL1703" t="s">
        <v>48</v>
      </c>
      <c r="AM1703" t="s">
        <v>48</v>
      </c>
      <c r="AN1703" t="s">
        <v>48</v>
      </c>
      <c r="AO1703" t="s">
        <v>48</v>
      </c>
      <c r="AP1703" s="46">
        <v>0</v>
      </c>
      <c r="AQ1703" s="46">
        <v>0</v>
      </c>
      <c r="AR1703" s="46">
        <v>0</v>
      </c>
      <c r="AS1703" s="46">
        <v>0</v>
      </c>
      <c r="AT1703" s="46">
        <v>0</v>
      </c>
      <c r="AU1703" s="46">
        <v>0</v>
      </c>
      <c r="AV1703" s="46">
        <v>0</v>
      </c>
      <c r="AW1703" s="46">
        <v>0</v>
      </c>
      <c r="AX1703" s="46">
        <v>0</v>
      </c>
      <c r="AY1703" s="46">
        <v>0</v>
      </c>
      <c r="AZ1703" s="46">
        <v>0</v>
      </c>
      <c r="BA1703" s="46">
        <v>0</v>
      </c>
      <c r="BB1703" s="46">
        <v>0</v>
      </c>
      <c r="BC1703" s="46">
        <v>0</v>
      </c>
      <c r="BD1703" s="46">
        <v>0</v>
      </c>
      <c r="BE1703" s="46">
        <v>0</v>
      </c>
      <c r="BF1703" s="46">
        <v>0</v>
      </c>
      <c r="BG1703" s="46" t="s">
        <v>48</v>
      </c>
      <c r="BH1703" s="46">
        <v>0</v>
      </c>
      <c r="BI1703" s="46">
        <v>0</v>
      </c>
      <c r="BJ1703" s="46">
        <v>0</v>
      </c>
      <c r="BK1703" s="46">
        <v>0</v>
      </c>
      <c r="BL1703" s="46">
        <v>0</v>
      </c>
      <c r="BM1703" s="46">
        <v>0</v>
      </c>
      <c r="BN1703" s="46">
        <v>0</v>
      </c>
    </row>
    <row r="1704" spans="1:66" x14ac:dyDescent="0.35">
      <c r="A1704" t="s">
        <v>3104</v>
      </c>
      <c r="B1704" s="44" t="s">
        <v>48</v>
      </c>
      <c r="C1704" t="s">
        <v>3107</v>
      </c>
      <c r="D1704" t="s">
        <v>396</v>
      </c>
      <c r="E1704" t="s">
        <v>3105</v>
      </c>
      <c r="F1704" t="s">
        <v>3098</v>
      </c>
      <c r="G1704" t="s">
        <v>47</v>
      </c>
      <c r="H1704">
        <v>0</v>
      </c>
      <c r="I1704" s="60" t="s">
        <v>125</v>
      </c>
      <c r="J1704" s="33" t="s">
        <v>45</v>
      </c>
      <c r="K1704" s="46">
        <v>0</v>
      </c>
      <c r="L1704">
        <v>2.7</v>
      </c>
      <c r="M1704" t="s">
        <v>48</v>
      </c>
      <c r="N1704" s="46">
        <v>0</v>
      </c>
      <c r="O1704" s="46">
        <v>0</v>
      </c>
      <c r="P1704" s="46">
        <v>0</v>
      </c>
      <c r="Q1704" t="s">
        <v>48</v>
      </c>
      <c r="R1704" t="s">
        <v>48</v>
      </c>
      <c r="S1704" t="s">
        <v>3106</v>
      </c>
      <c r="T1704" t="s">
        <v>48</v>
      </c>
      <c r="U1704" t="s">
        <v>3106</v>
      </c>
      <c r="V1704" s="47">
        <v>0</v>
      </c>
      <c r="W1704" t="s">
        <v>11317</v>
      </c>
      <c r="X1704" t="s">
        <v>48</v>
      </c>
      <c r="Y1704" t="s">
        <v>48</v>
      </c>
      <c r="Z1704">
        <v>0</v>
      </c>
      <c r="AA1704" t="s">
        <v>48</v>
      </c>
      <c r="AB1704" t="s">
        <v>48</v>
      </c>
      <c r="AC1704" t="s">
        <v>49</v>
      </c>
      <c r="AD1704" t="s">
        <v>93</v>
      </c>
      <c r="AE1704" t="s">
        <v>4532</v>
      </c>
      <c r="AF1704" t="s">
        <v>48</v>
      </c>
      <c r="AG1704" t="s">
        <v>48</v>
      </c>
      <c r="AH1704" t="s">
        <v>48</v>
      </c>
      <c r="AI1704" t="s">
        <v>48</v>
      </c>
      <c r="AJ1704" t="s">
        <v>48</v>
      </c>
      <c r="AK1704" t="s">
        <v>48</v>
      </c>
      <c r="AL1704" t="s">
        <v>48</v>
      </c>
      <c r="AM1704" t="s">
        <v>48</v>
      </c>
      <c r="AN1704" t="s">
        <v>48</v>
      </c>
      <c r="AO1704" t="s">
        <v>48</v>
      </c>
      <c r="AP1704" s="46">
        <v>0</v>
      </c>
      <c r="AQ1704" s="46">
        <v>0</v>
      </c>
      <c r="AR1704" s="46">
        <v>0</v>
      </c>
      <c r="AS1704" s="46">
        <v>0</v>
      </c>
      <c r="AT1704" s="46">
        <v>0</v>
      </c>
      <c r="AU1704" s="46">
        <v>0</v>
      </c>
      <c r="AV1704" s="46">
        <v>0</v>
      </c>
      <c r="AW1704" s="46">
        <v>0</v>
      </c>
      <c r="AX1704" s="46">
        <v>0</v>
      </c>
      <c r="AY1704" s="46">
        <v>0</v>
      </c>
      <c r="AZ1704" s="46">
        <v>0</v>
      </c>
      <c r="BA1704" s="46">
        <v>0</v>
      </c>
      <c r="BB1704" s="46">
        <v>0</v>
      </c>
      <c r="BC1704" s="46">
        <v>0</v>
      </c>
      <c r="BD1704" s="46">
        <v>0</v>
      </c>
      <c r="BE1704" s="46">
        <v>0</v>
      </c>
      <c r="BF1704" s="46">
        <v>0</v>
      </c>
      <c r="BG1704" s="46" t="s">
        <v>48</v>
      </c>
      <c r="BH1704" s="46">
        <v>0</v>
      </c>
      <c r="BI1704" s="46">
        <v>0</v>
      </c>
      <c r="BJ1704" s="46">
        <v>0</v>
      </c>
      <c r="BK1704" s="46">
        <v>0</v>
      </c>
      <c r="BL1704" s="46">
        <v>0</v>
      </c>
      <c r="BM1704" s="46">
        <v>0</v>
      </c>
      <c r="BN1704" s="46">
        <v>0</v>
      </c>
    </row>
    <row r="1705" spans="1:66" x14ac:dyDescent="0.35">
      <c r="A1705" t="s">
        <v>3136</v>
      </c>
      <c r="B1705" s="44" t="s">
        <v>48</v>
      </c>
      <c r="C1705" t="s">
        <v>3139</v>
      </c>
      <c r="D1705" t="s">
        <v>288</v>
      </c>
      <c r="E1705" t="s">
        <v>3137</v>
      </c>
      <c r="F1705" t="s">
        <v>3098</v>
      </c>
      <c r="G1705" t="s">
        <v>47</v>
      </c>
      <c r="H1705">
        <v>0</v>
      </c>
      <c r="I1705" s="60" t="s">
        <v>125</v>
      </c>
      <c r="J1705" s="33" t="s">
        <v>45</v>
      </c>
      <c r="K1705" s="46">
        <v>0</v>
      </c>
      <c r="L1705">
        <v>25.8</v>
      </c>
      <c r="M1705" t="s">
        <v>48</v>
      </c>
      <c r="N1705" s="46">
        <v>0</v>
      </c>
      <c r="O1705" s="46">
        <v>0</v>
      </c>
      <c r="P1705" s="46">
        <v>0</v>
      </c>
      <c r="Q1705" t="s">
        <v>48</v>
      </c>
      <c r="R1705" t="s">
        <v>48</v>
      </c>
      <c r="S1705" t="s">
        <v>3138</v>
      </c>
      <c r="T1705" t="s">
        <v>48</v>
      </c>
      <c r="U1705" t="s">
        <v>3138</v>
      </c>
      <c r="V1705" s="47">
        <v>0</v>
      </c>
      <c r="W1705" t="s">
        <v>48</v>
      </c>
      <c r="X1705" t="s">
        <v>48</v>
      </c>
      <c r="Y1705" t="s">
        <v>48</v>
      </c>
      <c r="Z1705">
        <v>0</v>
      </c>
      <c r="AA1705" t="s">
        <v>48</v>
      </c>
      <c r="AB1705" t="s">
        <v>48</v>
      </c>
      <c r="AC1705" t="s">
        <v>49</v>
      </c>
      <c r="AD1705" t="s">
        <v>93</v>
      </c>
      <c r="AE1705" t="s">
        <v>4532</v>
      </c>
      <c r="AF1705" t="s">
        <v>48</v>
      </c>
      <c r="AG1705" t="s">
        <v>48</v>
      </c>
      <c r="AH1705" t="s">
        <v>48</v>
      </c>
      <c r="AI1705" t="s">
        <v>48</v>
      </c>
      <c r="AJ1705" t="s">
        <v>48</v>
      </c>
      <c r="AK1705" t="s">
        <v>48</v>
      </c>
      <c r="AL1705" t="s">
        <v>48</v>
      </c>
      <c r="AM1705" t="s">
        <v>48</v>
      </c>
      <c r="AN1705" t="s">
        <v>48</v>
      </c>
      <c r="AO1705" t="s">
        <v>48</v>
      </c>
      <c r="AP1705" s="46">
        <v>0</v>
      </c>
      <c r="AQ1705" s="46">
        <v>0</v>
      </c>
      <c r="AR1705" s="46">
        <v>0</v>
      </c>
      <c r="AS1705" s="46">
        <v>0</v>
      </c>
      <c r="AT1705" s="46">
        <v>0</v>
      </c>
      <c r="AU1705" s="46">
        <v>0</v>
      </c>
      <c r="AV1705" s="46">
        <v>0</v>
      </c>
      <c r="AW1705" s="46">
        <v>0</v>
      </c>
      <c r="AX1705" s="46">
        <v>0</v>
      </c>
      <c r="AY1705" s="46">
        <v>0</v>
      </c>
      <c r="AZ1705" s="46">
        <v>0</v>
      </c>
      <c r="BA1705" s="46">
        <v>0</v>
      </c>
      <c r="BB1705" s="46">
        <v>0</v>
      </c>
      <c r="BC1705" s="46">
        <v>0</v>
      </c>
      <c r="BD1705" s="46">
        <v>0</v>
      </c>
      <c r="BE1705" s="46">
        <v>0</v>
      </c>
      <c r="BF1705" s="46">
        <v>0</v>
      </c>
      <c r="BG1705" s="46" t="s">
        <v>48</v>
      </c>
      <c r="BH1705" s="46">
        <v>0</v>
      </c>
      <c r="BI1705" s="46">
        <v>0</v>
      </c>
      <c r="BJ1705" s="46">
        <v>0</v>
      </c>
      <c r="BK1705" s="46">
        <v>0</v>
      </c>
      <c r="BL1705" s="46">
        <v>0</v>
      </c>
      <c r="BM1705" s="46">
        <v>0</v>
      </c>
      <c r="BN1705" s="46">
        <v>0</v>
      </c>
    </row>
    <row r="1706" spans="1:66" x14ac:dyDescent="0.35">
      <c r="A1706" t="s">
        <v>3128</v>
      </c>
      <c r="B1706" s="44" t="s">
        <v>48</v>
      </c>
      <c r="C1706" t="s">
        <v>3132</v>
      </c>
      <c r="D1706" t="s">
        <v>3131</v>
      </c>
      <c r="E1706" t="s">
        <v>3129</v>
      </c>
      <c r="F1706" t="s">
        <v>3098</v>
      </c>
      <c r="G1706" t="s">
        <v>47</v>
      </c>
      <c r="H1706">
        <v>0</v>
      </c>
      <c r="I1706" s="60" t="s">
        <v>125</v>
      </c>
      <c r="J1706" s="33" t="s">
        <v>45</v>
      </c>
      <c r="K1706" s="46">
        <v>0</v>
      </c>
      <c r="L1706">
        <v>21</v>
      </c>
      <c r="M1706" t="s">
        <v>48</v>
      </c>
      <c r="N1706" s="46">
        <v>0</v>
      </c>
      <c r="O1706" s="46">
        <v>0</v>
      </c>
      <c r="P1706" s="46">
        <v>0</v>
      </c>
      <c r="Q1706" t="s">
        <v>48</v>
      </c>
      <c r="R1706" t="s">
        <v>48</v>
      </c>
      <c r="S1706" t="s">
        <v>3130</v>
      </c>
      <c r="T1706" t="s">
        <v>48</v>
      </c>
      <c r="U1706" t="s">
        <v>3130</v>
      </c>
      <c r="V1706" s="47">
        <v>0</v>
      </c>
      <c r="W1706" t="s">
        <v>48</v>
      </c>
      <c r="X1706" t="s">
        <v>48</v>
      </c>
      <c r="Y1706" t="s">
        <v>48</v>
      </c>
      <c r="Z1706">
        <v>0</v>
      </c>
      <c r="AA1706" t="s">
        <v>48</v>
      </c>
      <c r="AB1706" t="s">
        <v>48</v>
      </c>
      <c r="AC1706" t="s">
        <v>49</v>
      </c>
      <c r="AD1706" t="s">
        <v>93</v>
      </c>
      <c r="AE1706" t="s">
        <v>4532</v>
      </c>
      <c r="AF1706" t="s">
        <v>48</v>
      </c>
      <c r="AG1706" t="s">
        <v>48</v>
      </c>
      <c r="AH1706" t="s">
        <v>48</v>
      </c>
      <c r="AI1706" t="s">
        <v>48</v>
      </c>
      <c r="AJ1706" t="s">
        <v>48</v>
      </c>
      <c r="AK1706" t="s">
        <v>48</v>
      </c>
      <c r="AL1706" t="s">
        <v>48</v>
      </c>
      <c r="AM1706" t="s">
        <v>48</v>
      </c>
      <c r="AN1706" t="s">
        <v>48</v>
      </c>
      <c r="AO1706" t="s">
        <v>48</v>
      </c>
      <c r="AP1706" s="46">
        <v>0</v>
      </c>
      <c r="AQ1706" s="46">
        <v>0</v>
      </c>
      <c r="AR1706" s="46">
        <v>0</v>
      </c>
      <c r="AS1706" s="46">
        <v>0</v>
      </c>
      <c r="AT1706" s="46">
        <v>0</v>
      </c>
      <c r="AU1706" s="46">
        <v>0</v>
      </c>
      <c r="AV1706" s="46">
        <v>0</v>
      </c>
      <c r="AW1706" s="46">
        <v>0</v>
      </c>
      <c r="AX1706" s="46">
        <v>0</v>
      </c>
      <c r="AY1706" s="46">
        <v>0</v>
      </c>
      <c r="AZ1706" s="46">
        <v>0</v>
      </c>
      <c r="BA1706" s="46">
        <v>0</v>
      </c>
      <c r="BB1706" s="46">
        <v>0</v>
      </c>
      <c r="BC1706" s="46">
        <v>0</v>
      </c>
      <c r="BD1706" s="46">
        <v>0</v>
      </c>
      <c r="BE1706" s="46">
        <v>0</v>
      </c>
      <c r="BF1706" s="46">
        <v>0</v>
      </c>
      <c r="BG1706" s="46" t="s">
        <v>48</v>
      </c>
      <c r="BH1706" s="46">
        <v>0</v>
      </c>
      <c r="BI1706" s="46">
        <v>0</v>
      </c>
      <c r="BJ1706" s="46">
        <v>0</v>
      </c>
      <c r="BK1706" s="46">
        <v>0</v>
      </c>
      <c r="BL1706" s="46">
        <v>0</v>
      </c>
      <c r="BM1706" s="46">
        <v>0</v>
      </c>
      <c r="BN1706" s="46">
        <v>0</v>
      </c>
    </row>
    <row r="1707" spans="1:66" x14ac:dyDescent="0.35">
      <c r="A1707" t="s">
        <v>3186</v>
      </c>
      <c r="B1707" s="44" t="s">
        <v>48</v>
      </c>
      <c r="C1707" t="s">
        <v>3188</v>
      </c>
      <c r="D1707" t="s">
        <v>221</v>
      </c>
      <c r="E1707" t="s">
        <v>3187</v>
      </c>
      <c r="F1707" t="s">
        <v>3176</v>
      </c>
      <c r="G1707" t="s">
        <v>47</v>
      </c>
      <c r="H1707">
        <v>0</v>
      </c>
      <c r="I1707" s="60" t="s">
        <v>149</v>
      </c>
      <c r="J1707" s="33" t="s">
        <v>45</v>
      </c>
      <c r="K1707" s="46">
        <v>0</v>
      </c>
      <c r="L1707">
        <v>22.7</v>
      </c>
      <c r="M1707" t="s">
        <v>48</v>
      </c>
      <c r="N1707" s="46">
        <v>0</v>
      </c>
      <c r="O1707" s="46">
        <v>0</v>
      </c>
      <c r="P1707" s="46">
        <v>0</v>
      </c>
      <c r="Q1707" t="s">
        <v>48</v>
      </c>
      <c r="R1707" t="s">
        <v>48</v>
      </c>
      <c r="S1707" t="s">
        <v>10114</v>
      </c>
      <c r="T1707" t="s">
        <v>48</v>
      </c>
      <c r="U1707" t="s">
        <v>10114</v>
      </c>
      <c r="V1707" s="47">
        <v>1</v>
      </c>
      <c r="W1707" t="s">
        <v>48</v>
      </c>
      <c r="X1707" t="s">
        <v>48</v>
      </c>
      <c r="Y1707" t="s">
        <v>48</v>
      </c>
      <c r="Z1707">
        <v>0</v>
      </c>
      <c r="AA1707" t="s">
        <v>48</v>
      </c>
      <c r="AB1707" t="s">
        <v>48</v>
      </c>
      <c r="AC1707" t="s">
        <v>49</v>
      </c>
      <c r="AD1707" t="s">
        <v>93</v>
      </c>
      <c r="AE1707" t="s">
        <v>4532</v>
      </c>
      <c r="AF1707" t="s">
        <v>48</v>
      </c>
      <c r="AG1707" t="s">
        <v>48</v>
      </c>
      <c r="AH1707" t="s">
        <v>48</v>
      </c>
      <c r="AI1707" t="s">
        <v>48</v>
      </c>
      <c r="AJ1707" t="s">
        <v>48</v>
      </c>
      <c r="AK1707" t="s">
        <v>48</v>
      </c>
      <c r="AL1707" t="s">
        <v>48</v>
      </c>
      <c r="AM1707" t="s">
        <v>48</v>
      </c>
      <c r="AN1707" t="s">
        <v>48</v>
      </c>
      <c r="AO1707" t="s">
        <v>48</v>
      </c>
      <c r="AP1707" s="46">
        <v>0</v>
      </c>
      <c r="AQ1707" s="46">
        <v>0</v>
      </c>
      <c r="AR1707" s="46">
        <v>0</v>
      </c>
      <c r="AS1707" s="46">
        <v>0</v>
      </c>
      <c r="AT1707" s="46">
        <v>0</v>
      </c>
      <c r="AU1707" s="46">
        <v>0</v>
      </c>
      <c r="AV1707" s="46">
        <v>0</v>
      </c>
      <c r="AW1707" s="46">
        <v>0</v>
      </c>
      <c r="AX1707" s="46">
        <v>0</v>
      </c>
      <c r="AY1707" s="46">
        <v>0</v>
      </c>
      <c r="AZ1707" s="46">
        <v>0</v>
      </c>
      <c r="BA1707" s="46">
        <v>0</v>
      </c>
      <c r="BB1707" s="46">
        <v>0</v>
      </c>
      <c r="BC1707" s="46">
        <v>0</v>
      </c>
      <c r="BD1707" s="46">
        <v>0</v>
      </c>
      <c r="BE1707" s="46">
        <v>0</v>
      </c>
      <c r="BF1707" s="46">
        <v>0</v>
      </c>
      <c r="BG1707" s="46" t="s">
        <v>48</v>
      </c>
      <c r="BH1707" s="46">
        <v>0</v>
      </c>
      <c r="BI1707" s="46">
        <v>0</v>
      </c>
      <c r="BJ1707" s="46">
        <v>0</v>
      </c>
      <c r="BK1707" s="46">
        <v>0</v>
      </c>
      <c r="BL1707" s="46">
        <v>0</v>
      </c>
      <c r="BM1707" s="46">
        <v>0</v>
      </c>
      <c r="BN1707" s="46">
        <v>0</v>
      </c>
    </row>
    <row r="1708" spans="1:66" x14ac:dyDescent="0.35">
      <c r="A1708" t="s">
        <v>3235</v>
      </c>
      <c r="B1708" s="44" t="s">
        <v>48</v>
      </c>
      <c r="C1708" t="s">
        <v>3239</v>
      </c>
      <c r="D1708" t="s">
        <v>3238</v>
      </c>
      <c r="E1708" t="s">
        <v>3236</v>
      </c>
      <c r="F1708" t="s">
        <v>3231</v>
      </c>
      <c r="G1708" t="s">
        <v>47</v>
      </c>
      <c r="H1708">
        <v>0</v>
      </c>
      <c r="I1708" s="60" t="s">
        <v>125</v>
      </c>
      <c r="J1708" s="33" t="s">
        <v>45</v>
      </c>
      <c r="K1708" s="46">
        <v>0</v>
      </c>
      <c r="L1708">
        <v>4</v>
      </c>
      <c r="M1708" t="s">
        <v>48</v>
      </c>
      <c r="N1708" s="46">
        <v>0</v>
      </c>
      <c r="O1708" s="46">
        <v>0</v>
      </c>
      <c r="P1708" s="46">
        <v>0</v>
      </c>
      <c r="Q1708" t="s">
        <v>48</v>
      </c>
      <c r="R1708" t="s">
        <v>48</v>
      </c>
      <c r="S1708" t="s">
        <v>3237</v>
      </c>
      <c r="T1708" t="s">
        <v>48</v>
      </c>
      <c r="U1708" t="s">
        <v>3237</v>
      </c>
      <c r="V1708" s="47">
        <v>0</v>
      </c>
      <c r="W1708" t="s">
        <v>48</v>
      </c>
      <c r="X1708" t="s">
        <v>48</v>
      </c>
      <c r="Y1708" t="s">
        <v>48</v>
      </c>
      <c r="Z1708">
        <v>0</v>
      </c>
      <c r="AA1708" t="s">
        <v>48</v>
      </c>
      <c r="AB1708" t="s">
        <v>48</v>
      </c>
      <c r="AC1708" t="s">
        <v>49</v>
      </c>
      <c r="AD1708" t="s">
        <v>93</v>
      </c>
      <c r="AE1708" t="s">
        <v>4532</v>
      </c>
      <c r="AF1708" t="s">
        <v>48</v>
      </c>
      <c r="AG1708" t="s">
        <v>48</v>
      </c>
      <c r="AH1708" t="s">
        <v>48</v>
      </c>
      <c r="AI1708" t="s">
        <v>48</v>
      </c>
      <c r="AJ1708" t="s">
        <v>48</v>
      </c>
      <c r="AK1708" t="s">
        <v>48</v>
      </c>
      <c r="AL1708" t="s">
        <v>48</v>
      </c>
      <c r="AM1708" t="s">
        <v>48</v>
      </c>
      <c r="AN1708" t="s">
        <v>48</v>
      </c>
      <c r="AO1708" t="s">
        <v>48</v>
      </c>
      <c r="AP1708" s="46">
        <v>0</v>
      </c>
      <c r="AQ1708" s="46">
        <v>0</v>
      </c>
      <c r="AR1708" s="46">
        <v>0</v>
      </c>
      <c r="AS1708" s="46">
        <v>0</v>
      </c>
      <c r="AT1708" s="46">
        <v>0</v>
      </c>
      <c r="AU1708" s="46">
        <v>0</v>
      </c>
      <c r="AV1708" s="46">
        <v>0</v>
      </c>
      <c r="AW1708" s="46">
        <v>0</v>
      </c>
      <c r="AX1708" s="46">
        <v>0</v>
      </c>
      <c r="AY1708" s="46">
        <v>0</v>
      </c>
      <c r="AZ1708" s="46">
        <v>0</v>
      </c>
      <c r="BA1708" s="46">
        <v>0</v>
      </c>
      <c r="BB1708" s="46">
        <v>0</v>
      </c>
      <c r="BC1708" s="46">
        <v>0</v>
      </c>
      <c r="BD1708" s="46">
        <v>0</v>
      </c>
      <c r="BE1708" s="46">
        <v>0</v>
      </c>
      <c r="BF1708" s="46">
        <v>0</v>
      </c>
      <c r="BG1708" s="46" t="s">
        <v>48</v>
      </c>
      <c r="BH1708" s="46">
        <v>0</v>
      </c>
      <c r="BI1708" s="46">
        <v>0</v>
      </c>
      <c r="BJ1708" s="46">
        <v>0</v>
      </c>
      <c r="BK1708" s="46">
        <v>0</v>
      </c>
      <c r="BL1708" s="46">
        <v>0</v>
      </c>
      <c r="BM1708" s="46">
        <v>0</v>
      </c>
      <c r="BN1708" s="46">
        <v>0</v>
      </c>
    </row>
    <row r="1709" spans="1:66" x14ac:dyDescent="0.35">
      <c r="A1709" t="s">
        <v>3251</v>
      </c>
      <c r="B1709" s="44" t="s">
        <v>48</v>
      </c>
      <c r="C1709" t="s">
        <v>3254</v>
      </c>
      <c r="D1709" t="s">
        <v>1034</v>
      </c>
      <c r="E1709" t="s">
        <v>3252</v>
      </c>
      <c r="F1709" t="s">
        <v>3231</v>
      </c>
      <c r="G1709" t="s">
        <v>47</v>
      </c>
      <c r="H1709">
        <v>0</v>
      </c>
      <c r="I1709" s="60" t="s">
        <v>125</v>
      </c>
      <c r="J1709" s="33" t="s">
        <v>45</v>
      </c>
      <c r="K1709" s="46">
        <v>0</v>
      </c>
      <c r="L1709">
        <v>17.899999999999999</v>
      </c>
      <c r="M1709" t="s">
        <v>48</v>
      </c>
      <c r="N1709" s="46">
        <v>0</v>
      </c>
      <c r="O1709" s="46">
        <v>0</v>
      </c>
      <c r="P1709" s="46">
        <v>0</v>
      </c>
      <c r="Q1709" t="s">
        <v>48</v>
      </c>
      <c r="R1709" t="s">
        <v>48</v>
      </c>
      <c r="S1709" t="s">
        <v>3253</v>
      </c>
      <c r="T1709" t="s">
        <v>48</v>
      </c>
      <c r="U1709" t="s">
        <v>3253</v>
      </c>
      <c r="V1709" s="47">
        <v>0</v>
      </c>
      <c r="W1709" t="s">
        <v>48</v>
      </c>
      <c r="X1709" t="s">
        <v>48</v>
      </c>
      <c r="Y1709" t="s">
        <v>48</v>
      </c>
      <c r="Z1709">
        <v>0</v>
      </c>
      <c r="AA1709" t="s">
        <v>48</v>
      </c>
      <c r="AB1709" t="s">
        <v>48</v>
      </c>
      <c r="AC1709" t="s">
        <v>49</v>
      </c>
      <c r="AD1709" t="s">
        <v>93</v>
      </c>
      <c r="AE1709" t="s">
        <v>4532</v>
      </c>
      <c r="AF1709" t="s">
        <v>48</v>
      </c>
      <c r="AG1709" t="s">
        <v>48</v>
      </c>
      <c r="AH1709" t="s">
        <v>48</v>
      </c>
      <c r="AI1709" t="s">
        <v>48</v>
      </c>
      <c r="AJ1709" t="s">
        <v>48</v>
      </c>
      <c r="AK1709" t="s">
        <v>48</v>
      </c>
      <c r="AL1709" t="s">
        <v>48</v>
      </c>
      <c r="AM1709" t="s">
        <v>48</v>
      </c>
      <c r="AN1709" t="s">
        <v>48</v>
      </c>
      <c r="AO1709" t="s">
        <v>48</v>
      </c>
      <c r="AP1709" s="46">
        <v>0</v>
      </c>
      <c r="AQ1709" s="46">
        <v>0</v>
      </c>
      <c r="AR1709" s="46">
        <v>0</v>
      </c>
      <c r="AS1709" s="46">
        <v>0</v>
      </c>
      <c r="AT1709" s="46">
        <v>0</v>
      </c>
      <c r="AU1709" s="46">
        <v>0</v>
      </c>
      <c r="AV1709" s="46">
        <v>0</v>
      </c>
      <c r="AW1709" s="46">
        <v>0</v>
      </c>
      <c r="AX1709" s="46">
        <v>0</v>
      </c>
      <c r="AY1709" s="46">
        <v>0</v>
      </c>
      <c r="AZ1709" s="46">
        <v>0</v>
      </c>
      <c r="BA1709" s="46">
        <v>0</v>
      </c>
      <c r="BB1709" s="46">
        <v>0</v>
      </c>
      <c r="BC1709" s="46">
        <v>0</v>
      </c>
      <c r="BD1709" s="46">
        <v>0</v>
      </c>
      <c r="BE1709" s="46">
        <v>0</v>
      </c>
      <c r="BF1709" s="46">
        <v>0</v>
      </c>
      <c r="BG1709" s="46" t="s">
        <v>48</v>
      </c>
      <c r="BH1709" s="46">
        <v>0</v>
      </c>
      <c r="BI1709" s="46">
        <v>0</v>
      </c>
      <c r="BJ1709" s="46">
        <v>0</v>
      </c>
      <c r="BK1709" s="46">
        <v>0</v>
      </c>
      <c r="BL1709" s="46">
        <v>0</v>
      </c>
      <c r="BM1709" s="46">
        <v>0</v>
      </c>
      <c r="BN1709" s="46">
        <v>0</v>
      </c>
    </row>
    <row r="1710" spans="1:66" x14ac:dyDescent="0.35">
      <c r="A1710" t="s">
        <v>3230</v>
      </c>
      <c r="B1710" s="44" t="s">
        <v>48</v>
      </c>
      <c r="C1710" t="s">
        <v>3234</v>
      </c>
      <c r="D1710" t="s">
        <v>262</v>
      </c>
      <c r="E1710" t="s">
        <v>3232</v>
      </c>
      <c r="F1710" t="s">
        <v>3231</v>
      </c>
      <c r="G1710" t="s">
        <v>74</v>
      </c>
      <c r="H1710">
        <v>0</v>
      </c>
      <c r="I1710" s="60" t="s">
        <v>51</v>
      </c>
      <c r="J1710" s="33" t="s">
        <v>45</v>
      </c>
      <c r="K1710" s="46">
        <v>0</v>
      </c>
      <c r="L1710">
        <v>41.8</v>
      </c>
      <c r="M1710" t="s">
        <v>48</v>
      </c>
      <c r="N1710" s="46">
        <v>0</v>
      </c>
      <c r="O1710" s="46">
        <v>0</v>
      </c>
      <c r="P1710" s="46">
        <v>0</v>
      </c>
      <c r="Q1710" t="s">
        <v>48</v>
      </c>
      <c r="R1710" t="s">
        <v>48</v>
      </c>
      <c r="S1710" t="s">
        <v>3233</v>
      </c>
      <c r="T1710" t="s">
        <v>48</v>
      </c>
      <c r="U1710" t="s">
        <v>3233</v>
      </c>
      <c r="V1710" s="47">
        <v>0</v>
      </c>
      <c r="W1710" t="s">
        <v>48</v>
      </c>
      <c r="X1710" t="s">
        <v>48</v>
      </c>
      <c r="Y1710" t="s">
        <v>48</v>
      </c>
      <c r="Z1710">
        <v>0</v>
      </c>
      <c r="AA1710" t="s">
        <v>48</v>
      </c>
      <c r="AB1710" t="s">
        <v>48</v>
      </c>
      <c r="AC1710" t="s">
        <v>49</v>
      </c>
      <c r="AD1710" t="s">
        <v>93</v>
      </c>
      <c r="AE1710" t="s">
        <v>4532</v>
      </c>
      <c r="AF1710" t="s">
        <v>48</v>
      </c>
      <c r="AG1710" t="s">
        <v>48</v>
      </c>
      <c r="AH1710" t="s">
        <v>48</v>
      </c>
      <c r="AI1710" t="s">
        <v>48</v>
      </c>
      <c r="AJ1710" t="s">
        <v>48</v>
      </c>
      <c r="AK1710" t="s">
        <v>48</v>
      </c>
      <c r="AL1710" t="s">
        <v>48</v>
      </c>
      <c r="AM1710" t="s">
        <v>48</v>
      </c>
      <c r="AN1710" t="s">
        <v>48</v>
      </c>
      <c r="AO1710" t="s">
        <v>48</v>
      </c>
      <c r="AP1710" s="46">
        <v>0</v>
      </c>
      <c r="AQ1710" s="46">
        <v>0</v>
      </c>
      <c r="AR1710" s="46">
        <v>0</v>
      </c>
      <c r="AS1710" s="46">
        <v>0</v>
      </c>
      <c r="AT1710" s="46">
        <v>0</v>
      </c>
      <c r="AU1710" s="46">
        <v>0</v>
      </c>
      <c r="AV1710" s="46">
        <v>0</v>
      </c>
      <c r="AW1710" s="46">
        <v>0</v>
      </c>
      <c r="AX1710" s="46">
        <v>0</v>
      </c>
      <c r="AY1710" s="46">
        <v>0</v>
      </c>
      <c r="AZ1710" s="46">
        <v>0</v>
      </c>
      <c r="BA1710" s="46">
        <v>0</v>
      </c>
      <c r="BB1710" s="46">
        <v>0</v>
      </c>
      <c r="BC1710" s="46">
        <v>0</v>
      </c>
      <c r="BD1710" s="46">
        <v>0</v>
      </c>
      <c r="BE1710" s="46">
        <v>0</v>
      </c>
      <c r="BF1710" s="46">
        <v>0</v>
      </c>
      <c r="BG1710" s="46" t="s">
        <v>48</v>
      </c>
      <c r="BH1710" s="46">
        <v>0</v>
      </c>
      <c r="BI1710" s="46">
        <v>0</v>
      </c>
      <c r="BJ1710" s="46">
        <v>0</v>
      </c>
      <c r="BK1710" s="46">
        <v>0</v>
      </c>
      <c r="BL1710" s="46">
        <v>0</v>
      </c>
      <c r="BM1710" s="46">
        <v>0</v>
      </c>
      <c r="BN1710" s="46">
        <v>0</v>
      </c>
    </row>
    <row r="1711" spans="1:66" x14ac:dyDescent="0.35">
      <c r="A1711" t="s">
        <v>3279</v>
      </c>
      <c r="B1711" s="44" t="s">
        <v>48</v>
      </c>
      <c r="C1711" t="s">
        <v>885</v>
      </c>
      <c r="D1711" t="s">
        <v>3282</v>
      </c>
      <c r="E1711" t="s">
        <v>3280</v>
      </c>
      <c r="F1711" t="s">
        <v>3255</v>
      </c>
      <c r="G1711" t="s">
        <v>74</v>
      </c>
      <c r="H1711">
        <v>0</v>
      </c>
      <c r="I1711" s="60" t="s">
        <v>51</v>
      </c>
      <c r="J1711" s="33" t="s">
        <v>45</v>
      </c>
      <c r="K1711" s="46">
        <v>0</v>
      </c>
      <c r="L1711">
        <v>36.700000000000003</v>
      </c>
      <c r="M1711" t="s">
        <v>48</v>
      </c>
      <c r="N1711" s="46">
        <v>0</v>
      </c>
      <c r="O1711" s="46">
        <v>0</v>
      </c>
      <c r="P1711" s="46">
        <v>0</v>
      </c>
      <c r="Q1711" t="s">
        <v>48</v>
      </c>
      <c r="R1711" t="s">
        <v>48</v>
      </c>
      <c r="S1711" t="s">
        <v>3281</v>
      </c>
      <c r="T1711" t="s">
        <v>48</v>
      </c>
      <c r="U1711" t="s">
        <v>3281</v>
      </c>
      <c r="V1711" s="47">
        <v>0</v>
      </c>
      <c r="W1711" t="s">
        <v>48</v>
      </c>
      <c r="X1711" t="s">
        <v>48</v>
      </c>
      <c r="Y1711" t="s">
        <v>48</v>
      </c>
      <c r="Z1711">
        <v>0</v>
      </c>
      <c r="AA1711" t="s">
        <v>48</v>
      </c>
      <c r="AB1711" t="s">
        <v>48</v>
      </c>
      <c r="AC1711" t="s">
        <v>63</v>
      </c>
      <c r="AD1711" t="s">
        <v>93</v>
      </c>
      <c r="AE1711" s="40" t="s">
        <v>2471</v>
      </c>
      <c r="AF1711" t="s">
        <v>11061</v>
      </c>
      <c r="AG1711" t="s">
        <v>48</v>
      </c>
      <c r="AH1711" t="s">
        <v>48</v>
      </c>
      <c r="AI1711" t="s">
        <v>48</v>
      </c>
      <c r="AJ1711" t="s">
        <v>48</v>
      </c>
      <c r="AK1711" t="s">
        <v>48</v>
      </c>
      <c r="AL1711" t="s">
        <v>48</v>
      </c>
      <c r="AM1711" t="s">
        <v>48</v>
      </c>
      <c r="AN1711" t="s">
        <v>48</v>
      </c>
      <c r="AO1711" t="s">
        <v>48</v>
      </c>
      <c r="AP1711" s="46">
        <v>0</v>
      </c>
      <c r="AQ1711" s="46">
        <v>1</v>
      </c>
      <c r="AR1711" s="46">
        <v>0</v>
      </c>
      <c r="AS1711" s="46">
        <v>0</v>
      </c>
      <c r="AT1711" s="46">
        <v>0</v>
      </c>
      <c r="AU1711" s="46">
        <v>0</v>
      </c>
      <c r="AV1711" s="46">
        <v>0</v>
      </c>
      <c r="AW1711" s="46">
        <v>0</v>
      </c>
      <c r="AX1711" s="46">
        <v>0</v>
      </c>
      <c r="AY1711" s="46">
        <v>0</v>
      </c>
      <c r="AZ1711" s="46">
        <v>0</v>
      </c>
      <c r="BA1711" s="46">
        <v>0</v>
      </c>
      <c r="BB1711" s="46">
        <v>0</v>
      </c>
      <c r="BC1711" s="46">
        <v>0</v>
      </c>
      <c r="BD1711" s="46">
        <v>0</v>
      </c>
      <c r="BE1711" s="46">
        <v>0</v>
      </c>
      <c r="BF1711" s="46">
        <v>0</v>
      </c>
      <c r="BG1711" s="46" t="s">
        <v>48</v>
      </c>
      <c r="BH1711" s="46">
        <v>0</v>
      </c>
      <c r="BI1711" s="46">
        <v>0</v>
      </c>
      <c r="BJ1711" s="46">
        <v>0</v>
      </c>
      <c r="BK1711" s="46">
        <v>1</v>
      </c>
      <c r="BL1711" s="46">
        <v>0</v>
      </c>
      <c r="BM1711" s="46">
        <v>0</v>
      </c>
      <c r="BN1711" s="46">
        <v>0</v>
      </c>
    </row>
    <row r="1712" spans="1:66" x14ac:dyDescent="0.35">
      <c r="A1712" t="s">
        <v>3257</v>
      </c>
      <c r="B1712" s="44" t="s">
        <v>48</v>
      </c>
      <c r="C1712" t="s">
        <v>3259</v>
      </c>
      <c r="D1712" t="s">
        <v>705</v>
      </c>
      <c r="E1712" t="s">
        <v>3258</v>
      </c>
      <c r="F1712" t="s">
        <v>3255</v>
      </c>
      <c r="G1712" t="s">
        <v>47</v>
      </c>
      <c r="H1712">
        <v>0</v>
      </c>
      <c r="I1712" s="60" t="s">
        <v>125</v>
      </c>
      <c r="J1712" s="33" t="s">
        <v>45</v>
      </c>
      <c r="K1712" s="46">
        <v>0</v>
      </c>
      <c r="L1712">
        <v>4.7</v>
      </c>
      <c r="M1712" t="s">
        <v>48</v>
      </c>
      <c r="N1712" s="46">
        <v>0</v>
      </c>
      <c r="O1712" s="46">
        <v>0</v>
      </c>
      <c r="P1712" s="46">
        <v>0</v>
      </c>
      <c r="Q1712" t="s">
        <v>48</v>
      </c>
      <c r="R1712" t="s">
        <v>48</v>
      </c>
      <c r="S1712" t="s">
        <v>48</v>
      </c>
      <c r="T1712" t="s">
        <v>48</v>
      </c>
      <c r="U1712" t="s">
        <v>48</v>
      </c>
      <c r="V1712" s="47">
        <v>0</v>
      </c>
      <c r="W1712" t="s">
        <v>48</v>
      </c>
      <c r="X1712" t="s">
        <v>48</v>
      </c>
      <c r="Y1712" t="s">
        <v>48</v>
      </c>
      <c r="Z1712">
        <v>0</v>
      </c>
      <c r="AA1712" t="s">
        <v>48</v>
      </c>
      <c r="AB1712" t="s">
        <v>48</v>
      </c>
      <c r="AC1712" t="s">
        <v>49</v>
      </c>
      <c r="AD1712" t="s">
        <v>48</v>
      </c>
      <c r="AE1712" t="s">
        <v>48</v>
      </c>
      <c r="AF1712" t="s">
        <v>48</v>
      </c>
      <c r="AG1712" t="s">
        <v>48</v>
      </c>
      <c r="AH1712" t="s">
        <v>48</v>
      </c>
      <c r="AI1712" t="s">
        <v>48</v>
      </c>
      <c r="AJ1712" t="s">
        <v>48</v>
      </c>
      <c r="AK1712" t="s">
        <v>48</v>
      </c>
      <c r="AL1712" t="s">
        <v>48</v>
      </c>
      <c r="AM1712" t="s">
        <v>48</v>
      </c>
      <c r="AN1712" t="s">
        <v>48</v>
      </c>
      <c r="AO1712" t="s">
        <v>48</v>
      </c>
      <c r="AP1712" s="46">
        <v>0</v>
      </c>
      <c r="AQ1712" s="46">
        <v>0</v>
      </c>
      <c r="AR1712" s="46">
        <v>0</v>
      </c>
      <c r="AS1712" s="46">
        <v>0</v>
      </c>
      <c r="AT1712" s="46">
        <v>0</v>
      </c>
      <c r="AU1712" s="46">
        <v>0</v>
      </c>
      <c r="AV1712" s="46">
        <v>0</v>
      </c>
      <c r="AW1712" s="46">
        <v>0</v>
      </c>
      <c r="AX1712" s="46">
        <v>0</v>
      </c>
      <c r="AY1712" s="46">
        <v>0</v>
      </c>
      <c r="AZ1712" s="46">
        <v>0</v>
      </c>
      <c r="BA1712" s="46">
        <v>0</v>
      </c>
      <c r="BB1712" s="46">
        <v>0</v>
      </c>
      <c r="BC1712" s="46">
        <v>0</v>
      </c>
      <c r="BD1712" s="46">
        <v>0</v>
      </c>
      <c r="BE1712" s="46">
        <v>0</v>
      </c>
      <c r="BF1712" s="46">
        <v>0</v>
      </c>
      <c r="BG1712" s="46" t="s">
        <v>48</v>
      </c>
      <c r="BH1712" s="46">
        <v>0</v>
      </c>
      <c r="BI1712" s="46">
        <v>0</v>
      </c>
      <c r="BJ1712" s="46">
        <v>0</v>
      </c>
      <c r="BK1712" s="46">
        <v>0</v>
      </c>
      <c r="BL1712" s="46">
        <v>0</v>
      </c>
      <c r="BM1712" s="46">
        <v>0</v>
      </c>
      <c r="BN1712" s="46">
        <v>0</v>
      </c>
    </row>
    <row r="1713" spans="1:66" x14ac:dyDescent="0.35">
      <c r="A1713" t="s">
        <v>7960</v>
      </c>
      <c r="B1713" s="44" t="s">
        <v>48</v>
      </c>
      <c r="C1713" t="s">
        <v>11705</v>
      </c>
      <c r="D1713" t="s">
        <v>3256</v>
      </c>
      <c r="E1713" t="s">
        <v>7961</v>
      </c>
      <c r="F1713" t="s">
        <v>3255</v>
      </c>
      <c r="G1713" t="s">
        <v>47</v>
      </c>
      <c r="H1713">
        <v>0</v>
      </c>
      <c r="I1713" s="60" t="s">
        <v>51</v>
      </c>
      <c r="J1713" s="33" t="s">
        <v>45</v>
      </c>
      <c r="K1713" s="46">
        <v>0</v>
      </c>
      <c r="L1713">
        <v>3.7</v>
      </c>
      <c r="M1713" t="s">
        <v>48</v>
      </c>
      <c r="N1713" s="46">
        <v>0</v>
      </c>
      <c r="O1713" s="46">
        <v>0</v>
      </c>
      <c r="P1713" s="46">
        <v>0</v>
      </c>
      <c r="Q1713" t="s">
        <v>48</v>
      </c>
      <c r="R1713" t="s">
        <v>48</v>
      </c>
      <c r="S1713" t="s">
        <v>10118</v>
      </c>
      <c r="T1713" t="s">
        <v>48</v>
      </c>
      <c r="U1713" t="s">
        <v>10118</v>
      </c>
      <c r="V1713" s="47">
        <v>0</v>
      </c>
      <c r="W1713" t="s">
        <v>48</v>
      </c>
      <c r="X1713" t="s">
        <v>48</v>
      </c>
      <c r="Y1713" t="s">
        <v>48</v>
      </c>
      <c r="Z1713">
        <v>0</v>
      </c>
      <c r="AA1713" t="s">
        <v>48</v>
      </c>
      <c r="AB1713" t="s">
        <v>48</v>
      </c>
      <c r="AC1713" t="s">
        <v>49</v>
      </c>
      <c r="AD1713" t="s">
        <v>951</v>
      </c>
      <c r="AE1713" t="s">
        <v>2471</v>
      </c>
      <c r="AF1713" t="s">
        <v>11063</v>
      </c>
      <c r="AG1713" t="s">
        <v>48</v>
      </c>
      <c r="AH1713" t="s">
        <v>48</v>
      </c>
      <c r="AI1713" t="s">
        <v>48</v>
      </c>
      <c r="AJ1713" t="s">
        <v>48</v>
      </c>
      <c r="AK1713" t="s">
        <v>48</v>
      </c>
      <c r="AL1713" t="s">
        <v>48</v>
      </c>
      <c r="AM1713" t="s">
        <v>48</v>
      </c>
      <c r="AN1713" t="s">
        <v>48</v>
      </c>
      <c r="AO1713" t="s">
        <v>48</v>
      </c>
      <c r="AP1713" s="46">
        <v>0</v>
      </c>
      <c r="AQ1713" s="46">
        <v>0</v>
      </c>
      <c r="AR1713" s="46">
        <v>0</v>
      </c>
      <c r="AS1713" s="46">
        <v>0</v>
      </c>
      <c r="AT1713" s="46">
        <v>0</v>
      </c>
      <c r="AU1713" s="46">
        <v>0</v>
      </c>
      <c r="AV1713" s="46">
        <v>0</v>
      </c>
      <c r="AW1713" s="46">
        <v>0</v>
      </c>
      <c r="AX1713" s="46">
        <v>0</v>
      </c>
      <c r="AY1713" s="46">
        <v>0</v>
      </c>
      <c r="AZ1713" s="46">
        <v>0</v>
      </c>
      <c r="BA1713" s="46">
        <v>0</v>
      </c>
      <c r="BB1713" s="46">
        <v>0</v>
      </c>
      <c r="BC1713" s="46">
        <v>0</v>
      </c>
      <c r="BD1713" s="46">
        <v>0</v>
      </c>
      <c r="BE1713" s="46">
        <v>0</v>
      </c>
      <c r="BF1713" s="46">
        <v>0</v>
      </c>
      <c r="BG1713" s="46" t="s">
        <v>48</v>
      </c>
      <c r="BH1713" s="46">
        <v>0</v>
      </c>
      <c r="BI1713" s="46">
        <v>0</v>
      </c>
      <c r="BJ1713" s="46">
        <v>0</v>
      </c>
      <c r="BK1713" s="46">
        <v>0</v>
      </c>
      <c r="BL1713" s="46">
        <v>0</v>
      </c>
      <c r="BM1713" s="46">
        <v>0</v>
      </c>
      <c r="BN1713" s="46">
        <v>0</v>
      </c>
    </row>
    <row r="1714" spans="1:66" x14ac:dyDescent="0.35">
      <c r="A1714" t="s">
        <v>3272</v>
      </c>
      <c r="B1714" s="44" t="s">
        <v>48</v>
      </c>
      <c r="C1714" t="s">
        <v>3275</v>
      </c>
      <c r="D1714" t="s">
        <v>1726</v>
      </c>
      <c r="E1714" t="s">
        <v>3273</v>
      </c>
      <c r="F1714" t="s">
        <v>3255</v>
      </c>
      <c r="G1714" t="s">
        <v>47</v>
      </c>
      <c r="H1714">
        <v>0</v>
      </c>
      <c r="I1714" s="60" t="s">
        <v>125</v>
      </c>
      <c r="J1714" s="33" t="s">
        <v>45</v>
      </c>
      <c r="K1714" s="46">
        <v>0</v>
      </c>
      <c r="L1714">
        <v>9.1</v>
      </c>
      <c r="M1714" t="s">
        <v>48</v>
      </c>
      <c r="N1714" s="46">
        <v>0</v>
      </c>
      <c r="O1714" s="46">
        <v>0</v>
      </c>
      <c r="P1714" s="46">
        <v>0</v>
      </c>
      <c r="Q1714" t="s">
        <v>48</v>
      </c>
      <c r="R1714" t="s">
        <v>48</v>
      </c>
      <c r="S1714" t="s">
        <v>3274</v>
      </c>
      <c r="T1714" t="s">
        <v>48</v>
      </c>
      <c r="U1714" t="s">
        <v>3274</v>
      </c>
      <c r="V1714" s="47">
        <v>0</v>
      </c>
      <c r="W1714" t="s">
        <v>48</v>
      </c>
      <c r="X1714" t="s">
        <v>48</v>
      </c>
      <c r="Y1714" t="s">
        <v>48</v>
      </c>
      <c r="Z1714">
        <v>0</v>
      </c>
      <c r="AA1714" t="s">
        <v>48</v>
      </c>
      <c r="AB1714" t="s">
        <v>48</v>
      </c>
      <c r="AC1714" t="s">
        <v>49</v>
      </c>
      <c r="AD1714" t="s">
        <v>93</v>
      </c>
      <c r="AE1714" t="s">
        <v>4532</v>
      </c>
      <c r="AF1714" t="s">
        <v>48</v>
      </c>
      <c r="AG1714" t="s">
        <v>48</v>
      </c>
      <c r="AH1714" t="s">
        <v>48</v>
      </c>
      <c r="AI1714" t="s">
        <v>48</v>
      </c>
      <c r="AJ1714" t="s">
        <v>48</v>
      </c>
      <c r="AK1714" t="s">
        <v>48</v>
      </c>
      <c r="AL1714" t="s">
        <v>48</v>
      </c>
      <c r="AM1714" t="s">
        <v>48</v>
      </c>
      <c r="AN1714" t="s">
        <v>48</v>
      </c>
      <c r="AO1714" t="s">
        <v>48</v>
      </c>
      <c r="AP1714" s="46">
        <v>0</v>
      </c>
      <c r="AQ1714" s="46">
        <v>0</v>
      </c>
      <c r="AR1714" s="46">
        <v>0</v>
      </c>
      <c r="AS1714" s="46">
        <v>0</v>
      </c>
      <c r="AT1714" s="46">
        <v>0</v>
      </c>
      <c r="AU1714" s="46">
        <v>0</v>
      </c>
      <c r="AV1714" s="46">
        <v>0</v>
      </c>
      <c r="AW1714" s="46">
        <v>0</v>
      </c>
      <c r="AX1714" s="46">
        <v>0</v>
      </c>
      <c r="AY1714" s="46">
        <v>0</v>
      </c>
      <c r="AZ1714" s="46">
        <v>0</v>
      </c>
      <c r="BA1714" s="46">
        <v>0</v>
      </c>
      <c r="BB1714" s="46">
        <v>0</v>
      </c>
      <c r="BC1714" s="46">
        <v>0</v>
      </c>
      <c r="BD1714" s="46">
        <v>0</v>
      </c>
      <c r="BE1714" s="46">
        <v>0</v>
      </c>
      <c r="BF1714" s="46">
        <v>0</v>
      </c>
      <c r="BG1714" s="46" t="s">
        <v>48</v>
      </c>
      <c r="BH1714" s="46">
        <v>0</v>
      </c>
      <c r="BI1714" s="46">
        <v>0</v>
      </c>
      <c r="BJ1714" s="46">
        <v>0</v>
      </c>
      <c r="BK1714" s="46">
        <v>0</v>
      </c>
      <c r="BL1714" s="46">
        <v>0</v>
      </c>
      <c r="BM1714" s="46">
        <v>0</v>
      </c>
      <c r="BN1714" s="46">
        <v>0</v>
      </c>
    </row>
    <row r="1715" spans="1:66" x14ac:dyDescent="0.35">
      <c r="A1715" t="s">
        <v>3263</v>
      </c>
      <c r="B1715" s="44" t="s">
        <v>48</v>
      </c>
      <c r="C1715" t="s">
        <v>1726</v>
      </c>
      <c r="D1715" t="s">
        <v>843</v>
      </c>
      <c r="E1715" t="s">
        <v>3264</v>
      </c>
      <c r="F1715" t="s">
        <v>3255</v>
      </c>
      <c r="G1715" t="s">
        <v>47</v>
      </c>
      <c r="H1715">
        <v>0</v>
      </c>
      <c r="I1715" s="60" t="s">
        <v>125</v>
      </c>
      <c r="J1715" s="33" t="s">
        <v>45</v>
      </c>
      <c r="K1715" s="46">
        <v>0</v>
      </c>
      <c r="L1715">
        <v>3.9</v>
      </c>
      <c r="M1715" t="s">
        <v>48</v>
      </c>
      <c r="N1715" s="46">
        <v>0</v>
      </c>
      <c r="O1715" s="46">
        <v>0</v>
      </c>
      <c r="P1715" s="46">
        <v>0</v>
      </c>
      <c r="Q1715" t="s">
        <v>48</v>
      </c>
      <c r="R1715" t="s">
        <v>48</v>
      </c>
      <c r="S1715" t="s">
        <v>48</v>
      </c>
      <c r="T1715" t="s">
        <v>48</v>
      </c>
      <c r="U1715" t="s">
        <v>48</v>
      </c>
      <c r="V1715" s="47">
        <v>0</v>
      </c>
      <c r="W1715" t="s">
        <v>48</v>
      </c>
      <c r="X1715" t="s">
        <v>48</v>
      </c>
      <c r="Y1715" t="s">
        <v>48</v>
      </c>
      <c r="Z1715">
        <v>0</v>
      </c>
      <c r="AA1715" t="s">
        <v>48</v>
      </c>
      <c r="AB1715" t="s">
        <v>48</v>
      </c>
      <c r="AC1715" t="s">
        <v>49</v>
      </c>
      <c r="AD1715" t="s">
        <v>48</v>
      </c>
      <c r="AE1715" t="s">
        <v>48</v>
      </c>
      <c r="AF1715" t="s">
        <v>48</v>
      </c>
      <c r="AG1715" t="s">
        <v>48</v>
      </c>
      <c r="AH1715" t="s">
        <v>48</v>
      </c>
      <c r="AI1715" t="s">
        <v>48</v>
      </c>
      <c r="AJ1715" t="s">
        <v>48</v>
      </c>
      <c r="AK1715" t="s">
        <v>48</v>
      </c>
      <c r="AL1715" t="s">
        <v>48</v>
      </c>
      <c r="AM1715" t="s">
        <v>48</v>
      </c>
      <c r="AN1715" t="s">
        <v>48</v>
      </c>
      <c r="AO1715" t="s">
        <v>48</v>
      </c>
      <c r="AP1715" s="46">
        <v>0</v>
      </c>
      <c r="AQ1715" s="46">
        <v>0</v>
      </c>
      <c r="AR1715" s="46">
        <v>0</v>
      </c>
      <c r="AS1715" s="46">
        <v>0</v>
      </c>
      <c r="AT1715" s="46">
        <v>0</v>
      </c>
      <c r="AU1715" s="46">
        <v>0</v>
      </c>
      <c r="AV1715" s="46">
        <v>0</v>
      </c>
      <c r="AW1715" s="46">
        <v>0</v>
      </c>
      <c r="AX1715" s="46">
        <v>0</v>
      </c>
      <c r="AY1715" s="46">
        <v>0</v>
      </c>
      <c r="AZ1715" s="46">
        <v>0</v>
      </c>
      <c r="BA1715" s="46">
        <v>0</v>
      </c>
      <c r="BB1715" s="46">
        <v>0</v>
      </c>
      <c r="BC1715" s="46">
        <v>0</v>
      </c>
      <c r="BD1715" s="46">
        <v>0</v>
      </c>
      <c r="BE1715" s="46">
        <v>0</v>
      </c>
      <c r="BF1715" s="46">
        <v>0</v>
      </c>
      <c r="BG1715" s="46" t="s">
        <v>48</v>
      </c>
      <c r="BH1715" s="46">
        <v>0</v>
      </c>
      <c r="BI1715" s="46">
        <v>0</v>
      </c>
      <c r="BJ1715" s="46">
        <v>0</v>
      </c>
      <c r="BK1715" s="46">
        <v>0</v>
      </c>
      <c r="BL1715" s="46">
        <v>0</v>
      </c>
      <c r="BM1715" s="46">
        <v>0</v>
      </c>
      <c r="BN1715" s="46">
        <v>0</v>
      </c>
    </row>
    <row r="1716" spans="1:66" x14ac:dyDescent="0.35">
      <c r="A1716" t="s">
        <v>3260</v>
      </c>
      <c r="B1716" s="44" t="s">
        <v>48</v>
      </c>
      <c r="C1716" t="s">
        <v>3262</v>
      </c>
      <c r="D1716" t="s">
        <v>288</v>
      </c>
      <c r="E1716" t="s">
        <v>3261</v>
      </c>
      <c r="F1716" t="s">
        <v>3255</v>
      </c>
      <c r="G1716" t="s">
        <v>47</v>
      </c>
      <c r="H1716">
        <v>0</v>
      </c>
      <c r="I1716" s="60" t="s">
        <v>149</v>
      </c>
      <c r="J1716" s="33" t="s">
        <v>45</v>
      </c>
      <c r="K1716" s="46">
        <v>0</v>
      </c>
      <c r="L1716">
        <v>19.7</v>
      </c>
      <c r="M1716" t="s">
        <v>48</v>
      </c>
      <c r="N1716" s="46">
        <v>0</v>
      </c>
      <c r="O1716" s="46">
        <v>0</v>
      </c>
      <c r="P1716" s="46">
        <v>0</v>
      </c>
      <c r="Q1716" t="s">
        <v>48</v>
      </c>
      <c r="R1716" t="s">
        <v>48</v>
      </c>
      <c r="S1716" t="s">
        <v>48</v>
      </c>
      <c r="T1716" t="s">
        <v>48</v>
      </c>
      <c r="U1716" t="s">
        <v>48</v>
      </c>
      <c r="V1716" s="47">
        <v>0</v>
      </c>
      <c r="W1716" t="s">
        <v>48</v>
      </c>
      <c r="X1716" t="s">
        <v>48</v>
      </c>
      <c r="Y1716" t="s">
        <v>48</v>
      </c>
      <c r="Z1716">
        <v>0</v>
      </c>
      <c r="AA1716" t="s">
        <v>48</v>
      </c>
      <c r="AB1716" t="s">
        <v>48</v>
      </c>
      <c r="AC1716" t="s">
        <v>49</v>
      </c>
      <c r="AD1716" t="s">
        <v>93</v>
      </c>
      <c r="AE1716" t="s">
        <v>4532</v>
      </c>
      <c r="AF1716" t="s">
        <v>48</v>
      </c>
      <c r="AG1716" t="s">
        <v>48</v>
      </c>
      <c r="AH1716" t="s">
        <v>48</v>
      </c>
      <c r="AI1716" t="s">
        <v>48</v>
      </c>
      <c r="AJ1716" t="s">
        <v>48</v>
      </c>
      <c r="AK1716" t="s">
        <v>48</v>
      </c>
      <c r="AL1716" t="s">
        <v>48</v>
      </c>
      <c r="AM1716" t="s">
        <v>48</v>
      </c>
      <c r="AN1716" t="s">
        <v>48</v>
      </c>
      <c r="AO1716" t="s">
        <v>48</v>
      </c>
      <c r="AP1716" s="46">
        <v>0</v>
      </c>
      <c r="AQ1716" s="46">
        <v>0</v>
      </c>
      <c r="AR1716" s="46">
        <v>0</v>
      </c>
      <c r="AS1716" s="46">
        <v>0</v>
      </c>
      <c r="AT1716" s="46">
        <v>0</v>
      </c>
      <c r="AU1716" s="46">
        <v>0</v>
      </c>
      <c r="AV1716" s="46">
        <v>0</v>
      </c>
      <c r="AW1716" s="46">
        <v>0</v>
      </c>
      <c r="AX1716" s="46">
        <v>0</v>
      </c>
      <c r="AY1716" s="46">
        <v>0</v>
      </c>
      <c r="AZ1716" s="46">
        <v>0</v>
      </c>
      <c r="BA1716" s="46">
        <v>0</v>
      </c>
      <c r="BB1716" s="46">
        <v>0</v>
      </c>
      <c r="BC1716" s="46">
        <v>0</v>
      </c>
      <c r="BD1716" s="46">
        <v>0</v>
      </c>
      <c r="BE1716" s="46">
        <v>0</v>
      </c>
      <c r="BF1716" s="46">
        <v>0</v>
      </c>
      <c r="BG1716" s="46" t="s">
        <v>48</v>
      </c>
      <c r="BH1716" s="46">
        <v>0</v>
      </c>
      <c r="BI1716" s="46">
        <v>0</v>
      </c>
      <c r="BJ1716" s="46">
        <v>0</v>
      </c>
      <c r="BK1716" s="46">
        <v>0</v>
      </c>
      <c r="BL1716" s="46">
        <v>0</v>
      </c>
      <c r="BM1716" s="46">
        <v>0</v>
      </c>
      <c r="BN1716" s="46">
        <v>0</v>
      </c>
    </row>
    <row r="1717" spans="1:66" x14ac:dyDescent="0.35">
      <c r="A1717" t="s">
        <v>3269</v>
      </c>
      <c r="B1717" s="44" t="s">
        <v>48</v>
      </c>
      <c r="C1717" t="s">
        <v>3271</v>
      </c>
      <c r="D1717" t="s">
        <v>416</v>
      </c>
      <c r="E1717" t="s">
        <v>3270</v>
      </c>
      <c r="F1717" t="s">
        <v>3255</v>
      </c>
      <c r="G1717" t="s">
        <v>47</v>
      </c>
      <c r="H1717">
        <v>0</v>
      </c>
      <c r="I1717" s="60" t="s">
        <v>881</v>
      </c>
      <c r="J1717" s="33" t="s">
        <v>45</v>
      </c>
      <c r="K1717" s="46">
        <v>0</v>
      </c>
      <c r="L1717">
        <v>29.4</v>
      </c>
      <c r="M1717" t="s">
        <v>48</v>
      </c>
      <c r="N1717" s="46">
        <v>0</v>
      </c>
      <c r="O1717" s="46">
        <v>0</v>
      </c>
      <c r="P1717" s="46">
        <v>0</v>
      </c>
      <c r="Q1717" t="s">
        <v>48</v>
      </c>
      <c r="R1717" t="s">
        <v>48</v>
      </c>
      <c r="S1717" t="s">
        <v>48</v>
      </c>
      <c r="T1717" t="s">
        <v>48</v>
      </c>
      <c r="U1717" t="s">
        <v>48</v>
      </c>
      <c r="V1717" s="47">
        <v>1</v>
      </c>
      <c r="W1717" t="s">
        <v>11264</v>
      </c>
      <c r="X1717" t="s">
        <v>48</v>
      </c>
      <c r="Y1717" t="s">
        <v>48</v>
      </c>
      <c r="Z1717">
        <v>0</v>
      </c>
      <c r="AA1717" t="s">
        <v>48</v>
      </c>
      <c r="AB1717" t="s">
        <v>48</v>
      </c>
      <c r="AC1717" t="s">
        <v>63</v>
      </c>
      <c r="AD1717" t="s">
        <v>93</v>
      </c>
      <c r="AE1717" t="s">
        <v>4532</v>
      </c>
      <c r="AF1717" t="s">
        <v>48</v>
      </c>
      <c r="AG1717" t="s">
        <v>48</v>
      </c>
      <c r="AH1717" t="s">
        <v>48</v>
      </c>
      <c r="AI1717" t="s">
        <v>48</v>
      </c>
      <c r="AJ1717" t="s">
        <v>48</v>
      </c>
      <c r="AK1717" t="s">
        <v>48</v>
      </c>
      <c r="AL1717" t="s">
        <v>48</v>
      </c>
      <c r="AM1717" t="s">
        <v>48</v>
      </c>
      <c r="AN1717" t="s">
        <v>48</v>
      </c>
      <c r="AO1717" t="s">
        <v>48</v>
      </c>
      <c r="AP1717" s="46">
        <v>0</v>
      </c>
      <c r="AQ1717" s="46">
        <v>0</v>
      </c>
      <c r="AR1717" s="46">
        <v>0</v>
      </c>
      <c r="AS1717" s="46">
        <v>0</v>
      </c>
      <c r="AT1717" s="46">
        <v>0</v>
      </c>
      <c r="AU1717" s="46">
        <v>0</v>
      </c>
      <c r="AV1717" s="46">
        <v>0</v>
      </c>
      <c r="AW1717" s="46">
        <v>0</v>
      </c>
      <c r="AX1717" s="46">
        <v>0</v>
      </c>
      <c r="AY1717" s="46">
        <v>0</v>
      </c>
      <c r="AZ1717" s="46">
        <v>0</v>
      </c>
      <c r="BA1717" s="46">
        <v>0</v>
      </c>
      <c r="BB1717" s="46">
        <v>0</v>
      </c>
      <c r="BC1717" s="46">
        <v>0</v>
      </c>
      <c r="BD1717" s="46">
        <v>0</v>
      </c>
      <c r="BE1717" s="46">
        <v>0</v>
      </c>
      <c r="BF1717" s="46">
        <v>0</v>
      </c>
      <c r="BG1717" s="46" t="s">
        <v>48</v>
      </c>
      <c r="BH1717" s="46">
        <v>0</v>
      </c>
      <c r="BI1717" s="46">
        <v>0</v>
      </c>
      <c r="BJ1717" s="46">
        <v>0</v>
      </c>
      <c r="BK1717" s="46">
        <v>0</v>
      </c>
      <c r="BL1717" s="46">
        <v>0</v>
      </c>
      <c r="BM1717" s="46">
        <v>0</v>
      </c>
      <c r="BN1717" s="46">
        <v>0</v>
      </c>
    </row>
    <row r="1718" spans="1:66" x14ac:dyDescent="0.35">
      <c r="A1718" t="s">
        <v>3294</v>
      </c>
      <c r="B1718" s="44" t="s">
        <v>48</v>
      </c>
      <c r="C1718" t="s">
        <v>3298</v>
      </c>
      <c r="D1718" t="s">
        <v>3297</v>
      </c>
      <c r="E1718" t="s">
        <v>3295</v>
      </c>
      <c r="F1718" t="s">
        <v>3284</v>
      </c>
      <c r="G1718" t="s">
        <v>47</v>
      </c>
      <c r="H1718">
        <v>0</v>
      </c>
      <c r="I1718" s="60" t="s">
        <v>881</v>
      </c>
      <c r="J1718" s="33" t="s">
        <v>45</v>
      </c>
      <c r="K1718" s="46">
        <v>0</v>
      </c>
      <c r="L1718">
        <v>5.2</v>
      </c>
      <c r="M1718" t="s">
        <v>48</v>
      </c>
      <c r="N1718" s="46">
        <v>0</v>
      </c>
      <c r="O1718" s="46">
        <v>0</v>
      </c>
      <c r="P1718" s="46">
        <v>0</v>
      </c>
      <c r="Q1718" t="s">
        <v>48</v>
      </c>
      <c r="R1718" t="s">
        <v>48</v>
      </c>
      <c r="S1718" t="s">
        <v>3296</v>
      </c>
      <c r="T1718" t="s">
        <v>48</v>
      </c>
      <c r="U1718" t="s">
        <v>3296</v>
      </c>
      <c r="V1718" s="47">
        <v>0</v>
      </c>
      <c r="W1718" t="s">
        <v>48</v>
      </c>
      <c r="X1718" t="s">
        <v>48</v>
      </c>
      <c r="Y1718" t="s">
        <v>48</v>
      </c>
      <c r="Z1718">
        <v>0</v>
      </c>
      <c r="AA1718" t="s">
        <v>48</v>
      </c>
      <c r="AB1718" t="s">
        <v>48</v>
      </c>
      <c r="AC1718" t="s">
        <v>63</v>
      </c>
      <c r="AD1718" t="s">
        <v>48</v>
      </c>
      <c r="AE1718" t="s">
        <v>48</v>
      </c>
      <c r="AF1718" t="s">
        <v>48</v>
      </c>
      <c r="AG1718" t="s">
        <v>48</v>
      </c>
      <c r="AH1718" t="s">
        <v>48</v>
      </c>
      <c r="AI1718" t="s">
        <v>48</v>
      </c>
      <c r="AJ1718" t="s">
        <v>48</v>
      </c>
      <c r="AK1718" t="s">
        <v>48</v>
      </c>
      <c r="AL1718" t="s">
        <v>48</v>
      </c>
      <c r="AM1718" t="s">
        <v>48</v>
      </c>
      <c r="AN1718" t="s">
        <v>48</v>
      </c>
      <c r="AO1718" t="s">
        <v>48</v>
      </c>
      <c r="AP1718" s="46">
        <v>0</v>
      </c>
      <c r="AQ1718" s="46">
        <v>0</v>
      </c>
      <c r="AR1718" s="46">
        <v>0</v>
      </c>
      <c r="AS1718" s="46">
        <v>0</v>
      </c>
      <c r="AT1718" s="46">
        <v>0</v>
      </c>
      <c r="AU1718" s="46">
        <v>0</v>
      </c>
      <c r="AV1718" s="46">
        <v>0</v>
      </c>
      <c r="AW1718" s="46">
        <v>0</v>
      </c>
      <c r="AX1718" s="46">
        <v>0</v>
      </c>
      <c r="AY1718" s="46">
        <v>0</v>
      </c>
      <c r="AZ1718" s="46">
        <v>0</v>
      </c>
      <c r="BA1718" s="46">
        <v>0</v>
      </c>
      <c r="BB1718" s="46">
        <v>0</v>
      </c>
      <c r="BC1718" s="46">
        <v>0</v>
      </c>
      <c r="BD1718" s="46">
        <v>0</v>
      </c>
      <c r="BE1718" s="46">
        <v>0</v>
      </c>
      <c r="BF1718" s="46">
        <v>0</v>
      </c>
      <c r="BG1718" s="46" t="s">
        <v>48</v>
      </c>
      <c r="BH1718" s="46">
        <v>0</v>
      </c>
      <c r="BI1718" s="46">
        <v>0</v>
      </c>
      <c r="BJ1718" s="46">
        <v>0</v>
      </c>
      <c r="BK1718" s="46">
        <v>0</v>
      </c>
      <c r="BL1718" s="46">
        <v>0</v>
      </c>
      <c r="BM1718" s="46">
        <v>0</v>
      </c>
      <c r="BN1718" s="46">
        <v>0</v>
      </c>
    </row>
    <row r="1719" spans="1:66" x14ac:dyDescent="0.35">
      <c r="A1719" t="s">
        <v>3303</v>
      </c>
      <c r="B1719" s="44" t="s">
        <v>48</v>
      </c>
      <c r="C1719" t="s">
        <v>3047</v>
      </c>
      <c r="D1719" t="s">
        <v>3306</v>
      </c>
      <c r="E1719" t="s">
        <v>3304</v>
      </c>
      <c r="F1719" t="s">
        <v>3284</v>
      </c>
      <c r="G1719" t="s">
        <v>47</v>
      </c>
      <c r="H1719">
        <v>0</v>
      </c>
      <c r="I1719" s="60" t="s">
        <v>51</v>
      </c>
      <c r="J1719" s="33" t="s">
        <v>45</v>
      </c>
      <c r="K1719" s="46">
        <v>0</v>
      </c>
      <c r="L1719">
        <v>15.7</v>
      </c>
      <c r="M1719" t="s">
        <v>48</v>
      </c>
      <c r="N1719" s="46">
        <v>0</v>
      </c>
      <c r="O1719" s="46">
        <v>0</v>
      </c>
      <c r="P1719" s="46">
        <v>0</v>
      </c>
      <c r="Q1719" t="s">
        <v>48</v>
      </c>
      <c r="R1719" t="s">
        <v>48</v>
      </c>
      <c r="S1719" t="s">
        <v>3305</v>
      </c>
      <c r="T1719" t="s">
        <v>48</v>
      </c>
      <c r="U1719" t="s">
        <v>3305</v>
      </c>
      <c r="V1719" s="47">
        <v>0</v>
      </c>
      <c r="W1719" t="s">
        <v>48</v>
      </c>
      <c r="X1719" t="s">
        <v>48</v>
      </c>
      <c r="Y1719" t="s">
        <v>48</v>
      </c>
      <c r="Z1719">
        <v>0</v>
      </c>
      <c r="AA1719" t="s">
        <v>48</v>
      </c>
      <c r="AB1719" t="s">
        <v>48</v>
      </c>
      <c r="AC1719" t="s">
        <v>63</v>
      </c>
      <c r="AD1719" t="s">
        <v>93</v>
      </c>
      <c r="AE1719" t="s">
        <v>4532</v>
      </c>
      <c r="AF1719" t="s">
        <v>48</v>
      </c>
      <c r="AG1719" t="s">
        <v>48</v>
      </c>
      <c r="AH1719" t="s">
        <v>48</v>
      </c>
      <c r="AI1719" t="s">
        <v>48</v>
      </c>
      <c r="AJ1719" t="s">
        <v>48</v>
      </c>
      <c r="AK1719" t="s">
        <v>48</v>
      </c>
      <c r="AL1719" t="s">
        <v>48</v>
      </c>
      <c r="AM1719" t="s">
        <v>48</v>
      </c>
      <c r="AN1719" t="s">
        <v>48</v>
      </c>
      <c r="AO1719" t="s">
        <v>48</v>
      </c>
      <c r="AP1719" s="46">
        <v>0</v>
      </c>
      <c r="AQ1719" s="46">
        <v>0</v>
      </c>
      <c r="AR1719" s="46">
        <v>0</v>
      </c>
      <c r="AS1719" s="46">
        <v>0</v>
      </c>
      <c r="AT1719" s="46">
        <v>0</v>
      </c>
      <c r="AU1719" s="46">
        <v>0</v>
      </c>
      <c r="AV1719" s="46">
        <v>0</v>
      </c>
      <c r="AW1719" s="46">
        <v>0</v>
      </c>
      <c r="AX1719" s="46">
        <v>0</v>
      </c>
      <c r="AY1719" s="46">
        <v>0</v>
      </c>
      <c r="AZ1719" s="46">
        <v>0</v>
      </c>
      <c r="BA1719" s="46">
        <v>0</v>
      </c>
      <c r="BB1719" s="46">
        <v>0</v>
      </c>
      <c r="BC1719" s="46">
        <v>0</v>
      </c>
      <c r="BD1719" s="46">
        <v>0</v>
      </c>
      <c r="BE1719" s="46">
        <v>0</v>
      </c>
      <c r="BF1719" s="46">
        <v>0</v>
      </c>
      <c r="BG1719" s="46" t="s">
        <v>48</v>
      </c>
      <c r="BH1719" s="46">
        <v>0</v>
      </c>
      <c r="BI1719" s="46">
        <v>0</v>
      </c>
      <c r="BJ1719" s="46">
        <v>0</v>
      </c>
      <c r="BK1719" s="46">
        <v>0</v>
      </c>
      <c r="BL1719" s="46">
        <v>0</v>
      </c>
      <c r="BM1719" s="46">
        <v>0</v>
      </c>
      <c r="BN1719" s="46">
        <v>0</v>
      </c>
    </row>
    <row r="1720" spans="1:66" x14ac:dyDescent="0.35">
      <c r="A1720" t="s">
        <v>3299</v>
      </c>
      <c r="B1720" s="44" t="s">
        <v>48</v>
      </c>
      <c r="C1720" t="s">
        <v>3302</v>
      </c>
      <c r="D1720" t="s">
        <v>1783</v>
      </c>
      <c r="E1720" t="s">
        <v>3300</v>
      </c>
      <c r="F1720" t="s">
        <v>3284</v>
      </c>
      <c r="G1720" t="s">
        <v>47</v>
      </c>
      <c r="H1720">
        <v>0</v>
      </c>
      <c r="I1720" s="60" t="s">
        <v>125</v>
      </c>
      <c r="J1720" s="33" t="s">
        <v>45</v>
      </c>
      <c r="K1720" s="46">
        <v>0</v>
      </c>
      <c r="L1720">
        <v>3.9</v>
      </c>
      <c r="M1720" t="s">
        <v>48</v>
      </c>
      <c r="N1720" s="46">
        <v>0</v>
      </c>
      <c r="O1720" s="46">
        <v>0</v>
      </c>
      <c r="P1720" s="46">
        <v>0</v>
      </c>
      <c r="Q1720" t="s">
        <v>48</v>
      </c>
      <c r="R1720" t="s">
        <v>48</v>
      </c>
      <c r="S1720" t="s">
        <v>3301</v>
      </c>
      <c r="T1720" t="s">
        <v>48</v>
      </c>
      <c r="U1720" t="s">
        <v>3301</v>
      </c>
      <c r="V1720" s="47">
        <v>0</v>
      </c>
      <c r="W1720" t="s">
        <v>48</v>
      </c>
      <c r="X1720" t="s">
        <v>48</v>
      </c>
      <c r="Y1720" t="s">
        <v>48</v>
      </c>
      <c r="Z1720">
        <v>0</v>
      </c>
      <c r="AA1720" t="s">
        <v>48</v>
      </c>
      <c r="AB1720" t="s">
        <v>48</v>
      </c>
      <c r="AC1720" t="s">
        <v>49</v>
      </c>
      <c r="AD1720" t="s">
        <v>48</v>
      </c>
      <c r="AE1720" t="s">
        <v>48</v>
      </c>
      <c r="AF1720" t="s">
        <v>48</v>
      </c>
      <c r="AG1720" t="s">
        <v>48</v>
      </c>
      <c r="AH1720" t="s">
        <v>48</v>
      </c>
      <c r="AI1720" t="s">
        <v>48</v>
      </c>
      <c r="AJ1720" t="s">
        <v>48</v>
      </c>
      <c r="AK1720" t="s">
        <v>48</v>
      </c>
      <c r="AL1720" t="s">
        <v>48</v>
      </c>
      <c r="AM1720" t="s">
        <v>48</v>
      </c>
      <c r="AN1720" t="s">
        <v>48</v>
      </c>
      <c r="AO1720" t="s">
        <v>48</v>
      </c>
      <c r="AP1720" s="46">
        <v>0</v>
      </c>
      <c r="AQ1720" s="46">
        <v>0</v>
      </c>
      <c r="AR1720" s="46">
        <v>0</v>
      </c>
      <c r="AS1720" s="46">
        <v>0</v>
      </c>
      <c r="AT1720" s="46">
        <v>0</v>
      </c>
      <c r="AU1720" s="46">
        <v>0</v>
      </c>
      <c r="AV1720" s="46">
        <v>0</v>
      </c>
      <c r="AW1720" s="46">
        <v>0</v>
      </c>
      <c r="AX1720" s="46">
        <v>0</v>
      </c>
      <c r="AY1720" s="46">
        <v>0</v>
      </c>
      <c r="AZ1720" s="46">
        <v>0</v>
      </c>
      <c r="BA1720" s="46">
        <v>0</v>
      </c>
      <c r="BB1720" s="46">
        <v>0</v>
      </c>
      <c r="BC1720" s="46">
        <v>0</v>
      </c>
      <c r="BD1720" s="46">
        <v>0</v>
      </c>
      <c r="BE1720" s="46">
        <v>0</v>
      </c>
      <c r="BF1720" s="46">
        <v>0</v>
      </c>
      <c r="BG1720" s="46" t="s">
        <v>48</v>
      </c>
      <c r="BH1720" s="46">
        <v>0</v>
      </c>
      <c r="BI1720" s="46">
        <v>0</v>
      </c>
      <c r="BJ1720" s="46">
        <v>0</v>
      </c>
      <c r="BK1720" s="46">
        <v>0</v>
      </c>
      <c r="BL1720" s="46">
        <v>0</v>
      </c>
      <c r="BM1720" s="46">
        <v>0</v>
      </c>
      <c r="BN1720" s="46">
        <v>0</v>
      </c>
    </row>
    <row r="1721" spans="1:66" x14ac:dyDescent="0.35">
      <c r="A1721" t="s">
        <v>3316</v>
      </c>
      <c r="B1721" s="44" t="s">
        <v>48</v>
      </c>
      <c r="C1721" t="s">
        <v>3318</v>
      </c>
      <c r="D1721" t="s">
        <v>771</v>
      </c>
      <c r="E1721" t="s">
        <v>3317</v>
      </c>
      <c r="F1721" t="s">
        <v>3308</v>
      </c>
      <c r="G1721" t="s">
        <v>47</v>
      </c>
      <c r="H1721">
        <v>0</v>
      </c>
      <c r="I1721" s="60" t="s">
        <v>881</v>
      </c>
      <c r="J1721" s="33" t="s">
        <v>45</v>
      </c>
      <c r="K1721" s="46">
        <v>0</v>
      </c>
      <c r="L1721">
        <v>4.0999999999999996</v>
      </c>
      <c r="M1721" t="s">
        <v>48</v>
      </c>
      <c r="N1721" s="46">
        <v>0</v>
      </c>
      <c r="O1721" s="46">
        <v>0</v>
      </c>
      <c r="P1721" s="46">
        <v>0</v>
      </c>
      <c r="Q1721" t="s">
        <v>48</v>
      </c>
      <c r="R1721" t="s">
        <v>48</v>
      </c>
      <c r="S1721" t="s">
        <v>10119</v>
      </c>
      <c r="T1721" t="s">
        <v>48</v>
      </c>
      <c r="U1721" t="s">
        <v>10119</v>
      </c>
      <c r="V1721" s="47">
        <v>0</v>
      </c>
      <c r="W1721" t="s">
        <v>48</v>
      </c>
      <c r="X1721" t="s">
        <v>48</v>
      </c>
      <c r="Y1721" t="s">
        <v>48</v>
      </c>
      <c r="Z1721">
        <v>0</v>
      </c>
      <c r="AA1721" t="s">
        <v>48</v>
      </c>
      <c r="AB1721" t="s">
        <v>48</v>
      </c>
      <c r="AC1721" t="s">
        <v>49</v>
      </c>
      <c r="AD1721" t="s">
        <v>93</v>
      </c>
      <c r="AE1721" t="s">
        <v>4532</v>
      </c>
      <c r="AF1721" t="s">
        <v>48</v>
      </c>
      <c r="AG1721" t="s">
        <v>48</v>
      </c>
      <c r="AH1721" t="s">
        <v>48</v>
      </c>
      <c r="AI1721" t="s">
        <v>48</v>
      </c>
      <c r="AJ1721" t="s">
        <v>48</v>
      </c>
      <c r="AK1721" t="s">
        <v>48</v>
      </c>
      <c r="AL1721" t="s">
        <v>48</v>
      </c>
      <c r="AM1721" t="s">
        <v>48</v>
      </c>
      <c r="AN1721" t="s">
        <v>48</v>
      </c>
      <c r="AO1721" t="s">
        <v>48</v>
      </c>
      <c r="AP1721" s="46">
        <v>0</v>
      </c>
      <c r="AQ1721" s="46">
        <v>0</v>
      </c>
      <c r="AR1721" s="46">
        <v>0</v>
      </c>
      <c r="AS1721" s="46">
        <v>0</v>
      </c>
      <c r="AT1721" s="46">
        <v>0</v>
      </c>
      <c r="AU1721" s="46">
        <v>0</v>
      </c>
      <c r="AV1721" s="46">
        <v>0</v>
      </c>
      <c r="AW1721" s="46">
        <v>0</v>
      </c>
      <c r="AX1721" s="46">
        <v>0</v>
      </c>
      <c r="AY1721" s="46">
        <v>0</v>
      </c>
      <c r="AZ1721" s="46">
        <v>0</v>
      </c>
      <c r="BA1721" s="46">
        <v>0</v>
      </c>
      <c r="BB1721" s="46">
        <v>0</v>
      </c>
      <c r="BC1721" s="46">
        <v>0</v>
      </c>
      <c r="BD1721" s="46">
        <v>0</v>
      </c>
      <c r="BE1721" s="46">
        <v>0</v>
      </c>
      <c r="BF1721" s="46">
        <v>0</v>
      </c>
      <c r="BG1721" s="46" t="s">
        <v>48</v>
      </c>
      <c r="BH1721" s="46">
        <v>0</v>
      </c>
      <c r="BI1721" s="46">
        <v>0</v>
      </c>
      <c r="BJ1721" s="46">
        <v>0</v>
      </c>
      <c r="BK1721" s="46">
        <v>0</v>
      </c>
      <c r="BL1721" s="46">
        <v>0</v>
      </c>
      <c r="BM1721" s="46">
        <v>0</v>
      </c>
      <c r="BN1721" s="46">
        <v>0</v>
      </c>
    </row>
    <row r="1722" spans="1:66" x14ac:dyDescent="0.35">
      <c r="A1722" t="s">
        <v>3324</v>
      </c>
      <c r="B1722" s="44" t="s">
        <v>48</v>
      </c>
      <c r="C1722" t="s">
        <v>3328</v>
      </c>
      <c r="D1722" t="s">
        <v>3327</v>
      </c>
      <c r="E1722" t="s">
        <v>3325</v>
      </c>
      <c r="F1722" t="s">
        <v>3308</v>
      </c>
      <c r="G1722" t="s">
        <v>47</v>
      </c>
      <c r="H1722">
        <v>0</v>
      </c>
      <c r="I1722" s="60" t="s">
        <v>125</v>
      </c>
      <c r="J1722" s="33" t="s">
        <v>45</v>
      </c>
      <c r="K1722" s="46">
        <v>0</v>
      </c>
      <c r="L1722">
        <v>5.8</v>
      </c>
      <c r="M1722" t="s">
        <v>48</v>
      </c>
      <c r="N1722" s="46">
        <v>0</v>
      </c>
      <c r="O1722" s="46">
        <v>0</v>
      </c>
      <c r="P1722" s="46">
        <v>0</v>
      </c>
      <c r="Q1722" t="s">
        <v>48</v>
      </c>
      <c r="R1722" t="s">
        <v>48</v>
      </c>
      <c r="S1722" t="s">
        <v>3326</v>
      </c>
      <c r="T1722" t="s">
        <v>48</v>
      </c>
      <c r="U1722" t="s">
        <v>3326</v>
      </c>
      <c r="V1722" s="47">
        <v>0</v>
      </c>
      <c r="W1722" t="s">
        <v>48</v>
      </c>
      <c r="X1722" t="s">
        <v>48</v>
      </c>
      <c r="Y1722" t="s">
        <v>48</v>
      </c>
      <c r="Z1722">
        <v>0</v>
      </c>
      <c r="AA1722" t="s">
        <v>48</v>
      </c>
      <c r="AB1722" t="s">
        <v>48</v>
      </c>
      <c r="AC1722" t="s">
        <v>49</v>
      </c>
      <c r="AD1722" t="s">
        <v>951</v>
      </c>
      <c r="AE1722" t="s">
        <v>11051</v>
      </c>
      <c r="AF1722" t="s">
        <v>48</v>
      </c>
      <c r="AG1722" t="s">
        <v>48</v>
      </c>
      <c r="AH1722" t="s">
        <v>48</v>
      </c>
      <c r="AI1722" t="s">
        <v>48</v>
      </c>
      <c r="AJ1722" t="s">
        <v>48</v>
      </c>
      <c r="AK1722" t="s">
        <v>48</v>
      </c>
      <c r="AL1722" t="s">
        <v>48</v>
      </c>
      <c r="AM1722" t="s">
        <v>48</v>
      </c>
      <c r="AN1722" t="s">
        <v>48</v>
      </c>
      <c r="AO1722" t="s">
        <v>48</v>
      </c>
      <c r="AP1722" s="46">
        <v>0</v>
      </c>
      <c r="AQ1722" s="46">
        <v>0</v>
      </c>
      <c r="AR1722" s="46">
        <v>0</v>
      </c>
      <c r="AS1722" s="46">
        <v>0</v>
      </c>
      <c r="AT1722" s="46">
        <v>0</v>
      </c>
      <c r="AU1722" s="46">
        <v>0</v>
      </c>
      <c r="AV1722" s="46">
        <v>0</v>
      </c>
      <c r="AW1722" s="46">
        <v>0</v>
      </c>
      <c r="AX1722" s="46">
        <v>0</v>
      </c>
      <c r="AY1722" s="46">
        <v>0</v>
      </c>
      <c r="AZ1722" s="46">
        <v>0</v>
      </c>
      <c r="BA1722" s="46">
        <v>0</v>
      </c>
      <c r="BB1722" s="46">
        <v>0</v>
      </c>
      <c r="BC1722" s="46">
        <v>0</v>
      </c>
      <c r="BD1722" s="46">
        <v>0</v>
      </c>
      <c r="BE1722" s="46">
        <v>0</v>
      </c>
      <c r="BF1722" s="46">
        <v>0</v>
      </c>
      <c r="BG1722" s="46" t="s">
        <v>48</v>
      </c>
      <c r="BH1722" s="46">
        <v>0</v>
      </c>
      <c r="BI1722" s="46">
        <v>0</v>
      </c>
      <c r="BJ1722" s="46">
        <v>0</v>
      </c>
      <c r="BK1722" s="46">
        <v>0</v>
      </c>
      <c r="BL1722" s="46">
        <v>0</v>
      </c>
      <c r="BM1722" s="46">
        <v>0</v>
      </c>
      <c r="BN1722" s="46">
        <v>0</v>
      </c>
    </row>
    <row r="1723" spans="1:66" x14ac:dyDescent="0.35">
      <c r="A1723" t="s">
        <v>3307</v>
      </c>
      <c r="B1723" s="44" t="s">
        <v>48</v>
      </c>
      <c r="C1723" t="s">
        <v>3310</v>
      </c>
      <c r="D1723" t="s">
        <v>2010</v>
      </c>
      <c r="E1723" t="s">
        <v>3309</v>
      </c>
      <c r="F1723" t="s">
        <v>3308</v>
      </c>
      <c r="G1723" t="s">
        <v>47</v>
      </c>
      <c r="H1723">
        <v>0</v>
      </c>
      <c r="I1723" s="60" t="s">
        <v>125</v>
      </c>
      <c r="J1723" s="33" t="s">
        <v>45</v>
      </c>
      <c r="K1723" s="46">
        <v>0</v>
      </c>
      <c r="L1723">
        <v>4.5</v>
      </c>
      <c r="M1723" t="s">
        <v>48</v>
      </c>
      <c r="N1723" s="46">
        <v>0</v>
      </c>
      <c r="O1723" s="46">
        <v>0</v>
      </c>
      <c r="P1723" s="46">
        <v>0</v>
      </c>
      <c r="Q1723" t="s">
        <v>48</v>
      </c>
      <c r="R1723" t="s">
        <v>48</v>
      </c>
      <c r="S1723" t="s">
        <v>10120</v>
      </c>
      <c r="T1723" t="s">
        <v>48</v>
      </c>
      <c r="U1723" t="s">
        <v>10120</v>
      </c>
      <c r="V1723" s="47">
        <v>0</v>
      </c>
      <c r="W1723" t="s">
        <v>48</v>
      </c>
      <c r="X1723" t="s">
        <v>48</v>
      </c>
      <c r="Y1723" t="s">
        <v>48</v>
      </c>
      <c r="Z1723">
        <v>0</v>
      </c>
      <c r="AA1723" t="s">
        <v>48</v>
      </c>
      <c r="AB1723" t="s">
        <v>48</v>
      </c>
      <c r="AC1723" t="s">
        <v>63</v>
      </c>
      <c r="AD1723" t="s">
        <v>48</v>
      </c>
      <c r="AE1723" t="s">
        <v>48</v>
      </c>
      <c r="AF1723" t="s">
        <v>48</v>
      </c>
      <c r="AG1723" t="s">
        <v>48</v>
      </c>
      <c r="AH1723" t="s">
        <v>48</v>
      </c>
      <c r="AI1723" t="s">
        <v>48</v>
      </c>
      <c r="AJ1723" t="s">
        <v>48</v>
      </c>
      <c r="AK1723" t="s">
        <v>48</v>
      </c>
      <c r="AL1723" t="s">
        <v>48</v>
      </c>
      <c r="AM1723" t="s">
        <v>48</v>
      </c>
      <c r="AN1723" t="s">
        <v>48</v>
      </c>
      <c r="AO1723" t="s">
        <v>48</v>
      </c>
      <c r="AP1723" s="46">
        <v>0</v>
      </c>
      <c r="AQ1723" s="46">
        <v>0</v>
      </c>
      <c r="AR1723" s="46">
        <v>0</v>
      </c>
      <c r="AS1723" s="46">
        <v>0</v>
      </c>
      <c r="AT1723" s="46">
        <v>0</v>
      </c>
      <c r="AU1723" s="46">
        <v>0</v>
      </c>
      <c r="AV1723" s="46">
        <v>0</v>
      </c>
      <c r="AW1723" s="46">
        <v>0</v>
      </c>
      <c r="AX1723" s="46">
        <v>0</v>
      </c>
      <c r="AY1723" s="46">
        <v>0</v>
      </c>
      <c r="AZ1723" s="46">
        <v>0</v>
      </c>
      <c r="BA1723" s="46">
        <v>0</v>
      </c>
      <c r="BB1723" s="46">
        <v>0</v>
      </c>
      <c r="BC1723" s="46">
        <v>0</v>
      </c>
      <c r="BD1723" s="46">
        <v>0</v>
      </c>
      <c r="BE1723" s="46">
        <v>0</v>
      </c>
      <c r="BF1723" s="46">
        <v>0</v>
      </c>
      <c r="BG1723" s="46" t="s">
        <v>48</v>
      </c>
      <c r="BH1723" s="46">
        <v>0</v>
      </c>
      <c r="BI1723" s="46">
        <v>0</v>
      </c>
      <c r="BJ1723" s="46">
        <v>0</v>
      </c>
      <c r="BK1723" s="46">
        <v>0</v>
      </c>
      <c r="BL1723" s="46">
        <v>0</v>
      </c>
      <c r="BM1723" s="46">
        <v>0</v>
      </c>
      <c r="BN1723" s="46">
        <v>0</v>
      </c>
    </row>
    <row r="1724" spans="1:66" x14ac:dyDescent="0.35">
      <c r="A1724" t="s">
        <v>3329</v>
      </c>
      <c r="B1724" s="44" t="s">
        <v>48</v>
      </c>
      <c r="C1724" t="s">
        <v>11943</v>
      </c>
      <c r="D1724" t="s">
        <v>328</v>
      </c>
      <c r="E1724" t="s">
        <v>3330</v>
      </c>
      <c r="F1724" t="s">
        <v>3308</v>
      </c>
      <c r="G1724" t="s">
        <v>47</v>
      </c>
      <c r="H1724">
        <v>0</v>
      </c>
      <c r="I1724" s="60" t="s">
        <v>51</v>
      </c>
      <c r="J1724" s="33" t="s">
        <v>45</v>
      </c>
      <c r="K1724" s="46">
        <v>0</v>
      </c>
      <c r="L1724">
        <v>3</v>
      </c>
      <c r="M1724" t="s">
        <v>48</v>
      </c>
      <c r="N1724" s="46">
        <v>0</v>
      </c>
      <c r="O1724" s="46">
        <v>0</v>
      </c>
      <c r="P1724" s="46">
        <v>0</v>
      </c>
      <c r="Q1724" t="s">
        <v>48</v>
      </c>
      <c r="R1724" t="s">
        <v>48</v>
      </c>
      <c r="S1724" t="s">
        <v>48</v>
      </c>
      <c r="T1724" t="s">
        <v>48</v>
      </c>
      <c r="U1724" t="s">
        <v>48</v>
      </c>
      <c r="V1724" s="47">
        <v>0</v>
      </c>
      <c r="W1724" t="s">
        <v>48</v>
      </c>
      <c r="X1724" t="s">
        <v>48</v>
      </c>
      <c r="Y1724" t="s">
        <v>48</v>
      </c>
      <c r="Z1724">
        <v>0</v>
      </c>
      <c r="AA1724" t="s">
        <v>48</v>
      </c>
      <c r="AB1724" t="s">
        <v>48</v>
      </c>
      <c r="AC1724" t="s">
        <v>49</v>
      </c>
      <c r="AD1724" t="s">
        <v>93</v>
      </c>
      <c r="AE1724" t="s">
        <v>4532</v>
      </c>
      <c r="AF1724" t="s">
        <v>48</v>
      </c>
      <c r="AG1724" t="s">
        <v>48</v>
      </c>
      <c r="AH1724" t="s">
        <v>48</v>
      </c>
      <c r="AI1724" t="s">
        <v>48</v>
      </c>
      <c r="AJ1724" t="s">
        <v>48</v>
      </c>
      <c r="AK1724" t="s">
        <v>48</v>
      </c>
      <c r="AL1724" t="s">
        <v>48</v>
      </c>
      <c r="AM1724" t="s">
        <v>48</v>
      </c>
      <c r="AN1724" t="s">
        <v>48</v>
      </c>
      <c r="AO1724" t="s">
        <v>48</v>
      </c>
      <c r="AP1724" s="46">
        <v>0</v>
      </c>
      <c r="AQ1724" s="46">
        <v>0</v>
      </c>
      <c r="AR1724" s="46">
        <v>0</v>
      </c>
      <c r="AS1724" s="46">
        <v>0</v>
      </c>
      <c r="AT1724" s="46">
        <v>0</v>
      </c>
      <c r="AU1724" s="46">
        <v>0</v>
      </c>
      <c r="AV1724" s="46">
        <v>0</v>
      </c>
      <c r="AW1724" s="46">
        <v>0</v>
      </c>
      <c r="AX1724" s="46">
        <v>0</v>
      </c>
      <c r="AY1724" s="46">
        <v>0</v>
      </c>
      <c r="AZ1724" s="46">
        <v>0</v>
      </c>
      <c r="BA1724" s="46">
        <v>0</v>
      </c>
      <c r="BB1724" s="46">
        <v>0</v>
      </c>
      <c r="BC1724" s="46">
        <v>0</v>
      </c>
      <c r="BD1724" s="46">
        <v>0</v>
      </c>
      <c r="BE1724" s="46">
        <v>0</v>
      </c>
      <c r="BF1724" s="46">
        <v>0</v>
      </c>
      <c r="BG1724" s="46" t="s">
        <v>48</v>
      </c>
      <c r="BH1724" s="46">
        <v>0</v>
      </c>
      <c r="BI1724" s="46">
        <v>0</v>
      </c>
      <c r="BJ1724" s="46">
        <v>0</v>
      </c>
      <c r="BK1724" s="46">
        <v>0</v>
      </c>
      <c r="BL1724" s="46">
        <v>0</v>
      </c>
      <c r="BM1724" s="46">
        <v>0</v>
      </c>
      <c r="BN1724" s="46">
        <v>0</v>
      </c>
    </row>
    <row r="1725" spans="1:66" x14ac:dyDescent="0.35">
      <c r="A1725" t="s">
        <v>3339</v>
      </c>
      <c r="B1725" s="44" t="s">
        <v>48</v>
      </c>
      <c r="C1725" t="s">
        <v>3342</v>
      </c>
      <c r="D1725" t="s">
        <v>237</v>
      </c>
      <c r="E1725" t="s">
        <v>3340</v>
      </c>
      <c r="F1725" t="s">
        <v>3332</v>
      </c>
      <c r="G1725" t="s">
        <v>74</v>
      </c>
      <c r="H1725">
        <v>0</v>
      </c>
      <c r="I1725" s="60" t="s">
        <v>11160</v>
      </c>
      <c r="J1725" s="33" t="s">
        <v>45</v>
      </c>
      <c r="K1725" s="46">
        <v>0</v>
      </c>
      <c r="L1725">
        <v>48.3</v>
      </c>
      <c r="M1725" t="s">
        <v>48</v>
      </c>
      <c r="N1725" s="46">
        <v>0</v>
      </c>
      <c r="O1725" s="46">
        <v>0</v>
      </c>
      <c r="P1725" s="46">
        <v>0</v>
      </c>
      <c r="Q1725" t="s">
        <v>48</v>
      </c>
      <c r="R1725" t="s">
        <v>48</v>
      </c>
      <c r="S1725" t="s">
        <v>3341</v>
      </c>
      <c r="T1725" t="s">
        <v>48</v>
      </c>
      <c r="U1725" t="s">
        <v>3341</v>
      </c>
      <c r="V1725" s="47">
        <v>0</v>
      </c>
      <c r="W1725" t="s">
        <v>11317</v>
      </c>
      <c r="X1725" t="s">
        <v>48</v>
      </c>
      <c r="Y1725" t="s">
        <v>48</v>
      </c>
      <c r="Z1725">
        <v>0</v>
      </c>
      <c r="AA1725" t="s">
        <v>48</v>
      </c>
      <c r="AB1725" t="s">
        <v>48</v>
      </c>
      <c r="AC1725" t="s">
        <v>49</v>
      </c>
      <c r="AD1725" t="s">
        <v>93</v>
      </c>
      <c r="AE1725" t="s">
        <v>4532</v>
      </c>
      <c r="AF1725" t="s">
        <v>48</v>
      </c>
      <c r="AG1725" t="s">
        <v>48</v>
      </c>
      <c r="AH1725" t="s">
        <v>48</v>
      </c>
      <c r="AI1725" t="s">
        <v>48</v>
      </c>
      <c r="AJ1725" t="s">
        <v>48</v>
      </c>
      <c r="AK1725" t="s">
        <v>48</v>
      </c>
      <c r="AL1725" t="s">
        <v>48</v>
      </c>
      <c r="AM1725" t="s">
        <v>48</v>
      </c>
      <c r="AN1725" t="s">
        <v>48</v>
      </c>
      <c r="AO1725" t="s">
        <v>48</v>
      </c>
      <c r="AP1725" s="46">
        <v>0</v>
      </c>
      <c r="AQ1725" s="46">
        <v>0</v>
      </c>
      <c r="AR1725" s="46">
        <v>0</v>
      </c>
      <c r="AS1725" s="46">
        <v>0</v>
      </c>
      <c r="AT1725" s="46">
        <v>0</v>
      </c>
      <c r="AU1725" s="46">
        <v>0</v>
      </c>
      <c r="AV1725" s="46">
        <v>0</v>
      </c>
      <c r="AW1725" s="46">
        <v>0</v>
      </c>
      <c r="AX1725" s="46">
        <v>0</v>
      </c>
      <c r="AY1725" s="46">
        <v>0</v>
      </c>
      <c r="AZ1725" s="46">
        <v>0</v>
      </c>
      <c r="BA1725" s="46">
        <v>0</v>
      </c>
      <c r="BB1725" s="46">
        <v>0</v>
      </c>
      <c r="BC1725" s="46">
        <v>0</v>
      </c>
      <c r="BD1725" s="46">
        <v>0</v>
      </c>
      <c r="BE1725" s="46">
        <v>0</v>
      </c>
      <c r="BF1725" s="46">
        <v>0</v>
      </c>
      <c r="BG1725" s="46" t="s">
        <v>48</v>
      </c>
      <c r="BH1725" s="46">
        <v>0</v>
      </c>
      <c r="BI1725" s="46">
        <v>0</v>
      </c>
      <c r="BJ1725" s="46">
        <v>0</v>
      </c>
      <c r="BK1725" s="46">
        <v>0</v>
      </c>
      <c r="BL1725" s="46">
        <v>0</v>
      </c>
      <c r="BM1725" s="46">
        <v>0</v>
      </c>
      <c r="BN1725" s="46">
        <v>0</v>
      </c>
    </row>
    <row r="1726" spans="1:66" x14ac:dyDescent="0.35">
      <c r="A1726" t="s">
        <v>3336</v>
      </c>
      <c r="B1726" s="44" t="s">
        <v>48</v>
      </c>
      <c r="C1726" t="s">
        <v>3338</v>
      </c>
      <c r="D1726" t="s">
        <v>952</v>
      </c>
      <c r="E1726" t="s">
        <v>3337</v>
      </c>
      <c r="F1726" t="s">
        <v>3332</v>
      </c>
      <c r="G1726" t="s">
        <v>47</v>
      </c>
      <c r="H1726">
        <v>0</v>
      </c>
      <c r="I1726" s="60" t="s">
        <v>149</v>
      </c>
      <c r="J1726" s="33" t="s">
        <v>45</v>
      </c>
      <c r="K1726" s="46">
        <v>0</v>
      </c>
      <c r="L1726">
        <v>12.2</v>
      </c>
      <c r="M1726" t="s">
        <v>48</v>
      </c>
      <c r="N1726" s="46">
        <v>0</v>
      </c>
      <c r="O1726" s="46">
        <v>0</v>
      </c>
      <c r="P1726" s="46">
        <v>0</v>
      </c>
      <c r="Q1726" t="s">
        <v>48</v>
      </c>
      <c r="R1726" t="s">
        <v>48</v>
      </c>
      <c r="S1726" t="s">
        <v>48</v>
      </c>
      <c r="T1726" t="s">
        <v>48</v>
      </c>
      <c r="U1726" t="s">
        <v>48</v>
      </c>
      <c r="V1726" s="47">
        <v>0</v>
      </c>
      <c r="W1726" t="s">
        <v>48</v>
      </c>
      <c r="X1726" t="s">
        <v>48</v>
      </c>
      <c r="Y1726" t="s">
        <v>48</v>
      </c>
      <c r="Z1726">
        <v>0</v>
      </c>
      <c r="AA1726" t="s">
        <v>48</v>
      </c>
      <c r="AB1726" t="s">
        <v>48</v>
      </c>
      <c r="AC1726" t="s">
        <v>49</v>
      </c>
      <c r="AD1726" t="s">
        <v>93</v>
      </c>
      <c r="AE1726" t="s">
        <v>4532</v>
      </c>
      <c r="AF1726" t="s">
        <v>48</v>
      </c>
      <c r="AG1726" t="s">
        <v>48</v>
      </c>
      <c r="AH1726" t="s">
        <v>48</v>
      </c>
      <c r="AI1726" t="s">
        <v>48</v>
      </c>
      <c r="AJ1726" t="s">
        <v>48</v>
      </c>
      <c r="AK1726" t="s">
        <v>48</v>
      </c>
      <c r="AL1726" t="s">
        <v>48</v>
      </c>
      <c r="AM1726" t="s">
        <v>48</v>
      </c>
      <c r="AN1726" t="s">
        <v>48</v>
      </c>
      <c r="AO1726" t="s">
        <v>48</v>
      </c>
      <c r="AP1726" s="46">
        <v>0</v>
      </c>
      <c r="AQ1726" s="46">
        <v>0</v>
      </c>
      <c r="AR1726" s="46">
        <v>0</v>
      </c>
      <c r="AS1726" s="46">
        <v>0</v>
      </c>
      <c r="AT1726" s="46">
        <v>0</v>
      </c>
      <c r="AU1726" s="46">
        <v>0</v>
      </c>
      <c r="AV1726" s="46">
        <v>0</v>
      </c>
      <c r="AW1726" s="46">
        <v>0</v>
      </c>
      <c r="AX1726" s="46">
        <v>0</v>
      </c>
      <c r="AY1726" s="46">
        <v>0</v>
      </c>
      <c r="AZ1726" s="46">
        <v>0</v>
      </c>
      <c r="BA1726" s="46">
        <v>0</v>
      </c>
      <c r="BB1726" s="46">
        <v>0</v>
      </c>
      <c r="BC1726" s="46">
        <v>0</v>
      </c>
      <c r="BD1726" s="46">
        <v>0</v>
      </c>
      <c r="BE1726" s="46">
        <v>0</v>
      </c>
      <c r="BF1726" s="46">
        <v>0</v>
      </c>
      <c r="BG1726" s="46" t="s">
        <v>48</v>
      </c>
      <c r="BH1726" s="46">
        <v>0</v>
      </c>
      <c r="BI1726" s="46">
        <v>0</v>
      </c>
      <c r="BJ1726" s="46">
        <v>0</v>
      </c>
      <c r="BK1726" s="46">
        <v>0</v>
      </c>
      <c r="BL1726" s="46">
        <v>0</v>
      </c>
      <c r="BM1726" s="46">
        <v>0</v>
      </c>
      <c r="BN1726" s="46">
        <v>0</v>
      </c>
    </row>
    <row r="1727" spans="1:66" ht="15" x14ac:dyDescent="0.4">
      <c r="A1727" t="s">
        <v>11243</v>
      </c>
      <c r="B1727" s="44" t="s">
        <v>48</v>
      </c>
      <c r="C1727" t="s">
        <v>11946</v>
      </c>
      <c r="D1727" t="s">
        <v>5302</v>
      </c>
      <c r="E1727" t="s">
        <v>11248</v>
      </c>
      <c r="F1727" t="s">
        <v>3402</v>
      </c>
      <c r="G1727" t="s">
        <v>47</v>
      </c>
      <c r="H1727">
        <v>0</v>
      </c>
      <c r="I1727" s="60" t="s">
        <v>11160</v>
      </c>
      <c r="J1727" s="33" t="s">
        <v>45</v>
      </c>
      <c r="K1727" s="46">
        <v>0</v>
      </c>
      <c r="L1727">
        <v>10.9</v>
      </c>
      <c r="M1727" t="s">
        <v>48</v>
      </c>
      <c r="N1727" s="46">
        <v>0</v>
      </c>
      <c r="O1727" s="46">
        <v>1</v>
      </c>
      <c r="P1727" s="46">
        <v>0</v>
      </c>
      <c r="Q1727" t="s">
        <v>48</v>
      </c>
      <c r="R1727" t="s">
        <v>48</v>
      </c>
      <c r="S1727" s="55" t="s">
        <v>11244</v>
      </c>
      <c r="T1727" t="s">
        <v>48</v>
      </c>
      <c r="U1727" s="55" t="s">
        <v>11244</v>
      </c>
      <c r="V1727" s="47" t="s">
        <v>48</v>
      </c>
      <c r="W1727" t="s">
        <v>48</v>
      </c>
      <c r="X1727" t="s">
        <v>48</v>
      </c>
      <c r="Y1727" t="s">
        <v>48</v>
      </c>
      <c r="Z1727" t="s">
        <v>48</v>
      </c>
      <c r="AA1727" t="s">
        <v>48</v>
      </c>
      <c r="AB1727" t="s">
        <v>48</v>
      </c>
      <c r="AC1727" t="s">
        <v>48</v>
      </c>
      <c r="AD1727" t="s">
        <v>48</v>
      </c>
      <c r="AE1727" t="s">
        <v>48</v>
      </c>
      <c r="AF1727" t="s">
        <v>48</v>
      </c>
      <c r="AG1727" t="s">
        <v>48</v>
      </c>
      <c r="AH1727" t="s">
        <v>48</v>
      </c>
      <c r="AI1727" t="s">
        <v>48</v>
      </c>
      <c r="AJ1727" t="s">
        <v>48</v>
      </c>
      <c r="AK1727" t="s">
        <v>48</v>
      </c>
      <c r="AL1727" t="s">
        <v>48</v>
      </c>
      <c r="AM1727" t="s">
        <v>48</v>
      </c>
      <c r="AN1727" t="s">
        <v>48</v>
      </c>
      <c r="AO1727" t="s">
        <v>48</v>
      </c>
      <c r="AP1727" s="46">
        <v>0</v>
      </c>
      <c r="AQ1727" s="46">
        <v>0</v>
      </c>
      <c r="AR1727" s="46">
        <v>0</v>
      </c>
      <c r="AS1727" s="46">
        <v>0</v>
      </c>
      <c r="AT1727" s="46">
        <v>0</v>
      </c>
      <c r="AU1727" s="46">
        <v>0</v>
      </c>
      <c r="AV1727" s="46">
        <v>0</v>
      </c>
      <c r="AW1727" s="46">
        <v>0</v>
      </c>
      <c r="AX1727" s="46">
        <v>0</v>
      </c>
      <c r="AY1727" s="46">
        <v>0</v>
      </c>
      <c r="AZ1727" s="46">
        <v>0</v>
      </c>
      <c r="BA1727" s="46">
        <v>0</v>
      </c>
      <c r="BB1727" s="46">
        <v>0</v>
      </c>
      <c r="BC1727" s="46">
        <v>0</v>
      </c>
      <c r="BD1727" s="46">
        <v>0</v>
      </c>
      <c r="BE1727" s="46">
        <v>0</v>
      </c>
      <c r="BF1727" s="46">
        <v>0</v>
      </c>
      <c r="BG1727" s="46" t="s">
        <v>48</v>
      </c>
      <c r="BH1727" s="46">
        <v>0</v>
      </c>
      <c r="BI1727" s="46">
        <v>0</v>
      </c>
      <c r="BJ1727" s="46">
        <v>0</v>
      </c>
      <c r="BK1727" s="46">
        <v>0</v>
      </c>
      <c r="BL1727" s="46">
        <v>0</v>
      </c>
      <c r="BM1727" s="46">
        <v>0</v>
      </c>
      <c r="BN1727" s="46">
        <v>0</v>
      </c>
    </row>
    <row r="1728" spans="1:66" x14ac:dyDescent="0.35">
      <c r="A1728" t="s">
        <v>3407</v>
      </c>
      <c r="B1728" s="44" t="s">
        <v>48</v>
      </c>
      <c r="C1728" t="s">
        <v>3409</v>
      </c>
      <c r="D1728" t="s">
        <v>518</v>
      </c>
      <c r="E1728" t="s">
        <v>3408</v>
      </c>
      <c r="F1728" t="s">
        <v>3402</v>
      </c>
      <c r="G1728" t="s">
        <v>47</v>
      </c>
      <c r="H1728">
        <v>0</v>
      </c>
      <c r="I1728" s="60" t="s">
        <v>149</v>
      </c>
      <c r="J1728" s="33" t="s">
        <v>45</v>
      </c>
      <c r="K1728" s="46">
        <v>0</v>
      </c>
      <c r="L1728">
        <v>0.9</v>
      </c>
      <c r="M1728" t="s">
        <v>48</v>
      </c>
      <c r="N1728" s="46">
        <v>0</v>
      </c>
      <c r="O1728" s="46">
        <v>1</v>
      </c>
      <c r="P1728" s="46">
        <v>0</v>
      </c>
      <c r="Q1728" t="s">
        <v>48</v>
      </c>
      <c r="R1728" t="s">
        <v>48</v>
      </c>
      <c r="S1728" t="s">
        <v>48</v>
      </c>
      <c r="T1728" t="s">
        <v>48</v>
      </c>
      <c r="U1728" t="s">
        <v>48</v>
      </c>
      <c r="V1728" s="47">
        <v>0</v>
      </c>
      <c r="W1728" t="s">
        <v>48</v>
      </c>
      <c r="X1728" t="s">
        <v>48</v>
      </c>
      <c r="Y1728" t="s">
        <v>48</v>
      </c>
      <c r="Z1728">
        <v>0</v>
      </c>
      <c r="AA1728" t="s">
        <v>48</v>
      </c>
      <c r="AB1728" t="s">
        <v>48</v>
      </c>
      <c r="AC1728" t="s">
        <v>49</v>
      </c>
      <c r="AD1728" t="s">
        <v>93</v>
      </c>
      <c r="AE1728" t="s">
        <v>4532</v>
      </c>
      <c r="AF1728" t="s">
        <v>48</v>
      </c>
      <c r="AG1728" t="s">
        <v>48</v>
      </c>
      <c r="AH1728" t="s">
        <v>48</v>
      </c>
      <c r="AI1728" t="s">
        <v>48</v>
      </c>
      <c r="AJ1728" t="s">
        <v>48</v>
      </c>
      <c r="AK1728" t="s">
        <v>48</v>
      </c>
      <c r="AL1728" t="s">
        <v>48</v>
      </c>
      <c r="AM1728" t="s">
        <v>48</v>
      </c>
      <c r="AN1728" t="s">
        <v>48</v>
      </c>
      <c r="AO1728" t="s">
        <v>48</v>
      </c>
      <c r="AP1728" s="46">
        <v>0</v>
      </c>
      <c r="AQ1728" s="46">
        <v>0</v>
      </c>
      <c r="AR1728" s="46">
        <v>0</v>
      </c>
      <c r="AS1728" s="46">
        <v>0</v>
      </c>
      <c r="AT1728" s="46">
        <v>0</v>
      </c>
      <c r="AU1728" s="46">
        <v>0</v>
      </c>
      <c r="AV1728" s="46">
        <v>0</v>
      </c>
      <c r="AW1728" s="46">
        <v>0</v>
      </c>
      <c r="AX1728" s="46">
        <v>0</v>
      </c>
      <c r="AY1728" s="46">
        <v>0</v>
      </c>
      <c r="AZ1728" s="46">
        <v>0</v>
      </c>
      <c r="BA1728" s="46">
        <v>0</v>
      </c>
      <c r="BB1728" s="46">
        <v>0</v>
      </c>
      <c r="BC1728" s="46">
        <v>0</v>
      </c>
      <c r="BD1728" s="46">
        <v>0</v>
      </c>
      <c r="BE1728" s="46">
        <v>0</v>
      </c>
      <c r="BF1728" s="46">
        <v>0</v>
      </c>
      <c r="BG1728" s="46" t="s">
        <v>48</v>
      </c>
      <c r="BH1728" s="46">
        <v>0</v>
      </c>
      <c r="BI1728" s="46">
        <v>0</v>
      </c>
      <c r="BJ1728" s="46">
        <v>0</v>
      </c>
      <c r="BK1728" s="46">
        <v>0</v>
      </c>
      <c r="BL1728" s="46">
        <v>0</v>
      </c>
      <c r="BM1728" s="46">
        <v>0</v>
      </c>
      <c r="BN1728" s="46">
        <v>0</v>
      </c>
    </row>
    <row r="1729" spans="1:66" x14ac:dyDescent="0.35">
      <c r="A1729" t="s">
        <v>11247</v>
      </c>
      <c r="B1729" s="44" t="s">
        <v>48</v>
      </c>
      <c r="C1729" t="s">
        <v>2669</v>
      </c>
      <c r="D1729" t="s">
        <v>253</v>
      </c>
      <c r="E1729" t="s">
        <v>11250</v>
      </c>
      <c r="F1729" t="s">
        <v>3402</v>
      </c>
      <c r="G1729" t="s">
        <v>47</v>
      </c>
      <c r="H1729">
        <v>0</v>
      </c>
      <c r="I1729" s="60" t="s">
        <v>11160</v>
      </c>
      <c r="J1729" s="33" t="s">
        <v>45</v>
      </c>
      <c r="K1729" s="46">
        <v>0</v>
      </c>
      <c r="L1729">
        <v>1.8</v>
      </c>
      <c r="M1729" t="s">
        <v>48</v>
      </c>
      <c r="N1729" s="46">
        <v>0</v>
      </c>
      <c r="O1729" s="46">
        <v>1</v>
      </c>
      <c r="P1729" s="46">
        <v>0</v>
      </c>
      <c r="Q1729" t="s">
        <v>48</v>
      </c>
      <c r="R1729" t="s">
        <v>48</v>
      </c>
      <c r="S1729" t="s">
        <v>48</v>
      </c>
      <c r="T1729" t="s">
        <v>48</v>
      </c>
      <c r="U1729" t="s">
        <v>48</v>
      </c>
      <c r="V1729" s="47" t="s">
        <v>48</v>
      </c>
      <c r="W1729" t="s">
        <v>48</v>
      </c>
      <c r="X1729" t="s">
        <v>48</v>
      </c>
      <c r="Y1729" t="s">
        <v>48</v>
      </c>
      <c r="Z1729" t="s">
        <v>48</v>
      </c>
      <c r="AA1729" t="s">
        <v>48</v>
      </c>
      <c r="AB1729" t="s">
        <v>48</v>
      </c>
      <c r="AC1729" t="s">
        <v>48</v>
      </c>
      <c r="AD1729" t="s">
        <v>48</v>
      </c>
      <c r="AE1729" t="s">
        <v>48</v>
      </c>
      <c r="AF1729" t="s">
        <v>48</v>
      </c>
      <c r="AG1729" t="s">
        <v>48</v>
      </c>
      <c r="AH1729" t="s">
        <v>48</v>
      </c>
      <c r="AI1729" t="s">
        <v>48</v>
      </c>
      <c r="AJ1729" t="s">
        <v>48</v>
      </c>
      <c r="AK1729" t="s">
        <v>48</v>
      </c>
      <c r="AL1729" t="s">
        <v>48</v>
      </c>
      <c r="AM1729" t="s">
        <v>48</v>
      </c>
      <c r="AN1729" t="s">
        <v>48</v>
      </c>
      <c r="AO1729" t="s">
        <v>48</v>
      </c>
      <c r="AP1729" s="46">
        <v>0</v>
      </c>
      <c r="AQ1729" s="46">
        <v>0</v>
      </c>
      <c r="AR1729" s="46">
        <v>0</v>
      </c>
      <c r="AS1729" s="46">
        <v>0</v>
      </c>
      <c r="AT1729" s="46">
        <v>0</v>
      </c>
      <c r="AU1729" s="46">
        <v>0</v>
      </c>
      <c r="AV1729" s="46">
        <v>0</v>
      </c>
      <c r="AW1729" s="46">
        <v>0</v>
      </c>
      <c r="AX1729" s="46">
        <v>0</v>
      </c>
      <c r="AY1729" s="46">
        <v>0</v>
      </c>
      <c r="AZ1729" s="46">
        <v>0</v>
      </c>
      <c r="BA1729" s="46">
        <v>0</v>
      </c>
      <c r="BB1729" s="46">
        <v>0</v>
      </c>
      <c r="BC1729" s="46">
        <v>0</v>
      </c>
      <c r="BD1729" s="46">
        <v>0</v>
      </c>
      <c r="BE1729" s="46">
        <v>0</v>
      </c>
      <c r="BF1729" s="46">
        <v>0</v>
      </c>
      <c r="BG1729" s="46" t="s">
        <v>48</v>
      </c>
      <c r="BH1729" s="46">
        <v>0</v>
      </c>
      <c r="BI1729" s="46">
        <v>0</v>
      </c>
      <c r="BJ1729" s="46">
        <v>0</v>
      </c>
      <c r="BK1729" s="46">
        <v>0</v>
      </c>
      <c r="BL1729" s="46">
        <v>0</v>
      </c>
      <c r="BM1729" s="46">
        <v>0</v>
      </c>
      <c r="BN1729" s="46">
        <v>0</v>
      </c>
    </row>
    <row r="1730" spans="1:66" ht="15" x14ac:dyDescent="0.4">
      <c r="A1730" t="s">
        <v>11245</v>
      </c>
      <c r="B1730" s="44" t="s">
        <v>48</v>
      </c>
      <c r="C1730" t="s">
        <v>11949</v>
      </c>
      <c r="D1730" t="s">
        <v>11950</v>
      </c>
      <c r="E1730" t="s">
        <v>11249</v>
      </c>
      <c r="F1730" t="s">
        <v>3402</v>
      </c>
      <c r="G1730" t="s">
        <v>74</v>
      </c>
      <c r="H1730">
        <v>0</v>
      </c>
      <c r="I1730" s="60" t="s">
        <v>11160</v>
      </c>
      <c r="J1730" s="33" t="s">
        <v>45</v>
      </c>
      <c r="K1730" s="46">
        <v>0</v>
      </c>
      <c r="L1730">
        <v>9.4</v>
      </c>
      <c r="M1730" t="s">
        <v>48</v>
      </c>
      <c r="N1730" s="46">
        <v>0</v>
      </c>
      <c r="O1730" s="46">
        <v>1</v>
      </c>
      <c r="P1730" s="46">
        <v>0</v>
      </c>
      <c r="Q1730" t="s">
        <v>48</v>
      </c>
      <c r="R1730" t="s">
        <v>48</v>
      </c>
      <c r="S1730" s="55" t="s">
        <v>11246</v>
      </c>
      <c r="T1730" t="s">
        <v>48</v>
      </c>
      <c r="U1730" s="55" t="s">
        <v>11246</v>
      </c>
      <c r="V1730" s="47" t="s">
        <v>48</v>
      </c>
      <c r="W1730" t="s">
        <v>48</v>
      </c>
      <c r="X1730" t="s">
        <v>48</v>
      </c>
      <c r="Y1730" t="s">
        <v>48</v>
      </c>
      <c r="Z1730" t="s">
        <v>48</v>
      </c>
      <c r="AA1730" t="s">
        <v>48</v>
      </c>
      <c r="AB1730" t="s">
        <v>48</v>
      </c>
      <c r="AC1730" t="s">
        <v>48</v>
      </c>
      <c r="AD1730" t="s">
        <v>48</v>
      </c>
      <c r="AE1730" t="s">
        <v>48</v>
      </c>
      <c r="AF1730" t="s">
        <v>48</v>
      </c>
      <c r="AG1730" t="s">
        <v>48</v>
      </c>
      <c r="AH1730" t="s">
        <v>48</v>
      </c>
      <c r="AI1730" t="s">
        <v>48</v>
      </c>
      <c r="AJ1730" t="s">
        <v>48</v>
      </c>
      <c r="AK1730" t="s">
        <v>48</v>
      </c>
      <c r="AL1730" t="s">
        <v>48</v>
      </c>
      <c r="AM1730" t="s">
        <v>48</v>
      </c>
      <c r="AN1730" t="s">
        <v>48</v>
      </c>
      <c r="AO1730" t="s">
        <v>48</v>
      </c>
      <c r="AP1730" s="46">
        <v>0</v>
      </c>
      <c r="AQ1730" s="46">
        <v>0</v>
      </c>
      <c r="AR1730" s="46">
        <v>0</v>
      </c>
      <c r="AS1730" s="46">
        <v>0</v>
      </c>
      <c r="AT1730" s="46">
        <v>0</v>
      </c>
      <c r="AU1730" s="46">
        <v>0</v>
      </c>
      <c r="AV1730" s="46">
        <v>0</v>
      </c>
      <c r="AW1730" s="46">
        <v>0</v>
      </c>
      <c r="AX1730" s="46">
        <v>0</v>
      </c>
      <c r="AY1730" s="46">
        <v>0</v>
      </c>
      <c r="AZ1730" s="46">
        <v>0</v>
      </c>
      <c r="BA1730" s="46">
        <v>0</v>
      </c>
      <c r="BB1730" s="46">
        <v>0</v>
      </c>
      <c r="BC1730" s="46">
        <v>0</v>
      </c>
      <c r="BD1730" s="46">
        <v>0</v>
      </c>
      <c r="BE1730" s="46">
        <v>0</v>
      </c>
      <c r="BF1730" s="46">
        <v>0</v>
      </c>
      <c r="BG1730" s="46" t="s">
        <v>48</v>
      </c>
      <c r="BH1730" s="46">
        <v>0</v>
      </c>
      <c r="BI1730" s="46">
        <v>0</v>
      </c>
      <c r="BJ1730" s="46">
        <v>0</v>
      </c>
      <c r="BK1730" s="46">
        <v>0</v>
      </c>
      <c r="BL1730" s="46">
        <v>0</v>
      </c>
      <c r="BM1730" s="46">
        <v>0</v>
      </c>
      <c r="BN1730" s="46">
        <v>0</v>
      </c>
    </row>
    <row r="1731" spans="1:66" x14ac:dyDescent="0.35">
      <c r="A1731" t="s">
        <v>11252</v>
      </c>
      <c r="B1731" s="44" t="s">
        <v>48</v>
      </c>
      <c r="C1731" t="s">
        <v>7108</v>
      </c>
      <c r="D1731" t="s">
        <v>2183</v>
      </c>
      <c r="E1731" t="s">
        <v>11255</v>
      </c>
      <c r="F1731" t="s">
        <v>3416</v>
      </c>
      <c r="G1731" t="s">
        <v>47</v>
      </c>
      <c r="H1731">
        <v>0</v>
      </c>
      <c r="I1731" s="60" t="s">
        <v>11160</v>
      </c>
      <c r="J1731" s="33" t="s">
        <v>45</v>
      </c>
      <c r="K1731" s="46">
        <v>0</v>
      </c>
      <c r="L1731">
        <v>5.4</v>
      </c>
      <c r="M1731" t="s">
        <v>48</v>
      </c>
      <c r="N1731" s="46">
        <v>0</v>
      </c>
      <c r="O1731" s="46">
        <v>1</v>
      </c>
      <c r="P1731" s="46">
        <v>0</v>
      </c>
      <c r="Q1731" t="s">
        <v>48</v>
      </c>
      <c r="R1731" t="s">
        <v>48</v>
      </c>
      <c r="S1731" t="s">
        <v>48</v>
      </c>
      <c r="T1731" t="s">
        <v>48</v>
      </c>
      <c r="U1731" t="s">
        <v>48</v>
      </c>
      <c r="V1731" s="47" t="s">
        <v>48</v>
      </c>
      <c r="W1731" t="s">
        <v>48</v>
      </c>
      <c r="X1731" t="s">
        <v>48</v>
      </c>
      <c r="Y1731" t="s">
        <v>48</v>
      </c>
      <c r="Z1731" t="s">
        <v>48</v>
      </c>
      <c r="AA1731" t="s">
        <v>48</v>
      </c>
      <c r="AB1731" t="s">
        <v>48</v>
      </c>
      <c r="AC1731" t="s">
        <v>48</v>
      </c>
      <c r="AD1731" t="s">
        <v>48</v>
      </c>
      <c r="AE1731" t="s">
        <v>48</v>
      </c>
      <c r="AF1731" t="s">
        <v>48</v>
      </c>
      <c r="AG1731" t="s">
        <v>48</v>
      </c>
      <c r="AH1731" t="s">
        <v>48</v>
      </c>
      <c r="AI1731" t="s">
        <v>48</v>
      </c>
      <c r="AJ1731" t="s">
        <v>48</v>
      </c>
      <c r="AK1731" t="s">
        <v>48</v>
      </c>
      <c r="AL1731" t="s">
        <v>48</v>
      </c>
      <c r="AM1731" t="s">
        <v>48</v>
      </c>
      <c r="AN1731" t="s">
        <v>48</v>
      </c>
      <c r="AO1731" t="s">
        <v>48</v>
      </c>
      <c r="AP1731" s="46">
        <v>0</v>
      </c>
      <c r="AQ1731" s="46">
        <v>0</v>
      </c>
      <c r="AR1731" s="46">
        <v>0</v>
      </c>
      <c r="AS1731" s="46">
        <v>0</v>
      </c>
      <c r="AT1731" s="46">
        <v>0</v>
      </c>
      <c r="AU1731" s="46">
        <v>0</v>
      </c>
      <c r="AV1731" s="46">
        <v>0</v>
      </c>
      <c r="AW1731" s="46">
        <v>0</v>
      </c>
      <c r="AX1731" s="46">
        <v>0</v>
      </c>
      <c r="AY1731" s="46">
        <v>0</v>
      </c>
      <c r="AZ1731" s="46">
        <v>0</v>
      </c>
      <c r="BA1731" s="46">
        <v>0</v>
      </c>
      <c r="BB1731" s="46">
        <v>0</v>
      </c>
      <c r="BC1731" s="46">
        <v>0</v>
      </c>
      <c r="BD1731" s="46">
        <v>0</v>
      </c>
      <c r="BE1731" s="46">
        <v>0</v>
      </c>
      <c r="BF1731" s="46">
        <v>0</v>
      </c>
      <c r="BG1731" s="46" t="s">
        <v>48</v>
      </c>
      <c r="BH1731" s="46">
        <v>0</v>
      </c>
      <c r="BI1731" s="46">
        <v>0</v>
      </c>
      <c r="BJ1731" s="46">
        <v>0</v>
      </c>
      <c r="BK1731" s="46">
        <v>0</v>
      </c>
      <c r="BL1731" s="46">
        <v>0</v>
      </c>
      <c r="BM1731" s="46">
        <v>0</v>
      </c>
      <c r="BN1731" s="46">
        <v>0</v>
      </c>
    </row>
    <row r="1732" spans="1:66" x14ac:dyDescent="0.35">
      <c r="A1732" t="s">
        <v>11253</v>
      </c>
      <c r="B1732" s="44" t="s">
        <v>48</v>
      </c>
      <c r="C1732" t="s">
        <v>11953</v>
      </c>
      <c r="D1732" t="s">
        <v>4162</v>
      </c>
      <c r="E1732" t="s">
        <v>11256</v>
      </c>
      <c r="F1732" t="s">
        <v>3416</v>
      </c>
      <c r="G1732" t="s">
        <v>47</v>
      </c>
      <c r="H1732">
        <v>0</v>
      </c>
      <c r="I1732" s="60" t="s">
        <v>11160</v>
      </c>
      <c r="J1732" s="33" t="s">
        <v>45</v>
      </c>
      <c r="K1732" s="46">
        <v>0</v>
      </c>
      <c r="L1732">
        <v>2.6</v>
      </c>
      <c r="M1732" t="s">
        <v>48</v>
      </c>
      <c r="N1732" s="46">
        <v>0</v>
      </c>
      <c r="O1732" s="46">
        <v>1</v>
      </c>
      <c r="P1732" s="46">
        <v>0</v>
      </c>
      <c r="Q1732" t="s">
        <v>48</v>
      </c>
      <c r="R1732" t="s">
        <v>48</v>
      </c>
      <c r="S1732" t="s">
        <v>48</v>
      </c>
      <c r="T1732" t="s">
        <v>48</v>
      </c>
      <c r="U1732" t="s">
        <v>48</v>
      </c>
      <c r="V1732" s="47" t="s">
        <v>48</v>
      </c>
      <c r="W1732" t="s">
        <v>48</v>
      </c>
      <c r="X1732" t="s">
        <v>48</v>
      </c>
      <c r="Y1732" t="s">
        <v>48</v>
      </c>
      <c r="Z1732" t="s">
        <v>48</v>
      </c>
      <c r="AA1732" t="s">
        <v>48</v>
      </c>
      <c r="AB1732" t="s">
        <v>48</v>
      </c>
      <c r="AC1732" t="s">
        <v>48</v>
      </c>
      <c r="AD1732" t="s">
        <v>48</v>
      </c>
      <c r="AE1732" t="s">
        <v>48</v>
      </c>
      <c r="AF1732" t="s">
        <v>48</v>
      </c>
      <c r="AG1732" t="s">
        <v>48</v>
      </c>
      <c r="AH1732" t="s">
        <v>48</v>
      </c>
      <c r="AI1732" t="s">
        <v>48</v>
      </c>
      <c r="AJ1732" t="s">
        <v>48</v>
      </c>
      <c r="AK1732" t="s">
        <v>48</v>
      </c>
      <c r="AL1732" t="s">
        <v>48</v>
      </c>
      <c r="AM1732" t="s">
        <v>48</v>
      </c>
      <c r="AN1732" t="s">
        <v>48</v>
      </c>
      <c r="AO1732" t="s">
        <v>48</v>
      </c>
      <c r="AP1732" s="46">
        <v>0</v>
      </c>
      <c r="AQ1732" s="46">
        <v>0</v>
      </c>
      <c r="AR1732" s="46">
        <v>0</v>
      </c>
      <c r="AS1732" s="46">
        <v>0</v>
      </c>
      <c r="AT1732" s="46">
        <v>0</v>
      </c>
      <c r="AU1732" s="46">
        <v>0</v>
      </c>
      <c r="AV1732" s="46">
        <v>0</v>
      </c>
      <c r="AW1732" s="46">
        <v>0</v>
      </c>
      <c r="AX1732" s="46">
        <v>0</v>
      </c>
      <c r="AY1732" s="46">
        <v>0</v>
      </c>
      <c r="AZ1732" s="46">
        <v>0</v>
      </c>
      <c r="BA1732" s="46">
        <v>0</v>
      </c>
      <c r="BB1732" s="46">
        <v>0</v>
      </c>
      <c r="BC1732" s="46">
        <v>0</v>
      </c>
      <c r="BD1732" s="46">
        <v>0</v>
      </c>
      <c r="BE1732" s="46">
        <v>0</v>
      </c>
      <c r="BF1732" s="46">
        <v>0</v>
      </c>
      <c r="BG1732" s="46" t="s">
        <v>48</v>
      </c>
      <c r="BH1732" s="46">
        <v>0</v>
      </c>
      <c r="BI1732" s="46">
        <v>0</v>
      </c>
      <c r="BJ1732" s="46">
        <v>0</v>
      </c>
      <c r="BK1732" s="46">
        <v>0</v>
      </c>
      <c r="BL1732" s="46">
        <v>0</v>
      </c>
      <c r="BM1732" s="46">
        <v>0</v>
      </c>
      <c r="BN1732" s="46">
        <v>0</v>
      </c>
    </row>
    <row r="1733" spans="1:66" x14ac:dyDescent="0.35">
      <c r="A1733" t="s">
        <v>11251</v>
      </c>
      <c r="B1733" s="44" t="s">
        <v>48</v>
      </c>
      <c r="C1733" t="s">
        <v>11806</v>
      </c>
      <c r="D1733" t="s">
        <v>651</v>
      </c>
      <c r="E1733" t="s">
        <v>11254</v>
      </c>
      <c r="F1733" t="s">
        <v>3416</v>
      </c>
      <c r="G1733" t="s">
        <v>74</v>
      </c>
      <c r="H1733">
        <v>0</v>
      </c>
      <c r="I1733" s="60" t="s">
        <v>11160</v>
      </c>
      <c r="J1733" s="33" t="s">
        <v>45</v>
      </c>
      <c r="K1733" s="46">
        <v>0</v>
      </c>
      <c r="L1733">
        <v>8.6</v>
      </c>
      <c r="M1733" t="s">
        <v>48</v>
      </c>
      <c r="N1733" s="46">
        <v>0</v>
      </c>
      <c r="O1733" s="46">
        <v>1</v>
      </c>
      <c r="P1733" s="46">
        <v>0</v>
      </c>
      <c r="Q1733" t="s">
        <v>48</v>
      </c>
      <c r="R1733" t="s">
        <v>48</v>
      </c>
      <c r="S1733" t="s">
        <v>48</v>
      </c>
      <c r="T1733" t="s">
        <v>48</v>
      </c>
      <c r="U1733" t="s">
        <v>48</v>
      </c>
      <c r="V1733" s="47" t="s">
        <v>48</v>
      </c>
      <c r="W1733" t="s">
        <v>48</v>
      </c>
      <c r="X1733" t="s">
        <v>48</v>
      </c>
      <c r="Y1733" t="s">
        <v>48</v>
      </c>
      <c r="Z1733" t="s">
        <v>48</v>
      </c>
      <c r="AA1733" t="s">
        <v>48</v>
      </c>
      <c r="AB1733" t="s">
        <v>48</v>
      </c>
      <c r="AC1733" t="s">
        <v>48</v>
      </c>
      <c r="AD1733" t="s">
        <v>48</v>
      </c>
      <c r="AE1733" t="s">
        <v>48</v>
      </c>
      <c r="AF1733" t="s">
        <v>48</v>
      </c>
      <c r="AG1733" t="s">
        <v>48</v>
      </c>
      <c r="AH1733" t="s">
        <v>48</v>
      </c>
      <c r="AI1733" t="s">
        <v>48</v>
      </c>
      <c r="AJ1733" t="s">
        <v>48</v>
      </c>
      <c r="AK1733" t="s">
        <v>48</v>
      </c>
      <c r="AL1733" t="s">
        <v>48</v>
      </c>
      <c r="AM1733" t="s">
        <v>48</v>
      </c>
      <c r="AN1733" t="s">
        <v>48</v>
      </c>
      <c r="AO1733" t="s">
        <v>48</v>
      </c>
      <c r="AP1733" s="46">
        <v>0</v>
      </c>
      <c r="AQ1733" s="46">
        <v>0</v>
      </c>
      <c r="AR1733" s="46">
        <v>0</v>
      </c>
      <c r="AS1733" s="46">
        <v>0</v>
      </c>
      <c r="AT1733" s="46">
        <v>0</v>
      </c>
      <c r="AU1733" s="46">
        <v>0</v>
      </c>
      <c r="AV1733" s="46">
        <v>0</v>
      </c>
      <c r="AW1733" s="46">
        <v>0</v>
      </c>
      <c r="AX1733" s="46">
        <v>0</v>
      </c>
      <c r="AY1733" s="46">
        <v>0</v>
      </c>
      <c r="AZ1733" s="46">
        <v>0</v>
      </c>
      <c r="BA1733" s="46">
        <v>0</v>
      </c>
      <c r="BB1733" s="46">
        <v>0</v>
      </c>
      <c r="BC1733" s="46">
        <v>0</v>
      </c>
      <c r="BD1733" s="46">
        <v>0</v>
      </c>
      <c r="BE1733" s="46">
        <v>0</v>
      </c>
      <c r="BF1733" s="46">
        <v>0</v>
      </c>
      <c r="BG1733" s="46" t="s">
        <v>48</v>
      </c>
      <c r="BH1733" s="46">
        <v>0</v>
      </c>
      <c r="BI1733" s="46">
        <v>0</v>
      </c>
      <c r="BJ1733" s="46">
        <v>0</v>
      </c>
      <c r="BK1733" s="46">
        <v>0</v>
      </c>
      <c r="BL1733" s="46">
        <v>0</v>
      </c>
      <c r="BM1733" s="46">
        <v>0</v>
      </c>
      <c r="BN1733" s="46">
        <v>0</v>
      </c>
    </row>
    <row r="1734" spans="1:66" ht="15" x14ac:dyDescent="0.4">
      <c r="A1734" t="s">
        <v>11258</v>
      </c>
      <c r="B1734" s="44" t="s">
        <v>48</v>
      </c>
      <c r="C1734" t="s">
        <v>11954</v>
      </c>
      <c r="D1734" t="s">
        <v>195</v>
      </c>
      <c r="E1734" t="s">
        <v>11260</v>
      </c>
      <c r="F1734" t="s">
        <v>3423</v>
      </c>
      <c r="G1734" t="s">
        <v>47</v>
      </c>
      <c r="H1734">
        <v>0</v>
      </c>
      <c r="I1734" s="60" t="s">
        <v>11160</v>
      </c>
      <c r="J1734" s="33" t="s">
        <v>45</v>
      </c>
      <c r="K1734" s="46">
        <v>0</v>
      </c>
      <c r="L1734">
        <v>7</v>
      </c>
      <c r="M1734" t="s">
        <v>48</v>
      </c>
      <c r="N1734" s="46">
        <v>0</v>
      </c>
      <c r="O1734" s="46">
        <v>1</v>
      </c>
      <c r="P1734" s="46">
        <v>0</v>
      </c>
      <c r="Q1734" t="s">
        <v>48</v>
      </c>
      <c r="R1734" t="s">
        <v>48</v>
      </c>
      <c r="S1734" s="55" t="s">
        <v>11261</v>
      </c>
      <c r="T1734" t="s">
        <v>48</v>
      </c>
      <c r="U1734" s="55" t="s">
        <v>11261</v>
      </c>
      <c r="V1734" s="47" t="s">
        <v>48</v>
      </c>
      <c r="W1734" t="s">
        <v>48</v>
      </c>
      <c r="X1734" t="s">
        <v>48</v>
      </c>
      <c r="Y1734" t="s">
        <v>48</v>
      </c>
      <c r="Z1734" t="s">
        <v>48</v>
      </c>
      <c r="AA1734" t="s">
        <v>48</v>
      </c>
      <c r="AB1734" t="s">
        <v>48</v>
      </c>
      <c r="AC1734" t="s">
        <v>48</v>
      </c>
      <c r="AD1734" t="s">
        <v>48</v>
      </c>
      <c r="AE1734" t="s">
        <v>48</v>
      </c>
      <c r="AF1734" t="s">
        <v>48</v>
      </c>
      <c r="AG1734" t="s">
        <v>48</v>
      </c>
      <c r="AH1734" t="s">
        <v>48</v>
      </c>
      <c r="AI1734" t="s">
        <v>48</v>
      </c>
      <c r="AJ1734" t="s">
        <v>48</v>
      </c>
      <c r="AK1734" t="s">
        <v>48</v>
      </c>
      <c r="AL1734" t="s">
        <v>48</v>
      </c>
      <c r="AM1734" t="s">
        <v>48</v>
      </c>
      <c r="AN1734" t="s">
        <v>48</v>
      </c>
      <c r="AO1734" t="s">
        <v>48</v>
      </c>
      <c r="AP1734" s="46">
        <v>0</v>
      </c>
      <c r="AQ1734" s="46">
        <v>0</v>
      </c>
      <c r="AR1734" s="46">
        <v>0</v>
      </c>
      <c r="AS1734" s="46">
        <v>0</v>
      </c>
      <c r="AT1734" s="46">
        <v>0</v>
      </c>
      <c r="AU1734" s="46">
        <v>0</v>
      </c>
      <c r="AV1734" s="46">
        <v>0</v>
      </c>
      <c r="AW1734" s="46">
        <v>0</v>
      </c>
      <c r="AX1734" s="46">
        <v>0</v>
      </c>
      <c r="AY1734" s="46">
        <v>0</v>
      </c>
      <c r="AZ1734" s="46">
        <v>0</v>
      </c>
      <c r="BA1734" s="46">
        <v>0</v>
      </c>
      <c r="BB1734" s="46">
        <v>0</v>
      </c>
      <c r="BC1734" s="46">
        <v>0</v>
      </c>
      <c r="BD1734" s="46">
        <v>0</v>
      </c>
      <c r="BE1734" s="46">
        <v>0</v>
      </c>
      <c r="BF1734" s="46">
        <v>0</v>
      </c>
      <c r="BG1734" s="46" t="s">
        <v>48</v>
      </c>
      <c r="BH1734" s="46">
        <v>0</v>
      </c>
      <c r="BI1734" s="46">
        <v>0</v>
      </c>
      <c r="BJ1734" s="46">
        <v>0</v>
      </c>
      <c r="BK1734" s="46">
        <v>0</v>
      </c>
      <c r="BL1734" s="46">
        <v>0</v>
      </c>
      <c r="BM1734" s="46">
        <v>0</v>
      </c>
      <c r="BN1734" s="46">
        <v>0</v>
      </c>
    </row>
    <row r="1735" spans="1:66" x14ac:dyDescent="0.35">
      <c r="A1735" t="s">
        <v>11257</v>
      </c>
      <c r="B1735" s="44" t="s">
        <v>48</v>
      </c>
      <c r="C1735" t="s">
        <v>818</v>
      </c>
      <c r="D1735" t="s">
        <v>11955</v>
      </c>
      <c r="E1735" t="s">
        <v>11259</v>
      </c>
      <c r="F1735" t="s">
        <v>3423</v>
      </c>
      <c r="G1735" t="s">
        <v>214</v>
      </c>
      <c r="H1735">
        <v>0</v>
      </c>
      <c r="I1735" s="60" t="s">
        <v>11160</v>
      </c>
      <c r="J1735" s="33" t="s">
        <v>45</v>
      </c>
      <c r="K1735" s="46">
        <v>0</v>
      </c>
      <c r="L1735">
        <v>12.4</v>
      </c>
      <c r="M1735" t="s">
        <v>48</v>
      </c>
      <c r="N1735" s="46">
        <v>0</v>
      </c>
      <c r="O1735" s="46">
        <v>1</v>
      </c>
      <c r="P1735" s="46">
        <v>0</v>
      </c>
      <c r="Q1735" t="s">
        <v>48</v>
      </c>
      <c r="R1735" t="s">
        <v>48</v>
      </c>
      <c r="S1735" t="s">
        <v>48</v>
      </c>
      <c r="T1735" t="s">
        <v>48</v>
      </c>
      <c r="U1735" t="s">
        <v>48</v>
      </c>
      <c r="V1735" s="47" t="s">
        <v>48</v>
      </c>
      <c r="W1735" t="s">
        <v>48</v>
      </c>
      <c r="X1735" t="s">
        <v>48</v>
      </c>
      <c r="Y1735" t="s">
        <v>48</v>
      </c>
      <c r="Z1735" t="s">
        <v>48</v>
      </c>
      <c r="AA1735" t="s">
        <v>48</v>
      </c>
      <c r="AB1735" t="s">
        <v>48</v>
      </c>
      <c r="AC1735" t="s">
        <v>48</v>
      </c>
      <c r="AD1735" t="s">
        <v>48</v>
      </c>
      <c r="AE1735" t="s">
        <v>48</v>
      </c>
      <c r="AF1735" t="s">
        <v>48</v>
      </c>
      <c r="AG1735" t="s">
        <v>48</v>
      </c>
      <c r="AH1735" t="s">
        <v>48</v>
      </c>
      <c r="AI1735" t="s">
        <v>48</v>
      </c>
      <c r="AJ1735" t="s">
        <v>48</v>
      </c>
      <c r="AK1735" t="s">
        <v>48</v>
      </c>
      <c r="AL1735" t="s">
        <v>48</v>
      </c>
      <c r="AM1735" t="s">
        <v>48</v>
      </c>
      <c r="AN1735" t="s">
        <v>48</v>
      </c>
      <c r="AO1735" t="s">
        <v>48</v>
      </c>
      <c r="AP1735" s="46">
        <v>0</v>
      </c>
      <c r="AQ1735" s="46">
        <v>0</v>
      </c>
      <c r="AR1735" s="46">
        <v>0</v>
      </c>
      <c r="AS1735" s="46">
        <v>0</v>
      </c>
      <c r="AT1735" s="46">
        <v>0</v>
      </c>
      <c r="AU1735" s="46">
        <v>0</v>
      </c>
      <c r="AV1735" s="46">
        <v>0</v>
      </c>
      <c r="AW1735" s="46">
        <v>0</v>
      </c>
      <c r="AX1735" s="46">
        <v>0</v>
      </c>
      <c r="AY1735" s="46">
        <v>0</v>
      </c>
      <c r="AZ1735" s="46">
        <v>0</v>
      </c>
      <c r="BA1735" s="46">
        <v>0</v>
      </c>
      <c r="BB1735" s="46">
        <v>0</v>
      </c>
      <c r="BC1735" s="46">
        <v>0</v>
      </c>
      <c r="BD1735" s="46">
        <v>0</v>
      </c>
      <c r="BE1735" s="46">
        <v>0</v>
      </c>
      <c r="BF1735" s="46">
        <v>0</v>
      </c>
      <c r="BG1735" s="46" t="s">
        <v>48</v>
      </c>
      <c r="BH1735" s="46">
        <v>0</v>
      </c>
      <c r="BI1735" s="46">
        <v>0</v>
      </c>
      <c r="BJ1735" s="46">
        <v>0</v>
      </c>
      <c r="BK1735" s="46">
        <v>0</v>
      </c>
      <c r="BL1735" s="46">
        <v>0</v>
      </c>
      <c r="BM1735" s="46">
        <v>0</v>
      </c>
      <c r="BN1735" s="46">
        <v>0</v>
      </c>
    </row>
    <row r="1736" spans="1:66" ht="15" x14ac:dyDescent="0.4">
      <c r="A1736" t="s">
        <v>11131</v>
      </c>
      <c r="B1736" s="44" t="s">
        <v>48</v>
      </c>
      <c r="C1736" t="s">
        <v>11958</v>
      </c>
      <c r="D1736" t="s">
        <v>268</v>
      </c>
      <c r="E1736" t="s">
        <v>11136</v>
      </c>
      <c r="F1736" t="s">
        <v>3491</v>
      </c>
      <c r="G1736" t="s">
        <v>47</v>
      </c>
      <c r="H1736">
        <v>0</v>
      </c>
      <c r="I1736" s="60" t="s">
        <v>11160</v>
      </c>
      <c r="J1736" s="33" t="s">
        <v>45</v>
      </c>
      <c r="K1736" s="46">
        <v>0</v>
      </c>
      <c r="L1736" s="53">
        <v>99.4</v>
      </c>
      <c r="M1736" s="46" t="s">
        <v>48</v>
      </c>
      <c r="N1736" s="46">
        <v>0</v>
      </c>
      <c r="O1736" s="46">
        <v>0</v>
      </c>
      <c r="P1736" s="47" t="s">
        <v>48</v>
      </c>
      <c r="Q1736" s="46" t="s">
        <v>48</v>
      </c>
      <c r="R1736" s="46" t="s">
        <v>48</v>
      </c>
      <c r="S1736" s="55" t="s">
        <v>11219</v>
      </c>
      <c r="T1736" t="s">
        <v>48</v>
      </c>
      <c r="U1736" s="55" t="s">
        <v>11219</v>
      </c>
      <c r="V1736" t="s">
        <v>48</v>
      </c>
      <c r="W1736" t="s">
        <v>48</v>
      </c>
      <c r="X1736" t="s">
        <v>48</v>
      </c>
      <c r="Y1736" t="s">
        <v>48</v>
      </c>
      <c r="Z1736" t="s">
        <v>48</v>
      </c>
      <c r="AA1736" t="s">
        <v>11189</v>
      </c>
      <c r="AB1736" t="s">
        <v>48</v>
      </c>
      <c r="AC1736" t="s">
        <v>48</v>
      </c>
      <c r="AD1736" t="s">
        <v>48</v>
      </c>
      <c r="AE1736" t="s">
        <v>48</v>
      </c>
      <c r="AF1736" t="s">
        <v>48</v>
      </c>
      <c r="AG1736" t="s">
        <v>48</v>
      </c>
      <c r="AH1736" t="s">
        <v>48</v>
      </c>
      <c r="AI1736" t="s">
        <v>48</v>
      </c>
      <c r="AJ1736" t="s">
        <v>48</v>
      </c>
      <c r="AK1736" t="s">
        <v>48</v>
      </c>
      <c r="AL1736" t="s">
        <v>48</v>
      </c>
      <c r="AM1736" t="s">
        <v>48</v>
      </c>
      <c r="AN1736" t="s">
        <v>48</v>
      </c>
      <c r="AO1736" t="s">
        <v>48</v>
      </c>
      <c r="AP1736" s="46">
        <v>0</v>
      </c>
      <c r="AQ1736" s="46">
        <v>0</v>
      </c>
      <c r="AR1736" s="46">
        <v>0</v>
      </c>
      <c r="AS1736" s="46">
        <v>0</v>
      </c>
      <c r="AT1736" s="46">
        <v>0</v>
      </c>
      <c r="AU1736" s="46">
        <v>0</v>
      </c>
      <c r="AV1736" s="46">
        <v>0</v>
      </c>
      <c r="AW1736" s="46">
        <v>1</v>
      </c>
      <c r="AX1736" s="46">
        <v>0</v>
      </c>
      <c r="AY1736" s="46">
        <v>0</v>
      </c>
      <c r="AZ1736" s="46">
        <v>0</v>
      </c>
      <c r="BA1736" s="46">
        <v>0</v>
      </c>
      <c r="BB1736" s="46">
        <v>0</v>
      </c>
      <c r="BC1736" s="46">
        <v>0</v>
      </c>
      <c r="BD1736" s="46">
        <v>0</v>
      </c>
      <c r="BE1736" s="46">
        <v>0</v>
      </c>
      <c r="BF1736" s="46">
        <v>0</v>
      </c>
      <c r="BG1736" s="46" t="s">
        <v>48</v>
      </c>
      <c r="BH1736" s="46">
        <v>0</v>
      </c>
      <c r="BI1736" s="46">
        <v>0</v>
      </c>
      <c r="BJ1736" s="46">
        <v>0</v>
      </c>
      <c r="BK1736" s="46">
        <v>0</v>
      </c>
      <c r="BL1736" s="46">
        <v>1</v>
      </c>
      <c r="BM1736" s="46">
        <v>0</v>
      </c>
      <c r="BN1736" s="46">
        <v>0</v>
      </c>
    </row>
    <row r="1737" spans="1:66" x14ac:dyDescent="0.35">
      <c r="A1737" t="s">
        <v>10986</v>
      </c>
      <c r="B1737" s="44" t="s">
        <v>48</v>
      </c>
      <c r="C1737" t="s">
        <v>11963</v>
      </c>
      <c r="D1737" t="s">
        <v>3373</v>
      </c>
      <c r="E1737" t="s">
        <v>10987</v>
      </c>
      <c r="F1737" t="s">
        <v>3526</v>
      </c>
      <c r="G1737" t="s">
        <v>47</v>
      </c>
      <c r="H1737">
        <v>0</v>
      </c>
      <c r="I1737" s="61">
        <v>44815</v>
      </c>
      <c r="J1737" s="33" t="s">
        <v>45</v>
      </c>
      <c r="K1737" s="46">
        <v>0</v>
      </c>
      <c r="L1737">
        <v>29.2</v>
      </c>
      <c r="M1737" t="s">
        <v>48</v>
      </c>
      <c r="N1737" s="46">
        <v>0</v>
      </c>
      <c r="O1737" s="46">
        <v>0</v>
      </c>
      <c r="P1737" s="46">
        <v>0</v>
      </c>
      <c r="Q1737" t="s">
        <v>48</v>
      </c>
      <c r="R1737" t="s">
        <v>48</v>
      </c>
      <c r="S1737" t="s">
        <v>48</v>
      </c>
      <c r="T1737" t="s">
        <v>48</v>
      </c>
      <c r="U1737" t="s">
        <v>48</v>
      </c>
      <c r="V1737" s="47">
        <v>1</v>
      </c>
      <c r="W1737" t="s">
        <v>48</v>
      </c>
      <c r="X1737" t="s">
        <v>48</v>
      </c>
      <c r="Y1737" t="s">
        <v>48</v>
      </c>
      <c r="Z1737" t="s">
        <v>48</v>
      </c>
      <c r="AA1737" t="s">
        <v>48</v>
      </c>
      <c r="AB1737" t="s">
        <v>48</v>
      </c>
      <c r="AC1737" t="s">
        <v>49</v>
      </c>
      <c r="AD1737" t="s">
        <v>951</v>
      </c>
      <c r="AE1737" t="s">
        <v>11051</v>
      </c>
      <c r="AF1737" t="s">
        <v>48</v>
      </c>
      <c r="AG1737" t="s">
        <v>48</v>
      </c>
      <c r="AH1737" t="s">
        <v>48</v>
      </c>
      <c r="AI1737" t="s">
        <v>48</v>
      </c>
      <c r="AJ1737" t="s">
        <v>48</v>
      </c>
      <c r="AK1737" t="s">
        <v>48</v>
      </c>
      <c r="AL1737" t="s">
        <v>48</v>
      </c>
      <c r="AM1737" t="s">
        <v>48</v>
      </c>
      <c r="AN1737" t="s">
        <v>48</v>
      </c>
      <c r="AO1737" t="s">
        <v>48</v>
      </c>
      <c r="AP1737" s="46">
        <v>0</v>
      </c>
      <c r="AQ1737" s="46">
        <v>0</v>
      </c>
      <c r="AR1737" s="46">
        <v>0</v>
      </c>
      <c r="AS1737" s="46">
        <v>0</v>
      </c>
      <c r="AT1737" s="46">
        <v>0</v>
      </c>
      <c r="AU1737" s="46">
        <v>0</v>
      </c>
      <c r="AV1737" s="46">
        <v>0</v>
      </c>
      <c r="AW1737" s="46">
        <v>0</v>
      </c>
      <c r="AX1737" s="46">
        <v>0</v>
      </c>
      <c r="AY1737" s="46">
        <v>0</v>
      </c>
      <c r="AZ1737" s="46">
        <v>0</v>
      </c>
      <c r="BA1737" s="46">
        <v>0</v>
      </c>
      <c r="BB1737" s="46">
        <v>0</v>
      </c>
      <c r="BC1737" s="46">
        <v>0</v>
      </c>
      <c r="BD1737" s="46">
        <v>0</v>
      </c>
      <c r="BE1737" s="46">
        <v>0</v>
      </c>
      <c r="BF1737" s="46">
        <v>0</v>
      </c>
      <c r="BG1737" s="46" t="s">
        <v>48</v>
      </c>
      <c r="BH1737" s="46">
        <v>0</v>
      </c>
      <c r="BI1737" s="46">
        <v>0</v>
      </c>
      <c r="BJ1737" s="46">
        <v>0</v>
      </c>
      <c r="BK1737" s="46">
        <v>0</v>
      </c>
      <c r="BL1737" s="46">
        <v>0</v>
      </c>
      <c r="BM1737" s="46">
        <v>0</v>
      </c>
      <c r="BN1737" s="46">
        <v>0</v>
      </c>
    </row>
    <row r="1738" spans="1:66" x14ac:dyDescent="0.35">
      <c r="A1738" t="s">
        <v>342</v>
      </c>
      <c r="B1738" s="44" t="s">
        <v>48</v>
      </c>
      <c r="C1738" t="s">
        <v>348</v>
      </c>
      <c r="D1738" t="s">
        <v>347</v>
      </c>
      <c r="E1738" t="s">
        <v>10991</v>
      </c>
      <c r="F1738" t="s">
        <v>3536</v>
      </c>
      <c r="G1738" t="s">
        <v>47</v>
      </c>
      <c r="H1738">
        <v>0</v>
      </c>
      <c r="I1738" s="61" t="s">
        <v>11160</v>
      </c>
      <c r="J1738" s="33" t="s">
        <v>45</v>
      </c>
      <c r="K1738" s="46">
        <v>0</v>
      </c>
      <c r="L1738">
        <v>48.6</v>
      </c>
      <c r="M1738" t="s">
        <v>48</v>
      </c>
      <c r="N1738" s="46">
        <v>0</v>
      </c>
      <c r="O1738" s="46">
        <v>0</v>
      </c>
      <c r="P1738" s="46">
        <v>0</v>
      </c>
      <c r="Q1738" t="s">
        <v>48</v>
      </c>
      <c r="R1738" t="s">
        <v>48</v>
      </c>
      <c r="S1738" t="str">
        <f>"@VoteNurseDan"</f>
        <v>@VoteNurseDan</v>
      </c>
      <c r="T1738" t="s">
        <v>48</v>
      </c>
      <c r="U1738" t="s">
        <v>10992</v>
      </c>
      <c r="V1738" s="47">
        <v>0</v>
      </c>
      <c r="W1738" t="s">
        <v>48</v>
      </c>
      <c r="X1738" t="s">
        <v>48</v>
      </c>
      <c r="Y1738" t="s">
        <v>48</v>
      </c>
      <c r="Z1738" t="s">
        <v>48</v>
      </c>
      <c r="AA1738" t="s">
        <v>48</v>
      </c>
      <c r="AB1738" t="s">
        <v>48</v>
      </c>
      <c r="AC1738" t="s">
        <v>49</v>
      </c>
      <c r="AD1738" t="s">
        <v>93</v>
      </c>
      <c r="AE1738" t="s">
        <v>4532</v>
      </c>
      <c r="AF1738" t="s">
        <v>48</v>
      </c>
      <c r="AG1738" t="s">
        <v>48</v>
      </c>
      <c r="AH1738" t="s">
        <v>48</v>
      </c>
      <c r="AI1738" t="s">
        <v>48</v>
      </c>
      <c r="AJ1738" t="s">
        <v>48</v>
      </c>
      <c r="AK1738" t="s">
        <v>48</v>
      </c>
      <c r="AL1738" t="s">
        <v>48</v>
      </c>
      <c r="AM1738" t="s">
        <v>48</v>
      </c>
      <c r="AN1738" t="s">
        <v>48</v>
      </c>
      <c r="AO1738" t="s">
        <v>48</v>
      </c>
      <c r="AP1738" s="46">
        <v>0</v>
      </c>
      <c r="AQ1738" s="46">
        <v>0</v>
      </c>
      <c r="AR1738" s="46">
        <v>0</v>
      </c>
      <c r="AS1738" s="46">
        <v>0</v>
      </c>
      <c r="AT1738" s="46">
        <v>0</v>
      </c>
      <c r="AU1738" s="46">
        <v>0</v>
      </c>
      <c r="AV1738" s="46">
        <v>0</v>
      </c>
      <c r="AW1738" s="46">
        <v>0</v>
      </c>
      <c r="AX1738" s="46">
        <v>0</v>
      </c>
      <c r="AY1738" s="46">
        <v>0</v>
      </c>
      <c r="AZ1738" s="46">
        <v>0</v>
      </c>
      <c r="BA1738" s="46">
        <v>0</v>
      </c>
      <c r="BB1738" s="46">
        <v>0</v>
      </c>
      <c r="BC1738" s="46">
        <v>0</v>
      </c>
      <c r="BD1738" s="46">
        <v>0</v>
      </c>
      <c r="BE1738" s="46">
        <v>0</v>
      </c>
      <c r="BF1738" s="46">
        <v>0</v>
      </c>
      <c r="BG1738" s="46" t="s">
        <v>48</v>
      </c>
      <c r="BH1738" s="46">
        <v>0</v>
      </c>
      <c r="BI1738" s="46">
        <v>0</v>
      </c>
      <c r="BJ1738" s="46">
        <v>0</v>
      </c>
      <c r="BK1738" s="46">
        <v>0</v>
      </c>
      <c r="BL1738" s="46">
        <v>0</v>
      </c>
      <c r="BM1738" s="46">
        <v>0</v>
      </c>
      <c r="BN1738" s="46">
        <v>0</v>
      </c>
    </row>
    <row r="1739" spans="1:66" x14ac:dyDescent="0.35">
      <c r="A1739" t="s">
        <v>3551</v>
      </c>
      <c r="B1739" t="s">
        <v>48</v>
      </c>
      <c r="C1739" t="s">
        <v>3555</v>
      </c>
      <c r="D1739" t="s">
        <v>714</v>
      </c>
      <c r="E1739" t="s">
        <v>3553</v>
      </c>
      <c r="F1739" t="s">
        <v>3552</v>
      </c>
      <c r="G1739" t="s">
        <v>74</v>
      </c>
      <c r="H1739">
        <v>0</v>
      </c>
      <c r="I1739" s="60" t="s">
        <v>51</v>
      </c>
      <c r="J1739" s="33" t="s">
        <v>45</v>
      </c>
      <c r="K1739" s="46">
        <v>0</v>
      </c>
      <c r="L1739">
        <v>31.4</v>
      </c>
      <c r="M1739" t="s">
        <v>48</v>
      </c>
      <c r="N1739" s="46">
        <v>0</v>
      </c>
      <c r="O1739" s="46">
        <v>0</v>
      </c>
      <c r="P1739" s="46">
        <v>0</v>
      </c>
      <c r="Q1739" t="s">
        <v>48</v>
      </c>
      <c r="R1739" t="s">
        <v>48</v>
      </c>
      <c r="S1739" t="s">
        <v>3554</v>
      </c>
      <c r="T1739" t="s">
        <v>48</v>
      </c>
      <c r="U1739" t="s">
        <v>3554</v>
      </c>
      <c r="V1739" s="47">
        <v>0</v>
      </c>
      <c r="W1739" t="s">
        <v>48</v>
      </c>
      <c r="X1739" t="s">
        <v>48</v>
      </c>
      <c r="Y1739" t="s">
        <v>48</v>
      </c>
      <c r="Z1739">
        <v>0</v>
      </c>
      <c r="AA1739" t="s">
        <v>48</v>
      </c>
      <c r="AB1739" t="s">
        <v>48</v>
      </c>
      <c r="AC1739" t="s">
        <v>49</v>
      </c>
      <c r="AD1739" t="s">
        <v>93</v>
      </c>
      <c r="AE1739" t="s">
        <v>4532</v>
      </c>
      <c r="AF1739" t="s">
        <v>48</v>
      </c>
      <c r="AG1739" t="s">
        <v>479</v>
      </c>
      <c r="AH1739" t="s">
        <v>48</v>
      </c>
      <c r="AI1739" t="s">
        <v>48</v>
      </c>
      <c r="AJ1739" t="s">
        <v>48</v>
      </c>
      <c r="AK1739" t="s">
        <v>48</v>
      </c>
      <c r="AL1739" t="s">
        <v>48</v>
      </c>
      <c r="AM1739" t="s">
        <v>48</v>
      </c>
      <c r="AN1739" t="s">
        <v>48</v>
      </c>
      <c r="AO1739" t="s">
        <v>48</v>
      </c>
      <c r="AP1739" s="46">
        <v>0</v>
      </c>
      <c r="AQ1739" s="46">
        <v>0</v>
      </c>
      <c r="AR1739" s="46">
        <v>0</v>
      </c>
      <c r="AS1739" s="46">
        <v>0</v>
      </c>
      <c r="AT1739" s="46">
        <v>0</v>
      </c>
      <c r="AU1739" s="46">
        <v>0</v>
      </c>
      <c r="AV1739" s="46">
        <v>0</v>
      </c>
      <c r="AW1739" s="46">
        <v>0</v>
      </c>
      <c r="AX1739" s="46">
        <v>1</v>
      </c>
      <c r="AY1739" s="46">
        <v>0</v>
      </c>
      <c r="AZ1739" s="46">
        <v>0</v>
      </c>
      <c r="BA1739" s="46">
        <v>0</v>
      </c>
      <c r="BB1739" s="46">
        <v>0</v>
      </c>
      <c r="BC1739" s="46">
        <v>0</v>
      </c>
      <c r="BD1739" s="46">
        <v>0</v>
      </c>
      <c r="BE1739" s="46">
        <v>0</v>
      </c>
      <c r="BF1739" s="46">
        <v>0</v>
      </c>
      <c r="BG1739" s="46" t="s">
        <v>48</v>
      </c>
      <c r="BH1739" s="46">
        <v>0</v>
      </c>
      <c r="BI1739" s="46">
        <v>0</v>
      </c>
      <c r="BJ1739" s="46">
        <v>0</v>
      </c>
      <c r="BK1739" s="46">
        <v>0</v>
      </c>
      <c r="BL1739" s="46">
        <v>1</v>
      </c>
      <c r="BM1739" s="46">
        <v>0</v>
      </c>
      <c r="BN1739" s="46">
        <v>0</v>
      </c>
    </row>
    <row r="1740" spans="1:66" x14ac:dyDescent="0.35">
      <c r="A1740" t="s">
        <v>3571</v>
      </c>
      <c r="B1740" s="44" t="s">
        <v>48</v>
      </c>
      <c r="C1740" t="s">
        <v>2442</v>
      </c>
      <c r="D1740" t="s">
        <v>3573</v>
      </c>
      <c r="E1740" t="s">
        <v>3572</v>
      </c>
      <c r="F1740" t="s">
        <v>3566</v>
      </c>
      <c r="G1740" t="s">
        <v>47</v>
      </c>
      <c r="H1740">
        <v>0</v>
      </c>
      <c r="I1740" s="60" t="s">
        <v>11552</v>
      </c>
      <c r="J1740" s="33" t="s">
        <v>45</v>
      </c>
      <c r="K1740" s="46">
        <v>0</v>
      </c>
      <c r="L1740">
        <v>13.4</v>
      </c>
      <c r="M1740" t="s">
        <v>48</v>
      </c>
      <c r="N1740" s="46">
        <v>0</v>
      </c>
      <c r="O1740" s="46">
        <v>0</v>
      </c>
      <c r="P1740" s="46">
        <v>0</v>
      </c>
      <c r="Q1740" t="s">
        <v>48</v>
      </c>
      <c r="R1740" t="s">
        <v>48</v>
      </c>
      <c r="S1740" s="41" t="s">
        <v>11394</v>
      </c>
      <c r="T1740" t="s">
        <v>48</v>
      </c>
      <c r="U1740" s="41" t="s">
        <v>9995</v>
      </c>
      <c r="V1740" s="47">
        <v>0</v>
      </c>
      <c r="W1740" t="s">
        <v>11317</v>
      </c>
      <c r="X1740" t="s">
        <v>48</v>
      </c>
      <c r="Y1740" t="s">
        <v>48</v>
      </c>
      <c r="Z1740">
        <v>0</v>
      </c>
      <c r="AA1740" s="41" t="s">
        <v>9994</v>
      </c>
      <c r="AB1740" t="s">
        <v>48</v>
      </c>
      <c r="AC1740" t="s">
        <v>49</v>
      </c>
      <c r="AD1740" t="s">
        <v>93</v>
      </c>
      <c r="AE1740" s="40" t="s">
        <v>2471</v>
      </c>
      <c r="AF1740" t="s">
        <v>11061</v>
      </c>
      <c r="AG1740" t="s">
        <v>48</v>
      </c>
      <c r="AH1740" t="s">
        <v>48</v>
      </c>
      <c r="AI1740" t="s">
        <v>48</v>
      </c>
      <c r="AJ1740" t="s">
        <v>48</v>
      </c>
      <c r="AK1740" t="s">
        <v>48</v>
      </c>
      <c r="AL1740" t="s">
        <v>48</v>
      </c>
      <c r="AM1740" t="s">
        <v>48</v>
      </c>
      <c r="AN1740" t="s">
        <v>48</v>
      </c>
      <c r="AO1740" t="s">
        <v>48</v>
      </c>
      <c r="AP1740" s="46">
        <v>0</v>
      </c>
      <c r="AQ1740" s="46">
        <v>0</v>
      </c>
      <c r="AR1740" s="46">
        <v>0</v>
      </c>
      <c r="AS1740" s="46">
        <v>0</v>
      </c>
      <c r="AT1740" s="46">
        <v>0</v>
      </c>
      <c r="AU1740" s="46">
        <v>0</v>
      </c>
      <c r="AV1740" s="46">
        <v>0</v>
      </c>
      <c r="AW1740" s="46">
        <v>0</v>
      </c>
      <c r="AX1740" s="46">
        <v>0</v>
      </c>
      <c r="AY1740" s="46">
        <v>0</v>
      </c>
      <c r="AZ1740" s="46">
        <v>0</v>
      </c>
      <c r="BA1740" s="46">
        <v>0</v>
      </c>
      <c r="BB1740" s="46">
        <v>0</v>
      </c>
      <c r="BC1740" s="46">
        <v>0</v>
      </c>
      <c r="BD1740" s="46">
        <v>0</v>
      </c>
      <c r="BE1740" s="46">
        <v>0</v>
      </c>
      <c r="BF1740" s="46">
        <v>0</v>
      </c>
      <c r="BG1740" s="46" t="s">
        <v>48</v>
      </c>
      <c r="BH1740" s="46">
        <v>0</v>
      </c>
      <c r="BI1740" s="46">
        <v>0</v>
      </c>
      <c r="BJ1740" s="46">
        <v>0</v>
      </c>
      <c r="BK1740" s="46">
        <v>0</v>
      </c>
      <c r="BL1740" s="46">
        <v>0</v>
      </c>
      <c r="BM1740" s="46">
        <v>0</v>
      </c>
      <c r="BN1740" s="46">
        <v>0</v>
      </c>
    </row>
    <row r="1741" spans="1:66" x14ac:dyDescent="0.35">
      <c r="A1741" t="s">
        <v>3655</v>
      </c>
      <c r="B1741" s="44" t="s">
        <v>48</v>
      </c>
      <c r="C1741" t="s">
        <v>2905</v>
      </c>
      <c r="D1741" t="s">
        <v>714</v>
      </c>
      <c r="E1741" t="s">
        <v>10130</v>
      </c>
      <c r="F1741" t="s">
        <v>3566</v>
      </c>
      <c r="G1741" t="s">
        <v>47</v>
      </c>
      <c r="H1741">
        <v>0</v>
      </c>
      <c r="I1741" s="61">
        <v>44783</v>
      </c>
      <c r="J1741" s="33" t="s">
        <v>45</v>
      </c>
      <c r="K1741" s="46">
        <v>0</v>
      </c>
      <c r="L1741">
        <v>20.5</v>
      </c>
      <c r="M1741" t="s">
        <v>48</v>
      </c>
      <c r="N1741" s="46">
        <v>0</v>
      </c>
      <c r="O1741" s="46">
        <v>0</v>
      </c>
      <c r="P1741" s="46">
        <v>0</v>
      </c>
      <c r="Q1741" t="s">
        <v>48</v>
      </c>
      <c r="R1741" t="s">
        <v>48</v>
      </c>
      <c r="S1741" t="s">
        <v>10131</v>
      </c>
      <c r="T1741" t="s">
        <v>48</v>
      </c>
      <c r="U1741" t="s">
        <v>10131</v>
      </c>
      <c r="V1741" s="47">
        <v>1</v>
      </c>
      <c r="W1741" t="s">
        <v>48</v>
      </c>
      <c r="X1741" t="s">
        <v>48</v>
      </c>
      <c r="Y1741" t="s">
        <v>48</v>
      </c>
      <c r="Z1741">
        <v>0</v>
      </c>
      <c r="AA1741" t="s">
        <v>48</v>
      </c>
      <c r="AB1741" t="s">
        <v>48</v>
      </c>
      <c r="AC1741" t="s">
        <v>49</v>
      </c>
      <c r="AD1741" t="s">
        <v>93</v>
      </c>
      <c r="AE1741" t="s">
        <v>4532</v>
      </c>
      <c r="AF1741" t="s">
        <v>48</v>
      </c>
      <c r="AG1741" t="s">
        <v>48</v>
      </c>
      <c r="AH1741" t="s">
        <v>48</v>
      </c>
      <c r="AI1741" t="s">
        <v>48</v>
      </c>
      <c r="AJ1741" t="s">
        <v>48</v>
      </c>
      <c r="AK1741" t="s">
        <v>48</v>
      </c>
      <c r="AL1741" t="s">
        <v>48</v>
      </c>
      <c r="AM1741" t="s">
        <v>48</v>
      </c>
      <c r="AN1741" t="s">
        <v>48</v>
      </c>
      <c r="AO1741" t="s">
        <v>48</v>
      </c>
      <c r="AP1741" s="46">
        <v>0</v>
      </c>
      <c r="AQ1741" s="46">
        <v>0</v>
      </c>
      <c r="AR1741" s="46">
        <v>0</v>
      </c>
      <c r="AS1741" s="46">
        <v>0</v>
      </c>
      <c r="AT1741" s="46">
        <v>0</v>
      </c>
      <c r="AU1741" s="46">
        <v>0</v>
      </c>
      <c r="AV1741" s="46">
        <v>0</v>
      </c>
      <c r="AW1741" s="46">
        <v>0</v>
      </c>
      <c r="AX1741" s="46">
        <v>0</v>
      </c>
      <c r="AY1741" s="46">
        <v>0</v>
      </c>
      <c r="AZ1741" s="46">
        <v>0</v>
      </c>
      <c r="BA1741" s="46">
        <v>0</v>
      </c>
      <c r="BB1741" s="46">
        <v>0</v>
      </c>
      <c r="BC1741" s="46">
        <v>0</v>
      </c>
      <c r="BD1741" s="46">
        <v>0</v>
      </c>
      <c r="BE1741" s="46">
        <v>0</v>
      </c>
      <c r="BF1741" s="46">
        <v>0</v>
      </c>
      <c r="BG1741" s="46" t="s">
        <v>48</v>
      </c>
      <c r="BH1741" s="46">
        <v>0</v>
      </c>
      <c r="BI1741" s="46">
        <v>0</v>
      </c>
      <c r="BJ1741" s="46">
        <v>0</v>
      </c>
      <c r="BK1741" s="46">
        <v>0</v>
      </c>
      <c r="BL1741" s="46">
        <v>0</v>
      </c>
      <c r="BM1741" s="46">
        <v>0</v>
      </c>
      <c r="BN1741" s="46">
        <v>0</v>
      </c>
    </row>
    <row r="1742" spans="1:66" x14ac:dyDescent="0.35">
      <c r="A1742" t="s">
        <v>10134</v>
      </c>
      <c r="B1742" s="44" t="s">
        <v>48</v>
      </c>
      <c r="C1742" t="s">
        <v>11969</v>
      </c>
      <c r="D1742" t="s">
        <v>11970</v>
      </c>
      <c r="E1742" t="s">
        <v>10135</v>
      </c>
      <c r="F1742" t="s">
        <v>3566</v>
      </c>
      <c r="G1742" t="s">
        <v>47</v>
      </c>
      <c r="H1742">
        <v>0</v>
      </c>
      <c r="I1742" s="61">
        <v>44783</v>
      </c>
      <c r="J1742" s="33" t="s">
        <v>45</v>
      </c>
      <c r="K1742" s="46">
        <v>0</v>
      </c>
      <c r="L1742">
        <v>10.9</v>
      </c>
      <c r="M1742" t="s">
        <v>48</v>
      </c>
      <c r="N1742" s="46">
        <v>0</v>
      </c>
      <c r="O1742" s="46">
        <v>0</v>
      </c>
      <c r="P1742" s="46">
        <v>0</v>
      </c>
      <c r="Q1742" t="s">
        <v>48</v>
      </c>
      <c r="R1742" t="s">
        <v>48</v>
      </c>
      <c r="S1742" t="s">
        <v>10136</v>
      </c>
      <c r="T1742" t="s">
        <v>48</v>
      </c>
      <c r="U1742" t="s">
        <v>10136</v>
      </c>
      <c r="V1742" s="47">
        <v>0</v>
      </c>
      <c r="W1742" t="s">
        <v>48</v>
      </c>
      <c r="X1742" t="s">
        <v>48</v>
      </c>
      <c r="Y1742" t="s">
        <v>48</v>
      </c>
      <c r="Z1742" t="s">
        <v>48</v>
      </c>
      <c r="AA1742" t="s">
        <v>48</v>
      </c>
      <c r="AB1742" t="s">
        <v>48</v>
      </c>
      <c r="AC1742" t="s">
        <v>63</v>
      </c>
      <c r="AD1742" t="s">
        <v>93</v>
      </c>
      <c r="AE1742" t="s">
        <v>4532</v>
      </c>
      <c r="AF1742" t="s">
        <v>48</v>
      </c>
      <c r="AG1742" t="s">
        <v>48</v>
      </c>
      <c r="AH1742" t="s">
        <v>48</v>
      </c>
      <c r="AI1742" t="s">
        <v>48</v>
      </c>
      <c r="AJ1742" t="s">
        <v>48</v>
      </c>
      <c r="AK1742" t="s">
        <v>48</v>
      </c>
      <c r="AL1742" t="s">
        <v>48</v>
      </c>
      <c r="AM1742" t="s">
        <v>48</v>
      </c>
      <c r="AN1742" t="s">
        <v>48</v>
      </c>
      <c r="AO1742" t="s">
        <v>48</v>
      </c>
      <c r="AP1742" s="46">
        <v>0</v>
      </c>
      <c r="AQ1742" s="46">
        <v>0</v>
      </c>
      <c r="AR1742" s="46">
        <v>0</v>
      </c>
      <c r="AS1742" s="46">
        <v>0</v>
      </c>
      <c r="AT1742" s="46">
        <v>0</v>
      </c>
      <c r="AU1742" s="46">
        <v>0</v>
      </c>
      <c r="AV1742" s="46">
        <v>0</v>
      </c>
      <c r="AW1742" s="46">
        <v>0</v>
      </c>
      <c r="AX1742" s="46">
        <v>0</v>
      </c>
      <c r="AY1742" s="46">
        <v>0</v>
      </c>
      <c r="AZ1742" s="46">
        <v>0</v>
      </c>
      <c r="BA1742" s="46">
        <v>0</v>
      </c>
      <c r="BB1742" s="46">
        <v>0</v>
      </c>
      <c r="BC1742" s="46">
        <v>0</v>
      </c>
      <c r="BD1742" s="46">
        <v>0</v>
      </c>
      <c r="BE1742" s="46">
        <v>0</v>
      </c>
      <c r="BF1742" s="46">
        <v>0</v>
      </c>
      <c r="BG1742" s="46" t="s">
        <v>48</v>
      </c>
      <c r="BH1742" s="46">
        <v>0</v>
      </c>
      <c r="BI1742" s="46">
        <v>0</v>
      </c>
      <c r="BJ1742" s="46">
        <v>0</v>
      </c>
      <c r="BK1742" s="46">
        <v>0</v>
      </c>
      <c r="BL1742" s="46">
        <v>0</v>
      </c>
      <c r="BM1742" s="46">
        <v>0</v>
      </c>
      <c r="BN1742" s="46">
        <v>0</v>
      </c>
    </row>
    <row r="1743" spans="1:66" x14ac:dyDescent="0.35">
      <c r="A1743" t="s">
        <v>3587</v>
      </c>
      <c r="B1743" s="44" t="s">
        <v>48</v>
      </c>
      <c r="C1743" t="s">
        <v>3588</v>
      </c>
      <c r="D1743" t="s">
        <v>1783</v>
      </c>
      <c r="E1743" t="s">
        <v>10122</v>
      </c>
      <c r="F1743" t="s">
        <v>3566</v>
      </c>
      <c r="G1743" t="s">
        <v>74</v>
      </c>
      <c r="H1743">
        <v>0</v>
      </c>
      <c r="I1743" s="61">
        <v>44783</v>
      </c>
      <c r="J1743" s="33" t="s">
        <v>45</v>
      </c>
      <c r="K1743" s="46">
        <v>0</v>
      </c>
      <c r="L1743">
        <v>10.1</v>
      </c>
      <c r="M1743" t="s">
        <v>48</v>
      </c>
      <c r="N1743" s="46">
        <v>0</v>
      </c>
      <c r="O1743" s="46">
        <v>0</v>
      </c>
      <c r="P1743" s="46">
        <v>0</v>
      </c>
      <c r="Q1743" t="s">
        <v>48</v>
      </c>
      <c r="R1743" t="s">
        <v>48</v>
      </c>
      <c r="S1743" t="s">
        <v>10123</v>
      </c>
      <c r="T1743" t="s">
        <v>48</v>
      </c>
      <c r="U1743" t="s">
        <v>10123</v>
      </c>
      <c r="V1743" s="47">
        <v>0</v>
      </c>
      <c r="W1743" t="s">
        <v>48</v>
      </c>
      <c r="X1743" t="s">
        <v>48</v>
      </c>
      <c r="Y1743" t="s">
        <v>48</v>
      </c>
      <c r="Z1743">
        <v>0</v>
      </c>
      <c r="AA1743" t="s">
        <v>48</v>
      </c>
      <c r="AB1743" t="s">
        <v>48</v>
      </c>
      <c r="AC1743" t="s">
        <v>49</v>
      </c>
      <c r="AD1743" t="s">
        <v>93</v>
      </c>
      <c r="AE1743" t="s">
        <v>2471</v>
      </c>
      <c r="AF1743" t="s">
        <v>48</v>
      </c>
      <c r="AG1743" t="s">
        <v>48</v>
      </c>
      <c r="AH1743" t="s">
        <v>48</v>
      </c>
      <c r="AI1743" t="s">
        <v>48</v>
      </c>
      <c r="AJ1743" t="s">
        <v>48</v>
      </c>
      <c r="AK1743" t="s">
        <v>48</v>
      </c>
      <c r="AL1743" t="s">
        <v>48</v>
      </c>
      <c r="AM1743" t="s">
        <v>48</v>
      </c>
      <c r="AN1743" t="s">
        <v>48</v>
      </c>
      <c r="AO1743" t="s">
        <v>48</v>
      </c>
      <c r="AP1743" s="46">
        <v>0</v>
      </c>
      <c r="AQ1743" s="46">
        <v>0</v>
      </c>
      <c r="AR1743" s="46">
        <v>0</v>
      </c>
      <c r="AS1743" s="46">
        <v>0</v>
      </c>
      <c r="AT1743" s="46">
        <v>0</v>
      </c>
      <c r="AU1743" s="46">
        <v>0</v>
      </c>
      <c r="AV1743" s="46">
        <v>0</v>
      </c>
      <c r="AW1743" s="46">
        <v>0</v>
      </c>
      <c r="AX1743" s="46">
        <v>0</v>
      </c>
      <c r="AY1743" s="46">
        <v>0</v>
      </c>
      <c r="AZ1743" s="46">
        <v>0</v>
      </c>
      <c r="BA1743" s="46">
        <v>0</v>
      </c>
      <c r="BB1743" s="46">
        <v>0</v>
      </c>
      <c r="BC1743" s="46">
        <v>0</v>
      </c>
      <c r="BD1743" s="46">
        <v>0</v>
      </c>
      <c r="BE1743" s="46">
        <v>0</v>
      </c>
      <c r="BF1743" s="46">
        <v>0</v>
      </c>
      <c r="BG1743" s="46" t="s">
        <v>48</v>
      </c>
      <c r="BH1743" s="46">
        <v>0</v>
      </c>
      <c r="BI1743" s="46">
        <v>0</v>
      </c>
      <c r="BJ1743" s="46">
        <v>0</v>
      </c>
      <c r="BK1743" s="46">
        <v>0</v>
      </c>
      <c r="BL1743" s="46">
        <v>0</v>
      </c>
      <c r="BM1743" s="46">
        <v>0</v>
      </c>
      <c r="BN1743" s="46">
        <v>0</v>
      </c>
    </row>
    <row r="1744" spans="1:66" x14ac:dyDescent="0.35">
      <c r="A1744" t="s">
        <v>3589</v>
      </c>
      <c r="B1744" s="44" t="s">
        <v>48</v>
      </c>
      <c r="C1744" t="s">
        <v>255</v>
      </c>
      <c r="D1744" t="s">
        <v>3590</v>
      </c>
      <c r="E1744" t="s">
        <v>10137</v>
      </c>
      <c r="F1744" t="s">
        <v>3566</v>
      </c>
      <c r="G1744" t="s">
        <v>47</v>
      </c>
      <c r="H1744">
        <v>0</v>
      </c>
      <c r="I1744" s="61">
        <v>44783</v>
      </c>
      <c r="J1744" s="33" t="s">
        <v>45</v>
      </c>
      <c r="K1744" s="46">
        <v>0</v>
      </c>
      <c r="L1744">
        <v>8.1999999999999993</v>
      </c>
      <c r="M1744" t="s">
        <v>48</v>
      </c>
      <c r="N1744" s="46">
        <v>0</v>
      </c>
      <c r="O1744" s="46">
        <v>0</v>
      </c>
      <c r="P1744" s="46">
        <v>0</v>
      </c>
      <c r="Q1744" t="s">
        <v>48</v>
      </c>
      <c r="R1744" t="s">
        <v>48</v>
      </c>
      <c r="S1744" t="s">
        <v>48</v>
      </c>
      <c r="T1744" t="s">
        <v>48</v>
      </c>
      <c r="U1744" t="s">
        <v>48</v>
      </c>
      <c r="V1744" s="47">
        <v>1</v>
      </c>
      <c r="W1744" t="s">
        <v>48</v>
      </c>
      <c r="X1744" t="s">
        <v>48</v>
      </c>
      <c r="Y1744" t="s">
        <v>48</v>
      </c>
      <c r="Z1744">
        <v>0</v>
      </c>
      <c r="AA1744" t="s">
        <v>48</v>
      </c>
      <c r="AB1744" t="s">
        <v>48</v>
      </c>
      <c r="AC1744" t="s">
        <v>49</v>
      </c>
      <c r="AD1744" t="s">
        <v>93</v>
      </c>
      <c r="AE1744" t="s">
        <v>4532</v>
      </c>
      <c r="AF1744" t="s">
        <v>48</v>
      </c>
      <c r="AG1744" t="s">
        <v>48</v>
      </c>
      <c r="AH1744" t="s">
        <v>48</v>
      </c>
      <c r="AI1744" t="s">
        <v>48</v>
      </c>
      <c r="AJ1744" t="s">
        <v>48</v>
      </c>
      <c r="AK1744" t="s">
        <v>48</v>
      </c>
      <c r="AL1744" t="s">
        <v>48</v>
      </c>
      <c r="AM1744" t="s">
        <v>48</v>
      </c>
      <c r="AN1744" t="s">
        <v>48</v>
      </c>
      <c r="AO1744" t="s">
        <v>48</v>
      </c>
      <c r="AP1744" s="46">
        <v>0</v>
      </c>
      <c r="AQ1744" s="46">
        <v>0</v>
      </c>
      <c r="AR1744" s="46">
        <v>0</v>
      </c>
      <c r="AS1744" s="46">
        <v>0</v>
      </c>
      <c r="AT1744" s="46">
        <v>0</v>
      </c>
      <c r="AU1744" s="46">
        <v>0</v>
      </c>
      <c r="AV1744" s="46">
        <v>0</v>
      </c>
      <c r="AW1744" s="46">
        <v>0</v>
      </c>
      <c r="AX1744" s="46">
        <v>0</v>
      </c>
      <c r="AY1744" s="46">
        <v>0</v>
      </c>
      <c r="AZ1744" s="46">
        <v>0</v>
      </c>
      <c r="BA1744" s="46">
        <v>0</v>
      </c>
      <c r="BB1744" s="46">
        <v>0</v>
      </c>
      <c r="BC1744" s="46">
        <v>0</v>
      </c>
      <c r="BD1744" s="46">
        <v>0</v>
      </c>
      <c r="BE1744" s="46">
        <v>0</v>
      </c>
      <c r="BF1744" s="46">
        <v>0</v>
      </c>
      <c r="BG1744" s="46" t="s">
        <v>48</v>
      </c>
      <c r="BH1744" s="46">
        <v>0</v>
      </c>
      <c r="BI1744" s="46">
        <v>0</v>
      </c>
      <c r="BJ1744" s="46">
        <v>0</v>
      </c>
      <c r="BK1744" s="46">
        <v>0</v>
      </c>
      <c r="BL1744" s="46">
        <v>0</v>
      </c>
      <c r="BM1744" s="46">
        <v>0</v>
      </c>
      <c r="BN1744" s="46">
        <v>0</v>
      </c>
    </row>
    <row r="1745" spans="1:66" x14ac:dyDescent="0.35">
      <c r="A1745" t="s">
        <v>10124</v>
      </c>
      <c r="B1745" s="44" t="s">
        <v>48</v>
      </c>
      <c r="C1745" t="s">
        <v>11966</v>
      </c>
      <c r="D1745" t="s">
        <v>11967</v>
      </c>
      <c r="E1745" t="s">
        <v>10125</v>
      </c>
      <c r="F1745" t="s">
        <v>3566</v>
      </c>
      <c r="G1745" t="s">
        <v>74</v>
      </c>
      <c r="H1745">
        <v>0</v>
      </c>
      <c r="I1745" s="61">
        <v>44783</v>
      </c>
      <c r="J1745" s="33" t="s">
        <v>45</v>
      </c>
      <c r="K1745" s="46">
        <v>0</v>
      </c>
      <c r="L1745">
        <v>5.0999999999999996</v>
      </c>
      <c r="M1745" t="s">
        <v>48</v>
      </c>
      <c r="N1745" s="46">
        <v>0</v>
      </c>
      <c r="O1745" s="46">
        <v>0</v>
      </c>
      <c r="P1745" s="46">
        <v>0</v>
      </c>
      <c r="Q1745" t="s">
        <v>48</v>
      </c>
      <c r="R1745" t="s">
        <v>48</v>
      </c>
      <c r="S1745" t="s">
        <v>10126</v>
      </c>
      <c r="T1745" t="s">
        <v>48</v>
      </c>
      <c r="U1745" t="s">
        <v>10126</v>
      </c>
      <c r="V1745" s="47">
        <v>0</v>
      </c>
      <c r="W1745" t="s">
        <v>48</v>
      </c>
      <c r="X1745" t="s">
        <v>48</v>
      </c>
      <c r="Y1745" t="s">
        <v>48</v>
      </c>
      <c r="Z1745" t="s">
        <v>48</v>
      </c>
      <c r="AA1745" t="s">
        <v>48</v>
      </c>
      <c r="AB1745" t="s">
        <v>48</v>
      </c>
      <c r="AC1745" t="s">
        <v>63</v>
      </c>
      <c r="AD1745" t="s">
        <v>48</v>
      </c>
      <c r="AE1745" t="s">
        <v>48</v>
      </c>
      <c r="AF1745" t="s">
        <v>48</v>
      </c>
      <c r="AG1745" t="s">
        <v>48</v>
      </c>
      <c r="AH1745" t="s">
        <v>48</v>
      </c>
      <c r="AI1745" t="s">
        <v>48</v>
      </c>
      <c r="AJ1745" t="s">
        <v>48</v>
      </c>
      <c r="AK1745" t="s">
        <v>48</v>
      </c>
      <c r="AL1745" t="s">
        <v>48</v>
      </c>
      <c r="AM1745" t="s">
        <v>48</v>
      </c>
      <c r="AN1745" t="s">
        <v>48</v>
      </c>
      <c r="AO1745" t="s">
        <v>48</v>
      </c>
      <c r="AP1745" s="46">
        <v>0</v>
      </c>
      <c r="AQ1745" s="46">
        <v>0</v>
      </c>
      <c r="AR1745" s="46">
        <v>0</v>
      </c>
      <c r="AS1745" s="46">
        <v>0</v>
      </c>
      <c r="AT1745" s="46">
        <v>0</v>
      </c>
      <c r="AU1745" s="46">
        <v>0</v>
      </c>
      <c r="AV1745" s="46">
        <v>0</v>
      </c>
      <c r="AW1745" s="46">
        <v>0</v>
      </c>
      <c r="AX1745" s="46">
        <v>0</v>
      </c>
      <c r="AY1745" s="46">
        <v>0</v>
      </c>
      <c r="AZ1745" s="46">
        <v>0</v>
      </c>
      <c r="BA1745" s="46">
        <v>0</v>
      </c>
      <c r="BB1745" s="46">
        <v>0</v>
      </c>
      <c r="BC1745" s="46">
        <v>0</v>
      </c>
      <c r="BD1745" s="46">
        <v>0</v>
      </c>
      <c r="BE1745" s="46">
        <v>0</v>
      </c>
      <c r="BF1745" s="46">
        <v>0</v>
      </c>
      <c r="BG1745" s="46" t="s">
        <v>48</v>
      </c>
      <c r="BH1745" s="46">
        <v>0</v>
      </c>
      <c r="BI1745" s="46">
        <v>0</v>
      </c>
      <c r="BJ1745" s="46">
        <v>0</v>
      </c>
      <c r="BK1745" s="46">
        <v>0</v>
      </c>
      <c r="BL1745" s="46">
        <v>0</v>
      </c>
      <c r="BM1745" s="46">
        <v>0</v>
      </c>
      <c r="BN1745" s="46">
        <v>0</v>
      </c>
    </row>
    <row r="1746" spans="1:66" x14ac:dyDescent="0.35">
      <c r="A1746" t="s">
        <v>3565</v>
      </c>
      <c r="B1746" s="44" t="s">
        <v>48</v>
      </c>
      <c r="C1746" t="s">
        <v>3570</v>
      </c>
      <c r="D1746" t="s">
        <v>3569</v>
      </c>
      <c r="E1746" t="s">
        <v>3567</v>
      </c>
      <c r="F1746" t="s">
        <v>3566</v>
      </c>
      <c r="G1746" t="s">
        <v>74</v>
      </c>
      <c r="H1746">
        <v>0</v>
      </c>
      <c r="I1746" s="60" t="s">
        <v>125</v>
      </c>
      <c r="J1746" s="33" t="s">
        <v>45</v>
      </c>
      <c r="K1746" s="46">
        <v>0</v>
      </c>
      <c r="L1746">
        <v>9.4</v>
      </c>
      <c r="M1746" t="s">
        <v>48</v>
      </c>
      <c r="N1746" s="46">
        <v>0</v>
      </c>
      <c r="O1746" s="46">
        <v>0</v>
      </c>
      <c r="P1746" s="46">
        <v>0</v>
      </c>
      <c r="Q1746" t="s">
        <v>48</v>
      </c>
      <c r="R1746" t="s">
        <v>48</v>
      </c>
      <c r="S1746" t="s">
        <v>3568</v>
      </c>
      <c r="T1746" t="s">
        <v>48</v>
      </c>
      <c r="U1746" t="s">
        <v>3568</v>
      </c>
      <c r="V1746" s="47">
        <v>1</v>
      </c>
      <c r="W1746" t="s">
        <v>48</v>
      </c>
      <c r="X1746" t="s">
        <v>48</v>
      </c>
      <c r="Y1746" t="s">
        <v>48</v>
      </c>
      <c r="Z1746">
        <v>0</v>
      </c>
      <c r="AA1746" t="s">
        <v>48</v>
      </c>
      <c r="AB1746" t="s">
        <v>48</v>
      </c>
      <c r="AC1746" t="s">
        <v>49</v>
      </c>
      <c r="AD1746" t="s">
        <v>93</v>
      </c>
      <c r="AE1746" s="40" t="s">
        <v>2471</v>
      </c>
      <c r="AF1746" t="s">
        <v>11061</v>
      </c>
      <c r="AG1746" t="s">
        <v>48</v>
      </c>
      <c r="AH1746" t="s">
        <v>48</v>
      </c>
      <c r="AI1746" t="s">
        <v>48</v>
      </c>
      <c r="AJ1746" t="s">
        <v>48</v>
      </c>
      <c r="AK1746" t="s">
        <v>48</v>
      </c>
      <c r="AL1746" t="s">
        <v>48</v>
      </c>
      <c r="AM1746" t="s">
        <v>48</v>
      </c>
      <c r="AN1746" t="s">
        <v>48</v>
      </c>
      <c r="AO1746" t="s">
        <v>48</v>
      </c>
      <c r="AP1746" s="46">
        <v>0</v>
      </c>
      <c r="AQ1746" s="46">
        <v>0</v>
      </c>
      <c r="AR1746" s="46">
        <v>0</v>
      </c>
      <c r="AS1746" s="46">
        <v>0</v>
      </c>
      <c r="AT1746" s="46">
        <v>0</v>
      </c>
      <c r="AU1746" s="46">
        <v>0</v>
      </c>
      <c r="AV1746" s="46">
        <v>0</v>
      </c>
      <c r="AW1746" s="46">
        <v>0</v>
      </c>
      <c r="AX1746" s="46">
        <v>0</v>
      </c>
      <c r="AY1746" s="46">
        <v>0</v>
      </c>
      <c r="AZ1746" s="46">
        <v>0</v>
      </c>
      <c r="BA1746" s="46">
        <v>0</v>
      </c>
      <c r="BB1746" s="46">
        <v>0</v>
      </c>
      <c r="BC1746" s="46">
        <v>0</v>
      </c>
      <c r="BD1746" s="46">
        <v>0</v>
      </c>
      <c r="BE1746" s="46">
        <v>0</v>
      </c>
      <c r="BF1746" s="46">
        <v>0</v>
      </c>
      <c r="BG1746" s="46" t="s">
        <v>48</v>
      </c>
      <c r="BH1746" s="46">
        <v>0</v>
      </c>
      <c r="BI1746" s="46">
        <v>0</v>
      </c>
      <c r="BJ1746" s="46">
        <v>0</v>
      </c>
      <c r="BK1746" s="46">
        <v>0</v>
      </c>
      <c r="BL1746" s="46">
        <v>0</v>
      </c>
      <c r="BM1746" s="46">
        <v>0</v>
      </c>
      <c r="BN1746" s="46">
        <v>0</v>
      </c>
    </row>
    <row r="1747" spans="1:66" x14ac:dyDescent="0.35">
      <c r="A1747" t="s">
        <v>10132</v>
      </c>
      <c r="B1747" s="44" t="s">
        <v>48</v>
      </c>
      <c r="C1747" t="s">
        <v>11968</v>
      </c>
      <c r="D1747" t="s">
        <v>396</v>
      </c>
      <c r="E1747" t="s">
        <v>10133</v>
      </c>
      <c r="F1747" t="s">
        <v>3566</v>
      </c>
      <c r="G1747" t="s">
        <v>47</v>
      </c>
      <c r="H1747">
        <v>0</v>
      </c>
      <c r="I1747" s="61">
        <v>44783</v>
      </c>
      <c r="J1747" s="33" t="s">
        <v>45</v>
      </c>
      <c r="K1747" s="46">
        <v>0</v>
      </c>
      <c r="L1747">
        <v>14.6</v>
      </c>
      <c r="M1747" t="s">
        <v>48</v>
      </c>
      <c r="N1747" s="46">
        <v>0</v>
      </c>
      <c r="O1747" s="46">
        <v>0</v>
      </c>
      <c r="P1747" s="46">
        <v>0</v>
      </c>
      <c r="Q1747" t="s">
        <v>48</v>
      </c>
      <c r="R1747" t="s">
        <v>48</v>
      </c>
      <c r="S1747" t="s">
        <v>48</v>
      </c>
      <c r="T1747" t="s">
        <v>48</v>
      </c>
      <c r="U1747" t="s">
        <v>48</v>
      </c>
      <c r="V1747" s="47">
        <v>1</v>
      </c>
      <c r="W1747" t="s">
        <v>48</v>
      </c>
      <c r="X1747" t="s">
        <v>48</v>
      </c>
      <c r="Y1747" t="s">
        <v>48</v>
      </c>
      <c r="Z1747" t="s">
        <v>48</v>
      </c>
      <c r="AA1747" t="s">
        <v>48</v>
      </c>
      <c r="AB1747" t="s">
        <v>48</v>
      </c>
      <c r="AC1747" t="s">
        <v>49</v>
      </c>
      <c r="AD1747" t="s">
        <v>93</v>
      </c>
      <c r="AE1747" t="s">
        <v>4532</v>
      </c>
      <c r="AF1747" t="s">
        <v>48</v>
      </c>
      <c r="AG1747" t="s">
        <v>48</v>
      </c>
      <c r="AH1747" t="s">
        <v>48</v>
      </c>
      <c r="AI1747" t="s">
        <v>48</v>
      </c>
      <c r="AJ1747" t="s">
        <v>48</v>
      </c>
      <c r="AK1747" t="s">
        <v>48</v>
      </c>
      <c r="AL1747" t="s">
        <v>48</v>
      </c>
      <c r="AM1747" t="s">
        <v>48</v>
      </c>
      <c r="AN1747" t="s">
        <v>48</v>
      </c>
      <c r="AO1747" t="s">
        <v>48</v>
      </c>
      <c r="AP1747" s="46">
        <v>0</v>
      </c>
      <c r="AQ1747" s="46">
        <v>0</v>
      </c>
      <c r="AR1747" s="46">
        <v>0</v>
      </c>
      <c r="AS1747" s="46">
        <v>0</v>
      </c>
      <c r="AT1747" s="46">
        <v>0</v>
      </c>
      <c r="AU1747" s="46">
        <v>0</v>
      </c>
      <c r="AV1747" s="46">
        <v>0</v>
      </c>
      <c r="AW1747" s="46">
        <v>0</v>
      </c>
      <c r="AX1747" s="46">
        <v>0</v>
      </c>
      <c r="AY1747" s="46">
        <v>0</v>
      </c>
      <c r="AZ1747" s="46">
        <v>0</v>
      </c>
      <c r="BA1747" s="46">
        <v>0</v>
      </c>
      <c r="BB1747" s="46">
        <v>0</v>
      </c>
      <c r="BC1747" s="46">
        <v>0</v>
      </c>
      <c r="BD1747" s="46">
        <v>0</v>
      </c>
      <c r="BE1747" s="46">
        <v>0</v>
      </c>
      <c r="BF1747" s="46">
        <v>0</v>
      </c>
      <c r="BG1747" s="46" t="s">
        <v>48</v>
      </c>
      <c r="BH1747" s="46">
        <v>0</v>
      </c>
      <c r="BI1747" s="46">
        <v>0</v>
      </c>
      <c r="BJ1747" s="46">
        <v>0</v>
      </c>
      <c r="BK1747" s="46">
        <v>0</v>
      </c>
      <c r="BL1747" s="46">
        <v>0</v>
      </c>
      <c r="BM1747" s="46">
        <v>0</v>
      </c>
      <c r="BN1747" s="46">
        <v>0</v>
      </c>
    </row>
    <row r="1748" spans="1:66" x14ac:dyDescent="0.35">
      <c r="A1748" t="s">
        <v>3600</v>
      </c>
      <c r="B1748" s="44" t="s">
        <v>48</v>
      </c>
      <c r="C1748" t="s">
        <v>646</v>
      </c>
      <c r="D1748" t="s">
        <v>3602</v>
      </c>
      <c r="E1748" t="s">
        <v>3601</v>
      </c>
      <c r="F1748" t="s">
        <v>3585</v>
      </c>
      <c r="G1748" t="s">
        <v>47</v>
      </c>
      <c r="H1748">
        <v>0</v>
      </c>
      <c r="I1748" s="60" t="s">
        <v>125</v>
      </c>
      <c r="J1748" s="33" t="s">
        <v>45</v>
      </c>
      <c r="K1748" s="46">
        <v>0</v>
      </c>
      <c r="L1748">
        <v>10.4</v>
      </c>
      <c r="M1748" t="s">
        <v>48</v>
      </c>
      <c r="N1748" s="46">
        <v>0</v>
      </c>
      <c r="O1748" s="46">
        <v>0</v>
      </c>
      <c r="P1748" s="46">
        <v>0</v>
      </c>
      <c r="Q1748" t="s">
        <v>48</v>
      </c>
      <c r="R1748" t="s">
        <v>48</v>
      </c>
      <c r="S1748" t="s">
        <v>10144</v>
      </c>
      <c r="T1748" t="s">
        <v>48</v>
      </c>
      <c r="U1748" t="s">
        <v>10144</v>
      </c>
      <c r="V1748" s="47">
        <v>0</v>
      </c>
      <c r="W1748" t="s">
        <v>48</v>
      </c>
      <c r="X1748" t="s">
        <v>48</v>
      </c>
      <c r="Y1748" t="s">
        <v>48</v>
      </c>
      <c r="Z1748">
        <v>0</v>
      </c>
      <c r="AA1748" t="s">
        <v>48</v>
      </c>
      <c r="AB1748" t="s">
        <v>48</v>
      </c>
      <c r="AC1748" t="s">
        <v>63</v>
      </c>
      <c r="AD1748" t="s">
        <v>48</v>
      </c>
      <c r="AE1748" t="s">
        <v>48</v>
      </c>
      <c r="AF1748" t="s">
        <v>48</v>
      </c>
      <c r="AG1748" t="s">
        <v>48</v>
      </c>
      <c r="AH1748" t="s">
        <v>48</v>
      </c>
      <c r="AI1748" t="s">
        <v>48</v>
      </c>
      <c r="AJ1748" t="s">
        <v>48</v>
      </c>
      <c r="AK1748" t="s">
        <v>48</v>
      </c>
      <c r="AL1748" t="s">
        <v>48</v>
      </c>
      <c r="AM1748" t="s">
        <v>48</v>
      </c>
      <c r="AN1748" t="s">
        <v>48</v>
      </c>
      <c r="AO1748" t="s">
        <v>48</v>
      </c>
      <c r="AP1748" s="46">
        <v>0</v>
      </c>
      <c r="AQ1748" s="46">
        <v>0</v>
      </c>
      <c r="AR1748" s="46">
        <v>0</v>
      </c>
      <c r="AS1748" s="46">
        <v>0</v>
      </c>
      <c r="AT1748" s="46">
        <v>0</v>
      </c>
      <c r="AU1748" s="46">
        <v>0</v>
      </c>
      <c r="AV1748" s="46">
        <v>0</v>
      </c>
      <c r="AW1748" s="46">
        <v>0</v>
      </c>
      <c r="AX1748" s="46">
        <v>0</v>
      </c>
      <c r="AY1748" s="46">
        <v>0</v>
      </c>
      <c r="AZ1748" s="46">
        <v>0</v>
      </c>
      <c r="BA1748" s="46">
        <v>0</v>
      </c>
      <c r="BB1748" s="46">
        <v>0</v>
      </c>
      <c r="BC1748" s="46">
        <v>0</v>
      </c>
      <c r="BD1748" s="46">
        <v>0</v>
      </c>
      <c r="BE1748" s="46">
        <v>0</v>
      </c>
      <c r="BF1748" s="46">
        <v>0</v>
      </c>
      <c r="BG1748" s="46" t="s">
        <v>48</v>
      </c>
      <c r="BH1748" s="46">
        <v>0</v>
      </c>
      <c r="BI1748" s="46">
        <v>0</v>
      </c>
      <c r="BJ1748" s="46">
        <v>0</v>
      </c>
      <c r="BK1748" s="46">
        <v>0</v>
      </c>
      <c r="BL1748" s="46">
        <v>0</v>
      </c>
      <c r="BM1748" s="46">
        <v>0</v>
      </c>
      <c r="BN1748" s="46">
        <v>0</v>
      </c>
    </row>
    <row r="1749" spans="1:66" x14ac:dyDescent="0.35">
      <c r="A1749" t="s">
        <v>3591</v>
      </c>
      <c r="B1749" s="44" t="s">
        <v>48</v>
      </c>
      <c r="C1749" t="s">
        <v>3594</v>
      </c>
      <c r="D1749" t="s">
        <v>1990</v>
      </c>
      <c r="E1749" t="s">
        <v>3592</v>
      </c>
      <c r="F1749" t="s">
        <v>3585</v>
      </c>
      <c r="G1749" t="s">
        <v>47</v>
      </c>
      <c r="H1749">
        <v>0</v>
      </c>
      <c r="I1749" s="60" t="s">
        <v>51</v>
      </c>
      <c r="J1749" s="33" t="s">
        <v>45</v>
      </c>
      <c r="K1749" s="46">
        <v>0</v>
      </c>
      <c r="L1749">
        <v>20.9</v>
      </c>
      <c r="M1749" t="s">
        <v>48</v>
      </c>
      <c r="N1749" s="46">
        <v>0</v>
      </c>
      <c r="O1749" s="46">
        <v>0</v>
      </c>
      <c r="P1749" s="46">
        <v>0</v>
      </c>
      <c r="Q1749" t="s">
        <v>48</v>
      </c>
      <c r="R1749" t="s">
        <v>48</v>
      </c>
      <c r="S1749" t="s">
        <v>3593</v>
      </c>
      <c r="T1749" t="s">
        <v>48</v>
      </c>
      <c r="U1749" t="s">
        <v>3593</v>
      </c>
      <c r="V1749" s="47">
        <v>1</v>
      </c>
      <c r="W1749" t="s">
        <v>48</v>
      </c>
      <c r="X1749" t="s">
        <v>48</v>
      </c>
      <c r="Y1749" t="s">
        <v>48</v>
      </c>
      <c r="Z1749">
        <v>0</v>
      </c>
      <c r="AA1749" t="s">
        <v>48</v>
      </c>
      <c r="AB1749" t="s">
        <v>48</v>
      </c>
      <c r="AC1749" t="s">
        <v>49</v>
      </c>
      <c r="AD1749" t="s">
        <v>93</v>
      </c>
      <c r="AE1749" t="s">
        <v>4532</v>
      </c>
      <c r="AF1749" t="s">
        <v>48</v>
      </c>
      <c r="AG1749" t="s">
        <v>48</v>
      </c>
      <c r="AH1749" t="s">
        <v>48</v>
      </c>
      <c r="AI1749" t="s">
        <v>48</v>
      </c>
      <c r="AJ1749" t="s">
        <v>48</v>
      </c>
      <c r="AK1749" t="s">
        <v>48</v>
      </c>
      <c r="AL1749" t="s">
        <v>48</v>
      </c>
      <c r="AM1749" t="s">
        <v>48</v>
      </c>
      <c r="AN1749" t="s">
        <v>48</v>
      </c>
      <c r="AO1749" t="s">
        <v>48</v>
      </c>
      <c r="AP1749" s="46">
        <v>0</v>
      </c>
      <c r="AQ1749" s="46">
        <v>0</v>
      </c>
      <c r="AR1749" s="46">
        <v>0</v>
      </c>
      <c r="AS1749" s="46">
        <v>0</v>
      </c>
      <c r="AT1749" s="46">
        <v>0</v>
      </c>
      <c r="AU1749" s="46">
        <v>0</v>
      </c>
      <c r="AV1749" s="46">
        <v>0</v>
      </c>
      <c r="AW1749" s="46">
        <v>0</v>
      </c>
      <c r="AX1749" s="46">
        <v>0</v>
      </c>
      <c r="AY1749" s="46">
        <v>0</v>
      </c>
      <c r="AZ1749" s="46">
        <v>0</v>
      </c>
      <c r="BA1749" s="46">
        <v>0</v>
      </c>
      <c r="BB1749" s="46">
        <v>0</v>
      </c>
      <c r="BC1749" s="46">
        <v>0</v>
      </c>
      <c r="BD1749" s="46">
        <v>0</v>
      </c>
      <c r="BE1749" s="46">
        <v>0</v>
      </c>
      <c r="BF1749" s="46">
        <v>0</v>
      </c>
      <c r="BG1749" s="46" t="s">
        <v>48</v>
      </c>
      <c r="BH1749" s="46">
        <v>0</v>
      </c>
      <c r="BI1749" s="46">
        <v>0</v>
      </c>
      <c r="BJ1749" s="46">
        <v>0</v>
      </c>
      <c r="BK1749" s="46">
        <v>0</v>
      </c>
      <c r="BL1749" s="46">
        <v>0</v>
      </c>
      <c r="BM1749" s="46">
        <v>0</v>
      </c>
      <c r="BN1749" s="46">
        <v>0</v>
      </c>
    </row>
    <row r="1750" spans="1:66" x14ac:dyDescent="0.35">
      <c r="A1750" t="s">
        <v>10138</v>
      </c>
      <c r="B1750" s="44" t="s">
        <v>48</v>
      </c>
      <c r="C1750" t="s">
        <v>11971</v>
      </c>
      <c r="D1750" t="s">
        <v>429</v>
      </c>
      <c r="E1750" t="s">
        <v>10139</v>
      </c>
      <c r="F1750" t="s">
        <v>3585</v>
      </c>
      <c r="G1750" t="s">
        <v>74</v>
      </c>
      <c r="H1750">
        <v>0</v>
      </c>
      <c r="I1750" s="61">
        <v>44783</v>
      </c>
      <c r="J1750" s="33" t="s">
        <v>45</v>
      </c>
      <c r="K1750" s="46">
        <v>0</v>
      </c>
      <c r="L1750">
        <v>9.3000000000000007</v>
      </c>
      <c r="M1750" t="s">
        <v>48</v>
      </c>
      <c r="N1750" s="46">
        <v>0</v>
      </c>
      <c r="O1750" s="46">
        <v>0</v>
      </c>
      <c r="P1750" s="46">
        <v>0</v>
      </c>
      <c r="Q1750" t="s">
        <v>48</v>
      </c>
      <c r="R1750" t="s">
        <v>48</v>
      </c>
      <c r="S1750" t="s">
        <v>10140</v>
      </c>
      <c r="T1750" t="s">
        <v>48</v>
      </c>
      <c r="U1750" t="s">
        <v>10140</v>
      </c>
      <c r="V1750" s="47">
        <v>1</v>
      </c>
      <c r="W1750" t="s">
        <v>11317</v>
      </c>
      <c r="X1750" t="s">
        <v>48</v>
      </c>
      <c r="Y1750" t="s">
        <v>48</v>
      </c>
      <c r="Z1750" t="s">
        <v>48</v>
      </c>
      <c r="AA1750" t="s">
        <v>48</v>
      </c>
      <c r="AB1750" t="s">
        <v>48</v>
      </c>
      <c r="AC1750" t="s">
        <v>49</v>
      </c>
      <c r="AD1750" t="s">
        <v>48</v>
      </c>
      <c r="AE1750" t="s">
        <v>48</v>
      </c>
      <c r="AF1750" t="s">
        <v>48</v>
      </c>
      <c r="AG1750" t="s">
        <v>48</v>
      </c>
      <c r="AH1750" t="s">
        <v>48</v>
      </c>
      <c r="AI1750" t="s">
        <v>48</v>
      </c>
      <c r="AJ1750" t="s">
        <v>48</v>
      </c>
      <c r="AK1750" t="s">
        <v>48</v>
      </c>
      <c r="AL1750" t="s">
        <v>48</v>
      </c>
      <c r="AM1750" t="s">
        <v>48</v>
      </c>
      <c r="AN1750" t="s">
        <v>48</v>
      </c>
      <c r="AO1750" t="s">
        <v>48</v>
      </c>
      <c r="AP1750" s="46">
        <v>0</v>
      </c>
      <c r="AQ1750" s="46">
        <v>0</v>
      </c>
      <c r="AR1750" s="46">
        <v>0</v>
      </c>
      <c r="AS1750" s="46">
        <v>0</v>
      </c>
      <c r="AT1750" s="46">
        <v>0</v>
      </c>
      <c r="AU1750" s="46">
        <v>0</v>
      </c>
      <c r="AV1750" s="46">
        <v>0</v>
      </c>
      <c r="AW1750" s="46">
        <v>0</v>
      </c>
      <c r="AX1750" s="46">
        <v>0</v>
      </c>
      <c r="AY1750" s="46">
        <v>0</v>
      </c>
      <c r="AZ1750" s="46">
        <v>0</v>
      </c>
      <c r="BA1750" s="46">
        <v>0</v>
      </c>
      <c r="BB1750" s="46">
        <v>0</v>
      </c>
      <c r="BC1750" s="46">
        <v>0</v>
      </c>
      <c r="BD1750" s="46">
        <v>0</v>
      </c>
      <c r="BE1750" s="46">
        <v>0</v>
      </c>
      <c r="BF1750" s="46">
        <v>0</v>
      </c>
      <c r="BG1750" s="46" t="s">
        <v>48</v>
      </c>
      <c r="BH1750" s="46">
        <v>0</v>
      </c>
      <c r="BI1750" s="46">
        <v>0</v>
      </c>
      <c r="BJ1750" s="46">
        <v>0</v>
      </c>
      <c r="BK1750" s="46">
        <v>0</v>
      </c>
      <c r="BL1750" s="46">
        <v>0</v>
      </c>
      <c r="BM1750" s="46">
        <v>0</v>
      </c>
      <c r="BN1750" s="46">
        <v>0</v>
      </c>
    </row>
    <row r="1751" spans="1:66" x14ac:dyDescent="0.35">
      <c r="A1751" t="s">
        <v>10141</v>
      </c>
      <c r="B1751" s="44" t="s">
        <v>48</v>
      </c>
      <c r="C1751" t="s">
        <v>11972</v>
      </c>
      <c r="D1751" t="s">
        <v>518</v>
      </c>
      <c r="E1751" t="s">
        <v>10142</v>
      </c>
      <c r="F1751" t="s">
        <v>3585</v>
      </c>
      <c r="G1751" t="s">
        <v>74</v>
      </c>
      <c r="H1751">
        <v>0</v>
      </c>
      <c r="I1751" s="61">
        <v>44783</v>
      </c>
      <c r="J1751" s="33" t="s">
        <v>45</v>
      </c>
      <c r="K1751" s="46">
        <v>0</v>
      </c>
      <c r="L1751">
        <v>6.5</v>
      </c>
      <c r="M1751" t="s">
        <v>48</v>
      </c>
      <c r="N1751" s="46">
        <v>0</v>
      </c>
      <c r="O1751" s="46">
        <v>0</v>
      </c>
      <c r="P1751" s="46">
        <v>0</v>
      </c>
      <c r="Q1751" t="s">
        <v>48</v>
      </c>
      <c r="R1751" t="s">
        <v>48</v>
      </c>
      <c r="S1751" t="s">
        <v>10143</v>
      </c>
      <c r="T1751" t="s">
        <v>48</v>
      </c>
      <c r="U1751" t="s">
        <v>10143</v>
      </c>
      <c r="V1751" s="47">
        <v>0</v>
      </c>
      <c r="W1751" t="s">
        <v>48</v>
      </c>
      <c r="X1751" t="s">
        <v>48</v>
      </c>
      <c r="Y1751" t="s">
        <v>48</v>
      </c>
      <c r="Z1751" t="s">
        <v>48</v>
      </c>
      <c r="AA1751" t="s">
        <v>48</v>
      </c>
      <c r="AB1751" t="s">
        <v>48</v>
      </c>
      <c r="AC1751" t="s">
        <v>49</v>
      </c>
      <c r="AD1751" t="s">
        <v>93</v>
      </c>
      <c r="AE1751" t="s">
        <v>4532</v>
      </c>
      <c r="AF1751" t="s">
        <v>48</v>
      </c>
      <c r="AG1751" t="s">
        <v>48</v>
      </c>
      <c r="AH1751" t="s">
        <v>48</v>
      </c>
      <c r="AI1751" t="s">
        <v>48</v>
      </c>
      <c r="AJ1751" t="s">
        <v>48</v>
      </c>
      <c r="AK1751" t="s">
        <v>48</v>
      </c>
      <c r="AL1751" t="s">
        <v>48</v>
      </c>
      <c r="AM1751" t="s">
        <v>48</v>
      </c>
      <c r="AN1751" t="s">
        <v>48</v>
      </c>
      <c r="AO1751" t="s">
        <v>48</v>
      </c>
      <c r="AP1751" s="46">
        <v>0</v>
      </c>
      <c r="AQ1751" s="46">
        <v>0</v>
      </c>
      <c r="AR1751" s="46">
        <v>0</v>
      </c>
      <c r="AS1751" s="46">
        <v>0</v>
      </c>
      <c r="AT1751" s="46">
        <v>0</v>
      </c>
      <c r="AU1751" s="46">
        <v>0</v>
      </c>
      <c r="AV1751" s="46">
        <v>0</v>
      </c>
      <c r="AW1751" s="46">
        <v>0</v>
      </c>
      <c r="AX1751" s="46">
        <v>0</v>
      </c>
      <c r="AY1751" s="46">
        <v>0</v>
      </c>
      <c r="AZ1751" s="46">
        <v>0</v>
      </c>
      <c r="BA1751" s="46">
        <v>0</v>
      </c>
      <c r="BB1751" s="46">
        <v>0</v>
      </c>
      <c r="BC1751" s="46">
        <v>0</v>
      </c>
      <c r="BD1751" s="46">
        <v>0</v>
      </c>
      <c r="BE1751" s="46">
        <v>0</v>
      </c>
      <c r="BF1751" s="46">
        <v>0</v>
      </c>
      <c r="BG1751" s="46" t="s">
        <v>48</v>
      </c>
      <c r="BH1751" s="46">
        <v>0</v>
      </c>
      <c r="BI1751" s="46">
        <v>0</v>
      </c>
      <c r="BJ1751" s="46">
        <v>0</v>
      </c>
      <c r="BK1751" s="46">
        <v>0</v>
      </c>
      <c r="BL1751" s="46">
        <v>0</v>
      </c>
      <c r="BM1751" s="46">
        <v>0</v>
      </c>
      <c r="BN1751" s="46">
        <v>0</v>
      </c>
    </row>
    <row r="1752" spans="1:66" x14ac:dyDescent="0.35">
      <c r="A1752" t="s">
        <v>3574</v>
      </c>
      <c r="B1752" s="44" t="s">
        <v>48</v>
      </c>
      <c r="C1752" t="s">
        <v>3576</v>
      </c>
      <c r="D1752" t="s">
        <v>1402</v>
      </c>
      <c r="E1752" t="s">
        <v>10147</v>
      </c>
      <c r="F1752" t="s">
        <v>3585</v>
      </c>
      <c r="G1752" t="s">
        <v>47</v>
      </c>
      <c r="H1752">
        <v>0</v>
      </c>
      <c r="I1752" s="61">
        <v>44783</v>
      </c>
      <c r="J1752" s="33" t="s">
        <v>45</v>
      </c>
      <c r="K1752" s="46">
        <v>0</v>
      </c>
      <c r="L1752">
        <v>22.7</v>
      </c>
      <c r="M1752" t="s">
        <v>48</v>
      </c>
      <c r="N1752" s="46">
        <v>0</v>
      </c>
      <c r="O1752" s="46">
        <v>0</v>
      </c>
      <c r="P1752" s="46">
        <v>0</v>
      </c>
      <c r="Q1752" t="s">
        <v>48</v>
      </c>
      <c r="R1752" t="s">
        <v>48</v>
      </c>
      <c r="S1752" t="s">
        <v>3575</v>
      </c>
      <c r="T1752" t="s">
        <v>48</v>
      </c>
      <c r="U1752" t="s">
        <v>3575</v>
      </c>
      <c r="V1752" s="47">
        <v>1</v>
      </c>
      <c r="W1752" t="s">
        <v>48</v>
      </c>
      <c r="X1752" t="s">
        <v>48</v>
      </c>
      <c r="Y1752" t="s">
        <v>48</v>
      </c>
      <c r="Z1752">
        <v>0</v>
      </c>
      <c r="AA1752" t="s">
        <v>48</v>
      </c>
      <c r="AB1752" t="s">
        <v>48</v>
      </c>
      <c r="AC1752" t="s">
        <v>49</v>
      </c>
      <c r="AD1752" t="s">
        <v>93</v>
      </c>
      <c r="AE1752" t="s">
        <v>4532</v>
      </c>
      <c r="AF1752" t="s">
        <v>48</v>
      </c>
      <c r="AG1752" t="s">
        <v>48</v>
      </c>
      <c r="AH1752" t="s">
        <v>48</v>
      </c>
      <c r="AI1752" t="s">
        <v>48</v>
      </c>
      <c r="AJ1752" t="s">
        <v>48</v>
      </c>
      <c r="AK1752" t="s">
        <v>48</v>
      </c>
      <c r="AL1752" t="s">
        <v>48</v>
      </c>
      <c r="AM1752" t="s">
        <v>48</v>
      </c>
      <c r="AN1752" t="s">
        <v>48</v>
      </c>
      <c r="AO1752" t="s">
        <v>48</v>
      </c>
      <c r="AP1752" s="46">
        <v>0</v>
      </c>
      <c r="AQ1752" s="46">
        <v>0</v>
      </c>
      <c r="AR1752" s="46">
        <v>0</v>
      </c>
      <c r="AS1752" s="46">
        <v>0</v>
      </c>
      <c r="AT1752" s="46">
        <v>0</v>
      </c>
      <c r="AU1752" s="46">
        <v>0</v>
      </c>
      <c r="AV1752" s="46">
        <v>0</v>
      </c>
      <c r="AW1752" s="46">
        <v>0</v>
      </c>
      <c r="AX1752" s="46">
        <v>0</v>
      </c>
      <c r="AY1752" s="46">
        <v>0</v>
      </c>
      <c r="AZ1752" s="46">
        <v>0</v>
      </c>
      <c r="BA1752" s="46">
        <v>0</v>
      </c>
      <c r="BB1752" s="46">
        <v>0</v>
      </c>
      <c r="BC1752" s="46">
        <v>0</v>
      </c>
      <c r="BD1752" s="46">
        <v>0</v>
      </c>
      <c r="BE1752" s="46">
        <v>0</v>
      </c>
      <c r="BF1752" s="46">
        <v>0</v>
      </c>
      <c r="BG1752" s="46" t="s">
        <v>48</v>
      </c>
      <c r="BH1752" s="46">
        <v>0</v>
      </c>
      <c r="BI1752" s="46">
        <v>0</v>
      </c>
      <c r="BJ1752" s="46">
        <v>0</v>
      </c>
      <c r="BK1752" s="46">
        <v>0</v>
      </c>
      <c r="BL1752" s="46">
        <v>0</v>
      </c>
      <c r="BM1752" s="46">
        <v>0</v>
      </c>
      <c r="BN1752" s="46">
        <v>0</v>
      </c>
    </row>
    <row r="1753" spans="1:66" x14ac:dyDescent="0.35">
      <c r="A1753" t="s">
        <v>10148</v>
      </c>
      <c r="B1753" s="44" t="s">
        <v>48</v>
      </c>
      <c r="C1753" t="s">
        <v>2140</v>
      </c>
      <c r="D1753" t="s">
        <v>253</v>
      </c>
      <c r="E1753" t="s">
        <v>10149</v>
      </c>
      <c r="F1753" t="s">
        <v>3585</v>
      </c>
      <c r="G1753" t="s">
        <v>47</v>
      </c>
      <c r="H1753">
        <v>0</v>
      </c>
      <c r="I1753" s="61">
        <v>44783</v>
      </c>
      <c r="J1753" s="33" t="s">
        <v>45</v>
      </c>
      <c r="K1753" s="46">
        <v>0</v>
      </c>
      <c r="L1753">
        <v>12.9</v>
      </c>
      <c r="M1753" t="s">
        <v>48</v>
      </c>
      <c r="N1753" s="46">
        <v>0</v>
      </c>
      <c r="O1753" s="46">
        <v>0</v>
      </c>
      <c r="P1753" s="46">
        <v>0</v>
      </c>
      <c r="Q1753" t="s">
        <v>48</v>
      </c>
      <c r="R1753" t="s">
        <v>48</v>
      </c>
      <c r="S1753" t="s">
        <v>48</v>
      </c>
      <c r="T1753" t="s">
        <v>48</v>
      </c>
      <c r="U1753" t="s">
        <v>48</v>
      </c>
      <c r="V1753" s="47">
        <v>0</v>
      </c>
      <c r="W1753" t="s">
        <v>48</v>
      </c>
      <c r="X1753" t="s">
        <v>48</v>
      </c>
      <c r="Y1753" t="s">
        <v>48</v>
      </c>
      <c r="Z1753" t="s">
        <v>48</v>
      </c>
      <c r="AA1753" t="s">
        <v>48</v>
      </c>
      <c r="AB1753" t="s">
        <v>48</v>
      </c>
      <c r="AC1753" t="s">
        <v>49</v>
      </c>
      <c r="AD1753" t="s">
        <v>48</v>
      </c>
      <c r="AE1753" t="s">
        <v>48</v>
      </c>
      <c r="AF1753" t="s">
        <v>48</v>
      </c>
      <c r="AG1753" t="s">
        <v>48</v>
      </c>
      <c r="AH1753" t="s">
        <v>48</v>
      </c>
      <c r="AI1753" t="s">
        <v>48</v>
      </c>
      <c r="AJ1753" t="s">
        <v>48</v>
      </c>
      <c r="AK1753" t="s">
        <v>48</v>
      </c>
      <c r="AL1753" t="s">
        <v>48</v>
      </c>
      <c r="AM1753" t="s">
        <v>48</v>
      </c>
      <c r="AN1753" t="s">
        <v>48</v>
      </c>
      <c r="AO1753" t="s">
        <v>48</v>
      </c>
      <c r="AP1753" s="46">
        <v>0</v>
      </c>
      <c r="AQ1753" s="46">
        <v>0</v>
      </c>
      <c r="AR1753" s="46">
        <v>0</v>
      </c>
      <c r="AS1753" s="46">
        <v>0</v>
      </c>
      <c r="AT1753" s="46">
        <v>0</v>
      </c>
      <c r="AU1753" s="46">
        <v>0</v>
      </c>
      <c r="AV1753" s="46">
        <v>0</v>
      </c>
      <c r="AW1753" s="46">
        <v>0</v>
      </c>
      <c r="AX1753" s="46">
        <v>0</v>
      </c>
      <c r="AY1753" s="46">
        <v>0</v>
      </c>
      <c r="AZ1753" s="46">
        <v>0</v>
      </c>
      <c r="BA1753" s="46">
        <v>0</v>
      </c>
      <c r="BB1753" s="46">
        <v>0</v>
      </c>
      <c r="BC1753" s="46">
        <v>0</v>
      </c>
      <c r="BD1753" s="46">
        <v>0</v>
      </c>
      <c r="BE1753" s="46">
        <v>0</v>
      </c>
      <c r="BF1753" s="46">
        <v>0</v>
      </c>
      <c r="BG1753" s="46" t="s">
        <v>48</v>
      </c>
      <c r="BH1753" s="46">
        <v>0</v>
      </c>
      <c r="BI1753" s="46">
        <v>0</v>
      </c>
      <c r="BJ1753" s="46">
        <v>0</v>
      </c>
      <c r="BK1753" s="46">
        <v>0</v>
      </c>
      <c r="BL1753" s="46">
        <v>0</v>
      </c>
      <c r="BM1753" s="46">
        <v>0</v>
      </c>
      <c r="BN1753" s="46">
        <v>0</v>
      </c>
    </row>
    <row r="1754" spans="1:66" x14ac:dyDescent="0.35">
      <c r="A1754" t="s">
        <v>3603</v>
      </c>
      <c r="B1754" s="44" t="s">
        <v>48</v>
      </c>
      <c r="C1754" t="s">
        <v>1120</v>
      </c>
      <c r="D1754" t="s">
        <v>1981</v>
      </c>
      <c r="E1754" t="s">
        <v>3605</v>
      </c>
      <c r="F1754" t="s">
        <v>3604</v>
      </c>
      <c r="G1754" t="s">
        <v>74</v>
      </c>
      <c r="H1754">
        <v>0</v>
      </c>
      <c r="I1754" s="60" t="s">
        <v>149</v>
      </c>
      <c r="J1754" s="33" t="s">
        <v>45</v>
      </c>
      <c r="K1754" s="46">
        <v>0</v>
      </c>
      <c r="L1754">
        <v>5.6</v>
      </c>
      <c r="M1754" t="s">
        <v>48</v>
      </c>
      <c r="N1754" s="46">
        <v>0</v>
      </c>
      <c r="O1754" s="46">
        <v>0</v>
      </c>
      <c r="P1754" s="46">
        <v>0</v>
      </c>
      <c r="Q1754" t="s">
        <v>48</v>
      </c>
      <c r="R1754" t="s">
        <v>48</v>
      </c>
      <c r="S1754" t="s">
        <v>10150</v>
      </c>
      <c r="T1754" t="s">
        <v>48</v>
      </c>
      <c r="U1754" t="s">
        <v>10150</v>
      </c>
      <c r="V1754" s="47">
        <v>0</v>
      </c>
      <c r="W1754" t="s">
        <v>48</v>
      </c>
      <c r="X1754" t="s">
        <v>48</v>
      </c>
      <c r="Y1754" t="s">
        <v>48</v>
      </c>
      <c r="Z1754">
        <v>0</v>
      </c>
      <c r="AA1754" t="s">
        <v>48</v>
      </c>
      <c r="AB1754" t="s">
        <v>48</v>
      </c>
      <c r="AC1754" t="s">
        <v>63</v>
      </c>
      <c r="AD1754" t="s">
        <v>93</v>
      </c>
      <c r="AE1754" s="40" t="s">
        <v>2471</v>
      </c>
      <c r="AF1754" t="s">
        <v>11061</v>
      </c>
      <c r="AG1754" t="s">
        <v>48</v>
      </c>
      <c r="AH1754" t="s">
        <v>48</v>
      </c>
      <c r="AI1754" t="s">
        <v>48</v>
      </c>
      <c r="AJ1754" t="s">
        <v>48</v>
      </c>
      <c r="AK1754" t="s">
        <v>48</v>
      </c>
      <c r="AL1754" t="s">
        <v>48</v>
      </c>
      <c r="AM1754" t="s">
        <v>48</v>
      </c>
      <c r="AN1754" t="s">
        <v>48</v>
      </c>
      <c r="AO1754" t="s">
        <v>48</v>
      </c>
      <c r="AP1754" s="46">
        <v>0</v>
      </c>
      <c r="AQ1754" s="46">
        <v>0</v>
      </c>
      <c r="AR1754" s="46">
        <v>0</v>
      </c>
      <c r="AS1754" s="46">
        <v>0</v>
      </c>
      <c r="AT1754" s="46">
        <v>0</v>
      </c>
      <c r="AU1754" s="46">
        <v>0</v>
      </c>
      <c r="AV1754" s="46">
        <v>0</v>
      </c>
      <c r="AW1754" s="46">
        <v>0</v>
      </c>
      <c r="AX1754" s="46">
        <v>0</v>
      </c>
      <c r="AY1754" s="46">
        <v>0</v>
      </c>
      <c r="AZ1754" s="46">
        <v>0</v>
      </c>
      <c r="BA1754" s="46">
        <v>0</v>
      </c>
      <c r="BB1754" s="46">
        <v>0</v>
      </c>
      <c r="BC1754" s="46">
        <v>0</v>
      </c>
      <c r="BD1754" s="46">
        <v>0</v>
      </c>
      <c r="BE1754" s="46">
        <v>0</v>
      </c>
      <c r="BF1754" s="46">
        <v>0</v>
      </c>
      <c r="BG1754" s="46" t="s">
        <v>48</v>
      </c>
      <c r="BH1754" s="46">
        <v>0</v>
      </c>
      <c r="BI1754" s="46">
        <v>0</v>
      </c>
      <c r="BJ1754" s="46">
        <v>0</v>
      </c>
      <c r="BK1754" s="46">
        <v>0</v>
      </c>
      <c r="BL1754" s="46">
        <v>0</v>
      </c>
      <c r="BM1754" s="46">
        <v>0</v>
      </c>
      <c r="BN1754" s="46">
        <v>0</v>
      </c>
    </row>
    <row r="1755" spans="1:66" x14ac:dyDescent="0.35">
      <c r="A1755" t="s">
        <v>3608</v>
      </c>
      <c r="B1755" s="44" t="s">
        <v>48</v>
      </c>
      <c r="C1755" t="s">
        <v>3611</v>
      </c>
      <c r="D1755" t="s">
        <v>241</v>
      </c>
      <c r="E1755" t="s">
        <v>3609</v>
      </c>
      <c r="F1755" t="s">
        <v>3604</v>
      </c>
      <c r="G1755" t="s">
        <v>74</v>
      </c>
      <c r="H1755">
        <v>0</v>
      </c>
      <c r="I1755" s="60" t="s">
        <v>125</v>
      </c>
      <c r="J1755" s="33" t="s">
        <v>45</v>
      </c>
      <c r="K1755" s="46">
        <v>0</v>
      </c>
      <c r="L1755">
        <v>35.1</v>
      </c>
      <c r="M1755" t="s">
        <v>48</v>
      </c>
      <c r="N1755" s="46">
        <v>0</v>
      </c>
      <c r="O1755" s="46">
        <v>0</v>
      </c>
      <c r="P1755" s="46">
        <v>0</v>
      </c>
      <c r="Q1755" t="s">
        <v>48</v>
      </c>
      <c r="R1755" t="s">
        <v>48</v>
      </c>
      <c r="S1755" t="s">
        <v>3610</v>
      </c>
      <c r="T1755" t="s">
        <v>48</v>
      </c>
      <c r="U1755" t="s">
        <v>3610</v>
      </c>
      <c r="V1755" s="47">
        <v>1</v>
      </c>
      <c r="W1755" t="s">
        <v>48</v>
      </c>
      <c r="X1755" t="s">
        <v>48</v>
      </c>
      <c r="Y1755" t="s">
        <v>48</v>
      </c>
      <c r="Z1755">
        <v>0</v>
      </c>
      <c r="AA1755" t="s">
        <v>48</v>
      </c>
      <c r="AB1755" t="s">
        <v>48</v>
      </c>
      <c r="AC1755" t="s">
        <v>63</v>
      </c>
      <c r="AD1755" t="s">
        <v>93</v>
      </c>
      <c r="AE1755" s="40" t="s">
        <v>2471</v>
      </c>
      <c r="AF1755" t="s">
        <v>11061</v>
      </c>
      <c r="AG1755" t="s">
        <v>48</v>
      </c>
      <c r="AH1755" t="s">
        <v>48</v>
      </c>
      <c r="AI1755" t="s">
        <v>48</v>
      </c>
      <c r="AJ1755" t="s">
        <v>48</v>
      </c>
      <c r="AK1755" t="s">
        <v>48</v>
      </c>
      <c r="AL1755" t="s">
        <v>48</v>
      </c>
      <c r="AM1755" t="s">
        <v>48</v>
      </c>
      <c r="AN1755" t="s">
        <v>48</v>
      </c>
      <c r="AO1755" t="s">
        <v>48</v>
      </c>
      <c r="AP1755" s="46">
        <v>0</v>
      </c>
      <c r="AQ1755" s="46">
        <v>0</v>
      </c>
      <c r="AR1755" s="46">
        <v>0</v>
      </c>
      <c r="AS1755" s="46">
        <v>0</v>
      </c>
      <c r="AT1755" s="46">
        <v>0</v>
      </c>
      <c r="AU1755" s="46">
        <v>0</v>
      </c>
      <c r="AV1755" s="46">
        <v>0</v>
      </c>
      <c r="AW1755" s="46">
        <v>0</v>
      </c>
      <c r="AX1755" s="46">
        <v>0</v>
      </c>
      <c r="AY1755" s="46">
        <v>0</v>
      </c>
      <c r="AZ1755" s="46">
        <v>0</v>
      </c>
      <c r="BA1755" s="46">
        <v>0</v>
      </c>
      <c r="BB1755" s="46">
        <v>0</v>
      </c>
      <c r="BC1755" s="46">
        <v>0</v>
      </c>
      <c r="BD1755" s="46">
        <v>0</v>
      </c>
      <c r="BE1755" s="46">
        <v>0</v>
      </c>
      <c r="BF1755" s="46">
        <v>0</v>
      </c>
      <c r="BG1755" s="46" t="s">
        <v>48</v>
      </c>
      <c r="BH1755" s="46">
        <v>0</v>
      </c>
      <c r="BI1755" s="46">
        <v>0</v>
      </c>
      <c r="BJ1755" s="46">
        <v>0</v>
      </c>
      <c r="BK1755" s="46">
        <v>0</v>
      </c>
      <c r="BL1755" s="46">
        <v>0</v>
      </c>
      <c r="BM1755" s="46">
        <v>0</v>
      </c>
      <c r="BN1755" s="46">
        <v>0</v>
      </c>
    </row>
    <row r="1756" spans="1:66" x14ac:dyDescent="0.35">
      <c r="A1756" t="s">
        <v>10160</v>
      </c>
      <c r="B1756" s="44" t="s">
        <v>48</v>
      </c>
      <c r="C1756" t="s">
        <v>11974</v>
      </c>
      <c r="D1756" t="s">
        <v>1005</v>
      </c>
      <c r="E1756" t="s">
        <v>10161</v>
      </c>
      <c r="F1756" t="s">
        <v>3604</v>
      </c>
      <c r="G1756" t="s">
        <v>47</v>
      </c>
      <c r="H1756">
        <v>0</v>
      </c>
      <c r="I1756" s="61">
        <v>44783</v>
      </c>
      <c r="J1756" s="33" t="s">
        <v>45</v>
      </c>
      <c r="K1756" s="46">
        <v>0</v>
      </c>
      <c r="L1756">
        <v>14.3</v>
      </c>
      <c r="M1756" t="s">
        <v>48</v>
      </c>
      <c r="N1756" s="46">
        <v>0</v>
      </c>
      <c r="O1756" s="46">
        <v>0</v>
      </c>
      <c r="P1756" s="46">
        <v>0</v>
      </c>
      <c r="Q1756" t="s">
        <v>48</v>
      </c>
      <c r="R1756" t="s">
        <v>48</v>
      </c>
      <c r="S1756" t="s">
        <v>48</v>
      </c>
      <c r="T1756" t="s">
        <v>48</v>
      </c>
      <c r="U1756" t="s">
        <v>48</v>
      </c>
      <c r="V1756" s="47">
        <v>1</v>
      </c>
      <c r="W1756" t="s">
        <v>48</v>
      </c>
      <c r="X1756" t="s">
        <v>48</v>
      </c>
      <c r="Y1756" t="s">
        <v>48</v>
      </c>
      <c r="Z1756" t="s">
        <v>48</v>
      </c>
      <c r="AA1756" t="s">
        <v>48</v>
      </c>
      <c r="AB1756" t="s">
        <v>48</v>
      </c>
      <c r="AC1756" t="s">
        <v>49</v>
      </c>
      <c r="AD1756" t="s">
        <v>48</v>
      </c>
      <c r="AE1756" s="40" t="s">
        <v>48</v>
      </c>
      <c r="AF1756" t="s">
        <v>48</v>
      </c>
      <c r="AG1756" t="s">
        <v>48</v>
      </c>
      <c r="AH1756" t="s">
        <v>48</v>
      </c>
      <c r="AI1756" t="s">
        <v>48</v>
      </c>
      <c r="AJ1756" t="s">
        <v>48</v>
      </c>
      <c r="AK1756" t="s">
        <v>48</v>
      </c>
      <c r="AL1756" t="s">
        <v>48</v>
      </c>
      <c r="AM1756" t="s">
        <v>48</v>
      </c>
      <c r="AN1756" t="s">
        <v>48</v>
      </c>
      <c r="AO1756" t="s">
        <v>48</v>
      </c>
      <c r="AP1756" s="46">
        <v>0</v>
      </c>
      <c r="AQ1756" s="46">
        <v>0</v>
      </c>
      <c r="AR1756" s="46">
        <v>0</v>
      </c>
      <c r="AS1756" s="46">
        <v>0</v>
      </c>
      <c r="AT1756" s="46">
        <v>0</v>
      </c>
      <c r="AU1756" s="46">
        <v>0</v>
      </c>
      <c r="AV1756" s="46">
        <v>0</v>
      </c>
      <c r="AW1756" s="46">
        <v>0</v>
      </c>
      <c r="AX1756" s="46">
        <v>0</v>
      </c>
      <c r="AY1756" s="46">
        <v>0</v>
      </c>
      <c r="AZ1756" s="46">
        <v>0</v>
      </c>
      <c r="BA1756" s="46">
        <v>0</v>
      </c>
      <c r="BB1756" s="46">
        <v>0</v>
      </c>
      <c r="BC1756" s="46">
        <v>0</v>
      </c>
      <c r="BD1756" s="46">
        <v>0</v>
      </c>
      <c r="BE1756" s="46">
        <v>0</v>
      </c>
      <c r="BF1756" s="46">
        <v>0</v>
      </c>
      <c r="BG1756" s="46" t="s">
        <v>48</v>
      </c>
      <c r="BH1756" s="46">
        <v>0</v>
      </c>
      <c r="BI1756" s="46">
        <v>0</v>
      </c>
      <c r="BJ1756" s="46">
        <v>0</v>
      </c>
      <c r="BK1756" s="46">
        <v>0</v>
      </c>
      <c r="BL1756" s="46">
        <v>0</v>
      </c>
      <c r="BM1756" s="46">
        <v>0</v>
      </c>
      <c r="BN1756" s="46">
        <v>0</v>
      </c>
    </row>
    <row r="1757" spans="1:66" x14ac:dyDescent="0.35">
      <c r="A1757" t="s">
        <v>10158</v>
      </c>
      <c r="B1757" s="44" t="s">
        <v>48</v>
      </c>
      <c r="C1757" t="s">
        <v>2514</v>
      </c>
      <c r="D1757" t="s">
        <v>1783</v>
      </c>
      <c r="E1757" t="s">
        <v>10159</v>
      </c>
      <c r="F1757" t="s">
        <v>3604</v>
      </c>
      <c r="G1757" t="s">
        <v>47</v>
      </c>
      <c r="H1757">
        <v>0</v>
      </c>
      <c r="I1757" s="61">
        <v>44783</v>
      </c>
      <c r="J1757" s="33" t="s">
        <v>45</v>
      </c>
      <c r="K1757" s="46">
        <v>0</v>
      </c>
      <c r="L1757">
        <v>26.8</v>
      </c>
      <c r="M1757" t="s">
        <v>48</v>
      </c>
      <c r="N1757" s="46">
        <v>0</v>
      </c>
      <c r="O1757" s="46">
        <v>0</v>
      </c>
      <c r="P1757" s="46">
        <v>0</v>
      </c>
      <c r="Q1757" t="s">
        <v>48</v>
      </c>
      <c r="R1757" t="s">
        <v>48</v>
      </c>
      <c r="S1757" t="s">
        <v>48</v>
      </c>
      <c r="T1757" t="s">
        <v>48</v>
      </c>
      <c r="U1757" t="s">
        <v>48</v>
      </c>
      <c r="V1757" s="47">
        <v>1</v>
      </c>
      <c r="W1757" t="s">
        <v>11264</v>
      </c>
      <c r="X1757" t="s">
        <v>48</v>
      </c>
      <c r="Y1757" t="s">
        <v>48</v>
      </c>
      <c r="Z1757" t="s">
        <v>48</v>
      </c>
      <c r="AA1757" t="s">
        <v>48</v>
      </c>
      <c r="AB1757" t="s">
        <v>48</v>
      </c>
      <c r="AC1757" t="s">
        <v>49</v>
      </c>
      <c r="AD1757" t="s">
        <v>93</v>
      </c>
      <c r="AE1757" s="40" t="s">
        <v>4532</v>
      </c>
      <c r="AF1757" t="s">
        <v>48</v>
      </c>
      <c r="AG1757" t="s">
        <v>48</v>
      </c>
      <c r="AH1757" t="s">
        <v>48</v>
      </c>
      <c r="AI1757" t="s">
        <v>48</v>
      </c>
      <c r="AJ1757" t="s">
        <v>48</v>
      </c>
      <c r="AK1757" t="s">
        <v>48</v>
      </c>
      <c r="AL1757" t="s">
        <v>48</v>
      </c>
      <c r="AM1757" t="s">
        <v>48</v>
      </c>
      <c r="AN1757" t="s">
        <v>48</v>
      </c>
      <c r="AO1757" t="s">
        <v>48</v>
      </c>
      <c r="AP1757" s="46">
        <v>0</v>
      </c>
      <c r="AQ1757" s="46">
        <v>0</v>
      </c>
      <c r="AR1757" s="46">
        <v>0</v>
      </c>
      <c r="AS1757" s="46">
        <v>0</v>
      </c>
      <c r="AT1757" s="46">
        <v>0</v>
      </c>
      <c r="AU1757" s="46">
        <v>0</v>
      </c>
      <c r="AV1757" s="46">
        <v>0</v>
      </c>
      <c r="AW1757" s="46">
        <v>0</v>
      </c>
      <c r="AX1757" s="46">
        <v>0</v>
      </c>
      <c r="AY1757" s="46">
        <v>0</v>
      </c>
      <c r="AZ1757" s="46">
        <v>0</v>
      </c>
      <c r="BA1757" s="46">
        <v>0</v>
      </c>
      <c r="BB1757" s="46">
        <v>0</v>
      </c>
      <c r="BC1757" s="46">
        <v>0</v>
      </c>
      <c r="BD1757" s="46">
        <v>0</v>
      </c>
      <c r="BE1757" s="46">
        <v>0</v>
      </c>
      <c r="BF1757" s="46">
        <v>0</v>
      </c>
      <c r="BG1757" s="46" t="s">
        <v>48</v>
      </c>
      <c r="BH1757" s="46">
        <v>0</v>
      </c>
      <c r="BI1757" s="46">
        <v>0</v>
      </c>
      <c r="BJ1757" s="46">
        <v>0</v>
      </c>
      <c r="BK1757" s="46">
        <v>0</v>
      </c>
      <c r="BL1757" s="46">
        <v>0</v>
      </c>
      <c r="BM1757" s="46">
        <v>0</v>
      </c>
      <c r="BN1757" s="46">
        <v>0</v>
      </c>
    </row>
    <row r="1758" spans="1:66" x14ac:dyDescent="0.35">
      <c r="A1758" t="s">
        <v>10156</v>
      </c>
      <c r="B1758" s="44" t="s">
        <v>48</v>
      </c>
      <c r="C1758" t="s">
        <v>789</v>
      </c>
      <c r="D1758" t="s">
        <v>1726</v>
      </c>
      <c r="E1758" t="s">
        <v>10157</v>
      </c>
      <c r="F1758" t="s">
        <v>3604</v>
      </c>
      <c r="G1758" t="s">
        <v>74</v>
      </c>
      <c r="H1758">
        <v>0</v>
      </c>
      <c r="I1758" s="61">
        <v>44783</v>
      </c>
      <c r="J1758" s="33" t="s">
        <v>45</v>
      </c>
      <c r="K1758" s="46">
        <v>0</v>
      </c>
      <c r="L1758">
        <v>1.2</v>
      </c>
      <c r="M1758" t="s">
        <v>48</v>
      </c>
      <c r="N1758" s="46">
        <v>0</v>
      </c>
      <c r="O1758" s="46">
        <v>0</v>
      </c>
      <c r="P1758" s="46">
        <v>0</v>
      </c>
      <c r="Q1758" t="s">
        <v>48</v>
      </c>
      <c r="R1758" t="s">
        <v>48</v>
      </c>
      <c r="S1758" t="s">
        <v>48</v>
      </c>
      <c r="T1758" t="s">
        <v>48</v>
      </c>
      <c r="U1758" t="s">
        <v>48</v>
      </c>
      <c r="V1758" s="47">
        <v>0</v>
      </c>
      <c r="W1758" t="s">
        <v>48</v>
      </c>
      <c r="X1758" t="s">
        <v>48</v>
      </c>
      <c r="Y1758" t="s">
        <v>48</v>
      </c>
      <c r="Z1758" t="s">
        <v>48</v>
      </c>
      <c r="AA1758" t="s">
        <v>48</v>
      </c>
      <c r="AB1758" t="s">
        <v>48</v>
      </c>
      <c r="AC1758" t="s">
        <v>49</v>
      </c>
      <c r="AD1758" t="s">
        <v>48</v>
      </c>
      <c r="AE1758" s="40" t="s">
        <v>48</v>
      </c>
      <c r="AF1758" t="s">
        <v>48</v>
      </c>
      <c r="AG1758" t="s">
        <v>48</v>
      </c>
      <c r="AH1758" t="s">
        <v>48</v>
      </c>
      <c r="AI1758" t="s">
        <v>48</v>
      </c>
      <c r="AJ1758" t="s">
        <v>48</v>
      </c>
      <c r="AK1758" t="s">
        <v>48</v>
      </c>
      <c r="AL1758" t="s">
        <v>48</v>
      </c>
      <c r="AM1758" t="s">
        <v>48</v>
      </c>
      <c r="AN1758" t="s">
        <v>48</v>
      </c>
      <c r="AO1758" t="s">
        <v>48</v>
      </c>
      <c r="AP1758" s="46">
        <v>0</v>
      </c>
      <c r="AQ1758" s="46">
        <v>0</v>
      </c>
      <c r="AR1758" s="46">
        <v>0</v>
      </c>
      <c r="AS1758" s="46">
        <v>0</v>
      </c>
      <c r="AT1758" s="46">
        <v>0</v>
      </c>
      <c r="AU1758" s="46">
        <v>0</v>
      </c>
      <c r="AV1758" s="46">
        <v>0</v>
      </c>
      <c r="AW1758" s="46">
        <v>0</v>
      </c>
      <c r="AX1758" s="46">
        <v>0</v>
      </c>
      <c r="AY1758" s="46">
        <v>0</v>
      </c>
      <c r="AZ1758" s="46">
        <v>0</v>
      </c>
      <c r="BA1758" s="46">
        <v>0</v>
      </c>
      <c r="BB1758" s="46">
        <v>0</v>
      </c>
      <c r="BC1758" s="46">
        <v>0</v>
      </c>
      <c r="BD1758" s="46">
        <v>0</v>
      </c>
      <c r="BE1758" s="46">
        <v>0</v>
      </c>
      <c r="BF1758" s="46">
        <v>0</v>
      </c>
      <c r="BG1758" s="46" t="s">
        <v>48</v>
      </c>
      <c r="BH1758" s="46">
        <v>0</v>
      </c>
      <c r="BI1758" s="46">
        <v>0</v>
      </c>
      <c r="BJ1758" s="46">
        <v>0</v>
      </c>
      <c r="BK1758" s="46">
        <v>0</v>
      </c>
      <c r="BL1758" s="46">
        <v>0</v>
      </c>
      <c r="BM1758" s="46">
        <v>0</v>
      </c>
      <c r="BN1758" s="46">
        <v>0</v>
      </c>
    </row>
    <row r="1759" spans="1:66" x14ac:dyDescent="0.35">
      <c r="A1759" t="s">
        <v>3606</v>
      </c>
      <c r="B1759" s="44" t="s">
        <v>48</v>
      </c>
      <c r="C1759" t="s">
        <v>3060</v>
      </c>
      <c r="D1759" t="s">
        <v>603</v>
      </c>
      <c r="E1759" t="s">
        <v>3607</v>
      </c>
      <c r="F1759" t="s">
        <v>3604</v>
      </c>
      <c r="G1759" t="s">
        <v>74</v>
      </c>
      <c r="H1759">
        <v>0</v>
      </c>
      <c r="I1759" s="60" t="s">
        <v>149</v>
      </c>
      <c r="J1759" s="33" t="s">
        <v>45</v>
      </c>
      <c r="K1759" s="46">
        <v>0</v>
      </c>
      <c r="L1759">
        <v>0.9</v>
      </c>
      <c r="M1759" t="s">
        <v>48</v>
      </c>
      <c r="N1759" s="46">
        <v>0</v>
      </c>
      <c r="O1759" s="46">
        <v>0</v>
      </c>
      <c r="P1759" s="46">
        <v>0</v>
      </c>
      <c r="Q1759" t="s">
        <v>48</v>
      </c>
      <c r="R1759" t="s">
        <v>48</v>
      </c>
      <c r="S1759" t="s">
        <v>10151</v>
      </c>
      <c r="T1759" t="s">
        <v>48</v>
      </c>
      <c r="U1759" t="s">
        <v>10151</v>
      </c>
      <c r="V1759" s="47">
        <v>0</v>
      </c>
      <c r="W1759" t="s">
        <v>48</v>
      </c>
      <c r="X1759" t="s">
        <v>48</v>
      </c>
      <c r="Y1759" t="s">
        <v>48</v>
      </c>
      <c r="Z1759">
        <v>0</v>
      </c>
      <c r="AA1759" t="s">
        <v>48</v>
      </c>
      <c r="AB1759" t="s">
        <v>48</v>
      </c>
      <c r="AC1759" t="s">
        <v>49</v>
      </c>
      <c r="AD1759" t="s">
        <v>93</v>
      </c>
      <c r="AE1759" s="40" t="s">
        <v>2471</v>
      </c>
      <c r="AF1759" t="s">
        <v>48</v>
      </c>
      <c r="AG1759" t="s">
        <v>48</v>
      </c>
      <c r="AH1759" t="s">
        <v>48</v>
      </c>
      <c r="AI1759" t="s">
        <v>48</v>
      </c>
      <c r="AJ1759" t="s">
        <v>48</v>
      </c>
      <c r="AK1759" t="s">
        <v>48</v>
      </c>
      <c r="AL1759" t="s">
        <v>48</v>
      </c>
      <c r="AM1759" t="s">
        <v>48</v>
      </c>
      <c r="AN1759" t="s">
        <v>48</v>
      </c>
      <c r="AO1759" t="s">
        <v>48</v>
      </c>
      <c r="AP1759" s="46">
        <v>0</v>
      </c>
      <c r="AQ1759" s="46">
        <v>0</v>
      </c>
      <c r="AR1759" s="46">
        <v>0</v>
      </c>
      <c r="AS1759" s="46">
        <v>0</v>
      </c>
      <c r="AT1759" s="46">
        <v>0</v>
      </c>
      <c r="AU1759" s="46">
        <v>0</v>
      </c>
      <c r="AV1759" s="46">
        <v>0</v>
      </c>
      <c r="AW1759" s="46">
        <v>0</v>
      </c>
      <c r="AX1759" s="46">
        <v>0</v>
      </c>
      <c r="AY1759" s="46">
        <v>0</v>
      </c>
      <c r="AZ1759" s="46">
        <v>0</v>
      </c>
      <c r="BA1759" s="46">
        <v>0</v>
      </c>
      <c r="BB1759" s="46">
        <v>0</v>
      </c>
      <c r="BC1759" s="46">
        <v>0</v>
      </c>
      <c r="BD1759" s="46">
        <v>0</v>
      </c>
      <c r="BE1759" s="46">
        <v>0</v>
      </c>
      <c r="BF1759" s="46">
        <v>0</v>
      </c>
      <c r="BG1759" s="46" t="s">
        <v>48</v>
      </c>
      <c r="BH1759" s="46">
        <v>0</v>
      </c>
      <c r="BI1759" s="46">
        <v>0</v>
      </c>
      <c r="BJ1759" s="46">
        <v>0</v>
      </c>
      <c r="BK1759" s="46">
        <v>0</v>
      </c>
      <c r="BL1759" s="46">
        <v>0</v>
      </c>
      <c r="BM1759" s="46">
        <v>0</v>
      </c>
      <c r="BN1759" s="46">
        <v>0</v>
      </c>
    </row>
    <row r="1760" spans="1:66" x14ac:dyDescent="0.35">
      <c r="A1760" t="s">
        <v>10154</v>
      </c>
      <c r="B1760" s="44" t="s">
        <v>48</v>
      </c>
      <c r="C1760" t="s">
        <v>4630</v>
      </c>
      <c r="D1760" t="s">
        <v>1292</v>
      </c>
      <c r="E1760" t="s">
        <v>10155</v>
      </c>
      <c r="F1760" t="s">
        <v>3604</v>
      </c>
      <c r="G1760" t="s">
        <v>74</v>
      </c>
      <c r="H1760">
        <v>0</v>
      </c>
      <c r="I1760" s="61">
        <v>44783</v>
      </c>
      <c r="J1760" s="33" t="s">
        <v>45</v>
      </c>
      <c r="K1760" s="46">
        <v>0</v>
      </c>
      <c r="L1760">
        <v>1.6</v>
      </c>
      <c r="M1760" t="s">
        <v>48</v>
      </c>
      <c r="N1760" s="46">
        <v>0</v>
      </c>
      <c r="O1760" s="46">
        <v>0</v>
      </c>
      <c r="P1760" s="46">
        <v>0</v>
      </c>
      <c r="Q1760" t="s">
        <v>48</v>
      </c>
      <c r="R1760" t="s">
        <v>48</v>
      </c>
      <c r="S1760" t="s">
        <v>48</v>
      </c>
      <c r="T1760" t="s">
        <v>48</v>
      </c>
      <c r="U1760" t="s">
        <v>48</v>
      </c>
      <c r="V1760" s="47">
        <v>1</v>
      </c>
      <c r="W1760" t="s">
        <v>48</v>
      </c>
      <c r="X1760" t="s">
        <v>48</v>
      </c>
      <c r="Y1760" t="s">
        <v>48</v>
      </c>
      <c r="Z1760" t="s">
        <v>48</v>
      </c>
      <c r="AA1760" t="s">
        <v>48</v>
      </c>
      <c r="AB1760" t="s">
        <v>48</v>
      </c>
      <c r="AC1760" t="s">
        <v>63</v>
      </c>
      <c r="AD1760" t="s">
        <v>93</v>
      </c>
      <c r="AE1760" s="40" t="s">
        <v>2471</v>
      </c>
      <c r="AF1760" t="s">
        <v>48</v>
      </c>
      <c r="AG1760" t="s">
        <v>48</v>
      </c>
      <c r="AH1760" t="s">
        <v>48</v>
      </c>
      <c r="AI1760" t="s">
        <v>48</v>
      </c>
      <c r="AJ1760" t="s">
        <v>48</v>
      </c>
      <c r="AK1760" t="s">
        <v>48</v>
      </c>
      <c r="AL1760" t="s">
        <v>48</v>
      </c>
      <c r="AM1760" t="s">
        <v>48</v>
      </c>
      <c r="AN1760" t="s">
        <v>48</v>
      </c>
      <c r="AO1760" t="s">
        <v>48</v>
      </c>
      <c r="AP1760" s="46">
        <v>0</v>
      </c>
      <c r="AQ1760" s="46">
        <v>0</v>
      </c>
      <c r="AR1760" s="46">
        <v>0</v>
      </c>
      <c r="AS1760" s="46">
        <v>0</v>
      </c>
      <c r="AT1760" s="46">
        <v>0</v>
      </c>
      <c r="AU1760" s="46">
        <v>0</v>
      </c>
      <c r="AV1760" s="46">
        <v>0</v>
      </c>
      <c r="AW1760" s="46">
        <v>0</v>
      </c>
      <c r="AX1760" s="46">
        <v>0</v>
      </c>
      <c r="AY1760" s="46">
        <v>0</v>
      </c>
      <c r="AZ1760" s="46">
        <v>0</v>
      </c>
      <c r="BA1760" s="46">
        <v>0</v>
      </c>
      <c r="BB1760" s="46">
        <v>0</v>
      </c>
      <c r="BC1760" s="46">
        <v>0</v>
      </c>
      <c r="BD1760" s="46">
        <v>0</v>
      </c>
      <c r="BE1760" s="46">
        <v>0</v>
      </c>
      <c r="BF1760" s="46">
        <v>0</v>
      </c>
      <c r="BG1760" s="46" t="s">
        <v>48</v>
      </c>
      <c r="BH1760" s="46">
        <v>0</v>
      </c>
      <c r="BI1760" s="46">
        <v>0</v>
      </c>
      <c r="BJ1760" s="46">
        <v>0</v>
      </c>
      <c r="BK1760" s="46">
        <v>0</v>
      </c>
      <c r="BL1760" s="46">
        <v>0</v>
      </c>
      <c r="BM1760" s="46">
        <v>0</v>
      </c>
      <c r="BN1760" s="46">
        <v>0</v>
      </c>
    </row>
    <row r="1761" spans="1:66" x14ac:dyDescent="0.35">
      <c r="A1761" t="s">
        <v>10993</v>
      </c>
      <c r="B1761" s="44" t="s">
        <v>48</v>
      </c>
      <c r="C1761" t="s">
        <v>11973</v>
      </c>
      <c r="D1761" t="s">
        <v>704</v>
      </c>
      <c r="E1761" t="s">
        <v>11129</v>
      </c>
      <c r="F1761" t="s">
        <v>3604</v>
      </c>
      <c r="G1761" t="s">
        <v>74</v>
      </c>
      <c r="H1761">
        <v>0</v>
      </c>
      <c r="I1761" s="60" t="s">
        <v>11552</v>
      </c>
      <c r="J1761" s="33" t="s">
        <v>45</v>
      </c>
      <c r="K1761" s="46">
        <v>0</v>
      </c>
      <c r="L1761">
        <v>0.8</v>
      </c>
      <c r="M1761" t="s">
        <v>48</v>
      </c>
      <c r="N1761" s="46">
        <v>0</v>
      </c>
      <c r="O1761" s="46">
        <v>0</v>
      </c>
      <c r="P1761" s="46">
        <v>0</v>
      </c>
      <c r="Q1761" t="s">
        <v>48</v>
      </c>
      <c r="R1761" t="s">
        <v>48</v>
      </c>
      <c r="S1761" t="s">
        <v>11489</v>
      </c>
      <c r="T1761" t="s">
        <v>48</v>
      </c>
      <c r="U1761" t="s">
        <v>10994</v>
      </c>
      <c r="V1761" s="47" t="s">
        <v>48</v>
      </c>
      <c r="W1761" t="s">
        <v>48</v>
      </c>
      <c r="X1761" t="s">
        <v>48</v>
      </c>
      <c r="Y1761" t="s">
        <v>48</v>
      </c>
      <c r="Z1761" t="s">
        <v>48</v>
      </c>
      <c r="AA1761" t="s">
        <v>48</v>
      </c>
      <c r="AB1761" t="s">
        <v>48</v>
      </c>
      <c r="AC1761" t="s">
        <v>49</v>
      </c>
      <c r="AD1761" t="s">
        <v>93</v>
      </c>
      <c r="AE1761" s="40" t="s">
        <v>2471</v>
      </c>
      <c r="AF1761" t="s">
        <v>48</v>
      </c>
      <c r="AG1761" t="s">
        <v>48</v>
      </c>
      <c r="AH1761" t="s">
        <v>48</v>
      </c>
      <c r="AI1761" t="s">
        <v>48</v>
      </c>
      <c r="AJ1761" t="s">
        <v>48</v>
      </c>
      <c r="AK1761" t="s">
        <v>48</v>
      </c>
      <c r="AL1761" t="s">
        <v>48</v>
      </c>
      <c r="AM1761" t="s">
        <v>48</v>
      </c>
      <c r="AN1761" t="s">
        <v>48</v>
      </c>
      <c r="AO1761" t="s">
        <v>48</v>
      </c>
      <c r="AP1761" s="46">
        <v>0</v>
      </c>
      <c r="AQ1761" s="46">
        <v>0</v>
      </c>
      <c r="AR1761" s="46">
        <v>0</v>
      </c>
      <c r="AS1761" s="46">
        <v>0</v>
      </c>
      <c r="AT1761" s="46">
        <v>0</v>
      </c>
      <c r="AU1761" s="46">
        <v>0</v>
      </c>
      <c r="AV1761" s="46">
        <v>0</v>
      </c>
      <c r="AW1761" s="46">
        <v>0</v>
      </c>
      <c r="AX1761" s="46">
        <v>0</v>
      </c>
      <c r="AY1761" s="46">
        <v>0</v>
      </c>
      <c r="AZ1761" s="46">
        <v>0</v>
      </c>
      <c r="BA1761" s="46">
        <v>0</v>
      </c>
      <c r="BB1761" s="46">
        <v>0</v>
      </c>
      <c r="BC1761" s="46">
        <v>0</v>
      </c>
      <c r="BD1761" s="46">
        <v>0</v>
      </c>
      <c r="BE1761" s="46">
        <v>0</v>
      </c>
      <c r="BF1761" s="46">
        <v>0</v>
      </c>
      <c r="BG1761" s="46" t="s">
        <v>48</v>
      </c>
      <c r="BH1761" s="46">
        <v>0</v>
      </c>
      <c r="BI1761" s="46">
        <v>0</v>
      </c>
      <c r="BJ1761" s="46">
        <v>0</v>
      </c>
      <c r="BK1761" s="46">
        <v>0</v>
      </c>
      <c r="BL1761" s="46">
        <v>0</v>
      </c>
      <c r="BM1761" s="46">
        <v>0</v>
      </c>
      <c r="BN1761" s="46">
        <v>0</v>
      </c>
    </row>
    <row r="1762" spans="1:66" x14ac:dyDescent="0.35">
      <c r="A1762" t="s">
        <v>10152</v>
      </c>
      <c r="B1762" s="44" t="s">
        <v>48</v>
      </c>
      <c r="C1762" t="s">
        <v>1411</v>
      </c>
      <c r="D1762" t="s">
        <v>2927</v>
      </c>
      <c r="E1762" t="s">
        <v>10153</v>
      </c>
      <c r="F1762" t="s">
        <v>3604</v>
      </c>
      <c r="G1762" t="s">
        <v>74</v>
      </c>
      <c r="H1762">
        <v>0</v>
      </c>
      <c r="I1762" s="61">
        <v>44783</v>
      </c>
      <c r="J1762" s="33" t="s">
        <v>45</v>
      </c>
      <c r="K1762" s="46">
        <v>0</v>
      </c>
      <c r="L1762">
        <v>2</v>
      </c>
      <c r="M1762" t="s">
        <v>48</v>
      </c>
      <c r="N1762" s="46">
        <v>0</v>
      </c>
      <c r="O1762" s="46">
        <v>0</v>
      </c>
      <c r="P1762" s="46">
        <v>0</v>
      </c>
      <c r="Q1762" t="s">
        <v>48</v>
      </c>
      <c r="R1762" t="s">
        <v>48</v>
      </c>
      <c r="S1762" t="s">
        <v>48</v>
      </c>
      <c r="T1762" t="s">
        <v>48</v>
      </c>
      <c r="U1762" t="s">
        <v>48</v>
      </c>
      <c r="V1762" s="47">
        <v>1</v>
      </c>
      <c r="W1762" t="s">
        <v>48</v>
      </c>
      <c r="X1762" t="s">
        <v>48</v>
      </c>
      <c r="Y1762" t="s">
        <v>48</v>
      </c>
      <c r="Z1762" t="s">
        <v>48</v>
      </c>
      <c r="AA1762" t="s">
        <v>48</v>
      </c>
      <c r="AB1762" t="s">
        <v>48</v>
      </c>
      <c r="AC1762" t="s">
        <v>63</v>
      </c>
      <c r="AD1762" t="s">
        <v>93</v>
      </c>
      <c r="AE1762" s="40" t="s">
        <v>2471</v>
      </c>
      <c r="AF1762" t="s">
        <v>48</v>
      </c>
      <c r="AG1762" t="s">
        <v>48</v>
      </c>
      <c r="AH1762" t="s">
        <v>48</v>
      </c>
      <c r="AI1762" t="s">
        <v>48</v>
      </c>
      <c r="AJ1762" t="s">
        <v>48</v>
      </c>
      <c r="AK1762" t="s">
        <v>48</v>
      </c>
      <c r="AL1762" t="s">
        <v>48</v>
      </c>
      <c r="AM1762" t="s">
        <v>48</v>
      </c>
      <c r="AN1762" t="s">
        <v>48</v>
      </c>
      <c r="AO1762" t="s">
        <v>48</v>
      </c>
      <c r="AP1762" s="46">
        <v>0</v>
      </c>
      <c r="AQ1762" s="46">
        <v>0</v>
      </c>
      <c r="AR1762" s="46">
        <v>0</v>
      </c>
      <c r="AS1762" s="46">
        <v>0</v>
      </c>
      <c r="AT1762" s="46">
        <v>0</v>
      </c>
      <c r="AU1762" s="46">
        <v>0</v>
      </c>
      <c r="AV1762" s="46">
        <v>0</v>
      </c>
      <c r="AW1762" s="46">
        <v>0</v>
      </c>
      <c r="AX1762" s="46">
        <v>0</v>
      </c>
      <c r="AY1762" s="46">
        <v>0</v>
      </c>
      <c r="AZ1762" s="46">
        <v>0</v>
      </c>
      <c r="BA1762" s="46">
        <v>0</v>
      </c>
      <c r="BB1762" s="46">
        <v>0</v>
      </c>
      <c r="BC1762" s="46">
        <v>0</v>
      </c>
      <c r="BD1762" s="46">
        <v>0</v>
      </c>
      <c r="BE1762" s="46">
        <v>0</v>
      </c>
      <c r="BF1762" s="46">
        <v>0</v>
      </c>
      <c r="BG1762" s="46" t="s">
        <v>48</v>
      </c>
      <c r="BH1762" s="46">
        <v>0</v>
      </c>
      <c r="BI1762" s="46">
        <v>0</v>
      </c>
      <c r="BJ1762" s="46">
        <v>0</v>
      </c>
      <c r="BK1762" s="46">
        <v>0</v>
      </c>
      <c r="BL1762" s="46">
        <v>0</v>
      </c>
      <c r="BM1762" s="46">
        <v>0</v>
      </c>
      <c r="BN1762" s="46">
        <v>0</v>
      </c>
    </row>
    <row r="1763" spans="1:66" x14ac:dyDescent="0.35">
      <c r="A1763" t="s">
        <v>10176</v>
      </c>
      <c r="B1763" s="44" t="s">
        <v>48</v>
      </c>
      <c r="C1763" t="s">
        <v>11975</v>
      </c>
      <c r="D1763" t="s">
        <v>11976</v>
      </c>
      <c r="E1763" t="s">
        <v>10177</v>
      </c>
      <c r="F1763" t="s">
        <v>3617</v>
      </c>
      <c r="G1763" t="s">
        <v>47</v>
      </c>
      <c r="H1763">
        <v>0</v>
      </c>
      <c r="I1763" s="61">
        <v>44783</v>
      </c>
      <c r="J1763" s="33" t="s">
        <v>45</v>
      </c>
      <c r="K1763" s="46">
        <v>0</v>
      </c>
      <c r="L1763">
        <v>2.8</v>
      </c>
      <c r="M1763" t="s">
        <v>48</v>
      </c>
      <c r="N1763" s="46">
        <v>0</v>
      </c>
      <c r="O1763" s="46">
        <v>0</v>
      </c>
      <c r="P1763" s="46">
        <v>0</v>
      </c>
      <c r="Q1763" t="s">
        <v>48</v>
      </c>
      <c r="R1763" t="s">
        <v>48</v>
      </c>
      <c r="S1763" t="s">
        <v>48</v>
      </c>
      <c r="T1763" t="s">
        <v>48</v>
      </c>
      <c r="U1763" t="s">
        <v>48</v>
      </c>
      <c r="V1763" s="47">
        <v>1</v>
      </c>
      <c r="W1763" t="s">
        <v>48</v>
      </c>
      <c r="X1763" t="s">
        <v>48</v>
      </c>
      <c r="Y1763" t="s">
        <v>48</v>
      </c>
      <c r="Z1763" t="s">
        <v>48</v>
      </c>
      <c r="AA1763" t="s">
        <v>48</v>
      </c>
      <c r="AB1763" t="s">
        <v>48</v>
      </c>
      <c r="AC1763" t="s">
        <v>49</v>
      </c>
      <c r="AD1763" t="s">
        <v>48</v>
      </c>
      <c r="AE1763" s="40" t="s">
        <v>48</v>
      </c>
      <c r="AF1763" t="s">
        <v>48</v>
      </c>
      <c r="AG1763" t="s">
        <v>48</v>
      </c>
      <c r="AH1763" t="s">
        <v>48</v>
      </c>
      <c r="AI1763" t="s">
        <v>48</v>
      </c>
      <c r="AJ1763" t="s">
        <v>48</v>
      </c>
      <c r="AK1763" t="s">
        <v>48</v>
      </c>
      <c r="AL1763" t="s">
        <v>48</v>
      </c>
      <c r="AM1763" t="s">
        <v>48</v>
      </c>
      <c r="AN1763" t="s">
        <v>48</v>
      </c>
      <c r="AO1763" t="s">
        <v>48</v>
      </c>
      <c r="AP1763" s="46">
        <v>0</v>
      </c>
      <c r="AQ1763" s="46">
        <v>0</v>
      </c>
      <c r="AR1763" s="46">
        <v>0</v>
      </c>
      <c r="AS1763" s="46">
        <v>0</v>
      </c>
      <c r="AT1763" s="46">
        <v>0</v>
      </c>
      <c r="AU1763" s="46">
        <v>0</v>
      </c>
      <c r="AV1763" s="46">
        <v>0</v>
      </c>
      <c r="AW1763" s="46">
        <v>0</v>
      </c>
      <c r="AX1763" s="46">
        <v>0</v>
      </c>
      <c r="AY1763" s="46">
        <v>0</v>
      </c>
      <c r="AZ1763" s="46">
        <v>0</v>
      </c>
      <c r="BA1763" s="46">
        <v>0</v>
      </c>
      <c r="BB1763" s="46">
        <v>0</v>
      </c>
      <c r="BC1763" s="46">
        <v>0</v>
      </c>
      <c r="BD1763" s="46">
        <v>0</v>
      </c>
      <c r="BE1763" s="46">
        <v>0</v>
      </c>
      <c r="BF1763" s="46">
        <v>0</v>
      </c>
      <c r="BG1763" s="46" t="s">
        <v>48</v>
      </c>
      <c r="BH1763" s="46">
        <v>0</v>
      </c>
      <c r="BI1763" s="46">
        <v>0</v>
      </c>
      <c r="BJ1763" s="46">
        <v>0</v>
      </c>
      <c r="BK1763" s="46">
        <v>0</v>
      </c>
      <c r="BL1763" s="46">
        <v>0</v>
      </c>
      <c r="BM1763" s="46">
        <v>0</v>
      </c>
      <c r="BN1763" s="46">
        <v>0</v>
      </c>
    </row>
    <row r="1764" spans="1:66" x14ac:dyDescent="0.35">
      <c r="A1764" t="s">
        <v>10162</v>
      </c>
      <c r="B1764" s="44" t="s">
        <v>48</v>
      </c>
      <c r="C1764" t="s">
        <v>3302</v>
      </c>
      <c r="D1764" t="s">
        <v>2110</v>
      </c>
      <c r="E1764" t="s">
        <v>10163</v>
      </c>
      <c r="F1764" t="s">
        <v>3617</v>
      </c>
      <c r="G1764" t="s">
        <v>74</v>
      </c>
      <c r="H1764">
        <v>0</v>
      </c>
      <c r="I1764" s="61">
        <v>44783</v>
      </c>
      <c r="J1764" s="33" t="s">
        <v>45</v>
      </c>
      <c r="K1764" s="46">
        <v>0</v>
      </c>
      <c r="L1764">
        <v>9.6999999999999993</v>
      </c>
      <c r="M1764" t="s">
        <v>48</v>
      </c>
      <c r="N1764" s="46">
        <v>0</v>
      </c>
      <c r="O1764" s="46">
        <v>0</v>
      </c>
      <c r="P1764" s="46">
        <v>0</v>
      </c>
      <c r="Q1764" t="s">
        <v>48</v>
      </c>
      <c r="R1764" t="s">
        <v>48</v>
      </c>
      <c r="S1764" t="s">
        <v>48</v>
      </c>
      <c r="T1764" t="s">
        <v>48</v>
      </c>
      <c r="U1764" t="s">
        <v>48</v>
      </c>
      <c r="V1764" s="47">
        <v>0</v>
      </c>
      <c r="W1764" t="s">
        <v>48</v>
      </c>
      <c r="X1764" t="s">
        <v>48</v>
      </c>
      <c r="Y1764" t="s">
        <v>48</v>
      </c>
      <c r="Z1764" t="s">
        <v>48</v>
      </c>
      <c r="AA1764" t="s">
        <v>48</v>
      </c>
      <c r="AB1764" t="s">
        <v>48</v>
      </c>
      <c r="AC1764" t="s">
        <v>49</v>
      </c>
      <c r="AD1764" t="s">
        <v>93</v>
      </c>
      <c r="AE1764" s="40" t="s">
        <v>2471</v>
      </c>
      <c r="AF1764" t="s">
        <v>48</v>
      </c>
      <c r="AG1764" t="s">
        <v>48</v>
      </c>
      <c r="AH1764" t="s">
        <v>48</v>
      </c>
      <c r="AI1764" t="s">
        <v>48</v>
      </c>
      <c r="AJ1764" t="s">
        <v>48</v>
      </c>
      <c r="AK1764" t="s">
        <v>48</v>
      </c>
      <c r="AL1764" t="s">
        <v>48</v>
      </c>
      <c r="AM1764" t="s">
        <v>48</v>
      </c>
      <c r="AN1764" t="s">
        <v>48</v>
      </c>
      <c r="AO1764" t="s">
        <v>48</v>
      </c>
      <c r="AP1764" s="46">
        <v>0</v>
      </c>
      <c r="AQ1764" s="46">
        <v>0</v>
      </c>
      <c r="AR1764" s="46">
        <v>0</v>
      </c>
      <c r="AS1764" s="46">
        <v>0</v>
      </c>
      <c r="AT1764" s="46">
        <v>0</v>
      </c>
      <c r="AU1764" s="46">
        <v>0</v>
      </c>
      <c r="AV1764" s="46">
        <v>0</v>
      </c>
      <c r="AW1764" s="46">
        <v>0</v>
      </c>
      <c r="AX1764" s="46">
        <v>0</v>
      </c>
      <c r="AY1764" s="46">
        <v>0</v>
      </c>
      <c r="AZ1764" s="46">
        <v>0</v>
      </c>
      <c r="BA1764" s="46">
        <v>0</v>
      </c>
      <c r="BB1764" s="46">
        <v>0</v>
      </c>
      <c r="BC1764" s="46">
        <v>0</v>
      </c>
      <c r="BD1764" s="46">
        <v>0</v>
      </c>
      <c r="BE1764" s="46">
        <v>0</v>
      </c>
      <c r="BF1764" s="46">
        <v>0</v>
      </c>
      <c r="BG1764" s="46" t="s">
        <v>48</v>
      </c>
      <c r="BH1764" s="46">
        <v>0</v>
      </c>
      <c r="BI1764" s="46">
        <v>0</v>
      </c>
      <c r="BJ1764" s="46">
        <v>0</v>
      </c>
      <c r="BK1764" s="46">
        <v>0</v>
      </c>
      <c r="BL1764" s="46">
        <v>0</v>
      </c>
      <c r="BM1764" s="46">
        <v>0</v>
      </c>
      <c r="BN1764" s="46">
        <v>0</v>
      </c>
    </row>
    <row r="1765" spans="1:66" x14ac:dyDescent="0.35">
      <c r="A1765" t="s">
        <v>3630</v>
      </c>
      <c r="B1765" s="44" t="s">
        <v>48</v>
      </c>
      <c r="C1765" t="s">
        <v>3634</v>
      </c>
      <c r="D1765" t="s">
        <v>3633</v>
      </c>
      <c r="E1765" t="s">
        <v>3631</v>
      </c>
      <c r="F1765" t="s">
        <v>3617</v>
      </c>
      <c r="G1765" t="s">
        <v>74</v>
      </c>
      <c r="H1765">
        <v>0</v>
      </c>
      <c r="I1765" s="60" t="s">
        <v>11160</v>
      </c>
      <c r="J1765" s="33" t="s">
        <v>45</v>
      </c>
      <c r="K1765" s="46">
        <v>0</v>
      </c>
      <c r="L1765">
        <v>19</v>
      </c>
      <c r="M1765" t="s">
        <v>48</v>
      </c>
      <c r="N1765" s="46">
        <v>0</v>
      </c>
      <c r="O1765" s="46">
        <v>0</v>
      </c>
      <c r="P1765" s="46">
        <v>0</v>
      </c>
      <c r="Q1765" t="s">
        <v>48</v>
      </c>
      <c r="R1765" t="s">
        <v>48</v>
      </c>
      <c r="S1765" t="s">
        <v>3632</v>
      </c>
      <c r="T1765" t="s">
        <v>48</v>
      </c>
      <c r="U1765" t="s">
        <v>3632</v>
      </c>
      <c r="V1765" s="47">
        <v>1</v>
      </c>
      <c r="W1765" t="s">
        <v>48</v>
      </c>
      <c r="X1765" t="s">
        <v>48</v>
      </c>
      <c r="Y1765" t="s">
        <v>48</v>
      </c>
      <c r="Z1765">
        <v>0</v>
      </c>
      <c r="AA1765" t="s">
        <v>48</v>
      </c>
      <c r="AB1765" t="s">
        <v>48</v>
      </c>
      <c r="AC1765" t="s">
        <v>63</v>
      </c>
      <c r="AD1765" t="s">
        <v>93</v>
      </c>
      <c r="AE1765" s="40" t="s">
        <v>2471</v>
      </c>
      <c r="AF1765" t="s">
        <v>11061</v>
      </c>
      <c r="AG1765" t="s">
        <v>48</v>
      </c>
      <c r="AH1765" t="s">
        <v>48</v>
      </c>
      <c r="AI1765" t="s">
        <v>48</v>
      </c>
      <c r="AJ1765" t="s">
        <v>48</v>
      </c>
      <c r="AK1765" t="s">
        <v>48</v>
      </c>
      <c r="AL1765" t="s">
        <v>48</v>
      </c>
      <c r="AM1765" t="s">
        <v>48</v>
      </c>
      <c r="AN1765" t="s">
        <v>48</v>
      </c>
      <c r="AO1765" t="s">
        <v>48</v>
      </c>
      <c r="AP1765" s="46">
        <v>0</v>
      </c>
      <c r="AQ1765" s="46">
        <v>0</v>
      </c>
      <c r="AR1765" s="46">
        <v>0</v>
      </c>
      <c r="AS1765" s="46">
        <v>0</v>
      </c>
      <c r="AT1765" s="46">
        <v>0</v>
      </c>
      <c r="AU1765" s="46">
        <v>0</v>
      </c>
      <c r="AV1765" s="46">
        <v>0</v>
      </c>
      <c r="AW1765" s="46">
        <v>0</v>
      </c>
      <c r="AX1765" s="46">
        <v>0</v>
      </c>
      <c r="AY1765" s="46">
        <v>0</v>
      </c>
      <c r="AZ1765" s="46">
        <v>0</v>
      </c>
      <c r="BA1765" s="46">
        <v>0</v>
      </c>
      <c r="BB1765" s="46">
        <v>0</v>
      </c>
      <c r="BC1765" s="46">
        <v>0</v>
      </c>
      <c r="BD1765" s="46">
        <v>0</v>
      </c>
      <c r="BE1765" s="46">
        <v>0</v>
      </c>
      <c r="BF1765" s="46">
        <v>0</v>
      </c>
      <c r="BG1765" s="46" t="s">
        <v>48</v>
      </c>
      <c r="BH1765" s="46">
        <v>0</v>
      </c>
      <c r="BI1765" s="46">
        <v>0</v>
      </c>
      <c r="BJ1765" s="46">
        <v>0</v>
      </c>
      <c r="BK1765" s="46">
        <v>0</v>
      </c>
      <c r="BL1765" s="46">
        <v>0</v>
      </c>
      <c r="BM1765" s="46">
        <v>0</v>
      </c>
      <c r="BN1765" s="46">
        <v>0</v>
      </c>
    </row>
    <row r="1766" spans="1:66" x14ac:dyDescent="0.35">
      <c r="A1766" t="s">
        <v>10169</v>
      </c>
      <c r="B1766" s="44" t="s">
        <v>48</v>
      </c>
      <c r="C1766" t="s">
        <v>11980</v>
      </c>
      <c r="D1766" t="s">
        <v>396</v>
      </c>
      <c r="E1766" t="s">
        <v>10170</v>
      </c>
      <c r="F1766" t="s">
        <v>3617</v>
      </c>
      <c r="G1766" t="s">
        <v>47</v>
      </c>
      <c r="H1766">
        <v>0</v>
      </c>
      <c r="I1766" s="61">
        <v>44783</v>
      </c>
      <c r="J1766" s="33" t="s">
        <v>45</v>
      </c>
      <c r="K1766" s="46">
        <v>0</v>
      </c>
      <c r="L1766">
        <v>4.8</v>
      </c>
      <c r="M1766" t="s">
        <v>48</v>
      </c>
      <c r="N1766" s="46">
        <v>0</v>
      </c>
      <c r="O1766" s="46">
        <v>0</v>
      </c>
      <c r="P1766" s="46">
        <v>0</v>
      </c>
      <c r="Q1766" t="s">
        <v>48</v>
      </c>
      <c r="R1766" t="s">
        <v>48</v>
      </c>
      <c r="S1766" t="s">
        <v>48</v>
      </c>
      <c r="T1766" t="s">
        <v>48</v>
      </c>
      <c r="U1766" t="s">
        <v>48</v>
      </c>
      <c r="V1766" s="47">
        <v>1</v>
      </c>
      <c r="W1766" t="s">
        <v>48</v>
      </c>
      <c r="X1766" t="s">
        <v>48</v>
      </c>
      <c r="Y1766" t="s">
        <v>48</v>
      </c>
      <c r="Z1766" t="s">
        <v>48</v>
      </c>
      <c r="AA1766" t="s">
        <v>48</v>
      </c>
      <c r="AB1766" t="s">
        <v>48</v>
      </c>
      <c r="AC1766" t="s">
        <v>49</v>
      </c>
      <c r="AD1766" t="s">
        <v>93</v>
      </c>
      <c r="AE1766" s="40" t="s">
        <v>4532</v>
      </c>
      <c r="AF1766" t="s">
        <v>48</v>
      </c>
      <c r="AG1766" t="s">
        <v>48</v>
      </c>
      <c r="AH1766" t="s">
        <v>48</v>
      </c>
      <c r="AI1766" t="s">
        <v>48</v>
      </c>
      <c r="AJ1766" t="s">
        <v>48</v>
      </c>
      <c r="AK1766" t="s">
        <v>48</v>
      </c>
      <c r="AL1766" t="s">
        <v>48</v>
      </c>
      <c r="AM1766" t="s">
        <v>48</v>
      </c>
      <c r="AN1766" t="s">
        <v>48</v>
      </c>
      <c r="AO1766" t="s">
        <v>48</v>
      </c>
      <c r="AP1766" s="46">
        <v>0</v>
      </c>
      <c r="AQ1766" s="46">
        <v>0</v>
      </c>
      <c r="AR1766" s="46">
        <v>0</v>
      </c>
      <c r="AS1766" s="46">
        <v>0</v>
      </c>
      <c r="AT1766" s="46">
        <v>0</v>
      </c>
      <c r="AU1766" s="46">
        <v>0</v>
      </c>
      <c r="AV1766" s="46">
        <v>0</v>
      </c>
      <c r="AW1766" s="46">
        <v>0</v>
      </c>
      <c r="AX1766" s="46">
        <v>0</v>
      </c>
      <c r="AY1766" s="46">
        <v>0</v>
      </c>
      <c r="AZ1766" s="46">
        <v>0</v>
      </c>
      <c r="BA1766" s="46">
        <v>0</v>
      </c>
      <c r="BB1766" s="46">
        <v>0</v>
      </c>
      <c r="BC1766" s="46">
        <v>0</v>
      </c>
      <c r="BD1766" s="46">
        <v>0</v>
      </c>
      <c r="BE1766" s="46">
        <v>0</v>
      </c>
      <c r="BF1766" s="46">
        <v>0</v>
      </c>
      <c r="BG1766" s="46" t="s">
        <v>48</v>
      </c>
      <c r="BH1766" s="46">
        <v>0</v>
      </c>
      <c r="BI1766" s="46">
        <v>0</v>
      </c>
      <c r="BJ1766" s="46">
        <v>0</v>
      </c>
      <c r="BK1766" s="46">
        <v>0</v>
      </c>
      <c r="BL1766" s="46">
        <v>0</v>
      </c>
      <c r="BM1766" s="46">
        <v>0</v>
      </c>
      <c r="BN1766" s="46">
        <v>0</v>
      </c>
    </row>
    <row r="1767" spans="1:66" x14ac:dyDescent="0.35">
      <c r="A1767" t="s">
        <v>10174</v>
      </c>
      <c r="B1767" s="44" t="s">
        <v>48</v>
      </c>
      <c r="C1767" t="s">
        <v>3837</v>
      </c>
      <c r="D1767" t="s">
        <v>1237</v>
      </c>
      <c r="E1767" t="s">
        <v>10175</v>
      </c>
      <c r="F1767" t="s">
        <v>3617</v>
      </c>
      <c r="G1767" t="s">
        <v>47</v>
      </c>
      <c r="H1767">
        <v>0</v>
      </c>
      <c r="I1767" s="61">
        <v>44783</v>
      </c>
      <c r="J1767" s="33" t="s">
        <v>45</v>
      </c>
      <c r="K1767" s="46">
        <v>0</v>
      </c>
      <c r="L1767">
        <v>3.7</v>
      </c>
      <c r="M1767" t="s">
        <v>48</v>
      </c>
      <c r="N1767" s="46">
        <v>0</v>
      </c>
      <c r="O1767" s="46">
        <v>0</v>
      </c>
      <c r="P1767" s="46">
        <v>0</v>
      </c>
      <c r="Q1767" t="s">
        <v>48</v>
      </c>
      <c r="R1767" t="s">
        <v>48</v>
      </c>
      <c r="S1767" t="s">
        <v>48</v>
      </c>
      <c r="T1767" t="s">
        <v>48</v>
      </c>
      <c r="U1767" t="s">
        <v>48</v>
      </c>
      <c r="V1767" s="47">
        <v>0</v>
      </c>
      <c r="W1767" t="s">
        <v>48</v>
      </c>
      <c r="X1767" t="s">
        <v>48</v>
      </c>
      <c r="Y1767" t="s">
        <v>48</v>
      </c>
      <c r="Z1767" t="s">
        <v>48</v>
      </c>
      <c r="AA1767" t="s">
        <v>48</v>
      </c>
      <c r="AB1767" t="s">
        <v>48</v>
      </c>
      <c r="AC1767" t="s">
        <v>49</v>
      </c>
      <c r="AD1767" t="s">
        <v>48</v>
      </c>
      <c r="AE1767" s="40" t="s">
        <v>48</v>
      </c>
      <c r="AF1767" t="s">
        <v>48</v>
      </c>
      <c r="AG1767" t="s">
        <v>48</v>
      </c>
      <c r="AH1767" t="s">
        <v>48</v>
      </c>
      <c r="AI1767" t="s">
        <v>48</v>
      </c>
      <c r="AJ1767" t="s">
        <v>48</v>
      </c>
      <c r="AK1767" t="s">
        <v>48</v>
      </c>
      <c r="AL1767" t="s">
        <v>48</v>
      </c>
      <c r="AM1767" t="s">
        <v>48</v>
      </c>
      <c r="AN1767" t="s">
        <v>48</v>
      </c>
      <c r="AO1767" t="s">
        <v>48</v>
      </c>
      <c r="AP1767" s="46">
        <v>0</v>
      </c>
      <c r="AQ1767" s="46">
        <v>0</v>
      </c>
      <c r="AR1767" s="46">
        <v>0</v>
      </c>
      <c r="AS1767" s="46">
        <v>0</v>
      </c>
      <c r="AT1767" s="46">
        <v>0</v>
      </c>
      <c r="AU1767" s="46">
        <v>0</v>
      </c>
      <c r="AV1767" s="46">
        <v>0</v>
      </c>
      <c r="AW1767" s="46">
        <v>0</v>
      </c>
      <c r="AX1767" s="46">
        <v>0</v>
      </c>
      <c r="AY1767" s="46">
        <v>0</v>
      </c>
      <c r="AZ1767" s="46">
        <v>0</v>
      </c>
      <c r="BA1767" s="46">
        <v>0</v>
      </c>
      <c r="BB1767" s="46">
        <v>0</v>
      </c>
      <c r="BC1767" s="46">
        <v>0</v>
      </c>
      <c r="BD1767" s="46">
        <v>0</v>
      </c>
      <c r="BE1767" s="46">
        <v>0</v>
      </c>
      <c r="BF1767" s="46">
        <v>0</v>
      </c>
      <c r="BG1767" s="46" t="s">
        <v>48</v>
      </c>
      <c r="BH1767" s="46">
        <v>0</v>
      </c>
      <c r="BI1767" s="46">
        <v>0</v>
      </c>
      <c r="BJ1767" s="46">
        <v>0</v>
      </c>
      <c r="BK1767" s="46">
        <v>0</v>
      </c>
      <c r="BL1767" s="46">
        <v>0</v>
      </c>
      <c r="BM1767" s="46">
        <v>0</v>
      </c>
      <c r="BN1767" s="46">
        <v>0</v>
      </c>
    </row>
    <row r="1768" spans="1:66" x14ac:dyDescent="0.35">
      <c r="A1768" t="s">
        <v>3626</v>
      </c>
      <c r="B1768" s="44" t="s">
        <v>48</v>
      </c>
      <c r="C1768" t="s">
        <v>3629</v>
      </c>
      <c r="D1768" t="s">
        <v>3628</v>
      </c>
      <c r="E1768" t="s">
        <v>3627</v>
      </c>
      <c r="F1768" t="s">
        <v>3617</v>
      </c>
      <c r="G1768" t="s">
        <v>47</v>
      </c>
      <c r="H1768">
        <v>0</v>
      </c>
      <c r="I1768" s="60" t="s">
        <v>125</v>
      </c>
      <c r="J1768" s="33" t="s">
        <v>45</v>
      </c>
      <c r="K1768" s="46">
        <v>0</v>
      </c>
      <c r="L1768">
        <v>6.5</v>
      </c>
      <c r="M1768" t="s">
        <v>48</v>
      </c>
      <c r="N1768" s="46">
        <v>0</v>
      </c>
      <c r="O1768" s="46">
        <v>0</v>
      </c>
      <c r="P1768" s="46">
        <v>0</v>
      </c>
      <c r="Q1768" t="s">
        <v>48</v>
      </c>
      <c r="R1768" t="s">
        <v>48</v>
      </c>
      <c r="S1768" t="s">
        <v>48</v>
      </c>
      <c r="T1768" t="s">
        <v>48</v>
      </c>
      <c r="U1768" t="s">
        <v>48</v>
      </c>
      <c r="V1768" s="47">
        <v>1</v>
      </c>
      <c r="W1768" t="s">
        <v>48</v>
      </c>
      <c r="X1768" t="s">
        <v>48</v>
      </c>
      <c r="Y1768" t="s">
        <v>48</v>
      </c>
      <c r="Z1768">
        <v>0</v>
      </c>
      <c r="AA1768" t="s">
        <v>48</v>
      </c>
      <c r="AB1768" t="s">
        <v>48</v>
      </c>
      <c r="AC1768" t="s">
        <v>63</v>
      </c>
      <c r="AD1768" t="s">
        <v>48</v>
      </c>
      <c r="AE1768" s="40" t="s">
        <v>48</v>
      </c>
      <c r="AF1768" t="s">
        <v>48</v>
      </c>
      <c r="AG1768" t="s">
        <v>48</v>
      </c>
      <c r="AH1768" t="s">
        <v>48</v>
      </c>
      <c r="AI1768" t="s">
        <v>48</v>
      </c>
      <c r="AJ1768" t="s">
        <v>48</v>
      </c>
      <c r="AK1768" t="s">
        <v>48</v>
      </c>
      <c r="AL1768" t="s">
        <v>48</v>
      </c>
      <c r="AM1768" t="s">
        <v>48</v>
      </c>
      <c r="AN1768" t="s">
        <v>48</v>
      </c>
      <c r="AO1768" t="s">
        <v>48</v>
      </c>
      <c r="AP1768" s="46">
        <v>0</v>
      </c>
      <c r="AQ1768" s="46">
        <v>0</v>
      </c>
      <c r="AR1768" s="46">
        <v>0</v>
      </c>
      <c r="AS1768" s="46">
        <v>0</v>
      </c>
      <c r="AT1768" s="46">
        <v>0</v>
      </c>
      <c r="AU1768" s="46">
        <v>0</v>
      </c>
      <c r="AV1768" s="46">
        <v>0</v>
      </c>
      <c r="AW1768" s="46">
        <v>0</v>
      </c>
      <c r="AX1768" s="46">
        <v>0</v>
      </c>
      <c r="AY1768" s="46">
        <v>0</v>
      </c>
      <c r="AZ1768" s="46">
        <v>0</v>
      </c>
      <c r="BA1768" s="46">
        <v>0</v>
      </c>
      <c r="BB1768" s="46">
        <v>0</v>
      </c>
      <c r="BC1768" s="46">
        <v>0</v>
      </c>
      <c r="BD1768" s="46">
        <v>0</v>
      </c>
      <c r="BE1768" s="46">
        <v>0</v>
      </c>
      <c r="BF1768" s="46">
        <v>0</v>
      </c>
      <c r="BG1768" s="46" t="s">
        <v>48</v>
      </c>
      <c r="BH1768" s="46">
        <v>0</v>
      </c>
      <c r="BI1768" s="46">
        <v>0</v>
      </c>
      <c r="BJ1768" s="46">
        <v>0</v>
      </c>
      <c r="BK1768" s="46">
        <v>0</v>
      </c>
      <c r="BL1768" s="46">
        <v>0</v>
      </c>
      <c r="BM1768" s="46">
        <v>0</v>
      </c>
      <c r="BN1768" s="46">
        <v>0</v>
      </c>
    </row>
    <row r="1769" spans="1:66" x14ac:dyDescent="0.35">
      <c r="A1769" t="s">
        <v>10171</v>
      </c>
      <c r="B1769" s="44" t="s">
        <v>48</v>
      </c>
      <c r="C1769" t="s">
        <v>11978</v>
      </c>
      <c r="D1769" t="s">
        <v>11979</v>
      </c>
      <c r="E1769" t="s">
        <v>10172</v>
      </c>
      <c r="F1769" t="s">
        <v>3617</v>
      </c>
      <c r="G1769" t="s">
        <v>47</v>
      </c>
      <c r="H1769">
        <v>0</v>
      </c>
      <c r="I1769" s="61">
        <v>44783</v>
      </c>
      <c r="J1769" s="33" t="s">
        <v>45</v>
      </c>
      <c r="K1769" s="46">
        <v>0</v>
      </c>
      <c r="L1769">
        <v>4.3</v>
      </c>
      <c r="M1769" t="s">
        <v>48</v>
      </c>
      <c r="N1769" s="46">
        <v>0</v>
      </c>
      <c r="O1769" s="46">
        <v>0</v>
      </c>
      <c r="P1769" s="46">
        <v>0</v>
      </c>
      <c r="Q1769" t="s">
        <v>48</v>
      </c>
      <c r="R1769" t="s">
        <v>48</v>
      </c>
      <c r="S1769" t="s">
        <v>10173</v>
      </c>
      <c r="T1769" t="s">
        <v>48</v>
      </c>
      <c r="U1769" t="s">
        <v>10173</v>
      </c>
      <c r="V1769" s="47">
        <v>1</v>
      </c>
      <c r="W1769" t="s">
        <v>48</v>
      </c>
      <c r="X1769" t="s">
        <v>48</v>
      </c>
      <c r="Y1769" t="s">
        <v>48</v>
      </c>
      <c r="Z1769" t="s">
        <v>48</v>
      </c>
      <c r="AA1769" t="s">
        <v>48</v>
      </c>
      <c r="AB1769" t="s">
        <v>48</v>
      </c>
      <c r="AC1769" t="s">
        <v>63</v>
      </c>
      <c r="AD1769" t="s">
        <v>48</v>
      </c>
      <c r="AE1769" s="40" t="s">
        <v>48</v>
      </c>
      <c r="AF1769" t="s">
        <v>48</v>
      </c>
      <c r="AG1769" t="s">
        <v>48</v>
      </c>
      <c r="AH1769" t="s">
        <v>48</v>
      </c>
      <c r="AI1769" t="s">
        <v>48</v>
      </c>
      <c r="AJ1769" t="s">
        <v>48</v>
      </c>
      <c r="AK1769" t="s">
        <v>48</v>
      </c>
      <c r="AL1769" t="s">
        <v>48</v>
      </c>
      <c r="AM1769" t="s">
        <v>48</v>
      </c>
      <c r="AN1769" t="s">
        <v>48</v>
      </c>
      <c r="AO1769" t="s">
        <v>48</v>
      </c>
      <c r="AP1769" s="46">
        <v>0</v>
      </c>
      <c r="AQ1769" s="46">
        <v>0</v>
      </c>
      <c r="AR1769" s="46">
        <v>0</v>
      </c>
      <c r="AS1769" s="46">
        <v>0</v>
      </c>
      <c r="AT1769" s="46">
        <v>0</v>
      </c>
      <c r="AU1769" s="46">
        <v>0</v>
      </c>
      <c r="AV1769" s="46">
        <v>0</v>
      </c>
      <c r="AW1769" s="46">
        <v>0</v>
      </c>
      <c r="AX1769" s="46">
        <v>0</v>
      </c>
      <c r="AY1769" s="46">
        <v>0</v>
      </c>
      <c r="AZ1769" s="46">
        <v>0</v>
      </c>
      <c r="BA1769" s="46">
        <v>0</v>
      </c>
      <c r="BB1769" s="46">
        <v>0</v>
      </c>
      <c r="BC1769" s="46">
        <v>0</v>
      </c>
      <c r="BD1769" s="46">
        <v>0</v>
      </c>
      <c r="BE1769" s="46">
        <v>0</v>
      </c>
      <c r="BF1769" s="46">
        <v>0</v>
      </c>
      <c r="BG1769" s="46" t="s">
        <v>48</v>
      </c>
      <c r="BH1769" s="46">
        <v>0</v>
      </c>
      <c r="BI1769" s="46">
        <v>0</v>
      </c>
      <c r="BJ1769" s="46">
        <v>0</v>
      </c>
      <c r="BK1769" s="46">
        <v>0</v>
      </c>
      <c r="BL1769" s="46">
        <v>0</v>
      </c>
      <c r="BM1769" s="46">
        <v>0</v>
      </c>
      <c r="BN1769" s="46">
        <v>0</v>
      </c>
    </row>
    <row r="1770" spans="1:66" x14ac:dyDescent="0.35">
      <c r="A1770" t="s">
        <v>10167</v>
      </c>
      <c r="B1770" s="44" t="s">
        <v>48</v>
      </c>
      <c r="C1770" t="s">
        <v>11977</v>
      </c>
      <c r="D1770" t="s">
        <v>5289</v>
      </c>
      <c r="E1770" t="s">
        <v>10168</v>
      </c>
      <c r="F1770" t="s">
        <v>3617</v>
      </c>
      <c r="G1770" t="s">
        <v>47</v>
      </c>
      <c r="H1770">
        <v>0</v>
      </c>
      <c r="I1770" s="61">
        <v>44783</v>
      </c>
      <c r="J1770" s="33" t="s">
        <v>45</v>
      </c>
      <c r="K1770" s="46">
        <v>0</v>
      </c>
      <c r="L1770">
        <v>9.4</v>
      </c>
      <c r="M1770" t="s">
        <v>48</v>
      </c>
      <c r="N1770" s="46">
        <v>0</v>
      </c>
      <c r="O1770" s="46">
        <v>0</v>
      </c>
      <c r="P1770" s="46">
        <v>0</v>
      </c>
      <c r="Q1770" t="s">
        <v>48</v>
      </c>
      <c r="R1770" t="s">
        <v>48</v>
      </c>
      <c r="S1770" t="s">
        <v>48</v>
      </c>
      <c r="T1770" t="s">
        <v>48</v>
      </c>
      <c r="U1770" t="s">
        <v>48</v>
      </c>
      <c r="V1770" s="47">
        <v>0</v>
      </c>
      <c r="W1770" t="s">
        <v>48</v>
      </c>
      <c r="X1770" t="s">
        <v>48</v>
      </c>
      <c r="Y1770" t="s">
        <v>48</v>
      </c>
      <c r="Z1770" t="s">
        <v>48</v>
      </c>
      <c r="AA1770" t="s">
        <v>48</v>
      </c>
      <c r="AB1770" t="s">
        <v>48</v>
      </c>
      <c r="AC1770" t="s">
        <v>63</v>
      </c>
      <c r="AD1770" t="s">
        <v>48</v>
      </c>
      <c r="AE1770" s="40" t="s">
        <v>48</v>
      </c>
      <c r="AF1770" t="s">
        <v>48</v>
      </c>
      <c r="AG1770" t="s">
        <v>48</v>
      </c>
      <c r="AH1770" t="s">
        <v>48</v>
      </c>
      <c r="AI1770" t="s">
        <v>48</v>
      </c>
      <c r="AJ1770" t="s">
        <v>48</v>
      </c>
      <c r="AK1770" t="s">
        <v>48</v>
      </c>
      <c r="AL1770" t="s">
        <v>48</v>
      </c>
      <c r="AM1770" t="s">
        <v>48</v>
      </c>
      <c r="AN1770" t="s">
        <v>48</v>
      </c>
      <c r="AO1770" t="s">
        <v>48</v>
      </c>
      <c r="AP1770" s="46">
        <v>0</v>
      </c>
      <c r="AQ1770" s="46">
        <v>0</v>
      </c>
      <c r="AR1770" s="46">
        <v>0</v>
      </c>
      <c r="AS1770" s="46">
        <v>0</v>
      </c>
      <c r="AT1770" s="46">
        <v>0</v>
      </c>
      <c r="AU1770" s="46">
        <v>0</v>
      </c>
      <c r="AV1770" s="46">
        <v>0</v>
      </c>
      <c r="AW1770" s="46">
        <v>0</v>
      </c>
      <c r="AX1770" s="46">
        <v>0</v>
      </c>
      <c r="AY1770" s="46">
        <v>0</v>
      </c>
      <c r="AZ1770" s="46">
        <v>0</v>
      </c>
      <c r="BA1770" s="46">
        <v>0</v>
      </c>
      <c r="BB1770" s="46">
        <v>0</v>
      </c>
      <c r="BC1770" s="46">
        <v>0</v>
      </c>
      <c r="BD1770" s="46">
        <v>0</v>
      </c>
      <c r="BE1770" s="46">
        <v>0</v>
      </c>
      <c r="BF1770" s="46">
        <v>0</v>
      </c>
      <c r="BG1770" s="46" t="s">
        <v>48</v>
      </c>
      <c r="BH1770" s="46">
        <v>0</v>
      </c>
      <c r="BI1770" s="46">
        <v>0</v>
      </c>
      <c r="BJ1770" s="46">
        <v>0</v>
      </c>
      <c r="BK1770" s="46">
        <v>0</v>
      </c>
      <c r="BL1770" s="46">
        <v>0</v>
      </c>
      <c r="BM1770" s="46">
        <v>0</v>
      </c>
      <c r="BN1770" s="46">
        <v>0</v>
      </c>
    </row>
    <row r="1771" spans="1:66" x14ac:dyDescent="0.35">
      <c r="A1771" t="s">
        <v>3646</v>
      </c>
      <c r="B1771" s="44" t="s">
        <v>48</v>
      </c>
      <c r="C1771" t="s">
        <v>3649</v>
      </c>
      <c r="D1771" t="s">
        <v>429</v>
      </c>
      <c r="E1771" t="s">
        <v>3647</v>
      </c>
      <c r="F1771" t="s">
        <v>3636</v>
      </c>
      <c r="G1771" t="s">
        <v>74</v>
      </c>
      <c r="H1771">
        <v>0</v>
      </c>
      <c r="I1771" s="60" t="s">
        <v>661</v>
      </c>
      <c r="J1771" s="33" t="s">
        <v>45</v>
      </c>
      <c r="K1771" s="46">
        <v>0</v>
      </c>
      <c r="L1771">
        <v>15.7</v>
      </c>
      <c r="M1771" t="s">
        <v>48</v>
      </c>
      <c r="N1771" s="46">
        <v>0</v>
      </c>
      <c r="O1771" s="46">
        <v>0</v>
      </c>
      <c r="P1771" s="46">
        <v>0</v>
      </c>
      <c r="Q1771" t="s">
        <v>48</v>
      </c>
      <c r="R1771" t="s">
        <v>48</v>
      </c>
      <c r="S1771" t="s">
        <v>3648</v>
      </c>
      <c r="T1771" t="s">
        <v>48</v>
      </c>
      <c r="U1771" t="s">
        <v>3648</v>
      </c>
      <c r="V1771" s="47">
        <v>0</v>
      </c>
      <c r="W1771" t="s">
        <v>48</v>
      </c>
      <c r="X1771" t="s">
        <v>48</v>
      </c>
      <c r="Y1771" t="s">
        <v>48</v>
      </c>
      <c r="Z1771">
        <v>0</v>
      </c>
      <c r="AA1771" t="s">
        <v>48</v>
      </c>
      <c r="AB1771" t="s">
        <v>48</v>
      </c>
      <c r="AC1771" t="s">
        <v>49</v>
      </c>
      <c r="AD1771" t="s">
        <v>93</v>
      </c>
      <c r="AE1771" s="40" t="s">
        <v>4532</v>
      </c>
      <c r="AF1771" t="s">
        <v>48</v>
      </c>
      <c r="AG1771" t="s">
        <v>48</v>
      </c>
      <c r="AH1771" t="s">
        <v>48</v>
      </c>
      <c r="AI1771" t="s">
        <v>48</v>
      </c>
      <c r="AJ1771" t="s">
        <v>48</v>
      </c>
      <c r="AK1771" t="s">
        <v>48</v>
      </c>
      <c r="AL1771" t="s">
        <v>48</v>
      </c>
      <c r="AM1771" t="s">
        <v>48</v>
      </c>
      <c r="AN1771" t="s">
        <v>48</v>
      </c>
      <c r="AO1771" t="s">
        <v>48</v>
      </c>
      <c r="AP1771" s="46">
        <v>0</v>
      </c>
      <c r="AQ1771" s="46">
        <v>0</v>
      </c>
      <c r="AR1771" s="46">
        <v>0</v>
      </c>
      <c r="AS1771" s="46">
        <v>0</v>
      </c>
      <c r="AT1771" s="46">
        <v>0</v>
      </c>
      <c r="AU1771" s="46">
        <v>0</v>
      </c>
      <c r="AV1771" s="46">
        <v>0</v>
      </c>
      <c r="AW1771" s="46">
        <v>0</v>
      </c>
      <c r="AX1771" s="46">
        <v>0</v>
      </c>
      <c r="AY1771" s="46">
        <v>0</v>
      </c>
      <c r="AZ1771" s="46">
        <v>0</v>
      </c>
      <c r="BA1771" s="46">
        <v>0</v>
      </c>
      <c r="BB1771" s="46">
        <v>0</v>
      </c>
      <c r="BC1771" s="46">
        <v>0</v>
      </c>
      <c r="BD1771" s="46">
        <v>0</v>
      </c>
      <c r="BE1771" s="46">
        <v>0</v>
      </c>
      <c r="BF1771" s="46">
        <v>0</v>
      </c>
      <c r="BG1771" s="46" t="s">
        <v>48</v>
      </c>
      <c r="BH1771" s="46">
        <v>0</v>
      </c>
      <c r="BI1771" s="46">
        <v>0</v>
      </c>
      <c r="BJ1771" s="46">
        <v>0</v>
      </c>
      <c r="BK1771" s="46">
        <v>0</v>
      </c>
      <c r="BL1771" s="46">
        <v>0</v>
      </c>
      <c r="BM1771" s="46">
        <v>0</v>
      </c>
      <c r="BN1771" s="46">
        <v>0</v>
      </c>
    </row>
    <row r="1772" spans="1:66" x14ac:dyDescent="0.35">
      <c r="A1772" t="s">
        <v>3664</v>
      </c>
      <c r="B1772" s="44" t="s">
        <v>48</v>
      </c>
      <c r="C1772" t="s">
        <v>2471</v>
      </c>
      <c r="D1772" t="s">
        <v>3666</v>
      </c>
      <c r="E1772" t="s">
        <v>10185</v>
      </c>
      <c r="F1772" t="s">
        <v>3636</v>
      </c>
      <c r="G1772" t="s">
        <v>47</v>
      </c>
      <c r="H1772">
        <v>0</v>
      </c>
      <c r="I1772" s="61">
        <v>44783</v>
      </c>
      <c r="J1772" s="33" t="s">
        <v>45</v>
      </c>
      <c r="K1772" s="46">
        <v>0</v>
      </c>
      <c r="L1772">
        <v>7.3</v>
      </c>
      <c r="M1772" t="s">
        <v>48</v>
      </c>
      <c r="N1772" s="46">
        <v>0</v>
      </c>
      <c r="O1772" s="46">
        <v>0</v>
      </c>
      <c r="P1772" s="46">
        <v>0</v>
      </c>
      <c r="Q1772" t="s">
        <v>48</v>
      </c>
      <c r="R1772" t="s">
        <v>48</v>
      </c>
      <c r="S1772" t="s">
        <v>48</v>
      </c>
      <c r="T1772" t="s">
        <v>48</v>
      </c>
      <c r="U1772" t="s">
        <v>48</v>
      </c>
      <c r="V1772" s="47">
        <v>1</v>
      </c>
      <c r="W1772" t="s">
        <v>48</v>
      </c>
      <c r="X1772" t="s">
        <v>48</v>
      </c>
      <c r="Y1772" t="s">
        <v>48</v>
      </c>
      <c r="Z1772">
        <v>0</v>
      </c>
      <c r="AA1772" t="s">
        <v>48</v>
      </c>
      <c r="AB1772" t="s">
        <v>48</v>
      </c>
      <c r="AC1772" t="s">
        <v>49</v>
      </c>
      <c r="AD1772" t="s">
        <v>93</v>
      </c>
      <c r="AE1772" t="s">
        <v>4532</v>
      </c>
      <c r="AF1772" t="s">
        <v>48</v>
      </c>
      <c r="AG1772" t="s">
        <v>48</v>
      </c>
      <c r="AH1772" t="s">
        <v>48</v>
      </c>
      <c r="AI1772" t="s">
        <v>48</v>
      </c>
      <c r="AJ1772" t="s">
        <v>48</v>
      </c>
      <c r="AK1772" t="s">
        <v>48</v>
      </c>
      <c r="AL1772" t="s">
        <v>48</v>
      </c>
      <c r="AM1772" t="s">
        <v>48</v>
      </c>
      <c r="AN1772" t="s">
        <v>48</v>
      </c>
      <c r="AO1772" t="s">
        <v>48</v>
      </c>
      <c r="AP1772" s="46">
        <v>0</v>
      </c>
      <c r="AQ1772" s="46">
        <v>0</v>
      </c>
      <c r="AR1772" s="46">
        <v>0</v>
      </c>
      <c r="AS1772" s="46">
        <v>0</v>
      </c>
      <c r="AT1772" s="46">
        <v>0</v>
      </c>
      <c r="AU1772" s="46">
        <v>0</v>
      </c>
      <c r="AV1772" s="46">
        <v>0</v>
      </c>
      <c r="AW1772" s="46">
        <v>0</v>
      </c>
      <c r="AX1772" s="46">
        <v>0</v>
      </c>
      <c r="AY1772" s="46">
        <v>0</v>
      </c>
      <c r="AZ1772" s="46">
        <v>0</v>
      </c>
      <c r="BA1772" s="46">
        <v>0</v>
      </c>
      <c r="BB1772" s="46">
        <v>0</v>
      </c>
      <c r="BC1772" s="46">
        <v>0</v>
      </c>
      <c r="BD1772" s="46">
        <v>0</v>
      </c>
      <c r="BE1772" s="46">
        <v>0</v>
      </c>
      <c r="BF1772" s="46">
        <v>0</v>
      </c>
      <c r="BG1772" s="46" t="s">
        <v>48</v>
      </c>
      <c r="BH1772" s="46">
        <v>0</v>
      </c>
      <c r="BI1772" s="46">
        <v>0</v>
      </c>
      <c r="BJ1772" s="46">
        <v>0</v>
      </c>
      <c r="BK1772" s="46">
        <v>0</v>
      </c>
      <c r="BL1772" s="46">
        <v>0</v>
      </c>
      <c r="BM1772" s="46">
        <v>0</v>
      </c>
      <c r="BN1772" s="46">
        <v>0</v>
      </c>
    </row>
    <row r="1773" spans="1:66" x14ac:dyDescent="0.35">
      <c r="A1773" t="s">
        <v>10178</v>
      </c>
      <c r="B1773" s="44" t="s">
        <v>48</v>
      </c>
      <c r="C1773" t="s">
        <v>11983</v>
      </c>
      <c r="D1773" t="s">
        <v>1783</v>
      </c>
      <c r="E1773" t="s">
        <v>10179</v>
      </c>
      <c r="F1773" t="s">
        <v>3636</v>
      </c>
      <c r="G1773" t="s">
        <v>74</v>
      </c>
      <c r="H1773">
        <v>0</v>
      </c>
      <c r="I1773" s="61">
        <v>44783</v>
      </c>
      <c r="J1773" s="33" t="s">
        <v>45</v>
      </c>
      <c r="K1773" s="46">
        <v>0</v>
      </c>
      <c r="L1773">
        <v>5</v>
      </c>
      <c r="M1773" t="s">
        <v>48</v>
      </c>
      <c r="N1773" s="46">
        <v>0</v>
      </c>
      <c r="O1773" s="46">
        <v>0</v>
      </c>
      <c r="P1773" s="46">
        <v>0</v>
      </c>
      <c r="Q1773" t="s">
        <v>48</v>
      </c>
      <c r="R1773" t="s">
        <v>48</v>
      </c>
      <c r="S1773" t="s">
        <v>10180</v>
      </c>
      <c r="T1773" t="s">
        <v>48</v>
      </c>
      <c r="U1773" t="s">
        <v>10180</v>
      </c>
      <c r="V1773" s="47">
        <v>0</v>
      </c>
      <c r="W1773" t="s">
        <v>48</v>
      </c>
      <c r="X1773" t="s">
        <v>48</v>
      </c>
      <c r="Y1773" t="s">
        <v>48</v>
      </c>
      <c r="Z1773" t="s">
        <v>48</v>
      </c>
      <c r="AA1773" t="s">
        <v>48</v>
      </c>
      <c r="AB1773" t="s">
        <v>48</v>
      </c>
      <c r="AC1773" t="s">
        <v>49</v>
      </c>
      <c r="AD1773" t="s">
        <v>93</v>
      </c>
      <c r="AE1773" s="40" t="s">
        <v>4532</v>
      </c>
      <c r="AF1773" t="s">
        <v>48</v>
      </c>
      <c r="AG1773" t="s">
        <v>48</v>
      </c>
      <c r="AH1773" t="s">
        <v>48</v>
      </c>
      <c r="AI1773" t="s">
        <v>48</v>
      </c>
      <c r="AJ1773" t="s">
        <v>48</v>
      </c>
      <c r="AK1773" t="s">
        <v>48</v>
      </c>
      <c r="AL1773" t="s">
        <v>48</v>
      </c>
      <c r="AM1773" t="s">
        <v>48</v>
      </c>
      <c r="AN1773" t="s">
        <v>48</v>
      </c>
      <c r="AO1773" t="s">
        <v>48</v>
      </c>
      <c r="AP1773" s="46">
        <v>0</v>
      </c>
      <c r="AQ1773" s="46">
        <v>0</v>
      </c>
      <c r="AR1773" s="46">
        <v>0</v>
      </c>
      <c r="AS1773" s="46">
        <v>0</v>
      </c>
      <c r="AT1773" s="46">
        <v>0</v>
      </c>
      <c r="AU1773" s="46">
        <v>0</v>
      </c>
      <c r="AV1773" s="46">
        <v>0</v>
      </c>
      <c r="AW1773" s="46">
        <v>0</v>
      </c>
      <c r="AX1773" s="46">
        <v>0</v>
      </c>
      <c r="AY1773" s="46">
        <v>0</v>
      </c>
      <c r="AZ1773" s="46">
        <v>0</v>
      </c>
      <c r="BA1773" s="46">
        <v>0</v>
      </c>
      <c r="BB1773" s="46">
        <v>0</v>
      </c>
      <c r="BC1773" s="46">
        <v>0</v>
      </c>
      <c r="BD1773" s="46">
        <v>0</v>
      </c>
      <c r="BE1773" s="46">
        <v>0</v>
      </c>
      <c r="BF1773" s="46">
        <v>0</v>
      </c>
      <c r="BG1773" s="46" t="s">
        <v>48</v>
      </c>
      <c r="BH1773" s="46">
        <v>0</v>
      </c>
      <c r="BI1773" s="46">
        <v>0</v>
      </c>
      <c r="BJ1773" s="46">
        <v>0</v>
      </c>
      <c r="BK1773" s="46">
        <v>0</v>
      </c>
      <c r="BL1773" s="46">
        <v>0</v>
      </c>
      <c r="BM1773" s="46">
        <v>0</v>
      </c>
      <c r="BN1773" s="46">
        <v>0</v>
      </c>
    </row>
    <row r="1774" spans="1:66" x14ac:dyDescent="0.35">
      <c r="A1774" t="s">
        <v>3635</v>
      </c>
      <c r="B1774" s="44" t="s">
        <v>48</v>
      </c>
      <c r="C1774" t="s">
        <v>1308</v>
      </c>
      <c r="D1774" t="s">
        <v>982</v>
      </c>
      <c r="E1774" t="s">
        <v>3637</v>
      </c>
      <c r="F1774" t="s">
        <v>3636</v>
      </c>
      <c r="G1774" t="s">
        <v>47</v>
      </c>
      <c r="H1774">
        <v>0</v>
      </c>
      <c r="I1774" s="60" t="s">
        <v>51</v>
      </c>
      <c r="J1774" s="33" t="s">
        <v>45</v>
      </c>
      <c r="K1774" s="46">
        <v>0</v>
      </c>
      <c r="L1774">
        <v>6.6</v>
      </c>
      <c r="M1774" t="s">
        <v>48</v>
      </c>
      <c r="N1774" s="46">
        <v>0</v>
      </c>
      <c r="O1774" s="46">
        <v>0</v>
      </c>
      <c r="P1774" s="46">
        <v>0</v>
      </c>
      <c r="Q1774" t="s">
        <v>48</v>
      </c>
      <c r="R1774" t="s">
        <v>48</v>
      </c>
      <c r="S1774" t="s">
        <v>3638</v>
      </c>
      <c r="T1774" t="s">
        <v>48</v>
      </c>
      <c r="U1774" t="s">
        <v>3638</v>
      </c>
      <c r="V1774" s="47">
        <v>0</v>
      </c>
      <c r="W1774" t="s">
        <v>48</v>
      </c>
      <c r="X1774" t="s">
        <v>48</v>
      </c>
      <c r="Y1774" t="s">
        <v>48</v>
      </c>
      <c r="Z1774">
        <v>0</v>
      </c>
      <c r="AA1774" t="s">
        <v>48</v>
      </c>
      <c r="AB1774" t="s">
        <v>48</v>
      </c>
      <c r="AC1774" t="s">
        <v>49</v>
      </c>
      <c r="AD1774" t="s">
        <v>93</v>
      </c>
      <c r="AE1774" t="s">
        <v>4532</v>
      </c>
      <c r="AF1774" t="s">
        <v>48</v>
      </c>
      <c r="AG1774" t="s">
        <v>48</v>
      </c>
      <c r="AH1774" t="s">
        <v>48</v>
      </c>
      <c r="AI1774" t="s">
        <v>48</v>
      </c>
      <c r="AJ1774" t="s">
        <v>48</v>
      </c>
      <c r="AK1774" t="s">
        <v>48</v>
      </c>
      <c r="AL1774" t="s">
        <v>48</v>
      </c>
      <c r="AM1774" t="s">
        <v>48</v>
      </c>
      <c r="AN1774" t="s">
        <v>48</v>
      </c>
      <c r="AO1774" t="s">
        <v>48</v>
      </c>
      <c r="AP1774" s="46">
        <v>0</v>
      </c>
      <c r="AQ1774" s="46">
        <v>0</v>
      </c>
      <c r="AR1774" s="46">
        <v>0</v>
      </c>
      <c r="AS1774" s="46">
        <v>0</v>
      </c>
      <c r="AT1774" s="46">
        <v>0</v>
      </c>
      <c r="AU1774" s="46">
        <v>0</v>
      </c>
      <c r="AV1774" s="46">
        <v>0</v>
      </c>
      <c r="AW1774" s="46">
        <v>0</v>
      </c>
      <c r="AX1774" s="46">
        <v>0</v>
      </c>
      <c r="AY1774" s="46">
        <v>0</v>
      </c>
      <c r="AZ1774" s="46">
        <v>0</v>
      </c>
      <c r="BA1774" s="46">
        <v>0</v>
      </c>
      <c r="BB1774" s="46">
        <v>0</v>
      </c>
      <c r="BC1774" s="46">
        <v>0</v>
      </c>
      <c r="BD1774" s="46">
        <v>0</v>
      </c>
      <c r="BE1774" s="46">
        <v>0</v>
      </c>
      <c r="BF1774" s="46">
        <v>0</v>
      </c>
      <c r="BG1774" s="46" t="s">
        <v>48</v>
      </c>
      <c r="BH1774" s="46">
        <v>0</v>
      </c>
      <c r="BI1774" s="46">
        <v>0</v>
      </c>
      <c r="BJ1774" s="46">
        <v>0</v>
      </c>
      <c r="BK1774" s="46">
        <v>0</v>
      </c>
      <c r="BL1774" s="46">
        <v>0</v>
      </c>
      <c r="BM1774" s="46">
        <v>0</v>
      </c>
      <c r="BN1774" s="46">
        <v>0</v>
      </c>
    </row>
    <row r="1775" spans="1:66" x14ac:dyDescent="0.35">
      <c r="A1775" t="s">
        <v>3677</v>
      </c>
      <c r="B1775" s="44" t="s">
        <v>48</v>
      </c>
      <c r="C1775" t="s">
        <v>3680</v>
      </c>
      <c r="D1775" t="s">
        <v>3679</v>
      </c>
      <c r="E1775" t="s">
        <v>10186</v>
      </c>
      <c r="F1775" t="s">
        <v>3636</v>
      </c>
      <c r="G1775" t="s">
        <v>47</v>
      </c>
      <c r="H1775">
        <v>0</v>
      </c>
      <c r="I1775" s="61">
        <v>44783</v>
      </c>
      <c r="J1775" s="33" t="s">
        <v>45</v>
      </c>
      <c r="K1775" s="46">
        <v>0</v>
      </c>
      <c r="L1775">
        <v>7.3</v>
      </c>
      <c r="M1775" t="s">
        <v>48</v>
      </c>
      <c r="N1775" s="46">
        <v>0</v>
      </c>
      <c r="O1775" s="46">
        <v>0</v>
      </c>
      <c r="P1775" s="46">
        <v>0</v>
      </c>
      <c r="Q1775" t="s">
        <v>48</v>
      </c>
      <c r="R1775" t="s">
        <v>48</v>
      </c>
      <c r="S1775" t="s">
        <v>3678</v>
      </c>
      <c r="T1775" t="s">
        <v>48</v>
      </c>
      <c r="U1775" t="s">
        <v>3678</v>
      </c>
      <c r="V1775" s="47">
        <v>1</v>
      </c>
      <c r="W1775" t="s">
        <v>48</v>
      </c>
      <c r="X1775" t="s">
        <v>48</v>
      </c>
      <c r="Y1775" t="s">
        <v>48</v>
      </c>
      <c r="Z1775">
        <v>0</v>
      </c>
      <c r="AA1775" t="s">
        <v>48</v>
      </c>
      <c r="AB1775" t="s">
        <v>48</v>
      </c>
      <c r="AC1775" t="s">
        <v>63</v>
      </c>
      <c r="AD1775" t="s">
        <v>951</v>
      </c>
      <c r="AE1775" s="40" t="s">
        <v>11051</v>
      </c>
      <c r="AF1775" t="s">
        <v>11074</v>
      </c>
      <c r="AG1775" t="s">
        <v>48</v>
      </c>
      <c r="AH1775" t="s">
        <v>48</v>
      </c>
      <c r="AI1775" t="s">
        <v>48</v>
      </c>
      <c r="AJ1775" t="s">
        <v>48</v>
      </c>
      <c r="AK1775" t="s">
        <v>48</v>
      </c>
      <c r="AL1775" t="s">
        <v>48</v>
      </c>
      <c r="AM1775" t="s">
        <v>48</v>
      </c>
      <c r="AN1775" t="s">
        <v>48</v>
      </c>
      <c r="AO1775" t="s">
        <v>48</v>
      </c>
      <c r="AP1775" s="46">
        <v>0</v>
      </c>
      <c r="AQ1775" s="46">
        <v>0</v>
      </c>
      <c r="AR1775" s="46">
        <v>0</v>
      </c>
      <c r="AS1775" s="46">
        <v>0</v>
      </c>
      <c r="AT1775" s="46">
        <v>0</v>
      </c>
      <c r="AU1775" s="46">
        <v>0</v>
      </c>
      <c r="AV1775" s="46">
        <v>0</v>
      </c>
      <c r="AW1775" s="46">
        <v>0</v>
      </c>
      <c r="AX1775" s="46">
        <v>0</v>
      </c>
      <c r="AY1775" s="46">
        <v>0</v>
      </c>
      <c r="AZ1775" s="46">
        <v>0</v>
      </c>
      <c r="BA1775" s="46">
        <v>0</v>
      </c>
      <c r="BB1775" s="46">
        <v>0</v>
      </c>
      <c r="BC1775" s="46">
        <v>0</v>
      </c>
      <c r="BD1775" s="46">
        <v>0</v>
      </c>
      <c r="BE1775" s="46">
        <v>0</v>
      </c>
      <c r="BF1775" s="46">
        <v>0</v>
      </c>
      <c r="BG1775" s="46" t="s">
        <v>48</v>
      </c>
      <c r="BH1775" s="46">
        <v>0</v>
      </c>
      <c r="BI1775" s="46">
        <v>0</v>
      </c>
      <c r="BJ1775" s="46">
        <v>0</v>
      </c>
      <c r="BK1775" s="46">
        <v>0</v>
      </c>
      <c r="BL1775" s="46">
        <v>0</v>
      </c>
      <c r="BM1775" s="46">
        <v>0</v>
      </c>
      <c r="BN1775" s="46">
        <v>0</v>
      </c>
    </row>
    <row r="1776" spans="1:66" x14ac:dyDescent="0.35">
      <c r="A1776" t="s">
        <v>10182</v>
      </c>
      <c r="B1776" s="44" t="s">
        <v>48</v>
      </c>
      <c r="C1776" t="s">
        <v>11982</v>
      </c>
      <c r="D1776" t="s">
        <v>704</v>
      </c>
      <c r="E1776" t="s">
        <v>10183</v>
      </c>
      <c r="F1776" t="s">
        <v>3636</v>
      </c>
      <c r="G1776" t="s">
        <v>47</v>
      </c>
      <c r="H1776">
        <v>0</v>
      </c>
      <c r="I1776" s="61">
        <v>44783</v>
      </c>
      <c r="J1776" s="33" t="s">
        <v>45</v>
      </c>
      <c r="K1776" s="46">
        <v>0</v>
      </c>
      <c r="L1776">
        <v>14.8</v>
      </c>
      <c r="M1776" t="s">
        <v>48</v>
      </c>
      <c r="N1776" s="46">
        <v>0</v>
      </c>
      <c r="O1776" s="46">
        <v>0</v>
      </c>
      <c r="P1776" s="46">
        <v>0</v>
      </c>
      <c r="Q1776" t="s">
        <v>48</v>
      </c>
      <c r="R1776" t="s">
        <v>48</v>
      </c>
      <c r="S1776" t="s">
        <v>10184</v>
      </c>
      <c r="T1776" t="s">
        <v>48</v>
      </c>
      <c r="U1776" t="s">
        <v>10184</v>
      </c>
      <c r="V1776" s="47">
        <v>0</v>
      </c>
      <c r="W1776" t="s">
        <v>48</v>
      </c>
      <c r="X1776" t="s">
        <v>48</v>
      </c>
      <c r="Y1776" t="s">
        <v>48</v>
      </c>
      <c r="Z1776" t="s">
        <v>48</v>
      </c>
      <c r="AA1776" t="s">
        <v>48</v>
      </c>
      <c r="AB1776" t="s">
        <v>48</v>
      </c>
      <c r="AC1776" t="s">
        <v>49</v>
      </c>
      <c r="AD1776" t="s">
        <v>93</v>
      </c>
      <c r="AE1776" t="s">
        <v>4532</v>
      </c>
      <c r="AF1776" t="s">
        <v>48</v>
      </c>
      <c r="AG1776" t="s">
        <v>48</v>
      </c>
      <c r="AH1776" t="s">
        <v>48</v>
      </c>
      <c r="AI1776" t="s">
        <v>48</v>
      </c>
      <c r="AJ1776" t="s">
        <v>48</v>
      </c>
      <c r="AK1776" t="s">
        <v>48</v>
      </c>
      <c r="AL1776" t="s">
        <v>48</v>
      </c>
      <c r="AM1776" t="s">
        <v>48</v>
      </c>
      <c r="AN1776" t="s">
        <v>48</v>
      </c>
      <c r="AO1776" t="s">
        <v>48</v>
      </c>
      <c r="AP1776" s="46">
        <v>0</v>
      </c>
      <c r="AQ1776" s="46">
        <v>0</v>
      </c>
      <c r="AR1776" s="46">
        <v>0</v>
      </c>
      <c r="AS1776" s="46">
        <v>0</v>
      </c>
      <c r="AT1776" s="46">
        <v>0</v>
      </c>
      <c r="AU1776" s="46">
        <v>0</v>
      </c>
      <c r="AV1776" s="46">
        <v>0</v>
      </c>
      <c r="AW1776" s="46">
        <v>0</v>
      </c>
      <c r="AX1776" s="46">
        <v>0</v>
      </c>
      <c r="AY1776" s="46">
        <v>0</v>
      </c>
      <c r="AZ1776" s="46">
        <v>0</v>
      </c>
      <c r="BA1776" s="46">
        <v>0</v>
      </c>
      <c r="BB1776" s="46">
        <v>0</v>
      </c>
      <c r="BC1776" s="46">
        <v>0</v>
      </c>
      <c r="BD1776" s="46">
        <v>0</v>
      </c>
      <c r="BE1776" s="46">
        <v>0</v>
      </c>
      <c r="BF1776" s="46">
        <v>0</v>
      </c>
      <c r="BG1776" s="46" t="s">
        <v>48</v>
      </c>
      <c r="BH1776" s="46">
        <v>0</v>
      </c>
      <c r="BI1776" s="46">
        <v>0</v>
      </c>
      <c r="BJ1776" s="46">
        <v>0</v>
      </c>
      <c r="BK1776" s="46">
        <v>0</v>
      </c>
      <c r="BL1776" s="46">
        <v>0</v>
      </c>
      <c r="BM1776" s="46">
        <v>0</v>
      </c>
      <c r="BN1776" s="46">
        <v>0</v>
      </c>
    </row>
    <row r="1777" spans="1:66" x14ac:dyDescent="0.35">
      <c r="A1777" t="s">
        <v>3643</v>
      </c>
      <c r="B1777" s="44" t="s">
        <v>48</v>
      </c>
      <c r="C1777" t="s">
        <v>3645</v>
      </c>
      <c r="D1777" t="s">
        <v>210</v>
      </c>
      <c r="E1777" t="s">
        <v>3644</v>
      </c>
      <c r="F1777" t="s">
        <v>3636</v>
      </c>
      <c r="G1777" t="s">
        <v>47</v>
      </c>
      <c r="H1777">
        <v>0</v>
      </c>
      <c r="I1777" s="60" t="s">
        <v>51</v>
      </c>
      <c r="J1777" s="33" t="s">
        <v>45</v>
      </c>
      <c r="K1777" s="46">
        <v>0</v>
      </c>
      <c r="L1777">
        <v>0.8</v>
      </c>
      <c r="M1777" t="s">
        <v>48</v>
      </c>
      <c r="N1777" s="46">
        <v>0</v>
      </c>
      <c r="O1777" s="46">
        <v>0</v>
      </c>
      <c r="P1777" s="46">
        <v>0</v>
      </c>
      <c r="Q1777" t="s">
        <v>48</v>
      </c>
      <c r="R1777" t="s">
        <v>48</v>
      </c>
      <c r="S1777" t="s">
        <v>10181</v>
      </c>
      <c r="T1777" t="s">
        <v>48</v>
      </c>
      <c r="U1777" t="s">
        <v>10181</v>
      </c>
      <c r="V1777" s="47">
        <v>1</v>
      </c>
      <c r="W1777" t="s">
        <v>48</v>
      </c>
      <c r="X1777" t="s">
        <v>48</v>
      </c>
      <c r="Y1777" t="s">
        <v>48</v>
      </c>
      <c r="Z1777">
        <v>0</v>
      </c>
      <c r="AA1777" t="s">
        <v>48</v>
      </c>
      <c r="AB1777" t="s">
        <v>48</v>
      </c>
      <c r="AC1777" t="s">
        <v>49</v>
      </c>
      <c r="AD1777" t="s">
        <v>48</v>
      </c>
      <c r="AE1777" t="s">
        <v>48</v>
      </c>
      <c r="AF1777" t="s">
        <v>48</v>
      </c>
      <c r="AG1777" t="s">
        <v>48</v>
      </c>
      <c r="AH1777" t="s">
        <v>48</v>
      </c>
      <c r="AI1777" t="s">
        <v>48</v>
      </c>
      <c r="AJ1777" t="s">
        <v>48</v>
      </c>
      <c r="AK1777" t="s">
        <v>48</v>
      </c>
      <c r="AL1777" t="s">
        <v>48</v>
      </c>
      <c r="AM1777" t="s">
        <v>48</v>
      </c>
      <c r="AN1777" t="s">
        <v>48</v>
      </c>
      <c r="AO1777" t="s">
        <v>48</v>
      </c>
      <c r="AP1777" s="46">
        <v>0</v>
      </c>
      <c r="AQ1777" s="46">
        <v>0</v>
      </c>
      <c r="AR1777" s="46">
        <v>0</v>
      </c>
      <c r="AS1777" s="46">
        <v>0</v>
      </c>
      <c r="AT1777" s="46">
        <v>0</v>
      </c>
      <c r="AU1777" s="46">
        <v>0</v>
      </c>
      <c r="AV1777" s="46">
        <v>0</v>
      </c>
      <c r="AW1777" s="46">
        <v>0</v>
      </c>
      <c r="AX1777" s="46">
        <v>0</v>
      </c>
      <c r="AY1777" s="46">
        <v>0</v>
      </c>
      <c r="AZ1777" s="46">
        <v>0</v>
      </c>
      <c r="BA1777" s="46">
        <v>0</v>
      </c>
      <c r="BB1777" s="46">
        <v>0</v>
      </c>
      <c r="BC1777" s="46">
        <v>0</v>
      </c>
      <c r="BD1777" s="46">
        <v>0</v>
      </c>
      <c r="BE1777" s="46">
        <v>0</v>
      </c>
      <c r="BF1777" s="46">
        <v>0</v>
      </c>
      <c r="BG1777" s="46" t="s">
        <v>48</v>
      </c>
      <c r="BH1777" s="46">
        <v>0</v>
      </c>
      <c r="BI1777" s="46">
        <v>0</v>
      </c>
      <c r="BJ1777" s="46">
        <v>0</v>
      </c>
      <c r="BK1777" s="46">
        <v>0</v>
      </c>
      <c r="BL1777" s="46">
        <v>0</v>
      </c>
      <c r="BM1777" s="46">
        <v>0</v>
      </c>
      <c r="BN1777" s="46">
        <v>0</v>
      </c>
    </row>
    <row r="1778" spans="1:66" x14ac:dyDescent="0.35">
      <c r="A1778" t="s">
        <v>10192</v>
      </c>
      <c r="B1778" s="44" t="s">
        <v>48</v>
      </c>
      <c r="C1778" t="s">
        <v>11987</v>
      </c>
      <c r="D1778" t="s">
        <v>11988</v>
      </c>
      <c r="E1778" t="s">
        <v>10193</v>
      </c>
      <c r="F1778" t="s">
        <v>3657</v>
      </c>
      <c r="G1778" t="s">
        <v>74</v>
      </c>
      <c r="H1778">
        <v>0</v>
      </c>
      <c r="I1778" s="61">
        <v>44783</v>
      </c>
      <c r="J1778" s="33" t="s">
        <v>45</v>
      </c>
      <c r="K1778" s="46">
        <v>0</v>
      </c>
      <c r="L1778">
        <v>2</v>
      </c>
      <c r="M1778" t="s">
        <v>48</v>
      </c>
      <c r="N1778" s="46">
        <v>0</v>
      </c>
      <c r="O1778" s="46">
        <v>0</v>
      </c>
      <c r="P1778" s="46">
        <v>0</v>
      </c>
      <c r="Q1778" t="s">
        <v>48</v>
      </c>
      <c r="R1778" t="s">
        <v>48</v>
      </c>
      <c r="S1778" t="s">
        <v>48</v>
      </c>
      <c r="T1778" t="s">
        <v>48</v>
      </c>
      <c r="U1778" t="s">
        <v>48</v>
      </c>
      <c r="V1778" s="47">
        <v>1</v>
      </c>
      <c r="W1778" t="s">
        <v>48</v>
      </c>
      <c r="X1778" t="s">
        <v>48</v>
      </c>
      <c r="Y1778" t="s">
        <v>48</v>
      </c>
      <c r="Z1778" t="s">
        <v>48</v>
      </c>
      <c r="AA1778" t="s">
        <v>48</v>
      </c>
      <c r="AB1778" t="s">
        <v>48</v>
      </c>
      <c r="AC1778" t="s">
        <v>49</v>
      </c>
      <c r="AD1778" t="s">
        <v>48</v>
      </c>
      <c r="AE1778" t="s">
        <v>48</v>
      </c>
      <c r="AF1778" t="s">
        <v>48</v>
      </c>
      <c r="AG1778" t="s">
        <v>48</v>
      </c>
      <c r="AH1778" t="s">
        <v>48</v>
      </c>
      <c r="AI1778" t="s">
        <v>48</v>
      </c>
      <c r="AJ1778" t="s">
        <v>48</v>
      </c>
      <c r="AK1778" t="s">
        <v>48</v>
      </c>
      <c r="AL1778" t="s">
        <v>48</v>
      </c>
      <c r="AM1778" t="s">
        <v>48</v>
      </c>
      <c r="AN1778" t="s">
        <v>48</v>
      </c>
      <c r="AO1778" t="s">
        <v>48</v>
      </c>
      <c r="AP1778" s="46">
        <v>0</v>
      </c>
      <c r="AQ1778" s="46">
        <v>0</v>
      </c>
      <c r="AR1778" s="46">
        <v>0</v>
      </c>
      <c r="AS1778" s="46">
        <v>0</v>
      </c>
      <c r="AT1778" s="46">
        <v>0</v>
      </c>
      <c r="AU1778" s="46">
        <v>0</v>
      </c>
      <c r="AV1778" s="46">
        <v>0</v>
      </c>
      <c r="AW1778" s="46">
        <v>0</v>
      </c>
      <c r="AX1778" s="46">
        <v>0</v>
      </c>
      <c r="AY1778" s="46">
        <v>0</v>
      </c>
      <c r="AZ1778" s="46">
        <v>0</v>
      </c>
      <c r="BA1778" s="46">
        <v>0</v>
      </c>
      <c r="BB1778" s="46">
        <v>0</v>
      </c>
      <c r="BC1778" s="46">
        <v>0</v>
      </c>
      <c r="BD1778" s="46">
        <v>0</v>
      </c>
      <c r="BE1778" s="46">
        <v>0</v>
      </c>
      <c r="BF1778" s="46">
        <v>0</v>
      </c>
      <c r="BG1778" s="46" t="s">
        <v>48</v>
      </c>
      <c r="BH1778" s="46">
        <v>0</v>
      </c>
      <c r="BI1778" s="46">
        <v>0</v>
      </c>
      <c r="BJ1778" s="46">
        <v>0</v>
      </c>
      <c r="BK1778" s="46">
        <v>0</v>
      </c>
      <c r="BL1778" s="46">
        <v>0</v>
      </c>
      <c r="BM1778" s="46">
        <v>0</v>
      </c>
      <c r="BN1778" s="46">
        <v>0</v>
      </c>
    </row>
    <row r="1779" spans="1:66" x14ac:dyDescent="0.35">
      <c r="A1779" t="s">
        <v>10196</v>
      </c>
      <c r="B1779" s="44" t="s">
        <v>48</v>
      </c>
      <c r="C1779" t="s">
        <v>11991</v>
      </c>
      <c r="D1779" t="s">
        <v>3870</v>
      </c>
      <c r="E1779" t="s">
        <v>10197</v>
      </c>
      <c r="F1779" t="s">
        <v>3657</v>
      </c>
      <c r="G1779" t="s">
        <v>47</v>
      </c>
      <c r="H1779">
        <v>0</v>
      </c>
      <c r="I1779" s="61">
        <v>44783</v>
      </c>
      <c r="J1779" s="33" t="s">
        <v>45</v>
      </c>
      <c r="K1779" s="46">
        <v>0</v>
      </c>
      <c r="L1779">
        <v>26.7</v>
      </c>
      <c r="M1779" t="s">
        <v>48</v>
      </c>
      <c r="N1779" s="46">
        <v>0</v>
      </c>
      <c r="O1779" s="46">
        <v>0</v>
      </c>
      <c r="P1779" s="46">
        <v>0</v>
      </c>
      <c r="Q1779" t="s">
        <v>48</v>
      </c>
      <c r="R1779" t="s">
        <v>48</v>
      </c>
      <c r="S1779" t="s">
        <v>48</v>
      </c>
      <c r="T1779" t="s">
        <v>48</v>
      </c>
      <c r="U1779" t="s">
        <v>48</v>
      </c>
      <c r="V1779" s="47">
        <v>1</v>
      </c>
      <c r="W1779" t="s">
        <v>11264</v>
      </c>
      <c r="X1779" t="s">
        <v>48</v>
      </c>
      <c r="Y1779" t="s">
        <v>48</v>
      </c>
      <c r="Z1779" t="s">
        <v>48</v>
      </c>
      <c r="AA1779" t="s">
        <v>48</v>
      </c>
      <c r="AB1779" t="s">
        <v>48</v>
      </c>
      <c r="AC1779" t="s">
        <v>63</v>
      </c>
      <c r="AD1779" t="s">
        <v>48</v>
      </c>
      <c r="AE1779" t="s">
        <v>48</v>
      </c>
      <c r="AF1779" t="s">
        <v>48</v>
      </c>
      <c r="AG1779" t="s">
        <v>48</v>
      </c>
      <c r="AH1779" t="s">
        <v>48</v>
      </c>
      <c r="AI1779" t="s">
        <v>48</v>
      </c>
      <c r="AJ1779" t="s">
        <v>48</v>
      </c>
      <c r="AK1779" t="s">
        <v>48</v>
      </c>
      <c r="AL1779" t="s">
        <v>48</v>
      </c>
      <c r="AM1779" t="s">
        <v>48</v>
      </c>
      <c r="AN1779" t="s">
        <v>48</v>
      </c>
      <c r="AO1779" t="s">
        <v>48</v>
      </c>
      <c r="AP1779" s="46">
        <v>0</v>
      </c>
      <c r="AQ1779" s="46">
        <v>0</v>
      </c>
      <c r="AR1779" s="46">
        <v>0</v>
      </c>
      <c r="AS1779" s="46">
        <v>0</v>
      </c>
      <c r="AT1779" s="46">
        <v>0</v>
      </c>
      <c r="AU1779" s="46">
        <v>0</v>
      </c>
      <c r="AV1779" s="46">
        <v>0</v>
      </c>
      <c r="AW1779" s="46">
        <v>0</v>
      </c>
      <c r="AX1779" s="46">
        <v>0</v>
      </c>
      <c r="AY1779" s="46">
        <v>0</v>
      </c>
      <c r="AZ1779" s="46">
        <v>0</v>
      </c>
      <c r="BA1779" s="46">
        <v>0</v>
      </c>
      <c r="BB1779" s="46">
        <v>0</v>
      </c>
      <c r="BC1779" s="46">
        <v>0</v>
      </c>
      <c r="BD1779" s="46">
        <v>0</v>
      </c>
      <c r="BE1779" s="46">
        <v>0</v>
      </c>
      <c r="BF1779" s="46">
        <v>0</v>
      </c>
      <c r="BG1779" s="46" t="s">
        <v>48</v>
      </c>
      <c r="BH1779" s="46">
        <v>0</v>
      </c>
      <c r="BI1779" s="46">
        <v>0</v>
      </c>
      <c r="BJ1779" s="46">
        <v>0</v>
      </c>
      <c r="BK1779" s="46">
        <v>0</v>
      </c>
      <c r="BL1779" s="46">
        <v>0</v>
      </c>
      <c r="BM1779" s="46">
        <v>0</v>
      </c>
      <c r="BN1779" s="46">
        <v>0</v>
      </c>
    </row>
    <row r="1780" spans="1:66" x14ac:dyDescent="0.35">
      <c r="A1780" t="s">
        <v>10198</v>
      </c>
      <c r="B1780" s="44" t="s">
        <v>48</v>
      </c>
      <c r="C1780" t="s">
        <v>11990</v>
      </c>
      <c r="D1780" t="s">
        <v>396</v>
      </c>
      <c r="E1780" t="s">
        <v>10199</v>
      </c>
      <c r="F1780" t="s">
        <v>3657</v>
      </c>
      <c r="G1780" t="s">
        <v>47</v>
      </c>
      <c r="H1780">
        <v>0</v>
      </c>
      <c r="I1780" s="61">
        <v>44783</v>
      </c>
      <c r="J1780" s="33" t="s">
        <v>45</v>
      </c>
      <c r="K1780" s="46">
        <v>0</v>
      </c>
      <c r="L1780">
        <v>22.8</v>
      </c>
      <c r="M1780" t="s">
        <v>48</v>
      </c>
      <c r="N1780" s="46">
        <v>0</v>
      </c>
      <c r="O1780" s="46">
        <v>0</v>
      </c>
      <c r="P1780" s="46">
        <v>0</v>
      </c>
      <c r="Q1780" t="s">
        <v>48</v>
      </c>
      <c r="R1780" t="s">
        <v>48</v>
      </c>
      <c r="S1780" t="s">
        <v>48</v>
      </c>
      <c r="T1780" t="s">
        <v>48</v>
      </c>
      <c r="U1780" t="s">
        <v>48</v>
      </c>
      <c r="V1780" s="47">
        <v>1</v>
      </c>
      <c r="W1780" t="s">
        <v>48</v>
      </c>
      <c r="X1780" t="s">
        <v>48</v>
      </c>
      <c r="Y1780" t="s">
        <v>48</v>
      </c>
      <c r="Z1780" t="s">
        <v>48</v>
      </c>
      <c r="AA1780" t="s">
        <v>48</v>
      </c>
      <c r="AB1780" t="s">
        <v>48</v>
      </c>
      <c r="AC1780" t="s">
        <v>49</v>
      </c>
      <c r="AD1780" t="s">
        <v>48</v>
      </c>
      <c r="AE1780" t="s">
        <v>48</v>
      </c>
      <c r="AF1780" t="s">
        <v>48</v>
      </c>
      <c r="AG1780" t="s">
        <v>48</v>
      </c>
      <c r="AH1780" t="s">
        <v>48</v>
      </c>
      <c r="AI1780" t="s">
        <v>48</v>
      </c>
      <c r="AJ1780" t="s">
        <v>48</v>
      </c>
      <c r="AK1780" t="s">
        <v>48</v>
      </c>
      <c r="AL1780" t="s">
        <v>48</v>
      </c>
      <c r="AM1780" t="s">
        <v>48</v>
      </c>
      <c r="AN1780" t="s">
        <v>48</v>
      </c>
      <c r="AO1780" t="s">
        <v>48</v>
      </c>
      <c r="AP1780" s="46">
        <v>0</v>
      </c>
      <c r="AQ1780" s="46">
        <v>0</v>
      </c>
      <c r="AR1780" s="46">
        <v>0</v>
      </c>
      <c r="AS1780" s="46">
        <v>0</v>
      </c>
      <c r="AT1780" s="46">
        <v>0</v>
      </c>
      <c r="AU1780" s="46">
        <v>0</v>
      </c>
      <c r="AV1780" s="46">
        <v>0</v>
      </c>
      <c r="AW1780" s="46">
        <v>0</v>
      </c>
      <c r="AX1780" s="46">
        <v>0</v>
      </c>
      <c r="AY1780" s="46">
        <v>0</v>
      </c>
      <c r="AZ1780" s="46">
        <v>0</v>
      </c>
      <c r="BA1780" s="46">
        <v>0</v>
      </c>
      <c r="BB1780" s="46">
        <v>0</v>
      </c>
      <c r="BC1780" s="46">
        <v>0</v>
      </c>
      <c r="BD1780" s="46">
        <v>0</v>
      </c>
      <c r="BE1780" s="46">
        <v>0</v>
      </c>
      <c r="BF1780" s="46">
        <v>0</v>
      </c>
      <c r="BG1780" s="46" t="s">
        <v>48</v>
      </c>
      <c r="BH1780" s="46">
        <v>0</v>
      </c>
      <c r="BI1780" s="46">
        <v>0</v>
      </c>
      <c r="BJ1780" s="46">
        <v>0</v>
      </c>
      <c r="BK1780" s="46">
        <v>0</v>
      </c>
      <c r="BL1780" s="46">
        <v>0</v>
      </c>
      <c r="BM1780" s="46">
        <v>0</v>
      </c>
      <c r="BN1780" s="46">
        <v>0</v>
      </c>
    </row>
    <row r="1781" spans="1:66" x14ac:dyDescent="0.35">
      <c r="A1781" t="s">
        <v>10200</v>
      </c>
      <c r="B1781" s="44" t="s">
        <v>48</v>
      </c>
      <c r="C1781" t="s">
        <v>11984</v>
      </c>
      <c r="D1781" t="s">
        <v>3092</v>
      </c>
      <c r="E1781" t="s">
        <v>10201</v>
      </c>
      <c r="F1781" t="s">
        <v>3657</v>
      </c>
      <c r="G1781" t="s">
        <v>47</v>
      </c>
      <c r="H1781">
        <v>0</v>
      </c>
      <c r="I1781" s="61">
        <v>44783</v>
      </c>
      <c r="J1781" s="33" t="s">
        <v>45</v>
      </c>
      <c r="K1781" s="46">
        <v>0</v>
      </c>
      <c r="L1781">
        <v>15.3</v>
      </c>
      <c r="M1781" t="s">
        <v>48</v>
      </c>
      <c r="N1781" s="46">
        <v>0</v>
      </c>
      <c r="O1781" s="46">
        <v>0</v>
      </c>
      <c r="P1781" s="46">
        <v>0</v>
      </c>
      <c r="Q1781" t="s">
        <v>48</v>
      </c>
      <c r="R1781" t="s">
        <v>48</v>
      </c>
      <c r="S1781" t="s">
        <v>48</v>
      </c>
      <c r="T1781" t="s">
        <v>48</v>
      </c>
      <c r="U1781" t="s">
        <v>48</v>
      </c>
      <c r="V1781" s="47">
        <v>1</v>
      </c>
      <c r="W1781" t="s">
        <v>48</v>
      </c>
      <c r="X1781" t="s">
        <v>48</v>
      </c>
      <c r="Y1781" t="s">
        <v>48</v>
      </c>
      <c r="Z1781" t="s">
        <v>48</v>
      </c>
      <c r="AA1781" t="s">
        <v>48</v>
      </c>
      <c r="AB1781" t="s">
        <v>48</v>
      </c>
      <c r="AC1781" t="s">
        <v>49</v>
      </c>
      <c r="AD1781" t="s">
        <v>93</v>
      </c>
      <c r="AE1781" t="s">
        <v>4532</v>
      </c>
      <c r="AF1781" t="s">
        <v>48</v>
      </c>
      <c r="AG1781" t="s">
        <v>48</v>
      </c>
      <c r="AH1781" t="s">
        <v>48</v>
      </c>
      <c r="AI1781" t="s">
        <v>48</v>
      </c>
      <c r="AJ1781" t="s">
        <v>48</v>
      </c>
      <c r="AK1781" t="s">
        <v>48</v>
      </c>
      <c r="AL1781" t="s">
        <v>48</v>
      </c>
      <c r="AM1781" t="s">
        <v>48</v>
      </c>
      <c r="AN1781" t="s">
        <v>48</v>
      </c>
      <c r="AO1781" t="s">
        <v>48</v>
      </c>
      <c r="AP1781" s="46">
        <v>0</v>
      </c>
      <c r="AQ1781" s="46">
        <v>0</v>
      </c>
      <c r="AR1781" s="46">
        <v>0</v>
      </c>
      <c r="AS1781" s="46">
        <v>0</v>
      </c>
      <c r="AT1781" s="46">
        <v>0</v>
      </c>
      <c r="AU1781" s="46">
        <v>0</v>
      </c>
      <c r="AV1781" s="46">
        <v>0</v>
      </c>
      <c r="AW1781" s="46">
        <v>0</v>
      </c>
      <c r="AX1781" s="46">
        <v>0</v>
      </c>
      <c r="AY1781" s="46">
        <v>0</v>
      </c>
      <c r="AZ1781" s="46">
        <v>0</v>
      </c>
      <c r="BA1781" s="46">
        <v>0</v>
      </c>
      <c r="BB1781" s="46">
        <v>0</v>
      </c>
      <c r="BC1781" s="46">
        <v>0</v>
      </c>
      <c r="BD1781" s="46">
        <v>0</v>
      </c>
      <c r="BE1781" s="46">
        <v>0</v>
      </c>
      <c r="BF1781" s="46">
        <v>0</v>
      </c>
      <c r="BG1781" s="46" t="s">
        <v>48</v>
      </c>
      <c r="BH1781" s="46">
        <v>0</v>
      </c>
      <c r="BI1781" s="46">
        <v>0</v>
      </c>
      <c r="BJ1781" s="46">
        <v>0</v>
      </c>
      <c r="BK1781" s="46">
        <v>0</v>
      </c>
      <c r="BL1781" s="46">
        <v>0</v>
      </c>
      <c r="BM1781" s="46">
        <v>0</v>
      </c>
      <c r="BN1781" s="46">
        <v>0</v>
      </c>
    </row>
    <row r="1782" spans="1:66" x14ac:dyDescent="0.35">
      <c r="A1782" t="s">
        <v>10187</v>
      </c>
      <c r="B1782" s="44" t="s">
        <v>48</v>
      </c>
      <c r="C1782" t="s">
        <v>2437</v>
      </c>
      <c r="D1782" t="s">
        <v>11986</v>
      </c>
      <c r="E1782" t="s">
        <v>10188</v>
      </c>
      <c r="F1782" t="s">
        <v>3657</v>
      </c>
      <c r="G1782" t="s">
        <v>74</v>
      </c>
      <c r="H1782">
        <v>0</v>
      </c>
      <c r="I1782" s="61">
        <v>44783</v>
      </c>
      <c r="J1782" s="33" t="s">
        <v>45</v>
      </c>
      <c r="K1782" s="46">
        <v>0</v>
      </c>
      <c r="L1782">
        <v>7.6</v>
      </c>
      <c r="M1782" t="s">
        <v>48</v>
      </c>
      <c r="N1782" s="46">
        <v>0</v>
      </c>
      <c r="O1782" s="46">
        <v>0</v>
      </c>
      <c r="P1782" s="46">
        <v>0</v>
      </c>
      <c r="Q1782" t="s">
        <v>48</v>
      </c>
      <c r="R1782" t="s">
        <v>48</v>
      </c>
      <c r="S1782" t="s">
        <v>10189</v>
      </c>
      <c r="T1782" t="s">
        <v>48</v>
      </c>
      <c r="U1782" t="s">
        <v>10189</v>
      </c>
      <c r="V1782" s="47">
        <v>1</v>
      </c>
      <c r="W1782" t="s">
        <v>48</v>
      </c>
      <c r="X1782" t="s">
        <v>48</v>
      </c>
      <c r="Y1782" t="s">
        <v>48</v>
      </c>
      <c r="Z1782" t="s">
        <v>48</v>
      </c>
      <c r="AA1782" t="s">
        <v>48</v>
      </c>
      <c r="AB1782" t="s">
        <v>48</v>
      </c>
      <c r="AC1782" t="s">
        <v>49</v>
      </c>
      <c r="AD1782" t="s">
        <v>93</v>
      </c>
      <c r="AE1782" t="s">
        <v>2471</v>
      </c>
      <c r="AF1782" t="s">
        <v>48</v>
      </c>
      <c r="AG1782" t="s">
        <v>48</v>
      </c>
      <c r="AH1782" t="s">
        <v>48</v>
      </c>
      <c r="AI1782" t="s">
        <v>48</v>
      </c>
      <c r="AJ1782" t="s">
        <v>48</v>
      </c>
      <c r="AK1782" t="s">
        <v>48</v>
      </c>
      <c r="AL1782" t="s">
        <v>48</v>
      </c>
      <c r="AM1782" t="s">
        <v>48</v>
      </c>
      <c r="AN1782" t="s">
        <v>48</v>
      </c>
      <c r="AO1782" t="s">
        <v>48</v>
      </c>
      <c r="AP1782" s="46">
        <v>0</v>
      </c>
      <c r="AQ1782" s="46">
        <v>0</v>
      </c>
      <c r="AR1782" s="46">
        <v>0</v>
      </c>
      <c r="AS1782" s="46">
        <v>0</v>
      </c>
      <c r="AT1782" s="46">
        <v>0</v>
      </c>
      <c r="AU1782" s="46">
        <v>0</v>
      </c>
      <c r="AV1782" s="46">
        <v>0</v>
      </c>
      <c r="AW1782" s="46">
        <v>0</v>
      </c>
      <c r="AX1782" s="46">
        <v>0</v>
      </c>
      <c r="AY1782" s="46">
        <v>0</v>
      </c>
      <c r="AZ1782" s="46">
        <v>0</v>
      </c>
      <c r="BA1782" s="46">
        <v>0</v>
      </c>
      <c r="BB1782" s="46">
        <v>0</v>
      </c>
      <c r="BC1782" s="46">
        <v>0</v>
      </c>
      <c r="BD1782" s="46">
        <v>0</v>
      </c>
      <c r="BE1782" s="46">
        <v>0</v>
      </c>
      <c r="BF1782" s="46">
        <v>0</v>
      </c>
      <c r="BG1782" s="46" t="s">
        <v>48</v>
      </c>
      <c r="BH1782" s="46">
        <v>0</v>
      </c>
      <c r="BI1782" s="46">
        <v>0</v>
      </c>
      <c r="BJ1782" s="46">
        <v>0</v>
      </c>
      <c r="BK1782" s="46">
        <v>0</v>
      </c>
      <c r="BL1782" s="46">
        <v>0</v>
      </c>
      <c r="BM1782" s="46">
        <v>0</v>
      </c>
      <c r="BN1782" s="46">
        <v>0</v>
      </c>
    </row>
    <row r="1783" spans="1:66" x14ac:dyDescent="0.35">
      <c r="A1783" t="s">
        <v>10190</v>
      </c>
      <c r="B1783" s="44" t="s">
        <v>48</v>
      </c>
      <c r="C1783" t="s">
        <v>11989</v>
      </c>
      <c r="D1783" t="s">
        <v>2229</v>
      </c>
      <c r="E1783" t="s">
        <v>10191</v>
      </c>
      <c r="F1783" t="s">
        <v>3657</v>
      </c>
      <c r="G1783" t="s">
        <v>74</v>
      </c>
      <c r="H1783">
        <v>0</v>
      </c>
      <c r="I1783" s="61">
        <v>44783</v>
      </c>
      <c r="J1783" s="33" t="s">
        <v>45</v>
      </c>
      <c r="K1783" s="46">
        <v>0</v>
      </c>
      <c r="L1783">
        <v>5.2</v>
      </c>
      <c r="M1783" t="s">
        <v>48</v>
      </c>
      <c r="N1783" s="46">
        <v>0</v>
      </c>
      <c r="O1783" s="46">
        <v>0</v>
      </c>
      <c r="P1783" s="46">
        <v>0</v>
      </c>
      <c r="Q1783" t="s">
        <v>48</v>
      </c>
      <c r="R1783" t="s">
        <v>48</v>
      </c>
      <c r="S1783" t="s">
        <v>48</v>
      </c>
      <c r="T1783" t="s">
        <v>48</v>
      </c>
      <c r="U1783" t="s">
        <v>48</v>
      </c>
      <c r="V1783" s="47">
        <v>0</v>
      </c>
      <c r="W1783" t="s">
        <v>48</v>
      </c>
      <c r="X1783" t="s">
        <v>48</v>
      </c>
      <c r="Y1783" t="s">
        <v>48</v>
      </c>
      <c r="Z1783" t="s">
        <v>48</v>
      </c>
      <c r="AA1783" t="s">
        <v>48</v>
      </c>
      <c r="AB1783" t="s">
        <v>48</v>
      </c>
      <c r="AC1783" t="s">
        <v>49</v>
      </c>
      <c r="AD1783" t="s">
        <v>93</v>
      </c>
      <c r="AE1783" t="s">
        <v>2471</v>
      </c>
      <c r="AF1783" t="s">
        <v>48</v>
      </c>
      <c r="AG1783" t="s">
        <v>48</v>
      </c>
      <c r="AH1783" t="s">
        <v>48</v>
      </c>
      <c r="AI1783" t="s">
        <v>48</v>
      </c>
      <c r="AJ1783" t="s">
        <v>48</v>
      </c>
      <c r="AK1783" t="s">
        <v>48</v>
      </c>
      <c r="AL1783" t="s">
        <v>48</v>
      </c>
      <c r="AM1783" t="s">
        <v>48</v>
      </c>
      <c r="AN1783" t="s">
        <v>48</v>
      </c>
      <c r="AO1783" t="s">
        <v>48</v>
      </c>
      <c r="AP1783" s="46">
        <v>0</v>
      </c>
      <c r="AQ1783" s="46">
        <v>0</v>
      </c>
      <c r="AR1783" s="46">
        <v>0</v>
      </c>
      <c r="AS1783" s="46">
        <v>0</v>
      </c>
      <c r="AT1783" s="46">
        <v>0</v>
      </c>
      <c r="AU1783" s="46">
        <v>0</v>
      </c>
      <c r="AV1783" s="46">
        <v>0</v>
      </c>
      <c r="AW1783" s="46">
        <v>0</v>
      </c>
      <c r="AX1783" s="46">
        <v>0</v>
      </c>
      <c r="AY1783" s="46">
        <v>0</v>
      </c>
      <c r="AZ1783" s="46">
        <v>0</v>
      </c>
      <c r="BA1783" s="46">
        <v>0</v>
      </c>
      <c r="BB1783" s="46">
        <v>0</v>
      </c>
      <c r="BC1783" s="46">
        <v>0</v>
      </c>
      <c r="BD1783" s="46">
        <v>0</v>
      </c>
      <c r="BE1783" s="46">
        <v>0</v>
      </c>
      <c r="BF1783" s="46">
        <v>0</v>
      </c>
      <c r="BG1783" s="46" t="s">
        <v>48</v>
      </c>
      <c r="BH1783" s="46">
        <v>0</v>
      </c>
      <c r="BI1783" s="46">
        <v>0</v>
      </c>
      <c r="BJ1783" s="46">
        <v>0</v>
      </c>
      <c r="BK1783" s="46">
        <v>0</v>
      </c>
      <c r="BL1783" s="46">
        <v>0</v>
      </c>
      <c r="BM1783" s="46">
        <v>0</v>
      </c>
      <c r="BN1783" s="46">
        <v>0</v>
      </c>
    </row>
    <row r="1784" spans="1:66" x14ac:dyDescent="0.35">
      <c r="A1784" t="s">
        <v>3667</v>
      </c>
      <c r="B1784" s="44" t="s">
        <v>48</v>
      </c>
      <c r="C1784" t="s">
        <v>3670</v>
      </c>
      <c r="D1784" t="s">
        <v>3669</v>
      </c>
      <c r="E1784" t="s">
        <v>3668</v>
      </c>
      <c r="F1784" t="s">
        <v>3665</v>
      </c>
      <c r="G1784" t="s">
        <v>74</v>
      </c>
      <c r="H1784">
        <v>0</v>
      </c>
      <c r="I1784" s="60" t="s">
        <v>149</v>
      </c>
      <c r="J1784" s="33" t="s">
        <v>45</v>
      </c>
      <c r="K1784" s="46">
        <v>0</v>
      </c>
      <c r="L1784">
        <v>6.3</v>
      </c>
      <c r="M1784" t="s">
        <v>48</v>
      </c>
      <c r="N1784" s="46">
        <v>0</v>
      </c>
      <c r="O1784" s="46">
        <v>0</v>
      </c>
      <c r="P1784" s="46">
        <v>0</v>
      </c>
      <c r="Q1784" t="s">
        <v>48</v>
      </c>
      <c r="R1784" t="s">
        <v>48</v>
      </c>
      <c r="S1784" t="s">
        <v>48</v>
      </c>
      <c r="T1784" t="s">
        <v>48</v>
      </c>
      <c r="U1784" t="s">
        <v>48</v>
      </c>
      <c r="V1784" s="47">
        <v>1</v>
      </c>
      <c r="W1784" t="s">
        <v>48</v>
      </c>
      <c r="X1784" t="s">
        <v>48</v>
      </c>
      <c r="Y1784" t="s">
        <v>48</v>
      </c>
      <c r="Z1784">
        <v>0</v>
      </c>
      <c r="AA1784" t="s">
        <v>48</v>
      </c>
      <c r="AB1784" t="s">
        <v>48</v>
      </c>
      <c r="AC1784" t="s">
        <v>49</v>
      </c>
      <c r="AD1784" t="s">
        <v>93</v>
      </c>
      <c r="AE1784" t="s">
        <v>2471</v>
      </c>
      <c r="AF1784" t="s">
        <v>48</v>
      </c>
      <c r="AG1784" t="s">
        <v>48</v>
      </c>
      <c r="AH1784" t="s">
        <v>48</v>
      </c>
      <c r="AI1784" t="s">
        <v>48</v>
      </c>
      <c r="AJ1784" t="s">
        <v>48</v>
      </c>
      <c r="AK1784" t="s">
        <v>48</v>
      </c>
      <c r="AL1784" t="s">
        <v>48</v>
      </c>
      <c r="AM1784" t="s">
        <v>48</v>
      </c>
      <c r="AN1784" t="s">
        <v>48</v>
      </c>
      <c r="AO1784" t="s">
        <v>48</v>
      </c>
      <c r="AP1784" s="46">
        <v>0</v>
      </c>
      <c r="AQ1784" s="46">
        <v>0</v>
      </c>
      <c r="AR1784" s="46">
        <v>0</v>
      </c>
      <c r="AS1784" s="46">
        <v>0</v>
      </c>
      <c r="AT1784" s="46">
        <v>0</v>
      </c>
      <c r="AU1784" s="46">
        <v>0</v>
      </c>
      <c r="AV1784" s="46">
        <v>0</v>
      </c>
      <c r="AW1784" s="46">
        <v>0</v>
      </c>
      <c r="AX1784" s="46">
        <v>0</v>
      </c>
      <c r="AY1784" s="46">
        <v>0</v>
      </c>
      <c r="AZ1784" s="46">
        <v>0</v>
      </c>
      <c r="BA1784" s="46">
        <v>0</v>
      </c>
      <c r="BB1784" s="46">
        <v>0</v>
      </c>
      <c r="BC1784" s="46">
        <v>0</v>
      </c>
      <c r="BD1784" s="46">
        <v>0</v>
      </c>
      <c r="BE1784" s="46">
        <v>0</v>
      </c>
      <c r="BF1784" s="46">
        <v>0</v>
      </c>
      <c r="BG1784" s="46" t="s">
        <v>48</v>
      </c>
      <c r="BH1784" s="46">
        <v>0</v>
      </c>
      <c r="BI1784" s="46">
        <v>0</v>
      </c>
      <c r="BJ1784" s="46">
        <v>0</v>
      </c>
      <c r="BK1784" s="46">
        <v>0</v>
      </c>
      <c r="BL1784" s="46">
        <v>0</v>
      </c>
      <c r="BM1784" s="46">
        <v>0</v>
      </c>
      <c r="BN1784" s="46">
        <v>0</v>
      </c>
    </row>
    <row r="1785" spans="1:66" x14ac:dyDescent="0.35">
      <c r="A1785" t="s">
        <v>10205</v>
      </c>
      <c r="B1785" s="44" t="s">
        <v>48</v>
      </c>
      <c r="C1785" t="s">
        <v>11993</v>
      </c>
      <c r="D1785" t="s">
        <v>396</v>
      </c>
      <c r="E1785" t="s">
        <v>10206</v>
      </c>
      <c r="F1785" t="s">
        <v>3665</v>
      </c>
      <c r="G1785" t="s">
        <v>47</v>
      </c>
      <c r="H1785">
        <v>0</v>
      </c>
      <c r="I1785" s="61">
        <v>44783</v>
      </c>
      <c r="J1785" s="33" t="s">
        <v>45</v>
      </c>
      <c r="K1785" s="46">
        <v>0</v>
      </c>
      <c r="L1785">
        <v>16.2</v>
      </c>
      <c r="M1785" t="s">
        <v>48</v>
      </c>
      <c r="N1785" s="46">
        <v>0</v>
      </c>
      <c r="O1785" s="46">
        <v>0</v>
      </c>
      <c r="P1785" s="46">
        <v>0</v>
      </c>
      <c r="Q1785" t="s">
        <v>48</v>
      </c>
      <c r="R1785" t="s">
        <v>48</v>
      </c>
      <c r="S1785" t="s">
        <v>48</v>
      </c>
      <c r="T1785" t="s">
        <v>48</v>
      </c>
      <c r="U1785" t="s">
        <v>48</v>
      </c>
      <c r="V1785" s="47">
        <v>1</v>
      </c>
      <c r="W1785" t="s">
        <v>48</v>
      </c>
      <c r="X1785" t="s">
        <v>48</v>
      </c>
      <c r="Y1785" t="s">
        <v>48</v>
      </c>
      <c r="Z1785" t="s">
        <v>48</v>
      </c>
      <c r="AA1785" t="s">
        <v>48</v>
      </c>
      <c r="AB1785" t="s">
        <v>48</v>
      </c>
      <c r="AC1785" t="s">
        <v>49</v>
      </c>
      <c r="AD1785" t="s">
        <v>93</v>
      </c>
      <c r="AE1785" t="s">
        <v>2471</v>
      </c>
      <c r="AF1785" t="s">
        <v>48</v>
      </c>
      <c r="AG1785" t="s">
        <v>48</v>
      </c>
      <c r="AH1785" t="s">
        <v>48</v>
      </c>
      <c r="AI1785" t="s">
        <v>48</v>
      </c>
      <c r="AJ1785" t="s">
        <v>48</v>
      </c>
      <c r="AK1785" t="s">
        <v>48</v>
      </c>
      <c r="AL1785" t="s">
        <v>48</v>
      </c>
      <c r="AM1785" t="s">
        <v>48</v>
      </c>
      <c r="AN1785" t="s">
        <v>48</v>
      </c>
      <c r="AO1785" t="s">
        <v>48</v>
      </c>
      <c r="AP1785" s="46">
        <v>0</v>
      </c>
      <c r="AQ1785" s="46">
        <v>0</v>
      </c>
      <c r="AR1785" s="46">
        <v>0</v>
      </c>
      <c r="AS1785" s="46">
        <v>0</v>
      </c>
      <c r="AT1785" s="46">
        <v>0</v>
      </c>
      <c r="AU1785" s="46">
        <v>0</v>
      </c>
      <c r="AV1785" s="46">
        <v>0</v>
      </c>
      <c r="AW1785" s="46">
        <v>0</v>
      </c>
      <c r="AX1785" s="46">
        <v>0</v>
      </c>
      <c r="AY1785" s="46">
        <v>0</v>
      </c>
      <c r="AZ1785" s="46">
        <v>0</v>
      </c>
      <c r="BA1785" s="46">
        <v>0</v>
      </c>
      <c r="BB1785" s="46">
        <v>0</v>
      </c>
      <c r="BC1785" s="46">
        <v>0</v>
      </c>
      <c r="BD1785" s="46">
        <v>0</v>
      </c>
      <c r="BE1785" s="46">
        <v>0</v>
      </c>
      <c r="BF1785" s="46">
        <v>0</v>
      </c>
      <c r="BG1785" s="46" t="s">
        <v>48</v>
      </c>
      <c r="BH1785" s="46">
        <v>0</v>
      </c>
      <c r="BI1785" s="46">
        <v>0</v>
      </c>
      <c r="BJ1785" s="46">
        <v>0</v>
      </c>
      <c r="BK1785" s="46">
        <v>0</v>
      </c>
      <c r="BL1785" s="46">
        <v>0</v>
      </c>
      <c r="BM1785" s="46">
        <v>0</v>
      </c>
      <c r="BN1785" s="46">
        <v>0</v>
      </c>
    </row>
    <row r="1786" spans="1:66" x14ac:dyDescent="0.35">
      <c r="A1786" t="s">
        <v>3713</v>
      </c>
      <c r="B1786" s="44" t="s">
        <v>48</v>
      </c>
      <c r="C1786" t="s">
        <v>3717</v>
      </c>
      <c r="D1786" t="s">
        <v>1338</v>
      </c>
      <c r="E1786" t="s">
        <v>3715</v>
      </c>
      <c r="F1786" t="s">
        <v>3714</v>
      </c>
      <c r="G1786" t="s">
        <v>47</v>
      </c>
      <c r="H1786">
        <v>0</v>
      </c>
      <c r="I1786" s="60" t="s">
        <v>149</v>
      </c>
      <c r="J1786" s="33" t="s">
        <v>45</v>
      </c>
      <c r="K1786" s="46">
        <v>0</v>
      </c>
      <c r="L1786">
        <v>40.1</v>
      </c>
      <c r="M1786" t="s">
        <v>48</v>
      </c>
      <c r="N1786" s="46">
        <v>0</v>
      </c>
      <c r="O1786" s="46">
        <v>0</v>
      </c>
      <c r="P1786" s="46">
        <v>0</v>
      </c>
      <c r="Q1786" t="s">
        <v>48</v>
      </c>
      <c r="R1786" t="s">
        <v>48</v>
      </c>
      <c r="S1786" t="s">
        <v>3716</v>
      </c>
      <c r="T1786" t="s">
        <v>48</v>
      </c>
      <c r="U1786" t="s">
        <v>3716</v>
      </c>
      <c r="V1786" s="47">
        <v>0</v>
      </c>
      <c r="W1786" t="s">
        <v>48</v>
      </c>
      <c r="X1786" t="s">
        <v>48</v>
      </c>
      <c r="Y1786" t="s">
        <v>48</v>
      </c>
      <c r="Z1786">
        <v>0</v>
      </c>
      <c r="AA1786" t="s">
        <v>48</v>
      </c>
      <c r="AB1786" t="s">
        <v>48</v>
      </c>
      <c r="AC1786" t="s">
        <v>63</v>
      </c>
      <c r="AD1786" t="s">
        <v>93</v>
      </c>
      <c r="AE1786" t="s">
        <v>4532</v>
      </c>
      <c r="AF1786" t="s">
        <v>48</v>
      </c>
      <c r="AG1786" t="s">
        <v>48</v>
      </c>
      <c r="AH1786" t="s">
        <v>48</v>
      </c>
      <c r="AI1786" t="s">
        <v>48</v>
      </c>
      <c r="AJ1786" t="s">
        <v>48</v>
      </c>
      <c r="AK1786" t="s">
        <v>48</v>
      </c>
      <c r="AL1786" t="s">
        <v>48</v>
      </c>
      <c r="AM1786" t="s">
        <v>48</v>
      </c>
      <c r="AN1786" t="s">
        <v>48</v>
      </c>
      <c r="AO1786" t="s">
        <v>48</v>
      </c>
      <c r="AP1786" s="46">
        <v>0</v>
      </c>
      <c r="AQ1786" s="46">
        <v>0</v>
      </c>
      <c r="AR1786" s="46">
        <v>0</v>
      </c>
      <c r="AS1786" s="46">
        <v>0</v>
      </c>
      <c r="AT1786" s="46">
        <v>0</v>
      </c>
      <c r="AU1786" s="46">
        <v>0</v>
      </c>
      <c r="AV1786" s="46">
        <v>0</v>
      </c>
      <c r="AW1786" s="46">
        <v>0</v>
      </c>
      <c r="AX1786" s="46">
        <v>0</v>
      </c>
      <c r="AY1786" s="46">
        <v>0</v>
      </c>
      <c r="AZ1786" s="46">
        <v>0</v>
      </c>
      <c r="BA1786" s="46">
        <v>0</v>
      </c>
      <c r="BB1786" s="46">
        <v>0</v>
      </c>
      <c r="BC1786" s="46">
        <v>0</v>
      </c>
      <c r="BD1786" s="46">
        <v>0</v>
      </c>
      <c r="BE1786" s="46">
        <v>0</v>
      </c>
      <c r="BF1786" s="46">
        <v>0</v>
      </c>
      <c r="BG1786" s="46" t="s">
        <v>48</v>
      </c>
      <c r="BH1786" s="46">
        <v>0</v>
      </c>
      <c r="BI1786" s="46">
        <v>0</v>
      </c>
      <c r="BJ1786" s="46">
        <v>0</v>
      </c>
      <c r="BK1786" s="46">
        <v>0</v>
      </c>
      <c r="BL1786" s="46">
        <v>0</v>
      </c>
      <c r="BM1786" s="46">
        <v>0</v>
      </c>
      <c r="BN1786" s="46">
        <v>0</v>
      </c>
    </row>
    <row r="1787" spans="1:66" x14ac:dyDescent="0.35">
      <c r="A1787" t="s">
        <v>9896</v>
      </c>
      <c r="B1787" s="44" t="s">
        <v>48</v>
      </c>
      <c r="C1787" t="s">
        <v>640</v>
      </c>
      <c r="D1787" t="s">
        <v>253</v>
      </c>
      <c r="E1787" t="s">
        <v>9897</v>
      </c>
      <c r="F1787" t="s">
        <v>3746</v>
      </c>
      <c r="G1787" t="s">
        <v>47</v>
      </c>
      <c r="H1787">
        <v>0</v>
      </c>
      <c r="I1787" s="61">
        <v>44780</v>
      </c>
      <c r="J1787" s="33" t="s">
        <v>45</v>
      </c>
      <c r="K1787" s="46">
        <v>0</v>
      </c>
      <c r="L1787">
        <v>34.799999999999997</v>
      </c>
      <c r="M1787" t="s">
        <v>48</v>
      </c>
      <c r="N1787" s="46">
        <v>0</v>
      </c>
      <c r="O1787" s="46">
        <v>0</v>
      </c>
      <c r="P1787" s="46">
        <v>0</v>
      </c>
      <c r="Q1787" t="s">
        <v>48</v>
      </c>
      <c r="R1787" t="s">
        <v>48</v>
      </c>
      <c r="S1787" s="43" t="s">
        <v>3762</v>
      </c>
      <c r="T1787" s="43" t="s">
        <v>48</v>
      </c>
      <c r="U1787" s="43" t="s">
        <v>3762</v>
      </c>
      <c r="V1787" s="47">
        <v>0</v>
      </c>
      <c r="W1787" t="s">
        <v>48</v>
      </c>
      <c r="X1787" t="s">
        <v>48</v>
      </c>
      <c r="Y1787" t="s">
        <v>48</v>
      </c>
      <c r="Z1787" t="s">
        <v>48</v>
      </c>
      <c r="AA1787" t="s">
        <v>48</v>
      </c>
      <c r="AB1787" t="s">
        <v>48</v>
      </c>
      <c r="AC1787" t="s">
        <v>49</v>
      </c>
      <c r="AD1787" t="s">
        <v>93</v>
      </c>
      <c r="AE1787" t="s">
        <v>4532</v>
      </c>
      <c r="AF1787" t="s">
        <v>48</v>
      </c>
      <c r="AG1787" t="s">
        <v>48</v>
      </c>
      <c r="AH1787" t="s">
        <v>48</v>
      </c>
      <c r="AI1787" t="s">
        <v>48</v>
      </c>
      <c r="AJ1787" t="s">
        <v>48</v>
      </c>
      <c r="AK1787" t="s">
        <v>48</v>
      </c>
      <c r="AL1787" t="s">
        <v>48</v>
      </c>
      <c r="AM1787" t="s">
        <v>48</v>
      </c>
      <c r="AN1787" t="s">
        <v>48</v>
      </c>
      <c r="AO1787" t="s">
        <v>48</v>
      </c>
      <c r="AP1787" s="46">
        <v>0</v>
      </c>
      <c r="AQ1787" s="46">
        <v>0</v>
      </c>
      <c r="AR1787" s="46">
        <v>0</v>
      </c>
      <c r="AS1787" s="46">
        <v>0</v>
      </c>
      <c r="AT1787" s="46">
        <v>0</v>
      </c>
      <c r="AU1787" s="46">
        <v>0</v>
      </c>
      <c r="AV1787" s="46">
        <v>0</v>
      </c>
      <c r="AW1787" s="46">
        <v>0</v>
      </c>
      <c r="AX1787" s="46">
        <v>0</v>
      </c>
      <c r="AY1787" s="46">
        <v>0</v>
      </c>
      <c r="AZ1787" s="46">
        <v>0</v>
      </c>
      <c r="BA1787" s="46">
        <v>0</v>
      </c>
      <c r="BB1787" s="46">
        <v>0</v>
      </c>
      <c r="BC1787" s="46">
        <v>0</v>
      </c>
      <c r="BD1787" s="46">
        <v>0</v>
      </c>
      <c r="BE1787" s="46">
        <v>0</v>
      </c>
      <c r="BF1787" s="46">
        <v>0</v>
      </c>
      <c r="BG1787" s="46" t="s">
        <v>48</v>
      </c>
      <c r="BH1787" s="46">
        <v>0</v>
      </c>
      <c r="BI1787" s="46">
        <v>0</v>
      </c>
      <c r="BJ1787" s="46">
        <v>0</v>
      </c>
      <c r="BK1787" s="46">
        <v>0</v>
      </c>
      <c r="BL1787" s="46">
        <v>0</v>
      </c>
      <c r="BM1787" s="46">
        <v>0</v>
      </c>
      <c r="BN1787" s="46">
        <v>0</v>
      </c>
    </row>
    <row r="1788" spans="1:66" x14ac:dyDescent="0.35">
      <c r="A1788" t="s">
        <v>3757</v>
      </c>
      <c r="B1788" t="s">
        <v>48</v>
      </c>
      <c r="C1788" t="s">
        <v>3761</v>
      </c>
      <c r="D1788" t="s">
        <v>367</v>
      </c>
      <c r="E1788" t="s">
        <v>3758</v>
      </c>
      <c r="F1788" t="s">
        <v>3753</v>
      </c>
      <c r="G1788" t="s">
        <v>47</v>
      </c>
      <c r="H1788">
        <v>0</v>
      </c>
      <c r="I1788" s="60" t="s">
        <v>51</v>
      </c>
      <c r="J1788" s="33" t="s">
        <v>45</v>
      </c>
      <c r="K1788" s="46">
        <v>1</v>
      </c>
      <c r="L1788">
        <v>48.2</v>
      </c>
      <c r="M1788" t="s">
        <v>48</v>
      </c>
      <c r="N1788" s="46">
        <v>0</v>
      </c>
      <c r="O1788" s="46">
        <v>0</v>
      </c>
      <c r="P1788" s="46">
        <v>0</v>
      </c>
      <c r="Q1788" t="s">
        <v>48</v>
      </c>
      <c r="R1788" t="s">
        <v>48</v>
      </c>
      <c r="S1788" t="s">
        <v>3759</v>
      </c>
      <c r="T1788" t="s">
        <v>3760</v>
      </c>
      <c r="U1788" t="s">
        <v>3759</v>
      </c>
      <c r="V1788" s="47">
        <v>0</v>
      </c>
      <c r="W1788" t="s">
        <v>48</v>
      </c>
      <c r="X1788" t="s">
        <v>48</v>
      </c>
      <c r="Y1788" t="s">
        <v>48</v>
      </c>
      <c r="Z1788">
        <v>1</v>
      </c>
      <c r="AA1788" t="s">
        <v>48</v>
      </c>
      <c r="AB1788">
        <v>2020</v>
      </c>
      <c r="AC1788" t="s">
        <v>49</v>
      </c>
      <c r="AD1788" t="s">
        <v>93</v>
      </c>
      <c r="AE1788" t="s">
        <v>4532</v>
      </c>
      <c r="AF1788" t="s">
        <v>48</v>
      </c>
      <c r="AG1788" t="s">
        <v>48</v>
      </c>
      <c r="AH1788" t="s">
        <v>48</v>
      </c>
      <c r="AI1788">
        <v>22137</v>
      </c>
      <c r="AJ1788">
        <v>1988</v>
      </c>
      <c r="AK1788" t="s">
        <v>8996</v>
      </c>
      <c r="AL1788" t="s">
        <v>8997</v>
      </c>
      <c r="AM1788">
        <v>0.23699999999999999</v>
      </c>
      <c r="AN1788">
        <v>0.216</v>
      </c>
      <c r="AO1788">
        <v>0.23699999999999999</v>
      </c>
      <c r="AP1788" s="46">
        <v>0</v>
      </c>
      <c r="AQ1788" s="46">
        <v>0</v>
      </c>
      <c r="AR1788" s="46">
        <v>0</v>
      </c>
      <c r="AS1788" s="46">
        <v>0</v>
      </c>
      <c r="AT1788" s="46">
        <v>0</v>
      </c>
      <c r="AU1788" s="46">
        <v>0</v>
      </c>
      <c r="AV1788" s="46">
        <v>0</v>
      </c>
      <c r="AW1788" s="46">
        <v>0</v>
      </c>
      <c r="AX1788" s="46">
        <v>1</v>
      </c>
      <c r="AY1788" s="46">
        <v>1</v>
      </c>
      <c r="AZ1788" s="46">
        <v>1</v>
      </c>
      <c r="BA1788" s="46">
        <v>1</v>
      </c>
      <c r="BB1788" s="46">
        <v>0</v>
      </c>
      <c r="BC1788" s="46">
        <v>0</v>
      </c>
      <c r="BD1788" s="46">
        <v>0</v>
      </c>
      <c r="BE1788" s="46">
        <v>0</v>
      </c>
      <c r="BF1788" s="46">
        <v>0</v>
      </c>
      <c r="BG1788" s="46" t="s">
        <v>48</v>
      </c>
      <c r="BH1788" s="46">
        <v>0</v>
      </c>
      <c r="BI1788" s="46">
        <v>0</v>
      </c>
      <c r="BJ1788" s="46">
        <v>0</v>
      </c>
      <c r="BK1788" s="46">
        <v>0</v>
      </c>
      <c r="BL1788" s="46">
        <v>0</v>
      </c>
      <c r="BM1788" s="46">
        <v>1</v>
      </c>
      <c r="BN1788" s="46">
        <v>0</v>
      </c>
    </row>
    <row r="1789" spans="1:66" x14ac:dyDescent="0.35">
      <c r="A1789" t="s">
        <v>3780</v>
      </c>
      <c r="B1789" s="44" t="s">
        <v>48</v>
      </c>
      <c r="C1789" t="s">
        <v>12408</v>
      </c>
      <c r="D1789" t="s">
        <v>284</v>
      </c>
      <c r="E1789" t="s">
        <v>9900</v>
      </c>
      <c r="F1789" t="s">
        <v>3775</v>
      </c>
      <c r="G1789" t="s">
        <v>47</v>
      </c>
      <c r="H1789">
        <v>0</v>
      </c>
      <c r="I1789" s="61">
        <v>44780</v>
      </c>
      <c r="J1789" s="33" t="s">
        <v>45</v>
      </c>
      <c r="K1789" s="46">
        <v>0</v>
      </c>
      <c r="L1789">
        <v>32.799999999999997</v>
      </c>
      <c r="M1789" t="s">
        <v>48</v>
      </c>
      <c r="N1789" s="46">
        <v>0</v>
      </c>
      <c r="O1789" s="46">
        <v>0</v>
      </c>
      <c r="P1789" s="46">
        <v>0</v>
      </c>
      <c r="Q1789" t="s">
        <v>48</v>
      </c>
      <c r="R1789" t="s">
        <v>48</v>
      </c>
      <c r="S1789" s="43" t="s">
        <v>10226</v>
      </c>
      <c r="T1789" s="43" t="s">
        <v>48</v>
      </c>
      <c r="U1789" s="43" t="s">
        <v>10226</v>
      </c>
      <c r="V1789" s="47">
        <v>1</v>
      </c>
      <c r="W1789" t="s">
        <v>48</v>
      </c>
      <c r="X1789" t="s">
        <v>48</v>
      </c>
      <c r="Y1789" t="s">
        <v>48</v>
      </c>
      <c r="Z1789">
        <v>0</v>
      </c>
      <c r="AA1789" t="s">
        <v>48</v>
      </c>
      <c r="AB1789" t="s">
        <v>48</v>
      </c>
      <c r="AC1789" t="s">
        <v>63</v>
      </c>
      <c r="AD1789" t="s">
        <v>93</v>
      </c>
      <c r="AE1789" t="s">
        <v>4532</v>
      </c>
      <c r="AF1789" t="s">
        <v>48</v>
      </c>
      <c r="AG1789" t="s">
        <v>48</v>
      </c>
      <c r="AH1789" t="s">
        <v>48</v>
      </c>
      <c r="AI1789" t="s">
        <v>48</v>
      </c>
      <c r="AJ1789" t="s">
        <v>48</v>
      </c>
      <c r="AK1789" t="s">
        <v>48</v>
      </c>
      <c r="AL1789" t="s">
        <v>48</v>
      </c>
      <c r="AM1789" t="s">
        <v>48</v>
      </c>
      <c r="AN1789" t="s">
        <v>48</v>
      </c>
      <c r="AO1789" t="s">
        <v>48</v>
      </c>
      <c r="AP1789" s="46">
        <v>0</v>
      </c>
      <c r="AQ1789" s="46">
        <v>0</v>
      </c>
      <c r="AR1789" s="46">
        <v>0</v>
      </c>
      <c r="AS1789" s="46">
        <v>0</v>
      </c>
      <c r="AT1789" s="46">
        <v>0</v>
      </c>
      <c r="AU1789" s="46">
        <v>0</v>
      </c>
      <c r="AV1789" s="46">
        <v>0</v>
      </c>
      <c r="AW1789" s="46">
        <v>0</v>
      </c>
      <c r="AX1789" s="46">
        <v>0</v>
      </c>
      <c r="AY1789" s="46">
        <v>0</v>
      </c>
      <c r="AZ1789" s="46">
        <v>0</v>
      </c>
      <c r="BA1789" s="46">
        <v>0</v>
      </c>
      <c r="BB1789" s="46">
        <v>0</v>
      </c>
      <c r="BC1789" s="46">
        <v>0</v>
      </c>
      <c r="BD1789" s="46">
        <v>0</v>
      </c>
      <c r="BE1789" s="46">
        <v>0</v>
      </c>
      <c r="BF1789" s="46">
        <v>0</v>
      </c>
      <c r="BG1789" s="46" t="s">
        <v>48</v>
      </c>
      <c r="BH1789" s="46">
        <v>0</v>
      </c>
      <c r="BI1789" s="46">
        <v>0</v>
      </c>
      <c r="BJ1789" s="46">
        <v>0</v>
      </c>
      <c r="BK1789" s="46">
        <v>0</v>
      </c>
      <c r="BL1789" s="46">
        <v>0</v>
      </c>
      <c r="BM1789" s="46">
        <v>0</v>
      </c>
      <c r="BN1789" s="46">
        <v>0</v>
      </c>
    </row>
    <row r="1790" spans="1:66" x14ac:dyDescent="0.35">
      <c r="A1790" t="s">
        <v>9903</v>
      </c>
      <c r="B1790" s="44" t="s">
        <v>48</v>
      </c>
      <c r="C1790" t="s">
        <v>12003</v>
      </c>
      <c r="D1790" t="s">
        <v>12004</v>
      </c>
      <c r="E1790" t="s">
        <v>9904</v>
      </c>
      <c r="F1790" t="s">
        <v>3779</v>
      </c>
      <c r="G1790" t="s">
        <v>47</v>
      </c>
      <c r="H1790">
        <v>0</v>
      </c>
      <c r="I1790" s="61">
        <v>44782</v>
      </c>
      <c r="J1790" s="33" t="s">
        <v>45</v>
      </c>
      <c r="K1790" s="46">
        <v>0</v>
      </c>
      <c r="L1790">
        <v>46.3</v>
      </c>
      <c r="M1790" t="s">
        <v>48</v>
      </c>
      <c r="N1790" s="46">
        <v>0</v>
      </c>
      <c r="O1790" s="46">
        <v>0</v>
      </c>
      <c r="P1790" s="46">
        <v>0</v>
      </c>
      <c r="Q1790" t="s">
        <v>48</v>
      </c>
      <c r="R1790" t="s">
        <v>48</v>
      </c>
      <c r="S1790" s="43" t="s">
        <v>10228</v>
      </c>
      <c r="T1790" s="43" t="s">
        <v>48</v>
      </c>
      <c r="U1790" s="43" t="s">
        <v>10228</v>
      </c>
      <c r="V1790" s="47">
        <v>1</v>
      </c>
      <c r="W1790" t="s">
        <v>48</v>
      </c>
      <c r="X1790" t="s">
        <v>48</v>
      </c>
      <c r="Y1790" t="s">
        <v>48</v>
      </c>
      <c r="Z1790" t="s">
        <v>48</v>
      </c>
      <c r="AA1790" t="s">
        <v>48</v>
      </c>
      <c r="AB1790" t="s">
        <v>48</v>
      </c>
      <c r="AC1790" t="s">
        <v>63</v>
      </c>
      <c r="AD1790" t="s">
        <v>93</v>
      </c>
      <c r="AE1790" t="s">
        <v>977</v>
      </c>
      <c r="AF1790" t="s">
        <v>11053</v>
      </c>
      <c r="AG1790" t="s">
        <v>48</v>
      </c>
      <c r="AH1790" t="s">
        <v>48</v>
      </c>
      <c r="AI1790" t="s">
        <v>48</v>
      </c>
      <c r="AJ1790" t="s">
        <v>48</v>
      </c>
      <c r="AK1790" t="s">
        <v>48</v>
      </c>
      <c r="AL1790" t="s">
        <v>48</v>
      </c>
      <c r="AM1790" t="s">
        <v>48</v>
      </c>
      <c r="AN1790" t="s">
        <v>48</v>
      </c>
      <c r="AO1790" t="s">
        <v>48</v>
      </c>
      <c r="AP1790" s="46">
        <v>0</v>
      </c>
      <c r="AQ1790" s="46">
        <v>0</v>
      </c>
      <c r="AR1790" s="46">
        <v>0</v>
      </c>
      <c r="AS1790" s="46">
        <v>0</v>
      </c>
      <c r="AT1790" s="46">
        <v>0</v>
      </c>
      <c r="AU1790" s="46">
        <v>0</v>
      </c>
      <c r="AV1790" s="46">
        <v>0</v>
      </c>
      <c r="AW1790" s="46">
        <v>0</v>
      </c>
      <c r="AX1790" s="46">
        <v>0</v>
      </c>
      <c r="AY1790" s="46">
        <v>0</v>
      </c>
      <c r="AZ1790" s="46">
        <v>0</v>
      </c>
      <c r="BA1790" s="46">
        <v>0</v>
      </c>
      <c r="BB1790" s="46">
        <v>0</v>
      </c>
      <c r="BC1790" s="46">
        <v>0</v>
      </c>
      <c r="BD1790" s="46">
        <v>0</v>
      </c>
      <c r="BE1790" s="46">
        <v>0</v>
      </c>
      <c r="BF1790" s="46">
        <v>0</v>
      </c>
      <c r="BG1790" s="46" t="s">
        <v>48</v>
      </c>
      <c r="BH1790" s="46">
        <v>0</v>
      </c>
      <c r="BI1790" s="46">
        <v>0</v>
      </c>
      <c r="BJ1790" s="46">
        <v>0</v>
      </c>
      <c r="BK1790" s="46">
        <v>0</v>
      </c>
      <c r="BL1790" s="46">
        <v>0</v>
      </c>
      <c r="BM1790" s="46">
        <v>0</v>
      </c>
      <c r="BN1790" s="46">
        <v>0</v>
      </c>
    </row>
    <row r="1791" spans="1:66" x14ac:dyDescent="0.35">
      <c r="A1791" t="s">
        <v>9909</v>
      </c>
      <c r="B1791" s="44" t="s">
        <v>48</v>
      </c>
      <c r="C1791" t="s">
        <v>2185</v>
      </c>
      <c r="D1791" t="s">
        <v>6438</v>
      </c>
      <c r="E1791" t="s">
        <v>9910</v>
      </c>
      <c r="F1791" t="s">
        <v>3793</v>
      </c>
      <c r="G1791" t="s">
        <v>47</v>
      </c>
      <c r="H1791">
        <v>0</v>
      </c>
      <c r="I1791" s="61">
        <v>44782</v>
      </c>
      <c r="J1791" s="33" t="s">
        <v>45</v>
      </c>
      <c r="K1791" s="46">
        <v>0</v>
      </c>
      <c r="L1791">
        <v>22.7</v>
      </c>
      <c r="M1791" t="s">
        <v>48</v>
      </c>
      <c r="N1791" s="46">
        <v>0</v>
      </c>
      <c r="O1791" s="46">
        <v>0</v>
      </c>
      <c r="P1791" s="46">
        <v>0</v>
      </c>
      <c r="Q1791" t="s">
        <v>48</v>
      </c>
      <c r="R1791" t="s">
        <v>48</v>
      </c>
      <c r="S1791" s="43" t="s">
        <v>48</v>
      </c>
      <c r="T1791" s="43" t="s">
        <v>48</v>
      </c>
      <c r="U1791" s="43" t="s">
        <v>48</v>
      </c>
      <c r="V1791" s="47">
        <v>1</v>
      </c>
      <c r="W1791" t="s">
        <v>48</v>
      </c>
      <c r="X1791" t="s">
        <v>48</v>
      </c>
      <c r="Y1791" t="s">
        <v>48</v>
      </c>
      <c r="Z1791" t="s">
        <v>48</v>
      </c>
      <c r="AA1791" t="s">
        <v>48</v>
      </c>
      <c r="AB1791" t="s">
        <v>48</v>
      </c>
      <c r="AC1791" t="s">
        <v>63</v>
      </c>
      <c r="AD1791" t="s">
        <v>93</v>
      </c>
      <c r="AE1791" t="s">
        <v>4532</v>
      </c>
      <c r="AF1791" t="s">
        <v>48</v>
      </c>
      <c r="AG1791" t="s">
        <v>48</v>
      </c>
      <c r="AH1791" t="s">
        <v>48</v>
      </c>
      <c r="AI1791" t="s">
        <v>48</v>
      </c>
      <c r="AJ1791" t="s">
        <v>48</v>
      </c>
      <c r="AK1791" t="s">
        <v>48</v>
      </c>
      <c r="AL1791" t="s">
        <v>48</v>
      </c>
      <c r="AM1791" t="s">
        <v>48</v>
      </c>
      <c r="AN1791" t="s">
        <v>48</v>
      </c>
      <c r="AO1791" t="s">
        <v>48</v>
      </c>
      <c r="AP1791" s="46">
        <v>0</v>
      </c>
      <c r="AQ1791" s="46">
        <v>0</v>
      </c>
      <c r="AR1791" s="46">
        <v>0</v>
      </c>
      <c r="AS1791" s="46">
        <v>0</v>
      </c>
      <c r="AT1791" s="46">
        <v>0</v>
      </c>
      <c r="AU1791" s="46">
        <v>0</v>
      </c>
      <c r="AV1791" s="46">
        <v>0</v>
      </c>
      <c r="AW1791" s="46">
        <v>0</v>
      </c>
      <c r="AX1791" s="46">
        <v>0</v>
      </c>
      <c r="AY1791" s="46">
        <v>0</v>
      </c>
      <c r="AZ1791" s="46">
        <v>0</v>
      </c>
      <c r="BA1791" s="46">
        <v>0</v>
      </c>
      <c r="BB1791" s="46">
        <v>0</v>
      </c>
      <c r="BC1791" s="46">
        <v>0</v>
      </c>
      <c r="BD1791" s="46">
        <v>0</v>
      </c>
      <c r="BE1791" s="46">
        <v>0</v>
      </c>
      <c r="BF1791" s="46">
        <v>0</v>
      </c>
      <c r="BG1791" s="46" t="s">
        <v>48</v>
      </c>
      <c r="BH1791" s="46">
        <v>0</v>
      </c>
      <c r="BI1791" s="46">
        <v>0</v>
      </c>
      <c r="BJ1791" s="46">
        <v>0</v>
      </c>
      <c r="BK1791" s="46">
        <v>0</v>
      </c>
      <c r="BL1791" s="46">
        <v>0</v>
      </c>
      <c r="BM1791" s="46">
        <v>0</v>
      </c>
      <c r="BN1791" s="46">
        <v>0</v>
      </c>
    </row>
    <row r="1792" spans="1:66" x14ac:dyDescent="0.35">
      <c r="A1792" t="s">
        <v>9907</v>
      </c>
      <c r="B1792" s="44" t="s">
        <v>48</v>
      </c>
      <c r="C1792" t="s">
        <v>12007</v>
      </c>
      <c r="D1792" t="s">
        <v>704</v>
      </c>
      <c r="E1792" t="s">
        <v>9908</v>
      </c>
      <c r="F1792" t="s">
        <v>3793</v>
      </c>
      <c r="G1792" t="s">
        <v>47</v>
      </c>
      <c r="H1792">
        <v>0</v>
      </c>
      <c r="I1792" s="61">
        <v>44782</v>
      </c>
      <c r="J1792" s="33" t="s">
        <v>45</v>
      </c>
      <c r="K1792" s="46">
        <v>0</v>
      </c>
      <c r="L1792">
        <v>23.6</v>
      </c>
      <c r="M1792" t="s">
        <v>48</v>
      </c>
      <c r="N1792" s="46">
        <v>0</v>
      </c>
      <c r="O1792" s="46">
        <v>0</v>
      </c>
      <c r="P1792" s="46">
        <v>0</v>
      </c>
      <c r="Q1792" t="s">
        <v>48</v>
      </c>
      <c r="R1792" t="s">
        <v>48</v>
      </c>
      <c r="S1792" s="43" t="s">
        <v>10230</v>
      </c>
      <c r="T1792" s="43" t="s">
        <v>48</v>
      </c>
      <c r="U1792" s="43" t="s">
        <v>10230</v>
      </c>
      <c r="V1792" s="47">
        <v>1</v>
      </c>
      <c r="W1792" t="s">
        <v>48</v>
      </c>
      <c r="X1792" t="s">
        <v>48</v>
      </c>
      <c r="Y1792" t="s">
        <v>48</v>
      </c>
      <c r="Z1792" t="s">
        <v>48</v>
      </c>
      <c r="AA1792" t="s">
        <v>48</v>
      </c>
      <c r="AB1792" t="s">
        <v>48</v>
      </c>
      <c r="AC1792" t="s">
        <v>49</v>
      </c>
      <c r="AD1792" t="s">
        <v>93</v>
      </c>
      <c r="AE1792" t="s">
        <v>4532</v>
      </c>
      <c r="AF1792" t="s">
        <v>48</v>
      </c>
      <c r="AG1792" t="s">
        <v>48</v>
      </c>
      <c r="AH1792" t="s">
        <v>48</v>
      </c>
      <c r="AI1792" t="s">
        <v>48</v>
      </c>
      <c r="AJ1792" t="s">
        <v>48</v>
      </c>
      <c r="AK1792" t="s">
        <v>48</v>
      </c>
      <c r="AL1792" t="s">
        <v>48</v>
      </c>
      <c r="AM1792" t="s">
        <v>48</v>
      </c>
      <c r="AN1792" t="s">
        <v>48</v>
      </c>
      <c r="AO1792" t="s">
        <v>48</v>
      </c>
      <c r="AP1792" s="46">
        <v>0</v>
      </c>
      <c r="AQ1792" s="46">
        <v>0</v>
      </c>
      <c r="AR1792" s="46">
        <v>0</v>
      </c>
      <c r="AS1792" s="46">
        <v>0</v>
      </c>
      <c r="AT1792" s="46">
        <v>0</v>
      </c>
      <c r="AU1792" s="46">
        <v>0</v>
      </c>
      <c r="AV1792" s="46">
        <v>0</v>
      </c>
      <c r="AW1792" s="46">
        <v>0</v>
      </c>
      <c r="AX1792" s="46">
        <v>0</v>
      </c>
      <c r="AY1792" s="46">
        <v>0</v>
      </c>
      <c r="AZ1792" s="46">
        <v>0</v>
      </c>
      <c r="BA1792" s="46">
        <v>0</v>
      </c>
      <c r="BB1792" s="46">
        <v>0</v>
      </c>
      <c r="BC1792" s="46">
        <v>0</v>
      </c>
      <c r="BD1792" s="46">
        <v>0</v>
      </c>
      <c r="BE1792" s="46">
        <v>0</v>
      </c>
      <c r="BF1792" s="46">
        <v>0</v>
      </c>
      <c r="BG1792" s="46" t="s">
        <v>48</v>
      </c>
      <c r="BH1792" s="46">
        <v>0</v>
      </c>
      <c r="BI1792" s="46">
        <v>0</v>
      </c>
      <c r="BJ1792" s="46">
        <v>0</v>
      </c>
      <c r="BK1792" s="46">
        <v>0</v>
      </c>
      <c r="BL1792" s="46">
        <v>0</v>
      </c>
      <c r="BM1792" s="46">
        <v>0</v>
      </c>
      <c r="BN1792" s="46">
        <v>0</v>
      </c>
    </row>
    <row r="1793" spans="1:66" x14ac:dyDescent="0.35">
      <c r="A1793" t="s">
        <v>9912</v>
      </c>
      <c r="B1793" s="44" t="s">
        <v>48</v>
      </c>
      <c r="C1793" t="s">
        <v>12008</v>
      </c>
      <c r="D1793" t="s">
        <v>1469</v>
      </c>
      <c r="E1793" t="s">
        <v>9913</v>
      </c>
      <c r="F1793" t="s">
        <v>3801</v>
      </c>
      <c r="G1793" t="s">
        <v>47</v>
      </c>
      <c r="H1793">
        <v>0</v>
      </c>
      <c r="I1793" s="61">
        <v>44782</v>
      </c>
      <c r="J1793" s="33" t="s">
        <v>45</v>
      </c>
      <c r="K1793" s="46">
        <v>0</v>
      </c>
      <c r="L1793">
        <v>21.3</v>
      </c>
      <c r="M1793" t="s">
        <v>48</v>
      </c>
      <c r="N1793" s="46">
        <v>0</v>
      </c>
      <c r="O1793" s="46">
        <v>0</v>
      </c>
      <c r="P1793" s="46">
        <v>0</v>
      </c>
      <c r="Q1793" t="s">
        <v>48</v>
      </c>
      <c r="R1793" t="s">
        <v>48</v>
      </c>
      <c r="S1793" s="43" t="s">
        <v>10231</v>
      </c>
      <c r="T1793" s="43" t="s">
        <v>48</v>
      </c>
      <c r="U1793" s="43" t="s">
        <v>10231</v>
      </c>
      <c r="V1793" s="47">
        <v>0</v>
      </c>
      <c r="W1793" t="s">
        <v>48</v>
      </c>
      <c r="X1793" t="s">
        <v>48</v>
      </c>
      <c r="Y1793" t="s">
        <v>48</v>
      </c>
      <c r="Z1793" t="s">
        <v>48</v>
      </c>
      <c r="AA1793" t="s">
        <v>48</v>
      </c>
      <c r="AB1793" t="s">
        <v>48</v>
      </c>
      <c r="AC1793" t="s">
        <v>63</v>
      </c>
      <c r="AD1793" t="s">
        <v>48</v>
      </c>
      <c r="AE1793" t="s">
        <v>48</v>
      </c>
      <c r="AF1793" t="s">
        <v>48</v>
      </c>
      <c r="AG1793" t="s">
        <v>48</v>
      </c>
      <c r="AH1793" t="s">
        <v>48</v>
      </c>
      <c r="AI1793" t="s">
        <v>48</v>
      </c>
      <c r="AJ1793" t="s">
        <v>48</v>
      </c>
      <c r="AK1793" t="s">
        <v>48</v>
      </c>
      <c r="AL1793" t="s">
        <v>48</v>
      </c>
      <c r="AM1793" t="s">
        <v>48</v>
      </c>
      <c r="AN1793" t="s">
        <v>48</v>
      </c>
      <c r="AO1793" t="s">
        <v>48</v>
      </c>
      <c r="AP1793" s="46">
        <v>0</v>
      </c>
      <c r="AQ1793" s="46">
        <v>0</v>
      </c>
      <c r="AR1793" s="46">
        <v>0</v>
      </c>
      <c r="AS1793" s="46">
        <v>0</v>
      </c>
      <c r="AT1793" s="46">
        <v>0</v>
      </c>
      <c r="AU1793" s="46">
        <v>0</v>
      </c>
      <c r="AV1793" s="46">
        <v>0</v>
      </c>
      <c r="AW1793" s="46">
        <v>0</v>
      </c>
      <c r="AX1793" s="46">
        <v>0</v>
      </c>
      <c r="AY1793" s="46">
        <v>0</v>
      </c>
      <c r="AZ1793" s="46">
        <v>0</v>
      </c>
      <c r="BA1793" s="46">
        <v>0</v>
      </c>
      <c r="BB1793" s="46">
        <v>0</v>
      </c>
      <c r="BC1793" s="46">
        <v>0</v>
      </c>
      <c r="BD1793" s="46">
        <v>0</v>
      </c>
      <c r="BE1793" s="46">
        <v>0</v>
      </c>
      <c r="BF1793" s="46">
        <v>0</v>
      </c>
      <c r="BG1793" s="46" t="s">
        <v>48</v>
      </c>
      <c r="BH1793" s="46">
        <v>0</v>
      </c>
      <c r="BI1793" s="46">
        <v>0</v>
      </c>
      <c r="BJ1793" s="46">
        <v>0</v>
      </c>
      <c r="BK1793" s="46">
        <v>0</v>
      </c>
      <c r="BL1793" s="46">
        <v>0</v>
      </c>
      <c r="BM1793" s="46">
        <v>0</v>
      </c>
      <c r="BN1793" s="46">
        <v>0</v>
      </c>
    </row>
    <row r="1794" spans="1:66" x14ac:dyDescent="0.35">
      <c r="A1794" t="s">
        <v>3823</v>
      </c>
      <c r="B1794" s="44" t="s">
        <v>48</v>
      </c>
      <c r="C1794" t="s">
        <v>3826</v>
      </c>
      <c r="D1794" t="s">
        <v>1981</v>
      </c>
      <c r="E1794" t="s">
        <v>3824</v>
      </c>
      <c r="F1794" t="s">
        <v>3805</v>
      </c>
      <c r="G1794" t="s">
        <v>74</v>
      </c>
      <c r="H1794">
        <v>0</v>
      </c>
      <c r="I1794" s="60" t="s">
        <v>125</v>
      </c>
      <c r="J1794" s="33" t="s">
        <v>45</v>
      </c>
      <c r="K1794" s="46">
        <v>0</v>
      </c>
      <c r="L1794">
        <v>13.9</v>
      </c>
      <c r="M1794" t="s">
        <v>48</v>
      </c>
      <c r="N1794" s="46">
        <v>0</v>
      </c>
      <c r="O1794" s="46">
        <v>0</v>
      </c>
      <c r="P1794" s="46">
        <v>0</v>
      </c>
      <c r="Q1794" t="s">
        <v>48</v>
      </c>
      <c r="R1794" t="s">
        <v>48</v>
      </c>
      <c r="S1794" t="s">
        <v>3825</v>
      </c>
      <c r="T1794" t="s">
        <v>48</v>
      </c>
      <c r="U1794" t="s">
        <v>3825</v>
      </c>
      <c r="V1794" s="47">
        <v>1</v>
      </c>
      <c r="W1794" t="s">
        <v>48</v>
      </c>
      <c r="X1794" t="s">
        <v>48</v>
      </c>
      <c r="Y1794" t="s">
        <v>48</v>
      </c>
      <c r="Z1794">
        <v>0</v>
      </c>
      <c r="AA1794" t="s">
        <v>48</v>
      </c>
      <c r="AB1794" t="s">
        <v>48</v>
      </c>
      <c r="AC1794" t="s">
        <v>63</v>
      </c>
      <c r="AD1794" t="s">
        <v>93</v>
      </c>
      <c r="AE1794" t="s">
        <v>4532</v>
      </c>
      <c r="AF1794" t="s">
        <v>48</v>
      </c>
      <c r="AG1794" t="s">
        <v>48</v>
      </c>
      <c r="AH1794" t="s">
        <v>48</v>
      </c>
      <c r="AI1794" t="s">
        <v>48</v>
      </c>
      <c r="AJ1794" t="s">
        <v>48</v>
      </c>
      <c r="AK1794" t="s">
        <v>48</v>
      </c>
      <c r="AL1794" t="s">
        <v>48</v>
      </c>
      <c r="AM1794" t="s">
        <v>48</v>
      </c>
      <c r="AN1794" t="s">
        <v>48</v>
      </c>
      <c r="AO1794" t="s">
        <v>48</v>
      </c>
      <c r="AP1794" s="46">
        <v>0</v>
      </c>
      <c r="AQ1794" s="46">
        <v>0</v>
      </c>
      <c r="AR1794" s="46">
        <v>0</v>
      </c>
      <c r="AS1794" s="46">
        <v>0</v>
      </c>
      <c r="AT1794" s="46">
        <v>0</v>
      </c>
      <c r="AU1794" s="46">
        <v>0</v>
      </c>
      <c r="AV1794" s="46">
        <v>0</v>
      </c>
      <c r="AW1794" s="46">
        <v>0</v>
      </c>
      <c r="AX1794" s="46">
        <v>0</v>
      </c>
      <c r="AY1794" s="46">
        <v>0</v>
      </c>
      <c r="AZ1794" s="46">
        <v>0</v>
      </c>
      <c r="BA1794" s="46">
        <v>0</v>
      </c>
      <c r="BB1794" s="46">
        <v>0</v>
      </c>
      <c r="BC1794" s="46">
        <v>0</v>
      </c>
      <c r="BD1794" s="46">
        <v>0</v>
      </c>
      <c r="BE1794" s="46">
        <v>0</v>
      </c>
      <c r="BF1794" s="46">
        <v>0</v>
      </c>
      <c r="BG1794" s="46" t="s">
        <v>48</v>
      </c>
      <c r="BH1794" s="46">
        <v>0</v>
      </c>
      <c r="BI1794" s="46">
        <v>0</v>
      </c>
      <c r="BJ1794" s="46">
        <v>0</v>
      </c>
      <c r="BK1794" s="46">
        <v>0</v>
      </c>
      <c r="BL1794" s="46">
        <v>0</v>
      </c>
      <c r="BM1794" s="46">
        <v>0</v>
      </c>
      <c r="BN1794" s="46">
        <v>0</v>
      </c>
    </row>
    <row r="1795" spans="1:66" x14ac:dyDescent="0.35">
      <c r="A1795" t="s">
        <v>9835</v>
      </c>
      <c r="B1795" s="44" t="s">
        <v>48</v>
      </c>
      <c r="C1795" t="s">
        <v>12011</v>
      </c>
      <c r="D1795" t="s">
        <v>1725</v>
      </c>
      <c r="E1795" t="s">
        <v>9836</v>
      </c>
      <c r="F1795" t="s">
        <v>3805</v>
      </c>
      <c r="G1795" t="s">
        <v>74</v>
      </c>
      <c r="H1795">
        <v>0</v>
      </c>
      <c r="I1795" s="61">
        <v>44782</v>
      </c>
      <c r="J1795" s="33" t="s">
        <v>45</v>
      </c>
      <c r="K1795" s="46">
        <v>0</v>
      </c>
      <c r="L1795">
        <v>8.6</v>
      </c>
      <c r="M1795" t="s">
        <v>48</v>
      </c>
      <c r="N1795" s="46">
        <v>0</v>
      </c>
      <c r="O1795" s="46">
        <v>0</v>
      </c>
      <c r="P1795" s="46">
        <v>0</v>
      </c>
      <c r="Q1795" t="s">
        <v>48</v>
      </c>
      <c r="R1795" t="s">
        <v>48</v>
      </c>
      <c r="S1795" s="43" t="s">
        <v>10234</v>
      </c>
      <c r="T1795" s="43" t="s">
        <v>48</v>
      </c>
      <c r="U1795" s="43" t="s">
        <v>10234</v>
      </c>
      <c r="V1795" s="47">
        <v>0</v>
      </c>
      <c r="W1795" t="s">
        <v>48</v>
      </c>
      <c r="X1795" t="s">
        <v>48</v>
      </c>
      <c r="Y1795" t="s">
        <v>48</v>
      </c>
      <c r="Z1795" t="s">
        <v>48</v>
      </c>
      <c r="AA1795" t="s">
        <v>48</v>
      </c>
      <c r="AB1795" t="s">
        <v>48</v>
      </c>
      <c r="AC1795" t="s">
        <v>49</v>
      </c>
      <c r="AD1795" t="s">
        <v>48</v>
      </c>
      <c r="AE1795" t="s">
        <v>48</v>
      </c>
      <c r="AF1795" t="s">
        <v>48</v>
      </c>
      <c r="AG1795" t="s">
        <v>48</v>
      </c>
      <c r="AH1795" t="s">
        <v>48</v>
      </c>
      <c r="AI1795" t="s">
        <v>48</v>
      </c>
      <c r="AJ1795" t="s">
        <v>48</v>
      </c>
      <c r="AK1795" t="s">
        <v>48</v>
      </c>
      <c r="AL1795" t="s">
        <v>48</v>
      </c>
      <c r="AM1795" t="s">
        <v>48</v>
      </c>
      <c r="AN1795" t="s">
        <v>48</v>
      </c>
      <c r="AO1795" t="s">
        <v>48</v>
      </c>
      <c r="AP1795" s="46">
        <v>0</v>
      </c>
      <c r="AQ1795" s="46">
        <v>0</v>
      </c>
      <c r="AR1795" s="46">
        <v>0</v>
      </c>
      <c r="AS1795" s="46">
        <v>0</v>
      </c>
      <c r="AT1795" s="46">
        <v>0</v>
      </c>
      <c r="AU1795" s="46">
        <v>0</v>
      </c>
      <c r="AV1795" s="46">
        <v>0</v>
      </c>
      <c r="AW1795" s="46">
        <v>0</v>
      </c>
      <c r="AX1795" s="46">
        <v>0</v>
      </c>
      <c r="AY1795" s="46">
        <v>0</v>
      </c>
      <c r="AZ1795" s="46">
        <v>0</v>
      </c>
      <c r="BA1795" s="46">
        <v>0</v>
      </c>
      <c r="BB1795" s="46">
        <v>0</v>
      </c>
      <c r="BC1795" s="46">
        <v>0</v>
      </c>
      <c r="BD1795" s="46">
        <v>0</v>
      </c>
      <c r="BE1795" s="46">
        <v>0</v>
      </c>
      <c r="BF1795" s="46">
        <v>0</v>
      </c>
      <c r="BG1795" s="46" t="s">
        <v>48</v>
      </c>
      <c r="BH1795" s="46">
        <v>0</v>
      </c>
      <c r="BI1795" s="46">
        <v>0</v>
      </c>
      <c r="BJ1795" s="46">
        <v>0</v>
      </c>
      <c r="BK1795" s="46">
        <v>0</v>
      </c>
      <c r="BL1795" s="46">
        <v>0</v>
      </c>
      <c r="BM1795" s="46">
        <v>0</v>
      </c>
      <c r="BN1795" s="46">
        <v>0</v>
      </c>
    </row>
    <row r="1796" spans="1:66" x14ac:dyDescent="0.35">
      <c r="A1796" t="s">
        <v>3804</v>
      </c>
      <c r="B1796" s="44" t="s">
        <v>48</v>
      </c>
      <c r="C1796" t="s">
        <v>3809</v>
      </c>
      <c r="D1796" t="s">
        <v>3808</v>
      </c>
      <c r="E1796" t="s">
        <v>3806</v>
      </c>
      <c r="F1796" t="s">
        <v>3805</v>
      </c>
      <c r="G1796" t="s">
        <v>74</v>
      </c>
      <c r="H1796">
        <v>0</v>
      </c>
      <c r="I1796" s="60" t="s">
        <v>149</v>
      </c>
      <c r="J1796" s="33" t="s">
        <v>45</v>
      </c>
      <c r="K1796" s="46">
        <v>0</v>
      </c>
      <c r="L1796">
        <v>13</v>
      </c>
      <c r="M1796" t="s">
        <v>48</v>
      </c>
      <c r="N1796" s="46">
        <v>0</v>
      </c>
      <c r="O1796" s="46">
        <v>0</v>
      </c>
      <c r="P1796" s="46">
        <v>0</v>
      </c>
      <c r="Q1796" t="s">
        <v>48</v>
      </c>
      <c r="R1796" t="s">
        <v>48</v>
      </c>
      <c r="S1796" t="s">
        <v>3807</v>
      </c>
      <c r="T1796" t="s">
        <v>48</v>
      </c>
      <c r="U1796" t="s">
        <v>3807</v>
      </c>
      <c r="V1796" s="47">
        <v>0</v>
      </c>
      <c r="W1796" t="s">
        <v>48</v>
      </c>
      <c r="X1796" t="s">
        <v>48</v>
      </c>
      <c r="Y1796" t="s">
        <v>48</v>
      </c>
      <c r="Z1796">
        <v>0</v>
      </c>
      <c r="AA1796" t="s">
        <v>48</v>
      </c>
      <c r="AB1796" t="s">
        <v>48</v>
      </c>
      <c r="AC1796" t="s">
        <v>63</v>
      </c>
      <c r="AD1796" t="s">
        <v>93</v>
      </c>
      <c r="AE1796" t="s">
        <v>11051</v>
      </c>
      <c r="AF1796" t="s">
        <v>11083</v>
      </c>
      <c r="AG1796" t="s">
        <v>48</v>
      </c>
      <c r="AH1796" t="s">
        <v>48</v>
      </c>
      <c r="AI1796" t="s">
        <v>48</v>
      </c>
      <c r="AJ1796" t="s">
        <v>48</v>
      </c>
      <c r="AK1796" t="s">
        <v>48</v>
      </c>
      <c r="AL1796" t="s">
        <v>48</v>
      </c>
      <c r="AM1796" t="s">
        <v>48</v>
      </c>
      <c r="AN1796" t="s">
        <v>48</v>
      </c>
      <c r="AO1796" t="s">
        <v>48</v>
      </c>
      <c r="AP1796" s="46">
        <v>0</v>
      </c>
      <c r="AQ1796" s="46">
        <v>0</v>
      </c>
      <c r="AR1796" s="46">
        <v>0</v>
      </c>
      <c r="AS1796" s="46">
        <v>0</v>
      </c>
      <c r="AT1796" s="46">
        <v>0</v>
      </c>
      <c r="AU1796" s="46">
        <v>0</v>
      </c>
      <c r="AV1796" s="46">
        <v>0</v>
      </c>
      <c r="AW1796" s="46">
        <v>0</v>
      </c>
      <c r="AX1796" s="46">
        <v>0</v>
      </c>
      <c r="AY1796" s="46">
        <v>0</v>
      </c>
      <c r="AZ1796" s="46">
        <v>0</v>
      </c>
      <c r="BA1796" s="46">
        <v>0</v>
      </c>
      <c r="BB1796" s="46">
        <v>0</v>
      </c>
      <c r="BC1796" s="46">
        <v>0</v>
      </c>
      <c r="BD1796" s="46">
        <v>0</v>
      </c>
      <c r="BE1796" s="46">
        <v>0</v>
      </c>
      <c r="BF1796" s="46">
        <v>0</v>
      </c>
      <c r="BG1796" s="46" t="s">
        <v>48</v>
      </c>
      <c r="BH1796" s="46">
        <v>0</v>
      </c>
      <c r="BI1796" s="46">
        <v>0</v>
      </c>
      <c r="BJ1796" s="46">
        <v>0</v>
      </c>
      <c r="BK1796" s="46">
        <v>0</v>
      </c>
      <c r="BL1796" s="46">
        <v>0</v>
      </c>
      <c r="BM1796" s="46">
        <v>0</v>
      </c>
      <c r="BN1796" s="46">
        <v>0</v>
      </c>
    </row>
    <row r="1797" spans="1:66" x14ac:dyDescent="0.35">
      <c r="A1797" t="s">
        <v>9833</v>
      </c>
      <c r="B1797" s="44" t="s">
        <v>48</v>
      </c>
      <c r="C1797" t="s">
        <v>12010</v>
      </c>
      <c r="D1797" t="s">
        <v>416</v>
      </c>
      <c r="E1797" t="s">
        <v>9834</v>
      </c>
      <c r="F1797" t="s">
        <v>3805</v>
      </c>
      <c r="G1797" t="s">
        <v>74</v>
      </c>
      <c r="H1797">
        <v>0</v>
      </c>
      <c r="I1797" s="61">
        <v>44782</v>
      </c>
      <c r="J1797" s="33" t="s">
        <v>45</v>
      </c>
      <c r="K1797" s="46">
        <v>0</v>
      </c>
      <c r="L1797">
        <v>16.899999999999999</v>
      </c>
      <c r="M1797" t="s">
        <v>48</v>
      </c>
      <c r="N1797" s="46">
        <v>0</v>
      </c>
      <c r="O1797" s="46">
        <v>0</v>
      </c>
      <c r="P1797" s="46">
        <v>0</v>
      </c>
      <c r="Q1797" t="s">
        <v>48</v>
      </c>
      <c r="R1797" t="s">
        <v>48</v>
      </c>
      <c r="S1797" s="43" t="s">
        <v>10233</v>
      </c>
      <c r="T1797" s="43" t="s">
        <v>48</v>
      </c>
      <c r="U1797" s="43" t="s">
        <v>10233</v>
      </c>
      <c r="V1797" s="47">
        <v>0</v>
      </c>
      <c r="W1797" t="s">
        <v>48</v>
      </c>
      <c r="X1797" t="s">
        <v>48</v>
      </c>
      <c r="Y1797" t="s">
        <v>48</v>
      </c>
      <c r="Z1797" t="s">
        <v>48</v>
      </c>
      <c r="AA1797" t="s">
        <v>48</v>
      </c>
      <c r="AB1797" t="s">
        <v>48</v>
      </c>
      <c r="AC1797" t="s">
        <v>63</v>
      </c>
      <c r="AD1797" t="s">
        <v>93</v>
      </c>
      <c r="AE1797" t="s">
        <v>2471</v>
      </c>
      <c r="AF1797" t="s">
        <v>48</v>
      </c>
      <c r="AG1797" t="s">
        <v>48</v>
      </c>
      <c r="AH1797" t="s">
        <v>48</v>
      </c>
      <c r="AI1797" t="s">
        <v>48</v>
      </c>
      <c r="AJ1797" t="s">
        <v>48</v>
      </c>
      <c r="AK1797" t="s">
        <v>48</v>
      </c>
      <c r="AL1797" t="s">
        <v>48</v>
      </c>
      <c r="AM1797" t="s">
        <v>48</v>
      </c>
      <c r="AN1797" t="s">
        <v>48</v>
      </c>
      <c r="AO1797" t="s">
        <v>48</v>
      </c>
      <c r="AP1797" s="46">
        <v>0</v>
      </c>
      <c r="AQ1797" s="46">
        <v>0</v>
      </c>
      <c r="AR1797" s="46">
        <v>0</v>
      </c>
      <c r="AS1797" s="46">
        <v>0</v>
      </c>
      <c r="AT1797" s="46">
        <v>0</v>
      </c>
      <c r="AU1797" s="46">
        <v>0</v>
      </c>
      <c r="AV1797" s="46">
        <v>0</v>
      </c>
      <c r="AW1797" s="46">
        <v>0</v>
      </c>
      <c r="AX1797" s="46">
        <v>0</v>
      </c>
      <c r="AY1797" s="46">
        <v>0</v>
      </c>
      <c r="AZ1797" s="46">
        <v>0</v>
      </c>
      <c r="BA1797" s="46">
        <v>0</v>
      </c>
      <c r="BB1797" s="46">
        <v>0</v>
      </c>
      <c r="BC1797" s="46">
        <v>0</v>
      </c>
      <c r="BD1797" s="46">
        <v>0</v>
      </c>
      <c r="BE1797" s="46">
        <v>0</v>
      </c>
      <c r="BF1797" s="46">
        <v>0</v>
      </c>
      <c r="BG1797" s="46" t="s">
        <v>48</v>
      </c>
      <c r="BH1797" s="46">
        <v>0</v>
      </c>
      <c r="BI1797" s="46">
        <v>0</v>
      </c>
      <c r="BJ1797" s="46">
        <v>0</v>
      </c>
      <c r="BK1797" s="46">
        <v>0</v>
      </c>
      <c r="BL1797" s="46">
        <v>0</v>
      </c>
      <c r="BM1797" s="46">
        <v>0</v>
      </c>
      <c r="BN1797" s="46">
        <v>0</v>
      </c>
    </row>
    <row r="1798" spans="1:66" x14ac:dyDescent="0.35">
      <c r="A1798" t="s">
        <v>3816</v>
      </c>
      <c r="B1798" s="44" t="s">
        <v>48</v>
      </c>
      <c r="C1798" t="s">
        <v>3818</v>
      </c>
      <c r="D1798" t="s">
        <v>1222</v>
      </c>
      <c r="E1798" t="s">
        <v>3817</v>
      </c>
      <c r="F1798" t="s">
        <v>3805</v>
      </c>
      <c r="G1798" t="s">
        <v>47</v>
      </c>
      <c r="H1798">
        <v>0</v>
      </c>
      <c r="I1798" s="60" t="s">
        <v>125</v>
      </c>
      <c r="J1798" s="33" t="s">
        <v>45</v>
      </c>
      <c r="K1798" s="46">
        <v>0</v>
      </c>
      <c r="L1798">
        <v>13.7</v>
      </c>
      <c r="M1798" t="s">
        <v>48</v>
      </c>
      <c r="N1798" s="46">
        <v>0</v>
      </c>
      <c r="O1798" s="46">
        <v>0</v>
      </c>
      <c r="P1798" s="46">
        <v>0</v>
      </c>
      <c r="Q1798" t="s">
        <v>48</v>
      </c>
      <c r="R1798" t="s">
        <v>48</v>
      </c>
      <c r="S1798" t="s">
        <v>10235</v>
      </c>
      <c r="T1798" t="s">
        <v>48</v>
      </c>
      <c r="U1798" t="s">
        <v>10235</v>
      </c>
      <c r="V1798" s="47">
        <v>1</v>
      </c>
      <c r="W1798" t="s">
        <v>11317</v>
      </c>
      <c r="X1798" t="s">
        <v>48</v>
      </c>
      <c r="Y1798" t="s">
        <v>48</v>
      </c>
      <c r="Z1798">
        <v>0</v>
      </c>
      <c r="AA1798" t="s">
        <v>48</v>
      </c>
      <c r="AB1798" t="s">
        <v>48</v>
      </c>
      <c r="AC1798" t="s">
        <v>49</v>
      </c>
      <c r="AD1798" t="s">
        <v>93</v>
      </c>
      <c r="AE1798" t="s">
        <v>4532</v>
      </c>
      <c r="AF1798" t="s">
        <v>48</v>
      </c>
      <c r="AG1798" t="s">
        <v>48</v>
      </c>
      <c r="AH1798" t="s">
        <v>48</v>
      </c>
      <c r="AI1798" t="s">
        <v>48</v>
      </c>
      <c r="AJ1798" t="s">
        <v>48</v>
      </c>
      <c r="AK1798" t="s">
        <v>48</v>
      </c>
      <c r="AL1798" t="s">
        <v>48</v>
      </c>
      <c r="AM1798" t="s">
        <v>48</v>
      </c>
      <c r="AN1798" t="s">
        <v>48</v>
      </c>
      <c r="AO1798" t="s">
        <v>48</v>
      </c>
      <c r="AP1798" s="46">
        <v>0</v>
      </c>
      <c r="AQ1798" s="46">
        <v>0</v>
      </c>
      <c r="AR1798" s="46">
        <v>0</v>
      </c>
      <c r="AS1798" s="46">
        <v>0</v>
      </c>
      <c r="AT1798" s="46">
        <v>0</v>
      </c>
      <c r="AU1798" s="46">
        <v>0</v>
      </c>
      <c r="AV1798" s="46">
        <v>0</v>
      </c>
      <c r="AW1798" s="46">
        <v>0</v>
      </c>
      <c r="AX1798" s="46">
        <v>0</v>
      </c>
      <c r="AY1798" s="46">
        <v>0</v>
      </c>
      <c r="AZ1798" s="46">
        <v>0</v>
      </c>
      <c r="BA1798" s="46">
        <v>0</v>
      </c>
      <c r="BB1798" s="46">
        <v>0</v>
      </c>
      <c r="BC1798" s="46">
        <v>0</v>
      </c>
      <c r="BD1798" s="46">
        <v>0</v>
      </c>
      <c r="BE1798" s="46">
        <v>0</v>
      </c>
      <c r="BF1798" s="46">
        <v>0</v>
      </c>
      <c r="BG1798" s="46" t="s">
        <v>48</v>
      </c>
      <c r="BH1798" s="46">
        <v>0</v>
      </c>
      <c r="BI1798" s="46">
        <v>0</v>
      </c>
      <c r="BJ1798" s="46">
        <v>0</v>
      </c>
      <c r="BK1798" s="46">
        <v>0</v>
      </c>
      <c r="BL1798" s="46">
        <v>0</v>
      </c>
      <c r="BM1798" s="46">
        <v>0</v>
      </c>
      <c r="BN1798" s="46">
        <v>0</v>
      </c>
    </row>
    <row r="1799" spans="1:66" x14ac:dyDescent="0.35">
      <c r="A1799" t="s">
        <v>3800</v>
      </c>
      <c r="B1799" s="44" t="s">
        <v>48</v>
      </c>
      <c r="C1799" t="s">
        <v>1488</v>
      </c>
      <c r="D1799" t="s">
        <v>684</v>
      </c>
      <c r="E1799" t="s">
        <v>9837</v>
      </c>
      <c r="F1799" t="s">
        <v>3828</v>
      </c>
      <c r="G1799" t="s">
        <v>74</v>
      </c>
      <c r="H1799">
        <v>0</v>
      </c>
      <c r="I1799" s="61">
        <v>44782</v>
      </c>
      <c r="J1799" s="33" t="s">
        <v>45</v>
      </c>
      <c r="K1799" s="46">
        <v>1</v>
      </c>
      <c r="L1799">
        <v>40.1</v>
      </c>
      <c r="M1799" t="s">
        <v>48</v>
      </c>
      <c r="N1799" s="46">
        <v>0</v>
      </c>
      <c r="O1799" s="46">
        <v>0</v>
      </c>
      <c r="P1799" s="46">
        <v>0</v>
      </c>
      <c r="Q1799" t="s">
        <v>48</v>
      </c>
      <c r="R1799" t="s">
        <v>48</v>
      </c>
      <c r="S1799" s="43" t="s">
        <v>3802</v>
      </c>
      <c r="T1799" s="43" t="s">
        <v>3803</v>
      </c>
      <c r="U1799" s="43" t="s">
        <v>3802</v>
      </c>
      <c r="V1799" s="47">
        <v>0</v>
      </c>
      <c r="W1799" t="s">
        <v>48</v>
      </c>
      <c r="X1799" t="s">
        <v>48</v>
      </c>
      <c r="Y1799" t="s">
        <v>48</v>
      </c>
      <c r="Z1799">
        <v>0</v>
      </c>
      <c r="AA1799" t="s">
        <v>48</v>
      </c>
      <c r="AB1799">
        <v>2018</v>
      </c>
      <c r="AC1799" t="s">
        <v>49</v>
      </c>
      <c r="AD1799" t="s">
        <v>93</v>
      </c>
      <c r="AE1799" t="s">
        <v>4532</v>
      </c>
      <c r="AF1799" t="s">
        <v>48</v>
      </c>
      <c r="AG1799" t="s">
        <v>633</v>
      </c>
      <c r="AH1799" t="s">
        <v>93</v>
      </c>
      <c r="AI1799">
        <v>21940</v>
      </c>
      <c r="AJ1799">
        <v>1960</v>
      </c>
      <c r="AK1799" t="s">
        <v>9006</v>
      </c>
      <c r="AL1799" t="s">
        <v>9007</v>
      </c>
      <c r="AM1799">
        <v>-0.48099999999999998</v>
      </c>
      <c r="AN1799">
        <v>-0.52100000000000002</v>
      </c>
      <c r="AO1799">
        <v>-0.48099999999999998</v>
      </c>
      <c r="AP1799" s="46">
        <v>0</v>
      </c>
      <c r="AQ1799" s="46">
        <v>1</v>
      </c>
      <c r="AR1799" s="46">
        <v>1</v>
      </c>
      <c r="AS1799" s="46">
        <v>0</v>
      </c>
      <c r="AT1799" s="46">
        <v>1</v>
      </c>
      <c r="AU1799" s="46">
        <v>0</v>
      </c>
      <c r="AV1799" s="46">
        <v>0</v>
      </c>
      <c r="AW1799" s="46">
        <v>0</v>
      </c>
      <c r="AX1799" s="46">
        <v>0</v>
      </c>
      <c r="AY1799" s="46">
        <v>0</v>
      </c>
      <c r="AZ1799" s="46">
        <v>0</v>
      </c>
      <c r="BA1799" s="46">
        <v>0</v>
      </c>
      <c r="BB1799" s="46">
        <v>0</v>
      </c>
      <c r="BC1799" s="46">
        <v>0</v>
      </c>
      <c r="BD1799" s="46">
        <v>0</v>
      </c>
      <c r="BE1799" s="46">
        <v>0</v>
      </c>
      <c r="BF1799" s="46">
        <v>0</v>
      </c>
      <c r="BG1799" s="46" t="s">
        <v>48</v>
      </c>
      <c r="BH1799" s="46">
        <v>0</v>
      </c>
      <c r="BI1799" s="46">
        <v>0</v>
      </c>
      <c r="BJ1799" s="46">
        <v>0</v>
      </c>
      <c r="BK1799" s="46">
        <v>1</v>
      </c>
      <c r="BL1799" s="46">
        <v>0</v>
      </c>
      <c r="BM1799" s="46">
        <v>0</v>
      </c>
      <c r="BN1799" s="46">
        <v>0</v>
      </c>
    </row>
    <row r="1800" spans="1:66" x14ac:dyDescent="0.35">
      <c r="A1800" t="s">
        <v>3827</v>
      </c>
      <c r="B1800" s="44" t="s">
        <v>48</v>
      </c>
      <c r="C1800" t="s">
        <v>3831</v>
      </c>
      <c r="D1800" t="s">
        <v>704</v>
      </c>
      <c r="E1800" t="s">
        <v>3829</v>
      </c>
      <c r="F1800" t="s">
        <v>3828</v>
      </c>
      <c r="G1800" t="s">
        <v>47</v>
      </c>
      <c r="H1800">
        <v>0</v>
      </c>
      <c r="I1800" s="60" t="s">
        <v>51</v>
      </c>
      <c r="J1800" s="33" t="s">
        <v>45</v>
      </c>
      <c r="K1800" s="46">
        <v>0</v>
      </c>
      <c r="L1800">
        <v>29.5</v>
      </c>
      <c r="M1800" t="s">
        <v>48</v>
      </c>
      <c r="N1800" s="46">
        <v>0</v>
      </c>
      <c r="O1800" s="46">
        <v>0</v>
      </c>
      <c r="P1800" s="46">
        <v>0</v>
      </c>
      <c r="Q1800" t="s">
        <v>48</v>
      </c>
      <c r="R1800" t="s">
        <v>48</v>
      </c>
      <c r="S1800" t="s">
        <v>3830</v>
      </c>
      <c r="T1800" t="s">
        <v>48</v>
      </c>
      <c r="U1800" t="s">
        <v>3830</v>
      </c>
      <c r="V1800" s="47">
        <v>1</v>
      </c>
      <c r="W1800" t="s">
        <v>48</v>
      </c>
      <c r="X1800" t="s">
        <v>48</v>
      </c>
      <c r="Y1800" t="s">
        <v>48</v>
      </c>
      <c r="Z1800">
        <v>0</v>
      </c>
      <c r="AA1800" t="s">
        <v>48</v>
      </c>
      <c r="AB1800" t="s">
        <v>48</v>
      </c>
      <c r="AC1800" t="s">
        <v>49</v>
      </c>
      <c r="AD1800" t="s">
        <v>93</v>
      </c>
      <c r="AE1800" t="s">
        <v>4532</v>
      </c>
      <c r="AF1800" t="s">
        <v>48</v>
      </c>
      <c r="AG1800" t="s">
        <v>48</v>
      </c>
      <c r="AH1800" t="s">
        <v>48</v>
      </c>
      <c r="AI1800" t="s">
        <v>48</v>
      </c>
      <c r="AJ1800" t="s">
        <v>48</v>
      </c>
      <c r="AK1800" t="s">
        <v>48</v>
      </c>
      <c r="AL1800" t="s">
        <v>48</v>
      </c>
      <c r="AM1800" t="s">
        <v>48</v>
      </c>
      <c r="AN1800" t="s">
        <v>48</v>
      </c>
      <c r="AO1800" t="s">
        <v>48</v>
      </c>
      <c r="AP1800" s="46">
        <v>0</v>
      </c>
      <c r="AQ1800" s="46">
        <v>0</v>
      </c>
      <c r="AR1800" s="46">
        <v>0</v>
      </c>
      <c r="AS1800" s="46">
        <v>0</v>
      </c>
      <c r="AT1800" s="46">
        <v>0</v>
      </c>
      <c r="AU1800" s="46">
        <v>0</v>
      </c>
      <c r="AV1800" s="46">
        <v>0</v>
      </c>
      <c r="AW1800" s="46">
        <v>0</v>
      </c>
      <c r="AX1800" s="46">
        <v>0</v>
      </c>
      <c r="AY1800" s="46">
        <v>0</v>
      </c>
      <c r="AZ1800" s="46">
        <v>0</v>
      </c>
      <c r="BA1800" s="46">
        <v>0</v>
      </c>
      <c r="BB1800" s="46">
        <v>0</v>
      </c>
      <c r="BC1800" s="46">
        <v>0</v>
      </c>
      <c r="BD1800" s="46">
        <v>0</v>
      </c>
      <c r="BE1800" s="46">
        <v>0</v>
      </c>
      <c r="BF1800" s="46">
        <v>0</v>
      </c>
      <c r="BG1800" s="46" t="s">
        <v>48</v>
      </c>
      <c r="BH1800" s="46">
        <v>0</v>
      </c>
      <c r="BI1800" s="46">
        <v>0</v>
      </c>
      <c r="BJ1800" s="46">
        <v>0</v>
      </c>
      <c r="BK1800" s="46">
        <v>0</v>
      </c>
      <c r="BL1800" s="46">
        <v>0</v>
      </c>
      <c r="BM1800" s="46">
        <v>0</v>
      </c>
      <c r="BN1800" s="46">
        <v>0</v>
      </c>
    </row>
    <row r="1801" spans="1:66" x14ac:dyDescent="0.35">
      <c r="A1801" t="s">
        <v>9919</v>
      </c>
      <c r="B1801" s="44" t="s">
        <v>48</v>
      </c>
      <c r="C1801" t="s">
        <v>12013</v>
      </c>
      <c r="D1801" t="s">
        <v>4720</v>
      </c>
      <c r="E1801" t="s">
        <v>9920</v>
      </c>
      <c r="F1801" t="s">
        <v>3839</v>
      </c>
      <c r="G1801" t="s">
        <v>47</v>
      </c>
      <c r="H1801">
        <v>0</v>
      </c>
      <c r="I1801" s="61">
        <v>44782</v>
      </c>
      <c r="J1801" s="33" t="s">
        <v>45</v>
      </c>
      <c r="K1801" s="46">
        <v>0</v>
      </c>
      <c r="L1801">
        <v>11.7</v>
      </c>
      <c r="M1801" t="s">
        <v>48</v>
      </c>
      <c r="N1801" s="46">
        <v>0</v>
      </c>
      <c r="O1801" s="46">
        <v>0</v>
      </c>
      <c r="P1801" s="46">
        <v>0</v>
      </c>
      <c r="Q1801" t="s">
        <v>48</v>
      </c>
      <c r="R1801" t="s">
        <v>48</v>
      </c>
      <c r="S1801" s="43" t="s">
        <v>10241</v>
      </c>
      <c r="T1801" s="43" t="s">
        <v>48</v>
      </c>
      <c r="U1801" s="43" t="s">
        <v>10241</v>
      </c>
      <c r="V1801" s="47">
        <v>1</v>
      </c>
      <c r="W1801" t="s">
        <v>48</v>
      </c>
      <c r="X1801" t="s">
        <v>48</v>
      </c>
      <c r="Y1801" t="s">
        <v>48</v>
      </c>
      <c r="Z1801" t="s">
        <v>48</v>
      </c>
      <c r="AA1801" t="s">
        <v>48</v>
      </c>
      <c r="AB1801" t="s">
        <v>48</v>
      </c>
      <c r="AC1801" t="s">
        <v>49</v>
      </c>
      <c r="AD1801" t="s">
        <v>48</v>
      </c>
      <c r="AE1801" t="s">
        <v>48</v>
      </c>
      <c r="AF1801" t="s">
        <v>48</v>
      </c>
      <c r="AG1801" t="s">
        <v>48</v>
      </c>
      <c r="AH1801" t="s">
        <v>48</v>
      </c>
      <c r="AI1801" t="s">
        <v>48</v>
      </c>
      <c r="AJ1801" t="s">
        <v>48</v>
      </c>
      <c r="AK1801" t="s">
        <v>48</v>
      </c>
      <c r="AL1801" t="s">
        <v>48</v>
      </c>
      <c r="AM1801" t="s">
        <v>48</v>
      </c>
      <c r="AN1801" t="s">
        <v>48</v>
      </c>
      <c r="AO1801" t="s">
        <v>48</v>
      </c>
      <c r="AP1801" s="46">
        <v>0</v>
      </c>
      <c r="AQ1801" s="46">
        <v>0</v>
      </c>
      <c r="AR1801" s="46">
        <v>0</v>
      </c>
      <c r="AS1801" s="46">
        <v>0</v>
      </c>
      <c r="AT1801" s="46">
        <v>0</v>
      </c>
      <c r="AU1801" s="46">
        <v>0</v>
      </c>
      <c r="AV1801" s="46">
        <v>0</v>
      </c>
      <c r="AW1801" s="46">
        <v>0</v>
      </c>
      <c r="AX1801" s="46">
        <v>0</v>
      </c>
      <c r="AY1801" s="46">
        <v>0</v>
      </c>
      <c r="AZ1801" s="46">
        <v>0</v>
      </c>
      <c r="BA1801" s="46">
        <v>0</v>
      </c>
      <c r="BB1801" s="46">
        <v>0</v>
      </c>
      <c r="BC1801" s="46">
        <v>0</v>
      </c>
      <c r="BD1801" s="46">
        <v>0</v>
      </c>
      <c r="BE1801" s="46">
        <v>0</v>
      </c>
      <c r="BF1801" s="46">
        <v>0</v>
      </c>
      <c r="BG1801" s="46" t="s">
        <v>48</v>
      </c>
      <c r="BH1801" s="46">
        <v>0</v>
      </c>
      <c r="BI1801" s="46">
        <v>0</v>
      </c>
      <c r="BJ1801" s="46">
        <v>0</v>
      </c>
      <c r="BK1801" s="46">
        <v>0</v>
      </c>
      <c r="BL1801" s="46">
        <v>0</v>
      </c>
      <c r="BM1801" s="46">
        <v>0</v>
      </c>
      <c r="BN1801" s="46">
        <v>0</v>
      </c>
    </row>
    <row r="1802" spans="1:66" x14ac:dyDescent="0.35">
      <c r="A1802" t="s">
        <v>9917</v>
      </c>
      <c r="B1802" s="44" t="s">
        <v>48</v>
      </c>
      <c r="C1802" t="s">
        <v>12012</v>
      </c>
      <c r="D1802" t="s">
        <v>603</v>
      </c>
      <c r="E1802" t="s">
        <v>9918</v>
      </c>
      <c r="F1802" t="s">
        <v>3839</v>
      </c>
      <c r="G1802" t="s">
        <v>47</v>
      </c>
      <c r="H1802">
        <v>0</v>
      </c>
      <c r="I1802" s="61">
        <v>44782</v>
      </c>
      <c r="J1802" s="33" t="s">
        <v>45</v>
      </c>
      <c r="K1802" s="46">
        <v>0</v>
      </c>
      <c r="L1802">
        <v>35.4</v>
      </c>
      <c r="M1802" t="s">
        <v>48</v>
      </c>
      <c r="N1802" s="46">
        <v>0</v>
      </c>
      <c r="O1802" s="46">
        <v>0</v>
      </c>
      <c r="P1802" s="46">
        <v>0</v>
      </c>
      <c r="Q1802" t="s">
        <v>48</v>
      </c>
      <c r="R1802" t="s">
        <v>48</v>
      </c>
      <c r="S1802" s="43" t="s">
        <v>10240</v>
      </c>
      <c r="T1802" s="43" t="s">
        <v>48</v>
      </c>
      <c r="U1802" s="43" t="s">
        <v>10240</v>
      </c>
      <c r="V1802" s="47">
        <v>0</v>
      </c>
      <c r="W1802" t="s">
        <v>48</v>
      </c>
      <c r="X1802" t="s">
        <v>48</v>
      </c>
      <c r="Y1802" t="s">
        <v>48</v>
      </c>
      <c r="Z1802" t="s">
        <v>48</v>
      </c>
      <c r="AA1802" t="s">
        <v>48</v>
      </c>
      <c r="AB1802" t="s">
        <v>48</v>
      </c>
      <c r="AC1802" t="s">
        <v>49</v>
      </c>
      <c r="AD1802" t="s">
        <v>93</v>
      </c>
      <c r="AE1802" t="s">
        <v>4532</v>
      </c>
      <c r="AF1802" t="s">
        <v>48</v>
      </c>
      <c r="AG1802" t="s">
        <v>48</v>
      </c>
      <c r="AH1802" t="s">
        <v>48</v>
      </c>
      <c r="AI1802" t="s">
        <v>48</v>
      </c>
      <c r="AJ1802" t="s">
        <v>48</v>
      </c>
      <c r="AK1802" t="s">
        <v>48</v>
      </c>
      <c r="AL1802" t="s">
        <v>48</v>
      </c>
      <c r="AM1802" t="s">
        <v>48</v>
      </c>
      <c r="AN1802" t="s">
        <v>48</v>
      </c>
      <c r="AO1802" t="s">
        <v>48</v>
      </c>
      <c r="AP1802" s="46">
        <v>0</v>
      </c>
      <c r="AQ1802" s="46">
        <v>0</v>
      </c>
      <c r="AR1802" s="46">
        <v>0</v>
      </c>
      <c r="AS1802" s="46">
        <v>0</v>
      </c>
      <c r="AT1802" s="46">
        <v>0</v>
      </c>
      <c r="AU1802" s="46">
        <v>0</v>
      </c>
      <c r="AV1802" s="46">
        <v>0</v>
      </c>
      <c r="AW1802" s="46">
        <v>0</v>
      </c>
      <c r="AX1802" s="46">
        <v>0</v>
      </c>
      <c r="AY1802" s="46">
        <v>0</v>
      </c>
      <c r="AZ1802" s="46">
        <v>0</v>
      </c>
      <c r="BA1802" s="46">
        <v>0</v>
      </c>
      <c r="BB1802" s="46">
        <v>0</v>
      </c>
      <c r="BC1802" s="46">
        <v>0</v>
      </c>
      <c r="BD1802" s="46">
        <v>0</v>
      </c>
      <c r="BE1802" s="46">
        <v>0</v>
      </c>
      <c r="BF1802" s="46">
        <v>0</v>
      </c>
      <c r="BG1802" s="46" t="s">
        <v>48</v>
      </c>
      <c r="BH1802" s="46">
        <v>0</v>
      </c>
      <c r="BI1802" s="46">
        <v>0</v>
      </c>
      <c r="BJ1802" s="46">
        <v>0</v>
      </c>
      <c r="BK1802" s="46">
        <v>0</v>
      </c>
      <c r="BL1802" s="46">
        <v>0</v>
      </c>
      <c r="BM1802" s="46">
        <v>0</v>
      </c>
      <c r="BN1802" s="46">
        <v>0</v>
      </c>
    </row>
    <row r="1803" spans="1:66" x14ac:dyDescent="0.35">
      <c r="A1803" t="s">
        <v>3847</v>
      </c>
      <c r="B1803" s="44" t="s">
        <v>48</v>
      </c>
      <c r="C1803" t="s">
        <v>3850</v>
      </c>
      <c r="D1803" t="s">
        <v>3849</v>
      </c>
      <c r="E1803" t="s">
        <v>3848</v>
      </c>
      <c r="F1803" t="s">
        <v>3839</v>
      </c>
      <c r="G1803" t="s">
        <v>74</v>
      </c>
      <c r="H1803">
        <v>0</v>
      </c>
      <c r="I1803" s="60" t="s">
        <v>125</v>
      </c>
      <c r="J1803" s="33" t="s">
        <v>45</v>
      </c>
      <c r="K1803" s="46">
        <v>0</v>
      </c>
      <c r="L1803">
        <v>22.4</v>
      </c>
      <c r="M1803" t="s">
        <v>48</v>
      </c>
      <c r="N1803" s="46">
        <v>0</v>
      </c>
      <c r="O1803" s="46">
        <v>0</v>
      </c>
      <c r="P1803" s="46">
        <v>0</v>
      </c>
      <c r="Q1803" t="s">
        <v>48</v>
      </c>
      <c r="R1803" t="s">
        <v>48</v>
      </c>
      <c r="S1803" t="s">
        <v>10237</v>
      </c>
      <c r="T1803" t="s">
        <v>48</v>
      </c>
      <c r="U1803" t="s">
        <v>10237</v>
      </c>
      <c r="V1803" s="47">
        <v>1</v>
      </c>
      <c r="W1803" t="s">
        <v>48</v>
      </c>
      <c r="X1803" t="s">
        <v>48</v>
      </c>
      <c r="Y1803" t="s">
        <v>48</v>
      </c>
      <c r="Z1803">
        <v>0</v>
      </c>
      <c r="AA1803" t="s">
        <v>48</v>
      </c>
      <c r="AB1803" t="s">
        <v>48</v>
      </c>
      <c r="AC1803" t="s">
        <v>63</v>
      </c>
      <c r="AD1803" t="s">
        <v>93</v>
      </c>
      <c r="AE1803" s="40" t="s">
        <v>2471</v>
      </c>
      <c r="AF1803" t="s">
        <v>11061</v>
      </c>
      <c r="AG1803" t="s">
        <v>48</v>
      </c>
      <c r="AH1803" t="s">
        <v>48</v>
      </c>
      <c r="AI1803" t="s">
        <v>48</v>
      </c>
      <c r="AJ1803" t="s">
        <v>48</v>
      </c>
      <c r="AK1803" t="s">
        <v>48</v>
      </c>
      <c r="AL1803" t="s">
        <v>48</v>
      </c>
      <c r="AM1803" t="s">
        <v>48</v>
      </c>
      <c r="AN1803" t="s">
        <v>48</v>
      </c>
      <c r="AO1803" t="s">
        <v>48</v>
      </c>
      <c r="AP1803" s="46">
        <v>0</v>
      </c>
      <c r="AQ1803" s="46">
        <v>0</v>
      </c>
      <c r="AR1803" s="46">
        <v>0</v>
      </c>
      <c r="AS1803" s="46">
        <v>0</v>
      </c>
      <c r="AT1803" s="46">
        <v>0</v>
      </c>
      <c r="AU1803" s="46">
        <v>0</v>
      </c>
      <c r="AV1803" s="46">
        <v>0</v>
      </c>
      <c r="AW1803" s="46">
        <v>0</v>
      </c>
      <c r="AX1803" s="46">
        <v>0</v>
      </c>
      <c r="AY1803" s="46">
        <v>0</v>
      </c>
      <c r="AZ1803" s="46">
        <v>0</v>
      </c>
      <c r="BA1803" s="46">
        <v>0</v>
      </c>
      <c r="BB1803" s="46">
        <v>0</v>
      </c>
      <c r="BC1803" s="46">
        <v>0</v>
      </c>
      <c r="BD1803" s="46">
        <v>0</v>
      </c>
      <c r="BE1803" s="46">
        <v>0</v>
      </c>
      <c r="BF1803" s="46">
        <v>0</v>
      </c>
      <c r="BG1803" s="46" t="s">
        <v>48</v>
      </c>
      <c r="BH1803" s="46">
        <v>0</v>
      </c>
      <c r="BI1803" s="46">
        <v>0</v>
      </c>
      <c r="BJ1803" s="46">
        <v>0</v>
      </c>
      <c r="BK1803" s="46">
        <v>0</v>
      </c>
      <c r="BL1803" s="46">
        <v>0</v>
      </c>
      <c r="BM1803" s="46">
        <v>0</v>
      </c>
      <c r="BN1803" s="46">
        <v>0</v>
      </c>
    </row>
    <row r="1804" spans="1:66" x14ac:dyDescent="0.35">
      <c r="A1804" t="s">
        <v>9839</v>
      </c>
      <c r="B1804" s="44" t="s">
        <v>48</v>
      </c>
      <c r="C1804" t="s">
        <v>5655</v>
      </c>
      <c r="D1804" t="s">
        <v>364</v>
      </c>
      <c r="E1804" t="s">
        <v>9840</v>
      </c>
      <c r="F1804" t="s">
        <v>3839</v>
      </c>
      <c r="G1804" t="s">
        <v>74</v>
      </c>
      <c r="H1804">
        <v>0</v>
      </c>
      <c r="I1804" s="61">
        <v>44782</v>
      </c>
      <c r="J1804" s="33" t="s">
        <v>45</v>
      </c>
      <c r="K1804" s="46">
        <v>0</v>
      </c>
      <c r="L1804">
        <v>8.6999999999999993</v>
      </c>
      <c r="M1804" t="s">
        <v>48</v>
      </c>
      <c r="N1804" s="46">
        <v>0</v>
      </c>
      <c r="O1804" s="46">
        <v>0</v>
      </c>
      <c r="P1804" s="46">
        <v>0</v>
      </c>
      <c r="Q1804" t="s">
        <v>48</v>
      </c>
      <c r="R1804" t="s">
        <v>48</v>
      </c>
      <c r="S1804" s="43" t="s">
        <v>10238</v>
      </c>
      <c r="T1804" s="43" t="s">
        <v>48</v>
      </c>
      <c r="U1804" s="43" t="s">
        <v>10238</v>
      </c>
      <c r="V1804" s="47">
        <v>0</v>
      </c>
      <c r="W1804" t="s">
        <v>48</v>
      </c>
      <c r="X1804" t="s">
        <v>48</v>
      </c>
      <c r="Y1804" t="s">
        <v>48</v>
      </c>
      <c r="Z1804" t="s">
        <v>48</v>
      </c>
      <c r="AA1804" t="s">
        <v>48</v>
      </c>
      <c r="AB1804" t="s">
        <v>48</v>
      </c>
      <c r="AC1804" t="s">
        <v>63</v>
      </c>
      <c r="AD1804" t="s">
        <v>93</v>
      </c>
      <c r="AE1804" t="s">
        <v>2471</v>
      </c>
      <c r="AF1804" t="s">
        <v>48</v>
      </c>
      <c r="AG1804" t="s">
        <v>48</v>
      </c>
      <c r="AH1804" t="s">
        <v>48</v>
      </c>
      <c r="AI1804" t="s">
        <v>48</v>
      </c>
      <c r="AJ1804" t="s">
        <v>48</v>
      </c>
      <c r="AK1804" t="s">
        <v>48</v>
      </c>
      <c r="AL1804" t="s">
        <v>48</v>
      </c>
      <c r="AM1804" t="s">
        <v>48</v>
      </c>
      <c r="AN1804" t="s">
        <v>48</v>
      </c>
      <c r="AO1804" t="s">
        <v>48</v>
      </c>
      <c r="AP1804" s="46">
        <v>0</v>
      </c>
      <c r="AQ1804" s="46">
        <v>0</v>
      </c>
      <c r="AR1804" s="46">
        <v>0</v>
      </c>
      <c r="AS1804" s="46">
        <v>0</v>
      </c>
      <c r="AT1804" s="46">
        <v>0</v>
      </c>
      <c r="AU1804" s="46">
        <v>0</v>
      </c>
      <c r="AV1804" s="46">
        <v>0</v>
      </c>
      <c r="AW1804" s="46">
        <v>0</v>
      </c>
      <c r="AX1804" s="46">
        <v>0</v>
      </c>
      <c r="AY1804" s="46">
        <v>0</v>
      </c>
      <c r="AZ1804" s="46">
        <v>0</v>
      </c>
      <c r="BA1804" s="46">
        <v>0</v>
      </c>
      <c r="BB1804" s="46">
        <v>0</v>
      </c>
      <c r="BC1804" s="46">
        <v>0</v>
      </c>
      <c r="BD1804" s="46">
        <v>0</v>
      </c>
      <c r="BE1804" s="46">
        <v>0</v>
      </c>
      <c r="BF1804" s="46">
        <v>0</v>
      </c>
      <c r="BG1804" s="46" t="s">
        <v>48</v>
      </c>
      <c r="BH1804" s="46">
        <v>0</v>
      </c>
      <c r="BI1804" s="46">
        <v>0</v>
      </c>
      <c r="BJ1804" s="46">
        <v>0</v>
      </c>
      <c r="BK1804" s="46">
        <v>0</v>
      </c>
      <c r="BL1804" s="46">
        <v>0</v>
      </c>
      <c r="BM1804" s="46">
        <v>0</v>
      </c>
      <c r="BN1804" s="46">
        <v>0</v>
      </c>
    </row>
    <row r="1805" spans="1:66" x14ac:dyDescent="0.35">
      <c r="A1805" t="s">
        <v>3843</v>
      </c>
      <c r="B1805" s="44" t="s">
        <v>48</v>
      </c>
      <c r="C1805" t="s">
        <v>350</v>
      </c>
      <c r="D1805" t="s">
        <v>3846</v>
      </c>
      <c r="E1805" t="s">
        <v>3844</v>
      </c>
      <c r="F1805" t="s">
        <v>3839</v>
      </c>
      <c r="G1805" t="s">
        <v>74</v>
      </c>
      <c r="H1805">
        <v>0</v>
      </c>
      <c r="I1805" s="60" t="s">
        <v>125</v>
      </c>
      <c r="J1805" s="33" t="s">
        <v>45</v>
      </c>
      <c r="K1805" s="46">
        <v>0</v>
      </c>
      <c r="L1805">
        <v>5.0999999999999996</v>
      </c>
      <c r="M1805" t="s">
        <v>48</v>
      </c>
      <c r="N1805" s="46">
        <v>0</v>
      </c>
      <c r="O1805" s="46">
        <v>0</v>
      </c>
      <c r="P1805" s="46">
        <v>0</v>
      </c>
      <c r="Q1805" t="s">
        <v>48</v>
      </c>
      <c r="R1805" t="s">
        <v>48</v>
      </c>
      <c r="S1805" t="s">
        <v>3845</v>
      </c>
      <c r="T1805" t="s">
        <v>48</v>
      </c>
      <c r="U1805" t="s">
        <v>3845</v>
      </c>
      <c r="V1805" s="47">
        <v>1</v>
      </c>
      <c r="W1805" t="s">
        <v>48</v>
      </c>
      <c r="X1805" t="s">
        <v>48</v>
      </c>
      <c r="Y1805" t="s">
        <v>48</v>
      </c>
      <c r="Z1805">
        <v>0</v>
      </c>
      <c r="AA1805" t="s">
        <v>48</v>
      </c>
      <c r="AB1805" t="s">
        <v>48</v>
      </c>
      <c r="AC1805" t="s">
        <v>63</v>
      </c>
      <c r="AD1805" t="s">
        <v>93</v>
      </c>
      <c r="AE1805" s="40" t="s">
        <v>2471</v>
      </c>
      <c r="AF1805" t="s">
        <v>11061</v>
      </c>
      <c r="AG1805" t="s">
        <v>48</v>
      </c>
      <c r="AH1805" t="s">
        <v>48</v>
      </c>
      <c r="AI1805" t="s">
        <v>48</v>
      </c>
      <c r="AJ1805" t="s">
        <v>48</v>
      </c>
      <c r="AK1805" t="s">
        <v>48</v>
      </c>
      <c r="AL1805" t="s">
        <v>48</v>
      </c>
      <c r="AM1805" t="s">
        <v>48</v>
      </c>
      <c r="AN1805" t="s">
        <v>48</v>
      </c>
      <c r="AO1805" t="s">
        <v>48</v>
      </c>
      <c r="AP1805" s="46">
        <v>0</v>
      </c>
      <c r="AQ1805" s="46">
        <v>0</v>
      </c>
      <c r="AR1805" s="46">
        <v>0</v>
      </c>
      <c r="AS1805" s="46">
        <v>0</v>
      </c>
      <c r="AT1805" s="46">
        <v>0</v>
      </c>
      <c r="AU1805" s="46">
        <v>0</v>
      </c>
      <c r="AV1805" s="46">
        <v>0</v>
      </c>
      <c r="AW1805" s="46">
        <v>0</v>
      </c>
      <c r="AX1805" s="46">
        <v>0</v>
      </c>
      <c r="AY1805" s="46">
        <v>0</v>
      </c>
      <c r="AZ1805" s="46">
        <v>0</v>
      </c>
      <c r="BA1805" s="46">
        <v>0</v>
      </c>
      <c r="BB1805" s="46">
        <v>0</v>
      </c>
      <c r="BC1805" s="46">
        <v>0</v>
      </c>
      <c r="BD1805" s="46">
        <v>0</v>
      </c>
      <c r="BE1805" s="46">
        <v>0</v>
      </c>
      <c r="BF1805" s="46">
        <v>0</v>
      </c>
      <c r="BG1805" s="46" t="s">
        <v>48</v>
      </c>
      <c r="BH1805" s="46">
        <v>0</v>
      </c>
      <c r="BI1805" s="46">
        <v>0</v>
      </c>
      <c r="BJ1805" s="46">
        <v>0</v>
      </c>
      <c r="BK1805" s="46">
        <v>0</v>
      </c>
      <c r="BL1805" s="46">
        <v>0</v>
      </c>
      <c r="BM1805" s="46">
        <v>0</v>
      </c>
      <c r="BN1805" s="46">
        <v>0</v>
      </c>
    </row>
    <row r="1806" spans="1:66" x14ac:dyDescent="0.35">
      <c r="A1806" t="s">
        <v>3864</v>
      </c>
      <c r="B1806" s="44" t="s">
        <v>48</v>
      </c>
      <c r="C1806" t="s">
        <v>3867</v>
      </c>
      <c r="D1806" t="s">
        <v>335</v>
      </c>
      <c r="E1806" t="s">
        <v>3865</v>
      </c>
      <c r="F1806" t="s">
        <v>3851</v>
      </c>
      <c r="G1806" t="s">
        <v>74</v>
      </c>
      <c r="H1806">
        <v>0</v>
      </c>
      <c r="I1806" s="60" t="s">
        <v>125</v>
      </c>
      <c r="J1806" s="33" t="s">
        <v>45</v>
      </c>
      <c r="K1806" s="46">
        <v>0</v>
      </c>
      <c r="L1806">
        <v>23.5</v>
      </c>
      <c r="M1806" t="s">
        <v>48</v>
      </c>
      <c r="N1806" s="46">
        <v>0</v>
      </c>
      <c r="O1806" s="46">
        <v>0</v>
      </c>
      <c r="P1806" s="46">
        <v>0</v>
      </c>
      <c r="Q1806" t="s">
        <v>48</v>
      </c>
      <c r="R1806" t="s">
        <v>48</v>
      </c>
      <c r="S1806" t="s">
        <v>3866</v>
      </c>
      <c r="T1806" t="s">
        <v>48</v>
      </c>
      <c r="U1806" t="s">
        <v>3866</v>
      </c>
      <c r="V1806" s="47">
        <v>0</v>
      </c>
      <c r="W1806" t="s">
        <v>48</v>
      </c>
      <c r="X1806" t="s">
        <v>48</v>
      </c>
      <c r="Y1806" t="s">
        <v>48</v>
      </c>
      <c r="Z1806">
        <v>0</v>
      </c>
      <c r="AA1806" t="s">
        <v>48</v>
      </c>
      <c r="AB1806" t="s">
        <v>48</v>
      </c>
      <c r="AC1806" t="s">
        <v>49</v>
      </c>
      <c r="AD1806" t="s">
        <v>93</v>
      </c>
      <c r="AE1806" s="40" t="s">
        <v>2471</v>
      </c>
      <c r="AF1806" t="s">
        <v>11061</v>
      </c>
      <c r="AG1806" t="s">
        <v>48</v>
      </c>
      <c r="AH1806" t="s">
        <v>48</v>
      </c>
      <c r="AI1806" t="s">
        <v>48</v>
      </c>
      <c r="AJ1806" t="s">
        <v>48</v>
      </c>
      <c r="AK1806" t="s">
        <v>48</v>
      </c>
      <c r="AL1806" t="s">
        <v>48</v>
      </c>
      <c r="AM1806" t="s">
        <v>48</v>
      </c>
      <c r="AN1806" t="s">
        <v>48</v>
      </c>
      <c r="AO1806" t="s">
        <v>48</v>
      </c>
      <c r="AP1806" s="46">
        <v>0</v>
      </c>
      <c r="AQ1806" s="46">
        <v>0</v>
      </c>
      <c r="AR1806" s="46">
        <v>0</v>
      </c>
      <c r="AS1806" s="46">
        <v>0</v>
      </c>
      <c r="AT1806" s="46">
        <v>0</v>
      </c>
      <c r="AU1806" s="46">
        <v>0</v>
      </c>
      <c r="AV1806" s="46">
        <v>0</v>
      </c>
      <c r="AW1806" s="46">
        <v>0</v>
      </c>
      <c r="AX1806" s="46">
        <v>0</v>
      </c>
      <c r="AY1806" s="46">
        <v>0</v>
      </c>
      <c r="AZ1806" s="46">
        <v>0</v>
      </c>
      <c r="BA1806" s="46">
        <v>0</v>
      </c>
      <c r="BB1806" s="46">
        <v>0</v>
      </c>
      <c r="BC1806" s="46">
        <v>0</v>
      </c>
      <c r="BD1806" s="46">
        <v>0</v>
      </c>
      <c r="BE1806" s="46">
        <v>0</v>
      </c>
      <c r="BF1806" s="46">
        <v>0</v>
      </c>
      <c r="BG1806" s="46" t="s">
        <v>48</v>
      </c>
      <c r="BH1806" s="46">
        <v>0</v>
      </c>
      <c r="BI1806" s="46">
        <v>0</v>
      </c>
      <c r="BJ1806" s="46">
        <v>0</v>
      </c>
      <c r="BK1806" s="46">
        <v>0</v>
      </c>
      <c r="BL1806" s="46">
        <v>0</v>
      </c>
      <c r="BM1806" s="46">
        <v>0</v>
      </c>
      <c r="BN1806" s="46">
        <v>0</v>
      </c>
    </row>
    <row r="1807" spans="1:66" x14ac:dyDescent="0.35">
      <c r="A1807" t="s">
        <v>3852</v>
      </c>
      <c r="B1807" s="44" t="s">
        <v>48</v>
      </c>
      <c r="C1807" t="s">
        <v>3855</v>
      </c>
      <c r="D1807" t="s">
        <v>221</v>
      </c>
      <c r="E1807" t="s">
        <v>3853</v>
      </c>
      <c r="F1807" t="s">
        <v>3851</v>
      </c>
      <c r="G1807" t="s">
        <v>74</v>
      </c>
      <c r="H1807">
        <v>0</v>
      </c>
      <c r="I1807" s="60" t="s">
        <v>125</v>
      </c>
      <c r="J1807" s="33" t="s">
        <v>45</v>
      </c>
      <c r="K1807" s="46">
        <v>0</v>
      </c>
      <c r="L1807">
        <v>8.6</v>
      </c>
      <c r="M1807" t="s">
        <v>48</v>
      </c>
      <c r="N1807" s="46">
        <v>0</v>
      </c>
      <c r="O1807" s="46">
        <v>0</v>
      </c>
      <c r="P1807" s="46">
        <v>0</v>
      </c>
      <c r="Q1807" t="s">
        <v>48</v>
      </c>
      <c r="R1807" t="s">
        <v>48</v>
      </c>
      <c r="S1807" t="s">
        <v>48</v>
      </c>
      <c r="T1807" t="s">
        <v>48</v>
      </c>
      <c r="U1807" t="s">
        <v>48</v>
      </c>
      <c r="V1807" s="47">
        <v>0</v>
      </c>
      <c r="W1807" t="s">
        <v>48</v>
      </c>
      <c r="X1807" t="s">
        <v>48</v>
      </c>
      <c r="Y1807" t="s">
        <v>48</v>
      </c>
      <c r="Z1807">
        <v>0</v>
      </c>
      <c r="AA1807" t="s">
        <v>3854</v>
      </c>
      <c r="AB1807" t="s">
        <v>48</v>
      </c>
      <c r="AC1807" t="s">
        <v>49</v>
      </c>
      <c r="AD1807" t="s">
        <v>93</v>
      </c>
      <c r="AE1807" s="40" t="s">
        <v>2471</v>
      </c>
      <c r="AF1807" t="s">
        <v>11061</v>
      </c>
      <c r="AG1807" t="s">
        <v>48</v>
      </c>
      <c r="AH1807" t="s">
        <v>48</v>
      </c>
      <c r="AI1807" t="s">
        <v>48</v>
      </c>
      <c r="AJ1807" t="s">
        <v>48</v>
      </c>
      <c r="AK1807" t="s">
        <v>48</v>
      </c>
      <c r="AL1807" t="s">
        <v>48</v>
      </c>
      <c r="AM1807" t="s">
        <v>48</v>
      </c>
      <c r="AN1807" t="s">
        <v>48</v>
      </c>
      <c r="AO1807" t="s">
        <v>48</v>
      </c>
      <c r="AP1807" s="46">
        <v>0</v>
      </c>
      <c r="AQ1807" s="46">
        <v>0</v>
      </c>
      <c r="AR1807" s="46">
        <v>0</v>
      </c>
      <c r="AS1807" s="46">
        <v>0</v>
      </c>
      <c r="AT1807" s="46">
        <v>0</v>
      </c>
      <c r="AU1807" s="46">
        <v>0</v>
      </c>
      <c r="AV1807" s="46">
        <v>0</v>
      </c>
      <c r="AW1807" s="46">
        <v>0</v>
      </c>
      <c r="AX1807" s="46">
        <v>0</v>
      </c>
      <c r="AY1807" s="46">
        <v>0</v>
      </c>
      <c r="AZ1807" s="46">
        <v>0</v>
      </c>
      <c r="BA1807" s="46">
        <v>0</v>
      </c>
      <c r="BB1807" s="46">
        <v>0</v>
      </c>
      <c r="BC1807" s="46">
        <v>0</v>
      </c>
      <c r="BD1807" s="46">
        <v>0</v>
      </c>
      <c r="BE1807" s="46">
        <v>0</v>
      </c>
      <c r="BF1807" s="46">
        <v>0</v>
      </c>
      <c r="BG1807" s="46" t="s">
        <v>48</v>
      </c>
      <c r="BH1807" s="46">
        <v>0</v>
      </c>
      <c r="BI1807" s="46">
        <v>0</v>
      </c>
      <c r="BJ1807" s="46">
        <v>0</v>
      </c>
      <c r="BK1807" s="46">
        <v>0</v>
      </c>
      <c r="BL1807" s="46">
        <v>0</v>
      </c>
      <c r="BM1807" s="46">
        <v>0</v>
      </c>
      <c r="BN1807" s="46">
        <v>0</v>
      </c>
    </row>
    <row r="1808" spans="1:66" x14ac:dyDescent="0.35">
      <c r="A1808" t="s">
        <v>3868</v>
      </c>
      <c r="B1808" s="44" t="s">
        <v>48</v>
      </c>
      <c r="C1808" t="s">
        <v>3871</v>
      </c>
      <c r="D1808" t="s">
        <v>3870</v>
      </c>
      <c r="E1808" t="s">
        <v>3869</v>
      </c>
      <c r="F1808" t="s">
        <v>3851</v>
      </c>
      <c r="G1808" t="s">
        <v>74</v>
      </c>
      <c r="H1808">
        <v>0</v>
      </c>
      <c r="I1808" s="60" t="s">
        <v>125</v>
      </c>
      <c r="J1808" s="33" t="s">
        <v>45</v>
      </c>
      <c r="K1808" s="46">
        <v>0</v>
      </c>
      <c r="L1808">
        <v>1.2</v>
      </c>
      <c r="M1808" t="s">
        <v>48</v>
      </c>
      <c r="N1808" s="46">
        <v>0</v>
      </c>
      <c r="O1808" s="46">
        <v>0</v>
      </c>
      <c r="P1808" s="46">
        <v>0</v>
      </c>
      <c r="Q1808" t="s">
        <v>48</v>
      </c>
      <c r="R1808" t="s">
        <v>48</v>
      </c>
      <c r="S1808" t="s">
        <v>10242</v>
      </c>
      <c r="T1808" t="s">
        <v>48</v>
      </c>
      <c r="U1808" t="s">
        <v>10242</v>
      </c>
      <c r="V1808" s="47">
        <v>1</v>
      </c>
      <c r="W1808" t="s">
        <v>48</v>
      </c>
      <c r="X1808" t="s">
        <v>48</v>
      </c>
      <c r="Y1808" t="s">
        <v>48</v>
      </c>
      <c r="Z1808">
        <v>0</v>
      </c>
      <c r="AA1808" t="s">
        <v>48</v>
      </c>
      <c r="AB1808" t="s">
        <v>48</v>
      </c>
      <c r="AC1808" t="s">
        <v>63</v>
      </c>
      <c r="AD1808" t="s">
        <v>93</v>
      </c>
      <c r="AE1808" s="40" t="s">
        <v>2471</v>
      </c>
      <c r="AF1808" t="s">
        <v>48</v>
      </c>
      <c r="AG1808" t="s">
        <v>48</v>
      </c>
      <c r="AH1808" t="s">
        <v>48</v>
      </c>
      <c r="AI1808" t="s">
        <v>48</v>
      </c>
      <c r="AJ1808" t="s">
        <v>48</v>
      </c>
      <c r="AK1808" t="s">
        <v>48</v>
      </c>
      <c r="AL1808" t="s">
        <v>48</v>
      </c>
      <c r="AM1808" t="s">
        <v>48</v>
      </c>
      <c r="AN1808" t="s">
        <v>48</v>
      </c>
      <c r="AO1808" t="s">
        <v>48</v>
      </c>
      <c r="AP1808" s="46">
        <v>0</v>
      </c>
      <c r="AQ1808" s="46">
        <v>0</v>
      </c>
      <c r="AR1808" s="46">
        <v>0</v>
      </c>
      <c r="AS1808" s="46">
        <v>0</v>
      </c>
      <c r="AT1808" s="46">
        <v>0</v>
      </c>
      <c r="AU1808" s="46">
        <v>0</v>
      </c>
      <c r="AV1808" s="46">
        <v>0</v>
      </c>
      <c r="AW1808" s="46">
        <v>0</v>
      </c>
      <c r="AX1808" s="46">
        <v>0</v>
      </c>
      <c r="AY1808" s="46">
        <v>0</v>
      </c>
      <c r="AZ1808" s="46">
        <v>0</v>
      </c>
      <c r="BA1808" s="46">
        <v>0</v>
      </c>
      <c r="BB1808" s="46">
        <v>0</v>
      </c>
      <c r="BC1808" s="46">
        <v>0</v>
      </c>
      <c r="BD1808" s="46">
        <v>0</v>
      </c>
      <c r="BE1808" s="46">
        <v>0</v>
      </c>
      <c r="BF1808" s="46">
        <v>0</v>
      </c>
      <c r="BG1808" s="46" t="s">
        <v>48</v>
      </c>
      <c r="BH1808" s="46">
        <v>0</v>
      </c>
      <c r="BI1808" s="46">
        <v>0</v>
      </c>
      <c r="BJ1808" s="46">
        <v>0</v>
      </c>
      <c r="BK1808" s="46">
        <v>0</v>
      </c>
      <c r="BL1808" s="46">
        <v>0</v>
      </c>
      <c r="BM1808" s="46">
        <v>0</v>
      </c>
      <c r="BN1808" s="46">
        <v>0</v>
      </c>
    </row>
    <row r="1809" spans="1:66" x14ac:dyDescent="0.35">
      <c r="A1809" t="s">
        <v>3861</v>
      </c>
      <c r="B1809" s="44" t="s">
        <v>48</v>
      </c>
      <c r="C1809" t="s">
        <v>3863</v>
      </c>
      <c r="D1809" t="s">
        <v>396</v>
      </c>
      <c r="E1809" t="s">
        <v>3862</v>
      </c>
      <c r="F1809" t="s">
        <v>3851</v>
      </c>
      <c r="G1809" t="s">
        <v>74</v>
      </c>
      <c r="H1809">
        <v>0</v>
      </c>
      <c r="I1809" s="60" t="s">
        <v>78</v>
      </c>
      <c r="J1809" s="33" t="s">
        <v>45</v>
      </c>
      <c r="K1809" s="46">
        <v>0</v>
      </c>
      <c r="L1809">
        <v>4.5999999999999996</v>
      </c>
      <c r="M1809" t="s">
        <v>48</v>
      </c>
      <c r="N1809" s="46">
        <v>0</v>
      </c>
      <c r="O1809" s="46">
        <v>0</v>
      </c>
      <c r="P1809" s="46">
        <v>0</v>
      </c>
      <c r="Q1809" t="s">
        <v>48</v>
      </c>
      <c r="R1809" t="s">
        <v>48</v>
      </c>
      <c r="S1809" t="s">
        <v>10243</v>
      </c>
      <c r="T1809" t="s">
        <v>48</v>
      </c>
      <c r="U1809" t="s">
        <v>10243</v>
      </c>
      <c r="V1809" s="47">
        <v>1</v>
      </c>
      <c r="W1809" t="s">
        <v>48</v>
      </c>
      <c r="X1809" t="s">
        <v>48</v>
      </c>
      <c r="Y1809" t="s">
        <v>48</v>
      </c>
      <c r="Z1809">
        <v>0</v>
      </c>
      <c r="AA1809" t="s">
        <v>48</v>
      </c>
      <c r="AB1809" t="s">
        <v>48</v>
      </c>
      <c r="AC1809" t="s">
        <v>49</v>
      </c>
      <c r="AD1809" t="s">
        <v>93</v>
      </c>
      <c r="AE1809" s="40" t="s">
        <v>2471</v>
      </c>
      <c r="AF1809" t="s">
        <v>48</v>
      </c>
      <c r="AG1809" t="s">
        <v>48</v>
      </c>
      <c r="AH1809" t="s">
        <v>48</v>
      </c>
      <c r="AI1809" t="s">
        <v>48</v>
      </c>
      <c r="AJ1809" t="s">
        <v>48</v>
      </c>
      <c r="AK1809" t="s">
        <v>48</v>
      </c>
      <c r="AL1809" t="s">
        <v>48</v>
      </c>
      <c r="AM1809" t="s">
        <v>48</v>
      </c>
      <c r="AN1809" t="s">
        <v>48</v>
      </c>
      <c r="AO1809" t="s">
        <v>48</v>
      </c>
      <c r="AP1809" s="46">
        <v>0</v>
      </c>
      <c r="AQ1809" s="46">
        <v>0</v>
      </c>
      <c r="AR1809" s="46">
        <v>0</v>
      </c>
      <c r="AS1809" s="46">
        <v>0</v>
      </c>
      <c r="AT1809" s="46">
        <v>0</v>
      </c>
      <c r="AU1809" s="46">
        <v>0</v>
      </c>
      <c r="AV1809" s="46">
        <v>0</v>
      </c>
      <c r="AW1809" s="46">
        <v>0</v>
      </c>
      <c r="AX1809" s="46">
        <v>0</v>
      </c>
      <c r="AY1809" s="46">
        <v>0</v>
      </c>
      <c r="AZ1809" s="46">
        <v>0</v>
      </c>
      <c r="BA1809" s="46">
        <v>0</v>
      </c>
      <c r="BB1809" s="46">
        <v>0</v>
      </c>
      <c r="BC1809" s="46">
        <v>0</v>
      </c>
      <c r="BD1809" s="46">
        <v>0</v>
      </c>
      <c r="BE1809" s="46">
        <v>0</v>
      </c>
      <c r="BF1809" s="46">
        <v>0</v>
      </c>
      <c r="BG1809" s="46" t="s">
        <v>48</v>
      </c>
      <c r="BH1809" s="46">
        <v>0</v>
      </c>
      <c r="BI1809" s="46">
        <v>0</v>
      </c>
      <c r="BJ1809" s="46">
        <v>0</v>
      </c>
      <c r="BK1809" s="46">
        <v>0</v>
      </c>
      <c r="BL1809" s="46">
        <v>0</v>
      </c>
      <c r="BM1809" s="46">
        <v>0</v>
      </c>
      <c r="BN1809" s="46">
        <v>0</v>
      </c>
    </row>
    <row r="1810" spans="1:66" x14ac:dyDescent="0.35">
      <c r="A1810" t="s">
        <v>9841</v>
      </c>
      <c r="B1810" s="44" t="s">
        <v>48</v>
      </c>
      <c r="C1810" t="s">
        <v>4279</v>
      </c>
      <c r="D1810" t="s">
        <v>12018</v>
      </c>
      <c r="E1810" t="s">
        <v>9842</v>
      </c>
      <c r="F1810" t="s">
        <v>3851</v>
      </c>
      <c r="G1810" t="s">
        <v>74</v>
      </c>
      <c r="H1810">
        <v>0</v>
      </c>
      <c r="I1810" s="61">
        <v>44782</v>
      </c>
      <c r="J1810" s="33" t="s">
        <v>45</v>
      </c>
      <c r="K1810" s="46">
        <v>0</v>
      </c>
      <c r="L1810">
        <v>16.899999999999999</v>
      </c>
      <c r="M1810" t="s">
        <v>48</v>
      </c>
      <c r="N1810" s="46">
        <v>0</v>
      </c>
      <c r="O1810" s="46">
        <v>0</v>
      </c>
      <c r="P1810" s="46">
        <v>0</v>
      </c>
      <c r="Q1810" t="s">
        <v>48</v>
      </c>
      <c r="R1810" t="s">
        <v>48</v>
      </c>
      <c r="S1810" s="43" t="s">
        <v>10245</v>
      </c>
      <c r="T1810" s="43" t="s">
        <v>48</v>
      </c>
      <c r="U1810" s="43" t="s">
        <v>10245</v>
      </c>
      <c r="V1810" s="47">
        <v>1</v>
      </c>
      <c r="W1810" t="s">
        <v>48</v>
      </c>
      <c r="X1810" t="s">
        <v>48</v>
      </c>
      <c r="Y1810" t="s">
        <v>48</v>
      </c>
      <c r="Z1810" t="s">
        <v>48</v>
      </c>
      <c r="AA1810" t="s">
        <v>48</v>
      </c>
      <c r="AB1810" t="s">
        <v>48</v>
      </c>
      <c r="AC1810" t="s">
        <v>63</v>
      </c>
      <c r="AD1810" t="s">
        <v>93</v>
      </c>
      <c r="AE1810" s="40" t="s">
        <v>2471</v>
      </c>
      <c r="AF1810" t="s">
        <v>48</v>
      </c>
      <c r="AG1810" t="s">
        <v>48</v>
      </c>
      <c r="AH1810" t="s">
        <v>48</v>
      </c>
      <c r="AI1810" t="s">
        <v>48</v>
      </c>
      <c r="AJ1810" t="s">
        <v>48</v>
      </c>
      <c r="AK1810" t="s">
        <v>48</v>
      </c>
      <c r="AL1810" t="s">
        <v>48</v>
      </c>
      <c r="AM1810" t="s">
        <v>48</v>
      </c>
      <c r="AN1810" t="s">
        <v>48</v>
      </c>
      <c r="AO1810" t="s">
        <v>48</v>
      </c>
      <c r="AP1810" s="46">
        <v>0</v>
      </c>
      <c r="AQ1810" s="46">
        <v>0</v>
      </c>
      <c r="AR1810" s="46">
        <v>0</v>
      </c>
      <c r="AS1810" s="46">
        <v>0</v>
      </c>
      <c r="AT1810" s="46">
        <v>0</v>
      </c>
      <c r="AU1810" s="46">
        <v>0</v>
      </c>
      <c r="AV1810" s="46">
        <v>0</v>
      </c>
      <c r="AW1810" s="46">
        <v>0</v>
      </c>
      <c r="AX1810" s="46">
        <v>0</v>
      </c>
      <c r="AY1810" s="46">
        <v>0</v>
      </c>
      <c r="AZ1810" s="46">
        <v>0</v>
      </c>
      <c r="BA1810" s="46">
        <v>0</v>
      </c>
      <c r="BB1810" s="46">
        <v>0</v>
      </c>
      <c r="BC1810" s="46">
        <v>0</v>
      </c>
      <c r="BD1810" s="46">
        <v>0</v>
      </c>
      <c r="BE1810" s="46">
        <v>0</v>
      </c>
      <c r="BF1810" s="46">
        <v>0</v>
      </c>
      <c r="BG1810" s="46" t="s">
        <v>48</v>
      </c>
      <c r="BH1810" s="46">
        <v>0</v>
      </c>
      <c r="BI1810" s="46">
        <v>0</v>
      </c>
      <c r="BJ1810" s="46">
        <v>0</v>
      </c>
      <c r="BK1810" s="46">
        <v>0</v>
      </c>
      <c r="BL1810" s="46">
        <v>0</v>
      </c>
      <c r="BM1810" s="46">
        <v>0</v>
      </c>
      <c r="BN1810" s="46">
        <v>0</v>
      </c>
    </row>
    <row r="1811" spans="1:66" x14ac:dyDescent="0.35">
      <c r="A1811" t="s">
        <v>9845</v>
      </c>
      <c r="B1811" s="44" t="s">
        <v>48</v>
      </c>
      <c r="C1811" t="s">
        <v>4707</v>
      </c>
      <c r="D1811" t="s">
        <v>351</v>
      </c>
      <c r="E1811" t="s">
        <v>9846</v>
      </c>
      <c r="F1811" t="s">
        <v>3851</v>
      </c>
      <c r="G1811" t="s">
        <v>74</v>
      </c>
      <c r="H1811">
        <v>0</v>
      </c>
      <c r="I1811" s="61">
        <v>44782</v>
      </c>
      <c r="J1811" s="33" t="s">
        <v>45</v>
      </c>
      <c r="K1811" s="46">
        <v>0</v>
      </c>
      <c r="L1811">
        <v>2.2999999999999998</v>
      </c>
      <c r="M1811" t="s">
        <v>48</v>
      </c>
      <c r="N1811" s="46">
        <v>0</v>
      </c>
      <c r="O1811" s="46">
        <v>0</v>
      </c>
      <c r="P1811" s="46">
        <v>0</v>
      </c>
      <c r="Q1811" t="s">
        <v>48</v>
      </c>
      <c r="R1811" t="s">
        <v>48</v>
      </c>
      <c r="S1811" s="43" t="s">
        <v>10246</v>
      </c>
      <c r="T1811" s="43" t="s">
        <v>48</v>
      </c>
      <c r="U1811" s="43" t="s">
        <v>10246</v>
      </c>
      <c r="V1811" s="47">
        <v>1</v>
      </c>
      <c r="W1811" t="s">
        <v>48</v>
      </c>
      <c r="X1811" t="s">
        <v>48</v>
      </c>
      <c r="Y1811" t="s">
        <v>48</v>
      </c>
      <c r="Z1811" t="s">
        <v>48</v>
      </c>
      <c r="AA1811" t="s">
        <v>48</v>
      </c>
      <c r="AB1811" t="s">
        <v>48</v>
      </c>
      <c r="AC1811" t="s">
        <v>49</v>
      </c>
      <c r="AD1811" t="s">
        <v>48</v>
      </c>
      <c r="AE1811" s="40" t="s">
        <v>48</v>
      </c>
      <c r="AF1811" t="s">
        <v>48</v>
      </c>
      <c r="AG1811" t="s">
        <v>48</v>
      </c>
      <c r="AH1811" t="s">
        <v>48</v>
      </c>
      <c r="AI1811" t="s">
        <v>48</v>
      </c>
      <c r="AJ1811" t="s">
        <v>48</v>
      </c>
      <c r="AK1811" t="s">
        <v>48</v>
      </c>
      <c r="AL1811" t="s">
        <v>48</v>
      </c>
      <c r="AM1811" t="s">
        <v>48</v>
      </c>
      <c r="AN1811" t="s">
        <v>48</v>
      </c>
      <c r="AO1811" t="s">
        <v>48</v>
      </c>
      <c r="AP1811" s="46">
        <v>0</v>
      </c>
      <c r="AQ1811" s="46">
        <v>0</v>
      </c>
      <c r="AR1811" s="46">
        <v>0</v>
      </c>
      <c r="AS1811" s="46">
        <v>0</v>
      </c>
      <c r="AT1811" s="46">
        <v>0</v>
      </c>
      <c r="AU1811" s="46">
        <v>0</v>
      </c>
      <c r="AV1811" s="46">
        <v>0</v>
      </c>
      <c r="AW1811" s="46">
        <v>0</v>
      </c>
      <c r="AX1811" s="46">
        <v>0</v>
      </c>
      <c r="AY1811" s="46">
        <v>0</v>
      </c>
      <c r="AZ1811" s="46">
        <v>0</v>
      </c>
      <c r="BA1811" s="46">
        <v>0</v>
      </c>
      <c r="BB1811" s="46">
        <v>0</v>
      </c>
      <c r="BC1811" s="46">
        <v>0</v>
      </c>
      <c r="BD1811" s="46">
        <v>0</v>
      </c>
      <c r="BE1811" s="46">
        <v>0</v>
      </c>
      <c r="BF1811" s="46">
        <v>0</v>
      </c>
      <c r="BG1811" s="46" t="s">
        <v>48</v>
      </c>
      <c r="BH1811" s="46">
        <v>0</v>
      </c>
      <c r="BI1811" s="46">
        <v>0</v>
      </c>
      <c r="BJ1811" s="46">
        <v>0</v>
      </c>
      <c r="BK1811" s="46">
        <v>0</v>
      </c>
      <c r="BL1811" s="46">
        <v>0</v>
      </c>
      <c r="BM1811" s="46">
        <v>0</v>
      </c>
      <c r="BN1811" s="46">
        <v>0</v>
      </c>
    </row>
    <row r="1812" spans="1:66" x14ac:dyDescent="0.35">
      <c r="A1812" t="s">
        <v>9843</v>
      </c>
      <c r="B1812" s="44" t="s">
        <v>48</v>
      </c>
      <c r="C1812" t="s">
        <v>12016</v>
      </c>
      <c r="D1812" t="s">
        <v>12017</v>
      </c>
      <c r="E1812" t="s">
        <v>9844</v>
      </c>
      <c r="F1812" t="s">
        <v>3851</v>
      </c>
      <c r="G1812" t="s">
        <v>74</v>
      </c>
      <c r="H1812">
        <v>0</v>
      </c>
      <c r="I1812" s="61">
        <v>44782</v>
      </c>
      <c r="J1812" s="33" t="s">
        <v>45</v>
      </c>
      <c r="K1812" s="46">
        <v>0</v>
      </c>
      <c r="L1812">
        <v>6.4</v>
      </c>
      <c r="M1812" t="s">
        <v>48</v>
      </c>
      <c r="N1812" s="46">
        <v>0</v>
      </c>
      <c r="O1812" s="46">
        <v>0</v>
      </c>
      <c r="P1812" s="46">
        <v>0</v>
      </c>
      <c r="Q1812" t="s">
        <v>48</v>
      </c>
      <c r="R1812" t="s">
        <v>48</v>
      </c>
      <c r="S1812" s="43" t="s">
        <v>48</v>
      </c>
      <c r="T1812" s="43" t="s">
        <v>48</v>
      </c>
      <c r="U1812" s="43" t="s">
        <v>48</v>
      </c>
      <c r="V1812" s="47">
        <v>0</v>
      </c>
      <c r="W1812" t="s">
        <v>48</v>
      </c>
      <c r="X1812" t="s">
        <v>48</v>
      </c>
      <c r="Y1812" t="s">
        <v>48</v>
      </c>
      <c r="Z1812" t="s">
        <v>48</v>
      </c>
      <c r="AA1812" t="s">
        <v>48</v>
      </c>
      <c r="AB1812" t="s">
        <v>48</v>
      </c>
      <c r="AC1812" t="s">
        <v>63</v>
      </c>
      <c r="AD1812" t="s">
        <v>48</v>
      </c>
      <c r="AE1812" s="40" t="s">
        <v>48</v>
      </c>
      <c r="AF1812" t="s">
        <v>48</v>
      </c>
      <c r="AG1812" t="s">
        <v>48</v>
      </c>
      <c r="AH1812" t="s">
        <v>48</v>
      </c>
      <c r="AI1812" t="s">
        <v>48</v>
      </c>
      <c r="AJ1812" t="s">
        <v>48</v>
      </c>
      <c r="AK1812" t="s">
        <v>48</v>
      </c>
      <c r="AL1812" t="s">
        <v>48</v>
      </c>
      <c r="AM1812" t="s">
        <v>48</v>
      </c>
      <c r="AN1812" t="s">
        <v>48</v>
      </c>
      <c r="AO1812" t="s">
        <v>48</v>
      </c>
      <c r="AP1812" s="46">
        <v>0</v>
      </c>
      <c r="AQ1812" s="46">
        <v>0</v>
      </c>
      <c r="AR1812" s="46">
        <v>0</v>
      </c>
      <c r="AS1812" s="46">
        <v>0</v>
      </c>
      <c r="AT1812" s="46">
        <v>0</v>
      </c>
      <c r="AU1812" s="46">
        <v>0</v>
      </c>
      <c r="AV1812" s="46">
        <v>0</v>
      </c>
      <c r="AW1812" s="46">
        <v>0</v>
      </c>
      <c r="AX1812" s="46">
        <v>0</v>
      </c>
      <c r="AY1812" s="46">
        <v>0</v>
      </c>
      <c r="AZ1812" s="46">
        <v>0</v>
      </c>
      <c r="BA1812" s="46">
        <v>0</v>
      </c>
      <c r="BB1812" s="46">
        <v>0</v>
      </c>
      <c r="BC1812" s="46">
        <v>0</v>
      </c>
      <c r="BD1812" s="46">
        <v>0</v>
      </c>
      <c r="BE1812" s="46">
        <v>0</v>
      </c>
      <c r="BF1812" s="46">
        <v>0</v>
      </c>
      <c r="BG1812" s="46" t="s">
        <v>48</v>
      </c>
      <c r="BH1812" s="46">
        <v>0</v>
      </c>
      <c r="BI1812" s="46">
        <v>0</v>
      </c>
      <c r="BJ1812" s="46">
        <v>0</v>
      </c>
      <c r="BK1812" s="46">
        <v>0</v>
      </c>
      <c r="BL1812" s="46">
        <v>0</v>
      </c>
      <c r="BM1812" s="46">
        <v>0</v>
      </c>
      <c r="BN1812" s="46">
        <v>0</v>
      </c>
    </row>
    <row r="1813" spans="1:66" x14ac:dyDescent="0.35">
      <c r="A1813" t="s">
        <v>3856</v>
      </c>
      <c r="B1813" s="44" t="s">
        <v>48</v>
      </c>
      <c r="C1813" t="s">
        <v>3859</v>
      </c>
      <c r="D1813" t="s">
        <v>284</v>
      </c>
      <c r="E1813" t="s">
        <v>3857</v>
      </c>
      <c r="F1813" t="s">
        <v>3851</v>
      </c>
      <c r="G1813" t="s">
        <v>74</v>
      </c>
      <c r="H1813">
        <v>0</v>
      </c>
      <c r="I1813" s="60" t="s">
        <v>125</v>
      </c>
      <c r="J1813" s="33" t="s">
        <v>45</v>
      </c>
      <c r="K1813" s="46">
        <v>0</v>
      </c>
      <c r="L1813">
        <v>8.1999999999999993</v>
      </c>
      <c r="M1813" t="s">
        <v>48</v>
      </c>
      <c r="N1813" s="46">
        <v>0</v>
      </c>
      <c r="O1813" s="46">
        <v>0</v>
      </c>
      <c r="P1813" s="46">
        <v>0</v>
      </c>
      <c r="Q1813" t="s">
        <v>48</v>
      </c>
      <c r="R1813" t="s">
        <v>48</v>
      </c>
      <c r="S1813" t="s">
        <v>3858</v>
      </c>
      <c r="T1813" t="s">
        <v>48</v>
      </c>
      <c r="U1813" t="s">
        <v>3858</v>
      </c>
      <c r="V1813" s="47">
        <v>0</v>
      </c>
      <c r="W1813" t="s">
        <v>48</v>
      </c>
      <c r="X1813" t="s">
        <v>48</v>
      </c>
      <c r="Y1813" t="s">
        <v>48</v>
      </c>
      <c r="Z1813">
        <v>0</v>
      </c>
      <c r="AA1813" t="s">
        <v>48</v>
      </c>
      <c r="AB1813" t="s">
        <v>48</v>
      </c>
      <c r="AC1813" t="s">
        <v>63</v>
      </c>
      <c r="AD1813" t="s">
        <v>93</v>
      </c>
      <c r="AE1813" s="40" t="s">
        <v>2471</v>
      </c>
      <c r="AF1813" t="s">
        <v>11061</v>
      </c>
      <c r="AG1813" t="s">
        <v>48</v>
      </c>
      <c r="AH1813" t="s">
        <v>48</v>
      </c>
      <c r="AI1813" t="s">
        <v>48</v>
      </c>
      <c r="AJ1813" t="s">
        <v>48</v>
      </c>
      <c r="AK1813" t="s">
        <v>48</v>
      </c>
      <c r="AL1813" t="s">
        <v>48</v>
      </c>
      <c r="AM1813" t="s">
        <v>48</v>
      </c>
      <c r="AN1813" t="s">
        <v>48</v>
      </c>
      <c r="AO1813" t="s">
        <v>48</v>
      </c>
      <c r="AP1813" s="46">
        <v>0</v>
      </c>
      <c r="AQ1813" s="46">
        <v>0</v>
      </c>
      <c r="AR1813" s="46">
        <v>0</v>
      </c>
      <c r="AS1813" s="46">
        <v>0</v>
      </c>
      <c r="AT1813" s="46">
        <v>0</v>
      </c>
      <c r="AU1813" s="46">
        <v>0</v>
      </c>
      <c r="AV1813" s="46">
        <v>0</v>
      </c>
      <c r="AW1813" s="46">
        <v>0</v>
      </c>
      <c r="AX1813" s="46">
        <v>0</v>
      </c>
      <c r="AY1813" s="46">
        <v>0</v>
      </c>
      <c r="AZ1813" s="46">
        <v>0</v>
      </c>
      <c r="BA1813" s="46">
        <v>0</v>
      </c>
      <c r="BB1813" s="46">
        <v>0</v>
      </c>
      <c r="BC1813" s="46">
        <v>0</v>
      </c>
      <c r="BD1813" s="46">
        <v>0</v>
      </c>
      <c r="BE1813" s="46">
        <v>0</v>
      </c>
      <c r="BF1813" s="46">
        <v>0</v>
      </c>
      <c r="BG1813" s="46" t="s">
        <v>48</v>
      </c>
      <c r="BH1813" s="46">
        <v>0</v>
      </c>
      <c r="BI1813" s="46">
        <v>0</v>
      </c>
      <c r="BJ1813" s="46">
        <v>0</v>
      </c>
      <c r="BK1813" s="46">
        <v>0</v>
      </c>
      <c r="BL1813" s="46">
        <v>0</v>
      </c>
      <c r="BM1813" s="46">
        <v>0</v>
      </c>
      <c r="BN1813" s="46">
        <v>0</v>
      </c>
    </row>
    <row r="1814" spans="1:66" x14ac:dyDescent="0.35">
      <c r="A1814" t="s">
        <v>10679</v>
      </c>
      <c r="B1814" s="44" t="s">
        <v>48</v>
      </c>
      <c r="C1814" t="s">
        <v>12021</v>
      </c>
      <c r="D1814" t="s">
        <v>1783</v>
      </c>
      <c r="E1814" t="s">
        <v>10680</v>
      </c>
      <c r="F1814" t="s">
        <v>3898</v>
      </c>
      <c r="G1814" t="s">
        <v>74</v>
      </c>
      <c r="H1814">
        <v>0</v>
      </c>
      <c r="I1814" s="61">
        <v>44789</v>
      </c>
      <c r="J1814" s="33" t="s">
        <v>45</v>
      </c>
      <c r="K1814" s="46">
        <v>0</v>
      </c>
      <c r="L1814">
        <v>2.2999999999999998</v>
      </c>
      <c r="M1814" t="s">
        <v>48</v>
      </c>
      <c r="N1814" s="46">
        <v>0</v>
      </c>
      <c r="O1814" s="46">
        <v>0</v>
      </c>
      <c r="P1814" s="46">
        <v>0</v>
      </c>
      <c r="Q1814" t="s">
        <v>48</v>
      </c>
      <c r="R1814" t="s">
        <v>48</v>
      </c>
      <c r="S1814" t="s">
        <v>48</v>
      </c>
      <c r="T1814" s="43" t="s">
        <v>48</v>
      </c>
      <c r="U1814" t="s">
        <v>48</v>
      </c>
      <c r="V1814" s="47">
        <v>1</v>
      </c>
      <c r="W1814" t="s">
        <v>48</v>
      </c>
      <c r="X1814" t="s">
        <v>48</v>
      </c>
      <c r="Y1814" t="s">
        <v>48</v>
      </c>
      <c r="Z1814">
        <v>0</v>
      </c>
      <c r="AA1814" t="s">
        <v>48</v>
      </c>
      <c r="AB1814" t="s">
        <v>48</v>
      </c>
      <c r="AC1814" t="s">
        <v>49</v>
      </c>
      <c r="AD1814" t="s">
        <v>48</v>
      </c>
      <c r="AE1814" s="40" t="s">
        <v>48</v>
      </c>
      <c r="AF1814" t="s">
        <v>48</v>
      </c>
      <c r="AG1814" t="s">
        <v>48</v>
      </c>
      <c r="AH1814" t="s">
        <v>48</v>
      </c>
      <c r="AI1814" t="s">
        <v>48</v>
      </c>
      <c r="AJ1814" t="s">
        <v>48</v>
      </c>
      <c r="AK1814" t="s">
        <v>48</v>
      </c>
      <c r="AL1814" t="s">
        <v>48</v>
      </c>
      <c r="AM1814" t="s">
        <v>48</v>
      </c>
      <c r="AN1814" t="s">
        <v>48</v>
      </c>
      <c r="AO1814" t="s">
        <v>48</v>
      </c>
      <c r="AP1814" s="46">
        <v>0</v>
      </c>
      <c r="AQ1814" s="46">
        <v>0</v>
      </c>
      <c r="AR1814" s="46">
        <v>0</v>
      </c>
      <c r="AS1814" s="46">
        <v>0</v>
      </c>
      <c r="AT1814" s="46">
        <v>0</v>
      </c>
      <c r="AU1814" s="46">
        <v>0</v>
      </c>
      <c r="AV1814" s="46">
        <v>0</v>
      </c>
      <c r="AW1814" s="46">
        <v>0</v>
      </c>
      <c r="AX1814" s="46">
        <v>0</v>
      </c>
      <c r="AY1814" s="46">
        <v>0</v>
      </c>
      <c r="AZ1814" s="46">
        <v>0</v>
      </c>
      <c r="BA1814" s="46">
        <v>0</v>
      </c>
      <c r="BB1814" s="46">
        <v>0</v>
      </c>
      <c r="BC1814" s="46">
        <v>0</v>
      </c>
      <c r="BD1814" s="46">
        <v>0</v>
      </c>
      <c r="BE1814" s="46">
        <v>0</v>
      </c>
      <c r="BF1814" s="46">
        <v>0</v>
      </c>
      <c r="BG1814" s="46" t="s">
        <v>48</v>
      </c>
      <c r="BH1814" s="46">
        <v>0</v>
      </c>
      <c r="BI1814" s="46">
        <v>0</v>
      </c>
      <c r="BJ1814" s="46">
        <v>0</v>
      </c>
      <c r="BK1814" s="46">
        <v>0</v>
      </c>
      <c r="BL1814" s="46">
        <v>0</v>
      </c>
      <c r="BM1814" s="46">
        <v>0</v>
      </c>
      <c r="BN1814" s="46">
        <v>0</v>
      </c>
    </row>
    <row r="1815" spans="1:66" x14ac:dyDescent="0.35">
      <c r="A1815" t="s">
        <v>10677</v>
      </c>
      <c r="B1815" s="44" t="s">
        <v>48</v>
      </c>
      <c r="C1815" t="s">
        <v>12023</v>
      </c>
      <c r="D1815" t="s">
        <v>603</v>
      </c>
      <c r="E1815" t="s">
        <v>10678</v>
      </c>
      <c r="F1815" t="s">
        <v>3898</v>
      </c>
      <c r="G1815" t="s">
        <v>74</v>
      </c>
      <c r="H1815">
        <v>0</v>
      </c>
      <c r="I1815" s="61">
        <v>44789</v>
      </c>
      <c r="J1815" s="33" t="s">
        <v>45</v>
      </c>
      <c r="K1815" s="46">
        <v>0</v>
      </c>
      <c r="L1815">
        <v>5.6</v>
      </c>
      <c r="M1815" t="s">
        <v>48</v>
      </c>
      <c r="N1815" s="46">
        <v>0</v>
      </c>
      <c r="O1815" s="46">
        <v>0</v>
      </c>
      <c r="P1815" s="46">
        <v>0</v>
      </c>
      <c r="Q1815" t="s">
        <v>48</v>
      </c>
      <c r="R1815" t="s">
        <v>48</v>
      </c>
      <c r="S1815" t="s">
        <v>48</v>
      </c>
      <c r="T1815" s="43" t="s">
        <v>48</v>
      </c>
      <c r="U1815" t="s">
        <v>48</v>
      </c>
      <c r="V1815" s="47">
        <v>1</v>
      </c>
      <c r="W1815" t="s">
        <v>48</v>
      </c>
      <c r="X1815" t="s">
        <v>48</v>
      </c>
      <c r="Y1815" t="s">
        <v>48</v>
      </c>
      <c r="Z1815">
        <v>0</v>
      </c>
      <c r="AA1815" t="s">
        <v>48</v>
      </c>
      <c r="AB1815" t="s">
        <v>48</v>
      </c>
      <c r="AC1815" t="s">
        <v>49</v>
      </c>
      <c r="AD1815" t="s">
        <v>48</v>
      </c>
      <c r="AE1815" s="40" t="s">
        <v>48</v>
      </c>
      <c r="AF1815" t="s">
        <v>48</v>
      </c>
      <c r="AG1815" t="s">
        <v>48</v>
      </c>
      <c r="AH1815" t="s">
        <v>48</v>
      </c>
      <c r="AI1815" t="s">
        <v>48</v>
      </c>
      <c r="AJ1815" t="s">
        <v>48</v>
      </c>
      <c r="AK1815" t="s">
        <v>48</v>
      </c>
      <c r="AL1815" t="s">
        <v>48</v>
      </c>
      <c r="AM1815" t="s">
        <v>48</v>
      </c>
      <c r="AN1815" t="s">
        <v>48</v>
      </c>
      <c r="AO1815" t="s">
        <v>48</v>
      </c>
      <c r="AP1815" s="46">
        <v>0</v>
      </c>
      <c r="AQ1815" s="46">
        <v>0</v>
      </c>
      <c r="AR1815" s="46">
        <v>0</v>
      </c>
      <c r="AS1815" s="46">
        <v>0</v>
      </c>
      <c r="AT1815" s="46">
        <v>0</v>
      </c>
      <c r="AU1815" s="46">
        <v>0</v>
      </c>
      <c r="AV1815" s="46">
        <v>0</v>
      </c>
      <c r="AW1815" s="46">
        <v>0</v>
      </c>
      <c r="AX1815" s="46">
        <v>0</v>
      </c>
      <c r="AY1815" s="46">
        <v>0</v>
      </c>
      <c r="AZ1815" s="46">
        <v>0</v>
      </c>
      <c r="BA1815" s="46">
        <v>0</v>
      </c>
      <c r="BB1815" s="46">
        <v>0</v>
      </c>
      <c r="BC1815" s="46">
        <v>0</v>
      </c>
      <c r="BD1815" s="46">
        <v>0</v>
      </c>
      <c r="BE1815" s="46">
        <v>0</v>
      </c>
      <c r="BF1815" s="46">
        <v>0</v>
      </c>
      <c r="BG1815" s="46" t="s">
        <v>48</v>
      </c>
      <c r="BH1815" s="46">
        <v>0</v>
      </c>
      <c r="BI1815" s="46">
        <v>0</v>
      </c>
      <c r="BJ1815" s="46">
        <v>0</v>
      </c>
      <c r="BK1815" s="46">
        <v>0</v>
      </c>
      <c r="BL1815" s="46">
        <v>0</v>
      </c>
      <c r="BM1815" s="46">
        <v>0</v>
      </c>
      <c r="BN1815" s="46">
        <v>0</v>
      </c>
    </row>
    <row r="1816" spans="1:66" x14ac:dyDescent="0.35">
      <c r="A1816" t="s">
        <v>10684</v>
      </c>
      <c r="B1816" s="44" t="s">
        <v>48</v>
      </c>
      <c r="C1816" t="s">
        <v>12022</v>
      </c>
      <c r="D1816" t="s">
        <v>1635</v>
      </c>
      <c r="E1816" t="s">
        <v>10685</v>
      </c>
      <c r="F1816" t="s">
        <v>3898</v>
      </c>
      <c r="G1816" t="s">
        <v>47</v>
      </c>
      <c r="H1816">
        <v>0</v>
      </c>
      <c r="I1816" s="60" t="s">
        <v>11552</v>
      </c>
      <c r="J1816" s="33" t="s">
        <v>45</v>
      </c>
      <c r="K1816" s="46">
        <v>0</v>
      </c>
      <c r="L1816">
        <v>24</v>
      </c>
      <c r="M1816" t="s">
        <v>48</v>
      </c>
      <c r="N1816" s="46">
        <v>0</v>
      </c>
      <c r="O1816" s="46">
        <v>0</v>
      </c>
      <c r="P1816" s="46">
        <v>0</v>
      </c>
      <c r="Q1816" t="s">
        <v>48</v>
      </c>
      <c r="R1816" t="s">
        <v>48</v>
      </c>
      <c r="S1816" t="s">
        <v>11492</v>
      </c>
      <c r="T1816" s="43" t="s">
        <v>48</v>
      </c>
      <c r="U1816" t="s">
        <v>10686</v>
      </c>
      <c r="V1816" s="47">
        <v>0</v>
      </c>
      <c r="W1816" t="s">
        <v>48</v>
      </c>
      <c r="X1816" t="s">
        <v>48</v>
      </c>
      <c r="Y1816" t="s">
        <v>48</v>
      </c>
      <c r="Z1816">
        <v>0</v>
      </c>
      <c r="AA1816" t="s">
        <v>48</v>
      </c>
      <c r="AB1816" t="s">
        <v>48</v>
      </c>
      <c r="AC1816" t="s">
        <v>49</v>
      </c>
      <c r="AD1816" t="s">
        <v>93</v>
      </c>
      <c r="AE1816" s="40" t="s">
        <v>4532</v>
      </c>
      <c r="AF1816" t="s">
        <v>48</v>
      </c>
      <c r="AG1816" t="s">
        <v>48</v>
      </c>
      <c r="AH1816" t="s">
        <v>48</v>
      </c>
      <c r="AI1816" t="s">
        <v>48</v>
      </c>
      <c r="AJ1816" t="s">
        <v>48</v>
      </c>
      <c r="AK1816" t="s">
        <v>48</v>
      </c>
      <c r="AL1816" t="s">
        <v>48</v>
      </c>
      <c r="AM1816" t="s">
        <v>48</v>
      </c>
      <c r="AN1816" t="s">
        <v>48</v>
      </c>
      <c r="AO1816" t="s">
        <v>48</v>
      </c>
      <c r="AP1816" s="46">
        <v>0</v>
      </c>
      <c r="AQ1816" s="46">
        <v>0</v>
      </c>
      <c r="AR1816" s="46">
        <v>0</v>
      </c>
      <c r="AS1816" s="46">
        <v>0</v>
      </c>
      <c r="AT1816" s="46">
        <v>0</v>
      </c>
      <c r="AU1816" s="46">
        <v>0</v>
      </c>
      <c r="AV1816" s="46">
        <v>0</v>
      </c>
      <c r="AW1816" s="46">
        <v>0</v>
      </c>
      <c r="AX1816" s="46">
        <v>0</v>
      </c>
      <c r="AY1816" s="46">
        <v>0</v>
      </c>
      <c r="AZ1816" s="46">
        <v>0</v>
      </c>
      <c r="BA1816" s="46">
        <v>0</v>
      </c>
      <c r="BB1816" s="46">
        <v>0</v>
      </c>
      <c r="BC1816" s="46">
        <v>0</v>
      </c>
      <c r="BD1816" s="46">
        <v>0</v>
      </c>
      <c r="BE1816" s="46">
        <v>0</v>
      </c>
      <c r="BF1816" s="46">
        <v>0</v>
      </c>
      <c r="BG1816" s="46" t="s">
        <v>48</v>
      </c>
      <c r="BH1816" s="46">
        <v>0</v>
      </c>
      <c r="BI1816" s="46">
        <v>0</v>
      </c>
      <c r="BJ1816" s="46">
        <v>0</v>
      </c>
      <c r="BK1816" s="46">
        <v>0</v>
      </c>
      <c r="BL1816" s="46">
        <v>0</v>
      </c>
      <c r="BM1816" s="46">
        <v>0</v>
      </c>
      <c r="BN1816" s="46">
        <v>0</v>
      </c>
    </row>
    <row r="1817" spans="1:66" x14ac:dyDescent="0.35">
      <c r="A1817" t="s">
        <v>3920</v>
      </c>
      <c r="B1817" s="44" t="s">
        <v>48</v>
      </c>
      <c r="C1817" t="s">
        <v>3925</v>
      </c>
      <c r="D1817" t="s">
        <v>3924</v>
      </c>
      <c r="E1817" t="s">
        <v>3922</v>
      </c>
      <c r="F1817" t="s">
        <v>3921</v>
      </c>
      <c r="G1817" t="s">
        <v>74</v>
      </c>
      <c r="H1817">
        <v>0</v>
      </c>
      <c r="I1817" s="60" t="s">
        <v>51</v>
      </c>
      <c r="J1817" s="33" t="s">
        <v>45</v>
      </c>
      <c r="K1817" s="46">
        <v>0</v>
      </c>
      <c r="L1817">
        <v>15.2</v>
      </c>
      <c r="M1817" t="s">
        <v>48</v>
      </c>
      <c r="N1817" s="46">
        <v>0</v>
      </c>
      <c r="O1817" s="46">
        <v>0</v>
      </c>
      <c r="P1817" s="46">
        <v>0</v>
      </c>
      <c r="Q1817" t="s">
        <v>48</v>
      </c>
      <c r="R1817" t="s">
        <v>48</v>
      </c>
      <c r="S1817" t="s">
        <v>3923</v>
      </c>
      <c r="T1817" t="s">
        <v>48</v>
      </c>
      <c r="U1817" t="s">
        <v>3923</v>
      </c>
      <c r="V1817" s="47">
        <v>0</v>
      </c>
      <c r="W1817" t="s">
        <v>48</v>
      </c>
      <c r="X1817" t="s">
        <v>48</v>
      </c>
      <c r="Y1817" t="s">
        <v>48</v>
      </c>
      <c r="Z1817">
        <v>0</v>
      </c>
      <c r="AA1817" t="s">
        <v>48</v>
      </c>
      <c r="AB1817" t="s">
        <v>48</v>
      </c>
      <c r="AC1817" t="s">
        <v>63</v>
      </c>
      <c r="AD1817" t="s">
        <v>93</v>
      </c>
      <c r="AE1817" s="40" t="s">
        <v>2471</v>
      </c>
      <c r="AF1817" t="s">
        <v>11088</v>
      </c>
      <c r="AG1817" t="s">
        <v>48</v>
      </c>
      <c r="AH1817" t="s">
        <v>48</v>
      </c>
      <c r="AI1817" t="s">
        <v>48</v>
      </c>
      <c r="AJ1817" t="s">
        <v>48</v>
      </c>
      <c r="AK1817" t="s">
        <v>48</v>
      </c>
      <c r="AL1817" t="s">
        <v>48</v>
      </c>
      <c r="AM1817" t="s">
        <v>48</v>
      </c>
      <c r="AN1817" t="s">
        <v>48</v>
      </c>
      <c r="AO1817" t="s">
        <v>48</v>
      </c>
      <c r="AP1817" s="46">
        <v>0</v>
      </c>
      <c r="AQ1817" s="46">
        <v>0</v>
      </c>
      <c r="AR1817" s="46">
        <v>0</v>
      </c>
      <c r="AS1817" s="46">
        <v>0</v>
      </c>
      <c r="AT1817" s="46">
        <v>0</v>
      </c>
      <c r="AU1817" s="46">
        <v>0</v>
      </c>
      <c r="AV1817" s="46">
        <v>0</v>
      </c>
      <c r="AW1817" s="46">
        <v>0</v>
      </c>
      <c r="AX1817" s="46">
        <v>0</v>
      </c>
      <c r="AY1817" s="46">
        <v>0</v>
      </c>
      <c r="AZ1817" s="46">
        <v>0</v>
      </c>
      <c r="BA1817" s="46">
        <v>0</v>
      </c>
      <c r="BB1817" s="46">
        <v>0</v>
      </c>
      <c r="BC1817" s="46">
        <v>0</v>
      </c>
      <c r="BD1817" s="46">
        <v>0</v>
      </c>
      <c r="BE1817" s="46">
        <v>0</v>
      </c>
      <c r="BF1817" s="46">
        <v>0</v>
      </c>
      <c r="BG1817" s="46" t="s">
        <v>48</v>
      </c>
      <c r="BH1817" s="46">
        <v>0</v>
      </c>
      <c r="BI1817" s="46">
        <v>0</v>
      </c>
      <c r="BJ1817" s="46">
        <v>0</v>
      </c>
      <c r="BK1817" s="46">
        <v>0</v>
      </c>
      <c r="BL1817" s="46">
        <v>0</v>
      </c>
      <c r="BM1817" s="46">
        <v>0</v>
      </c>
      <c r="BN1817" s="46">
        <v>0</v>
      </c>
    </row>
    <row r="1818" spans="1:66" x14ac:dyDescent="0.35">
      <c r="A1818" t="s">
        <v>10687</v>
      </c>
      <c r="B1818" s="44" t="s">
        <v>48</v>
      </c>
      <c r="C1818" t="s">
        <v>12025</v>
      </c>
      <c r="D1818" t="s">
        <v>12026</v>
      </c>
      <c r="E1818" t="s">
        <v>10688</v>
      </c>
      <c r="F1818" t="s">
        <v>3921</v>
      </c>
      <c r="G1818" t="s">
        <v>74</v>
      </c>
      <c r="H1818">
        <v>0</v>
      </c>
      <c r="I1818" s="60" t="s">
        <v>11552</v>
      </c>
      <c r="J1818" s="33" t="s">
        <v>45</v>
      </c>
      <c r="K1818" s="46">
        <v>0</v>
      </c>
      <c r="L1818">
        <v>1.4</v>
      </c>
      <c r="M1818" t="s">
        <v>48</v>
      </c>
      <c r="N1818" s="46">
        <v>0</v>
      </c>
      <c r="O1818" s="46">
        <v>0</v>
      </c>
      <c r="P1818" s="46">
        <v>0</v>
      </c>
      <c r="Q1818" t="s">
        <v>48</v>
      </c>
      <c r="R1818" t="s">
        <v>48</v>
      </c>
      <c r="S1818" t="s">
        <v>11493</v>
      </c>
      <c r="T1818" t="s">
        <v>48</v>
      </c>
      <c r="U1818" t="s">
        <v>10689</v>
      </c>
      <c r="V1818" s="47">
        <v>0</v>
      </c>
      <c r="W1818" t="s">
        <v>48</v>
      </c>
      <c r="X1818" t="s">
        <v>48</v>
      </c>
      <c r="Y1818" t="s">
        <v>48</v>
      </c>
      <c r="Z1818">
        <v>0</v>
      </c>
      <c r="AA1818" t="s">
        <v>48</v>
      </c>
      <c r="AB1818" t="s">
        <v>48</v>
      </c>
      <c r="AC1818" t="s">
        <v>49</v>
      </c>
      <c r="AD1818" t="s">
        <v>48</v>
      </c>
      <c r="AE1818" t="s">
        <v>48</v>
      </c>
      <c r="AF1818" t="s">
        <v>48</v>
      </c>
      <c r="AG1818" t="s">
        <v>48</v>
      </c>
      <c r="AH1818" t="s">
        <v>48</v>
      </c>
      <c r="AI1818" t="s">
        <v>48</v>
      </c>
      <c r="AJ1818" t="s">
        <v>48</v>
      </c>
      <c r="AK1818" t="s">
        <v>48</v>
      </c>
      <c r="AL1818" t="s">
        <v>48</v>
      </c>
      <c r="AM1818" t="s">
        <v>48</v>
      </c>
      <c r="AN1818" t="s">
        <v>48</v>
      </c>
      <c r="AO1818" t="s">
        <v>48</v>
      </c>
      <c r="AP1818" s="46">
        <v>0</v>
      </c>
      <c r="AQ1818" s="46">
        <v>0</v>
      </c>
      <c r="AR1818" s="46">
        <v>0</v>
      </c>
      <c r="AS1818" s="46">
        <v>0</v>
      </c>
      <c r="AT1818" s="46">
        <v>0</v>
      </c>
      <c r="AU1818" s="46">
        <v>0</v>
      </c>
      <c r="AV1818" s="46">
        <v>0</v>
      </c>
      <c r="AW1818" s="46">
        <v>0</v>
      </c>
      <c r="AX1818" s="46">
        <v>0</v>
      </c>
      <c r="AY1818" s="46">
        <v>0</v>
      </c>
      <c r="AZ1818" s="46">
        <v>0</v>
      </c>
      <c r="BA1818" s="46">
        <v>0</v>
      </c>
      <c r="BB1818" s="46">
        <v>0</v>
      </c>
      <c r="BC1818" s="46">
        <v>0</v>
      </c>
      <c r="BD1818" s="46">
        <v>0</v>
      </c>
      <c r="BE1818" s="46">
        <v>0</v>
      </c>
      <c r="BF1818" s="46">
        <v>0</v>
      </c>
      <c r="BG1818" s="46" t="s">
        <v>48</v>
      </c>
      <c r="BH1818" s="46">
        <v>0</v>
      </c>
      <c r="BI1818" s="46">
        <v>0</v>
      </c>
      <c r="BJ1818" s="46">
        <v>0</v>
      </c>
      <c r="BK1818" s="46">
        <v>0</v>
      </c>
      <c r="BL1818" s="46">
        <v>0</v>
      </c>
      <c r="BM1818" s="46">
        <v>0</v>
      </c>
      <c r="BN1818" s="46">
        <v>0</v>
      </c>
    </row>
    <row r="1819" spans="1:66" x14ac:dyDescent="0.35">
      <c r="A1819" t="s">
        <v>10695</v>
      </c>
      <c r="B1819" s="44" t="s">
        <v>48</v>
      </c>
      <c r="C1819" t="s">
        <v>12027</v>
      </c>
      <c r="D1819" t="s">
        <v>11613</v>
      </c>
      <c r="E1819" t="s">
        <v>10696</v>
      </c>
      <c r="F1819" t="s">
        <v>3921</v>
      </c>
      <c r="G1819" t="s">
        <v>47</v>
      </c>
      <c r="H1819">
        <v>0</v>
      </c>
      <c r="I1819" s="61">
        <v>44789</v>
      </c>
      <c r="J1819" s="33" t="s">
        <v>45</v>
      </c>
      <c r="K1819" s="46">
        <v>0</v>
      </c>
      <c r="L1819">
        <v>21.9</v>
      </c>
      <c r="M1819" t="s">
        <v>48</v>
      </c>
      <c r="N1819" s="46">
        <v>0</v>
      </c>
      <c r="O1819" s="46">
        <v>0</v>
      </c>
      <c r="P1819" s="46">
        <v>0</v>
      </c>
      <c r="Q1819" t="s">
        <v>48</v>
      </c>
      <c r="R1819" t="s">
        <v>48</v>
      </c>
      <c r="S1819" t="s">
        <v>48</v>
      </c>
      <c r="T1819" t="s">
        <v>48</v>
      </c>
      <c r="U1819" t="s">
        <v>48</v>
      </c>
      <c r="V1819" s="47">
        <v>1</v>
      </c>
      <c r="W1819" t="s">
        <v>48</v>
      </c>
      <c r="X1819" t="s">
        <v>48</v>
      </c>
      <c r="Y1819" t="s">
        <v>48</v>
      </c>
      <c r="Z1819">
        <v>0</v>
      </c>
      <c r="AA1819" t="s">
        <v>48</v>
      </c>
      <c r="AB1819" t="s">
        <v>48</v>
      </c>
      <c r="AC1819" t="s">
        <v>49</v>
      </c>
      <c r="AD1819" t="s">
        <v>93</v>
      </c>
      <c r="AE1819" t="s">
        <v>4532</v>
      </c>
      <c r="AF1819" t="s">
        <v>48</v>
      </c>
      <c r="AG1819" t="s">
        <v>48</v>
      </c>
      <c r="AH1819" t="s">
        <v>48</v>
      </c>
      <c r="AI1819" t="s">
        <v>48</v>
      </c>
      <c r="AJ1819" t="s">
        <v>48</v>
      </c>
      <c r="AK1819" t="s">
        <v>48</v>
      </c>
      <c r="AL1819" t="s">
        <v>48</v>
      </c>
      <c r="AM1819" t="s">
        <v>48</v>
      </c>
      <c r="AN1819" t="s">
        <v>48</v>
      </c>
      <c r="AO1819" t="s">
        <v>48</v>
      </c>
      <c r="AP1819" s="46">
        <v>0</v>
      </c>
      <c r="AQ1819" s="46">
        <v>0</v>
      </c>
      <c r="AR1819" s="46">
        <v>0</v>
      </c>
      <c r="AS1819" s="46">
        <v>0</v>
      </c>
      <c r="AT1819" s="46">
        <v>0</v>
      </c>
      <c r="AU1819" s="46">
        <v>0</v>
      </c>
      <c r="AV1819" s="46">
        <v>0</v>
      </c>
      <c r="AW1819" s="46">
        <v>0</v>
      </c>
      <c r="AX1819" s="46">
        <v>0</v>
      </c>
      <c r="AY1819" s="46">
        <v>0</v>
      </c>
      <c r="AZ1819" s="46">
        <v>0</v>
      </c>
      <c r="BA1819" s="46">
        <v>0</v>
      </c>
      <c r="BB1819" s="46">
        <v>0</v>
      </c>
      <c r="BC1819" s="46">
        <v>0</v>
      </c>
      <c r="BD1819" s="46">
        <v>0</v>
      </c>
      <c r="BE1819" s="46">
        <v>0</v>
      </c>
      <c r="BF1819" s="46">
        <v>0</v>
      </c>
      <c r="BG1819" s="46" t="s">
        <v>48</v>
      </c>
      <c r="BH1819" s="46">
        <v>0</v>
      </c>
      <c r="BI1819" s="46">
        <v>0</v>
      </c>
      <c r="BJ1819" s="46">
        <v>0</v>
      </c>
      <c r="BK1819" s="46">
        <v>0</v>
      </c>
      <c r="BL1819" s="46">
        <v>0</v>
      </c>
      <c r="BM1819" s="46">
        <v>0</v>
      </c>
      <c r="BN1819" s="46">
        <v>0</v>
      </c>
    </row>
    <row r="1820" spans="1:66" x14ac:dyDescent="0.35">
      <c r="A1820" t="s">
        <v>10693</v>
      </c>
      <c r="B1820" s="44" t="s">
        <v>48</v>
      </c>
      <c r="C1820" t="s">
        <v>12028</v>
      </c>
      <c r="D1820" t="s">
        <v>372</v>
      </c>
      <c r="E1820" t="s">
        <v>10694</v>
      </c>
      <c r="F1820" t="s">
        <v>3921</v>
      </c>
      <c r="G1820" t="s">
        <v>47</v>
      </c>
      <c r="H1820">
        <v>0</v>
      </c>
      <c r="I1820" s="61">
        <v>44789</v>
      </c>
      <c r="J1820" s="33" t="s">
        <v>45</v>
      </c>
      <c r="K1820" s="46">
        <v>0</v>
      </c>
      <c r="L1820">
        <v>34.1</v>
      </c>
      <c r="M1820" t="s">
        <v>48</v>
      </c>
      <c r="N1820" s="46">
        <v>0</v>
      </c>
      <c r="O1820" s="46">
        <v>0</v>
      </c>
      <c r="P1820" s="46">
        <v>0</v>
      </c>
      <c r="Q1820" t="s">
        <v>48</v>
      </c>
      <c r="R1820" t="s">
        <v>48</v>
      </c>
      <c r="S1820" t="s">
        <v>48</v>
      </c>
      <c r="T1820" t="s">
        <v>48</v>
      </c>
      <c r="U1820" t="s">
        <v>48</v>
      </c>
      <c r="V1820" s="47">
        <v>1</v>
      </c>
      <c r="W1820" t="s">
        <v>11264</v>
      </c>
      <c r="X1820" t="s">
        <v>48</v>
      </c>
      <c r="Y1820" t="s">
        <v>48</v>
      </c>
      <c r="Z1820">
        <v>0</v>
      </c>
      <c r="AA1820" t="s">
        <v>48</v>
      </c>
      <c r="AB1820" t="s">
        <v>48</v>
      </c>
      <c r="AC1820" t="s">
        <v>49</v>
      </c>
      <c r="AD1820" t="s">
        <v>93</v>
      </c>
      <c r="AE1820" t="s">
        <v>4532</v>
      </c>
      <c r="AF1820" t="s">
        <v>48</v>
      </c>
      <c r="AG1820" t="s">
        <v>48</v>
      </c>
      <c r="AH1820" t="s">
        <v>48</v>
      </c>
      <c r="AI1820" t="s">
        <v>48</v>
      </c>
      <c r="AJ1820" t="s">
        <v>48</v>
      </c>
      <c r="AK1820" t="s">
        <v>48</v>
      </c>
      <c r="AL1820" t="s">
        <v>48</v>
      </c>
      <c r="AM1820" t="s">
        <v>48</v>
      </c>
      <c r="AN1820" t="s">
        <v>48</v>
      </c>
      <c r="AO1820" t="s">
        <v>48</v>
      </c>
      <c r="AP1820" s="46">
        <v>0</v>
      </c>
      <c r="AQ1820" s="46">
        <v>0</v>
      </c>
      <c r="AR1820" s="46">
        <v>0</v>
      </c>
      <c r="AS1820" s="46">
        <v>0</v>
      </c>
      <c r="AT1820" s="46">
        <v>0</v>
      </c>
      <c r="AU1820" s="46">
        <v>0</v>
      </c>
      <c r="AV1820" s="46">
        <v>0</v>
      </c>
      <c r="AW1820" s="46">
        <v>0</v>
      </c>
      <c r="AX1820" s="46">
        <v>0</v>
      </c>
      <c r="AY1820" s="46">
        <v>0</v>
      </c>
      <c r="AZ1820" s="46">
        <v>0</v>
      </c>
      <c r="BA1820" s="46">
        <v>0</v>
      </c>
      <c r="BB1820" s="46">
        <v>0</v>
      </c>
      <c r="BC1820" s="46">
        <v>0</v>
      </c>
      <c r="BD1820" s="46">
        <v>0</v>
      </c>
      <c r="BE1820" s="46">
        <v>0</v>
      </c>
      <c r="BF1820" s="46">
        <v>0</v>
      </c>
      <c r="BG1820" s="46" t="s">
        <v>48</v>
      </c>
      <c r="BH1820" s="46">
        <v>0</v>
      </c>
      <c r="BI1820" s="46">
        <v>0</v>
      </c>
      <c r="BJ1820" s="46">
        <v>0</v>
      </c>
      <c r="BK1820" s="46">
        <v>0</v>
      </c>
      <c r="BL1820" s="46">
        <v>0</v>
      </c>
      <c r="BM1820" s="46">
        <v>0</v>
      </c>
      <c r="BN1820" s="46">
        <v>0</v>
      </c>
    </row>
    <row r="1821" spans="1:66" x14ac:dyDescent="0.35">
      <c r="A1821" t="s">
        <v>10697</v>
      </c>
      <c r="B1821" s="44" t="s">
        <v>48</v>
      </c>
      <c r="C1821" t="s">
        <v>12030</v>
      </c>
      <c r="D1821" t="s">
        <v>269</v>
      </c>
      <c r="E1821" t="s">
        <v>10698</v>
      </c>
      <c r="F1821" t="s">
        <v>3933</v>
      </c>
      <c r="G1821" t="s">
        <v>74</v>
      </c>
      <c r="H1821">
        <v>0</v>
      </c>
      <c r="I1821" s="60" t="s">
        <v>11552</v>
      </c>
      <c r="J1821" s="33" t="s">
        <v>45</v>
      </c>
      <c r="K1821" s="46">
        <v>0</v>
      </c>
      <c r="L1821">
        <v>48.2</v>
      </c>
      <c r="M1821" t="s">
        <v>48</v>
      </c>
      <c r="N1821" s="46">
        <v>0</v>
      </c>
      <c r="O1821" s="46">
        <v>0</v>
      </c>
      <c r="P1821" s="46">
        <v>0</v>
      </c>
      <c r="Q1821" t="s">
        <v>48</v>
      </c>
      <c r="R1821" t="s">
        <v>48</v>
      </c>
      <c r="S1821" t="s">
        <v>11495</v>
      </c>
      <c r="T1821" t="s">
        <v>48</v>
      </c>
      <c r="U1821" t="s">
        <v>10699</v>
      </c>
      <c r="V1821" s="47">
        <v>0</v>
      </c>
      <c r="W1821" t="s">
        <v>48</v>
      </c>
      <c r="X1821" t="s">
        <v>48</v>
      </c>
      <c r="Y1821" t="s">
        <v>48</v>
      </c>
      <c r="Z1821">
        <v>0</v>
      </c>
      <c r="AA1821" t="s">
        <v>48</v>
      </c>
      <c r="AB1821" t="s">
        <v>48</v>
      </c>
      <c r="AC1821" t="s">
        <v>49</v>
      </c>
      <c r="AD1821" t="s">
        <v>93</v>
      </c>
      <c r="AE1821" t="s">
        <v>2471</v>
      </c>
      <c r="AF1821" t="s">
        <v>48</v>
      </c>
      <c r="AG1821" t="s">
        <v>48</v>
      </c>
      <c r="AH1821" t="s">
        <v>48</v>
      </c>
      <c r="AI1821" t="s">
        <v>48</v>
      </c>
      <c r="AJ1821" t="s">
        <v>48</v>
      </c>
      <c r="AK1821" t="s">
        <v>48</v>
      </c>
      <c r="AL1821" t="s">
        <v>48</v>
      </c>
      <c r="AM1821" t="s">
        <v>48</v>
      </c>
      <c r="AN1821" t="s">
        <v>48</v>
      </c>
      <c r="AO1821" t="s">
        <v>48</v>
      </c>
      <c r="AP1821" s="46">
        <v>0</v>
      </c>
      <c r="AQ1821" s="46">
        <v>0</v>
      </c>
      <c r="AR1821" s="46">
        <v>0</v>
      </c>
      <c r="AS1821" s="46">
        <v>0</v>
      </c>
      <c r="AT1821" s="46">
        <v>0</v>
      </c>
      <c r="AU1821" s="46">
        <v>0</v>
      </c>
      <c r="AV1821" s="46">
        <v>0</v>
      </c>
      <c r="AW1821" s="46">
        <v>0</v>
      </c>
      <c r="AX1821" s="46">
        <v>0</v>
      </c>
      <c r="AY1821" s="46">
        <v>0</v>
      </c>
      <c r="AZ1821" s="46">
        <v>0</v>
      </c>
      <c r="BA1821" s="46">
        <v>0</v>
      </c>
      <c r="BB1821" s="46">
        <v>0</v>
      </c>
      <c r="BC1821" s="46">
        <v>0</v>
      </c>
      <c r="BD1821" s="46">
        <v>0</v>
      </c>
      <c r="BE1821" s="46">
        <v>0</v>
      </c>
      <c r="BF1821" s="46">
        <v>0</v>
      </c>
      <c r="BG1821" s="46" t="s">
        <v>48</v>
      </c>
      <c r="BH1821" s="46">
        <v>0</v>
      </c>
      <c r="BI1821" s="46">
        <v>0</v>
      </c>
      <c r="BJ1821" s="46">
        <v>0</v>
      </c>
      <c r="BK1821" s="46">
        <v>0</v>
      </c>
      <c r="BL1821" s="46">
        <v>0</v>
      </c>
      <c r="BM1821" s="46">
        <v>0</v>
      </c>
      <c r="BN1821" s="46">
        <v>0</v>
      </c>
    </row>
    <row r="1822" spans="1:66" x14ac:dyDescent="0.35">
      <c r="A1822" t="s">
        <v>10703</v>
      </c>
      <c r="B1822" s="44" t="s">
        <v>48</v>
      </c>
      <c r="C1822" t="s">
        <v>12029</v>
      </c>
      <c r="D1822" t="s">
        <v>5884</v>
      </c>
      <c r="E1822" t="s">
        <v>10704</v>
      </c>
      <c r="F1822" t="s">
        <v>3933</v>
      </c>
      <c r="G1822" t="s">
        <v>47</v>
      </c>
      <c r="H1822">
        <v>0</v>
      </c>
      <c r="I1822" s="61">
        <v>44789</v>
      </c>
      <c r="J1822" s="33" t="s">
        <v>45</v>
      </c>
      <c r="K1822" s="46">
        <v>0</v>
      </c>
      <c r="L1822">
        <v>14.9</v>
      </c>
      <c r="M1822" t="s">
        <v>48</v>
      </c>
      <c r="N1822" s="46">
        <v>0</v>
      </c>
      <c r="O1822" s="46">
        <v>0</v>
      </c>
      <c r="P1822" s="46">
        <v>0</v>
      </c>
      <c r="Q1822" t="s">
        <v>48</v>
      </c>
      <c r="R1822" t="s">
        <v>48</v>
      </c>
      <c r="S1822" t="s">
        <v>48</v>
      </c>
      <c r="T1822" t="s">
        <v>48</v>
      </c>
      <c r="U1822" t="s">
        <v>48</v>
      </c>
      <c r="V1822" s="47">
        <v>0</v>
      </c>
      <c r="W1822" t="s">
        <v>48</v>
      </c>
      <c r="X1822" t="s">
        <v>48</v>
      </c>
      <c r="Y1822" t="s">
        <v>48</v>
      </c>
      <c r="Z1822">
        <v>0</v>
      </c>
      <c r="AA1822" t="s">
        <v>48</v>
      </c>
      <c r="AB1822" t="s">
        <v>48</v>
      </c>
      <c r="AC1822" t="s">
        <v>49</v>
      </c>
      <c r="AD1822" t="s">
        <v>48</v>
      </c>
      <c r="AE1822" t="s">
        <v>48</v>
      </c>
      <c r="AF1822" t="s">
        <v>48</v>
      </c>
      <c r="AG1822" t="s">
        <v>48</v>
      </c>
      <c r="AH1822" t="s">
        <v>48</v>
      </c>
      <c r="AI1822" t="s">
        <v>48</v>
      </c>
      <c r="AJ1822" t="s">
        <v>48</v>
      </c>
      <c r="AK1822" t="s">
        <v>48</v>
      </c>
      <c r="AL1822" t="s">
        <v>48</v>
      </c>
      <c r="AM1822" t="s">
        <v>48</v>
      </c>
      <c r="AN1822" t="s">
        <v>48</v>
      </c>
      <c r="AO1822" t="s">
        <v>48</v>
      </c>
      <c r="AP1822" s="46">
        <v>0</v>
      </c>
      <c r="AQ1822" s="46">
        <v>0</v>
      </c>
      <c r="AR1822" s="46">
        <v>0</v>
      </c>
      <c r="AS1822" s="46">
        <v>0</v>
      </c>
      <c r="AT1822" s="46">
        <v>0</v>
      </c>
      <c r="AU1822" s="46">
        <v>0</v>
      </c>
      <c r="AV1822" s="46">
        <v>0</v>
      </c>
      <c r="AW1822" s="46">
        <v>0</v>
      </c>
      <c r="AX1822" s="46">
        <v>0</v>
      </c>
      <c r="AY1822" s="46">
        <v>0</v>
      </c>
      <c r="AZ1822" s="46">
        <v>0</v>
      </c>
      <c r="BA1822" s="46">
        <v>0</v>
      </c>
      <c r="BB1822" s="46">
        <v>0</v>
      </c>
      <c r="BC1822" s="46">
        <v>0</v>
      </c>
      <c r="BD1822" s="46">
        <v>0</v>
      </c>
      <c r="BE1822" s="46">
        <v>0</v>
      </c>
      <c r="BF1822" s="46">
        <v>0</v>
      </c>
      <c r="BG1822" s="46" t="s">
        <v>48</v>
      </c>
      <c r="BH1822" s="46">
        <v>0</v>
      </c>
      <c r="BI1822" s="46">
        <v>0</v>
      </c>
      <c r="BJ1822" s="46">
        <v>0</v>
      </c>
      <c r="BK1822" s="46">
        <v>0</v>
      </c>
      <c r="BL1822" s="46">
        <v>0</v>
      </c>
      <c r="BM1822" s="46">
        <v>0</v>
      </c>
      <c r="BN1822" s="46">
        <v>0</v>
      </c>
    </row>
    <row r="1823" spans="1:66" x14ac:dyDescent="0.35">
      <c r="A1823" t="s">
        <v>10700</v>
      </c>
      <c r="B1823" s="44" t="s">
        <v>48</v>
      </c>
      <c r="C1823" t="s">
        <v>4532</v>
      </c>
      <c r="D1823" t="s">
        <v>12031</v>
      </c>
      <c r="E1823" t="s">
        <v>10701</v>
      </c>
      <c r="F1823" t="s">
        <v>3933</v>
      </c>
      <c r="G1823" t="s">
        <v>47</v>
      </c>
      <c r="H1823">
        <v>0</v>
      </c>
      <c r="I1823" s="60" t="s">
        <v>11552</v>
      </c>
      <c r="J1823" s="33" t="s">
        <v>45</v>
      </c>
      <c r="K1823" s="46">
        <v>0</v>
      </c>
      <c r="L1823">
        <v>37.200000000000003</v>
      </c>
      <c r="M1823" t="s">
        <v>48</v>
      </c>
      <c r="N1823" s="46">
        <v>0</v>
      </c>
      <c r="O1823" s="46">
        <v>0</v>
      </c>
      <c r="P1823" s="46">
        <v>0</v>
      </c>
      <c r="Q1823" t="s">
        <v>48</v>
      </c>
      <c r="R1823" t="s">
        <v>48</v>
      </c>
      <c r="S1823" t="s">
        <v>11496</v>
      </c>
      <c r="T1823" t="s">
        <v>48</v>
      </c>
      <c r="U1823" t="s">
        <v>10702</v>
      </c>
      <c r="V1823" s="47">
        <v>0</v>
      </c>
      <c r="W1823" t="s">
        <v>48</v>
      </c>
      <c r="X1823" t="s">
        <v>48</v>
      </c>
      <c r="Y1823" t="s">
        <v>48</v>
      </c>
      <c r="Z1823">
        <v>0</v>
      </c>
      <c r="AA1823" t="s">
        <v>48</v>
      </c>
      <c r="AB1823" t="s">
        <v>48</v>
      </c>
      <c r="AC1823" t="s">
        <v>49</v>
      </c>
      <c r="AD1823" t="s">
        <v>48</v>
      </c>
      <c r="AE1823" t="s">
        <v>48</v>
      </c>
      <c r="AF1823" t="s">
        <v>48</v>
      </c>
      <c r="AG1823" t="s">
        <v>48</v>
      </c>
      <c r="AH1823" t="s">
        <v>48</v>
      </c>
      <c r="AI1823" t="s">
        <v>48</v>
      </c>
      <c r="AJ1823" t="s">
        <v>48</v>
      </c>
      <c r="AK1823" t="s">
        <v>48</v>
      </c>
      <c r="AL1823" t="s">
        <v>48</v>
      </c>
      <c r="AM1823" t="s">
        <v>48</v>
      </c>
      <c r="AN1823" t="s">
        <v>48</v>
      </c>
      <c r="AO1823" t="s">
        <v>48</v>
      </c>
      <c r="AP1823" s="46">
        <v>0</v>
      </c>
      <c r="AQ1823" s="46">
        <v>0</v>
      </c>
      <c r="AR1823" s="46">
        <v>0</v>
      </c>
      <c r="AS1823" s="46">
        <v>0</v>
      </c>
      <c r="AT1823" s="46">
        <v>0</v>
      </c>
      <c r="AU1823" s="46">
        <v>0</v>
      </c>
      <c r="AV1823" s="46">
        <v>0</v>
      </c>
      <c r="AW1823" s="46">
        <v>0</v>
      </c>
      <c r="AX1823" s="46">
        <v>0</v>
      </c>
      <c r="AY1823" s="46">
        <v>0</v>
      </c>
      <c r="AZ1823" s="46">
        <v>0</v>
      </c>
      <c r="BA1823" s="46">
        <v>0</v>
      </c>
      <c r="BB1823" s="46">
        <v>0</v>
      </c>
      <c r="BC1823" s="46">
        <v>0</v>
      </c>
      <c r="BD1823" s="46">
        <v>0</v>
      </c>
      <c r="BE1823" s="46">
        <v>0</v>
      </c>
      <c r="BF1823" s="46">
        <v>0</v>
      </c>
      <c r="BG1823" s="46" t="s">
        <v>48</v>
      </c>
      <c r="BH1823" s="46">
        <v>0</v>
      </c>
      <c r="BI1823" s="46">
        <v>0</v>
      </c>
      <c r="BJ1823" s="46">
        <v>0</v>
      </c>
      <c r="BK1823" s="46">
        <v>0</v>
      </c>
      <c r="BL1823" s="46">
        <v>0</v>
      </c>
      <c r="BM1823" s="46">
        <v>0</v>
      </c>
      <c r="BN1823" s="46">
        <v>0</v>
      </c>
    </row>
    <row r="1824" spans="1:66" x14ac:dyDescent="0.35">
      <c r="A1824" t="s">
        <v>10708</v>
      </c>
      <c r="B1824" s="44" t="s">
        <v>48</v>
      </c>
      <c r="C1824" t="s">
        <v>12033</v>
      </c>
      <c r="D1824" t="s">
        <v>12034</v>
      </c>
      <c r="E1824" t="s">
        <v>10709</v>
      </c>
      <c r="F1824" t="s">
        <v>3955</v>
      </c>
      <c r="G1824" t="s">
        <v>74</v>
      </c>
      <c r="H1824">
        <v>0</v>
      </c>
      <c r="I1824" s="61">
        <v>44789</v>
      </c>
      <c r="J1824" s="33" t="s">
        <v>45</v>
      </c>
      <c r="K1824" s="46">
        <v>0</v>
      </c>
      <c r="L1824">
        <v>41</v>
      </c>
      <c r="M1824" t="s">
        <v>48</v>
      </c>
      <c r="N1824" s="46">
        <v>0</v>
      </c>
      <c r="O1824" s="46">
        <v>0</v>
      </c>
      <c r="P1824" s="46">
        <v>0</v>
      </c>
      <c r="Q1824" t="s">
        <v>48</v>
      </c>
      <c r="R1824" t="s">
        <v>48</v>
      </c>
      <c r="S1824" t="s">
        <v>48</v>
      </c>
      <c r="T1824" t="s">
        <v>48</v>
      </c>
      <c r="U1824" t="s">
        <v>48</v>
      </c>
      <c r="V1824" s="47">
        <v>1</v>
      </c>
      <c r="W1824" t="s">
        <v>11264</v>
      </c>
      <c r="X1824" t="s">
        <v>48</v>
      </c>
      <c r="Y1824" t="s">
        <v>48</v>
      </c>
      <c r="Z1824">
        <v>0</v>
      </c>
      <c r="AA1824" t="s">
        <v>48</v>
      </c>
      <c r="AB1824" t="s">
        <v>48</v>
      </c>
      <c r="AC1824" t="s">
        <v>63</v>
      </c>
      <c r="AD1824" t="s">
        <v>11050</v>
      </c>
      <c r="AE1824" t="s">
        <v>4532</v>
      </c>
      <c r="AF1824" t="s">
        <v>48</v>
      </c>
      <c r="AG1824" t="s">
        <v>48</v>
      </c>
      <c r="AH1824" t="s">
        <v>48</v>
      </c>
      <c r="AI1824" t="s">
        <v>48</v>
      </c>
      <c r="AJ1824" t="s">
        <v>48</v>
      </c>
      <c r="AK1824" t="s">
        <v>48</v>
      </c>
      <c r="AL1824" t="s">
        <v>48</v>
      </c>
      <c r="AM1824" t="s">
        <v>48</v>
      </c>
      <c r="AN1824" t="s">
        <v>48</v>
      </c>
      <c r="AO1824" t="s">
        <v>48</v>
      </c>
      <c r="AP1824" s="46">
        <v>0</v>
      </c>
      <c r="AQ1824" s="46">
        <v>0</v>
      </c>
      <c r="AR1824" s="46">
        <v>0</v>
      </c>
      <c r="AS1824" s="46">
        <v>0</v>
      </c>
      <c r="AT1824" s="46">
        <v>0</v>
      </c>
      <c r="AU1824" s="46">
        <v>0</v>
      </c>
      <c r="AV1824" s="46">
        <v>0</v>
      </c>
      <c r="AW1824" s="46">
        <v>0</v>
      </c>
      <c r="AX1824" s="46">
        <v>0</v>
      </c>
      <c r="AY1824" s="46">
        <v>0</v>
      </c>
      <c r="AZ1824" s="46">
        <v>0</v>
      </c>
      <c r="BA1824" s="46">
        <v>0</v>
      </c>
      <c r="BB1824" s="46">
        <v>0</v>
      </c>
      <c r="BC1824" s="46">
        <v>0</v>
      </c>
      <c r="BD1824" s="46">
        <v>0</v>
      </c>
      <c r="BE1824" s="46">
        <v>0</v>
      </c>
      <c r="BF1824" s="46">
        <v>0</v>
      </c>
      <c r="BG1824" s="46" t="s">
        <v>48</v>
      </c>
      <c r="BH1824" s="46">
        <v>0</v>
      </c>
      <c r="BI1824" s="46">
        <v>0</v>
      </c>
      <c r="BJ1824" s="46">
        <v>0</v>
      </c>
      <c r="BK1824" s="46">
        <v>0</v>
      </c>
      <c r="BL1824" s="46">
        <v>0</v>
      </c>
      <c r="BM1824" s="46">
        <v>0</v>
      </c>
      <c r="BN1824" s="46">
        <v>0</v>
      </c>
    </row>
    <row r="1825" spans="1:66" x14ac:dyDescent="0.35">
      <c r="A1825" t="s">
        <v>10715</v>
      </c>
      <c r="B1825" s="44" t="s">
        <v>48</v>
      </c>
      <c r="C1825" t="s">
        <v>12037</v>
      </c>
      <c r="D1825" t="s">
        <v>12038</v>
      </c>
      <c r="E1825" t="s">
        <v>10716</v>
      </c>
      <c r="F1825" t="s">
        <v>3962</v>
      </c>
      <c r="G1825" t="s">
        <v>47</v>
      </c>
      <c r="H1825">
        <v>0</v>
      </c>
      <c r="I1825" s="61">
        <v>44789</v>
      </c>
      <c r="J1825" s="33" t="s">
        <v>45</v>
      </c>
      <c r="K1825" s="46">
        <v>0</v>
      </c>
      <c r="L1825">
        <v>9</v>
      </c>
      <c r="M1825" t="s">
        <v>48</v>
      </c>
      <c r="N1825" s="46">
        <v>0</v>
      </c>
      <c r="O1825" s="46">
        <v>0</v>
      </c>
      <c r="P1825" s="46">
        <v>0</v>
      </c>
      <c r="Q1825" t="s">
        <v>48</v>
      </c>
      <c r="R1825" t="s">
        <v>48</v>
      </c>
      <c r="S1825" t="s">
        <v>48</v>
      </c>
      <c r="T1825" t="s">
        <v>48</v>
      </c>
      <c r="U1825" t="s">
        <v>48</v>
      </c>
      <c r="V1825" s="47">
        <v>1</v>
      </c>
      <c r="W1825" t="s">
        <v>48</v>
      </c>
      <c r="X1825" t="s">
        <v>48</v>
      </c>
      <c r="Y1825" t="s">
        <v>48</v>
      </c>
      <c r="Z1825">
        <v>0</v>
      </c>
      <c r="AA1825" t="s">
        <v>48</v>
      </c>
      <c r="AB1825" t="s">
        <v>48</v>
      </c>
      <c r="AC1825" t="s">
        <v>49</v>
      </c>
      <c r="AD1825" t="s">
        <v>93</v>
      </c>
      <c r="AE1825" t="s">
        <v>4532</v>
      </c>
      <c r="AF1825" t="s">
        <v>48</v>
      </c>
      <c r="AG1825" t="s">
        <v>48</v>
      </c>
      <c r="AH1825" t="s">
        <v>48</v>
      </c>
      <c r="AI1825" t="s">
        <v>48</v>
      </c>
      <c r="AJ1825" t="s">
        <v>48</v>
      </c>
      <c r="AK1825" t="s">
        <v>48</v>
      </c>
      <c r="AL1825" t="s">
        <v>48</v>
      </c>
      <c r="AM1825" t="s">
        <v>48</v>
      </c>
      <c r="AN1825" t="s">
        <v>48</v>
      </c>
      <c r="AO1825" t="s">
        <v>48</v>
      </c>
      <c r="AP1825" s="46">
        <v>0</v>
      </c>
      <c r="AQ1825" s="46">
        <v>0</v>
      </c>
      <c r="AR1825" s="46">
        <v>0</v>
      </c>
      <c r="AS1825" s="46">
        <v>0</v>
      </c>
      <c r="AT1825" s="46">
        <v>0</v>
      </c>
      <c r="AU1825" s="46">
        <v>0</v>
      </c>
      <c r="AV1825" s="46">
        <v>0</v>
      </c>
      <c r="AW1825" s="46">
        <v>0</v>
      </c>
      <c r="AX1825" s="46">
        <v>0</v>
      </c>
      <c r="AY1825" s="46">
        <v>0</v>
      </c>
      <c r="AZ1825" s="46">
        <v>0</v>
      </c>
      <c r="BA1825" s="46">
        <v>0</v>
      </c>
      <c r="BB1825" s="46">
        <v>0</v>
      </c>
      <c r="BC1825" s="46">
        <v>0</v>
      </c>
      <c r="BD1825" s="46">
        <v>0</v>
      </c>
      <c r="BE1825" s="46">
        <v>0</v>
      </c>
      <c r="BF1825" s="46">
        <v>0</v>
      </c>
      <c r="BG1825" s="46" t="s">
        <v>48</v>
      </c>
      <c r="BH1825" s="46">
        <v>0</v>
      </c>
      <c r="BI1825" s="46">
        <v>0</v>
      </c>
      <c r="BJ1825" s="46">
        <v>0</v>
      </c>
      <c r="BK1825" s="46">
        <v>0</v>
      </c>
      <c r="BL1825" s="46">
        <v>0</v>
      </c>
      <c r="BM1825" s="46">
        <v>0</v>
      </c>
      <c r="BN1825" s="46">
        <v>0</v>
      </c>
    </row>
    <row r="1826" spans="1:66" x14ac:dyDescent="0.35">
      <c r="A1826" t="s">
        <v>10713</v>
      </c>
      <c r="B1826" s="44" t="s">
        <v>48</v>
      </c>
      <c r="C1826" t="s">
        <v>12035</v>
      </c>
      <c r="D1826" t="s">
        <v>221</v>
      </c>
      <c r="E1826" t="s">
        <v>10714</v>
      </c>
      <c r="F1826" t="s">
        <v>3962</v>
      </c>
      <c r="G1826" t="s">
        <v>74</v>
      </c>
      <c r="H1826">
        <v>0</v>
      </c>
      <c r="I1826" s="61">
        <v>44789</v>
      </c>
      <c r="J1826" s="33" t="s">
        <v>45</v>
      </c>
      <c r="K1826" s="46">
        <v>0</v>
      </c>
      <c r="L1826">
        <v>13.9</v>
      </c>
      <c r="M1826" t="s">
        <v>48</v>
      </c>
      <c r="N1826" s="46">
        <v>0</v>
      </c>
      <c r="O1826" s="46">
        <v>0</v>
      </c>
      <c r="P1826" s="46">
        <v>0</v>
      </c>
      <c r="Q1826" t="s">
        <v>48</v>
      </c>
      <c r="R1826" t="s">
        <v>48</v>
      </c>
      <c r="S1826" t="s">
        <v>48</v>
      </c>
      <c r="T1826" t="s">
        <v>48</v>
      </c>
      <c r="U1826" t="s">
        <v>48</v>
      </c>
      <c r="V1826" s="47">
        <v>1</v>
      </c>
      <c r="W1826" t="s">
        <v>48</v>
      </c>
      <c r="X1826" t="s">
        <v>48</v>
      </c>
      <c r="Y1826" t="s">
        <v>48</v>
      </c>
      <c r="Z1826">
        <v>0</v>
      </c>
      <c r="AA1826" t="s">
        <v>48</v>
      </c>
      <c r="AB1826" t="s">
        <v>48</v>
      </c>
      <c r="AC1826" t="s">
        <v>49</v>
      </c>
      <c r="AD1826" t="s">
        <v>93</v>
      </c>
      <c r="AE1826" t="s">
        <v>4532</v>
      </c>
      <c r="AF1826" t="s">
        <v>48</v>
      </c>
      <c r="AG1826" t="s">
        <v>48</v>
      </c>
      <c r="AH1826" t="s">
        <v>48</v>
      </c>
      <c r="AI1826" t="s">
        <v>48</v>
      </c>
      <c r="AJ1826" t="s">
        <v>48</v>
      </c>
      <c r="AK1826" t="s">
        <v>48</v>
      </c>
      <c r="AL1826" t="s">
        <v>48</v>
      </c>
      <c r="AM1826" t="s">
        <v>48</v>
      </c>
      <c r="AN1826" t="s">
        <v>48</v>
      </c>
      <c r="AO1826" t="s">
        <v>48</v>
      </c>
      <c r="AP1826" s="46">
        <v>0</v>
      </c>
      <c r="AQ1826" s="46">
        <v>0</v>
      </c>
      <c r="AR1826" s="46">
        <v>0</v>
      </c>
      <c r="AS1826" s="46">
        <v>0</v>
      </c>
      <c r="AT1826" s="46">
        <v>0</v>
      </c>
      <c r="AU1826" s="46">
        <v>0</v>
      </c>
      <c r="AV1826" s="46">
        <v>0</v>
      </c>
      <c r="AW1826" s="46">
        <v>0</v>
      </c>
      <c r="AX1826" s="46">
        <v>0</v>
      </c>
      <c r="AY1826" s="46">
        <v>0</v>
      </c>
      <c r="AZ1826" s="46">
        <v>0</v>
      </c>
      <c r="BA1826" s="46">
        <v>0</v>
      </c>
      <c r="BB1826" s="46">
        <v>0</v>
      </c>
      <c r="BC1826" s="46">
        <v>0</v>
      </c>
      <c r="BD1826" s="46">
        <v>0</v>
      </c>
      <c r="BE1826" s="46">
        <v>0</v>
      </c>
      <c r="BF1826" s="46">
        <v>0</v>
      </c>
      <c r="BG1826" s="46" t="s">
        <v>48</v>
      </c>
      <c r="BH1826" s="46">
        <v>0</v>
      </c>
      <c r="BI1826" s="46">
        <v>0</v>
      </c>
      <c r="BJ1826" s="46">
        <v>0</v>
      </c>
      <c r="BK1826" s="46">
        <v>0</v>
      </c>
      <c r="BL1826" s="46">
        <v>0</v>
      </c>
      <c r="BM1826" s="46">
        <v>0</v>
      </c>
      <c r="BN1826" s="46">
        <v>0</v>
      </c>
    </row>
    <row r="1827" spans="1:66" x14ac:dyDescent="0.35">
      <c r="A1827" t="s">
        <v>9849</v>
      </c>
      <c r="B1827" s="44" t="s">
        <v>48</v>
      </c>
      <c r="C1827" t="s">
        <v>12039</v>
      </c>
      <c r="D1827" t="s">
        <v>5639</v>
      </c>
      <c r="E1827" t="s">
        <v>9850</v>
      </c>
      <c r="F1827" t="s">
        <v>3980</v>
      </c>
      <c r="G1827" t="s">
        <v>74</v>
      </c>
      <c r="H1827">
        <v>0</v>
      </c>
      <c r="I1827" s="61">
        <v>44782</v>
      </c>
      <c r="J1827" s="33" t="s">
        <v>45</v>
      </c>
      <c r="K1827" s="46">
        <v>0</v>
      </c>
      <c r="L1827">
        <v>1</v>
      </c>
      <c r="M1827" t="s">
        <v>48</v>
      </c>
      <c r="N1827" s="46">
        <v>0</v>
      </c>
      <c r="O1827" s="46">
        <v>0</v>
      </c>
      <c r="P1827" s="46">
        <v>0</v>
      </c>
      <c r="Q1827" t="s">
        <v>48</v>
      </c>
      <c r="R1827" t="s">
        <v>48</v>
      </c>
      <c r="S1827" s="43" t="s">
        <v>10250</v>
      </c>
      <c r="T1827" s="43" t="s">
        <v>48</v>
      </c>
      <c r="U1827" s="43" t="s">
        <v>10250</v>
      </c>
      <c r="V1827" s="47">
        <v>1</v>
      </c>
      <c r="W1827" t="s">
        <v>48</v>
      </c>
      <c r="X1827" t="s">
        <v>48</v>
      </c>
      <c r="Y1827" t="s">
        <v>48</v>
      </c>
      <c r="Z1827" t="s">
        <v>48</v>
      </c>
      <c r="AA1827" t="s">
        <v>48</v>
      </c>
      <c r="AB1827" t="s">
        <v>48</v>
      </c>
      <c r="AC1827" t="s">
        <v>49</v>
      </c>
      <c r="AD1827" t="s">
        <v>93</v>
      </c>
      <c r="AE1827" t="s">
        <v>2471</v>
      </c>
      <c r="AF1827" t="s">
        <v>48</v>
      </c>
      <c r="AG1827" t="s">
        <v>48</v>
      </c>
      <c r="AH1827" t="s">
        <v>48</v>
      </c>
      <c r="AI1827" t="s">
        <v>48</v>
      </c>
      <c r="AJ1827" t="s">
        <v>48</v>
      </c>
      <c r="AK1827" t="s">
        <v>48</v>
      </c>
      <c r="AL1827" t="s">
        <v>48</v>
      </c>
      <c r="AM1827" t="s">
        <v>48</v>
      </c>
      <c r="AN1827" t="s">
        <v>48</v>
      </c>
      <c r="AO1827" t="s">
        <v>48</v>
      </c>
      <c r="AP1827" s="46">
        <v>0</v>
      </c>
      <c r="AQ1827" s="46">
        <v>0</v>
      </c>
      <c r="AR1827" s="46">
        <v>0</v>
      </c>
      <c r="AS1827" s="46">
        <v>0</v>
      </c>
      <c r="AT1827" s="46">
        <v>0</v>
      </c>
      <c r="AU1827" s="46">
        <v>0</v>
      </c>
      <c r="AV1827" s="46">
        <v>0</v>
      </c>
      <c r="AW1827" s="46">
        <v>0</v>
      </c>
      <c r="AX1827" s="46">
        <v>0</v>
      </c>
      <c r="AY1827" s="46">
        <v>0</v>
      </c>
      <c r="AZ1827" s="46">
        <v>0</v>
      </c>
      <c r="BA1827" s="46">
        <v>0</v>
      </c>
      <c r="BB1827" s="46">
        <v>0</v>
      </c>
      <c r="BC1827" s="46">
        <v>0</v>
      </c>
      <c r="BD1827" s="46">
        <v>0</v>
      </c>
      <c r="BE1827" s="46">
        <v>0</v>
      </c>
      <c r="BF1827" s="46">
        <v>0</v>
      </c>
      <c r="BG1827" s="46" t="s">
        <v>48</v>
      </c>
      <c r="BH1827" s="46">
        <v>0</v>
      </c>
      <c r="BI1827" s="46">
        <v>0</v>
      </c>
      <c r="BJ1827" s="46">
        <v>0</v>
      </c>
      <c r="BK1827" s="46">
        <v>0</v>
      </c>
      <c r="BL1827" s="46">
        <v>0</v>
      </c>
      <c r="BM1827" s="46">
        <v>0</v>
      </c>
      <c r="BN1827" s="46">
        <v>0</v>
      </c>
    </row>
    <row r="1828" spans="1:66" x14ac:dyDescent="0.35">
      <c r="A1828" t="s">
        <v>9925</v>
      </c>
      <c r="B1828" s="44" t="s">
        <v>48</v>
      </c>
      <c r="C1828" t="s">
        <v>12040</v>
      </c>
      <c r="D1828" t="s">
        <v>2114</v>
      </c>
      <c r="E1828" t="s">
        <v>9926</v>
      </c>
      <c r="F1828" t="s">
        <v>3980</v>
      </c>
      <c r="G1828" t="s">
        <v>47</v>
      </c>
      <c r="H1828">
        <v>0</v>
      </c>
      <c r="I1828" s="61">
        <v>44782</v>
      </c>
      <c r="J1828" s="33" t="s">
        <v>45</v>
      </c>
      <c r="K1828" s="46">
        <v>0</v>
      </c>
      <c r="L1828">
        <v>26.1</v>
      </c>
      <c r="M1828" t="s">
        <v>48</v>
      </c>
      <c r="N1828" s="46">
        <v>0</v>
      </c>
      <c r="O1828" s="46">
        <v>0</v>
      </c>
      <c r="P1828" s="46">
        <v>0</v>
      </c>
      <c r="Q1828" t="s">
        <v>48</v>
      </c>
      <c r="R1828" t="s">
        <v>48</v>
      </c>
      <c r="S1828" s="43" t="s">
        <v>48</v>
      </c>
      <c r="T1828" s="43" t="s">
        <v>48</v>
      </c>
      <c r="U1828" s="43" t="s">
        <v>48</v>
      </c>
      <c r="V1828" s="47">
        <v>1</v>
      </c>
      <c r="W1828" t="s">
        <v>11264</v>
      </c>
      <c r="X1828" t="s">
        <v>48</v>
      </c>
      <c r="Y1828" t="s">
        <v>48</v>
      </c>
      <c r="Z1828" t="s">
        <v>48</v>
      </c>
      <c r="AA1828" t="s">
        <v>48</v>
      </c>
      <c r="AB1828" t="s">
        <v>48</v>
      </c>
      <c r="AC1828" t="s">
        <v>63</v>
      </c>
      <c r="AD1828" t="s">
        <v>48</v>
      </c>
      <c r="AE1828" t="s">
        <v>48</v>
      </c>
      <c r="AF1828" t="s">
        <v>48</v>
      </c>
      <c r="AG1828" t="s">
        <v>48</v>
      </c>
      <c r="AH1828" t="s">
        <v>48</v>
      </c>
      <c r="AI1828" t="s">
        <v>48</v>
      </c>
      <c r="AJ1828" t="s">
        <v>48</v>
      </c>
      <c r="AK1828" t="s">
        <v>48</v>
      </c>
      <c r="AL1828" t="s">
        <v>48</v>
      </c>
      <c r="AM1828" t="s">
        <v>48</v>
      </c>
      <c r="AN1828" t="s">
        <v>48</v>
      </c>
      <c r="AO1828" t="s">
        <v>48</v>
      </c>
      <c r="AP1828" s="46">
        <v>0</v>
      </c>
      <c r="AQ1828" s="46">
        <v>0</v>
      </c>
      <c r="AR1828" s="46">
        <v>0</v>
      </c>
      <c r="AS1828" s="46">
        <v>0</v>
      </c>
      <c r="AT1828" s="46">
        <v>0</v>
      </c>
      <c r="AU1828" s="46">
        <v>0</v>
      </c>
      <c r="AV1828" s="46">
        <v>0</v>
      </c>
      <c r="AW1828" s="46">
        <v>0</v>
      </c>
      <c r="AX1828" s="46">
        <v>0</v>
      </c>
      <c r="AY1828" s="46">
        <v>0</v>
      </c>
      <c r="AZ1828" s="46">
        <v>0</v>
      </c>
      <c r="BA1828" s="46">
        <v>0</v>
      </c>
      <c r="BB1828" s="46">
        <v>0</v>
      </c>
      <c r="BC1828" s="46">
        <v>0</v>
      </c>
      <c r="BD1828" s="46">
        <v>0</v>
      </c>
      <c r="BE1828" s="46">
        <v>0</v>
      </c>
      <c r="BF1828" s="46">
        <v>0</v>
      </c>
      <c r="BG1828" s="46" t="s">
        <v>48</v>
      </c>
      <c r="BH1828" s="46">
        <v>0</v>
      </c>
      <c r="BI1828" s="46">
        <v>0</v>
      </c>
      <c r="BJ1828" s="46">
        <v>0</v>
      </c>
      <c r="BK1828" s="46">
        <v>0</v>
      </c>
      <c r="BL1828" s="46">
        <v>0</v>
      </c>
      <c r="BM1828" s="46">
        <v>0</v>
      </c>
      <c r="BN1828" s="46">
        <v>0</v>
      </c>
    </row>
    <row r="1829" spans="1:66" x14ac:dyDescent="0.35">
      <c r="A1829" t="s">
        <v>3986</v>
      </c>
      <c r="B1829" s="44" t="s">
        <v>48</v>
      </c>
      <c r="C1829" t="s">
        <v>935</v>
      </c>
      <c r="D1829" t="s">
        <v>396</v>
      </c>
      <c r="E1829" t="s">
        <v>3987</v>
      </c>
      <c r="F1829" t="s">
        <v>3980</v>
      </c>
      <c r="G1829" t="s">
        <v>74</v>
      </c>
      <c r="H1829">
        <v>0</v>
      </c>
      <c r="I1829" s="60" t="s">
        <v>881</v>
      </c>
      <c r="J1829" s="33" t="s">
        <v>45</v>
      </c>
      <c r="K1829" s="46">
        <v>0</v>
      </c>
      <c r="L1829">
        <v>1.8</v>
      </c>
      <c r="M1829" t="s">
        <v>48</v>
      </c>
      <c r="N1829" s="46">
        <v>0</v>
      </c>
      <c r="O1829" s="46">
        <v>0</v>
      </c>
      <c r="P1829" s="46">
        <v>0</v>
      </c>
      <c r="Q1829" t="s">
        <v>48</v>
      </c>
      <c r="R1829" t="s">
        <v>48</v>
      </c>
      <c r="S1829" t="s">
        <v>10248</v>
      </c>
      <c r="T1829" t="s">
        <v>48</v>
      </c>
      <c r="U1829" t="s">
        <v>10248</v>
      </c>
      <c r="V1829" s="47">
        <v>0</v>
      </c>
      <c r="W1829" t="s">
        <v>11317</v>
      </c>
      <c r="X1829" t="s">
        <v>48</v>
      </c>
      <c r="Y1829" t="s">
        <v>48</v>
      </c>
      <c r="Z1829">
        <v>0</v>
      </c>
      <c r="AA1829" t="s">
        <v>48</v>
      </c>
      <c r="AB1829" t="s">
        <v>48</v>
      </c>
      <c r="AC1829" t="s">
        <v>49</v>
      </c>
      <c r="AD1829" t="s">
        <v>48</v>
      </c>
      <c r="AE1829" t="s">
        <v>48</v>
      </c>
      <c r="AF1829" t="s">
        <v>48</v>
      </c>
      <c r="AG1829" t="s">
        <v>48</v>
      </c>
      <c r="AH1829" t="s">
        <v>48</v>
      </c>
      <c r="AI1829" t="s">
        <v>48</v>
      </c>
      <c r="AJ1829" t="s">
        <v>48</v>
      </c>
      <c r="AK1829" t="s">
        <v>48</v>
      </c>
      <c r="AL1829" t="s">
        <v>48</v>
      </c>
      <c r="AM1829" t="s">
        <v>48</v>
      </c>
      <c r="AN1829" t="s">
        <v>48</v>
      </c>
      <c r="AO1829" t="s">
        <v>48</v>
      </c>
      <c r="AP1829" s="46">
        <v>0</v>
      </c>
      <c r="AQ1829" s="46">
        <v>0</v>
      </c>
      <c r="AR1829" s="46">
        <v>0</v>
      </c>
      <c r="AS1829" s="46">
        <v>0</v>
      </c>
      <c r="AT1829" s="46">
        <v>0</v>
      </c>
      <c r="AU1829" s="46">
        <v>0</v>
      </c>
      <c r="AV1829" s="46">
        <v>0</v>
      </c>
      <c r="AW1829" s="46">
        <v>0</v>
      </c>
      <c r="AX1829" s="46">
        <v>0</v>
      </c>
      <c r="AY1829" s="46">
        <v>0</v>
      </c>
      <c r="AZ1829" s="46">
        <v>0</v>
      </c>
      <c r="BA1829" s="46">
        <v>0</v>
      </c>
      <c r="BB1829" s="46">
        <v>0</v>
      </c>
      <c r="BC1829" s="46">
        <v>0</v>
      </c>
      <c r="BD1829" s="46">
        <v>0</v>
      </c>
      <c r="BE1829" s="46">
        <v>0</v>
      </c>
      <c r="BF1829" s="46">
        <v>0</v>
      </c>
      <c r="BG1829" s="46" t="s">
        <v>48</v>
      </c>
      <c r="BH1829" s="46">
        <v>0</v>
      </c>
      <c r="BI1829" s="46">
        <v>0</v>
      </c>
      <c r="BJ1829" s="46">
        <v>0</v>
      </c>
      <c r="BK1829" s="46">
        <v>0</v>
      </c>
      <c r="BL1829" s="46">
        <v>0</v>
      </c>
      <c r="BM1829" s="46">
        <v>0</v>
      </c>
      <c r="BN1829" s="46">
        <v>0</v>
      </c>
    </row>
    <row r="1830" spans="1:66" x14ac:dyDescent="0.35">
      <c r="A1830" t="s">
        <v>3988</v>
      </c>
      <c r="B1830" s="44" t="s">
        <v>48</v>
      </c>
      <c r="C1830" t="s">
        <v>3992</v>
      </c>
      <c r="D1830" t="s">
        <v>3991</v>
      </c>
      <c r="E1830" t="s">
        <v>3989</v>
      </c>
      <c r="F1830" t="s">
        <v>3980</v>
      </c>
      <c r="G1830" t="s">
        <v>74</v>
      </c>
      <c r="H1830">
        <v>0</v>
      </c>
      <c r="I1830" s="60" t="s">
        <v>149</v>
      </c>
      <c r="J1830" s="33" t="s">
        <v>45</v>
      </c>
      <c r="K1830" s="46">
        <v>0</v>
      </c>
      <c r="L1830">
        <v>1.1000000000000001</v>
      </c>
      <c r="M1830" t="s">
        <v>48</v>
      </c>
      <c r="N1830" s="46">
        <v>0</v>
      </c>
      <c r="O1830" s="46">
        <v>0</v>
      </c>
      <c r="P1830" s="46">
        <v>0</v>
      </c>
      <c r="Q1830" t="s">
        <v>48</v>
      </c>
      <c r="R1830" t="s">
        <v>48</v>
      </c>
      <c r="S1830" t="s">
        <v>3990</v>
      </c>
      <c r="T1830" t="s">
        <v>48</v>
      </c>
      <c r="U1830" t="s">
        <v>3990</v>
      </c>
      <c r="V1830" s="47">
        <v>1</v>
      </c>
      <c r="W1830" t="s">
        <v>48</v>
      </c>
      <c r="X1830" t="s">
        <v>48</v>
      </c>
      <c r="Y1830" t="s">
        <v>48</v>
      </c>
      <c r="Z1830">
        <v>0</v>
      </c>
      <c r="AA1830" t="s">
        <v>48</v>
      </c>
      <c r="AB1830" t="s">
        <v>48</v>
      </c>
      <c r="AC1830" t="s">
        <v>49</v>
      </c>
      <c r="AD1830" t="s">
        <v>93</v>
      </c>
      <c r="AE1830" s="40" t="s">
        <v>2471</v>
      </c>
      <c r="AF1830" t="s">
        <v>11061</v>
      </c>
      <c r="AG1830" t="s">
        <v>48</v>
      </c>
      <c r="AH1830" t="s">
        <v>48</v>
      </c>
      <c r="AI1830" t="s">
        <v>48</v>
      </c>
      <c r="AJ1830" t="s">
        <v>48</v>
      </c>
      <c r="AK1830" t="s">
        <v>48</v>
      </c>
      <c r="AL1830" t="s">
        <v>48</v>
      </c>
      <c r="AM1830" t="s">
        <v>48</v>
      </c>
      <c r="AN1830" t="s">
        <v>48</v>
      </c>
      <c r="AO1830" t="s">
        <v>48</v>
      </c>
      <c r="AP1830" s="46">
        <v>0</v>
      </c>
      <c r="AQ1830" s="46">
        <v>0</v>
      </c>
      <c r="AR1830" s="46">
        <v>0</v>
      </c>
      <c r="AS1830" s="46">
        <v>0</v>
      </c>
      <c r="AT1830" s="46">
        <v>0</v>
      </c>
      <c r="AU1830" s="46">
        <v>0</v>
      </c>
      <c r="AV1830" s="46">
        <v>0</v>
      </c>
      <c r="AW1830" s="46">
        <v>0</v>
      </c>
      <c r="AX1830" s="46">
        <v>0</v>
      </c>
      <c r="AY1830" s="46">
        <v>0</v>
      </c>
      <c r="AZ1830" s="46">
        <v>0</v>
      </c>
      <c r="BA1830" s="46">
        <v>0</v>
      </c>
      <c r="BB1830" s="46">
        <v>0</v>
      </c>
      <c r="BC1830" s="46">
        <v>0</v>
      </c>
      <c r="BD1830" s="46">
        <v>0</v>
      </c>
      <c r="BE1830" s="46">
        <v>0</v>
      </c>
      <c r="BF1830" s="46">
        <v>0</v>
      </c>
      <c r="BG1830" s="46" t="s">
        <v>48</v>
      </c>
      <c r="BH1830" s="46">
        <v>0</v>
      </c>
      <c r="BI1830" s="46">
        <v>0</v>
      </c>
      <c r="BJ1830" s="46">
        <v>0</v>
      </c>
      <c r="BK1830" s="46">
        <v>0</v>
      </c>
      <c r="BL1830" s="46">
        <v>0</v>
      </c>
      <c r="BM1830" s="46">
        <v>0</v>
      </c>
      <c r="BN1830" s="46">
        <v>0</v>
      </c>
    </row>
    <row r="1831" spans="1:66" x14ac:dyDescent="0.35">
      <c r="A1831" t="s">
        <v>9847</v>
      </c>
      <c r="B1831" s="44" t="s">
        <v>48</v>
      </c>
      <c r="C1831" t="s">
        <v>433</v>
      </c>
      <c r="D1831" t="s">
        <v>571</v>
      </c>
      <c r="E1831" t="s">
        <v>9848</v>
      </c>
      <c r="F1831" t="s">
        <v>3980</v>
      </c>
      <c r="G1831" t="s">
        <v>74</v>
      </c>
      <c r="H1831">
        <v>0</v>
      </c>
      <c r="I1831" s="61">
        <v>44782</v>
      </c>
      <c r="J1831" s="33" t="s">
        <v>45</v>
      </c>
      <c r="K1831" s="46">
        <v>0</v>
      </c>
      <c r="L1831">
        <v>26.6</v>
      </c>
      <c r="M1831" t="s">
        <v>48</v>
      </c>
      <c r="N1831" s="46">
        <v>0</v>
      </c>
      <c r="O1831" s="46">
        <v>0</v>
      </c>
      <c r="P1831" s="46">
        <v>0</v>
      </c>
      <c r="Q1831" t="s">
        <v>48</v>
      </c>
      <c r="R1831" t="s">
        <v>48</v>
      </c>
      <c r="S1831" s="43" t="s">
        <v>10249</v>
      </c>
      <c r="T1831" s="43" t="s">
        <v>48</v>
      </c>
      <c r="U1831" s="43" t="s">
        <v>10249</v>
      </c>
      <c r="V1831" s="47">
        <v>1</v>
      </c>
      <c r="W1831" t="s">
        <v>48</v>
      </c>
      <c r="X1831" t="s">
        <v>48</v>
      </c>
      <c r="Y1831" t="s">
        <v>48</v>
      </c>
      <c r="Z1831" t="s">
        <v>48</v>
      </c>
      <c r="AA1831" t="s">
        <v>48</v>
      </c>
      <c r="AB1831" t="s">
        <v>48</v>
      </c>
      <c r="AC1831" t="s">
        <v>49</v>
      </c>
      <c r="AD1831" t="s">
        <v>48</v>
      </c>
      <c r="AE1831" t="s">
        <v>48</v>
      </c>
      <c r="AF1831" t="s">
        <v>48</v>
      </c>
      <c r="AG1831" t="s">
        <v>48</v>
      </c>
      <c r="AH1831" t="s">
        <v>48</v>
      </c>
      <c r="AI1831" t="s">
        <v>48</v>
      </c>
      <c r="AJ1831" t="s">
        <v>48</v>
      </c>
      <c r="AK1831" t="s">
        <v>48</v>
      </c>
      <c r="AL1831" t="s">
        <v>48</v>
      </c>
      <c r="AM1831" t="s">
        <v>48</v>
      </c>
      <c r="AN1831" t="s">
        <v>48</v>
      </c>
      <c r="AO1831" t="s">
        <v>48</v>
      </c>
      <c r="AP1831" s="46">
        <v>0</v>
      </c>
      <c r="AQ1831" s="46">
        <v>0</v>
      </c>
      <c r="AR1831" s="46">
        <v>0</v>
      </c>
      <c r="AS1831" s="46">
        <v>0</v>
      </c>
      <c r="AT1831" s="46">
        <v>0</v>
      </c>
      <c r="AU1831" s="46">
        <v>0</v>
      </c>
      <c r="AV1831" s="46">
        <v>0</v>
      </c>
      <c r="AW1831" s="46">
        <v>0</v>
      </c>
      <c r="AX1831" s="46">
        <v>0</v>
      </c>
      <c r="AY1831" s="46">
        <v>0</v>
      </c>
      <c r="AZ1831" s="46">
        <v>0</v>
      </c>
      <c r="BA1831" s="46">
        <v>0</v>
      </c>
      <c r="BB1831" s="46">
        <v>0</v>
      </c>
      <c r="BC1831" s="46">
        <v>0</v>
      </c>
      <c r="BD1831" s="46">
        <v>0</v>
      </c>
      <c r="BE1831" s="46">
        <v>0</v>
      </c>
      <c r="BF1831" s="46">
        <v>0</v>
      </c>
      <c r="BG1831" s="46" t="s">
        <v>48</v>
      </c>
      <c r="BH1831" s="46">
        <v>0</v>
      </c>
      <c r="BI1831" s="46">
        <v>0</v>
      </c>
      <c r="BJ1831" s="46">
        <v>0</v>
      </c>
      <c r="BK1831" s="46">
        <v>0</v>
      </c>
      <c r="BL1831" s="46">
        <v>0</v>
      </c>
      <c r="BM1831" s="46">
        <v>0</v>
      </c>
      <c r="BN1831" s="46">
        <v>0</v>
      </c>
    </row>
    <row r="1832" spans="1:66" x14ac:dyDescent="0.35">
      <c r="A1832" t="s">
        <v>9923</v>
      </c>
      <c r="B1832" s="44" t="s">
        <v>48</v>
      </c>
      <c r="C1832" t="s">
        <v>5384</v>
      </c>
      <c r="D1832" t="s">
        <v>76</v>
      </c>
      <c r="E1832" t="s">
        <v>9924</v>
      </c>
      <c r="F1832" t="s">
        <v>3980</v>
      </c>
      <c r="G1832" t="s">
        <v>47</v>
      </c>
      <c r="H1832">
        <v>0</v>
      </c>
      <c r="I1832" s="61">
        <v>44782</v>
      </c>
      <c r="J1832" s="33" t="s">
        <v>45</v>
      </c>
      <c r="K1832" s="46">
        <v>0</v>
      </c>
      <c r="L1832">
        <v>31.5</v>
      </c>
      <c r="M1832" t="s">
        <v>48</v>
      </c>
      <c r="N1832" s="46">
        <v>0</v>
      </c>
      <c r="O1832" s="46">
        <v>0</v>
      </c>
      <c r="P1832" s="46">
        <v>0</v>
      </c>
      <c r="Q1832" t="s">
        <v>48</v>
      </c>
      <c r="R1832" t="s">
        <v>48</v>
      </c>
      <c r="S1832" s="43" t="s">
        <v>48</v>
      </c>
      <c r="T1832" s="43" t="s">
        <v>48</v>
      </c>
      <c r="U1832" s="43" t="s">
        <v>48</v>
      </c>
      <c r="V1832" s="47">
        <v>1</v>
      </c>
      <c r="W1832" t="s">
        <v>11264</v>
      </c>
      <c r="X1832" t="s">
        <v>48</v>
      </c>
      <c r="Y1832" t="s">
        <v>48</v>
      </c>
      <c r="Z1832" t="s">
        <v>48</v>
      </c>
      <c r="AA1832" t="s">
        <v>48</v>
      </c>
      <c r="AB1832" t="s">
        <v>48</v>
      </c>
      <c r="AC1832" t="s">
        <v>49</v>
      </c>
      <c r="AD1832" t="s">
        <v>48</v>
      </c>
      <c r="AE1832" t="s">
        <v>48</v>
      </c>
      <c r="AF1832" t="s">
        <v>48</v>
      </c>
      <c r="AG1832" t="s">
        <v>48</v>
      </c>
      <c r="AH1832" t="s">
        <v>48</v>
      </c>
      <c r="AI1832" t="s">
        <v>48</v>
      </c>
      <c r="AJ1832" t="s">
        <v>48</v>
      </c>
      <c r="AK1832" t="s">
        <v>48</v>
      </c>
      <c r="AL1832" t="s">
        <v>48</v>
      </c>
      <c r="AM1832" t="s">
        <v>48</v>
      </c>
      <c r="AN1832" t="s">
        <v>48</v>
      </c>
      <c r="AO1832" t="s">
        <v>48</v>
      </c>
      <c r="AP1832" s="46">
        <v>0</v>
      </c>
      <c r="AQ1832" s="46">
        <v>0</v>
      </c>
      <c r="AR1832" s="46">
        <v>0</v>
      </c>
      <c r="AS1832" s="46">
        <v>0</v>
      </c>
      <c r="AT1832" s="46">
        <v>0</v>
      </c>
      <c r="AU1832" s="46">
        <v>0</v>
      </c>
      <c r="AV1832" s="46">
        <v>0</v>
      </c>
      <c r="AW1832" s="46">
        <v>0</v>
      </c>
      <c r="AX1832" s="46">
        <v>0</v>
      </c>
      <c r="AY1832" s="46">
        <v>0</v>
      </c>
      <c r="AZ1832" s="46">
        <v>0</v>
      </c>
      <c r="BA1832" s="46">
        <v>0</v>
      </c>
      <c r="BB1832" s="46">
        <v>0</v>
      </c>
      <c r="BC1832" s="46">
        <v>0</v>
      </c>
      <c r="BD1832" s="46">
        <v>0</v>
      </c>
      <c r="BE1832" s="46">
        <v>0</v>
      </c>
      <c r="BF1832" s="46">
        <v>0</v>
      </c>
      <c r="BG1832" s="46" t="s">
        <v>48</v>
      </c>
      <c r="BH1832" s="46">
        <v>0</v>
      </c>
      <c r="BI1832" s="46">
        <v>0</v>
      </c>
      <c r="BJ1832" s="46">
        <v>0</v>
      </c>
      <c r="BK1832" s="46">
        <v>0</v>
      </c>
      <c r="BL1832" s="46">
        <v>0</v>
      </c>
      <c r="BM1832" s="46">
        <v>0</v>
      </c>
      <c r="BN1832" s="46">
        <v>0</v>
      </c>
    </row>
    <row r="1833" spans="1:66" x14ac:dyDescent="0.35">
      <c r="A1833" t="s">
        <v>3997</v>
      </c>
      <c r="B1833" s="44" t="s">
        <v>48</v>
      </c>
      <c r="C1833" t="s">
        <v>4000</v>
      </c>
      <c r="D1833" t="s">
        <v>437</v>
      </c>
      <c r="E1833" t="s">
        <v>3998</v>
      </c>
      <c r="F1833" t="s">
        <v>3996</v>
      </c>
      <c r="G1833" t="s">
        <v>47</v>
      </c>
      <c r="H1833">
        <v>0</v>
      </c>
      <c r="I1833" s="60" t="s">
        <v>78</v>
      </c>
      <c r="J1833" s="33" t="s">
        <v>45</v>
      </c>
      <c r="K1833" s="46">
        <v>0</v>
      </c>
      <c r="L1833">
        <v>8.5</v>
      </c>
      <c r="M1833" t="s">
        <v>48</v>
      </c>
      <c r="N1833" s="46">
        <v>0</v>
      </c>
      <c r="O1833" s="46">
        <v>0</v>
      </c>
      <c r="P1833" s="46">
        <v>0</v>
      </c>
      <c r="Q1833" t="s">
        <v>48</v>
      </c>
      <c r="R1833" t="s">
        <v>48</v>
      </c>
      <c r="S1833" t="s">
        <v>3999</v>
      </c>
      <c r="T1833" t="s">
        <v>48</v>
      </c>
      <c r="U1833" t="s">
        <v>3999</v>
      </c>
      <c r="V1833" s="47">
        <v>0</v>
      </c>
      <c r="W1833" t="s">
        <v>48</v>
      </c>
      <c r="X1833" t="s">
        <v>48</v>
      </c>
      <c r="Y1833" t="s">
        <v>48</v>
      </c>
      <c r="Z1833">
        <v>0</v>
      </c>
      <c r="AA1833" t="s">
        <v>48</v>
      </c>
      <c r="AB1833" t="s">
        <v>48</v>
      </c>
      <c r="AC1833" t="s">
        <v>49</v>
      </c>
      <c r="AD1833" t="s">
        <v>93</v>
      </c>
      <c r="AE1833" s="40" t="s">
        <v>2471</v>
      </c>
      <c r="AF1833" t="s">
        <v>11061</v>
      </c>
      <c r="AG1833" t="s">
        <v>48</v>
      </c>
      <c r="AH1833" t="s">
        <v>48</v>
      </c>
      <c r="AI1833" t="s">
        <v>48</v>
      </c>
      <c r="AJ1833" t="s">
        <v>48</v>
      </c>
      <c r="AK1833" t="s">
        <v>48</v>
      </c>
      <c r="AL1833" t="s">
        <v>48</v>
      </c>
      <c r="AM1833" t="s">
        <v>48</v>
      </c>
      <c r="AN1833" t="s">
        <v>48</v>
      </c>
      <c r="AO1833" t="s">
        <v>48</v>
      </c>
      <c r="AP1833" s="46">
        <v>0</v>
      </c>
      <c r="AQ1833" s="46">
        <v>0</v>
      </c>
      <c r="AR1833" s="46">
        <v>0</v>
      </c>
      <c r="AS1833" s="46">
        <v>0</v>
      </c>
      <c r="AT1833" s="46">
        <v>0</v>
      </c>
      <c r="AU1833" s="46">
        <v>0</v>
      </c>
      <c r="AV1833" s="46">
        <v>0</v>
      </c>
      <c r="AW1833" s="46">
        <v>0</v>
      </c>
      <c r="AX1833" s="46">
        <v>0</v>
      </c>
      <c r="AY1833" s="46">
        <v>0</v>
      </c>
      <c r="AZ1833" s="46">
        <v>0</v>
      </c>
      <c r="BA1833" s="46">
        <v>0</v>
      </c>
      <c r="BB1833" s="46">
        <v>0</v>
      </c>
      <c r="BC1833" s="46">
        <v>0</v>
      </c>
      <c r="BD1833" s="46">
        <v>0</v>
      </c>
      <c r="BE1833" s="46">
        <v>0</v>
      </c>
      <c r="BF1833" s="46">
        <v>0</v>
      </c>
      <c r="BG1833" s="46" t="s">
        <v>48</v>
      </c>
      <c r="BH1833" s="46">
        <v>0</v>
      </c>
      <c r="BI1833" s="46">
        <v>0</v>
      </c>
      <c r="BJ1833" s="46">
        <v>0</v>
      </c>
      <c r="BK1833" s="46">
        <v>0</v>
      </c>
      <c r="BL1833" s="46">
        <v>0</v>
      </c>
      <c r="BM1833" s="46">
        <v>0</v>
      </c>
      <c r="BN1833" s="46">
        <v>0</v>
      </c>
    </row>
    <row r="1834" spans="1:66" x14ac:dyDescent="0.35">
      <c r="A1834" t="s">
        <v>4006</v>
      </c>
      <c r="B1834" s="44" t="s">
        <v>48</v>
      </c>
      <c r="C1834" t="s">
        <v>3960</v>
      </c>
      <c r="D1834" t="s">
        <v>4008</v>
      </c>
      <c r="E1834" t="s">
        <v>4007</v>
      </c>
      <c r="F1834" t="s">
        <v>3996</v>
      </c>
      <c r="G1834" t="s">
        <v>74</v>
      </c>
      <c r="H1834">
        <v>0</v>
      </c>
      <c r="I1834" s="60" t="s">
        <v>51</v>
      </c>
      <c r="J1834" s="33" t="s">
        <v>45</v>
      </c>
      <c r="K1834" s="46">
        <v>0</v>
      </c>
      <c r="L1834">
        <v>14.8</v>
      </c>
      <c r="M1834" t="s">
        <v>48</v>
      </c>
      <c r="N1834" s="46">
        <v>0</v>
      </c>
      <c r="O1834" s="46">
        <v>0</v>
      </c>
      <c r="P1834" s="46">
        <v>0</v>
      </c>
      <c r="Q1834" t="s">
        <v>48</v>
      </c>
      <c r="R1834" t="s">
        <v>48</v>
      </c>
      <c r="S1834" t="s">
        <v>10251</v>
      </c>
      <c r="T1834" t="s">
        <v>48</v>
      </c>
      <c r="U1834" t="s">
        <v>10251</v>
      </c>
      <c r="V1834" s="47">
        <v>1</v>
      </c>
      <c r="W1834" t="s">
        <v>48</v>
      </c>
      <c r="X1834" t="s">
        <v>48</v>
      </c>
      <c r="Y1834" t="s">
        <v>48</v>
      </c>
      <c r="Z1834">
        <v>0</v>
      </c>
      <c r="AA1834" t="s">
        <v>48</v>
      </c>
      <c r="AB1834" t="s">
        <v>48</v>
      </c>
      <c r="AC1834" t="s">
        <v>49</v>
      </c>
      <c r="AD1834" t="s">
        <v>93</v>
      </c>
      <c r="AE1834" t="s">
        <v>2471</v>
      </c>
      <c r="AF1834" t="s">
        <v>48</v>
      </c>
      <c r="AG1834" t="s">
        <v>48</v>
      </c>
      <c r="AH1834" t="s">
        <v>48</v>
      </c>
      <c r="AI1834" t="s">
        <v>48</v>
      </c>
      <c r="AJ1834" t="s">
        <v>48</v>
      </c>
      <c r="AK1834" t="s">
        <v>48</v>
      </c>
      <c r="AL1834" t="s">
        <v>48</v>
      </c>
      <c r="AM1834" t="s">
        <v>48</v>
      </c>
      <c r="AN1834" t="s">
        <v>48</v>
      </c>
      <c r="AO1834" t="s">
        <v>48</v>
      </c>
      <c r="AP1834" s="46">
        <v>0</v>
      </c>
      <c r="AQ1834" s="46">
        <v>0</v>
      </c>
      <c r="AR1834" s="46">
        <v>0</v>
      </c>
      <c r="AS1834" s="46">
        <v>0</v>
      </c>
      <c r="AT1834" s="46">
        <v>0</v>
      </c>
      <c r="AU1834" s="46">
        <v>0</v>
      </c>
      <c r="AV1834" s="46">
        <v>0</v>
      </c>
      <c r="AW1834" s="46">
        <v>0</v>
      </c>
      <c r="AX1834" s="46">
        <v>0</v>
      </c>
      <c r="AY1834" s="46">
        <v>0</v>
      </c>
      <c r="AZ1834" s="46">
        <v>0</v>
      </c>
      <c r="BA1834" s="46">
        <v>0</v>
      </c>
      <c r="BB1834" s="46">
        <v>0</v>
      </c>
      <c r="BC1834" s="46">
        <v>0</v>
      </c>
      <c r="BD1834" s="46">
        <v>0</v>
      </c>
      <c r="BE1834" s="46">
        <v>0</v>
      </c>
      <c r="BF1834" s="46">
        <v>0</v>
      </c>
      <c r="BG1834" s="46" t="s">
        <v>48</v>
      </c>
      <c r="BH1834" s="46">
        <v>0</v>
      </c>
      <c r="BI1834" s="46">
        <v>0</v>
      </c>
      <c r="BJ1834" s="46">
        <v>0</v>
      </c>
      <c r="BK1834" s="46">
        <v>0</v>
      </c>
      <c r="BL1834" s="46">
        <v>0</v>
      </c>
      <c r="BM1834" s="46">
        <v>0</v>
      </c>
      <c r="BN1834" s="46">
        <v>0</v>
      </c>
    </row>
    <row r="1835" spans="1:66" x14ac:dyDescent="0.35">
      <c r="A1835" t="s">
        <v>9927</v>
      </c>
      <c r="B1835" s="44" t="s">
        <v>48</v>
      </c>
      <c r="C1835" t="s">
        <v>12041</v>
      </c>
      <c r="D1835" t="s">
        <v>1222</v>
      </c>
      <c r="E1835" t="s">
        <v>9928</v>
      </c>
      <c r="F1835" t="s">
        <v>3996</v>
      </c>
      <c r="G1835" t="s">
        <v>47</v>
      </c>
      <c r="H1835">
        <v>0</v>
      </c>
      <c r="I1835" s="61">
        <v>44782</v>
      </c>
      <c r="J1835" s="33" t="s">
        <v>45</v>
      </c>
      <c r="K1835" s="46">
        <v>0</v>
      </c>
      <c r="L1835">
        <v>15.4</v>
      </c>
      <c r="M1835" t="s">
        <v>48</v>
      </c>
      <c r="N1835" s="46">
        <v>0</v>
      </c>
      <c r="O1835" s="46">
        <v>0</v>
      </c>
      <c r="P1835" s="46">
        <v>0</v>
      </c>
      <c r="Q1835" t="s">
        <v>48</v>
      </c>
      <c r="R1835" t="s">
        <v>48</v>
      </c>
      <c r="S1835" s="43" t="s">
        <v>48</v>
      </c>
      <c r="T1835" s="43" t="s">
        <v>48</v>
      </c>
      <c r="U1835" s="43" t="s">
        <v>48</v>
      </c>
      <c r="V1835" s="47">
        <v>0</v>
      </c>
      <c r="W1835" t="s">
        <v>48</v>
      </c>
      <c r="X1835" t="s">
        <v>48</v>
      </c>
      <c r="Y1835" t="s">
        <v>48</v>
      </c>
      <c r="Z1835" t="s">
        <v>48</v>
      </c>
      <c r="AA1835" t="s">
        <v>48</v>
      </c>
      <c r="AB1835" t="s">
        <v>48</v>
      </c>
      <c r="AC1835" t="s">
        <v>49</v>
      </c>
      <c r="AD1835" t="s">
        <v>93</v>
      </c>
      <c r="AE1835" t="s">
        <v>11149</v>
      </c>
      <c r="AF1835" t="s">
        <v>48</v>
      </c>
      <c r="AG1835" t="s">
        <v>48</v>
      </c>
      <c r="AH1835" t="s">
        <v>48</v>
      </c>
      <c r="AI1835" t="s">
        <v>48</v>
      </c>
      <c r="AJ1835" t="s">
        <v>48</v>
      </c>
      <c r="AK1835" t="s">
        <v>48</v>
      </c>
      <c r="AL1835" t="s">
        <v>48</v>
      </c>
      <c r="AM1835" t="s">
        <v>48</v>
      </c>
      <c r="AN1835" t="s">
        <v>48</v>
      </c>
      <c r="AO1835" t="s">
        <v>48</v>
      </c>
      <c r="AP1835" s="46">
        <v>0</v>
      </c>
      <c r="AQ1835" s="46">
        <v>0</v>
      </c>
      <c r="AR1835" s="46">
        <v>0</v>
      </c>
      <c r="AS1835" s="46">
        <v>0</v>
      </c>
      <c r="AT1835" s="46">
        <v>0</v>
      </c>
      <c r="AU1835" s="46">
        <v>0</v>
      </c>
      <c r="AV1835" s="46">
        <v>0</v>
      </c>
      <c r="AW1835" s="46">
        <v>0</v>
      </c>
      <c r="AX1835" s="46">
        <v>0</v>
      </c>
      <c r="AY1835" s="46">
        <v>0</v>
      </c>
      <c r="AZ1835" s="46">
        <v>0</v>
      </c>
      <c r="BA1835" s="46">
        <v>0</v>
      </c>
      <c r="BB1835" s="46">
        <v>0</v>
      </c>
      <c r="BC1835" s="46">
        <v>0</v>
      </c>
      <c r="BD1835" s="46">
        <v>0</v>
      </c>
      <c r="BE1835" s="46">
        <v>0</v>
      </c>
      <c r="BF1835" s="46">
        <v>0</v>
      </c>
      <c r="BG1835" s="46" t="s">
        <v>48</v>
      </c>
      <c r="BH1835" s="46">
        <v>0</v>
      </c>
      <c r="BI1835" s="46">
        <v>0</v>
      </c>
      <c r="BJ1835" s="46">
        <v>0</v>
      </c>
      <c r="BK1835" s="46">
        <v>0</v>
      </c>
      <c r="BL1835" s="46">
        <v>0</v>
      </c>
      <c r="BM1835" s="46">
        <v>0</v>
      </c>
      <c r="BN1835" s="46">
        <v>0</v>
      </c>
    </row>
    <row r="1836" spans="1:66" x14ac:dyDescent="0.35">
      <c r="A1836" t="s">
        <v>9929</v>
      </c>
      <c r="B1836" s="44" t="s">
        <v>48</v>
      </c>
      <c r="C1836" t="s">
        <v>80</v>
      </c>
      <c r="D1836" t="s">
        <v>7115</v>
      </c>
      <c r="E1836" t="s">
        <v>9930</v>
      </c>
      <c r="F1836" t="s">
        <v>3996</v>
      </c>
      <c r="G1836" t="s">
        <v>47</v>
      </c>
      <c r="H1836">
        <v>0</v>
      </c>
      <c r="I1836" s="61">
        <v>44782</v>
      </c>
      <c r="J1836" s="33" t="s">
        <v>45</v>
      </c>
      <c r="K1836" s="46">
        <v>0</v>
      </c>
      <c r="L1836">
        <v>9</v>
      </c>
      <c r="M1836" t="s">
        <v>48</v>
      </c>
      <c r="N1836" s="46">
        <v>0</v>
      </c>
      <c r="O1836" s="46">
        <v>0</v>
      </c>
      <c r="P1836" s="46">
        <v>0</v>
      </c>
      <c r="Q1836" t="s">
        <v>48</v>
      </c>
      <c r="R1836" t="s">
        <v>48</v>
      </c>
      <c r="S1836" s="43" t="s">
        <v>48</v>
      </c>
      <c r="T1836" s="43" t="s">
        <v>48</v>
      </c>
      <c r="U1836" s="43" t="s">
        <v>48</v>
      </c>
      <c r="V1836" s="47">
        <v>1</v>
      </c>
      <c r="W1836" t="s">
        <v>48</v>
      </c>
      <c r="X1836" t="s">
        <v>48</v>
      </c>
      <c r="Y1836" t="s">
        <v>48</v>
      </c>
      <c r="Z1836" t="s">
        <v>48</v>
      </c>
      <c r="AA1836" t="s">
        <v>48</v>
      </c>
      <c r="AB1836" t="s">
        <v>48</v>
      </c>
      <c r="AC1836" t="s">
        <v>49</v>
      </c>
      <c r="AD1836" t="s">
        <v>93</v>
      </c>
      <c r="AE1836" t="s">
        <v>4532</v>
      </c>
      <c r="AF1836" t="s">
        <v>48</v>
      </c>
      <c r="AG1836" t="s">
        <v>48</v>
      </c>
      <c r="AH1836" t="s">
        <v>48</v>
      </c>
      <c r="AI1836" t="s">
        <v>48</v>
      </c>
      <c r="AJ1836" t="s">
        <v>48</v>
      </c>
      <c r="AK1836" t="s">
        <v>48</v>
      </c>
      <c r="AL1836" t="s">
        <v>48</v>
      </c>
      <c r="AM1836" t="s">
        <v>48</v>
      </c>
      <c r="AN1836" t="s">
        <v>48</v>
      </c>
      <c r="AO1836" t="s">
        <v>48</v>
      </c>
      <c r="AP1836" s="46">
        <v>0</v>
      </c>
      <c r="AQ1836" s="46">
        <v>0</v>
      </c>
      <c r="AR1836" s="46">
        <v>0</v>
      </c>
      <c r="AS1836" s="46">
        <v>0</v>
      </c>
      <c r="AT1836" s="46">
        <v>0</v>
      </c>
      <c r="AU1836" s="46">
        <v>0</v>
      </c>
      <c r="AV1836" s="46">
        <v>0</v>
      </c>
      <c r="AW1836" s="46">
        <v>0</v>
      </c>
      <c r="AX1836" s="46">
        <v>0</v>
      </c>
      <c r="AY1836" s="46">
        <v>0</v>
      </c>
      <c r="AZ1836" s="46">
        <v>0</v>
      </c>
      <c r="BA1836" s="46">
        <v>0</v>
      </c>
      <c r="BB1836" s="46">
        <v>0</v>
      </c>
      <c r="BC1836" s="46">
        <v>0</v>
      </c>
      <c r="BD1836" s="46">
        <v>0</v>
      </c>
      <c r="BE1836" s="46">
        <v>0</v>
      </c>
      <c r="BF1836" s="46">
        <v>0</v>
      </c>
      <c r="BG1836" s="46" t="s">
        <v>48</v>
      </c>
      <c r="BH1836" s="46">
        <v>0</v>
      </c>
      <c r="BI1836" s="46">
        <v>0</v>
      </c>
      <c r="BJ1836" s="46">
        <v>0</v>
      </c>
      <c r="BK1836" s="46">
        <v>0</v>
      </c>
      <c r="BL1836" s="46">
        <v>0</v>
      </c>
      <c r="BM1836" s="46">
        <v>0</v>
      </c>
      <c r="BN1836" s="46">
        <v>0</v>
      </c>
    </row>
    <row r="1837" spans="1:66" x14ac:dyDescent="0.35">
      <c r="A1837" t="s">
        <v>9853</v>
      </c>
      <c r="B1837" s="44" t="s">
        <v>48</v>
      </c>
      <c r="C1837" t="s">
        <v>12042</v>
      </c>
      <c r="D1837" t="s">
        <v>259</v>
      </c>
      <c r="E1837" t="s">
        <v>9854</v>
      </c>
      <c r="F1837" t="s">
        <v>4015</v>
      </c>
      <c r="G1837" t="s">
        <v>74</v>
      </c>
      <c r="H1837">
        <v>0</v>
      </c>
      <c r="I1837" s="61">
        <v>44782</v>
      </c>
      <c r="J1837" s="33" t="s">
        <v>45</v>
      </c>
      <c r="K1837" s="46">
        <v>0</v>
      </c>
      <c r="L1837">
        <v>14.2</v>
      </c>
      <c r="M1837" t="s">
        <v>48</v>
      </c>
      <c r="N1837" s="46">
        <v>0</v>
      </c>
      <c r="O1837" s="46">
        <v>0</v>
      </c>
      <c r="P1837" s="46">
        <v>0</v>
      </c>
      <c r="Q1837" t="s">
        <v>48</v>
      </c>
      <c r="R1837" t="s">
        <v>48</v>
      </c>
      <c r="S1837" s="43" t="s">
        <v>48</v>
      </c>
      <c r="T1837" s="43" t="s">
        <v>48</v>
      </c>
      <c r="U1837" s="43" t="s">
        <v>48</v>
      </c>
      <c r="V1837" s="47">
        <v>1</v>
      </c>
      <c r="W1837" t="s">
        <v>48</v>
      </c>
      <c r="X1837" t="s">
        <v>48</v>
      </c>
      <c r="Y1837" t="s">
        <v>48</v>
      </c>
      <c r="Z1837" t="s">
        <v>48</v>
      </c>
      <c r="AA1837" t="s">
        <v>48</v>
      </c>
      <c r="AB1837" t="s">
        <v>48</v>
      </c>
      <c r="AC1837" t="s">
        <v>49</v>
      </c>
      <c r="AD1837" t="s">
        <v>93</v>
      </c>
      <c r="AE1837" t="s">
        <v>4532</v>
      </c>
      <c r="AF1837" t="s">
        <v>48</v>
      </c>
      <c r="AG1837" t="s">
        <v>48</v>
      </c>
      <c r="AH1837" t="s">
        <v>48</v>
      </c>
      <c r="AI1837" t="s">
        <v>48</v>
      </c>
      <c r="AJ1837" t="s">
        <v>48</v>
      </c>
      <c r="AK1837" t="s">
        <v>48</v>
      </c>
      <c r="AL1837" t="s">
        <v>48</v>
      </c>
      <c r="AM1837" t="s">
        <v>48</v>
      </c>
      <c r="AN1837" t="s">
        <v>48</v>
      </c>
      <c r="AO1837" t="s">
        <v>48</v>
      </c>
      <c r="AP1837" s="46">
        <v>0</v>
      </c>
      <c r="AQ1837" s="46">
        <v>0</v>
      </c>
      <c r="AR1837" s="46">
        <v>0</v>
      </c>
      <c r="AS1837" s="46">
        <v>0</v>
      </c>
      <c r="AT1837" s="46">
        <v>0</v>
      </c>
      <c r="AU1837" s="46">
        <v>0</v>
      </c>
      <c r="AV1837" s="46">
        <v>0</v>
      </c>
      <c r="AW1837" s="46">
        <v>0</v>
      </c>
      <c r="AX1837" s="46">
        <v>0</v>
      </c>
      <c r="AY1837" s="46">
        <v>0</v>
      </c>
      <c r="AZ1837" s="46">
        <v>0</v>
      </c>
      <c r="BA1837" s="46">
        <v>0</v>
      </c>
      <c r="BB1837" s="46">
        <v>0</v>
      </c>
      <c r="BC1837" s="46">
        <v>0</v>
      </c>
      <c r="BD1837" s="46">
        <v>0</v>
      </c>
      <c r="BE1837" s="46">
        <v>0</v>
      </c>
      <c r="BF1837" s="46">
        <v>0</v>
      </c>
      <c r="BG1837" s="46" t="s">
        <v>48</v>
      </c>
      <c r="BH1837" s="46">
        <v>0</v>
      </c>
      <c r="BI1837" s="46">
        <v>0</v>
      </c>
      <c r="BJ1837" s="46">
        <v>0</v>
      </c>
      <c r="BK1837" s="46">
        <v>0</v>
      </c>
      <c r="BL1837" s="46">
        <v>0</v>
      </c>
      <c r="BM1837" s="46">
        <v>0</v>
      </c>
      <c r="BN1837" s="46">
        <v>0</v>
      </c>
    </row>
    <row r="1838" spans="1:66" x14ac:dyDescent="0.35">
      <c r="A1838" t="s">
        <v>4027</v>
      </c>
      <c r="B1838" s="44" t="s">
        <v>48</v>
      </c>
      <c r="C1838" t="s">
        <v>4030</v>
      </c>
      <c r="D1838" t="s">
        <v>771</v>
      </c>
      <c r="E1838" t="s">
        <v>4028</v>
      </c>
      <c r="F1838" t="s">
        <v>4015</v>
      </c>
      <c r="G1838" t="s">
        <v>47</v>
      </c>
      <c r="H1838">
        <v>0</v>
      </c>
      <c r="I1838" s="60" t="s">
        <v>125</v>
      </c>
      <c r="J1838" s="33" t="s">
        <v>45</v>
      </c>
      <c r="K1838" s="46">
        <v>0</v>
      </c>
      <c r="L1838">
        <v>16.5</v>
      </c>
      <c r="M1838" t="s">
        <v>48</v>
      </c>
      <c r="N1838" s="46">
        <v>0</v>
      </c>
      <c r="O1838" s="46">
        <v>0</v>
      </c>
      <c r="P1838" s="46">
        <v>0</v>
      </c>
      <c r="Q1838" t="s">
        <v>48</v>
      </c>
      <c r="R1838" t="s">
        <v>48</v>
      </c>
      <c r="S1838" t="s">
        <v>4029</v>
      </c>
      <c r="T1838" t="s">
        <v>48</v>
      </c>
      <c r="U1838" t="s">
        <v>4029</v>
      </c>
      <c r="V1838" s="47">
        <v>1</v>
      </c>
      <c r="W1838" t="s">
        <v>48</v>
      </c>
      <c r="X1838" t="s">
        <v>48</v>
      </c>
      <c r="Y1838" t="s">
        <v>48</v>
      </c>
      <c r="Z1838">
        <v>0</v>
      </c>
      <c r="AA1838" t="s">
        <v>48</v>
      </c>
      <c r="AB1838" t="s">
        <v>48</v>
      </c>
      <c r="AC1838" t="s">
        <v>49</v>
      </c>
      <c r="AD1838" t="s">
        <v>93</v>
      </c>
      <c r="AE1838" t="s">
        <v>4532</v>
      </c>
      <c r="AF1838" t="s">
        <v>48</v>
      </c>
      <c r="AG1838" t="s">
        <v>48</v>
      </c>
      <c r="AH1838" t="s">
        <v>48</v>
      </c>
      <c r="AI1838" t="s">
        <v>48</v>
      </c>
      <c r="AJ1838" t="s">
        <v>48</v>
      </c>
      <c r="AK1838" t="s">
        <v>48</v>
      </c>
      <c r="AL1838" t="s">
        <v>48</v>
      </c>
      <c r="AM1838" t="s">
        <v>48</v>
      </c>
      <c r="AN1838" t="s">
        <v>48</v>
      </c>
      <c r="AO1838" t="s">
        <v>48</v>
      </c>
      <c r="AP1838" s="46">
        <v>0</v>
      </c>
      <c r="AQ1838" s="46">
        <v>0</v>
      </c>
      <c r="AR1838" s="46">
        <v>0</v>
      </c>
      <c r="AS1838" s="46">
        <v>0</v>
      </c>
      <c r="AT1838" s="46">
        <v>0</v>
      </c>
      <c r="AU1838" s="46">
        <v>0</v>
      </c>
      <c r="AV1838" s="46">
        <v>0</v>
      </c>
      <c r="AW1838" s="46">
        <v>0</v>
      </c>
      <c r="AX1838" s="46">
        <v>0</v>
      </c>
      <c r="AY1838" s="46">
        <v>0</v>
      </c>
      <c r="AZ1838" s="46">
        <v>0</v>
      </c>
      <c r="BA1838" s="46">
        <v>0</v>
      </c>
      <c r="BB1838" s="46">
        <v>0</v>
      </c>
      <c r="BC1838" s="46">
        <v>0</v>
      </c>
      <c r="BD1838" s="46">
        <v>0</v>
      </c>
      <c r="BE1838" s="46">
        <v>0</v>
      </c>
      <c r="BF1838" s="46">
        <v>0</v>
      </c>
      <c r="BG1838" s="46" t="s">
        <v>48</v>
      </c>
      <c r="BH1838" s="46">
        <v>0</v>
      </c>
      <c r="BI1838" s="46">
        <v>0</v>
      </c>
      <c r="BJ1838" s="46">
        <v>0</v>
      </c>
      <c r="BK1838" s="46">
        <v>0</v>
      </c>
      <c r="BL1838" s="46">
        <v>0</v>
      </c>
      <c r="BM1838" s="46">
        <v>0</v>
      </c>
      <c r="BN1838" s="46">
        <v>0</v>
      </c>
    </row>
    <row r="1839" spans="1:66" x14ac:dyDescent="0.35">
      <c r="A1839" t="s">
        <v>9931</v>
      </c>
      <c r="B1839" s="44" t="s">
        <v>48</v>
      </c>
      <c r="C1839" t="s">
        <v>551</v>
      </c>
      <c r="D1839" t="s">
        <v>12045</v>
      </c>
      <c r="E1839" t="s">
        <v>9932</v>
      </c>
      <c r="F1839" t="s">
        <v>4015</v>
      </c>
      <c r="G1839" t="s">
        <v>47</v>
      </c>
      <c r="H1839">
        <v>0</v>
      </c>
      <c r="I1839" s="61">
        <v>44782</v>
      </c>
      <c r="J1839" s="33" t="s">
        <v>45</v>
      </c>
      <c r="K1839" s="46">
        <v>0</v>
      </c>
      <c r="L1839">
        <v>12.2</v>
      </c>
      <c r="M1839" t="s">
        <v>48</v>
      </c>
      <c r="N1839" s="46">
        <v>0</v>
      </c>
      <c r="O1839" s="46">
        <v>0</v>
      </c>
      <c r="P1839" s="46">
        <v>0</v>
      </c>
      <c r="Q1839" t="s">
        <v>48</v>
      </c>
      <c r="R1839" t="s">
        <v>48</v>
      </c>
      <c r="S1839" s="43" t="s">
        <v>48</v>
      </c>
      <c r="T1839" s="43" t="s">
        <v>48</v>
      </c>
      <c r="U1839" s="43" t="s">
        <v>48</v>
      </c>
      <c r="V1839" s="47">
        <v>1</v>
      </c>
      <c r="W1839" t="s">
        <v>48</v>
      </c>
      <c r="X1839" t="s">
        <v>48</v>
      </c>
      <c r="Y1839" t="s">
        <v>48</v>
      </c>
      <c r="Z1839" t="s">
        <v>48</v>
      </c>
      <c r="AA1839" t="s">
        <v>48</v>
      </c>
      <c r="AB1839" t="s">
        <v>48</v>
      </c>
      <c r="AC1839" t="s">
        <v>49</v>
      </c>
      <c r="AD1839" t="s">
        <v>93</v>
      </c>
      <c r="AE1839" t="s">
        <v>4532</v>
      </c>
      <c r="AF1839" t="s">
        <v>48</v>
      </c>
      <c r="AG1839" t="s">
        <v>48</v>
      </c>
      <c r="AH1839" t="s">
        <v>48</v>
      </c>
      <c r="AI1839" t="s">
        <v>48</v>
      </c>
      <c r="AJ1839" t="s">
        <v>48</v>
      </c>
      <c r="AK1839" t="s">
        <v>48</v>
      </c>
      <c r="AL1839" t="s">
        <v>48</v>
      </c>
      <c r="AM1839" t="s">
        <v>48</v>
      </c>
      <c r="AN1839" t="s">
        <v>48</v>
      </c>
      <c r="AO1839" t="s">
        <v>48</v>
      </c>
      <c r="AP1839" s="46">
        <v>0</v>
      </c>
      <c r="AQ1839" s="46">
        <v>0</v>
      </c>
      <c r="AR1839" s="46">
        <v>0</v>
      </c>
      <c r="AS1839" s="46">
        <v>0</v>
      </c>
      <c r="AT1839" s="46">
        <v>0</v>
      </c>
      <c r="AU1839" s="46">
        <v>0</v>
      </c>
      <c r="AV1839" s="46">
        <v>0</v>
      </c>
      <c r="AW1839" s="46">
        <v>0</v>
      </c>
      <c r="AX1839" s="46">
        <v>0</v>
      </c>
      <c r="AY1839" s="46">
        <v>0</v>
      </c>
      <c r="AZ1839" s="46">
        <v>0</v>
      </c>
      <c r="BA1839" s="46">
        <v>0</v>
      </c>
      <c r="BB1839" s="46">
        <v>0</v>
      </c>
      <c r="BC1839" s="46">
        <v>0</v>
      </c>
      <c r="BD1839" s="46">
        <v>0</v>
      </c>
      <c r="BE1839" s="46">
        <v>0</v>
      </c>
      <c r="BF1839" s="46">
        <v>0</v>
      </c>
      <c r="BG1839" s="46" t="s">
        <v>48</v>
      </c>
      <c r="BH1839" s="46">
        <v>0</v>
      </c>
      <c r="BI1839" s="46">
        <v>0</v>
      </c>
      <c r="BJ1839" s="46">
        <v>0</v>
      </c>
      <c r="BK1839" s="46">
        <v>0</v>
      </c>
      <c r="BL1839" s="46">
        <v>0</v>
      </c>
      <c r="BM1839" s="46">
        <v>0</v>
      </c>
      <c r="BN1839" s="46">
        <v>0</v>
      </c>
    </row>
    <row r="1840" spans="1:66" x14ac:dyDescent="0.35">
      <c r="A1840" t="s">
        <v>9855</v>
      </c>
      <c r="B1840" s="44" t="s">
        <v>48</v>
      </c>
      <c r="C1840" t="s">
        <v>12043</v>
      </c>
      <c r="D1840" t="s">
        <v>12044</v>
      </c>
      <c r="E1840" t="s">
        <v>9856</v>
      </c>
      <c r="F1840" t="s">
        <v>4015</v>
      </c>
      <c r="G1840" t="s">
        <v>74</v>
      </c>
      <c r="H1840">
        <v>0</v>
      </c>
      <c r="I1840" s="61">
        <v>44782</v>
      </c>
      <c r="J1840" s="33" t="s">
        <v>45</v>
      </c>
      <c r="K1840" s="46">
        <v>0</v>
      </c>
      <c r="L1840">
        <v>3.3</v>
      </c>
      <c r="M1840" t="s">
        <v>48</v>
      </c>
      <c r="N1840" s="46">
        <v>0</v>
      </c>
      <c r="O1840" s="46">
        <v>0</v>
      </c>
      <c r="P1840" s="46">
        <v>0</v>
      </c>
      <c r="Q1840" t="s">
        <v>48</v>
      </c>
      <c r="R1840" t="s">
        <v>48</v>
      </c>
      <c r="S1840" s="43" t="s">
        <v>48</v>
      </c>
      <c r="T1840" s="43" t="s">
        <v>48</v>
      </c>
      <c r="U1840" s="43" t="s">
        <v>48</v>
      </c>
      <c r="V1840" s="47">
        <v>0</v>
      </c>
      <c r="W1840" t="s">
        <v>48</v>
      </c>
      <c r="X1840" t="s">
        <v>48</v>
      </c>
      <c r="Y1840" t="s">
        <v>48</v>
      </c>
      <c r="Z1840" t="s">
        <v>48</v>
      </c>
      <c r="AA1840" t="s">
        <v>48</v>
      </c>
      <c r="AB1840" t="s">
        <v>48</v>
      </c>
      <c r="AC1840" t="s">
        <v>49</v>
      </c>
      <c r="AD1840" t="s">
        <v>48</v>
      </c>
      <c r="AE1840" t="s">
        <v>48</v>
      </c>
      <c r="AF1840" t="s">
        <v>48</v>
      </c>
      <c r="AG1840" t="s">
        <v>48</v>
      </c>
      <c r="AH1840" t="s">
        <v>48</v>
      </c>
      <c r="AI1840" t="s">
        <v>48</v>
      </c>
      <c r="AJ1840" t="s">
        <v>48</v>
      </c>
      <c r="AK1840" t="s">
        <v>48</v>
      </c>
      <c r="AL1840" t="s">
        <v>48</v>
      </c>
      <c r="AM1840" t="s">
        <v>48</v>
      </c>
      <c r="AN1840" t="s">
        <v>48</v>
      </c>
      <c r="AO1840" t="s">
        <v>48</v>
      </c>
      <c r="AP1840" s="46">
        <v>0</v>
      </c>
      <c r="AQ1840" s="46">
        <v>0</v>
      </c>
      <c r="AR1840" s="46">
        <v>0</v>
      </c>
      <c r="AS1840" s="46">
        <v>0</v>
      </c>
      <c r="AT1840" s="46">
        <v>0</v>
      </c>
      <c r="AU1840" s="46">
        <v>0</v>
      </c>
      <c r="AV1840" s="46">
        <v>0</v>
      </c>
      <c r="AW1840" s="46">
        <v>0</v>
      </c>
      <c r="AX1840" s="46">
        <v>0</v>
      </c>
      <c r="AY1840" s="46">
        <v>0</v>
      </c>
      <c r="AZ1840" s="46">
        <v>0</v>
      </c>
      <c r="BA1840" s="46">
        <v>0</v>
      </c>
      <c r="BB1840" s="46">
        <v>0</v>
      </c>
      <c r="BC1840" s="46">
        <v>0</v>
      </c>
      <c r="BD1840" s="46">
        <v>0</v>
      </c>
      <c r="BE1840" s="46">
        <v>0</v>
      </c>
      <c r="BF1840" s="46">
        <v>0</v>
      </c>
      <c r="BG1840" s="46" t="s">
        <v>48</v>
      </c>
      <c r="BH1840" s="46">
        <v>0</v>
      </c>
      <c r="BI1840" s="46">
        <v>0</v>
      </c>
      <c r="BJ1840" s="46">
        <v>0</v>
      </c>
      <c r="BK1840" s="46">
        <v>0</v>
      </c>
      <c r="BL1840" s="46">
        <v>0</v>
      </c>
      <c r="BM1840" s="46">
        <v>0</v>
      </c>
      <c r="BN1840" s="46">
        <v>0</v>
      </c>
    </row>
    <row r="1841" spans="1:66" x14ac:dyDescent="0.35">
      <c r="A1841" t="s">
        <v>4018</v>
      </c>
      <c r="B1841" s="44" t="s">
        <v>48</v>
      </c>
      <c r="C1841" t="s">
        <v>4020</v>
      </c>
      <c r="D1841" t="s">
        <v>1867</v>
      </c>
      <c r="E1841" t="s">
        <v>4019</v>
      </c>
      <c r="F1841" t="s">
        <v>4015</v>
      </c>
      <c r="G1841" t="s">
        <v>74</v>
      </c>
      <c r="H1841">
        <v>0</v>
      </c>
      <c r="I1841" s="60" t="s">
        <v>51</v>
      </c>
      <c r="J1841" s="33" t="s">
        <v>45</v>
      </c>
      <c r="K1841" s="46">
        <v>0</v>
      </c>
      <c r="L1841">
        <v>20.2</v>
      </c>
      <c r="M1841" t="s">
        <v>48</v>
      </c>
      <c r="N1841" s="46">
        <v>0</v>
      </c>
      <c r="O1841" s="46">
        <v>0</v>
      </c>
      <c r="P1841" s="46">
        <v>0</v>
      </c>
      <c r="Q1841" t="s">
        <v>48</v>
      </c>
      <c r="R1841" t="s">
        <v>48</v>
      </c>
      <c r="S1841" t="s">
        <v>48</v>
      </c>
      <c r="T1841" t="s">
        <v>48</v>
      </c>
      <c r="U1841" t="s">
        <v>48</v>
      </c>
      <c r="V1841" s="47">
        <v>1</v>
      </c>
      <c r="W1841" t="s">
        <v>48</v>
      </c>
      <c r="X1841" t="s">
        <v>48</v>
      </c>
      <c r="Y1841" t="s">
        <v>48</v>
      </c>
      <c r="Z1841">
        <v>0</v>
      </c>
      <c r="AA1841" t="s">
        <v>48</v>
      </c>
      <c r="AB1841" t="s">
        <v>48</v>
      </c>
      <c r="AC1841" t="s">
        <v>49</v>
      </c>
      <c r="AD1841" t="s">
        <v>93</v>
      </c>
      <c r="AE1841" t="s">
        <v>4532</v>
      </c>
      <c r="AF1841" t="s">
        <v>48</v>
      </c>
      <c r="AG1841" t="s">
        <v>48</v>
      </c>
      <c r="AH1841" t="s">
        <v>48</v>
      </c>
      <c r="AI1841" t="s">
        <v>48</v>
      </c>
      <c r="AJ1841" t="s">
        <v>48</v>
      </c>
      <c r="AK1841" t="s">
        <v>48</v>
      </c>
      <c r="AL1841" t="s">
        <v>48</v>
      </c>
      <c r="AM1841" t="s">
        <v>48</v>
      </c>
      <c r="AN1841" t="s">
        <v>48</v>
      </c>
      <c r="AO1841" t="s">
        <v>48</v>
      </c>
      <c r="AP1841" s="46">
        <v>0</v>
      </c>
      <c r="AQ1841" s="46">
        <v>0</v>
      </c>
      <c r="AR1841" s="46">
        <v>0</v>
      </c>
      <c r="AS1841" s="46">
        <v>0</v>
      </c>
      <c r="AT1841" s="46">
        <v>0</v>
      </c>
      <c r="AU1841" s="46">
        <v>0</v>
      </c>
      <c r="AV1841" s="46">
        <v>0</v>
      </c>
      <c r="AW1841" s="46">
        <v>0</v>
      </c>
      <c r="AX1841" s="46">
        <v>0</v>
      </c>
      <c r="AY1841" s="46">
        <v>0</v>
      </c>
      <c r="AZ1841" s="46">
        <v>0</v>
      </c>
      <c r="BA1841" s="46">
        <v>0</v>
      </c>
      <c r="BB1841" s="46">
        <v>0</v>
      </c>
      <c r="BC1841" s="46">
        <v>0</v>
      </c>
      <c r="BD1841" s="46">
        <v>0</v>
      </c>
      <c r="BE1841" s="46">
        <v>0</v>
      </c>
      <c r="BF1841" s="46">
        <v>0</v>
      </c>
      <c r="BG1841" s="46" t="s">
        <v>48</v>
      </c>
      <c r="BH1841" s="46">
        <v>0</v>
      </c>
      <c r="BI1841" s="46">
        <v>0</v>
      </c>
      <c r="BJ1841" s="46">
        <v>0</v>
      </c>
      <c r="BK1841" s="46">
        <v>0</v>
      </c>
      <c r="BL1841" s="46">
        <v>0</v>
      </c>
      <c r="BM1841" s="46">
        <v>0</v>
      </c>
      <c r="BN1841" s="46">
        <v>0</v>
      </c>
    </row>
    <row r="1842" spans="1:66" x14ac:dyDescent="0.35">
      <c r="A1842" t="s">
        <v>9933</v>
      </c>
      <c r="B1842" s="44" t="s">
        <v>48</v>
      </c>
      <c r="C1842" t="s">
        <v>12047</v>
      </c>
      <c r="D1842" t="s">
        <v>328</v>
      </c>
      <c r="E1842" t="s">
        <v>9934</v>
      </c>
      <c r="F1842" t="s">
        <v>4015</v>
      </c>
      <c r="G1842" t="s">
        <v>47</v>
      </c>
      <c r="H1842">
        <v>0</v>
      </c>
      <c r="I1842" s="61">
        <v>44782</v>
      </c>
      <c r="J1842" s="33" t="s">
        <v>45</v>
      </c>
      <c r="K1842" s="46">
        <v>0</v>
      </c>
      <c r="L1842">
        <v>1.7</v>
      </c>
      <c r="M1842" t="s">
        <v>48</v>
      </c>
      <c r="N1842" s="46">
        <v>0</v>
      </c>
      <c r="O1842" s="46">
        <v>0</v>
      </c>
      <c r="P1842" s="46">
        <v>0</v>
      </c>
      <c r="Q1842" t="s">
        <v>48</v>
      </c>
      <c r="R1842" t="s">
        <v>48</v>
      </c>
      <c r="S1842" s="43" t="s">
        <v>48</v>
      </c>
      <c r="T1842" s="43" t="s">
        <v>48</v>
      </c>
      <c r="U1842" s="43" t="s">
        <v>48</v>
      </c>
      <c r="V1842" s="47">
        <v>1</v>
      </c>
      <c r="W1842" t="s">
        <v>48</v>
      </c>
      <c r="X1842" t="s">
        <v>48</v>
      </c>
      <c r="Y1842" t="s">
        <v>48</v>
      </c>
      <c r="Z1842" t="s">
        <v>48</v>
      </c>
      <c r="AA1842" t="s">
        <v>48</v>
      </c>
      <c r="AB1842" t="s">
        <v>48</v>
      </c>
      <c r="AC1842" t="s">
        <v>49</v>
      </c>
      <c r="AD1842" t="s">
        <v>48</v>
      </c>
      <c r="AE1842" t="s">
        <v>48</v>
      </c>
      <c r="AF1842" t="s">
        <v>48</v>
      </c>
      <c r="AG1842" t="s">
        <v>48</v>
      </c>
      <c r="AH1842" t="s">
        <v>48</v>
      </c>
      <c r="AI1842" t="s">
        <v>48</v>
      </c>
      <c r="AJ1842" t="s">
        <v>48</v>
      </c>
      <c r="AK1842" t="s">
        <v>48</v>
      </c>
      <c r="AL1842" t="s">
        <v>48</v>
      </c>
      <c r="AM1842" t="s">
        <v>48</v>
      </c>
      <c r="AN1842" t="s">
        <v>48</v>
      </c>
      <c r="AO1842" t="s">
        <v>48</v>
      </c>
      <c r="AP1842" s="46">
        <v>0</v>
      </c>
      <c r="AQ1842" s="46">
        <v>0</v>
      </c>
      <c r="AR1842" s="46">
        <v>0</v>
      </c>
      <c r="AS1842" s="46">
        <v>0</v>
      </c>
      <c r="AT1842" s="46">
        <v>0</v>
      </c>
      <c r="AU1842" s="46">
        <v>0</v>
      </c>
      <c r="AV1842" s="46">
        <v>0</v>
      </c>
      <c r="AW1842" s="46">
        <v>0</v>
      </c>
      <c r="AX1842" s="46">
        <v>0</v>
      </c>
      <c r="AY1842" s="46">
        <v>0</v>
      </c>
      <c r="AZ1842" s="46">
        <v>0</v>
      </c>
      <c r="BA1842" s="46">
        <v>0</v>
      </c>
      <c r="BB1842" s="46">
        <v>0</v>
      </c>
      <c r="BC1842" s="46">
        <v>0</v>
      </c>
      <c r="BD1842" s="46">
        <v>0</v>
      </c>
      <c r="BE1842" s="46">
        <v>0</v>
      </c>
      <c r="BF1842" s="46">
        <v>0</v>
      </c>
      <c r="BG1842" s="46" t="s">
        <v>48</v>
      </c>
      <c r="BH1842" s="46">
        <v>0</v>
      </c>
      <c r="BI1842" s="46">
        <v>0</v>
      </c>
      <c r="BJ1842" s="46">
        <v>0</v>
      </c>
      <c r="BK1842" s="46">
        <v>0</v>
      </c>
      <c r="BL1842" s="46">
        <v>0</v>
      </c>
      <c r="BM1842" s="46">
        <v>0</v>
      </c>
      <c r="BN1842" s="46">
        <v>0</v>
      </c>
    </row>
    <row r="1843" spans="1:66" x14ac:dyDescent="0.35">
      <c r="A1843" t="s">
        <v>9936</v>
      </c>
      <c r="B1843" s="44" t="s">
        <v>48</v>
      </c>
      <c r="C1843" t="s">
        <v>12048</v>
      </c>
      <c r="D1843" t="s">
        <v>829</v>
      </c>
      <c r="E1843" t="s">
        <v>9937</v>
      </c>
      <c r="F1843" t="s">
        <v>146</v>
      </c>
      <c r="G1843" t="s">
        <v>47</v>
      </c>
      <c r="H1843">
        <v>0</v>
      </c>
      <c r="I1843" s="61">
        <v>44782</v>
      </c>
      <c r="J1843" s="33" t="s">
        <v>45</v>
      </c>
      <c r="K1843" s="46">
        <v>0</v>
      </c>
      <c r="L1843">
        <v>4.4000000000000004</v>
      </c>
      <c r="M1843" t="s">
        <v>48</v>
      </c>
      <c r="N1843" s="46">
        <v>0</v>
      </c>
      <c r="O1843" s="46">
        <v>0</v>
      </c>
      <c r="P1843" s="46">
        <v>0</v>
      </c>
      <c r="Q1843" t="s">
        <v>48</v>
      </c>
      <c r="R1843" t="s">
        <v>48</v>
      </c>
      <c r="S1843" s="43" t="s">
        <v>48</v>
      </c>
      <c r="T1843" s="43" t="s">
        <v>48</v>
      </c>
      <c r="U1843" s="43" t="s">
        <v>48</v>
      </c>
      <c r="V1843" s="47">
        <v>0</v>
      </c>
      <c r="W1843" t="s">
        <v>48</v>
      </c>
      <c r="X1843" t="s">
        <v>48</v>
      </c>
      <c r="Y1843" t="s">
        <v>48</v>
      </c>
      <c r="Z1843" t="s">
        <v>48</v>
      </c>
      <c r="AA1843" t="s">
        <v>48</v>
      </c>
      <c r="AB1843" t="s">
        <v>48</v>
      </c>
      <c r="AC1843" t="s">
        <v>49</v>
      </c>
      <c r="AD1843" t="s">
        <v>93</v>
      </c>
      <c r="AE1843" t="s">
        <v>4532</v>
      </c>
      <c r="AF1843" t="s">
        <v>48</v>
      </c>
      <c r="AG1843" t="s">
        <v>48</v>
      </c>
      <c r="AH1843" t="s">
        <v>48</v>
      </c>
      <c r="AI1843" t="s">
        <v>48</v>
      </c>
      <c r="AJ1843" t="s">
        <v>48</v>
      </c>
      <c r="AK1843" t="s">
        <v>48</v>
      </c>
      <c r="AL1843" t="s">
        <v>48</v>
      </c>
      <c r="AM1843" t="s">
        <v>48</v>
      </c>
      <c r="AN1843" t="s">
        <v>48</v>
      </c>
      <c r="AO1843" t="s">
        <v>48</v>
      </c>
      <c r="AP1843" s="46">
        <v>0</v>
      </c>
      <c r="AQ1843" s="46">
        <v>0</v>
      </c>
      <c r="AR1843" s="46">
        <v>0</v>
      </c>
      <c r="AS1843" s="46">
        <v>0</v>
      </c>
      <c r="AT1843" s="46">
        <v>0</v>
      </c>
      <c r="AU1843" s="46">
        <v>0</v>
      </c>
      <c r="AV1843" s="46">
        <v>0</v>
      </c>
      <c r="AW1843" s="46">
        <v>0</v>
      </c>
      <c r="AX1843" s="46">
        <v>0</v>
      </c>
      <c r="AY1843" s="46">
        <v>0</v>
      </c>
      <c r="AZ1843" s="46">
        <v>0</v>
      </c>
      <c r="BA1843" s="46">
        <v>0</v>
      </c>
      <c r="BB1843" s="46">
        <v>0</v>
      </c>
      <c r="BC1843" s="46">
        <v>0</v>
      </c>
      <c r="BD1843" s="46">
        <v>0</v>
      </c>
      <c r="BE1843" s="46">
        <v>0</v>
      </c>
      <c r="BF1843" s="46">
        <v>0</v>
      </c>
      <c r="BG1843" s="46" t="s">
        <v>48</v>
      </c>
      <c r="BH1843" s="46">
        <v>0</v>
      </c>
      <c r="BI1843" s="46">
        <v>0</v>
      </c>
      <c r="BJ1843" s="46">
        <v>0</v>
      </c>
      <c r="BK1843" s="46">
        <v>0</v>
      </c>
      <c r="BL1843" s="46">
        <v>0</v>
      </c>
      <c r="BM1843" s="46">
        <v>0</v>
      </c>
      <c r="BN1843" s="46">
        <v>0</v>
      </c>
    </row>
    <row r="1844" spans="1:66" x14ac:dyDescent="0.35">
      <c r="A1844" t="s">
        <v>4034</v>
      </c>
      <c r="B1844" s="44" t="s">
        <v>48</v>
      </c>
      <c r="C1844" t="s">
        <v>578</v>
      </c>
      <c r="D1844" t="s">
        <v>4037</v>
      </c>
      <c r="E1844" t="s">
        <v>4035</v>
      </c>
      <c r="F1844" t="s">
        <v>146</v>
      </c>
      <c r="G1844" t="s">
        <v>47</v>
      </c>
      <c r="H1844">
        <v>0</v>
      </c>
      <c r="I1844" s="60" t="s">
        <v>51</v>
      </c>
      <c r="J1844" s="33" t="s">
        <v>45</v>
      </c>
      <c r="K1844" s="46">
        <v>0</v>
      </c>
      <c r="L1844">
        <v>16</v>
      </c>
      <c r="M1844" t="s">
        <v>48</v>
      </c>
      <c r="N1844" s="46">
        <v>0</v>
      </c>
      <c r="O1844" s="46">
        <v>0</v>
      </c>
      <c r="P1844" s="46">
        <v>0</v>
      </c>
      <c r="Q1844" t="s">
        <v>48</v>
      </c>
      <c r="R1844" t="s">
        <v>48</v>
      </c>
      <c r="S1844" t="s">
        <v>4036</v>
      </c>
      <c r="T1844" t="s">
        <v>48</v>
      </c>
      <c r="U1844" t="s">
        <v>4036</v>
      </c>
      <c r="V1844" s="47">
        <v>0</v>
      </c>
      <c r="W1844" t="s">
        <v>48</v>
      </c>
      <c r="X1844" t="s">
        <v>48</v>
      </c>
      <c r="Y1844" t="s">
        <v>48</v>
      </c>
      <c r="Z1844">
        <v>0</v>
      </c>
      <c r="AA1844" t="s">
        <v>48</v>
      </c>
      <c r="AB1844" t="s">
        <v>48</v>
      </c>
      <c r="AC1844" t="s">
        <v>63</v>
      </c>
      <c r="AD1844" t="s">
        <v>93</v>
      </c>
      <c r="AE1844" t="s">
        <v>4532</v>
      </c>
      <c r="AF1844" t="s">
        <v>48</v>
      </c>
      <c r="AG1844" t="s">
        <v>48</v>
      </c>
      <c r="AH1844" t="s">
        <v>48</v>
      </c>
      <c r="AI1844" t="s">
        <v>48</v>
      </c>
      <c r="AJ1844" t="s">
        <v>48</v>
      </c>
      <c r="AK1844" t="s">
        <v>48</v>
      </c>
      <c r="AL1844" t="s">
        <v>48</v>
      </c>
      <c r="AM1844" t="s">
        <v>48</v>
      </c>
      <c r="AN1844" t="s">
        <v>48</v>
      </c>
      <c r="AO1844" t="s">
        <v>48</v>
      </c>
      <c r="AP1844" s="46">
        <v>0</v>
      </c>
      <c r="AQ1844" s="46">
        <v>0</v>
      </c>
      <c r="AR1844" s="46">
        <v>0</v>
      </c>
      <c r="AS1844" s="46">
        <v>0</v>
      </c>
      <c r="AT1844" s="46">
        <v>0</v>
      </c>
      <c r="AU1844" s="46">
        <v>0</v>
      </c>
      <c r="AV1844" s="46">
        <v>0</v>
      </c>
      <c r="AW1844" s="46">
        <v>0</v>
      </c>
      <c r="AX1844" s="46">
        <v>0</v>
      </c>
      <c r="AY1844" s="46">
        <v>0</v>
      </c>
      <c r="AZ1844" s="46">
        <v>0</v>
      </c>
      <c r="BA1844" s="46">
        <v>0</v>
      </c>
      <c r="BB1844" s="46">
        <v>0</v>
      </c>
      <c r="BC1844" s="46">
        <v>0</v>
      </c>
      <c r="BD1844" s="46">
        <v>0</v>
      </c>
      <c r="BE1844" s="46">
        <v>0</v>
      </c>
      <c r="BF1844" s="46">
        <v>0</v>
      </c>
      <c r="BG1844" s="46" t="s">
        <v>48</v>
      </c>
      <c r="BH1844" s="46">
        <v>0</v>
      </c>
      <c r="BI1844" s="46">
        <v>0</v>
      </c>
      <c r="BJ1844" s="46">
        <v>0</v>
      </c>
      <c r="BK1844" s="46">
        <v>0</v>
      </c>
      <c r="BL1844" s="46">
        <v>0</v>
      </c>
      <c r="BM1844" s="46">
        <v>0</v>
      </c>
      <c r="BN1844" s="46">
        <v>0</v>
      </c>
    </row>
    <row r="1845" spans="1:66" x14ac:dyDescent="0.35">
      <c r="A1845" t="s">
        <v>4048</v>
      </c>
      <c r="B1845" s="44" t="s">
        <v>48</v>
      </c>
      <c r="C1845" t="s">
        <v>4051</v>
      </c>
      <c r="D1845" t="s">
        <v>1666</v>
      </c>
      <c r="E1845" t="s">
        <v>4049</v>
      </c>
      <c r="F1845" t="s">
        <v>146</v>
      </c>
      <c r="G1845" t="s">
        <v>47</v>
      </c>
      <c r="H1845">
        <v>0</v>
      </c>
      <c r="I1845" s="60" t="s">
        <v>149</v>
      </c>
      <c r="J1845" s="33" t="s">
        <v>45</v>
      </c>
      <c r="K1845" s="46">
        <v>0</v>
      </c>
      <c r="L1845">
        <v>3.8</v>
      </c>
      <c r="M1845" t="s">
        <v>48</v>
      </c>
      <c r="N1845" s="46">
        <v>0</v>
      </c>
      <c r="O1845" s="46">
        <v>0</v>
      </c>
      <c r="P1845" s="46">
        <v>0</v>
      </c>
      <c r="Q1845" t="s">
        <v>48</v>
      </c>
      <c r="R1845" t="s">
        <v>48</v>
      </c>
      <c r="S1845" t="s">
        <v>4050</v>
      </c>
      <c r="T1845" t="s">
        <v>48</v>
      </c>
      <c r="U1845" t="s">
        <v>4050</v>
      </c>
      <c r="V1845" s="47">
        <v>0</v>
      </c>
      <c r="W1845" t="s">
        <v>11317</v>
      </c>
      <c r="X1845" t="s">
        <v>48</v>
      </c>
      <c r="Y1845" t="s">
        <v>48</v>
      </c>
      <c r="Z1845">
        <v>0</v>
      </c>
      <c r="AA1845" t="s">
        <v>48</v>
      </c>
      <c r="AB1845" t="s">
        <v>48</v>
      </c>
      <c r="AC1845" t="s">
        <v>49</v>
      </c>
      <c r="AD1845" t="s">
        <v>93</v>
      </c>
      <c r="AE1845" t="s">
        <v>4532</v>
      </c>
      <c r="AF1845" t="s">
        <v>48</v>
      </c>
      <c r="AG1845" t="s">
        <v>48</v>
      </c>
      <c r="AH1845" t="s">
        <v>48</v>
      </c>
      <c r="AI1845" t="s">
        <v>48</v>
      </c>
      <c r="AJ1845" t="s">
        <v>48</v>
      </c>
      <c r="AK1845" t="s">
        <v>48</v>
      </c>
      <c r="AL1845" t="s">
        <v>48</v>
      </c>
      <c r="AM1845" t="s">
        <v>48</v>
      </c>
      <c r="AN1845" t="s">
        <v>48</v>
      </c>
      <c r="AO1845" t="s">
        <v>48</v>
      </c>
      <c r="AP1845" s="46">
        <v>0</v>
      </c>
      <c r="AQ1845" s="46">
        <v>0</v>
      </c>
      <c r="AR1845" s="46">
        <v>0</v>
      </c>
      <c r="AS1845" s="46">
        <v>0</v>
      </c>
      <c r="AT1845" s="46">
        <v>0</v>
      </c>
      <c r="AU1845" s="46">
        <v>0</v>
      </c>
      <c r="AV1845" s="46">
        <v>0</v>
      </c>
      <c r="AW1845" s="46">
        <v>0</v>
      </c>
      <c r="AX1845" s="46">
        <v>0</v>
      </c>
      <c r="AY1845" s="46">
        <v>0</v>
      </c>
      <c r="AZ1845" s="46">
        <v>0</v>
      </c>
      <c r="BA1845" s="46">
        <v>0</v>
      </c>
      <c r="BB1845" s="46">
        <v>0</v>
      </c>
      <c r="BC1845" s="46">
        <v>0</v>
      </c>
      <c r="BD1845" s="46">
        <v>0</v>
      </c>
      <c r="BE1845" s="46">
        <v>0</v>
      </c>
      <c r="BF1845" s="46">
        <v>0</v>
      </c>
      <c r="BG1845" s="46" t="s">
        <v>48</v>
      </c>
      <c r="BH1845" s="46">
        <v>0</v>
      </c>
      <c r="BI1845" s="46">
        <v>0</v>
      </c>
      <c r="BJ1845" s="46">
        <v>0</v>
      </c>
      <c r="BK1845" s="46">
        <v>0</v>
      </c>
      <c r="BL1845" s="46">
        <v>0</v>
      </c>
      <c r="BM1845" s="46">
        <v>0</v>
      </c>
      <c r="BN1845" s="46">
        <v>0</v>
      </c>
    </row>
    <row r="1846" spans="1:66" x14ac:dyDescent="0.35">
      <c r="A1846" t="s">
        <v>4031</v>
      </c>
      <c r="B1846" s="44" t="s">
        <v>48</v>
      </c>
      <c r="C1846" t="s">
        <v>4033</v>
      </c>
      <c r="D1846" t="s">
        <v>421</v>
      </c>
      <c r="E1846" t="s">
        <v>4032</v>
      </c>
      <c r="F1846" t="s">
        <v>146</v>
      </c>
      <c r="G1846" t="s">
        <v>47</v>
      </c>
      <c r="H1846">
        <v>0</v>
      </c>
      <c r="I1846" s="60" t="s">
        <v>716</v>
      </c>
      <c r="J1846" s="33" t="s">
        <v>45</v>
      </c>
      <c r="K1846" s="46">
        <v>0</v>
      </c>
      <c r="L1846">
        <v>21.4</v>
      </c>
      <c r="M1846" t="s">
        <v>48</v>
      </c>
      <c r="N1846" s="46">
        <v>0</v>
      </c>
      <c r="O1846" s="46">
        <v>0</v>
      </c>
      <c r="P1846" s="46">
        <v>0</v>
      </c>
      <c r="Q1846" t="s">
        <v>48</v>
      </c>
      <c r="R1846" t="s">
        <v>48</v>
      </c>
      <c r="S1846" t="s">
        <v>10254</v>
      </c>
      <c r="T1846" t="s">
        <v>48</v>
      </c>
      <c r="U1846" t="s">
        <v>10254</v>
      </c>
      <c r="V1846" s="47">
        <v>0</v>
      </c>
      <c r="W1846" t="s">
        <v>48</v>
      </c>
      <c r="X1846" t="s">
        <v>48</v>
      </c>
      <c r="Y1846" t="s">
        <v>48</v>
      </c>
      <c r="Z1846">
        <v>0</v>
      </c>
      <c r="AA1846" t="s">
        <v>48</v>
      </c>
      <c r="AB1846" t="s">
        <v>48</v>
      </c>
      <c r="AC1846" t="s">
        <v>49</v>
      </c>
      <c r="AD1846" t="s">
        <v>93</v>
      </c>
      <c r="AE1846" t="s">
        <v>4532</v>
      </c>
      <c r="AF1846" t="s">
        <v>48</v>
      </c>
      <c r="AG1846" t="s">
        <v>48</v>
      </c>
      <c r="AH1846" t="s">
        <v>48</v>
      </c>
      <c r="AI1846" t="s">
        <v>48</v>
      </c>
      <c r="AJ1846" t="s">
        <v>48</v>
      </c>
      <c r="AK1846" t="s">
        <v>48</v>
      </c>
      <c r="AL1846" t="s">
        <v>48</v>
      </c>
      <c r="AM1846" t="s">
        <v>48</v>
      </c>
      <c r="AN1846" t="s">
        <v>48</v>
      </c>
      <c r="AO1846" t="s">
        <v>48</v>
      </c>
      <c r="AP1846" s="46">
        <v>0</v>
      </c>
      <c r="AQ1846" s="46">
        <v>0</v>
      </c>
      <c r="AR1846" s="46">
        <v>0</v>
      </c>
      <c r="AS1846" s="46">
        <v>0</v>
      </c>
      <c r="AT1846" s="46">
        <v>0</v>
      </c>
      <c r="AU1846" s="46">
        <v>0</v>
      </c>
      <c r="AV1846" s="46">
        <v>0</v>
      </c>
      <c r="AW1846" s="46">
        <v>0</v>
      </c>
      <c r="AX1846" s="46">
        <v>0</v>
      </c>
      <c r="AY1846" s="46">
        <v>0</v>
      </c>
      <c r="AZ1846" s="46">
        <v>0</v>
      </c>
      <c r="BA1846" s="46">
        <v>0</v>
      </c>
      <c r="BB1846" s="46">
        <v>0</v>
      </c>
      <c r="BC1846" s="46">
        <v>0</v>
      </c>
      <c r="BD1846" s="46">
        <v>0</v>
      </c>
      <c r="BE1846" s="46">
        <v>0</v>
      </c>
      <c r="BF1846" s="46">
        <v>0</v>
      </c>
      <c r="BG1846" s="46" t="s">
        <v>48</v>
      </c>
      <c r="BH1846" s="46">
        <v>0</v>
      </c>
      <c r="BI1846" s="46">
        <v>0</v>
      </c>
      <c r="BJ1846" s="46">
        <v>0</v>
      </c>
      <c r="BK1846" s="46">
        <v>0</v>
      </c>
      <c r="BL1846" s="46">
        <v>0</v>
      </c>
      <c r="BM1846" s="46">
        <v>0</v>
      </c>
      <c r="BN1846" s="46">
        <v>0</v>
      </c>
    </row>
    <row r="1847" spans="1:66" x14ac:dyDescent="0.35">
      <c r="A1847" t="s">
        <v>4038</v>
      </c>
      <c r="B1847" s="44" t="s">
        <v>48</v>
      </c>
      <c r="C1847" t="s">
        <v>4041</v>
      </c>
      <c r="D1847" t="s">
        <v>522</v>
      </c>
      <c r="E1847" t="s">
        <v>4039</v>
      </c>
      <c r="F1847" t="s">
        <v>146</v>
      </c>
      <c r="G1847" t="s">
        <v>47</v>
      </c>
      <c r="H1847">
        <v>0</v>
      </c>
      <c r="I1847" s="60" t="s">
        <v>51</v>
      </c>
      <c r="J1847" s="33" t="s">
        <v>45</v>
      </c>
      <c r="K1847" s="46">
        <v>0</v>
      </c>
      <c r="L1847">
        <v>10.1</v>
      </c>
      <c r="M1847" t="s">
        <v>48</v>
      </c>
      <c r="N1847" s="46">
        <v>0</v>
      </c>
      <c r="O1847" s="46">
        <v>0</v>
      </c>
      <c r="P1847" s="46">
        <v>0</v>
      </c>
      <c r="Q1847" t="s">
        <v>48</v>
      </c>
      <c r="R1847" t="s">
        <v>48</v>
      </c>
      <c r="S1847" t="s">
        <v>4040</v>
      </c>
      <c r="T1847" t="s">
        <v>48</v>
      </c>
      <c r="U1847" t="s">
        <v>4040</v>
      </c>
      <c r="V1847" s="47">
        <v>0</v>
      </c>
      <c r="W1847" t="s">
        <v>48</v>
      </c>
      <c r="X1847" t="s">
        <v>48</v>
      </c>
      <c r="Y1847" t="s">
        <v>48</v>
      </c>
      <c r="Z1847">
        <v>0</v>
      </c>
      <c r="AA1847" t="s">
        <v>48</v>
      </c>
      <c r="AB1847" t="s">
        <v>48</v>
      </c>
      <c r="AC1847" t="s">
        <v>49</v>
      </c>
      <c r="AD1847" t="s">
        <v>93</v>
      </c>
      <c r="AE1847" t="s">
        <v>4532</v>
      </c>
      <c r="AF1847" t="s">
        <v>48</v>
      </c>
      <c r="AG1847" t="s">
        <v>48</v>
      </c>
      <c r="AH1847" t="s">
        <v>48</v>
      </c>
      <c r="AI1847" t="s">
        <v>48</v>
      </c>
      <c r="AJ1847" t="s">
        <v>48</v>
      </c>
      <c r="AK1847" t="s">
        <v>48</v>
      </c>
      <c r="AL1847" t="s">
        <v>48</v>
      </c>
      <c r="AM1847" t="s">
        <v>48</v>
      </c>
      <c r="AN1847" t="s">
        <v>48</v>
      </c>
      <c r="AO1847" t="s">
        <v>48</v>
      </c>
      <c r="AP1847" s="46">
        <v>0</v>
      </c>
      <c r="AQ1847" s="46">
        <v>0</v>
      </c>
      <c r="AR1847" s="46">
        <v>0</v>
      </c>
      <c r="AS1847" s="46">
        <v>0</v>
      </c>
      <c r="AT1847" s="46">
        <v>0</v>
      </c>
      <c r="AU1847" s="46">
        <v>0</v>
      </c>
      <c r="AV1847" s="46">
        <v>0</v>
      </c>
      <c r="AW1847" s="46">
        <v>0</v>
      </c>
      <c r="AX1847" s="46">
        <v>0</v>
      </c>
      <c r="AY1847" s="46">
        <v>0</v>
      </c>
      <c r="AZ1847" s="46">
        <v>0</v>
      </c>
      <c r="BA1847" s="46">
        <v>0</v>
      </c>
      <c r="BB1847" s="46">
        <v>0</v>
      </c>
      <c r="BC1847" s="46">
        <v>0</v>
      </c>
      <c r="BD1847" s="46">
        <v>0</v>
      </c>
      <c r="BE1847" s="46">
        <v>0</v>
      </c>
      <c r="BF1847" s="46">
        <v>0</v>
      </c>
      <c r="BG1847" s="46" t="s">
        <v>48</v>
      </c>
      <c r="BH1847" s="46">
        <v>0</v>
      </c>
      <c r="BI1847" s="46">
        <v>0</v>
      </c>
      <c r="BJ1847" s="46">
        <v>0</v>
      </c>
      <c r="BK1847" s="46">
        <v>0</v>
      </c>
      <c r="BL1847" s="46">
        <v>0</v>
      </c>
      <c r="BM1847" s="46">
        <v>0</v>
      </c>
      <c r="BN1847" s="46">
        <v>0</v>
      </c>
    </row>
    <row r="1848" spans="1:66" x14ac:dyDescent="0.35">
      <c r="A1848" t="s">
        <v>4045</v>
      </c>
      <c r="B1848" s="44" t="s">
        <v>48</v>
      </c>
      <c r="C1848" t="s">
        <v>4047</v>
      </c>
      <c r="D1848" t="s">
        <v>262</v>
      </c>
      <c r="E1848" t="s">
        <v>4046</v>
      </c>
      <c r="F1848" t="s">
        <v>146</v>
      </c>
      <c r="G1848" t="s">
        <v>47</v>
      </c>
      <c r="H1848">
        <v>0</v>
      </c>
      <c r="I1848" s="60" t="s">
        <v>78</v>
      </c>
      <c r="J1848" s="33" t="s">
        <v>45</v>
      </c>
      <c r="K1848" s="46">
        <v>0</v>
      </c>
      <c r="L1848">
        <v>9.1999999999999993</v>
      </c>
      <c r="M1848" t="s">
        <v>48</v>
      </c>
      <c r="N1848" s="46">
        <v>0</v>
      </c>
      <c r="O1848" s="46">
        <v>0</v>
      </c>
      <c r="P1848" s="46">
        <v>0</v>
      </c>
      <c r="Q1848" t="s">
        <v>48</v>
      </c>
      <c r="R1848" t="s">
        <v>48</v>
      </c>
      <c r="S1848" t="s">
        <v>10255</v>
      </c>
      <c r="T1848" t="s">
        <v>48</v>
      </c>
      <c r="U1848" t="s">
        <v>10255</v>
      </c>
      <c r="V1848" s="47">
        <v>1</v>
      </c>
      <c r="W1848" t="s">
        <v>48</v>
      </c>
      <c r="X1848" t="s">
        <v>48</v>
      </c>
      <c r="Y1848" t="s">
        <v>48</v>
      </c>
      <c r="Z1848">
        <v>0</v>
      </c>
      <c r="AA1848" t="s">
        <v>48</v>
      </c>
      <c r="AB1848" t="s">
        <v>48</v>
      </c>
      <c r="AC1848" t="s">
        <v>49</v>
      </c>
      <c r="AD1848" t="s">
        <v>93</v>
      </c>
      <c r="AE1848" t="s">
        <v>4532</v>
      </c>
      <c r="AF1848" t="s">
        <v>48</v>
      </c>
      <c r="AG1848" t="s">
        <v>48</v>
      </c>
      <c r="AH1848" t="s">
        <v>48</v>
      </c>
      <c r="AI1848" t="s">
        <v>48</v>
      </c>
      <c r="AJ1848" t="s">
        <v>48</v>
      </c>
      <c r="AK1848" t="s">
        <v>48</v>
      </c>
      <c r="AL1848" t="s">
        <v>48</v>
      </c>
      <c r="AM1848" t="s">
        <v>48</v>
      </c>
      <c r="AN1848" t="s">
        <v>48</v>
      </c>
      <c r="AO1848" t="s">
        <v>48</v>
      </c>
      <c r="AP1848" s="46">
        <v>0</v>
      </c>
      <c r="AQ1848" s="46">
        <v>0</v>
      </c>
      <c r="AR1848" s="46">
        <v>0</v>
      </c>
      <c r="AS1848" s="46">
        <v>0</v>
      </c>
      <c r="AT1848" s="46">
        <v>0</v>
      </c>
      <c r="AU1848" s="46">
        <v>0</v>
      </c>
      <c r="AV1848" s="46">
        <v>0</v>
      </c>
      <c r="AW1848" s="46">
        <v>0</v>
      </c>
      <c r="AX1848" s="46">
        <v>0</v>
      </c>
      <c r="AY1848" s="46">
        <v>0</v>
      </c>
      <c r="AZ1848" s="46">
        <v>0</v>
      </c>
      <c r="BA1848" s="46">
        <v>0</v>
      </c>
      <c r="BB1848" s="46">
        <v>0</v>
      </c>
      <c r="BC1848" s="46">
        <v>0</v>
      </c>
      <c r="BD1848" s="46">
        <v>0</v>
      </c>
      <c r="BE1848" s="46">
        <v>0</v>
      </c>
      <c r="BF1848" s="46">
        <v>0</v>
      </c>
      <c r="BG1848" s="46" t="s">
        <v>48</v>
      </c>
      <c r="BH1848" s="46">
        <v>0</v>
      </c>
      <c r="BI1848" s="46">
        <v>0</v>
      </c>
      <c r="BJ1848" s="46">
        <v>0</v>
      </c>
      <c r="BK1848" s="46">
        <v>0</v>
      </c>
      <c r="BL1848" s="46">
        <v>0</v>
      </c>
      <c r="BM1848" s="46">
        <v>0</v>
      </c>
      <c r="BN1848" s="46">
        <v>0</v>
      </c>
    </row>
    <row r="1849" spans="1:66" x14ac:dyDescent="0.35">
      <c r="A1849" t="s">
        <v>9942</v>
      </c>
      <c r="B1849" s="44" t="s">
        <v>48</v>
      </c>
      <c r="C1849" t="s">
        <v>341</v>
      </c>
      <c r="D1849" t="s">
        <v>2491</v>
      </c>
      <c r="E1849" t="s">
        <v>9943</v>
      </c>
      <c r="F1849" t="s">
        <v>4053</v>
      </c>
      <c r="G1849" t="s">
        <v>47</v>
      </c>
      <c r="H1849">
        <v>0</v>
      </c>
      <c r="I1849" s="61">
        <v>44782</v>
      </c>
      <c r="J1849" s="33" t="s">
        <v>45</v>
      </c>
      <c r="K1849" s="46">
        <v>0</v>
      </c>
      <c r="L1849">
        <v>14.7</v>
      </c>
      <c r="M1849" t="s">
        <v>48</v>
      </c>
      <c r="N1849" s="46">
        <v>0</v>
      </c>
      <c r="O1849" s="46">
        <v>0</v>
      </c>
      <c r="P1849" s="46">
        <v>0</v>
      </c>
      <c r="Q1849" t="s">
        <v>48</v>
      </c>
      <c r="R1849" t="s">
        <v>48</v>
      </c>
      <c r="S1849" s="43" t="s">
        <v>48</v>
      </c>
      <c r="T1849" s="43" t="s">
        <v>48</v>
      </c>
      <c r="U1849" s="43" t="s">
        <v>48</v>
      </c>
      <c r="V1849" s="47">
        <v>1</v>
      </c>
      <c r="W1849" t="s">
        <v>48</v>
      </c>
      <c r="X1849" t="s">
        <v>48</v>
      </c>
      <c r="Y1849" t="s">
        <v>48</v>
      </c>
      <c r="Z1849" t="s">
        <v>48</v>
      </c>
      <c r="AA1849" t="s">
        <v>48</v>
      </c>
      <c r="AB1849" t="s">
        <v>48</v>
      </c>
      <c r="AC1849" t="s">
        <v>49</v>
      </c>
      <c r="AD1849" t="s">
        <v>93</v>
      </c>
      <c r="AE1849" t="s">
        <v>4532</v>
      </c>
      <c r="AF1849" t="s">
        <v>48</v>
      </c>
      <c r="AG1849" t="s">
        <v>48</v>
      </c>
      <c r="AH1849" t="s">
        <v>48</v>
      </c>
      <c r="AI1849" t="s">
        <v>48</v>
      </c>
      <c r="AJ1849" t="s">
        <v>48</v>
      </c>
      <c r="AK1849" t="s">
        <v>48</v>
      </c>
      <c r="AL1849" t="s">
        <v>48</v>
      </c>
      <c r="AM1849" t="s">
        <v>48</v>
      </c>
      <c r="AN1849" t="s">
        <v>48</v>
      </c>
      <c r="AO1849" t="s">
        <v>48</v>
      </c>
      <c r="AP1849" s="46">
        <v>0</v>
      </c>
      <c r="AQ1849" s="46">
        <v>0</v>
      </c>
      <c r="AR1849" s="46">
        <v>0</v>
      </c>
      <c r="AS1849" s="46">
        <v>0</v>
      </c>
      <c r="AT1849" s="46">
        <v>0</v>
      </c>
      <c r="AU1849" s="46">
        <v>0</v>
      </c>
      <c r="AV1849" s="46">
        <v>0</v>
      </c>
      <c r="AW1849" s="46">
        <v>0</v>
      </c>
      <c r="AX1849" s="46">
        <v>0</v>
      </c>
      <c r="AY1849" s="46">
        <v>0</v>
      </c>
      <c r="AZ1849" s="46">
        <v>0</v>
      </c>
      <c r="BA1849" s="46">
        <v>0</v>
      </c>
      <c r="BB1849" s="46">
        <v>0</v>
      </c>
      <c r="BC1849" s="46">
        <v>0</v>
      </c>
      <c r="BD1849" s="46">
        <v>0</v>
      </c>
      <c r="BE1849" s="46">
        <v>0</v>
      </c>
      <c r="BF1849" s="46">
        <v>0</v>
      </c>
      <c r="BG1849" s="46" t="s">
        <v>48</v>
      </c>
      <c r="BH1849" s="46">
        <v>0</v>
      </c>
      <c r="BI1849" s="46">
        <v>0</v>
      </c>
      <c r="BJ1849" s="46">
        <v>0</v>
      </c>
      <c r="BK1849" s="46">
        <v>0</v>
      </c>
      <c r="BL1849" s="46">
        <v>0</v>
      </c>
      <c r="BM1849" s="46">
        <v>0</v>
      </c>
      <c r="BN1849" s="46">
        <v>0</v>
      </c>
    </row>
    <row r="1850" spans="1:66" x14ac:dyDescent="0.35">
      <c r="A1850" t="s">
        <v>9940</v>
      </c>
      <c r="B1850" s="44" t="s">
        <v>48</v>
      </c>
      <c r="C1850" t="s">
        <v>12049</v>
      </c>
      <c r="D1850" t="s">
        <v>372</v>
      </c>
      <c r="E1850" t="s">
        <v>9941</v>
      </c>
      <c r="F1850" t="s">
        <v>4053</v>
      </c>
      <c r="G1850" t="s">
        <v>47</v>
      </c>
      <c r="H1850">
        <v>0</v>
      </c>
      <c r="I1850" s="61">
        <v>44782</v>
      </c>
      <c r="J1850" s="33" t="s">
        <v>45</v>
      </c>
      <c r="K1850" s="46">
        <v>0</v>
      </c>
      <c r="L1850">
        <v>33.5</v>
      </c>
      <c r="M1850" t="s">
        <v>48</v>
      </c>
      <c r="N1850" s="46">
        <v>0</v>
      </c>
      <c r="O1850" s="46">
        <v>0</v>
      </c>
      <c r="P1850" s="46">
        <v>0</v>
      </c>
      <c r="Q1850" t="s">
        <v>48</v>
      </c>
      <c r="R1850" t="s">
        <v>48</v>
      </c>
      <c r="S1850" s="43" t="s">
        <v>48</v>
      </c>
      <c r="T1850" s="43" t="s">
        <v>48</v>
      </c>
      <c r="U1850" s="43" t="s">
        <v>48</v>
      </c>
      <c r="V1850" s="47">
        <v>1</v>
      </c>
      <c r="W1850" t="s">
        <v>11264</v>
      </c>
      <c r="X1850" t="s">
        <v>48</v>
      </c>
      <c r="Y1850" t="s">
        <v>48</v>
      </c>
      <c r="Z1850" t="s">
        <v>48</v>
      </c>
      <c r="AA1850" t="s">
        <v>48</v>
      </c>
      <c r="AB1850" t="s">
        <v>48</v>
      </c>
      <c r="AC1850" t="s">
        <v>49</v>
      </c>
      <c r="AD1850" t="s">
        <v>93</v>
      </c>
      <c r="AE1850" t="s">
        <v>4532</v>
      </c>
      <c r="AF1850" t="s">
        <v>48</v>
      </c>
      <c r="AG1850" t="s">
        <v>48</v>
      </c>
      <c r="AH1850" t="s">
        <v>48</v>
      </c>
      <c r="AI1850" t="s">
        <v>48</v>
      </c>
      <c r="AJ1850" t="s">
        <v>48</v>
      </c>
      <c r="AK1850" t="s">
        <v>48</v>
      </c>
      <c r="AL1850" t="s">
        <v>48</v>
      </c>
      <c r="AM1850" t="s">
        <v>48</v>
      </c>
      <c r="AN1850" t="s">
        <v>48</v>
      </c>
      <c r="AO1850" t="s">
        <v>48</v>
      </c>
      <c r="AP1850" s="46">
        <v>0</v>
      </c>
      <c r="AQ1850" s="46">
        <v>0</v>
      </c>
      <c r="AR1850" s="46">
        <v>0</v>
      </c>
      <c r="AS1850" s="46">
        <v>0</v>
      </c>
      <c r="AT1850" s="46">
        <v>0</v>
      </c>
      <c r="AU1850" s="46">
        <v>0</v>
      </c>
      <c r="AV1850" s="46">
        <v>0</v>
      </c>
      <c r="AW1850" s="46">
        <v>0</v>
      </c>
      <c r="AX1850" s="46">
        <v>0</v>
      </c>
      <c r="AY1850" s="46">
        <v>0</v>
      </c>
      <c r="AZ1850" s="46">
        <v>0</v>
      </c>
      <c r="BA1850" s="46">
        <v>0</v>
      </c>
      <c r="BB1850" s="46">
        <v>0</v>
      </c>
      <c r="BC1850" s="46">
        <v>0</v>
      </c>
      <c r="BD1850" s="46">
        <v>0</v>
      </c>
      <c r="BE1850" s="46">
        <v>0</v>
      </c>
      <c r="BF1850" s="46">
        <v>0</v>
      </c>
      <c r="BG1850" s="46" t="s">
        <v>48</v>
      </c>
      <c r="BH1850" s="46">
        <v>0</v>
      </c>
      <c r="BI1850" s="46">
        <v>0</v>
      </c>
      <c r="BJ1850" s="46">
        <v>0</v>
      </c>
      <c r="BK1850" s="46">
        <v>0</v>
      </c>
      <c r="BL1850" s="46">
        <v>0</v>
      </c>
      <c r="BM1850" s="46">
        <v>0</v>
      </c>
      <c r="BN1850" s="46">
        <v>0</v>
      </c>
    </row>
    <row r="1851" spans="1:66" x14ac:dyDescent="0.35">
      <c r="A1851" t="s">
        <v>9859</v>
      </c>
      <c r="B1851" s="44" t="s">
        <v>48</v>
      </c>
      <c r="C1851" t="s">
        <v>2176</v>
      </c>
      <c r="D1851" t="s">
        <v>12050</v>
      </c>
      <c r="E1851" t="s">
        <v>9860</v>
      </c>
      <c r="F1851" t="s">
        <v>4053</v>
      </c>
      <c r="G1851" t="s">
        <v>74</v>
      </c>
      <c r="H1851">
        <v>0</v>
      </c>
      <c r="I1851" s="61">
        <v>44782</v>
      </c>
      <c r="J1851" s="33" t="s">
        <v>45</v>
      </c>
      <c r="K1851" s="46">
        <v>0</v>
      </c>
      <c r="L1851">
        <v>14.4</v>
      </c>
      <c r="M1851" t="s">
        <v>48</v>
      </c>
      <c r="N1851" s="46">
        <v>0</v>
      </c>
      <c r="O1851" s="46">
        <v>0</v>
      </c>
      <c r="P1851" s="46">
        <v>0</v>
      </c>
      <c r="Q1851" t="s">
        <v>48</v>
      </c>
      <c r="R1851" t="s">
        <v>48</v>
      </c>
      <c r="S1851" s="43" t="s">
        <v>48</v>
      </c>
      <c r="T1851" s="43" t="s">
        <v>48</v>
      </c>
      <c r="U1851" s="43" t="s">
        <v>48</v>
      </c>
      <c r="V1851" s="47">
        <v>1</v>
      </c>
      <c r="W1851" t="s">
        <v>48</v>
      </c>
      <c r="X1851" t="s">
        <v>48</v>
      </c>
      <c r="Y1851" t="s">
        <v>48</v>
      </c>
      <c r="Z1851" t="s">
        <v>48</v>
      </c>
      <c r="AA1851" t="s">
        <v>48</v>
      </c>
      <c r="AB1851" t="s">
        <v>48</v>
      </c>
      <c r="AC1851" t="s">
        <v>63</v>
      </c>
      <c r="AD1851" t="s">
        <v>951</v>
      </c>
      <c r="AE1851" t="s">
        <v>11051</v>
      </c>
      <c r="AF1851" t="s">
        <v>48</v>
      </c>
      <c r="AG1851" t="s">
        <v>48</v>
      </c>
      <c r="AH1851" t="s">
        <v>48</v>
      </c>
      <c r="AI1851" t="s">
        <v>48</v>
      </c>
      <c r="AJ1851" t="s">
        <v>48</v>
      </c>
      <c r="AK1851" t="s">
        <v>48</v>
      </c>
      <c r="AL1851" t="s">
        <v>48</v>
      </c>
      <c r="AM1851" t="s">
        <v>48</v>
      </c>
      <c r="AN1851" t="s">
        <v>48</v>
      </c>
      <c r="AO1851" t="s">
        <v>48</v>
      </c>
      <c r="AP1851" s="46">
        <v>0</v>
      </c>
      <c r="AQ1851" s="46">
        <v>0</v>
      </c>
      <c r="AR1851" s="46">
        <v>0</v>
      </c>
      <c r="AS1851" s="46">
        <v>0</v>
      </c>
      <c r="AT1851" s="46">
        <v>0</v>
      </c>
      <c r="AU1851" s="46">
        <v>0</v>
      </c>
      <c r="AV1851" s="46">
        <v>0</v>
      </c>
      <c r="AW1851" s="46">
        <v>0</v>
      </c>
      <c r="AX1851" s="46">
        <v>0</v>
      </c>
      <c r="AY1851" s="46">
        <v>0</v>
      </c>
      <c r="AZ1851" s="46">
        <v>0</v>
      </c>
      <c r="BA1851" s="46">
        <v>0</v>
      </c>
      <c r="BB1851" s="46">
        <v>0</v>
      </c>
      <c r="BC1851" s="46">
        <v>0</v>
      </c>
      <c r="BD1851" s="46">
        <v>0</v>
      </c>
      <c r="BE1851" s="46">
        <v>0</v>
      </c>
      <c r="BF1851" s="46">
        <v>0</v>
      </c>
      <c r="BG1851" s="46" t="s">
        <v>48</v>
      </c>
      <c r="BH1851" s="46">
        <v>0</v>
      </c>
      <c r="BI1851" s="46">
        <v>0</v>
      </c>
      <c r="BJ1851" s="46">
        <v>0</v>
      </c>
      <c r="BK1851" s="46">
        <v>0</v>
      </c>
      <c r="BL1851" s="46">
        <v>0</v>
      </c>
      <c r="BM1851" s="46">
        <v>0</v>
      </c>
      <c r="BN1851" s="46">
        <v>0</v>
      </c>
    </row>
    <row r="1852" spans="1:66" x14ac:dyDescent="0.35">
      <c r="A1852" t="s">
        <v>9946</v>
      </c>
      <c r="B1852" s="44" t="s">
        <v>48</v>
      </c>
      <c r="C1852" t="s">
        <v>12054</v>
      </c>
      <c r="D1852" t="s">
        <v>771</v>
      </c>
      <c r="E1852" t="s">
        <v>9947</v>
      </c>
      <c r="F1852" t="s">
        <v>4060</v>
      </c>
      <c r="G1852" t="s">
        <v>47</v>
      </c>
      <c r="H1852">
        <v>0</v>
      </c>
      <c r="I1852" s="61">
        <v>44782</v>
      </c>
      <c r="J1852" s="33" t="s">
        <v>45</v>
      </c>
      <c r="K1852" s="46">
        <v>0</v>
      </c>
      <c r="L1852">
        <v>8</v>
      </c>
      <c r="M1852" t="s">
        <v>48</v>
      </c>
      <c r="N1852" s="46">
        <v>0</v>
      </c>
      <c r="O1852" s="46">
        <v>0</v>
      </c>
      <c r="P1852" s="46">
        <v>0</v>
      </c>
      <c r="Q1852" t="s">
        <v>48</v>
      </c>
      <c r="R1852" t="s">
        <v>48</v>
      </c>
      <c r="S1852" s="43" t="s">
        <v>48</v>
      </c>
      <c r="T1852" s="43" t="s">
        <v>48</v>
      </c>
      <c r="U1852" s="43" t="s">
        <v>48</v>
      </c>
      <c r="V1852" s="47">
        <v>0</v>
      </c>
      <c r="W1852" t="s">
        <v>48</v>
      </c>
      <c r="X1852" t="s">
        <v>48</v>
      </c>
      <c r="Y1852" t="s">
        <v>48</v>
      </c>
      <c r="Z1852" t="s">
        <v>48</v>
      </c>
      <c r="AA1852" t="s">
        <v>48</v>
      </c>
      <c r="AB1852" t="s">
        <v>48</v>
      </c>
      <c r="AC1852" t="s">
        <v>49</v>
      </c>
      <c r="AD1852" t="s">
        <v>93</v>
      </c>
      <c r="AE1852" t="s">
        <v>4532</v>
      </c>
      <c r="AF1852" t="s">
        <v>48</v>
      </c>
      <c r="AG1852" t="s">
        <v>48</v>
      </c>
      <c r="AH1852" t="s">
        <v>48</v>
      </c>
      <c r="AI1852" t="s">
        <v>48</v>
      </c>
      <c r="AJ1852" t="s">
        <v>48</v>
      </c>
      <c r="AK1852" t="s">
        <v>48</v>
      </c>
      <c r="AL1852" t="s">
        <v>48</v>
      </c>
      <c r="AM1852" t="s">
        <v>48</v>
      </c>
      <c r="AN1852" t="s">
        <v>48</v>
      </c>
      <c r="AO1852" t="s">
        <v>48</v>
      </c>
      <c r="AP1852" s="46">
        <v>0</v>
      </c>
      <c r="AQ1852" s="46">
        <v>0</v>
      </c>
      <c r="AR1852" s="46">
        <v>0</v>
      </c>
      <c r="AS1852" s="46">
        <v>0</v>
      </c>
      <c r="AT1852" s="46">
        <v>0</v>
      </c>
      <c r="AU1852" s="46">
        <v>0</v>
      </c>
      <c r="AV1852" s="46">
        <v>0</v>
      </c>
      <c r="AW1852" s="46">
        <v>0</v>
      </c>
      <c r="AX1852" s="46">
        <v>0</v>
      </c>
      <c r="AY1852" s="46">
        <v>0</v>
      </c>
      <c r="AZ1852" s="46">
        <v>0</v>
      </c>
      <c r="BA1852" s="46">
        <v>0</v>
      </c>
      <c r="BB1852" s="46">
        <v>0</v>
      </c>
      <c r="BC1852" s="46">
        <v>0</v>
      </c>
      <c r="BD1852" s="46">
        <v>0</v>
      </c>
      <c r="BE1852" s="46">
        <v>0</v>
      </c>
      <c r="BF1852" s="46">
        <v>0</v>
      </c>
      <c r="BG1852" s="46" t="s">
        <v>48</v>
      </c>
      <c r="BH1852" s="46">
        <v>0</v>
      </c>
      <c r="BI1852" s="46">
        <v>0</v>
      </c>
      <c r="BJ1852" s="46">
        <v>0</v>
      </c>
      <c r="BK1852" s="46">
        <v>0</v>
      </c>
      <c r="BL1852" s="46">
        <v>0</v>
      </c>
      <c r="BM1852" s="46">
        <v>0</v>
      </c>
      <c r="BN1852" s="46">
        <v>0</v>
      </c>
    </row>
    <row r="1853" spans="1:66" x14ac:dyDescent="0.35">
      <c r="A1853" t="s">
        <v>4071</v>
      </c>
      <c r="B1853" s="44" t="s">
        <v>48</v>
      </c>
      <c r="C1853" t="s">
        <v>1440</v>
      </c>
      <c r="D1853" t="s">
        <v>1528</v>
      </c>
      <c r="E1853" t="s">
        <v>4072</v>
      </c>
      <c r="F1853" t="s">
        <v>4060</v>
      </c>
      <c r="G1853" t="s">
        <v>74</v>
      </c>
      <c r="H1853">
        <v>0</v>
      </c>
      <c r="I1853" s="60" t="s">
        <v>881</v>
      </c>
      <c r="J1853" s="33" t="s">
        <v>45</v>
      </c>
      <c r="K1853" s="46">
        <v>0</v>
      </c>
      <c r="L1853">
        <v>33.4</v>
      </c>
      <c r="M1853" t="s">
        <v>48</v>
      </c>
      <c r="N1853" s="46">
        <v>0</v>
      </c>
      <c r="O1853" s="46">
        <v>0</v>
      </c>
      <c r="P1853" s="46">
        <v>0</v>
      </c>
      <c r="Q1853" t="s">
        <v>48</v>
      </c>
      <c r="R1853" t="s">
        <v>48</v>
      </c>
      <c r="S1853" t="s">
        <v>4073</v>
      </c>
      <c r="T1853" t="s">
        <v>48</v>
      </c>
      <c r="U1853" t="s">
        <v>4073</v>
      </c>
      <c r="V1853" s="47">
        <v>1</v>
      </c>
      <c r="W1853" t="s">
        <v>48</v>
      </c>
      <c r="X1853" t="s">
        <v>48</v>
      </c>
      <c r="Y1853" t="s">
        <v>48</v>
      </c>
      <c r="Z1853">
        <v>0</v>
      </c>
      <c r="AA1853" t="s">
        <v>48</v>
      </c>
      <c r="AB1853" t="s">
        <v>48</v>
      </c>
      <c r="AC1853" t="s">
        <v>49</v>
      </c>
      <c r="AD1853" t="s">
        <v>93</v>
      </c>
      <c r="AE1853" t="s">
        <v>4532</v>
      </c>
      <c r="AF1853" t="s">
        <v>48</v>
      </c>
      <c r="AG1853" t="s">
        <v>48</v>
      </c>
      <c r="AH1853" t="s">
        <v>48</v>
      </c>
      <c r="AI1853" t="s">
        <v>48</v>
      </c>
      <c r="AJ1853" t="s">
        <v>48</v>
      </c>
      <c r="AK1853" t="s">
        <v>48</v>
      </c>
      <c r="AL1853" t="s">
        <v>48</v>
      </c>
      <c r="AM1853" t="s">
        <v>48</v>
      </c>
      <c r="AN1853" t="s">
        <v>48</v>
      </c>
      <c r="AO1853" t="s">
        <v>48</v>
      </c>
      <c r="AP1853" s="46">
        <v>0</v>
      </c>
      <c r="AQ1853" s="46">
        <v>0</v>
      </c>
      <c r="AR1853" s="46">
        <v>0</v>
      </c>
      <c r="AS1853" s="46">
        <v>0</v>
      </c>
      <c r="AT1853" s="46">
        <v>0</v>
      </c>
      <c r="AU1853" s="46">
        <v>0</v>
      </c>
      <c r="AV1853" s="46">
        <v>0</v>
      </c>
      <c r="AW1853" s="46">
        <v>0</v>
      </c>
      <c r="AX1853" s="46">
        <v>0</v>
      </c>
      <c r="AY1853" s="46">
        <v>0</v>
      </c>
      <c r="AZ1853" s="46">
        <v>0</v>
      </c>
      <c r="BA1853" s="46">
        <v>0</v>
      </c>
      <c r="BB1853" s="46">
        <v>0</v>
      </c>
      <c r="BC1853" s="46">
        <v>0</v>
      </c>
      <c r="BD1853" s="46">
        <v>0</v>
      </c>
      <c r="BE1853" s="46">
        <v>0</v>
      </c>
      <c r="BF1853" s="46">
        <v>0</v>
      </c>
      <c r="BG1853" s="46" t="s">
        <v>48</v>
      </c>
      <c r="BH1853" s="46">
        <v>0</v>
      </c>
      <c r="BI1853" s="46">
        <v>0</v>
      </c>
      <c r="BJ1853" s="46">
        <v>0</v>
      </c>
      <c r="BK1853" s="46">
        <v>0</v>
      </c>
      <c r="BL1853" s="46">
        <v>0</v>
      </c>
      <c r="BM1853" s="46">
        <v>0</v>
      </c>
      <c r="BN1853" s="46">
        <v>0</v>
      </c>
    </row>
    <row r="1854" spans="1:66" x14ac:dyDescent="0.35">
      <c r="A1854" t="s">
        <v>9944</v>
      </c>
      <c r="B1854" s="44" t="s">
        <v>48</v>
      </c>
      <c r="C1854" t="s">
        <v>1652</v>
      </c>
      <c r="D1854" t="s">
        <v>237</v>
      </c>
      <c r="E1854" t="s">
        <v>9945</v>
      </c>
      <c r="F1854" t="s">
        <v>4060</v>
      </c>
      <c r="G1854" t="s">
        <v>47</v>
      </c>
      <c r="H1854">
        <v>0</v>
      </c>
      <c r="I1854" s="61">
        <v>44782</v>
      </c>
      <c r="J1854" s="33" t="s">
        <v>45</v>
      </c>
      <c r="K1854" s="46">
        <v>0</v>
      </c>
      <c r="L1854">
        <v>8.4</v>
      </c>
      <c r="M1854" t="s">
        <v>48</v>
      </c>
      <c r="N1854" s="46">
        <v>0</v>
      </c>
      <c r="O1854" s="46">
        <v>0</v>
      </c>
      <c r="P1854" s="46">
        <v>0</v>
      </c>
      <c r="Q1854" t="s">
        <v>48</v>
      </c>
      <c r="R1854" t="s">
        <v>48</v>
      </c>
      <c r="S1854" s="43" t="s">
        <v>48</v>
      </c>
      <c r="T1854" s="43" t="s">
        <v>48</v>
      </c>
      <c r="U1854" s="43" t="s">
        <v>48</v>
      </c>
      <c r="V1854" s="47">
        <v>0</v>
      </c>
      <c r="W1854" t="s">
        <v>48</v>
      </c>
      <c r="X1854" t="s">
        <v>48</v>
      </c>
      <c r="Y1854" t="s">
        <v>48</v>
      </c>
      <c r="Z1854" t="s">
        <v>48</v>
      </c>
      <c r="AA1854" t="s">
        <v>48</v>
      </c>
      <c r="AB1854" t="s">
        <v>48</v>
      </c>
      <c r="AC1854" t="s">
        <v>49</v>
      </c>
      <c r="AD1854" t="s">
        <v>93</v>
      </c>
      <c r="AE1854" t="s">
        <v>4532</v>
      </c>
      <c r="AF1854" t="s">
        <v>48</v>
      </c>
      <c r="AG1854" t="s">
        <v>48</v>
      </c>
      <c r="AH1854" t="s">
        <v>48</v>
      </c>
      <c r="AI1854" t="s">
        <v>48</v>
      </c>
      <c r="AJ1854" t="s">
        <v>48</v>
      </c>
      <c r="AK1854" t="s">
        <v>48</v>
      </c>
      <c r="AL1854" t="s">
        <v>48</v>
      </c>
      <c r="AM1854" t="s">
        <v>48</v>
      </c>
      <c r="AN1854" t="s">
        <v>48</v>
      </c>
      <c r="AO1854" t="s">
        <v>48</v>
      </c>
      <c r="AP1854" s="46">
        <v>0</v>
      </c>
      <c r="AQ1854" s="46">
        <v>0</v>
      </c>
      <c r="AR1854" s="46">
        <v>0</v>
      </c>
      <c r="AS1854" s="46">
        <v>0</v>
      </c>
      <c r="AT1854" s="46">
        <v>0</v>
      </c>
      <c r="AU1854" s="46">
        <v>0</v>
      </c>
      <c r="AV1854" s="46">
        <v>0</v>
      </c>
      <c r="AW1854" s="46">
        <v>0</v>
      </c>
      <c r="AX1854" s="46">
        <v>0</v>
      </c>
      <c r="AY1854" s="46">
        <v>0</v>
      </c>
      <c r="AZ1854" s="46">
        <v>0</v>
      </c>
      <c r="BA1854" s="46">
        <v>0</v>
      </c>
      <c r="BB1854" s="46">
        <v>0</v>
      </c>
      <c r="BC1854" s="46">
        <v>0</v>
      </c>
      <c r="BD1854" s="46">
        <v>0</v>
      </c>
      <c r="BE1854" s="46">
        <v>0</v>
      </c>
      <c r="BF1854" s="46">
        <v>0</v>
      </c>
      <c r="BG1854" s="46" t="s">
        <v>48</v>
      </c>
      <c r="BH1854" s="46">
        <v>0</v>
      </c>
      <c r="BI1854" s="46">
        <v>0</v>
      </c>
      <c r="BJ1854" s="46">
        <v>0</v>
      </c>
      <c r="BK1854" s="46">
        <v>0</v>
      </c>
      <c r="BL1854" s="46">
        <v>0</v>
      </c>
      <c r="BM1854" s="46">
        <v>0</v>
      </c>
      <c r="BN1854" s="46">
        <v>0</v>
      </c>
    </row>
    <row r="1855" spans="1:66" x14ac:dyDescent="0.35">
      <c r="A1855" t="s">
        <v>4066</v>
      </c>
      <c r="B1855" s="44" t="s">
        <v>48</v>
      </c>
      <c r="C1855" t="s">
        <v>4070</v>
      </c>
      <c r="D1855" t="s">
        <v>4069</v>
      </c>
      <c r="E1855" t="s">
        <v>4067</v>
      </c>
      <c r="F1855" t="s">
        <v>4060</v>
      </c>
      <c r="G1855" t="s">
        <v>47</v>
      </c>
      <c r="H1855">
        <v>0</v>
      </c>
      <c r="I1855" s="60" t="s">
        <v>149</v>
      </c>
      <c r="J1855" s="33" t="s">
        <v>45</v>
      </c>
      <c r="K1855" s="46">
        <v>0</v>
      </c>
      <c r="L1855">
        <v>6.4</v>
      </c>
      <c r="M1855" t="s">
        <v>48</v>
      </c>
      <c r="N1855" s="46">
        <v>0</v>
      </c>
      <c r="O1855" s="46">
        <v>0</v>
      </c>
      <c r="P1855" s="46">
        <v>0</v>
      </c>
      <c r="Q1855" t="s">
        <v>48</v>
      </c>
      <c r="R1855" t="s">
        <v>48</v>
      </c>
      <c r="S1855" t="s">
        <v>4068</v>
      </c>
      <c r="T1855" t="s">
        <v>48</v>
      </c>
      <c r="U1855" t="s">
        <v>4068</v>
      </c>
      <c r="V1855" s="47">
        <v>0</v>
      </c>
      <c r="W1855" t="s">
        <v>48</v>
      </c>
      <c r="X1855" t="s">
        <v>48</v>
      </c>
      <c r="Y1855" t="s">
        <v>48</v>
      </c>
      <c r="Z1855">
        <v>0</v>
      </c>
      <c r="AA1855" t="s">
        <v>48</v>
      </c>
      <c r="AB1855" t="s">
        <v>48</v>
      </c>
      <c r="AC1855" t="s">
        <v>49</v>
      </c>
      <c r="AD1855" t="s">
        <v>93</v>
      </c>
      <c r="AE1855" t="s">
        <v>4532</v>
      </c>
      <c r="AF1855" t="s">
        <v>48</v>
      </c>
      <c r="AG1855" t="s">
        <v>48</v>
      </c>
      <c r="AH1855" t="s">
        <v>48</v>
      </c>
      <c r="AI1855" t="s">
        <v>48</v>
      </c>
      <c r="AJ1855" t="s">
        <v>48</v>
      </c>
      <c r="AK1855" t="s">
        <v>48</v>
      </c>
      <c r="AL1855" t="s">
        <v>48</v>
      </c>
      <c r="AM1855" t="s">
        <v>48</v>
      </c>
      <c r="AN1855" t="s">
        <v>48</v>
      </c>
      <c r="AO1855" t="s">
        <v>48</v>
      </c>
      <c r="AP1855" s="46">
        <v>0</v>
      </c>
      <c r="AQ1855" s="46">
        <v>0</v>
      </c>
      <c r="AR1855" s="46">
        <v>0</v>
      </c>
      <c r="AS1855" s="46">
        <v>0</v>
      </c>
      <c r="AT1855" s="46">
        <v>0</v>
      </c>
      <c r="AU1855" s="46">
        <v>0</v>
      </c>
      <c r="AV1855" s="46">
        <v>0</v>
      </c>
      <c r="AW1855" s="46">
        <v>0</v>
      </c>
      <c r="AX1855" s="46">
        <v>0</v>
      </c>
      <c r="AY1855" s="46">
        <v>0</v>
      </c>
      <c r="AZ1855" s="46">
        <v>0</v>
      </c>
      <c r="BA1855" s="46">
        <v>0</v>
      </c>
      <c r="BB1855" s="46">
        <v>0</v>
      </c>
      <c r="BC1855" s="46">
        <v>0</v>
      </c>
      <c r="BD1855" s="46">
        <v>0</v>
      </c>
      <c r="BE1855" s="46">
        <v>0</v>
      </c>
      <c r="BF1855" s="46">
        <v>0</v>
      </c>
      <c r="BG1855" s="46" t="s">
        <v>48</v>
      </c>
      <c r="BH1855" s="46">
        <v>0</v>
      </c>
      <c r="BI1855" s="46">
        <v>0</v>
      </c>
      <c r="BJ1855" s="46">
        <v>0</v>
      </c>
      <c r="BK1855" s="46">
        <v>0</v>
      </c>
      <c r="BL1855" s="46">
        <v>0</v>
      </c>
      <c r="BM1855" s="46">
        <v>0</v>
      </c>
      <c r="BN1855" s="46">
        <v>0</v>
      </c>
    </row>
    <row r="1856" spans="1:66" x14ac:dyDescent="0.35">
      <c r="A1856" t="s">
        <v>9948</v>
      </c>
      <c r="B1856" s="44" t="s">
        <v>48</v>
      </c>
      <c r="C1856" t="s">
        <v>12053</v>
      </c>
      <c r="D1856" t="s">
        <v>221</v>
      </c>
      <c r="E1856" t="s">
        <v>10406</v>
      </c>
      <c r="F1856" t="s">
        <v>4060</v>
      </c>
      <c r="G1856" t="s">
        <v>47</v>
      </c>
      <c r="H1856">
        <v>0</v>
      </c>
      <c r="I1856" s="61">
        <v>44782</v>
      </c>
      <c r="J1856" s="33" t="s">
        <v>45</v>
      </c>
      <c r="K1856" s="46">
        <v>0</v>
      </c>
      <c r="L1856">
        <v>2.4</v>
      </c>
      <c r="M1856" t="s">
        <v>48</v>
      </c>
      <c r="N1856" s="46">
        <v>0</v>
      </c>
      <c r="O1856" s="46">
        <v>0</v>
      </c>
      <c r="P1856" s="46">
        <v>0</v>
      </c>
      <c r="Q1856" t="s">
        <v>48</v>
      </c>
      <c r="R1856" t="s">
        <v>48</v>
      </c>
      <c r="S1856" s="43" t="s">
        <v>10257</v>
      </c>
      <c r="T1856" s="43" t="s">
        <v>48</v>
      </c>
      <c r="U1856" s="43" t="s">
        <v>10257</v>
      </c>
      <c r="V1856" s="47">
        <v>1</v>
      </c>
      <c r="W1856" t="s">
        <v>48</v>
      </c>
      <c r="X1856" t="s">
        <v>48</v>
      </c>
      <c r="Y1856" t="s">
        <v>48</v>
      </c>
      <c r="Z1856" t="s">
        <v>48</v>
      </c>
      <c r="AA1856" t="s">
        <v>48</v>
      </c>
      <c r="AB1856" t="s">
        <v>48</v>
      </c>
      <c r="AC1856" t="s">
        <v>49</v>
      </c>
      <c r="AD1856" t="s">
        <v>93</v>
      </c>
      <c r="AE1856" t="s">
        <v>4532</v>
      </c>
      <c r="AF1856" t="s">
        <v>48</v>
      </c>
      <c r="AG1856" t="s">
        <v>48</v>
      </c>
      <c r="AH1856" t="s">
        <v>48</v>
      </c>
      <c r="AI1856" t="s">
        <v>48</v>
      </c>
      <c r="AJ1856" t="s">
        <v>48</v>
      </c>
      <c r="AK1856" t="s">
        <v>48</v>
      </c>
      <c r="AL1856" t="s">
        <v>48</v>
      </c>
      <c r="AM1856" t="s">
        <v>48</v>
      </c>
      <c r="AN1856" t="s">
        <v>48</v>
      </c>
      <c r="AO1856" t="s">
        <v>48</v>
      </c>
      <c r="AP1856" s="46">
        <v>0</v>
      </c>
      <c r="AQ1856" s="46">
        <v>0</v>
      </c>
      <c r="AR1856" s="46">
        <v>0</v>
      </c>
      <c r="AS1856" s="46">
        <v>0</v>
      </c>
      <c r="AT1856" s="46">
        <v>0</v>
      </c>
      <c r="AU1856" s="46">
        <v>0</v>
      </c>
      <c r="AV1856" s="46">
        <v>0</v>
      </c>
      <c r="AW1856" s="46">
        <v>0</v>
      </c>
      <c r="AX1856" s="46">
        <v>0</v>
      </c>
      <c r="AY1856" s="46">
        <v>0</v>
      </c>
      <c r="AZ1856" s="46">
        <v>0</v>
      </c>
      <c r="BA1856" s="46">
        <v>0</v>
      </c>
      <c r="BB1856" s="46">
        <v>0</v>
      </c>
      <c r="BC1856" s="46">
        <v>0</v>
      </c>
      <c r="BD1856" s="46">
        <v>0</v>
      </c>
      <c r="BE1856" s="46">
        <v>0</v>
      </c>
      <c r="BF1856" s="46">
        <v>0</v>
      </c>
      <c r="BG1856" s="46" t="s">
        <v>48</v>
      </c>
      <c r="BH1856" s="46">
        <v>0</v>
      </c>
      <c r="BI1856" s="46">
        <v>0</v>
      </c>
      <c r="BJ1856" s="46">
        <v>0</v>
      </c>
      <c r="BK1856" s="46">
        <v>0</v>
      </c>
      <c r="BL1856" s="46">
        <v>0</v>
      </c>
      <c r="BM1856" s="46">
        <v>0</v>
      </c>
      <c r="BN1856" s="46">
        <v>0</v>
      </c>
    </row>
    <row r="1857" spans="1:66" x14ac:dyDescent="0.35">
      <c r="A1857" t="s">
        <v>9861</v>
      </c>
      <c r="B1857" s="44" t="s">
        <v>48</v>
      </c>
      <c r="C1857" t="s">
        <v>3013</v>
      </c>
      <c r="D1857" t="s">
        <v>396</v>
      </c>
      <c r="E1857" t="s">
        <v>9862</v>
      </c>
      <c r="F1857" t="s">
        <v>4060</v>
      </c>
      <c r="G1857" t="s">
        <v>74</v>
      </c>
      <c r="H1857">
        <v>0</v>
      </c>
      <c r="I1857" s="61">
        <v>44782</v>
      </c>
      <c r="J1857" s="33" t="s">
        <v>45</v>
      </c>
      <c r="K1857" s="46">
        <v>0</v>
      </c>
      <c r="L1857">
        <v>20.399999999999999</v>
      </c>
      <c r="M1857" t="s">
        <v>48</v>
      </c>
      <c r="N1857" s="46">
        <v>0</v>
      </c>
      <c r="O1857" s="46">
        <v>0</v>
      </c>
      <c r="P1857" s="46">
        <v>0</v>
      </c>
      <c r="Q1857" t="s">
        <v>48</v>
      </c>
      <c r="R1857" t="s">
        <v>48</v>
      </c>
      <c r="S1857" s="43" t="s">
        <v>48</v>
      </c>
      <c r="T1857" s="43" t="s">
        <v>48</v>
      </c>
      <c r="U1857" s="43" t="s">
        <v>48</v>
      </c>
      <c r="V1857" s="47">
        <v>1</v>
      </c>
      <c r="W1857" t="s">
        <v>48</v>
      </c>
      <c r="X1857" t="s">
        <v>48</v>
      </c>
      <c r="Y1857" t="s">
        <v>48</v>
      </c>
      <c r="Z1857" t="s">
        <v>48</v>
      </c>
      <c r="AA1857" t="s">
        <v>48</v>
      </c>
      <c r="AB1857" t="s">
        <v>48</v>
      </c>
      <c r="AC1857" t="s">
        <v>49</v>
      </c>
      <c r="AD1857" t="s">
        <v>48</v>
      </c>
      <c r="AE1857" t="s">
        <v>48</v>
      </c>
      <c r="AF1857" t="s">
        <v>48</v>
      </c>
      <c r="AG1857" t="s">
        <v>48</v>
      </c>
      <c r="AH1857" t="s">
        <v>48</v>
      </c>
      <c r="AI1857" t="s">
        <v>48</v>
      </c>
      <c r="AJ1857" t="s">
        <v>48</v>
      </c>
      <c r="AK1857" t="s">
        <v>48</v>
      </c>
      <c r="AL1857" t="s">
        <v>48</v>
      </c>
      <c r="AM1857" t="s">
        <v>48</v>
      </c>
      <c r="AN1857" t="s">
        <v>48</v>
      </c>
      <c r="AO1857" t="s">
        <v>48</v>
      </c>
      <c r="AP1857" s="46">
        <v>0</v>
      </c>
      <c r="AQ1857" s="46">
        <v>0</v>
      </c>
      <c r="AR1857" s="46">
        <v>0</v>
      </c>
      <c r="AS1857" s="46">
        <v>0</v>
      </c>
      <c r="AT1857" s="46">
        <v>0</v>
      </c>
      <c r="AU1857" s="46">
        <v>0</v>
      </c>
      <c r="AV1857" s="46">
        <v>0</v>
      </c>
      <c r="AW1857" s="46">
        <v>0</v>
      </c>
      <c r="AX1857" s="46">
        <v>0</v>
      </c>
      <c r="AY1857" s="46">
        <v>0</v>
      </c>
      <c r="AZ1857" s="46">
        <v>0</v>
      </c>
      <c r="BA1857" s="46">
        <v>0</v>
      </c>
      <c r="BB1857" s="46">
        <v>0</v>
      </c>
      <c r="BC1857" s="46">
        <v>0</v>
      </c>
      <c r="BD1857" s="46">
        <v>0</v>
      </c>
      <c r="BE1857" s="46">
        <v>0</v>
      </c>
      <c r="BF1857" s="46">
        <v>0</v>
      </c>
      <c r="BG1857" s="46" t="s">
        <v>48</v>
      </c>
      <c r="BH1857" s="46">
        <v>0</v>
      </c>
      <c r="BI1857" s="46">
        <v>0</v>
      </c>
      <c r="BJ1857" s="46">
        <v>0</v>
      </c>
      <c r="BK1857" s="46">
        <v>0</v>
      </c>
      <c r="BL1857" s="46">
        <v>0</v>
      </c>
      <c r="BM1857" s="46">
        <v>0</v>
      </c>
      <c r="BN1857" s="46">
        <v>0</v>
      </c>
    </row>
    <row r="1858" spans="1:66" x14ac:dyDescent="0.35">
      <c r="A1858" t="s">
        <v>9949</v>
      </c>
      <c r="B1858" s="44" t="s">
        <v>48</v>
      </c>
      <c r="C1858" t="s">
        <v>4435</v>
      </c>
      <c r="D1858" t="s">
        <v>731</v>
      </c>
      <c r="E1858" t="s">
        <v>9950</v>
      </c>
      <c r="F1858" t="s">
        <v>4075</v>
      </c>
      <c r="G1858" t="s">
        <v>47</v>
      </c>
      <c r="H1858">
        <v>0</v>
      </c>
      <c r="I1858" s="61">
        <v>44782</v>
      </c>
      <c r="J1858" s="33" t="s">
        <v>45</v>
      </c>
      <c r="K1858" s="46">
        <v>0</v>
      </c>
      <c r="L1858">
        <v>17.899999999999999</v>
      </c>
      <c r="M1858" t="s">
        <v>48</v>
      </c>
      <c r="N1858" s="46">
        <v>0</v>
      </c>
      <c r="O1858" s="46">
        <v>0</v>
      </c>
      <c r="P1858" s="46">
        <v>0</v>
      </c>
      <c r="Q1858" t="s">
        <v>48</v>
      </c>
      <c r="R1858" t="s">
        <v>48</v>
      </c>
      <c r="S1858" s="43" t="s">
        <v>10261</v>
      </c>
      <c r="T1858" s="43" t="s">
        <v>48</v>
      </c>
      <c r="U1858" s="43" t="s">
        <v>10261</v>
      </c>
      <c r="V1858" s="47">
        <v>0</v>
      </c>
      <c r="W1858" t="s">
        <v>48</v>
      </c>
      <c r="X1858" t="s">
        <v>48</v>
      </c>
      <c r="Y1858" t="s">
        <v>48</v>
      </c>
      <c r="Z1858" t="s">
        <v>48</v>
      </c>
      <c r="AA1858" t="s">
        <v>48</v>
      </c>
      <c r="AB1858" t="s">
        <v>48</v>
      </c>
      <c r="AC1858" t="s">
        <v>49</v>
      </c>
      <c r="AD1858" t="s">
        <v>93</v>
      </c>
      <c r="AE1858" t="s">
        <v>2471</v>
      </c>
      <c r="AF1858" t="s">
        <v>48</v>
      </c>
      <c r="AG1858" t="s">
        <v>48</v>
      </c>
      <c r="AH1858" t="s">
        <v>48</v>
      </c>
      <c r="AI1858" t="s">
        <v>48</v>
      </c>
      <c r="AJ1858" t="s">
        <v>48</v>
      </c>
      <c r="AK1858" t="s">
        <v>48</v>
      </c>
      <c r="AL1858" t="s">
        <v>48</v>
      </c>
      <c r="AM1858" t="s">
        <v>48</v>
      </c>
      <c r="AN1858" t="s">
        <v>48</v>
      </c>
      <c r="AO1858" t="s">
        <v>48</v>
      </c>
      <c r="AP1858" s="46">
        <v>0</v>
      </c>
      <c r="AQ1858" s="46">
        <v>0</v>
      </c>
      <c r="AR1858" s="46">
        <v>0</v>
      </c>
      <c r="AS1858" s="46">
        <v>0</v>
      </c>
      <c r="AT1858" s="46">
        <v>0</v>
      </c>
      <c r="AU1858" s="46">
        <v>0</v>
      </c>
      <c r="AV1858" s="46">
        <v>0</v>
      </c>
      <c r="AW1858" s="46">
        <v>0</v>
      </c>
      <c r="AX1858" s="46">
        <v>0</v>
      </c>
      <c r="AY1858" s="46">
        <v>0</v>
      </c>
      <c r="AZ1858" s="46">
        <v>0</v>
      </c>
      <c r="BA1858" s="46">
        <v>0</v>
      </c>
      <c r="BB1858" s="46">
        <v>0</v>
      </c>
      <c r="BC1858" s="46">
        <v>0</v>
      </c>
      <c r="BD1858" s="46">
        <v>0</v>
      </c>
      <c r="BE1858" s="46">
        <v>0</v>
      </c>
      <c r="BF1858" s="46">
        <v>0</v>
      </c>
      <c r="BG1858" s="46" t="s">
        <v>48</v>
      </c>
      <c r="BH1858" s="46">
        <v>0</v>
      </c>
      <c r="BI1858" s="46">
        <v>0</v>
      </c>
      <c r="BJ1858" s="46">
        <v>0</v>
      </c>
      <c r="BK1858" s="46">
        <v>0</v>
      </c>
      <c r="BL1858" s="46">
        <v>0</v>
      </c>
      <c r="BM1858" s="46">
        <v>0</v>
      </c>
      <c r="BN1858" s="46">
        <v>0</v>
      </c>
    </row>
    <row r="1859" spans="1:66" x14ac:dyDescent="0.35">
      <c r="A1859" t="s">
        <v>4090</v>
      </c>
      <c r="B1859" s="44" t="s">
        <v>48</v>
      </c>
      <c r="C1859" t="s">
        <v>2379</v>
      </c>
      <c r="D1859" t="s">
        <v>2021</v>
      </c>
      <c r="E1859" t="s">
        <v>4091</v>
      </c>
      <c r="F1859" t="s">
        <v>4075</v>
      </c>
      <c r="G1859" t="s">
        <v>47</v>
      </c>
      <c r="H1859">
        <v>0</v>
      </c>
      <c r="I1859" s="60" t="s">
        <v>51</v>
      </c>
      <c r="J1859" s="33" t="s">
        <v>45</v>
      </c>
      <c r="K1859" s="46">
        <v>0</v>
      </c>
      <c r="L1859">
        <v>3</v>
      </c>
      <c r="M1859" t="s">
        <v>48</v>
      </c>
      <c r="N1859" s="46">
        <v>0</v>
      </c>
      <c r="O1859" s="46">
        <v>0</v>
      </c>
      <c r="P1859" s="46">
        <v>0</v>
      </c>
      <c r="Q1859" t="s">
        <v>48</v>
      </c>
      <c r="R1859" t="s">
        <v>48</v>
      </c>
      <c r="S1859" t="s">
        <v>4092</v>
      </c>
      <c r="T1859" t="s">
        <v>48</v>
      </c>
      <c r="U1859" t="s">
        <v>4092</v>
      </c>
      <c r="V1859" s="47">
        <v>1</v>
      </c>
      <c r="W1859" t="s">
        <v>48</v>
      </c>
      <c r="X1859" t="s">
        <v>48</v>
      </c>
      <c r="Y1859" t="s">
        <v>48</v>
      </c>
      <c r="Z1859">
        <v>0</v>
      </c>
      <c r="AA1859" t="s">
        <v>48</v>
      </c>
      <c r="AB1859" t="s">
        <v>48</v>
      </c>
      <c r="AC1859" t="s">
        <v>63</v>
      </c>
      <c r="AD1859" t="s">
        <v>93</v>
      </c>
      <c r="AE1859" t="s">
        <v>4532</v>
      </c>
      <c r="AF1859" t="s">
        <v>48</v>
      </c>
      <c r="AG1859" t="s">
        <v>48</v>
      </c>
      <c r="AH1859" t="s">
        <v>48</v>
      </c>
      <c r="AI1859" t="s">
        <v>48</v>
      </c>
      <c r="AJ1859" t="s">
        <v>48</v>
      </c>
      <c r="AK1859" t="s">
        <v>48</v>
      </c>
      <c r="AL1859" t="s">
        <v>48</v>
      </c>
      <c r="AM1859" t="s">
        <v>48</v>
      </c>
      <c r="AN1859" t="s">
        <v>48</v>
      </c>
      <c r="AO1859" t="s">
        <v>48</v>
      </c>
      <c r="AP1859" s="46">
        <v>0</v>
      </c>
      <c r="AQ1859" s="46">
        <v>0</v>
      </c>
      <c r="AR1859" s="46">
        <v>0</v>
      </c>
      <c r="AS1859" s="46">
        <v>0</v>
      </c>
      <c r="AT1859" s="46">
        <v>0</v>
      </c>
      <c r="AU1859" s="46">
        <v>0</v>
      </c>
      <c r="AV1859" s="46">
        <v>0</v>
      </c>
      <c r="AW1859" s="46">
        <v>0</v>
      </c>
      <c r="AX1859" s="46">
        <v>0</v>
      </c>
      <c r="AY1859" s="46">
        <v>0</v>
      </c>
      <c r="AZ1859" s="46">
        <v>0</v>
      </c>
      <c r="BA1859" s="46">
        <v>0</v>
      </c>
      <c r="BB1859" s="46">
        <v>0</v>
      </c>
      <c r="BC1859" s="46">
        <v>0</v>
      </c>
      <c r="BD1859" s="46">
        <v>0</v>
      </c>
      <c r="BE1859" s="46">
        <v>0</v>
      </c>
      <c r="BF1859" s="46">
        <v>0</v>
      </c>
      <c r="BG1859" s="46" t="s">
        <v>48</v>
      </c>
      <c r="BH1859" s="46">
        <v>0</v>
      </c>
      <c r="BI1859" s="46">
        <v>0</v>
      </c>
      <c r="BJ1859" s="46">
        <v>0</v>
      </c>
      <c r="BK1859" s="46">
        <v>0</v>
      </c>
      <c r="BL1859" s="46">
        <v>0</v>
      </c>
      <c r="BM1859" s="46">
        <v>0</v>
      </c>
      <c r="BN1859" s="46">
        <v>0</v>
      </c>
    </row>
    <row r="1860" spans="1:66" x14ac:dyDescent="0.35">
      <c r="A1860" t="s">
        <v>9867</v>
      </c>
      <c r="B1860" s="44" t="s">
        <v>48</v>
      </c>
      <c r="C1860" t="s">
        <v>12055</v>
      </c>
      <c r="D1860" t="s">
        <v>7290</v>
      </c>
      <c r="E1860" t="s">
        <v>9868</v>
      </c>
      <c r="F1860" t="s">
        <v>4075</v>
      </c>
      <c r="G1860" t="s">
        <v>74</v>
      </c>
      <c r="H1860">
        <v>0</v>
      </c>
      <c r="I1860" s="61">
        <v>44782</v>
      </c>
      <c r="J1860" s="33" t="s">
        <v>45</v>
      </c>
      <c r="K1860" s="46">
        <v>0</v>
      </c>
      <c r="L1860">
        <v>11.3</v>
      </c>
      <c r="M1860" t="s">
        <v>48</v>
      </c>
      <c r="N1860" s="46">
        <v>0</v>
      </c>
      <c r="O1860" s="46">
        <v>0</v>
      </c>
      <c r="P1860" s="46">
        <v>0</v>
      </c>
      <c r="Q1860" t="s">
        <v>48</v>
      </c>
      <c r="R1860" t="s">
        <v>48</v>
      </c>
      <c r="S1860" s="43" t="s">
        <v>48</v>
      </c>
      <c r="T1860" s="43" t="s">
        <v>48</v>
      </c>
      <c r="U1860" s="43" t="s">
        <v>48</v>
      </c>
      <c r="V1860" s="47">
        <v>1</v>
      </c>
      <c r="W1860" t="s">
        <v>48</v>
      </c>
      <c r="X1860" t="s">
        <v>48</v>
      </c>
      <c r="Y1860" t="s">
        <v>48</v>
      </c>
      <c r="Z1860" t="s">
        <v>48</v>
      </c>
      <c r="AA1860" t="s">
        <v>48</v>
      </c>
      <c r="AB1860" t="s">
        <v>48</v>
      </c>
      <c r="AC1860" t="s">
        <v>49</v>
      </c>
      <c r="AD1860" t="s">
        <v>93</v>
      </c>
      <c r="AE1860" t="s">
        <v>4532</v>
      </c>
      <c r="AF1860" t="s">
        <v>48</v>
      </c>
      <c r="AG1860" t="s">
        <v>48</v>
      </c>
      <c r="AH1860" t="s">
        <v>48</v>
      </c>
      <c r="AI1860" t="s">
        <v>48</v>
      </c>
      <c r="AJ1860" t="s">
        <v>48</v>
      </c>
      <c r="AK1860" t="s">
        <v>48</v>
      </c>
      <c r="AL1860" t="s">
        <v>48</v>
      </c>
      <c r="AM1860" t="s">
        <v>48</v>
      </c>
      <c r="AN1860" t="s">
        <v>48</v>
      </c>
      <c r="AO1860" t="s">
        <v>48</v>
      </c>
      <c r="AP1860" s="46">
        <v>0</v>
      </c>
      <c r="AQ1860" s="46">
        <v>0</v>
      </c>
      <c r="AR1860" s="46">
        <v>0</v>
      </c>
      <c r="AS1860" s="46">
        <v>0</v>
      </c>
      <c r="AT1860" s="46">
        <v>0</v>
      </c>
      <c r="AU1860" s="46">
        <v>0</v>
      </c>
      <c r="AV1860" s="46">
        <v>0</v>
      </c>
      <c r="AW1860" s="46">
        <v>0</v>
      </c>
      <c r="AX1860" s="46">
        <v>0</v>
      </c>
      <c r="AY1860" s="46">
        <v>0</v>
      </c>
      <c r="AZ1860" s="46">
        <v>0</v>
      </c>
      <c r="BA1860" s="46">
        <v>0</v>
      </c>
      <c r="BB1860" s="46">
        <v>0</v>
      </c>
      <c r="BC1860" s="46">
        <v>0</v>
      </c>
      <c r="BD1860" s="46">
        <v>0</v>
      </c>
      <c r="BE1860" s="46">
        <v>0</v>
      </c>
      <c r="BF1860" s="46">
        <v>0</v>
      </c>
      <c r="BG1860" s="46" t="s">
        <v>48</v>
      </c>
      <c r="BH1860" s="46">
        <v>0</v>
      </c>
      <c r="BI1860" s="46">
        <v>0</v>
      </c>
      <c r="BJ1860" s="46">
        <v>0</v>
      </c>
      <c r="BK1860" s="46">
        <v>0</v>
      </c>
      <c r="BL1860" s="46">
        <v>0</v>
      </c>
      <c r="BM1860" s="46">
        <v>0</v>
      </c>
      <c r="BN1860" s="46">
        <v>0</v>
      </c>
    </row>
    <row r="1861" spans="1:66" x14ac:dyDescent="0.35">
      <c r="A1861" t="s">
        <v>9951</v>
      </c>
      <c r="B1861" s="44" t="s">
        <v>48</v>
      </c>
      <c r="C1861" t="s">
        <v>12056</v>
      </c>
      <c r="D1861" t="s">
        <v>12057</v>
      </c>
      <c r="E1861" t="s">
        <v>9952</v>
      </c>
      <c r="F1861" t="s">
        <v>4075</v>
      </c>
      <c r="G1861" t="s">
        <v>47</v>
      </c>
      <c r="H1861">
        <v>0</v>
      </c>
      <c r="I1861" s="61">
        <v>44782</v>
      </c>
      <c r="J1861" s="33" t="s">
        <v>45</v>
      </c>
      <c r="K1861" s="46">
        <v>0</v>
      </c>
      <c r="L1861">
        <v>1.3</v>
      </c>
      <c r="M1861" t="s">
        <v>48</v>
      </c>
      <c r="N1861" s="46">
        <v>0</v>
      </c>
      <c r="O1861" s="46">
        <v>0</v>
      </c>
      <c r="P1861" s="46">
        <v>0</v>
      </c>
      <c r="Q1861" t="s">
        <v>48</v>
      </c>
      <c r="R1861" t="s">
        <v>48</v>
      </c>
      <c r="S1861" s="43" t="s">
        <v>48</v>
      </c>
      <c r="T1861" s="43" t="s">
        <v>48</v>
      </c>
      <c r="U1861" s="43" t="s">
        <v>48</v>
      </c>
      <c r="V1861" s="47">
        <v>0</v>
      </c>
      <c r="W1861" t="s">
        <v>48</v>
      </c>
      <c r="X1861" t="s">
        <v>48</v>
      </c>
      <c r="Y1861" t="s">
        <v>48</v>
      </c>
      <c r="Z1861" t="s">
        <v>48</v>
      </c>
      <c r="AA1861" t="s">
        <v>48</v>
      </c>
      <c r="AB1861" t="s">
        <v>48</v>
      </c>
      <c r="AC1861" t="s">
        <v>63</v>
      </c>
      <c r="AD1861" t="s">
        <v>48</v>
      </c>
      <c r="AE1861" t="s">
        <v>48</v>
      </c>
      <c r="AF1861" t="s">
        <v>48</v>
      </c>
      <c r="AG1861" t="s">
        <v>48</v>
      </c>
      <c r="AH1861" t="s">
        <v>48</v>
      </c>
      <c r="AI1861" t="s">
        <v>48</v>
      </c>
      <c r="AJ1861" t="s">
        <v>48</v>
      </c>
      <c r="AK1861" t="s">
        <v>48</v>
      </c>
      <c r="AL1861" t="s">
        <v>48</v>
      </c>
      <c r="AM1861" t="s">
        <v>48</v>
      </c>
      <c r="AN1861" t="s">
        <v>48</v>
      </c>
      <c r="AO1861" t="s">
        <v>48</v>
      </c>
      <c r="AP1861" s="46">
        <v>0</v>
      </c>
      <c r="AQ1861" s="46">
        <v>0</v>
      </c>
      <c r="AR1861" s="46">
        <v>0</v>
      </c>
      <c r="AS1861" s="46">
        <v>0</v>
      </c>
      <c r="AT1861" s="46">
        <v>0</v>
      </c>
      <c r="AU1861" s="46">
        <v>0</v>
      </c>
      <c r="AV1861" s="46">
        <v>0</v>
      </c>
      <c r="AW1861" s="46">
        <v>0</v>
      </c>
      <c r="AX1861" s="46">
        <v>0</v>
      </c>
      <c r="AY1861" s="46">
        <v>0</v>
      </c>
      <c r="AZ1861" s="46">
        <v>0</v>
      </c>
      <c r="BA1861" s="46">
        <v>0</v>
      </c>
      <c r="BB1861" s="46">
        <v>0</v>
      </c>
      <c r="BC1861" s="46">
        <v>0</v>
      </c>
      <c r="BD1861" s="46">
        <v>0</v>
      </c>
      <c r="BE1861" s="46">
        <v>0</v>
      </c>
      <c r="BF1861" s="46">
        <v>0</v>
      </c>
      <c r="BG1861" s="46" t="s">
        <v>48</v>
      </c>
      <c r="BH1861" s="46">
        <v>0</v>
      </c>
      <c r="BI1861" s="46">
        <v>0</v>
      </c>
      <c r="BJ1861" s="46">
        <v>0</v>
      </c>
      <c r="BK1861" s="46">
        <v>0</v>
      </c>
      <c r="BL1861" s="46">
        <v>0</v>
      </c>
      <c r="BM1861" s="46">
        <v>0</v>
      </c>
      <c r="BN1861" s="46">
        <v>0</v>
      </c>
    </row>
    <row r="1862" spans="1:66" x14ac:dyDescent="0.35">
      <c r="A1862" t="s">
        <v>4095</v>
      </c>
      <c r="B1862" s="44" t="s">
        <v>48</v>
      </c>
      <c r="C1862" t="s">
        <v>4098</v>
      </c>
      <c r="D1862" t="s">
        <v>193</v>
      </c>
      <c r="E1862" t="s">
        <v>4096</v>
      </c>
      <c r="F1862" t="s">
        <v>4075</v>
      </c>
      <c r="G1862" t="s">
        <v>47</v>
      </c>
      <c r="H1862">
        <v>0</v>
      </c>
      <c r="I1862" s="60" t="s">
        <v>51</v>
      </c>
      <c r="J1862" s="33" t="s">
        <v>45</v>
      </c>
      <c r="K1862" s="46">
        <v>0</v>
      </c>
      <c r="L1862">
        <v>22.5</v>
      </c>
      <c r="M1862" t="s">
        <v>48</v>
      </c>
      <c r="N1862" s="46">
        <v>0</v>
      </c>
      <c r="O1862" s="46">
        <v>0</v>
      </c>
      <c r="P1862" s="46">
        <v>0</v>
      </c>
      <c r="Q1862" t="s">
        <v>48</v>
      </c>
      <c r="R1862" t="s">
        <v>48</v>
      </c>
      <c r="S1862" t="s">
        <v>4097</v>
      </c>
      <c r="T1862" t="s">
        <v>48</v>
      </c>
      <c r="U1862" t="s">
        <v>4097</v>
      </c>
      <c r="V1862" s="47">
        <v>1</v>
      </c>
      <c r="W1862" t="s">
        <v>48</v>
      </c>
      <c r="X1862" t="s">
        <v>48</v>
      </c>
      <c r="Y1862" t="s">
        <v>48</v>
      </c>
      <c r="Z1862">
        <v>0</v>
      </c>
      <c r="AA1862" t="s">
        <v>48</v>
      </c>
      <c r="AB1862" t="s">
        <v>48</v>
      </c>
      <c r="AC1862" t="s">
        <v>49</v>
      </c>
      <c r="AD1862" t="s">
        <v>93</v>
      </c>
      <c r="AE1862" t="s">
        <v>4532</v>
      </c>
      <c r="AF1862" t="s">
        <v>48</v>
      </c>
      <c r="AG1862" t="s">
        <v>48</v>
      </c>
      <c r="AH1862" t="s">
        <v>48</v>
      </c>
      <c r="AI1862" t="s">
        <v>48</v>
      </c>
      <c r="AJ1862" t="s">
        <v>48</v>
      </c>
      <c r="AK1862" t="s">
        <v>48</v>
      </c>
      <c r="AL1862" t="s">
        <v>48</v>
      </c>
      <c r="AM1862" t="s">
        <v>48</v>
      </c>
      <c r="AN1862" t="s">
        <v>48</v>
      </c>
      <c r="AO1862" t="s">
        <v>48</v>
      </c>
      <c r="AP1862" s="46">
        <v>0</v>
      </c>
      <c r="AQ1862" s="46">
        <v>0</v>
      </c>
      <c r="AR1862" s="46">
        <v>0</v>
      </c>
      <c r="AS1862" s="46">
        <v>0</v>
      </c>
      <c r="AT1862" s="46">
        <v>0</v>
      </c>
      <c r="AU1862" s="46">
        <v>0</v>
      </c>
      <c r="AV1862" s="46">
        <v>0</v>
      </c>
      <c r="AW1862" s="46">
        <v>0</v>
      </c>
      <c r="AX1862" s="46">
        <v>0</v>
      </c>
      <c r="AY1862" s="46">
        <v>0</v>
      </c>
      <c r="AZ1862" s="46">
        <v>0</v>
      </c>
      <c r="BA1862" s="46">
        <v>0</v>
      </c>
      <c r="BB1862" s="46">
        <v>0</v>
      </c>
      <c r="BC1862" s="46">
        <v>0</v>
      </c>
      <c r="BD1862" s="46">
        <v>0</v>
      </c>
      <c r="BE1862" s="46">
        <v>0</v>
      </c>
      <c r="BF1862" s="46">
        <v>0</v>
      </c>
      <c r="BG1862" s="46" t="s">
        <v>48</v>
      </c>
      <c r="BH1862" s="46">
        <v>0</v>
      </c>
      <c r="BI1862" s="46">
        <v>0</v>
      </c>
      <c r="BJ1862" s="46">
        <v>0</v>
      </c>
      <c r="BK1862" s="46">
        <v>0</v>
      </c>
      <c r="BL1862" s="46">
        <v>0</v>
      </c>
      <c r="BM1862" s="46">
        <v>0</v>
      </c>
      <c r="BN1862" s="46">
        <v>0</v>
      </c>
    </row>
    <row r="1863" spans="1:66" x14ac:dyDescent="0.35">
      <c r="A1863" t="s">
        <v>9865</v>
      </c>
      <c r="B1863" s="44" t="s">
        <v>48</v>
      </c>
      <c r="C1863" t="s">
        <v>12060</v>
      </c>
      <c r="D1863" t="s">
        <v>221</v>
      </c>
      <c r="E1863" t="s">
        <v>9866</v>
      </c>
      <c r="F1863" t="s">
        <v>4075</v>
      </c>
      <c r="G1863" t="s">
        <v>74</v>
      </c>
      <c r="H1863">
        <v>0</v>
      </c>
      <c r="I1863" s="61">
        <v>44782</v>
      </c>
      <c r="J1863" s="33" t="s">
        <v>45</v>
      </c>
      <c r="K1863" s="46">
        <v>0</v>
      </c>
      <c r="L1863">
        <v>25.4</v>
      </c>
      <c r="M1863" t="s">
        <v>48</v>
      </c>
      <c r="N1863" s="46">
        <v>0</v>
      </c>
      <c r="O1863" s="46">
        <v>0</v>
      </c>
      <c r="P1863" s="46">
        <v>0</v>
      </c>
      <c r="Q1863" t="s">
        <v>48</v>
      </c>
      <c r="R1863" t="s">
        <v>48</v>
      </c>
      <c r="S1863" s="43" t="s">
        <v>10259</v>
      </c>
      <c r="T1863" s="43" t="s">
        <v>48</v>
      </c>
      <c r="U1863" s="43" t="s">
        <v>10259</v>
      </c>
      <c r="V1863" s="47">
        <v>1</v>
      </c>
      <c r="W1863" t="s">
        <v>48</v>
      </c>
      <c r="X1863" t="s">
        <v>48</v>
      </c>
      <c r="Y1863" t="s">
        <v>48</v>
      </c>
      <c r="Z1863" t="s">
        <v>48</v>
      </c>
      <c r="AA1863" t="s">
        <v>48</v>
      </c>
      <c r="AB1863" t="s">
        <v>48</v>
      </c>
      <c r="AC1863" t="s">
        <v>49</v>
      </c>
      <c r="AD1863" t="s">
        <v>93</v>
      </c>
      <c r="AE1863" t="s">
        <v>4532</v>
      </c>
      <c r="AF1863" t="s">
        <v>48</v>
      </c>
      <c r="AG1863" t="s">
        <v>48</v>
      </c>
      <c r="AH1863" t="s">
        <v>48</v>
      </c>
      <c r="AI1863" t="s">
        <v>48</v>
      </c>
      <c r="AJ1863" t="s">
        <v>48</v>
      </c>
      <c r="AK1863" t="s">
        <v>48</v>
      </c>
      <c r="AL1863" t="s">
        <v>48</v>
      </c>
      <c r="AM1863" t="s">
        <v>48</v>
      </c>
      <c r="AN1863" t="s">
        <v>48</v>
      </c>
      <c r="AO1863" t="s">
        <v>48</v>
      </c>
      <c r="AP1863" s="46">
        <v>0</v>
      </c>
      <c r="AQ1863" s="46">
        <v>0</v>
      </c>
      <c r="AR1863" s="46">
        <v>0</v>
      </c>
      <c r="AS1863" s="46">
        <v>0</v>
      </c>
      <c r="AT1863" s="46">
        <v>0</v>
      </c>
      <c r="AU1863" s="46">
        <v>0</v>
      </c>
      <c r="AV1863" s="46">
        <v>0</v>
      </c>
      <c r="AW1863" s="46">
        <v>0</v>
      </c>
      <c r="AX1863" s="46">
        <v>0</v>
      </c>
      <c r="AY1863" s="46">
        <v>0</v>
      </c>
      <c r="AZ1863" s="46">
        <v>0</v>
      </c>
      <c r="BA1863" s="46">
        <v>0</v>
      </c>
      <c r="BB1863" s="46">
        <v>0</v>
      </c>
      <c r="BC1863" s="46">
        <v>0</v>
      </c>
      <c r="BD1863" s="46">
        <v>0</v>
      </c>
      <c r="BE1863" s="46">
        <v>0</v>
      </c>
      <c r="BF1863" s="46">
        <v>0</v>
      </c>
      <c r="BG1863" s="46" t="s">
        <v>48</v>
      </c>
      <c r="BH1863" s="46">
        <v>0</v>
      </c>
      <c r="BI1863" s="46">
        <v>0</v>
      </c>
      <c r="BJ1863" s="46">
        <v>0</v>
      </c>
      <c r="BK1863" s="46">
        <v>0</v>
      </c>
      <c r="BL1863" s="46">
        <v>0</v>
      </c>
      <c r="BM1863" s="46">
        <v>0</v>
      </c>
      <c r="BN1863" s="46">
        <v>0</v>
      </c>
    </row>
    <row r="1864" spans="1:66" x14ac:dyDescent="0.35">
      <c r="A1864" t="s">
        <v>4086</v>
      </c>
      <c r="B1864" s="44" t="s">
        <v>48</v>
      </c>
      <c r="C1864" t="s">
        <v>4089</v>
      </c>
      <c r="D1864" t="s">
        <v>288</v>
      </c>
      <c r="E1864" t="s">
        <v>4087</v>
      </c>
      <c r="F1864" t="s">
        <v>4075</v>
      </c>
      <c r="G1864" t="s">
        <v>47</v>
      </c>
      <c r="H1864">
        <v>0</v>
      </c>
      <c r="I1864" s="60" t="s">
        <v>51</v>
      </c>
      <c r="J1864" s="33" t="s">
        <v>45</v>
      </c>
      <c r="K1864" s="46">
        <v>0</v>
      </c>
      <c r="L1864">
        <v>8.6999999999999993</v>
      </c>
      <c r="M1864" t="s">
        <v>48</v>
      </c>
      <c r="N1864" s="46">
        <v>0</v>
      </c>
      <c r="O1864" s="46">
        <v>0</v>
      </c>
      <c r="P1864" s="46">
        <v>0</v>
      </c>
      <c r="Q1864" t="s">
        <v>48</v>
      </c>
      <c r="R1864" t="s">
        <v>48</v>
      </c>
      <c r="S1864" t="s">
        <v>4088</v>
      </c>
      <c r="T1864" t="s">
        <v>48</v>
      </c>
      <c r="U1864" t="s">
        <v>4088</v>
      </c>
      <c r="V1864" s="47">
        <v>0</v>
      </c>
      <c r="W1864" t="s">
        <v>48</v>
      </c>
      <c r="X1864" t="s">
        <v>48</v>
      </c>
      <c r="Y1864" t="s">
        <v>48</v>
      </c>
      <c r="Z1864">
        <v>0</v>
      </c>
      <c r="AA1864" t="s">
        <v>48</v>
      </c>
      <c r="AB1864" t="s">
        <v>48</v>
      </c>
      <c r="AC1864" t="s">
        <v>49</v>
      </c>
      <c r="AD1864" t="s">
        <v>93</v>
      </c>
      <c r="AE1864" t="s">
        <v>4532</v>
      </c>
      <c r="AF1864" t="s">
        <v>48</v>
      </c>
      <c r="AG1864" t="s">
        <v>48</v>
      </c>
      <c r="AH1864" t="s">
        <v>48</v>
      </c>
      <c r="AI1864" t="s">
        <v>48</v>
      </c>
      <c r="AJ1864" t="s">
        <v>48</v>
      </c>
      <c r="AK1864" t="s">
        <v>48</v>
      </c>
      <c r="AL1864" t="s">
        <v>48</v>
      </c>
      <c r="AM1864" t="s">
        <v>48</v>
      </c>
      <c r="AN1864" t="s">
        <v>48</v>
      </c>
      <c r="AO1864" t="s">
        <v>48</v>
      </c>
      <c r="AP1864" s="46">
        <v>0</v>
      </c>
      <c r="AQ1864" s="46">
        <v>0</v>
      </c>
      <c r="AR1864" s="46">
        <v>0</v>
      </c>
      <c r="AS1864" s="46">
        <v>0</v>
      </c>
      <c r="AT1864" s="46">
        <v>0</v>
      </c>
      <c r="AU1864" s="46">
        <v>0</v>
      </c>
      <c r="AV1864" s="46">
        <v>0</v>
      </c>
      <c r="AW1864" s="46">
        <v>0</v>
      </c>
      <c r="AX1864" s="46">
        <v>0</v>
      </c>
      <c r="AY1864" s="46">
        <v>0</v>
      </c>
      <c r="AZ1864" s="46">
        <v>0</v>
      </c>
      <c r="BA1864" s="46">
        <v>0</v>
      </c>
      <c r="BB1864" s="46">
        <v>0</v>
      </c>
      <c r="BC1864" s="46">
        <v>0</v>
      </c>
      <c r="BD1864" s="46">
        <v>0</v>
      </c>
      <c r="BE1864" s="46">
        <v>0</v>
      </c>
      <c r="BF1864" s="46">
        <v>0</v>
      </c>
      <c r="BG1864" s="46" t="s">
        <v>48</v>
      </c>
      <c r="BH1864" s="46">
        <v>0</v>
      </c>
      <c r="BI1864" s="46">
        <v>0</v>
      </c>
      <c r="BJ1864" s="46">
        <v>0</v>
      </c>
      <c r="BK1864" s="46">
        <v>0</v>
      </c>
      <c r="BL1864" s="46">
        <v>0</v>
      </c>
      <c r="BM1864" s="46">
        <v>0</v>
      </c>
      <c r="BN1864" s="46">
        <v>0</v>
      </c>
    </row>
    <row r="1865" spans="1:66" x14ac:dyDescent="0.35">
      <c r="A1865" t="s">
        <v>4093</v>
      </c>
      <c r="B1865" s="44" t="s">
        <v>48</v>
      </c>
      <c r="C1865" t="s">
        <v>2492</v>
      </c>
      <c r="D1865" t="s">
        <v>437</v>
      </c>
      <c r="E1865" t="s">
        <v>4094</v>
      </c>
      <c r="F1865" t="s">
        <v>4075</v>
      </c>
      <c r="G1865" t="s">
        <v>47</v>
      </c>
      <c r="H1865">
        <v>0</v>
      </c>
      <c r="I1865" s="60" t="s">
        <v>661</v>
      </c>
      <c r="J1865" s="33" t="s">
        <v>45</v>
      </c>
      <c r="K1865" s="46">
        <v>0</v>
      </c>
      <c r="L1865">
        <v>2.9</v>
      </c>
      <c r="M1865" t="s">
        <v>48</v>
      </c>
      <c r="N1865" s="46">
        <v>0</v>
      </c>
      <c r="O1865" s="46">
        <v>0</v>
      </c>
      <c r="P1865" s="46">
        <v>0</v>
      </c>
      <c r="Q1865" t="s">
        <v>48</v>
      </c>
      <c r="R1865" t="s">
        <v>48</v>
      </c>
      <c r="S1865" t="s">
        <v>10260</v>
      </c>
      <c r="T1865" t="s">
        <v>48</v>
      </c>
      <c r="U1865" t="s">
        <v>10260</v>
      </c>
      <c r="V1865" s="47">
        <v>0</v>
      </c>
      <c r="W1865" t="s">
        <v>48</v>
      </c>
      <c r="X1865" t="s">
        <v>48</v>
      </c>
      <c r="Y1865" t="s">
        <v>48</v>
      </c>
      <c r="Z1865">
        <v>0</v>
      </c>
      <c r="AA1865" t="s">
        <v>48</v>
      </c>
      <c r="AB1865" t="s">
        <v>48</v>
      </c>
      <c r="AC1865" t="s">
        <v>49</v>
      </c>
      <c r="AD1865" t="s">
        <v>93</v>
      </c>
      <c r="AE1865" t="s">
        <v>4532</v>
      </c>
      <c r="AF1865" t="s">
        <v>48</v>
      </c>
      <c r="AG1865" t="s">
        <v>48</v>
      </c>
      <c r="AH1865" t="s">
        <v>48</v>
      </c>
      <c r="AI1865" t="s">
        <v>48</v>
      </c>
      <c r="AJ1865" t="s">
        <v>48</v>
      </c>
      <c r="AK1865" t="s">
        <v>48</v>
      </c>
      <c r="AL1865" t="s">
        <v>48</v>
      </c>
      <c r="AM1865" t="s">
        <v>48</v>
      </c>
      <c r="AN1865" t="s">
        <v>48</v>
      </c>
      <c r="AO1865" t="s">
        <v>48</v>
      </c>
      <c r="AP1865" s="46">
        <v>0</v>
      </c>
      <c r="AQ1865" s="46">
        <v>0</v>
      </c>
      <c r="AR1865" s="46">
        <v>0</v>
      </c>
      <c r="AS1865" s="46">
        <v>0</v>
      </c>
      <c r="AT1865" s="46">
        <v>0</v>
      </c>
      <c r="AU1865" s="46">
        <v>0</v>
      </c>
      <c r="AV1865" s="46">
        <v>0</v>
      </c>
      <c r="AW1865" s="46">
        <v>0</v>
      </c>
      <c r="AX1865" s="46">
        <v>0</v>
      </c>
      <c r="AY1865" s="46">
        <v>0</v>
      </c>
      <c r="AZ1865" s="46">
        <v>0</v>
      </c>
      <c r="BA1865" s="46">
        <v>0</v>
      </c>
      <c r="BB1865" s="46">
        <v>0</v>
      </c>
      <c r="BC1865" s="46">
        <v>0</v>
      </c>
      <c r="BD1865" s="46">
        <v>0</v>
      </c>
      <c r="BE1865" s="46">
        <v>0</v>
      </c>
      <c r="BF1865" s="46">
        <v>0</v>
      </c>
      <c r="BG1865" s="46" t="s">
        <v>48</v>
      </c>
      <c r="BH1865" s="46">
        <v>0</v>
      </c>
      <c r="BI1865" s="46">
        <v>0</v>
      </c>
      <c r="BJ1865" s="46">
        <v>0</v>
      </c>
      <c r="BK1865" s="46">
        <v>0</v>
      </c>
      <c r="BL1865" s="46">
        <v>0</v>
      </c>
      <c r="BM1865" s="46">
        <v>0</v>
      </c>
      <c r="BN1865" s="46">
        <v>0</v>
      </c>
    </row>
    <row r="1866" spans="1:66" x14ac:dyDescent="0.35">
      <c r="A1866" t="s">
        <v>4074</v>
      </c>
      <c r="B1866" s="44" t="s">
        <v>48</v>
      </c>
      <c r="C1866" t="s">
        <v>4077</v>
      </c>
      <c r="D1866" t="s">
        <v>351</v>
      </c>
      <c r="E1866" t="s">
        <v>4076</v>
      </c>
      <c r="F1866" t="s">
        <v>4075</v>
      </c>
      <c r="G1866" t="s">
        <v>47</v>
      </c>
      <c r="H1866">
        <v>0</v>
      </c>
      <c r="I1866" s="60" t="s">
        <v>51</v>
      </c>
      <c r="J1866" s="33" t="s">
        <v>45</v>
      </c>
      <c r="K1866" s="46">
        <v>0</v>
      </c>
      <c r="L1866">
        <v>5.5</v>
      </c>
      <c r="M1866" t="s">
        <v>48</v>
      </c>
      <c r="N1866" s="46">
        <v>0</v>
      </c>
      <c r="O1866" s="46">
        <v>0</v>
      </c>
      <c r="P1866" s="46">
        <v>0</v>
      </c>
      <c r="Q1866" t="s">
        <v>48</v>
      </c>
      <c r="R1866" t="s">
        <v>48</v>
      </c>
      <c r="S1866" t="s">
        <v>48</v>
      </c>
      <c r="T1866" t="s">
        <v>48</v>
      </c>
      <c r="U1866" t="s">
        <v>48</v>
      </c>
      <c r="V1866" s="47">
        <v>1</v>
      </c>
      <c r="W1866" t="s">
        <v>48</v>
      </c>
      <c r="X1866" t="s">
        <v>48</v>
      </c>
      <c r="Y1866" t="s">
        <v>48</v>
      </c>
      <c r="Z1866">
        <v>0</v>
      </c>
      <c r="AA1866" t="s">
        <v>48</v>
      </c>
      <c r="AB1866" t="s">
        <v>48</v>
      </c>
      <c r="AC1866" t="s">
        <v>49</v>
      </c>
      <c r="AD1866" t="s">
        <v>93</v>
      </c>
      <c r="AE1866" t="s">
        <v>4532</v>
      </c>
      <c r="AF1866" t="s">
        <v>48</v>
      </c>
      <c r="AG1866" t="s">
        <v>48</v>
      </c>
      <c r="AH1866" t="s">
        <v>48</v>
      </c>
      <c r="AI1866" t="s">
        <v>48</v>
      </c>
      <c r="AJ1866" t="s">
        <v>48</v>
      </c>
      <c r="AK1866" t="s">
        <v>48</v>
      </c>
      <c r="AL1866" t="s">
        <v>48</v>
      </c>
      <c r="AM1866" t="s">
        <v>48</v>
      </c>
      <c r="AN1866" t="s">
        <v>48</v>
      </c>
      <c r="AO1866" t="s">
        <v>48</v>
      </c>
      <c r="AP1866" s="46">
        <v>0</v>
      </c>
      <c r="AQ1866" s="46">
        <v>0</v>
      </c>
      <c r="AR1866" s="46">
        <v>0</v>
      </c>
      <c r="AS1866" s="46">
        <v>0</v>
      </c>
      <c r="AT1866" s="46">
        <v>0</v>
      </c>
      <c r="AU1866" s="46">
        <v>0</v>
      </c>
      <c r="AV1866" s="46">
        <v>0</v>
      </c>
      <c r="AW1866" s="46">
        <v>0</v>
      </c>
      <c r="AX1866" s="46">
        <v>0</v>
      </c>
      <c r="AY1866" s="46">
        <v>0</v>
      </c>
      <c r="AZ1866" s="46">
        <v>0</v>
      </c>
      <c r="BA1866" s="46">
        <v>0</v>
      </c>
      <c r="BB1866" s="46">
        <v>0</v>
      </c>
      <c r="BC1866" s="46">
        <v>0</v>
      </c>
      <c r="BD1866" s="46">
        <v>0</v>
      </c>
      <c r="BE1866" s="46">
        <v>0</v>
      </c>
      <c r="BF1866" s="46">
        <v>0</v>
      </c>
      <c r="BG1866" s="46" t="s">
        <v>48</v>
      </c>
      <c r="BH1866" s="46">
        <v>0</v>
      </c>
      <c r="BI1866" s="46">
        <v>0</v>
      </c>
      <c r="BJ1866" s="46">
        <v>0</v>
      </c>
      <c r="BK1866" s="46">
        <v>0</v>
      </c>
      <c r="BL1866" s="46">
        <v>0</v>
      </c>
      <c r="BM1866" s="46">
        <v>0</v>
      </c>
      <c r="BN1866" s="46">
        <v>0</v>
      </c>
    </row>
    <row r="1867" spans="1:66" x14ac:dyDescent="0.35">
      <c r="A1867" t="s">
        <v>9953</v>
      </c>
      <c r="B1867" s="44" t="s">
        <v>48</v>
      </c>
      <c r="C1867" t="s">
        <v>5290</v>
      </c>
      <c r="D1867" t="s">
        <v>12052</v>
      </c>
      <c r="E1867" t="s">
        <v>9954</v>
      </c>
      <c r="F1867" t="s">
        <v>4099</v>
      </c>
      <c r="G1867" t="s">
        <v>47</v>
      </c>
      <c r="H1867">
        <v>0</v>
      </c>
      <c r="I1867" s="61">
        <v>44782</v>
      </c>
      <c r="J1867" s="33" t="s">
        <v>45</v>
      </c>
      <c r="K1867" s="46">
        <v>0</v>
      </c>
      <c r="L1867">
        <v>18</v>
      </c>
      <c r="M1867" t="s">
        <v>48</v>
      </c>
      <c r="N1867" s="46">
        <v>0</v>
      </c>
      <c r="O1867" s="46">
        <v>0</v>
      </c>
      <c r="P1867" s="46">
        <v>0</v>
      </c>
      <c r="Q1867" t="s">
        <v>48</v>
      </c>
      <c r="R1867" t="s">
        <v>48</v>
      </c>
      <c r="S1867" s="43" t="s">
        <v>48</v>
      </c>
      <c r="T1867" s="43" t="s">
        <v>48</v>
      </c>
      <c r="U1867" s="43" t="s">
        <v>48</v>
      </c>
      <c r="V1867" s="47" t="s">
        <v>48</v>
      </c>
      <c r="W1867" t="s">
        <v>48</v>
      </c>
      <c r="X1867" t="s">
        <v>48</v>
      </c>
      <c r="Y1867" t="s">
        <v>48</v>
      </c>
      <c r="Z1867" t="s">
        <v>48</v>
      </c>
      <c r="AA1867" t="s">
        <v>48</v>
      </c>
      <c r="AB1867" t="s">
        <v>48</v>
      </c>
      <c r="AC1867" t="s">
        <v>49</v>
      </c>
      <c r="AD1867" t="s">
        <v>93</v>
      </c>
      <c r="AE1867" t="s">
        <v>4532</v>
      </c>
      <c r="AF1867" t="s">
        <v>48</v>
      </c>
      <c r="AG1867" t="s">
        <v>48</v>
      </c>
      <c r="AH1867" t="s">
        <v>48</v>
      </c>
      <c r="AI1867" t="s">
        <v>48</v>
      </c>
      <c r="AJ1867" t="s">
        <v>48</v>
      </c>
      <c r="AK1867" t="s">
        <v>48</v>
      </c>
      <c r="AL1867" t="s">
        <v>48</v>
      </c>
      <c r="AM1867" t="s">
        <v>48</v>
      </c>
      <c r="AN1867" t="s">
        <v>48</v>
      </c>
      <c r="AO1867" t="s">
        <v>48</v>
      </c>
      <c r="AP1867" s="46">
        <v>0</v>
      </c>
      <c r="AQ1867" s="46">
        <v>0</v>
      </c>
      <c r="AR1867" s="46">
        <v>0</v>
      </c>
      <c r="AS1867" s="46">
        <v>0</v>
      </c>
      <c r="AT1867" s="46">
        <v>0</v>
      </c>
      <c r="AU1867" s="46">
        <v>0</v>
      </c>
      <c r="AV1867" s="46">
        <v>0</v>
      </c>
      <c r="AW1867" s="46">
        <v>0</v>
      </c>
      <c r="AX1867" s="46">
        <v>0</v>
      </c>
      <c r="AY1867" s="46">
        <v>0</v>
      </c>
      <c r="AZ1867" s="46">
        <v>0</v>
      </c>
      <c r="BA1867" s="46">
        <v>0</v>
      </c>
      <c r="BB1867" s="46">
        <v>0</v>
      </c>
      <c r="BC1867" s="46">
        <v>0</v>
      </c>
      <c r="BD1867" s="46">
        <v>0</v>
      </c>
      <c r="BE1867" s="46">
        <v>0</v>
      </c>
      <c r="BF1867" s="46">
        <v>0</v>
      </c>
      <c r="BG1867" s="46" t="s">
        <v>48</v>
      </c>
      <c r="BH1867" s="46">
        <v>0</v>
      </c>
      <c r="BI1867" s="46">
        <v>0</v>
      </c>
      <c r="BJ1867" s="46">
        <v>0</v>
      </c>
      <c r="BK1867" s="46">
        <v>0</v>
      </c>
      <c r="BL1867" s="46">
        <v>0</v>
      </c>
      <c r="BM1867" s="46">
        <v>0</v>
      </c>
      <c r="BN1867" s="46">
        <v>0</v>
      </c>
    </row>
    <row r="1868" spans="1:66" x14ac:dyDescent="0.35">
      <c r="A1868" t="s">
        <v>4159</v>
      </c>
      <c r="B1868" s="44" t="s">
        <v>48</v>
      </c>
      <c r="C1868" t="s">
        <v>4163</v>
      </c>
      <c r="D1868" t="s">
        <v>4162</v>
      </c>
      <c r="E1868" t="s">
        <v>4161</v>
      </c>
      <c r="F1868" t="s">
        <v>4160</v>
      </c>
      <c r="G1868" t="s">
        <v>74</v>
      </c>
      <c r="H1868">
        <v>0</v>
      </c>
      <c r="I1868" s="60" t="s">
        <v>51</v>
      </c>
      <c r="J1868" s="33" t="s">
        <v>45</v>
      </c>
      <c r="K1868" s="46">
        <v>0</v>
      </c>
      <c r="L1868">
        <v>20.9</v>
      </c>
      <c r="M1868" t="s">
        <v>48</v>
      </c>
      <c r="N1868" s="46">
        <v>0</v>
      </c>
      <c r="O1868" s="46">
        <v>0</v>
      </c>
      <c r="P1868" s="46">
        <v>0</v>
      </c>
      <c r="Q1868" t="s">
        <v>48</v>
      </c>
      <c r="R1868" t="s">
        <v>48</v>
      </c>
      <c r="S1868" t="s">
        <v>10267</v>
      </c>
      <c r="T1868" t="s">
        <v>48</v>
      </c>
      <c r="U1868" t="s">
        <v>10267</v>
      </c>
      <c r="V1868" s="47">
        <v>1</v>
      </c>
      <c r="W1868" t="s">
        <v>48</v>
      </c>
      <c r="X1868" t="s">
        <v>48</v>
      </c>
      <c r="Y1868" t="s">
        <v>48</v>
      </c>
      <c r="Z1868">
        <v>0</v>
      </c>
      <c r="AA1868" t="s">
        <v>48</v>
      </c>
      <c r="AB1868" t="s">
        <v>48</v>
      </c>
      <c r="AC1868" t="s">
        <v>49</v>
      </c>
      <c r="AD1868" t="s">
        <v>93</v>
      </c>
      <c r="AE1868" t="s">
        <v>4532</v>
      </c>
      <c r="AF1868" t="s">
        <v>48</v>
      </c>
      <c r="AG1868" t="s">
        <v>48</v>
      </c>
      <c r="AH1868" t="s">
        <v>48</v>
      </c>
      <c r="AI1868" t="s">
        <v>48</v>
      </c>
      <c r="AJ1868" t="s">
        <v>48</v>
      </c>
      <c r="AK1868" t="s">
        <v>48</v>
      </c>
      <c r="AL1868" t="s">
        <v>48</v>
      </c>
      <c r="AM1868" t="s">
        <v>48</v>
      </c>
      <c r="AN1868" t="s">
        <v>48</v>
      </c>
      <c r="AO1868" t="s">
        <v>48</v>
      </c>
      <c r="AP1868" s="46">
        <v>0</v>
      </c>
      <c r="AQ1868" s="46">
        <v>0</v>
      </c>
      <c r="AR1868" s="46">
        <v>0</v>
      </c>
      <c r="AS1868" s="46">
        <v>0</v>
      </c>
      <c r="AT1868" s="46">
        <v>0</v>
      </c>
      <c r="AU1868" s="46">
        <v>0</v>
      </c>
      <c r="AV1868" s="46">
        <v>0</v>
      </c>
      <c r="AW1868" s="46">
        <v>0</v>
      </c>
      <c r="AX1868" s="46">
        <v>0</v>
      </c>
      <c r="AY1868" s="46">
        <v>0</v>
      </c>
      <c r="AZ1868" s="46">
        <v>0</v>
      </c>
      <c r="BA1868" s="46">
        <v>0</v>
      </c>
      <c r="BB1868" s="46">
        <v>0</v>
      </c>
      <c r="BC1868" s="46">
        <v>0</v>
      </c>
      <c r="BD1868" s="46">
        <v>0</v>
      </c>
      <c r="BE1868" s="46">
        <v>0</v>
      </c>
      <c r="BF1868" s="46">
        <v>0</v>
      </c>
      <c r="BG1868" s="46" t="s">
        <v>48</v>
      </c>
      <c r="BH1868" s="46">
        <v>0</v>
      </c>
      <c r="BI1868" s="46">
        <v>0</v>
      </c>
      <c r="BJ1868" s="46">
        <v>0</v>
      </c>
      <c r="BK1868" s="46">
        <v>0</v>
      </c>
      <c r="BL1868" s="46">
        <v>0</v>
      </c>
      <c r="BM1868" s="46">
        <v>0</v>
      </c>
      <c r="BN1868" s="46">
        <v>0</v>
      </c>
    </row>
    <row r="1869" spans="1:66" x14ac:dyDescent="0.35">
      <c r="A1869" t="s">
        <v>8313</v>
      </c>
      <c r="B1869" s="44" t="s">
        <v>48</v>
      </c>
      <c r="C1869" t="s">
        <v>12065</v>
      </c>
      <c r="D1869" t="s">
        <v>655</v>
      </c>
      <c r="E1869" s="40" t="s">
        <v>8314</v>
      </c>
      <c r="F1869" t="s">
        <v>4160</v>
      </c>
      <c r="G1869" t="s">
        <v>47</v>
      </c>
      <c r="H1869">
        <v>0</v>
      </c>
      <c r="I1869" s="61">
        <v>44727</v>
      </c>
      <c r="J1869" s="33" t="s">
        <v>45</v>
      </c>
      <c r="K1869" s="46">
        <v>0</v>
      </c>
      <c r="L1869">
        <v>10.199999999999999</v>
      </c>
      <c r="M1869" t="s">
        <v>48</v>
      </c>
      <c r="N1869" s="46">
        <v>0</v>
      </c>
      <c r="O1869" s="46">
        <v>0</v>
      </c>
      <c r="P1869" s="46">
        <v>0</v>
      </c>
      <c r="Q1869" t="s">
        <v>48</v>
      </c>
      <c r="R1869" t="s">
        <v>48</v>
      </c>
      <c r="S1869" t="s">
        <v>48</v>
      </c>
      <c r="T1869" t="s">
        <v>48</v>
      </c>
      <c r="U1869" t="s">
        <v>48</v>
      </c>
      <c r="V1869" s="47">
        <v>1</v>
      </c>
      <c r="W1869" t="s">
        <v>48</v>
      </c>
      <c r="X1869" t="s">
        <v>48</v>
      </c>
      <c r="Y1869" t="s">
        <v>48</v>
      </c>
      <c r="Z1869" t="s">
        <v>48</v>
      </c>
      <c r="AA1869" t="s">
        <v>48</v>
      </c>
      <c r="AB1869" t="s">
        <v>48</v>
      </c>
      <c r="AC1869" t="s">
        <v>49</v>
      </c>
      <c r="AD1869" t="s">
        <v>93</v>
      </c>
      <c r="AE1869" s="40" t="s">
        <v>4532</v>
      </c>
      <c r="AF1869" t="s">
        <v>48</v>
      </c>
      <c r="AG1869" t="s">
        <v>48</v>
      </c>
      <c r="AH1869" t="s">
        <v>48</v>
      </c>
      <c r="AI1869" t="s">
        <v>48</v>
      </c>
      <c r="AJ1869" t="s">
        <v>48</v>
      </c>
      <c r="AK1869" t="s">
        <v>48</v>
      </c>
      <c r="AL1869" t="s">
        <v>48</v>
      </c>
      <c r="AM1869" t="s">
        <v>48</v>
      </c>
      <c r="AN1869" t="s">
        <v>48</v>
      </c>
      <c r="AO1869" t="s">
        <v>48</v>
      </c>
      <c r="AP1869" s="46">
        <v>0</v>
      </c>
      <c r="AQ1869" s="46">
        <v>0</v>
      </c>
      <c r="AR1869" s="46">
        <v>0</v>
      </c>
      <c r="AS1869" s="46">
        <v>0</v>
      </c>
      <c r="AT1869" s="46">
        <v>0</v>
      </c>
      <c r="AU1869" s="46">
        <v>0</v>
      </c>
      <c r="AV1869" s="46">
        <v>0</v>
      </c>
      <c r="AW1869" s="46">
        <v>0</v>
      </c>
      <c r="AX1869" s="46">
        <v>0</v>
      </c>
      <c r="AY1869" s="46">
        <v>0</v>
      </c>
      <c r="AZ1869" s="46">
        <v>0</v>
      </c>
      <c r="BA1869" s="46">
        <v>0</v>
      </c>
      <c r="BB1869" s="46">
        <v>0</v>
      </c>
      <c r="BC1869" s="46">
        <v>0</v>
      </c>
      <c r="BD1869" s="46">
        <v>0</v>
      </c>
      <c r="BE1869" s="46">
        <v>0</v>
      </c>
      <c r="BF1869" s="46">
        <v>0</v>
      </c>
      <c r="BG1869" s="46" t="s">
        <v>48</v>
      </c>
      <c r="BH1869" s="46">
        <v>0</v>
      </c>
      <c r="BI1869" s="46">
        <v>0</v>
      </c>
      <c r="BJ1869" s="46">
        <v>0</v>
      </c>
      <c r="BK1869" s="46">
        <v>0</v>
      </c>
      <c r="BL1869" s="46">
        <v>0</v>
      </c>
      <c r="BM1869" s="46">
        <v>0</v>
      </c>
      <c r="BN1869" s="46">
        <v>0</v>
      </c>
    </row>
    <row r="1870" spans="1:66" x14ac:dyDescent="0.35">
      <c r="A1870" t="s">
        <v>4168</v>
      </c>
      <c r="B1870" s="44" t="s">
        <v>48</v>
      </c>
      <c r="C1870" t="s">
        <v>2533</v>
      </c>
      <c r="D1870" t="s">
        <v>3078</v>
      </c>
      <c r="E1870" t="s">
        <v>4170</v>
      </c>
      <c r="F1870" t="s">
        <v>4169</v>
      </c>
      <c r="G1870" t="s">
        <v>74</v>
      </c>
      <c r="H1870">
        <v>0</v>
      </c>
      <c r="I1870" s="60" t="s">
        <v>149</v>
      </c>
      <c r="J1870" s="33" t="s">
        <v>45</v>
      </c>
      <c r="K1870" s="46">
        <v>0</v>
      </c>
      <c r="L1870">
        <v>3.7</v>
      </c>
      <c r="M1870" t="s">
        <v>48</v>
      </c>
      <c r="N1870" s="46">
        <v>0</v>
      </c>
      <c r="O1870" s="46">
        <v>0</v>
      </c>
      <c r="P1870" s="46">
        <v>0</v>
      </c>
      <c r="Q1870" t="s">
        <v>48</v>
      </c>
      <c r="R1870" t="s">
        <v>48</v>
      </c>
      <c r="S1870" t="s">
        <v>48</v>
      </c>
      <c r="T1870" t="s">
        <v>48</v>
      </c>
      <c r="U1870" t="s">
        <v>48</v>
      </c>
      <c r="V1870" s="47">
        <v>1</v>
      </c>
      <c r="W1870" t="s">
        <v>48</v>
      </c>
      <c r="X1870" t="s">
        <v>48</v>
      </c>
      <c r="Y1870" t="s">
        <v>48</v>
      </c>
      <c r="Z1870">
        <v>0</v>
      </c>
      <c r="AA1870" t="s">
        <v>48</v>
      </c>
      <c r="AB1870" t="s">
        <v>48</v>
      </c>
      <c r="AC1870" t="s">
        <v>49</v>
      </c>
      <c r="AD1870" t="s">
        <v>93</v>
      </c>
      <c r="AE1870" t="s">
        <v>4532</v>
      </c>
      <c r="AF1870" t="s">
        <v>48</v>
      </c>
      <c r="AG1870" t="s">
        <v>48</v>
      </c>
      <c r="AH1870" t="s">
        <v>48</v>
      </c>
      <c r="AI1870" t="s">
        <v>48</v>
      </c>
      <c r="AJ1870" t="s">
        <v>48</v>
      </c>
      <c r="AK1870" t="s">
        <v>48</v>
      </c>
      <c r="AL1870" t="s">
        <v>48</v>
      </c>
      <c r="AM1870" t="s">
        <v>48</v>
      </c>
      <c r="AN1870" t="s">
        <v>48</v>
      </c>
      <c r="AO1870" t="s">
        <v>48</v>
      </c>
      <c r="AP1870" s="46">
        <v>0</v>
      </c>
      <c r="AQ1870" s="46">
        <v>0</v>
      </c>
      <c r="AR1870" s="46">
        <v>0</v>
      </c>
      <c r="AS1870" s="46">
        <v>0</v>
      </c>
      <c r="AT1870" s="46">
        <v>0</v>
      </c>
      <c r="AU1870" s="46">
        <v>0</v>
      </c>
      <c r="AV1870" s="46">
        <v>0</v>
      </c>
      <c r="AW1870" s="46">
        <v>0</v>
      </c>
      <c r="AX1870" s="46">
        <v>0</v>
      </c>
      <c r="AY1870" s="46">
        <v>0</v>
      </c>
      <c r="AZ1870" s="46">
        <v>0</v>
      </c>
      <c r="BA1870" s="46">
        <v>0</v>
      </c>
      <c r="BB1870" s="46">
        <v>0</v>
      </c>
      <c r="BC1870" s="46">
        <v>0</v>
      </c>
      <c r="BD1870" s="46">
        <v>0</v>
      </c>
      <c r="BE1870" s="46">
        <v>0</v>
      </c>
      <c r="BF1870" s="46">
        <v>0</v>
      </c>
      <c r="BG1870" s="46" t="s">
        <v>48</v>
      </c>
      <c r="BH1870" s="46">
        <v>0</v>
      </c>
      <c r="BI1870" s="46">
        <v>0</v>
      </c>
      <c r="BJ1870" s="46">
        <v>0</v>
      </c>
      <c r="BK1870" s="46">
        <v>0</v>
      </c>
      <c r="BL1870" s="46">
        <v>0</v>
      </c>
      <c r="BM1870" s="46">
        <v>0</v>
      </c>
      <c r="BN1870" s="46">
        <v>0</v>
      </c>
    </row>
    <row r="1871" spans="1:66" x14ac:dyDescent="0.35">
      <c r="A1871" t="s">
        <v>8318</v>
      </c>
      <c r="B1871" s="44" t="s">
        <v>48</v>
      </c>
      <c r="C1871" t="s">
        <v>3057</v>
      </c>
      <c r="D1871" t="s">
        <v>396</v>
      </c>
      <c r="E1871" t="s">
        <v>8319</v>
      </c>
      <c r="F1871" t="s">
        <v>4169</v>
      </c>
      <c r="G1871" t="s">
        <v>47</v>
      </c>
      <c r="H1871">
        <v>0</v>
      </c>
      <c r="I1871" s="61">
        <v>44727</v>
      </c>
      <c r="J1871" s="33" t="s">
        <v>45</v>
      </c>
      <c r="K1871" s="46">
        <v>0</v>
      </c>
      <c r="L1871">
        <v>20.9</v>
      </c>
      <c r="M1871" t="s">
        <v>48</v>
      </c>
      <c r="N1871" s="46">
        <v>0</v>
      </c>
      <c r="O1871" s="46">
        <v>0</v>
      </c>
      <c r="P1871" s="46">
        <v>0</v>
      </c>
      <c r="Q1871" t="s">
        <v>48</v>
      </c>
      <c r="R1871" t="s">
        <v>48</v>
      </c>
      <c r="S1871" t="s">
        <v>48</v>
      </c>
      <c r="T1871" t="s">
        <v>48</v>
      </c>
      <c r="U1871" t="s">
        <v>48</v>
      </c>
      <c r="V1871" s="47">
        <v>1</v>
      </c>
      <c r="W1871" t="s">
        <v>48</v>
      </c>
      <c r="X1871" t="s">
        <v>48</v>
      </c>
      <c r="Y1871" t="s">
        <v>48</v>
      </c>
      <c r="Z1871" t="s">
        <v>48</v>
      </c>
      <c r="AA1871" t="s">
        <v>48</v>
      </c>
      <c r="AB1871" t="s">
        <v>48</v>
      </c>
      <c r="AC1871" t="s">
        <v>49</v>
      </c>
      <c r="AD1871" t="s">
        <v>48</v>
      </c>
      <c r="AE1871" t="s">
        <v>48</v>
      </c>
      <c r="AF1871" t="s">
        <v>48</v>
      </c>
      <c r="AG1871" t="s">
        <v>48</v>
      </c>
      <c r="AH1871" t="s">
        <v>48</v>
      </c>
      <c r="AI1871" t="s">
        <v>48</v>
      </c>
      <c r="AJ1871" t="s">
        <v>48</v>
      </c>
      <c r="AK1871" t="s">
        <v>48</v>
      </c>
      <c r="AL1871" t="s">
        <v>48</v>
      </c>
      <c r="AM1871" t="s">
        <v>48</v>
      </c>
      <c r="AN1871" t="s">
        <v>48</v>
      </c>
      <c r="AO1871" t="s">
        <v>48</v>
      </c>
      <c r="AP1871" s="46">
        <v>0</v>
      </c>
      <c r="AQ1871" s="46">
        <v>0</v>
      </c>
      <c r="AR1871" s="46">
        <v>0</v>
      </c>
      <c r="AS1871" s="46">
        <v>0</v>
      </c>
      <c r="AT1871" s="46">
        <v>0</v>
      </c>
      <c r="AU1871" s="46">
        <v>0</v>
      </c>
      <c r="AV1871" s="46">
        <v>0</v>
      </c>
      <c r="AW1871" s="46">
        <v>0</v>
      </c>
      <c r="AX1871" s="46">
        <v>0</v>
      </c>
      <c r="AY1871" s="46">
        <v>0</v>
      </c>
      <c r="AZ1871" s="46">
        <v>0</v>
      </c>
      <c r="BA1871" s="46">
        <v>0</v>
      </c>
      <c r="BB1871" s="46">
        <v>0</v>
      </c>
      <c r="BC1871" s="46">
        <v>0</v>
      </c>
      <c r="BD1871" s="46">
        <v>0</v>
      </c>
      <c r="BE1871" s="46">
        <v>0</v>
      </c>
      <c r="BF1871" s="46">
        <v>0</v>
      </c>
      <c r="BG1871" s="46" t="s">
        <v>48</v>
      </c>
      <c r="BH1871" s="46">
        <v>0</v>
      </c>
      <c r="BI1871" s="46">
        <v>0</v>
      </c>
      <c r="BJ1871" s="46">
        <v>0</v>
      </c>
      <c r="BK1871" s="46">
        <v>0</v>
      </c>
      <c r="BL1871" s="46">
        <v>0</v>
      </c>
      <c r="BM1871" s="46">
        <v>0</v>
      </c>
      <c r="BN1871" s="46">
        <v>0</v>
      </c>
    </row>
    <row r="1872" spans="1:66" x14ac:dyDescent="0.35">
      <c r="A1872" t="s">
        <v>8317</v>
      </c>
      <c r="B1872" s="44" t="s">
        <v>48</v>
      </c>
      <c r="C1872" t="s">
        <v>12066</v>
      </c>
      <c r="D1872" t="s">
        <v>3991</v>
      </c>
      <c r="E1872" t="s">
        <v>11224</v>
      </c>
      <c r="F1872" t="s">
        <v>4169</v>
      </c>
      <c r="G1872" t="s">
        <v>47</v>
      </c>
      <c r="H1872">
        <v>0</v>
      </c>
      <c r="I1872" s="61">
        <v>44727</v>
      </c>
      <c r="J1872" s="33" t="s">
        <v>45</v>
      </c>
      <c r="K1872" s="46">
        <v>0</v>
      </c>
      <c r="L1872">
        <v>32.6</v>
      </c>
      <c r="M1872" t="s">
        <v>48</v>
      </c>
      <c r="N1872" s="46">
        <v>0</v>
      </c>
      <c r="O1872" s="46">
        <v>0</v>
      </c>
      <c r="P1872" s="46">
        <v>0</v>
      </c>
      <c r="Q1872" t="s">
        <v>48</v>
      </c>
      <c r="R1872" t="s">
        <v>48</v>
      </c>
      <c r="S1872" t="s">
        <v>10269</v>
      </c>
      <c r="T1872" t="s">
        <v>48</v>
      </c>
      <c r="U1872" t="s">
        <v>10269</v>
      </c>
      <c r="V1872" s="47">
        <v>1</v>
      </c>
      <c r="W1872" t="s">
        <v>48</v>
      </c>
      <c r="X1872" t="s">
        <v>48</v>
      </c>
      <c r="Y1872" t="s">
        <v>48</v>
      </c>
      <c r="Z1872" t="s">
        <v>48</v>
      </c>
      <c r="AA1872" t="s">
        <v>48</v>
      </c>
      <c r="AB1872" t="s">
        <v>48</v>
      </c>
      <c r="AC1872" t="s">
        <v>49</v>
      </c>
      <c r="AD1872" t="s">
        <v>93</v>
      </c>
      <c r="AE1872" t="s">
        <v>4532</v>
      </c>
      <c r="AF1872" t="s">
        <v>48</v>
      </c>
      <c r="AG1872" t="s">
        <v>48</v>
      </c>
      <c r="AH1872" t="s">
        <v>48</v>
      </c>
      <c r="AI1872" t="s">
        <v>48</v>
      </c>
      <c r="AJ1872" t="s">
        <v>48</v>
      </c>
      <c r="AK1872" t="s">
        <v>48</v>
      </c>
      <c r="AL1872" t="s">
        <v>48</v>
      </c>
      <c r="AM1872" t="s">
        <v>48</v>
      </c>
      <c r="AN1872" t="s">
        <v>48</v>
      </c>
      <c r="AO1872" t="s">
        <v>48</v>
      </c>
      <c r="AP1872" s="46">
        <v>0</v>
      </c>
      <c r="AQ1872" s="46">
        <v>0</v>
      </c>
      <c r="AR1872" s="46">
        <v>0</v>
      </c>
      <c r="AS1872" s="46">
        <v>0</v>
      </c>
      <c r="AT1872" s="46">
        <v>0</v>
      </c>
      <c r="AU1872" s="46">
        <v>0</v>
      </c>
      <c r="AV1872" s="46">
        <v>0</v>
      </c>
      <c r="AW1872" s="46">
        <v>0</v>
      </c>
      <c r="AX1872" s="46">
        <v>0</v>
      </c>
      <c r="AY1872" s="46">
        <v>0</v>
      </c>
      <c r="AZ1872" s="46">
        <v>0</v>
      </c>
      <c r="BA1872" s="46">
        <v>0</v>
      </c>
      <c r="BB1872" s="46">
        <v>0</v>
      </c>
      <c r="BC1872" s="46">
        <v>0</v>
      </c>
      <c r="BD1872" s="46">
        <v>0</v>
      </c>
      <c r="BE1872" s="46">
        <v>0</v>
      </c>
      <c r="BF1872" s="46">
        <v>0</v>
      </c>
      <c r="BG1872" s="46" t="s">
        <v>48</v>
      </c>
      <c r="BH1872" s="46">
        <v>0</v>
      </c>
      <c r="BI1872" s="46">
        <v>0</v>
      </c>
      <c r="BJ1872" s="46">
        <v>0</v>
      </c>
      <c r="BK1872" s="46">
        <v>0</v>
      </c>
      <c r="BL1872" s="46">
        <v>0</v>
      </c>
      <c r="BM1872" s="46">
        <v>0</v>
      </c>
      <c r="BN1872" s="46">
        <v>0</v>
      </c>
    </row>
    <row r="1873" spans="1:66" x14ac:dyDescent="0.35">
      <c r="A1873" t="s">
        <v>8320</v>
      </c>
      <c r="B1873" s="44" t="s">
        <v>48</v>
      </c>
      <c r="C1873" t="s">
        <v>718</v>
      </c>
      <c r="D1873" t="s">
        <v>12067</v>
      </c>
      <c r="E1873" t="s">
        <v>8321</v>
      </c>
      <c r="F1873" t="s">
        <v>4169</v>
      </c>
      <c r="G1873" t="s">
        <v>47</v>
      </c>
      <c r="H1873">
        <v>0</v>
      </c>
      <c r="I1873" s="61">
        <v>44727</v>
      </c>
      <c r="J1873" s="33" t="s">
        <v>45</v>
      </c>
      <c r="K1873" s="46">
        <v>0</v>
      </c>
      <c r="L1873">
        <v>3.5</v>
      </c>
      <c r="M1873" t="s">
        <v>48</v>
      </c>
      <c r="N1873" s="46">
        <v>0</v>
      </c>
      <c r="O1873" s="46">
        <v>0</v>
      </c>
      <c r="P1873" s="46">
        <v>0</v>
      </c>
      <c r="Q1873" t="s">
        <v>48</v>
      </c>
      <c r="R1873" t="s">
        <v>48</v>
      </c>
      <c r="S1873" t="s">
        <v>48</v>
      </c>
      <c r="T1873" t="s">
        <v>48</v>
      </c>
      <c r="U1873" t="s">
        <v>48</v>
      </c>
      <c r="V1873" s="47">
        <v>1</v>
      </c>
      <c r="W1873" t="s">
        <v>48</v>
      </c>
      <c r="X1873" t="s">
        <v>48</v>
      </c>
      <c r="Y1873" t="s">
        <v>48</v>
      </c>
      <c r="Z1873" t="s">
        <v>48</v>
      </c>
      <c r="AA1873" t="s">
        <v>48</v>
      </c>
      <c r="AB1873" t="s">
        <v>48</v>
      </c>
      <c r="AC1873" t="s">
        <v>49</v>
      </c>
      <c r="AD1873" t="s">
        <v>93</v>
      </c>
      <c r="AE1873" t="s">
        <v>2471</v>
      </c>
      <c r="AF1873" t="s">
        <v>48</v>
      </c>
      <c r="AG1873" t="s">
        <v>48</v>
      </c>
      <c r="AH1873" t="s">
        <v>48</v>
      </c>
      <c r="AI1873" t="s">
        <v>48</v>
      </c>
      <c r="AJ1873" t="s">
        <v>48</v>
      </c>
      <c r="AK1873" t="s">
        <v>48</v>
      </c>
      <c r="AL1873" t="s">
        <v>48</v>
      </c>
      <c r="AM1873" t="s">
        <v>48</v>
      </c>
      <c r="AN1873" t="s">
        <v>48</v>
      </c>
      <c r="AO1873" t="s">
        <v>48</v>
      </c>
      <c r="AP1873" s="46">
        <v>0</v>
      </c>
      <c r="AQ1873" s="46">
        <v>0</v>
      </c>
      <c r="AR1873" s="46">
        <v>0</v>
      </c>
      <c r="AS1873" s="46">
        <v>0</v>
      </c>
      <c r="AT1873" s="46">
        <v>0</v>
      </c>
      <c r="AU1873" s="46">
        <v>0</v>
      </c>
      <c r="AV1873" s="46">
        <v>0</v>
      </c>
      <c r="AW1873" s="46">
        <v>0</v>
      </c>
      <c r="AX1873" s="46">
        <v>0</v>
      </c>
      <c r="AY1873" s="46">
        <v>0</v>
      </c>
      <c r="AZ1873" s="46">
        <v>0</v>
      </c>
      <c r="BA1873" s="46">
        <v>0</v>
      </c>
      <c r="BB1873" s="46">
        <v>0</v>
      </c>
      <c r="BC1873" s="46">
        <v>0</v>
      </c>
      <c r="BD1873" s="46">
        <v>0</v>
      </c>
      <c r="BE1873" s="46">
        <v>0</v>
      </c>
      <c r="BF1873" s="46">
        <v>0</v>
      </c>
      <c r="BG1873" s="46" t="s">
        <v>48</v>
      </c>
      <c r="BH1873" s="46">
        <v>0</v>
      </c>
      <c r="BI1873" s="46">
        <v>0</v>
      </c>
      <c r="BJ1873" s="46">
        <v>0</v>
      </c>
      <c r="BK1873" s="46">
        <v>0</v>
      </c>
      <c r="BL1873" s="46">
        <v>0</v>
      </c>
      <c r="BM1873" s="46">
        <v>0</v>
      </c>
      <c r="BN1873" s="46">
        <v>0</v>
      </c>
    </row>
    <row r="1874" spans="1:66" x14ac:dyDescent="0.35">
      <c r="A1874" t="s">
        <v>4177</v>
      </c>
      <c r="B1874" s="44" t="s">
        <v>48</v>
      </c>
      <c r="C1874" t="s">
        <v>4182</v>
      </c>
      <c r="D1874" t="s">
        <v>396</v>
      </c>
      <c r="E1874" t="s">
        <v>4179</v>
      </c>
      <c r="F1874" t="s">
        <v>4178</v>
      </c>
      <c r="G1874" t="s">
        <v>47</v>
      </c>
      <c r="H1874">
        <v>0</v>
      </c>
      <c r="I1874" s="60" t="s">
        <v>51</v>
      </c>
      <c r="J1874" s="33" t="s">
        <v>45</v>
      </c>
      <c r="K1874" s="46">
        <v>1</v>
      </c>
      <c r="L1874">
        <v>46.9</v>
      </c>
      <c r="M1874" t="s">
        <v>48</v>
      </c>
      <c r="N1874" s="46">
        <v>0</v>
      </c>
      <c r="O1874" s="46">
        <v>0</v>
      </c>
      <c r="P1874" s="46">
        <v>0</v>
      </c>
      <c r="Q1874" t="s">
        <v>48</v>
      </c>
      <c r="R1874" t="s">
        <v>48</v>
      </c>
      <c r="S1874" t="s">
        <v>4180</v>
      </c>
      <c r="T1874" t="s">
        <v>4181</v>
      </c>
      <c r="U1874" t="s">
        <v>4180</v>
      </c>
      <c r="V1874" s="47">
        <v>0</v>
      </c>
      <c r="W1874" t="s">
        <v>48</v>
      </c>
      <c r="X1874" t="s">
        <v>48</v>
      </c>
      <c r="Y1874" t="s">
        <v>48</v>
      </c>
      <c r="Z1874">
        <v>0</v>
      </c>
      <c r="AA1874" t="s">
        <v>48</v>
      </c>
      <c r="AB1874">
        <v>2018</v>
      </c>
      <c r="AC1874" t="s">
        <v>49</v>
      </c>
      <c r="AD1874" t="s">
        <v>93</v>
      </c>
      <c r="AE1874" t="s">
        <v>4532</v>
      </c>
      <c r="AF1874" t="s">
        <v>48</v>
      </c>
      <c r="AG1874" t="s">
        <v>184</v>
      </c>
      <c r="AH1874" t="s">
        <v>93</v>
      </c>
      <c r="AI1874">
        <v>21927</v>
      </c>
      <c r="AJ1874">
        <v>1970</v>
      </c>
      <c r="AK1874" t="s">
        <v>9052</v>
      </c>
      <c r="AL1874" t="s">
        <v>9053</v>
      </c>
      <c r="AM1874">
        <v>0.52</v>
      </c>
      <c r="AN1874">
        <v>0.14699999999999999</v>
      </c>
      <c r="AO1874">
        <v>0.52</v>
      </c>
      <c r="AP1874" s="46">
        <v>0</v>
      </c>
      <c r="AQ1874" s="46">
        <v>0</v>
      </c>
      <c r="AR1874" s="46">
        <v>0</v>
      </c>
      <c r="AS1874" s="46">
        <v>0</v>
      </c>
      <c r="AT1874" s="46">
        <v>0</v>
      </c>
      <c r="AU1874" s="46">
        <v>0</v>
      </c>
      <c r="AV1874" s="46">
        <v>0</v>
      </c>
      <c r="AW1874" s="46">
        <v>0</v>
      </c>
      <c r="AX1874" s="46">
        <v>0</v>
      </c>
      <c r="AY1874" s="46">
        <v>0</v>
      </c>
      <c r="AZ1874" s="46">
        <v>0</v>
      </c>
      <c r="BA1874" s="46">
        <v>0</v>
      </c>
      <c r="BB1874" s="46">
        <v>0</v>
      </c>
      <c r="BC1874" s="46">
        <v>0</v>
      </c>
      <c r="BD1874" s="46">
        <v>0</v>
      </c>
      <c r="BE1874" s="46">
        <v>0</v>
      </c>
      <c r="BF1874" s="46">
        <v>0</v>
      </c>
      <c r="BG1874" s="46">
        <v>1</v>
      </c>
      <c r="BH1874" s="46">
        <v>0</v>
      </c>
      <c r="BI1874" s="46">
        <v>0</v>
      </c>
      <c r="BJ1874" s="46">
        <v>0</v>
      </c>
      <c r="BK1874" s="46">
        <v>0</v>
      </c>
      <c r="BL1874" s="46">
        <v>0</v>
      </c>
      <c r="BM1874" s="46">
        <v>0</v>
      </c>
      <c r="BN1874" s="46">
        <v>0</v>
      </c>
    </row>
    <row r="1875" spans="1:66" x14ac:dyDescent="0.35">
      <c r="A1875" t="s">
        <v>8324</v>
      </c>
      <c r="B1875" s="44" t="s">
        <v>48</v>
      </c>
      <c r="C1875" t="s">
        <v>255</v>
      </c>
      <c r="D1875" t="s">
        <v>253</v>
      </c>
      <c r="E1875" t="s">
        <v>8325</v>
      </c>
      <c r="F1875" t="s">
        <v>4178</v>
      </c>
      <c r="G1875" t="s">
        <v>47</v>
      </c>
      <c r="H1875">
        <v>0</v>
      </c>
      <c r="I1875" s="61">
        <v>44727</v>
      </c>
      <c r="J1875" s="33" t="s">
        <v>45</v>
      </c>
      <c r="K1875" s="46">
        <v>0</v>
      </c>
      <c r="L1875">
        <v>5.6</v>
      </c>
      <c r="M1875" t="s">
        <v>48</v>
      </c>
      <c r="N1875" s="46">
        <v>0</v>
      </c>
      <c r="O1875" s="46">
        <v>0</v>
      </c>
      <c r="P1875" s="46">
        <v>0</v>
      </c>
      <c r="Q1875" t="s">
        <v>48</v>
      </c>
      <c r="R1875" t="s">
        <v>48</v>
      </c>
      <c r="S1875" t="s">
        <v>48</v>
      </c>
      <c r="T1875" t="s">
        <v>48</v>
      </c>
      <c r="U1875" t="s">
        <v>48</v>
      </c>
      <c r="V1875" s="47">
        <v>0</v>
      </c>
      <c r="W1875" t="s">
        <v>48</v>
      </c>
      <c r="X1875" t="s">
        <v>48</v>
      </c>
      <c r="Y1875" t="s">
        <v>48</v>
      </c>
      <c r="Z1875" t="s">
        <v>48</v>
      </c>
      <c r="AA1875" t="s">
        <v>48</v>
      </c>
      <c r="AB1875" t="s">
        <v>48</v>
      </c>
      <c r="AC1875" t="s">
        <v>49</v>
      </c>
      <c r="AD1875" t="s">
        <v>93</v>
      </c>
      <c r="AE1875" t="s">
        <v>4532</v>
      </c>
      <c r="AF1875" t="s">
        <v>48</v>
      </c>
      <c r="AG1875" t="s">
        <v>48</v>
      </c>
      <c r="AH1875" t="s">
        <v>48</v>
      </c>
      <c r="AI1875" t="s">
        <v>48</v>
      </c>
      <c r="AJ1875" t="s">
        <v>48</v>
      </c>
      <c r="AK1875" t="s">
        <v>48</v>
      </c>
      <c r="AL1875" t="s">
        <v>48</v>
      </c>
      <c r="AM1875" t="s">
        <v>48</v>
      </c>
      <c r="AN1875" t="s">
        <v>48</v>
      </c>
      <c r="AO1875" t="s">
        <v>48</v>
      </c>
      <c r="AP1875" s="46">
        <v>0</v>
      </c>
      <c r="AQ1875" s="46">
        <v>0</v>
      </c>
      <c r="AR1875" s="46">
        <v>0</v>
      </c>
      <c r="AS1875" s="46">
        <v>0</v>
      </c>
      <c r="AT1875" s="46">
        <v>0</v>
      </c>
      <c r="AU1875" s="46">
        <v>0</v>
      </c>
      <c r="AV1875" s="46">
        <v>0</v>
      </c>
      <c r="AW1875" s="46">
        <v>0</v>
      </c>
      <c r="AX1875" s="46">
        <v>0</v>
      </c>
      <c r="AY1875" s="46">
        <v>0</v>
      </c>
      <c r="AZ1875" s="46">
        <v>0</v>
      </c>
      <c r="BA1875" s="46">
        <v>0</v>
      </c>
      <c r="BB1875" s="46">
        <v>0</v>
      </c>
      <c r="BC1875" s="46">
        <v>0</v>
      </c>
      <c r="BD1875" s="46">
        <v>0</v>
      </c>
      <c r="BE1875" s="46">
        <v>0</v>
      </c>
      <c r="BF1875" s="46">
        <v>0</v>
      </c>
      <c r="BG1875" s="46" t="s">
        <v>48</v>
      </c>
      <c r="BH1875" s="46">
        <v>0</v>
      </c>
      <c r="BI1875" s="46">
        <v>0</v>
      </c>
      <c r="BJ1875" s="46">
        <v>0</v>
      </c>
      <c r="BK1875" s="46">
        <v>0</v>
      </c>
      <c r="BL1875" s="46">
        <v>0</v>
      </c>
      <c r="BM1875" s="46">
        <v>0</v>
      </c>
      <c r="BN1875" s="46">
        <v>0</v>
      </c>
    </row>
    <row r="1876" spans="1:66" x14ac:dyDescent="0.35">
      <c r="A1876" t="s">
        <v>4211</v>
      </c>
      <c r="B1876" s="44" t="s">
        <v>48</v>
      </c>
      <c r="C1876" t="s">
        <v>4215</v>
      </c>
      <c r="D1876" t="s">
        <v>4214</v>
      </c>
      <c r="E1876" t="s">
        <v>4212</v>
      </c>
      <c r="F1876" t="s">
        <v>4188</v>
      </c>
      <c r="G1876" t="s">
        <v>47</v>
      </c>
      <c r="H1876">
        <v>0</v>
      </c>
      <c r="I1876" s="60" t="s">
        <v>716</v>
      </c>
      <c r="J1876" s="33" t="s">
        <v>45</v>
      </c>
      <c r="K1876" s="46">
        <v>0</v>
      </c>
      <c r="L1876">
        <v>9.4</v>
      </c>
      <c r="M1876" t="s">
        <v>48</v>
      </c>
      <c r="N1876" s="46">
        <v>0</v>
      </c>
      <c r="O1876" s="46">
        <v>0</v>
      </c>
      <c r="P1876" s="46">
        <v>0</v>
      </c>
      <c r="Q1876" t="s">
        <v>48</v>
      </c>
      <c r="R1876" t="s">
        <v>48</v>
      </c>
      <c r="S1876" t="s">
        <v>4213</v>
      </c>
      <c r="T1876" t="s">
        <v>48</v>
      </c>
      <c r="U1876" t="s">
        <v>4213</v>
      </c>
      <c r="V1876" s="47">
        <v>0</v>
      </c>
      <c r="W1876" t="s">
        <v>48</v>
      </c>
      <c r="X1876" t="s">
        <v>48</v>
      </c>
      <c r="Y1876" t="s">
        <v>48</v>
      </c>
      <c r="Z1876">
        <v>0</v>
      </c>
      <c r="AA1876" t="s">
        <v>48</v>
      </c>
      <c r="AB1876" t="s">
        <v>48</v>
      </c>
      <c r="AC1876" t="s">
        <v>49</v>
      </c>
      <c r="AD1876" t="s">
        <v>93</v>
      </c>
      <c r="AE1876" t="s">
        <v>4532</v>
      </c>
      <c r="AF1876" t="s">
        <v>48</v>
      </c>
      <c r="AG1876" t="s">
        <v>48</v>
      </c>
      <c r="AH1876" t="s">
        <v>48</v>
      </c>
      <c r="AI1876" t="s">
        <v>48</v>
      </c>
      <c r="AJ1876" t="s">
        <v>48</v>
      </c>
      <c r="AK1876" t="s">
        <v>48</v>
      </c>
      <c r="AL1876" t="s">
        <v>48</v>
      </c>
      <c r="AM1876" t="s">
        <v>48</v>
      </c>
      <c r="AN1876" t="s">
        <v>48</v>
      </c>
      <c r="AO1876" t="s">
        <v>48</v>
      </c>
      <c r="AP1876" s="46">
        <v>0</v>
      </c>
      <c r="AQ1876" s="46">
        <v>0</v>
      </c>
      <c r="AR1876" s="46">
        <v>0</v>
      </c>
      <c r="AS1876" s="46">
        <v>0</v>
      </c>
      <c r="AT1876" s="46">
        <v>0</v>
      </c>
      <c r="AU1876" s="46">
        <v>0</v>
      </c>
      <c r="AV1876" s="46">
        <v>0</v>
      </c>
      <c r="AW1876" s="46">
        <v>0</v>
      </c>
      <c r="AX1876" s="46">
        <v>0</v>
      </c>
      <c r="AY1876" s="46">
        <v>0</v>
      </c>
      <c r="AZ1876" s="46">
        <v>0</v>
      </c>
      <c r="BA1876" s="46">
        <v>0</v>
      </c>
      <c r="BB1876" s="46">
        <v>0</v>
      </c>
      <c r="BC1876" s="46">
        <v>0</v>
      </c>
      <c r="BD1876" s="46">
        <v>0</v>
      </c>
      <c r="BE1876" s="46">
        <v>0</v>
      </c>
      <c r="BF1876" s="46">
        <v>0</v>
      </c>
      <c r="BG1876" s="46" t="s">
        <v>48</v>
      </c>
      <c r="BH1876" s="46">
        <v>0</v>
      </c>
      <c r="BI1876" s="46">
        <v>0</v>
      </c>
      <c r="BJ1876" s="46">
        <v>0</v>
      </c>
      <c r="BK1876" s="46">
        <v>0</v>
      </c>
      <c r="BL1876" s="46">
        <v>0</v>
      </c>
      <c r="BM1876" s="46">
        <v>0</v>
      </c>
      <c r="BN1876" s="46">
        <v>0</v>
      </c>
    </row>
    <row r="1877" spans="1:66" x14ac:dyDescent="0.35">
      <c r="A1877" t="s">
        <v>4187</v>
      </c>
      <c r="B1877" s="44" t="s">
        <v>48</v>
      </c>
      <c r="C1877" t="s">
        <v>4191</v>
      </c>
      <c r="D1877" t="s">
        <v>373</v>
      </c>
      <c r="E1877" t="s">
        <v>4189</v>
      </c>
      <c r="F1877" t="s">
        <v>4188</v>
      </c>
      <c r="G1877" t="s">
        <v>47</v>
      </c>
      <c r="H1877">
        <v>0</v>
      </c>
      <c r="I1877" s="60" t="s">
        <v>51</v>
      </c>
      <c r="J1877" s="33" t="s">
        <v>45</v>
      </c>
      <c r="K1877" s="46">
        <v>0</v>
      </c>
      <c r="L1877">
        <v>6.2</v>
      </c>
      <c r="M1877" t="s">
        <v>48</v>
      </c>
      <c r="N1877" s="46">
        <v>0</v>
      </c>
      <c r="O1877" s="46">
        <v>0</v>
      </c>
      <c r="P1877" s="46">
        <v>0</v>
      </c>
      <c r="Q1877" t="s">
        <v>48</v>
      </c>
      <c r="R1877" t="s">
        <v>48</v>
      </c>
      <c r="S1877" t="s">
        <v>4190</v>
      </c>
      <c r="T1877" t="s">
        <v>48</v>
      </c>
      <c r="U1877" t="s">
        <v>4190</v>
      </c>
      <c r="V1877" s="47">
        <v>0</v>
      </c>
      <c r="W1877" t="s">
        <v>48</v>
      </c>
      <c r="X1877" t="s">
        <v>48</v>
      </c>
      <c r="Y1877" t="s">
        <v>48</v>
      </c>
      <c r="Z1877">
        <v>0</v>
      </c>
      <c r="AA1877" t="s">
        <v>48</v>
      </c>
      <c r="AB1877" t="s">
        <v>48</v>
      </c>
      <c r="AC1877" t="s">
        <v>49</v>
      </c>
      <c r="AD1877" t="s">
        <v>93</v>
      </c>
      <c r="AE1877" t="s">
        <v>4532</v>
      </c>
      <c r="AF1877" t="s">
        <v>48</v>
      </c>
      <c r="AG1877" t="s">
        <v>48</v>
      </c>
      <c r="AH1877" t="s">
        <v>48</v>
      </c>
      <c r="AI1877" t="s">
        <v>48</v>
      </c>
      <c r="AJ1877" t="s">
        <v>48</v>
      </c>
      <c r="AK1877" t="s">
        <v>48</v>
      </c>
      <c r="AL1877" t="s">
        <v>48</v>
      </c>
      <c r="AM1877" t="s">
        <v>48</v>
      </c>
      <c r="AN1877" t="s">
        <v>48</v>
      </c>
      <c r="AO1877" t="s">
        <v>48</v>
      </c>
      <c r="AP1877" s="46">
        <v>0</v>
      </c>
      <c r="AQ1877" s="46">
        <v>0</v>
      </c>
      <c r="AR1877" s="46">
        <v>0</v>
      </c>
      <c r="AS1877" s="46">
        <v>0</v>
      </c>
      <c r="AT1877" s="46">
        <v>0</v>
      </c>
      <c r="AU1877" s="46">
        <v>0</v>
      </c>
      <c r="AV1877" s="46">
        <v>0</v>
      </c>
      <c r="AW1877" s="46">
        <v>0</v>
      </c>
      <c r="AX1877" s="46">
        <v>0</v>
      </c>
      <c r="AY1877" s="46">
        <v>0</v>
      </c>
      <c r="AZ1877" s="46">
        <v>0</v>
      </c>
      <c r="BA1877" s="46">
        <v>0</v>
      </c>
      <c r="BB1877" s="46">
        <v>0</v>
      </c>
      <c r="BC1877" s="46">
        <v>0</v>
      </c>
      <c r="BD1877" s="46">
        <v>0</v>
      </c>
      <c r="BE1877" s="46">
        <v>0</v>
      </c>
      <c r="BF1877" s="46">
        <v>0</v>
      </c>
      <c r="BG1877" s="46" t="s">
        <v>48</v>
      </c>
      <c r="BH1877" s="46">
        <v>0</v>
      </c>
      <c r="BI1877" s="46">
        <v>0</v>
      </c>
      <c r="BJ1877" s="46">
        <v>0</v>
      </c>
      <c r="BK1877" s="46">
        <v>0</v>
      </c>
      <c r="BL1877" s="46">
        <v>0</v>
      </c>
      <c r="BM1877" s="46">
        <v>0</v>
      </c>
      <c r="BN1877" s="46">
        <v>0</v>
      </c>
    </row>
    <row r="1878" spans="1:66" x14ac:dyDescent="0.35">
      <c r="A1878" t="s">
        <v>4209</v>
      </c>
      <c r="B1878" s="44" t="s">
        <v>48</v>
      </c>
      <c r="C1878" t="s">
        <v>4013</v>
      </c>
      <c r="D1878" t="s">
        <v>2428</v>
      </c>
      <c r="E1878" t="s">
        <v>4210</v>
      </c>
      <c r="F1878" t="s">
        <v>4188</v>
      </c>
      <c r="G1878" t="s">
        <v>47</v>
      </c>
      <c r="H1878">
        <v>0</v>
      </c>
      <c r="I1878" s="60" t="s">
        <v>51</v>
      </c>
      <c r="J1878" s="33" t="s">
        <v>45</v>
      </c>
      <c r="K1878" s="46">
        <v>0</v>
      </c>
      <c r="L1878">
        <v>22.2</v>
      </c>
      <c r="M1878" t="s">
        <v>48</v>
      </c>
      <c r="N1878" s="46">
        <v>0</v>
      </c>
      <c r="O1878" s="46">
        <v>0</v>
      </c>
      <c r="P1878" s="46">
        <v>0</v>
      </c>
      <c r="Q1878" t="s">
        <v>48</v>
      </c>
      <c r="R1878" t="s">
        <v>48</v>
      </c>
      <c r="S1878" t="s">
        <v>10273</v>
      </c>
      <c r="T1878" t="s">
        <v>48</v>
      </c>
      <c r="U1878" t="s">
        <v>10273</v>
      </c>
      <c r="V1878" s="47">
        <v>0</v>
      </c>
      <c r="W1878" t="s">
        <v>48</v>
      </c>
      <c r="X1878" t="s">
        <v>48</v>
      </c>
      <c r="Y1878" t="s">
        <v>48</v>
      </c>
      <c r="Z1878">
        <v>0</v>
      </c>
      <c r="AA1878" t="s">
        <v>48</v>
      </c>
      <c r="AB1878" t="s">
        <v>48</v>
      </c>
      <c r="AC1878" t="s">
        <v>49</v>
      </c>
      <c r="AD1878" t="s">
        <v>93</v>
      </c>
      <c r="AE1878" t="s">
        <v>4532</v>
      </c>
      <c r="AF1878" t="s">
        <v>48</v>
      </c>
      <c r="AG1878" t="s">
        <v>48</v>
      </c>
      <c r="AH1878" t="s">
        <v>48</v>
      </c>
      <c r="AI1878" t="s">
        <v>48</v>
      </c>
      <c r="AJ1878" t="s">
        <v>48</v>
      </c>
      <c r="AK1878" t="s">
        <v>48</v>
      </c>
      <c r="AL1878" t="s">
        <v>48</v>
      </c>
      <c r="AM1878" t="s">
        <v>48</v>
      </c>
      <c r="AN1878" t="s">
        <v>48</v>
      </c>
      <c r="AO1878" t="s">
        <v>48</v>
      </c>
      <c r="AP1878" s="46">
        <v>0</v>
      </c>
      <c r="AQ1878" s="46">
        <v>0</v>
      </c>
      <c r="AR1878" s="46">
        <v>0</v>
      </c>
      <c r="AS1878" s="46">
        <v>0</v>
      </c>
      <c r="AT1878" s="46">
        <v>0</v>
      </c>
      <c r="AU1878" s="46">
        <v>0</v>
      </c>
      <c r="AV1878" s="46">
        <v>0</v>
      </c>
      <c r="AW1878" s="46">
        <v>0</v>
      </c>
      <c r="AX1878" s="46">
        <v>0</v>
      </c>
      <c r="AY1878" s="46">
        <v>0</v>
      </c>
      <c r="AZ1878" s="46">
        <v>0</v>
      </c>
      <c r="BA1878" s="46">
        <v>0</v>
      </c>
      <c r="BB1878" s="46">
        <v>0</v>
      </c>
      <c r="BC1878" s="46">
        <v>0</v>
      </c>
      <c r="BD1878" s="46">
        <v>0</v>
      </c>
      <c r="BE1878" s="46">
        <v>0</v>
      </c>
      <c r="BF1878" s="46">
        <v>0</v>
      </c>
      <c r="BG1878" s="46" t="s">
        <v>48</v>
      </c>
      <c r="BH1878" s="46">
        <v>0</v>
      </c>
      <c r="BI1878" s="46">
        <v>0</v>
      </c>
      <c r="BJ1878" s="46">
        <v>0</v>
      </c>
      <c r="BK1878" s="46">
        <v>0</v>
      </c>
      <c r="BL1878" s="46">
        <v>0</v>
      </c>
      <c r="BM1878" s="46">
        <v>0</v>
      </c>
      <c r="BN1878" s="46">
        <v>0</v>
      </c>
    </row>
    <row r="1879" spans="1:66" x14ac:dyDescent="0.35">
      <c r="A1879" t="s">
        <v>4206</v>
      </c>
      <c r="B1879" s="44" t="s">
        <v>48</v>
      </c>
      <c r="C1879" t="s">
        <v>4208</v>
      </c>
      <c r="D1879" t="s">
        <v>268</v>
      </c>
      <c r="E1879" t="s">
        <v>4207</v>
      </c>
      <c r="F1879" t="s">
        <v>4188</v>
      </c>
      <c r="G1879" t="s">
        <v>74</v>
      </c>
      <c r="H1879">
        <v>0</v>
      </c>
      <c r="I1879" s="60" t="s">
        <v>51</v>
      </c>
      <c r="J1879" s="33" t="s">
        <v>45</v>
      </c>
      <c r="K1879" s="46">
        <v>0</v>
      </c>
      <c r="L1879">
        <v>15.1</v>
      </c>
      <c r="M1879" t="s">
        <v>48</v>
      </c>
      <c r="N1879" s="46">
        <v>0</v>
      </c>
      <c r="O1879" s="46">
        <v>0</v>
      </c>
      <c r="P1879" s="46">
        <v>0</v>
      </c>
      <c r="Q1879" t="s">
        <v>48</v>
      </c>
      <c r="R1879" t="s">
        <v>48</v>
      </c>
      <c r="S1879" t="s">
        <v>10271</v>
      </c>
      <c r="T1879" t="s">
        <v>48</v>
      </c>
      <c r="U1879" t="s">
        <v>10271</v>
      </c>
      <c r="V1879" s="47">
        <v>0</v>
      </c>
      <c r="W1879" t="s">
        <v>48</v>
      </c>
      <c r="X1879" t="s">
        <v>48</v>
      </c>
      <c r="Y1879" t="s">
        <v>48</v>
      </c>
      <c r="Z1879">
        <v>0</v>
      </c>
      <c r="AA1879" t="s">
        <v>48</v>
      </c>
      <c r="AB1879" t="s">
        <v>48</v>
      </c>
      <c r="AC1879" t="s">
        <v>49</v>
      </c>
      <c r="AD1879" t="s">
        <v>93</v>
      </c>
      <c r="AE1879" t="s">
        <v>4532</v>
      </c>
      <c r="AF1879" t="s">
        <v>48</v>
      </c>
      <c r="AG1879" t="s">
        <v>48</v>
      </c>
      <c r="AH1879" t="s">
        <v>48</v>
      </c>
      <c r="AI1879" t="s">
        <v>48</v>
      </c>
      <c r="AJ1879" t="s">
        <v>48</v>
      </c>
      <c r="AK1879" t="s">
        <v>48</v>
      </c>
      <c r="AL1879" t="s">
        <v>48</v>
      </c>
      <c r="AM1879" t="s">
        <v>48</v>
      </c>
      <c r="AN1879" t="s">
        <v>48</v>
      </c>
      <c r="AO1879" t="s">
        <v>48</v>
      </c>
      <c r="AP1879" s="46">
        <v>0</v>
      </c>
      <c r="AQ1879" s="46">
        <v>0</v>
      </c>
      <c r="AR1879" s="46">
        <v>0</v>
      </c>
      <c r="AS1879" s="46">
        <v>0</v>
      </c>
      <c r="AT1879" s="46">
        <v>0</v>
      </c>
      <c r="AU1879" s="46">
        <v>0</v>
      </c>
      <c r="AV1879" s="46">
        <v>0</v>
      </c>
      <c r="AW1879" s="46">
        <v>0</v>
      </c>
      <c r="AX1879" s="46">
        <v>0</v>
      </c>
      <c r="AY1879" s="46">
        <v>0</v>
      </c>
      <c r="AZ1879" s="46">
        <v>0</v>
      </c>
      <c r="BA1879" s="46">
        <v>0</v>
      </c>
      <c r="BB1879" s="46">
        <v>0</v>
      </c>
      <c r="BC1879" s="46">
        <v>0</v>
      </c>
      <c r="BD1879" s="46">
        <v>0</v>
      </c>
      <c r="BE1879" s="46">
        <v>0</v>
      </c>
      <c r="BF1879" s="46">
        <v>0</v>
      </c>
      <c r="BG1879" s="46" t="s">
        <v>48</v>
      </c>
      <c r="BH1879" s="46">
        <v>0</v>
      </c>
      <c r="BI1879" s="46">
        <v>0</v>
      </c>
      <c r="BJ1879" s="46">
        <v>0</v>
      </c>
      <c r="BK1879" s="46">
        <v>0</v>
      </c>
      <c r="BL1879" s="46">
        <v>0</v>
      </c>
      <c r="BM1879" s="46">
        <v>0</v>
      </c>
      <c r="BN1879" s="46">
        <v>0</v>
      </c>
    </row>
    <row r="1880" spans="1:66" x14ac:dyDescent="0.35">
      <c r="A1880" t="s">
        <v>9540</v>
      </c>
      <c r="B1880" s="44" t="s">
        <v>48</v>
      </c>
      <c r="C1880" t="s">
        <v>861</v>
      </c>
      <c r="D1880" t="s">
        <v>12068</v>
      </c>
      <c r="E1880" t="s">
        <v>9541</v>
      </c>
      <c r="F1880" t="s">
        <v>4188</v>
      </c>
      <c r="G1880" t="s">
        <v>47</v>
      </c>
      <c r="H1880">
        <v>0</v>
      </c>
      <c r="I1880" s="61">
        <v>44741</v>
      </c>
      <c r="J1880" s="33" t="s">
        <v>45</v>
      </c>
      <c r="K1880" s="46">
        <v>0</v>
      </c>
      <c r="L1880">
        <v>0.9</v>
      </c>
      <c r="M1880" t="s">
        <v>48</v>
      </c>
      <c r="N1880" s="46">
        <v>0</v>
      </c>
      <c r="O1880" s="46">
        <v>0</v>
      </c>
      <c r="P1880" s="46">
        <v>0</v>
      </c>
      <c r="Q1880" t="s">
        <v>48</v>
      </c>
      <c r="R1880" t="s">
        <v>48</v>
      </c>
      <c r="S1880" t="s">
        <v>48</v>
      </c>
      <c r="T1880" t="s">
        <v>48</v>
      </c>
      <c r="U1880" t="s">
        <v>48</v>
      </c>
      <c r="V1880" s="47">
        <v>0</v>
      </c>
      <c r="W1880" t="s">
        <v>48</v>
      </c>
      <c r="X1880" t="s">
        <v>48</v>
      </c>
      <c r="Y1880" t="s">
        <v>48</v>
      </c>
      <c r="Z1880" t="s">
        <v>48</v>
      </c>
      <c r="AA1880" t="s">
        <v>48</v>
      </c>
      <c r="AB1880" t="s">
        <v>48</v>
      </c>
      <c r="AC1880" t="s">
        <v>49</v>
      </c>
      <c r="AD1880" t="s">
        <v>93</v>
      </c>
      <c r="AE1880" t="s">
        <v>4532</v>
      </c>
      <c r="AF1880" t="s">
        <v>48</v>
      </c>
      <c r="AG1880" t="s">
        <v>48</v>
      </c>
      <c r="AH1880" t="s">
        <v>48</v>
      </c>
      <c r="AI1880" t="s">
        <v>48</v>
      </c>
      <c r="AJ1880" t="s">
        <v>48</v>
      </c>
      <c r="AK1880" t="s">
        <v>48</v>
      </c>
      <c r="AL1880" t="s">
        <v>48</v>
      </c>
      <c r="AM1880" t="s">
        <v>48</v>
      </c>
      <c r="AN1880" t="s">
        <v>48</v>
      </c>
      <c r="AO1880" t="s">
        <v>48</v>
      </c>
      <c r="AP1880" s="46">
        <v>0</v>
      </c>
      <c r="AQ1880" s="46">
        <v>0</v>
      </c>
      <c r="AR1880" s="46">
        <v>0</v>
      </c>
      <c r="AS1880" s="46">
        <v>0</v>
      </c>
      <c r="AT1880" s="46">
        <v>0</v>
      </c>
      <c r="AU1880" s="46">
        <v>0</v>
      </c>
      <c r="AV1880" s="46">
        <v>0</v>
      </c>
      <c r="AW1880" s="46">
        <v>0</v>
      </c>
      <c r="AX1880" s="46">
        <v>0</v>
      </c>
      <c r="AY1880" s="46">
        <v>0</v>
      </c>
      <c r="AZ1880" s="46">
        <v>0</v>
      </c>
      <c r="BA1880" s="46">
        <v>0</v>
      </c>
      <c r="BB1880" s="46">
        <v>0</v>
      </c>
      <c r="BC1880" s="46">
        <v>0</v>
      </c>
      <c r="BD1880" s="46">
        <v>0</v>
      </c>
      <c r="BE1880" s="46">
        <v>0</v>
      </c>
      <c r="BF1880" s="46">
        <v>0</v>
      </c>
      <c r="BG1880" s="46" t="s">
        <v>48</v>
      </c>
      <c r="BH1880" s="46">
        <v>0</v>
      </c>
      <c r="BI1880" s="46">
        <v>0</v>
      </c>
      <c r="BJ1880" s="46">
        <v>0</v>
      </c>
      <c r="BK1880" s="46">
        <v>0</v>
      </c>
      <c r="BL1880" s="46">
        <v>0</v>
      </c>
      <c r="BM1880" s="46">
        <v>0</v>
      </c>
      <c r="BN1880" s="46">
        <v>0</v>
      </c>
    </row>
    <row r="1881" spans="1:66" x14ac:dyDescent="0.35">
      <c r="A1881" t="s">
        <v>4192</v>
      </c>
      <c r="B1881" s="44" t="s">
        <v>48</v>
      </c>
      <c r="C1881" t="s">
        <v>95</v>
      </c>
      <c r="D1881" t="s">
        <v>4008</v>
      </c>
      <c r="E1881" t="s">
        <v>4193</v>
      </c>
      <c r="F1881" t="s">
        <v>4188</v>
      </c>
      <c r="G1881" t="s">
        <v>47</v>
      </c>
      <c r="H1881">
        <v>0</v>
      </c>
      <c r="I1881" s="60" t="s">
        <v>51</v>
      </c>
      <c r="J1881" s="33" t="s">
        <v>45</v>
      </c>
      <c r="K1881" s="46">
        <v>0</v>
      </c>
      <c r="L1881">
        <v>4.5999999999999996</v>
      </c>
      <c r="M1881" t="s">
        <v>48</v>
      </c>
      <c r="N1881" s="46">
        <v>0</v>
      </c>
      <c r="O1881" s="46">
        <v>0</v>
      </c>
      <c r="P1881" s="46">
        <v>0</v>
      </c>
      <c r="Q1881" t="s">
        <v>48</v>
      </c>
      <c r="R1881" t="s">
        <v>48</v>
      </c>
      <c r="S1881" t="s">
        <v>4194</v>
      </c>
      <c r="T1881" t="s">
        <v>48</v>
      </c>
      <c r="U1881" t="s">
        <v>4194</v>
      </c>
      <c r="V1881" s="47">
        <v>1</v>
      </c>
      <c r="W1881" t="s">
        <v>48</v>
      </c>
      <c r="X1881" t="s">
        <v>48</v>
      </c>
      <c r="Y1881" t="s">
        <v>48</v>
      </c>
      <c r="Z1881">
        <v>0</v>
      </c>
      <c r="AA1881" t="s">
        <v>48</v>
      </c>
      <c r="AB1881" t="s">
        <v>48</v>
      </c>
      <c r="AC1881" t="s">
        <v>49</v>
      </c>
      <c r="AD1881" t="s">
        <v>93</v>
      </c>
      <c r="AE1881" s="40" t="s">
        <v>2471</v>
      </c>
      <c r="AF1881" t="s">
        <v>11061</v>
      </c>
      <c r="AG1881" t="s">
        <v>48</v>
      </c>
      <c r="AH1881" t="s">
        <v>48</v>
      </c>
      <c r="AI1881" t="s">
        <v>48</v>
      </c>
      <c r="AJ1881" t="s">
        <v>48</v>
      </c>
      <c r="AK1881" t="s">
        <v>48</v>
      </c>
      <c r="AL1881" t="s">
        <v>48</v>
      </c>
      <c r="AM1881" t="s">
        <v>48</v>
      </c>
      <c r="AN1881" t="s">
        <v>48</v>
      </c>
      <c r="AO1881" t="s">
        <v>48</v>
      </c>
      <c r="AP1881" s="46">
        <v>0</v>
      </c>
      <c r="AQ1881" s="46">
        <v>0</v>
      </c>
      <c r="AR1881" s="46">
        <v>0</v>
      </c>
      <c r="AS1881" s="46">
        <v>0</v>
      </c>
      <c r="AT1881" s="46">
        <v>0</v>
      </c>
      <c r="AU1881" s="46">
        <v>0</v>
      </c>
      <c r="AV1881" s="46">
        <v>0</v>
      </c>
      <c r="AW1881" s="46">
        <v>0</v>
      </c>
      <c r="AX1881" s="46">
        <v>0</v>
      </c>
      <c r="AY1881" s="46">
        <v>0</v>
      </c>
      <c r="AZ1881" s="46">
        <v>0</v>
      </c>
      <c r="BA1881" s="46">
        <v>0</v>
      </c>
      <c r="BB1881" s="46">
        <v>0</v>
      </c>
      <c r="BC1881" s="46">
        <v>0</v>
      </c>
      <c r="BD1881" s="46">
        <v>0</v>
      </c>
      <c r="BE1881" s="46">
        <v>0</v>
      </c>
      <c r="BF1881" s="46">
        <v>0</v>
      </c>
      <c r="BG1881" s="46" t="s">
        <v>48</v>
      </c>
      <c r="BH1881" s="46">
        <v>0</v>
      </c>
      <c r="BI1881" s="46">
        <v>0</v>
      </c>
      <c r="BJ1881" s="46">
        <v>0</v>
      </c>
      <c r="BK1881" s="46">
        <v>0</v>
      </c>
      <c r="BL1881" s="46">
        <v>0</v>
      </c>
      <c r="BM1881" s="46">
        <v>0</v>
      </c>
      <c r="BN1881" s="46">
        <v>0</v>
      </c>
    </row>
    <row r="1882" spans="1:66" x14ac:dyDescent="0.35">
      <c r="A1882" t="s">
        <v>4202</v>
      </c>
      <c r="B1882" s="44" t="s">
        <v>48</v>
      </c>
      <c r="C1882" t="s">
        <v>3271</v>
      </c>
      <c r="D1882" t="s">
        <v>76</v>
      </c>
      <c r="E1882" t="s">
        <v>4203</v>
      </c>
      <c r="F1882" t="s">
        <v>4188</v>
      </c>
      <c r="G1882" t="s">
        <v>47</v>
      </c>
      <c r="H1882">
        <v>0</v>
      </c>
      <c r="I1882" s="60" t="s">
        <v>51</v>
      </c>
      <c r="J1882" s="33" t="s">
        <v>45</v>
      </c>
      <c r="K1882" s="46">
        <v>1</v>
      </c>
      <c r="L1882">
        <v>31.6</v>
      </c>
      <c r="M1882">
        <v>46.4</v>
      </c>
      <c r="N1882" s="46">
        <v>0</v>
      </c>
      <c r="O1882" s="46">
        <v>0</v>
      </c>
      <c r="P1882" s="46">
        <v>0</v>
      </c>
      <c r="Q1882" t="s">
        <v>48</v>
      </c>
      <c r="R1882" t="s">
        <v>48</v>
      </c>
      <c r="S1882" t="s">
        <v>4204</v>
      </c>
      <c r="T1882" t="s">
        <v>4205</v>
      </c>
      <c r="U1882" t="s">
        <v>4204</v>
      </c>
      <c r="V1882" s="47">
        <v>0</v>
      </c>
      <c r="W1882" t="s">
        <v>48</v>
      </c>
      <c r="X1882" t="s">
        <v>48</v>
      </c>
      <c r="Y1882" t="s">
        <v>48</v>
      </c>
      <c r="Z1882">
        <v>0</v>
      </c>
      <c r="AA1882" t="s">
        <v>48</v>
      </c>
      <c r="AB1882">
        <v>2010</v>
      </c>
      <c r="AC1882" t="s">
        <v>49</v>
      </c>
      <c r="AD1882" t="s">
        <v>93</v>
      </c>
      <c r="AE1882" t="s">
        <v>4532</v>
      </c>
      <c r="AF1882" t="s">
        <v>48</v>
      </c>
      <c r="AG1882" t="s">
        <v>140</v>
      </c>
      <c r="AH1882" t="s">
        <v>93</v>
      </c>
      <c r="AI1882">
        <v>21148</v>
      </c>
      <c r="AJ1882">
        <v>1970</v>
      </c>
      <c r="AK1882" t="s">
        <v>9054</v>
      </c>
      <c r="AL1882" t="s">
        <v>9055</v>
      </c>
      <c r="AM1882">
        <v>0.53300000000000003</v>
      </c>
      <c r="AN1882">
        <v>0.48099999999999998</v>
      </c>
      <c r="AO1882">
        <v>0.53300000000000003</v>
      </c>
      <c r="AP1882" s="46">
        <v>0</v>
      </c>
      <c r="AQ1882" s="46">
        <v>0</v>
      </c>
      <c r="AR1882" s="46">
        <v>0</v>
      </c>
      <c r="AS1882" s="46">
        <v>0</v>
      </c>
      <c r="AT1882" s="46">
        <v>0</v>
      </c>
      <c r="AU1882" s="46">
        <v>0</v>
      </c>
      <c r="AV1882" s="46">
        <v>0</v>
      </c>
      <c r="AW1882" s="46">
        <v>0</v>
      </c>
      <c r="AX1882" s="46">
        <v>0</v>
      </c>
      <c r="AY1882" s="46">
        <v>0</v>
      </c>
      <c r="AZ1882" s="46">
        <v>0</v>
      </c>
      <c r="BA1882" s="46">
        <v>0</v>
      </c>
      <c r="BB1882" s="46">
        <v>1</v>
      </c>
      <c r="BC1882" s="46">
        <v>0</v>
      </c>
      <c r="BD1882" s="46">
        <v>0</v>
      </c>
      <c r="BE1882" s="46">
        <v>0</v>
      </c>
      <c r="BF1882" s="46">
        <v>0</v>
      </c>
      <c r="BG1882" s="46" t="s">
        <v>48</v>
      </c>
      <c r="BH1882" s="46">
        <v>0</v>
      </c>
      <c r="BI1882" s="46">
        <v>0</v>
      </c>
      <c r="BJ1882" s="46">
        <v>0</v>
      </c>
      <c r="BK1882" s="46">
        <v>0</v>
      </c>
      <c r="BL1882" s="46">
        <v>0</v>
      </c>
      <c r="BM1882" s="46">
        <v>0</v>
      </c>
      <c r="BN1882" s="46">
        <v>0</v>
      </c>
    </row>
    <row r="1883" spans="1:66" x14ac:dyDescent="0.35">
      <c r="A1883" t="s">
        <v>8327</v>
      </c>
      <c r="B1883" s="44" t="s">
        <v>48</v>
      </c>
      <c r="C1883" t="s">
        <v>12070</v>
      </c>
      <c r="D1883" t="s">
        <v>85</v>
      </c>
      <c r="E1883" t="s">
        <v>8328</v>
      </c>
      <c r="F1883" t="s">
        <v>4227</v>
      </c>
      <c r="G1883" t="s">
        <v>47</v>
      </c>
      <c r="H1883">
        <v>0</v>
      </c>
      <c r="I1883" s="61">
        <v>44727</v>
      </c>
      <c r="J1883" s="33" t="s">
        <v>45</v>
      </c>
      <c r="K1883" s="46">
        <v>0</v>
      </c>
      <c r="L1883">
        <v>39.799999999999997</v>
      </c>
      <c r="M1883" t="s">
        <v>48</v>
      </c>
      <c r="N1883" s="46">
        <v>0</v>
      </c>
      <c r="O1883" s="46">
        <v>0</v>
      </c>
      <c r="P1883" s="46">
        <v>0</v>
      </c>
      <c r="Q1883" t="s">
        <v>48</v>
      </c>
      <c r="R1883" t="s">
        <v>48</v>
      </c>
      <c r="S1883" t="s">
        <v>10275</v>
      </c>
      <c r="T1883" t="s">
        <v>48</v>
      </c>
      <c r="U1883" t="s">
        <v>10275</v>
      </c>
      <c r="V1883" s="47">
        <v>0</v>
      </c>
      <c r="W1883" t="s">
        <v>48</v>
      </c>
      <c r="X1883" t="s">
        <v>48</v>
      </c>
      <c r="Y1883" t="s">
        <v>48</v>
      </c>
      <c r="Z1883" t="s">
        <v>48</v>
      </c>
      <c r="AA1883" t="s">
        <v>48</v>
      </c>
      <c r="AB1883" t="s">
        <v>48</v>
      </c>
      <c r="AC1883" t="s">
        <v>49</v>
      </c>
      <c r="AD1883" t="s">
        <v>93</v>
      </c>
      <c r="AE1883" t="s">
        <v>4532</v>
      </c>
      <c r="AF1883" t="s">
        <v>48</v>
      </c>
      <c r="AG1883" t="s">
        <v>48</v>
      </c>
      <c r="AH1883" t="s">
        <v>48</v>
      </c>
      <c r="AI1883" t="s">
        <v>48</v>
      </c>
      <c r="AJ1883" t="s">
        <v>48</v>
      </c>
      <c r="AK1883" t="s">
        <v>48</v>
      </c>
      <c r="AL1883" t="s">
        <v>48</v>
      </c>
      <c r="AM1883" t="s">
        <v>48</v>
      </c>
      <c r="AN1883" t="s">
        <v>48</v>
      </c>
      <c r="AO1883" t="s">
        <v>48</v>
      </c>
      <c r="AP1883" s="46">
        <v>0</v>
      </c>
      <c r="AQ1883" s="46">
        <v>0</v>
      </c>
      <c r="AR1883" s="46">
        <v>0</v>
      </c>
      <c r="AS1883" s="46">
        <v>0</v>
      </c>
      <c r="AT1883" s="46">
        <v>0</v>
      </c>
      <c r="AU1883" s="46">
        <v>0</v>
      </c>
      <c r="AV1883" s="46">
        <v>0</v>
      </c>
      <c r="AW1883" s="46">
        <v>0</v>
      </c>
      <c r="AX1883" s="46">
        <v>0</v>
      </c>
      <c r="AY1883" s="46">
        <v>0</v>
      </c>
      <c r="AZ1883" s="46">
        <v>0</v>
      </c>
      <c r="BA1883" s="46">
        <v>0</v>
      </c>
      <c r="BB1883" s="46">
        <v>0</v>
      </c>
      <c r="BC1883" s="46">
        <v>0</v>
      </c>
      <c r="BD1883" s="46">
        <v>0</v>
      </c>
      <c r="BE1883" s="46">
        <v>0</v>
      </c>
      <c r="BF1883" s="46">
        <v>0</v>
      </c>
      <c r="BG1883" s="46" t="s">
        <v>48</v>
      </c>
      <c r="BH1883" s="46">
        <v>0</v>
      </c>
      <c r="BI1883" s="46">
        <v>0</v>
      </c>
      <c r="BJ1883" s="46">
        <v>0</v>
      </c>
      <c r="BK1883" s="46">
        <v>0</v>
      </c>
      <c r="BL1883" s="46">
        <v>0</v>
      </c>
      <c r="BM1883" s="46">
        <v>0</v>
      </c>
      <c r="BN1883" s="46">
        <v>0</v>
      </c>
    </row>
    <row r="1884" spans="1:66" ht="15" x14ac:dyDescent="0.4">
      <c r="A1884" t="s">
        <v>4235</v>
      </c>
      <c r="B1884" s="44" t="s">
        <v>48</v>
      </c>
      <c r="C1884" t="s">
        <v>4237</v>
      </c>
      <c r="D1884" t="s">
        <v>4236</v>
      </c>
      <c r="E1884" t="s">
        <v>8104</v>
      </c>
      <c r="F1884" t="s">
        <v>4227</v>
      </c>
      <c r="G1884" t="s">
        <v>74</v>
      </c>
      <c r="H1884">
        <v>0</v>
      </c>
      <c r="I1884" s="61" t="s">
        <v>11160</v>
      </c>
      <c r="J1884" s="33" t="s">
        <v>45</v>
      </c>
      <c r="K1884" s="46">
        <v>0</v>
      </c>
      <c r="L1884">
        <v>26.8</v>
      </c>
      <c r="M1884" t="s">
        <v>48</v>
      </c>
      <c r="N1884" s="46">
        <v>0</v>
      </c>
      <c r="O1884" s="46">
        <v>0</v>
      </c>
      <c r="P1884" s="46">
        <v>0</v>
      </c>
      <c r="Q1884" t="s">
        <v>48</v>
      </c>
      <c r="R1884" t="s">
        <v>48</v>
      </c>
      <c r="S1884" s="55" t="s">
        <v>11555</v>
      </c>
      <c r="T1884" t="s">
        <v>48</v>
      </c>
      <c r="U1884" t="s">
        <v>48</v>
      </c>
      <c r="V1884" s="47">
        <v>0</v>
      </c>
      <c r="W1884" t="s">
        <v>48</v>
      </c>
      <c r="X1884" t="s">
        <v>48</v>
      </c>
      <c r="Y1884" t="s">
        <v>48</v>
      </c>
      <c r="Z1884">
        <v>0</v>
      </c>
      <c r="AA1884" t="s">
        <v>48</v>
      </c>
      <c r="AB1884" t="s">
        <v>48</v>
      </c>
      <c r="AC1884" t="s">
        <v>63</v>
      </c>
      <c r="AD1884" t="s">
        <v>93</v>
      </c>
      <c r="AE1884" t="s">
        <v>4532</v>
      </c>
      <c r="AF1884" t="s">
        <v>48</v>
      </c>
      <c r="AG1884" t="s">
        <v>48</v>
      </c>
      <c r="AH1884" t="s">
        <v>48</v>
      </c>
      <c r="AI1884" t="s">
        <v>48</v>
      </c>
      <c r="AJ1884" t="s">
        <v>48</v>
      </c>
      <c r="AK1884" t="s">
        <v>48</v>
      </c>
      <c r="AL1884" t="s">
        <v>48</v>
      </c>
      <c r="AM1884" t="s">
        <v>48</v>
      </c>
      <c r="AN1884" t="s">
        <v>48</v>
      </c>
      <c r="AO1884" t="s">
        <v>48</v>
      </c>
      <c r="AP1884" s="46">
        <v>0</v>
      </c>
      <c r="AQ1884" s="46">
        <v>0</v>
      </c>
      <c r="AR1884" s="46">
        <v>0</v>
      </c>
      <c r="AS1884" s="46">
        <v>0</v>
      </c>
      <c r="AT1884" s="46">
        <v>0</v>
      </c>
      <c r="AU1884" s="46">
        <v>0</v>
      </c>
      <c r="AV1884" s="46">
        <v>0</v>
      </c>
      <c r="AW1884" s="46">
        <v>0</v>
      </c>
      <c r="AX1884" s="46">
        <v>0</v>
      </c>
      <c r="AY1884" s="46">
        <v>0</v>
      </c>
      <c r="AZ1884" s="46">
        <v>0</v>
      </c>
      <c r="BA1884" s="46">
        <v>0</v>
      </c>
      <c r="BB1884" s="46">
        <v>0</v>
      </c>
      <c r="BC1884" s="46">
        <v>0</v>
      </c>
      <c r="BD1884" s="46">
        <v>0</v>
      </c>
      <c r="BE1884" s="46">
        <v>0</v>
      </c>
      <c r="BF1884" s="46">
        <v>0</v>
      </c>
      <c r="BG1884" s="46" t="s">
        <v>48</v>
      </c>
      <c r="BH1884" s="46">
        <v>0</v>
      </c>
      <c r="BI1884" s="46">
        <v>0</v>
      </c>
      <c r="BJ1884" s="46">
        <v>0</v>
      </c>
      <c r="BK1884" s="46">
        <v>0</v>
      </c>
      <c r="BL1884" s="46">
        <v>0</v>
      </c>
      <c r="BM1884" s="46">
        <v>0</v>
      </c>
      <c r="BN1884" s="46">
        <v>0</v>
      </c>
    </row>
    <row r="1885" spans="1:66" x14ac:dyDescent="0.35">
      <c r="A1885" t="s">
        <v>4249</v>
      </c>
      <c r="B1885" s="44" t="s">
        <v>48</v>
      </c>
      <c r="C1885" t="s">
        <v>2371</v>
      </c>
      <c r="D1885" t="s">
        <v>311</v>
      </c>
      <c r="E1885" t="s">
        <v>8329</v>
      </c>
      <c r="F1885" t="s">
        <v>4227</v>
      </c>
      <c r="G1885" t="s">
        <v>47</v>
      </c>
      <c r="H1885">
        <v>0</v>
      </c>
      <c r="I1885" s="61">
        <v>44727</v>
      </c>
      <c r="J1885" s="33" t="s">
        <v>45</v>
      </c>
      <c r="K1885" s="46">
        <v>0</v>
      </c>
      <c r="L1885">
        <v>10.4</v>
      </c>
      <c r="M1885" s="41" t="s">
        <v>48</v>
      </c>
      <c r="N1885" s="46">
        <v>0</v>
      </c>
      <c r="O1885" s="46">
        <v>0</v>
      </c>
      <c r="P1885" s="46">
        <v>0</v>
      </c>
      <c r="Q1885" s="41" t="s">
        <v>48</v>
      </c>
      <c r="R1885" s="41" t="s">
        <v>48</v>
      </c>
      <c r="S1885" t="s">
        <v>4250</v>
      </c>
      <c r="T1885" t="s">
        <v>48</v>
      </c>
      <c r="U1885" t="s">
        <v>4250</v>
      </c>
      <c r="V1885" s="47">
        <v>0</v>
      </c>
      <c r="W1885" t="s">
        <v>48</v>
      </c>
      <c r="X1885" t="s">
        <v>48</v>
      </c>
      <c r="Y1885" t="s">
        <v>48</v>
      </c>
      <c r="Z1885">
        <v>0</v>
      </c>
      <c r="AA1885" t="s">
        <v>48</v>
      </c>
      <c r="AB1885" t="s">
        <v>48</v>
      </c>
      <c r="AC1885" t="s">
        <v>63</v>
      </c>
      <c r="AD1885" t="s">
        <v>93</v>
      </c>
      <c r="AE1885" t="s">
        <v>4532</v>
      </c>
      <c r="AF1885" t="s">
        <v>48</v>
      </c>
      <c r="AG1885" t="s">
        <v>48</v>
      </c>
      <c r="AH1885" t="s">
        <v>48</v>
      </c>
      <c r="AI1885" t="s">
        <v>48</v>
      </c>
      <c r="AJ1885" t="s">
        <v>48</v>
      </c>
      <c r="AK1885" t="s">
        <v>48</v>
      </c>
      <c r="AL1885" t="s">
        <v>48</v>
      </c>
      <c r="AM1885" t="s">
        <v>48</v>
      </c>
      <c r="AN1885" t="s">
        <v>48</v>
      </c>
      <c r="AO1885" t="s">
        <v>48</v>
      </c>
      <c r="AP1885" s="46">
        <v>0</v>
      </c>
      <c r="AQ1885" s="46">
        <v>0</v>
      </c>
      <c r="AR1885" s="46">
        <v>0</v>
      </c>
      <c r="AS1885" s="46">
        <v>0</v>
      </c>
      <c r="AT1885" s="46">
        <v>0</v>
      </c>
      <c r="AU1885" s="46">
        <v>0</v>
      </c>
      <c r="AV1885" s="46">
        <v>0</v>
      </c>
      <c r="AW1885" s="46">
        <v>0</v>
      </c>
      <c r="AX1885" s="46">
        <v>0</v>
      </c>
      <c r="AY1885" s="46">
        <v>0</v>
      </c>
      <c r="AZ1885" s="46">
        <v>0</v>
      </c>
      <c r="BA1885" s="46">
        <v>0</v>
      </c>
      <c r="BB1885" s="46">
        <v>0</v>
      </c>
      <c r="BC1885" s="46">
        <v>0</v>
      </c>
      <c r="BD1885" s="46">
        <v>0</v>
      </c>
      <c r="BE1885" s="46">
        <v>0</v>
      </c>
      <c r="BF1885" s="46">
        <v>0</v>
      </c>
      <c r="BG1885" s="46" t="s">
        <v>48</v>
      </c>
      <c r="BH1885" s="46">
        <v>0</v>
      </c>
      <c r="BI1885" s="46">
        <v>0</v>
      </c>
      <c r="BJ1885" s="46">
        <v>0</v>
      </c>
      <c r="BK1885" s="46">
        <v>0</v>
      </c>
      <c r="BL1885" s="46">
        <v>0</v>
      </c>
      <c r="BM1885" s="46">
        <v>0</v>
      </c>
      <c r="BN1885" s="46">
        <v>0</v>
      </c>
    </row>
    <row r="1886" spans="1:66" x14ac:dyDescent="0.35">
      <c r="A1886" t="s">
        <v>4228</v>
      </c>
      <c r="B1886" s="44" t="s">
        <v>48</v>
      </c>
      <c r="C1886" t="s">
        <v>4230</v>
      </c>
      <c r="D1886" t="s">
        <v>1193</v>
      </c>
      <c r="E1886" t="s">
        <v>4229</v>
      </c>
      <c r="F1886" t="s">
        <v>4227</v>
      </c>
      <c r="G1886" t="s">
        <v>47</v>
      </c>
      <c r="H1886">
        <v>0</v>
      </c>
      <c r="I1886" s="60" t="s">
        <v>78</v>
      </c>
      <c r="J1886" s="33" t="s">
        <v>45</v>
      </c>
      <c r="K1886" s="46">
        <v>0</v>
      </c>
      <c r="L1886">
        <v>5.8</v>
      </c>
      <c r="M1886" t="s">
        <v>48</v>
      </c>
      <c r="N1886" s="46">
        <v>0</v>
      </c>
      <c r="O1886" s="46">
        <v>0</v>
      </c>
      <c r="P1886" s="46">
        <v>0</v>
      </c>
      <c r="Q1886" t="s">
        <v>48</v>
      </c>
      <c r="R1886" t="s">
        <v>48</v>
      </c>
      <c r="S1886" t="s">
        <v>10276</v>
      </c>
      <c r="T1886" t="s">
        <v>48</v>
      </c>
      <c r="U1886" t="s">
        <v>10276</v>
      </c>
      <c r="V1886" s="47">
        <v>1</v>
      </c>
      <c r="W1886" t="s">
        <v>48</v>
      </c>
      <c r="X1886" t="s">
        <v>48</v>
      </c>
      <c r="Y1886" t="s">
        <v>48</v>
      </c>
      <c r="Z1886">
        <v>0</v>
      </c>
      <c r="AA1886" t="s">
        <v>48</v>
      </c>
      <c r="AB1886" t="s">
        <v>48</v>
      </c>
      <c r="AC1886" t="s">
        <v>49</v>
      </c>
      <c r="AD1886" t="s">
        <v>93</v>
      </c>
      <c r="AE1886" t="s">
        <v>4532</v>
      </c>
      <c r="AF1886" t="s">
        <v>48</v>
      </c>
      <c r="AG1886" t="s">
        <v>48</v>
      </c>
      <c r="AH1886" t="s">
        <v>48</v>
      </c>
      <c r="AI1886" t="s">
        <v>48</v>
      </c>
      <c r="AJ1886" t="s">
        <v>48</v>
      </c>
      <c r="AK1886" t="s">
        <v>48</v>
      </c>
      <c r="AL1886" t="s">
        <v>48</v>
      </c>
      <c r="AM1886" t="s">
        <v>48</v>
      </c>
      <c r="AN1886" t="s">
        <v>48</v>
      </c>
      <c r="AO1886" t="s">
        <v>48</v>
      </c>
      <c r="AP1886" s="46">
        <v>0</v>
      </c>
      <c r="AQ1886" s="46">
        <v>0</v>
      </c>
      <c r="AR1886" s="46">
        <v>0</v>
      </c>
      <c r="AS1886" s="46">
        <v>0</v>
      </c>
      <c r="AT1886" s="46">
        <v>0</v>
      </c>
      <c r="AU1886" s="46">
        <v>0</v>
      </c>
      <c r="AV1886" s="46">
        <v>0</v>
      </c>
      <c r="AW1886" s="46">
        <v>0</v>
      </c>
      <c r="AX1886" s="46">
        <v>0</v>
      </c>
      <c r="AY1886" s="46">
        <v>0</v>
      </c>
      <c r="AZ1886" s="46">
        <v>0</v>
      </c>
      <c r="BA1886" s="46">
        <v>0</v>
      </c>
      <c r="BB1886" s="46">
        <v>0</v>
      </c>
      <c r="BC1886" s="46">
        <v>0</v>
      </c>
      <c r="BD1886" s="46">
        <v>0</v>
      </c>
      <c r="BE1886" s="46">
        <v>0</v>
      </c>
      <c r="BF1886" s="46">
        <v>0</v>
      </c>
      <c r="BG1886" s="46" t="s">
        <v>48</v>
      </c>
      <c r="BH1886" s="46">
        <v>0</v>
      </c>
      <c r="BI1886" s="46">
        <v>0</v>
      </c>
      <c r="BJ1886" s="46">
        <v>0</v>
      </c>
      <c r="BK1886" s="46">
        <v>0</v>
      </c>
      <c r="BL1886" s="46">
        <v>0</v>
      </c>
      <c r="BM1886" s="46">
        <v>0</v>
      </c>
      <c r="BN1886" s="46">
        <v>0</v>
      </c>
    </row>
    <row r="1887" spans="1:66" x14ac:dyDescent="0.35">
      <c r="A1887" t="s">
        <v>9542</v>
      </c>
      <c r="B1887" s="44" t="s">
        <v>48</v>
      </c>
      <c r="C1887" t="s">
        <v>12069</v>
      </c>
      <c r="D1887" t="s">
        <v>1337</v>
      </c>
      <c r="E1887" t="s">
        <v>9543</v>
      </c>
      <c r="F1887" t="s">
        <v>4227</v>
      </c>
      <c r="G1887" t="s">
        <v>47</v>
      </c>
      <c r="H1887">
        <v>0</v>
      </c>
      <c r="I1887" s="61">
        <v>44741</v>
      </c>
      <c r="J1887" s="33" t="s">
        <v>45</v>
      </c>
      <c r="K1887" s="46">
        <v>0</v>
      </c>
      <c r="L1887">
        <v>2.2999999999999998</v>
      </c>
      <c r="M1887" t="s">
        <v>48</v>
      </c>
      <c r="N1887" s="46">
        <v>0</v>
      </c>
      <c r="O1887" s="46">
        <v>0</v>
      </c>
      <c r="P1887" s="46">
        <v>0</v>
      </c>
      <c r="Q1887" t="s">
        <v>48</v>
      </c>
      <c r="R1887" t="s">
        <v>48</v>
      </c>
      <c r="S1887" t="s">
        <v>48</v>
      </c>
      <c r="T1887" t="s">
        <v>48</v>
      </c>
      <c r="U1887" t="s">
        <v>48</v>
      </c>
      <c r="V1887" s="47">
        <v>0</v>
      </c>
      <c r="W1887" t="s">
        <v>48</v>
      </c>
      <c r="X1887" t="s">
        <v>48</v>
      </c>
      <c r="Y1887" t="s">
        <v>48</v>
      </c>
      <c r="Z1887" t="s">
        <v>48</v>
      </c>
      <c r="AA1887" t="s">
        <v>48</v>
      </c>
      <c r="AB1887" t="s">
        <v>48</v>
      </c>
      <c r="AC1887" t="s">
        <v>49</v>
      </c>
      <c r="AD1887" t="s">
        <v>48</v>
      </c>
      <c r="AE1887" t="s">
        <v>48</v>
      </c>
      <c r="AF1887" t="s">
        <v>48</v>
      </c>
      <c r="AG1887" t="s">
        <v>48</v>
      </c>
      <c r="AH1887" t="s">
        <v>48</v>
      </c>
      <c r="AI1887" t="s">
        <v>48</v>
      </c>
      <c r="AJ1887" t="s">
        <v>48</v>
      </c>
      <c r="AK1887" t="s">
        <v>48</v>
      </c>
      <c r="AL1887" t="s">
        <v>48</v>
      </c>
      <c r="AM1887" t="s">
        <v>48</v>
      </c>
      <c r="AN1887" t="s">
        <v>48</v>
      </c>
      <c r="AO1887" t="s">
        <v>48</v>
      </c>
      <c r="AP1887" s="46">
        <v>0</v>
      </c>
      <c r="AQ1887" s="46">
        <v>0</v>
      </c>
      <c r="AR1887" s="46">
        <v>0</v>
      </c>
      <c r="AS1887" s="46">
        <v>0</v>
      </c>
      <c r="AT1887" s="46">
        <v>0</v>
      </c>
      <c r="AU1887" s="46">
        <v>0</v>
      </c>
      <c r="AV1887" s="46">
        <v>0</v>
      </c>
      <c r="AW1887" s="46">
        <v>0</v>
      </c>
      <c r="AX1887" s="46">
        <v>0</v>
      </c>
      <c r="AY1887" s="46">
        <v>0</v>
      </c>
      <c r="AZ1887" s="46">
        <v>0</v>
      </c>
      <c r="BA1887" s="46">
        <v>0</v>
      </c>
      <c r="BB1887" s="46">
        <v>0</v>
      </c>
      <c r="BC1887" s="46">
        <v>0</v>
      </c>
      <c r="BD1887" s="46">
        <v>0</v>
      </c>
      <c r="BE1887" s="46">
        <v>0</v>
      </c>
      <c r="BF1887" s="46">
        <v>0</v>
      </c>
      <c r="BG1887" s="46" t="s">
        <v>48</v>
      </c>
      <c r="BH1887" s="46">
        <v>0</v>
      </c>
      <c r="BI1887" s="46">
        <v>0</v>
      </c>
      <c r="BJ1887" s="46">
        <v>0</v>
      </c>
      <c r="BK1887" s="46">
        <v>0</v>
      </c>
      <c r="BL1887" s="46">
        <v>0</v>
      </c>
      <c r="BM1887" s="46">
        <v>0</v>
      </c>
      <c r="BN1887" s="46">
        <v>0</v>
      </c>
    </row>
    <row r="1888" spans="1:66" x14ac:dyDescent="0.35">
      <c r="A1888" t="s">
        <v>4259</v>
      </c>
      <c r="B1888" s="44" t="s">
        <v>48</v>
      </c>
      <c r="C1888" t="s">
        <v>4260</v>
      </c>
      <c r="D1888" t="s">
        <v>585</v>
      </c>
      <c r="E1888" t="s">
        <v>8105</v>
      </c>
      <c r="F1888" t="s">
        <v>4227</v>
      </c>
      <c r="G1888" t="s">
        <v>74</v>
      </c>
      <c r="H1888">
        <v>0</v>
      </c>
      <c r="I1888" s="61">
        <v>44727</v>
      </c>
      <c r="J1888" s="33" t="s">
        <v>45</v>
      </c>
      <c r="K1888" s="46">
        <v>0</v>
      </c>
      <c r="L1888">
        <v>8.1999999999999993</v>
      </c>
      <c r="M1888" s="41" t="s">
        <v>48</v>
      </c>
      <c r="N1888" s="46">
        <v>0</v>
      </c>
      <c r="O1888" s="46">
        <v>0</v>
      </c>
      <c r="P1888" s="46">
        <v>0</v>
      </c>
      <c r="Q1888" s="41" t="s">
        <v>48</v>
      </c>
      <c r="R1888" s="41" t="s">
        <v>48</v>
      </c>
      <c r="S1888" t="s">
        <v>10274</v>
      </c>
      <c r="T1888" t="s">
        <v>48</v>
      </c>
      <c r="U1888" t="s">
        <v>10274</v>
      </c>
      <c r="V1888" s="47">
        <v>1</v>
      </c>
      <c r="W1888" t="s">
        <v>48</v>
      </c>
      <c r="X1888" t="s">
        <v>48</v>
      </c>
      <c r="Y1888" t="s">
        <v>48</v>
      </c>
      <c r="Z1888">
        <v>0</v>
      </c>
      <c r="AA1888" t="s">
        <v>48</v>
      </c>
      <c r="AB1888" t="s">
        <v>48</v>
      </c>
      <c r="AC1888" t="s">
        <v>49</v>
      </c>
      <c r="AD1888" t="s">
        <v>93</v>
      </c>
      <c r="AE1888" t="s">
        <v>4532</v>
      </c>
      <c r="AF1888" t="s">
        <v>48</v>
      </c>
      <c r="AG1888" t="s">
        <v>48</v>
      </c>
      <c r="AH1888" t="s">
        <v>48</v>
      </c>
      <c r="AI1888" t="s">
        <v>48</v>
      </c>
      <c r="AJ1888" t="s">
        <v>48</v>
      </c>
      <c r="AK1888" t="s">
        <v>48</v>
      </c>
      <c r="AL1888" t="s">
        <v>48</v>
      </c>
      <c r="AM1888" t="s">
        <v>48</v>
      </c>
      <c r="AN1888" t="s">
        <v>48</v>
      </c>
      <c r="AO1888" t="s">
        <v>48</v>
      </c>
      <c r="AP1888" s="46">
        <v>0</v>
      </c>
      <c r="AQ1888" s="46">
        <v>0</v>
      </c>
      <c r="AR1888" s="46">
        <v>0</v>
      </c>
      <c r="AS1888" s="46">
        <v>0</v>
      </c>
      <c r="AT1888" s="46">
        <v>0</v>
      </c>
      <c r="AU1888" s="46">
        <v>0</v>
      </c>
      <c r="AV1888" s="46">
        <v>0</v>
      </c>
      <c r="AW1888" s="46">
        <v>0</v>
      </c>
      <c r="AX1888" s="46">
        <v>0</v>
      </c>
      <c r="AY1888" s="46">
        <v>0</v>
      </c>
      <c r="AZ1888" s="46">
        <v>0</v>
      </c>
      <c r="BA1888" s="46">
        <v>0</v>
      </c>
      <c r="BB1888" s="46">
        <v>0</v>
      </c>
      <c r="BC1888" s="46">
        <v>0</v>
      </c>
      <c r="BD1888" s="46">
        <v>0</v>
      </c>
      <c r="BE1888" s="46">
        <v>0</v>
      </c>
      <c r="BF1888" s="46">
        <v>0</v>
      </c>
      <c r="BG1888" s="46" t="s">
        <v>48</v>
      </c>
      <c r="BH1888" s="46">
        <v>0</v>
      </c>
      <c r="BI1888" s="46">
        <v>0</v>
      </c>
      <c r="BJ1888" s="46">
        <v>0</v>
      </c>
      <c r="BK1888" s="46">
        <v>0</v>
      </c>
      <c r="BL1888" s="46">
        <v>0</v>
      </c>
      <c r="BM1888" s="46">
        <v>0</v>
      </c>
      <c r="BN1888" s="46">
        <v>0</v>
      </c>
    </row>
    <row r="1889" spans="1:66" x14ac:dyDescent="0.35">
      <c r="A1889" t="s">
        <v>8332</v>
      </c>
      <c r="B1889" s="44" t="s">
        <v>48</v>
      </c>
      <c r="C1889" t="s">
        <v>12071</v>
      </c>
      <c r="D1889" t="s">
        <v>1528</v>
      </c>
      <c r="E1889" t="s">
        <v>8333</v>
      </c>
      <c r="F1889" t="s">
        <v>4231</v>
      </c>
      <c r="G1889" t="s">
        <v>47</v>
      </c>
      <c r="H1889">
        <v>0</v>
      </c>
      <c r="I1889" s="61">
        <v>44727</v>
      </c>
      <c r="J1889" s="33" t="s">
        <v>45</v>
      </c>
      <c r="K1889" s="46">
        <v>0</v>
      </c>
      <c r="L1889">
        <v>6.1</v>
      </c>
      <c r="M1889" t="s">
        <v>48</v>
      </c>
      <c r="N1889" s="46">
        <v>0</v>
      </c>
      <c r="O1889" s="46">
        <v>0</v>
      </c>
      <c r="P1889" s="46">
        <v>0</v>
      </c>
      <c r="Q1889" t="s">
        <v>48</v>
      </c>
      <c r="R1889" t="s">
        <v>48</v>
      </c>
      <c r="S1889" t="s">
        <v>48</v>
      </c>
      <c r="T1889" t="s">
        <v>48</v>
      </c>
      <c r="U1889" t="s">
        <v>48</v>
      </c>
      <c r="V1889" s="47">
        <v>0</v>
      </c>
      <c r="W1889" t="s">
        <v>48</v>
      </c>
      <c r="X1889" t="s">
        <v>48</v>
      </c>
      <c r="Y1889" t="s">
        <v>48</v>
      </c>
      <c r="Z1889" t="s">
        <v>48</v>
      </c>
      <c r="AA1889" t="s">
        <v>48</v>
      </c>
      <c r="AB1889" t="s">
        <v>48</v>
      </c>
      <c r="AC1889" t="s">
        <v>49</v>
      </c>
      <c r="AD1889" t="s">
        <v>48</v>
      </c>
      <c r="AE1889" t="s">
        <v>48</v>
      </c>
      <c r="AF1889" t="s">
        <v>48</v>
      </c>
      <c r="AG1889" t="s">
        <v>48</v>
      </c>
      <c r="AH1889" t="s">
        <v>48</v>
      </c>
      <c r="AI1889" t="s">
        <v>48</v>
      </c>
      <c r="AJ1889" t="s">
        <v>48</v>
      </c>
      <c r="AK1889" t="s">
        <v>48</v>
      </c>
      <c r="AL1889" t="s">
        <v>48</v>
      </c>
      <c r="AM1889" t="s">
        <v>48</v>
      </c>
      <c r="AN1889" t="s">
        <v>48</v>
      </c>
      <c r="AO1889" t="s">
        <v>48</v>
      </c>
      <c r="AP1889" s="46">
        <v>0</v>
      </c>
      <c r="AQ1889" s="46">
        <v>0</v>
      </c>
      <c r="AR1889" s="46">
        <v>0</v>
      </c>
      <c r="AS1889" s="46">
        <v>0</v>
      </c>
      <c r="AT1889" s="46">
        <v>0</v>
      </c>
      <c r="AU1889" s="46">
        <v>0</v>
      </c>
      <c r="AV1889" s="46">
        <v>0</v>
      </c>
      <c r="AW1889" s="46">
        <v>0</v>
      </c>
      <c r="AX1889" s="46">
        <v>0</v>
      </c>
      <c r="AY1889" s="46">
        <v>0</v>
      </c>
      <c r="AZ1889" s="46">
        <v>0</v>
      </c>
      <c r="BA1889" s="46">
        <v>0</v>
      </c>
      <c r="BB1889" s="46">
        <v>0</v>
      </c>
      <c r="BC1889" s="46">
        <v>0</v>
      </c>
      <c r="BD1889" s="46">
        <v>0</v>
      </c>
      <c r="BE1889" s="46">
        <v>0</v>
      </c>
      <c r="BF1889" s="46">
        <v>0</v>
      </c>
      <c r="BG1889" s="46" t="s">
        <v>48</v>
      </c>
      <c r="BH1889" s="46">
        <v>0</v>
      </c>
      <c r="BI1889" s="46">
        <v>0</v>
      </c>
      <c r="BJ1889" s="46">
        <v>0</v>
      </c>
      <c r="BK1889" s="46">
        <v>0</v>
      </c>
      <c r="BL1889" s="46">
        <v>0</v>
      </c>
      <c r="BM1889" s="46">
        <v>0</v>
      </c>
      <c r="BN1889" s="46">
        <v>0</v>
      </c>
    </row>
    <row r="1890" spans="1:66" x14ac:dyDescent="0.35">
      <c r="A1890" t="s">
        <v>4232</v>
      </c>
      <c r="B1890" s="44" t="s">
        <v>48</v>
      </c>
      <c r="C1890" t="s">
        <v>4234</v>
      </c>
      <c r="D1890" t="s">
        <v>603</v>
      </c>
      <c r="E1890" t="s">
        <v>4233</v>
      </c>
      <c r="F1890" t="s">
        <v>4231</v>
      </c>
      <c r="G1890" t="s">
        <v>47</v>
      </c>
      <c r="H1890">
        <v>0</v>
      </c>
      <c r="I1890" s="60" t="s">
        <v>125</v>
      </c>
      <c r="J1890" s="33" t="s">
        <v>45</v>
      </c>
      <c r="K1890" s="46">
        <v>0</v>
      </c>
      <c r="L1890">
        <v>5.9</v>
      </c>
      <c r="M1890" t="s">
        <v>48</v>
      </c>
      <c r="N1890" s="46">
        <v>0</v>
      </c>
      <c r="O1890" s="46">
        <v>0</v>
      </c>
      <c r="P1890" s="46">
        <v>0</v>
      </c>
      <c r="Q1890" t="s">
        <v>48</v>
      </c>
      <c r="R1890" t="s">
        <v>48</v>
      </c>
      <c r="S1890" t="s">
        <v>48</v>
      </c>
      <c r="T1890" t="s">
        <v>48</v>
      </c>
      <c r="U1890" t="s">
        <v>48</v>
      </c>
      <c r="V1890" s="47">
        <v>1</v>
      </c>
      <c r="W1890" t="s">
        <v>48</v>
      </c>
      <c r="X1890" t="s">
        <v>48</v>
      </c>
      <c r="Y1890" t="s">
        <v>48</v>
      </c>
      <c r="Z1890">
        <v>0</v>
      </c>
      <c r="AA1890" t="s">
        <v>48</v>
      </c>
      <c r="AB1890" t="s">
        <v>48</v>
      </c>
      <c r="AC1890" t="s">
        <v>49</v>
      </c>
      <c r="AD1890" t="s">
        <v>93</v>
      </c>
      <c r="AE1890" t="s">
        <v>4532</v>
      </c>
      <c r="AF1890" t="s">
        <v>48</v>
      </c>
      <c r="AG1890" t="s">
        <v>48</v>
      </c>
      <c r="AH1890" t="s">
        <v>48</v>
      </c>
      <c r="AI1890" t="s">
        <v>48</v>
      </c>
      <c r="AJ1890" t="s">
        <v>48</v>
      </c>
      <c r="AK1890" t="s">
        <v>48</v>
      </c>
      <c r="AL1890" t="s">
        <v>48</v>
      </c>
      <c r="AM1890" t="s">
        <v>48</v>
      </c>
      <c r="AN1890" t="s">
        <v>48</v>
      </c>
      <c r="AO1890" t="s">
        <v>48</v>
      </c>
      <c r="AP1890" s="46">
        <v>0</v>
      </c>
      <c r="AQ1890" s="46">
        <v>0</v>
      </c>
      <c r="AR1890" s="46">
        <v>0</v>
      </c>
      <c r="AS1890" s="46">
        <v>0</v>
      </c>
      <c r="AT1890" s="46">
        <v>0</v>
      </c>
      <c r="AU1890" s="46">
        <v>0</v>
      </c>
      <c r="AV1890" s="46">
        <v>0</v>
      </c>
      <c r="AW1890" s="46">
        <v>0</v>
      </c>
      <c r="AX1890" s="46">
        <v>0</v>
      </c>
      <c r="AY1890" s="46">
        <v>0</v>
      </c>
      <c r="AZ1890" s="46">
        <v>0</v>
      </c>
      <c r="BA1890" s="46">
        <v>0</v>
      </c>
      <c r="BB1890" s="46">
        <v>0</v>
      </c>
      <c r="BC1890" s="46">
        <v>0</v>
      </c>
      <c r="BD1890" s="46">
        <v>0</v>
      </c>
      <c r="BE1890" s="46">
        <v>0</v>
      </c>
      <c r="BF1890" s="46">
        <v>0</v>
      </c>
      <c r="BG1890" s="46" t="s">
        <v>48</v>
      </c>
      <c r="BH1890" s="46">
        <v>0</v>
      </c>
      <c r="BI1890" s="46">
        <v>0</v>
      </c>
      <c r="BJ1890" s="46">
        <v>0</v>
      </c>
      <c r="BK1890" s="46">
        <v>0</v>
      </c>
      <c r="BL1890" s="46">
        <v>0</v>
      </c>
      <c r="BM1890" s="46">
        <v>0</v>
      </c>
      <c r="BN1890" s="46">
        <v>0</v>
      </c>
    </row>
    <row r="1891" spans="1:66" x14ac:dyDescent="0.35">
      <c r="A1891" t="s">
        <v>8330</v>
      </c>
      <c r="B1891" s="44" t="s">
        <v>48</v>
      </c>
      <c r="C1891" t="s">
        <v>2334</v>
      </c>
      <c r="D1891" t="s">
        <v>1666</v>
      </c>
      <c r="E1891" t="s">
        <v>8331</v>
      </c>
      <c r="F1891" t="s">
        <v>4231</v>
      </c>
      <c r="G1891" t="s">
        <v>47</v>
      </c>
      <c r="H1891">
        <v>0</v>
      </c>
      <c r="I1891" s="61">
        <v>44727</v>
      </c>
      <c r="J1891" s="33" t="s">
        <v>45</v>
      </c>
      <c r="K1891" s="46">
        <v>0</v>
      </c>
      <c r="L1891">
        <v>12.3</v>
      </c>
      <c r="M1891" t="s">
        <v>48</v>
      </c>
      <c r="N1891" s="46">
        <v>0</v>
      </c>
      <c r="O1891" s="46">
        <v>0</v>
      </c>
      <c r="P1891" s="46">
        <v>0</v>
      </c>
      <c r="Q1891" t="s">
        <v>48</v>
      </c>
      <c r="R1891" t="s">
        <v>48</v>
      </c>
      <c r="S1891" t="s">
        <v>48</v>
      </c>
      <c r="T1891" t="s">
        <v>48</v>
      </c>
      <c r="U1891" t="s">
        <v>48</v>
      </c>
      <c r="V1891" s="47">
        <v>0</v>
      </c>
      <c r="W1891" t="s">
        <v>48</v>
      </c>
      <c r="X1891" t="s">
        <v>48</v>
      </c>
      <c r="Y1891" t="s">
        <v>48</v>
      </c>
      <c r="Z1891" t="s">
        <v>48</v>
      </c>
      <c r="AA1891" t="s">
        <v>48</v>
      </c>
      <c r="AB1891" t="s">
        <v>48</v>
      </c>
      <c r="AC1891" t="s">
        <v>49</v>
      </c>
      <c r="AD1891" t="s">
        <v>48</v>
      </c>
      <c r="AE1891" t="s">
        <v>48</v>
      </c>
      <c r="AF1891" t="s">
        <v>48</v>
      </c>
      <c r="AG1891" t="s">
        <v>48</v>
      </c>
      <c r="AH1891" t="s">
        <v>48</v>
      </c>
      <c r="AI1891" t="s">
        <v>48</v>
      </c>
      <c r="AJ1891" t="s">
        <v>48</v>
      </c>
      <c r="AK1891" t="s">
        <v>48</v>
      </c>
      <c r="AL1891" t="s">
        <v>48</v>
      </c>
      <c r="AM1891" t="s">
        <v>48</v>
      </c>
      <c r="AN1891" t="s">
        <v>48</v>
      </c>
      <c r="AO1891" t="s">
        <v>48</v>
      </c>
      <c r="AP1891" s="46">
        <v>0</v>
      </c>
      <c r="AQ1891" s="46">
        <v>0</v>
      </c>
      <c r="AR1891" s="46">
        <v>0</v>
      </c>
      <c r="AS1891" s="46">
        <v>0</v>
      </c>
      <c r="AT1891" s="46">
        <v>0</v>
      </c>
      <c r="AU1891" s="46">
        <v>0</v>
      </c>
      <c r="AV1891" s="46">
        <v>0</v>
      </c>
      <c r="AW1891" s="46">
        <v>0</v>
      </c>
      <c r="AX1891" s="46">
        <v>0</v>
      </c>
      <c r="AY1891" s="46">
        <v>0</v>
      </c>
      <c r="AZ1891" s="46">
        <v>0</v>
      </c>
      <c r="BA1891" s="46">
        <v>0</v>
      </c>
      <c r="BB1891" s="46">
        <v>0</v>
      </c>
      <c r="BC1891" s="46">
        <v>0</v>
      </c>
      <c r="BD1891" s="46">
        <v>0</v>
      </c>
      <c r="BE1891" s="46">
        <v>0</v>
      </c>
      <c r="BF1891" s="46">
        <v>0</v>
      </c>
      <c r="BG1891" s="46" t="s">
        <v>48</v>
      </c>
      <c r="BH1891" s="46">
        <v>0</v>
      </c>
      <c r="BI1891" s="46">
        <v>0</v>
      </c>
      <c r="BJ1891" s="46">
        <v>0</v>
      </c>
      <c r="BK1891" s="46">
        <v>0</v>
      </c>
      <c r="BL1891" s="46">
        <v>0</v>
      </c>
      <c r="BM1891" s="46">
        <v>0</v>
      </c>
      <c r="BN1891" s="46">
        <v>0</v>
      </c>
    </row>
    <row r="1892" spans="1:66" x14ac:dyDescent="0.35">
      <c r="A1892" t="s">
        <v>4247</v>
      </c>
      <c r="B1892" s="44" t="s">
        <v>48</v>
      </c>
      <c r="C1892" t="s">
        <v>322</v>
      </c>
      <c r="D1892" t="s">
        <v>655</v>
      </c>
      <c r="E1892" t="s">
        <v>4248</v>
      </c>
      <c r="F1892" t="s">
        <v>4231</v>
      </c>
      <c r="G1892" t="s">
        <v>74</v>
      </c>
      <c r="H1892">
        <v>0</v>
      </c>
      <c r="I1892" s="60" t="s">
        <v>125</v>
      </c>
      <c r="J1892" s="33" t="s">
        <v>45</v>
      </c>
      <c r="K1892" s="46">
        <v>0</v>
      </c>
      <c r="L1892">
        <v>22.8</v>
      </c>
      <c r="M1892" t="s">
        <v>48</v>
      </c>
      <c r="N1892" s="46">
        <v>0</v>
      </c>
      <c r="O1892" s="46">
        <v>0</v>
      </c>
      <c r="P1892" s="46">
        <v>0</v>
      </c>
      <c r="Q1892" t="s">
        <v>48</v>
      </c>
      <c r="R1892" t="s">
        <v>48</v>
      </c>
      <c r="S1892" t="s">
        <v>48</v>
      </c>
      <c r="T1892" t="s">
        <v>48</v>
      </c>
      <c r="U1892" t="s">
        <v>48</v>
      </c>
      <c r="V1892" s="47">
        <v>0</v>
      </c>
      <c r="W1892" t="s">
        <v>48</v>
      </c>
      <c r="X1892" t="s">
        <v>48</v>
      </c>
      <c r="Y1892" t="s">
        <v>48</v>
      </c>
      <c r="Z1892">
        <v>0</v>
      </c>
      <c r="AA1892" t="s">
        <v>48</v>
      </c>
      <c r="AB1892" t="s">
        <v>48</v>
      </c>
      <c r="AC1892" t="s">
        <v>49</v>
      </c>
      <c r="AD1892" t="s">
        <v>93</v>
      </c>
      <c r="AE1892" t="s">
        <v>4532</v>
      </c>
      <c r="AF1892" t="s">
        <v>48</v>
      </c>
      <c r="AG1892" t="s">
        <v>48</v>
      </c>
      <c r="AH1892" t="s">
        <v>48</v>
      </c>
      <c r="AI1892" t="s">
        <v>48</v>
      </c>
      <c r="AJ1892" t="s">
        <v>48</v>
      </c>
      <c r="AK1892" t="s">
        <v>48</v>
      </c>
      <c r="AL1892" t="s">
        <v>48</v>
      </c>
      <c r="AM1892" t="s">
        <v>48</v>
      </c>
      <c r="AN1892" t="s">
        <v>48</v>
      </c>
      <c r="AO1892" t="s">
        <v>48</v>
      </c>
      <c r="AP1892" s="46">
        <v>0</v>
      </c>
      <c r="AQ1892" s="46">
        <v>0</v>
      </c>
      <c r="AR1892" s="46">
        <v>0</v>
      </c>
      <c r="AS1892" s="46">
        <v>0</v>
      </c>
      <c r="AT1892" s="46">
        <v>0</v>
      </c>
      <c r="AU1892" s="46">
        <v>0</v>
      </c>
      <c r="AV1892" s="46">
        <v>0</v>
      </c>
      <c r="AW1892" s="46">
        <v>0</v>
      </c>
      <c r="AX1892" s="46">
        <v>0</v>
      </c>
      <c r="AY1892" s="46">
        <v>0</v>
      </c>
      <c r="AZ1892" s="46">
        <v>0</v>
      </c>
      <c r="BA1892" s="46">
        <v>0</v>
      </c>
      <c r="BB1892" s="46">
        <v>0</v>
      </c>
      <c r="BC1892" s="46">
        <v>0</v>
      </c>
      <c r="BD1892" s="46">
        <v>0</v>
      </c>
      <c r="BE1892" s="46">
        <v>0</v>
      </c>
      <c r="BF1892" s="46">
        <v>0</v>
      </c>
      <c r="BG1892" s="46" t="s">
        <v>48</v>
      </c>
      <c r="BH1892" s="46">
        <v>0</v>
      </c>
      <c r="BI1892" s="46">
        <v>0</v>
      </c>
      <c r="BJ1892" s="46">
        <v>0</v>
      </c>
      <c r="BK1892" s="46">
        <v>0</v>
      </c>
      <c r="BL1892" s="46">
        <v>0</v>
      </c>
      <c r="BM1892" s="46">
        <v>0</v>
      </c>
      <c r="BN1892" s="46">
        <v>0</v>
      </c>
    </row>
    <row r="1893" spans="1:66" x14ac:dyDescent="0.35">
      <c r="A1893" t="s">
        <v>4255</v>
      </c>
      <c r="B1893" s="44" t="s">
        <v>48</v>
      </c>
      <c r="C1893" t="s">
        <v>332</v>
      </c>
      <c r="D1893" t="s">
        <v>4258</v>
      </c>
      <c r="E1893" t="s">
        <v>4256</v>
      </c>
      <c r="F1893" t="s">
        <v>4231</v>
      </c>
      <c r="G1893" t="s">
        <v>74</v>
      </c>
      <c r="H1893">
        <v>0</v>
      </c>
      <c r="I1893" s="60" t="s">
        <v>661</v>
      </c>
      <c r="J1893" s="33" t="s">
        <v>45</v>
      </c>
      <c r="K1893" s="46">
        <v>0</v>
      </c>
      <c r="L1893">
        <v>18.7</v>
      </c>
      <c r="M1893" t="s">
        <v>48</v>
      </c>
      <c r="N1893" s="46">
        <v>0</v>
      </c>
      <c r="O1893" s="46">
        <v>0</v>
      </c>
      <c r="P1893" s="46">
        <v>0</v>
      </c>
      <c r="Q1893" t="s">
        <v>48</v>
      </c>
      <c r="R1893" t="s">
        <v>48</v>
      </c>
      <c r="S1893" t="s">
        <v>4257</v>
      </c>
      <c r="T1893" t="s">
        <v>48</v>
      </c>
      <c r="U1893" t="s">
        <v>4257</v>
      </c>
      <c r="V1893" s="47">
        <v>0</v>
      </c>
      <c r="W1893" t="s">
        <v>48</v>
      </c>
      <c r="X1893" t="s">
        <v>48</v>
      </c>
      <c r="Y1893" t="s">
        <v>48</v>
      </c>
      <c r="Z1893">
        <v>0</v>
      </c>
      <c r="AA1893" t="s">
        <v>48</v>
      </c>
      <c r="AB1893" t="s">
        <v>48</v>
      </c>
      <c r="AC1893" t="s">
        <v>49</v>
      </c>
      <c r="AD1893" t="s">
        <v>93</v>
      </c>
      <c r="AE1893" t="s">
        <v>11051</v>
      </c>
      <c r="AF1893" t="s">
        <v>11052</v>
      </c>
      <c r="AG1893" t="s">
        <v>48</v>
      </c>
      <c r="AH1893" t="s">
        <v>48</v>
      </c>
      <c r="AI1893" t="s">
        <v>48</v>
      </c>
      <c r="AJ1893" t="s">
        <v>48</v>
      </c>
      <c r="AK1893" t="s">
        <v>48</v>
      </c>
      <c r="AL1893" t="s">
        <v>48</v>
      </c>
      <c r="AM1893" t="s">
        <v>48</v>
      </c>
      <c r="AN1893" t="s">
        <v>48</v>
      </c>
      <c r="AO1893" t="s">
        <v>48</v>
      </c>
      <c r="AP1893" s="46">
        <v>0</v>
      </c>
      <c r="AQ1893" s="46">
        <v>0</v>
      </c>
      <c r="AR1893" s="46">
        <v>0</v>
      </c>
      <c r="AS1893" s="46">
        <v>0</v>
      </c>
      <c r="AT1893" s="46">
        <v>0</v>
      </c>
      <c r="AU1893" s="46">
        <v>0</v>
      </c>
      <c r="AV1893" s="46">
        <v>0</v>
      </c>
      <c r="AW1893" s="46">
        <v>0</v>
      </c>
      <c r="AX1893" s="46">
        <v>0</v>
      </c>
      <c r="AY1893" s="46">
        <v>0</v>
      </c>
      <c r="AZ1893" s="46">
        <v>0</v>
      </c>
      <c r="BA1893" s="46">
        <v>0</v>
      </c>
      <c r="BB1893" s="46">
        <v>0</v>
      </c>
      <c r="BC1893" s="46">
        <v>0</v>
      </c>
      <c r="BD1893" s="46">
        <v>0</v>
      </c>
      <c r="BE1893" s="46">
        <v>0</v>
      </c>
      <c r="BF1893" s="46">
        <v>0</v>
      </c>
      <c r="BG1893" s="46" t="s">
        <v>48</v>
      </c>
      <c r="BH1893" s="46">
        <v>0</v>
      </c>
      <c r="BI1893" s="46">
        <v>0</v>
      </c>
      <c r="BJ1893" s="46">
        <v>0</v>
      </c>
      <c r="BK1893" s="46">
        <v>0</v>
      </c>
      <c r="BL1893" s="46">
        <v>0</v>
      </c>
      <c r="BM1893" s="46">
        <v>0</v>
      </c>
      <c r="BN1893" s="46">
        <v>0</v>
      </c>
    </row>
    <row r="1894" spans="1:66" x14ac:dyDescent="0.35">
      <c r="A1894" t="s">
        <v>4292</v>
      </c>
      <c r="B1894" s="44" t="s">
        <v>48</v>
      </c>
      <c r="C1894" t="s">
        <v>4294</v>
      </c>
      <c r="D1894" t="s">
        <v>4085</v>
      </c>
      <c r="E1894" t="s">
        <v>4293</v>
      </c>
      <c r="F1894" t="s">
        <v>150</v>
      </c>
      <c r="G1894" t="s">
        <v>47</v>
      </c>
      <c r="H1894">
        <v>0</v>
      </c>
      <c r="I1894" s="60" t="s">
        <v>149</v>
      </c>
      <c r="J1894" s="33" t="s">
        <v>45</v>
      </c>
      <c r="K1894" s="46">
        <v>0</v>
      </c>
      <c r="L1894">
        <v>13.9</v>
      </c>
      <c r="M1894" t="s">
        <v>48</v>
      </c>
      <c r="N1894" s="46">
        <v>0</v>
      </c>
      <c r="O1894" s="46">
        <v>0</v>
      </c>
      <c r="P1894" s="46">
        <v>0</v>
      </c>
      <c r="Q1894" t="s">
        <v>48</v>
      </c>
      <c r="R1894" t="s">
        <v>48</v>
      </c>
      <c r="S1894" t="s">
        <v>48</v>
      </c>
      <c r="T1894" t="s">
        <v>48</v>
      </c>
      <c r="U1894" t="s">
        <v>48</v>
      </c>
      <c r="V1894" s="47">
        <v>0</v>
      </c>
      <c r="W1894" t="s">
        <v>48</v>
      </c>
      <c r="X1894" t="s">
        <v>48</v>
      </c>
      <c r="Y1894" t="s">
        <v>48</v>
      </c>
      <c r="Z1894">
        <v>0</v>
      </c>
      <c r="AA1894" t="s">
        <v>48</v>
      </c>
      <c r="AB1894" t="s">
        <v>48</v>
      </c>
      <c r="AC1894" t="s">
        <v>49</v>
      </c>
      <c r="AD1894" t="s">
        <v>93</v>
      </c>
      <c r="AE1894" t="s">
        <v>4532</v>
      </c>
      <c r="AF1894" t="s">
        <v>48</v>
      </c>
      <c r="AG1894" t="s">
        <v>48</v>
      </c>
      <c r="AH1894" t="s">
        <v>48</v>
      </c>
      <c r="AI1894" t="s">
        <v>48</v>
      </c>
      <c r="AJ1894" t="s">
        <v>48</v>
      </c>
      <c r="AK1894" t="s">
        <v>48</v>
      </c>
      <c r="AL1894" t="s">
        <v>48</v>
      </c>
      <c r="AM1894" t="s">
        <v>48</v>
      </c>
      <c r="AN1894" t="s">
        <v>48</v>
      </c>
      <c r="AO1894" t="s">
        <v>48</v>
      </c>
      <c r="AP1894" s="46">
        <v>0</v>
      </c>
      <c r="AQ1894" s="46">
        <v>0</v>
      </c>
      <c r="AR1894" s="46">
        <v>0</v>
      </c>
      <c r="AS1894" s="46">
        <v>0</v>
      </c>
      <c r="AT1894" s="46">
        <v>0</v>
      </c>
      <c r="AU1894" s="46">
        <v>0</v>
      </c>
      <c r="AV1894" s="46">
        <v>0</v>
      </c>
      <c r="AW1894" s="46">
        <v>0</v>
      </c>
      <c r="AX1894" s="46">
        <v>0</v>
      </c>
      <c r="AY1894" s="46">
        <v>0</v>
      </c>
      <c r="AZ1894" s="46">
        <v>0</v>
      </c>
      <c r="BA1894" s="46">
        <v>0</v>
      </c>
      <c r="BB1894" s="46">
        <v>0</v>
      </c>
      <c r="BC1894" s="46">
        <v>0</v>
      </c>
      <c r="BD1894" s="46">
        <v>0</v>
      </c>
      <c r="BE1894" s="46">
        <v>0</v>
      </c>
      <c r="BF1894" s="46">
        <v>0</v>
      </c>
      <c r="BG1894" s="46" t="s">
        <v>48</v>
      </c>
      <c r="BH1894" s="46">
        <v>0</v>
      </c>
      <c r="BI1894" s="46">
        <v>0</v>
      </c>
      <c r="BJ1894" s="46">
        <v>0</v>
      </c>
      <c r="BK1894" s="46">
        <v>0</v>
      </c>
      <c r="BL1894" s="46">
        <v>0</v>
      </c>
      <c r="BM1894" s="46">
        <v>0</v>
      </c>
      <c r="BN1894" s="46">
        <v>0</v>
      </c>
    </row>
    <row r="1895" spans="1:66" x14ac:dyDescent="0.35">
      <c r="A1895" t="s">
        <v>4276</v>
      </c>
      <c r="B1895" s="44" t="s">
        <v>48</v>
      </c>
      <c r="C1895" t="s">
        <v>1240</v>
      </c>
      <c r="D1895" t="s">
        <v>1252</v>
      </c>
      <c r="E1895" t="s">
        <v>4277</v>
      </c>
      <c r="F1895" t="s">
        <v>150</v>
      </c>
      <c r="G1895" t="s">
        <v>47</v>
      </c>
      <c r="H1895">
        <v>0</v>
      </c>
      <c r="I1895" s="61" t="s">
        <v>11160</v>
      </c>
      <c r="J1895" s="33" t="s">
        <v>45</v>
      </c>
      <c r="K1895" s="46">
        <v>0</v>
      </c>
      <c r="L1895">
        <v>9.5</v>
      </c>
      <c r="M1895" t="s">
        <v>48</v>
      </c>
      <c r="N1895" s="46">
        <v>0</v>
      </c>
      <c r="O1895" s="46">
        <v>0</v>
      </c>
      <c r="P1895" s="46">
        <v>0</v>
      </c>
      <c r="Q1895" t="s">
        <v>48</v>
      </c>
      <c r="R1895" t="s">
        <v>48</v>
      </c>
      <c r="S1895" t="s">
        <v>11364</v>
      </c>
      <c r="T1895" t="s">
        <v>48</v>
      </c>
      <c r="U1895" t="s">
        <v>4278</v>
      </c>
      <c r="V1895" s="47">
        <v>1</v>
      </c>
      <c r="W1895" t="s">
        <v>48</v>
      </c>
      <c r="X1895" t="s">
        <v>48</v>
      </c>
      <c r="Y1895" t="s">
        <v>48</v>
      </c>
      <c r="Z1895">
        <v>0</v>
      </c>
      <c r="AA1895" t="s">
        <v>48</v>
      </c>
      <c r="AB1895" t="s">
        <v>48</v>
      </c>
      <c r="AC1895" t="s">
        <v>49</v>
      </c>
      <c r="AD1895" t="s">
        <v>93</v>
      </c>
      <c r="AE1895" t="s">
        <v>4532</v>
      </c>
      <c r="AF1895" t="s">
        <v>48</v>
      </c>
      <c r="AG1895" t="s">
        <v>48</v>
      </c>
      <c r="AH1895" t="s">
        <v>48</v>
      </c>
      <c r="AI1895" t="s">
        <v>48</v>
      </c>
      <c r="AJ1895" t="s">
        <v>48</v>
      </c>
      <c r="AK1895" t="s">
        <v>48</v>
      </c>
      <c r="AL1895" t="s">
        <v>48</v>
      </c>
      <c r="AM1895" t="s">
        <v>48</v>
      </c>
      <c r="AN1895" t="s">
        <v>48</v>
      </c>
      <c r="AO1895" t="s">
        <v>48</v>
      </c>
      <c r="AP1895" s="46">
        <v>0</v>
      </c>
      <c r="AQ1895" s="46">
        <v>0</v>
      </c>
      <c r="AR1895" s="46">
        <v>0</v>
      </c>
      <c r="AS1895" s="46">
        <v>0</v>
      </c>
      <c r="AT1895" s="46">
        <v>0</v>
      </c>
      <c r="AU1895" s="46">
        <v>0</v>
      </c>
      <c r="AV1895" s="46">
        <v>0</v>
      </c>
      <c r="AW1895" s="46">
        <v>0</v>
      </c>
      <c r="AX1895" s="46">
        <v>0</v>
      </c>
      <c r="AY1895" s="46">
        <v>0</v>
      </c>
      <c r="AZ1895" s="46">
        <v>0</v>
      </c>
      <c r="BA1895" s="46">
        <v>0</v>
      </c>
      <c r="BB1895" s="46">
        <v>0</v>
      </c>
      <c r="BC1895" s="46">
        <v>0</v>
      </c>
      <c r="BD1895" s="46">
        <v>0</v>
      </c>
      <c r="BE1895" s="46">
        <v>0</v>
      </c>
      <c r="BF1895" s="46">
        <v>0</v>
      </c>
      <c r="BG1895" s="46" t="s">
        <v>48</v>
      </c>
      <c r="BH1895" s="46">
        <v>0</v>
      </c>
      <c r="BI1895" s="46">
        <v>0</v>
      </c>
      <c r="BJ1895" s="46">
        <v>0</v>
      </c>
      <c r="BK1895" s="46">
        <v>0</v>
      </c>
      <c r="BL1895" s="46">
        <v>0</v>
      </c>
      <c r="BM1895" s="46">
        <v>0</v>
      </c>
      <c r="BN1895" s="46">
        <v>0</v>
      </c>
    </row>
    <row r="1896" spans="1:66" x14ac:dyDescent="0.35">
      <c r="A1896" t="s">
        <v>9544</v>
      </c>
      <c r="B1896" s="44" t="s">
        <v>48</v>
      </c>
      <c r="C1896" t="s">
        <v>4279</v>
      </c>
      <c r="D1896" t="s">
        <v>3238</v>
      </c>
      <c r="E1896" t="s">
        <v>9545</v>
      </c>
      <c r="F1896" t="s">
        <v>150</v>
      </c>
      <c r="G1896" t="s">
        <v>47</v>
      </c>
      <c r="H1896">
        <v>0</v>
      </c>
      <c r="I1896" s="61">
        <v>44753</v>
      </c>
      <c r="J1896" s="33" t="s">
        <v>45</v>
      </c>
      <c r="K1896" s="46">
        <v>0</v>
      </c>
      <c r="L1896">
        <v>13.8</v>
      </c>
      <c r="M1896" t="s">
        <v>48</v>
      </c>
      <c r="N1896" s="46">
        <v>0</v>
      </c>
      <c r="O1896" s="46">
        <v>0</v>
      </c>
      <c r="P1896" s="46">
        <v>0</v>
      </c>
      <c r="Q1896" t="s">
        <v>48</v>
      </c>
      <c r="R1896" t="s">
        <v>48</v>
      </c>
      <c r="S1896" t="s">
        <v>48</v>
      </c>
      <c r="T1896" t="s">
        <v>48</v>
      </c>
      <c r="U1896" t="s">
        <v>48</v>
      </c>
      <c r="V1896" s="47">
        <v>1</v>
      </c>
      <c r="W1896" t="s">
        <v>48</v>
      </c>
      <c r="X1896" t="s">
        <v>48</v>
      </c>
      <c r="Y1896" t="s">
        <v>48</v>
      </c>
      <c r="Z1896" t="s">
        <v>48</v>
      </c>
      <c r="AA1896" t="s">
        <v>48</v>
      </c>
      <c r="AB1896" t="s">
        <v>48</v>
      </c>
      <c r="AC1896" t="s">
        <v>49</v>
      </c>
      <c r="AD1896" t="s">
        <v>93</v>
      </c>
      <c r="AE1896" t="s">
        <v>4532</v>
      </c>
      <c r="AF1896" t="s">
        <v>48</v>
      </c>
      <c r="AG1896" t="s">
        <v>48</v>
      </c>
      <c r="AH1896" t="s">
        <v>48</v>
      </c>
      <c r="AI1896" t="s">
        <v>48</v>
      </c>
      <c r="AJ1896" t="s">
        <v>48</v>
      </c>
      <c r="AK1896" t="s">
        <v>48</v>
      </c>
      <c r="AL1896" t="s">
        <v>48</v>
      </c>
      <c r="AM1896" t="s">
        <v>48</v>
      </c>
      <c r="AN1896" t="s">
        <v>48</v>
      </c>
      <c r="AO1896" t="s">
        <v>48</v>
      </c>
      <c r="AP1896" s="46">
        <v>0</v>
      </c>
      <c r="AQ1896" s="46">
        <v>0</v>
      </c>
      <c r="AR1896" s="46">
        <v>0</v>
      </c>
      <c r="AS1896" s="46">
        <v>0</v>
      </c>
      <c r="AT1896" s="46">
        <v>0</v>
      </c>
      <c r="AU1896" s="46">
        <v>0</v>
      </c>
      <c r="AV1896" s="46">
        <v>0</v>
      </c>
      <c r="AW1896" s="46">
        <v>0</v>
      </c>
      <c r="AX1896" s="46">
        <v>0</v>
      </c>
      <c r="AY1896" s="46">
        <v>0</v>
      </c>
      <c r="AZ1896" s="46">
        <v>0</v>
      </c>
      <c r="BA1896" s="46">
        <v>0</v>
      </c>
      <c r="BB1896" s="46">
        <v>0</v>
      </c>
      <c r="BC1896" s="46">
        <v>0</v>
      </c>
      <c r="BD1896" s="46">
        <v>0</v>
      </c>
      <c r="BE1896" s="46">
        <v>0</v>
      </c>
      <c r="BF1896" s="46">
        <v>0</v>
      </c>
      <c r="BG1896" s="46" t="s">
        <v>48</v>
      </c>
      <c r="BH1896" s="46">
        <v>0</v>
      </c>
      <c r="BI1896" s="46">
        <v>0</v>
      </c>
      <c r="BJ1896" s="46">
        <v>0</v>
      </c>
      <c r="BK1896" s="46">
        <v>0</v>
      </c>
      <c r="BL1896" s="46">
        <v>0</v>
      </c>
      <c r="BM1896" s="46">
        <v>0</v>
      </c>
      <c r="BN1896" s="46">
        <v>0</v>
      </c>
    </row>
    <row r="1897" spans="1:66" x14ac:dyDescent="0.35">
      <c r="A1897" t="s">
        <v>4577</v>
      </c>
      <c r="B1897" s="44" t="s">
        <v>48</v>
      </c>
      <c r="C1897" t="s">
        <v>80</v>
      </c>
      <c r="D1897" t="s">
        <v>4578</v>
      </c>
      <c r="E1897" t="s">
        <v>9548</v>
      </c>
      <c r="F1897" t="s">
        <v>150</v>
      </c>
      <c r="G1897" t="s">
        <v>74</v>
      </c>
      <c r="H1897">
        <v>0</v>
      </c>
      <c r="I1897" s="61">
        <v>44753</v>
      </c>
      <c r="J1897" s="33" t="s">
        <v>45</v>
      </c>
      <c r="K1897" s="46">
        <v>0</v>
      </c>
      <c r="L1897">
        <v>31.1</v>
      </c>
      <c r="M1897" t="s">
        <v>48</v>
      </c>
      <c r="N1897" s="46">
        <v>0</v>
      </c>
      <c r="O1897" s="46">
        <v>0</v>
      </c>
      <c r="P1897" s="46">
        <v>0</v>
      </c>
      <c r="Q1897" t="s">
        <v>48</v>
      </c>
      <c r="R1897" t="s">
        <v>48</v>
      </c>
      <c r="S1897" t="s">
        <v>10278</v>
      </c>
      <c r="T1897" t="s">
        <v>48</v>
      </c>
      <c r="U1897" t="s">
        <v>10278</v>
      </c>
      <c r="V1897" s="47">
        <v>1</v>
      </c>
      <c r="W1897" t="s">
        <v>48</v>
      </c>
      <c r="X1897" t="s">
        <v>48</v>
      </c>
      <c r="Y1897" t="s">
        <v>48</v>
      </c>
      <c r="Z1897">
        <v>0</v>
      </c>
      <c r="AA1897" t="s">
        <v>48</v>
      </c>
      <c r="AB1897" t="s">
        <v>48</v>
      </c>
      <c r="AC1897" t="s">
        <v>63</v>
      </c>
      <c r="AD1897" t="s">
        <v>93</v>
      </c>
      <c r="AE1897" s="40" t="s">
        <v>2471</v>
      </c>
      <c r="AF1897" t="s">
        <v>11061</v>
      </c>
      <c r="AG1897" t="s">
        <v>48</v>
      </c>
      <c r="AH1897" t="s">
        <v>93</v>
      </c>
      <c r="AI1897" t="s">
        <v>48</v>
      </c>
      <c r="AJ1897">
        <v>1969</v>
      </c>
      <c r="AK1897" t="s">
        <v>48</v>
      </c>
      <c r="AL1897" t="s">
        <v>48</v>
      </c>
      <c r="AM1897" t="s">
        <v>48</v>
      </c>
      <c r="AN1897" t="s">
        <v>48</v>
      </c>
      <c r="AO1897" t="s">
        <v>48</v>
      </c>
      <c r="AP1897" s="46">
        <v>0</v>
      </c>
      <c r="AQ1897" s="46">
        <v>0</v>
      </c>
      <c r="AR1897" s="46">
        <v>0</v>
      </c>
      <c r="AS1897" s="46">
        <v>0</v>
      </c>
      <c r="AT1897" s="46">
        <v>0</v>
      </c>
      <c r="AU1897" s="46">
        <v>0</v>
      </c>
      <c r="AV1897" s="46">
        <v>0</v>
      </c>
      <c r="AW1897" s="46">
        <v>0</v>
      </c>
      <c r="AX1897" s="46">
        <v>0</v>
      </c>
      <c r="AY1897" s="46">
        <v>0</v>
      </c>
      <c r="AZ1897" s="46">
        <v>0</v>
      </c>
      <c r="BA1897" s="46">
        <v>0</v>
      </c>
      <c r="BB1897" s="46">
        <v>0</v>
      </c>
      <c r="BC1897" s="46">
        <v>0</v>
      </c>
      <c r="BD1897" s="46">
        <v>0</v>
      </c>
      <c r="BE1897" s="46">
        <v>0</v>
      </c>
      <c r="BF1897" s="46">
        <v>0</v>
      </c>
      <c r="BG1897" s="46" t="s">
        <v>48</v>
      </c>
      <c r="BH1897" s="46">
        <v>0</v>
      </c>
      <c r="BI1897" s="46">
        <v>0</v>
      </c>
      <c r="BJ1897" s="46">
        <v>0</v>
      </c>
      <c r="BK1897" s="46">
        <v>0</v>
      </c>
      <c r="BL1897" s="46">
        <v>0</v>
      </c>
      <c r="BM1897" s="46">
        <v>0</v>
      </c>
      <c r="BN1897" s="46">
        <v>0</v>
      </c>
    </row>
    <row r="1898" spans="1:66" x14ac:dyDescent="0.35">
      <c r="A1898" t="s">
        <v>9549</v>
      </c>
      <c r="B1898" s="44" t="s">
        <v>48</v>
      </c>
      <c r="C1898" t="s">
        <v>7291</v>
      </c>
      <c r="D1898" t="s">
        <v>325</v>
      </c>
      <c r="E1898" t="s">
        <v>9550</v>
      </c>
      <c r="F1898" t="s">
        <v>150</v>
      </c>
      <c r="G1898" t="s">
        <v>47</v>
      </c>
      <c r="H1898">
        <v>0</v>
      </c>
      <c r="I1898" s="61">
        <v>44753</v>
      </c>
      <c r="J1898" s="33" t="s">
        <v>45</v>
      </c>
      <c r="K1898" s="46">
        <v>0</v>
      </c>
      <c r="L1898">
        <v>1.2</v>
      </c>
      <c r="M1898" t="s">
        <v>48</v>
      </c>
      <c r="N1898" s="46">
        <v>0</v>
      </c>
      <c r="O1898" s="46">
        <v>0</v>
      </c>
      <c r="P1898" s="46">
        <v>0</v>
      </c>
      <c r="Q1898" t="s">
        <v>48</v>
      </c>
      <c r="R1898" t="s">
        <v>48</v>
      </c>
      <c r="S1898" t="s">
        <v>48</v>
      </c>
      <c r="T1898" t="s">
        <v>48</v>
      </c>
      <c r="U1898" t="s">
        <v>48</v>
      </c>
      <c r="V1898" s="47">
        <v>0</v>
      </c>
      <c r="W1898" t="s">
        <v>48</v>
      </c>
      <c r="X1898" t="s">
        <v>48</v>
      </c>
      <c r="Y1898" t="s">
        <v>48</v>
      </c>
      <c r="Z1898" t="s">
        <v>48</v>
      </c>
      <c r="AA1898" t="s">
        <v>48</v>
      </c>
      <c r="AB1898" t="s">
        <v>48</v>
      </c>
      <c r="AC1898" t="s">
        <v>49</v>
      </c>
      <c r="AD1898" t="s">
        <v>93</v>
      </c>
      <c r="AE1898" t="s">
        <v>2471</v>
      </c>
      <c r="AF1898" t="s">
        <v>48</v>
      </c>
      <c r="AG1898" t="s">
        <v>48</v>
      </c>
      <c r="AH1898" t="s">
        <v>48</v>
      </c>
      <c r="AI1898" t="s">
        <v>48</v>
      </c>
      <c r="AJ1898" t="s">
        <v>48</v>
      </c>
      <c r="AK1898" t="s">
        <v>48</v>
      </c>
      <c r="AL1898" t="s">
        <v>48</v>
      </c>
      <c r="AM1898" t="s">
        <v>48</v>
      </c>
      <c r="AN1898" t="s">
        <v>48</v>
      </c>
      <c r="AO1898" t="s">
        <v>48</v>
      </c>
      <c r="AP1898" s="46">
        <v>0</v>
      </c>
      <c r="AQ1898" s="46">
        <v>0</v>
      </c>
      <c r="AR1898" s="46">
        <v>0</v>
      </c>
      <c r="AS1898" s="46">
        <v>0</v>
      </c>
      <c r="AT1898" s="46">
        <v>0</v>
      </c>
      <c r="AU1898" s="46">
        <v>0</v>
      </c>
      <c r="AV1898" s="46">
        <v>0</v>
      </c>
      <c r="AW1898" s="46">
        <v>0</v>
      </c>
      <c r="AX1898" s="46">
        <v>0</v>
      </c>
      <c r="AY1898" s="46">
        <v>0</v>
      </c>
      <c r="AZ1898" s="46">
        <v>0</v>
      </c>
      <c r="BA1898" s="46">
        <v>0</v>
      </c>
      <c r="BB1898" s="46">
        <v>0</v>
      </c>
      <c r="BC1898" s="46">
        <v>0</v>
      </c>
      <c r="BD1898" s="46">
        <v>0</v>
      </c>
      <c r="BE1898" s="46">
        <v>0</v>
      </c>
      <c r="BF1898" s="46">
        <v>0</v>
      </c>
      <c r="BG1898" s="46" t="s">
        <v>48</v>
      </c>
      <c r="BH1898" s="46">
        <v>0</v>
      </c>
      <c r="BI1898" s="46">
        <v>0</v>
      </c>
      <c r="BJ1898" s="46">
        <v>0</v>
      </c>
      <c r="BK1898" s="46">
        <v>0</v>
      </c>
      <c r="BL1898" s="46">
        <v>0</v>
      </c>
      <c r="BM1898" s="46">
        <v>0</v>
      </c>
      <c r="BN1898" s="46">
        <v>0</v>
      </c>
    </row>
    <row r="1899" spans="1:66" x14ac:dyDescent="0.35">
      <c r="A1899" t="s">
        <v>4468</v>
      </c>
      <c r="B1899" s="44" t="s">
        <v>48</v>
      </c>
      <c r="C1899" t="s">
        <v>4470</v>
      </c>
      <c r="D1899" t="s">
        <v>331</v>
      </c>
      <c r="E1899" t="s">
        <v>9551</v>
      </c>
      <c r="F1899" t="s">
        <v>150</v>
      </c>
      <c r="G1899" t="s">
        <v>74</v>
      </c>
      <c r="H1899">
        <v>0</v>
      </c>
      <c r="I1899" s="61">
        <v>44753</v>
      </c>
      <c r="J1899" s="33" t="s">
        <v>45</v>
      </c>
      <c r="K1899" s="46">
        <v>0</v>
      </c>
      <c r="L1899">
        <v>3.1</v>
      </c>
      <c r="M1899" t="s">
        <v>48</v>
      </c>
      <c r="N1899" s="46">
        <v>0</v>
      </c>
      <c r="O1899" s="46">
        <v>0</v>
      </c>
      <c r="P1899" s="46">
        <v>0</v>
      </c>
      <c r="Q1899" t="s">
        <v>48</v>
      </c>
      <c r="R1899" t="s">
        <v>48</v>
      </c>
      <c r="S1899" t="s">
        <v>4469</v>
      </c>
      <c r="T1899" t="s">
        <v>48</v>
      </c>
      <c r="U1899" t="s">
        <v>4469</v>
      </c>
      <c r="V1899" s="47">
        <v>1</v>
      </c>
      <c r="W1899" t="s">
        <v>48</v>
      </c>
      <c r="X1899" t="s">
        <v>48</v>
      </c>
      <c r="Y1899" t="s">
        <v>48</v>
      </c>
      <c r="Z1899">
        <v>0</v>
      </c>
      <c r="AA1899" t="s">
        <v>48</v>
      </c>
      <c r="AB1899" t="s">
        <v>48</v>
      </c>
      <c r="AC1899" t="s">
        <v>49</v>
      </c>
      <c r="AD1899" t="s">
        <v>93</v>
      </c>
      <c r="AE1899" s="40" t="s">
        <v>2471</v>
      </c>
      <c r="AF1899" t="s">
        <v>11061</v>
      </c>
      <c r="AG1899" t="s">
        <v>48</v>
      </c>
      <c r="AH1899" t="s">
        <v>48</v>
      </c>
      <c r="AI1899" t="s">
        <v>48</v>
      </c>
      <c r="AJ1899" t="s">
        <v>48</v>
      </c>
      <c r="AK1899" t="s">
        <v>48</v>
      </c>
      <c r="AL1899" t="s">
        <v>48</v>
      </c>
      <c r="AM1899" t="s">
        <v>48</v>
      </c>
      <c r="AN1899" t="s">
        <v>48</v>
      </c>
      <c r="AO1899" t="s">
        <v>48</v>
      </c>
      <c r="AP1899" s="46">
        <v>0</v>
      </c>
      <c r="AQ1899" s="46">
        <v>0</v>
      </c>
      <c r="AR1899" s="46">
        <v>0</v>
      </c>
      <c r="AS1899" s="46">
        <v>0</v>
      </c>
      <c r="AT1899" s="46">
        <v>0</v>
      </c>
      <c r="AU1899" s="46">
        <v>0</v>
      </c>
      <c r="AV1899" s="46">
        <v>0</v>
      </c>
      <c r="AW1899" s="46">
        <v>0</v>
      </c>
      <c r="AX1899" s="46">
        <v>0</v>
      </c>
      <c r="AY1899" s="46">
        <v>0</v>
      </c>
      <c r="AZ1899" s="46">
        <v>0</v>
      </c>
      <c r="BA1899" s="46">
        <v>0</v>
      </c>
      <c r="BB1899" s="46">
        <v>0</v>
      </c>
      <c r="BC1899" s="46">
        <v>0</v>
      </c>
      <c r="BD1899" s="46">
        <v>0</v>
      </c>
      <c r="BE1899" s="46">
        <v>0</v>
      </c>
      <c r="BF1899" s="46">
        <v>0</v>
      </c>
      <c r="BG1899" s="46" t="s">
        <v>48</v>
      </c>
      <c r="BH1899" s="46">
        <v>0</v>
      </c>
      <c r="BI1899" s="46">
        <v>0</v>
      </c>
      <c r="BJ1899" s="46">
        <v>0</v>
      </c>
      <c r="BK1899" s="46">
        <v>0</v>
      </c>
      <c r="BL1899" s="46">
        <v>0</v>
      </c>
      <c r="BM1899" s="46">
        <v>0</v>
      </c>
      <c r="BN1899" s="46">
        <v>0</v>
      </c>
    </row>
    <row r="1900" spans="1:66" x14ac:dyDescent="0.35">
      <c r="A1900" t="s">
        <v>9552</v>
      </c>
      <c r="B1900" s="44" t="s">
        <v>48</v>
      </c>
      <c r="C1900" t="s">
        <v>2216</v>
      </c>
      <c r="D1900" t="s">
        <v>12072</v>
      </c>
      <c r="E1900" t="s">
        <v>9553</v>
      </c>
      <c r="F1900" t="s">
        <v>150</v>
      </c>
      <c r="G1900" t="s">
        <v>74</v>
      </c>
      <c r="H1900">
        <v>0</v>
      </c>
      <c r="I1900" s="61">
        <v>44753</v>
      </c>
      <c r="J1900" s="33" t="s">
        <v>45</v>
      </c>
      <c r="K1900" s="46">
        <v>0</v>
      </c>
      <c r="L1900">
        <v>2.6</v>
      </c>
      <c r="M1900" t="s">
        <v>48</v>
      </c>
      <c r="N1900" s="46">
        <v>0</v>
      </c>
      <c r="O1900" s="46">
        <v>0</v>
      </c>
      <c r="P1900" s="46">
        <v>0</v>
      </c>
      <c r="Q1900" t="s">
        <v>48</v>
      </c>
      <c r="R1900" t="s">
        <v>48</v>
      </c>
      <c r="S1900" t="s">
        <v>48</v>
      </c>
      <c r="T1900" t="s">
        <v>48</v>
      </c>
      <c r="U1900" t="s">
        <v>48</v>
      </c>
      <c r="V1900" s="47">
        <v>0</v>
      </c>
      <c r="W1900" t="s">
        <v>48</v>
      </c>
      <c r="X1900" t="s">
        <v>48</v>
      </c>
      <c r="Y1900" t="s">
        <v>48</v>
      </c>
      <c r="Z1900" t="s">
        <v>48</v>
      </c>
      <c r="AA1900" t="s">
        <v>48</v>
      </c>
      <c r="AB1900" t="s">
        <v>48</v>
      </c>
      <c r="AC1900" t="s">
        <v>49</v>
      </c>
      <c r="AD1900" t="s">
        <v>93</v>
      </c>
      <c r="AE1900" t="s">
        <v>2471</v>
      </c>
      <c r="AF1900" t="s">
        <v>48</v>
      </c>
      <c r="AG1900" t="s">
        <v>48</v>
      </c>
      <c r="AH1900" t="s">
        <v>48</v>
      </c>
      <c r="AI1900" t="s">
        <v>48</v>
      </c>
      <c r="AJ1900" t="s">
        <v>48</v>
      </c>
      <c r="AK1900" t="s">
        <v>48</v>
      </c>
      <c r="AL1900" t="s">
        <v>48</v>
      </c>
      <c r="AM1900" t="s">
        <v>48</v>
      </c>
      <c r="AN1900" t="s">
        <v>48</v>
      </c>
      <c r="AO1900" t="s">
        <v>48</v>
      </c>
      <c r="AP1900" s="46">
        <v>0</v>
      </c>
      <c r="AQ1900" s="46">
        <v>0</v>
      </c>
      <c r="AR1900" s="46">
        <v>0</v>
      </c>
      <c r="AS1900" s="46">
        <v>0</v>
      </c>
      <c r="AT1900" s="46">
        <v>0</v>
      </c>
      <c r="AU1900" s="46">
        <v>0</v>
      </c>
      <c r="AV1900" s="46">
        <v>0</v>
      </c>
      <c r="AW1900" s="46">
        <v>0</v>
      </c>
      <c r="AX1900" s="46">
        <v>0</v>
      </c>
      <c r="AY1900" s="46">
        <v>0</v>
      </c>
      <c r="AZ1900" s="46">
        <v>0</v>
      </c>
      <c r="BA1900" s="46">
        <v>0</v>
      </c>
      <c r="BB1900" s="46">
        <v>0</v>
      </c>
      <c r="BC1900" s="46">
        <v>0</v>
      </c>
      <c r="BD1900" s="46">
        <v>0</v>
      </c>
      <c r="BE1900" s="46">
        <v>0</v>
      </c>
      <c r="BF1900" s="46">
        <v>0</v>
      </c>
      <c r="BG1900" s="46" t="s">
        <v>48</v>
      </c>
      <c r="BH1900" s="46">
        <v>0</v>
      </c>
      <c r="BI1900" s="46">
        <v>0</v>
      </c>
      <c r="BJ1900" s="46">
        <v>0</v>
      </c>
      <c r="BK1900" s="46">
        <v>0</v>
      </c>
      <c r="BL1900" s="46">
        <v>0</v>
      </c>
      <c r="BM1900" s="46">
        <v>0</v>
      </c>
      <c r="BN1900" s="46">
        <v>0</v>
      </c>
    </row>
    <row r="1901" spans="1:66" x14ac:dyDescent="0.35">
      <c r="A1901" t="s">
        <v>4280</v>
      </c>
      <c r="B1901" s="44" t="s">
        <v>48</v>
      </c>
      <c r="C1901" t="s">
        <v>4279</v>
      </c>
      <c r="D1901" t="s">
        <v>4283</v>
      </c>
      <c r="E1901" t="s">
        <v>4281</v>
      </c>
      <c r="F1901" t="s">
        <v>150</v>
      </c>
      <c r="G1901" t="s">
        <v>47</v>
      </c>
      <c r="H1901">
        <v>0</v>
      </c>
      <c r="I1901" s="60" t="s">
        <v>149</v>
      </c>
      <c r="J1901" s="33" t="s">
        <v>45</v>
      </c>
      <c r="K1901" s="46">
        <v>0</v>
      </c>
      <c r="L1901">
        <v>26.8</v>
      </c>
      <c r="M1901" t="s">
        <v>48</v>
      </c>
      <c r="N1901" s="46">
        <v>0</v>
      </c>
      <c r="O1901" s="46">
        <v>0</v>
      </c>
      <c r="P1901" s="46">
        <v>0</v>
      </c>
      <c r="Q1901" t="s">
        <v>48</v>
      </c>
      <c r="R1901" t="s">
        <v>48</v>
      </c>
      <c r="S1901" t="s">
        <v>4282</v>
      </c>
      <c r="T1901" t="s">
        <v>48</v>
      </c>
      <c r="U1901" t="s">
        <v>4282</v>
      </c>
      <c r="V1901" s="47">
        <v>0</v>
      </c>
      <c r="W1901" t="s">
        <v>48</v>
      </c>
      <c r="X1901" t="s">
        <v>48</v>
      </c>
      <c r="Y1901" t="s">
        <v>48</v>
      </c>
      <c r="Z1901">
        <v>0</v>
      </c>
      <c r="AA1901" t="s">
        <v>48</v>
      </c>
      <c r="AB1901" t="s">
        <v>48</v>
      </c>
      <c r="AC1901" t="s">
        <v>49</v>
      </c>
      <c r="AD1901" t="s">
        <v>93</v>
      </c>
      <c r="AE1901" t="s">
        <v>4532</v>
      </c>
      <c r="AF1901" t="s">
        <v>48</v>
      </c>
      <c r="AG1901" t="s">
        <v>48</v>
      </c>
      <c r="AH1901" t="s">
        <v>48</v>
      </c>
      <c r="AI1901" t="s">
        <v>48</v>
      </c>
      <c r="AJ1901" t="s">
        <v>48</v>
      </c>
      <c r="AK1901" t="s">
        <v>48</v>
      </c>
      <c r="AL1901" t="s">
        <v>48</v>
      </c>
      <c r="AM1901" t="s">
        <v>48</v>
      </c>
      <c r="AN1901" t="s">
        <v>48</v>
      </c>
      <c r="AO1901" t="s">
        <v>48</v>
      </c>
      <c r="AP1901" s="46">
        <v>0</v>
      </c>
      <c r="AQ1901" s="46">
        <v>0</v>
      </c>
      <c r="AR1901" s="46">
        <v>0</v>
      </c>
      <c r="AS1901" s="46">
        <v>0</v>
      </c>
      <c r="AT1901" s="46">
        <v>0</v>
      </c>
      <c r="AU1901" s="46">
        <v>0</v>
      </c>
      <c r="AV1901" s="46">
        <v>0</v>
      </c>
      <c r="AW1901" s="46">
        <v>0</v>
      </c>
      <c r="AX1901" s="46">
        <v>0</v>
      </c>
      <c r="AY1901" s="46">
        <v>0</v>
      </c>
      <c r="AZ1901" s="46">
        <v>0</v>
      </c>
      <c r="BA1901" s="46">
        <v>0</v>
      </c>
      <c r="BB1901" s="46">
        <v>0</v>
      </c>
      <c r="BC1901" s="46">
        <v>0</v>
      </c>
      <c r="BD1901" s="46">
        <v>0</v>
      </c>
      <c r="BE1901" s="46">
        <v>0</v>
      </c>
      <c r="BF1901" s="46">
        <v>0</v>
      </c>
      <c r="BG1901" s="46" t="s">
        <v>48</v>
      </c>
      <c r="BH1901" s="46">
        <v>0</v>
      </c>
      <c r="BI1901" s="46">
        <v>0</v>
      </c>
      <c r="BJ1901" s="46">
        <v>0</v>
      </c>
      <c r="BK1901" s="46">
        <v>0</v>
      </c>
      <c r="BL1901" s="46">
        <v>0</v>
      </c>
      <c r="BM1901" s="46">
        <v>0</v>
      </c>
      <c r="BN1901" s="46">
        <v>0</v>
      </c>
    </row>
    <row r="1902" spans="1:66" x14ac:dyDescent="0.35">
      <c r="A1902" t="s">
        <v>9554</v>
      </c>
      <c r="B1902" s="44" t="s">
        <v>48</v>
      </c>
      <c r="C1902" t="s">
        <v>4493</v>
      </c>
      <c r="D1902" t="s">
        <v>496</v>
      </c>
      <c r="E1902" t="s">
        <v>9555</v>
      </c>
      <c r="F1902" t="s">
        <v>150</v>
      </c>
      <c r="G1902" t="s">
        <v>47</v>
      </c>
      <c r="H1902">
        <v>0</v>
      </c>
      <c r="I1902" s="61">
        <v>44753</v>
      </c>
      <c r="J1902" s="33" t="s">
        <v>45</v>
      </c>
      <c r="K1902" s="46">
        <v>0</v>
      </c>
      <c r="L1902">
        <v>2.9</v>
      </c>
      <c r="M1902" t="s">
        <v>48</v>
      </c>
      <c r="N1902" s="46">
        <v>0</v>
      </c>
      <c r="O1902" s="46">
        <v>0</v>
      </c>
      <c r="P1902" s="46">
        <v>0</v>
      </c>
      <c r="Q1902" t="s">
        <v>48</v>
      </c>
      <c r="R1902" t="s">
        <v>48</v>
      </c>
      <c r="S1902" t="s">
        <v>48</v>
      </c>
      <c r="T1902" t="s">
        <v>48</v>
      </c>
      <c r="U1902" t="s">
        <v>48</v>
      </c>
      <c r="V1902" s="47">
        <v>0</v>
      </c>
      <c r="W1902" t="s">
        <v>48</v>
      </c>
      <c r="X1902" t="s">
        <v>48</v>
      </c>
      <c r="Y1902" t="s">
        <v>48</v>
      </c>
      <c r="Z1902" t="s">
        <v>48</v>
      </c>
      <c r="AA1902" t="s">
        <v>48</v>
      </c>
      <c r="AB1902" t="s">
        <v>48</v>
      </c>
      <c r="AC1902" t="s">
        <v>49</v>
      </c>
      <c r="AD1902" t="s">
        <v>93</v>
      </c>
      <c r="AE1902" t="s">
        <v>4532</v>
      </c>
      <c r="AF1902" t="s">
        <v>48</v>
      </c>
      <c r="AG1902" t="s">
        <v>48</v>
      </c>
      <c r="AH1902" t="s">
        <v>48</v>
      </c>
      <c r="AI1902" t="s">
        <v>48</v>
      </c>
      <c r="AJ1902" t="s">
        <v>48</v>
      </c>
      <c r="AK1902" t="s">
        <v>48</v>
      </c>
      <c r="AL1902" t="s">
        <v>48</v>
      </c>
      <c r="AM1902" t="s">
        <v>48</v>
      </c>
      <c r="AN1902" t="s">
        <v>48</v>
      </c>
      <c r="AO1902" t="s">
        <v>48</v>
      </c>
      <c r="AP1902" s="46">
        <v>0</v>
      </c>
      <c r="AQ1902" s="46">
        <v>0</v>
      </c>
      <c r="AR1902" s="46">
        <v>0</v>
      </c>
      <c r="AS1902" s="46">
        <v>0</v>
      </c>
      <c r="AT1902" s="46">
        <v>0</v>
      </c>
      <c r="AU1902" s="46">
        <v>0</v>
      </c>
      <c r="AV1902" s="46">
        <v>0</v>
      </c>
      <c r="AW1902" s="46">
        <v>0</v>
      </c>
      <c r="AX1902" s="46">
        <v>0</v>
      </c>
      <c r="AY1902" s="46">
        <v>0</v>
      </c>
      <c r="AZ1902" s="46">
        <v>0</v>
      </c>
      <c r="BA1902" s="46">
        <v>0</v>
      </c>
      <c r="BB1902" s="46">
        <v>0</v>
      </c>
      <c r="BC1902" s="46">
        <v>0</v>
      </c>
      <c r="BD1902" s="46">
        <v>0</v>
      </c>
      <c r="BE1902" s="46">
        <v>0</v>
      </c>
      <c r="BF1902" s="46">
        <v>0</v>
      </c>
      <c r="BG1902" s="46" t="s">
        <v>48</v>
      </c>
      <c r="BH1902" s="46">
        <v>0</v>
      </c>
      <c r="BI1902" s="46">
        <v>0</v>
      </c>
      <c r="BJ1902" s="46">
        <v>0</v>
      </c>
      <c r="BK1902" s="46">
        <v>0</v>
      </c>
      <c r="BL1902" s="46">
        <v>0</v>
      </c>
      <c r="BM1902" s="46">
        <v>0</v>
      </c>
      <c r="BN1902" s="46">
        <v>0</v>
      </c>
    </row>
    <row r="1903" spans="1:66" x14ac:dyDescent="0.35">
      <c r="A1903" t="s">
        <v>4284</v>
      </c>
      <c r="B1903" s="44" t="s">
        <v>48</v>
      </c>
      <c r="C1903" t="s">
        <v>4288</v>
      </c>
      <c r="D1903" t="s">
        <v>4287</v>
      </c>
      <c r="E1903" t="s">
        <v>4285</v>
      </c>
      <c r="F1903" t="s">
        <v>4275</v>
      </c>
      <c r="G1903" t="s">
        <v>47</v>
      </c>
      <c r="H1903">
        <v>0</v>
      </c>
      <c r="I1903" s="60" t="s">
        <v>51</v>
      </c>
      <c r="J1903" s="33" t="s">
        <v>45</v>
      </c>
      <c r="K1903" s="46">
        <v>0</v>
      </c>
      <c r="L1903">
        <v>19.2</v>
      </c>
      <c r="M1903" t="s">
        <v>48</v>
      </c>
      <c r="N1903" s="46">
        <v>0</v>
      </c>
      <c r="O1903" s="46">
        <v>0</v>
      </c>
      <c r="P1903" s="46">
        <v>0</v>
      </c>
      <c r="Q1903" t="s">
        <v>48</v>
      </c>
      <c r="R1903" t="s">
        <v>48</v>
      </c>
      <c r="S1903" t="s">
        <v>4286</v>
      </c>
      <c r="T1903" t="s">
        <v>48</v>
      </c>
      <c r="U1903" t="s">
        <v>4286</v>
      </c>
      <c r="V1903" s="47">
        <v>0</v>
      </c>
      <c r="W1903" t="s">
        <v>48</v>
      </c>
      <c r="X1903" t="s">
        <v>48</v>
      </c>
      <c r="Y1903" t="s">
        <v>48</v>
      </c>
      <c r="Z1903">
        <v>0</v>
      </c>
      <c r="AA1903" t="s">
        <v>48</v>
      </c>
      <c r="AB1903" t="s">
        <v>48</v>
      </c>
      <c r="AC1903" t="s">
        <v>63</v>
      </c>
      <c r="AD1903" t="s">
        <v>93</v>
      </c>
      <c r="AE1903" t="s">
        <v>4532</v>
      </c>
      <c r="AF1903" t="s">
        <v>11150</v>
      </c>
      <c r="AG1903" t="s">
        <v>48</v>
      </c>
      <c r="AH1903" t="s">
        <v>48</v>
      </c>
      <c r="AI1903" t="s">
        <v>48</v>
      </c>
      <c r="AJ1903" t="s">
        <v>48</v>
      </c>
      <c r="AK1903" t="s">
        <v>48</v>
      </c>
      <c r="AL1903" t="s">
        <v>48</v>
      </c>
      <c r="AM1903" t="s">
        <v>48</v>
      </c>
      <c r="AN1903" t="s">
        <v>48</v>
      </c>
      <c r="AO1903" t="s">
        <v>48</v>
      </c>
      <c r="AP1903" s="46">
        <v>0</v>
      </c>
      <c r="AQ1903" s="46">
        <v>0</v>
      </c>
      <c r="AR1903" s="46">
        <v>0</v>
      </c>
      <c r="AS1903" s="46">
        <v>0</v>
      </c>
      <c r="AT1903" s="46">
        <v>0</v>
      </c>
      <c r="AU1903" s="46">
        <v>0</v>
      </c>
      <c r="AV1903" s="46">
        <v>0</v>
      </c>
      <c r="AW1903" s="46">
        <v>0</v>
      </c>
      <c r="AX1903" s="46">
        <v>0</v>
      </c>
      <c r="AY1903" s="46">
        <v>0</v>
      </c>
      <c r="AZ1903" s="46">
        <v>0</v>
      </c>
      <c r="BA1903" s="46">
        <v>0</v>
      </c>
      <c r="BB1903" s="46">
        <v>0</v>
      </c>
      <c r="BC1903" s="46">
        <v>0</v>
      </c>
      <c r="BD1903" s="46">
        <v>0</v>
      </c>
      <c r="BE1903" s="46">
        <v>0</v>
      </c>
      <c r="BF1903" s="46">
        <v>0</v>
      </c>
      <c r="BG1903" s="46" t="s">
        <v>48</v>
      </c>
      <c r="BH1903" s="46">
        <v>0</v>
      </c>
      <c r="BI1903" s="46">
        <v>0</v>
      </c>
      <c r="BJ1903" s="46">
        <v>0</v>
      </c>
      <c r="BK1903" s="46">
        <v>0</v>
      </c>
      <c r="BL1903" s="46">
        <v>0</v>
      </c>
      <c r="BM1903" s="46">
        <v>0</v>
      </c>
      <c r="BN1903" s="46">
        <v>0</v>
      </c>
    </row>
    <row r="1904" spans="1:66" x14ac:dyDescent="0.35">
      <c r="A1904" t="s">
        <v>4331</v>
      </c>
      <c r="B1904" s="44" t="s">
        <v>48</v>
      </c>
      <c r="C1904" t="s">
        <v>4334</v>
      </c>
      <c r="D1904" t="s">
        <v>4333</v>
      </c>
      <c r="E1904" t="s">
        <v>9557</v>
      </c>
      <c r="F1904" t="s">
        <v>4275</v>
      </c>
      <c r="G1904" t="s">
        <v>47</v>
      </c>
      <c r="H1904">
        <v>0</v>
      </c>
      <c r="I1904" s="61" t="s">
        <v>11160</v>
      </c>
      <c r="J1904" s="33" t="s">
        <v>45</v>
      </c>
      <c r="K1904" s="46">
        <v>0</v>
      </c>
      <c r="L1904">
        <v>25.6</v>
      </c>
      <c r="M1904" t="s">
        <v>48</v>
      </c>
      <c r="N1904" s="46">
        <v>0</v>
      </c>
      <c r="O1904" s="46">
        <v>0</v>
      </c>
      <c r="P1904" s="46">
        <v>0</v>
      </c>
      <c r="Q1904" t="s">
        <v>48</v>
      </c>
      <c r="R1904" t="s">
        <v>48</v>
      </c>
      <c r="S1904" t="s">
        <v>4332</v>
      </c>
      <c r="T1904" t="s">
        <v>48</v>
      </c>
      <c r="U1904" t="s">
        <v>4332</v>
      </c>
      <c r="V1904" s="47">
        <v>0</v>
      </c>
      <c r="W1904" t="s">
        <v>48</v>
      </c>
      <c r="X1904" t="s">
        <v>48</v>
      </c>
      <c r="Y1904" t="s">
        <v>48</v>
      </c>
      <c r="Z1904">
        <v>0</v>
      </c>
      <c r="AA1904" t="s">
        <v>48</v>
      </c>
      <c r="AB1904" t="s">
        <v>48</v>
      </c>
      <c r="AC1904" t="s">
        <v>49</v>
      </c>
      <c r="AD1904" t="s">
        <v>93</v>
      </c>
      <c r="AE1904" t="s">
        <v>977</v>
      </c>
      <c r="AF1904" t="s">
        <v>11053</v>
      </c>
      <c r="AG1904" t="s">
        <v>48</v>
      </c>
      <c r="AH1904" t="s">
        <v>48</v>
      </c>
      <c r="AI1904" t="s">
        <v>48</v>
      </c>
      <c r="AJ1904" t="s">
        <v>48</v>
      </c>
      <c r="AK1904" t="s">
        <v>48</v>
      </c>
      <c r="AL1904" t="s">
        <v>48</v>
      </c>
      <c r="AM1904" t="s">
        <v>48</v>
      </c>
      <c r="AN1904" t="s">
        <v>48</v>
      </c>
      <c r="AO1904" t="s">
        <v>48</v>
      </c>
      <c r="AP1904" s="46">
        <v>0</v>
      </c>
      <c r="AQ1904" s="46">
        <v>0</v>
      </c>
      <c r="AR1904" s="46">
        <v>0</v>
      </c>
      <c r="AS1904" s="46">
        <v>0</v>
      </c>
      <c r="AT1904" s="46">
        <v>0</v>
      </c>
      <c r="AU1904" s="46">
        <v>0</v>
      </c>
      <c r="AV1904" s="46">
        <v>0</v>
      </c>
      <c r="AW1904" s="46">
        <v>0</v>
      </c>
      <c r="AX1904" s="46">
        <v>0</v>
      </c>
      <c r="AY1904" s="46">
        <v>0</v>
      </c>
      <c r="AZ1904" s="46">
        <v>0</v>
      </c>
      <c r="BA1904" s="46">
        <v>0</v>
      </c>
      <c r="BB1904" s="46">
        <v>0</v>
      </c>
      <c r="BC1904" s="46">
        <v>0</v>
      </c>
      <c r="BD1904" s="46">
        <v>0</v>
      </c>
      <c r="BE1904" s="46">
        <v>0</v>
      </c>
      <c r="BF1904" s="46">
        <v>0</v>
      </c>
      <c r="BG1904" s="46" t="s">
        <v>48</v>
      </c>
      <c r="BH1904" s="46">
        <v>0</v>
      </c>
      <c r="BI1904" s="46">
        <v>0</v>
      </c>
      <c r="BJ1904" s="46">
        <v>0</v>
      </c>
      <c r="BK1904" s="46">
        <v>0</v>
      </c>
      <c r="BL1904" s="46">
        <v>0</v>
      </c>
      <c r="BM1904" s="46">
        <v>0</v>
      </c>
      <c r="BN1904" s="46">
        <v>0</v>
      </c>
    </row>
    <row r="1905" spans="1:66" x14ac:dyDescent="0.35">
      <c r="A1905" t="s">
        <v>4295</v>
      </c>
      <c r="B1905" s="44" t="s">
        <v>48</v>
      </c>
      <c r="C1905" t="s">
        <v>4299</v>
      </c>
      <c r="D1905" t="s">
        <v>195</v>
      </c>
      <c r="E1905" t="s">
        <v>4297</v>
      </c>
      <c r="F1905" t="s">
        <v>4296</v>
      </c>
      <c r="G1905" t="s">
        <v>47</v>
      </c>
      <c r="H1905">
        <v>0</v>
      </c>
      <c r="I1905" s="60" t="s">
        <v>78</v>
      </c>
      <c r="J1905" s="33" t="s">
        <v>45</v>
      </c>
      <c r="K1905" s="46">
        <v>0</v>
      </c>
      <c r="L1905">
        <v>2.6</v>
      </c>
      <c r="M1905" t="s">
        <v>48</v>
      </c>
      <c r="N1905" s="46">
        <v>0</v>
      </c>
      <c r="O1905" s="46">
        <v>0</v>
      </c>
      <c r="P1905" s="46">
        <v>0</v>
      </c>
      <c r="Q1905" t="s">
        <v>48</v>
      </c>
      <c r="R1905" t="s">
        <v>48</v>
      </c>
      <c r="S1905" t="s">
        <v>4298</v>
      </c>
      <c r="T1905" t="s">
        <v>48</v>
      </c>
      <c r="U1905" t="s">
        <v>4298</v>
      </c>
      <c r="V1905" s="47">
        <v>1</v>
      </c>
      <c r="W1905" t="s">
        <v>48</v>
      </c>
      <c r="X1905" t="s">
        <v>48</v>
      </c>
      <c r="Y1905" t="s">
        <v>48</v>
      </c>
      <c r="Z1905">
        <v>0</v>
      </c>
      <c r="AA1905" t="s">
        <v>48</v>
      </c>
      <c r="AB1905" t="s">
        <v>48</v>
      </c>
      <c r="AC1905" t="s">
        <v>49</v>
      </c>
      <c r="AD1905" t="s">
        <v>93</v>
      </c>
      <c r="AE1905" t="s">
        <v>4532</v>
      </c>
      <c r="AF1905" t="s">
        <v>48</v>
      </c>
      <c r="AG1905" t="s">
        <v>48</v>
      </c>
      <c r="AH1905" t="s">
        <v>48</v>
      </c>
      <c r="AI1905" t="s">
        <v>48</v>
      </c>
      <c r="AJ1905" t="s">
        <v>48</v>
      </c>
      <c r="AK1905" t="s">
        <v>48</v>
      </c>
      <c r="AL1905" t="s">
        <v>48</v>
      </c>
      <c r="AM1905" t="s">
        <v>48</v>
      </c>
      <c r="AN1905" t="s">
        <v>48</v>
      </c>
      <c r="AO1905" t="s">
        <v>48</v>
      </c>
      <c r="AP1905" s="46">
        <v>0</v>
      </c>
      <c r="AQ1905" s="46">
        <v>0</v>
      </c>
      <c r="AR1905" s="46">
        <v>0</v>
      </c>
      <c r="AS1905" s="46">
        <v>0</v>
      </c>
      <c r="AT1905" s="46">
        <v>0</v>
      </c>
      <c r="AU1905" s="46">
        <v>0</v>
      </c>
      <c r="AV1905" s="46">
        <v>0</v>
      </c>
      <c r="AW1905" s="46">
        <v>0</v>
      </c>
      <c r="AX1905" s="46">
        <v>0</v>
      </c>
      <c r="AY1905" s="46">
        <v>0</v>
      </c>
      <c r="AZ1905" s="46">
        <v>0</v>
      </c>
      <c r="BA1905" s="46">
        <v>0</v>
      </c>
      <c r="BB1905" s="46">
        <v>0</v>
      </c>
      <c r="BC1905" s="46">
        <v>0</v>
      </c>
      <c r="BD1905" s="46">
        <v>0</v>
      </c>
      <c r="BE1905" s="46">
        <v>0</v>
      </c>
      <c r="BF1905" s="46">
        <v>0</v>
      </c>
      <c r="BG1905" s="46" t="s">
        <v>48</v>
      </c>
      <c r="BH1905" s="46">
        <v>0</v>
      </c>
      <c r="BI1905" s="46">
        <v>0</v>
      </c>
      <c r="BJ1905" s="46">
        <v>0</v>
      </c>
      <c r="BK1905" s="46">
        <v>0</v>
      </c>
      <c r="BL1905" s="46">
        <v>0</v>
      </c>
      <c r="BM1905" s="46">
        <v>0</v>
      </c>
      <c r="BN1905" s="46">
        <v>0</v>
      </c>
    </row>
    <row r="1906" spans="1:66" x14ac:dyDescent="0.35">
      <c r="A1906" t="s">
        <v>10995</v>
      </c>
      <c r="B1906" s="44" t="s">
        <v>48</v>
      </c>
      <c r="C1906" t="s">
        <v>12073</v>
      </c>
      <c r="D1906" t="s">
        <v>1005</v>
      </c>
      <c r="E1906" t="s">
        <v>10996</v>
      </c>
      <c r="F1906" t="s">
        <v>4296</v>
      </c>
      <c r="G1906" t="s">
        <v>47</v>
      </c>
      <c r="H1906">
        <v>0</v>
      </c>
      <c r="I1906" s="60" t="s">
        <v>11552</v>
      </c>
      <c r="J1906" s="33" t="s">
        <v>45</v>
      </c>
      <c r="K1906" s="46">
        <v>0</v>
      </c>
      <c r="L1906">
        <v>5</v>
      </c>
      <c r="M1906" t="s">
        <v>48</v>
      </c>
      <c r="N1906" s="46">
        <v>0</v>
      </c>
      <c r="O1906" s="46">
        <v>0</v>
      </c>
      <c r="P1906" s="46">
        <v>0</v>
      </c>
      <c r="Q1906" t="s">
        <v>48</v>
      </c>
      <c r="R1906" t="s">
        <v>48</v>
      </c>
      <c r="S1906" t="s">
        <v>11499</v>
      </c>
      <c r="T1906" t="s">
        <v>48</v>
      </c>
      <c r="U1906" t="s">
        <v>10997</v>
      </c>
      <c r="V1906" s="47">
        <v>0</v>
      </c>
      <c r="W1906" t="s">
        <v>48</v>
      </c>
      <c r="X1906" t="s">
        <v>48</v>
      </c>
      <c r="Y1906" t="s">
        <v>48</v>
      </c>
      <c r="Z1906" t="s">
        <v>48</v>
      </c>
      <c r="AA1906" t="s">
        <v>48</v>
      </c>
      <c r="AB1906" t="s">
        <v>48</v>
      </c>
      <c r="AC1906" t="s">
        <v>49</v>
      </c>
      <c r="AD1906" t="s">
        <v>93</v>
      </c>
      <c r="AE1906" t="s">
        <v>4532</v>
      </c>
      <c r="AF1906" t="s">
        <v>48</v>
      </c>
      <c r="AG1906" t="s">
        <v>48</v>
      </c>
      <c r="AH1906" t="s">
        <v>48</v>
      </c>
      <c r="AI1906" t="s">
        <v>48</v>
      </c>
      <c r="AJ1906" t="s">
        <v>48</v>
      </c>
      <c r="AK1906" t="s">
        <v>48</v>
      </c>
      <c r="AL1906" t="s">
        <v>48</v>
      </c>
      <c r="AM1906" t="s">
        <v>48</v>
      </c>
      <c r="AN1906" t="s">
        <v>48</v>
      </c>
      <c r="AO1906" t="s">
        <v>48</v>
      </c>
      <c r="AP1906" s="46">
        <v>0</v>
      </c>
      <c r="AQ1906" s="46">
        <v>0</v>
      </c>
      <c r="AR1906" s="46">
        <v>0</v>
      </c>
      <c r="AS1906" s="46">
        <v>0</v>
      </c>
      <c r="AT1906" s="46">
        <v>0</v>
      </c>
      <c r="AU1906" s="46">
        <v>0</v>
      </c>
      <c r="AV1906" s="46">
        <v>0</v>
      </c>
      <c r="AW1906" s="46">
        <v>0</v>
      </c>
      <c r="AX1906" s="46">
        <v>0</v>
      </c>
      <c r="AY1906" s="46">
        <v>0</v>
      </c>
      <c r="AZ1906" s="46">
        <v>0</v>
      </c>
      <c r="BA1906" s="46">
        <v>0</v>
      </c>
      <c r="BB1906" s="46">
        <v>0</v>
      </c>
      <c r="BC1906" s="46">
        <v>0</v>
      </c>
      <c r="BD1906" s="46">
        <v>0</v>
      </c>
      <c r="BE1906" s="46">
        <v>0</v>
      </c>
      <c r="BF1906" s="46">
        <v>0</v>
      </c>
      <c r="BG1906" s="46" t="s">
        <v>48</v>
      </c>
      <c r="BH1906" s="46">
        <v>0</v>
      </c>
      <c r="BI1906" s="46">
        <v>0</v>
      </c>
      <c r="BJ1906" s="46">
        <v>0</v>
      </c>
      <c r="BK1906" s="46">
        <v>0</v>
      </c>
      <c r="BL1906" s="46">
        <v>0</v>
      </c>
      <c r="BM1906" s="46">
        <v>0</v>
      </c>
      <c r="BN1906" s="46">
        <v>0</v>
      </c>
    </row>
    <row r="1907" spans="1:66" x14ac:dyDescent="0.35">
      <c r="A1907" t="s">
        <v>9558</v>
      </c>
      <c r="B1907" s="44" t="s">
        <v>48</v>
      </c>
      <c r="C1907" t="s">
        <v>12074</v>
      </c>
      <c r="D1907" t="s">
        <v>1783</v>
      </c>
      <c r="E1907" t="s">
        <v>11225</v>
      </c>
      <c r="F1907" t="s">
        <v>4296</v>
      </c>
      <c r="G1907" t="s">
        <v>47</v>
      </c>
      <c r="H1907">
        <v>0</v>
      </c>
      <c r="I1907" s="61" t="s">
        <v>11160</v>
      </c>
      <c r="J1907" s="33" t="s">
        <v>45</v>
      </c>
      <c r="K1907" s="46">
        <v>0</v>
      </c>
      <c r="L1907">
        <v>2.6</v>
      </c>
      <c r="M1907" t="s">
        <v>48</v>
      </c>
      <c r="N1907" s="46">
        <v>0</v>
      </c>
      <c r="O1907" s="46">
        <v>0</v>
      </c>
      <c r="P1907" s="46">
        <v>0</v>
      </c>
      <c r="Q1907" t="s">
        <v>48</v>
      </c>
      <c r="R1907" t="s">
        <v>48</v>
      </c>
      <c r="S1907" t="s">
        <v>11348</v>
      </c>
      <c r="T1907" t="s">
        <v>48</v>
      </c>
      <c r="U1907" t="s">
        <v>10282</v>
      </c>
      <c r="V1907" s="47">
        <v>1</v>
      </c>
      <c r="W1907" t="s">
        <v>48</v>
      </c>
      <c r="X1907" t="s">
        <v>48</v>
      </c>
      <c r="Y1907" t="s">
        <v>48</v>
      </c>
      <c r="Z1907" t="s">
        <v>48</v>
      </c>
      <c r="AA1907" t="s">
        <v>48</v>
      </c>
      <c r="AB1907" t="s">
        <v>48</v>
      </c>
      <c r="AC1907" t="s">
        <v>49</v>
      </c>
      <c r="AD1907" t="s">
        <v>93</v>
      </c>
      <c r="AE1907" t="s">
        <v>4532</v>
      </c>
      <c r="AF1907" t="s">
        <v>48</v>
      </c>
      <c r="AG1907" t="s">
        <v>48</v>
      </c>
      <c r="AH1907" t="s">
        <v>48</v>
      </c>
      <c r="AI1907" t="s">
        <v>48</v>
      </c>
      <c r="AJ1907" t="s">
        <v>48</v>
      </c>
      <c r="AK1907" t="s">
        <v>48</v>
      </c>
      <c r="AL1907" t="s">
        <v>48</v>
      </c>
      <c r="AM1907" t="s">
        <v>48</v>
      </c>
      <c r="AN1907" t="s">
        <v>48</v>
      </c>
      <c r="AO1907" t="s">
        <v>48</v>
      </c>
      <c r="AP1907" s="46">
        <v>0</v>
      </c>
      <c r="AQ1907" s="46">
        <v>0</v>
      </c>
      <c r="AR1907" s="46">
        <v>0</v>
      </c>
      <c r="AS1907" s="46">
        <v>0</v>
      </c>
      <c r="AT1907" s="46">
        <v>0</v>
      </c>
      <c r="AU1907" s="46">
        <v>0</v>
      </c>
      <c r="AV1907" s="46">
        <v>0</v>
      </c>
      <c r="AW1907" s="46">
        <v>0</v>
      </c>
      <c r="AX1907" s="46">
        <v>0</v>
      </c>
      <c r="AY1907" s="46">
        <v>0</v>
      </c>
      <c r="AZ1907" s="46">
        <v>0</v>
      </c>
      <c r="BA1907" s="46">
        <v>0</v>
      </c>
      <c r="BB1907" s="46">
        <v>0</v>
      </c>
      <c r="BC1907" s="46">
        <v>0</v>
      </c>
      <c r="BD1907" s="46">
        <v>0</v>
      </c>
      <c r="BE1907" s="46">
        <v>0</v>
      </c>
      <c r="BF1907" s="46">
        <v>0</v>
      </c>
      <c r="BG1907" s="46" t="s">
        <v>48</v>
      </c>
      <c r="BH1907" s="46">
        <v>0</v>
      </c>
      <c r="BI1907" s="46">
        <v>0</v>
      </c>
      <c r="BJ1907" s="46">
        <v>0</v>
      </c>
      <c r="BK1907" s="46">
        <v>0</v>
      </c>
      <c r="BL1907" s="46">
        <v>0</v>
      </c>
      <c r="BM1907" s="46">
        <v>0</v>
      </c>
      <c r="BN1907" s="46">
        <v>0</v>
      </c>
    </row>
    <row r="1908" spans="1:66" x14ac:dyDescent="0.35">
      <c r="A1908" t="s">
        <v>9559</v>
      </c>
      <c r="B1908" s="44" t="s">
        <v>48</v>
      </c>
      <c r="C1908" t="s">
        <v>5406</v>
      </c>
      <c r="D1908" t="s">
        <v>1402</v>
      </c>
      <c r="E1908" t="s">
        <v>9560</v>
      </c>
      <c r="F1908" t="s">
        <v>4296</v>
      </c>
      <c r="G1908" t="s">
        <v>74</v>
      </c>
      <c r="H1908">
        <v>0</v>
      </c>
      <c r="I1908" s="61">
        <v>44753</v>
      </c>
      <c r="J1908" s="33" t="s">
        <v>45</v>
      </c>
      <c r="K1908" s="51">
        <v>0</v>
      </c>
      <c r="L1908">
        <v>19.600000000000001</v>
      </c>
      <c r="M1908" s="41" t="s">
        <v>48</v>
      </c>
      <c r="N1908" s="46">
        <v>0</v>
      </c>
      <c r="O1908" s="51">
        <v>0</v>
      </c>
      <c r="P1908" s="46">
        <v>0</v>
      </c>
      <c r="Q1908" s="41" t="s">
        <v>48</v>
      </c>
      <c r="R1908" s="41" t="s">
        <v>48</v>
      </c>
      <c r="S1908" t="s">
        <v>10281</v>
      </c>
      <c r="T1908" t="s">
        <v>48</v>
      </c>
      <c r="U1908" t="s">
        <v>10281</v>
      </c>
      <c r="V1908" s="47">
        <v>0</v>
      </c>
      <c r="W1908" s="41" t="s">
        <v>48</v>
      </c>
      <c r="X1908" t="s">
        <v>48</v>
      </c>
      <c r="Y1908" t="s">
        <v>48</v>
      </c>
      <c r="Z1908" s="41" t="s">
        <v>48</v>
      </c>
      <c r="AA1908" s="41" t="s">
        <v>48</v>
      </c>
      <c r="AB1908" s="41" t="s">
        <v>48</v>
      </c>
      <c r="AC1908" s="41" t="s">
        <v>49</v>
      </c>
      <c r="AD1908" s="41" t="s">
        <v>93</v>
      </c>
      <c r="AE1908" s="41" t="s">
        <v>4532</v>
      </c>
      <c r="AF1908" s="41" t="s">
        <v>48</v>
      </c>
      <c r="AG1908" s="41" t="s">
        <v>48</v>
      </c>
      <c r="AH1908" s="41" t="s">
        <v>48</v>
      </c>
      <c r="AI1908" s="41" t="s">
        <v>48</v>
      </c>
      <c r="AJ1908" s="41" t="s">
        <v>48</v>
      </c>
      <c r="AK1908" s="41" t="s">
        <v>48</v>
      </c>
      <c r="AL1908" s="41" t="s">
        <v>48</v>
      </c>
      <c r="AM1908" s="41" t="s">
        <v>48</v>
      </c>
      <c r="AN1908" s="41" t="s">
        <v>48</v>
      </c>
      <c r="AO1908" s="41" t="s">
        <v>48</v>
      </c>
      <c r="AP1908" s="46">
        <v>0</v>
      </c>
      <c r="AQ1908" s="46">
        <v>0</v>
      </c>
      <c r="AR1908" s="46">
        <v>0</v>
      </c>
      <c r="AS1908" s="46">
        <v>0</v>
      </c>
      <c r="AT1908" s="46">
        <v>0</v>
      </c>
      <c r="AU1908" s="46">
        <v>0</v>
      </c>
      <c r="AV1908" s="46">
        <v>0</v>
      </c>
      <c r="AW1908" s="46">
        <v>0</v>
      </c>
      <c r="AX1908" s="46">
        <v>0</v>
      </c>
      <c r="AY1908" s="46">
        <v>0</v>
      </c>
      <c r="AZ1908" s="46">
        <v>0</v>
      </c>
      <c r="BA1908" s="46">
        <v>0</v>
      </c>
      <c r="BB1908" s="46">
        <v>0</v>
      </c>
      <c r="BC1908" s="46">
        <v>0</v>
      </c>
      <c r="BD1908" s="46">
        <v>0</v>
      </c>
      <c r="BE1908" s="46">
        <v>0</v>
      </c>
      <c r="BF1908" s="46">
        <v>0</v>
      </c>
      <c r="BG1908" s="46" t="s">
        <v>48</v>
      </c>
      <c r="BH1908" s="46">
        <v>0</v>
      </c>
      <c r="BI1908" s="46">
        <v>0</v>
      </c>
      <c r="BJ1908" s="46">
        <v>0</v>
      </c>
      <c r="BK1908" s="46">
        <v>0</v>
      </c>
      <c r="BL1908" s="46">
        <v>0</v>
      </c>
      <c r="BM1908" s="46">
        <v>0</v>
      </c>
      <c r="BN1908" s="46">
        <v>0</v>
      </c>
    </row>
    <row r="1909" spans="1:66" x14ac:dyDescent="0.35">
      <c r="A1909" t="s">
        <v>4309</v>
      </c>
      <c r="B1909" s="44" t="s">
        <v>48</v>
      </c>
      <c r="C1909" t="s">
        <v>4311</v>
      </c>
      <c r="D1909" t="s">
        <v>1222</v>
      </c>
      <c r="E1909" t="s">
        <v>9561</v>
      </c>
      <c r="F1909" t="s">
        <v>4296</v>
      </c>
      <c r="G1909" t="s">
        <v>47</v>
      </c>
      <c r="H1909">
        <v>0</v>
      </c>
      <c r="I1909" s="61">
        <v>44753</v>
      </c>
      <c r="J1909" s="33" t="s">
        <v>45</v>
      </c>
      <c r="K1909" s="46">
        <v>0</v>
      </c>
      <c r="L1909">
        <v>14.1</v>
      </c>
      <c r="M1909" t="s">
        <v>48</v>
      </c>
      <c r="N1909" s="46">
        <v>0</v>
      </c>
      <c r="O1909" s="46">
        <v>0</v>
      </c>
      <c r="P1909" s="46">
        <v>0</v>
      </c>
      <c r="Q1909" t="s">
        <v>48</v>
      </c>
      <c r="R1909" t="s">
        <v>48</v>
      </c>
      <c r="S1909" t="s">
        <v>4310</v>
      </c>
      <c r="T1909" t="s">
        <v>48</v>
      </c>
      <c r="U1909" t="s">
        <v>4310</v>
      </c>
      <c r="V1909" s="47">
        <v>0</v>
      </c>
      <c r="W1909" t="s">
        <v>48</v>
      </c>
      <c r="X1909" t="s">
        <v>48</v>
      </c>
      <c r="Y1909" t="s">
        <v>48</v>
      </c>
      <c r="Z1909">
        <v>0</v>
      </c>
      <c r="AA1909" t="s">
        <v>48</v>
      </c>
      <c r="AB1909" t="s">
        <v>48</v>
      </c>
      <c r="AC1909" t="s">
        <v>49</v>
      </c>
      <c r="AD1909" t="s">
        <v>93</v>
      </c>
      <c r="AE1909" t="s">
        <v>4532</v>
      </c>
      <c r="AF1909" t="s">
        <v>48</v>
      </c>
      <c r="AG1909" t="s">
        <v>48</v>
      </c>
      <c r="AH1909" t="s">
        <v>48</v>
      </c>
      <c r="AI1909" t="s">
        <v>48</v>
      </c>
      <c r="AJ1909" t="s">
        <v>48</v>
      </c>
      <c r="AK1909" t="s">
        <v>48</v>
      </c>
      <c r="AL1909" t="s">
        <v>48</v>
      </c>
      <c r="AM1909" t="s">
        <v>48</v>
      </c>
      <c r="AN1909" t="s">
        <v>48</v>
      </c>
      <c r="AO1909" t="s">
        <v>48</v>
      </c>
      <c r="AP1909" s="46">
        <v>0</v>
      </c>
      <c r="AQ1909" s="46">
        <v>0</v>
      </c>
      <c r="AR1909" s="46">
        <v>0</v>
      </c>
      <c r="AS1909" s="46">
        <v>0</v>
      </c>
      <c r="AT1909" s="46">
        <v>0</v>
      </c>
      <c r="AU1909" s="46">
        <v>0</v>
      </c>
      <c r="AV1909" s="46">
        <v>0</v>
      </c>
      <c r="AW1909" s="46">
        <v>0</v>
      </c>
      <c r="AX1909" s="46">
        <v>0</v>
      </c>
      <c r="AY1909" s="46">
        <v>0</v>
      </c>
      <c r="AZ1909" s="46">
        <v>0</v>
      </c>
      <c r="BA1909" s="46">
        <v>0</v>
      </c>
      <c r="BB1909" s="46">
        <v>0</v>
      </c>
      <c r="BC1909" s="46">
        <v>0</v>
      </c>
      <c r="BD1909" s="46">
        <v>0</v>
      </c>
      <c r="BE1909" s="46">
        <v>0</v>
      </c>
      <c r="BF1909" s="46">
        <v>0</v>
      </c>
      <c r="BG1909" s="46" t="s">
        <v>48</v>
      </c>
      <c r="BH1909" s="46">
        <v>0</v>
      </c>
      <c r="BI1909" s="46">
        <v>0</v>
      </c>
      <c r="BJ1909" s="46">
        <v>0</v>
      </c>
      <c r="BK1909" s="46">
        <v>0</v>
      </c>
      <c r="BL1909" s="46">
        <v>0</v>
      </c>
      <c r="BM1909" s="46">
        <v>0</v>
      </c>
      <c r="BN1909" s="46">
        <v>0</v>
      </c>
    </row>
    <row r="1910" spans="1:66" x14ac:dyDescent="0.35">
      <c r="A1910" t="s">
        <v>4487</v>
      </c>
      <c r="B1910" s="44" t="s">
        <v>48</v>
      </c>
      <c r="C1910" t="s">
        <v>4490</v>
      </c>
      <c r="D1910" t="s">
        <v>2523</v>
      </c>
      <c r="E1910" t="s">
        <v>4488</v>
      </c>
      <c r="F1910" t="s">
        <v>4306</v>
      </c>
      <c r="G1910" t="s">
        <v>74</v>
      </c>
      <c r="H1910">
        <v>0</v>
      </c>
      <c r="I1910" s="60" t="s">
        <v>716</v>
      </c>
      <c r="J1910" s="33" t="s">
        <v>45</v>
      </c>
      <c r="K1910" s="46">
        <v>0</v>
      </c>
      <c r="L1910">
        <v>5.4</v>
      </c>
      <c r="M1910" t="s">
        <v>48</v>
      </c>
      <c r="N1910" s="46">
        <v>0</v>
      </c>
      <c r="O1910" s="46">
        <v>0</v>
      </c>
      <c r="P1910" s="46">
        <v>0</v>
      </c>
      <c r="Q1910" t="s">
        <v>48</v>
      </c>
      <c r="R1910" t="s">
        <v>48</v>
      </c>
      <c r="S1910" t="s">
        <v>10283</v>
      </c>
      <c r="T1910" t="s">
        <v>48</v>
      </c>
      <c r="U1910" t="s">
        <v>10283</v>
      </c>
      <c r="V1910" s="47">
        <v>0</v>
      </c>
      <c r="W1910" t="s">
        <v>48</v>
      </c>
      <c r="X1910" t="s">
        <v>48</v>
      </c>
      <c r="Y1910" t="s">
        <v>48</v>
      </c>
      <c r="Z1910">
        <v>0</v>
      </c>
      <c r="AA1910" t="s">
        <v>4489</v>
      </c>
      <c r="AB1910" t="s">
        <v>48</v>
      </c>
      <c r="AC1910" t="s">
        <v>63</v>
      </c>
      <c r="AD1910" t="s">
        <v>93</v>
      </c>
      <c r="AE1910" t="s">
        <v>4532</v>
      </c>
      <c r="AF1910" t="s">
        <v>48</v>
      </c>
      <c r="AG1910" t="s">
        <v>48</v>
      </c>
      <c r="AH1910" t="s">
        <v>48</v>
      </c>
      <c r="AI1910" t="s">
        <v>48</v>
      </c>
      <c r="AJ1910" t="s">
        <v>48</v>
      </c>
      <c r="AK1910" t="s">
        <v>48</v>
      </c>
      <c r="AL1910" t="s">
        <v>48</v>
      </c>
      <c r="AM1910" t="s">
        <v>48</v>
      </c>
      <c r="AN1910" t="s">
        <v>48</v>
      </c>
      <c r="AO1910" t="s">
        <v>48</v>
      </c>
      <c r="AP1910" s="46">
        <v>0</v>
      </c>
      <c r="AQ1910" s="46">
        <v>0</v>
      </c>
      <c r="AR1910" s="46">
        <v>0</v>
      </c>
      <c r="AS1910" s="46">
        <v>0</v>
      </c>
      <c r="AT1910" s="46">
        <v>0</v>
      </c>
      <c r="AU1910" s="46">
        <v>0</v>
      </c>
      <c r="AV1910" s="46">
        <v>0</v>
      </c>
      <c r="AW1910" s="46">
        <v>0</v>
      </c>
      <c r="AX1910" s="46">
        <v>0</v>
      </c>
      <c r="AY1910" s="46">
        <v>0</v>
      </c>
      <c r="AZ1910" s="46">
        <v>0</v>
      </c>
      <c r="BA1910" s="46">
        <v>0</v>
      </c>
      <c r="BB1910" s="46">
        <v>0</v>
      </c>
      <c r="BC1910" s="46">
        <v>0</v>
      </c>
      <c r="BD1910" s="46">
        <v>0</v>
      </c>
      <c r="BE1910" s="46">
        <v>0</v>
      </c>
      <c r="BF1910" s="46">
        <v>0</v>
      </c>
      <c r="BG1910" s="46" t="s">
        <v>48</v>
      </c>
      <c r="BH1910" s="46">
        <v>0</v>
      </c>
      <c r="BI1910" s="46">
        <v>0</v>
      </c>
      <c r="BJ1910" s="46">
        <v>0</v>
      </c>
      <c r="BK1910" s="46">
        <v>0</v>
      </c>
      <c r="BL1910" s="46">
        <v>0</v>
      </c>
      <c r="BM1910" s="46">
        <v>0</v>
      </c>
      <c r="BN1910" s="46">
        <v>0</v>
      </c>
    </row>
    <row r="1911" spans="1:66" x14ac:dyDescent="0.35">
      <c r="A1911" t="s">
        <v>4491</v>
      </c>
      <c r="B1911" s="44" t="s">
        <v>48</v>
      </c>
      <c r="C1911" t="s">
        <v>4493</v>
      </c>
      <c r="D1911" t="s">
        <v>2428</v>
      </c>
      <c r="E1911" t="s">
        <v>9562</v>
      </c>
      <c r="F1911" t="s">
        <v>4306</v>
      </c>
      <c r="G1911" t="s">
        <v>74</v>
      </c>
      <c r="H1911">
        <v>0</v>
      </c>
      <c r="I1911" s="61">
        <v>44753</v>
      </c>
      <c r="J1911" s="33" t="s">
        <v>45</v>
      </c>
      <c r="K1911" s="46">
        <v>0</v>
      </c>
      <c r="L1911">
        <v>7.4</v>
      </c>
      <c r="M1911" t="s">
        <v>48</v>
      </c>
      <c r="N1911" s="46">
        <v>0</v>
      </c>
      <c r="O1911" s="46">
        <v>0</v>
      </c>
      <c r="P1911" s="46">
        <v>0</v>
      </c>
      <c r="Q1911" t="s">
        <v>48</v>
      </c>
      <c r="R1911" t="s">
        <v>48</v>
      </c>
      <c r="S1911" t="s">
        <v>4492</v>
      </c>
      <c r="T1911" t="s">
        <v>48</v>
      </c>
      <c r="U1911" t="s">
        <v>4492</v>
      </c>
      <c r="V1911" s="47">
        <v>0</v>
      </c>
      <c r="W1911" t="s">
        <v>48</v>
      </c>
      <c r="X1911" t="s">
        <v>48</v>
      </c>
      <c r="Y1911" t="s">
        <v>48</v>
      </c>
      <c r="Z1911">
        <v>0</v>
      </c>
      <c r="AA1911" t="s">
        <v>48</v>
      </c>
      <c r="AB1911" t="s">
        <v>48</v>
      </c>
      <c r="AC1911" t="s">
        <v>49</v>
      </c>
      <c r="AD1911" t="s">
        <v>93</v>
      </c>
      <c r="AE1911" t="s">
        <v>4532</v>
      </c>
      <c r="AF1911" t="s">
        <v>48</v>
      </c>
      <c r="AG1911" t="s">
        <v>48</v>
      </c>
      <c r="AH1911" t="s">
        <v>426</v>
      </c>
      <c r="AI1911" t="s">
        <v>48</v>
      </c>
      <c r="AJ1911" t="s">
        <v>48</v>
      </c>
      <c r="AK1911" t="s">
        <v>48</v>
      </c>
      <c r="AL1911" t="s">
        <v>48</v>
      </c>
      <c r="AM1911" t="s">
        <v>48</v>
      </c>
      <c r="AN1911" t="s">
        <v>48</v>
      </c>
      <c r="AO1911" t="s">
        <v>48</v>
      </c>
      <c r="AP1911" s="46">
        <v>0</v>
      </c>
      <c r="AQ1911" s="46">
        <v>0</v>
      </c>
      <c r="AR1911" s="46">
        <v>0</v>
      </c>
      <c r="AS1911" s="46">
        <v>0</v>
      </c>
      <c r="AT1911" s="46">
        <v>0</v>
      </c>
      <c r="AU1911" s="46">
        <v>0</v>
      </c>
      <c r="AV1911" s="46">
        <v>0</v>
      </c>
      <c r="AW1911" s="46">
        <v>0</v>
      </c>
      <c r="AX1911" s="46">
        <v>0</v>
      </c>
      <c r="AY1911" s="46">
        <v>0</v>
      </c>
      <c r="AZ1911" s="46">
        <v>0</v>
      </c>
      <c r="BA1911" s="46">
        <v>0</v>
      </c>
      <c r="BB1911" s="46">
        <v>0</v>
      </c>
      <c r="BC1911" s="46">
        <v>0</v>
      </c>
      <c r="BD1911" s="46">
        <v>0</v>
      </c>
      <c r="BE1911" s="46">
        <v>0</v>
      </c>
      <c r="BF1911" s="46">
        <v>0</v>
      </c>
      <c r="BG1911" s="46" t="s">
        <v>48</v>
      </c>
      <c r="BH1911" s="46">
        <v>0</v>
      </c>
      <c r="BI1911" s="46">
        <v>0</v>
      </c>
      <c r="BJ1911" s="46">
        <v>0</v>
      </c>
      <c r="BK1911" s="46">
        <v>0</v>
      </c>
      <c r="BL1911" s="46">
        <v>0</v>
      </c>
      <c r="BM1911" s="46">
        <v>0</v>
      </c>
      <c r="BN1911" s="46">
        <v>0</v>
      </c>
    </row>
    <row r="1912" spans="1:66" x14ac:dyDescent="0.35">
      <c r="A1912" t="s">
        <v>4477</v>
      </c>
      <c r="B1912" s="44" t="s">
        <v>48</v>
      </c>
      <c r="C1912" t="s">
        <v>4480</v>
      </c>
      <c r="D1912" t="s">
        <v>1207</v>
      </c>
      <c r="E1912" t="s">
        <v>4478</v>
      </c>
      <c r="F1912" t="s">
        <v>4306</v>
      </c>
      <c r="G1912" t="s">
        <v>74</v>
      </c>
      <c r="H1912">
        <v>0</v>
      </c>
      <c r="I1912" s="60" t="s">
        <v>125</v>
      </c>
      <c r="J1912" s="33" t="s">
        <v>45</v>
      </c>
      <c r="K1912" s="46">
        <v>0</v>
      </c>
      <c r="L1912">
        <v>1.3</v>
      </c>
      <c r="M1912" t="s">
        <v>48</v>
      </c>
      <c r="N1912" s="46">
        <v>0</v>
      </c>
      <c r="O1912" s="46">
        <v>0</v>
      </c>
      <c r="P1912" s="46">
        <v>0</v>
      </c>
      <c r="Q1912" t="s">
        <v>48</v>
      </c>
      <c r="R1912" t="s">
        <v>48</v>
      </c>
      <c r="S1912" t="s">
        <v>4479</v>
      </c>
      <c r="T1912" t="s">
        <v>48</v>
      </c>
      <c r="U1912" t="s">
        <v>4479</v>
      </c>
      <c r="V1912" s="47">
        <v>0</v>
      </c>
      <c r="W1912" t="s">
        <v>48</v>
      </c>
      <c r="X1912" t="s">
        <v>48</v>
      </c>
      <c r="Y1912" t="s">
        <v>48</v>
      </c>
      <c r="Z1912">
        <v>0</v>
      </c>
      <c r="AA1912" t="s">
        <v>48</v>
      </c>
      <c r="AB1912" t="s">
        <v>48</v>
      </c>
      <c r="AC1912" t="s">
        <v>63</v>
      </c>
      <c r="AD1912" t="s">
        <v>93</v>
      </c>
      <c r="AE1912" t="s">
        <v>11051</v>
      </c>
      <c r="AF1912" t="s">
        <v>11090</v>
      </c>
      <c r="AG1912" t="s">
        <v>48</v>
      </c>
      <c r="AH1912" t="s">
        <v>48</v>
      </c>
      <c r="AI1912" t="s">
        <v>48</v>
      </c>
      <c r="AJ1912" t="s">
        <v>48</v>
      </c>
      <c r="AK1912" t="s">
        <v>48</v>
      </c>
      <c r="AL1912" t="s">
        <v>48</v>
      </c>
      <c r="AM1912" t="s">
        <v>48</v>
      </c>
      <c r="AN1912" t="s">
        <v>48</v>
      </c>
      <c r="AO1912" t="s">
        <v>48</v>
      </c>
      <c r="AP1912" s="46">
        <v>0</v>
      </c>
      <c r="AQ1912" s="46">
        <v>0</v>
      </c>
      <c r="AR1912" s="46">
        <v>0</v>
      </c>
      <c r="AS1912" s="46">
        <v>0</v>
      </c>
      <c r="AT1912" s="46">
        <v>0</v>
      </c>
      <c r="AU1912" s="46">
        <v>0</v>
      </c>
      <c r="AV1912" s="46">
        <v>0</v>
      </c>
      <c r="AW1912" s="46">
        <v>0</v>
      </c>
      <c r="AX1912" s="46">
        <v>0</v>
      </c>
      <c r="AY1912" s="46">
        <v>0</v>
      </c>
      <c r="AZ1912" s="46">
        <v>0</v>
      </c>
      <c r="BA1912" s="46">
        <v>0</v>
      </c>
      <c r="BB1912" s="46">
        <v>0</v>
      </c>
      <c r="BC1912" s="46">
        <v>0</v>
      </c>
      <c r="BD1912" s="46">
        <v>0</v>
      </c>
      <c r="BE1912" s="46">
        <v>0</v>
      </c>
      <c r="BF1912" s="46">
        <v>0</v>
      </c>
      <c r="BG1912" s="46" t="s">
        <v>48</v>
      </c>
      <c r="BH1912" s="46">
        <v>0</v>
      </c>
      <c r="BI1912" s="46">
        <v>0</v>
      </c>
      <c r="BJ1912" s="46">
        <v>0</v>
      </c>
      <c r="BK1912" s="46">
        <v>0</v>
      </c>
      <c r="BL1912" s="46">
        <v>0</v>
      </c>
      <c r="BM1912" s="46">
        <v>0</v>
      </c>
      <c r="BN1912" s="46">
        <v>0</v>
      </c>
    </row>
    <row r="1913" spans="1:66" x14ac:dyDescent="0.35">
      <c r="A1913" t="s">
        <v>4483</v>
      </c>
      <c r="B1913" s="44" t="s">
        <v>48</v>
      </c>
      <c r="C1913" t="s">
        <v>4486</v>
      </c>
      <c r="D1913" t="s">
        <v>1193</v>
      </c>
      <c r="E1913" t="s">
        <v>4484</v>
      </c>
      <c r="F1913" t="s">
        <v>4306</v>
      </c>
      <c r="G1913" t="s">
        <v>74</v>
      </c>
      <c r="H1913">
        <v>0</v>
      </c>
      <c r="I1913" s="60" t="s">
        <v>177</v>
      </c>
      <c r="J1913" s="33" t="s">
        <v>45</v>
      </c>
      <c r="K1913" s="46">
        <v>0</v>
      </c>
      <c r="L1913">
        <v>0.5</v>
      </c>
      <c r="M1913" t="s">
        <v>48</v>
      </c>
      <c r="N1913" s="46">
        <v>0</v>
      </c>
      <c r="O1913" s="46">
        <v>0</v>
      </c>
      <c r="P1913" s="46">
        <v>0</v>
      </c>
      <c r="Q1913" t="s">
        <v>48</v>
      </c>
      <c r="R1913" t="s">
        <v>48</v>
      </c>
      <c r="S1913" t="s">
        <v>4485</v>
      </c>
      <c r="T1913" t="s">
        <v>48</v>
      </c>
      <c r="U1913" t="s">
        <v>4485</v>
      </c>
      <c r="V1913" s="47">
        <v>0</v>
      </c>
      <c r="W1913" t="s">
        <v>48</v>
      </c>
      <c r="X1913" t="s">
        <v>48</v>
      </c>
      <c r="Y1913" t="s">
        <v>48</v>
      </c>
      <c r="Z1913">
        <v>0</v>
      </c>
      <c r="AA1913" t="s">
        <v>48</v>
      </c>
      <c r="AB1913" t="s">
        <v>48</v>
      </c>
      <c r="AC1913" t="s">
        <v>49</v>
      </c>
      <c r="AD1913" t="s">
        <v>48</v>
      </c>
      <c r="AE1913" t="s">
        <v>48</v>
      </c>
      <c r="AF1913" t="s">
        <v>48</v>
      </c>
      <c r="AG1913" t="s">
        <v>48</v>
      </c>
      <c r="AH1913" t="s">
        <v>48</v>
      </c>
      <c r="AI1913" t="s">
        <v>48</v>
      </c>
      <c r="AJ1913" t="s">
        <v>48</v>
      </c>
      <c r="AK1913" t="s">
        <v>48</v>
      </c>
      <c r="AL1913" t="s">
        <v>48</v>
      </c>
      <c r="AM1913" t="s">
        <v>48</v>
      </c>
      <c r="AN1913" t="s">
        <v>48</v>
      </c>
      <c r="AO1913" t="s">
        <v>48</v>
      </c>
      <c r="AP1913" s="46">
        <v>0</v>
      </c>
      <c r="AQ1913" s="46">
        <v>0</v>
      </c>
      <c r="AR1913" s="46">
        <v>0</v>
      </c>
      <c r="AS1913" s="46">
        <v>0</v>
      </c>
      <c r="AT1913" s="46">
        <v>0</v>
      </c>
      <c r="AU1913" s="46">
        <v>0</v>
      </c>
      <c r="AV1913" s="46">
        <v>0</v>
      </c>
      <c r="AW1913" s="46">
        <v>0</v>
      </c>
      <c r="AX1913" s="46">
        <v>0</v>
      </c>
      <c r="AY1913" s="46">
        <v>0</v>
      </c>
      <c r="AZ1913" s="46">
        <v>0</v>
      </c>
      <c r="BA1913" s="46">
        <v>0</v>
      </c>
      <c r="BB1913" s="46">
        <v>0</v>
      </c>
      <c r="BC1913" s="46">
        <v>0</v>
      </c>
      <c r="BD1913" s="46">
        <v>0</v>
      </c>
      <c r="BE1913" s="46">
        <v>0</v>
      </c>
      <c r="BF1913" s="46">
        <v>0</v>
      </c>
      <c r="BG1913" s="46" t="s">
        <v>48</v>
      </c>
      <c r="BH1913" s="46">
        <v>0</v>
      </c>
      <c r="BI1913" s="46">
        <v>0</v>
      </c>
      <c r="BJ1913" s="46">
        <v>0</v>
      </c>
      <c r="BK1913" s="46">
        <v>0</v>
      </c>
      <c r="BL1913" s="46">
        <v>0</v>
      </c>
      <c r="BM1913" s="46">
        <v>0</v>
      </c>
      <c r="BN1913" s="46">
        <v>0</v>
      </c>
    </row>
    <row r="1914" spans="1:66" x14ac:dyDescent="0.35">
      <c r="A1914" t="s">
        <v>4494</v>
      </c>
      <c r="B1914" s="44" t="s">
        <v>48</v>
      </c>
      <c r="C1914" t="s">
        <v>4497</v>
      </c>
      <c r="D1914" t="s">
        <v>4496</v>
      </c>
      <c r="E1914" t="s">
        <v>9564</v>
      </c>
      <c r="F1914" t="s">
        <v>4306</v>
      </c>
      <c r="G1914" t="s">
        <v>74</v>
      </c>
      <c r="H1914">
        <v>0</v>
      </c>
      <c r="I1914" s="61">
        <v>44753</v>
      </c>
      <c r="J1914" s="33" t="s">
        <v>45</v>
      </c>
      <c r="K1914" s="46">
        <v>0</v>
      </c>
      <c r="L1914">
        <v>36.9</v>
      </c>
      <c r="M1914" t="s">
        <v>48</v>
      </c>
      <c r="N1914" s="46">
        <v>0</v>
      </c>
      <c r="O1914" s="46">
        <v>0</v>
      </c>
      <c r="P1914" s="46">
        <v>0</v>
      </c>
      <c r="Q1914" t="s">
        <v>48</v>
      </c>
      <c r="R1914" t="s">
        <v>48</v>
      </c>
      <c r="S1914" t="s">
        <v>4495</v>
      </c>
      <c r="T1914" t="s">
        <v>48</v>
      </c>
      <c r="U1914" t="s">
        <v>4495</v>
      </c>
      <c r="V1914" s="47">
        <v>0</v>
      </c>
      <c r="W1914" t="s">
        <v>48</v>
      </c>
      <c r="X1914" t="s">
        <v>48</v>
      </c>
      <c r="Y1914" t="s">
        <v>48</v>
      </c>
      <c r="Z1914">
        <v>0</v>
      </c>
      <c r="AA1914" t="s">
        <v>48</v>
      </c>
      <c r="AB1914" t="s">
        <v>48</v>
      </c>
      <c r="AC1914" t="s">
        <v>63</v>
      </c>
      <c r="AD1914" t="s">
        <v>93</v>
      </c>
      <c r="AE1914" t="s">
        <v>11051</v>
      </c>
      <c r="AF1914" t="s">
        <v>11058</v>
      </c>
      <c r="AG1914" t="s">
        <v>148</v>
      </c>
      <c r="AH1914" t="s">
        <v>48</v>
      </c>
      <c r="AI1914" t="s">
        <v>48</v>
      </c>
      <c r="AJ1914" t="s">
        <v>48</v>
      </c>
      <c r="AK1914" t="s">
        <v>48</v>
      </c>
      <c r="AL1914" t="s">
        <v>48</v>
      </c>
      <c r="AM1914" t="s">
        <v>48</v>
      </c>
      <c r="AN1914" t="s">
        <v>48</v>
      </c>
      <c r="AO1914" t="s">
        <v>48</v>
      </c>
      <c r="AP1914" s="46">
        <v>0</v>
      </c>
      <c r="AQ1914" s="46">
        <v>0</v>
      </c>
      <c r="AR1914" s="46">
        <v>0</v>
      </c>
      <c r="AS1914" s="46">
        <v>0</v>
      </c>
      <c r="AT1914" s="46">
        <v>0</v>
      </c>
      <c r="AU1914" s="46">
        <v>0</v>
      </c>
      <c r="AV1914" s="46">
        <v>0</v>
      </c>
      <c r="AW1914" s="46">
        <v>0</v>
      </c>
      <c r="AX1914" s="46">
        <v>0</v>
      </c>
      <c r="AY1914" s="46">
        <v>0</v>
      </c>
      <c r="AZ1914" s="46">
        <v>0</v>
      </c>
      <c r="BA1914" s="46">
        <v>0</v>
      </c>
      <c r="BB1914" s="46">
        <v>0</v>
      </c>
      <c r="BC1914" s="46">
        <v>0</v>
      </c>
      <c r="BD1914" s="46">
        <v>0</v>
      </c>
      <c r="BE1914" s="46">
        <v>0</v>
      </c>
      <c r="BF1914" s="46">
        <v>0</v>
      </c>
      <c r="BG1914" s="46" t="s">
        <v>48</v>
      </c>
      <c r="BH1914" s="46">
        <v>0</v>
      </c>
      <c r="BI1914" s="46">
        <v>0</v>
      </c>
      <c r="BJ1914" s="46">
        <v>0</v>
      </c>
      <c r="BK1914" s="46">
        <v>0</v>
      </c>
      <c r="BL1914" s="46">
        <v>0</v>
      </c>
      <c r="BM1914" s="46">
        <v>0</v>
      </c>
      <c r="BN1914" s="46">
        <v>0</v>
      </c>
    </row>
    <row r="1915" spans="1:66" x14ac:dyDescent="0.35">
      <c r="A1915" t="s">
        <v>4506</v>
      </c>
      <c r="B1915" s="44" t="s">
        <v>48</v>
      </c>
      <c r="C1915" t="s">
        <v>674</v>
      </c>
      <c r="D1915" t="s">
        <v>328</v>
      </c>
      <c r="E1915" t="s">
        <v>9565</v>
      </c>
      <c r="F1915" t="s">
        <v>4306</v>
      </c>
      <c r="G1915" t="s">
        <v>74</v>
      </c>
      <c r="H1915">
        <v>0</v>
      </c>
      <c r="I1915" s="61">
        <v>44753</v>
      </c>
      <c r="J1915" s="33" t="s">
        <v>45</v>
      </c>
      <c r="K1915" s="46">
        <v>0</v>
      </c>
      <c r="L1915">
        <v>1.3</v>
      </c>
      <c r="M1915" t="s">
        <v>48</v>
      </c>
      <c r="N1915" s="46">
        <v>0</v>
      </c>
      <c r="O1915" s="46">
        <v>0</v>
      </c>
      <c r="P1915" s="46">
        <v>0</v>
      </c>
      <c r="Q1915" t="s">
        <v>48</v>
      </c>
      <c r="R1915" t="s">
        <v>48</v>
      </c>
      <c r="S1915" t="s">
        <v>10284</v>
      </c>
      <c r="T1915" t="s">
        <v>48</v>
      </c>
      <c r="U1915" t="s">
        <v>10284</v>
      </c>
      <c r="V1915" s="47">
        <v>1</v>
      </c>
      <c r="W1915" t="s">
        <v>48</v>
      </c>
      <c r="X1915" t="s">
        <v>48</v>
      </c>
      <c r="Y1915" t="s">
        <v>48</v>
      </c>
      <c r="Z1915">
        <v>0</v>
      </c>
      <c r="AA1915" t="s">
        <v>48</v>
      </c>
      <c r="AB1915" t="s">
        <v>48</v>
      </c>
      <c r="AC1915" t="s">
        <v>49</v>
      </c>
      <c r="AD1915" t="s">
        <v>93</v>
      </c>
      <c r="AE1915" s="40" t="s">
        <v>2471</v>
      </c>
      <c r="AF1915" t="s">
        <v>11061</v>
      </c>
      <c r="AG1915" t="s">
        <v>48</v>
      </c>
      <c r="AH1915" t="s">
        <v>48</v>
      </c>
      <c r="AI1915" t="s">
        <v>48</v>
      </c>
      <c r="AJ1915" t="s">
        <v>48</v>
      </c>
      <c r="AK1915" t="s">
        <v>48</v>
      </c>
      <c r="AL1915" t="s">
        <v>48</v>
      </c>
      <c r="AM1915" t="s">
        <v>48</v>
      </c>
      <c r="AN1915" t="s">
        <v>48</v>
      </c>
      <c r="AO1915" t="s">
        <v>48</v>
      </c>
      <c r="AP1915" s="46">
        <v>0</v>
      </c>
      <c r="AQ1915" s="46">
        <v>0</v>
      </c>
      <c r="AR1915" s="46">
        <v>0</v>
      </c>
      <c r="AS1915" s="46">
        <v>0</v>
      </c>
      <c r="AT1915" s="46">
        <v>0</v>
      </c>
      <c r="AU1915" s="46">
        <v>0</v>
      </c>
      <c r="AV1915" s="46">
        <v>0</v>
      </c>
      <c r="AW1915" s="46">
        <v>0</v>
      </c>
      <c r="AX1915" s="46">
        <v>0</v>
      </c>
      <c r="AY1915" s="46">
        <v>0</v>
      </c>
      <c r="AZ1915" s="46">
        <v>0</v>
      </c>
      <c r="BA1915" s="46">
        <v>0</v>
      </c>
      <c r="BB1915" s="46">
        <v>0</v>
      </c>
      <c r="BC1915" s="46">
        <v>0</v>
      </c>
      <c r="BD1915" s="46">
        <v>0</v>
      </c>
      <c r="BE1915" s="46">
        <v>0</v>
      </c>
      <c r="BF1915" s="46">
        <v>0</v>
      </c>
      <c r="BG1915" s="46" t="s">
        <v>48</v>
      </c>
      <c r="BH1915" s="46">
        <v>0</v>
      </c>
      <c r="BI1915" s="46">
        <v>0</v>
      </c>
      <c r="BJ1915" s="46">
        <v>0</v>
      </c>
      <c r="BK1915" s="46">
        <v>0</v>
      </c>
      <c r="BL1915" s="46">
        <v>0</v>
      </c>
      <c r="BM1915" s="46">
        <v>0</v>
      </c>
      <c r="BN1915" s="46">
        <v>0</v>
      </c>
    </row>
    <row r="1916" spans="1:66" x14ac:dyDescent="0.35">
      <c r="A1916" t="s">
        <v>9566</v>
      </c>
      <c r="B1916" s="44" t="s">
        <v>48</v>
      </c>
      <c r="C1916" t="s">
        <v>253</v>
      </c>
      <c r="D1916" t="s">
        <v>210</v>
      </c>
      <c r="E1916" t="s">
        <v>9567</v>
      </c>
      <c r="F1916" t="s">
        <v>4306</v>
      </c>
      <c r="G1916" t="s">
        <v>47</v>
      </c>
      <c r="H1916">
        <v>0</v>
      </c>
      <c r="I1916" s="61" t="s">
        <v>11160</v>
      </c>
      <c r="J1916" s="33" t="s">
        <v>45</v>
      </c>
      <c r="K1916" s="46">
        <v>0</v>
      </c>
      <c r="L1916">
        <v>35.5</v>
      </c>
      <c r="M1916" t="s">
        <v>48</v>
      </c>
      <c r="N1916" s="46">
        <v>0</v>
      </c>
      <c r="O1916" s="46">
        <v>0</v>
      </c>
      <c r="P1916" s="46">
        <v>0</v>
      </c>
      <c r="Q1916" t="s">
        <v>48</v>
      </c>
      <c r="R1916" t="s">
        <v>48</v>
      </c>
      <c r="S1916" t="s">
        <v>10286</v>
      </c>
      <c r="T1916" t="s">
        <v>48</v>
      </c>
      <c r="U1916" t="s">
        <v>10286</v>
      </c>
      <c r="V1916" s="47">
        <v>0</v>
      </c>
      <c r="W1916" t="s">
        <v>48</v>
      </c>
      <c r="X1916" t="s">
        <v>48</v>
      </c>
      <c r="Y1916" t="s">
        <v>48</v>
      </c>
      <c r="Z1916" t="s">
        <v>48</v>
      </c>
      <c r="AA1916" t="s">
        <v>48</v>
      </c>
      <c r="AB1916" t="s">
        <v>48</v>
      </c>
      <c r="AC1916" t="s">
        <v>49</v>
      </c>
      <c r="AD1916" t="s">
        <v>93</v>
      </c>
      <c r="AE1916" t="s">
        <v>4532</v>
      </c>
      <c r="AF1916" t="s">
        <v>48</v>
      </c>
      <c r="AG1916" t="s">
        <v>48</v>
      </c>
      <c r="AH1916" t="s">
        <v>48</v>
      </c>
      <c r="AI1916" t="s">
        <v>48</v>
      </c>
      <c r="AJ1916" t="s">
        <v>48</v>
      </c>
      <c r="AK1916" t="s">
        <v>48</v>
      </c>
      <c r="AL1916" t="s">
        <v>48</v>
      </c>
      <c r="AM1916" t="s">
        <v>48</v>
      </c>
      <c r="AN1916" t="s">
        <v>48</v>
      </c>
      <c r="AO1916" t="s">
        <v>48</v>
      </c>
      <c r="AP1916" s="46">
        <v>0</v>
      </c>
      <c r="AQ1916" s="46">
        <v>0</v>
      </c>
      <c r="AR1916" s="46">
        <v>0</v>
      </c>
      <c r="AS1916" s="46">
        <v>0</v>
      </c>
      <c r="AT1916" s="46">
        <v>0</v>
      </c>
      <c r="AU1916" s="46">
        <v>0</v>
      </c>
      <c r="AV1916" s="46">
        <v>0</v>
      </c>
      <c r="AW1916" s="46">
        <v>0</v>
      </c>
      <c r="AX1916" s="46">
        <v>0</v>
      </c>
      <c r="AY1916" s="46">
        <v>0</v>
      </c>
      <c r="AZ1916" s="46">
        <v>0</v>
      </c>
      <c r="BA1916" s="46">
        <v>0</v>
      </c>
      <c r="BB1916" s="46">
        <v>0</v>
      </c>
      <c r="BC1916" s="46">
        <v>0</v>
      </c>
      <c r="BD1916" s="46">
        <v>0</v>
      </c>
      <c r="BE1916" s="46">
        <v>0</v>
      </c>
      <c r="BF1916" s="46">
        <v>0</v>
      </c>
      <c r="BG1916" s="46" t="s">
        <v>48</v>
      </c>
      <c r="BH1916" s="46">
        <v>0</v>
      </c>
      <c r="BI1916" s="46">
        <v>0</v>
      </c>
      <c r="BJ1916" s="46">
        <v>0</v>
      </c>
      <c r="BK1916" s="46">
        <v>0</v>
      </c>
      <c r="BL1916" s="46">
        <v>0</v>
      </c>
      <c r="BM1916" s="46">
        <v>0</v>
      </c>
      <c r="BN1916" s="46">
        <v>0</v>
      </c>
    </row>
    <row r="1917" spans="1:66" x14ac:dyDescent="0.35">
      <c r="A1917" t="s">
        <v>10998</v>
      </c>
      <c r="B1917" s="44" t="s">
        <v>48</v>
      </c>
      <c r="C1917" t="s">
        <v>12075</v>
      </c>
      <c r="D1917" t="s">
        <v>339</v>
      </c>
      <c r="E1917" t="s">
        <v>10999</v>
      </c>
      <c r="F1917" t="s">
        <v>4306</v>
      </c>
      <c r="G1917" t="s">
        <v>74</v>
      </c>
      <c r="H1917">
        <v>0</v>
      </c>
      <c r="I1917" s="61">
        <v>44819</v>
      </c>
      <c r="J1917" s="33" t="s">
        <v>45</v>
      </c>
      <c r="K1917" s="46">
        <v>0</v>
      </c>
      <c r="L1917">
        <v>1.1000000000000001</v>
      </c>
      <c r="M1917" t="s">
        <v>48</v>
      </c>
      <c r="N1917" s="46">
        <v>0</v>
      </c>
      <c r="O1917" s="46">
        <v>0</v>
      </c>
      <c r="P1917" s="46">
        <v>0</v>
      </c>
      <c r="Q1917" t="s">
        <v>48</v>
      </c>
      <c r="R1917" t="s">
        <v>48</v>
      </c>
      <c r="S1917" t="s">
        <v>48</v>
      </c>
      <c r="T1917" t="s">
        <v>48</v>
      </c>
      <c r="U1917" t="s">
        <v>48</v>
      </c>
      <c r="V1917" s="47">
        <v>1</v>
      </c>
      <c r="W1917" t="s">
        <v>48</v>
      </c>
      <c r="X1917" t="s">
        <v>48</v>
      </c>
      <c r="Y1917" t="s">
        <v>48</v>
      </c>
      <c r="Z1917" t="s">
        <v>48</v>
      </c>
      <c r="AA1917" t="s">
        <v>48</v>
      </c>
      <c r="AB1917" t="s">
        <v>48</v>
      </c>
      <c r="AC1917" t="s">
        <v>49</v>
      </c>
      <c r="AD1917" t="s">
        <v>93</v>
      </c>
      <c r="AE1917" t="s">
        <v>2471</v>
      </c>
      <c r="AF1917" t="s">
        <v>48</v>
      </c>
      <c r="AG1917" t="s">
        <v>48</v>
      </c>
      <c r="AH1917" t="s">
        <v>48</v>
      </c>
      <c r="AI1917" t="s">
        <v>48</v>
      </c>
      <c r="AJ1917" t="s">
        <v>48</v>
      </c>
      <c r="AK1917" t="s">
        <v>48</v>
      </c>
      <c r="AL1917" t="s">
        <v>48</v>
      </c>
      <c r="AM1917" t="s">
        <v>48</v>
      </c>
      <c r="AN1917" t="s">
        <v>48</v>
      </c>
      <c r="AO1917" t="s">
        <v>48</v>
      </c>
      <c r="AP1917" s="46">
        <v>0</v>
      </c>
      <c r="AQ1917" s="46">
        <v>0</v>
      </c>
      <c r="AR1917" s="46">
        <v>0</v>
      </c>
      <c r="AS1917" s="46">
        <v>0</v>
      </c>
      <c r="AT1917" s="46">
        <v>0</v>
      </c>
      <c r="AU1917" s="46">
        <v>0</v>
      </c>
      <c r="AV1917" s="46">
        <v>0</v>
      </c>
      <c r="AW1917" s="46">
        <v>0</v>
      </c>
      <c r="AX1917" s="46">
        <v>0</v>
      </c>
      <c r="AY1917" s="46">
        <v>0</v>
      </c>
      <c r="AZ1917" s="46">
        <v>0</v>
      </c>
      <c r="BA1917" s="46">
        <v>0</v>
      </c>
      <c r="BB1917" s="46">
        <v>0</v>
      </c>
      <c r="BC1917" s="46">
        <v>0</v>
      </c>
      <c r="BD1917" s="46">
        <v>0</v>
      </c>
      <c r="BE1917" s="46">
        <v>0</v>
      </c>
      <c r="BF1917" s="46">
        <v>0</v>
      </c>
      <c r="BG1917" s="46" t="s">
        <v>48</v>
      </c>
      <c r="BH1917" s="46">
        <v>0</v>
      </c>
      <c r="BI1917" s="46">
        <v>0</v>
      </c>
      <c r="BJ1917" s="46">
        <v>0</v>
      </c>
      <c r="BK1917" s="46">
        <v>0</v>
      </c>
      <c r="BL1917" s="46">
        <v>0</v>
      </c>
      <c r="BM1917" s="46">
        <v>0</v>
      </c>
      <c r="BN1917" s="46">
        <v>0</v>
      </c>
    </row>
    <row r="1918" spans="1:66" x14ac:dyDescent="0.35">
      <c r="A1918" t="s">
        <v>4316</v>
      </c>
      <c r="B1918" s="44" t="s">
        <v>48</v>
      </c>
      <c r="C1918" t="s">
        <v>4319</v>
      </c>
      <c r="D1918" t="s">
        <v>396</v>
      </c>
      <c r="E1918" t="s">
        <v>4318</v>
      </c>
      <c r="F1918" t="s">
        <v>4317</v>
      </c>
      <c r="G1918" t="s">
        <v>47</v>
      </c>
      <c r="H1918">
        <v>0</v>
      </c>
      <c r="I1918" s="60" t="s">
        <v>51</v>
      </c>
      <c r="J1918" s="33" t="s">
        <v>45</v>
      </c>
      <c r="K1918" s="46">
        <v>0</v>
      </c>
      <c r="L1918">
        <v>23.4</v>
      </c>
      <c r="M1918" t="s">
        <v>48</v>
      </c>
      <c r="N1918" s="46">
        <v>0</v>
      </c>
      <c r="O1918" s="46">
        <v>0</v>
      </c>
      <c r="P1918" s="46">
        <v>0</v>
      </c>
      <c r="Q1918" t="s">
        <v>48</v>
      </c>
      <c r="R1918" t="s">
        <v>48</v>
      </c>
      <c r="S1918" t="s">
        <v>10288</v>
      </c>
      <c r="T1918" t="s">
        <v>48</v>
      </c>
      <c r="U1918" t="s">
        <v>10288</v>
      </c>
      <c r="V1918" s="47">
        <v>0</v>
      </c>
      <c r="W1918" t="s">
        <v>48</v>
      </c>
      <c r="X1918" t="s">
        <v>48</v>
      </c>
      <c r="Y1918" t="s">
        <v>48</v>
      </c>
      <c r="Z1918">
        <v>0</v>
      </c>
      <c r="AA1918" t="s">
        <v>48</v>
      </c>
      <c r="AB1918" t="s">
        <v>48</v>
      </c>
      <c r="AC1918" t="s">
        <v>49</v>
      </c>
      <c r="AD1918" t="s">
        <v>93</v>
      </c>
      <c r="AE1918" t="s">
        <v>4532</v>
      </c>
      <c r="AF1918" t="s">
        <v>48</v>
      </c>
      <c r="AG1918" t="s">
        <v>633</v>
      </c>
      <c r="AH1918" t="s">
        <v>48</v>
      </c>
      <c r="AI1918" t="s">
        <v>48</v>
      </c>
      <c r="AJ1918" t="s">
        <v>48</v>
      </c>
      <c r="AK1918" t="s">
        <v>48</v>
      </c>
      <c r="AL1918" t="s">
        <v>48</v>
      </c>
      <c r="AM1918" t="s">
        <v>48</v>
      </c>
      <c r="AN1918" t="s">
        <v>48</v>
      </c>
      <c r="AO1918" t="s">
        <v>48</v>
      </c>
      <c r="AP1918" s="46">
        <v>0</v>
      </c>
      <c r="AQ1918" s="46">
        <v>0</v>
      </c>
      <c r="AR1918" s="46">
        <v>0</v>
      </c>
      <c r="AS1918" s="46">
        <v>0</v>
      </c>
      <c r="AT1918" s="46">
        <v>0</v>
      </c>
      <c r="AU1918" s="46">
        <v>0</v>
      </c>
      <c r="AV1918" s="46">
        <v>0</v>
      </c>
      <c r="AW1918" s="46">
        <v>0</v>
      </c>
      <c r="AX1918" s="46">
        <v>0</v>
      </c>
      <c r="AY1918" s="46">
        <v>0</v>
      </c>
      <c r="AZ1918" s="46">
        <v>0</v>
      </c>
      <c r="BA1918" s="46">
        <v>0</v>
      </c>
      <c r="BB1918" s="46">
        <v>0</v>
      </c>
      <c r="BC1918" s="46">
        <v>0</v>
      </c>
      <c r="BD1918" s="46">
        <v>0</v>
      </c>
      <c r="BE1918" s="46">
        <v>0</v>
      </c>
      <c r="BF1918" s="46">
        <v>0</v>
      </c>
      <c r="BG1918" s="46" t="s">
        <v>48</v>
      </c>
      <c r="BH1918" s="46">
        <v>0</v>
      </c>
      <c r="BI1918" s="46">
        <v>0</v>
      </c>
      <c r="BJ1918" s="46">
        <v>0</v>
      </c>
      <c r="BK1918" s="46">
        <v>0</v>
      </c>
      <c r="BL1918" s="46">
        <v>0</v>
      </c>
      <c r="BM1918" s="46">
        <v>0</v>
      </c>
      <c r="BN1918" s="46">
        <v>0</v>
      </c>
    </row>
    <row r="1919" spans="1:66" x14ac:dyDescent="0.35">
      <c r="A1919" t="s">
        <v>4326</v>
      </c>
      <c r="B1919" s="44" t="s">
        <v>48</v>
      </c>
      <c r="C1919" t="s">
        <v>2334</v>
      </c>
      <c r="D1919" t="s">
        <v>4330</v>
      </c>
      <c r="E1919" t="s">
        <v>4328</v>
      </c>
      <c r="F1919" t="s">
        <v>4327</v>
      </c>
      <c r="G1919" t="s">
        <v>47</v>
      </c>
      <c r="H1919">
        <v>0</v>
      </c>
      <c r="I1919" s="60" t="s">
        <v>51</v>
      </c>
      <c r="J1919" s="33" t="s">
        <v>45</v>
      </c>
      <c r="K1919" s="46">
        <v>0</v>
      </c>
      <c r="L1919">
        <v>6</v>
      </c>
      <c r="M1919" t="s">
        <v>48</v>
      </c>
      <c r="N1919" s="46">
        <v>0</v>
      </c>
      <c r="O1919" s="46">
        <v>0</v>
      </c>
      <c r="P1919" s="46">
        <v>0</v>
      </c>
      <c r="Q1919" t="s">
        <v>48</v>
      </c>
      <c r="R1919" t="s">
        <v>48</v>
      </c>
      <c r="S1919" t="s">
        <v>4329</v>
      </c>
      <c r="T1919" t="s">
        <v>48</v>
      </c>
      <c r="U1919" t="s">
        <v>4329</v>
      </c>
      <c r="V1919" s="47">
        <v>1</v>
      </c>
      <c r="W1919" t="s">
        <v>48</v>
      </c>
      <c r="X1919" t="s">
        <v>48</v>
      </c>
      <c r="Y1919" t="s">
        <v>48</v>
      </c>
      <c r="Z1919">
        <v>0</v>
      </c>
      <c r="AA1919" t="s">
        <v>48</v>
      </c>
      <c r="AB1919" t="s">
        <v>48</v>
      </c>
      <c r="AC1919" t="s">
        <v>49</v>
      </c>
      <c r="AD1919" t="s">
        <v>93</v>
      </c>
      <c r="AE1919" t="s">
        <v>4532</v>
      </c>
      <c r="AF1919" t="s">
        <v>48</v>
      </c>
      <c r="AG1919" t="s">
        <v>48</v>
      </c>
      <c r="AH1919" t="s">
        <v>48</v>
      </c>
      <c r="AI1919" t="s">
        <v>48</v>
      </c>
      <c r="AJ1919" t="s">
        <v>48</v>
      </c>
      <c r="AK1919" t="s">
        <v>48</v>
      </c>
      <c r="AL1919" t="s">
        <v>48</v>
      </c>
      <c r="AM1919" t="s">
        <v>48</v>
      </c>
      <c r="AN1919" t="s">
        <v>48</v>
      </c>
      <c r="AO1919" t="s">
        <v>48</v>
      </c>
      <c r="AP1919" s="46">
        <v>0</v>
      </c>
      <c r="AQ1919" s="46">
        <v>0</v>
      </c>
      <c r="AR1919" s="46">
        <v>0</v>
      </c>
      <c r="AS1919" s="46">
        <v>0</v>
      </c>
      <c r="AT1919" s="46">
        <v>0</v>
      </c>
      <c r="AU1919" s="46">
        <v>0</v>
      </c>
      <c r="AV1919" s="46">
        <v>0</v>
      </c>
      <c r="AW1919" s="46">
        <v>0</v>
      </c>
      <c r="AX1919" s="46">
        <v>0</v>
      </c>
      <c r="AY1919" s="46">
        <v>0</v>
      </c>
      <c r="AZ1919" s="46">
        <v>0</v>
      </c>
      <c r="BA1919" s="46">
        <v>0</v>
      </c>
      <c r="BB1919" s="46">
        <v>0</v>
      </c>
      <c r="BC1919" s="46">
        <v>0</v>
      </c>
      <c r="BD1919" s="46">
        <v>0</v>
      </c>
      <c r="BE1919" s="46">
        <v>0</v>
      </c>
      <c r="BF1919" s="46">
        <v>0</v>
      </c>
      <c r="BG1919" s="46" t="s">
        <v>48</v>
      </c>
      <c r="BH1919" s="46">
        <v>0</v>
      </c>
      <c r="BI1919" s="46">
        <v>0</v>
      </c>
      <c r="BJ1919" s="46">
        <v>0</v>
      </c>
      <c r="BK1919" s="46">
        <v>0</v>
      </c>
      <c r="BL1919" s="46">
        <v>0</v>
      </c>
      <c r="BM1919" s="46">
        <v>0</v>
      </c>
      <c r="BN1919" s="46">
        <v>0</v>
      </c>
    </row>
    <row r="1920" spans="1:66" x14ac:dyDescent="0.35">
      <c r="A1920" t="s">
        <v>9571</v>
      </c>
      <c r="B1920" s="44" t="s">
        <v>48</v>
      </c>
      <c r="C1920" t="s">
        <v>12078</v>
      </c>
      <c r="D1920" t="s">
        <v>2114</v>
      </c>
      <c r="E1920" t="s">
        <v>9572</v>
      </c>
      <c r="F1920" t="s">
        <v>4327</v>
      </c>
      <c r="G1920" t="s">
        <v>47</v>
      </c>
      <c r="H1920">
        <v>0</v>
      </c>
      <c r="I1920" s="61">
        <v>44753</v>
      </c>
      <c r="J1920" s="33" t="s">
        <v>45</v>
      </c>
      <c r="K1920" s="46">
        <v>0</v>
      </c>
      <c r="L1920">
        <v>4.4000000000000004</v>
      </c>
      <c r="M1920" t="s">
        <v>48</v>
      </c>
      <c r="N1920" s="46">
        <v>0</v>
      </c>
      <c r="O1920" s="46">
        <v>0</v>
      </c>
      <c r="P1920" s="46">
        <v>0</v>
      </c>
      <c r="Q1920" t="s">
        <v>48</v>
      </c>
      <c r="R1920" t="s">
        <v>48</v>
      </c>
      <c r="S1920" t="s">
        <v>10290</v>
      </c>
      <c r="T1920" t="s">
        <v>48</v>
      </c>
      <c r="U1920" t="s">
        <v>10290</v>
      </c>
      <c r="V1920" s="47">
        <v>1</v>
      </c>
      <c r="W1920" t="s">
        <v>48</v>
      </c>
      <c r="X1920" t="s">
        <v>48</v>
      </c>
      <c r="Y1920" t="s">
        <v>48</v>
      </c>
      <c r="Z1920" t="s">
        <v>48</v>
      </c>
      <c r="AA1920" t="s">
        <v>48</v>
      </c>
      <c r="AB1920" t="s">
        <v>48</v>
      </c>
      <c r="AC1920" t="s">
        <v>63</v>
      </c>
      <c r="AD1920" t="s">
        <v>93</v>
      </c>
      <c r="AE1920" t="s">
        <v>4532</v>
      </c>
      <c r="AF1920" t="s">
        <v>48</v>
      </c>
      <c r="AG1920" t="s">
        <v>48</v>
      </c>
      <c r="AH1920" t="s">
        <v>48</v>
      </c>
      <c r="AI1920" t="s">
        <v>48</v>
      </c>
      <c r="AJ1920" t="s">
        <v>48</v>
      </c>
      <c r="AK1920" t="s">
        <v>48</v>
      </c>
      <c r="AL1920" t="s">
        <v>48</v>
      </c>
      <c r="AM1920" t="s">
        <v>48</v>
      </c>
      <c r="AN1920" t="s">
        <v>48</v>
      </c>
      <c r="AO1920" t="s">
        <v>48</v>
      </c>
      <c r="AP1920" s="46">
        <v>0</v>
      </c>
      <c r="AQ1920" s="46">
        <v>0</v>
      </c>
      <c r="AR1920" s="46">
        <v>0</v>
      </c>
      <c r="AS1920" s="46">
        <v>0</v>
      </c>
      <c r="AT1920" s="46">
        <v>0</v>
      </c>
      <c r="AU1920" s="46">
        <v>0</v>
      </c>
      <c r="AV1920" s="46">
        <v>0</v>
      </c>
      <c r="AW1920" s="46">
        <v>0</v>
      </c>
      <c r="AX1920" s="46">
        <v>0</v>
      </c>
      <c r="AY1920" s="46">
        <v>0</v>
      </c>
      <c r="AZ1920" s="46">
        <v>0</v>
      </c>
      <c r="BA1920" s="46">
        <v>0</v>
      </c>
      <c r="BB1920" s="46">
        <v>0</v>
      </c>
      <c r="BC1920" s="46">
        <v>0</v>
      </c>
      <c r="BD1920" s="46">
        <v>0</v>
      </c>
      <c r="BE1920" s="46">
        <v>0</v>
      </c>
      <c r="BF1920" s="46">
        <v>0</v>
      </c>
      <c r="BG1920" s="46" t="s">
        <v>48</v>
      </c>
      <c r="BH1920" s="46">
        <v>0</v>
      </c>
      <c r="BI1920" s="46">
        <v>0</v>
      </c>
      <c r="BJ1920" s="46">
        <v>0</v>
      </c>
      <c r="BK1920" s="46">
        <v>0</v>
      </c>
      <c r="BL1920" s="46">
        <v>0</v>
      </c>
      <c r="BM1920" s="46">
        <v>0</v>
      </c>
      <c r="BN1920" s="46">
        <v>0</v>
      </c>
    </row>
    <row r="1921" spans="1:66" x14ac:dyDescent="0.35">
      <c r="A1921" t="s">
        <v>9573</v>
      </c>
      <c r="B1921" s="44" t="s">
        <v>48</v>
      </c>
      <c r="C1921" t="s">
        <v>12077</v>
      </c>
      <c r="D1921" t="s">
        <v>1034</v>
      </c>
      <c r="E1921" t="s">
        <v>9574</v>
      </c>
      <c r="F1921" t="s">
        <v>4327</v>
      </c>
      <c r="G1921" t="s">
        <v>47</v>
      </c>
      <c r="H1921">
        <v>0</v>
      </c>
      <c r="I1921" s="61">
        <v>44753</v>
      </c>
      <c r="J1921" s="33" t="s">
        <v>45</v>
      </c>
      <c r="K1921" s="46">
        <v>0</v>
      </c>
      <c r="L1921">
        <v>33.700000000000003</v>
      </c>
      <c r="M1921" t="s">
        <v>48</v>
      </c>
      <c r="N1921" s="46">
        <v>0</v>
      </c>
      <c r="O1921" s="46">
        <v>0</v>
      </c>
      <c r="P1921" s="46">
        <v>0</v>
      </c>
      <c r="Q1921" t="s">
        <v>48</v>
      </c>
      <c r="R1921" t="s">
        <v>48</v>
      </c>
      <c r="S1921" t="s">
        <v>4345</v>
      </c>
      <c r="T1921" t="s">
        <v>48</v>
      </c>
      <c r="U1921" t="s">
        <v>4345</v>
      </c>
      <c r="V1921" s="47">
        <v>0</v>
      </c>
      <c r="W1921" t="s">
        <v>48</v>
      </c>
      <c r="X1921" t="s">
        <v>48</v>
      </c>
      <c r="Y1921" t="s">
        <v>48</v>
      </c>
      <c r="Z1921" t="s">
        <v>48</v>
      </c>
      <c r="AA1921" t="s">
        <v>48</v>
      </c>
      <c r="AB1921" t="s">
        <v>48</v>
      </c>
      <c r="AC1921" t="s">
        <v>49</v>
      </c>
      <c r="AD1921" t="s">
        <v>93</v>
      </c>
      <c r="AE1921" t="s">
        <v>4532</v>
      </c>
      <c r="AF1921" t="s">
        <v>48</v>
      </c>
      <c r="AG1921" t="s">
        <v>48</v>
      </c>
      <c r="AH1921" t="s">
        <v>48</v>
      </c>
      <c r="AI1921" t="s">
        <v>48</v>
      </c>
      <c r="AJ1921" t="s">
        <v>48</v>
      </c>
      <c r="AK1921" t="s">
        <v>48</v>
      </c>
      <c r="AL1921" t="s">
        <v>48</v>
      </c>
      <c r="AM1921" t="s">
        <v>48</v>
      </c>
      <c r="AN1921" t="s">
        <v>48</v>
      </c>
      <c r="AO1921" t="s">
        <v>48</v>
      </c>
      <c r="AP1921" s="46">
        <v>0</v>
      </c>
      <c r="AQ1921" s="46">
        <v>0</v>
      </c>
      <c r="AR1921" s="46">
        <v>0</v>
      </c>
      <c r="AS1921" s="46">
        <v>0</v>
      </c>
      <c r="AT1921" s="46">
        <v>0</v>
      </c>
      <c r="AU1921" s="46">
        <v>0</v>
      </c>
      <c r="AV1921" s="46">
        <v>0</v>
      </c>
      <c r="AW1921" s="46">
        <v>0</v>
      </c>
      <c r="AX1921" s="46">
        <v>0</v>
      </c>
      <c r="AY1921" s="46">
        <v>0</v>
      </c>
      <c r="AZ1921" s="46">
        <v>0</v>
      </c>
      <c r="BA1921" s="46">
        <v>0</v>
      </c>
      <c r="BB1921" s="46">
        <v>0</v>
      </c>
      <c r="BC1921" s="46">
        <v>0</v>
      </c>
      <c r="BD1921" s="46">
        <v>0</v>
      </c>
      <c r="BE1921" s="46">
        <v>0</v>
      </c>
      <c r="BF1921" s="46">
        <v>0</v>
      </c>
      <c r="BG1921" s="46" t="s">
        <v>48</v>
      </c>
      <c r="BH1921" s="46">
        <v>0</v>
      </c>
      <c r="BI1921" s="46">
        <v>0</v>
      </c>
      <c r="BJ1921" s="46">
        <v>0</v>
      </c>
      <c r="BK1921" s="46">
        <v>0</v>
      </c>
      <c r="BL1921" s="46">
        <v>0</v>
      </c>
      <c r="BM1921" s="46">
        <v>0</v>
      </c>
      <c r="BN1921" s="46">
        <v>0</v>
      </c>
    </row>
    <row r="1922" spans="1:66" x14ac:dyDescent="0.35">
      <c r="A1922" t="s">
        <v>4340</v>
      </c>
      <c r="B1922" s="44" t="s">
        <v>48</v>
      </c>
      <c r="C1922" t="s">
        <v>4342</v>
      </c>
      <c r="D1922" t="s">
        <v>4341</v>
      </c>
      <c r="E1922" t="s">
        <v>9575</v>
      </c>
      <c r="F1922" t="s">
        <v>4327</v>
      </c>
      <c r="G1922" t="s">
        <v>47</v>
      </c>
      <c r="H1922">
        <v>0</v>
      </c>
      <c r="I1922" s="61">
        <v>44753</v>
      </c>
      <c r="J1922" s="33" t="s">
        <v>45</v>
      </c>
      <c r="K1922" s="46">
        <v>0</v>
      </c>
      <c r="L1922">
        <v>4</v>
      </c>
      <c r="M1922" t="s">
        <v>48</v>
      </c>
      <c r="N1922" s="46">
        <v>0</v>
      </c>
      <c r="O1922" s="46">
        <v>0</v>
      </c>
      <c r="P1922" s="46">
        <v>0</v>
      </c>
      <c r="Q1922" t="s">
        <v>48</v>
      </c>
      <c r="R1922" t="s">
        <v>48</v>
      </c>
      <c r="S1922" t="s">
        <v>10291</v>
      </c>
      <c r="T1922" t="s">
        <v>48</v>
      </c>
      <c r="U1922" t="s">
        <v>10291</v>
      </c>
      <c r="V1922" s="47">
        <v>1</v>
      </c>
      <c r="W1922" t="s">
        <v>48</v>
      </c>
      <c r="X1922" t="s">
        <v>48</v>
      </c>
      <c r="Y1922" t="s">
        <v>48</v>
      </c>
      <c r="Z1922">
        <v>0</v>
      </c>
      <c r="AA1922" t="s">
        <v>48</v>
      </c>
      <c r="AB1922" t="s">
        <v>48</v>
      </c>
      <c r="AC1922" t="s">
        <v>49</v>
      </c>
      <c r="AD1922" t="s">
        <v>93</v>
      </c>
      <c r="AE1922" t="s">
        <v>4532</v>
      </c>
      <c r="AF1922" t="s">
        <v>48</v>
      </c>
      <c r="AG1922" t="s">
        <v>48</v>
      </c>
      <c r="AH1922" t="s">
        <v>48</v>
      </c>
      <c r="AI1922" t="s">
        <v>48</v>
      </c>
      <c r="AJ1922" t="s">
        <v>48</v>
      </c>
      <c r="AK1922" t="s">
        <v>48</v>
      </c>
      <c r="AL1922" t="s">
        <v>48</v>
      </c>
      <c r="AM1922" t="s">
        <v>48</v>
      </c>
      <c r="AN1922" t="s">
        <v>48</v>
      </c>
      <c r="AO1922" t="s">
        <v>48</v>
      </c>
      <c r="AP1922" s="46">
        <v>0</v>
      </c>
      <c r="AQ1922" s="46">
        <v>0</v>
      </c>
      <c r="AR1922" s="46">
        <v>0</v>
      </c>
      <c r="AS1922" s="46">
        <v>0</v>
      </c>
      <c r="AT1922" s="46">
        <v>0</v>
      </c>
      <c r="AU1922" s="46">
        <v>0</v>
      </c>
      <c r="AV1922" s="46">
        <v>0</v>
      </c>
      <c r="AW1922" s="46">
        <v>0</v>
      </c>
      <c r="AX1922" s="46">
        <v>0</v>
      </c>
      <c r="AY1922" s="46">
        <v>0</v>
      </c>
      <c r="AZ1922" s="46">
        <v>0</v>
      </c>
      <c r="BA1922" s="46">
        <v>0</v>
      </c>
      <c r="BB1922" s="46">
        <v>0</v>
      </c>
      <c r="BC1922" s="46">
        <v>0</v>
      </c>
      <c r="BD1922" s="46">
        <v>0</v>
      </c>
      <c r="BE1922" s="46">
        <v>0</v>
      </c>
      <c r="BF1922" s="46">
        <v>0</v>
      </c>
      <c r="BG1922" s="46" t="s">
        <v>48</v>
      </c>
      <c r="BH1922" s="46">
        <v>0</v>
      </c>
      <c r="BI1922" s="46">
        <v>0</v>
      </c>
      <c r="BJ1922" s="46">
        <v>0</v>
      </c>
      <c r="BK1922" s="46">
        <v>0</v>
      </c>
      <c r="BL1922" s="46">
        <v>0</v>
      </c>
      <c r="BM1922" s="46">
        <v>0</v>
      </c>
      <c r="BN1922" s="46">
        <v>0</v>
      </c>
    </row>
    <row r="1923" spans="1:66" x14ac:dyDescent="0.35">
      <c r="A1923" t="s">
        <v>9576</v>
      </c>
      <c r="B1923" s="44" t="s">
        <v>48</v>
      </c>
      <c r="C1923" t="s">
        <v>12076</v>
      </c>
      <c r="D1923" t="s">
        <v>311</v>
      </c>
      <c r="E1923" t="s">
        <v>9577</v>
      </c>
      <c r="F1923" t="s">
        <v>4327</v>
      </c>
      <c r="G1923" t="s">
        <v>47</v>
      </c>
      <c r="H1923">
        <v>0</v>
      </c>
      <c r="I1923" s="61">
        <v>44753</v>
      </c>
      <c r="J1923" s="33" t="s">
        <v>45</v>
      </c>
      <c r="K1923" s="46">
        <v>0</v>
      </c>
      <c r="L1923">
        <v>12.2</v>
      </c>
      <c r="M1923" t="s">
        <v>48</v>
      </c>
      <c r="N1923" s="46">
        <v>0</v>
      </c>
      <c r="O1923" s="46">
        <v>0</v>
      </c>
      <c r="P1923" s="46">
        <v>0</v>
      </c>
      <c r="Q1923" t="s">
        <v>48</v>
      </c>
      <c r="R1923" t="s">
        <v>48</v>
      </c>
      <c r="S1923" t="s">
        <v>10292</v>
      </c>
      <c r="T1923" t="s">
        <v>48</v>
      </c>
      <c r="U1923" t="s">
        <v>10292</v>
      </c>
      <c r="V1923" s="47">
        <v>1</v>
      </c>
      <c r="W1923" t="s">
        <v>48</v>
      </c>
      <c r="X1923" t="s">
        <v>48</v>
      </c>
      <c r="Y1923" t="s">
        <v>48</v>
      </c>
      <c r="Z1923" t="s">
        <v>48</v>
      </c>
      <c r="AA1923" t="s">
        <v>48</v>
      </c>
      <c r="AB1923" t="s">
        <v>48</v>
      </c>
      <c r="AC1923" t="s">
        <v>63</v>
      </c>
      <c r="AD1923" t="s">
        <v>93</v>
      </c>
      <c r="AE1923" t="s">
        <v>4532</v>
      </c>
      <c r="AF1923" t="s">
        <v>48</v>
      </c>
      <c r="AG1923" t="s">
        <v>48</v>
      </c>
      <c r="AH1923" t="s">
        <v>48</v>
      </c>
      <c r="AI1923" t="s">
        <v>48</v>
      </c>
      <c r="AJ1923" t="s">
        <v>48</v>
      </c>
      <c r="AK1923" t="s">
        <v>48</v>
      </c>
      <c r="AL1923" t="s">
        <v>48</v>
      </c>
      <c r="AM1923" t="s">
        <v>48</v>
      </c>
      <c r="AN1923" t="s">
        <v>48</v>
      </c>
      <c r="AO1923" t="s">
        <v>48</v>
      </c>
      <c r="AP1923" s="46">
        <v>0</v>
      </c>
      <c r="AQ1923" s="46">
        <v>0</v>
      </c>
      <c r="AR1923" s="46">
        <v>0</v>
      </c>
      <c r="AS1923" s="46">
        <v>0</v>
      </c>
      <c r="AT1923" s="46">
        <v>0</v>
      </c>
      <c r="AU1923" s="46">
        <v>0</v>
      </c>
      <c r="AV1923" s="46">
        <v>0</v>
      </c>
      <c r="AW1923" s="46">
        <v>0</v>
      </c>
      <c r="AX1923" s="46">
        <v>0</v>
      </c>
      <c r="AY1923" s="46">
        <v>0</v>
      </c>
      <c r="AZ1923" s="46">
        <v>0</v>
      </c>
      <c r="BA1923" s="46">
        <v>0</v>
      </c>
      <c r="BB1923" s="46">
        <v>0</v>
      </c>
      <c r="BC1923" s="46">
        <v>0</v>
      </c>
      <c r="BD1923" s="46">
        <v>0</v>
      </c>
      <c r="BE1923" s="46">
        <v>0</v>
      </c>
      <c r="BF1923" s="46">
        <v>0</v>
      </c>
      <c r="BG1923" s="46" t="s">
        <v>48</v>
      </c>
      <c r="BH1923" s="46">
        <v>0</v>
      </c>
      <c r="BI1923" s="46">
        <v>0</v>
      </c>
      <c r="BJ1923" s="46">
        <v>0</v>
      </c>
      <c r="BK1923" s="46">
        <v>0</v>
      </c>
      <c r="BL1923" s="46">
        <v>0</v>
      </c>
      <c r="BM1923" s="46">
        <v>0</v>
      </c>
      <c r="BN1923" s="46">
        <v>0</v>
      </c>
    </row>
    <row r="1924" spans="1:66" x14ac:dyDescent="0.35">
      <c r="A1924" t="s">
        <v>9578</v>
      </c>
      <c r="B1924" s="44" t="s">
        <v>48</v>
      </c>
      <c r="C1924" t="s">
        <v>12079</v>
      </c>
      <c r="D1924" t="s">
        <v>262</v>
      </c>
      <c r="E1924" t="s">
        <v>9579</v>
      </c>
      <c r="F1924" t="s">
        <v>4327</v>
      </c>
      <c r="G1924" t="s">
        <v>47</v>
      </c>
      <c r="H1924">
        <v>0</v>
      </c>
      <c r="I1924" s="61">
        <v>44753</v>
      </c>
      <c r="J1924" s="33" t="s">
        <v>45</v>
      </c>
      <c r="K1924" s="46">
        <v>0</v>
      </c>
      <c r="L1924">
        <v>3.4</v>
      </c>
      <c r="M1924" t="s">
        <v>48</v>
      </c>
      <c r="N1924" s="46">
        <v>0</v>
      </c>
      <c r="O1924" s="46">
        <v>0</v>
      </c>
      <c r="P1924" s="46">
        <v>0</v>
      </c>
      <c r="Q1924" t="s">
        <v>48</v>
      </c>
      <c r="R1924" t="s">
        <v>48</v>
      </c>
      <c r="S1924" t="s">
        <v>48</v>
      </c>
      <c r="T1924" t="s">
        <v>48</v>
      </c>
      <c r="U1924" t="s">
        <v>48</v>
      </c>
      <c r="V1924" s="47">
        <v>1</v>
      </c>
      <c r="W1924" t="s">
        <v>48</v>
      </c>
      <c r="X1924" t="s">
        <v>48</v>
      </c>
      <c r="Y1924" t="s">
        <v>48</v>
      </c>
      <c r="Z1924" t="s">
        <v>48</v>
      </c>
      <c r="AA1924" t="s">
        <v>48</v>
      </c>
      <c r="AB1924" t="s">
        <v>48</v>
      </c>
      <c r="AC1924" t="s">
        <v>49</v>
      </c>
      <c r="AD1924" t="s">
        <v>48</v>
      </c>
      <c r="AE1924" t="s">
        <v>48</v>
      </c>
      <c r="AF1924" t="s">
        <v>48</v>
      </c>
      <c r="AG1924" t="s">
        <v>48</v>
      </c>
      <c r="AH1924" t="s">
        <v>48</v>
      </c>
      <c r="AI1924" t="s">
        <v>48</v>
      </c>
      <c r="AJ1924" t="s">
        <v>48</v>
      </c>
      <c r="AK1924" t="s">
        <v>48</v>
      </c>
      <c r="AL1924" t="s">
        <v>48</v>
      </c>
      <c r="AM1924" t="s">
        <v>48</v>
      </c>
      <c r="AN1924" t="s">
        <v>48</v>
      </c>
      <c r="AO1924" t="s">
        <v>48</v>
      </c>
      <c r="AP1924" s="46">
        <v>0</v>
      </c>
      <c r="AQ1924" s="46">
        <v>0</v>
      </c>
      <c r="AR1924" s="46">
        <v>0</v>
      </c>
      <c r="AS1924" s="46">
        <v>0</v>
      </c>
      <c r="AT1924" s="46">
        <v>0</v>
      </c>
      <c r="AU1924" s="46">
        <v>0</v>
      </c>
      <c r="AV1924" s="46">
        <v>0</v>
      </c>
      <c r="AW1924" s="46">
        <v>0</v>
      </c>
      <c r="AX1924" s="46">
        <v>0</v>
      </c>
      <c r="AY1924" s="46">
        <v>0</v>
      </c>
      <c r="AZ1924" s="46">
        <v>0</v>
      </c>
      <c r="BA1924" s="46">
        <v>0</v>
      </c>
      <c r="BB1924" s="46">
        <v>0</v>
      </c>
      <c r="BC1924" s="46">
        <v>0</v>
      </c>
      <c r="BD1924" s="46">
        <v>0</v>
      </c>
      <c r="BE1924" s="46">
        <v>0</v>
      </c>
      <c r="BF1924" s="46">
        <v>0</v>
      </c>
      <c r="BG1924" s="46" t="s">
        <v>48</v>
      </c>
      <c r="BH1924" s="46">
        <v>0</v>
      </c>
      <c r="BI1924" s="46">
        <v>0</v>
      </c>
      <c r="BJ1924" s="46">
        <v>0</v>
      </c>
      <c r="BK1924" s="46">
        <v>0</v>
      </c>
      <c r="BL1924" s="46">
        <v>0</v>
      </c>
      <c r="BM1924" s="46">
        <v>0</v>
      </c>
      <c r="BN1924" s="46">
        <v>0</v>
      </c>
    </row>
    <row r="1925" spans="1:66" x14ac:dyDescent="0.35">
      <c r="A1925" t="s">
        <v>9580</v>
      </c>
      <c r="B1925" s="44" t="s">
        <v>48</v>
      </c>
      <c r="C1925" t="s">
        <v>50</v>
      </c>
      <c r="D1925" t="s">
        <v>1528</v>
      </c>
      <c r="E1925" t="s">
        <v>9581</v>
      </c>
      <c r="F1925" t="s">
        <v>4336</v>
      </c>
      <c r="G1925" t="s">
        <v>74</v>
      </c>
      <c r="H1925">
        <v>0</v>
      </c>
      <c r="I1925" s="61">
        <v>44753</v>
      </c>
      <c r="J1925" s="33" t="s">
        <v>45</v>
      </c>
      <c r="K1925" s="46">
        <v>0</v>
      </c>
      <c r="L1925">
        <v>29.4</v>
      </c>
      <c r="M1925" t="s">
        <v>48</v>
      </c>
      <c r="N1925" s="46">
        <v>0</v>
      </c>
      <c r="O1925" s="46">
        <v>0</v>
      </c>
      <c r="P1925" s="46">
        <v>0</v>
      </c>
      <c r="Q1925" t="s">
        <v>48</v>
      </c>
      <c r="R1925" t="s">
        <v>48</v>
      </c>
      <c r="S1925" t="s">
        <v>48</v>
      </c>
      <c r="T1925" t="s">
        <v>48</v>
      </c>
      <c r="U1925" t="s">
        <v>48</v>
      </c>
      <c r="V1925" s="47">
        <v>1</v>
      </c>
      <c r="W1925" t="s">
        <v>11264</v>
      </c>
      <c r="X1925" t="s">
        <v>48</v>
      </c>
      <c r="Y1925" t="s">
        <v>48</v>
      </c>
      <c r="Z1925" t="s">
        <v>48</v>
      </c>
      <c r="AA1925" t="s">
        <v>48</v>
      </c>
      <c r="AB1925" t="s">
        <v>48</v>
      </c>
      <c r="AC1925" t="s">
        <v>49</v>
      </c>
      <c r="AD1925" t="s">
        <v>48</v>
      </c>
      <c r="AE1925" t="s">
        <v>48</v>
      </c>
      <c r="AF1925" t="s">
        <v>48</v>
      </c>
      <c r="AG1925" t="s">
        <v>48</v>
      </c>
      <c r="AH1925" t="s">
        <v>48</v>
      </c>
      <c r="AI1925" t="s">
        <v>48</v>
      </c>
      <c r="AJ1925" t="s">
        <v>48</v>
      </c>
      <c r="AK1925" t="s">
        <v>48</v>
      </c>
      <c r="AL1925" t="s">
        <v>48</v>
      </c>
      <c r="AM1925" t="s">
        <v>48</v>
      </c>
      <c r="AN1925" t="s">
        <v>48</v>
      </c>
      <c r="AO1925" t="s">
        <v>48</v>
      </c>
      <c r="AP1925" s="46">
        <v>0</v>
      </c>
      <c r="AQ1925" s="46">
        <v>0</v>
      </c>
      <c r="AR1925" s="46">
        <v>0</v>
      </c>
      <c r="AS1925" s="46">
        <v>0</v>
      </c>
      <c r="AT1925" s="46">
        <v>0</v>
      </c>
      <c r="AU1925" s="46">
        <v>0</v>
      </c>
      <c r="AV1925" s="46">
        <v>0</v>
      </c>
      <c r="AW1925" s="46">
        <v>0</v>
      </c>
      <c r="AX1925" s="46">
        <v>0</v>
      </c>
      <c r="AY1925" s="46">
        <v>0</v>
      </c>
      <c r="AZ1925" s="46">
        <v>0</v>
      </c>
      <c r="BA1925" s="46">
        <v>0</v>
      </c>
      <c r="BB1925" s="46">
        <v>0</v>
      </c>
      <c r="BC1925" s="46">
        <v>0</v>
      </c>
      <c r="BD1925" s="46">
        <v>0</v>
      </c>
      <c r="BE1925" s="46">
        <v>0</v>
      </c>
      <c r="BF1925" s="46">
        <v>0</v>
      </c>
      <c r="BG1925" s="46" t="s">
        <v>48</v>
      </c>
      <c r="BH1925" s="46">
        <v>0</v>
      </c>
      <c r="BI1925" s="46">
        <v>0</v>
      </c>
      <c r="BJ1925" s="46">
        <v>0</v>
      </c>
      <c r="BK1925" s="46">
        <v>0</v>
      </c>
      <c r="BL1925" s="46">
        <v>0</v>
      </c>
      <c r="BM1925" s="46">
        <v>0</v>
      </c>
      <c r="BN1925" s="46">
        <v>0</v>
      </c>
    </row>
    <row r="1926" spans="1:66" x14ac:dyDescent="0.35">
      <c r="A1926" t="s">
        <v>4335</v>
      </c>
      <c r="B1926" s="44" t="s">
        <v>48</v>
      </c>
      <c r="C1926" t="s">
        <v>4339</v>
      </c>
      <c r="D1926" t="s">
        <v>865</v>
      </c>
      <c r="E1926" t="s">
        <v>4337</v>
      </c>
      <c r="F1926" t="s">
        <v>4336</v>
      </c>
      <c r="G1926" t="s">
        <v>47</v>
      </c>
      <c r="H1926">
        <v>0</v>
      </c>
      <c r="I1926" s="60" t="s">
        <v>51</v>
      </c>
      <c r="J1926" s="33" t="s">
        <v>45</v>
      </c>
      <c r="K1926" s="46">
        <v>0</v>
      </c>
      <c r="L1926">
        <v>20.8</v>
      </c>
      <c r="M1926" t="s">
        <v>48</v>
      </c>
      <c r="N1926" s="46">
        <v>0</v>
      </c>
      <c r="O1926" s="46">
        <v>0</v>
      </c>
      <c r="P1926" s="46">
        <v>0</v>
      </c>
      <c r="Q1926" t="s">
        <v>48</v>
      </c>
      <c r="R1926" t="s">
        <v>48</v>
      </c>
      <c r="S1926" t="s">
        <v>4338</v>
      </c>
      <c r="T1926" t="s">
        <v>48</v>
      </c>
      <c r="U1926" t="s">
        <v>4338</v>
      </c>
      <c r="V1926" s="47">
        <v>0</v>
      </c>
      <c r="W1926" t="s">
        <v>48</v>
      </c>
      <c r="X1926" t="s">
        <v>48</v>
      </c>
      <c r="Y1926" t="s">
        <v>48</v>
      </c>
      <c r="Z1926">
        <v>0</v>
      </c>
      <c r="AA1926" t="s">
        <v>48</v>
      </c>
      <c r="AB1926" t="s">
        <v>48</v>
      </c>
      <c r="AC1926" t="s">
        <v>49</v>
      </c>
      <c r="AD1926" t="s">
        <v>93</v>
      </c>
      <c r="AE1926" t="s">
        <v>4532</v>
      </c>
      <c r="AF1926" t="s">
        <v>48</v>
      </c>
      <c r="AG1926" t="s">
        <v>48</v>
      </c>
      <c r="AH1926" t="s">
        <v>48</v>
      </c>
      <c r="AI1926" t="s">
        <v>48</v>
      </c>
      <c r="AJ1926" t="s">
        <v>48</v>
      </c>
      <c r="AK1926" t="s">
        <v>48</v>
      </c>
      <c r="AL1926" t="s">
        <v>48</v>
      </c>
      <c r="AM1926" t="s">
        <v>48</v>
      </c>
      <c r="AN1926" t="s">
        <v>48</v>
      </c>
      <c r="AO1926" t="s">
        <v>48</v>
      </c>
      <c r="AP1926" s="46">
        <v>0</v>
      </c>
      <c r="AQ1926" s="46">
        <v>0</v>
      </c>
      <c r="AR1926" s="46">
        <v>0</v>
      </c>
      <c r="AS1926" s="46">
        <v>0</v>
      </c>
      <c r="AT1926" s="46">
        <v>0</v>
      </c>
      <c r="AU1926" s="46">
        <v>0</v>
      </c>
      <c r="AV1926" s="46">
        <v>0</v>
      </c>
      <c r="AW1926" s="46">
        <v>0</v>
      </c>
      <c r="AX1926" s="46">
        <v>0</v>
      </c>
      <c r="AY1926" s="46">
        <v>0</v>
      </c>
      <c r="AZ1926" s="46">
        <v>0</v>
      </c>
      <c r="BA1926" s="46">
        <v>0</v>
      </c>
      <c r="BB1926" s="46">
        <v>0</v>
      </c>
      <c r="BC1926" s="46">
        <v>0</v>
      </c>
      <c r="BD1926" s="46">
        <v>0</v>
      </c>
      <c r="BE1926" s="46">
        <v>0</v>
      </c>
      <c r="BF1926" s="46">
        <v>0</v>
      </c>
      <c r="BG1926" s="46" t="s">
        <v>48</v>
      </c>
      <c r="BH1926" s="46">
        <v>0</v>
      </c>
      <c r="BI1926" s="46">
        <v>0</v>
      </c>
      <c r="BJ1926" s="46">
        <v>0</v>
      </c>
      <c r="BK1926" s="46">
        <v>0</v>
      </c>
      <c r="BL1926" s="46">
        <v>0</v>
      </c>
      <c r="BM1926" s="46">
        <v>0</v>
      </c>
      <c r="BN1926" s="46">
        <v>0</v>
      </c>
    </row>
    <row r="1927" spans="1:66" x14ac:dyDescent="0.35">
      <c r="A1927" t="s">
        <v>4510</v>
      </c>
      <c r="B1927" s="44" t="s">
        <v>48</v>
      </c>
      <c r="C1927" t="s">
        <v>2185</v>
      </c>
      <c r="D1927" t="s">
        <v>571</v>
      </c>
      <c r="E1927" t="s">
        <v>4511</v>
      </c>
      <c r="F1927" t="s">
        <v>4336</v>
      </c>
      <c r="G1927" t="s">
        <v>74</v>
      </c>
      <c r="H1927">
        <v>0</v>
      </c>
      <c r="I1927" s="60" t="s">
        <v>51</v>
      </c>
      <c r="J1927" s="33" t="s">
        <v>45</v>
      </c>
      <c r="K1927" s="46">
        <v>0</v>
      </c>
      <c r="L1927">
        <v>23.3</v>
      </c>
      <c r="M1927" t="s">
        <v>48</v>
      </c>
      <c r="N1927" s="46">
        <v>0</v>
      </c>
      <c r="O1927" s="46">
        <v>0</v>
      </c>
      <c r="P1927" s="46">
        <v>0</v>
      </c>
      <c r="Q1927" t="s">
        <v>48</v>
      </c>
      <c r="R1927" t="s">
        <v>48</v>
      </c>
      <c r="S1927" t="s">
        <v>4512</v>
      </c>
      <c r="T1927" t="s">
        <v>48</v>
      </c>
      <c r="U1927" t="s">
        <v>4512</v>
      </c>
      <c r="V1927" s="47">
        <v>0</v>
      </c>
      <c r="W1927" t="s">
        <v>48</v>
      </c>
      <c r="X1927" t="s">
        <v>48</v>
      </c>
      <c r="Y1927" t="s">
        <v>48</v>
      </c>
      <c r="Z1927">
        <v>0</v>
      </c>
      <c r="AA1927" t="s">
        <v>48</v>
      </c>
      <c r="AB1927" t="s">
        <v>48</v>
      </c>
      <c r="AC1927" t="s">
        <v>49</v>
      </c>
      <c r="AD1927" t="s">
        <v>93</v>
      </c>
      <c r="AE1927" t="s">
        <v>4532</v>
      </c>
      <c r="AF1927" t="s">
        <v>48</v>
      </c>
      <c r="AG1927" t="s">
        <v>48</v>
      </c>
      <c r="AH1927" t="s">
        <v>48</v>
      </c>
      <c r="AI1927" t="s">
        <v>48</v>
      </c>
      <c r="AJ1927" t="s">
        <v>48</v>
      </c>
      <c r="AK1927" t="s">
        <v>48</v>
      </c>
      <c r="AL1927" t="s">
        <v>48</v>
      </c>
      <c r="AM1927" t="s">
        <v>48</v>
      </c>
      <c r="AN1927" t="s">
        <v>48</v>
      </c>
      <c r="AO1927" t="s">
        <v>48</v>
      </c>
      <c r="AP1927" s="46">
        <v>0</v>
      </c>
      <c r="AQ1927" s="46">
        <v>0</v>
      </c>
      <c r="AR1927" s="46">
        <v>0</v>
      </c>
      <c r="AS1927" s="46">
        <v>0</v>
      </c>
      <c r="AT1927" s="46">
        <v>0</v>
      </c>
      <c r="AU1927" s="46">
        <v>0</v>
      </c>
      <c r="AV1927" s="46">
        <v>0</v>
      </c>
      <c r="AW1927" s="46">
        <v>0</v>
      </c>
      <c r="AX1927" s="46">
        <v>0</v>
      </c>
      <c r="AY1927" s="46">
        <v>0</v>
      </c>
      <c r="AZ1927" s="46">
        <v>0</v>
      </c>
      <c r="BA1927" s="46">
        <v>0</v>
      </c>
      <c r="BB1927" s="46">
        <v>0</v>
      </c>
      <c r="BC1927" s="46">
        <v>0</v>
      </c>
      <c r="BD1927" s="46">
        <v>0</v>
      </c>
      <c r="BE1927" s="46">
        <v>0</v>
      </c>
      <c r="BF1927" s="46">
        <v>0</v>
      </c>
      <c r="BG1927" s="46" t="s">
        <v>48</v>
      </c>
      <c r="BH1927" s="46">
        <v>0</v>
      </c>
      <c r="BI1927" s="46">
        <v>0</v>
      </c>
      <c r="BJ1927" s="46">
        <v>0</v>
      </c>
      <c r="BK1927" s="46">
        <v>0</v>
      </c>
      <c r="BL1927" s="46">
        <v>0</v>
      </c>
      <c r="BM1927" s="46">
        <v>0</v>
      </c>
      <c r="BN1927" s="46">
        <v>0</v>
      </c>
    </row>
    <row r="1928" spans="1:66" x14ac:dyDescent="0.35">
      <c r="A1928" t="s">
        <v>4474</v>
      </c>
      <c r="B1928" s="44" t="s">
        <v>48</v>
      </c>
      <c r="C1928" t="s">
        <v>4476</v>
      </c>
      <c r="D1928" t="s">
        <v>4475</v>
      </c>
      <c r="E1928" t="s">
        <v>9583</v>
      </c>
      <c r="F1928" t="s">
        <v>4336</v>
      </c>
      <c r="G1928" t="s">
        <v>74</v>
      </c>
      <c r="H1928">
        <v>0</v>
      </c>
      <c r="I1928" s="61">
        <v>44753</v>
      </c>
      <c r="J1928" s="33" t="s">
        <v>45</v>
      </c>
      <c r="K1928" s="46">
        <v>0</v>
      </c>
      <c r="L1928">
        <v>16.100000000000001</v>
      </c>
      <c r="M1928" t="s">
        <v>48</v>
      </c>
      <c r="N1928" s="46">
        <v>0</v>
      </c>
      <c r="O1928" s="46">
        <v>0</v>
      </c>
      <c r="P1928" s="46">
        <v>0</v>
      </c>
      <c r="Q1928" t="s">
        <v>48</v>
      </c>
      <c r="R1928" t="s">
        <v>48</v>
      </c>
      <c r="S1928" t="s">
        <v>48</v>
      </c>
      <c r="T1928" t="s">
        <v>48</v>
      </c>
      <c r="U1928" t="s">
        <v>48</v>
      </c>
      <c r="V1928" s="47">
        <v>0</v>
      </c>
      <c r="W1928" t="s">
        <v>48</v>
      </c>
      <c r="X1928" t="s">
        <v>48</v>
      </c>
      <c r="Y1928" t="s">
        <v>48</v>
      </c>
      <c r="Z1928">
        <v>0</v>
      </c>
      <c r="AA1928" t="s">
        <v>48</v>
      </c>
      <c r="AB1928" t="s">
        <v>48</v>
      </c>
      <c r="AC1928" t="s">
        <v>63</v>
      </c>
      <c r="AD1928" t="s">
        <v>93</v>
      </c>
      <c r="AE1928" s="40" t="s">
        <v>2471</v>
      </c>
      <c r="AF1928" t="s">
        <v>11061</v>
      </c>
      <c r="AG1928" t="s">
        <v>48</v>
      </c>
      <c r="AH1928" t="s">
        <v>48</v>
      </c>
      <c r="AI1928" t="s">
        <v>48</v>
      </c>
      <c r="AJ1928" t="s">
        <v>48</v>
      </c>
      <c r="AK1928" t="s">
        <v>48</v>
      </c>
      <c r="AL1928" t="s">
        <v>48</v>
      </c>
      <c r="AM1928" t="s">
        <v>48</v>
      </c>
      <c r="AN1928" t="s">
        <v>48</v>
      </c>
      <c r="AO1928" t="s">
        <v>48</v>
      </c>
      <c r="AP1928" s="46">
        <v>0</v>
      </c>
      <c r="AQ1928" s="46">
        <v>0</v>
      </c>
      <c r="AR1928" s="46">
        <v>0</v>
      </c>
      <c r="AS1928" s="46">
        <v>0</v>
      </c>
      <c r="AT1928" s="46">
        <v>0</v>
      </c>
      <c r="AU1928" s="46">
        <v>0</v>
      </c>
      <c r="AV1928" s="46">
        <v>0</v>
      </c>
      <c r="AW1928" s="46">
        <v>0</v>
      </c>
      <c r="AX1928" s="46">
        <v>0</v>
      </c>
      <c r="AY1928" s="46">
        <v>0</v>
      </c>
      <c r="AZ1928" s="46">
        <v>0</v>
      </c>
      <c r="BA1928" s="46">
        <v>0</v>
      </c>
      <c r="BB1928" s="46">
        <v>0</v>
      </c>
      <c r="BC1928" s="46">
        <v>0</v>
      </c>
      <c r="BD1928" s="46">
        <v>0</v>
      </c>
      <c r="BE1928" s="46">
        <v>0</v>
      </c>
      <c r="BF1928" s="46">
        <v>0</v>
      </c>
      <c r="BG1928" s="46" t="s">
        <v>48</v>
      </c>
      <c r="BH1928" s="46">
        <v>0</v>
      </c>
      <c r="BI1928" s="46">
        <v>0</v>
      </c>
      <c r="BJ1928" s="46">
        <v>0</v>
      </c>
      <c r="BK1928" s="46">
        <v>0</v>
      </c>
      <c r="BL1928" s="46">
        <v>0</v>
      </c>
      <c r="BM1928" s="46">
        <v>0</v>
      </c>
      <c r="BN1928" s="46">
        <v>0</v>
      </c>
    </row>
    <row r="1929" spans="1:66" x14ac:dyDescent="0.35">
      <c r="A1929" t="s">
        <v>4390</v>
      </c>
      <c r="B1929" s="44" t="s">
        <v>48</v>
      </c>
      <c r="C1929" t="s">
        <v>1391</v>
      </c>
      <c r="D1929" t="s">
        <v>4392</v>
      </c>
      <c r="E1929" t="s">
        <v>9587</v>
      </c>
      <c r="F1929" t="s">
        <v>4362</v>
      </c>
      <c r="G1929" t="s">
        <v>47</v>
      </c>
      <c r="H1929">
        <v>0</v>
      </c>
      <c r="I1929" s="61">
        <v>44753</v>
      </c>
      <c r="J1929" s="33" t="s">
        <v>45</v>
      </c>
      <c r="K1929" s="46">
        <v>0</v>
      </c>
      <c r="L1929">
        <v>3.9</v>
      </c>
      <c r="M1929" t="s">
        <v>48</v>
      </c>
      <c r="N1929" s="46">
        <v>0</v>
      </c>
      <c r="O1929" s="46">
        <v>0</v>
      </c>
      <c r="P1929" s="46">
        <v>0</v>
      </c>
      <c r="Q1929" t="s">
        <v>48</v>
      </c>
      <c r="R1929" t="s">
        <v>48</v>
      </c>
      <c r="S1929" t="s">
        <v>4391</v>
      </c>
      <c r="T1929" t="s">
        <v>48</v>
      </c>
      <c r="U1929" t="s">
        <v>4391</v>
      </c>
      <c r="V1929" s="47">
        <v>1</v>
      </c>
      <c r="W1929" t="s">
        <v>48</v>
      </c>
      <c r="X1929" t="s">
        <v>48</v>
      </c>
      <c r="Y1929" t="s">
        <v>48</v>
      </c>
      <c r="Z1929">
        <v>0</v>
      </c>
      <c r="AA1929" t="s">
        <v>48</v>
      </c>
      <c r="AB1929" t="s">
        <v>48</v>
      </c>
      <c r="AC1929" t="s">
        <v>49</v>
      </c>
      <c r="AD1929" t="s">
        <v>951</v>
      </c>
      <c r="AE1929" t="s">
        <v>11051</v>
      </c>
      <c r="AF1929" t="s">
        <v>11074</v>
      </c>
      <c r="AG1929" t="s">
        <v>48</v>
      </c>
      <c r="AH1929" t="s">
        <v>48</v>
      </c>
      <c r="AI1929" t="s">
        <v>48</v>
      </c>
      <c r="AJ1929" t="s">
        <v>48</v>
      </c>
      <c r="AK1929" t="s">
        <v>48</v>
      </c>
      <c r="AL1929" t="s">
        <v>48</v>
      </c>
      <c r="AM1929" t="s">
        <v>48</v>
      </c>
      <c r="AN1929" t="s">
        <v>48</v>
      </c>
      <c r="AO1929" t="s">
        <v>48</v>
      </c>
      <c r="AP1929" s="46">
        <v>0</v>
      </c>
      <c r="AQ1929" s="46">
        <v>0</v>
      </c>
      <c r="AR1929" s="46">
        <v>0</v>
      </c>
      <c r="AS1929" s="46">
        <v>0</v>
      </c>
      <c r="AT1929" s="46">
        <v>0</v>
      </c>
      <c r="AU1929" s="46">
        <v>0</v>
      </c>
      <c r="AV1929" s="46">
        <v>0</v>
      </c>
      <c r="AW1929" s="46">
        <v>0</v>
      </c>
      <c r="AX1929" s="46">
        <v>0</v>
      </c>
      <c r="AY1929" s="46">
        <v>0</v>
      </c>
      <c r="AZ1929" s="46">
        <v>0</v>
      </c>
      <c r="BA1929" s="46">
        <v>0</v>
      </c>
      <c r="BB1929" s="46">
        <v>0</v>
      </c>
      <c r="BC1929" s="46">
        <v>0</v>
      </c>
      <c r="BD1929" s="46">
        <v>0</v>
      </c>
      <c r="BE1929" s="46">
        <v>0</v>
      </c>
      <c r="BF1929" s="46">
        <v>0</v>
      </c>
      <c r="BG1929" s="46" t="s">
        <v>48</v>
      </c>
      <c r="BH1929" s="46">
        <v>0</v>
      </c>
      <c r="BI1929" s="46">
        <v>0</v>
      </c>
      <c r="BJ1929" s="46">
        <v>0</v>
      </c>
      <c r="BK1929" s="46">
        <v>0</v>
      </c>
      <c r="BL1929" s="46">
        <v>0</v>
      </c>
      <c r="BM1929" s="46">
        <v>0</v>
      </c>
      <c r="BN1929" s="46">
        <v>0</v>
      </c>
    </row>
    <row r="1930" spans="1:66" x14ac:dyDescent="0.35">
      <c r="A1930" t="s">
        <v>9588</v>
      </c>
      <c r="B1930" s="44" t="s">
        <v>48</v>
      </c>
      <c r="C1930" t="s">
        <v>12081</v>
      </c>
      <c r="D1930" t="s">
        <v>12036</v>
      </c>
      <c r="E1930" t="s">
        <v>9589</v>
      </c>
      <c r="F1930" t="s">
        <v>4362</v>
      </c>
      <c r="G1930" t="s">
        <v>47</v>
      </c>
      <c r="H1930">
        <v>0</v>
      </c>
      <c r="I1930" s="61">
        <v>44753</v>
      </c>
      <c r="J1930" s="33" t="s">
        <v>45</v>
      </c>
      <c r="K1930" s="46">
        <v>0</v>
      </c>
      <c r="L1930">
        <v>8.6999999999999993</v>
      </c>
      <c r="M1930" t="s">
        <v>48</v>
      </c>
      <c r="N1930" s="46">
        <v>0</v>
      </c>
      <c r="O1930" s="46">
        <v>0</v>
      </c>
      <c r="P1930" s="46">
        <v>0</v>
      </c>
      <c r="Q1930" t="s">
        <v>48</v>
      </c>
      <c r="R1930" t="s">
        <v>48</v>
      </c>
      <c r="S1930" t="s">
        <v>10293</v>
      </c>
      <c r="T1930" t="s">
        <v>48</v>
      </c>
      <c r="U1930" t="s">
        <v>10293</v>
      </c>
      <c r="V1930" s="47">
        <v>1</v>
      </c>
      <c r="W1930" t="s">
        <v>48</v>
      </c>
      <c r="X1930" t="s">
        <v>48</v>
      </c>
      <c r="Y1930" t="s">
        <v>48</v>
      </c>
      <c r="Z1930" t="s">
        <v>48</v>
      </c>
      <c r="AA1930" t="s">
        <v>48</v>
      </c>
      <c r="AB1930" t="s">
        <v>48</v>
      </c>
      <c r="AC1930" t="s">
        <v>63</v>
      </c>
      <c r="AD1930" t="s">
        <v>951</v>
      </c>
      <c r="AE1930" t="s">
        <v>11051</v>
      </c>
      <c r="AF1930" t="s">
        <v>48</v>
      </c>
      <c r="AG1930" t="s">
        <v>48</v>
      </c>
      <c r="AH1930" t="s">
        <v>48</v>
      </c>
      <c r="AI1930" t="s">
        <v>48</v>
      </c>
      <c r="AJ1930" t="s">
        <v>48</v>
      </c>
      <c r="AK1930" t="s">
        <v>48</v>
      </c>
      <c r="AL1930" t="s">
        <v>48</v>
      </c>
      <c r="AM1930" t="s">
        <v>48</v>
      </c>
      <c r="AN1930" t="s">
        <v>48</v>
      </c>
      <c r="AO1930" t="s">
        <v>48</v>
      </c>
      <c r="AP1930" s="46">
        <v>0</v>
      </c>
      <c r="AQ1930" s="46">
        <v>0</v>
      </c>
      <c r="AR1930" s="46">
        <v>0</v>
      </c>
      <c r="AS1930" s="46">
        <v>0</v>
      </c>
      <c r="AT1930" s="46">
        <v>0</v>
      </c>
      <c r="AU1930" s="46">
        <v>0</v>
      </c>
      <c r="AV1930" s="46">
        <v>0</v>
      </c>
      <c r="AW1930" s="46">
        <v>0</v>
      </c>
      <c r="AX1930" s="46">
        <v>0</v>
      </c>
      <c r="AY1930" s="46">
        <v>0</v>
      </c>
      <c r="AZ1930" s="46">
        <v>0</v>
      </c>
      <c r="BA1930" s="46">
        <v>0</v>
      </c>
      <c r="BB1930" s="46">
        <v>0</v>
      </c>
      <c r="BC1930" s="46">
        <v>0</v>
      </c>
      <c r="BD1930" s="46">
        <v>0</v>
      </c>
      <c r="BE1930" s="46">
        <v>0</v>
      </c>
      <c r="BF1930" s="46">
        <v>0</v>
      </c>
      <c r="BG1930" s="46" t="s">
        <v>48</v>
      </c>
      <c r="BH1930" s="46">
        <v>0</v>
      </c>
      <c r="BI1930" s="46">
        <v>0</v>
      </c>
      <c r="BJ1930" s="46">
        <v>0</v>
      </c>
      <c r="BK1930" s="46">
        <v>0</v>
      </c>
      <c r="BL1930" s="46">
        <v>0</v>
      </c>
      <c r="BM1930" s="46">
        <v>0</v>
      </c>
      <c r="BN1930" s="46">
        <v>0</v>
      </c>
    </row>
    <row r="1931" spans="1:66" x14ac:dyDescent="0.35">
      <c r="A1931" t="s">
        <v>9590</v>
      </c>
      <c r="B1931" s="44" t="s">
        <v>48</v>
      </c>
      <c r="C1931" t="s">
        <v>12080</v>
      </c>
      <c r="D1931" t="s">
        <v>288</v>
      </c>
      <c r="E1931" t="s">
        <v>9591</v>
      </c>
      <c r="F1931" t="s">
        <v>4362</v>
      </c>
      <c r="G1931" t="s">
        <v>47</v>
      </c>
      <c r="H1931">
        <v>0</v>
      </c>
      <c r="I1931" s="61">
        <v>44753</v>
      </c>
      <c r="J1931" s="33" t="s">
        <v>45</v>
      </c>
      <c r="K1931" s="46">
        <v>0</v>
      </c>
      <c r="L1931">
        <v>8.1999999999999993</v>
      </c>
      <c r="M1931" t="s">
        <v>48</v>
      </c>
      <c r="N1931" s="46">
        <v>0</v>
      </c>
      <c r="O1931" s="46">
        <v>0</v>
      </c>
      <c r="P1931" s="46">
        <v>0</v>
      </c>
      <c r="Q1931" t="s">
        <v>48</v>
      </c>
      <c r="R1931" t="s">
        <v>48</v>
      </c>
      <c r="S1931" t="s">
        <v>10294</v>
      </c>
      <c r="T1931" t="s">
        <v>48</v>
      </c>
      <c r="U1931" t="s">
        <v>10294</v>
      </c>
      <c r="V1931" s="47">
        <v>1</v>
      </c>
      <c r="W1931" t="s">
        <v>48</v>
      </c>
      <c r="X1931" t="s">
        <v>48</v>
      </c>
      <c r="Y1931" t="s">
        <v>48</v>
      </c>
      <c r="Z1931" t="s">
        <v>48</v>
      </c>
      <c r="AA1931" t="s">
        <v>48</v>
      </c>
      <c r="AB1931" t="s">
        <v>48</v>
      </c>
      <c r="AC1931" t="s">
        <v>49</v>
      </c>
      <c r="AD1931" t="s">
        <v>93</v>
      </c>
      <c r="AE1931" t="s">
        <v>4532</v>
      </c>
      <c r="AF1931" t="s">
        <v>48</v>
      </c>
      <c r="AG1931" t="s">
        <v>48</v>
      </c>
      <c r="AH1931" t="s">
        <v>48</v>
      </c>
      <c r="AI1931" t="s">
        <v>48</v>
      </c>
      <c r="AJ1931" t="s">
        <v>48</v>
      </c>
      <c r="AK1931" t="s">
        <v>48</v>
      </c>
      <c r="AL1931" t="s">
        <v>48</v>
      </c>
      <c r="AM1931" t="s">
        <v>48</v>
      </c>
      <c r="AN1931" t="s">
        <v>48</v>
      </c>
      <c r="AO1931" t="s">
        <v>48</v>
      </c>
      <c r="AP1931" s="46">
        <v>0</v>
      </c>
      <c r="AQ1931" s="46">
        <v>0</v>
      </c>
      <c r="AR1931" s="46">
        <v>0</v>
      </c>
      <c r="AS1931" s="46">
        <v>0</v>
      </c>
      <c r="AT1931" s="46">
        <v>0</v>
      </c>
      <c r="AU1931" s="46">
        <v>0</v>
      </c>
      <c r="AV1931" s="46">
        <v>0</v>
      </c>
      <c r="AW1931" s="46">
        <v>0</v>
      </c>
      <c r="AX1931" s="46">
        <v>0</v>
      </c>
      <c r="AY1931" s="46">
        <v>0</v>
      </c>
      <c r="AZ1931" s="46">
        <v>0</v>
      </c>
      <c r="BA1931" s="46">
        <v>0</v>
      </c>
      <c r="BB1931" s="46">
        <v>0</v>
      </c>
      <c r="BC1931" s="46">
        <v>0</v>
      </c>
      <c r="BD1931" s="46">
        <v>0</v>
      </c>
      <c r="BE1931" s="46">
        <v>0</v>
      </c>
      <c r="BF1931" s="46">
        <v>0</v>
      </c>
      <c r="BG1931" s="46" t="s">
        <v>48</v>
      </c>
      <c r="BH1931" s="46">
        <v>0</v>
      </c>
      <c r="BI1931" s="46">
        <v>0</v>
      </c>
      <c r="BJ1931" s="46">
        <v>0</v>
      </c>
      <c r="BK1931" s="46">
        <v>0</v>
      </c>
      <c r="BL1931" s="46">
        <v>0</v>
      </c>
      <c r="BM1931" s="46">
        <v>0</v>
      </c>
      <c r="BN1931" s="46">
        <v>0</v>
      </c>
    </row>
    <row r="1932" spans="1:66" x14ac:dyDescent="0.35">
      <c r="A1932" t="s">
        <v>9593</v>
      </c>
      <c r="B1932" s="44" t="s">
        <v>48</v>
      </c>
      <c r="C1932" t="s">
        <v>5156</v>
      </c>
      <c r="D1932" t="s">
        <v>467</v>
      </c>
      <c r="E1932" t="s">
        <v>9594</v>
      </c>
      <c r="F1932" t="s">
        <v>4366</v>
      </c>
      <c r="G1932" t="s">
        <v>47</v>
      </c>
      <c r="H1932">
        <v>0</v>
      </c>
      <c r="I1932" s="61">
        <v>44753</v>
      </c>
      <c r="J1932" s="33" t="s">
        <v>45</v>
      </c>
      <c r="K1932" s="46">
        <v>0</v>
      </c>
      <c r="L1932">
        <v>15.9</v>
      </c>
      <c r="M1932" t="s">
        <v>48</v>
      </c>
      <c r="N1932" s="46">
        <v>0</v>
      </c>
      <c r="O1932" s="46">
        <v>0</v>
      </c>
      <c r="P1932" s="46">
        <v>0</v>
      </c>
      <c r="Q1932" t="s">
        <v>48</v>
      </c>
      <c r="R1932" t="s">
        <v>48</v>
      </c>
      <c r="S1932" t="s">
        <v>48</v>
      </c>
      <c r="T1932" t="s">
        <v>48</v>
      </c>
      <c r="U1932" t="s">
        <v>48</v>
      </c>
      <c r="V1932" s="47">
        <v>1</v>
      </c>
      <c r="W1932" t="s">
        <v>48</v>
      </c>
      <c r="X1932" t="s">
        <v>48</v>
      </c>
      <c r="Y1932" t="s">
        <v>48</v>
      </c>
      <c r="Z1932" t="s">
        <v>48</v>
      </c>
      <c r="AA1932" t="s">
        <v>48</v>
      </c>
      <c r="AB1932" t="s">
        <v>48</v>
      </c>
      <c r="AC1932" t="s">
        <v>49</v>
      </c>
      <c r="AD1932" t="s">
        <v>48</v>
      </c>
      <c r="AE1932" t="s">
        <v>48</v>
      </c>
      <c r="AF1932" t="s">
        <v>48</v>
      </c>
      <c r="AG1932" t="s">
        <v>48</v>
      </c>
      <c r="AH1932" t="s">
        <v>48</v>
      </c>
      <c r="AI1932" t="s">
        <v>48</v>
      </c>
      <c r="AJ1932" t="s">
        <v>48</v>
      </c>
      <c r="AK1932" t="s">
        <v>48</v>
      </c>
      <c r="AL1932" t="s">
        <v>48</v>
      </c>
      <c r="AM1932" t="s">
        <v>48</v>
      </c>
      <c r="AN1932" t="s">
        <v>48</v>
      </c>
      <c r="AO1932" t="s">
        <v>48</v>
      </c>
      <c r="AP1932" s="46">
        <v>0</v>
      </c>
      <c r="AQ1932" s="46">
        <v>0</v>
      </c>
      <c r="AR1932" s="46">
        <v>0</v>
      </c>
      <c r="AS1932" s="46">
        <v>0</v>
      </c>
      <c r="AT1932" s="46">
        <v>0</v>
      </c>
      <c r="AU1932" s="46">
        <v>0</v>
      </c>
      <c r="AV1932" s="46">
        <v>0</v>
      </c>
      <c r="AW1932" s="46">
        <v>0</v>
      </c>
      <c r="AX1932" s="46">
        <v>0</v>
      </c>
      <c r="AY1932" s="46">
        <v>0</v>
      </c>
      <c r="AZ1932" s="46">
        <v>0</v>
      </c>
      <c r="BA1932" s="46">
        <v>0</v>
      </c>
      <c r="BB1932" s="46">
        <v>0</v>
      </c>
      <c r="BC1932" s="46">
        <v>0</v>
      </c>
      <c r="BD1932" s="46">
        <v>0</v>
      </c>
      <c r="BE1932" s="46">
        <v>0</v>
      </c>
      <c r="BF1932" s="46">
        <v>0</v>
      </c>
      <c r="BG1932" s="46" t="s">
        <v>48</v>
      </c>
      <c r="BH1932" s="46">
        <v>0</v>
      </c>
      <c r="BI1932" s="46">
        <v>0</v>
      </c>
      <c r="BJ1932" s="46">
        <v>0</v>
      </c>
      <c r="BK1932" s="46">
        <v>0</v>
      </c>
      <c r="BL1932" s="46">
        <v>0</v>
      </c>
      <c r="BM1932" s="46">
        <v>0</v>
      </c>
      <c r="BN1932" s="46">
        <v>0</v>
      </c>
    </row>
    <row r="1933" spans="1:66" x14ac:dyDescent="0.35">
      <c r="A1933" t="s">
        <v>9595</v>
      </c>
      <c r="B1933" s="44" t="s">
        <v>48</v>
      </c>
      <c r="C1933" t="s">
        <v>1726</v>
      </c>
      <c r="D1933" t="s">
        <v>273</v>
      </c>
      <c r="E1933" t="s">
        <v>9596</v>
      </c>
      <c r="F1933" t="s">
        <v>4366</v>
      </c>
      <c r="G1933" t="s">
        <v>47</v>
      </c>
      <c r="H1933">
        <v>0</v>
      </c>
      <c r="I1933" s="61">
        <v>44753</v>
      </c>
      <c r="J1933" s="33" t="s">
        <v>45</v>
      </c>
      <c r="K1933" s="46">
        <v>0</v>
      </c>
      <c r="L1933">
        <v>5</v>
      </c>
      <c r="M1933" t="s">
        <v>48</v>
      </c>
      <c r="N1933" s="46">
        <v>0</v>
      </c>
      <c r="O1933" s="46">
        <v>0</v>
      </c>
      <c r="P1933" s="46">
        <v>0</v>
      </c>
      <c r="Q1933" t="s">
        <v>48</v>
      </c>
      <c r="R1933" t="s">
        <v>48</v>
      </c>
      <c r="S1933" t="s">
        <v>48</v>
      </c>
      <c r="T1933" t="s">
        <v>48</v>
      </c>
      <c r="U1933" t="s">
        <v>48</v>
      </c>
      <c r="V1933" s="47">
        <v>1</v>
      </c>
      <c r="W1933" t="s">
        <v>48</v>
      </c>
      <c r="X1933" t="s">
        <v>48</v>
      </c>
      <c r="Y1933" t="s">
        <v>48</v>
      </c>
      <c r="Z1933" t="s">
        <v>48</v>
      </c>
      <c r="AA1933" t="s">
        <v>48</v>
      </c>
      <c r="AB1933" t="s">
        <v>48</v>
      </c>
      <c r="AC1933" t="s">
        <v>49</v>
      </c>
      <c r="AD1933" t="s">
        <v>93</v>
      </c>
      <c r="AE1933" t="s">
        <v>4532</v>
      </c>
      <c r="AF1933" t="s">
        <v>48</v>
      </c>
      <c r="AG1933" t="s">
        <v>48</v>
      </c>
      <c r="AH1933" t="s">
        <v>48</v>
      </c>
      <c r="AI1933" t="s">
        <v>48</v>
      </c>
      <c r="AJ1933" t="s">
        <v>48</v>
      </c>
      <c r="AK1933" t="s">
        <v>48</v>
      </c>
      <c r="AL1933" t="s">
        <v>48</v>
      </c>
      <c r="AM1933" t="s">
        <v>48</v>
      </c>
      <c r="AN1933" t="s">
        <v>48</v>
      </c>
      <c r="AO1933" t="s">
        <v>48</v>
      </c>
      <c r="AP1933" s="46">
        <v>0</v>
      </c>
      <c r="AQ1933" s="46">
        <v>0</v>
      </c>
      <c r="AR1933" s="46">
        <v>0</v>
      </c>
      <c r="AS1933" s="46">
        <v>0</v>
      </c>
      <c r="AT1933" s="46">
        <v>0</v>
      </c>
      <c r="AU1933" s="46">
        <v>0</v>
      </c>
      <c r="AV1933" s="46">
        <v>0</v>
      </c>
      <c r="AW1933" s="46">
        <v>0</v>
      </c>
      <c r="AX1933" s="46">
        <v>0</v>
      </c>
      <c r="AY1933" s="46">
        <v>0</v>
      </c>
      <c r="AZ1933" s="46">
        <v>0</v>
      </c>
      <c r="BA1933" s="46">
        <v>0</v>
      </c>
      <c r="BB1933" s="46">
        <v>0</v>
      </c>
      <c r="BC1933" s="46">
        <v>0</v>
      </c>
      <c r="BD1933" s="46">
        <v>0</v>
      </c>
      <c r="BE1933" s="46">
        <v>0</v>
      </c>
      <c r="BF1933" s="46">
        <v>0</v>
      </c>
      <c r="BG1933" s="46" t="s">
        <v>48</v>
      </c>
      <c r="BH1933" s="46">
        <v>0</v>
      </c>
      <c r="BI1933" s="46">
        <v>0</v>
      </c>
      <c r="BJ1933" s="46">
        <v>0</v>
      </c>
      <c r="BK1933" s="46">
        <v>0</v>
      </c>
      <c r="BL1933" s="46">
        <v>0</v>
      </c>
      <c r="BM1933" s="46">
        <v>0</v>
      </c>
      <c r="BN1933" s="46">
        <v>0</v>
      </c>
    </row>
    <row r="1934" spans="1:66" x14ac:dyDescent="0.35">
      <c r="A1934" t="s">
        <v>9597</v>
      </c>
      <c r="B1934" s="44" t="s">
        <v>48</v>
      </c>
      <c r="C1934" t="s">
        <v>12082</v>
      </c>
      <c r="D1934" t="s">
        <v>396</v>
      </c>
      <c r="E1934" t="s">
        <v>9598</v>
      </c>
      <c r="F1934" t="s">
        <v>4366</v>
      </c>
      <c r="G1934" t="s">
        <v>74</v>
      </c>
      <c r="H1934">
        <v>0</v>
      </c>
      <c r="I1934" s="61">
        <v>44753</v>
      </c>
      <c r="J1934" s="33" t="s">
        <v>45</v>
      </c>
      <c r="K1934" s="46">
        <v>0</v>
      </c>
      <c r="L1934">
        <v>22.6</v>
      </c>
      <c r="M1934" t="s">
        <v>48</v>
      </c>
      <c r="N1934" s="46">
        <v>0</v>
      </c>
      <c r="O1934" s="46">
        <v>0</v>
      </c>
      <c r="P1934" s="46">
        <v>0</v>
      </c>
      <c r="Q1934" t="s">
        <v>48</v>
      </c>
      <c r="R1934" t="s">
        <v>48</v>
      </c>
      <c r="S1934" t="s">
        <v>48</v>
      </c>
      <c r="T1934" t="s">
        <v>48</v>
      </c>
      <c r="U1934" t="s">
        <v>48</v>
      </c>
      <c r="V1934" s="47">
        <v>1</v>
      </c>
      <c r="W1934" t="s">
        <v>48</v>
      </c>
      <c r="X1934" t="s">
        <v>48</v>
      </c>
      <c r="Y1934" t="s">
        <v>48</v>
      </c>
      <c r="Z1934" t="s">
        <v>48</v>
      </c>
      <c r="AA1934" t="s">
        <v>48</v>
      </c>
      <c r="AB1934" t="s">
        <v>48</v>
      </c>
      <c r="AC1934" t="s">
        <v>49</v>
      </c>
      <c r="AD1934" t="s">
        <v>93</v>
      </c>
      <c r="AE1934" t="s">
        <v>4532</v>
      </c>
      <c r="AF1934" t="s">
        <v>48</v>
      </c>
      <c r="AG1934" t="s">
        <v>48</v>
      </c>
      <c r="AH1934" t="s">
        <v>48</v>
      </c>
      <c r="AI1934" t="s">
        <v>48</v>
      </c>
      <c r="AJ1934" t="s">
        <v>48</v>
      </c>
      <c r="AK1934" t="s">
        <v>48</v>
      </c>
      <c r="AL1934" t="s">
        <v>48</v>
      </c>
      <c r="AM1934" t="s">
        <v>48</v>
      </c>
      <c r="AN1934" t="s">
        <v>48</v>
      </c>
      <c r="AO1934" t="s">
        <v>48</v>
      </c>
      <c r="AP1934" s="46">
        <v>0</v>
      </c>
      <c r="AQ1934" s="46">
        <v>0</v>
      </c>
      <c r="AR1934" s="46">
        <v>0</v>
      </c>
      <c r="AS1934" s="46">
        <v>0</v>
      </c>
      <c r="AT1934" s="46">
        <v>0</v>
      </c>
      <c r="AU1934" s="46">
        <v>0</v>
      </c>
      <c r="AV1934" s="46">
        <v>0</v>
      </c>
      <c r="AW1934" s="46">
        <v>0</v>
      </c>
      <c r="AX1934" s="46">
        <v>0</v>
      </c>
      <c r="AY1934" s="46">
        <v>0</v>
      </c>
      <c r="AZ1934" s="46">
        <v>0</v>
      </c>
      <c r="BA1934" s="46">
        <v>0</v>
      </c>
      <c r="BB1934" s="46">
        <v>0</v>
      </c>
      <c r="BC1934" s="46">
        <v>0</v>
      </c>
      <c r="BD1934" s="46">
        <v>0</v>
      </c>
      <c r="BE1934" s="46">
        <v>0</v>
      </c>
      <c r="BF1934" s="46">
        <v>0</v>
      </c>
      <c r="BG1934" s="46" t="s">
        <v>48</v>
      </c>
      <c r="BH1934" s="46">
        <v>0</v>
      </c>
      <c r="BI1934" s="46">
        <v>0</v>
      </c>
      <c r="BJ1934" s="46">
        <v>0</v>
      </c>
      <c r="BK1934" s="46">
        <v>0</v>
      </c>
      <c r="BL1934" s="46">
        <v>0</v>
      </c>
      <c r="BM1934" s="46">
        <v>0</v>
      </c>
      <c r="BN1934" s="46">
        <v>0</v>
      </c>
    </row>
    <row r="1935" spans="1:66" x14ac:dyDescent="0.35">
      <c r="A1935" t="s">
        <v>9599</v>
      </c>
      <c r="B1935" s="44" t="s">
        <v>48</v>
      </c>
      <c r="C1935" t="s">
        <v>12085</v>
      </c>
      <c r="D1935" t="s">
        <v>396</v>
      </c>
      <c r="E1935" t="s">
        <v>9600</v>
      </c>
      <c r="F1935" t="s">
        <v>4366</v>
      </c>
      <c r="G1935" t="s">
        <v>47</v>
      </c>
      <c r="H1935">
        <v>0</v>
      </c>
      <c r="I1935" s="61">
        <v>44753</v>
      </c>
      <c r="J1935" s="33" t="s">
        <v>45</v>
      </c>
      <c r="K1935" s="46">
        <v>0</v>
      </c>
      <c r="L1935">
        <v>6.4</v>
      </c>
      <c r="M1935" t="s">
        <v>48</v>
      </c>
      <c r="N1935" s="46">
        <v>0</v>
      </c>
      <c r="O1935" s="46">
        <v>0</v>
      </c>
      <c r="P1935" s="46">
        <v>0</v>
      </c>
      <c r="Q1935" t="s">
        <v>48</v>
      </c>
      <c r="R1935" t="s">
        <v>48</v>
      </c>
      <c r="S1935" t="s">
        <v>48</v>
      </c>
      <c r="T1935" t="s">
        <v>48</v>
      </c>
      <c r="U1935" t="s">
        <v>48</v>
      </c>
      <c r="V1935" s="47">
        <v>1</v>
      </c>
      <c r="W1935" t="s">
        <v>48</v>
      </c>
      <c r="X1935" t="s">
        <v>48</v>
      </c>
      <c r="Y1935" t="s">
        <v>48</v>
      </c>
      <c r="Z1935" t="s">
        <v>48</v>
      </c>
      <c r="AA1935" t="s">
        <v>48</v>
      </c>
      <c r="AB1935" t="s">
        <v>48</v>
      </c>
      <c r="AC1935" t="s">
        <v>49</v>
      </c>
      <c r="AD1935" t="s">
        <v>93</v>
      </c>
      <c r="AE1935" t="s">
        <v>4532</v>
      </c>
      <c r="AF1935" t="s">
        <v>48</v>
      </c>
      <c r="AG1935" t="s">
        <v>48</v>
      </c>
      <c r="AH1935" t="s">
        <v>48</v>
      </c>
      <c r="AI1935" t="s">
        <v>48</v>
      </c>
      <c r="AJ1935" t="s">
        <v>48</v>
      </c>
      <c r="AK1935" t="s">
        <v>48</v>
      </c>
      <c r="AL1935" t="s">
        <v>48</v>
      </c>
      <c r="AM1935" t="s">
        <v>48</v>
      </c>
      <c r="AN1935" t="s">
        <v>48</v>
      </c>
      <c r="AO1935" t="s">
        <v>48</v>
      </c>
      <c r="AP1935" s="46">
        <v>0</v>
      </c>
      <c r="AQ1935" s="46">
        <v>0</v>
      </c>
      <c r="AR1935" s="46">
        <v>0</v>
      </c>
      <c r="AS1935" s="46">
        <v>0</v>
      </c>
      <c r="AT1935" s="46">
        <v>0</v>
      </c>
      <c r="AU1935" s="46">
        <v>0</v>
      </c>
      <c r="AV1935" s="46">
        <v>0</v>
      </c>
      <c r="AW1935" s="46">
        <v>0</v>
      </c>
      <c r="AX1935" s="46">
        <v>0</v>
      </c>
      <c r="AY1935" s="46">
        <v>0</v>
      </c>
      <c r="AZ1935" s="46">
        <v>0</v>
      </c>
      <c r="BA1935" s="46">
        <v>0</v>
      </c>
      <c r="BB1935" s="46">
        <v>0</v>
      </c>
      <c r="BC1935" s="46">
        <v>0</v>
      </c>
      <c r="BD1935" s="46">
        <v>0</v>
      </c>
      <c r="BE1935" s="46">
        <v>0</v>
      </c>
      <c r="BF1935" s="46">
        <v>0</v>
      </c>
      <c r="BG1935" s="46" t="s">
        <v>48</v>
      </c>
      <c r="BH1935" s="46">
        <v>0</v>
      </c>
      <c r="BI1935" s="46">
        <v>0</v>
      </c>
      <c r="BJ1935" s="46">
        <v>0</v>
      </c>
      <c r="BK1935" s="46">
        <v>0</v>
      </c>
      <c r="BL1935" s="46">
        <v>0</v>
      </c>
      <c r="BM1935" s="46">
        <v>0</v>
      </c>
      <c r="BN1935" s="46">
        <v>0</v>
      </c>
    </row>
    <row r="1936" spans="1:66" x14ac:dyDescent="0.35">
      <c r="A1936" t="s">
        <v>4408</v>
      </c>
      <c r="B1936" s="44" t="s">
        <v>48</v>
      </c>
      <c r="C1936" t="s">
        <v>4409</v>
      </c>
      <c r="D1936" t="s">
        <v>328</v>
      </c>
      <c r="E1936" t="s">
        <v>9603</v>
      </c>
      <c r="F1936" t="s">
        <v>4366</v>
      </c>
      <c r="G1936" t="s">
        <v>47</v>
      </c>
      <c r="H1936">
        <v>0</v>
      </c>
      <c r="I1936" s="61">
        <v>44753</v>
      </c>
      <c r="J1936" s="33" t="s">
        <v>45</v>
      </c>
      <c r="K1936" s="46">
        <v>0</v>
      </c>
      <c r="L1936">
        <v>4.5999999999999996</v>
      </c>
      <c r="M1936" t="s">
        <v>48</v>
      </c>
      <c r="N1936" s="46">
        <v>0</v>
      </c>
      <c r="O1936" s="46">
        <v>0</v>
      </c>
      <c r="P1936" s="46">
        <v>0</v>
      </c>
      <c r="Q1936" t="s">
        <v>48</v>
      </c>
      <c r="R1936" t="s">
        <v>48</v>
      </c>
      <c r="S1936" t="s">
        <v>48</v>
      </c>
      <c r="T1936" t="s">
        <v>48</v>
      </c>
      <c r="U1936" t="s">
        <v>48</v>
      </c>
      <c r="V1936" s="47">
        <v>0</v>
      </c>
      <c r="W1936" t="s">
        <v>48</v>
      </c>
      <c r="X1936" t="s">
        <v>48</v>
      </c>
      <c r="Y1936" t="s">
        <v>48</v>
      </c>
      <c r="Z1936">
        <v>0</v>
      </c>
      <c r="AA1936" t="s">
        <v>48</v>
      </c>
      <c r="AB1936" t="s">
        <v>48</v>
      </c>
      <c r="AC1936" t="s">
        <v>49</v>
      </c>
      <c r="AD1936" t="s">
        <v>93</v>
      </c>
      <c r="AE1936" t="s">
        <v>4532</v>
      </c>
      <c r="AF1936" t="s">
        <v>48</v>
      </c>
      <c r="AG1936" t="s">
        <v>48</v>
      </c>
      <c r="AH1936" t="s">
        <v>48</v>
      </c>
      <c r="AI1936" t="s">
        <v>48</v>
      </c>
      <c r="AJ1936" t="s">
        <v>48</v>
      </c>
      <c r="AK1936" t="s">
        <v>48</v>
      </c>
      <c r="AL1936" t="s">
        <v>48</v>
      </c>
      <c r="AM1936" t="s">
        <v>48</v>
      </c>
      <c r="AN1936" t="s">
        <v>48</v>
      </c>
      <c r="AO1936" t="s">
        <v>48</v>
      </c>
      <c r="AP1936" s="46">
        <v>0</v>
      </c>
      <c r="AQ1936" s="46">
        <v>0</v>
      </c>
      <c r="AR1936" s="46">
        <v>0</v>
      </c>
      <c r="AS1936" s="46">
        <v>0</v>
      </c>
      <c r="AT1936" s="46">
        <v>0</v>
      </c>
      <c r="AU1936" s="46">
        <v>0</v>
      </c>
      <c r="AV1936" s="46">
        <v>0</v>
      </c>
      <c r="AW1936" s="46">
        <v>0</v>
      </c>
      <c r="AX1936" s="46">
        <v>0</v>
      </c>
      <c r="AY1936" s="46">
        <v>0</v>
      </c>
      <c r="AZ1936" s="46">
        <v>0</v>
      </c>
      <c r="BA1936" s="46">
        <v>0</v>
      </c>
      <c r="BB1936" s="46">
        <v>0</v>
      </c>
      <c r="BC1936" s="46">
        <v>0</v>
      </c>
      <c r="BD1936" s="46">
        <v>0</v>
      </c>
      <c r="BE1936" s="46">
        <v>0</v>
      </c>
      <c r="BF1936" s="46">
        <v>0</v>
      </c>
      <c r="BG1936" s="46" t="s">
        <v>48</v>
      </c>
      <c r="BH1936" s="46">
        <v>0</v>
      </c>
      <c r="BI1936" s="46">
        <v>0</v>
      </c>
      <c r="BJ1936" s="46">
        <v>0</v>
      </c>
      <c r="BK1936" s="46">
        <v>0</v>
      </c>
      <c r="BL1936" s="46">
        <v>0</v>
      </c>
      <c r="BM1936" s="46">
        <v>0</v>
      </c>
      <c r="BN1936" s="46">
        <v>0</v>
      </c>
    </row>
    <row r="1937" spans="1:66" x14ac:dyDescent="0.35">
      <c r="A1937" t="s">
        <v>158</v>
      </c>
      <c r="B1937" s="44" t="s">
        <v>48</v>
      </c>
      <c r="C1937" t="s">
        <v>162</v>
      </c>
      <c r="D1937" t="s">
        <v>156</v>
      </c>
      <c r="E1937" t="s">
        <v>160</v>
      </c>
      <c r="F1937" t="s">
        <v>159</v>
      </c>
      <c r="G1937" t="s">
        <v>74</v>
      </c>
      <c r="H1937">
        <v>0</v>
      </c>
      <c r="I1937" s="60" t="s">
        <v>51</v>
      </c>
      <c r="J1937" s="33" t="s">
        <v>45</v>
      </c>
      <c r="K1937" s="46">
        <v>0</v>
      </c>
      <c r="L1937">
        <v>3.8</v>
      </c>
      <c r="M1937" t="s">
        <v>48</v>
      </c>
      <c r="N1937" s="46">
        <v>0</v>
      </c>
      <c r="O1937" s="46">
        <v>0</v>
      </c>
      <c r="P1937" s="46">
        <v>0</v>
      </c>
      <c r="Q1937" t="s">
        <v>48</v>
      </c>
      <c r="R1937" t="s">
        <v>48</v>
      </c>
      <c r="S1937" t="s">
        <v>161</v>
      </c>
      <c r="T1937" t="s">
        <v>48</v>
      </c>
      <c r="U1937" t="s">
        <v>161</v>
      </c>
      <c r="V1937" s="47">
        <v>0</v>
      </c>
      <c r="W1937" t="s">
        <v>48</v>
      </c>
      <c r="X1937" t="s">
        <v>48</v>
      </c>
      <c r="Y1937" t="s">
        <v>48</v>
      </c>
      <c r="Z1937">
        <v>0</v>
      </c>
      <c r="AA1937" t="s">
        <v>48</v>
      </c>
      <c r="AB1937" t="s">
        <v>48</v>
      </c>
      <c r="AC1937" t="s">
        <v>49</v>
      </c>
      <c r="AD1937" t="s">
        <v>48</v>
      </c>
      <c r="AE1937" t="s">
        <v>48</v>
      </c>
      <c r="AF1937" t="s">
        <v>48</v>
      </c>
      <c r="AG1937" t="s">
        <v>48</v>
      </c>
      <c r="AH1937" t="s">
        <v>48</v>
      </c>
      <c r="AI1937" t="s">
        <v>48</v>
      </c>
      <c r="AJ1937" t="s">
        <v>48</v>
      </c>
      <c r="AK1937" t="s">
        <v>48</v>
      </c>
      <c r="AL1937" t="s">
        <v>48</v>
      </c>
      <c r="AM1937" t="s">
        <v>48</v>
      </c>
      <c r="AN1937" t="s">
        <v>48</v>
      </c>
      <c r="AO1937" t="s">
        <v>48</v>
      </c>
      <c r="AP1937" s="46">
        <v>0</v>
      </c>
      <c r="AQ1937" s="46">
        <v>0</v>
      </c>
      <c r="AR1937" s="46">
        <v>0</v>
      </c>
      <c r="AS1937" s="46">
        <v>0</v>
      </c>
      <c r="AT1937" s="46">
        <v>0</v>
      </c>
      <c r="AU1937" s="46">
        <v>0</v>
      </c>
      <c r="AV1937" s="46">
        <v>0</v>
      </c>
      <c r="AW1937" s="46">
        <v>0</v>
      </c>
      <c r="AX1937" s="46">
        <v>0</v>
      </c>
      <c r="AY1937" s="46">
        <v>0</v>
      </c>
      <c r="AZ1937" s="46">
        <v>0</v>
      </c>
      <c r="BA1937" s="46">
        <v>0</v>
      </c>
      <c r="BB1937" s="46">
        <v>0</v>
      </c>
      <c r="BC1937" s="46">
        <v>0</v>
      </c>
      <c r="BD1937" s="46">
        <v>0</v>
      </c>
      <c r="BE1937" s="46">
        <v>0</v>
      </c>
      <c r="BF1937" s="46">
        <v>0</v>
      </c>
      <c r="BG1937" s="46" t="s">
        <v>48</v>
      </c>
      <c r="BH1937" s="46">
        <v>0</v>
      </c>
      <c r="BI1937" s="46">
        <v>0</v>
      </c>
      <c r="BJ1937" s="46">
        <v>0</v>
      </c>
      <c r="BK1937" s="46">
        <v>0</v>
      </c>
      <c r="BL1937" s="46">
        <v>0</v>
      </c>
      <c r="BM1937" s="46">
        <v>0</v>
      </c>
      <c r="BN1937" s="46">
        <v>0</v>
      </c>
    </row>
    <row r="1938" spans="1:66" x14ac:dyDescent="0.35">
      <c r="A1938" t="s">
        <v>4384</v>
      </c>
      <c r="B1938" s="44" t="s">
        <v>48</v>
      </c>
      <c r="C1938" t="s">
        <v>12409</v>
      </c>
      <c r="D1938" t="s">
        <v>578</v>
      </c>
      <c r="E1938" t="s">
        <v>4385</v>
      </c>
      <c r="F1938" t="s">
        <v>159</v>
      </c>
      <c r="G1938" t="s">
        <v>47</v>
      </c>
      <c r="H1938">
        <v>0</v>
      </c>
      <c r="I1938" s="60" t="s">
        <v>51</v>
      </c>
      <c r="J1938" s="33" t="s">
        <v>45</v>
      </c>
      <c r="K1938" s="46">
        <v>0</v>
      </c>
      <c r="L1938">
        <v>6.8</v>
      </c>
      <c r="M1938" t="s">
        <v>48</v>
      </c>
      <c r="N1938" s="46">
        <v>0</v>
      </c>
      <c r="O1938" s="46">
        <v>0</v>
      </c>
      <c r="P1938" s="46">
        <v>0</v>
      </c>
      <c r="Q1938" t="s">
        <v>48</v>
      </c>
      <c r="R1938" t="s">
        <v>48</v>
      </c>
      <c r="S1938" t="s">
        <v>4386</v>
      </c>
      <c r="T1938" t="s">
        <v>48</v>
      </c>
      <c r="U1938" t="s">
        <v>4386</v>
      </c>
      <c r="V1938" s="47">
        <v>1</v>
      </c>
      <c r="W1938" t="s">
        <v>48</v>
      </c>
      <c r="X1938" t="s">
        <v>48</v>
      </c>
      <c r="Y1938" t="s">
        <v>48</v>
      </c>
      <c r="Z1938">
        <v>0</v>
      </c>
      <c r="AA1938" t="s">
        <v>48</v>
      </c>
      <c r="AB1938" t="s">
        <v>48</v>
      </c>
      <c r="AC1938" t="s">
        <v>49</v>
      </c>
      <c r="AD1938" t="s">
        <v>93</v>
      </c>
      <c r="AE1938" t="s">
        <v>4532</v>
      </c>
      <c r="AF1938" t="s">
        <v>48</v>
      </c>
      <c r="AG1938" t="s">
        <v>48</v>
      </c>
      <c r="AH1938" t="s">
        <v>48</v>
      </c>
      <c r="AI1938" t="s">
        <v>48</v>
      </c>
      <c r="AJ1938" t="s">
        <v>48</v>
      </c>
      <c r="AK1938" t="s">
        <v>48</v>
      </c>
      <c r="AL1938" t="s">
        <v>48</v>
      </c>
      <c r="AM1938" t="s">
        <v>48</v>
      </c>
      <c r="AN1938" t="s">
        <v>48</v>
      </c>
      <c r="AO1938" t="s">
        <v>48</v>
      </c>
      <c r="AP1938" s="46">
        <v>0</v>
      </c>
      <c r="AQ1938" s="46">
        <v>0</v>
      </c>
      <c r="AR1938" s="46">
        <v>0</v>
      </c>
      <c r="AS1938" s="46">
        <v>0</v>
      </c>
      <c r="AT1938" s="46">
        <v>0</v>
      </c>
      <c r="AU1938" s="46">
        <v>0</v>
      </c>
      <c r="AV1938" s="46">
        <v>0</v>
      </c>
      <c r="AW1938" s="46">
        <v>0</v>
      </c>
      <c r="AX1938" s="46">
        <v>0</v>
      </c>
      <c r="AY1938" s="46">
        <v>0</v>
      </c>
      <c r="AZ1938" s="46">
        <v>0</v>
      </c>
      <c r="BA1938" s="46">
        <v>0</v>
      </c>
      <c r="BB1938" s="46">
        <v>0</v>
      </c>
      <c r="BC1938" s="46">
        <v>0</v>
      </c>
      <c r="BD1938" s="46">
        <v>0</v>
      </c>
      <c r="BE1938" s="46">
        <v>0</v>
      </c>
      <c r="BF1938" s="46">
        <v>0</v>
      </c>
      <c r="BG1938" s="46" t="s">
        <v>48</v>
      </c>
      <c r="BH1938" s="46">
        <v>0</v>
      </c>
      <c r="BI1938" s="46">
        <v>0</v>
      </c>
      <c r="BJ1938" s="46">
        <v>0</v>
      </c>
      <c r="BK1938" s="46">
        <v>0</v>
      </c>
      <c r="BL1938" s="46">
        <v>0</v>
      </c>
      <c r="BM1938" s="46">
        <v>0</v>
      </c>
      <c r="BN1938" s="46">
        <v>0</v>
      </c>
    </row>
    <row r="1939" spans="1:66" x14ac:dyDescent="0.35">
      <c r="A1939" t="s">
        <v>9604</v>
      </c>
      <c r="B1939" s="44" t="s">
        <v>48</v>
      </c>
      <c r="C1939" t="s">
        <v>12086</v>
      </c>
      <c r="D1939" t="s">
        <v>12087</v>
      </c>
      <c r="E1939" t="s">
        <v>9605</v>
      </c>
      <c r="F1939" t="s">
        <v>159</v>
      </c>
      <c r="G1939" t="s">
        <v>74</v>
      </c>
      <c r="H1939">
        <v>0</v>
      </c>
      <c r="I1939" s="61">
        <v>44753</v>
      </c>
      <c r="J1939" s="33" t="s">
        <v>45</v>
      </c>
      <c r="K1939" s="46">
        <v>0</v>
      </c>
      <c r="L1939">
        <v>1.8</v>
      </c>
      <c r="M1939" t="s">
        <v>48</v>
      </c>
      <c r="N1939" s="46">
        <v>0</v>
      </c>
      <c r="O1939" s="46">
        <v>0</v>
      </c>
      <c r="P1939" s="46">
        <v>0</v>
      </c>
      <c r="Q1939" t="s">
        <v>48</v>
      </c>
      <c r="R1939" t="s">
        <v>48</v>
      </c>
      <c r="S1939" t="s">
        <v>48</v>
      </c>
      <c r="T1939" t="s">
        <v>48</v>
      </c>
      <c r="U1939" t="s">
        <v>48</v>
      </c>
      <c r="V1939" s="47">
        <v>0</v>
      </c>
      <c r="W1939" t="s">
        <v>48</v>
      </c>
      <c r="X1939" t="s">
        <v>48</v>
      </c>
      <c r="Y1939" t="s">
        <v>48</v>
      </c>
      <c r="Z1939" t="s">
        <v>48</v>
      </c>
      <c r="AA1939" t="s">
        <v>48</v>
      </c>
      <c r="AB1939" t="s">
        <v>48</v>
      </c>
      <c r="AC1939" t="s">
        <v>49</v>
      </c>
      <c r="AD1939" t="s">
        <v>93</v>
      </c>
      <c r="AE1939" t="s">
        <v>4532</v>
      </c>
      <c r="AF1939" t="s">
        <v>48</v>
      </c>
      <c r="AG1939" t="s">
        <v>48</v>
      </c>
      <c r="AH1939" t="s">
        <v>48</v>
      </c>
      <c r="AI1939" t="s">
        <v>48</v>
      </c>
      <c r="AJ1939" t="s">
        <v>48</v>
      </c>
      <c r="AK1939" t="s">
        <v>48</v>
      </c>
      <c r="AL1939" t="s">
        <v>48</v>
      </c>
      <c r="AM1939" t="s">
        <v>48</v>
      </c>
      <c r="AN1939" t="s">
        <v>48</v>
      </c>
      <c r="AO1939" t="s">
        <v>48</v>
      </c>
      <c r="AP1939" s="46">
        <v>0</v>
      </c>
      <c r="AQ1939" s="46">
        <v>0</v>
      </c>
      <c r="AR1939" s="46">
        <v>0</v>
      </c>
      <c r="AS1939" s="46">
        <v>0</v>
      </c>
      <c r="AT1939" s="46">
        <v>0</v>
      </c>
      <c r="AU1939" s="46">
        <v>0</v>
      </c>
      <c r="AV1939" s="46">
        <v>0</v>
      </c>
      <c r="AW1939" s="46">
        <v>0</v>
      </c>
      <c r="AX1939" s="46">
        <v>0</v>
      </c>
      <c r="AY1939" s="46">
        <v>0</v>
      </c>
      <c r="AZ1939" s="46">
        <v>0</v>
      </c>
      <c r="BA1939" s="46">
        <v>0</v>
      </c>
      <c r="BB1939" s="46">
        <v>0</v>
      </c>
      <c r="BC1939" s="46">
        <v>0</v>
      </c>
      <c r="BD1939" s="46">
        <v>0</v>
      </c>
      <c r="BE1939" s="46">
        <v>0</v>
      </c>
      <c r="BF1939" s="46">
        <v>0</v>
      </c>
      <c r="BG1939" s="46" t="s">
        <v>48</v>
      </c>
      <c r="BH1939" s="46">
        <v>0</v>
      </c>
      <c r="BI1939" s="46">
        <v>0</v>
      </c>
      <c r="BJ1939" s="46">
        <v>0</v>
      </c>
      <c r="BK1939" s="46">
        <v>0</v>
      </c>
      <c r="BL1939" s="46">
        <v>0</v>
      </c>
      <c r="BM1939" s="46">
        <v>0</v>
      </c>
      <c r="BN1939" s="46">
        <v>0</v>
      </c>
    </row>
    <row r="1940" spans="1:66" x14ac:dyDescent="0.35">
      <c r="A1940" t="s">
        <v>4527</v>
      </c>
      <c r="B1940" s="44" t="s">
        <v>48</v>
      </c>
      <c r="C1940" t="s">
        <v>4529</v>
      </c>
      <c r="D1940" t="s">
        <v>193</v>
      </c>
      <c r="E1940" t="s">
        <v>4528</v>
      </c>
      <c r="F1940" t="s">
        <v>159</v>
      </c>
      <c r="G1940" t="s">
        <v>74</v>
      </c>
      <c r="H1940">
        <v>0</v>
      </c>
      <c r="I1940" s="60" t="s">
        <v>51</v>
      </c>
      <c r="J1940" s="33" t="s">
        <v>45</v>
      </c>
      <c r="K1940" s="46">
        <v>0</v>
      </c>
      <c r="L1940">
        <v>7.1</v>
      </c>
      <c r="M1940" t="s">
        <v>48</v>
      </c>
      <c r="N1940" s="46">
        <v>0</v>
      </c>
      <c r="O1940" s="46">
        <v>0</v>
      </c>
      <c r="P1940" s="46">
        <v>0</v>
      </c>
      <c r="Q1940" t="s">
        <v>48</v>
      </c>
      <c r="R1940" t="s">
        <v>48</v>
      </c>
      <c r="S1940" t="s">
        <v>48</v>
      </c>
      <c r="T1940" t="s">
        <v>48</v>
      </c>
      <c r="U1940" t="s">
        <v>48</v>
      </c>
      <c r="V1940" s="47">
        <v>0</v>
      </c>
      <c r="W1940" t="s">
        <v>48</v>
      </c>
      <c r="X1940" t="s">
        <v>48</v>
      </c>
      <c r="Y1940" t="s">
        <v>48</v>
      </c>
      <c r="Z1940">
        <v>0</v>
      </c>
      <c r="AA1940" t="s">
        <v>48</v>
      </c>
      <c r="AB1940" t="s">
        <v>48</v>
      </c>
      <c r="AC1940" t="s">
        <v>49</v>
      </c>
      <c r="AD1940" t="s">
        <v>93</v>
      </c>
      <c r="AE1940" t="s">
        <v>4532</v>
      </c>
      <c r="AF1940" t="s">
        <v>48</v>
      </c>
      <c r="AG1940" t="s">
        <v>48</v>
      </c>
      <c r="AH1940" t="s">
        <v>48</v>
      </c>
      <c r="AI1940" t="s">
        <v>48</v>
      </c>
      <c r="AJ1940" t="s">
        <v>48</v>
      </c>
      <c r="AK1940" t="s">
        <v>48</v>
      </c>
      <c r="AL1940" t="s">
        <v>48</v>
      </c>
      <c r="AM1940" t="s">
        <v>48</v>
      </c>
      <c r="AN1940" t="s">
        <v>48</v>
      </c>
      <c r="AO1940" t="s">
        <v>48</v>
      </c>
      <c r="AP1940" s="46">
        <v>0</v>
      </c>
      <c r="AQ1940" s="46">
        <v>0</v>
      </c>
      <c r="AR1940" s="46">
        <v>0</v>
      </c>
      <c r="AS1940" s="46">
        <v>0</v>
      </c>
      <c r="AT1940" s="46">
        <v>0</v>
      </c>
      <c r="AU1940" s="46">
        <v>0</v>
      </c>
      <c r="AV1940" s="46">
        <v>0</v>
      </c>
      <c r="AW1940" s="46">
        <v>0</v>
      </c>
      <c r="AX1940" s="46">
        <v>0</v>
      </c>
      <c r="AY1940" s="46">
        <v>0</v>
      </c>
      <c r="AZ1940" s="46">
        <v>0</v>
      </c>
      <c r="BA1940" s="46">
        <v>0</v>
      </c>
      <c r="BB1940" s="46">
        <v>0</v>
      </c>
      <c r="BC1940" s="46">
        <v>0</v>
      </c>
      <c r="BD1940" s="46">
        <v>0</v>
      </c>
      <c r="BE1940" s="46">
        <v>0</v>
      </c>
      <c r="BF1940" s="46">
        <v>0</v>
      </c>
      <c r="BG1940" s="46" t="s">
        <v>48</v>
      </c>
      <c r="BH1940" s="46">
        <v>0</v>
      </c>
      <c r="BI1940" s="46">
        <v>0</v>
      </c>
      <c r="BJ1940" s="46">
        <v>0</v>
      </c>
      <c r="BK1940" s="46">
        <v>0</v>
      </c>
      <c r="BL1940" s="46">
        <v>0</v>
      </c>
      <c r="BM1940" s="46">
        <v>0</v>
      </c>
      <c r="BN1940" s="46">
        <v>0</v>
      </c>
    </row>
    <row r="1941" spans="1:66" x14ac:dyDescent="0.35">
      <c r="A1941" t="s">
        <v>4530</v>
      </c>
      <c r="B1941" s="44" t="s">
        <v>48</v>
      </c>
      <c r="C1941" t="s">
        <v>503</v>
      </c>
      <c r="D1941" t="s">
        <v>501</v>
      </c>
      <c r="E1941" t="s">
        <v>4531</v>
      </c>
      <c r="F1941" t="s">
        <v>159</v>
      </c>
      <c r="G1941" t="s">
        <v>74</v>
      </c>
      <c r="H1941">
        <v>0</v>
      </c>
      <c r="I1941" s="60" t="s">
        <v>51</v>
      </c>
      <c r="J1941" s="33" t="s">
        <v>45</v>
      </c>
      <c r="K1941" s="46">
        <v>0</v>
      </c>
      <c r="L1941">
        <v>25.7</v>
      </c>
      <c r="M1941" t="s">
        <v>48</v>
      </c>
      <c r="N1941" s="46">
        <v>0</v>
      </c>
      <c r="O1941" s="46">
        <v>0</v>
      </c>
      <c r="P1941" s="46">
        <v>0</v>
      </c>
      <c r="Q1941" t="s">
        <v>48</v>
      </c>
      <c r="R1941" t="s">
        <v>48</v>
      </c>
      <c r="S1941" t="s">
        <v>10296</v>
      </c>
      <c r="T1941" t="s">
        <v>48</v>
      </c>
      <c r="U1941" t="s">
        <v>10296</v>
      </c>
      <c r="V1941" s="47">
        <v>1</v>
      </c>
      <c r="W1941" t="s">
        <v>48</v>
      </c>
      <c r="X1941" t="s">
        <v>48</v>
      </c>
      <c r="Y1941" t="s">
        <v>48</v>
      </c>
      <c r="Z1941">
        <v>0</v>
      </c>
      <c r="AA1941" t="s">
        <v>48</v>
      </c>
      <c r="AB1941" t="s">
        <v>48</v>
      </c>
      <c r="AC1941" t="s">
        <v>63</v>
      </c>
      <c r="AD1941" t="s">
        <v>93</v>
      </c>
      <c r="AE1941" t="s">
        <v>4532</v>
      </c>
      <c r="AF1941" t="s">
        <v>48</v>
      </c>
      <c r="AG1941" t="s">
        <v>48</v>
      </c>
      <c r="AH1941" t="s">
        <v>48</v>
      </c>
      <c r="AI1941" t="s">
        <v>48</v>
      </c>
      <c r="AJ1941" t="s">
        <v>48</v>
      </c>
      <c r="AK1941" t="s">
        <v>48</v>
      </c>
      <c r="AL1941" t="s">
        <v>48</v>
      </c>
      <c r="AM1941" t="s">
        <v>48</v>
      </c>
      <c r="AN1941" t="s">
        <v>48</v>
      </c>
      <c r="AO1941" t="s">
        <v>48</v>
      </c>
      <c r="AP1941" s="46">
        <v>0</v>
      </c>
      <c r="AQ1941" s="46">
        <v>0</v>
      </c>
      <c r="AR1941" s="46">
        <v>0</v>
      </c>
      <c r="AS1941" s="46">
        <v>0</v>
      </c>
      <c r="AT1941" s="46">
        <v>0</v>
      </c>
      <c r="AU1941" s="46">
        <v>0</v>
      </c>
      <c r="AV1941" s="46">
        <v>0</v>
      </c>
      <c r="AW1941" s="46">
        <v>0</v>
      </c>
      <c r="AX1941" s="46">
        <v>0</v>
      </c>
      <c r="AY1941" s="46">
        <v>0</v>
      </c>
      <c r="AZ1941" s="46">
        <v>0</v>
      </c>
      <c r="BA1941" s="46">
        <v>0</v>
      </c>
      <c r="BB1941" s="46">
        <v>0</v>
      </c>
      <c r="BC1941" s="46">
        <v>0</v>
      </c>
      <c r="BD1941" s="46">
        <v>0</v>
      </c>
      <c r="BE1941" s="46">
        <v>0</v>
      </c>
      <c r="BF1941" s="46">
        <v>0</v>
      </c>
      <c r="BG1941" s="46" t="s">
        <v>48</v>
      </c>
      <c r="BH1941" s="46">
        <v>0</v>
      </c>
      <c r="BI1941" s="46">
        <v>0</v>
      </c>
      <c r="BJ1941" s="46">
        <v>0</v>
      </c>
      <c r="BK1941" s="46">
        <v>0</v>
      </c>
      <c r="BL1941" s="46">
        <v>0</v>
      </c>
      <c r="BM1941" s="46">
        <v>0</v>
      </c>
      <c r="BN1941" s="46">
        <v>0</v>
      </c>
    </row>
    <row r="1942" spans="1:66" x14ac:dyDescent="0.35">
      <c r="A1942" t="s">
        <v>9607</v>
      </c>
      <c r="B1942" s="44" t="s">
        <v>48</v>
      </c>
      <c r="C1942" t="s">
        <v>12088</v>
      </c>
      <c r="D1942" t="s">
        <v>12089</v>
      </c>
      <c r="E1942" t="s">
        <v>9608</v>
      </c>
      <c r="F1942" t="s">
        <v>159</v>
      </c>
      <c r="G1942" t="s">
        <v>47</v>
      </c>
      <c r="H1942">
        <v>0</v>
      </c>
      <c r="I1942" s="61">
        <v>44753</v>
      </c>
      <c r="J1942" s="33" t="s">
        <v>45</v>
      </c>
      <c r="K1942" s="46">
        <v>0</v>
      </c>
      <c r="L1942">
        <v>1.5</v>
      </c>
      <c r="M1942" t="s">
        <v>48</v>
      </c>
      <c r="N1942" s="46">
        <v>0</v>
      </c>
      <c r="O1942" s="46">
        <v>0</v>
      </c>
      <c r="P1942" s="46">
        <v>0</v>
      </c>
      <c r="Q1942" t="s">
        <v>48</v>
      </c>
      <c r="R1942" t="s">
        <v>48</v>
      </c>
      <c r="S1942" t="s">
        <v>10297</v>
      </c>
      <c r="T1942" t="s">
        <v>48</v>
      </c>
      <c r="U1942" t="s">
        <v>10297</v>
      </c>
      <c r="V1942" s="47">
        <v>1</v>
      </c>
      <c r="W1942" t="s">
        <v>48</v>
      </c>
      <c r="X1942" t="s">
        <v>48</v>
      </c>
      <c r="Y1942" t="s">
        <v>48</v>
      </c>
      <c r="Z1942" t="s">
        <v>48</v>
      </c>
      <c r="AA1942" t="s">
        <v>48</v>
      </c>
      <c r="AB1942" t="s">
        <v>48</v>
      </c>
      <c r="AC1942" t="s">
        <v>63</v>
      </c>
      <c r="AD1942" t="s">
        <v>93</v>
      </c>
      <c r="AE1942" t="s">
        <v>4532</v>
      </c>
      <c r="AF1942" t="s">
        <v>48</v>
      </c>
      <c r="AG1942" t="s">
        <v>48</v>
      </c>
      <c r="AH1942" t="s">
        <v>48</v>
      </c>
      <c r="AI1942" t="s">
        <v>48</v>
      </c>
      <c r="AJ1942" t="s">
        <v>48</v>
      </c>
      <c r="AK1942" t="s">
        <v>48</v>
      </c>
      <c r="AL1942" t="s">
        <v>48</v>
      </c>
      <c r="AM1942" t="s">
        <v>48</v>
      </c>
      <c r="AN1942" t="s">
        <v>48</v>
      </c>
      <c r="AO1942" t="s">
        <v>48</v>
      </c>
      <c r="AP1942" s="46">
        <v>0</v>
      </c>
      <c r="AQ1942" s="46">
        <v>0</v>
      </c>
      <c r="AR1942" s="46">
        <v>0</v>
      </c>
      <c r="AS1942" s="46">
        <v>0</v>
      </c>
      <c r="AT1942" s="46">
        <v>0</v>
      </c>
      <c r="AU1942" s="46">
        <v>0</v>
      </c>
      <c r="AV1942" s="46">
        <v>0</v>
      </c>
      <c r="AW1942" s="46">
        <v>0</v>
      </c>
      <c r="AX1942" s="46">
        <v>0</v>
      </c>
      <c r="AY1942" s="46">
        <v>0</v>
      </c>
      <c r="AZ1942" s="46">
        <v>0</v>
      </c>
      <c r="BA1942" s="46">
        <v>0</v>
      </c>
      <c r="BB1942" s="46">
        <v>0</v>
      </c>
      <c r="BC1942" s="46">
        <v>0</v>
      </c>
      <c r="BD1942" s="46">
        <v>0</v>
      </c>
      <c r="BE1942" s="46">
        <v>0</v>
      </c>
      <c r="BF1942" s="46">
        <v>0</v>
      </c>
      <c r="BG1942" s="46" t="s">
        <v>48</v>
      </c>
      <c r="BH1942" s="46">
        <v>0</v>
      </c>
      <c r="BI1942" s="46">
        <v>0</v>
      </c>
      <c r="BJ1942" s="46">
        <v>0</v>
      </c>
      <c r="BK1942" s="46">
        <v>0</v>
      </c>
      <c r="BL1942" s="46">
        <v>0</v>
      </c>
      <c r="BM1942" s="46">
        <v>0</v>
      </c>
      <c r="BN1942" s="46">
        <v>0</v>
      </c>
    </row>
    <row r="1943" spans="1:66" x14ac:dyDescent="0.35">
      <c r="A1943" t="s">
        <v>4372</v>
      </c>
      <c r="B1943" s="44" t="s">
        <v>48</v>
      </c>
      <c r="C1943" t="s">
        <v>4376</v>
      </c>
      <c r="D1943" t="s">
        <v>983</v>
      </c>
      <c r="E1943" t="s">
        <v>4373</v>
      </c>
      <c r="F1943" t="s">
        <v>159</v>
      </c>
      <c r="G1943" t="s">
        <v>47</v>
      </c>
      <c r="H1943">
        <v>0</v>
      </c>
      <c r="I1943" s="60" t="s">
        <v>51</v>
      </c>
      <c r="J1943" s="33" t="s">
        <v>45</v>
      </c>
      <c r="K1943" s="46">
        <v>1</v>
      </c>
      <c r="L1943">
        <v>31.9</v>
      </c>
      <c r="M1943" t="s">
        <v>48</v>
      </c>
      <c r="N1943" s="46">
        <v>0</v>
      </c>
      <c r="O1943" s="46">
        <v>0</v>
      </c>
      <c r="P1943" s="46">
        <v>0</v>
      </c>
      <c r="Q1943" t="s">
        <v>48</v>
      </c>
      <c r="R1943" t="s">
        <v>48</v>
      </c>
      <c r="S1943" t="s">
        <v>4374</v>
      </c>
      <c r="T1943" t="s">
        <v>4375</v>
      </c>
      <c r="U1943" t="s">
        <v>4374</v>
      </c>
      <c r="V1943" s="47">
        <v>0</v>
      </c>
      <c r="W1943" t="s">
        <v>48</v>
      </c>
      <c r="X1943" t="s">
        <v>48</v>
      </c>
      <c r="Y1943" t="s">
        <v>48</v>
      </c>
      <c r="Z1943">
        <v>1</v>
      </c>
      <c r="AA1943" t="s">
        <v>48</v>
      </c>
      <c r="AB1943">
        <v>2020</v>
      </c>
      <c r="AC1943" t="s">
        <v>49</v>
      </c>
      <c r="AD1943" t="s">
        <v>93</v>
      </c>
      <c r="AE1943" t="s">
        <v>4532</v>
      </c>
      <c r="AF1943" t="s">
        <v>48</v>
      </c>
      <c r="AG1943" t="s">
        <v>266</v>
      </c>
      <c r="AH1943" t="s">
        <v>93</v>
      </c>
      <c r="AI1943">
        <v>22109</v>
      </c>
      <c r="AJ1943">
        <v>1995</v>
      </c>
      <c r="AK1943" t="s">
        <v>9074</v>
      </c>
      <c r="AL1943" t="s">
        <v>9075</v>
      </c>
      <c r="AM1943">
        <v>0.55900000000000005</v>
      </c>
      <c r="AN1943">
        <v>-0.246</v>
      </c>
      <c r="AO1943">
        <v>0.55900000000000005</v>
      </c>
      <c r="AP1943" s="46">
        <v>0</v>
      </c>
      <c r="AQ1943" s="46">
        <v>0</v>
      </c>
      <c r="AR1943" s="46">
        <v>0</v>
      </c>
      <c r="AS1943" s="46">
        <v>0</v>
      </c>
      <c r="AT1943" s="46">
        <v>0</v>
      </c>
      <c r="AU1943" s="46">
        <v>0</v>
      </c>
      <c r="AV1943" s="46">
        <v>0</v>
      </c>
      <c r="AW1943" s="46">
        <v>0</v>
      </c>
      <c r="AX1943" s="46">
        <v>0</v>
      </c>
      <c r="AY1943" s="46">
        <v>0</v>
      </c>
      <c r="AZ1943" s="46">
        <v>0</v>
      </c>
      <c r="BA1943" s="46">
        <v>0</v>
      </c>
      <c r="BB1943" s="46">
        <v>1</v>
      </c>
      <c r="BC1943" s="46">
        <v>0</v>
      </c>
      <c r="BD1943" s="46">
        <v>0</v>
      </c>
      <c r="BE1943" s="46">
        <v>0</v>
      </c>
      <c r="BF1943" s="46">
        <v>1</v>
      </c>
      <c r="BG1943" s="46" t="s">
        <v>48</v>
      </c>
      <c r="BH1943" s="46">
        <v>0</v>
      </c>
      <c r="BI1943" s="46">
        <v>0</v>
      </c>
      <c r="BJ1943" s="46">
        <v>0</v>
      </c>
      <c r="BK1943" s="46">
        <v>0</v>
      </c>
      <c r="BL1943" s="46">
        <v>0</v>
      </c>
      <c r="BM1943" s="46">
        <v>0</v>
      </c>
      <c r="BN1943" s="46">
        <v>0</v>
      </c>
    </row>
    <row r="1944" spans="1:66" x14ac:dyDescent="0.35">
      <c r="A1944" t="s">
        <v>9609</v>
      </c>
      <c r="B1944" s="44" t="s">
        <v>48</v>
      </c>
      <c r="C1944" t="s">
        <v>11688</v>
      </c>
      <c r="D1944" t="s">
        <v>2190</v>
      </c>
      <c r="E1944" t="s">
        <v>9610</v>
      </c>
      <c r="F1944" t="s">
        <v>159</v>
      </c>
      <c r="G1944" t="s">
        <v>74</v>
      </c>
      <c r="H1944">
        <v>0</v>
      </c>
      <c r="I1944" s="61">
        <v>44753</v>
      </c>
      <c r="J1944" s="33" t="s">
        <v>45</v>
      </c>
      <c r="K1944" s="46">
        <v>0</v>
      </c>
      <c r="L1944">
        <v>1.9</v>
      </c>
      <c r="M1944" t="s">
        <v>48</v>
      </c>
      <c r="N1944" s="46">
        <v>0</v>
      </c>
      <c r="O1944" s="46">
        <v>0</v>
      </c>
      <c r="P1944" s="46">
        <v>0</v>
      </c>
      <c r="Q1944" t="s">
        <v>48</v>
      </c>
      <c r="R1944" t="s">
        <v>48</v>
      </c>
      <c r="S1944" t="s">
        <v>48</v>
      </c>
      <c r="T1944" t="s">
        <v>48</v>
      </c>
      <c r="U1944" t="s">
        <v>48</v>
      </c>
      <c r="V1944" s="47">
        <v>0</v>
      </c>
      <c r="W1944" t="s">
        <v>48</v>
      </c>
      <c r="X1944" t="s">
        <v>48</v>
      </c>
      <c r="Y1944" t="s">
        <v>48</v>
      </c>
      <c r="Z1944" t="s">
        <v>48</v>
      </c>
      <c r="AA1944" t="s">
        <v>48</v>
      </c>
      <c r="AB1944" t="s">
        <v>48</v>
      </c>
      <c r="AC1944" t="s">
        <v>49</v>
      </c>
      <c r="AD1944" t="s">
        <v>48</v>
      </c>
      <c r="AE1944" t="s">
        <v>48</v>
      </c>
      <c r="AF1944" t="s">
        <v>48</v>
      </c>
      <c r="AG1944" t="s">
        <v>48</v>
      </c>
      <c r="AH1944" t="s">
        <v>48</v>
      </c>
      <c r="AI1944" t="s">
        <v>48</v>
      </c>
      <c r="AJ1944" t="s">
        <v>48</v>
      </c>
      <c r="AK1944" t="s">
        <v>48</v>
      </c>
      <c r="AL1944" t="s">
        <v>48</v>
      </c>
      <c r="AM1944" t="s">
        <v>48</v>
      </c>
      <c r="AN1944" t="s">
        <v>48</v>
      </c>
      <c r="AO1944" t="s">
        <v>48</v>
      </c>
      <c r="AP1944" s="46">
        <v>0</v>
      </c>
      <c r="AQ1944" s="46">
        <v>0</v>
      </c>
      <c r="AR1944" s="46">
        <v>0</v>
      </c>
      <c r="AS1944" s="46">
        <v>0</v>
      </c>
      <c r="AT1944" s="46">
        <v>0</v>
      </c>
      <c r="AU1944" s="46">
        <v>0</v>
      </c>
      <c r="AV1944" s="46">
        <v>0</v>
      </c>
      <c r="AW1944" s="46">
        <v>0</v>
      </c>
      <c r="AX1944" s="46">
        <v>0</v>
      </c>
      <c r="AY1944" s="46">
        <v>0</v>
      </c>
      <c r="AZ1944" s="46">
        <v>0</v>
      </c>
      <c r="BA1944" s="46">
        <v>0</v>
      </c>
      <c r="BB1944" s="46">
        <v>0</v>
      </c>
      <c r="BC1944" s="46">
        <v>0</v>
      </c>
      <c r="BD1944" s="46">
        <v>0</v>
      </c>
      <c r="BE1944" s="46">
        <v>0</v>
      </c>
      <c r="BF1944" s="46">
        <v>0</v>
      </c>
      <c r="BG1944" s="46" t="s">
        <v>48</v>
      </c>
      <c r="BH1944" s="46">
        <v>0</v>
      </c>
      <c r="BI1944" s="46">
        <v>0</v>
      </c>
      <c r="BJ1944" s="46">
        <v>0</v>
      </c>
      <c r="BK1944" s="46">
        <v>0</v>
      </c>
      <c r="BL1944" s="46">
        <v>0</v>
      </c>
      <c r="BM1944" s="46">
        <v>0</v>
      </c>
      <c r="BN1944" s="46">
        <v>0</v>
      </c>
    </row>
    <row r="1945" spans="1:66" x14ac:dyDescent="0.35">
      <c r="A1945" t="s">
        <v>4410</v>
      </c>
      <c r="B1945" s="44" t="s">
        <v>48</v>
      </c>
      <c r="C1945" t="s">
        <v>4413</v>
      </c>
      <c r="D1945" t="s">
        <v>704</v>
      </c>
      <c r="E1945" t="s">
        <v>9611</v>
      </c>
      <c r="F1945" t="s">
        <v>159</v>
      </c>
      <c r="G1945" t="s">
        <v>47</v>
      </c>
      <c r="H1945">
        <v>0</v>
      </c>
      <c r="I1945" s="61">
        <v>44753</v>
      </c>
      <c r="J1945" s="33" t="s">
        <v>45</v>
      </c>
      <c r="K1945" s="46">
        <v>0</v>
      </c>
      <c r="L1945">
        <v>9.4</v>
      </c>
      <c r="M1945" t="s">
        <v>48</v>
      </c>
      <c r="N1945" s="46">
        <v>0</v>
      </c>
      <c r="O1945" s="46">
        <v>0</v>
      </c>
      <c r="P1945" s="46">
        <v>0</v>
      </c>
      <c r="Q1945" t="s">
        <v>48</v>
      </c>
      <c r="R1945" t="s">
        <v>48</v>
      </c>
      <c r="S1945" t="s">
        <v>4412</v>
      </c>
      <c r="T1945" t="s">
        <v>48</v>
      </c>
      <c r="U1945" t="s">
        <v>4412</v>
      </c>
      <c r="V1945" s="47">
        <v>0</v>
      </c>
      <c r="W1945" t="s">
        <v>48</v>
      </c>
      <c r="X1945" t="s">
        <v>48</v>
      </c>
      <c r="Y1945" t="s">
        <v>48</v>
      </c>
      <c r="Z1945">
        <v>0</v>
      </c>
      <c r="AA1945" t="s">
        <v>48</v>
      </c>
      <c r="AB1945" t="s">
        <v>48</v>
      </c>
      <c r="AC1945" t="s">
        <v>49</v>
      </c>
      <c r="AD1945" t="s">
        <v>93</v>
      </c>
      <c r="AE1945" t="s">
        <v>4532</v>
      </c>
      <c r="AF1945" t="s">
        <v>48</v>
      </c>
      <c r="AG1945" t="s">
        <v>48</v>
      </c>
      <c r="AH1945" t="s">
        <v>48</v>
      </c>
      <c r="AI1945" t="s">
        <v>48</v>
      </c>
      <c r="AJ1945" t="s">
        <v>48</v>
      </c>
      <c r="AK1945" t="s">
        <v>48</v>
      </c>
      <c r="AL1945" t="s">
        <v>48</v>
      </c>
      <c r="AM1945" t="s">
        <v>48</v>
      </c>
      <c r="AN1945" t="s">
        <v>48</v>
      </c>
      <c r="AO1945" t="s">
        <v>48</v>
      </c>
      <c r="AP1945" s="46">
        <v>0</v>
      </c>
      <c r="AQ1945" s="46">
        <v>0</v>
      </c>
      <c r="AR1945" s="46">
        <v>0</v>
      </c>
      <c r="AS1945" s="46">
        <v>0</v>
      </c>
      <c r="AT1945" s="46">
        <v>0</v>
      </c>
      <c r="AU1945" s="46">
        <v>0</v>
      </c>
      <c r="AV1945" s="46">
        <v>0</v>
      </c>
      <c r="AW1945" s="46">
        <v>0</v>
      </c>
      <c r="AX1945" s="46">
        <v>0</v>
      </c>
      <c r="AY1945" s="46">
        <v>0</v>
      </c>
      <c r="AZ1945" s="46">
        <v>0</v>
      </c>
      <c r="BA1945" s="46">
        <v>0</v>
      </c>
      <c r="BB1945" s="46">
        <v>0</v>
      </c>
      <c r="BC1945" s="46">
        <v>0</v>
      </c>
      <c r="BD1945" s="46">
        <v>0</v>
      </c>
      <c r="BE1945" s="46">
        <v>0</v>
      </c>
      <c r="BF1945" s="46">
        <v>0</v>
      </c>
      <c r="BG1945" s="46" t="s">
        <v>48</v>
      </c>
      <c r="BH1945" s="46">
        <v>0</v>
      </c>
      <c r="BI1945" s="46">
        <v>0</v>
      </c>
      <c r="BJ1945" s="46">
        <v>0</v>
      </c>
      <c r="BK1945" s="46">
        <v>0</v>
      </c>
      <c r="BL1945" s="46">
        <v>0</v>
      </c>
      <c r="BM1945" s="46">
        <v>0</v>
      </c>
      <c r="BN1945" s="46">
        <v>0</v>
      </c>
    </row>
    <row r="1946" spans="1:66" x14ac:dyDescent="0.35">
      <c r="A1946" t="s">
        <v>4415</v>
      </c>
      <c r="B1946" s="44" t="s">
        <v>48</v>
      </c>
      <c r="C1946" t="s">
        <v>4417</v>
      </c>
      <c r="D1946" t="s">
        <v>2044</v>
      </c>
      <c r="E1946" t="s">
        <v>9612</v>
      </c>
      <c r="F1946" t="s">
        <v>159</v>
      </c>
      <c r="G1946" t="s">
        <v>47</v>
      </c>
      <c r="H1946">
        <v>0</v>
      </c>
      <c r="I1946" s="61">
        <v>44753</v>
      </c>
      <c r="J1946" s="33" t="s">
        <v>45</v>
      </c>
      <c r="K1946" s="46">
        <v>0</v>
      </c>
      <c r="L1946">
        <v>5.3</v>
      </c>
      <c r="M1946" t="s">
        <v>48</v>
      </c>
      <c r="N1946" s="46">
        <v>0</v>
      </c>
      <c r="O1946" s="46">
        <v>0</v>
      </c>
      <c r="P1946" s="46">
        <v>0</v>
      </c>
      <c r="Q1946" t="s">
        <v>48</v>
      </c>
      <c r="R1946" t="s">
        <v>48</v>
      </c>
      <c r="S1946" t="s">
        <v>10298</v>
      </c>
      <c r="T1946" t="s">
        <v>4416</v>
      </c>
      <c r="U1946" t="s">
        <v>10298</v>
      </c>
      <c r="V1946" s="47">
        <v>0</v>
      </c>
      <c r="W1946" t="s">
        <v>48</v>
      </c>
      <c r="X1946" t="s">
        <v>48</v>
      </c>
      <c r="Y1946" t="s">
        <v>48</v>
      </c>
      <c r="Z1946">
        <v>0</v>
      </c>
      <c r="AA1946" t="s">
        <v>48</v>
      </c>
      <c r="AB1946" t="s">
        <v>48</v>
      </c>
      <c r="AC1946" t="s">
        <v>63</v>
      </c>
      <c r="AD1946" t="s">
        <v>93</v>
      </c>
      <c r="AE1946" t="s">
        <v>4532</v>
      </c>
      <c r="AF1946" t="s">
        <v>48</v>
      </c>
      <c r="AG1946" t="s">
        <v>48</v>
      </c>
      <c r="AH1946" t="s">
        <v>48</v>
      </c>
      <c r="AI1946" t="s">
        <v>48</v>
      </c>
      <c r="AJ1946" t="s">
        <v>48</v>
      </c>
      <c r="AK1946" t="s">
        <v>48</v>
      </c>
      <c r="AL1946" t="s">
        <v>48</v>
      </c>
      <c r="AM1946" t="s">
        <v>48</v>
      </c>
      <c r="AN1946" t="s">
        <v>48</v>
      </c>
      <c r="AO1946" t="s">
        <v>48</v>
      </c>
      <c r="AP1946" s="46">
        <v>0</v>
      </c>
      <c r="AQ1946" s="46">
        <v>0</v>
      </c>
      <c r="AR1946" s="46">
        <v>0</v>
      </c>
      <c r="AS1946" s="46">
        <v>0</v>
      </c>
      <c r="AT1946" s="46">
        <v>0</v>
      </c>
      <c r="AU1946" s="46">
        <v>0</v>
      </c>
      <c r="AV1946" s="46">
        <v>0</v>
      </c>
      <c r="AW1946" s="46">
        <v>0</v>
      </c>
      <c r="AX1946" s="46">
        <v>0</v>
      </c>
      <c r="AY1946" s="46">
        <v>0</v>
      </c>
      <c r="AZ1946" s="46">
        <v>0</v>
      </c>
      <c r="BA1946" s="46">
        <v>0</v>
      </c>
      <c r="BB1946" s="46">
        <v>0</v>
      </c>
      <c r="BC1946" s="46">
        <v>0</v>
      </c>
      <c r="BD1946" s="46">
        <v>0</v>
      </c>
      <c r="BE1946" s="46">
        <v>0</v>
      </c>
      <c r="BF1946" s="46">
        <v>0</v>
      </c>
      <c r="BG1946" s="46" t="s">
        <v>48</v>
      </c>
      <c r="BH1946" s="46">
        <v>0</v>
      </c>
      <c r="BI1946" s="46">
        <v>0</v>
      </c>
      <c r="BJ1946" s="46">
        <v>0</v>
      </c>
      <c r="BK1946" s="46">
        <v>0</v>
      </c>
      <c r="BL1946" s="46">
        <v>0</v>
      </c>
      <c r="BM1946" s="46">
        <v>0</v>
      </c>
      <c r="BN1946" s="46">
        <v>0</v>
      </c>
    </row>
    <row r="1947" spans="1:66" x14ac:dyDescent="0.35">
      <c r="A1947" t="s">
        <v>4377</v>
      </c>
      <c r="B1947" s="44" t="s">
        <v>48</v>
      </c>
      <c r="C1947" t="s">
        <v>4379</v>
      </c>
      <c r="D1947" t="s">
        <v>2109</v>
      </c>
      <c r="E1947" t="s">
        <v>4378</v>
      </c>
      <c r="F1947" t="s">
        <v>159</v>
      </c>
      <c r="G1947" t="s">
        <v>47</v>
      </c>
      <c r="H1947">
        <v>0</v>
      </c>
      <c r="I1947" s="60" t="s">
        <v>51</v>
      </c>
      <c r="J1947" s="33" t="s">
        <v>45</v>
      </c>
      <c r="K1947" s="46">
        <v>0</v>
      </c>
      <c r="L1947">
        <v>6.5</v>
      </c>
      <c r="M1947" t="s">
        <v>48</v>
      </c>
      <c r="N1947" s="46">
        <v>0</v>
      </c>
      <c r="O1947" s="46">
        <v>0</v>
      </c>
      <c r="P1947" s="46">
        <v>0</v>
      </c>
      <c r="Q1947" t="s">
        <v>48</v>
      </c>
      <c r="R1947" t="s">
        <v>48</v>
      </c>
      <c r="S1947" t="s">
        <v>10299</v>
      </c>
      <c r="T1947" t="s">
        <v>48</v>
      </c>
      <c r="U1947" t="s">
        <v>10299</v>
      </c>
      <c r="V1947" s="47">
        <v>0</v>
      </c>
      <c r="W1947" t="s">
        <v>48</v>
      </c>
      <c r="X1947" t="s">
        <v>48</v>
      </c>
      <c r="Y1947" t="s">
        <v>48</v>
      </c>
      <c r="Z1947">
        <v>0</v>
      </c>
      <c r="AA1947" t="s">
        <v>48</v>
      </c>
      <c r="AB1947" t="s">
        <v>48</v>
      </c>
      <c r="AC1947" t="s">
        <v>49</v>
      </c>
      <c r="AD1947" t="s">
        <v>93</v>
      </c>
      <c r="AE1947" t="s">
        <v>4532</v>
      </c>
      <c r="AF1947" t="s">
        <v>48</v>
      </c>
      <c r="AG1947" t="s">
        <v>48</v>
      </c>
      <c r="AH1947" t="s">
        <v>48</v>
      </c>
      <c r="AI1947" t="s">
        <v>48</v>
      </c>
      <c r="AJ1947" t="s">
        <v>48</v>
      </c>
      <c r="AK1947" t="s">
        <v>48</v>
      </c>
      <c r="AL1947" t="s">
        <v>48</v>
      </c>
      <c r="AM1947" t="s">
        <v>48</v>
      </c>
      <c r="AN1947" t="s">
        <v>48</v>
      </c>
      <c r="AO1947" t="s">
        <v>48</v>
      </c>
      <c r="AP1947" s="46">
        <v>0</v>
      </c>
      <c r="AQ1947" s="46">
        <v>0</v>
      </c>
      <c r="AR1947" s="46">
        <v>0</v>
      </c>
      <c r="AS1947" s="46">
        <v>0</v>
      </c>
      <c r="AT1947" s="46">
        <v>0</v>
      </c>
      <c r="AU1947" s="46">
        <v>0</v>
      </c>
      <c r="AV1947" s="46">
        <v>0</v>
      </c>
      <c r="AW1947" s="46">
        <v>0</v>
      </c>
      <c r="AX1947" s="46">
        <v>0</v>
      </c>
      <c r="AY1947" s="46">
        <v>0</v>
      </c>
      <c r="AZ1947" s="46">
        <v>0</v>
      </c>
      <c r="BA1947" s="46">
        <v>0</v>
      </c>
      <c r="BB1947" s="46">
        <v>0</v>
      </c>
      <c r="BC1947" s="46">
        <v>0</v>
      </c>
      <c r="BD1947" s="46">
        <v>0</v>
      </c>
      <c r="BE1947" s="46">
        <v>0</v>
      </c>
      <c r="BF1947" s="46">
        <v>0</v>
      </c>
      <c r="BG1947" s="46" t="s">
        <v>48</v>
      </c>
      <c r="BH1947" s="46">
        <v>0</v>
      </c>
      <c r="BI1947" s="46">
        <v>0</v>
      </c>
      <c r="BJ1947" s="46">
        <v>0</v>
      </c>
      <c r="BK1947" s="46">
        <v>0</v>
      </c>
      <c r="BL1947" s="46">
        <v>0</v>
      </c>
      <c r="BM1947" s="46">
        <v>0</v>
      </c>
      <c r="BN1947" s="46">
        <v>0</v>
      </c>
    </row>
    <row r="1948" spans="1:66" x14ac:dyDescent="0.35">
      <c r="A1948" t="s">
        <v>4380</v>
      </c>
      <c r="B1948" s="44" t="s">
        <v>48</v>
      </c>
      <c r="C1948" t="s">
        <v>4383</v>
      </c>
      <c r="D1948" t="s">
        <v>2436</v>
      </c>
      <c r="E1948" t="s">
        <v>4381</v>
      </c>
      <c r="F1948" t="s">
        <v>159</v>
      </c>
      <c r="G1948" t="s">
        <v>47</v>
      </c>
      <c r="H1948">
        <v>0</v>
      </c>
      <c r="I1948" s="60" t="s">
        <v>51</v>
      </c>
      <c r="J1948" s="33" t="s">
        <v>45</v>
      </c>
      <c r="K1948" s="46">
        <v>0</v>
      </c>
      <c r="L1948">
        <v>5.0999999999999996</v>
      </c>
      <c r="M1948" t="s">
        <v>48</v>
      </c>
      <c r="N1948" s="46">
        <v>0</v>
      </c>
      <c r="O1948" s="46">
        <v>0</v>
      </c>
      <c r="P1948" s="46">
        <v>0</v>
      </c>
      <c r="Q1948" t="s">
        <v>48</v>
      </c>
      <c r="R1948" t="s">
        <v>48</v>
      </c>
      <c r="S1948" t="s">
        <v>4382</v>
      </c>
      <c r="T1948" t="s">
        <v>48</v>
      </c>
      <c r="U1948" t="s">
        <v>4382</v>
      </c>
      <c r="V1948" s="47">
        <v>1</v>
      </c>
      <c r="W1948" t="s">
        <v>48</v>
      </c>
      <c r="X1948" t="s">
        <v>48</v>
      </c>
      <c r="Y1948" t="s">
        <v>48</v>
      </c>
      <c r="Z1948">
        <v>0</v>
      </c>
      <c r="AA1948" t="s">
        <v>48</v>
      </c>
      <c r="AB1948" t="s">
        <v>48</v>
      </c>
      <c r="AC1948" t="s">
        <v>63</v>
      </c>
      <c r="AD1948" t="s">
        <v>93</v>
      </c>
      <c r="AE1948" t="s">
        <v>11051</v>
      </c>
      <c r="AF1948" t="s">
        <v>11052</v>
      </c>
      <c r="AG1948" t="s">
        <v>48</v>
      </c>
      <c r="AH1948" t="s">
        <v>48</v>
      </c>
      <c r="AI1948" t="s">
        <v>48</v>
      </c>
      <c r="AJ1948" t="s">
        <v>48</v>
      </c>
      <c r="AK1948" t="s">
        <v>48</v>
      </c>
      <c r="AL1948" t="s">
        <v>48</v>
      </c>
      <c r="AM1948" t="s">
        <v>48</v>
      </c>
      <c r="AN1948" t="s">
        <v>48</v>
      </c>
      <c r="AO1948" t="s">
        <v>48</v>
      </c>
      <c r="AP1948" s="46">
        <v>0</v>
      </c>
      <c r="AQ1948" s="46">
        <v>0</v>
      </c>
      <c r="AR1948" s="46">
        <v>0</v>
      </c>
      <c r="AS1948" s="46">
        <v>0</v>
      </c>
      <c r="AT1948" s="46">
        <v>0</v>
      </c>
      <c r="AU1948" s="46">
        <v>0</v>
      </c>
      <c r="AV1948" s="46">
        <v>0</v>
      </c>
      <c r="AW1948" s="46">
        <v>0</v>
      </c>
      <c r="AX1948" s="46">
        <v>0</v>
      </c>
      <c r="AY1948" s="46">
        <v>0</v>
      </c>
      <c r="AZ1948" s="46">
        <v>0</v>
      </c>
      <c r="BA1948" s="46">
        <v>0</v>
      </c>
      <c r="BB1948" s="46">
        <v>0</v>
      </c>
      <c r="BC1948" s="46">
        <v>0</v>
      </c>
      <c r="BD1948" s="46">
        <v>0</v>
      </c>
      <c r="BE1948" s="46">
        <v>0</v>
      </c>
      <c r="BF1948" s="46">
        <v>0</v>
      </c>
      <c r="BG1948" s="46" t="s">
        <v>48</v>
      </c>
      <c r="BH1948" s="46">
        <v>0</v>
      </c>
      <c r="BI1948" s="46">
        <v>0</v>
      </c>
      <c r="BJ1948" s="46">
        <v>0</v>
      </c>
      <c r="BK1948" s="46">
        <v>0</v>
      </c>
      <c r="BL1948" s="46">
        <v>0</v>
      </c>
      <c r="BM1948" s="46">
        <v>0</v>
      </c>
      <c r="BN1948" s="46">
        <v>0</v>
      </c>
    </row>
    <row r="1949" spans="1:66" x14ac:dyDescent="0.35">
      <c r="A1949" t="s">
        <v>9613</v>
      </c>
      <c r="B1949" s="44" t="s">
        <v>48</v>
      </c>
      <c r="C1949" t="s">
        <v>878</v>
      </c>
      <c r="D1949" t="s">
        <v>259</v>
      </c>
      <c r="E1949" t="s">
        <v>9614</v>
      </c>
      <c r="F1949" t="s">
        <v>4387</v>
      </c>
      <c r="G1949" t="s">
        <v>47</v>
      </c>
      <c r="H1949">
        <v>0</v>
      </c>
      <c r="I1949" s="61">
        <v>44753</v>
      </c>
      <c r="J1949" s="33" t="s">
        <v>45</v>
      </c>
      <c r="K1949" s="46">
        <v>0</v>
      </c>
      <c r="L1949">
        <v>34.299999999999997</v>
      </c>
      <c r="M1949" t="s">
        <v>48</v>
      </c>
      <c r="N1949" s="46">
        <v>0</v>
      </c>
      <c r="O1949" s="46">
        <v>0</v>
      </c>
      <c r="P1949" s="46">
        <v>0</v>
      </c>
      <c r="Q1949" t="s">
        <v>48</v>
      </c>
      <c r="R1949" t="s">
        <v>48</v>
      </c>
      <c r="S1949" t="s">
        <v>48</v>
      </c>
      <c r="T1949" t="s">
        <v>48</v>
      </c>
      <c r="U1949" t="s">
        <v>48</v>
      </c>
      <c r="V1949" s="47">
        <v>1</v>
      </c>
      <c r="W1949" t="s">
        <v>11264</v>
      </c>
      <c r="X1949" t="s">
        <v>48</v>
      </c>
      <c r="Y1949" t="s">
        <v>48</v>
      </c>
      <c r="Z1949" t="s">
        <v>48</v>
      </c>
      <c r="AA1949" t="s">
        <v>48</v>
      </c>
      <c r="AB1949" t="s">
        <v>48</v>
      </c>
      <c r="AC1949" t="s">
        <v>49</v>
      </c>
      <c r="AD1949" t="s">
        <v>48</v>
      </c>
      <c r="AE1949" t="s">
        <v>48</v>
      </c>
      <c r="AF1949" t="s">
        <v>48</v>
      </c>
      <c r="AG1949" t="s">
        <v>48</v>
      </c>
      <c r="AH1949" t="s">
        <v>48</v>
      </c>
      <c r="AI1949" t="s">
        <v>48</v>
      </c>
      <c r="AJ1949" t="s">
        <v>48</v>
      </c>
      <c r="AK1949" t="s">
        <v>48</v>
      </c>
      <c r="AL1949" t="s">
        <v>48</v>
      </c>
      <c r="AM1949" t="s">
        <v>48</v>
      </c>
      <c r="AN1949" t="s">
        <v>48</v>
      </c>
      <c r="AO1949" t="s">
        <v>48</v>
      </c>
      <c r="AP1949" s="46">
        <v>0</v>
      </c>
      <c r="AQ1949" s="46">
        <v>0</v>
      </c>
      <c r="AR1949" s="46">
        <v>0</v>
      </c>
      <c r="AS1949" s="46">
        <v>0</v>
      </c>
      <c r="AT1949" s="46">
        <v>0</v>
      </c>
      <c r="AU1949" s="46">
        <v>0</v>
      </c>
      <c r="AV1949" s="46">
        <v>0</v>
      </c>
      <c r="AW1949" s="46">
        <v>0</v>
      </c>
      <c r="AX1949" s="46">
        <v>0</v>
      </c>
      <c r="AY1949" s="46">
        <v>0</v>
      </c>
      <c r="AZ1949" s="46">
        <v>0</v>
      </c>
      <c r="BA1949" s="46">
        <v>0</v>
      </c>
      <c r="BB1949" s="46">
        <v>0</v>
      </c>
      <c r="BC1949" s="46">
        <v>0</v>
      </c>
      <c r="BD1949" s="46">
        <v>0</v>
      </c>
      <c r="BE1949" s="46">
        <v>0</v>
      </c>
      <c r="BF1949" s="46">
        <v>0</v>
      </c>
      <c r="BG1949" s="46" t="s">
        <v>48</v>
      </c>
      <c r="BH1949" s="46">
        <v>0</v>
      </c>
      <c r="BI1949" s="46">
        <v>0</v>
      </c>
      <c r="BJ1949" s="46">
        <v>0</v>
      </c>
      <c r="BK1949" s="46">
        <v>0</v>
      </c>
      <c r="BL1949" s="46">
        <v>0</v>
      </c>
      <c r="BM1949" s="46">
        <v>0</v>
      </c>
      <c r="BN1949" s="46">
        <v>0</v>
      </c>
    </row>
    <row r="1950" spans="1:66" x14ac:dyDescent="0.35">
      <c r="A1950" t="s">
        <v>4540</v>
      </c>
      <c r="B1950" s="44" t="s">
        <v>48</v>
      </c>
      <c r="C1950" t="s">
        <v>4542</v>
      </c>
      <c r="D1950" t="s">
        <v>221</v>
      </c>
      <c r="E1950" t="s">
        <v>4541</v>
      </c>
      <c r="F1950" t="s">
        <v>4387</v>
      </c>
      <c r="G1950" t="s">
        <v>74</v>
      </c>
      <c r="H1950">
        <v>0</v>
      </c>
      <c r="I1950" s="60" t="s">
        <v>716</v>
      </c>
      <c r="J1950" s="33" t="s">
        <v>45</v>
      </c>
      <c r="K1950" s="46">
        <v>0</v>
      </c>
      <c r="L1950">
        <v>8.4</v>
      </c>
      <c r="M1950" t="s">
        <v>48</v>
      </c>
      <c r="N1950" s="46">
        <v>0</v>
      </c>
      <c r="O1950" s="46">
        <v>0</v>
      </c>
      <c r="P1950" s="46">
        <v>0</v>
      </c>
      <c r="Q1950" t="s">
        <v>48</v>
      </c>
      <c r="R1950" t="s">
        <v>48</v>
      </c>
      <c r="S1950" t="s">
        <v>10300</v>
      </c>
      <c r="T1950" t="s">
        <v>48</v>
      </c>
      <c r="U1950" t="s">
        <v>10300</v>
      </c>
      <c r="V1950" s="47">
        <v>1</v>
      </c>
      <c r="W1950" t="s">
        <v>48</v>
      </c>
      <c r="X1950" t="s">
        <v>48</v>
      </c>
      <c r="Y1950" t="s">
        <v>48</v>
      </c>
      <c r="Z1950">
        <v>0</v>
      </c>
      <c r="AA1950" t="s">
        <v>48</v>
      </c>
      <c r="AB1950" t="s">
        <v>48</v>
      </c>
      <c r="AC1950" t="s">
        <v>49</v>
      </c>
      <c r="AD1950" t="s">
        <v>93</v>
      </c>
      <c r="AE1950" t="s">
        <v>2471</v>
      </c>
      <c r="AF1950" t="s">
        <v>48</v>
      </c>
      <c r="AG1950" t="s">
        <v>48</v>
      </c>
      <c r="AH1950" t="s">
        <v>48</v>
      </c>
      <c r="AI1950" t="s">
        <v>48</v>
      </c>
      <c r="AJ1950" t="s">
        <v>48</v>
      </c>
      <c r="AK1950" t="s">
        <v>48</v>
      </c>
      <c r="AL1950" t="s">
        <v>48</v>
      </c>
      <c r="AM1950" t="s">
        <v>48</v>
      </c>
      <c r="AN1950" t="s">
        <v>48</v>
      </c>
      <c r="AO1950" t="s">
        <v>48</v>
      </c>
      <c r="AP1950" s="46">
        <v>0</v>
      </c>
      <c r="AQ1950" s="46">
        <v>0</v>
      </c>
      <c r="AR1950" s="46">
        <v>0</v>
      </c>
      <c r="AS1950" s="46">
        <v>0</v>
      </c>
      <c r="AT1950" s="46">
        <v>0</v>
      </c>
      <c r="AU1950" s="46">
        <v>0</v>
      </c>
      <c r="AV1950" s="46">
        <v>0</v>
      </c>
      <c r="AW1950" s="46">
        <v>0</v>
      </c>
      <c r="AX1950" s="46">
        <v>0</v>
      </c>
      <c r="AY1950" s="46">
        <v>0</v>
      </c>
      <c r="AZ1950" s="46">
        <v>0</v>
      </c>
      <c r="BA1950" s="46">
        <v>0</v>
      </c>
      <c r="BB1950" s="46">
        <v>0</v>
      </c>
      <c r="BC1950" s="46">
        <v>0</v>
      </c>
      <c r="BD1950" s="46">
        <v>0</v>
      </c>
      <c r="BE1950" s="46">
        <v>0</v>
      </c>
      <c r="BF1950" s="46">
        <v>0</v>
      </c>
      <c r="BG1950" s="46" t="s">
        <v>48</v>
      </c>
      <c r="BH1950" s="46">
        <v>0</v>
      </c>
      <c r="BI1950" s="46">
        <v>0</v>
      </c>
      <c r="BJ1950" s="46">
        <v>0</v>
      </c>
      <c r="BK1950" s="46">
        <v>0</v>
      </c>
      <c r="BL1950" s="46">
        <v>0</v>
      </c>
      <c r="BM1950" s="46">
        <v>0</v>
      </c>
      <c r="BN1950" s="46">
        <v>0</v>
      </c>
    </row>
    <row r="1951" spans="1:66" x14ac:dyDescent="0.35">
      <c r="A1951" t="s">
        <v>9615</v>
      </c>
      <c r="B1951" s="44" t="s">
        <v>48</v>
      </c>
      <c r="C1951" t="s">
        <v>1505</v>
      </c>
      <c r="D1951" t="s">
        <v>12090</v>
      </c>
      <c r="E1951" t="s">
        <v>9616</v>
      </c>
      <c r="F1951" t="s">
        <v>4387</v>
      </c>
      <c r="G1951" t="s">
        <v>47</v>
      </c>
      <c r="H1951">
        <v>0</v>
      </c>
      <c r="I1951" s="61">
        <v>44753</v>
      </c>
      <c r="J1951" s="33" t="s">
        <v>45</v>
      </c>
      <c r="K1951" s="46">
        <v>0</v>
      </c>
      <c r="L1951">
        <v>22.8</v>
      </c>
      <c r="M1951" t="s">
        <v>48</v>
      </c>
      <c r="N1951" s="46">
        <v>0</v>
      </c>
      <c r="O1951" s="46">
        <v>0</v>
      </c>
      <c r="P1951" s="46">
        <v>0</v>
      </c>
      <c r="Q1951" t="s">
        <v>48</v>
      </c>
      <c r="R1951" t="s">
        <v>48</v>
      </c>
      <c r="S1951" t="s">
        <v>10301</v>
      </c>
      <c r="T1951" t="s">
        <v>48</v>
      </c>
      <c r="U1951" t="s">
        <v>10301</v>
      </c>
      <c r="V1951" s="47">
        <v>0</v>
      </c>
      <c r="W1951" t="s">
        <v>48</v>
      </c>
      <c r="X1951" t="s">
        <v>48</v>
      </c>
      <c r="Y1951" t="s">
        <v>48</v>
      </c>
      <c r="Z1951" t="s">
        <v>48</v>
      </c>
      <c r="AA1951" t="s">
        <v>48</v>
      </c>
      <c r="AB1951" t="s">
        <v>48</v>
      </c>
      <c r="AC1951" t="s">
        <v>63</v>
      </c>
      <c r="AD1951" t="s">
        <v>93</v>
      </c>
      <c r="AE1951" t="s">
        <v>977</v>
      </c>
      <c r="AF1951" t="s">
        <v>11053</v>
      </c>
      <c r="AG1951" t="s">
        <v>48</v>
      </c>
      <c r="AH1951" t="s">
        <v>48</v>
      </c>
      <c r="AI1951" t="s">
        <v>48</v>
      </c>
      <c r="AJ1951" t="s">
        <v>48</v>
      </c>
      <c r="AK1951" t="s">
        <v>48</v>
      </c>
      <c r="AL1951" t="s">
        <v>48</v>
      </c>
      <c r="AM1951" t="s">
        <v>48</v>
      </c>
      <c r="AN1951" t="s">
        <v>48</v>
      </c>
      <c r="AO1951" t="s">
        <v>48</v>
      </c>
      <c r="AP1951" s="46">
        <v>0</v>
      </c>
      <c r="AQ1951" s="46">
        <v>0</v>
      </c>
      <c r="AR1951" s="46">
        <v>0</v>
      </c>
      <c r="AS1951" s="46">
        <v>0</v>
      </c>
      <c r="AT1951" s="46">
        <v>0</v>
      </c>
      <c r="AU1951" s="46">
        <v>0</v>
      </c>
      <c r="AV1951" s="46">
        <v>0</v>
      </c>
      <c r="AW1951" s="46">
        <v>0</v>
      </c>
      <c r="AX1951" s="46">
        <v>0</v>
      </c>
      <c r="AY1951" s="46">
        <v>0</v>
      </c>
      <c r="AZ1951" s="46">
        <v>0</v>
      </c>
      <c r="BA1951" s="46">
        <v>0</v>
      </c>
      <c r="BB1951" s="46">
        <v>0</v>
      </c>
      <c r="BC1951" s="46">
        <v>0</v>
      </c>
      <c r="BD1951" s="46">
        <v>0</v>
      </c>
      <c r="BE1951" s="46">
        <v>0</v>
      </c>
      <c r="BF1951" s="46">
        <v>0</v>
      </c>
      <c r="BG1951" s="46" t="s">
        <v>48</v>
      </c>
      <c r="BH1951" s="46">
        <v>0</v>
      </c>
      <c r="BI1951" s="46">
        <v>0</v>
      </c>
      <c r="BJ1951" s="46">
        <v>0</v>
      </c>
      <c r="BK1951" s="46">
        <v>0</v>
      </c>
      <c r="BL1951" s="46">
        <v>0</v>
      </c>
      <c r="BM1951" s="46">
        <v>0</v>
      </c>
      <c r="BN1951" s="46">
        <v>0</v>
      </c>
    </row>
    <row r="1952" spans="1:66" x14ac:dyDescent="0.35">
      <c r="A1952" t="s">
        <v>4351</v>
      </c>
      <c r="B1952" s="44" t="s">
        <v>48</v>
      </c>
      <c r="C1952" t="s">
        <v>4354</v>
      </c>
      <c r="D1952" t="s">
        <v>4353</v>
      </c>
      <c r="E1952" t="s">
        <v>9617</v>
      </c>
      <c r="F1952" t="s">
        <v>153</v>
      </c>
      <c r="G1952" t="s">
        <v>47</v>
      </c>
      <c r="H1952">
        <v>0</v>
      </c>
      <c r="I1952" s="61">
        <v>44753</v>
      </c>
      <c r="J1952" s="33" t="s">
        <v>45</v>
      </c>
      <c r="K1952" s="46">
        <v>0</v>
      </c>
      <c r="L1952">
        <v>5.6</v>
      </c>
      <c r="M1952" t="s">
        <v>48</v>
      </c>
      <c r="N1952" s="46">
        <v>0</v>
      </c>
      <c r="O1952" s="46">
        <v>0</v>
      </c>
      <c r="P1952" s="46">
        <v>0</v>
      </c>
      <c r="Q1952" t="s">
        <v>48</v>
      </c>
      <c r="R1952" t="s">
        <v>48</v>
      </c>
      <c r="S1952" t="s">
        <v>4352</v>
      </c>
      <c r="T1952" t="s">
        <v>48</v>
      </c>
      <c r="U1952" t="s">
        <v>4352</v>
      </c>
      <c r="V1952" s="47">
        <v>0</v>
      </c>
      <c r="W1952" t="s">
        <v>48</v>
      </c>
      <c r="X1952" t="s">
        <v>48</v>
      </c>
      <c r="Y1952" t="s">
        <v>48</v>
      </c>
      <c r="Z1952">
        <v>0</v>
      </c>
      <c r="AA1952" t="s">
        <v>48</v>
      </c>
      <c r="AB1952" t="s">
        <v>48</v>
      </c>
      <c r="AC1952" t="s">
        <v>49</v>
      </c>
      <c r="AD1952" t="s">
        <v>93</v>
      </c>
      <c r="AE1952" t="s">
        <v>4532</v>
      </c>
      <c r="AF1952" t="s">
        <v>48</v>
      </c>
      <c r="AG1952" t="s">
        <v>48</v>
      </c>
      <c r="AH1952" t="s">
        <v>48</v>
      </c>
      <c r="AI1952" t="s">
        <v>48</v>
      </c>
      <c r="AJ1952" t="s">
        <v>48</v>
      </c>
      <c r="AK1952" t="s">
        <v>48</v>
      </c>
      <c r="AL1952" t="s">
        <v>48</v>
      </c>
      <c r="AM1952" t="s">
        <v>48</v>
      </c>
      <c r="AN1952" t="s">
        <v>48</v>
      </c>
      <c r="AO1952" t="s">
        <v>48</v>
      </c>
      <c r="AP1952" s="46">
        <v>0</v>
      </c>
      <c r="AQ1952" s="46">
        <v>0</v>
      </c>
      <c r="AR1952" s="46">
        <v>0</v>
      </c>
      <c r="AS1952" s="46">
        <v>0</v>
      </c>
      <c r="AT1952" s="46">
        <v>0</v>
      </c>
      <c r="AU1952" s="46">
        <v>0</v>
      </c>
      <c r="AV1952" s="46">
        <v>0</v>
      </c>
      <c r="AW1952" s="46">
        <v>0</v>
      </c>
      <c r="AX1952" s="46">
        <v>0</v>
      </c>
      <c r="AY1952" s="46">
        <v>0</v>
      </c>
      <c r="AZ1952" s="46">
        <v>0</v>
      </c>
      <c r="BA1952" s="46">
        <v>0</v>
      </c>
      <c r="BB1952" s="46">
        <v>0</v>
      </c>
      <c r="BC1952" s="46">
        <v>0</v>
      </c>
      <c r="BD1952" s="46">
        <v>0</v>
      </c>
      <c r="BE1952" s="46">
        <v>0</v>
      </c>
      <c r="BF1952" s="46">
        <v>0</v>
      </c>
      <c r="BG1952" s="46" t="s">
        <v>48</v>
      </c>
      <c r="BH1952" s="46">
        <v>0</v>
      </c>
      <c r="BI1952" s="46">
        <v>0</v>
      </c>
      <c r="BJ1952" s="46">
        <v>0</v>
      </c>
      <c r="BK1952" s="46">
        <v>0</v>
      </c>
      <c r="BL1952" s="46">
        <v>0</v>
      </c>
      <c r="BM1952" s="46">
        <v>0</v>
      </c>
      <c r="BN1952" s="46">
        <v>0</v>
      </c>
    </row>
    <row r="1953" spans="1:66" x14ac:dyDescent="0.35">
      <c r="A1953" t="s">
        <v>4507</v>
      </c>
      <c r="B1953" s="44" t="s">
        <v>48</v>
      </c>
      <c r="C1953" t="s">
        <v>1034</v>
      </c>
      <c r="D1953" t="s">
        <v>4509</v>
      </c>
      <c r="E1953" t="s">
        <v>9618</v>
      </c>
      <c r="F1953" t="s">
        <v>153</v>
      </c>
      <c r="G1953" t="s">
        <v>74</v>
      </c>
      <c r="H1953">
        <v>0</v>
      </c>
      <c r="I1953" s="61">
        <v>44753</v>
      </c>
      <c r="J1953" s="33" t="s">
        <v>45</v>
      </c>
      <c r="K1953" s="46">
        <v>0</v>
      </c>
      <c r="L1953">
        <v>7.4</v>
      </c>
      <c r="M1953" t="s">
        <v>48</v>
      </c>
      <c r="N1953" s="46">
        <v>0</v>
      </c>
      <c r="O1953" s="46">
        <v>0</v>
      </c>
      <c r="P1953" s="46">
        <v>0</v>
      </c>
      <c r="Q1953" t="s">
        <v>48</v>
      </c>
      <c r="R1953" t="s">
        <v>48</v>
      </c>
      <c r="S1953" t="s">
        <v>4508</v>
      </c>
      <c r="T1953" t="s">
        <v>48</v>
      </c>
      <c r="U1953" t="s">
        <v>4508</v>
      </c>
      <c r="V1953" s="47">
        <v>0</v>
      </c>
      <c r="W1953" t="s">
        <v>48</v>
      </c>
      <c r="X1953" t="s">
        <v>48</v>
      </c>
      <c r="Y1953" t="s">
        <v>48</v>
      </c>
      <c r="Z1953">
        <v>0</v>
      </c>
      <c r="AA1953" t="s">
        <v>48</v>
      </c>
      <c r="AB1953" t="s">
        <v>48</v>
      </c>
      <c r="AC1953" t="s">
        <v>49</v>
      </c>
      <c r="AD1953" t="s">
        <v>93</v>
      </c>
      <c r="AE1953" t="s">
        <v>4532</v>
      </c>
      <c r="AF1953" t="s">
        <v>48</v>
      </c>
      <c r="AG1953" t="s">
        <v>48</v>
      </c>
      <c r="AH1953" t="s">
        <v>48</v>
      </c>
      <c r="AI1953" t="s">
        <v>48</v>
      </c>
      <c r="AJ1953" t="s">
        <v>48</v>
      </c>
      <c r="AK1953" t="s">
        <v>48</v>
      </c>
      <c r="AL1953" t="s">
        <v>48</v>
      </c>
      <c r="AM1953" t="s">
        <v>48</v>
      </c>
      <c r="AN1953" t="s">
        <v>48</v>
      </c>
      <c r="AO1953" t="s">
        <v>48</v>
      </c>
      <c r="AP1953" s="46">
        <v>0</v>
      </c>
      <c r="AQ1953" s="46">
        <v>0</v>
      </c>
      <c r="AR1953" s="46">
        <v>0</v>
      </c>
      <c r="AS1953" s="46">
        <v>0</v>
      </c>
      <c r="AT1953" s="46">
        <v>0</v>
      </c>
      <c r="AU1953" s="46">
        <v>0</v>
      </c>
      <c r="AV1953" s="46">
        <v>0</v>
      </c>
      <c r="AW1953" s="46">
        <v>0</v>
      </c>
      <c r="AX1953" s="46">
        <v>0</v>
      </c>
      <c r="AY1953" s="46">
        <v>0</v>
      </c>
      <c r="AZ1953" s="46">
        <v>0</v>
      </c>
      <c r="BA1953" s="46">
        <v>0</v>
      </c>
      <c r="BB1953" s="46">
        <v>0</v>
      </c>
      <c r="BC1953" s="46">
        <v>0</v>
      </c>
      <c r="BD1953" s="46">
        <v>0</v>
      </c>
      <c r="BE1953" s="46">
        <v>0</v>
      </c>
      <c r="BF1953" s="46">
        <v>0</v>
      </c>
      <c r="BG1953" s="46" t="s">
        <v>48</v>
      </c>
      <c r="BH1953" s="46">
        <v>0</v>
      </c>
      <c r="BI1953" s="46">
        <v>0</v>
      </c>
      <c r="BJ1953" s="46">
        <v>0</v>
      </c>
      <c r="BK1953" s="46">
        <v>0</v>
      </c>
      <c r="BL1953" s="46">
        <v>0</v>
      </c>
      <c r="BM1953" s="46">
        <v>0</v>
      </c>
      <c r="BN1953" s="46">
        <v>0</v>
      </c>
    </row>
    <row r="1954" spans="1:66" x14ac:dyDescent="0.35">
      <c r="A1954" t="s">
        <v>4305</v>
      </c>
      <c r="B1954" s="44" t="s">
        <v>48</v>
      </c>
      <c r="C1954" t="s">
        <v>4308</v>
      </c>
      <c r="D1954" t="s">
        <v>4307</v>
      </c>
      <c r="E1954" t="s">
        <v>11289</v>
      </c>
      <c r="F1954" t="s">
        <v>153</v>
      </c>
      <c r="G1954" t="s">
        <v>47</v>
      </c>
      <c r="H1954">
        <v>0</v>
      </c>
      <c r="I1954" s="61" t="s">
        <v>11160</v>
      </c>
      <c r="J1954" s="33" t="s">
        <v>45</v>
      </c>
      <c r="K1954" s="46">
        <v>0</v>
      </c>
      <c r="L1954">
        <v>22.6</v>
      </c>
      <c r="M1954" t="s">
        <v>48</v>
      </c>
      <c r="N1954" s="46">
        <v>0</v>
      </c>
      <c r="O1954" s="46">
        <v>0</v>
      </c>
      <c r="P1954" s="46">
        <v>0</v>
      </c>
      <c r="Q1954" t="s">
        <v>48</v>
      </c>
      <c r="R1954" t="s">
        <v>48</v>
      </c>
      <c r="S1954" t="s">
        <v>11338</v>
      </c>
      <c r="T1954" t="s">
        <v>48</v>
      </c>
      <c r="U1954" t="str">
        <f>"@devanbarbour"</f>
        <v>@devanbarbour</v>
      </c>
      <c r="V1954" s="47">
        <v>1</v>
      </c>
      <c r="W1954" t="s">
        <v>48</v>
      </c>
      <c r="X1954" t="s">
        <v>48</v>
      </c>
      <c r="Y1954" t="s">
        <v>48</v>
      </c>
      <c r="Z1954">
        <v>0</v>
      </c>
      <c r="AA1954" t="s">
        <v>48</v>
      </c>
      <c r="AB1954" t="s">
        <v>48</v>
      </c>
      <c r="AC1954" t="s">
        <v>49</v>
      </c>
      <c r="AD1954" t="s">
        <v>93</v>
      </c>
      <c r="AE1954" t="s">
        <v>4532</v>
      </c>
      <c r="AF1954" t="s">
        <v>48</v>
      </c>
      <c r="AG1954" t="s">
        <v>48</v>
      </c>
      <c r="AH1954" t="s">
        <v>48</v>
      </c>
      <c r="AI1954" t="s">
        <v>48</v>
      </c>
      <c r="AJ1954" t="s">
        <v>48</v>
      </c>
      <c r="AK1954" t="s">
        <v>48</v>
      </c>
      <c r="AL1954" t="s">
        <v>48</v>
      </c>
      <c r="AM1954" t="s">
        <v>48</v>
      </c>
      <c r="AN1954" t="s">
        <v>48</v>
      </c>
      <c r="AO1954" t="s">
        <v>48</v>
      </c>
      <c r="AP1954" s="46">
        <v>0</v>
      </c>
      <c r="AQ1954" s="46">
        <v>0</v>
      </c>
      <c r="AR1954" s="46">
        <v>0</v>
      </c>
      <c r="AS1954" s="46">
        <v>0</v>
      </c>
      <c r="AT1954" s="46">
        <v>0</v>
      </c>
      <c r="AU1954" s="46">
        <v>0</v>
      </c>
      <c r="AV1954" s="46">
        <v>0</v>
      </c>
      <c r="AW1954" s="46">
        <v>0</v>
      </c>
      <c r="AX1954" s="46">
        <v>0</v>
      </c>
      <c r="AY1954" s="46">
        <v>0</v>
      </c>
      <c r="AZ1954" s="46">
        <v>0</v>
      </c>
      <c r="BA1954" s="46">
        <v>0</v>
      </c>
      <c r="BB1954" s="46">
        <v>0</v>
      </c>
      <c r="BC1954" s="46">
        <v>0</v>
      </c>
      <c r="BD1954" s="46">
        <v>0</v>
      </c>
      <c r="BE1954" s="46">
        <v>0</v>
      </c>
      <c r="BF1954" s="46">
        <v>0</v>
      </c>
      <c r="BG1954" s="46" t="s">
        <v>48</v>
      </c>
      <c r="BH1954" s="46">
        <v>0</v>
      </c>
      <c r="BI1954" s="46">
        <v>0</v>
      </c>
      <c r="BJ1954" s="46">
        <v>0</v>
      </c>
      <c r="BK1954" s="46">
        <v>0</v>
      </c>
      <c r="BL1954" s="46">
        <v>0</v>
      </c>
      <c r="BM1954" s="46">
        <v>0</v>
      </c>
      <c r="BN1954" s="46">
        <v>0</v>
      </c>
    </row>
    <row r="1955" spans="1:66" x14ac:dyDescent="0.35">
      <c r="A1955" t="s">
        <v>9619</v>
      </c>
      <c r="B1955" s="44" t="s">
        <v>48</v>
      </c>
      <c r="C1955" t="s">
        <v>12091</v>
      </c>
      <c r="D1955" t="s">
        <v>3675</v>
      </c>
      <c r="E1955" t="s">
        <v>9620</v>
      </c>
      <c r="F1955" t="s">
        <v>153</v>
      </c>
      <c r="G1955" t="s">
        <v>74</v>
      </c>
      <c r="H1955">
        <v>0</v>
      </c>
      <c r="I1955" s="61">
        <v>44753</v>
      </c>
      <c r="J1955" s="33" t="s">
        <v>45</v>
      </c>
      <c r="K1955" s="46">
        <v>0</v>
      </c>
      <c r="L1955">
        <v>9.4</v>
      </c>
      <c r="M1955" t="s">
        <v>48</v>
      </c>
      <c r="N1955" s="46">
        <v>0</v>
      </c>
      <c r="O1955" s="46">
        <v>0</v>
      </c>
      <c r="P1955" s="46">
        <v>0</v>
      </c>
      <c r="Q1955" t="s">
        <v>48</v>
      </c>
      <c r="R1955" t="s">
        <v>48</v>
      </c>
      <c r="S1955" t="s">
        <v>10303</v>
      </c>
      <c r="T1955" t="s">
        <v>48</v>
      </c>
      <c r="U1955" t="s">
        <v>10303</v>
      </c>
      <c r="V1955" s="47">
        <v>1</v>
      </c>
      <c r="W1955" t="s">
        <v>48</v>
      </c>
      <c r="X1955" t="s">
        <v>48</v>
      </c>
      <c r="Y1955" t="s">
        <v>48</v>
      </c>
      <c r="Z1955" t="s">
        <v>48</v>
      </c>
      <c r="AA1955" t="s">
        <v>48</v>
      </c>
      <c r="AB1955" t="s">
        <v>48</v>
      </c>
      <c r="AC1955" t="s">
        <v>63</v>
      </c>
      <c r="AD1955" t="s">
        <v>93</v>
      </c>
      <c r="AE1955" t="s">
        <v>4532</v>
      </c>
      <c r="AF1955" t="s">
        <v>48</v>
      </c>
      <c r="AG1955" t="s">
        <v>48</v>
      </c>
      <c r="AH1955" t="s">
        <v>48</v>
      </c>
      <c r="AI1955" t="s">
        <v>48</v>
      </c>
      <c r="AJ1955" t="s">
        <v>48</v>
      </c>
      <c r="AK1955" t="s">
        <v>48</v>
      </c>
      <c r="AL1955" t="s">
        <v>48</v>
      </c>
      <c r="AM1955" t="s">
        <v>48</v>
      </c>
      <c r="AN1955" t="s">
        <v>48</v>
      </c>
      <c r="AO1955" t="s">
        <v>48</v>
      </c>
      <c r="AP1955" s="46">
        <v>0</v>
      </c>
      <c r="AQ1955" s="46">
        <v>0</v>
      </c>
      <c r="AR1955" s="46">
        <v>0</v>
      </c>
      <c r="AS1955" s="46">
        <v>0</v>
      </c>
      <c r="AT1955" s="46">
        <v>0</v>
      </c>
      <c r="AU1955" s="46">
        <v>0</v>
      </c>
      <c r="AV1955" s="46">
        <v>0</v>
      </c>
      <c r="AW1955" s="46">
        <v>0</v>
      </c>
      <c r="AX1955" s="46">
        <v>0</v>
      </c>
      <c r="AY1955" s="46">
        <v>0</v>
      </c>
      <c r="AZ1955" s="46">
        <v>0</v>
      </c>
      <c r="BA1955" s="46">
        <v>0</v>
      </c>
      <c r="BB1955" s="46">
        <v>0</v>
      </c>
      <c r="BC1955" s="46">
        <v>0</v>
      </c>
      <c r="BD1955" s="46">
        <v>0</v>
      </c>
      <c r="BE1955" s="46">
        <v>0</v>
      </c>
      <c r="BF1955" s="46">
        <v>0</v>
      </c>
      <c r="BG1955" s="46" t="s">
        <v>48</v>
      </c>
      <c r="BH1955" s="46">
        <v>0</v>
      </c>
      <c r="BI1955" s="46">
        <v>0</v>
      </c>
      <c r="BJ1955" s="46">
        <v>0</v>
      </c>
      <c r="BK1955" s="46">
        <v>0</v>
      </c>
      <c r="BL1955" s="46">
        <v>0</v>
      </c>
      <c r="BM1955" s="46">
        <v>0</v>
      </c>
      <c r="BN1955" s="46">
        <v>0</v>
      </c>
    </row>
    <row r="1956" spans="1:66" x14ac:dyDescent="0.35">
      <c r="A1956" t="s">
        <v>9621</v>
      </c>
      <c r="B1956" s="44" t="s">
        <v>48</v>
      </c>
      <c r="C1956" t="s">
        <v>12093</v>
      </c>
      <c r="D1956" t="s">
        <v>521</v>
      </c>
      <c r="E1956" t="s">
        <v>9622</v>
      </c>
      <c r="F1956" t="s">
        <v>153</v>
      </c>
      <c r="G1956" t="s">
        <v>47</v>
      </c>
      <c r="H1956">
        <v>0</v>
      </c>
      <c r="I1956" s="61">
        <v>44753</v>
      </c>
      <c r="J1956" s="33" t="s">
        <v>45</v>
      </c>
      <c r="K1956" s="46">
        <v>0</v>
      </c>
      <c r="L1956">
        <v>1.3</v>
      </c>
      <c r="M1956" t="s">
        <v>48</v>
      </c>
      <c r="N1956" s="46">
        <v>0</v>
      </c>
      <c r="O1956" s="46">
        <v>0</v>
      </c>
      <c r="P1956" s="46">
        <v>0</v>
      </c>
      <c r="Q1956" t="s">
        <v>48</v>
      </c>
      <c r="R1956" t="s">
        <v>48</v>
      </c>
      <c r="S1956" t="s">
        <v>48</v>
      </c>
      <c r="T1956" t="s">
        <v>48</v>
      </c>
      <c r="U1956" t="s">
        <v>48</v>
      </c>
      <c r="V1956" s="47">
        <v>1</v>
      </c>
      <c r="W1956" t="s">
        <v>48</v>
      </c>
      <c r="X1956" t="s">
        <v>48</v>
      </c>
      <c r="Y1956" t="s">
        <v>48</v>
      </c>
      <c r="Z1956" t="s">
        <v>48</v>
      </c>
      <c r="AA1956" t="s">
        <v>48</v>
      </c>
      <c r="AB1956" t="s">
        <v>48</v>
      </c>
      <c r="AC1956" t="s">
        <v>63</v>
      </c>
      <c r="AD1956" t="s">
        <v>93</v>
      </c>
      <c r="AE1956" t="s">
        <v>4532</v>
      </c>
      <c r="AF1956" t="s">
        <v>48</v>
      </c>
      <c r="AG1956" t="s">
        <v>48</v>
      </c>
      <c r="AH1956" t="s">
        <v>48</v>
      </c>
      <c r="AI1956" t="s">
        <v>48</v>
      </c>
      <c r="AJ1956" t="s">
        <v>48</v>
      </c>
      <c r="AK1956" t="s">
        <v>48</v>
      </c>
      <c r="AL1956" t="s">
        <v>48</v>
      </c>
      <c r="AM1956" t="s">
        <v>48</v>
      </c>
      <c r="AN1956" t="s">
        <v>48</v>
      </c>
      <c r="AO1956" t="s">
        <v>48</v>
      </c>
      <c r="AP1956" s="46">
        <v>0</v>
      </c>
      <c r="AQ1956" s="46">
        <v>0</v>
      </c>
      <c r="AR1956" s="46">
        <v>0</v>
      </c>
      <c r="AS1956" s="46">
        <v>0</v>
      </c>
      <c r="AT1956" s="46">
        <v>0</v>
      </c>
      <c r="AU1956" s="46">
        <v>0</v>
      </c>
      <c r="AV1956" s="46">
        <v>0</v>
      </c>
      <c r="AW1956" s="46">
        <v>0</v>
      </c>
      <c r="AX1956" s="46">
        <v>0</v>
      </c>
      <c r="AY1956" s="46">
        <v>0</v>
      </c>
      <c r="AZ1956" s="46">
        <v>0</v>
      </c>
      <c r="BA1956" s="46">
        <v>0</v>
      </c>
      <c r="BB1956" s="46">
        <v>0</v>
      </c>
      <c r="BC1956" s="46">
        <v>0</v>
      </c>
      <c r="BD1956" s="46">
        <v>0</v>
      </c>
      <c r="BE1956" s="46">
        <v>0</v>
      </c>
      <c r="BF1956" s="46">
        <v>0</v>
      </c>
      <c r="BG1956" s="46" t="s">
        <v>48</v>
      </c>
      <c r="BH1956" s="46">
        <v>0</v>
      </c>
      <c r="BI1956" s="46">
        <v>0</v>
      </c>
      <c r="BJ1956" s="46">
        <v>0</v>
      </c>
      <c r="BK1956" s="46">
        <v>0</v>
      </c>
      <c r="BL1956" s="46">
        <v>0</v>
      </c>
      <c r="BM1956" s="46">
        <v>0</v>
      </c>
      <c r="BN1956" s="46">
        <v>0</v>
      </c>
    </row>
    <row r="1957" spans="1:66" x14ac:dyDescent="0.35">
      <c r="A1957" t="s">
        <v>9623</v>
      </c>
      <c r="B1957" s="44" t="s">
        <v>48</v>
      </c>
      <c r="C1957" t="s">
        <v>12092</v>
      </c>
      <c r="D1957" t="s">
        <v>364</v>
      </c>
      <c r="E1957" t="s">
        <v>9624</v>
      </c>
      <c r="F1957" t="s">
        <v>153</v>
      </c>
      <c r="G1957" t="s">
        <v>47</v>
      </c>
      <c r="H1957">
        <v>0</v>
      </c>
      <c r="I1957" s="61">
        <v>44753</v>
      </c>
      <c r="J1957" s="33" t="s">
        <v>45</v>
      </c>
      <c r="K1957" s="46">
        <v>0</v>
      </c>
      <c r="L1957">
        <v>17</v>
      </c>
      <c r="M1957" t="s">
        <v>48</v>
      </c>
      <c r="N1957" s="46">
        <v>0</v>
      </c>
      <c r="O1957" s="46">
        <v>0</v>
      </c>
      <c r="P1957" s="46">
        <v>0</v>
      </c>
      <c r="Q1957" t="s">
        <v>48</v>
      </c>
      <c r="R1957" t="s">
        <v>48</v>
      </c>
      <c r="S1957" t="s">
        <v>10305</v>
      </c>
      <c r="T1957" t="s">
        <v>48</v>
      </c>
      <c r="U1957" t="s">
        <v>10305</v>
      </c>
      <c r="V1957" s="47">
        <v>0</v>
      </c>
      <c r="W1957" t="s">
        <v>48</v>
      </c>
      <c r="X1957" t="s">
        <v>48</v>
      </c>
      <c r="Y1957" t="s">
        <v>48</v>
      </c>
      <c r="Z1957" t="s">
        <v>48</v>
      </c>
      <c r="AA1957" t="s">
        <v>48</v>
      </c>
      <c r="AB1957" t="s">
        <v>48</v>
      </c>
      <c r="AC1957" t="s">
        <v>63</v>
      </c>
      <c r="AD1957" t="s">
        <v>93</v>
      </c>
      <c r="AE1957" t="s">
        <v>4532</v>
      </c>
      <c r="AF1957" t="s">
        <v>48</v>
      </c>
      <c r="AG1957" t="s">
        <v>48</v>
      </c>
      <c r="AH1957" t="s">
        <v>48</v>
      </c>
      <c r="AI1957" t="s">
        <v>48</v>
      </c>
      <c r="AJ1957" t="s">
        <v>48</v>
      </c>
      <c r="AK1957" t="s">
        <v>48</v>
      </c>
      <c r="AL1957" t="s">
        <v>48</v>
      </c>
      <c r="AM1957" t="s">
        <v>48</v>
      </c>
      <c r="AN1957" t="s">
        <v>48</v>
      </c>
      <c r="AO1957" t="s">
        <v>48</v>
      </c>
      <c r="AP1957" s="46">
        <v>0</v>
      </c>
      <c r="AQ1957" s="46">
        <v>0</v>
      </c>
      <c r="AR1957" s="46">
        <v>0</v>
      </c>
      <c r="AS1957" s="46">
        <v>0</v>
      </c>
      <c r="AT1957" s="46">
        <v>0</v>
      </c>
      <c r="AU1957" s="46">
        <v>0</v>
      </c>
      <c r="AV1957" s="46">
        <v>0</v>
      </c>
      <c r="AW1957" s="46">
        <v>0</v>
      </c>
      <c r="AX1957" s="46">
        <v>0</v>
      </c>
      <c r="AY1957" s="46">
        <v>0</v>
      </c>
      <c r="AZ1957" s="46">
        <v>0</v>
      </c>
      <c r="BA1957" s="46">
        <v>0</v>
      </c>
      <c r="BB1957" s="46">
        <v>0</v>
      </c>
      <c r="BC1957" s="46">
        <v>0</v>
      </c>
      <c r="BD1957" s="46">
        <v>0</v>
      </c>
      <c r="BE1957" s="46">
        <v>0</v>
      </c>
      <c r="BF1957" s="46">
        <v>0</v>
      </c>
      <c r="BG1957" s="46" t="s">
        <v>48</v>
      </c>
      <c r="BH1957" s="46">
        <v>0</v>
      </c>
      <c r="BI1957" s="46">
        <v>0</v>
      </c>
      <c r="BJ1957" s="46">
        <v>0</v>
      </c>
      <c r="BK1957" s="46">
        <v>0</v>
      </c>
      <c r="BL1957" s="46">
        <v>0</v>
      </c>
      <c r="BM1957" s="46">
        <v>0</v>
      </c>
      <c r="BN1957" s="46">
        <v>0</v>
      </c>
    </row>
    <row r="1958" spans="1:66" x14ac:dyDescent="0.35">
      <c r="A1958" t="s">
        <v>4403</v>
      </c>
      <c r="B1958" s="44" t="s">
        <v>48</v>
      </c>
      <c r="C1958" t="s">
        <v>4407</v>
      </c>
      <c r="D1958" t="s">
        <v>4406</v>
      </c>
      <c r="E1958" t="s">
        <v>4404</v>
      </c>
      <c r="F1958" t="s">
        <v>153</v>
      </c>
      <c r="G1958" t="s">
        <v>47</v>
      </c>
      <c r="H1958">
        <v>0</v>
      </c>
      <c r="I1958" s="60" t="s">
        <v>190</v>
      </c>
      <c r="J1958" s="33" t="s">
        <v>45</v>
      </c>
      <c r="K1958" s="46">
        <v>0</v>
      </c>
      <c r="L1958">
        <v>11.3</v>
      </c>
      <c r="M1958" t="s">
        <v>48</v>
      </c>
      <c r="N1958" s="46">
        <v>0</v>
      </c>
      <c r="O1958" s="46">
        <v>0</v>
      </c>
      <c r="P1958" s="46">
        <v>0</v>
      </c>
      <c r="Q1958" t="s">
        <v>48</v>
      </c>
      <c r="R1958" t="s">
        <v>48</v>
      </c>
      <c r="S1958" t="s">
        <v>4405</v>
      </c>
      <c r="T1958" t="s">
        <v>48</v>
      </c>
      <c r="U1958" t="s">
        <v>4405</v>
      </c>
      <c r="V1958" s="47">
        <v>0</v>
      </c>
      <c r="W1958" t="s">
        <v>48</v>
      </c>
      <c r="X1958" t="s">
        <v>48</v>
      </c>
      <c r="Y1958" t="s">
        <v>48</v>
      </c>
      <c r="Z1958">
        <v>0</v>
      </c>
      <c r="AA1958" t="s">
        <v>48</v>
      </c>
      <c r="AB1958" t="s">
        <v>48</v>
      </c>
      <c r="AC1958" t="s">
        <v>49</v>
      </c>
      <c r="AD1958" t="s">
        <v>93</v>
      </c>
      <c r="AE1958" t="s">
        <v>4532</v>
      </c>
      <c r="AF1958" t="s">
        <v>48</v>
      </c>
      <c r="AG1958" t="s">
        <v>48</v>
      </c>
      <c r="AH1958" t="s">
        <v>48</v>
      </c>
      <c r="AI1958" t="s">
        <v>48</v>
      </c>
      <c r="AJ1958" t="s">
        <v>48</v>
      </c>
      <c r="AK1958" t="s">
        <v>48</v>
      </c>
      <c r="AL1958" t="s">
        <v>48</v>
      </c>
      <c r="AM1958" t="s">
        <v>48</v>
      </c>
      <c r="AN1958" t="s">
        <v>48</v>
      </c>
      <c r="AO1958" t="s">
        <v>48</v>
      </c>
      <c r="AP1958" s="46">
        <v>0</v>
      </c>
      <c r="AQ1958" s="46">
        <v>0</v>
      </c>
      <c r="AR1958" s="46">
        <v>0</v>
      </c>
      <c r="AS1958" s="46">
        <v>0</v>
      </c>
      <c r="AT1958" s="46">
        <v>0</v>
      </c>
      <c r="AU1958" s="46">
        <v>0</v>
      </c>
      <c r="AV1958" s="46">
        <v>0</v>
      </c>
      <c r="AW1958" s="46">
        <v>0</v>
      </c>
      <c r="AX1958" s="46">
        <v>0</v>
      </c>
      <c r="AY1958" s="46">
        <v>0</v>
      </c>
      <c r="AZ1958" s="46">
        <v>0</v>
      </c>
      <c r="BA1958" s="46">
        <v>0</v>
      </c>
      <c r="BB1958" s="46">
        <v>0</v>
      </c>
      <c r="BC1958" s="46">
        <v>0</v>
      </c>
      <c r="BD1958" s="46">
        <v>0</v>
      </c>
      <c r="BE1958" s="46">
        <v>0</v>
      </c>
      <c r="BF1958" s="46">
        <v>0</v>
      </c>
      <c r="BG1958" s="46" t="s">
        <v>48</v>
      </c>
      <c r="BH1958" s="46">
        <v>0</v>
      </c>
      <c r="BI1958" s="46">
        <v>0</v>
      </c>
      <c r="BJ1958" s="46">
        <v>0</v>
      </c>
      <c r="BK1958" s="46">
        <v>0</v>
      </c>
      <c r="BL1958" s="46">
        <v>0</v>
      </c>
      <c r="BM1958" s="46">
        <v>0</v>
      </c>
      <c r="BN1958" s="46">
        <v>0</v>
      </c>
    </row>
    <row r="1959" spans="1:66" x14ac:dyDescent="0.35">
      <c r="A1959" t="s">
        <v>4543</v>
      </c>
      <c r="B1959" s="44" t="s">
        <v>48</v>
      </c>
      <c r="C1959" t="s">
        <v>4545</v>
      </c>
      <c r="D1959" t="s">
        <v>1070</v>
      </c>
      <c r="E1959" t="s">
        <v>9625</v>
      </c>
      <c r="F1959" t="s">
        <v>153</v>
      </c>
      <c r="G1959" t="s">
        <v>74</v>
      </c>
      <c r="H1959">
        <v>0</v>
      </c>
      <c r="I1959" s="61">
        <v>44753</v>
      </c>
      <c r="J1959" s="33" t="s">
        <v>45</v>
      </c>
      <c r="K1959" s="46">
        <v>0</v>
      </c>
      <c r="L1959">
        <v>8.6</v>
      </c>
      <c r="M1959" t="s">
        <v>48</v>
      </c>
      <c r="N1959" s="46">
        <v>0</v>
      </c>
      <c r="O1959" s="46">
        <v>0</v>
      </c>
      <c r="P1959" s="46">
        <v>0</v>
      </c>
      <c r="Q1959" t="s">
        <v>48</v>
      </c>
      <c r="R1959" t="s">
        <v>48</v>
      </c>
      <c r="S1959" t="s">
        <v>4544</v>
      </c>
      <c r="T1959" t="s">
        <v>48</v>
      </c>
      <c r="U1959" t="s">
        <v>4544</v>
      </c>
      <c r="V1959" s="47">
        <v>0</v>
      </c>
      <c r="W1959" t="s">
        <v>48</v>
      </c>
      <c r="X1959" t="s">
        <v>48</v>
      </c>
      <c r="Y1959" t="s">
        <v>48</v>
      </c>
      <c r="Z1959">
        <v>0</v>
      </c>
      <c r="AA1959" t="s">
        <v>48</v>
      </c>
      <c r="AB1959" t="s">
        <v>48</v>
      </c>
      <c r="AC1959" t="s">
        <v>49</v>
      </c>
      <c r="AD1959" t="s">
        <v>93</v>
      </c>
      <c r="AE1959" s="40" t="s">
        <v>2471</v>
      </c>
      <c r="AF1959" t="s">
        <v>11061</v>
      </c>
      <c r="AG1959" t="s">
        <v>48</v>
      </c>
      <c r="AH1959" t="s">
        <v>48</v>
      </c>
      <c r="AI1959" t="s">
        <v>48</v>
      </c>
      <c r="AJ1959" t="s">
        <v>48</v>
      </c>
      <c r="AK1959" t="s">
        <v>48</v>
      </c>
      <c r="AL1959" t="s">
        <v>48</v>
      </c>
      <c r="AM1959" t="s">
        <v>48</v>
      </c>
      <c r="AN1959" t="s">
        <v>48</v>
      </c>
      <c r="AO1959" t="s">
        <v>48</v>
      </c>
      <c r="AP1959" s="46">
        <v>0</v>
      </c>
      <c r="AQ1959" s="46">
        <v>0</v>
      </c>
      <c r="AR1959" s="46">
        <v>0</v>
      </c>
      <c r="AS1959" s="46">
        <v>0</v>
      </c>
      <c r="AT1959" s="46">
        <v>0</v>
      </c>
      <c r="AU1959" s="46">
        <v>0</v>
      </c>
      <c r="AV1959" s="46">
        <v>0</v>
      </c>
      <c r="AW1959" s="46">
        <v>0</v>
      </c>
      <c r="AX1959" s="46">
        <v>0</v>
      </c>
      <c r="AY1959" s="46">
        <v>0</v>
      </c>
      <c r="AZ1959" s="46">
        <v>0</v>
      </c>
      <c r="BA1959" s="46">
        <v>0</v>
      </c>
      <c r="BB1959" s="46">
        <v>0</v>
      </c>
      <c r="BC1959" s="46">
        <v>0</v>
      </c>
      <c r="BD1959" s="46">
        <v>0</v>
      </c>
      <c r="BE1959" s="46">
        <v>0</v>
      </c>
      <c r="BF1959" s="46">
        <v>0</v>
      </c>
      <c r="BG1959" s="46" t="s">
        <v>48</v>
      </c>
      <c r="BH1959" s="46">
        <v>0</v>
      </c>
      <c r="BI1959" s="46">
        <v>0</v>
      </c>
      <c r="BJ1959" s="46">
        <v>0</v>
      </c>
      <c r="BK1959" s="46">
        <v>0</v>
      </c>
      <c r="BL1959" s="46">
        <v>0</v>
      </c>
      <c r="BM1959" s="46">
        <v>0</v>
      </c>
      <c r="BN1959" s="46">
        <v>0</v>
      </c>
    </row>
    <row r="1960" spans="1:66" x14ac:dyDescent="0.35">
      <c r="A1960" t="s">
        <v>4312</v>
      </c>
      <c r="B1960" s="44" t="s">
        <v>48</v>
      </c>
      <c r="C1960" t="s">
        <v>4315</v>
      </c>
      <c r="D1960" t="s">
        <v>4314</v>
      </c>
      <c r="E1960" t="s">
        <v>11564</v>
      </c>
      <c r="F1960" t="s">
        <v>153</v>
      </c>
      <c r="G1960" t="s">
        <v>47</v>
      </c>
      <c r="H1960">
        <v>0</v>
      </c>
      <c r="I1960" s="61">
        <v>44753</v>
      </c>
      <c r="J1960" s="33" t="s">
        <v>45</v>
      </c>
      <c r="K1960" s="46">
        <v>0</v>
      </c>
      <c r="L1960">
        <v>9.4</v>
      </c>
      <c r="M1960" t="s">
        <v>48</v>
      </c>
      <c r="N1960" s="46">
        <v>0</v>
      </c>
      <c r="O1960" s="46">
        <v>0</v>
      </c>
      <c r="P1960" s="46">
        <v>0</v>
      </c>
      <c r="Q1960" t="s">
        <v>48</v>
      </c>
      <c r="R1960" t="s">
        <v>48</v>
      </c>
      <c r="S1960" t="s">
        <v>4313</v>
      </c>
      <c r="T1960" t="s">
        <v>48</v>
      </c>
      <c r="U1960" t="s">
        <v>4313</v>
      </c>
      <c r="V1960" s="47">
        <v>1</v>
      </c>
      <c r="W1960" t="s">
        <v>48</v>
      </c>
      <c r="X1960" t="s">
        <v>48</v>
      </c>
      <c r="Y1960" t="s">
        <v>48</v>
      </c>
      <c r="Z1960">
        <v>0</v>
      </c>
      <c r="AA1960" t="s">
        <v>48</v>
      </c>
      <c r="AB1960" t="s">
        <v>48</v>
      </c>
      <c r="AC1960" t="s">
        <v>63</v>
      </c>
      <c r="AD1960" t="s">
        <v>93</v>
      </c>
      <c r="AE1960" t="s">
        <v>4532</v>
      </c>
      <c r="AF1960" t="s">
        <v>48</v>
      </c>
      <c r="AG1960" t="s">
        <v>48</v>
      </c>
      <c r="AH1960" t="s">
        <v>48</v>
      </c>
      <c r="AI1960" t="s">
        <v>48</v>
      </c>
      <c r="AJ1960" t="s">
        <v>48</v>
      </c>
      <c r="AK1960" t="s">
        <v>48</v>
      </c>
      <c r="AL1960" t="s">
        <v>48</v>
      </c>
      <c r="AM1960" t="s">
        <v>48</v>
      </c>
      <c r="AN1960" t="s">
        <v>48</v>
      </c>
      <c r="AO1960" t="s">
        <v>48</v>
      </c>
      <c r="AP1960" s="46">
        <v>0</v>
      </c>
      <c r="AQ1960" s="46">
        <v>0</v>
      </c>
      <c r="AR1960" s="46">
        <v>0</v>
      </c>
      <c r="AS1960" s="46">
        <v>0</v>
      </c>
      <c r="AT1960" s="46">
        <v>0</v>
      </c>
      <c r="AU1960" s="46">
        <v>0</v>
      </c>
      <c r="AV1960" s="46">
        <v>0</v>
      </c>
      <c r="AW1960" s="46">
        <v>0</v>
      </c>
      <c r="AX1960" s="46">
        <v>0</v>
      </c>
      <c r="AY1960" s="46">
        <v>0</v>
      </c>
      <c r="AZ1960" s="46">
        <v>0</v>
      </c>
      <c r="BA1960" s="46">
        <v>0</v>
      </c>
      <c r="BB1960" s="46">
        <v>0</v>
      </c>
      <c r="BC1960" s="46">
        <v>0</v>
      </c>
      <c r="BD1960" s="46">
        <v>0</v>
      </c>
      <c r="BE1960" s="46">
        <v>0</v>
      </c>
      <c r="BF1960" s="46">
        <v>0</v>
      </c>
      <c r="BG1960" s="46" t="s">
        <v>48</v>
      </c>
      <c r="BH1960" s="46">
        <v>0</v>
      </c>
      <c r="BI1960" s="46">
        <v>0</v>
      </c>
      <c r="BJ1960" s="46">
        <v>0</v>
      </c>
      <c r="BK1960" s="46">
        <v>0</v>
      </c>
      <c r="BL1960" s="46">
        <v>0</v>
      </c>
      <c r="BM1960" s="46">
        <v>0</v>
      </c>
      <c r="BN1960" s="46">
        <v>0</v>
      </c>
    </row>
    <row r="1961" spans="1:66" x14ac:dyDescent="0.35">
      <c r="A1961" t="s">
        <v>9626</v>
      </c>
      <c r="B1961" s="44" t="s">
        <v>48</v>
      </c>
      <c r="C1961" t="s">
        <v>12094</v>
      </c>
      <c r="D1961" t="s">
        <v>351</v>
      </c>
      <c r="E1961" t="s">
        <v>9627</v>
      </c>
      <c r="F1961" t="s">
        <v>153</v>
      </c>
      <c r="G1961" t="s">
        <v>74</v>
      </c>
      <c r="H1961">
        <v>0</v>
      </c>
      <c r="I1961" s="61">
        <v>44753</v>
      </c>
      <c r="J1961" s="33" t="s">
        <v>45</v>
      </c>
      <c r="K1961" s="46">
        <v>0</v>
      </c>
      <c r="L1961">
        <v>22.9</v>
      </c>
      <c r="M1961" t="s">
        <v>48</v>
      </c>
      <c r="N1961" s="46">
        <v>0</v>
      </c>
      <c r="O1961" s="46">
        <v>0</v>
      </c>
      <c r="P1961" s="46">
        <v>0</v>
      </c>
      <c r="Q1961" t="s">
        <v>48</v>
      </c>
      <c r="R1961" t="s">
        <v>48</v>
      </c>
      <c r="S1961" t="s">
        <v>10304</v>
      </c>
      <c r="T1961" t="s">
        <v>48</v>
      </c>
      <c r="U1961" t="s">
        <v>10304</v>
      </c>
      <c r="V1961" s="47">
        <v>0</v>
      </c>
      <c r="W1961" t="s">
        <v>48</v>
      </c>
      <c r="X1961" t="s">
        <v>48</v>
      </c>
      <c r="Y1961" t="s">
        <v>48</v>
      </c>
      <c r="Z1961" t="s">
        <v>48</v>
      </c>
      <c r="AA1961" t="s">
        <v>48</v>
      </c>
      <c r="AB1961" t="s">
        <v>48</v>
      </c>
      <c r="AC1961" t="s">
        <v>49</v>
      </c>
      <c r="AD1961" t="s">
        <v>93</v>
      </c>
      <c r="AE1961" t="s">
        <v>4532</v>
      </c>
      <c r="AF1961" t="s">
        <v>48</v>
      </c>
      <c r="AG1961" t="s">
        <v>48</v>
      </c>
      <c r="AH1961" t="s">
        <v>48</v>
      </c>
      <c r="AI1961" t="s">
        <v>48</v>
      </c>
      <c r="AJ1961" t="s">
        <v>48</v>
      </c>
      <c r="AK1961" t="s">
        <v>48</v>
      </c>
      <c r="AL1961" t="s">
        <v>48</v>
      </c>
      <c r="AM1961" t="s">
        <v>48</v>
      </c>
      <c r="AN1961" t="s">
        <v>48</v>
      </c>
      <c r="AO1961" t="s">
        <v>48</v>
      </c>
      <c r="AP1961" s="46">
        <v>0</v>
      </c>
      <c r="AQ1961" s="46">
        <v>0</v>
      </c>
      <c r="AR1961" s="46">
        <v>0</v>
      </c>
      <c r="AS1961" s="46">
        <v>0</v>
      </c>
      <c r="AT1961" s="46">
        <v>0</v>
      </c>
      <c r="AU1961" s="46">
        <v>0</v>
      </c>
      <c r="AV1961" s="46">
        <v>0</v>
      </c>
      <c r="AW1961" s="46">
        <v>0</v>
      </c>
      <c r="AX1961" s="46">
        <v>0</v>
      </c>
      <c r="AY1961" s="46">
        <v>0</v>
      </c>
      <c r="AZ1961" s="46">
        <v>0</v>
      </c>
      <c r="BA1961" s="46">
        <v>0</v>
      </c>
      <c r="BB1961" s="46">
        <v>0</v>
      </c>
      <c r="BC1961" s="46">
        <v>0</v>
      </c>
      <c r="BD1961" s="46">
        <v>0</v>
      </c>
      <c r="BE1961" s="46">
        <v>0</v>
      </c>
      <c r="BF1961" s="46">
        <v>0</v>
      </c>
      <c r="BG1961" s="46" t="s">
        <v>48</v>
      </c>
      <c r="BH1961" s="46">
        <v>0</v>
      </c>
      <c r="BI1961" s="46">
        <v>0</v>
      </c>
      <c r="BJ1961" s="46">
        <v>0</v>
      </c>
      <c r="BK1961" s="46">
        <v>0</v>
      </c>
      <c r="BL1961" s="46">
        <v>0</v>
      </c>
      <c r="BM1961" s="46">
        <v>0</v>
      </c>
      <c r="BN1961" s="46">
        <v>0</v>
      </c>
    </row>
    <row r="1962" spans="1:66" x14ac:dyDescent="0.35">
      <c r="A1962" t="s">
        <v>9630</v>
      </c>
      <c r="B1962" s="44" t="s">
        <v>48</v>
      </c>
      <c r="C1962" t="s">
        <v>2250</v>
      </c>
      <c r="D1962" t="s">
        <v>982</v>
      </c>
      <c r="E1962" t="s">
        <v>9631</v>
      </c>
      <c r="F1962" t="s">
        <v>4411</v>
      </c>
      <c r="G1962" t="s">
        <v>47</v>
      </c>
      <c r="H1962">
        <v>0</v>
      </c>
      <c r="I1962" s="61">
        <v>44753</v>
      </c>
      <c r="J1962" s="33" t="s">
        <v>45</v>
      </c>
      <c r="K1962" s="46">
        <v>0</v>
      </c>
      <c r="L1962">
        <v>24.3</v>
      </c>
      <c r="M1962" t="s">
        <v>48</v>
      </c>
      <c r="N1962" s="46">
        <v>0</v>
      </c>
      <c r="O1962" s="46">
        <v>0</v>
      </c>
      <c r="P1962" s="46">
        <v>0</v>
      </c>
      <c r="Q1962" t="s">
        <v>48</v>
      </c>
      <c r="R1962" t="s">
        <v>48</v>
      </c>
      <c r="S1962" t="s">
        <v>10306</v>
      </c>
      <c r="T1962" t="s">
        <v>48</v>
      </c>
      <c r="U1962" t="s">
        <v>10306</v>
      </c>
      <c r="V1962" s="47">
        <v>0</v>
      </c>
      <c r="W1962" t="s">
        <v>48</v>
      </c>
      <c r="X1962" t="s">
        <v>48</v>
      </c>
      <c r="Y1962" t="s">
        <v>48</v>
      </c>
      <c r="Z1962" t="s">
        <v>48</v>
      </c>
      <c r="AA1962" t="s">
        <v>48</v>
      </c>
      <c r="AB1962" t="s">
        <v>48</v>
      </c>
      <c r="AC1962" t="s">
        <v>49</v>
      </c>
      <c r="AD1962" t="s">
        <v>93</v>
      </c>
      <c r="AE1962" t="s">
        <v>4532</v>
      </c>
      <c r="AF1962" t="s">
        <v>48</v>
      </c>
      <c r="AG1962" t="s">
        <v>48</v>
      </c>
      <c r="AH1962" t="s">
        <v>48</v>
      </c>
      <c r="AI1962" t="s">
        <v>48</v>
      </c>
      <c r="AJ1962" t="s">
        <v>48</v>
      </c>
      <c r="AK1962" t="s">
        <v>48</v>
      </c>
      <c r="AL1962" t="s">
        <v>48</v>
      </c>
      <c r="AM1962" t="s">
        <v>48</v>
      </c>
      <c r="AN1962" t="s">
        <v>48</v>
      </c>
      <c r="AO1962" t="s">
        <v>48</v>
      </c>
      <c r="AP1962" s="46">
        <v>0</v>
      </c>
      <c r="AQ1962" s="46">
        <v>0</v>
      </c>
      <c r="AR1962" s="46">
        <v>0</v>
      </c>
      <c r="AS1962" s="46">
        <v>0</v>
      </c>
      <c r="AT1962" s="46">
        <v>0</v>
      </c>
      <c r="AU1962" s="46">
        <v>0</v>
      </c>
      <c r="AV1962" s="46">
        <v>0</v>
      </c>
      <c r="AW1962" s="46">
        <v>0</v>
      </c>
      <c r="AX1962" s="46">
        <v>0</v>
      </c>
      <c r="AY1962" s="46">
        <v>0</v>
      </c>
      <c r="AZ1962" s="46">
        <v>0</v>
      </c>
      <c r="BA1962" s="46">
        <v>0</v>
      </c>
      <c r="BB1962" s="46">
        <v>0</v>
      </c>
      <c r="BC1962" s="46">
        <v>0</v>
      </c>
      <c r="BD1962" s="46">
        <v>0</v>
      </c>
      <c r="BE1962" s="46">
        <v>0</v>
      </c>
      <c r="BF1962" s="46">
        <v>0</v>
      </c>
      <c r="BG1962" s="46" t="s">
        <v>48</v>
      </c>
      <c r="BH1962" s="46">
        <v>0</v>
      </c>
      <c r="BI1962" s="46">
        <v>0</v>
      </c>
      <c r="BJ1962" s="46">
        <v>0</v>
      </c>
      <c r="BK1962" s="46">
        <v>0</v>
      </c>
      <c r="BL1962" s="46">
        <v>0</v>
      </c>
      <c r="BM1962" s="46">
        <v>0</v>
      </c>
      <c r="BN1962" s="46">
        <v>0</v>
      </c>
    </row>
    <row r="1963" spans="1:66" x14ac:dyDescent="0.35">
      <c r="A1963" t="s">
        <v>4518</v>
      </c>
      <c r="B1963" s="44" t="s">
        <v>48</v>
      </c>
      <c r="C1963" t="s">
        <v>4521</v>
      </c>
      <c r="D1963" t="s">
        <v>4520</v>
      </c>
      <c r="E1963" t="s">
        <v>9633</v>
      </c>
      <c r="F1963" t="s">
        <v>4411</v>
      </c>
      <c r="G1963" t="s">
        <v>74</v>
      </c>
      <c r="H1963">
        <v>0</v>
      </c>
      <c r="I1963" s="61">
        <v>44753</v>
      </c>
      <c r="J1963" s="33" t="s">
        <v>45</v>
      </c>
      <c r="K1963" s="46">
        <v>0</v>
      </c>
      <c r="L1963">
        <v>13.8</v>
      </c>
      <c r="M1963" t="s">
        <v>48</v>
      </c>
      <c r="N1963" s="46">
        <v>0</v>
      </c>
      <c r="O1963" s="46">
        <v>0</v>
      </c>
      <c r="P1963" s="46">
        <v>0</v>
      </c>
      <c r="Q1963" t="s">
        <v>48</v>
      </c>
      <c r="R1963" t="s">
        <v>48</v>
      </c>
      <c r="S1963" t="s">
        <v>4519</v>
      </c>
      <c r="T1963" t="s">
        <v>48</v>
      </c>
      <c r="U1963" t="s">
        <v>4519</v>
      </c>
      <c r="V1963" s="47">
        <v>1</v>
      </c>
      <c r="W1963" t="s">
        <v>48</v>
      </c>
      <c r="X1963" t="s">
        <v>48</v>
      </c>
      <c r="Y1963" t="s">
        <v>48</v>
      </c>
      <c r="Z1963">
        <v>0</v>
      </c>
      <c r="AA1963" t="s">
        <v>48</v>
      </c>
      <c r="AB1963" t="s">
        <v>48</v>
      </c>
      <c r="AC1963" t="s">
        <v>49</v>
      </c>
      <c r="AD1963" t="s">
        <v>93</v>
      </c>
      <c r="AE1963" t="s">
        <v>11051</v>
      </c>
      <c r="AF1963" t="s">
        <v>11151</v>
      </c>
      <c r="AG1963" t="s">
        <v>633</v>
      </c>
      <c r="AH1963" t="s">
        <v>48</v>
      </c>
      <c r="AI1963" t="s">
        <v>48</v>
      </c>
      <c r="AJ1963" t="s">
        <v>48</v>
      </c>
      <c r="AK1963" t="s">
        <v>48</v>
      </c>
      <c r="AL1963" t="s">
        <v>48</v>
      </c>
      <c r="AM1963" t="s">
        <v>48</v>
      </c>
      <c r="AN1963" t="s">
        <v>48</v>
      </c>
      <c r="AO1963" t="s">
        <v>48</v>
      </c>
      <c r="AP1963" s="46">
        <v>0</v>
      </c>
      <c r="AQ1963" s="46">
        <v>0</v>
      </c>
      <c r="AR1963" s="46">
        <v>0</v>
      </c>
      <c r="AS1963" s="46">
        <v>0</v>
      </c>
      <c r="AT1963" s="46">
        <v>0</v>
      </c>
      <c r="AU1963" s="46">
        <v>0</v>
      </c>
      <c r="AV1963" s="46">
        <v>0</v>
      </c>
      <c r="AW1963" s="46">
        <v>0</v>
      </c>
      <c r="AX1963" s="46">
        <v>0</v>
      </c>
      <c r="AY1963" s="46">
        <v>0</v>
      </c>
      <c r="AZ1963" s="46">
        <v>0</v>
      </c>
      <c r="BA1963" s="46">
        <v>0</v>
      </c>
      <c r="BB1963" s="46">
        <v>0</v>
      </c>
      <c r="BC1963" s="46">
        <v>0</v>
      </c>
      <c r="BD1963" s="46">
        <v>0</v>
      </c>
      <c r="BE1963" s="46">
        <v>0</v>
      </c>
      <c r="BF1963" s="46">
        <v>0</v>
      </c>
      <c r="BG1963" s="46" t="s">
        <v>48</v>
      </c>
      <c r="BH1963" s="46">
        <v>0</v>
      </c>
      <c r="BI1963" s="46">
        <v>0</v>
      </c>
      <c r="BJ1963" s="46">
        <v>0</v>
      </c>
      <c r="BK1963" s="46">
        <v>0</v>
      </c>
      <c r="BL1963" s="46">
        <v>0</v>
      </c>
      <c r="BM1963" s="46">
        <v>0</v>
      </c>
      <c r="BN1963" s="46">
        <v>0</v>
      </c>
    </row>
    <row r="1964" spans="1:66" x14ac:dyDescent="0.35">
      <c r="A1964" t="s">
        <v>8418</v>
      </c>
      <c r="B1964" s="44" t="s">
        <v>48</v>
      </c>
      <c r="C1964" t="s">
        <v>12103</v>
      </c>
      <c r="D1964" t="s">
        <v>655</v>
      </c>
      <c r="E1964" t="s">
        <v>8419</v>
      </c>
      <c r="F1964" t="s">
        <v>4580</v>
      </c>
      <c r="G1964" t="s">
        <v>74</v>
      </c>
      <c r="H1964">
        <v>0</v>
      </c>
      <c r="I1964" s="61" t="s">
        <v>11160</v>
      </c>
      <c r="J1964" s="33" t="s">
        <v>45</v>
      </c>
      <c r="K1964" s="46">
        <v>0</v>
      </c>
      <c r="L1964">
        <v>99.7</v>
      </c>
      <c r="M1964" t="s">
        <v>48</v>
      </c>
      <c r="N1964" s="46">
        <v>0</v>
      </c>
      <c r="O1964" s="46">
        <v>0</v>
      </c>
      <c r="P1964" s="46">
        <v>0</v>
      </c>
      <c r="Q1964" t="s">
        <v>48</v>
      </c>
      <c r="R1964" t="s">
        <v>48</v>
      </c>
      <c r="S1964" t="s">
        <v>11350</v>
      </c>
      <c r="T1964" t="s">
        <v>48</v>
      </c>
      <c r="U1964" t="s">
        <v>10312</v>
      </c>
      <c r="V1964" s="47">
        <v>1</v>
      </c>
      <c r="W1964" t="s">
        <v>48</v>
      </c>
      <c r="X1964" t="s">
        <v>48</v>
      </c>
      <c r="Y1964" t="s">
        <v>48</v>
      </c>
      <c r="Z1964" t="s">
        <v>48</v>
      </c>
      <c r="AA1964" t="s">
        <v>11189</v>
      </c>
      <c r="AB1964" t="s">
        <v>48</v>
      </c>
      <c r="AC1964" t="s">
        <v>49</v>
      </c>
      <c r="AD1964" t="s">
        <v>93</v>
      </c>
      <c r="AE1964" t="s">
        <v>4532</v>
      </c>
      <c r="AF1964" t="s">
        <v>48</v>
      </c>
      <c r="AG1964" t="s">
        <v>48</v>
      </c>
      <c r="AH1964" t="s">
        <v>48</v>
      </c>
      <c r="AI1964" t="s">
        <v>48</v>
      </c>
      <c r="AJ1964" t="s">
        <v>48</v>
      </c>
      <c r="AK1964" t="s">
        <v>48</v>
      </c>
      <c r="AL1964" t="s">
        <v>48</v>
      </c>
      <c r="AM1964" t="s">
        <v>48</v>
      </c>
      <c r="AN1964" t="s">
        <v>48</v>
      </c>
      <c r="AO1964" t="s">
        <v>48</v>
      </c>
      <c r="AP1964" s="46">
        <v>0</v>
      </c>
      <c r="AQ1964" s="46">
        <v>0</v>
      </c>
      <c r="AR1964" s="46">
        <v>0</v>
      </c>
      <c r="AS1964" s="46">
        <v>0</v>
      </c>
      <c r="AT1964" s="46">
        <v>0</v>
      </c>
      <c r="AU1964" s="46">
        <v>0</v>
      </c>
      <c r="AV1964" s="46">
        <v>0</v>
      </c>
      <c r="AW1964" s="46">
        <v>0</v>
      </c>
      <c r="AX1964" s="46">
        <v>0</v>
      </c>
      <c r="AY1964" s="46">
        <v>0</v>
      </c>
      <c r="AZ1964" s="46">
        <v>0</v>
      </c>
      <c r="BA1964" s="46">
        <v>0</v>
      </c>
      <c r="BB1964" s="46">
        <v>0</v>
      </c>
      <c r="BC1964" s="46">
        <v>0</v>
      </c>
      <c r="BD1964" s="46">
        <v>0</v>
      </c>
      <c r="BE1964" s="46">
        <v>0</v>
      </c>
      <c r="BF1964" s="46">
        <v>0</v>
      </c>
      <c r="BG1964" s="46" t="s">
        <v>48</v>
      </c>
      <c r="BH1964" s="46">
        <v>0</v>
      </c>
      <c r="BI1964" s="46">
        <v>0</v>
      </c>
      <c r="BJ1964" s="46">
        <v>0</v>
      </c>
      <c r="BK1964" s="46">
        <v>0</v>
      </c>
      <c r="BL1964" s="46">
        <v>0</v>
      </c>
      <c r="BM1964" s="46">
        <v>0</v>
      </c>
      <c r="BN1964" s="46">
        <v>0</v>
      </c>
    </row>
    <row r="1965" spans="1:66" x14ac:dyDescent="0.35">
      <c r="A1965" t="s">
        <v>9642</v>
      </c>
      <c r="B1965" s="44" t="s">
        <v>48</v>
      </c>
      <c r="C1965" t="s">
        <v>878</v>
      </c>
      <c r="D1965" t="s">
        <v>3060</v>
      </c>
      <c r="E1965" t="s">
        <v>9643</v>
      </c>
      <c r="F1965" t="s">
        <v>4599</v>
      </c>
      <c r="G1965" t="s">
        <v>47</v>
      </c>
      <c r="H1965">
        <v>0</v>
      </c>
      <c r="I1965" s="61">
        <v>44749</v>
      </c>
      <c r="J1965" s="33" t="s">
        <v>45</v>
      </c>
      <c r="K1965" s="46">
        <v>0</v>
      </c>
      <c r="L1965">
        <v>3.7</v>
      </c>
      <c r="M1965" t="s">
        <v>48</v>
      </c>
      <c r="N1965" s="46">
        <v>0</v>
      </c>
      <c r="O1965" s="46">
        <v>0</v>
      </c>
      <c r="P1965" s="46">
        <v>0</v>
      </c>
      <c r="Q1965" t="s">
        <v>48</v>
      </c>
      <c r="R1965" t="s">
        <v>48</v>
      </c>
      <c r="S1965" t="s">
        <v>48</v>
      </c>
      <c r="T1965" t="s">
        <v>48</v>
      </c>
      <c r="U1965" t="s">
        <v>48</v>
      </c>
      <c r="V1965" s="47">
        <v>0</v>
      </c>
      <c r="W1965" t="s">
        <v>48</v>
      </c>
      <c r="X1965" t="s">
        <v>48</v>
      </c>
      <c r="Y1965" t="s">
        <v>48</v>
      </c>
      <c r="Z1965" t="s">
        <v>48</v>
      </c>
      <c r="AA1965" t="s">
        <v>48</v>
      </c>
      <c r="AB1965" t="s">
        <v>48</v>
      </c>
      <c r="AC1965" t="s">
        <v>49</v>
      </c>
      <c r="AD1965" t="s">
        <v>93</v>
      </c>
      <c r="AE1965" t="s">
        <v>4532</v>
      </c>
      <c r="AF1965" t="s">
        <v>48</v>
      </c>
      <c r="AG1965" t="s">
        <v>48</v>
      </c>
      <c r="AH1965" t="s">
        <v>48</v>
      </c>
      <c r="AI1965" t="s">
        <v>48</v>
      </c>
      <c r="AJ1965" t="s">
        <v>48</v>
      </c>
      <c r="AK1965" t="s">
        <v>48</v>
      </c>
      <c r="AL1965" t="s">
        <v>48</v>
      </c>
      <c r="AM1965" t="s">
        <v>48</v>
      </c>
      <c r="AN1965" t="s">
        <v>48</v>
      </c>
      <c r="AO1965" t="s">
        <v>48</v>
      </c>
      <c r="AP1965" s="46">
        <v>0</v>
      </c>
      <c r="AQ1965" s="46">
        <v>0</v>
      </c>
      <c r="AR1965" s="46">
        <v>0</v>
      </c>
      <c r="AS1965" s="46">
        <v>0</v>
      </c>
      <c r="AT1965" s="46">
        <v>0</v>
      </c>
      <c r="AU1965" s="46">
        <v>0</v>
      </c>
      <c r="AV1965" s="46">
        <v>0</v>
      </c>
      <c r="AW1965" s="46">
        <v>0</v>
      </c>
      <c r="AX1965" s="46">
        <v>0</v>
      </c>
      <c r="AY1965" s="46">
        <v>0</v>
      </c>
      <c r="AZ1965" s="46">
        <v>0</v>
      </c>
      <c r="BA1965" s="46">
        <v>0</v>
      </c>
      <c r="BB1965" s="46">
        <v>0</v>
      </c>
      <c r="BC1965" s="46">
        <v>0</v>
      </c>
      <c r="BD1965" s="46">
        <v>0</v>
      </c>
      <c r="BE1965" s="46">
        <v>0</v>
      </c>
      <c r="BF1965" s="46">
        <v>0</v>
      </c>
      <c r="BG1965" s="46" t="s">
        <v>48</v>
      </c>
      <c r="BH1965" s="46">
        <v>0</v>
      </c>
      <c r="BI1965" s="46">
        <v>0</v>
      </c>
      <c r="BJ1965" s="46">
        <v>0</v>
      </c>
      <c r="BK1965" s="46">
        <v>0</v>
      </c>
      <c r="BL1965" s="46">
        <v>0</v>
      </c>
      <c r="BM1965" s="46">
        <v>0</v>
      </c>
      <c r="BN1965" s="46">
        <v>0</v>
      </c>
    </row>
    <row r="1966" spans="1:66" x14ac:dyDescent="0.35">
      <c r="A1966" t="s">
        <v>4607</v>
      </c>
      <c r="B1966" s="44" t="s">
        <v>48</v>
      </c>
      <c r="C1966" t="s">
        <v>4611</v>
      </c>
      <c r="D1966" t="s">
        <v>273</v>
      </c>
      <c r="E1966" t="s">
        <v>4608</v>
      </c>
      <c r="F1966" t="s">
        <v>4599</v>
      </c>
      <c r="G1966" t="s">
        <v>47</v>
      </c>
      <c r="H1966">
        <v>0</v>
      </c>
      <c r="I1966" s="60" t="s">
        <v>51</v>
      </c>
      <c r="J1966" s="33" t="s">
        <v>45</v>
      </c>
      <c r="K1966" s="46">
        <v>1</v>
      </c>
      <c r="L1966">
        <v>11.8</v>
      </c>
      <c r="M1966" t="s">
        <v>48</v>
      </c>
      <c r="N1966" s="46">
        <v>0</v>
      </c>
      <c r="O1966" s="46">
        <v>0</v>
      </c>
      <c r="P1966" s="46">
        <v>0</v>
      </c>
      <c r="Q1966" t="s">
        <v>48</v>
      </c>
      <c r="R1966" t="s">
        <v>48</v>
      </c>
      <c r="S1966" t="s">
        <v>4609</v>
      </c>
      <c r="T1966" t="s">
        <v>4610</v>
      </c>
      <c r="U1966" t="s">
        <v>4609</v>
      </c>
      <c r="V1966" s="47">
        <v>0</v>
      </c>
      <c r="W1966" t="s">
        <v>11317</v>
      </c>
      <c r="X1966" t="s">
        <v>48</v>
      </c>
      <c r="Y1966" t="s">
        <v>48</v>
      </c>
      <c r="Z1966">
        <v>0</v>
      </c>
      <c r="AA1966" t="s">
        <v>10943</v>
      </c>
      <c r="AB1966">
        <v>2004</v>
      </c>
      <c r="AC1966" t="s">
        <v>49</v>
      </c>
      <c r="AD1966" t="s">
        <v>93</v>
      </c>
      <c r="AE1966" t="s">
        <v>4532</v>
      </c>
      <c r="AF1966" t="s">
        <v>48</v>
      </c>
      <c r="AG1966" t="s">
        <v>140</v>
      </c>
      <c r="AH1966" t="s">
        <v>93</v>
      </c>
      <c r="AI1966">
        <v>20518</v>
      </c>
      <c r="AJ1966">
        <v>1960</v>
      </c>
      <c r="AK1966" t="s">
        <v>9082</v>
      </c>
      <c r="AL1966" t="s">
        <v>9083</v>
      </c>
      <c r="AM1966">
        <v>0.30399999999999999</v>
      </c>
      <c r="AN1966">
        <v>-6.0999999999999999E-2</v>
      </c>
      <c r="AO1966">
        <v>0.30399999999999999</v>
      </c>
      <c r="AP1966" s="46">
        <v>0</v>
      </c>
      <c r="AQ1966" s="46">
        <v>0</v>
      </c>
      <c r="AR1966" s="46">
        <v>0</v>
      </c>
      <c r="AS1966" s="46">
        <v>0</v>
      </c>
      <c r="AT1966" s="46">
        <v>0</v>
      </c>
      <c r="AU1966" s="46">
        <v>0</v>
      </c>
      <c r="AV1966" s="46">
        <v>0</v>
      </c>
      <c r="AW1966" s="46">
        <v>0</v>
      </c>
      <c r="AX1966" s="46">
        <v>0</v>
      </c>
      <c r="AY1966" s="46">
        <v>0</v>
      </c>
      <c r="AZ1966" s="46">
        <v>0</v>
      </c>
      <c r="BA1966" s="46">
        <v>0</v>
      </c>
      <c r="BB1966" s="46">
        <v>0</v>
      </c>
      <c r="BC1966" s="46">
        <v>0</v>
      </c>
      <c r="BD1966" s="46">
        <v>0</v>
      </c>
      <c r="BE1966" s="46">
        <v>0</v>
      </c>
      <c r="BF1966" s="46">
        <v>0</v>
      </c>
      <c r="BG1966" s="46" t="s">
        <v>48</v>
      </c>
      <c r="BH1966" s="46">
        <v>0</v>
      </c>
      <c r="BI1966" s="46">
        <v>0</v>
      </c>
      <c r="BJ1966" s="46">
        <v>0</v>
      </c>
      <c r="BK1966" s="46">
        <v>0</v>
      </c>
      <c r="BL1966" s="46">
        <v>0</v>
      </c>
      <c r="BM1966" s="46">
        <v>1</v>
      </c>
      <c r="BN1966" s="46">
        <v>0</v>
      </c>
    </row>
    <row r="1967" spans="1:66" x14ac:dyDescent="0.35">
      <c r="A1967" t="s">
        <v>4612</v>
      </c>
      <c r="B1967" s="44" t="s">
        <v>48</v>
      </c>
      <c r="C1967" t="s">
        <v>4615</v>
      </c>
      <c r="D1967" t="s">
        <v>221</v>
      </c>
      <c r="E1967" t="s">
        <v>4613</v>
      </c>
      <c r="F1967" t="s">
        <v>4599</v>
      </c>
      <c r="G1967" t="s">
        <v>47</v>
      </c>
      <c r="H1967">
        <v>0</v>
      </c>
      <c r="I1967" s="60" t="s">
        <v>125</v>
      </c>
      <c r="J1967" s="33" t="s">
        <v>45</v>
      </c>
      <c r="K1967" s="46">
        <v>0</v>
      </c>
      <c r="L1967">
        <v>6.6</v>
      </c>
      <c r="M1967" t="s">
        <v>48</v>
      </c>
      <c r="N1967" s="46">
        <v>0</v>
      </c>
      <c r="O1967" s="46">
        <v>0</v>
      </c>
      <c r="P1967" s="46">
        <v>0</v>
      </c>
      <c r="Q1967" t="s">
        <v>48</v>
      </c>
      <c r="R1967" t="s">
        <v>48</v>
      </c>
      <c r="S1967" t="s">
        <v>4614</v>
      </c>
      <c r="T1967" t="s">
        <v>48</v>
      </c>
      <c r="U1967" t="s">
        <v>4614</v>
      </c>
      <c r="V1967" s="47">
        <v>0</v>
      </c>
      <c r="W1967" t="s">
        <v>48</v>
      </c>
      <c r="X1967" t="s">
        <v>48</v>
      </c>
      <c r="Y1967" t="s">
        <v>48</v>
      </c>
      <c r="Z1967">
        <v>0</v>
      </c>
      <c r="AA1967" t="s">
        <v>48</v>
      </c>
      <c r="AB1967" t="s">
        <v>48</v>
      </c>
      <c r="AC1967" t="s">
        <v>49</v>
      </c>
      <c r="AD1967" t="s">
        <v>93</v>
      </c>
      <c r="AE1967" t="s">
        <v>4532</v>
      </c>
      <c r="AF1967" t="s">
        <v>48</v>
      </c>
      <c r="AG1967" t="s">
        <v>48</v>
      </c>
      <c r="AH1967" t="s">
        <v>48</v>
      </c>
      <c r="AI1967" t="s">
        <v>48</v>
      </c>
      <c r="AJ1967" t="s">
        <v>48</v>
      </c>
      <c r="AK1967" t="s">
        <v>48</v>
      </c>
      <c r="AL1967" t="s">
        <v>48</v>
      </c>
      <c r="AM1967" t="s">
        <v>48</v>
      </c>
      <c r="AN1967" t="s">
        <v>48</v>
      </c>
      <c r="AO1967" t="s">
        <v>48</v>
      </c>
      <c r="AP1967" s="46">
        <v>0</v>
      </c>
      <c r="AQ1967" s="46">
        <v>0</v>
      </c>
      <c r="AR1967" s="46">
        <v>0</v>
      </c>
      <c r="AS1967" s="46">
        <v>0</v>
      </c>
      <c r="AT1967" s="46">
        <v>0</v>
      </c>
      <c r="AU1967" s="46">
        <v>0</v>
      </c>
      <c r="AV1967" s="46">
        <v>0</v>
      </c>
      <c r="AW1967" s="46">
        <v>0</v>
      </c>
      <c r="AX1967" s="46">
        <v>0</v>
      </c>
      <c r="AY1967" s="46">
        <v>0</v>
      </c>
      <c r="AZ1967" s="46">
        <v>0</v>
      </c>
      <c r="BA1967" s="46">
        <v>0</v>
      </c>
      <c r="BB1967" s="46">
        <v>0</v>
      </c>
      <c r="BC1967" s="46">
        <v>0</v>
      </c>
      <c r="BD1967" s="46">
        <v>0</v>
      </c>
      <c r="BE1967" s="46">
        <v>0</v>
      </c>
      <c r="BF1967" s="46">
        <v>0</v>
      </c>
      <c r="BG1967" s="46" t="s">
        <v>48</v>
      </c>
      <c r="BH1967" s="46">
        <v>0</v>
      </c>
      <c r="BI1967" s="46">
        <v>0</v>
      </c>
      <c r="BJ1967" s="46">
        <v>0</v>
      </c>
      <c r="BK1967" s="46">
        <v>0</v>
      </c>
      <c r="BL1967" s="46">
        <v>0</v>
      </c>
      <c r="BM1967" s="46">
        <v>0</v>
      </c>
      <c r="BN1967" s="46">
        <v>0</v>
      </c>
    </row>
    <row r="1968" spans="1:66" x14ac:dyDescent="0.35">
      <c r="A1968" t="s">
        <v>4616</v>
      </c>
      <c r="B1968" s="44" t="s">
        <v>48</v>
      </c>
      <c r="C1968" t="s">
        <v>4619</v>
      </c>
      <c r="D1968" t="s">
        <v>1505</v>
      </c>
      <c r="E1968" t="s">
        <v>4617</v>
      </c>
      <c r="F1968" t="s">
        <v>4599</v>
      </c>
      <c r="G1968" t="s">
        <v>74</v>
      </c>
      <c r="H1968">
        <v>0</v>
      </c>
      <c r="I1968" s="60" t="s">
        <v>149</v>
      </c>
      <c r="J1968" s="33" t="s">
        <v>45</v>
      </c>
      <c r="K1968" s="46">
        <v>0</v>
      </c>
      <c r="L1968">
        <v>13.3</v>
      </c>
      <c r="M1968" t="s">
        <v>48</v>
      </c>
      <c r="N1968" s="46">
        <v>0</v>
      </c>
      <c r="O1968" s="46">
        <v>0</v>
      </c>
      <c r="P1968" s="46">
        <v>0</v>
      </c>
      <c r="Q1968" t="s">
        <v>48</v>
      </c>
      <c r="R1968" t="s">
        <v>48</v>
      </c>
      <c r="S1968" t="s">
        <v>4618</v>
      </c>
      <c r="T1968" t="s">
        <v>48</v>
      </c>
      <c r="U1968" t="s">
        <v>4618</v>
      </c>
      <c r="V1968" s="47">
        <v>0</v>
      </c>
      <c r="W1968" t="s">
        <v>48</v>
      </c>
      <c r="X1968" t="s">
        <v>48</v>
      </c>
      <c r="Y1968" t="s">
        <v>48</v>
      </c>
      <c r="Z1968">
        <v>0</v>
      </c>
      <c r="AA1968" t="s">
        <v>48</v>
      </c>
      <c r="AB1968" t="s">
        <v>48</v>
      </c>
      <c r="AC1968" t="s">
        <v>49</v>
      </c>
      <c r="AD1968" t="s">
        <v>93</v>
      </c>
      <c r="AE1968" t="s">
        <v>2471</v>
      </c>
      <c r="AF1968" t="s">
        <v>48</v>
      </c>
      <c r="AG1968" t="s">
        <v>48</v>
      </c>
      <c r="AH1968" t="s">
        <v>48</v>
      </c>
      <c r="AI1968" t="s">
        <v>48</v>
      </c>
      <c r="AJ1968" t="s">
        <v>48</v>
      </c>
      <c r="AK1968" t="s">
        <v>48</v>
      </c>
      <c r="AL1968" t="s">
        <v>48</v>
      </c>
      <c r="AM1968" t="s">
        <v>48</v>
      </c>
      <c r="AN1968" t="s">
        <v>48</v>
      </c>
      <c r="AO1968" t="s">
        <v>48</v>
      </c>
      <c r="AP1968" s="46">
        <v>0</v>
      </c>
      <c r="AQ1968" s="46">
        <v>0</v>
      </c>
      <c r="AR1968" s="46">
        <v>0</v>
      </c>
      <c r="AS1968" s="46">
        <v>0</v>
      </c>
      <c r="AT1968" s="46">
        <v>0</v>
      </c>
      <c r="AU1968" s="46">
        <v>0</v>
      </c>
      <c r="AV1968" s="46">
        <v>0</v>
      </c>
      <c r="AW1968" s="46">
        <v>0</v>
      </c>
      <c r="AX1968" s="46">
        <v>0</v>
      </c>
      <c r="AY1968" s="46">
        <v>0</v>
      </c>
      <c r="AZ1968" s="46">
        <v>0</v>
      </c>
      <c r="BA1968" s="46">
        <v>0</v>
      </c>
      <c r="BB1968" s="46">
        <v>0</v>
      </c>
      <c r="BC1968" s="46">
        <v>0</v>
      </c>
      <c r="BD1968" s="46">
        <v>0</v>
      </c>
      <c r="BE1968" s="46">
        <v>0</v>
      </c>
      <c r="BF1968" s="46">
        <v>0</v>
      </c>
      <c r="BG1968" s="46" t="s">
        <v>48</v>
      </c>
      <c r="BH1968" s="46">
        <v>0</v>
      </c>
      <c r="BI1968" s="46">
        <v>0</v>
      </c>
      <c r="BJ1968" s="46">
        <v>0</v>
      </c>
      <c r="BK1968" s="46">
        <v>0</v>
      </c>
      <c r="BL1968" s="46">
        <v>0</v>
      </c>
      <c r="BM1968" s="46">
        <v>0</v>
      </c>
      <c r="BN1968" s="46">
        <v>0</v>
      </c>
    </row>
    <row r="1969" spans="1:66" x14ac:dyDescent="0.35">
      <c r="A1969" t="s">
        <v>9644</v>
      </c>
      <c r="B1969" s="44" t="s">
        <v>48</v>
      </c>
      <c r="C1969" t="s">
        <v>12110</v>
      </c>
      <c r="D1969" t="s">
        <v>12111</v>
      </c>
      <c r="E1969" t="s">
        <v>9645</v>
      </c>
      <c r="F1969" t="s">
        <v>4599</v>
      </c>
      <c r="G1969" t="s">
        <v>47</v>
      </c>
      <c r="H1969">
        <v>0</v>
      </c>
      <c r="I1969" s="61">
        <v>44749</v>
      </c>
      <c r="J1969" s="33" t="s">
        <v>45</v>
      </c>
      <c r="K1969" s="46">
        <v>0</v>
      </c>
      <c r="L1969">
        <v>4</v>
      </c>
      <c r="M1969" t="s">
        <v>48</v>
      </c>
      <c r="N1969" s="46">
        <v>0</v>
      </c>
      <c r="O1969" s="46">
        <v>0</v>
      </c>
      <c r="P1969" s="46">
        <v>0</v>
      </c>
      <c r="Q1969" t="s">
        <v>48</v>
      </c>
      <c r="R1969" t="s">
        <v>48</v>
      </c>
      <c r="S1969" t="s">
        <v>10315</v>
      </c>
      <c r="T1969" t="s">
        <v>48</v>
      </c>
      <c r="U1969" t="s">
        <v>10315</v>
      </c>
      <c r="V1969" s="47">
        <v>0</v>
      </c>
      <c r="W1969" t="s">
        <v>48</v>
      </c>
      <c r="X1969" t="s">
        <v>48</v>
      </c>
      <c r="Y1969" t="s">
        <v>48</v>
      </c>
      <c r="Z1969" t="s">
        <v>48</v>
      </c>
      <c r="AA1969" t="s">
        <v>48</v>
      </c>
      <c r="AB1969" t="s">
        <v>48</v>
      </c>
      <c r="AC1969" t="s">
        <v>63</v>
      </c>
      <c r="AD1969" t="s">
        <v>93</v>
      </c>
      <c r="AE1969" t="s">
        <v>977</v>
      </c>
      <c r="AF1969" t="s">
        <v>11056</v>
      </c>
      <c r="AG1969" t="s">
        <v>48</v>
      </c>
      <c r="AH1969" t="s">
        <v>48</v>
      </c>
      <c r="AI1969" t="s">
        <v>48</v>
      </c>
      <c r="AJ1969" t="s">
        <v>48</v>
      </c>
      <c r="AK1969" t="s">
        <v>48</v>
      </c>
      <c r="AL1969" t="s">
        <v>48</v>
      </c>
      <c r="AM1969" t="s">
        <v>48</v>
      </c>
      <c r="AN1969" t="s">
        <v>48</v>
      </c>
      <c r="AO1969" t="s">
        <v>48</v>
      </c>
      <c r="AP1969" s="46">
        <v>0</v>
      </c>
      <c r="AQ1969" s="46">
        <v>0</v>
      </c>
      <c r="AR1969" s="46">
        <v>0</v>
      </c>
      <c r="AS1969" s="46">
        <v>0</v>
      </c>
      <c r="AT1969" s="46">
        <v>0</v>
      </c>
      <c r="AU1969" s="46">
        <v>0</v>
      </c>
      <c r="AV1969" s="46">
        <v>0</v>
      </c>
      <c r="AW1969" s="46">
        <v>0</v>
      </c>
      <c r="AX1969" s="46">
        <v>0</v>
      </c>
      <c r="AY1969" s="46">
        <v>0</v>
      </c>
      <c r="AZ1969" s="46">
        <v>0</v>
      </c>
      <c r="BA1969" s="46">
        <v>0</v>
      </c>
      <c r="BB1969" s="46">
        <v>0</v>
      </c>
      <c r="BC1969" s="46">
        <v>0</v>
      </c>
      <c r="BD1969" s="46">
        <v>0</v>
      </c>
      <c r="BE1969" s="46">
        <v>0</v>
      </c>
      <c r="BF1969" s="46">
        <v>0</v>
      </c>
      <c r="BG1969" s="46" t="s">
        <v>48</v>
      </c>
      <c r="BH1969" s="46">
        <v>0</v>
      </c>
      <c r="BI1969" s="46">
        <v>0</v>
      </c>
      <c r="BJ1969" s="46">
        <v>0</v>
      </c>
      <c r="BK1969" s="46">
        <v>0</v>
      </c>
      <c r="BL1969" s="46">
        <v>0</v>
      </c>
      <c r="BM1969" s="46">
        <v>0</v>
      </c>
      <c r="BN1969" s="46">
        <v>0</v>
      </c>
    </row>
    <row r="1970" spans="1:66" x14ac:dyDescent="0.35">
      <c r="A1970" t="s">
        <v>4626</v>
      </c>
      <c r="B1970" s="44" t="s">
        <v>48</v>
      </c>
      <c r="C1970" t="s">
        <v>4630</v>
      </c>
      <c r="D1970" t="s">
        <v>4629</v>
      </c>
      <c r="E1970" t="s">
        <v>4627</v>
      </c>
      <c r="F1970" t="s">
        <v>4621</v>
      </c>
      <c r="G1970" t="s">
        <v>74</v>
      </c>
      <c r="H1970">
        <v>0</v>
      </c>
      <c r="I1970" s="60" t="s">
        <v>51</v>
      </c>
      <c r="J1970" s="33" t="s">
        <v>45</v>
      </c>
      <c r="K1970" s="46">
        <v>0</v>
      </c>
      <c r="L1970">
        <v>30.7</v>
      </c>
      <c r="M1970" t="s">
        <v>48</v>
      </c>
      <c r="N1970" s="46">
        <v>0</v>
      </c>
      <c r="O1970" s="46">
        <v>0</v>
      </c>
      <c r="P1970" s="46">
        <v>0</v>
      </c>
      <c r="Q1970" t="s">
        <v>48</v>
      </c>
      <c r="R1970" t="s">
        <v>48</v>
      </c>
      <c r="S1970" t="s">
        <v>4628</v>
      </c>
      <c r="T1970" t="s">
        <v>48</v>
      </c>
      <c r="U1970" t="s">
        <v>4628</v>
      </c>
      <c r="V1970" s="47">
        <v>1</v>
      </c>
      <c r="W1970" t="s">
        <v>48</v>
      </c>
      <c r="X1970" t="s">
        <v>48</v>
      </c>
      <c r="Y1970" t="s">
        <v>48</v>
      </c>
      <c r="Z1970">
        <v>0</v>
      </c>
      <c r="AA1970" t="s">
        <v>48</v>
      </c>
      <c r="AB1970" t="s">
        <v>48</v>
      </c>
      <c r="AC1970" t="s">
        <v>63</v>
      </c>
      <c r="AD1970" t="s">
        <v>93</v>
      </c>
      <c r="AE1970" s="40" t="s">
        <v>2471</v>
      </c>
      <c r="AF1970" t="s">
        <v>11061</v>
      </c>
      <c r="AG1970" t="s">
        <v>48</v>
      </c>
      <c r="AH1970" t="s">
        <v>48</v>
      </c>
      <c r="AI1970" t="s">
        <v>48</v>
      </c>
      <c r="AJ1970" t="s">
        <v>48</v>
      </c>
      <c r="AK1970" t="s">
        <v>48</v>
      </c>
      <c r="AL1970" t="s">
        <v>48</v>
      </c>
      <c r="AM1970" t="s">
        <v>48</v>
      </c>
      <c r="AN1970" t="s">
        <v>48</v>
      </c>
      <c r="AO1970" t="s">
        <v>48</v>
      </c>
      <c r="AP1970" s="46">
        <v>0</v>
      </c>
      <c r="AQ1970" s="46">
        <v>0</v>
      </c>
      <c r="AR1970" s="46">
        <v>0</v>
      </c>
      <c r="AS1970" s="46">
        <v>0</v>
      </c>
      <c r="AT1970" s="46">
        <v>0</v>
      </c>
      <c r="AU1970" s="46">
        <v>0</v>
      </c>
      <c r="AV1970" s="46">
        <v>0</v>
      </c>
      <c r="AW1970" s="46">
        <v>0</v>
      </c>
      <c r="AX1970" s="46">
        <v>0</v>
      </c>
      <c r="AY1970" s="46">
        <v>0</v>
      </c>
      <c r="AZ1970" s="46">
        <v>0</v>
      </c>
      <c r="BA1970" s="46">
        <v>0</v>
      </c>
      <c r="BB1970" s="46">
        <v>0</v>
      </c>
      <c r="BC1970" s="46">
        <v>0</v>
      </c>
      <c r="BD1970" s="46">
        <v>0</v>
      </c>
      <c r="BE1970" s="46">
        <v>0</v>
      </c>
      <c r="BF1970" s="46">
        <v>0</v>
      </c>
      <c r="BG1970" s="46" t="s">
        <v>48</v>
      </c>
      <c r="BH1970" s="46">
        <v>0</v>
      </c>
      <c r="BI1970" s="46">
        <v>0</v>
      </c>
      <c r="BJ1970" s="46">
        <v>0</v>
      </c>
      <c r="BK1970" s="46">
        <v>0</v>
      </c>
      <c r="BL1970" s="46">
        <v>0</v>
      </c>
      <c r="BM1970" s="46">
        <v>0</v>
      </c>
      <c r="BN1970" s="46">
        <v>0</v>
      </c>
    </row>
    <row r="1971" spans="1:66" x14ac:dyDescent="0.35">
      <c r="A1971" t="s">
        <v>7938</v>
      </c>
      <c r="B1971" s="44" t="s">
        <v>48</v>
      </c>
      <c r="C1971" t="s">
        <v>12112</v>
      </c>
      <c r="D1971" t="s">
        <v>571</v>
      </c>
      <c r="E1971" t="s">
        <v>7937</v>
      </c>
      <c r="F1971" t="s">
        <v>4621</v>
      </c>
      <c r="G1971" t="s">
        <v>47</v>
      </c>
      <c r="H1971">
        <v>0</v>
      </c>
      <c r="I1971" s="61">
        <v>44720</v>
      </c>
      <c r="J1971" s="33" t="s">
        <v>45</v>
      </c>
      <c r="K1971" s="46">
        <v>0</v>
      </c>
      <c r="L1971">
        <v>22.8</v>
      </c>
      <c r="M1971" t="s">
        <v>48</v>
      </c>
      <c r="N1971" s="46">
        <v>0</v>
      </c>
      <c r="O1971" s="46">
        <v>0</v>
      </c>
      <c r="P1971" s="46">
        <v>0</v>
      </c>
      <c r="Q1971" t="s">
        <v>48</v>
      </c>
      <c r="R1971" t="s">
        <v>48</v>
      </c>
      <c r="S1971" t="s">
        <v>10316</v>
      </c>
      <c r="T1971" t="s">
        <v>48</v>
      </c>
      <c r="U1971" t="s">
        <v>10316</v>
      </c>
      <c r="V1971" s="47">
        <v>0</v>
      </c>
      <c r="W1971" t="s">
        <v>48</v>
      </c>
      <c r="X1971" t="s">
        <v>48</v>
      </c>
      <c r="Y1971" t="s">
        <v>48</v>
      </c>
      <c r="Z1971" t="s">
        <v>48</v>
      </c>
      <c r="AA1971" t="s">
        <v>48</v>
      </c>
      <c r="AB1971" t="s">
        <v>48</v>
      </c>
      <c r="AC1971" t="s">
        <v>49</v>
      </c>
      <c r="AD1971" t="s">
        <v>93</v>
      </c>
      <c r="AE1971" t="s">
        <v>4532</v>
      </c>
      <c r="AF1971" t="s">
        <v>48</v>
      </c>
      <c r="AG1971" t="s">
        <v>48</v>
      </c>
      <c r="AH1971" t="s">
        <v>48</v>
      </c>
      <c r="AI1971" t="s">
        <v>48</v>
      </c>
      <c r="AJ1971" t="s">
        <v>48</v>
      </c>
      <c r="AK1971" t="s">
        <v>48</v>
      </c>
      <c r="AL1971" t="s">
        <v>48</v>
      </c>
      <c r="AM1971" t="s">
        <v>48</v>
      </c>
      <c r="AN1971" t="s">
        <v>48</v>
      </c>
      <c r="AO1971" t="s">
        <v>48</v>
      </c>
      <c r="AP1971" s="46">
        <v>0</v>
      </c>
      <c r="AQ1971" s="46">
        <v>0</v>
      </c>
      <c r="AR1971" s="46">
        <v>0</v>
      </c>
      <c r="AS1971" s="46">
        <v>0</v>
      </c>
      <c r="AT1971" s="46">
        <v>0</v>
      </c>
      <c r="AU1971" s="46">
        <v>0</v>
      </c>
      <c r="AV1971" s="46">
        <v>0</v>
      </c>
      <c r="AW1971" s="46">
        <v>0</v>
      </c>
      <c r="AX1971" s="46">
        <v>0</v>
      </c>
      <c r="AY1971" s="46">
        <v>0</v>
      </c>
      <c r="AZ1971" s="46">
        <v>0</v>
      </c>
      <c r="BA1971" s="46">
        <v>0</v>
      </c>
      <c r="BB1971" s="46">
        <v>0</v>
      </c>
      <c r="BC1971" s="46">
        <v>0</v>
      </c>
      <c r="BD1971" s="46">
        <v>0</v>
      </c>
      <c r="BE1971" s="46">
        <v>0</v>
      </c>
      <c r="BF1971" s="46">
        <v>0</v>
      </c>
      <c r="BG1971" s="46" t="s">
        <v>48</v>
      </c>
      <c r="BH1971" s="46">
        <v>0</v>
      </c>
      <c r="BI1971" s="46">
        <v>0</v>
      </c>
      <c r="BJ1971" s="46">
        <v>0</v>
      </c>
      <c r="BK1971" s="46">
        <v>0</v>
      </c>
      <c r="BL1971" s="46">
        <v>0</v>
      </c>
      <c r="BM1971" s="46">
        <v>0</v>
      </c>
      <c r="BN1971" s="46">
        <v>0</v>
      </c>
    </row>
    <row r="1972" spans="1:66" x14ac:dyDescent="0.35">
      <c r="A1972" t="s">
        <v>7910</v>
      </c>
      <c r="B1972" s="44" t="s">
        <v>48</v>
      </c>
      <c r="C1972" t="s">
        <v>12115</v>
      </c>
      <c r="D1972" t="s">
        <v>705</v>
      </c>
      <c r="E1972" t="s">
        <v>7909</v>
      </c>
      <c r="F1972" t="s">
        <v>4635</v>
      </c>
      <c r="G1972" t="s">
        <v>74</v>
      </c>
      <c r="H1972">
        <v>0</v>
      </c>
      <c r="I1972" s="61">
        <v>44720</v>
      </c>
      <c r="J1972" s="33" t="s">
        <v>45</v>
      </c>
      <c r="K1972" s="46">
        <v>0</v>
      </c>
      <c r="L1972">
        <v>47.7</v>
      </c>
      <c r="M1972" t="s">
        <v>48</v>
      </c>
      <c r="N1972" s="46">
        <v>0</v>
      </c>
      <c r="O1972" s="46">
        <v>0</v>
      </c>
      <c r="P1972" s="46">
        <v>0</v>
      </c>
      <c r="Q1972" t="s">
        <v>48</v>
      </c>
      <c r="R1972" t="s">
        <v>48</v>
      </c>
      <c r="S1972" t="s">
        <v>48</v>
      </c>
      <c r="T1972" t="s">
        <v>48</v>
      </c>
      <c r="U1972" t="s">
        <v>48</v>
      </c>
      <c r="V1972" s="47">
        <v>1</v>
      </c>
      <c r="W1972" t="s">
        <v>48</v>
      </c>
      <c r="X1972" t="s">
        <v>48</v>
      </c>
      <c r="Y1972" t="s">
        <v>48</v>
      </c>
      <c r="Z1972" t="s">
        <v>48</v>
      </c>
      <c r="AA1972" t="s">
        <v>48</v>
      </c>
      <c r="AB1972" t="s">
        <v>48</v>
      </c>
      <c r="AC1972" t="s">
        <v>49</v>
      </c>
      <c r="AD1972" t="s">
        <v>93</v>
      </c>
      <c r="AE1972" t="s">
        <v>4532</v>
      </c>
      <c r="AF1972" t="s">
        <v>48</v>
      </c>
      <c r="AG1972" t="s">
        <v>48</v>
      </c>
      <c r="AH1972" t="s">
        <v>48</v>
      </c>
      <c r="AI1972" t="s">
        <v>48</v>
      </c>
      <c r="AJ1972" t="s">
        <v>48</v>
      </c>
      <c r="AK1972" t="s">
        <v>48</v>
      </c>
      <c r="AL1972" t="s">
        <v>48</v>
      </c>
      <c r="AM1972" t="s">
        <v>48</v>
      </c>
      <c r="AN1972" t="s">
        <v>48</v>
      </c>
      <c r="AO1972" t="s">
        <v>48</v>
      </c>
      <c r="AP1972" s="46">
        <v>0</v>
      </c>
      <c r="AQ1972" s="46">
        <v>0</v>
      </c>
      <c r="AR1972" s="46">
        <v>0</v>
      </c>
      <c r="AS1972" s="46">
        <v>0</v>
      </c>
      <c r="AT1972" s="46">
        <v>0</v>
      </c>
      <c r="AU1972" s="46">
        <v>0</v>
      </c>
      <c r="AV1972" s="46">
        <v>0</v>
      </c>
      <c r="AW1972" s="46">
        <v>0</v>
      </c>
      <c r="AX1972" s="46">
        <v>0</v>
      </c>
      <c r="AY1972" s="46">
        <v>0</v>
      </c>
      <c r="AZ1972" s="46">
        <v>0</v>
      </c>
      <c r="BA1972" s="46">
        <v>0</v>
      </c>
      <c r="BB1972" s="46">
        <v>0</v>
      </c>
      <c r="BC1972" s="46">
        <v>0</v>
      </c>
      <c r="BD1972" s="46">
        <v>0</v>
      </c>
      <c r="BE1972" s="46">
        <v>0</v>
      </c>
      <c r="BF1972" s="46">
        <v>0</v>
      </c>
      <c r="BG1972" s="46" t="s">
        <v>48</v>
      </c>
      <c r="BH1972" s="46">
        <v>0</v>
      </c>
      <c r="BI1972" s="46">
        <v>0</v>
      </c>
      <c r="BJ1972" s="46">
        <v>0</v>
      </c>
      <c r="BK1972" s="46">
        <v>0</v>
      </c>
      <c r="BL1972" s="46">
        <v>0</v>
      </c>
      <c r="BM1972" s="46">
        <v>0</v>
      </c>
      <c r="BN1972" s="46">
        <v>0</v>
      </c>
    </row>
    <row r="1973" spans="1:66" x14ac:dyDescent="0.35">
      <c r="A1973" t="s">
        <v>7936</v>
      </c>
      <c r="B1973" s="44" t="s">
        <v>48</v>
      </c>
      <c r="C1973" t="s">
        <v>12113</v>
      </c>
      <c r="D1973" t="s">
        <v>288</v>
      </c>
      <c r="E1973" t="s">
        <v>7935</v>
      </c>
      <c r="F1973" t="s">
        <v>4635</v>
      </c>
      <c r="G1973" t="s">
        <v>47</v>
      </c>
      <c r="H1973">
        <v>0</v>
      </c>
      <c r="I1973" s="61">
        <v>44720</v>
      </c>
      <c r="J1973" s="33" t="s">
        <v>45</v>
      </c>
      <c r="K1973" s="46">
        <v>0</v>
      </c>
      <c r="L1973">
        <v>24</v>
      </c>
      <c r="M1973" t="s">
        <v>48</v>
      </c>
      <c r="N1973" s="46">
        <v>0</v>
      </c>
      <c r="O1973" s="46">
        <v>0</v>
      </c>
      <c r="P1973" s="46">
        <v>0</v>
      </c>
      <c r="Q1973" t="s">
        <v>48</v>
      </c>
      <c r="R1973" t="s">
        <v>48</v>
      </c>
      <c r="S1973" t="s">
        <v>48</v>
      </c>
      <c r="T1973" t="s">
        <v>48</v>
      </c>
      <c r="U1973" t="s">
        <v>48</v>
      </c>
      <c r="V1973" s="47">
        <v>0</v>
      </c>
      <c r="W1973" t="s">
        <v>48</v>
      </c>
      <c r="X1973" t="s">
        <v>48</v>
      </c>
      <c r="Y1973" t="s">
        <v>48</v>
      </c>
      <c r="Z1973" t="s">
        <v>48</v>
      </c>
      <c r="AA1973" t="s">
        <v>48</v>
      </c>
      <c r="AB1973" t="s">
        <v>48</v>
      </c>
      <c r="AC1973" t="s">
        <v>49</v>
      </c>
      <c r="AD1973" t="s">
        <v>48</v>
      </c>
      <c r="AE1973" t="s">
        <v>48</v>
      </c>
      <c r="AF1973" t="s">
        <v>48</v>
      </c>
      <c r="AG1973" t="s">
        <v>48</v>
      </c>
      <c r="AH1973" t="s">
        <v>48</v>
      </c>
      <c r="AI1973" t="s">
        <v>48</v>
      </c>
      <c r="AJ1973" t="s">
        <v>48</v>
      </c>
      <c r="AK1973" t="s">
        <v>48</v>
      </c>
      <c r="AL1973" t="s">
        <v>48</v>
      </c>
      <c r="AM1973" t="s">
        <v>48</v>
      </c>
      <c r="AN1973" t="s">
        <v>48</v>
      </c>
      <c r="AO1973" t="s">
        <v>48</v>
      </c>
      <c r="AP1973" s="46">
        <v>0</v>
      </c>
      <c r="AQ1973" s="46">
        <v>0</v>
      </c>
      <c r="AR1973" s="46">
        <v>0</v>
      </c>
      <c r="AS1973" s="46">
        <v>0</v>
      </c>
      <c r="AT1973" s="46">
        <v>0</v>
      </c>
      <c r="AU1973" s="46">
        <v>0</v>
      </c>
      <c r="AV1973" s="46">
        <v>0</v>
      </c>
      <c r="AW1973" s="46">
        <v>0</v>
      </c>
      <c r="AX1973" s="46">
        <v>0</v>
      </c>
      <c r="AY1973" s="46">
        <v>0</v>
      </c>
      <c r="AZ1973" s="46">
        <v>0</v>
      </c>
      <c r="BA1973" s="46">
        <v>0</v>
      </c>
      <c r="BB1973" s="46">
        <v>0</v>
      </c>
      <c r="BC1973" s="46">
        <v>0</v>
      </c>
      <c r="BD1973" s="46">
        <v>0</v>
      </c>
      <c r="BE1973" s="46">
        <v>0</v>
      </c>
      <c r="BF1973" s="46">
        <v>0</v>
      </c>
      <c r="BG1973" s="46" t="s">
        <v>48</v>
      </c>
      <c r="BH1973" s="46">
        <v>0</v>
      </c>
      <c r="BI1973" s="46">
        <v>0</v>
      </c>
      <c r="BJ1973" s="46">
        <v>0</v>
      </c>
      <c r="BK1973" s="46">
        <v>0</v>
      </c>
      <c r="BL1973" s="46">
        <v>0</v>
      </c>
      <c r="BM1973" s="46">
        <v>0</v>
      </c>
      <c r="BN1973" s="46">
        <v>0</v>
      </c>
    </row>
    <row r="1974" spans="1:66" x14ac:dyDescent="0.35">
      <c r="A1974" t="s">
        <v>4662</v>
      </c>
      <c r="B1974" s="44" t="s">
        <v>48</v>
      </c>
      <c r="C1974" t="s">
        <v>12116</v>
      </c>
      <c r="D1974" t="s">
        <v>4664</v>
      </c>
      <c r="E1974" t="s">
        <v>4663</v>
      </c>
      <c r="F1974" t="s">
        <v>4652</v>
      </c>
      <c r="G1974" t="s">
        <v>47</v>
      </c>
      <c r="H1974">
        <v>0</v>
      </c>
      <c r="I1974" s="60" t="s">
        <v>51</v>
      </c>
      <c r="J1974" s="33" t="s">
        <v>45</v>
      </c>
      <c r="K1974" s="46">
        <v>0</v>
      </c>
      <c r="L1974">
        <v>17.8</v>
      </c>
      <c r="M1974" t="s">
        <v>48</v>
      </c>
      <c r="N1974" s="46">
        <v>0</v>
      </c>
      <c r="O1974" s="46">
        <v>0</v>
      </c>
      <c r="P1974" s="46">
        <v>0</v>
      </c>
      <c r="Q1974" t="s">
        <v>48</v>
      </c>
      <c r="R1974" t="s">
        <v>48</v>
      </c>
      <c r="S1974" t="s">
        <v>48</v>
      </c>
      <c r="T1974" t="s">
        <v>48</v>
      </c>
      <c r="U1974" t="s">
        <v>48</v>
      </c>
      <c r="V1974" s="47">
        <v>0</v>
      </c>
      <c r="W1974" t="s">
        <v>48</v>
      </c>
      <c r="X1974" t="s">
        <v>48</v>
      </c>
      <c r="Y1974" t="s">
        <v>48</v>
      </c>
      <c r="Z1974">
        <v>0</v>
      </c>
      <c r="AA1974" t="s">
        <v>48</v>
      </c>
      <c r="AB1974" t="s">
        <v>48</v>
      </c>
      <c r="AC1974" t="s">
        <v>63</v>
      </c>
      <c r="AD1974" t="s">
        <v>93</v>
      </c>
      <c r="AE1974" t="s">
        <v>4532</v>
      </c>
      <c r="AF1974" t="s">
        <v>48</v>
      </c>
      <c r="AG1974" t="s">
        <v>48</v>
      </c>
      <c r="AH1974" t="s">
        <v>93</v>
      </c>
      <c r="AI1974" t="s">
        <v>48</v>
      </c>
      <c r="AJ1974" t="s">
        <v>48</v>
      </c>
      <c r="AK1974" t="s">
        <v>48</v>
      </c>
      <c r="AL1974" t="s">
        <v>48</v>
      </c>
      <c r="AM1974" t="s">
        <v>48</v>
      </c>
      <c r="AN1974" t="s">
        <v>48</v>
      </c>
      <c r="AO1974" t="s">
        <v>48</v>
      </c>
      <c r="AP1974" s="46">
        <v>0</v>
      </c>
      <c r="AQ1974" s="46">
        <v>0</v>
      </c>
      <c r="AR1974" s="46">
        <v>0</v>
      </c>
      <c r="AS1974" s="46">
        <v>0</v>
      </c>
      <c r="AT1974" s="46">
        <v>0</v>
      </c>
      <c r="AU1974" s="46">
        <v>0</v>
      </c>
      <c r="AV1974" s="46">
        <v>0</v>
      </c>
      <c r="AW1974" s="46">
        <v>0</v>
      </c>
      <c r="AX1974" s="46">
        <v>0</v>
      </c>
      <c r="AY1974" s="46">
        <v>0</v>
      </c>
      <c r="AZ1974" s="46">
        <v>0</v>
      </c>
      <c r="BA1974" s="46">
        <v>0</v>
      </c>
      <c r="BB1974" s="46">
        <v>0</v>
      </c>
      <c r="BC1974" s="46">
        <v>0</v>
      </c>
      <c r="BD1974" s="46">
        <v>0</v>
      </c>
      <c r="BE1974" s="46">
        <v>0</v>
      </c>
      <c r="BF1974" s="46">
        <v>0</v>
      </c>
      <c r="BG1974" s="46" t="s">
        <v>48</v>
      </c>
      <c r="BH1974" s="46">
        <v>0</v>
      </c>
      <c r="BI1974" s="46">
        <v>0</v>
      </c>
      <c r="BJ1974" s="46">
        <v>0</v>
      </c>
      <c r="BK1974" s="46">
        <v>0</v>
      </c>
      <c r="BL1974" s="46">
        <v>0</v>
      </c>
      <c r="BM1974" s="46">
        <v>0</v>
      </c>
      <c r="BN1974" s="46">
        <v>0</v>
      </c>
    </row>
    <row r="1975" spans="1:66" x14ac:dyDescent="0.35">
      <c r="A1975" t="s">
        <v>11005</v>
      </c>
      <c r="B1975" s="44" t="s">
        <v>48</v>
      </c>
      <c r="C1975" t="s">
        <v>58</v>
      </c>
      <c r="D1975" t="s">
        <v>311</v>
      </c>
      <c r="E1975" t="s">
        <v>11006</v>
      </c>
      <c r="F1975" t="s">
        <v>4652</v>
      </c>
      <c r="G1975" t="s">
        <v>47</v>
      </c>
      <c r="H1975">
        <v>0</v>
      </c>
      <c r="I1975" s="61">
        <v>44819</v>
      </c>
      <c r="J1975" s="33" t="s">
        <v>45</v>
      </c>
      <c r="K1975" s="46">
        <v>0</v>
      </c>
      <c r="L1975">
        <v>1</v>
      </c>
      <c r="M1975" t="s">
        <v>48</v>
      </c>
      <c r="N1975" s="46">
        <v>0</v>
      </c>
      <c r="O1975" s="46">
        <v>0</v>
      </c>
      <c r="P1975" s="46">
        <v>0</v>
      </c>
      <c r="Q1975" t="s">
        <v>48</v>
      </c>
      <c r="R1975" t="s">
        <v>48</v>
      </c>
      <c r="S1975" t="s">
        <v>48</v>
      </c>
      <c r="T1975" t="s">
        <v>48</v>
      </c>
      <c r="U1975" t="s">
        <v>48</v>
      </c>
      <c r="V1975" s="47">
        <v>1</v>
      </c>
      <c r="W1975" t="s">
        <v>11264</v>
      </c>
      <c r="X1975" t="s">
        <v>48</v>
      </c>
      <c r="Y1975" t="s">
        <v>48</v>
      </c>
      <c r="Z1975" t="s">
        <v>48</v>
      </c>
      <c r="AA1975" t="s">
        <v>48</v>
      </c>
      <c r="AB1975" t="s">
        <v>48</v>
      </c>
      <c r="AC1975" t="s">
        <v>63</v>
      </c>
      <c r="AD1975" t="s">
        <v>93</v>
      </c>
      <c r="AE1975" t="s">
        <v>4532</v>
      </c>
      <c r="AF1975" t="s">
        <v>48</v>
      </c>
      <c r="AG1975" t="s">
        <v>48</v>
      </c>
      <c r="AH1975" t="s">
        <v>48</v>
      </c>
      <c r="AI1975" t="s">
        <v>48</v>
      </c>
      <c r="AJ1975" t="s">
        <v>48</v>
      </c>
      <c r="AK1975" t="s">
        <v>48</v>
      </c>
      <c r="AL1975" t="s">
        <v>48</v>
      </c>
      <c r="AM1975" t="s">
        <v>48</v>
      </c>
      <c r="AN1975" t="s">
        <v>48</v>
      </c>
      <c r="AO1975" t="s">
        <v>48</v>
      </c>
      <c r="AP1975" s="46">
        <v>0</v>
      </c>
      <c r="AQ1975" s="46">
        <v>0</v>
      </c>
      <c r="AR1975" s="46">
        <v>0</v>
      </c>
      <c r="AS1975" s="46">
        <v>0</v>
      </c>
      <c r="AT1975" s="46">
        <v>0</v>
      </c>
      <c r="AU1975" s="46">
        <v>0</v>
      </c>
      <c r="AV1975" s="46">
        <v>0</v>
      </c>
      <c r="AW1975" s="46">
        <v>0</v>
      </c>
      <c r="AX1975" s="46">
        <v>0</v>
      </c>
      <c r="AY1975" s="46">
        <v>0</v>
      </c>
      <c r="AZ1975" s="46">
        <v>0</v>
      </c>
      <c r="BA1975" s="46">
        <v>0</v>
      </c>
      <c r="BB1975" s="46">
        <v>0</v>
      </c>
      <c r="BC1975" s="46">
        <v>0</v>
      </c>
      <c r="BD1975" s="46">
        <v>0</v>
      </c>
      <c r="BE1975" s="46">
        <v>0</v>
      </c>
      <c r="BF1975" s="46">
        <v>0</v>
      </c>
      <c r="BG1975" s="46" t="s">
        <v>48</v>
      </c>
      <c r="BH1975" s="46">
        <v>0</v>
      </c>
      <c r="BI1975" s="46">
        <v>0</v>
      </c>
      <c r="BJ1975" s="46">
        <v>0</v>
      </c>
      <c r="BK1975" s="46">
        <v>0</v>
      </c>
      <c r="BL1975" s="46">
        <v>0</v>
      </c>
      <c r="BM1975" s="46">
        <v>0</v>
      </c>
      <c r="BN1975" s="46">
        <v>0</v>
      </c>
    </row>
    <row r="1976" spans="1:66" x14ac:dyDescent="0.35">
      <c r="A1976" t="s">
        <v>4673</v>
      </c>
      <c r="B1976" s="44" t="s">
        <v>48</v>
      </c>
      <c r="C1976" t="s">
        <v>4676</v>
      </c>
      <c r="D1976" t="s">
        <v>1193</v>
      </c>
      <c r="E1976" t="s">
        <v>4674</v>
      </c>
      <c r="F1976" t="s">
        <v>4652</v>
      </c>
      <c r="G1976" t="s">
        <v>47</v>
      </c>
      <c r="H1976">
        <v>0</v>
      </c>
      <c r="I1976" s="60" t="s">
        <v>51</v>
      </c>
      <c r="J1976" s="33" t="s">
        <v>45</v>
      </c>
      <c r="K1976" s="46">
        <v>0</v>
      </c>
      <c r="L1976">
        <v>25.5</v>
      </c>
      <c r="M1976" t="s">
        <v>48</v>
      </c>
      <c r="N1976" s="46">
        <v>0</v>
      </c>
      <c r="O1976" s="46">
        <v>0</v>
      </c>
      <c r="P1976" s="46">
        <v>0</v>
      </c>
      <c r="Q1976" t="s">
        <v>48</v>
      </c>
      <c r="R1976" t="s">
        <v>48</v>
      </c>
      <c r="S1976" t="s">
        <v>4675</v>
      </c>
      <c r="T1976" t="s">
        <v>48</v>
      </c>
      <c r="U1976" t="s">
        <v>4675</v>
      </c>
      <c r="V1976" s="47">
        <v>0</v>
      </c>
      <c r="W1976" t="s">
        <v>48</v>
      </c>
      <c r="X1976" t="s">
        <v>48</v>
      </c>
      <c r="Y1976" t="s">
        <v>48</v>
      </c>
      <c r="Z1976">
        <v>0</v>
      </c>
      <c r="AA1976" t="s">
        <v>48</v>
      </c>
      <c r="AB1976" t="s">
        <v>48</v>
      </c>
      <c r="AC1976" t="s">
        <v>49</v>
      </c>
      <c r="AD1976" t="s">
        <v>93</v>
      </c>
      <c r="AE1976" t="s">
        <v>4532</v>
      </c>
      <c r="AF1976" t="s">
        <v>48</v>
      </c>
      <c r="AG1976" t="s">
        <v>48</v>
      </c>
      <c r="AH1976" t="s">
        <v>48</v>
      </c>
      <c r="AI1976" t="s">
        <v>48</v>
      </c>
      <c r="AJ1976" t="s">
        <v>48</v>
      </c>
      <c r="AK1976" t="s">
        <v>48</v>
      </c>
      <c r="AL1976" t="s">
        <v>48</v>
      </c>
      <c r="AM1976" t="s">
        <v>48</v>
      </c>
      <c r="AN1976" t="s">
        <v>48</v>
      </c>
      <c r="AO1976" t="s">
        <v>48</v>
      </c>
      <c r="AP1976" s="46">
        <v>0</v>
      </c>
      <c r="AQ1976" s="46">
        <v>0</v>
      </c>
      <c r="AR1976" s="46">
        <v>0</v>
      </c>
      <c r="AS1976" s="46">
        <v>0</v>
      </c>
      <c r="AT1976" s="46">
        <v>0</v>
      </c>
      <c r="AU1976" s="46">
        <v>0</v>
      </c>
      <c r="AV1976" s="46">
        <v>0</v>
      </c>
      <c r="AW1976" s="46">
        <v>0</v>
      </c>
      <c r="AX1976" s="46">
        <v>0</v>
      </c>
      <c r="AY1976" s="46">
        <v>0</v>
      </c>
      <c r="AZ1976" s="46">
        <v>0</v>
      </c>
      <c r="BA1976" s="46">
        <v>0</v>
      </c>
      <c r="BB1976" s="46">
        <v>0</v>
      </c>
      <c r="BC1976" s="46">
        <v>0</v>
      </c>
      <c r="BD1976" s="46">
        <v>0</v>
      </c>
      <c r="BE1976" s="46">
        <v>0</v>
      </c>
      <c r="BF1976" s="46">
        <v>0</v>
      </c>
      <c r="BG1976" s="46" t="s">
        <v>48</v>
      </c>
      <c r="BH1976" s="46">
        <v>0</v>
      </c>
      <c r="BI1976" s="46">
        <v>0</v>
      </c>
      <c r="BJ1976" s="46">
        <v>0</v>
      </c>
      <c r="BK1976" s="46">
        <v>0</v>
      </c>
      <c r="BL1976" s="46">
        <v>0</v>
      </c>
      <c r="BM1976" s="46">
        <v>0</v>
      </c>
      <c r="BN1976" s="46">
        <v>0</v>
      </c>
    </row>
    <row r="1977" spans="1:66" x14ac:dyDescent="0.35">
      <c r="A1977" t="s">
        <v>11168</v>
      </c>
      <c r="B1977" s="44" t="s">
        <v>48</v>
      </c>
      <c r="C1977" t="s">
        <v>12117</v>
      </c>
      <c r="D1977" t="s">
        <v>2193</v>
      </c>
      <c r="E1977" t="s">
        <v>11169</v>
      </c>
      <c r="F1977" t="s">
        <v>4652</v>
      </c>
      <c r="G1977" t="s">
        <v>47</v>
      </c>
      <c r="H1977">
        <v>0</v>
      </c>
      <c r="I1977" s="60" t="s">
        <v>11160</v>
      </c>
      <c r="J1977" s="33" t="s">
        <v>45</v>
      </c>
      <c r="K1977" s="46">
        <v>0</v>
      </c>
      <c r="L1977">
        <v>10.8</v>
      </c>
      <c r="M1977" t="s">
        <v>48</v>
      </c>
      <c r="N1977" s="46">
        <v>0</v>
      </c>
      <c r="O1977" s="46">
        <v>0</v>
      </c>
      <c r="P1977" s="46">
        <v>0</v>
      </c>
      <c r="Q1977" t="s">
        <v>48</v>
      </c>
      <c r="R1977" t="s">
        <v>48</v>
      </c>
      <c r="S1977" t="s">
        <v>48</v>
      </c>
      <c r="T1977" t="s">
        <v>48</v>
      </c>
      <c r="U1977" t="s">
        <v>48</v>
      </c>
      <c r="V1977" s="47" t="s">
        <v>48</v>
      </c>
      <c r="W1977" t="s">
        <v>48</v>
      </c>
      <c r="X1977" t="s">
        <v>48</v>
      </c>
      <c r="Y1977" t="s">
        <v>48</v>
      </c>
      <c r="Z1977" t="s">
        <v>48</v>
      </c>
      <c r="AA1977" t="s">
        <v>48</v>
      </c>
      <c r="AB1977" t="s">
        <v>48</v>
      </c>
      <c r="AC1977" t="s">
        <v>48</v>
      </c>
      <c r="AD1977" t="s">
        <v>48</v>
      </c>
      <c r="AE1977" t="s">
        <v>48</v>
      </c>
      <c r="AF1977" t="s">
        <v>48</v>
      </c>
      <c r="AG1977" t="s">
        <v>48</v>
      </c>
      <c r="AH1977" t="s">
        <v>48</v>
      </c>
      <c r="AI1977" t="s">
        <v>48</v>
      </c>
      <c r="AJ1977" t="s">
        <v>48</v>
      </c>
      <c r="AK1977" t="s">
        <v>48</v>
      </c>
      <c r="AL1977" t="s">
        <v>48</v>
      </c>
      <c r="AM1977" t="s">
        <v>48</v>
      </c>
      <c r="AN1977" t="s">
        <v>48</v>
      </c>
      <c r="AO1977" t="s">
        <v>48</v>
      </c>
      <c r="AP1977" s="46">
        <v>0</v>
      </c>
      <c r="AQ1977" s="46">
        <v>0</v>
      </c>
      <c r="AR1977" s="46">
        <v>0</v>
      </c>
      <c r="AS1977" s="46">
        <v>0</v>
      </c>
      <c r="AT1977" s="46">
        <v>0</v>
      </c>
      <c r="AU1977" s="46">
        <v>0</v>
      </c>
      <c r="AV1977" s="46">
        <v>0</v>
      </c>
      <c r="AW1977" s="46">
        <v>0</v>
      </c>
      <c r="AX1977" s="46">
        <v>0</v>
      </c>
      <c r="AY1977" s="46">
        <v>0</v>
      </c>
      <c r="AZ1977" s="46">
        <v>0</v>
      </c>
      <c r="BA1977" s="46">
        <v>0</v>
      </c>
      <c r="BB1977" s="46">
        <v>0</v>
      </c>
      <c r="BC1977" s="46">
        <v>1</v>
      </c>
      <c r="BD1977" s="46">
        <v>1</v>
      </c>
      <c r="BE1977" s="46">
        <v>0</v>
      </c>
      <c r="BF1977" s="46">
        <v>0</v>
      </c>
      <c r="BG1977" s="46" t="s">
        <v>48</v>
      </c>
      <c r="BH1977" s="46">
        <v>0</v>
      </c>
      <c r="BI1977" s="46">
        <v>0</v>
      </c>
      <c r="BJ1977" s="46">
        <v>0</v>
      </c>
      <c r="BK1977" s="46">
        <v>0</v>
      </c>
      <c r="BL1977" s="46">
        <v>0</v>
      </c>
      <c r="BM1977" s="46">
        <v>0</v>
      </c>
      <c r="BN1977" s="46">
        <v>1</v>
      </c>
    </row>
    <row r="1978" spans="1:66" x14ac:dyDescent="0.35">
      <c r="A1978" t="s">
        <v>4657</v>
      </c>
      <c r="B1978" s="44" t="s">
        <v>48</v>
      </c>
      <c r="C1978" t="s">
        <v>4660</v>
      </c>
      <c r="D1978" t="s">
        <v>198</v>
      </c>
      <c r="E1978" t="s">
        <v>4658</v>
      </c>
      <c r="F1978" t="s">
        <v>4652</v>
      </c>
      <c r="G1978" t="s">
        <v>47</v>
      </c>
      <c r="H1978">
        <v>0</v>
      </c>
      <c r="I1978" s="60" t="s">
        <v>51</v>
      </c>
      <c r="J1978" s="33" t="s">
        <v>45</v>
      </c>
      <c r="K1978" s="46">
        <v>0</v>
      </c>
      <c r="L1978">
        <v>9.1</v>
      </c>
      <c r="M1978" t="s">
        <v>48</v>
      </c>
      <c r="N1978" s="46">
        <v>0</v>
      </c>
      <c r="O1978" s="46">
        <v>0</v>
      </c>
      <c r="P1978" s="46">
        <v>0</v>
      </c>
      <c r="Q1978" t="s">
        <v>48</v>
      </c>
      <c r="R1978" t="s">
        <v>48</v>
      </c>
      <c r="S1978" t="s">
        <v>4659</v>
      </c>
      <c r="T1978" t="s">
        <v>48</v>
      </c>
      <c r="U1978" t="s">
        <v>4659</v>
      </c>
      <c r="V1978" s="47">
        <v>0</v>
      </c>
      <c r="W1978" t="s">
        <v>48</v>
      </c>
      <c r="X1978" t="s">
        <v>48</v>
      </c>
      <c r="Y1978" t="s">
        <v>48</v>
      </c>
      <c r="Z1978">
        <v>0</v>
      </c>
      <c r="AA1978" t="s">
        <v>48</v>
      </c>
      <c r="AB1978" t="s">
        <v>48</v>
      </c>
      <c r="AC1978" t="s">
        <v>49</v>
      </c>
      <c r="AD1978" t="s">
        <v>93</v>
      </c>
      <c r="AE1978" t="s">
        <v>4532</v>
      </c>
      <c r="AF1978" t="s">
        <v>48</v>
      </c>
      <c r="AG1978" t="s">
        <v>48</v>
      </c>
      <c r="AH1978" t="s">
        <v>48</v>
      </c>
      <c r="AI1978" t="s">
        <v>48</v>
      </c>
      <c r="AJ1978" t="s">
        <v>48</v>
      </c>
      <c r="AK1978" t="s">
        <v>48</v>
      </c>
      <c r="AL1978" t="s">
        <v>48</v>
      </c>
      <c r="AM1978" t="s">
        <v>48</v>
      </c>
      <c r="AN1978" t="s">
        <v>48</v>
      </c>
      <c r="AO1978" t="s">
        <v>48</v>
      </c>
      <c r="AP1978" s="46">
        <v>0</v>
      </c>
      <c r="AQ1978" s="46">
        <v>0</v>
      </c>
      <c r="AR1978" s="46">
        <v>0</v>
      </c>
      <c r="AS1978" s="46">
        <v>0</v>
      </c>
      <c r="AT1978" s="46">
        <v>0</v>
      </c>
      <c r="AU1978" s="46">
        <v>0</v>
      </c>
      <c r="AV1978" s="46">
        <v>0</v>
      </c>
      <c r="AW1978" s="46">
        <v>0</v>
      </c>
      <c r="AX1978" s="46">
        <v>0</v>
      </c>
      <c r="AY1978" s="46">
        <v>0</v>
      </c>
      <c r="AZ1978" s="46">
        <v>0</v>
      </c>
      <c r="BA1978" s="46">
        <v>0</v>
      </c>
      <c r="BB1978" s="46">
        <v>0</v>
      </c>
      <c r="BC1978" s="46">
        <v>0</v>
      </c>
      <c r="BD1978" s="46">
        <v>0</v>
      </c>
      <c r="BE1978" s="46">
        <v>0</v>
      </c>
      <c r="BF1978" s="46">
        <v>0</v>
      </c>
      <c r="BG1978" s="46" t="s">
        <v>48</v>
      </c>
      <c r="BH1978" s="46">
        <v>0</v>
      </c>
      <c r="BI1978" s="46">
        <v>0</v>
      </c>
      <c r="BJ1978" s="46">
        <v>0</v>
      </c>
      <c r="BK1978" s="46">
        <v>0</v>
      </c>
      <c r="BL1978" s="46">
        <v>0</v>
      </c>
      <c r="BM1978" s="46">
        <v>0</v>
      </c>
      <c r="BN1978" s="46">
        <v>0</v>
      </c>
    </row>
    <row r="1979" spans="1:66" x14ac:dyDescent="0.35">
      <c r="A1979" t="s">
        <v>4702</v>
      </c>
      <c r="B1979" s="44" t="s">
        <v>48</v>
      </c>
      <c r="C1979" t="s">
        <v>4704</v>
      </c>
      <c r="D1979" t="s">
        <v>503</v>
      </c>
      <c r="E1979" t="s">
        <v>4703</v>
      </c>
      <c r="F1979" t="s">
        <v>4687</v>
      </c>
      <c r="G1979" t="s">
        <v>47</v>
      </c>
      <c r="H1979">
        <v>0</v>
      </c>
      <c r="I1979" s="60" t="s">
        <v>51</v>
      </c>
      <c r="J1979" s="33" t="s">
        <v>45</v>
      </c>
      <c r="K1979" s="46">
        <v>0</v>
      </c>
      <c r="L1979">
        <v>3.3</v>
      </c>
      <c r="M1979" t="s">
        <v>48</v>
      </c>
      <c r="N1979" s="46">
        <v>0</v>
      </c>
      <c r="O1979" s="46">
        <v>0</v>
      </c>
      <c r="P1979" s="46">
        <v>0</v>
      </c>
      <c r="Q1979" t="s">
        <v>48</v>
      </c>
      <c r="R1979" t="s">
        <v>48</v>
      </c>
      <c r="S1979" t="s">
        <v>48</v>
      </c>
      <c r="T1979" t="s">
        <v>48</v>
      </c>
      <c r="U1979" t="s">
        <v>48</v>
      </c>
      <c r="V1979" s="47">
        <v>0</v>
      </c>
      <c r="W1979" t="s">
        <v>48</v>
      </c>
      <c r="X1979" t="s">
        <v>48</v>
      </c>
      <c r="Y1979" t="s">
        <v>48</v>
      </c>
      <c r="Z1979">
        <v>0</v>
      </c>
      <c r="AA1979" t="s">
        <v>48</v>
      </c>
      <c r="AB1979" t="s">
        <v>48</v>
      </c>
      <c r="AC1979" t="s">
        <v>49</v>
      </c>
      <c r="AD1979" t="s">
        <v>93</v>
      </c>
      <c r="AE1979" t="s">
        <v>4532</v>
      </c>
      <c r="AF1979" t="s">
        <v>48</v>
      </c>
      <c r="AG1979" t="s">
        <v>48</v>
      </c>
      <c r="AH1979" t="s">
        <v>48</v>
      </c>
      <c r="AI1979" t="s">
        <v>48</v>
      </c>
      <c r="AJ1979" t="s">
        <v>48</v>
      </c>
      <c r="AK1979" t="s">
        <v>48</v>
      </c>
      <c r="AL1979" t="s">
        <v>48</v>
      </c>
      <c r="AM1979" t="s">
        <v>48</v>
      </c>
      <c r="AN1979" t="s">
        <v>48</v>
      </c>
      <c r="AO1979" t="s">
        <v>48</v>
      </c>
      <c r="AP1979" s="46">
        <v>0</v>
      </c>
      <c r="AQ1979" s="46">
        <v>0</v>
      </c>
      <c r="AR1979" s="46">
        <v>0</v>
      </c>
      <c r="AS1979" s="46">
        <v>0</v>
      </c>
      <c r="AT1979" s="46">
        <v>0</v>
      </c>
      <c r="AU1979" s="46">
        <v>0</v>
      </c>
      <c r="AV1979" s="46">
        <v>0</v>
      </c>
      <c r="AW1979" s="46">
        <v>0</v>
      </c>
      <c r="AX1979" s="46">
        <v>0</v>
      </c>
      <c r="AY1979" s="46">
        <v>0</v>
      </c>
      <c r="AZ1979" s="46">
        <v>0</v>
      </c>
      <c r="BA1979" s="46">
        <v>0</v>
      </c>
      <c r="BB1979" s="46">
        <v>0</v>
      </c>
      <c r="BC1979" s="46">
        <v>0</v>
      </c>
      <c r="BD1979" s="46">
        <v>0</v>
      </c>
      <c r="BE1979" s="46">
        <v>0</v>
      </c>
      <c r="BF1979" s="46">
        <v>0</v>
      </c>
      <c r="BG1979" s="46" t="s">
        <v>48</v>
      </c>
      <c r="BH1979" s="46">
        <v>0</v>
      </c>
      <c r="BI1979" s="46">
        <v>0</v>
      </c>
      <c r="BJ1979" s="46">
        <v>0</v>
      </c>
      <c r="BK1979" s="46">
        <v>0</v>
      </c>
      <c r="BL1979" s="46">
        <v>0</v>
      </c>
      <c r="BM1979" s="46">
        <v>0</v>
      </c>
      <c r="BN1979" s="46">
        <v>0</v>
      </c>
    </row>
    <row r="1980" spans="1:66" x14ac:dyDescent="0.35">
      <c r="A1980" t="s">
        <v>11007</v>
      </c>
      <c r="B1980" s="44" t="s">
        <v>48</v>
      </c>
      <c r="C1980" t="s">
        <v>12119</v>
      </c>
      <c r="D1980" t="s">
        <v>1783</v>
      </c>
      <c r="E1980" t="s">
        <v>11008</v>
      </c>
      <c r="F1980" t="s">
        <v>4687</v>
      </c>
      <c r="G1980" t="s">
        <v>47</v>
      </c>
      <c r="H1980">
        <v>0</v>
      </c>
      <c r="I1980" s="60" t="s">
        <v>11552</v>
      </c>
      <c r="J1980" s="33" t="s">
        <v>45</v>
      </c>
      <c r="K1980" s="46">
        <v>0</v>
      </c>
      <c r="L1980">
        <v>30.2</v>
      </c>
      <c r="M1980" t="s">
        <v>48</v>
      </c>
      <c r="N1980" s="46">
        <v>0</v>
      </c>
      <c r="O1980" s="46">
        <v>0</v>
      </c>
      <c r="P1980" s="46">
        <v>0</v>
      </c>
      <c r="Q1980" t="s">
        <v>48</v>
      </c>
      <c r="R1980" t="s">
        <v>48</v>
      </c>
      <c r="S1980" t="s">
        <v>11501</v>
      </c>
      <c r="T1980" t="s">
        <v>48</v>
      </c>
      <c r="U1980" t="s">
        <v>11009</v>
      </c>
      <c r="V1980" s="47">
        <v>0</v>
      </c>
      <c r="W1980" t="s">
        <v>48</v>
      </c>
      <c r="X1980" t="s">
        <v>48</v>
      </c>
      <c r="Y1980" t="s">
        <v>48</v>
      </c>
      <c r="Z1980" t="s">
        <v>48</v>
      </c>
      <c r="AA1980" t="s">
        <v>48</v>
      </c>
      <c r="AB1980" t="s">
        <v>48</v>
      </c>
      <c r="AC1980" t="s">
        <v>49</v>
      </c>
      <c r="AD1980" t="s">
        <v>93</v>
      </c>
      <c r="AE1980" t="s">
        <v>4532</v>
      </c>
      <c r="AF1980" t="s">
        <v>48</v>
      </c>
      <c r="AG1980" t="s">
        <v>48</v>
      </c>
      <c r="AH1980" t="s">
        <v>48</v>
      </c>
      <c r="AI1980" t="s">
        <v>48</v>
      </c>
      <c r="AJ1980" t="s">
        <v>48</v>
      </c>
      <c r="AK1980" t="s">
        <v>48</v>
      </c>
      <c r="AL1980" t="s">
        <v>48</v>
      </c>
      <c r="AM1980" t="s">
        <v>48</v>
      </c>
      <c r="AN1980" t="s">
        <v>48</v>
      </c>
      <c r="AO1980" t="s">
        <v>48</v>
      </c>
      <c r="AP1980" s="46">
        <v>0</v>
      </c>
      <c r="AQ1980" s="46">
        <v>0</v>
      </c>
      <c r="AR1980" s="46">
        <v>0</v>
      </c>
      <c r="AS1980" s="46">
        <v>0</v>
      </c>
      <c r="AT1980" s="46">
        <v>0</v>
      </c>
      <c r="AU1980" s="46">
        <v>0</v>
      </c>
      <c r="AV1980" s="46">
        <v>0</v>
      </c>
      <c r="AW1980" s="46">
        <v>0</v>
      </c>
      <c r="AX1980" s="46">
        <v>0</v>
      </c>
      <c r="AY1980" s="46">
        <v>0</v>
      </c>
      <c r="AZ1980" s="46">
        <v>0</v>
      </c>
      <c r="BA1980" s="46">
        <v>0</v>
      </c>
      <c r="BB1980" s="46">
        <v>0</v>
      </c>
      <c r="BC1980" s="46">
        <v>0</v>
      </c>
      <c r="BD1980" s="46">
        <v>0</v>
      </c>
      <c r="BE1980" s="46">
        <v>0</v>
      </c>
      <c r="BF1980" s="46">
        <v>0</v>
      </c>
      <c r="BG1980" s="46" t="s">
        <v>48</v>
      </c>
      <c r="BH1980" s="46">
        <v>0</v>
      </c>
      <c r="BI1980" s="46">
        <v>0</v>
      </c>
      <c r="BJ1980" s="46">
        <v>0</v>
      </c>
      <c r="BK1980" s="46">
        <v>0</v>
      </c>
      <c r="BL1980" s="46">
        <v>0</v>
      </c>
      <c r="BM1980" s="46">
        <v>0</v>
      </c>
      <c r="BN1980" s="46">
        <v>0</v>
      </c>
    </row>
    <row r="1981" spans="1:66" x14ac:dyDescent="0.35">
      <c r="A1981" t="s">
        <v>11170</v>
      </c>
      <c r="B1981" s="44" t="s">
        <v>48</v>
      </c>
      <c r="C1981" t="s">
        <v>12120</v>
      </c>
      <c r="D1981" t="s">
        <v>193</v>
      </c>
      <c r="E1981" t="s">
        <v>11171</v>
      </c>
      <c r="F1981" t="s">
        <v>4687</v>
      </c>
      <c r="G1981" t="s">
        <v>47</v>
      </c>
      <c r="H1981">
        <v>0</v>
      </c>
      <c r="I1981" s="60" t="s">
        <v>11160</v>
      </c>
      <c r="J1981" s="33" t="s">
        <v>45</v>
      </c>
      <c r="K1981" s="46">
        <v>0</v>
      </c>
      <c r="L1981">
        <v>3.3</v>
      </c>
      <c r="M1981" t="s">
        <v>48</v>
      </c>
      <c r="N1981" s="46">
        <v>0</v>
      </c>
      <c r="O1981" s="46">
        <v>0</v>
      </c>
      <c r="P1981" s="46">
        <v>0</v>
      </c>
      <c r="Q1981" t="s">
        <v>48</v>
      </c>
      <c r="R1981" t="s">
        <v>48</v>
      </c>
      <c r="S1981" t="s">
        <v>48</v>
      </c>
      <c r="T1981" t="s">
        <v>48</v>
      </c>
      <c r="U1981" t="s">
        <v>48</v>
      </c>
      <c r="V1981" s="47" t="s">
        <v>48</v>
      </c>
      <c r="W1981" t="s">
        <v>48</v>
      </c>
      <c r="X1981" t="s">
        <v>48</v>
      </c>
      <c r="Y1981" t="s">
        <v>48</v>
      </c>
      <c r="Z1981" t="s">
        <v>48</v>
      </c>
      <c r="AA1981" t="s">
        <v>48</v>
      </c>
      <c r="AB1981" t="s">
        <v>48</v>
      </c>
      <c r="AC1981" t="s">
        <v>48</v>
      </c>
      <c r="AD1981" t="s">
        <v>48</v>
      </c>
      <c r="AE1981" t="s">
        <v>48</v>
      </c>
      <c r="AF1981" t="s">
        <v>48</v>
      </c>
      <c r="AG1981" t="s">
        <v>48</v>
      </c>
      <c r="AH1981" t="s">
        <v>48</v>
      </c>
      <c r="AI1981" t="s">
        <v>48</v>
      </c>
      <c r="AJ1981" t="s">
        <v>48</v>
      </c>
      <c r="AK1981" t="s">
        <v>48</v>
      </c>
      <c r="AL1981" t="s">
        <v>48</v>
      </c>
      <c r="AM1981" t="s">
        <v>48</v>
      </c>
      <c r="AN1981" t="s">
        <v>48</v>
      </c>
      <c r="AO1981" t="s">
        <v>48</v>
      </c>
      <c r="AP1981" s="46">
        <v>0</v>
      </c>
      <c r="AQ1981" s="46">
        <v>0</v>
      </c>
      <c r="AR1981" s="46">
        <v>0</v>
      </c>
      <c r="AS1981" s="46">
        <v>0</v>
      </c>
      <c r="AT1981" s="46">
        <v>0</v>
      </c>
      <c r="AU1981" s="46">
        <v>0</v>
      </c>
      <c r="AV1981" s="46">
        <v>0</v>
      </c>
      <c r="AW1981" s="46">
        <v>0</v>
      </c>
      <c r="AX1981" s="46">
        <v>0</v>
      </c>
      <c r="AY1981" s="46">
        <v>0</v>
      </c>
      <c r="AZ1981" s="46">
        <v>0</v>
      </c>
      <c r="BA1981" s="46">
        <v>0</v>
      </c>
      <c r="BB1981" s="46">
        <v>0</v>
      </c>
      <c r="BC1981" s="46">
        <v>1</v>
      </c>
      <c r="BD1981" s="46">
        <v>1</v>
      </c>
      <c r="BE1981" s="46">
        <v>0</v>
      </c>
      <c r="BF1981" s="46">
        <v>0</v>
      </c>
      <c r="BG1981" s="46" t="s">
        <v>48</v>
      </c>
      <c r="BH1981" s="46">
        <v>0</v>
      </c>
      <c r="BI1981" s="46">
        <v>0</v>
      </c>
      <c r="BJ1981" s="46">
        <v>0</v>
      </c>
      <c r="BK1981" s="46">
        <v>0</v>
      </c>
      <c r="BL1981" s="46">
        <v>0</v>
      </c>
      <c r="BM1981" s="46">
        <v>0</v>
      </c>
      <c r="BN1981" s="46">
        <v>1</v>
      </c>
    </row>
    <row r="1982" spans="1:66" x14ac:dyDescent="0.35">
      <c r="A1982" t="s">
        <v>4708</v>
      </c>
      <c r="B1982" s="44" t="s">
        <v>48</v>
      </c>
      <c r="C1982" t="s">
        <v>332</v>
      </c>
      <c r="D1982" t="s">
        <v>1583</v>
      </c>
      <c r="E1982" t="s">
        <v>4709</v>
      </c>
      <c r="F1982" t="s">
        <v>4687</v>
      </c>
      <c r="G1982" t="s">
        <v>47</v>
      </c>
      <c r="H1982">
        <v>0</v>
      </c>
      <c r="I1982" s="60" t="s">
        <v>125</v>
      </c>
      <c r="J1982" s="33" t="s">
        <v>45</v>
      </c>
      <c r="K1982" s="46">
        <v>0</v>
      </c>
      <c r="L1982">
        <v>24.9</v>
      </c>
      <c r="M1982" t="s">
        <v>48</v>
      </c>
      <c r="N1982" s="46">
        <v>0</v>
      </c>
      <c r="O1982" s="46">
        <v>0</v>
      </c>
      <c r="P1982" s="46">
        <v>0</v>
      </c>
      <c r="Q1982" t="s">
        <v>48</v>
      </c>
      <c r="R1982" t="s">
        <v>48</v>
      </c>
      <c r="S1982" t="s">
        <v>4710</v>
      </c>
      <c r="T1982" t="s">
        <v>48</v>
      </c>
      <c r="U1982" t="s">
        <v>4710</v>
      </c>
      <c r="V1982" s="47">
        <v>0</v>
      </c>
      <c r="W1982" t="s">
        <v>48</v>
      </c>
      <c r="X1982" t="s">
        <v>48</v>
      </c>
      <c r="Y1982" t="s">
        <v>48</v>
      </c>
      <c r="Z1982">
        <v>0</v>
      </c>
      <c r="AA1982" t="s">
        <v>48</v>
      </c>
      <c r="AB1982" t="s">
        <v>48</v>
      </c>
      <c r="AC1982" t="s">
        <v>63</v>
      </c>
      <c r="AD1982" t="s">
        <v>93</v>
      </c>
      <c r="AE1982" t="s">
        <v>977</v>
      </c>
      <c r="AF1982" t="s">
        <v>11062</v>
      </c>
      <c r="AG1982" t="s">
        <v>48</v>
      </c>
      <c r="AH1982" t="s">
        <v>48</v>
      </c>
      <c r="AI1982" t="s">
        <v>48</v>
      </c>
      <c r="AJ1982" t="s">
        <v>48</v>
      </c>
      <c r="AK1982" t="s">
        <v>48</v>
      </c>
      <c r="AL1982" t="s">
        <v>48</v>
      </c>
      <c r="AM1982" t="s">
        <v>48</v>
      </c>
      <c r="AN1982" t="s">
        <v>48</v>
      </c>
      <c r="AO1982" t="s">
        <v>48</v>
      </c>
      <c r="AP1982" s="46">
        <v>0</v>
      </c>
      <c r="AQ1982" s="46">
        <v>0</v>
      </c>
      <c r="AR1982" s="46">
        <v>0</v>
      </c>
      <c r="AS1982" s="46">
        <v>0</v>
      </c>
      <c r="AT1982" s="46">
        <v>0</v>
      </c>
      <c r="AU1982" s="46">
        <v>0</v>
      </c>
      <c r="AV1982" s="46">
        <v>0</v>
      </c>
      <c r="AW1982" s="46">
        <v>0</v>
      </c>
      <c r="AX1982" s="46">
        <v>0</v>
      </c>
      <c r="AY1982" s="46">
        <v>0</v>
      </c>
      <c r="AZ1982" s="46">
        <v>0</v>
      </c>
      <c r="BA1982" s="46">
        <v>0</v>
      </c>
      <c r="BB1982" s="46">
        <v>0</v>
      </c>
      <c r="BC1982" s="46">
        <v>0</v>
      </c>
      <c r="BD1982" s="46">
        <v>0</v>
      </c>
      <c r="BE1982" s="46">
        <v>0</v>
      </c>
      <c r="BF1982" s="46">
        <v>0</v>
      </c>
      <c r="BG1982" s="46" t="s">
        <v>48</v>
      </c>
      <c r="BH1982" s="46">
        <v>0</v>
      </c>
      <c r="BI1982" s="46">
        <v>0</v>
      </c>
      <c r="BJ1982" s="46">
        <v>0</v>
      </c>
      <c r="BK1982" s="46">
        <v>0</v>
      </c>
      <c r="BL1982" s="46">
        <v>0</v>
      </c>
      <c r="BM1982" s="46">
        <v>0</v>
      </c>
      <c r="BN1982" s="46">
        <v>0</v>
      </c>
    </row>
    <row r="1983" spans="1:66" x14ac:dyDescent="0.35">
      <c r="A1983" t="s">
        <v>11010</v>
      </c>
      <c r="B1983" s="44" t="s">
        <v>48</v>
      </c>
      <c r="C1983" t="s">
        <v>12118</v>
      </c>
      <c r="D1983" t="s">
        <v>396</v>
      </c>
      <c r="E1983" t="s">
        <v>11011</v>
      </c>
      <c r="F1983" t="s">
        <v>4687</v>
      </c>
      <c r="G1983" t="s">
        <v>47</v>
      </c>
      <c r="H1983">
        <v>0</v>
      </c>
      <c r="I1983" s="61">
        <v>44819</v>
      </c>
      <c r="J1983" s="33" t="s">
        <v>45</v>
      </c>
      <c r="K1983" s="46">
        <v>0</v>
      </c>
      <c r="L1983">
        <v>1.8</v>
      </c>
      <c r="M1983" t="s">
        <v>48</v>
      </c>
      <c r="N1983" s="46">
        <v>0</v>
      </c>
      <c r="O1983" s="46">
        <v>0</v>
      </c>
      <c r="P1983" s="46">
        <v>0</v>
      </c>
      <c r="Q1983" t="s">
        <v>48</v>
      </c>
      <c r="R1983" t="s">
        <v>48</v>
      </c>
      <c r="S1983" t="s">
        <v>48</v>
      </c>
      <c r="T1983" t="s">
        <v>48</v>
      </c>
      <c r="U1983" t="s">
        <v>48</v>
      </c>
      <c r="V1983" s="47">
        <v>1</v>
      </c>
      <c r="W1983" t="s">
        <v>48</v>
      </c>
      <c r="X1983" t="s">
        <v>48</v>
      </c>
      <c r="Y1983" t="s">
        <v>48</v>
      </c>
      <c r="Z1983" t="s">
        <v>48</v>
      </c>
      <c r="AA1983" t="s">
        <v>48</v>
      </c>
      <c r="AB1983" t="s">
        <v>48</v>
      </c>
      <c r="AC1983" t="s">
        <v>49</v>
      </c>
      <c r="AD1983" t="s">
        <v>93</v>
      </c>
      <c r="AE1983" t="s">
        <v>4532</v>
      </c>
      <c r="AF1983" t="s">
        <v>48</v>
      </c>
      <c r="AG1983" t="s">
        <v>48</v>
      </c>
      <c r="AH1983" t="s">
        <v>48</v>
      </c>
      <c r="AI1983" t="s">
        <v>48</v>
      </c>
      <c r="AJ1983" t="s">
        <v>48</v>
      </c>
      <c r="AK1983" t="s">
        <v>48</v>
      </c>
      <c r="AL1983" t="s">
        <v>48</v>
      </c>
      <c r="AM1983" t="s">
        <v>48</v>
      </c>
      <c r="AN1983" t="s">
        <v>48</v>
      </c>
      <c r="AO1983" t="s">
        <v>48</v>
      </c>
      <c r="AP1983" s="46">
        <v>0</v>
      </c>
      <c r="AQ1983" s="46">
        <v>0</v>
      </c>
      <c r="AR1983" s="46">
        <v>0</v>
      </c>
      <c r="AS1983" s="46">
        <v>0</v>
      </c>
      <c r="AT1983" s="46">
        <v>0</v>
      </c>
      <c r="AU1983" s="46">
        <v>0</v>
      </c>
      <c r="AV1983" s="46">
        <v>0</v>
      </c>
      <c r="AW1983" s="46">
        <v>0</v>
      </c>
      <c r="AX1983" s="46">
        <v>0</v>
      </c>
      <c r="AY1983" s="46">
        <v>0</v>
      </c>
      <c r="AZ1983" s="46">
        <v>0</v>
      </c>
      <c r="BA1983" s="46">
        <v>0</v>
      </c>
      <c r="BB1983" s="46">
        <v>0</v>
      </c>
      <c r="BC1983" s="46">
        <v>0</v>
      </c>
      <c r="BD1983" s="46">
        <v>0</v>
      </c>
      <c r="BE1983" s="46">
        <v>0</v>
      </c>
      <c r="BF1983" s="46">
        <v>0</v>
      </c>
      <c r="BG1983" s="46" t="s">
        <v>48</v>
      </c>
      <c r="BH1983" s="46">
        <v>0</v>
      </c>
      <c r="BI1983" s="46">
        <v>0</v>
      </c>
      <c r="BJ1983" s="46">
        <v>0</v>
      </c>
      <c r="BK1983" s="46">
        <v>0</v>
      </c>
      <c r="BL1983" s="46">
        <v>0</v>
      </c>
      <c r="BM1983" s="46">
        <v>0</v>
      </c>
      <c r="BN1983" s="46">
        <v>0</v>
      </c>
    </row>
    <row r="1984" spans="1:66" x14ac:dyDescent="0.35">
      <c r="A1984" t="s">
        <v>4661</v>
      </c>
      <c r="B1984" s="44" t="s">
        <v>48</v>
      </c>
      <c r="C1984" t="s">
        <v>2471</v>
      </c>
      <c r="D1984" t="s">
        <v>885</v>
      </c>
      <c r="E1984" t="s">
        <v>11045</v>
      </c>
      <c r="F1984" t="s">
        <v>4687</v>
      </c>
      <c r="G1984" t="s">
        <v>47</v>
      </c>
      <c r="H1984">
        <v>0</v>
      </c>
      <c r="I1984" s="60" t="s">
        <v>125</v>
      </c>
      <c r="J1984" s="33" t="s">
        <v>45</v>
      </c>
      <c r="K1984" s="46">
        <v>0</v>
      </c>
      <c r="L1984">
        <v>3.5</v>
      </c>
      <c r="M1984" t="s">
        <v>48</v>
      </c>
      <c r="N1984" s="46">
        <v>0</v>
      </c>
      <c r="O1984" s="46">
        <v>0</v>
      </c>
      <c r="P1984" s="46">
        <v>0</v>
      </c>
      <c r="Q1984" t="s">
        <v>48</v>
      </c>
      <c r="R1984" t="s">
        <v>48</v>
      </c>
      <c r="S1984" t="s">
        <v>48</v>
      </c>
      <c r="T1984" t="s">
        <v>48</v>
      </c>
      <c r="U1984" t="s">
        <v>48</v>
      </c>
      <c r="V1984" s="47">
        <v>0</v>
      </c>
      <c r="W1984" t="s">
        <v>48</v>
      </c>
      <c r="X1984" t="s">
        <v>48</v>
      </c>
      <c r="Y1984" t="s">
        <v>48</v>
      </c>
      <c r="Z1984">
        <v>0</v>
      </c>
      <c r="AA1984" t="s">
        <v>48</v>
      </c>
      <c r="AB1984" t="s">
        <v>48</v>
      </c>
      <c r="AC1984" t="s">
        <v>49</v>
      </c>
      <c r="AD1984" t="s">
        <v>93</v>
      </c>
      <c r="AE1984" t="s">
        <v>4532</v>
      </c>
      <c r="AF1984" t="s">
        <v>48</v>
      </c>
      <c r="AG1984" t="s">
        <v>48</v>
      </c>
      <c r="AH1984" t="s">
        <v>48</v>
      </c>
      <c r="AI1984" t="s">
        <v>48</v>
      </c>
      <c r="AJ1984" t="s">
        <v>48</v>
      </c>
      <c r="AK1984" t="s">
        <v>48</v>
      </c>
      <c r="AL1984" t="s">
        <v>48</v>
      </c>
      <c r="AM1984" t="s">
        <v>48</v>
      </c>
      <c r="AN1984" t="s">
        <v>48</v>
      </c>
      <c r="AO1984" t="s">
        <v>48</v>
      </c>
      <c r="AP1984" s="46">
        <v>0</v>
      </c>
      <c r="AQ1984" s="46">
        <v>0</v>
      </c>
      <c r="AR1984" s="46">
        <v>0</v>
      </c>
      <c r="AS1984" s="46">
        <v>0</v>
      </c>
      <c r="AT1984" s="46">
        <v>0</v>
      </c>
      <c r="AU1984" s="46">
        <v>0</v>
      </c>
      <c r="AV1984" s="46">
        <v>0</v>
      </c>
      <c r="AW1984" s="46">
        <v>0</v>
      </c>
      <c r="AX1984" s="46">
        <v>0</v>
      </c>
      <c r="AY1984" s="46">
        <v>0</v>
      </c>
      <c r="AZ1984" s="46">
        <v>0</v>
      </c>
      <c r="BA1984" s="46">
        <v>0</v>
      </c>
      <c r="BB1984" s="46">
        <v>0</v>
      </c>
      <c r="BC1984" s="46">
        <v>0</v>
      </c>
      <c r="BD1984" s="46">
        <v>0</v>
      </c>
      <c r="BE1984" s="46">
        <v>0</v>
      </c>
      <c r="BF1984" s="46">
        <v>0</v>
      </c>
      <c r="BG1984" s="46" t="s">
        <v>48</v>
      </c>
      <c r="BH1984" s="46">
        <v>0</v>
      </c>
      <c r="BI1984" s="46">
        <v>0</v>
      </c>
      <c r="BJ1984" s="46">
        <v>0</v>
      </c>
      <c r="BK1984" s="46">
        <v>0</v>
      </c>
      <c r="BL1984" s="46">
        <v>0</v>
      </c>
      <c r="BM1984" s="46">
        <v>0</v>
      </c>
      <c r="BN1984" s="46">
        <v>0</v>
      </c>
    </row>
    <row r="1985" spans="1:66" x14ac:dyDescent="0.35">
      <c r="A1985" t="s">
        <v>8338</v>
      </c>
      <c r="B1985" s="44" t="s">
        <v>48</v>
      </c>
      <c r="C1985" t="s">
        <v>12128</v>
      </c>
      <c r="D1985" t="s">
        <v>12129</v>
      </c>
      <c r="E1985" t="s">
        <v>8339</v>
      </c>
      <c r="F1985" t="s">
        <v>4739</v>
      </c>
      <c r="G1985" t="s">
        <v>47</v>
      </c>
      <c r="H1985">
        <v>0</v>
      </c>
      <c r="I1985" s="61">
        <v>44727</v>
      </c>
      <c r="J1985" s="33" t="s">
        <v>45</v>
      </c>
      <c r="K1985" s="46">
        <v>0</v>
      </c>
      <c r="L1985">
        <v>31.2</v>
      </c>
      <c r="M1985" t="s">
        <v>48</v>
      </c>
      <c r="N1985" s="46">
        <v>0</v>
      </c>
      <c r="O1985" s="46">
        <v>0</v>
      </c>
      <c r="P1985" s="46">
        <v>0</v>
      </c>
      <c r="Q1985" t="s">
        <v>48</v>
      </c>
      <c r="R1985" t="s">
        <v>48</v>
      </c>
      <c r="S1985" t="s">
        <v>48</v>
      </c>
      <c r="T1985" t="s">
        <v>48</v>
      </c>
      <c r="U1985" t="s">
        <v>48</v>
      </c>
      <c r="V1985" s="47">
        <v>1</v>
      </c>
      <c r="W1985" t="s">
        <v>11264</v>
      </c>
      <c r="X1985" t="s">
        <v>48</v>
      </c>
      <c r="Y1985" t="s">
        <v>48</v>
      </c>
      <c r="Z1985" t="s">
        <v>48</v>
      </c>
      <c r="AA1985" t="s">
        <v>48</v>
      </c>
      <c r="AB1985" t="s">
        <v>48</v>
      </c>
      <c r="AC1985" t="s">
        <v>49</v>
      </c>
      <c r="AD1985" t="s">
        <v>48</v>
      </c>
      <c r="AE1985" t="s">
        <v>48</v>
      </c>
      <c r="AF1985" t="s">
        <v>48</v>
      </c>
      <c r="AG1985" t="s">
        <v>48</v>
      </c>
      <c r="AH1985" t="s">
        <v>48</v>
      </c>
      <c r="AI1985" t="s">
        <v>48</v>
      </c>
      <c r="AJ1985" t="s">
        <v>48</v>
      </c>
      <c r="AK1985" t="s">
        <v>48</v>
      </c>
      <c r="AL1985" t="s">
        <v>48</v>
      </c>
      <c r="AM1985" t="s">
        <v>48</v>
      </c>
      <c r="AN1985" t="s">
        <v>48</v>
      </c>
      <c r="AO1985" t="s">
        <v>48</v>
      </c>
      <c r="AP1985" s="46">
        <v>0</v>
      </c>
      <c r="AQ1985" s="46">
        <v>0</v>
      </c>
      <c r="AR1985" s="46">
        <v>0</v>
      </c>
      <c r="AS1985" s="46">
        <v>0</v>
      </c>
      <c r="AT1985" s="46">
        <v>0</v>
      </c>
      <c r="AU1985" s="46">
        <v>0</v>
      </c>
      <c r="AV1985" s="46">
        <v>0</v>
      </c>
      <c r="AW1985" s="46">
        <v>0</v>
      </c>
      <c r="AX1985" s="46">
        <v>0</v>
      </c>
      <c r="AY1985" s="46">
        <v>0</v>
      </c>
      <c r="AZ1985" s="46">
        <v>0</v>
      </c>
      <c r="BA1985" s="46">
        <v>0</v>
      </c>
      <c r="BB1985" s="46">
        <v>0</v>
      </c>
      <c r="BC1985" s="46">
        <v>0</v>
      </c>
      <c r="BD1985" s="46">
        <v>0</v>
      </c>
      <c r="BE1985" s="46">
        <v>0</v>
      </c>
      <c r="BF1985" s="46">
        <v>0</v>
      </c>
      <c r="BG1985" s="46" t="s">
        <v>48</v>
      </c>
      <c r="BH1985" s="46">
        <v>0</v>
      </c>
      <c r="BI1985" s="46">
        <v>0</v>
      </c>
      <c r="BJ1985" s="46">
        <v>0</v>
      </c>
      <c r="BK1985" s="46">
        <v>0</v>
      </c>
      <c r="BL1985" s="46">
        <v>0</v>
      </c>
      <c r="BM1985" s="46">
        <v>0</v>
      </c>
      <c r="BN1985" s="46">
        <v>0</v>
      </c>
    </row>
    <row r="1986" spans="1:66" x14ac:dyDescent="0.35">
      <c r="A1986" t="s">
        <v>4740</v>
      </c>
      <c r="B1986" s="44" t="s">
        <v>48</v>
      </c>
      <c r="C1986" t="s">
        <v>4742</v>
      </c>
      <c r="D1986" t="s">
        <v>2154</v>
      </c>
      <c r="E1986" t="s">
        <v>4741</v>
      </c>
      <c r="F1986" t="s">
        <v>4739</v>
      </c>
      <c r="G1986" t="s">
        <v>74</v>
      </c>
      <c r="H1986">
        <v>0</v>
      </c>
      <c r="I1986" s="60" t="s">
        <v>51</v>
      </c>
      <c r="J1986" s="33" t="s">
        <v>45</v>
      </c>
      <c r="K1986" s="46">
        <v>0</v>
      </c>
      <c r="L1986">
        <v>22.7</v>
      </c>
      <c r="M1986" t="s">
        <v>48</v>
      </c>
      <c r="N1986" s="46">
        <v>0</v>
      </c>
      <c r="O1986" s="46">
        <v>0</v>
      </c>
      <c r="P1986" s="46">
        <v>0</v>
      </c>
      <c r="Q1986" t="s">
        <v>48</v>
      </c>
      <c r="R1986" t="s">
        <v>48</v>
      </c>
      <c r="S1986" t="s">
        <v>10317</v>
      </c>
      <c r="T1986" t="s">
        <v>48</v>
      </c>
      <c r="U1986" t="s">
        <v>10317</v>
      </c>
      <c r="V1986" s="47">
        <v>0</v>
      </c>
      <c r="W1986" t="s">
        <v>48</v>
      </c>
      <c r="X1986" t="s">
        <v>48</v>
      </c>
      <c r="Y1986" t="s">
        <v>48</v>
      </c>
      <c r="Z1986">
        <v>0</v>
      </c>
      <c r="AA1986" t="s">
        <v>48</v>
      </c>
      <c r="AB1986" t="s">
        <v>48</v>
      </c>
      <c r="AC1986" t="s">
        <v>49</v>
      </c>
      <c r="AD1986" t="s">
        <v>93</v>
      </c>
      <c r="AE1986" t="s">
        <v>4532</v>
      </c>
      <c r="AF1986" t="s">
        <v>48</v>
      </c>
      <c r="AG1986" t="s">
        <v>48</v>
      </c>
      <c r="AH1986" t="s">
        <v>48</v>
      </c>
      <c r="AI1986" t="s">
        <v>48</v>
      </c>
      <c r="AJ1986" t="s">
        <v>48</v>
      </c>
      <c r="AK1986" t="s">
        <v>48</v>
      </c>
      <c r="AL1986" t="s">
        <v>48</v>
      </c>
      <c r="AM1986" t="s">
        <v>48</v>
      </c>
      <c r="AN1986" t="s">
        <v>48</v>
      </c>
      <c r="AO1986" t="s">
        <v>48</v>
      </c>
      <c r="AP1986" s="46">
        <v>0</v>
      </c>
      <c r="AQ1986" s="46">
        <v>0</v>
      </c>
      <c r="AR1986" s="46">
        <v>0</v>
      </c>
      <c r="AS1986" s="46">
        <v>0</v>
      </c>
      <c r="AT1986" s="46">
        <v>0</v>
      </c>
      <c r="AU1986" s="46">
        <v>0</v>
      </c>
      <c r="AV1986" s="46">
        <v>0</v>
      </c>
      <c r="AW1986" s="46">
        <v>0</v>
      </c>
      <c r="AX1986" s="46">
        <v>0</v>
      </c>
      <c r="AY1986" s="46">
        <v>0</v>
      </c>
      <c r="AZ1986" s="46">
        <v>0</v>
      </c>
      <c r="BA1986" s="46">
        <v>0</v>
      </c>
      <c r="BB1986" s="46">
        <v>0</v>
      </c>
      <c r="BC1986" s="46">
        <v>0</v>
      </c>
      <c r="BD1986" s="46">
        <v>0</v>
      </c>
      <c r="BE1986" s="46">
        <v>0</v>
      </c>
      <c r="BF1986" s="46">
        <v>0</v>
      </c>
      <c r="BG1986" s="46" t="s">
        <v>48</v>
      </c>
      <c r="BH1986" s="46">
        <v>0</v>
      </c>
      <c r="BI1986" s="46">
        <v>0</v>
      </c>
      <c r="BJ1986" s="46">
        <v>0</v>
      </c>
      <c r="BK1986" s="46">
        <v>0</v>
      </c>
      <c r="BL1986" s="46">
        <v>0</v>
      </c>
      <c r="BM1986" s="46">
        <v>0</v>
      </c>
      <c r="BN1986" s="46">
        <v>0</v>
      </c>
    </row>
    <row r="1987" spans="1:66" x14ac:dyDescent="0.35">
      <c r="A1987" t="s">
        <v>4756</v>
      </c>
      <c r="B1987" s="44" t="s">
        <v>48</v>
      </c>
      <c r="C1987" t="s">
        <v>2671</v>
      </c>
      <c r="D1987" t="s">
        <v>1264</v>
      </c>
      <c r="E1987" t="s">
        <v>4757</v>
      </c>
      <c r="F1987" t="s">
        <v>4749</v>
      </c>
      <c r="G1987" t="s">
        <v>74</v>
      </c>
      <c r="H1987">
        <v>0</v>
      </c>
      <c r="I1987" s="60" t="s">
        <v>51</v>
      </c>
      <c r="J1987" s="33" t="s">
        <v>45</v>
      </c>
      <c r="K1987" s="46">
        <v>0</v>
      </c>
      <c r="L1987">
        <v>38</v>
      </c>
      <c r="M1987" t="s">
        <v>48</v>
      </c>
      <c r="N1987" s="46">
        <v>0</v>
      </c>
      <c r="O1987" s="46">
        <v>0</v>
      </c>
      <c r="P1987" s="46">
        <v>0</v>
      </c>
      <c r="Q1987" t="s">
        <v>48</v>
      </c>
      <c r="R1987" t="s">
        <v>48</v>
      </c>
      <c r="S1987" t="s">
        <v>4758</v>
      </c>
      <c r="T1987" t="s">
        <v>48</v>
      </c>
      <c r="U1987" t="s">
        <v>4758</v>
      </c>
      <c r="V1987" s="47">
        <v>0</v>
      </c>
      <c r="W1987" t="s">
        <v>48</v>
      </c>
      <c r="X1987" t="s">
        <v>48</v>
      </c>
      <c r="Y1987" t="s">
        <v>48</v>
      </c>
      <c r="Z1987">
        <v>0</v>
      </c>
      <c r="AA1987" t="s">
        <v>48</v>
      </c>
      <c r="AB1987" t="s">
        <v>48</v>
      </c>
      <c r="AC1987" t="s">
        <v>63</v>
      </c>
      <c r="AD1987" t="s">
        <v>93</v>
      </c>
      <c r="AE1987" t="s">
        <v>4532</v>
      </c>
      <c r="AF1987" t="s">
        <v>48</v>
      </c>
      <c r="AG1987" t="s">
        <v>48</v>
      </c>
      <c r="AH1987" t="s">
        <v>48</v>
      </c>
      <c r="AI1987" t="s">
        <v>48</v>
      </c>
      <c r="AJ1987" t="s">
        <v>48</v>
      </c>
      <c r="AK1987" t="s">
        <v>48</v>
      </c>
      <c r="AL1987" t="s">
        <v>48</v>
      </c>
      <c r="AM1987" t="s">
        <v>48</v>
      </c>
      <c r="AN1987" t="s">
        <v>48</v>
      </c>
      <c r="AO1987" t="s">
        <v>48</v>
      </c>
      <c r="AP1987" s="46">
        <v>0</v>
      </c>
      <c r="AQ1987" s="46">
        <v>0</v>
      </c>
      <c r="AR1987" s="46">
        <v>0</v>
      </c>
      <c r="AS1987" s="46">
        <v>0</v>
      </c>
      <c r="AT1987" s="46">
        <v>0</v>
      </c>
      <c r="AU1987" s="46">
        <v>0</v>
      </c>
      <c r="AV1987" s="46">
        <v>0</v>
      </c>
      <c r="AW1987" s="46">
        <v>0</v>
      </c>
      <c r="AX1987" s="46">
        <v>0</v>
      </c>
      <c r="AY1987" s="46">
        <v>0</v>
      </c>
      <c r="AZ1987" s="46">
        <v>0</v>
      </c>
      <c r="BA1987" s="46">
        <v>0</v>
      </c>
      <c r="BB1987" s="46">
        <v>0</v>
      </c>
      <c r="BC1987" s="46">
        <v>0</v>
      </c>
      <c r="BD1987" s="46">
        <v>0</v>
      </c>
      <c r="BE1987" s="46">
        <v>0</v>
      </c>
      <c r="BF1987" s="46">
        <v>0</v>
      </c>
      <c r="BG1987" s="46" t="s">
        <v>48</v>
      </c>
      <c r="BH1987" s="46">
        <v>0</v>
      </c>
      <c r="BI1987" s="46">
        <v>0</v>
      </c>
      <c r="BJ1987" s="46">
        <v>0</v>
      </c>
      <c r="BK1987" s="46">
        <v>0</v>
      </c>
      <c r="BL1987" s="46">
        <v>0</v>
      </c>
      <c r="BM1987" s="46">
        <v>0</v>
      </c>
      <c r="BN1987" s="46">
        <v>0</v>
      </c>
    </row>
    <row r="1988" spans="1:66" x14ac:dyDescent="0.35">
      <c r="A1988" t="s">
        <v>4752</v>
      </c>
      <c r="B1988" s="44" t="s">
        <v>48</v>
      </c>
      <c r="C1988" t="s">
        <v>4755</v>
      </c>
      <c r="D1988" t="s">
        <v>221</v>
      </c>
      <c r="E1988" t="s">
        <v>4753</v>
      </c>
      <c r="F1988" t="s">
        <v>4749</v>
      </c>
      <c r="G1988" t="s">
        <v>47</v>
      </c>
      <c r="H1988">
        <v>0</v>
      </c>
      <c r="I1988" s="60" t="s">
        <v>149</v>
      </c>
      <c r="J1988" s="33" t="s">
        <v>45</v>
      </c>
      <c r="K1988" s="46">
        <v>0</v>
      </c>
      <c r="L1988">
        <v>7.7</v>
      </c>
      <c r="M1988" t="s">
        <v>48</v>
      </c>
      <c r="N1988" s="46">
        <v>0</v>
      </c>
      <c r="O1988" s="46">
        <v>0</v>
      </c>
      <c r="P1988" s="46">
        <v>0</v>
      </c>
      <c r="Q1988" t="s">
        <v>48</v>
      </c>
      <c r="R1988" t="s">
        <v>48</v>
      </c>
      <c r="S1988" t="s">
        <v>4754</v>
      </c>
      <c r="T1988" t="s">
        <v>48</v>
      </c>
      <c r="U1988" t="s">
        <v>4754</v>
      </c>
      <c r="V1988" s="47">
        <v>1</v>
      </c>
      <c r="W1988" t="s">
        <v>11317</v>
      </c>
      <c r="X1988" t="s">
        <v>48</v>
      </c>
      <c r="Y1988" t="s">
        <v>48</v>
      </c>
      <c r="Z1988">
        <v>0</v>
      </c>
      <c r="AA1988" t="s">
        <v>48</v>
      </c>
      <c r="AB1988" t="s">
        <v>48</v>
      </c>
      <c r="AC1988" t="s">
        <v>49</v>
      </c>
      <c r="AD1988" t="s">
        <v>93</v>
      </c>
      <c r="AE1988" t="s">
        <v>4532</v>
      </c>
      <c r="AF1988" t="s">
        <v>48</v>
      </c>
      <c r="AG1988" t="s">
        <v>48</v>
      </c>
      <c r="AH1988" t="s">
        <v>48</v>
      </c>
      <c r="AI1988" t="s">
        <v>48</v>
      </c>
      <c r="AJ1988" t="s">
        <v>48</v>
      </c>
      <c r="AK1988" t="s">
        <v>48</v>
      </c>
      <c r="AL1988" t="s">
        <v>48</v>
      </c>
      <c r="AM1988" t="s">
        <v>48</v>
      </c>
      <c r="AN1988" t="s">
        <v>48</v>
      </c>
      <c r="AO1988" t="s">
        <v>48</v>
      </c>
      <c r="AP1988" s="46">
        <v>0</v>
      </c>
      <c r="AQ1988" s="46">
        <v>0</v>
      </c>
      <c r="AR1988" s="46">
        <v>0</v>
      </c>
      <c r="AS1988" s="46">
        <v>0</v>
      </c>
      <c r="AT1988" s="46">
        <v>0</v>
      </c>
      <c r="AU1988" s="46">
        <v>0</v>
      </c>
      <c r="AV1988" s="46">
        <v>0</v>
      </c>
      <c r="AW1988" s="46">
        <v>0</v>
      </c>
      <c r="AX1988" s="46">
        <v>0</v>
      </c>
      <c r="AY1988" s="46">
        <v>0</v>
      </c>
      <c r="AZ1988" s="46">
        <v>0</v>
      </c>
      <c r="BA1988" s="46">
        <v>0</v>
      </c>
      <c r="BB1988" s="46">
        <v>0</v>
      </c>
      <c r="BC1988" s="46">
        <v>0</v>
      </c>
      <c r="BD1988" s="46">
        <v>0</v>
      </c>
      <c r="BE1988" s="46">
        <v>0</v>
      </c>
      <c r="BF1988" s="46">
        <v>0</v>
      </c>
      <c r="BG1988" s="46" t="s">
        <v>48</v>
      </c>
      <c r="BH1988" s="46">
        <v>0</v>
      </c>
      <c r="BI1988" s="46">
        <v>0</v>
      </c>
      <c r="BJ1988" s="46">
        <v>0</v>
      </c>
      <c r="BK1988" s="46">
        <v>0</v>
      </c>
      <c r="BL1988" s="46">
        <v>0</v>
      </c>
      <c r="BM1988" s="46">
        <v>0</v>
      </c>
      <c r="BN1988" s="46">
        <v>0</v>
      </c>
    </row>
    <row r="1989" spans="1:66" x14ac:dyDescent="0.35">
      <c r="A1989" t="s">
        <v>8340</v>
      </c>
      <c r="B1989" s="44" t="s">
        <v>48</v>
      </c>
      <c r="C1989" t="s">
        <v>12130</v>
      </c>
      <c r="D1989" t="s">
        <v>993</v>
      </c>
      <c r="E1989" t="s">
        <v>8341</v>
      </c>
      <c r="F1989" t="s">
        <v>4749</v>
      </c>
      <c r="G1989" t="s">
        <v>47</v>
      </c>
      <c r="H1989">
        <v>0</v>
      </c>
      <c r="I1989" s="61">
        <v>44727</v>
      </c>
      <c r="J1989" s="33" t="s">
        <v>45</v>
      </c>
      <c r="K1989" s="46">
        <v>0</v>
      </c>
      <c r="L1989">
        <v>6.2</v>
      </c>
      <c r="M1989" t="s">
        <v>48</v>
      </c>
      <c r="N1989" s="46">
        <v>0</v>
      </c>
      <c r="O1989" s="46">
        <v>0</v>
      </c>
      <c r="P1989" s="46">
        <v>0</v>
      </c>
      <c r="Q1989" t="s">
        <v>48</v>
      </c>
      <c r="R1989" t="s">
        <v>48</v>
      </c>
      <c r="S1989" t="s">
        <v>10319</v>
      </c>
      <c r="T1989" t="s">
        <v>48</v>
      </c>
      <c r="U1989" t="s">
        <v>10319</v>
      </c>
      <c r="V1989" s="47">
        <v>0</v>
      </c>
      <c r="W1989" t="s">
        <v>48</v>
      </c>
      <c r="X1989" t="s">
        <v>48</v>
      </c>
      <c r="Y1989" t="s">
        <v>48</v>
      </c>
      <c r="Z1989" t="s">
        <v>48</v>
      </c>
      <c r="AA1989" t="s">
        <v>48</v>
      </c>
      <c r="AB1989" t="s">
        <v>48</v>
      </c>
      <c r="AC1989" t="s">
        <v>49</v>
      </c>
      <c r="AD1989" t="s">
        <v>93</v>
      </c>
      <c r="AE1989" t="s">
        <v>4532</v>
      </c>
      <c r="AF1989" t="s">
        <v>48</v>
      </c>
      <c r="AG1989" t="s">
        <v>48</v>
      </c>
      <c r="AH1989" t="s">
        <v>48</v>
      </c>
      <c r="AI1989" t="s">
        <v>48</v>
      </c>
      <c r="AJ1989" t="s">
        <v>48</v>
      </c>
      <c r="AK1989" t="s">
        <v>48</v>
      </c>
      <c r="AL1989" t="s">
        <v>48</v>
      </c>
      <c r="AM1989" t="s">
        <v>48</v>
      </c>
      <c r="AN1989" t="s">
        <v>48</v>
      </c>
      <c r="AO1989" t="s">
        <v>48</v>
      </c>
      <c r="AP1989" s="46">
        <v>0</v>
      </c>
      <c r="AQ1989" s="46">
        <v>0</v>
      </c>
      <c r="AR1989" s="46">
        <v>0</v>
      </c>
      <c r="AS1989" s="46">
        <v>0</v>
      </c>
      <c r="AT1989" s="46">
        <v>0</v>
      </c>
      <c r="AU1989" s="46">
        <v>0</v>
      </c>
      <c r="AV1989" s="46">
        <v>0</v>
      </c>
      <c r="AW1989" s="46">
        <v>0</v>
      </c>
      <c r="AX1989" s="46">
        <v>0</v>
      </c>
      <c r="AY1989" s="46">
        <v>0</v>
      </c>
      <c r="AZ1989" s="46">
        <v>0</v>
      </c>
      <c r="BA1989" s="46">
        <v>0</v>
      </c>
      <c r="BB1989" s="46">
        <v>0</v>
      </c>
      <c r="BC1989" s="46">
        <v>0</v>
      </c>
      <c r="BD1989" s="46">
        <v>0</v>
      </c>
      <c r="BE1989" s="46">
        <v>0</v>
      </c>
      <c r="BF1989" s="46">
        <v>0</v>
      </c>
      <c r="BG1989" s="46" t="s">
        <v>48</v>
      </c>
      <c r="BH1989" s="46">
        <v>0</v>
      </c>
      <c r="BI1989" s="46">
        <v>0</v>
      </c>
      <c r="BJ1989" s="46">
        <v>0</v>
      </c>
      <c r="BK1989" s="46">
        <v>0</v>
      </c>
      <c r="BL1989" s="46">
        <v>0</v>
      </c>
      <c r="BM1989" s="46">
        <v>0</v>
      </c>
      <c r="BN1989" s="46">
        <v>0</v>
      </c>
    </row>
    <row r="1990" spans="1:66" x14ac:dyDescent="0.35">
      <c r="A1990" t="s">
        <v>8342</v>
      </c>
      <c r="B1990" s="44" t="s">
        <v>48</v>
      </c>
      <c r="C1990" t="s">
        <v>80</v>
      </c>
      <c r="D1990" t="s">
        <v>12135</v>
      </c>
      <c r="E1990" t="s">
        <v>8343</v>
      </c>
      <c r="F1990" t="s">
        <v>4763</v>
      </c>
      <c r="G1990" t="s">
        <v>47</v>
      </c>
      <c r="H1990">
        <v>0</v>
      </c>
      <c r="I1990" s="61">
        <v>44727</v>
      </c>
      <c r="J1990" s="33" t="s">
        <v>45</v>
      </c>
      <c r="K1990" s="46">
        <v>0</v>
      </c>
      <c r="L1990">
        <v>38.299999999999997</v>
      </c>
      <c r="M1990" t="s">
        <v>48</v>
      </c>
      <c r="N1990" s="46">
        <v>0</v>
      </c>
      <c r="O1990" s="46">
        <v>0</v>
      </c>
      <c r="P1990" s="46">
        <v>0</v>
      </c>
      <c r="Q1990" t="s">
        <v>48</v>
      </c>
      <c r="R1990" t="s">
        <v>48</v>
      </c>
      <c r="S1990" t="s">
        <v>10321</v>
      </c>
      <c r="T1990" t="s">
        <v>48</v>
      </c>
      <c r="U1990" t="s">
        <v>10321</v>
      </c>
      <c r="V1990" s="47">
        <v>1</v>
      </c>
      <c r="W1990" t="s">
        <v>48</v>
      </c>
      <c r="X1990" t="s">
        <v>48</v>
      </c>
      <c r="Y1990" t="s">
        <v>48</v>
      </c>
      <c r="Z1990" t="s">
        <v>48</v>
      </c>
      <c r="AA1990" t="s">
        <v>48</v>
      </c>
      <c r="AB1990" t="s">
        <v>48</v>
      </c>
      <c r="AC1990" t="s">
        <v>49</v>
      </c>
      <c r="AD1990" t="s">
        <v>93</v>
      </c>
      <c r="AE1990" t="s">
        <v>4532</v>
      </c>
      <c r="AF1990" t="s">
        <v>48</v>
      </c>
      <c r="AG1990" t="s">
        <v>48</v>
      </c>
      <c r="AH1990" t="s">
        <v>48</v>
      </c>
      <c r="AI1990" t="s">
        <v>48</v>
      </c>
      <c r="AJ1990" t="s">
        <v>48</v>
      </c>
      <c r="AK1990" t="s">
        <v>48</v>
      </c>
      <c r="AL1990" t="s">
        <v>48</v>
      </c>
      <c r="AM1990" t="s">
        <v>48</v>
      </c>
      <c r="AN1990" t="s">
        <v>48</v>
      </c>
      <c r="AO1990" t="s">
        <v>48</v>
      </c>
      <c r="AP1990" s="46">
        <v>0</v>
      </c>
      <c r="AQ1990" s="46">
        <v>0</v>
      </c>
      <c r="AR1990" s="46">
        <v>0</v>
      </c>
      <c r="AS1990" s="46">
        <v>0</v>
      </c>
      <c r="AT1990" s="46">
        <v>0</v>
      </c>
      <c r="AU1990" s="46">
        <v>0</v>
      </c>
      <c r="AV1990" s="46">
        <v>0</v>
      </c>
      <c r="AW1990" s="46">
        <v>0</v>
      </c>
      <c r="AX1990" s="46">
        <v>0</v>
      </c>
      <c r="AY1990" s="46">
        <v>0</v>
      </c>
      <c r="AZ1990" s="46">
        <v>0</v>
      </c>
      <c r="BA1990" s="46">
        <v>0</v>
      </c>
      <c r="BB1990" s="46">
        <v>0</v>
      </c>
      <c r="BC1990" s="46">
        <v>0</v>
      </c>
      <c r="BD1990" s="46">
        <v>0</v>
      </c>
      <c r="BE1990" s="46">
        <v>0</v>
      </c>
      <c r="BF1990" s="46">
        <v>0</v>
      </c>
      <c r="BG1990" s="46" t="s">
        <v>48</v>
      </c>
      <c r="BH1990" s="46">
        <v>0</v>
      </c>
      <c r="BI1990" s="46">
        <v>0</v>
      </c>
      <c r="BJ1990" s="46">
        <v>0</v>
      </c>
      <c r="BK1990" s="46">
        <v>0</v>
      </c>
      <c r="BL1990" s="46">
        <v>0</v>
      </c>
      <c r="BM1990" s="46">
        <v>0</v>
      </c>
      <c r="BN1990" s="46">
        <v>0</v>
      </c>
    </row>
    <row r="1991" spans="1:66" x14ac:dyDescent="0.35">
      <c r="A1991" t="s">
        <v>8344</v>
      </c>
      <c r="B1991" s="44" t="s">
        <v>48</v>
      </c>
      <c r="C1991" t="s">
        <v>12132</v>
      </c>
      <c r="D1991" t="s">
        <v>203</v>
      </c>
      <c r="E1991" t="s">
        <v>8345</v>
      </c>
      <c r="F1991" t="s">
        <v>4763</v>
      </c>
      <c r="G1991" t="s">
        <v>47</v>
      </c>
      <c r="H1991">
        <v>0</v>
      </c>
      <c r="I1991" s="61">
        <v>44727</v>
      </c>
      <c r="J1991" s="33" t="s">
        <v>45</v>
      </c>
      <c r="K1991" s="46">
        <v>0</v>
      </c>
      <c r="L1991">
        <v>8.8000000000000007</v>
      </c>
      <c r="M1991" t="s">
        <v>48</v>
      </c>
      <c r="N1991" s="46">
        <v>0</v>
      </c>
      <c r="O1991" s="46">
        <v>0</v>
      </c>
      <c r="P1991" s="46">
        <v>0</v>
      </c>
      <c r="Q1991" t="s">
        <v>48</v>
      </c>
      <c r="R1991" t="s">
        <v>48</v>
      </c>
      <c r="S1991" t="s">
        <v>48</v>
      </c>
      <c r="T1991" t="s">
        <v>48</v>
      </c>
      <c r="U1991" t="s">
        <v>48</v>
      </c>
      <c r="V1991" s="47">
        <v>1</v>
      </c>
      <c r="W1991" t="s">
        <v>48</v>
      </c>
      <c r="X1991" t="s">
        <v>48</v>
      </c>
      <c r="Y1991" t="s">
        <v>48</v>
      </c>
      <c r="Z1991" t="s">
        <v>48</v>
      </c>
      <c r="AA1991" t="s">
        <v>48</v>
      </c>
      <c r="AB1991" t="s">
        <v>48</v>
      </c>
      <c r="AC1991" t="s">
        <v>49</v>
      </c>
      <c r="AD1991" t="s">
        <v>48</v>
      </c>
      <c r="AE1991" t="s">
        <v>48</v>
      </c>
      <c r="AF1991" t="s">
        <v>48</v>
      </c>
      <c r="AG1991" t="s">
        <v>48</v>
      </c>
      <c r="AH1991" t="s">
        <v>48</v>
      </c>
      <c r="AI1991" t="s">
        <v>48</v>
      </c>
      <c r="AJ1991" t="s">
        <v>48</v>
      </c>
      <c r="AK1991" t="s">
        <v>48</v>
      </c>
      <c r="AL1991" t="s">
        <v>48</v>
      </c>
      <c r="AM1991" t="s">
        <v>48</v>
      </c>
      <c r="AN1991" t="s">
        <v>48</v>
      </c>
      <c r="AO1991" t="s">
        <v>48</v>
      </c>
      <c r="AP1991" s="46">
        <v>0</v>
      </c>
      <c r="AQ1991" s="46">
        <v>0</v>
      </c>
      <c r="AR1991" s="46">
        <v>0</v>
      </c>
      <c r="AS1991" s="46">
        <v>0</v>
      </c>
      <c r="AT1991" s="46">
        <v>0</v>
      </c>
      <c r="AU1991" s="46">
        <v>0</v>
      </c>
      <c r="AV1991" s="46">
        <v>0</v>
      </c>
      <c r="AW1991" s="46">
        <v>0</v>
      </c>
      <c r="AX1991" s="46">
        <v>0</v>
      </c>
      <c r="AY1991" s="46">
        <v>0</v>
      </c>
      <c r="AZ1991" s="46">
        <v>0</v>
      </c>
      <c r="BA1991" s="46">
        <v>0</v>
      </c>
      <c r="BB1991" s="46">
        <v>0</v>
      </c>
      <c r="BC1991" s="46">
        <v>0</v>
      </c>
      <c r="BD1991" s="46">
        <v>0</v>
      </c>
      <c r="BE1991" s="46">
        <v>0</v>
      </c>
      <c r="BF1991" s="46">
        <v>0</v>
      </c>
      <c r="BG1991" s="46" t="s">
        <v>48</v>
      </c>
      <c r="BH1991" s="46">
        <v>0</v>
      </c>
      <c r="BI1991" s="46">
        <v>0</v>
      </c>
      <c r="BJ1991" s="46">
        <v>0</v>
      </c>
      <c r="BK1991" s="46">
        <v>0</v>
      </c>
      <c r="BL1991" s="46">
        <v>0</v>
      </c>
      <c r="BM1991" s="46">
        <v>0</v>
      </c>
      <c r="BN1991" s="46">
        <v>0</v>
      </c>
    </row>
    <row r="1992" spans="1:66" x14ac:dyDescent="0.35">
      <c r="A1992" t="s">
        <v>8108</v>
      </c>
      <c r="B1992" s="44" t="s">
        <v>48</v>
      </c>
      <c r="C1992" t="s">
        <v>12133</v>
      </c>
      <c r="D1992" t="s">
        <v>12134</v>
      </c>
      <c r="E1992" t="s">
        <v>9646</v>
      </c>
      <c r="F1992" t="s">
        <v>4763</v>
      </c>
      <c r="G1992" t="s">
        <v>74</v>
      </c>
      <c r="H1992">
        <v>0</v>
      </c>
      <c r="I1992" s="61">
        <v>44749</v>
      </c>
      <c r="J1992" s="33" t="s">
        <v>45</v>
      </c>
      <c r="K1992" s="46">
        <v>0</v>
      </c>
      <c r="L1992">
        <v>7.1</v>
      </c>
      <c r="M1992" t="s">
        <v>48</v>
      </c>
      <c r="N1992" s="46">
        <v>0</v>
      </c>
      <c r="O1992" s="46">
        <v>0</v>
      </c>
      <c r="P1992" s="46">
        <v>0</v>
      </c>
      <c r="Q1992" t="s">
        <v>48</v>
      </c>
      <c r="R1992" t="s">
        <v>48</v>
      </c>
      <c r="S1992" t="s">
        <v>10320</v>
      </c>
      <c r="T1992" t="s">
        <v>48</v>
      </c>
      <c r="U1992" t="s">
        <v>10320</v>
      </c>
      <c r="V1992" s="47">
        <v>0</v>
      </c>
      <c r="W1992" t="s">
        <v>48</v>
      </c>
      <c r="X1992" t="s">
        <v>48</v>
      </c>
      <c r="Y1992" t="s">
        <v>48</v>
      </c>
      <c r="Z1992" t="s">
        <v>48</v>
      </c>
      <c r="AA1992" t="s">
        <v>48</v>
      </c>
      <c r="AB1992" t="s">
        <v>48</v>
      </c>
      <c r="AC1992" t="s">
        <v>49</v>
      </c>
      <c r="AD1992" t="s">
        <v>93</v>
      </c>
      <c r="AE1992" t="s">
        <v>4532</v>
      </c>
      <c r="AF1992" t="s">
        <v>48</v>
      </c>
      <c r="AG1992" t="s">
        <v>48</v>
      </c>
      <c r="AH1992" t="s">
        <v>48</v>
      </c>
      <c r="AI1992" t="s">
        <v>48</v>
      </c>
      <c r="AJ1992" t="s">
        <v>48</v>
      </c>
      <c r="AK1992" t="s">
        <v>48</v>
      </c>
      <c r="AL1992" t="s">
        <v>48</v>
      </c>
      <c r="AM1992" t="s">
        <v>48</v>
      </c>
      <c r="AN1992" t="s">
        <v>48</v>
      </c>
      <c r="AO1992" t="s">
        <v>48</v>
      </c>
      <c r="AP1992" s="46">
        <v>0</v>
      </c>
      <c r="AQ1992" s="46">
        <v>0</v>
      </c>
      <c r="AR1992" s="46">
        <v>0</v>
      </c>
      <c r="AS1992" s="46">
        <v>0</v>
      </c>
      <c r="AT1992" s="46">
        <v>0</v>
      </c>
      <c r="AU1992" s="46">
        <v>0</v>
      </c>
      <c r="AV1992" s="46">
        <v>0</v>
      </c>
      <c r="AW1992" s="46">
        <v>0</v>
      </c>
      <c r="AX1992" s="46">
        <v>0</v>
      </c>
      <c r="AY1992" s="46">
        <v>0</v>
      </c>
      <c r="AZ1992" s="46">
        <v>0</v>
      </c>
      <c r="BA1992" s="46">
        <v>0</v>
      </c>
      <c r="BB1992" s="46">
        <v>0</v>
      </c>
      <c r="BC1992" s="46">
        <v>0</v>
      </c>
      <c r="BD1992" s="46">
        <v>0</v>
      </c>
      <c r="BE1992" s="46">
        <v>0</v>
      </c>
      <c r="BF1992" s="46">
        <v>0</v>
      </c>
      <c r="BG1992" s="46" t="s">
        <v>48</v>
      </c>
      <c r="BH1992" s="46">
        <v>0</v>
      </c>
      <c r="BI1992" s="46">
        <v>0</v>
      </c>
      <c r="BJ1992" s="46">
        <v>0</v>
      </c>
      <c r="BK1992" s="46">
        <v>0</v>
      </c>
      <c r="BL1992" s="46">
        <v>0</v>
      </c>
      <c r="BM1992" s="46">
        <v>0</v>
      </c>
      <c r="BN1992" s="46">
        <v>0</v>
      </c>
    </row>
    <row r="1993" spans="1:66" x14ac:dyDescent="0.35">
      <c r="A1993" t="s">
        <v>4771</v>
      </c>
      <c r="B1993" s="44" t="s">
        <v>48</v>
      </c>
      <c r="C1993" t="s">
        <v>4775</v>
      </c>
      <c r="D1993" t="s">
        <v>288</v>
      </c>
      <c r="E1993" t="s">
        <v>4773</v>
      </c>
      <c r="F1993" t="s">
        <v>4772</v>
      </c>
      <c r="G1993" t="s">
        <v>47</v>
      </c>
      <c r="H1993">
        <v>0</v>
      </c>
      <c r="I1993" s="60" t="s">
        <v>51</v>
      </c>
      <c r="J1993" s="33" t="s">
        <v>45</v>
      </c>
      <c r="K1993" s="46">
        <v>0</v>
      </c>
      <c r="L1993">
        <v>1.3</v>
      </c>
      <c r="M1993" t="s">
        <v>48</v>
      </c>
      <c r="N1993" s="46">
        <v>0</v>
      </c>
      <c r="O1993" s="46">
        <v>0</v>
      </c>
      <c r="P1993" s="46">
        <v>0</v>
      </c>
      <c r="Q1993" t="s">
        <v>48</v>
      </c>
      <c r="R1993" t="s">
        <v>48</v>
      </c>
      <c r="S1993" t="s">
        <v>4774</v>
      </c>
      <c r="T1993" t="s">
        <v>48</v>
      </c>
      <c r="U1993" t="s">
        <v>4774</v>
      </c>
      <c r="V1993" s="47">
        <v>0</v>
      </c>
      <c r="W1993" t="s">
        <v>11317</v>
      </c>
      <c r="X1993" t="s">
        <v>48</v>
      </c>
      <c r="Y1993" t="s">
        <v>48</v>
      </c>
      <c r="Z1993">
        <v>0</v>
      </c>
      <c r="AA1993" t="s">
        <v>48</v>
      </c>
      <c r="AB1993" t="s">
        <v>48</v>
      </c>
      <c r="AC1993" t="s">
        <v>49</v>
      </c>
      <c r="AD1993" t="s">
        <v>93</v>
      </c>
      <c r="AE1993" t="s">
        <v>4532</v>
      </c>
      <c r="AF1993" t="s">
        <v>48</v>
      </c>
      <c r="AG1993" t="s">
        <v>48</v>
      </c>
      <c r="AH1993" t="s">
        <v>48</v>
      </c>
      <c r="AI1993" t="s">
        <v>48</v>
      </c>
      <c r="AJ1993" t="s">
        <v>48</v>
      </c>
      <c r="AK1993" t="s">
        <v>48</v>
      </c>
      <c r="AL1993" t="s">
        <v>48</v>
      </c>
      <c r="AM1993" t="s">
        <v>48</v>
      </c>
      <c r="AN1993" t="s">
        <v>48</v>
      </c>
      <c r="AO1993" t="s">
        <v>48</v>
      </c>
      <c r="AP1993" s="46">
        <v>0</v>
      </c>
      <c r="AQ1993" s="46">
        <v>0</v>
      </c>
      <c r="AR1993" s="46">
        <v>0</v>
      </c>
      <c r="AS1993" s="46">
        <v>0</v>
      </c>
      <c r="AT1993" s="46">
        <v>0</v>
      </c>
      <c r="AU1993" s="46">
        <v>0</v>
      </c>
      <c r="AV1993" s="46">
        <v>0</v>
      </c>
      <c r="AW1993" s="46">
        <v>0</v>
      </c>
      <c r="AX1993" s="46">
        <v>0</v>
      </c>
      <c r="AY1993" s="46">
        <v>0</v>
      </c>
      <c r="AZ1993" s="46">
        <v>0</v>
      </c>
      <c r="BA1993" s="46">
        <v>0</v>
      </c>
      <c r="BB1993" s="46">
        <v>0</v>
      </c>
      <c r="BC1993" s="46">
        <v>0</v>
      </c>
      <c r="BD1993" s="46">
        <v>0</v>
      </c>
      <c r="BE1993" s="46">
        <v>0</v>
      </c>
      <c r="BF1993" s="46">
        <v>0</v>
      </c>
      <c r="BG1993" s="46" t="s">
        <v>48</v>
      </c>
      <c r="BH1993" s="46">
        <v>0</v>
      </c>
      <c r="BI1993" s="46">
        <v>0</v>
      </c>
      <c r="BJ1993" s="46">
        <v>0</v>
      </c>
      <c r="BK1993" s="46">
        <v>0</v>
      </c>
      <c r="BL1993" s="46">
        <v>0</v>
      </c>
      <c r="BM1993" s="46">
        <v>0</v>
      </c>
      <c r="BN1993" s="46">
        <v>0</v>
      </c>
    </row>
    <row r="1994" spans="1:66" x14ac:dyDescent="0.35">
      <c r="A1994" t="s">
        <v>4776</v>
      </c>
      <c r="B1994" s="44" t="s">
        <v>48</v>
      </c>
      <c r="C1994" t="s">
        <v>4779</v>
      </c>
      <c r="D1994" t="s">
        <v>288</v>
      </c>
      <c r="E1994" t="s">
        <v>4777</v>
      </c>
      <c r="F1994" t="s">
        <v>4772</v>
      </c>
      <c r="G1994" t="s">
        <v>47</v>
      </c>
      <c r="H1994">
        <v>0</v>
      </c>
      <c r="I1994" s="60" t="s">
        <v>78</v>
      </c>
      <c r="J1994" s="33" t="s">
        <v>45</v>
      </c>
      <c r="K1994" s="46">
        <v>0</v>
      </c>
      <c r="L1994">
        <v>37</v>
      </c>
      <c r="M1994" t="s">
        <v>48</v>
      </c>
      <c r="N1994" s="46">
        <v>0</v>
      </c>
      <c r="O1994" s="46">
        <v>0</v>
      </c>
      <c r="P1994" s="46">
        <v>0</v>
      </c>
      <c r="Q1994" t="s">
        <v>48</v>
      </c>
      <c r="R1994" t="s">
        <v>48</v>
      </c>
      <c r="S1994" t="s">
        <v>4778</v>
      </c>
      <c r="T1994" t="s">
        <v>48</v>
      </c>
      <c r="U1994" t="s">
        <v>4778</v>
      </c>
      <c r="V1994" s="47">
        <v>1</v>
      </c>
      <c r="W1994" t="s">
        <v>48</v>
      </c>
      <c r="X1994" t="s">
        <v>48</v>
      </c>
      <c r="Y1994" t="s">
        <v>48</v>
      </c>
      <c r="Z1994">
        <v>0</v>
      </c>
      <c r="AA1994" t="s">
        <v>48</v>
      </c>
      <c r="AB1994" t="s">
        <v>48</v>
      </c>
      <c r="AC1994" t="s">
        <v>49</v>
      </c>
      <c r="AD1994" t="s">
        <v>93</v>
      </c>
      <c r="AE1994" t="s">
        <v>4532</v>
      </c>
      <c r="AF1994" t="s">
        <v>48</v>
      </c>
      <c r="AG1994" t="s">
        <v>48</v>
      </c>
      <c r="AH1994" t="s">
        <v>48</v>
      </c>
      <c r="AI1994" t="s">
        <v>48</v>
      </c>
      <c r="AJ1994" t="s">
        <v>48</v>
      </c>
      <c r="AK1994" t="s">
        <v>48</v>
      </c>
      <c r="AL1994" t="s">
        <v>48</v>
      </c>
      <c r="AM1994" t="s">
        <v>48</v>
      </c>
      <c r="AN1994" t="s">
        <v>48</v>
      </c>
      <c r="AO1994" t="s">
        <v>48</v>
      </c>
      <c r="AP1994" s="46">
        <v>0</v>
      </c>
      <c r="AQ1994" s="46">
        <v>0</v>
      </c>
      <c r="AR1994" s="46">
        <v>0</v>
      </c>
      <c r="AS1994" s="46">
        <v>0</v>
      </c>
      <c r="AT1994" s="46">
        <v>0</v>
      </c>
      <c r="AU1994" s="46">
        <v>0</v>
      </c>
      <c r="AV1994" s="46">
        <v>0</v>
      </c>
      <c r="AW1994" s="46">
        <v>0</v>
      </c>
      <c r="AX1994" s="46">
        <v>0</v>
      </c>
      <c r="AY1994" s="46">
        <v>0</v>
      </c>
      <c r="AZ1994" s="46">
        <v>0</v>
      </c>
      <c r="BA1994" s="46">
        <v>0</v>
      </c>
      <c r="BB1994" s="46">
        <v>0</v>
      </c>
      <c r="BC1994" s="46">
        <v>0</v>
      </c>
      <c r="BD1994" s="46">
        <v>0</v>
      </c>
      <c r="BE1994" s="46">
        <v>0</v>
      </c>
      <c r="BF1994" s="46">
        <v>0</v>
      </c>
      <c r="BG1994" s="46" t="s">
        <v>48</v>
      </c>
      <c r="BH1994" s="46">
        <v>0</v>
      </c>
      <c r="BI1994" s="46">
        <v>0</v>
      </c>
      <c r="BJ1994" s="46">
        <v>0</v>
      </c>
      <c r="BK1994" s="46">
        <v>0</v>
      </c>
      <c r="BL1994" s="46">
        <v>0</v>
      </c>
      <c r="BM1994" s="46">
        <v>0</v>
      </c>
      <c r="BN1994" s="46">
        <v>0</v>
      </c>
    </row>
    <row r="1995" spans="1:66" x14ac:dyDescent="0.35">
      <c r="A1995" t="s">
        <v>8346</v>
      </c>
      <c r="B1995" s="44" t="s">
        <v>48</v>
      </c>
      <c r="C1995" t="s">
        <v>1028</v>
      </c>
      <c r="D1995" t="s">
        <v>571</v>
      </c>
      <c r="E1995" t="s">
        <v>8347</v>
      </c>
      <c r="F1995" t="s">
        <v>4772</v>
      </c>
      <c r="G1995" t="s">
        <v>47</v>
      </c>
      <c r="H1995">
        <v>0</v>
      </c>
      <c r="I1995" s="61">
        <v>44727</v>
      </c>
      <c r="J1995" s="33" t="s">
        <v>45</v>
      </c>
      <c r="K1995" s="46">
        <v>0</v>
      </c>
      <c r="L1995">
        <v>4</v>
      </c>
      <c r="M1995" t="s">
        <v>48</v>
      </c>
      <c r="N1995" s="46">
        <v>0</v>
      </c>
      <c r="O1995" s="46">
        <v>0</v>
      </c>
      <c r="P1995" s="46">
        <v>0</v>
      </c>
      <c r="Q1995" t="s">
        <v>48</v>
      </c>
      <c r="R1995" t="s">
        <v>48</v>
      </c>
      <c r="S1995" t="s">
        <v>10323</v>
      </c>
      <c r="T1995" t="s">
        <v>48</v>
      </c>
      <c r="U1995" t="s">
        <v>10323</v>
      </c>
      <c r="V1995" s="47">
        <v>0</v>
      </c>
      <c r="W1995" t="s">
        <v>48</v>
      </c>
      <c r="X1995" t="s">
        <v>48</v>
      </c>
      <c r="Y1995" t="s">
        <v>48</v>
      </c>
      <c r="Z1995" t="s">
        <v>48</v>
      </c>
      <c r="AA1995" t="s">
        <v>48</v>
      </c>
      <c r="AB1995" t="s">
        <v>48</v>
      </c>
      <c r="AC1995" t="s">
        <v>49</v>
      </c>
      <c r="AD1995" t="s">
        <v>93</v>
      </c>
      <c r="AE1995" t="s">
        <v>4532</v>
      </c>
      <c r="AF1995" t="s">
        <v>48</v>
      </c>
      <c r="AG1995" t="s">
        <v>48</v>
      </c>
      <c r="AH1995" t="s">
        <v>48</v>
      </c>
      <c r="AI1995" t="s">
        <v>48</v>
      </c>
      <c r="AJ1995" t="s">
        <v>48</v>
      </c>
      <c r="AK1995" t="s">
        <v>48</v>
      </c>
      <c r="AL1995" t="s">
        <v>48</v>
      </c>
      <c r="AM1995" t="s">
        <v>48</v>
      </c>
      <c r="AN1995" t="s">
        <v>48</v>
      </c>
      <c r="AO1995" t="s">
        <v>48</v>
      </c>
      <c r="AP1995" s="46">
        <v>0</v>
      </c>
      <c r="AQ1995" s="46">
        <v>0</v>
      </c>
      <c r="AR1995" s="46">
        <v>0</v>
      </c>
      <c r="AS1995" s="46">
        <v>0</v>
      </c>
      <c r="AT1995" s="46">
        <v>0</v>
      </c>
      <c r="AU1995" s="46">
        <v>0</v>
      </c>
      <c r="AV1995" s="46">
        <v>0</v>
      </c>
      <c r="AW1995" s="46">
        <v>0</v>
      </c>
      <c r="AX1995" s="46">
        <v>0</v>
      </c>
      <c r="AY1995" s="46">
        <v>0</v>
      </c>
      <c r="AZ1995" s="46">
        <v>0</v>
      </c>
      <c r="BA1995" s="46">
        <v>0</v>
      </c>
      <c r="BB1995" s="46">
        <v>0</v>
      </c>
      <c r="BC1995" s="46">
        <v>0</v>
      </c>
      <c r="BD1995" s="46">
        <v>0</v>
      </c>
      <c r="BE1995" s="46">
        <v>0</v>
      </c>
      <c r="BF1995" s="46">
        <v>0</v>
      </c>
      <c r="BG1995" s="46" t="s">
        <v>48</v>
      </c>
      <c r="BH1995" s="46">
        <v>0</v>
      </c>
      <c r="BI1995" s="46">
        <v>0</v>
      </c>
      <c r="BJ1995" s="46">
        <v>0</v>
      </c>
      <c r="BK1995" s="46">
        <v>0</v>
      </c>
      <c r="BL1995" s="46">
        <v>0</v>
      </c>
      <c r="BM1995" s="46">
        <v>0</v>
      </c>
      <c r="BN1995" s="46">
        <v>0</v>
      </c>
    </row>
    <row r="1996" spans="1:66" x14ac:dyDescent="0.35">
      <c r="A1996" t="s">
        <v>8350</v>
      </c>
      <c r="B1996" s="44" t="s">
        <v>48</v>
      </c>
      <c r="C1996" t="s">
        <v>12137</v>
      </c>
      <c r="D1996" t="s">
        <v>3781</v>
      </c>
      <c r="E1996" t="s">
        <v>8351</v>
      </c>
      <c r="F1996" t="s">
        <v>4785</v>
      </c>
      <c r="G1996" t="s">
        <v>47</v>
      </c>
      <c r="H1996">
        <v>0</v>
      </c>
      <c r="I1996" s="61">
        <v>44727</v>
      </c>
      <c r="J1996" s="33" t="s">
        <v>45</v>
      </c>
      <c r="K1996" s="46">
        <v>0</v>
      </c>
      <c r="L1996">
        <v>1.9</v>
      </c>
      <c r="M1996" t="s">
        <v>48</v>
      </c>
      <c r="N1996" s="46">
        <v>0</v>
      </c>
      <c r="O1996" s="46">
        <v>0</v>
      </c>
      <c r="P1996" s="46">
        <v>0</v>
      </c>
      <c r="Q1996" t="s">
        <v>48</v>
      </c>
      <c r="R1996" t="s">
        <v>48</v>
      </c>
      <c r="S1996" t="s">
        <v>10324</v>
      </c>
      <c r="T1996" t="s">
        <v>48</v>
      </c>
      <c r="U1996" t="s">
        <v>10324</v>
      </c>
      <c r="V1996" s="47">
        <v>0</v>
      </c>
      <c r="W1996" t="s">
        <v>11317</v>
      </c>
      <c r="X1996" t="s">
        <v>48</v>
      </c>
      <c r="Y1996" t="s">
        <v>48</v>
      </c>
      <c r="Z1996" t="s">
        <v>48</v>
      </c>
      <c r="AA1996" t="s">
        <v>48</v>
      </c>
      <c r="AB1996" t="s">
        <v>48</v>
      </c>
      <c r="AC1996" t="s">
        <v>49</v>
      </c>
      <c r="AD1996" t="s">
        <v>48</v>
      </c>
      <c r="AE1996" t="s">
        <v>48</v>
      </c>
      <c r="AF1996" t="s">
        <v>48</v>
      </c>
      <c r="AG1996" t="s">
        <v>48</v>
      </c>
      <c r="AH1996" t="s">
        <v>48</v>
      </c>
      <c r="AI1996" t="s">
        <v>48</v>
      </c>
      <c r="AJ1996" t="s">
        <v>48</v>
      </c>
      <c r="AK1996" t="s">
        <v>48</v>
      </c>
      <c r="AL1996" t="s">
        <v>48</v>
      </c>
      <c r="AM1996" t="s">
        <v>48</v>
      </c>
      <c r="AN1996" t="s">
        <v>48</v>
      </c>
      <c r="AO1996" t="s">
        <v>48</v>
      </c>
      <c r="AP1996" s="46">
        <v>0</v>
      </c>
      <c r="AQ1996" s="46">
        <v>0</v>
      </c>
      <c r="AR1996" s="46">
        <v>0</v>
      </c>
      <c r="AS1996" s="46">
        <v>0</v>
      </c>
      <c r="AT1996" s="46">
        <v>0</v>
      </c>
      <c r="AU1996" s="46">
        <v>0</v>
      </c>
      <c r="AV1996" s="46">
        <v>0</v>
      </c>
      <c r="AW1996" s="46">
        <v>0</v>
      </c>
      <c r="AX1996" s="46">
        <v>0</v>
      </c>
      <c r="AY1996" s="46">
        <v>0</v>
      </c>
      <c r="AZ1996" s="46">
        <v>0</v>
      </c>
      <c r="BA1996" s="46">
        <v>0</v>
      </c>
      <c r="BB1996" s="46">
        <v>0</v>
      </c>
      <c r="BC1996" s="46">
        <v>0</v>
      </c>
      <c r="BD1996" s="46">
        <v>0</v>
      </c>
      <c r="BE1996" s="46">
        <v>0</v>
      </c>
      <c r="BF1996" s="46">
        <v>0</v>
      </c>
      <c r="BG1996" s="46" t="s">
        <v>48</v>
      </c>
      <c r="BH1996" s="46">
        <v>0</v>
      </c>
      <c r="BI1996" s="46">
        <v>0</v>
      </c>
      <c r="BJ1996" s="46">
        <v>0</v>
      </c>
      <c r="BK1996" s="46">
        <v>0</v>
      </c>
      <c r="BL1996" s="46">
        <v>0</v>
      </c>
      <c r="BM1996" s="46">
        <v>0</v>
      </c>
      <c r="BN1996" s="46">
        <v>0</v>
      </c>
    </row>
    <row r="1997" spans="1:66" x14ac:dyDescent="0.35">
      <c r="A1997" t="s">
        <v>4786</v>
      </c>
      <c r="B1997" s="44" t="s">
        <v>48</v>
      </c>
      <c r="C1997" t="s">
        <v>12136</v>
      </c>
      <c r="D1997" t="s">
        <v>203</v>
      </c>
      <c r="E1997" t="s">
        <v>4787</v>
      </c>
      <c r="F1997" t="s">
        <v>4785</v>
      </c>
      <c r="G1997" t="s">
        <v>47</v>
      </c>
      <c r="H1997">
        <v>0</v>
      </c>
      <c r="I1997" s="60" t="s">
        <v>51</v>
      </c>
      <c r="J1997" s="33" t="s">
        <v>45</v>
      </c>
      <c r="K1997" s="46">
        <v>0</v>
      </c>
      <c r="L1997">
        <v>45.6</v>
      </c>
      <c r="M1997" t="s">
        <v>48</v>
      </c>
      <c r="N1997" s="46">
        <v>0</v>
      </c>
      <c r="O1997" s="46">
        <v>0</v>
      </c>
      <c r="P1997" s="46">
        <v>0</v>
      </c>
      <c r="Q1997" t="s">
        <v>48</v>
      </c>
      <c r="R1997" t="s">
        <v>48</v>
      </c>
      <c r="S1997" t="s">
        <v>10325</v>
      </c>
      <c r="T1997" t="s">
        <v>48</v>
      </c>
      <c r="U1997" t="s">
        <v>10325</v>
      </c>
      <c r="V1997" s="47">
        <v>1</v>
      </c>
      <c r="W1997" t="s">
        <v>48</v>
      </c>
      <c r="X1997" t="s">
        <v>48</v>
      </c>
      <c r="Y1997" t="s">
        <v>48</v>
      </c>
      <c r="Z1997">
        <v>0</v>
      </c>
      <c r="AA1997" t="s">
        <v>48</v>
      </c>
      <c r="AB1997" t="s">
        <v>48</v>
      </c>
      <c r="AC1997" t="s">
        <v>49</v>
      </c>
      <c r="AD1997" t="s">
        <v>48</v>
      </c>
      <c r="AE1997" t="s">
        <v>48</v>
      </c>
      <c r="AF1997" t="s">
        <v>48</v>
      </c>
      <c r="AG1997" t="s">
        <v>48</v>
      </c>
      <c r="AH1997" t="s">
        <v>48</v>
      </c>
      <c r="AI1997" t="s">
        <v>48</v>
      </c>
      <c r="AJ1997" t="s">
        <v>48</v>
      </c>
      <c r="AK1997" t="s">
        <v>48</v>
      </c>
      <c r="AL1997" t="s">
        <v>48</v>
      </c>
      <c r="AM1997" t="s">
        <v>48</v>
      </c>
      <c r="AN1997" t="s">
        <v>48</v>
      </c>
      <c r="AO1997" t="s">
        <v>48</v>
      </c>
      <c r="AP1997" s="46">
        <v>0</v>
      </c>
      <c r="AQ1997" s="46">
        <v>0</v>
      </c>
      <c r="AR1997" s="46">
        <v>0</v>
      </c>
      <c r="AS1997" s="46">
        <v>0</v>
      </c>
      <c r="AT1997" s="46">
        <v>0</v>
      </c>
      <c r="AU1997" s="46">
        <v>0</v>
      </c>
      <c r="AV1997" s="46">
        <v>0</v>
      </c>
      <c r="AW1997" s="46">
        <v>0</v>
      </c>
      <c r="AX1997" s="46">
        <v>0</v>
      </c>
      <c r="AY1997" s="46">
        <v>0</v>
      </c>
      <c r="AZ1997" s="46">
        <v>0</v>
      </c>
      <c r="BA1997" s="46">
        <v>0</v>
      </c>
      <c r="BB1997" s="46">
        <v>0</v>
      </c>
      <c r="BC1997" s="46">
        <v>0</v>
      </c>
      <c r="BD1997" s="46">
        <v>0</v>
      </c>
      <c r="BE1997" s="46">
        <v>0</v>
      </c>
      <c r="BF1997" s="46">
        <v>0</v>
      </c>
      <c r="BG1997" s="46" t="s">
        <v>48</v>
      </c>
      <c r="BH1997" s="46">
        <v>0</v>
      </c>
      <c r="BI1997" s="46">
        <v>0</v>
      </c>
      <c r="BJ1997" s="46">
        <v>0</v>
      </c>
      <c r="BK1997" s="46">
        <v>0</v>
      </c>
      <c r="BL1997" s="46">
        <v>0</v>
      </c>
      <c r="BM1997" s="46">
        <v>0</v>
      </c>
      <c r="BN1997" s="46">
        <v>0</v>
      </c>
    </row>
    <row r="1998" spans="1:66" x14ac:dyDescent="0.35">
      <c r="A1998" t="s">
        <v>8348</v>
      </c>
      <c r="B1998" s="44" t="s">
        <v>48</v>
      </c>
      <c r="C1998" t="s">
        <v>12138</v>
      </c>
      <c r="D1998" t="s">
        <v>12139</v>
      </c>
      <c r="E1998" t="s">
        <v>8349</v>
      </c>
      <c r="F1998" t="s">
        <v>4785</v>
      </c>
      <c r="G1998" t="s">
        <v>47</v>
      </c>
      <c r="H1998">
        <v>0</v>
      </c>
      <c r="I1998" s="61">
        <v>44727</v>
      </c>
      <c r="J1998" s="33" t="s">
        <v>45</v>
      </c>
      <c r="K1998" s="46">
        <v>0</v>
      </c>
      <c r="L1998">
        <v>2.2000000000000002</v>
      </c>
      <c r="M1998" t="s">
        <v>48</v>
      </c>
      <c r="N1998" s="46">
        <v>0</v>
      </c>
      <c r="O1998" s="46">
        <v>0</v>
      </c>
      <c r="P1998" s="46">
        <v>0</v>
      </c>
      <c r="Q1998" t="s">
        <v>48</v>
      </c>
      <c r="R1998" t="s">
        <v>48</v>
      </c>
      <c r="S1998" t="s">
        <v>48</v>
      </c>
      <c r="T1998" t="s">
        <v>48</v>
      </c>
      <c r="U1998" t="s">
        <v>48</v>
      </c>
      <c r="V1998" s="47">
        <v>0</v>
      </c>
      <c r="W1998" t="s">
        <v>48</v>
      </c>
      <c r="X1998" t="s">
        <v>48</v>
      </c>
      <c r="Y1998" t="s">
        <v>48</v>
      </c>
      <c r="Z1998" t="s">
        <v>48</v>
      </c>
      <c r="AA1998" t="s">
        <v>48</v>
      </c>
      <c r="AB1998" t="s">
        <v>48</v>
      </c>
      <c r="AC1998" t="s">
        <v>49</v>
      </c>
      <c r="AD1998" t="s">
        <v>48</v>
      </c>
      <c r="AE1998" t="s">
        <v>48</v>
      </c>
      <c r="AF1998" t="s">
        <v>48</v>
      </c>
      <c r="AG1998" t="s">
        <v>48</v>
      </c>
      <c r="AH1998" t="s">
        <v>48</v>
      </c>
      <c r="AI1998" t="s">
        <v>48</v>
      </c>
      <c r="AJ1998" t="s">
        <v>48</v>
      </c>
      <c r="AK1998" t="s">
        <v>48</v>
      </c>
      <c r="AL1998" t="s">
        <v>48</v>
      </c>
      <c r="AM1998" t="s">
        <v>48</v>
      </c>
      <c r="AN1998" t="s">
        <v>48</v>
      </c>
      <c r="AO1998" t="s">
        <v>48</v>
      </c>
      <c r="AP1998" s="46">
        <v>0</v>
      </c>
      <c r="AQ1998" s="46">
        <v>0</v>
      </c>
      <c r="AR1998" s="46">
        <v>0</v>
      </c>
      <c r="AS1998" s="46">
        <v>0</v>
      </c>
      <c r="AT1998" s="46">
        <v>0</v>
      </c>
      <c r="AU1998" s="46">
        <v>0</v>
      </c>
      <c r="AV1998" s="46">
        <v>0</v>
      </c>
      <c r="AW1998" s="46">
        <v>0</v>
      </c>
      <c r="AX1998" s="46">
        <v>0</v>
      </c>
      <c r="AY1998" s="46">
        <v>0</v>
      </c>
      <c r="AZ1998" s="46">
        <v>0</v>
      </c>
      <c r="BA1998" s="46">
        <v>0</v>
      </c>
      <c r="BB1998" s="46">
        <v>0</v>
      </c>
      <c r="BC1998" s="46">
        <v>0</v>
      </c>
      <c r="BD1998" s="46">
        <v>0</v>
      </c>
      <c r="BE1998" s="46">
        <v>0</v>
      </c>
      <c r="BF1998" s="46">
        <v>0</v>
      </c>
      <c r="BG1998" s="46" t="s">
        <v>48</v>
      </c>
      <c r="BH1998" s="46">
        <v>0</v>
      </c>
      <c r="BI1998" s="46">
        <v>0</v>
      </c>
      <c r="BJ1998" s="46">
        <v>0</v>
      </c>
      <c r="BK1998" s="46">
        <v>0</v>
      </c>
      <c r="BL1998" s="46">
        <v>0</v>
      </c>
      <c r="BM1998" s="46">
        <v>0</v>
      </c>
      <c r="BN1998" s="46">
        <v>0</v>
      </c>
    </row>
    <row r="1999" spans="1:66" x14ac:dyDescent="0.35">
      <c r="A1999" t="s">
        <v>4825</v>
      </c>
      <c r="B1999" s="44" t="s">
        <v>48</v>
      </c>
      <c r="C1999" t="s">
        <v>4828</v>
      </c>
      <c r="D1999" t="s">
        <v>4827</v>
      </c>
      <c r="E1999" t="s">
        <v>8352</v>
      </c>
      <c r="F1999" t="s">
        <v>4797</v>
      </c>
      <c r="G1999" t="s">
        <v>47</v>
      </c>
      <c r="H1999">
        <v>0</v>
      </c>
      <c r="I1999" s="61">
        <v>44727</v>
      </c>
      <c r="J1999" s="33" t="s">
        <v>45</v>
      </c>
      <c r="K1999" s="46">
        <v>0</v>
      </c>
      <c r="L1999">
        <v>26.6</v>
      </c>
      <c r="M1999" s="41" t="s">
        <v>48</v>
      </c>
      <c r="N1999" s="46">
        <v>0</v>
      </c>
      <c r="O1999" s="46">
        <v>0</v>
      </c>
      <c r="P1999" s="46">
        <v>0</v>
      </c>
      <c r="Q1999" s="41" t="s">
        <v>48</v>
      </c>
      <c r="R1999" s="41" t="s">
        <v>48</v>
      </c>
      <c r="S1999" t="s">
        <v>4826</v>
      </c>
      <c r="T1999" t="s">
        <v>48</v>
      </c>
      <c r="U1999" t="s">
        <v>4826</v>
      </c>
      <c r="V1999" s="47">
        <v>0</v>
      </c>
      <c r="W1999" t="s">
        <v>48</v>
      </c>
      <c r="X1999" t="s">
        <v>48</v>
      </c>
      <c r="Y1999" t="s">
        <v>48</v>
      </c>
      <c r="Z1999">
        <v>0</v>
      </c>
      <c r="AA1999" t="s">
        <v>48</v>
      </c>
      <c r="AB1999" t="s">
        <v>48</v>
      </c>
      <c r="AC1999" t="s">
        <v>49</v>
      </c>
      <c r="AD1999" t="s">
        <v>93</v>
      </c>
      <c r="AE1999" t="s">
        <v>977</v>
      </c>
      <c r="AF1999" t="s">
        <v>11053</v>
      </c>
      <c r="AG1999" t="s">
        <v>48</v>
      </c>
      <c r="AH1999" t="s">
        <v>48</v>
      </c>
      <c r="AI1999" t="s">
        <v>48</v>
      </c>
      <c r="AJ1999" t="s">
        <v>48</v>
      </c>
      <c r="AK1999" t="s">
        <v>48</v>
      </c>
      <c r="AL1999" t="s">
        <v>48</v>
      </c>
      <c r="AM1999" t="s">
        <v>48</v>
      </c>
      <c r="AN1999" t="s">
        <v>48</v>
      </c>
      <c r="AO1999" t="s">
        <v>48</v>
      </c>
      <c r="AP1999" s="46">
        <v>0</v>
      </c>
      <c r="AQ1999" s="46">
        <v>0</v>
      </c>
      <c r="AR1999" s="46">
        <v>0</v>
      </c>
      <c r="AS1999" s="46">
        <v>0</v>
      </c>
      <c r="AT1999" s="46">
        <v>0</v>
      </c>
      <c r="AU1999" s="46">
        <v>0</v>
      </c>
      <c r="AV1999" s="46">
        <v>0</v>
      </c>
      <c r="AW1999" s="46">
        <v>0</v>
      </c>
      <c r="AX1999" s="46">
        <v>0</v>
      </c>
      <c r="AY1999" s="46">
        <v>0</v>
      </c>
      <c r="AZ1999" s="46">
        <v>0</v>
      </c>
      <c r="BA1999" s="46">
        <v>0</v>
      </c>
      <c r="BB1999" s="46">
        <v>0</v>
      </c>
      <c r="BC1999" s="46">
        <v>0</v>
      </c>
      <c r="BD1999" s="46">
        <v>0</v>
      </c>
      <c r="BE1999" s="46">
        <v>0</v>
      </c>
      <c r="BF1999" s="46">
        <v>0</v>
      </c>
      <c r="BG1999" s="46" t="s">
        <v>48</v>
      </c>
      <c r="BH1999" s="46">
        <v>0</v>
      </c>
      <c r="BI1999" s="46">
        <v>0</v>
      </c>
      <c r="BJ1999" s="46">
        <v>0</v>
      </c>
      <c r="BK1999" s="46">
        <v>0</v>
      </c>
      <c r="BL1999" s="46">
        <v>0</v>
      </c>
      <c r="BM1999" s="46">
        <v>0</v>
      </c>
      <c r="BN1999" s="46">
        <v>0</v>
      </c>
    </row>
    <row r="2000" spans="1:66" x14ac:dyDescent="0.35">
      <c r="A2000" t="s">
        <v>8353</v>
      </c>
      <c r="B2000" s="44" t="s">
        <v>48</v>
      </c>
      <c r="C2000" t="s">
        <v>12140</v>
      </c>
      <c r="D2000" t="s">
        <v>253</v>
      </c>
      <c r="E2000" t="s">
        <v>8354</v>
      </c>
      <c r="F2000" t="s">
        <v>4797</v>
      </c>
      <c r="G2000" t="s">
        <v>47</v>
      </c>
      <c r="H2000">
        <v>0</v>
      </c>
      <c r="I2000" s="61">
        <v>44727</v>
      </c>
      <c r="J2000" s="33" t="s">
        <v>45</v>
      </c>
      <c r="K2000" s="46">
        <v>0</v>
      </c>
      <c r="L2000">
        <v>16.399999999999999</v>
      </c>
      <c r="M2000" t="s">
        <v>48</v>
      </c>
      <c r="N2000" s="46">
        <v>0</v>
      </c>
      <c r="O2000" s="46">
        <v>0</v>
      </c>
      <c r="P2000" s="46">
        <v>0</v>
      </c>
      <c r="Q2000" t="s">
        <v>48</v>
      </c>
      <c r="R2000" t="s">
        <v>48</v>
      </c>
      <c r="S2000" t="s">
        <v>10327</v>
      </c>
      <c r="T2000" t="s">
        <v>48</v>
      </c>
      <c r="U2000" t="s">
        <v>10327</v>
      </c>
      <c r="V2000" s="47">
        <v>0</v>
      </c>
      <c r="W2000" t="s">
        <v>48</v>
      </c>
      <c r="X2000" t="s">
        <v>48</v>
      </c>
      <c r="Y2000" t="s">
        <v>48</v>
      </c>
      <c r="Z2000" t="s">
        <v>48</v>
      </c>
      <c r="AA2000" t="s">
        <v>48</v>
      </c>
      <c r="AB2000" t="s">
        <v>48</v>
      </c>
      <c r="AC2000" t="s">
        <v>49</v>
      </c>
      <c r="AD2000" t="s">
        <v>93</v>
      </c>
      <c r="AE2000" t="s">
        <v>4532</v>
      </c>
      <c r="AF2000" t="s">
        <v>48</v>
      </c>
      <c r="AG2000" t="s">
        <v>48</v>
      </c>
      <c r="AH2000" t="s">
        <v>48</v>
      </c>
      <c r="AI2000" t="s">
        <v>48</v>
      </c>
      <c r="AJ2000" t="s">
        <v>48</v>
      </c>
      <c r="AK2000" t="s">
        <v>48</v>
      </c>
      <c r="AL2000" t="s">
        <v>48</v>
      </c>
      <c r="AM2000" t="s">
        <v>48</v>
      </c>
      <c r="AN2000" t="s">
        <v>48</v>
      </c>
      <c r="AO2000" t="s">
        <v>48</v>
      </c>
      <c r="AP2000" s="46">
        <v>0</v>
      </c>
      <c r="AQ2000" s="46">
        <v>0</v>
      </c>
      <c r="AR2000" s="46">
        <v>0</v>
      </c>
      <c r="AS2000" s="46">
        <v>0</v>
      </c>
      <c r="AT2000" s="46">
        <v>0</v>
      </c>
      <c r="AU2000" s="46">
        <v>0</v>
      </c>
      <c r="AV2000" s="46">
        <v>0</v>
      </c>
      <c r="AW2000" s="46">
        <v>0</v>
      </c>
      <c r="AX2000" s="46">
        <v>0</v>
      </c>
      <c r="AY2000" s="46">
        <v>0</v>
      </c>
      <c r="AZ2000" s="46">
        <v>0</v>
      </c>
      <c r="BA2000" s="46">
        <v>0</v>
      </c>
      <c r="BB2000" s="46">
        <v>0</v>
      </c>
      <c r="BC2000" s="46">
        <v>0</v>
      </c>
      <c r="BD2000" s="46">
        <v>0</v>
      </c>
      <c r="BE2000" s="46">
        <v>0</v>
      </c>
      <c r="BF2000" s="46">
        <v>0</v>
      </c>
      <c r="BG2000" s="46" t="s">
        <v>48</v>
      </c>
      <c r="BH2000" s="46">
        <v>0</v>
      </c>
      <c r="BI2000" s="46">
        <v>0</v>
      </c>
      <c r="BJ2000" s="46">
        <v>0</v>
      </c>
      <c r="BK2000" s="46">
        <v>0</v>
      </c>
      <c r="BL2000" s="46">
        <v>0</v>
      </c>
      <c r="BM2000" s="46">
        <v>0</v>
      </c>
      <c r="BN2000" s="46">
        <v>0</v>
      </c>
    </row>
    <row r="2001" spans="1:66" x14ac:dyDescent="0.35">
      <c r="A2001" t="s">
        <v>4829</v>
      </c>
      <c r="B2001" s="44" t="s">
        <v>48</v>
      </c>
      <c r="C2001" t="s">
        <v>861</v>
      </c>
      <c r="D2001" t="s">
        <v>1578</v>
      </c>
      <c r="E2001" t="s">
        <v>4830</v>
      </c>
      <c r="F2001" t="s">
        <v>4806</v>
      </c>
      <c r="G2001" t="s">
        <v>47</v>
      </c>
      <c r="H2001">
        <v>0</v>
      </c>
      <c r="I2001" s="60" t="s">
        <v>78</v>
      </c>
      <c r="J2001" s="33" t="s">
        <v>45</v>
      </c>
      <c r="K2001" s="46">
        <v>0</v>
      </c>
      <c r="L2001">
        <v>15.4</v>
      </c>
      <c r="M2001" t="s">
        <v>48</v>
      </c>
      <c r="N2001" s="46">
        <v>0</v>
      </c>
      <c r="O2001" s="46">
        <v>0</v>
      </c>
      <c r="P2001" s="46">
        <v>0</v>
      </c>
      <c r="Q2001" t="s">
        <v>48</v>
      </c>
      <c r="R2001" t="s">
        <v>48</v>
      </c>
      <c r="S2001" t="s">
        <v>10329</v>
      </c>
      <c r="T2001" t="s">
        <v>48</v>
      </c>
      <c r="U2001" t="s">
        <v>10329</v>
      </c>
      <c r="V2001" s="47">
        <v>0</v>
      </c>
      <c r="W2001" t="s">
        <v>48</v>
      </c>
      <c r="X2001" t="s">
        <v>48</v>
      </c>
      <c r="Y2001" t="s">
        <v>48</v>
      </c>
      <c r="Z2001">
        <v>0</v>
      </c>
      <c r="AA2001" t="s">
        <v>48</v>
      </c>
      <c r="AB2001" t="s">
        <v>48</v>
      </c>
      <c r="AC2001" t="s">
        <v>49</v>
      </c>
      <c r="AD2001" t="s">
        <v>93</v>
      </c>
      <c r="AE2001" t="s">
        <v>4532</v>
      </c>
      <c r="AF2001" t="s">
        <v>48</v>
      </c>
      <c r="AG2001" t="s">
        <v>48</v>
      </c>
      <c r="AH2001" t="s">
        <v>48</v>
      </c>
      <c r="AI2001" t="s">
        <v>48</v>
      </c>
      <c r="AJ2001" t="s">
        <v>48</v>
      </c>
      <c r="AK2001" t="s">
        <v>48</v>
      </c>
      <c r="AL2001" t="s">
        <v>48</v>
      </c>
      <c r="AM2001" t="s">
        <v>48</v>
      </c>
      <c r="AN2001" t="s">
        <v>48</v>
      </c>
      <c r="AO2001" t="s">
        <v>48</v>
      </c>
      <c r="AP2001" s="46">
        <v>0</v>
      </c>
      <c r="AQ2001" s="46">
        <v>0</v>
      </c>
      <c r="AR2001" s="46">
        <v>0</v>
      </c>
      <c r="AS2001" s="46">
        <v>0</v>
      </c>
      <c r="AT2001" s="46">
        <v>0</v>
      </c>
      <c r="AU2001" s="46">
        <v>0</v>
      </c>
      <c r="AV2001" s="46">
        <v>0</v>
      </c>
      <c r="AW2001" s="46">
        <v>0</v>
      </c>
      <c r="AX2001" s="46">
        <v>0</v>
      </c>
      <c r="AY2001" s="46">
        <v>0</v>
      </c>
      <c r="AZ2001" s="46">
        <v>0</v>
      </c>
      <c r="BA2001" s="46">
        <v>0</v>
      </c>
      <c r="BB2001" s="46">
        <v>0</v>
      </c>
      <c r="BC2001" s="46">
        <v>0</v>
      </c>
      <c r="BD2001" s="46">
        <v>0</v>
      </c>
      <c r="BE2001" s="46">
        <v>0</v>
      </c>
      <c r="BF2001" s="46">
        <v>0</v>
      </c>
      <c r="BG2001" s="46" t="s">
        <v>48</v>
      </c>
      <c r="BH2001" s="46">
        <v>0</v>
      </c>
      <c r="BI2001" s="46">
        <v>0</v>
      </c>
      <c r="BJ2001" s="46">
        <v>0</v>
      </c>
      <c r="BK2001" s="46">
        <v>0</v>
      </c>
      <c r="BL2001" s="46">
        <v>0</v>
      </c>
      <c r="BM2001" s="46">
        <v>0</v>
      </c>
      <c r="BN2001" s="46">
        <v>0</v>
      </c>
    </row>
    <row r="2002" spans="1:66" x14ac:dyDescent="0.35">
      <c r="A2002" t="s">
        <v>4809</v>
      </c>
      <c r="B2002" s="44" t="s">
        <v>48</v>
      </c>
      <c r="C2002" t="s">
        <v>1721</v>
      </c>
      <c r="D2002" t="s">
        <v>221</v>
      </c>
      <c r="E2002" t="s">
        <v>4810</v>
      </c>
      <c r="F2002" t="s">
        <v>4806</v>
      </c>
      <c r="G2002" t="s">
        <v>47</v>
      </c>
      <c r="H2002">
        <v>0</v>
      </c>
      <c r="I2002" s="60" t="s">
        <v>125</v>
      </c>
      <c r="J2002" s="33" t="s">
        <v>45</v>
      </c>
      <c r="K2002" s="46">
        <v>0</v>
      </c>
      <c r="L2002">
        <v>5.5</v>
      </c>
      <c r="M2002" t="s">
        <v>48</v>
      </c>
      <c r="N2002" s="46">
        <v>0</v>
      </c>
      <c r="O2002" s="46">
        <v>0</v>
      </c>
      <c r="P2002" s="46">
        <v>0</v>
      </c>
      <c r="Q2002" t="s">
        <v>48</v>
      </c>
      <c r="R2002" t="s">
        <v>48</v>
      </c>
      <c r="S2002" t="s">
        <v>4811</v>
      </c>
      <c r="T2002" t="s">
        <v>48</v>
      </c>
      <c r="U2002" t="s">
        <v>4811</v>
      </c>
      <c r="V2002" s="47">
        <v>0</v>
      </c>
      <c r="W2002" t="s">
        <v>48</v>
      </c>
      <c r="X2002" t="s">
        <v>48</v>
      </c>
      <c r="Y2002" t="s">
        <v>48</v>
      </c>
      <c r="Z2002">
        <v>0</v>
      </c>
      <c r="AA2002" t="s">
        <v>48</v>
      </c>
      <c r="AB2002" t="s">
        <v>48</v>
      </c>
      <c r="AC2002" t="s">
        <v>49</v>
      </c>
      <c r="AD2002" t="s">
        <v>93</v>
      </c>
      <c r="AE2002" t="s">
        <v>4532</v>
      </c>
      <c r="AF2002" t="s">
        <v>48</v>
      </c>
      <c r="AG2002" t="s">
        <v>48</v>
      </c>
      <c r="AH2002" t="s">
        <v>48</v>
      </c>
      <c r="AI2002" t="s">
        <v>48</v>
      </c>
      <c r="AJ2002" t="s">
        <v>48</v>
      </c>
      <c r="AK2002" t="s">
        <v>48</v>
      </c>
      <c r="AL2002" t="s">
        <v>48</v>
      </c>
      <c r="AM2002" t="s">
        <v>48</v>
      </c>
      <c r="AN2002" t="s">
        <v>48</v>
      </c>
      <c r="AO2002" t="s">
        <v>48</v>
      </c>
      <c r="AP2002" s="46">
        <v>0</v>
      </c>
      <c r="AQ2002" s="46">
        <v>0</v>
      </c>
      <c r="AR2002" s="46">
        <v>0</v>
      </c>
      <c r="AS2002" s="46">
        <v>0</v>
      </c>
      <c r="AT2002" s="46">
        <v>0</v>
      </c>
      <c r="AU2002" s="46">
        <v>0</v>
      </c>
      <c r="AV2002" s="46">
        <v>0</v>
      </c>
      <c r="AW2002" s="46">
        <v>0</v>
      </c>
      <c r="AX2002" s="46">
        <v>0</v>
      </c>
      <c r="AY2002" s="46">
        <v>0</v>
      </c>
      <c r="AZ2002" s="46">
        <v>0</v>
      </c>
      <c r="BA2002" s="46">
        <v>0</v>
      </c>
      <c r="BB2002" s="46">
        <v>0</v>
      </c>
      <c r="BC2002" s="46">
        <v>0</v>
      </c>
      <c r="BD2002" s="46">
        <v>0</v>
      </c>
      <c r="BE2002" s="46">
        <v>0</v>
      </c>
      <c r="BF2002" s="46">
        <v>0</v>
      </c>
      <c r="BG2002" s="46" t="s">
        <v>48</v>
      </c>
      <c r="BH2002" s="46">
        <v>0</v>
      </c>
      <c r="BI2002" s="46">
        <v>0</v>
      </c>
      <c r="BJ2002" s="46">
        <v>0</v>
      </c>
      <c r="BK2002" s="46">
        <v>0</v>
      </c>
      <c r="BL2002" s="46">
        <v>0</v>
      </c>
      <c r="BM2002" s="46">
        <v>0</v>
      </c>
      <c r="BN2002" s="46">
        <v>0</v>
      </c>
    </row>
    <row r="2003" spans="1:66" x14ac:dyDescent="0.35">
      <c r="A2003" t="s">
        <v>4812</v>
      </c>
      <c r="B2003" s="44" t="s">
        <v>48</v>
      </c>
      <c r="C2003" t="s">
        <v>4815</v>
      </c>
      <c r="D2003" t="s">
        <v>221</v>
      </c>
      <c r="E2003" t="s">
        <v>4813</v>
      </c>
      <c r="F2003" t="s">
        <v>4806</v>
      </c>
      <c r="G2003" t="s">
        <v>47</v>
      </c>
      <c r="H2003">
        <v>0</v>
      </c>
      <c r="I2003" s="60" t="s">
        <v>190</v>
      </c>
      <c r="J2003" s="33" t="s">
        <v>45</v>
      </c>
      <c r="K2003" s="46">
        <v>0</v>
      </c>
      <c r="L2003">
        <v>4.8</v>
      </c>
      <c r="M2003" t="s">
        <v>48</v>
      </c>
      <c r="N2003" s="46">
        <v>0</v>
      </c>
      <c r="O2003" s="46">
        <v>0</v>
      </c>
      <c r="P2003" s="46">
        <v>0</v>
      </c>
      <c r="Q2003" t="s">
        <v>48</v>
      </c>
      <c r="R2003" t="s">
        <v>48</v>
      </c>
      <c r="S2003" t="s">
        <v>4814</v>
      </c>
      <c r="T2003" t="s">
        <v>48</v>
      </c>
      <c r="U2003" t="s">
        <v>4814</v>
      </c>
      <c r="V2003" s="47">
        <v>0</v>
      </c>
      <c r="W2003" t="s">
        <v>48</v>
      </c>
      <c r="X2003" t="s">
        <v>48</v>
      </c>
      <c r="Y2003" t="s">
        <v>48</v>
      </c>
      <c r="Z2003">
        <v>0</v>
      </c>
      <c r="AA2003" t="s">
        <v>48</v>
      </c>
      <c r="AB2003" t="s">
        <v>48</v>
      </c>
      <c r="AC2003" t="s">
        <v>49</v>
      </c>
      <c r="AD2003" t="s">
        <v>93</v>
      </c>
      <c r="AE2003" t="s">
        <v>4532</v>
      </c>
      <c r="AF2003" t="s">
        <v>48</v>
      </c>
      <c r="AG2003" t="s">
        <v>48</v>
      </c>
      <c r="AH2003" t="s">
        <v>48</v>
      </c>
      <c r="AI2003" t="s">
        <v>48</v>
      </c>
      <c r="AJ2003" t="s">
        <v>48</v>
      </c>
      <c r="AK2003" t="s">
        <v>48</v>
      </c>
      <c r="AL2003" t="s">
        <v>48</v>
      </c>
      <c r="AM2003" t="s">
        <v>48</v>
      </c>
      <c r="AN2003" t="s">
        <v>48</v>
      </c>
      <c r="AO2003" t="s">
        <v>48</v>
      </c>
      <c r="AP2003" s="46">
        <v>0</v>
      </c>
      <c r="AQ2003" s="46">
        <v>0</v>
      </c>
      <c r="AR2003" s="46">
        <v>0</v>
      </c>
      <c r="AS2003" s="46">
        <v>0</v>
      </c>
      <c r="AT2003" s="46">
        <v>0</v>
      </c>
      <c r="AU2003" s="46">
        <v>0</v>
      </c>
      <c r="AV2003" s="46">
        <v>0</v>
      </c>
      <c r="AW2003" s="46">
        <v>0</v>
      </c>
      <c r="AX2003" s="46">
        <v>0</v>
      </c>
      <c r="AY2003" s="46">
        <v>0</v>
      </c>
      <c r="AZ2003" s="46">
        <v>0</v>
      </c>
      <c r="BA2003" s="46">
        <v>0</v>
      </c>
      <c r="BB2003" s="46">
        <v>0</v>
      </c>
      <c r="BC2003" s="46">
        <v>0</v>
      </c>
      <c r="BD2003" s="46">
        <v>0</v>
      </c>
      <c r="BE2003" s="46">
        <v>0</v>
      </c>
      <c r="BF2003" s="46">
        <v>0</v>
      </c>
      <c r="BG2003" s="46" t="s">
        <v>48</v>
      </c>
      <c r="BH2003" s="46">
        <v>0</v>
      </c>
      <c r="BI2003" s="46">
        <v>0</v>
      </c>
      <c r="BJ2003" s="46">
        <v>0</v>
      </c>
      <c r="BK2003" s="46">
        <v>0</v>
      </c>
      <c r="BL2003" s="46">
        <v>0</v>
      </c>
      <c r="BM2003" s="46">
        <v>0</v>
      </c>
      <c r="BN2003" s="46">
        <v>0</v>
      </c>
    </row>
    <row r="2004" spans="1:66" x14ac:dyDescent="0.35">
      <c r="A2004" t="s">
        <v>4805</v>
      </c>
      <c r="B2004" s="44" t="s">
        <v>48</v>
      </c>
      <c r="C2004" t="s">
        <v>4808</v>
      </c>
      <c r="D2004" t="s">
        <v>427</v>
      </c>
      <c r="E2004" t="s">
        <v>4807</v>
      </c>
      <c r="F2004" t="s">
        <v>4806</v>
      </c>
      <c r="G2004" t="s">
        <v>47</v>
      </c>
      <c r="H2004">
        <v>0</v>
      </c>
      <c r="I2004" s="60" t="s">
        <v>881</v>
      </c>
      <c r="J2004" s="33" t="s">
        <v>45</v>
      </c>
      <c r="K2004" s="46">
        <v>0</v>
      </c>
      <c r="L2004">
        <v>4.0999999999999996</v>
      </c>
      <c r="M2004" t="s">
        <v>48</v>
      </c>
      <c r="N2004" s="46">
        <v>0</v>
      </c>
      <c r="O2004" s="46">
        <v>0</v>
      </c>
      <c r="P2004" s="46">
        <v>0</v>
      </c>
      <c r="Q2004" t="s">
        <v>48</v>
      </c>
      <c r="R2004" t="s">
        <v>48</v>
      </c>
      <c r="S2004" t="s">
        <v>10330</v>
      </c>
      <c r="T2004" t="s">
        <v>48</v>
      </c>
      <c r="U2004" t="s">
        <v>10330</v>
      </c>
      <c r="V2004" s="47">
        <v>0</v>
      </c>
      <c r="W2004" t="s">
        <v>48</v>
      </c>
      <c r="X2004" t="s">
        <v>48</v>
      </c>
      <c r="Y2004" t="s">
        <v>48</v>
      </c>
      <c r="Z2004">
        <v>0</v>
      </c>
      <c r="AA2004" t="s">
        <v>48</v>
      </c>
      <c r="AB2004" t="s">
        <v>48</v>
      </c>
      <c r="AC2004" t="s">
        <v>49</v>
      </c>
      <c r="AD2004" t="s">
        <v>93</v>
      </c>
      <c r="AE2004" t="s">
        <v>4532</v>
      </c>
      <c r="AF2004" t="s">
        <v>48</v>
      </c>
      <c r="AG2004" t="s">
        <v>48</v>
      </c>
      <c r="AH2004" t="s">
        <v>48</v>
      </c>
      <c r="AI2004" t="s">
        <v>48</v>
      </c>
      <c r="AJ2004" t="s">
        <v>48</v>
      </c>
      <c r="AK2004" t="s">
        <v>48</v>
      </c>
      <c r="AL2004" t="s">
        <v>48</v>
      </c>
      <c r="AM2004" t="s">
        <v>48</v>
      </c>
      <c r="AN2004" t="s">
        <v>48</v>
      </c>
      <c r="AO2004" t="s">
        <v>48</v>
      </c>
      <c r="AP2004" s="46">
        <v>0</v>
      </c>
      <c r="AQ2004" s="46">
        <v>0</v>
      </c>
      <c r="AR2004" s="46">
        <v>0</v>
      </c>
      <c r="AS2004" s="46">
        <v>0</v>
      </c>
      <c r="AT2004" s="46">
        <v>0</v>
      </c>
      <c r="AU2004" s="46">
        <v>0</v>
      </c>
      <c r="AV2004" s="46">
        <v>0</v>
      </c>
      <c r="AW2004" s="46">
        <v>0</v>
      </c>
      <c r="AX2004" s="46">
        <v>0</v>
      </c>
      <c r="AY2004" s="46">
        <v>0</v>
      </c>
      <c r="AZ2004" s="46">
        <v>0</v>
      </c>
      <c r="BA2004" s="46">
        <v>0</v>
      </c>
      <c r="BB2004" s="46">
        <v>0</v>
      </c>
      <c r="BC2004" s="46">
        <v>0</v>
      </c>
      <c r="BD2004" s="46">
        <v>0</v>
      </c>
      <c r="BE2004" s="46">
        <v>0</v>
      </c>
      <c r="BF2004" s="46">
        <v>0</v>
      </c>
      <c r="BG2004" s="46" t="s">
        <v>48</v>
      </c>
      <c r="BH2004" s="46">
        <v>0</v>
      </c>
      <c r="BI2004" s="46">
        <v>0</v>
      </c>
      <c r="BJ2004" s="46">
        <v>0</v>
      </c>
      <c r="BK2004" s="46">
        <v>0</v>
      </c>
      <c r="BL2004" s="46">
        <v>0</v>
      </c>
      <c r="BM2004" s="46">
        <v>0</v>
      </c>
      <c r="BN2004" s="46">
        <v>0</v>
      </c>
    </row>
    <row r="2005" spans="1:66" x14ac:dyDescent="0.35">
      <c r="A2005" t="s">
        <v>4861</v>
      </c>
      <c r="B2005" s="44" t="s">
        <v>48</v>
      </c>
      <c r="C2005" t="s">
        <v>4864</v>
      </c>
      <c r="D2005" t="s">
        <v>4863</v>
      </c>
      <c r="E2005" t="s">
        <v>8355</v>
      </c>
      <c r="F2005" t="s">
        <v>4806</v>
      </c>
      <c r="G2005" t="s">
        <v>47</v>
      </c>
      <c r="H2005">
        <v>0</v>
      </c>
      <c r="I2005" s="61">
        <v>44727</v>
      </c>
      <c r="J2005" s="33" t="s">
        <v>45</v>
      </c>
      <c r="K2005" s="46">
        <v>0</v>
      </c>
      <c r="L2005">
        <v>23.7</v>
      </c>
      <c r="M2005" t="s">
        <v>48</v>
      </c>
      <c r="N2005" s="46">
        <v>0</v>
      </c>
      <c r="O2005" s="46">
        <v>0</v>
      </c>
      <c r="P2005" s="46">
        <v>0</v>
      </c>
      <c r="Q2005" t="s">
        <v>48</v>
      </c>
      <c r="R2005" t="s">
        <v>48</v>
      </c>
      <c r="S2005" t="s">
        <v>4862</v>
      </c>
      <c r="T2005" t="s">
        <v>48</v>
      </c>
      <c r="U2005" t="s">
        <v>4862</v>
      </c>
      <c r="V2005" s="47">
        <v>1</v>
      </c>
      <c r="W2005" t="s">
        <v>48</v>
      </c>
      <c r="X2005" t="s">
        <v>48</v>
      </c>
      <c r="Y2005" t="s">
        <v>48</v>
      </c>
      <c r="Z2005">
        <v>0</v>
      </c>
      <c r="AA2005" t="s">
        <v>48</v>
      </c>
      <c r="AB2005" t="s">
        <v>48</v>
      </c>
      <c r="AC2005" t="s">
        <v>49</v>
      </c>
      <c r="AD2005" t="s">
        <v>93</v>
      </c>
      <c r="AE2005" t="s">
        <v>4532</v>
      </c>
      <c r="AF2005" t="s">
        <v>48</v>
      </c>
      <c r="AG2005" t="s">
        <v>48</v>
      </c>
      <c r="AH2005" t="s">
        <v>48</v>
      </c>
      <c r="AI2005" t="s">
        <v>48</v>
      </c>
      <c r="AJ2005" t="s">
        <v>48</v>
      </c>
      <c r="AK2005" t="s">
        <v>48</v>
      </c>
      <c r="AL2005" t="s">
        <v>48</v>
      </c>
      <c r="AM2005" t="s">
        <v>48</v>
      </c>
      <c r="AN2005" t="s">
        <v>48</v>
      </c>
      <c r="AO2005" t="s">
        <v>48</v>
      </c>
      <c r="AP2005" s="46">
        <v>0</v>
      </c>
      <c r="AQ2005" s="46">
        <v>0</v>
      </c>
      <c r="AR2005" s="46">
        <v>0</v>
      </c>
      <c r="AS2005" s="46">
        <v>0</v>
      </c>
      <c r="AT2005" s="46">
        <v>0</v>
      </c>
      <c r="AU2005" s="46">
        <v>0</v>
      </c>
      <c r="AV2005" s="46">
        <v>0</v>
      </c>
      <c r="AW2005" s="46">
        <v>0</v>
      </c>
      <c r="AX2005" s="46">
        <v>0</v>
      </c>
      <c r="AY2005" s="46">
        <v>0</v>
      </c>
      <c r="AZ2005" s="46">
        <v>0</v>
      </c>
      <c r="BA2005" s="46">
        <v>0</v>
      </c>
      <c r="BB2005" s="46">
        <v>0</v>
      </c>
      <c r="BC2005" s="46">
        <v>0</v>
      </c>
      <c r="BD2005" s="46">
        <v>0</v>
      </c>
      <c r="BE2005" s="46">
        <v>0</v>
      </c>
      <c r="BF2005" s="46">
        <v>0</v>
      </c>
      <c r="BG2005" s="46" t="s">
        <v>48</v>
      </c>
      <c r="BH2005" s="46">
        <v>0</v>
      </c>
      <c r="BI2005" s="46">
        <v>0</v>
      </c>
      <c r="BJ2005" s="46">
        <v>0</v>
      </c>
      <c r="BK2005" s="46">
        <v>0</v>
      </c>
      <c r="BL2005" s="46">
        <v>0</v>
      </c>
      <c r="BM2005" s="46">
        <v>0</v>
      </c>
      <c r="BN2005" s="46">
        <v>0</v>
      </c>
    </row>
    <row r="2006" spans="1:66" x14ac:dyDescent="0.35">
      <c r="A2006" t="s">
        <v>8109</v>
      </c>
      <c r="B2006" s="44" t="s">
        <v>48</v>
      </c>
      <c r="C2006" t="s">
        <v>4625</v>
      </c>
      <c r="D2006" t="s">
        <v>3009</v>
      </c>
      <c r="E2006" t="s">
        <v>8110</v>
      </c>
      <c r="F2006" t="s">
        <v>4806</v>
      </c>
      <c r="G2006" t="s">
        <v>74</v>
      </c>
      <c r="H2006">
        <v>0</v>
      </c>
      <c r="I2006" s="61">
        <v>44727</v>
      </c>
      <c r="J2006" s="33" t="s">
        <v>45</v>
      </c>
      <c r="K2006" s="46">
        <v>0</v>
      </c>
      <c r="L2006">
        <v>5.6</v>
      </c>
      <c r="M2006" t="s">
        <v>48</v>
      </c>
      <c r="N2006" s="46">
        <v>0</v>
      </c>
      <c r="O2006" s="46">
        <v>0</v>
      </c>
      <c r="P2006" s="46">
        <v>0</v>
      </c>
      <c r="Q2006" t="s">
        <v>48</v>
      </c>
      <c r="R2006" t="s">
        <v>48</v>
      </c>
      <c r="S2006" t="s">
        <v>10328</v>
      </c>
      <c r="T2006" t="s">
        <v>48</v>
      </c>
      <c r="U2006" t="s">
        <v>10328</v>
      </c>
      <c r="V2006" s="47">
        <v>0</v>
      </c>
      <c r="W2006" t="s">
        <v>11317</v>
      </c>
      <c r="X2006" t="s">
        <v>48</v>
      </c>
      <c r="Y2006" t="s">
        <v>48</v>
      </c>
      <c r="Z2006" t="s">
        <v>48</v>
      </c>
      <c r="AA2006" t="s">
        <v>48</v>
      </c>
      <c r="AB2006" t="s">
        <v>48</v>
      </c>
      <c r="AC2006" t="s">
        <v>49</v>
      </c>
      <c r="AD2006" t="s">
        <v>93</v>
      </c>
      <c r="AE2006" t="s">
        <v>4532</v>
      </c>
      <c r="AF2006" t="s">
        <v>48</v>
      </c>
      <c r="AG2006" t="s">
        <v>48</v>
      </c>
      <c r="AH2006" t="s">
        <v>48</v>
      </c>
      <c r="AI2006" t="s">
        <v>48</v>
      </c>
      <c r="AJ2006" t="s">
        <v>48</v>
      </c>
      <c r="AK2006" t="s">
        <v>48</v>
      </c>
      <c r="AL2006" t="s">
        <v>48</v>
      </c>
      <c r="AM2006" t="s">
        <v>48</v>
      </c>
      <c r="AN2006" t="s">
        <v>48</v>
      </c>
      <c r="AO2006" t="s">
        <v>48</v>
      </c>
      <c r="AP2006" s="46">
        <v>0</v>
      </c>
      <c r="AQ2006" s="46">
        <v>0</v>
      </c>
      <c r="AR2006" s="46">
        <v>0</v>
      </c>
      <c r="AS2006" s="46">
        <v>0</v>
      </c>
      <c r="AT2006" s="46">
        <v>0</v>
      </c>
      <c r="AU2006" s="46">
        <v>0</v>
      </c>
      <c r="AV2006" s="46">
        <v>0</v>
      </c>
      <c r="AW2006" s="46">
        <v>0</v>
      </c>
      <c r="AX2006" s="46">
        <v>0</v>
      </c>
      <c r="AY2006" s="46">
        <v>0</v>
      </c>
      <c r="AZ2006" s="46">
        <v>0</v>
      </c>
      <c r="BA2006" s="46">
        <v>0</v>
      </c>
      <c r="BB2006" s="46">
        <v>0</v>
      </c>
      <c r="BC2006" s="46">
        <v>0</v>
      </c>
      <c r="BD2006" s="46">
        <v>0</v>
      </c>
      <c r="BE2006" s="46">
        <v>0</v>
      </c>
      <c r="BF2006" s="46">
        <v>0</v>
      </c>
      <c r="BG2006" s="46" t="s">
        <v>48</v>
      </c>
      <c r="BH2006" s="46">
        <v>0</v>
      </c>
      <c r="BI2006" s="46">
        <v>0</v>
      </c>
      <c r="BJ2006" s="46">
        <v>0</v>
      </c>
      <c r="BK2006" s="46">
        <v>0</v>
      </c>
      <c r="BL2006" s="46">
        <v>0</v>
      </c>
      <c r="BM2006" s="46">
        <v>0</v>
      </c>
      <c r="BN2006" s="46">
        <v>0</v>
      </c>
    </row>
    <row r="2007" spans="1:66" x14ac:dyDescent="0.35">
      <c r="A2007" t="s">
        <v>8111</v>
      </c>
      <c r="B2007" s="44" t="s">
        <v>48</v>
      </c>
      <c r="C2007" t="s">
        <v>12144</v>
      </c>
      <c r="D2007" t="s">
        <v>12145</v>
      </c>
      <c r="E2007" t="s">
        <v>11565</v>
      </c>
      <c r="F2007" t="s">
        <v>4832</v>
      </c>
      <c r="G2007" t="s">
        <v>74</v>
      </c>
      <c r="H2007">
        <v>0</v>
      </c>
      <c r="I2007" s="61">
        <v>44727</v>
      </c>
      <c r="J2007" s="33" t="s">
        <v>45</v>
      </c>
      <c r="K2007" s="46">
        <v>0</v>
      </c>
      <c r="L2007">
        <v>5.0999999999999996</v>
      </c>
      <c r="M2007" t="s">
        <v>48</v>
      </c>
      <c r="N2007" s="46">
        <v>0</v>
      </c>
      <c r="O2007" s="46">
        <v>0</v>
      </c>
      <c r="P2007" s="46">
        <v>0</v>
      </c>
      <c r="Q2007" t="s">
        <v>48</v>
      </c>
      <c r="R2007" t="s">
        <v>48</v>
      </c>
      <c r="S2007" t="s">
        <v>10331</v>
      </c>
      <c r="T2007" t="s">
        <v>48</v>
      </c>
      <c r="U2007" t="s">
        <v>10331</v>
      </c>
      <c r="V2007" s="47">
        <v>0</v>
      </c>
      <c r="W2007" t="s">
        <v>48</v>
      </c>
      <c r="X2007" t="s">
        <v>48</v>
      </c>
      <c r="Y2007" t="s">
        <v>48</v>
      </c>
      <c r="Z2007" t="s">
        <v>48</v>
      </c>
      <c r="AA2007" t="s">
        <v>48</v>
      </c>
      <c r="AB2007" t="s">
        <v>48</v>
      </c>
      <c r="AC2007" t="s">
        <v>63</v>
      </c>
      <c r="AD2007" t="s">
        <v>93</v>
      </c>
      <c r="AE2007" t="s">
        <v>2471</v>
      </c>
      <c r="AF2007" t="s">
        <v>48</v>
      </c>
      <c r="AG2007" t="s">
        <v>48</v>
      </c>
      <c r="AH2007" t="s">
        <v>48</v>
      </c>
      <c r="AI2007" t="s">
        <v>48</v>
      </c>
      <c r="AJ2007" t="s">
        <v>48</v>
      </c>
      <c r="AK2007" t="s">
        <v>48</v>
      </c>
      <c r="AL2007" t="s">
        <v>48</v>
      </c>
      <c r="AM2007" t="s">
        <v>48</v>
      </c>
      <c r="AN2007" t="s">
        <v>48</v>
      </c>
      <c r="AO2007" t="s">
        <v>48</v>
      </c>
      <c r="AP2007" s="46">
        <v>0</v>
      </c>
      <c r="AQ2007" s="46">
        <v>0</v>
      </c>
      <c r="AR2007" s="46">
        <v>0</v>
      </c>
      <c r="AS2007" s="46">
        <v>0</v>
      </c>
      <c r="AT2007" s="46">
        <v>0</v>
      </c>
      <c r="AU2007" s="46">
        <v>0</v>
      </c>
      <c r="AV2007" s="46">
        <v>0</v>
      </c>
      <c r="AW2007" s="46">
        <v>0</v>
      </c>
      <c r="AX2007" s="46">
        <v>0</v>
      </c>
      <c r="AY2007" s="46">
        <v>0</v>
      </c>
      <c r="AZ2007" s="46">
        <v>0</v>
      </c>
      <c r="BA2007" s="46">
        <v>0</v>
      </c>
      <c r="BB2007" s="46">
        <v>0</v>
      </c>
      <c r="BC2007" s="46">
        <v>0</v>
      </c>
      <c r="BD2007" s="46">
        <v>0</v>
      </c>
      <c r="BE2007" s="46">
        <v>0</v>
      </c>
      <c r="BF2007" s="46">
        <v>0</v>
      </c>
      <c r="BG2007" s="46" t="s">
        <v>48</v>
      </c>
      <c r="BH2007" s="46">
        <v>0</v>
      </c>
      <c r="BI2007" s="46">
        <v>0</v>
      </c>
      <c r="BJ2007" s="46">
        <v>0</v>
      </c>
      <c r="BK2007" s="46">
        <v>0</v>
      </c>
      <c r="BL2007" s="46">
        <v>0</v>
      </c>
      <c r="BM2007" s="46">
        <v>0</v>
      </c>
      <c r="BN2007" s="46">
        <v>0</v>
      </c>
    </row>
    <row r="2008" spans="1:66" x14ac:dyDescent="0.35">
      <c r="A2008" t="s">
        <v>4831</v>
      </c>
      <c r="B2008" s="44" t="s">
        <v>48</v>
      </c>
      <c r="C2008" t="s">
        <v>12143</v>
      </c>
      <c r="D2008" t="s">
        <v>268</v>
      </c>
      <c r="E2008" t="s">
        <v>4833</v>
      </c>
      <c r="F2008" t="s">
        <v>4832</v>
      </c>
      <c r="G2008" t="s">
        <v>74</v>
      </c>
      <c r="H2008">
        <v>0</v>
      </c>
      <c r="I2008" s="60" t="s">
        <v>881</v>
      </c>
      <c r="J2008" s="33" t="s">
        <v>45</v>
      </c>
      <c r="K2008" s="46">
        <v>0</v>
      </c>
      <c r="L2008">
        <v>11.3</v>
      </c>
      <c r="M2008" t="s">
        <v>48</v>
      </c>
      <c r="N2008" s="46">
        <v>0</v>
      </c>
      <c r="O2008" s="46">
        <v>0</v>
      </c>
      <c r="P2008" s="46">
        <v>0</v>
      </c>
      <c r="Q2008" t="s">
        <v>48</v>
      </c>
      <c r="R2008" t="s">
        <v>48</v>
      </c>
      <c r="S2008" t="s">
        <v>10332</v>
      </c>
      <c r="T2008" t="s">
        <v>48</v>
      </c>
      <c r="U2008" t="s">
        <v>10332</v>
      </c>
      <c r="V2008" s="47">
        <v>1</v>
      </c>
      <c r="W2008" t="s">
        <v>48</v>
      </c>
      <c r="X2008" t="s">
        <v>48</v>
      </c>
      <c r="Y2008" t="s">
        <v>48</v>
      </c>
      <c r="Z2008">
        <v>0</v>
      </c>
      <c r="AA2008" t="s">
        <v>48</v>
      </c>
      <c r="AB2008" t="s">
        <v>48</v>
      </c>
      <c r="AC2008" t="s">
        <v>49</v>
      </c>
      <c r="AD2008" t="s">
        <v>951</v>
      </c>
      <c r="AE2008" t="s">
        <v>11051</v>
      </c>
      <c r="AF2008" t="s">
        <v>11093</v>
      </c>
      <c r="AG2008" t="s">
        <v>48</v>
      </c>
      <c r="AH2008" t="s">
        <v>48</v>
      </c>
      <c r="AI2008" t="s">
        <v>48</v>
      </c>
      <c r="AJ2008" t="s">
        <v>48</v>
      </c>
      <c r="AK2008" t="s">
        <v>48</v>
      </c>
      <c r="AL2008" t="s">
        <v>48</v>
      </c>
      <c r="AM2008" t="s">
        <v>48</v>
      </c>
      <c r="AN2008" t="s">
        <v>48</v>
      </c>
      <c r="AO2008" t="s">
        <v>48</v>
      </c>
      <c r="AP2008" s="46">
        <v>0</v>
      </c>
      <c r="AQ2008" s="46">
        <v>0</v>
      </c>
      <c r="AR2008" s="46">
        <v>0</v>
      </c>
      <c r="AS2008" s="46">
        <v>0</v>
      </c>
      <c r="AT2008" s="46">
        <v>0</v>
      </c>
      <c r="AU2008" s="46">
        <v>0</v>
      </c>
      <c r="AV2008" s="46">
        <v>0</v>
      </c>
      <c r="AW2008" s="46">
        <v>0</v>
      </c>
      <c r="AX2008" s="46">
        <v>0</v>
      </c>
      <c r="AY2008" s="46">
        <v>0</v>
      </c>
      <c r="AZ2008" s="46">
        <v>0</v>
      </c>
      <c r="BA2008" s="46">
        <v>0</v>
      </c>
      <c r="BB2008" s="46">
        <v>0</v>
      </c>
      <c r="BC2008" s="46">
        <v>0</v>
      </c>
      <c r="BD2008" s="46">
        <v>0</v>
      </c>
      <c r="BE2008" s="46">
        <v>0</v>
      </c>
      <c r="BF2008" s="46">
        <v>0</v>
      </c>
      <c r="BG2008" s="46" t="s">
        <v>48</v>
      </c>
      <c r="BH2008" s="46">
        <v>0</v>
      </c>
      <c r="BI2008" s="46">
        <v>0</v>
      </c>
      <c r="BJ2008" s="46">
        <v>0</v>
      </c>
      <c r="BK2008" s="46">
        <v>0</v>
      </c>
      <c r="BL2008" s="46">
        <v>0</v>
      </c>
      <c r="BM2008" s="46">
        <v>0</v>
      </c>
      <c r="BN2008" s="46">
        <v>0</v>
      </c>
    </row>
    <row r="2009" spans="1:66" x14ac:dyDescent="0.35">
      <c r="A2009" t="s">
        <v>4841</v>
      </c>
      <c r="B2009" s="44" t="s">
        <v>48</v>
      </c>
      <c r="C2009" t="s">
        <v>4846</v>
      </c>
      <c r="D2009" t="s">
        <v>4845</v>
      </c>
      <c r="E2009" t="s">
        <v>4843</v>
      </c>
      <c r="F2009" t="s">
        <v>4842</v>
      </c>
      <c r="G2009" t="s">
        <v>74</v>
      </c>
      <c r="H2009">
        <v>0</v>
      </c>
      <c r="I2009" s="60" t="s">
        <v>177</v>
      </c>
      <c r="J2009" s="33" t="s">
        <v>45</v>
      </c>
      <c r="K2009" s="46">
        <v>0</v>
      </c>
      <c r="L2009">
        <v>6.1</v>
      </c>
      <c r="M2009" t="s">
        <v>48</v>
      </c>
      <c r="N2009" s="46">
        <v>0</v>
      </c>
      <c r="O2009" s="46">
        <v>0</v>
      </c>
      <c r="P2009" s="46">
        <v>0</v>
      </c>
      <c r="Q2009" t="s">
        <v>48</v>
      </c>
      <c r="R2009" t="s">
        <v>48</v>
      </c>
      <c r="S2009" t="s">
        <v>4844</v>
      </c>
      <c r="T2009" t="s">
        <v>48</v>
      </c>
      <c r="U2009" t="s">
        <v>4844</v>
      </c>
      <c r="V2009" s="47">
        <v>1</v>
      </c>
      <c r="W2009" t="s">
        <v>11317</v>
      </c>
      <c r="X2009" t="s">
        <v>48</v>
      </c>
      <c r="Y2009" t="s">
        <v>48</v>
      </c>
      <c r="Z2009">
        <v>0</v>
      </c>
      <c r="AA2009" t="s">
        <v>48</v>
      </c>
      <c r="AB2009" t="s">
        <v>48</v>
      </c>
      <c r="AC2009" t="s">
        <v>49</v>
      </c>
      <c r="AD2009" t="s">
        <v>93</v>
      </c>
      <c r="AE2009" t="s">
        <v>2471</v>
      </c>
      <c r="AF2009" t="s">
        <v>48</v>
      </c>
      <c r="AG2009" t="s">
        <v>48</v>
      </c>
      <c r="AH2009" t="s">
        <v>48</v>
      </c>
      <c r="AI2009" t="s">
        <v>48</v>
      </c>
      <c r="AJ2009" t="s">
        <v>48</v>
      </c>
      <c r="AK2009" t="s">
        <v>48</v>
      </c>
      <c r="AL2009" t="s">
        <v>48</v>
      </c>
      <c r="AM2009" t="s">
        <v>48</v>
      </c>
      <c r="AN2009" t="s">
        <v>48</v>
      </c>
      <c r="AO2009" t="s">
        <v>48</v>
      </c>
      <c r="AP2009" s="46">
        <v>0</v>
      </c>
      <c r="AQ2009" s="46">
        <v>0</v>
      </c>
      <c r="AR2009" s="46">
        <v>0</v>
      </c>
      <c r="AS2009" s="46">
        <v>0</v>
      </c>
      <c r="AT2009" s="46">
        <v>0</v>
      </c>
      <c r="AU2009" s="46">
        <v>0</v>
      </c>
      <c r="AV2009" s="46">
        <v>0</v>
      </c>
      <c r="AW2009" s="46">
        <v>0</v>
      </c>
      <c r="AX2009" s="46">
        <v>0</v>
      </c>
      <c r="AY2009" s="46">
        <v>0</v>
      </c>
      <c r="AZ2009" s="46">
        <v>0</v>
      </c>
      <c r="BA2009" s="46">
        <v>0</v>
      </c>
      <c r="BB2009" s="46">
        <v>0</v>
      </c>
      <c r="BC2009" s="46">
        <v>0</v>
      </c>
      <c r="BD2009" s="46">
        <v>0</v>
      </c>
      <c r="BE2009" s="46">
        <v>0</v>
      </c>
      <c r="BF2009" s="46">
        <v>0</v>
      </c>
      <c r="BG2009" s="46" t="s">
        <v>48</v>
      </c>
      <c r="BH2009" s="46">
        <v>0</v>
      </c>
      <c r="BI2009" s="46">
        <v>0</v>
      </c>
      <c r="BJ2009" s="46">
        <v>0</v>
      </c>
      <c r="BK2009" s="46">
        <v>0</v>
      </c>
      <c r="BL2009" s="46">
        <v>0</v>
      </c>
      <c r="BM2009" s="46">
        <v>0</v>
      </c>
      <c r="BN2009" s="46">
        <v>0</v>
      </c>
    </row>
    <row r="2010" spans="1:66" x14ac:dyDescent="0.35">
      <c r="A2010" t="s">
        <v>8356</v>
      </c>
      <c r="B2010" s="44" t="s">
        <v>48</v>
      </c>
      <c r="C2010" t="s">
        <v>6417</v>
      </c>
      <c r="D2010" t="s">
        <v>12148</v>
      </c>
      <c r="E2010" t="s">
        <v>8357</v>
      </c>
      <c r="F2010" t="s">
        <v>4842</v>
      </c>
      <c r="G2010" t="s">
        <v>47</v>
      </c>
      <c r="H2010">
        <v>0</v>
      </c>
      <c r="I2010" s="61">
        <v>44727</v>
      </c>
      <c r="J2010" s="33" t="s">
        <v>45</v>
      </c>
      <c r="K2010" s="46">
        <v>0</v>
      </c>
      <c r="L2010">
        <v>17.399999999999999</v>
      </c>
      <c r="M2010" t="s">
        <v>48</v>
      </c>
      <c r="N2010" s="46">
        <v>0</v>
      </c>
      <c r="O2010" s="46">
        <v>0</v>
      </c>
      <c r="P2010" s="46">
        <v>0</v>
      </c>
      <c r="Q2010" t="s">
        <v>48</v>
      </c>
      <c r="R2010" t="s">
        <v>48</v>
      </c>
      <c r="S2010" t="s">
        <v>48</v>
      </c>
      <c r="T2010" t="s">
        <v>48</v>
      </c>
      <c r="U2010" t="s">
        <v>48</v>
      </c>
      <c r="V2010" s="47">
        <v>0</v>
      </c>
      <c r="W2010" t="s">
        <v>48</v>
      </c>
      <c r="X2010" t="s">
        <v>48</v>
      </c>
      <c r="Y2010" t="s">
        <v>48</v>
      </c>
      <c r="Z2010" t="s">
        <v>48</v>
      </c>
      <c r="AA2010" t="s">
        <v>48</v>
      </c>
      <c r="AB2010" t="s">
        <v>48</v>
      </c>
      <c r="AC2010" t="s">
        <v>49</v>
      </c>
      <c r="AD2010" t="s">
        <v>48</v>
      </c>
      <c r="AE2010" t="s">
        <v>48</v>
      </c>
      <c r="AF2010" t="s">
        <v>48</v>
      </c>
      <c r="AG2010" t="s">
        <v>48</v>
      </c>
      <c r="AH2010" t="s">
        <v>48</v>
      </c>
      <c r="AI2010" t="s">
        <v>48</v>
      </c>
      <c r="AJ2010" t="s">
        <v>48</v>
      </c>
      <c r="AK2010" t="s">
        <v>48</v>
      </c>
      <c r="AL2010" t="s">
        <v>48</v>
      </c>
      <c r="AM2010" t="s">
        <v>48</v>
      </c>
      <c r="AN2010" t="s">
        <v>48</v>
      </c>
      <c r="AO2010" t="s">
        <v>48</v>
      </c>
      <c r="AP2010" s="46">
        <v>0</v>
      </c>
      <c r="AQ2010" s="46">
        <v>0</v>
      </c>
      <c r="AR2010" s="46">
        <v>0</v>
      </c>
      <c r="AS2010" s="46">
        <v>0</v>
      </c>
      <c r="AT2010" s="46">
        <v>0</v>
      </c>
      <c r="AU2010" s="46">
        <v>0</v>
      </c>
      <c r="AV2010" s="46">
        <v>0</v>
      </c>
      <c r="AW2010" s="46">
        <v>0</v>
      </c>
      <c r="AX2010" s="46">
        <v>0</v>
      </c>
      <c r="AY2010" s="46">
        <v>0</v>
      </c>
      <c r="AZ2010" s="46">
        <v>0</v>
      </c>
      <c r="BA2010" s="46">
        <v>0</v>
      </c>
      <c r="BB2010" s="46">
        <v>0</v>
      </c>
      <c r="BC2010" s="46">
        <v>0</v>
      </c>
      <c r="BD2010" s="46">
        <v>0</v>
      </c>
      <c r="BE2010" s="46">
        <v>0</v>
      </c>
      <c r="BF2010" s="46">
        <v>0</v>
      </c>
      <c r="BG2010" s="46" t="s">
        <v>48</v>
      </c>
      <c r="BH2010" s="46">
        <v>0</v>
      </c>
      <c r="BI2010" s="46">
        <v>0</v>
      </c>
      <c r="BJ2010" s="46">
        <v>0</v>
      </c>
      <c r="BK2010" s="46">
        <v>0</v>
      </c>
      <c r="BL2010" s="46">
        <v>0</v>
      </c>
      <c r="BM2010" s="46">
        <v>0</v>
      </c>
      <c r="BN2010" s="46">
        <v>0</v>
      </c>
    </row>
    <row r="2011" spans="1:66" x14ac:dyDescent="0.35">
      <c r="A2011" t="s">
        <v>4847</v>
      </c>
      <c r="B2011" s="44" t="s">
        <v>48</v>
      </c>
      <c r="C2011" t="s">
        <v>4851</v>
      </c>
      <c r="D2011" t="s">
        <v>4850</v>
      </c>
      <c r="E2011" t="s">
        <v>4848</v>
      </c>
      <c r="F2011" t="s">
        <v>4842</v>
      </c>
      <c r="G2011" t="s">
        <v>74</v>
      </c>
      <c r="H2011">
        <v>0</v>
      </c>
      <c r="I2011" s="60" t="s">
        <v>51</v>
      </c>
      <c r="J2011" s="33" t="s">
        <v>45</v>
      </c>
      <c r="K2011" s="46">
        <v>0</v>
      </c>
      <c r="L2011">
        <v>10.199999999999999</v>
      </c>
      <c r="M2011" t="s">
        <v>48</v>
      </c>
      <c r="N2011" s="46">
        <v>0</v>
      </c>
      <c r="O2011" s="46">
        <v>0</v>
      </c>
      <c r="P2011" s="46">
        <v>0</v>
      </c>
      <c r="Q2011" t="s">
        <v>48</v>
      </c>
      <c r="R2011" t="s">
        <v>48</v>
      </c>
      <c r="S2011" t="s">
        <v>4849</v>
      </c>
      <c r="T2011" t="s">
        <v>48</v>
      </c>
      <c r="U2011" t="s">
        <v>4849</v>
      </c>
      <c r="V2011" s="47">
        <v>1</v>
      </c>
      <c r="W2011" t="s">
        <v>48</v>
      </c>
      <c r="X2011" t="s">
        <v>48</v>
      </c>
      <c r="Y2011" t="s">
        <v>48</v>
      </c>
      <c r="Z2011">
        <v>0</v>
      </c>
      <c r="AA2011" t="s">
        <v>48</v>
      </c>
      <c r="AB2011" t="s">
        <v>48</v>
      </c>
      <c r="AC2011" t="s">
        <v>63</v>
      </c>
      <c r="AD2011" t="s">
        <v>93</v>
      </c>
      <c r="AE2011" s="40" t="s">
        <v>2471</v>
      </c>
      <c r="AF2011" t="s">
        <v>11061</v>
      </c>
      <c r="AG2011" t="s">
        <v>48</v>
      </c>
      <c r="AH2011" t="s">
        <v>48</v>
      </c>
      <c r="AI2011" t="s">
        <v>48</v>
      </c>
      <c r="AJ2011" t="s">
        <v>48</v>
      </c>
      <c r="AK2011" t="s">
        <v>48</v>
      </c>
      <c r="AL2011" t="s">
        <v>48</v>
      </c>
      <c r="AM2011" t="s">
        <v>48</v>
      </c>
      <c r="AN2011" t="s">
        <v>48</v>
      </c>
      <c r="AO2011" t="s">
        <v>48</v>
      </c>
      <c r="AP2011" s="46">
        <v>0</v>
      </c>
      <c r="AQ2011" s="46">
        <v>0</v>
      </c>
      <c r="AR2011" s="46">
        <v>0</v>
      </c>
      <c r="AS2011" s="46">
        <v>1</v>
      </c>
      <c r="AT2011" s="46">
        <v>0</v>
      </c>
      <c r="AU2011" s="46">
        <v>0</v>
      </c>
      <c r="AV2011" s="46">
        <v>0</v>
      </c>
      <c r="AW2011" s="46">
        <v>0</v>
      </c>
      <c r="AX2011" s="46">
        <v>0</v>
      </c>
      <c r="AY2011" s="46">
        <v>0</v>
      </c>
      <c r="AZ2011" s="46">
        <v>0</v>
      </c>
      <c r="BA2011" s="46">
        <v>0</v>
      </c>
      <c r="BB2011" s="46">
        <v>0</v>
      </c>
      <c r="BC2011" s="46">
        <v>0</v>
      </c>
      <c r="BD2011" s="46">
        <v>0</v>
      </c>
      <c r="BE2011" s="46">
        <v>0</v>
      </c>
      <c r="BF2011" s="46">
        <v>0</v>
      </c>
      <c r="BG2011" s="46" t="s">
        <v>48</v>
      </c>
      <c r="BH2011" s="46">
        <v>0</v>
      </c>
      <c r="BI2011" s="46">
        <v>0</v>
      </c>
      <c r="BJ2011" s="46">
        <v>0</v>
      </c>
      <c r="BK2011" s="46">
        <v>1</v>
      </c>
      <c r="BL2011" s="46">
        <v>0</v>
      </c>
      <c r="BM2011" s="46">
        <v>0</v>
      </c>
      <c r="BN2011" s="46">
        <v>0</v>
      </c>
    </row>
    <row r="2012" spans="1:66" x14ac:dyDescent="0.35">
      <c r="A2012" t="s">
        <v>8360</v>
      </c>
      <c r="B2012" s="44" t="s">
        <v>48</v>
      </c>
      <c r="C2012" t="s">
        <v>12149</v>
      </c>
      <c r="D2012" t="s">
        <v>4077</v>
      </c>
      <c r="E2012" t="s">
        <v>8361</v>
      </c>
      <c r="F2012" t="s">
        <v>4854</v>
      </c>
      <c r="G2012" t="s">
        <v>47</v>
      </c>
      <c r="H2012">
        <v>0</v>
      </c>
      <c r="I2012" s="61">
        <v>44727</v>
      </c>
      <c r="J2012" s="33" t="s">
        <v>45</v>
      </c>
      <c r="K2012" s="46">
        <v>0</v>
      </c>
      <c r="L2012">
        <v>1.4</v>
      </c>
      <c r="M2012" t="s">
        <v>48</v>
      </c>
      <c r="N2012" s="46">
        <v>0</v>
      </c>
      <c r="O2012" s="46">
        <v>0</v>
      </c>
      <c r="P2012" s="46">
        <v>0</v>
      </c>
      <c r="Q2012" t="s">
        <v>48</v>
      </c>
      <c r="R2012" t="s">
        <v>48</v>
      </c>
      <c r="S2012" t="s">
        <v>48</v>
      </c>
      <c r="T2012" t="s">
        <v>48</v>
      </c>
      <c r="U2012" t="s">
        <v>48</v>
      </c>
      <c r="V2012" s="47">
        <v>0</v>
      </c>
      <c r="W2012" t="s">
        <v>48</v>
      </c>
      <c r="X2012" t="s">
        <v>48</v>
      </c>
      <c r="Y2012" t="s">
        <v>48</v>
      </c>
      <c r="Z2012" t="s">
        <v>48</v>
      </c>
      <c r="AA2012" t="s">
        <v>48</v>
      </c>
      <c r="AB2012" t="s">
        <v>48</v>
      </c>
      <c r="AC2012" t="s">
        <v>49</v>
      </c>
      <c r="AD2012" t="s">
        <v>48</v>
      </c>
      <c r="AE2012" t="s">
        <v>48</v>
      </c>
      <c r="AF2012" t="s">
        <v>48</v>
      </c>
      <c r="AG2012" t="s">
        <v>48</v>
      </c>
      <c r="AH2012" t="s">
        <v>48</v>
      </c>
      <c r="AI2012" t="s">
        <v>48</v>
      </c>
      <c r="AJ2012" t="s">
        <v>48</v>
      </c>
      <c r="AK2012" t="s">
        <v>48</v>
      </c>
      <c r="AL2012" t="s">
        <v>48</v>
      </c>
      <c r="AM2012" t="s">
        <v>48</v>
      </c>
      <c r="AN2012" t="s">
        <v>48</v>
      </c>
      <c r="AO2012" t="s">
        <v>48</v>
      </c>
      <c r="AP2012" s="46">
        <v>0</v>
      </c>
      <c r="AQ2012" s="46">
        <v>0</v>
      </c>
      <c r="AR2012" s="46">
        <v>0</v>
      </c>
      <c r="AS2012" s="46">
        <v>0</v>
      </c>
      <c r="AT2012" s="46">
        <v>0</v>
      </c>
      <c r="AU2012" s="46">
        <v>0</v>
      </c>
      <c r="AV2012" s="46">
        <v>0</v>
      </c>
      <c r="AW2012" s="46">
        <v>0</v>
      </c>
      <c r="AX2012" s="46">
        <v>0</v>
      </c>
      <c r="AY2012" s="46">
        <v>0</v>
      </c>
      <c r="AZ2012" s="46">
        <v>0</v>
      </c>
      <c r="BA2012" s="46">
        <v>0</v>
      </c>
      <c r="BB2012" s="46">
        <v>0</v>
      </c>
      <c r="BC2012" s="46">
        <v>0</v>
      </c>
      <c r="BD2012" s="46">
        <v>0</v>
      </c>
      <c r="BE2012" s="46">
        <v>0</v>
      </c>
      <c r="BF2012" s="46">
        <v>0</v>
      </c>
      <c r="BG2012" s="46" t="s">
        <v>48</v>
      </c>
      <c r="BH2012" s="46">
        <v>0</v>
      </c>
      <c r="BI2012" s="46">
        <v>0</v>
      </c>
      <c r="BJ2012" s="46">
        <v>0</v>
      </c>
      <c r="BK2012" s="46">
        <v>0</v>
      </c>
      <c r="BL2012" s="46">
        <v>0</v>
      </c>
      <c r="BM2012" s="46">
        <v>0</v>
      </c>
      <c r="BN2012" s="46">
        <v>0</v>
      </c>
    </row>
    <row r="2013" spans="1:66" x14ac:dyDescent="0.35">
      <c r="A2013" t="s">
        <v>8358</v>
      </c>
      <c r="B2013" s="44" t="s">
        <v>48</v>
      </c>
      <c r="C2013" t="s">
        <v>12150</v>
      </c>
      <c r="D2013" t="s">
        <v>1172</v>
      </c>
      <c r="E2013" t="s">
        <v>8359</v>
      </c>
      <c r="F2013" t="s">
        <v>4854</v>
      </c>
      <c r="G2013" t="s">
        <v>47</v>
      </c>
      <c r="H2013">
        <v>0</v>
      </c>
      <c r="I2013" s="61">
        <v>44727</v>
      </c>
      <c r="J2013" s="33" t="s">
        <v>45</v>
      </c>
      <c r="K2013" s="46">
        <v>0</v>
      </c>
      <c r="L2013">
        <v>4.0999999999999996</v>
      </c>
      <c r="M2013" t="s">
        <v>48</v>
      </c>
      <c r="N2013" s="46">
        <v>0</v>
      </c>
      <c r="O2013" s="46">
        <v>0</v>
      </c>
      <c r="P2013" s="46">
        <v>0</v>
      </c>
      <c r="Q2013" t="s">
        <v>48</v>
      </c>
      <c r="R2013" t="s">
        <v>48</v>
      </c>
      <c r="S2013" t="s">
        <v>48</v>
      </c>
      <c r="T2013" t="s">
        <v>48</v>
      </c>
      <c r="U2013" t="s">
        <v>48</v>
      </c>
      <c r="V2013" s="47">
        <v>0</v>
      </c>
      <c r="W2013" t="s">
        <v>48</v>
      </c>
      <c r="X2013" t="s">
        <v>48</v>
      </c>
      <c r="Y2013" t="s">
        <v>48</v>
      </c>
      <c r="Z2013" t="s">
        <v>48</v>
      </c>
      <c r="AA2013" t="s">
        <v>48</v>
      </c>
      <c r="AB2013" t="s">
        <v>48</v>
      </c>
      <c r="AC2013" t="s">
        <v>63</v>
      </c>
      <c r="AD2013" t="s">
        <v>48</v>
      </c>
      <c r="AE2013" t="s">
        <v>48</v>
      </c>
      <c r="AF2013" t="s">
        <v>48</v>
      </c>
      <c r="AG2013" t="s">
        <v>48</v>
      </c>
      <c r="AH2013" t="s">
        <v>48</v>
      </c>
      <c r="AI2013" t="s">
        <v>48</v>
      </c>
      <c r="AJ2013" t="s">
        <v>48</v>
      </c>
      <c r="AK2013" t="s">
        <v>48</v>
      </c>
      <c r="AL2013" t="s">
        <v>48</v>
      </c>
      <c r="AM2013" t="s">
        <v>48</v>
      </c>
      <c r="AN2013" t="s">
        <v>48</v>
      </c>
      <c r="AO2013" t="s">
        <v>48</v>
      </c>
      <c r="AP2013" s="46">
        <v>0</v>
      </c>
      <c r="AQ2013" s="46">
        <v>0</v>
      </c>
      <c r="AR2013" s="46">
        <v>0</v>
      </c>
      <c r="AS2013" s="46">
        <v>0</v>
      </c>
      <c r="AT2013" s="46">
        <v>0</v>
      </c>
      <c r="AU2013" s="46">
        <v>0</v>
      </c>
      <c r="AV2013" s="46">
        <v>0</v>
      </c>
      <c r="AW2013" s="46">
        <v>0</v>
      </c>
      <c r="AX2013" s="46">
        <v>0</v>
      </c>
      <c r="AY2013" s="46">
        <v>0</v>
      </c>
      <c r="AZ2013" s="46">
        <v>0</v>
      </c>
      <c r="BA2013" s="46">
        <v>0</v>
      </c>
      <c r="BB2013" s="46">
        <v>0</v>
      </c>
      <c r="BC2013" s="46">
        <v>0</v>
      </c>
      <c r="BD2013" s="46">
        <v>0</v>
      </c>
      <c r="BE2013" s="46">
        <v>0</v>
      </c>
      <c r="BF2013" s="46">
        <v>0</v>
      </c>
      <c r="BG2013" s="46" t="s">
        <v>48</v>
      </c>
      <c r="BH2013" s="46">
        <v>0</v>
      </c>
      <c r="BI2013" s="46">
        <v>0</v>
      </c>
      <c r="BJ2013" s="46">
        <v>0</v>
      </c>
      <c r="BK2013" s="46">
        <v>0</v>
      </c>
      <c r="BL2013" s="46">
        <v>0</v>
      </c>
      <c r="BM2013" s="46">
        <v>0</v>
      </c>
      <c r="BN2013" s="46">
        <v>0</v>
      </c>
    </row>
    <row r="2014" spans="1:66" x14ac:dyDescent="0.35">
      <c r="A2014" t="s">
        <v>4865</v>
      </c>
      <c r="B2014" s="44" t="s">
        <v>48</v>
      </c>
      <c r="C2014" t="s">
        <v>4869</v>
      </c>
      <c r="D2014" t="s">
        <v>4868</v>
      </c>
      <c r="E2014" t="s">
        <v>4866</v>
      </c>
      <c r="F2014" t="s">
        <v>4854</v>
      </c>
      <c r="G2014" t="s">
        <v>47</v>
      </c>
      <c r="H2014">
        <v>0</v>
      </c>
      <c r="I2014" s="60" t="s">
        <v>51</v>
      </c>
      <c r="J2014" s="33" t="s">
        <v>45</v>
      </c>
      <c r="K2014" s="46">
        <v>0</v>
      </c>
      <c r="L2014">
        <v>35.299999999999997</v>
      </c>
      <c r="M2014" t="s">
        <v>48</v>
      </c>
      <c r="N2014" s="46">
        <v>0</v>
      </c>
      <c r="O2014" s="46">
        <v>0</v>
      </c>
      <c r="P2014" s="46">
        <v>0</v>
      </c>
      <c r="Q2014" t="s">
        <v>48</v>
      </c>
      <c r="R2014" t="s">
        <v>48</v>
      </c>
      <c r="S2014" t="s">
        <v>4867</v>
      </c>
      <c r="T2014" t="s">
        <v>48</v>
      </c>
      <c r="U2014" t="s">
        <v>4867</v>
      </c>
      <c r="V2014" s="47">
        <v>0</v>
      </c>
      <c r="W2014" t="s">
        <v>48</v>
      </c>
      <c r="X2014" t="s">
        <v>48</v>
      </c>
      <c r="Y2014" t="s">
        <v>48</v>
      </c>
      <c r="Z2014">
        <v>0</v>
      </c>
      <c r="AA2014" t="s">
        <v>48</v>
      </c>
      <c r="AB2014" t="s">
        <v>48</v>
      </c>
      <c r="AC2014" t="s">
        <v>49</v>
      </c>
      <c r="AD2014" t="s">
        <v>93</v>
      </c>
      <c r="AE2014" t="s">
        <v>11051</v>
      </c>
      <c r="AF2014" t="s">
        <v>11091</v>
      </c>
      <c r="AG2014" t="s">
        <v>48</v>
      </c>
      <c r="AH2014" t="s">
        <v>48</v>
      </c>
      <c r="AI2014" t="s">
        <v>48</v>
      </c>
      <c r="AJ2014" t="s">
        <v>48</v>
      </c>
      <c r="AK2014" t="s">
        <v>48</v>
      </c>
      <c r="AL2014" t="s">
        <v>48</v>
      </c>
      <c r="AM2014" t="s">
        <v>48</v>
      </c>
      <c r="AN2014" t="s">
        <v>48</v>
      </c>
      <c r="AO2014" t="s">
        <v>48</v>
      </c>
      <c r="AP2014" s="46">
        <v>0</v>
      </c>
      <c r="AQ2014" s="46">
        <v>0</v>
      </c>
      <c r="AR2014" s="46">
        <v>0</v>
      </c>
      <c r="AS2014" s="46">
        <v>0</v>
      </c>
      <c r="AT2014" s="46">
        <v>0</v>
      </c>
      <c r="AU2014" s="46">
        <v>0</v>
      </c>
      <c r="AV2014" s="46">
        <v>0</v>
      </c>
      <c r="AW2014" s="46">
        <v>0</v>
      </c>
      <c r="AX2014" s="46">
        <v>0</v>
      </c>
      <c r="AY2014" s="46">
        <v>0</v>
      </c>
      <c r="AZ2014" s="46">
        <v>0</v>
      </c>
      <c r="BA2014" s="46">
        <v>0</v>
      </c>
      <c r="BB2014" s="46">
        <v>0</v>
      </c>
      <c r="BC2014" s="46">
        <v>0</v>
      </c>
      <c r="BD2014" s="46">
        <v>0</v>
      </c>
      <c r="BE2014" s="46">
        <v>0</v>
      </c>
      <c r="BF2014" s="46">
        <v>0</v>
      </c>
      <c r="BG2014" s="46" t="s">
        <v>48</v>
      </c>
      <c r="BH2014" s="46">
        <v>0</v>
      </c>
      <c r="BI2014" s="46">
        <v>0</v>
      </c>
      <c r="BJ2014" s="46">
        <v>0</v>
      </c>
      <c r="BK2014" s="46">
        <v>0</v>
      </c>
      <c r="BL2014" s="46">
        <v>0</v>
      </c>
      <c r="BM2014" s="46">
        <v>0</v>
      </c>
      <c r="BN2014" s="46">
        <v>0</v>
      </c>
    </row>
    <row r="2015" spans="1:66" x14ac:dyDescent="0.35">
      <c r="A2015" t="s">
        <v>4853</v>
      </c>
      <c r="B2015" s="44" t="s">
        <v>48</v>
      </c>
      <c r="C2015" t="s">
        <v>375</v>
      </c>
      <c r="D2015" t="s">
        <v>4857</v>
      </c>
      <c r="E2015" t="s">
        <v>4855</v>
      </c>
      <c r="F2015" t="s">
        <v>4854</v>
      </c>
      <c r="G2015" t="s">
        <v>47</v>
      </c>
      <c r="H2015">
        <v>0</v>
      </c>
      <c r="I2015" s="60" t="s">
        <v>881</v>
      </c>
      <c r="J2015" s="33" t="s">
        <v>45</v>
      </c>
      <c r="K2015" s="46">
        <v>0</v>
      </c>
      <c r="L2015">
        <v>19.8</v>
      </c>
      <c r="M2015" t="s">
        <v>48</v>
      </c>
      <c r="N2015" s="46">
        <v>0</v>
      </c>
      <c r="O2015" s="46">
        <v>0</v>
      </c>
      <c r="P2015" s="46">
        <v>0</v>
      </c>
      <c r="Q2015" t="s">
        <v>48</v>
      </c>
      <c r="R2015" t="s">
        <v>48</v>
      </c>
      <c r="S2015" t="s">
        <v>4856</v>
      </c>
      <c r="T2015" t="s">
        <v>48</v>
      </c>
      <c r="U2015" t="s">
        <v>4856</v>
      </c>
      <c r="V2015" s="47">
        <v>1</v>
      </c>
      <c r="W2015" t="s">
        <v>48</v>
      </c>
      <c r="X2015" t="s">
        <v>48</v>
      </c>
      <c r="Y2015" t="s">
        <v>48</v>
      </c>
      <c r="Z2015">
        <v>0</v>
      </c>
      <c r="AA2015" t="s">
        <v>48</v>
      </c>
      <c r="AB2015" t="s">
        <v>48</v>
      </c>
      <c r="AC2015" t="s">
        <v>49</v>
      </c>
      <c r="AD2015" t="s">
        <v>93</v>
      </c>
      <c r="AE2015" t="s">
        <v>4532</v>
      </c>
      <c r="AF2015" t="s">
        <v>48</v>
      </c>
      <c r="AG2015" t="s">
        <v>48</v>
      </c>
      <c r="AH2015" t="s">
        <v>48</v>
      </c>
      <c r="AI2015" t="s">
        <v>48</v>
      </c>
      <c r="AJ2015" t="s">
        <v>48</v>
      </c>
      <c r="AK2015" t="s">
        <v>48</v>
      </c>
      <c r="AL2015" t="s">
        <v>48</v>
      </c>
      <c r="AM2015" t="s">
        <v>48</v>
      </c>
      <c r="AN2015" t="s">
        <v>48</v>
      </c>
      <c r="AO2015" t="s">
        <v>48</v>
      </c>
      <c r="AP2015" s="46">
        <v>0</v>
      </c>
      <c r="AQ2015" s="46">
        <v>0</v>
      </c>
      <c r="AR2015" s="46">
        <v>0</v>
      </c>
      <c r="AS2015" s="46">
        <v>0</v>
      </c>
      <c r="AT2015" s="46">
        <v>0</v>
      </c>
      <c r="AU2015" s="46">
        <v>0</v>
      </c>
      <c r="AV2015" s="46">
        <v>0</v>
      </c>
      <c r="AW2015" s="46">
        <v>0</v>
      </c>
      <c r="AX2015" s="46">
        <v>0</v>
      </c>
      <c r="AY2015" s="46">
        <v>0</v>
      </c>
      <c r="AZ2015" s="46">
        <v>0</v>
      </c>
      <c r="BA2015" s="46">
        <v>0</v>
      </c>
      <c r="BB2015" s="46">
        <v>0</v>
      </c>
      <c r="BC2015" s="46">
        <v>0</v>
      </c>
      <c r="BD2015" s="46">
        <v>0</v>
      </c>
      <c r="BE2015" s="46">
        <v>0</v>
      </c>
      <c r="BF2015" s="46">
        <v>0</v>
      </c>
      <c r="BG2015" s="46" t="s">
        <v>48</v>
      </c>
      <c r="BH2015" s="46">
        <v>0</v>
      </c>
      <c r="BI2015" s="46">
        <v>0</v>
      </c>
      <c r="BJ2015" s="46">
        <v>0</v>
      </c>
      <c r="BK2015" s="46">
        <v>0</v>
      </c>
      <c r="BL2015" s="46">
        <v>0</v>
      </c>
      <c r="BM2015" s="46">
        <v>0</v>
      </c>
      <c r="BN2015" s="46">
        <v>0</v>
      </c>
    </row>
    <row r="2016" spans="1:66" ht="15" x14ac:dyDescent="0.4">
      <c r="A2016" t="s">
        <v>8364</v>
      </c>
      <c r="B2016" s="44" t="s">
        <v>48</v>
      </c>
      <c r="C2016" t="s">
        <v>1344</v>
      </c>
      <c r="D2016" t="s">
        <v>6281</v>
      </c>
      <c r="E2016" t="s">
        <v>8365</v>
      </c>
      <c r="F2016" t="s">
        <v>4892</v>
      </c>
      <c r="G2016" t="s">
        <v>47</v>
      </c>
      <c r="H2016">
        <v>0</v>
      </c>
      <c r="I2016" s="61" t="s">
        <v>11160</v>
      </c>
      <c r="J2016" s="33" t="s">
        <v>45</v>
      </c>
      <c r="K2016" s="46">
        <v>0</v>
      </c>
      <c r="L2016">
        <v>41.3</v>
      </c>
      <c r="M2016" t="s">
        <v>48</v>
      </c>
      <c r="N2016" s="46">
        <v>0</v>
      </c>
      <c r="O2016" s="46">
        <v>0</v>
      </c>
      <c r="P2016" s="46">
        <v>0</v>
      </c>
      <c r="Q2016" t="s">
        <v>48</v>
      </c>
      <c r="R2016" t="s">
        <v>48</v>
      </c>
      <c r="S2016" s="55" t="s">
        <v>11376</v>
      </c>
      <c r="T2016" t="s">
        <v>48</v>
      </c>
      <c r="U2016" t="s">
        <v>48</v>
      </c>
      <c r="V2016" s="47">
        <v>0</v>
      </c>
      <c r="W2016" t="s">
        <v>48</v>
      </c>
      <c r="X2016" t="s">
        <v>48</v>
      </c>
      <c r="Y2016" t="s">
        <v>48</v>
      </c>
      <c r="Z2016" t="s">
        <v>48</v>
      </c>
      <c r="AA2016" t="s">
        <v>48</v>
      </c>
      <c r="AB2016" t="s">
        <v>48</v>
      </c>
      <c r="AC2016" t="s">
        <v>49</v>
      </c>
      <c r="AD2016" t="s">
        <v>951</v>
      </c>
      <c r="AE2016" t="s">
        <v>11051</v>
      </c>
      <c r="AF2016" t="s">
        <v>48</v>
      </c>
      <c r="AG2016" t="s">
        <v>48</v>
      </c>
      <c r="AH2016" t="s">
        <v>48</v>
      </c>
      <c r="AI2016" t="s">
        <v>48</v>
      </c>
      <c r="AJ2016" t="s">
        <v>48</v>
      </c>
      <c r="AK2016" t="s">
        <v>48</v>
      </c>
      <c r="AL2016" t="s">
        <v>48</v>
      </c>
      <c r="AM2016" t="s">
        <v>48</v>
      </c>
      <c r="AN2016" t="s">
        <v>48</v>
      </c>
      <c r="AO2016" t="s">
        <v>48</v>
      </c>
      <c r="AP2016" s="46">
        <v>0</v>
      </c>
      <c r="AQ2016" s="46">
        <v>0</v>
      </c>
      <c r="AR2016" s="46">
        <v>0</v>
      </c>
      <c r="AS2016" s="46">
        <v>0</v>
      </c>
      <c r="AT2016" s="46">
        <v>0</v>
      </c>
      <c r="AU2016" s="46">
        <v>0</v>
      </c>
      <c r="AV2016" s="46">
        <v>0</v>
      </c>
      <c r="AW2016" s="46">
        <v>0</v>
      </c>
      <c r="AX2016" s="46">
        <v>0</v>
      </c>
      <c r="AY2016" s="46">
        <v>0</v>
      </c>
      <c r="AZ2016" s="46">
        <v>0</v>
      </c>
      <c r="BA2016" s="46">
        <v>0</v>
      </c>
      <c r="BB2016" s="46">
        <v>0</v>
      </c>
      <c r="BC2016" s="46">
        <v>0</v>
      </c>
      <c r="BD2016" s="46">
        <v>0</v>
      </c>
      <c r="BE2016" s="46">
        <v>0</v>
      </c>
      <c r="BF2016" s="46">
        <v>0</v>
      </c>
      <c r="BG2016" s="46" t="s">
        <v>48</v>
      </c>
      <c r="BH2016" s="46">
        <v>0</v>
      </c>
      <c r="BI2016" s="46">
        <v>0</v>
      </c>
      <c r="BJ2016" s="46">
        <v>0</v>
      </c>
      <c r="BK2016" s="46">
        <v>0</v>
      </c>
      <c r="BL2016" s="46">
        <v>0</v>
      </c>
      <c r="BM2016" s="46">
        <v>0</v>
      </c>
      <c r="BN2016" s="46">
        <v>0</v>
      </c>
    </row>
    <row r="2017" spans="1:66" x14ac:dyDescent="0.35">
      <c r="A2017" t="s">
        <v>4909</v>
      </c>
      <c r="B2017" s="44" t="s">
        <v>48</v>
      </c>
      <c r="C2017" t="s">
        <v>389</v>
      </c>
      <c r="D2017" t="s">
        <v>4911</v>
      </c>
      <c r="E2017" t="s">
        <v>4910</v>
      </c>
      <c r="F2017" t="s">
        <v>4903</v>
      </c>
      <c r="G2017" t="s">
        <v>74</v>
      </c>
      <c r="H2017">
        <v>0</v>
      </c>
      <c r="I2017" s="60" t="s">
        <v>125</v>
      </c>
      <c r="J2017" s="33" t="s">
        <v>45</v>
      </c>
      <c r="K2017" s="46">
        <v>0</v>
      </c>
      <c r="L2017">
        <v>23.9</v>
      </c>
      <c r="M2017" t="s">
        <v>48</v>
      </c>
      <c r="N2017" s="46">
        <v>0</v>
      </c>
      <c r="O2017" s="46">
        <v>0</v>
      </c>
      <c r="P2017" s="46">
        <v>0</v>
      </c>
      <c r="Q2017" t="s">
        <v>48</v>
      </c>
      <c r="R2017" t="s">
        <v>48</v>
      </c>
      <c r="S2017" t="s">
        <v>10339</v>
      </c>
      <c r="T2017" t="s">
        <v>48</v>
      </c>
      <c r="U2017" t="s">
        <v>10339</v>
      </c>
      <c r="V2017" s="47">
        <v>0</v>
      </c>
      <c r="W2017" t="s">
        <v>48</v>
      </c>
      <c r="X2017" t="s">
        <v>48</v>
      </c>
      <c r="Y2017" t="s">
        <v>48</v>
      </c>
      <c r="Z2017">
        <v>0</v>
      </c>
      <c r="AA2017" t="s">
        <v>48</v>
      </c>
      <c r="AB2017" t="s">
        <v>48</v>
      </c>
      <c r="AC2017" t="s">
        <v>49</v>
      </c>
      <c r="AD2017" t="s">
        <v>93</v>
      </c>
      <c r="AE2017" t="s">
        <v>977</v>
      </c>
      <c r="AF2017" t="s">
        <v>11053</v>
      </c>
      <c r="AG2017" t="s">
        <v>48</v>
      </c>
      <c r="AH2017" t="s">
        <v>48</v>
      </c>
      <c r="AI2017" t="s">
        <v>48</v>
      </c>
      <c r="AJ2017" t="s">
        <v>48</v>
      </c>
      <c r="AK2017" t="s">
        <v>48</v>
      </c>
      <c r="AL2017" t="s">
        <v>48</v>
      </c>
      <c r="AM2017" t="s">
        <v>48</v>
      </c>
      <c r="AN2017" t="s">
        <v>48</v>
      </c>
      <c r="AO2017" t="s">
        <v>48</v>
      </c>
      <c r="AP2017" s="46">
        <v>0</v>
      </c>
      <c r="AQ2017" s="46">
        <v>0</v>
      </c>
      <c r="AR2017" s="46">
        <v>0</v>
      </c>
      <c r="AS2017" s="46">
        <v>0</v>
      </c>
      <c r="AT2017" s="46">
        <v>0</v>
      </c>
      <c r="AU2017" s="46">
        <v>0</v>
      </c>
      <c r="AV2017" s="46">
        <v>0</v>
      </c>
      <c r="AW2017" s="46">
        <v>0</v>
      </c>
      <c r="AX2017" s="46">
        <v>0</v>
      </c>
      <c r="AY2017" s="46">
        <v>0</v>
      </c>
      <c r="AZ2017" s="46">
        <v>0</v>
      </c>
      <c r="BA2017" s="46">
        <v>0</v>
      </c>
      <c r="BB2017" s="46">
        <v>0</v>
      </c>
      <c r="BC2017" s="46">
        <v>0</v>
      </c>
      <c r="BD2017" s="46">
        <v>0</v>
      </c>
      <c r="BE2017" s="46">
        <v>0</v>
      </c>
      <c r="BF2017" s="46">
        <v>0</v>
      </c>
      <c r="BG2017" s="46" t="s">
        <v>48</v>
      </c>
      <c r="BH2017" s="46">
        <v>0</v>
      </c>
      <c r="BI2017" s="46">
        <v>0</v>
      </c>
      <c r="BJ2017" s="46">
        <v>0</v>
      </c>
      <c r="BK2017" s="46">
        <v>0</v>
      </c>
      <c r="BL2017" s="46">
        <v>0</v>
      </c>
      <c r="BM2017" s="46">
        <v>0</v>
      </c>
      <c r="BN2017" s="46">
        <v>0</v>
      </c>
    </row>
    <row r="2018" spans="1:66" x14ac:dyDescent="0.35">
      <c r="A2018" t="s">
        <v>4949</v>
      </c>
      <c r="B2018" s="44" t="s">
        <v>48</v>
      </c>
      <c r="C2018" t="s">
        <v>4952</v>
      </c>
      <c r="D2018" t="s">
        <v>1439</v>
      </c>
      <c r="E2018" t="s">
        <v>4950</v>
      </c>
      <c r="F2018" t="s">
        <v>4933</v>
      </c>
      <c r="G2018" t="s">
        <v>74</v>
      </c>
      <c r="H2018">
        <v>0</v>
      </c>
      <c r="I2018" s="60" t="s">
        <v>51</v>
      </c>
      <c r="J2018" s="33" t="s">
        <v>45</v>
      </c>
      <c r="K2018" s="46">
        <v>0</v>
      </c>
      <c r="L2018">
        <v>18.5</v>
      </c>
      <c r="M2018" t="s">
        <v>48</v>
      </c>
      <c r="N2018" s="46">
        <v>0</v>
      </c>
      <c r="O2018" s="46">
        <v>0</v>
      </c>
      <c r="P2018" s="46">
        <v>0</v>
      </c>
      <c r="Q2018" t="s">
        <v>48</v>
      </c>
      <c r="R2018" t="s">
        <v>48</v>
      </c>
      <c r="S2018" t="s">
        <v>4951</v>
      </c>
      <c r="T2018" t="s">
        <v>48</v>
      </c>
      <c r="U2018" t="s">
        <v>4951</v>
      </c>
      <c r="V2018" s="47">
        <v>0</v>
      </c>
      <c r="W2018" t="s">
        <v>48</v>
      </c>
      <c r="X2018" t="s">
        <v>48</v>
      </c>
      <c r="Y2018" t="s">
        <v>48</v>
      </c>
      <c r="Z2018">
        <v>0</v>
      </c>
      <c r="AA2018" t="s">
        <v>48</v>
      </c>
      <c r="AB2018" t="s">
        <v>48</v>
      </c>
      <c r="AC2018" t="s">
        <v>63</v>
      </c>
      <c r="AD2018" t="s">
        <v>48</v>
      </c>
      <c r="AE2018" t="s">
        <v>48</v>
      </c>
      <c r="AF2018" t="s">
        <v>48</v>
      </c>
      <c r="AG2018" t="s">
        <v>48</v>
      </c>
      <c r="AH2018" t="s">
        <v>48</v>
      </c>
      <c r="AI2018" t="s">
        <v>48</v>
      </c>
      <c r="AJ2018" t="s">
        <v>48</v>
      </c>
      <c r="AK2018" t="s">
        <v>48</v>
      </c>
      <c r="AL2018" t="s">
        <v>48</v>
      </c>
      <c r="AM2018" t="s">
        <v>48</v>
      </c>
      <c r="AN2018" t="s">
        <v>48</v>
      </c>
      <c r="AO2018" t="s">
        <v>48</v>
      </c>
      <c r="AP2018" s="46">
        <v>0</v>
      </c>
      <c r="AQ2018" s="46">
        <v>0</v>
      </c>
      <c r="AR2018" s="46">
        <v>0</v>
      </c>
      <c r="AS2018" s="46">
        <v>1</v>
      </c>
      <c r="AT2018" s="46">
        <v>0</v>
      </c>
      <c r="AU2018" s="46">
        <v>0</v>
      </c>
      <c r="AV2018" s="46">
        <v>0</v>
      </c>
      <c r="AW2018" s="46">
        <v>0</v>
      </c>
      <c r="AX2018" s="46">
        <v>0</v>
      </c>
      <c r="AY2018" s="46">
        <v>0</v>
      </c>
      <c r="AZ2018" s="46">
        <v>0</v>
      </c>
      <c r="BA2018" s="46">
        <v>0</v>
      </c>
      <c r="BB2018" s="46">
        <v>0</v>
      </c>
      <c r="BC2018" s="46">
        <v>0</v>
      </c>
      <c r="BD2018" s="46">
        <v>0</v>
      </c>
      <c r="BE2018" s="46">
        <v>0</v>
      </c>
      <c r="BF2018" s="46">
        <v>0</v>
      </c>
      <c r="BG2018" s="46" t="s">
        <v>48</v>
      </c>
      <c r="BH2018" s="46">
        <v>0</v>
      </c>
      <c r="BI2018" s="46">
        <v>0</v>
      </c>
      <c r="BJ2018" s="46">
        <v>0</v>
      </c>
      <c r="BK2018" s="46">
        <v>1</v>
      </c>
      <c r="BL2018" s="46">
        <v>0</v>
      </c>
      <c r="BM2018" s="46">
        <v>0</v>
      </c>
      <c r="BN2018" s="46">
        <v>0</v>
      </c>
    </row>
    <row r="2019" spans="1:66" x14ac:dyDescent="0.35">
      <c r="A2019" t="s">
        <v>5014</v>
      </c>
      <c r="B2019" t="s">
        <v>48</v>
      </c>
      <c r="C2019" t="s">
        <v>3328</v>
      </c>
      <c r="D2019" t="s">
        <v>5016</v>
      </c>
      <c r="E2019" t="s">
        <v>8367</v>
      </c>
      <c r="F2019" t="s">
        <v>4933</v>
      </c>
      <c r="G2019" t="s">
        <v>47</v>
      </c>
      <c r="H2019">
        <v>0</v>
      </c>
      <c r="I2019" s="61">
        <v>44733</v>
      </c>
      <c r="J2019" s="33" t="s">
        <v>45</v>
      </c>
      <c r="K2019" s="46">
        <v>0</v>
      </c>
      <c r="L2019">
        <v>16.8</v>
      </c>
      <c r="M2019" t="s">
        <v>48</v>
      </c>
      <c r="N2019" s="46">
        <v>0</v>
      </c>
      <c r="O2019" s="46">
        <v>0</v>
      </c>
      <c r="P2019" s="46">
        <v>0</v>
      </c>
      <c r="Q2019" t="s">
        <v>48</v>
      </c>
      <c r="R2019" t="s">
        <v>48</v>
      </c>
      <c r="S2019" t="s">
        <v>5015</v>
      </c>
      <c r="T2019" t="s">
        <v>48</v>
      </c>
      <c r="U2019" t="s">
        <v>5015</v>
      </c>
      <c r="V2019" s="47">
        <v>1</v>
      </c>
      <c r="W2019" t="s">
        <v>48</v>
      </c>
      <c r="X2019" t="s">
        <v>48</v>
      </c>
      <c r="Y2019" t="s">
        <v>48</v>
      </c>
      <c r="Z2019">
        <v>0</v>
      </c>
      <c r="AA2019" t="s">
        <v>48</v>
      </c>
      <c r="AB2019" t="s">
        <v>48</v>
      </c>
      <c r="AC2019" t="s">
        <v>63</v>
      </c>
      <c r="AD2019" t="s">
        <v>951</v>
      </c>
      <c r="AE2019" s="40" t="s">
        <v>11051</v>
      </c>
      <c r="AF2019" t="s">
        <v>11093</v>
      </c>
      <c r="AG2019" t="s">
        <v>48</v>
      </c>
      <c r="AH2019" t="s">
        <v>48</v>
      </c>
      <c r="AI2019" t="s">
        <v>48</v>
      </c>
      <c r="AJ2019" t="s">
        <v>48</v>
      </c>
      <c r="AK2019" t="s">
        <v>48</v>
      </c>
      <c r="AL2019" t="s">
        <v>48</v>
      </c>
      <c r="AM2019" t="s">
        <v>48</v>
      </c>
      <c r="AN2019" t="s">
        <v>48</v>
      </c>
      <c r="AO2019" t="s">
        <v>48</v>
      </c>
      <c r="AP2019" s="46">
        <v>0</v>
      </c>
      <c r="AQ2019" s="46">
        <v>0</v>
      </c>
      <c r="AR2019" s="46">
        <v>0</v>
      </c>
      <c r="AS2019" s="46">
        <v>0</v>
      </c>
      <c r="AT2019" s="46">
        <v>0</v>
      </c>
      <c r="AU2019" s="46">
        <v>0</v>
      </c>
      <c r="AV2019" s="46">
        <v>0</v>
      </c>
      <c r="AW2019" s="46">
        <v>0</v>
      </c>
      <c r="AX2019" s="46">
        <v>0</v>
      </c>
      <c r="AY2019" s="46">
        <v>0</v>
      </c>
      <c r="AZ2019" s="46">
        <v>0</v>
      </c>
      <c r="BA2019" s="46">
        <v>0</v>
      </c>
      <c r="BB2019" s="46">
        <v>0</v>
      </c>
      <c r="BC2019" s="46">
        <v>0</v>
      </c>
      <c r="BD2019" s="46">
        <v>0</v>
      </c>
      <c r="BE2019" s="46">
        <v>0</v>
      </c>
      <c r="BF2019" s="46">
        <v>0</v>
      </c>
      <c r="BG2019" s="46" t="s">
        <v>48</v>
      </c>
      <c r="BH2019" s="46">
        <v>0</v>
      </c>
      <c r="BI2019" s="46">
        <v>0</v>
      </c>
      <c r="BJ2019" s="46">
        <v>0</v>
      </c>
      <c r="BK2019" s="46">
        <v>0</v>
      </c>
      <c r="BL2019" s="46">
        <v>0</v>
      </c>
      <c r="BM2019" s="46">
        <v>0</v>
      </c>
      <c r="BN2019" s="46">
        <v>0</v>
      </c>
    </row>
    <row r="2020" spans="1:66" x14ac:dyDescent="0.35">
      <c r="A2020" t="s">
        <v>8368</v>
      </c>
      <c r="B2020" t="s">
        <v>48</v>
      </c>
      <c r="C2020" t="s">
        <v>12156</v>
      </c>
      <c r="D2020" t="s">
        <v>12157</v>
      </c>
      <c r="E2020" t="s">
        <v>8369</v>
      </c>
      <c r="F2020" t="s">
        <v>4933</v>
      </c>
      <c r="G2020" t="s">
        <v>47</v>
      </c>
      <c r="H2020">
        <v>0</v>
      </c>
      <c r="I2020" s="61">
        <v>44733</v>
      </c>
      <c r="J2020" s="33" t="s">
        <v>45</v>
      </c>
      <c r="K2020" s="46">
        <v>0</v>
      </c>
      <c r="L2020">
        <v>11.8</v>
      </c>
      <c r="M2020" t="s">
        <v>48</v>
      </c>
      <c r="N2020" s="46">
        <v>0</v>
      </c>
      <c r="O2020" s="46">
        <v>0</v>
      </c>
      <c r="P2020" s="46">
        <v>0</v>
      </c>
      <c r="Q2020" t="s">
        <v>48</v>
      </c>
      <c r="R2020" t="s">
        <v>48</v>
      </c>
      <c r="S2020" t="s">
        <v>48</v>
      </c>
      <c r="T2020" t="s">
        <v>48</v>
      </c>
      <c r="U2020" t="s">
        <v>48</v>
      </c>
      <c r="V2020" s="47">
        <v>1</v>
      </c>
      <c r="W2020" t="s">
        <v>48</v>
      </c>
      <c r="X2020" t="s">
        <v>48</v>
      </c>
      <c r="Y2020" t="s">
        <v>48</v>
      </c>
      <c r="Z2020" t="s">
        <v>48</v>
      </c>
      <c r="AA2020" t="s">
        <v>48</v>
      </c>
      <c r="AB2020" t="s">
        <v>48</v>
      </c>
      <c r="AC2020" t="s">
        <v>49</v>
      </c>
      <c r="AD2020" t="s">
        <v>93</v>
      </c>
      <c r="AE2020" t="s">
        <v>4532</v>
      </c>
      <c r="AF2020" t="s">
        <v>48</v>
      </c>
      <c r="AG2020" t="s">
        <v>48</v>
      </c>
      <c r="AH2020" t="s">
        <v>48</v>
      </c>
      <c r="AI2020" t="s">
        <v>48</v>
      </c>
      <c r="AJ2020" t="s">
        <v>48</v>
      </c>
      <c r="AK2020" t="s">
        <v>48</v>
      </c>
      <c r="AL2020" t="s">
        <v>48</v>
      </c>
      <c r="AM2020" t="s">
        <v>48</v>
      </c>
      <c r="AN2020" t="s">
        <v>48</v>
      </c>
      <c r="AO2020" t="s">
        <v>48</v>
      </c>
      <c r="AP2020" s="46">
        <v>0</v>
      </c>
      <c r="AQ2020" s="46">
        <v>0</v>
      </c>
      <c r="AR2020" s="46">
        <v>0</v>
      </c>
      <c r="AS2020" s="46">
        <v>0</v>
      </c>
      <c r="AT2020" s="46">
        <v>0</v>
      </c>
      <c r="AU2020" s="46">
        <v>0</v>
      </c>
      <c r="AV2020" s="46">
        <v>0</v>
      </c>
      <c r="AW2020" s="46">
        <v>0</v>
      </c>
      <c r="AX2020" s="46">
        <v>0</v>
      </c>
      <c r="AY2020" s="46">
        <v>0</v>
      </c>
      <c r="AZ2020" s="46">
        <v>0</v>
      </c>
      <c r="BA2020" s="46">
        <v>0</v>
      </c>
      <c r="BB2020" s="46">
        <v>0</v>
      </c>
      <c r="BC2020" s="46">
        <v>0</v>
      </c>
      <c r="BD2020" s="46">
        <v>0</v>
      </c>
      <c r="BE2020" s="46">
        <v>0</v>
      </c>
      <c r="BF2020" s="46">
        <v>0</v>
      </c>
      <c r="BG2020" s="46" t="s">
        <v>48</v>
      </c>
      <c r="BH2020" s="46">
        <v>0</v>
      </c>
      <c r="BI2020" s="46">
        <v>0</v>
      </c>
      <c r="BJ2020" s="46">
        <v>0</v>
      </c>
      <c r="BK2020" s="46">
        <v>0</v>
      </c>
      <c r="BL2020" s="46">
        <v>0</v>
      </c>
      <c r="BM2020" s="46">
        <v>0</v>
      </c>
      <c r="BN2020" s="46">
        <v>0</v>
      </c>
    </row>
    <row r="2021" spans="1:66" x14ac:dyDescent="0.35">
      <c r="A2021" t="s">
        <v>8370</v>
      </c>
      <c r="B2021" t="s">
        <v>48</v>
      </c>
      <c r="C2021" t="s">
        <v>1479</v>
      </c>
      <c r="D2021" t="s">
        <v>3046</v>
      </c>
      <c r="E2021" t="s">
        <v>8371</v>
      </c>
      <c r="F2021" t="s">
        <v>4933</v>
      </c>
      <c r="G2021" t="s">
        <v>47</v>
      </c>
      <c r="H2021">
        <v>0</v>
      </c>
      <c r="I2021" s="61">
        <v>44733</v>
      </c>
      <c r="J2021" s="33" t="s">
        <v>45</v>
      </c>
      <c r="K2021" s="46">
        <v>0</v>
      </c>
      <c r="L2021">
        <v>11.8</v>
      </c>
      <c r="M2021" t="s">
        <v>48</v>
      </c>
      <c r="N2021" s="46">
        <v>0</v>
      </c>
      <c r="O2021" s="46">
        <v>0</v>
      </c>
      <c r="P2021" s="46">
        <v>0</v>
      </c>
      <c r="Q2021" t="s">
        <v>48</v>
      </c>
      <c r="R2021" t="s">
        <v>48</v>
      </c>
      <c r="S2021" t="s">
        <v>48</v>
      </c>
      <c r="T2021" t="s">
        <v>48</v>
      </c>
      <c r="U2021" t="s">
        <v>48</v>
      </c>
      <c r="V2021" s="47">
        <v>0</v>
      </c>
      <c r="W2021" t="s">
        <v>48</v>
      </c>
      <c r="X2021" t="s">
        <v>48</v>
      </c>
      <c r="Y2021" t="s">
        <v>48</v>
      </c>
      <c r="Z2021" t="s">
        <v>48</v>
      </c>
      <c r="AA2021" t="s">
        <v>48</v>
      </c>
      <c r="AB2021" t="s">
        <v>48</v>
      </c>
      <c r="AC2021" t="s">
        <v>63</v>
      </c>
      <c r="AD2021" t="s">
        <v>93</v>
      </c>
      <c r="AE2021" s="40" t="s">
        <v>4532</v>
      </c>
      <c r="AF2021" t="s">
        <v>48</v>
      </c>
      <c r="AG2021" t="s">
        <v>48</v>
      </c>
      <c r="AH2021" t="s">
        <v>48</v>
      </c>
      <c r="AI2021" t="s">
        <v>48</v>
      </c>
      <c r="AJ2021" t="s">
        <v>48</v>
      </c>
      <c r="AK2021" t="s">
        <v>48</v>
      </c>
      <c r="AL2021" t="s">
        <v>48</v>
      </c>
      <c r="AM2021" t="s">
        <v>48</v>
      </c>
      <c r="AN2021" t="s">
        <v>48</v>
      </c>
      <c r="AO2021" t="s">
        <v>48</v>
      </c>
      <c r="AP2021" s="46">
        <v>0</v>
      </c>
      <c r="AQ2021" s="46">
        <v>0</v>
      </c>
      <c r="AR2021" s="46">
        <v>0</v>
      </c>
      <c r="AS2021" s="46">
        <v>0</v>
      </c>
      <c r="AT2021" s="46">
        <v>0</v>
      </c>
      <c r="AU2021" s="46">
        <v>0</v>
      </c>
      <c r="AV2021" s="46">
        <v>0</v>
      </c>
      <c r="AW2021" s="46">
        <v>0</v>
      </c>
      <c r="AX2021" s="46">
        <v>0</v>
      </c>
      <c r="AY2021" s="46">
        <v>0</v>
      </c>
      <c r="AZ2021" s="46">
        <v>0</v>
      </c>
      <c r="BA2021" s="46">
        <v>0</v>
      </c>
      <c r="BB2021" s="46">
        <v>0</v>
      </c>
      <c r="BC2021" s="46">
        <v>0</v>
      </c>
      <c r="BD2021" s="46">
        <v>0</v>
      </c>
      <c r="BE2021" s="46">
        <v>0</v>
      </c>
      <c r="BF2021" s="46">
        <v>0</v>
      </c>
      <c r="BG2021" s="46" t="s">
        <v>48</v>
      </c>
      <c r="BH2021" s="46">
        <v>0</v>
      </c>
      <c r="BI2021" s="46">
        <v>0</v>
      </c>
      <c r="BJ2021" s="46">
        <v>0</v>
      </c>
      <c r="BK2021" s="46">
        <v>0</v>
      </c>
      <c r="BL2021" s="46">
        <v>0</v>
      </c>
      <c r="BM2021" s="46">
        <v>0</v>
      </c>
      <c r="BN2021" s="46">
        <v>0</v>
      </c>
    </row>
    <row r="2022" spans="1:66" x14ac:dyDescent="0.35">
      <c r="A2022" t="s">
        <v>4932</v>
      </c>
      <c r="B2022" t="s">
        <v>48</v>
      </c>
      <c r="C2022" t="s">
        <v>4936</v>
      </c>
      <c r="D2022" t="s">
        <v>268</v>
      </c>
      <c r="E2022" t="s">
        <v>4934</v>
      </c>
      <c r="F2022" t="s">
        <v>4933</v>
      </c>
      <c r="G2022" t="s">
        <v>47</v>
      </c>
      <c r="H2022">
        <v>0</v>
      </c>
      <c r="I2022" s="60" t="s">
        <v>125</v>
      </c>
      <c r="J2022" s="33" t="s">
        <v>45</v>
      </c>
      <c r="K2022" s="46">
        <v>0</v>
      </c>
      <c r="L2022">
        <v>17.5</v>
      </c>
      <c r="M2022" t="s">
        <v>48</v>
      </c>
      <c r="N2022" s="46">
        <v>0</v>
      </c>
      <c r="O2022" s="46">
        <v>0</v>
      </c>
      <c r="P2022" s="46">
        <v>0</v>
      </c>
      <c r="Q2022" t="s">
        <v>48</v>
      </c>
      <c r="R2022" t="s">
        <v>48</v>
      </c>
      <c r="S2022" t="s">
        <v>4935</v>
      </c>
      <c r="T2022" t="s">
        <v>48</v>
      </c>
      <c r="U2022" t="s">
        <v>4935</v>
      </c>
      <c r="V2022" s="47">
        <v>1</v>
      </c>
      <c r="W2022" t="s">
        <v>48</v>
      </c>
      <c r="X2022" t="s">
        <v>48</v>
      </c>
      <c r="Y2022" t="s">
        <v>48</v>
      </c>
      <c r="Z2022">
        <v>0</v>
      </c>
      <c r="AA2022" t="s">
        <v>48</v>
      </c>
      <c r="AB2022" t="s">
        <v>48</v>
      </c>
      <c r="AC2022" t="s">
        <v>49</v>
      </c>
      <c r="AD2022" t="s">
        <v>93</v>
      </c>
      <c r="AE2022" t="s">
        <v>4532</v>
      </c>
      <c r="AF2022" t="s">
        <v>48</v>
      </c>
      <c r="AG2022" t="s">
        <v>48</v>
      </c>
      <c r="AH2022" t="s">
        <v>48</v>
      </c>
      <c r="AI2022" t="s">
        <v>48</v>
      </c>
      <c r="AJ2022" t="s">
        <v>48</v>
      </c>
      <c r="AK2022" t="s">
        <v>48</v>
      </c>
      <c r="AL2022" t="s">
        <v>48</v>
      </c>
      <c r="AM2022" t="s">
        <v>48</v>
      </c>
      <c r="AN2022" t="s">
        <v>48</v>
      </c>
      <c r="AO2022" t="s">
        <v>48</v>
      </c>
      <c r="AP2022" s="46">
        <v>0</v>
      </c>
      <c r="AQ2022" s="46">
        <v>0</v>
      </c>
      <c r="AR2022" s="46">
        <v>0</v>
      </c>
      <c r="AS2022" s="46">
        <v>0</v>
      </c>
      <c r="AT2022" s="46">
        <v>0</v>
      </c>
      <c r="AU2022" s="46">
        <v>0</v>
      </c>
      <c r="AV2022" s="46">
        <v>0</v>
      </c>
      <c r="AW2022" s="46">
        <v>0</v>
      </c>
      <c r="AX2022" s="46">
        <v>0</v>
      </c>
      <c r="AY2022" s="46">
        <v>0</v>
      </c>
      <c r="AZ2022" s="46">
        <v>0</v>
      </c>
      <c r="BA2022" s="46">
        <v>0</v>
      </c>
      <c r="BB2022" s="46">
        <v>0</v>
      </c>
      <c r="BC2022" s="46">
        <v>0</v>
      </c>
      <c r="BD2022" s="46">
        <v>0</v>
      </c>
      <c r="BE2022" s="46">
        <v>0</v>
      </c>
      <c r="BF2022" s="46">
        <v>0</v>
      </c>
      <c r="BG2022" s="46" t="s">
        <v>48</v>
      </c>
      <c r="BH2022" s="46">
        <v>0</v>
      </c>
      <c r="BI2022" s="46">
        <v>0</v>
      </c>
      <c r="BJ2022" s="46">
        <v>0</v>
      </c>
      <c r="BK2022" s="46">
        <v>0</v>
      </c>
      <c r="BL2022" s="46">
        <v>0</v>
      </c>
      <c r="BM2022" s="46">
        <v>0</v>
      </c>
      <c r="BN2022" s="46">
        <v>0</v>
      </c>
    </row>
    <row r="2023" spans="1:66" x14ac:dyDescent="0.35">
      <c r="A2023" t="s">
        <v>8372</v>
      </c>
      <c r="B2023" t="s">
        <v>48</v>
      </c>
      <c r="C2023" t="s">
        <v>4539</v>
      </c>
      <c r="D2023" t="s">
        <v>5549</v>
      </c>
      <c r="E2023" t="s">
        <v>8373</v>
      </c>
      <c r="F2023" t="s">
        <v>4933</v>
      </c>
      <c r="G2023" t="s">
        <v>47</v>
      </c>
      <c r="H2023">
        <v>0</v>
      </c>
      <c r="I2023" s="61">
        <v>44733</v>
      </c>
      <c r="J2023" s="33" t="s">
        <v>45</v>
      </c>
      <c r="K2023" s="46">
        <v>0</v>
      </c>
      <c r="L2023">
        <v>5.0999999999999996</v>
      </c>
      <c r="M2023" t="s">
        <v>48</v>
      </c>
      <c r="N2023" s="46">
        <v>0</v>
      </c>
      <c r="O2023" s="46">
        <v>0</v>
      </c>
      <c r="P2023" s="46">
        <v>0</v>
      </c>
      <c r="Q2023" t="s">
        <v>48</v>
      </c>
      <c r="R2023" t="s">
        <v>48</v>
      </c>
      <c r="S2023" t="s">
        <v>10341</v>
      </c>
      <c r="T2023" t="s">
        <v>48</v>
      </c>
      <c r="U2023" t="s">
        <v>10341</v>
      </c>
      <c r="V2023" s="47">
        <v>1</v>
      </c>
      <c r="W2023" t="s">
        <v>48</v>
      </c>
      <c r="X2023" t="s">
        <v>48</v>
      </c>
      <c r="Y2023" t="s">
        <v>48</v>
      </c>
      <c r="Z2023" t="s">
        <v>48</v>
      </c>
      <c r="AA2023" t="s">
        <v>48</v>
      </c>
      <c r="AB2023" t="s">
        <v>48</v>
      </c>
      <c r="AC2023" t="s">
        <v>48</v>
      </c>
      <c r="AD2023" t="s">
        <v>48</v>
      </c>
      <c r="AE2023" t="s">
        <v>48</v>
      </c>
      <c r="AF2023" t="s">
        <v>48</v>
      </c>
      <c r="AG2023" t="s">
        <v>48</v>
      </c>
      <c r="AH2023" t="s">
        <v>48</v>
      </c>
      <c r="AI2023" t="s">
        <v>48</v>
      </c>
      <c r="AJ2023" t="s">
        <v>48</v>
      </c>
      <c r="AK2023" t="s">
        <v>48</v>
      </c>
      <c r="AL2023" t="s">
        <v>48</v>
      </c>
      <c r="AM2023" t="s">
        <v>48</v>
      </c>
      <c r="AN2023" t="s">
        <v>48</v>
      </c>
      <c r="AO2023" t="s">
        <v>48</v>
      </c>
      <c r="AP2023" s="46">
        <v>0</v>
      </c>
      <c r="AQ2023" s="46">
        <v>0</v>
      </c>
      <c r="AR2023" s="46">
        <v>0</v>
      </c>
      <c r="AS2023" s="46">
        <v>0</v>
      </c>
      <c r="AT2023" s="46">
        <v>0</v>
      </c>
      <c r="AU2023" s="46">
        <v>0</v>
      </c>
      <c r="AV2023" s="46">
        <v>0</v>
      </c>
      <c r="AW2023" s="46">
        <v>0</v>
      </c>
      <c r="AX2023" s="46">
        <v>0</v>
      </c>
      <c r="AY2023" s="46">
        <v>0</v>
      </c>
      <c r="AZ2023" s="46">
        <v>0</v>
      </c>
      <c r="BA2023" s="46">
        <v>0</v>
      </c>
      <c r="BB2023" s="46">
        <v>0</v>
      </c>
      <c r="BC2023" s="46">
        <v>0</v>
      </c>
      <c r="BD2023" s="46">
        <v>0</v>
      </c>
      <c r="BE2023" s="46">
        <v>0</v>
      </c>
      <c r="BF2023" s="46">
        <v>0</v>
      </c>
      <c r="BG2023" s="46" t="s">
        <v>48</v>
      </c>
      <c r="BH2023" s="46">
        <v>0</v>
      </c>
      <c r="BI2023" s="46">
        <v>0</v>
      </c>
      <c r="BJ2023" s="46">
        <v>0</v>
      </c>
      <c r="BK2023" s="46">
        <v>0</v>
      </c>
      <c r="BL2023" s="46">
        <v>0</v>
      </c>
      <c r="BM2023" s="46">
        <v>0</v>
      </c>
      <c r="BN2023" s="46">
        <v>0</v>
      </c>
    </row>
    <row r="2024" spans="1:66" x14ac:dyDescent="0.35">
      <c r="A2024" t="s">
        <v>8374</v>
      </c>
      <c r="B2024" t="s">
        <v>48</v>
      </c>
      <c r="C2024" t="s">
        <v>5290</v>
      </c>
      <c r="D2024" t="s">
        <v>12158</v>
      </c>
      <c r="E2024" t="s">
        <v>8375</v>
      </c>
      <c r="F2024" t="s">
        <v>4933</v>
      </c>
      <c r="G2024" t="s">
        <v>47</v>
      </c>
      <c r="H2024">
        <v>0</v>
      </c>
      <c r="I2024" s="61" t="s">
        <v>11160</v>
      </c>
      <c r="J2024" s="33" t="s">
        <v>45</v>
      </c>
      <c r="K2024" s="46">
        <v>0</v>
      </c>
      <c r="L2024">
        <v>2.1</v>
      </c>
      <c r="M2024" t="s">
        <v>48</v>
      </c>
      <c r="N2024" s="46">
        <v>0</v>
      </c>
      <c r="O2024" s="46">
        <v>0</v>
      </c>
      <c r="P2024" s="46">
        <v>0</v>
      </c>
      <c r="Q2024" t="s">
        <v>48</v>
      </c>
      <c r="R2024" t="s">
        <v>48</v>
      </c>
      <c r="S2024" t="s">
        <v>11356</v>
      </c>
      <c r="T2024" t="s">
        <v>48</v>
      </c>
      <c r="U2024" t="s">
        <v>10342</v>
      </c>
      <c r="V2024" s="47">
        <v>0</v>
      </c>
      <c r="W2024" t="s">
        <v>48</v>
      </c>
      <c r="X2024" t="s">
        <v>48</v>
      </c>
      <c r="Y2024" t="s">
        <v>48</v>
      </c>
      <c r="Z2024" t="s">
        <v>48</v>
      </c>
      <c r="AA2024" t="s">
        <v>48</v>
      </c>
      <c r="AB2024" t="s">
        <v>48</v>
      </c>
      <c r="AC2024" t="s">
        <v>48</v>
      </c>
      <c r="AD2024" t="s">
        <v>48</v>
      </c>
      <c r="AE2024" t="s">
        <v>48</v>
      </c>
      <c r="AF2024" t="s">
        <v>48</v>
      </c>
      <c r="AG2024" t="s">
        <v>48</v>
      </c>
      <c r="AH2024" t="s">
        <v>48</v>
      </c>
      <c r="AI2024" t="s">
        <v>48</v>
      </c>
      <c r="AJ2024" t="s">
        <v>48</v>
      </c>
      <c r="AK2024" t="s">
        <v>48</v>
      </c>
      <c r="AL2024" t="s">
        <v>48</v>
      </c>
      <c r="AM2024" t="s">
        <v>48</v>
      </c>
      <c r="AN2024" t="s">
        <v>48</v>
      </c>
      <c r="AO2024" t="s">
        <v>48</v>
      </c>
      <c r="AP2024" s="46">
        <v>0</v>
      </c>
      <c r="AQ2024" s="46">
        <v>0</v>
      </c>
      <c r="AR2024" s="46">
        <v>0</v>
      </c>
      <c r="AS2024" s="46">
        <v>0</v>
      </c>
      <c r="AT2024" s="46">
        <v>0</v>
      </c>
      <c r="AU2024" s="46">
        <v>0</v>
      </c>
      <c r="AV2024" s="46">
        <v>0</v>
      </c>
      <c r="AW2024" s="46">
        <v>0</v>
      </c>
      <c r="AX2024" s="46">
        <v>0</v>
      </c>
      <c r="AY2024" s="46">
        <v>0</v>
      </c>
      <c r="AZ2024" s="46">
        <v>0</v>
      </c>
      <c r="BA2024" s="46">
        <v>0</v>
      </c>
      <c r="BB2024" s="46">
        <v>0</v>
      </c>
      <c r="BC2024" s="46">
        <v>0</v>
      </c>
      <c r="BD2024" s="46">
        <v>0</v>
      </c>
      <c r="BE2024" s="46">
        <v>0</v>
      </c>
      <c r="BF2024" s="46">
        <v>0</v>
      </c>
      <c r="BG2024" s="46" t="s">
        <v>48</v>
      </c>
      <c r="BH2024" s="46">
        <v>0</v>
      </c>
      <c r="BI2024" s="46">
        <v>0</v>
      </c>
      <c r="BJ2024" s="46">
        <v>0</v>
      </c>
      <c r="BK2024" s="46">
        <v>0</v>
      </c>
      <c r="BL2024" s="46">
        <v>0</v>
      </c>
      <c r="BM2024" s="46">
        <v>0</v>
      </c>
      <c r="BN2024" s="46">
        <v>0</v>
      </c>
    </row>
    <row r="2025" spans="1:66" x14ac:dyDescent="0.35">
      <c r="A2025" t="s">
        <v>4937</v>
      </c>
      <c r="B2025" t="s">
        <v>48</v>
      </c>
      <c r="C2025" t="s">
        <v>4941</v>
      </c>
      <c r="D2025" t="s">
        <v>4940</v>
      </c>
      <c r="E2025" t="s">
        <v>4938</v>
      </c>
      <c r="F2025" t="s">
        <v>4933</v>
      </c>
      <c r="G2025" t="s">
        <v>47</v>
      </c>
      <c r="H2025">
        <v>0</v>
      </c>
      <c r="I2025" s="61" t="s">
        <v>11160</v>
      </c>
      <c r="J2025" s="33" t="s">
        <v>45</v>
      </c>
      <c r="K2025" s="46">
        <v>0</v>
      </c>
      <c r="L2025">
        <v>4.9000000000000004</v>
      </c>
      <c r="M2025" t="s">
        <v>48</v>
      </c>
      <c r="N2025" s="46">
        <v>0</v>
      </c>
      <c r="O2025" s="46">
        <v>0</v>
      </c>
      <c r="P2025" s="46">
        <v>0</v>
      </c>
      <c r="Q2025" t="s">
        <v>48</v>
      </c>
      <c r="R2025" t="s">
        <v>48</v>
      </c>
      <c r="S2025" t="s">
        <v>11363</v>
      </c>
      <c r="T2025" t="s">
        <v>48</v>
      </c>
      <c r="U2025" t="s">
        <v>4939</v>
      </c>
      <c r="V2025" s="47">
        <v>1</v>
      </c>
      <c r="W2025" t="s">
        <v>48</v>
      </c>
      <c r="X2025" t="s">
        <v>48</v>
      </c>
      <c r="Y2025" t="s">
        <v>48</v>
      </c>
      <c r="Z2025">
        <v>0</v>
      </c>
      <c r="AA2025" t="s">
        <v>48</v>
      </c>
      <c r="AB2025" t="s">
        <v>48</v>
      </c>
      <c r="AC2025" t="s">
        <v>49</v>
      </c>
      <c r="AD2025" t="s">
        <v>93</v>
      </c>
      <c r="AE2025" t="s">
        <v>4532</v>
      </c>
      <c r="AF2025" t="s">
        <v>48</v>
      </c>
      <c r="AG2025" t="s">
        <v>48</v>
      </c>
      <c r="AH2025" t="s">
        <v>48</v>
      </c>
      <c r="AI2025" t="s">
        <v>48</v>
      </c>
      <c r="AJ2025" t="s">
        <v>48</v>
      </c>
      <c r="AK2025" t="s">
        <v>48</v>
      </c>
      <c r="AL2025" t="s">
        <v>48</v>
      </c>
      <c r="AM2025" t="s">
        <v>48</v>
      </c>
      <c r="AN2025" t="s">
        <v>48</v>
      </c>
      <c r="AO2025" t="s">
        <v>48</v>
      </c>
      <c r="AP2025" s="46">
        <v>0</v>
      </c>
      <c r="AQ2025" s="46">
        <v>0</v>
      </c>
      <c r="AR2025" s="46">
        <v>0</v>
      </c>
      <c r="AS2025" s="46">
        <v>0</v>
      </c>
      <c r="AT2025" s="46">
        <v>0</v>
      </c>
      <c r="AU2025" s="46">
        <v>0</v>
      </c>
      <c r="AV2025" s="46">
        <v>0</v>
      </c>
      <c r="AW2025" s="46">
        <v>0</v>
      </c>
      <c r="AX2025" s="46">
        <v>0</v>
      </c>
      <c r="AY2025" s="46">
        <v>0</v>
      </c>
      <c r="AZ2025" s="46">
        <v>0</v>
      </c>
      <c r="BA2025" s="46">
        <v>0</v>
      </c>
      <c r="BB2025" s="46">
        <v>0</v>
      </c>
      <c r="BC2025" s="46">
        <v>0</v>
      </c>
      <c r="BD2025" s="46">
        <v>0</v>
      </c>
      <c r="BE2025" s="46">
        <v>0</v>
      </c>
      <c r="BF2025" s="46">
        <v>0</v>
      </c>
      <c r="BG2025" s="46" t="s">
        <v>48</v>
      </c>
      <c r="BH2025" s="46">
        <v>0</v>
      </c>
      <c r="BI2025" s="46">
        <v>0</v>
      </c>
      <c r="BJ2025" s="46">
        <v>0</v>
      </c>
      <c r="BK2025" s="46">
        <v>0</v>
      </c>
      <c r="BL2025" s="46">
        <v>0</v>
      </c>
      <c r="BM2025" s="46">
        <v>0</v>
      </c>
      <c r="BN2025" s="46">
        <v>0</v>
      </c>
    </row>
    <row r="2026" spans="1:66" x14ac:dyDescent="0.35">
      <c r="A2026" t="s">
        <v>9647</v>
      </c>
      <c r="B2026" s="44" t="s">
        <v>48</v>
      </c>
      <c r="C2026" t="s">
        <v>12162</v>
      </c>
      <c r="D2026" t="s">
        <v>195</v>
      </c>
      <c r="E2026" t="s">
        <v>9648</v>
      </c>
      <c r="F2026" t="s">
        <v>4954</v>
      </c>
      <c r="G2026" t="s">
        <v>74</v>
      </c>
      <c r="H2026">
        <v>0</v>
      </c>
      <c r="I2026" s="61">
        <v>44749</v>
      </c>
      <c r="J2026" s="33" t="s">
        <v>45</v>
      </c>
      <c r="K2026" s="46">
        <v>0</v>
      </c>
      <c r="L2026">
        <v>7.6</v>
      </c>
      <c r="M2026" t="s">
        <v>48</v>
      </c>
      <c r="N2026" s="46">
        <v>0</v>
      </c>
      <c r="O2026" s="46">
        <v>0</v>
      </c>
      <c r="P2026" s="46">
        <v>0</v>
      </c>
      <c r="Q2026" t="s">
        <v>48</v>
      </c>
      <c r="R2026" t="s">
        <v>48</v>
      </c>
      <c r="S2026" t="s">
        <v>48</v>
      </c>
      <c r="T2026" t="s">
        <v>48</v>
      </c>
      <c r="U2026" t="s">
        <v>48</v>
      </c>
      <c r="V2026" s="47">
        <v>1</v>
      </c>
      <c r="W2026" t="s">
        <v>48</v>
      </c>
      <c r="X2026" t="s">
        <v>48</v>
      </c>
      <c r="Y2026" t="s">
        <v>48</v>
      </c>
      <c r="Z2026" t="s">
        <v>48</v>
      </c>
      <c r="AA2026" t="s">
        <v>48</v>
      </c>
      <c r="AB2026" t="s">
        <v>48</v>
      </c>
      <c r="AC2026" t="s">
        <v>49</v>
      </c>
      <c r="AD2026" t="s">
        <v>48</v>
      </c>
      <c r="AE2026" t="s">
        <v>48</v>
      </c>
      <c r="AF2026" t="s">
        <v>48</v>
      </c>
      <c r="AG2026" t="s">
        <v>48</v>
      </c>
      <c r="AH2026" t="s">
        <v>48</v>
      </c>
      <c r="AI2026" t="s">
        <v>48</v>
      </c>
      <c r="AJ2026" t="s">
        <v>48</v>
      </c>
      <c r="AK2026" t="s">
        <v>48</v>
      </c>
      <c r="AL2026" t="s">
        <v>48</v>
      </c>
      <c r="AM2026" t="s">
        <v>48</v>
      </c>
      <c r="AN2026" t="s">
        <v>48</v>
      </c>
      <c r="AO2026" t="s">
        <v>48</v>
      </c>
      <c r="AP2026" s="46">
        <v>0</v>
      </c>
      <c r="AQ2026" s="46">
        <v>0</v>
      </c>
      <c r="AR2026" s="46">
        <v>0</v>
      </c>
      <c r="AS2026" s="46">
        <v>0</v>
      </c>
      <c r="AT2026" s="46">
        <v>0</v>
      </c>
      <c r="AU2026" s="46">
        <v>0</v>
      </c>
      <c r="AV2026" s="46">
        <v>0</v>
      </c>
      <c r="AW2026" s="46">
        <v>0</v>
      </c>
      <c r="AX2026" s="46">
        <v>0</v>
      </c>
      <c r="AY2026" s="46">
        <v>0</v>
      </c>
      <c r="AZ2026" s="46">
        <v>0</v>
      </c>
      <c r="BA2026" s="46">
        <v>0</v>
      </c>
      <c r="BB2026" s="46">
        <v>0</v>
      </c>
      <c r="BC2026" s="46">
        <v>0</v>
      </c>
      <c r="BD2026" s="46">
        <v>0</v>
      </c>
      <c r="BE2026" s="46">
        <v>0</v>
      </c>
      <c r="BF2026" s="46">
        <v>0</v>
      </c>
      <c r="BG2026" s="46" t="s">
        <v>48</v>
      </c>
      <c r="BH2026" s="46">
        <v>0</v>
      </c>
      <c r="BI2026" s="46">
        <v>0</v>
      </c>
      <c r="BJ2026" s="46">
        <v>0</v>
      </c>
      <c r="BK2026" s="46">
        <v>0</v>
      </c>
      <c r="BL2026" s="46">
        <v>0</v>
      </c>
      <c r="BM2026" s="46">
        <v>0</v>
      </c>
      <c r="BN2026" s="46">
        <v>0</v>
      </c>
    </row>
    <row r="2027" spans="1:66" x14ac:dyDescent="0.35">
      <c r="A2027" t="s">
        <v>8382</v>
      </c>
      <c r="B2027" t="s">
        <v>48</v>
      </c>
      <c r="C2027" t="s">
        <v>12165</v>
      </c>
      <c r="D2027" t="s">
        <v>195</v>
      </c>
      <c r="E2027" t="s">
        <v>8383</v>
      </c>
      <c r="F2027" t="s">
        <v>4954</v>
      </c>
      <c r="G2027" t="s">
        <v>47</v>
      </c>
      <c r="H2027">
        <v>0</v>
      </c>
      <c r="I2027" s="61">
        <v>44733</v>
      </c>
      <c r="J2027" s="33" t="s">
        <v>45</v>
      </c>
      <c r="K2027" s="46">
        <v>0</v>
      </c>
      <c r="L2027">
        <v>1.8</v>
      </c>
      <c r="M2027" t="s">
        <v>48</v>
      </c>
      <c r="N2027" s="46">
        <v>0</v>
      </c>
      <c r="O2027" s="46">
        <v>0</v>
      </c>
      <c r="P2027" s="46">
        <v>0</v>
      </c>
      <c r="Q2027" t="s">
        <v>48</v>
      </c>
      <c r="R2027" t="s">
        <v>48</v>
      </c>
      <c r="S2027" t="s">
        <v>10347</v>
      </c>
      <c r="T2027" t="s">
        <v>48</v>
      </c>
      <c r="U2027" t="s">
        <v>10347</v>
      </c>
      <c r="V2027" s="47">
        <v>1</v>
      </c>
      <c r="W2027" t="s">
        <v>48</v>
      </c>
      <c r="X2027" t="s">
        <v>48</v>
      </c>
      <c r="Y2027" t="s">
        <v>48</v>
      </c>
      <c r="Z2027" t="s">
        <v>48</v>
      </c>
      <c r="AA2027" t="s">
        <v>48</v>
      </c>
      <c r="AB2027" t="s">
        <v>48</v>
      </c>
      <c r="AC2027" t="s">
        <v>49</v>
      </c>
      <c r="AD2027" t="s">
        <v>93</v>
      </c>
      <c r="AE2027" t="s">
        <v>4532</v>
      </c>
      <c r="AF2027" t="s">
        <v>48</v>
      </c>
      <c r="AG2027" t="s">
        <v>48</v>
      </c>
      <c r="AH2027" t="s">
        <v>48</v>
      </c>
      <c r="AI2027" t="s">
        <v>48</v>
      </c>
      <c r="AJ2027" t="s">
        <v>48</v>
      </c>
      <c r="AK2027" t="s">
        <v>48</v>
      </c>
      <c r="AL2027" t="s">
        <v>48</v>
      </c>
      <c r="AM2027" t="s">
        <v>48</v>
      </c>
      <c r="AN2027" t="s">
        <v>48</v>
      </c>
      <c r="AO2027" t="s">
        <v>48</v>
      </c>
      <c r="AP2027" s="46">
        <v>0</v>
      </c>
      <c r="AQ2027" s="46">
        <v>0</v>
      </c>
      <c r="AR2027" s="46">
        <v>0</v>
      </c>
      <c r="AS2027" s="46">
        <v>0</v>
      </c>
      <c r="AT2027" s="46">
        <v>0</v>
      </c>
      <c r="AU2027" s="46">
        <v>0</v>
      </c>
      <c r="AV2027" s="46">
        <v>0</v>
      </c>
      <c r="AW2027" s="46">
        <v>0</v>
      </c>
      <c r="AX2027" s="46">
        <v>0</v>
      </c>
      <c r="AY2027" s="46">
        <v>0</v>
      </c>
      <c r="AZ2027" s="46">
        <v>0</v>
      </c>
      <c r="BA2027" s="46">
        <v>0</v>
      </c>
      <c r="BB2027" s="46">
        <v>0</v>
      </c>
      <c r="BC2027" s="46">
        <v>0</v>
      </c>
      <c r="BD2027" s="46">
        <v>0</v>
      </c>
      <c r="BE2027" s="46">
        <v>0</v>
      </c>
      <c r="BF2027" s="46">
        <v>0</v>
      </c>
      <c r="BG2027" s="46" t="s">
        <v>48</v>
      </c>
      <c r="BH2027" s="46">
        <v>0</v>
      </c>
      <c r="BI2027" s="46">
        <v>0</v>
      </c>
      <c r="BJ2027" s="46">
        <v>0</v>
      </c>
      <c r="BK2027" s="46">
        <v>0</v>
      </c>
      <c r="BL2027" s="46">
        <v>0</v>
      </c>
      <c r="BM2027" s="46">
        <v>0</v>
      </c>
      <c r="BN2027" s="46">
        <v>0</v>
      </c>
    </row>
    <row r="2028" spans="1:66" x14ac:dyDescent="0.35">
      <c r="A2028" t="s">
        <v>8380</v>
      </c>
      <c r="B2028" t="s">
        <v>48</v>
      </c>
      <c r="C2028" t="s">
        <v>12166</v>
      </c>
      <c r="D2028" t="s">
        <v>5037</v>
      </c>
      <c r="E2028" t="s">
        <v>8381</v>
      </c>
      <c r="F2028" t="s">
        <v>4954</v>
      </c>
      <c r="G2028" t="s">
        <v>47</v>
      </c>
      <c r="H2028">
        <v>0</v>
      </c>
      <c r="I2028" s="61">
        <v>44733</v>
      </c>
      <c r="J2028" s="33" t="s">
        <v>45</v>
      </c>
      <c r="K2028" s="46">
        <v>0</v>
      </c>
      <c r="L2028">
        <v>3.3</v>
      </c>
      <c r="M2028" t="s">
        <v>48</v>
      </c>
      <c r="N2028" s="46">
        <v>0</v>
      </c>
      <c r="O2028" s="46">
        <v>0</v>
      </c>
      <c r="P2028" s="46">
        <v>0</v>
      </c>
      <c r="Q2028" t="s">
        <v>48</v>
      </c>
      <c r="R2028" t="s">
        <v>48</v>
      </c>
      <c r="S2028" t="s">
        <v>48</v>
      </c>
      <c r="T2028" t="s">
        <v>48</v>
      </c>
      <c r="U2028" t="s">
        <v>48</v>
      </c>
      <c r="V2028" s="47">
        <v>1</v>
      </c>
      <c r="W2028" t="s">
        <v>48</v>
      </c>
      <c r="X2028" t="s">
        <v>48</v>
      </c>
      <c r="Y2028" t="s">
        <v>48</v>
      </c>
      <c r="Z2028" t="s">
        <v>48</v>
      </c>
      <c r="AA2028" t="s">
        <v>48</v>
      </c>
      <c r="AB2028" t="s">
        <v>48</v>
      </c>
      <c r="AC2028" t="s">
        <v>63</v>
      </c>
      <c r="AD2028" t="s">
        <v>48</v>
      </c>
      <c r="AE2028" t="s">
        <v>48</v>
      </c>
      <c r="AF2028" t="s">
        <v>48</v>
      </c>
      <c r="AG2028" t="s">
        <v>48</v>
      </c>
      <c r="AH2028" t="s">
        <v>48</v>
      </c>
      <c r="AI2028" t="s">
        <v>48</v>
      </c>
      <c r="AJ2028" t="s">
        <v>48</v>
      </c>
      <c r="AK2028" t="s">
        <v>48</v>
      </c>
      <c r="AL2028" t="s">
        <v>48</v>
      </c>
      <c r="AM2028" t="s">
        <v>48</v>
      </c>
      <c r="AN2028" t="s">
        <v>48</v>
      </c>
      <c r="AO2028" t="s">
        <v>48</v>
      </c>
      <c r="AP2028" s="46">
        <v>0</v>
      </c>
      <c r="AQ2028" s="46">
        <v>0</v>
      </c>
      <c r="AR2028" s="46">
        <v>0</v>
      </c>
      <c r="AS2028" s="46">
        <v>0</v>
      </c>
      <c r="AT2028" s="46">
        <v>0</v>
      </c>
      <c r="AU2028" s="46">
        <v>0</v>
      </c>
      <c r="AV2028" s="46">
        <v>0</v>
      </c>
      <c r="AW2028" s="46">
        <v>0</v>
      </c>
      <c r="AX2028" s="46">
        <v>0</v>
      </c>
      <c r="AY2028" s="46">
        <v>0</v>
      </c>
      <c r="AZ2028" s="46">
        <v>0</v>
      </c>
      <c r="BA2028" s="46">
        <v>0</v>
      </c>
      <c r="BB2028" s="46">
        <v>0</v>
      </c>
      <c r="BC2028" s="46">
        <v>0</v>
      </c>
      <c r="BD2028" s="46">
        <v>0</v>
      </c>
      <c r="BE2028" s="46">
        <v>0</v>
      </c>
      <c r="BF2028" s="46">
        <v>0</v>
      </c>
      <c r="BG2028" s="46" t="s">
        <v>48</v>
      </c>
      <c r="BH2028" s="46">
        <v>0</v>
      </c>
      <c r="BI2028" s="46">
        <v>0</v>
      </c>
      <c r="BJ2028" s="46">
        <v>0</v>
      </c>
      <c r="BK2028" s="46">
        <v>0</v>
      </c>
      <c r="BL2028" s="46">
        <v>0</v>
      </c>
      <c r="BM2028" s="46">
        <v>0</v>
      </c>
      <c r="BN2028" s="46">
        <v>0</v>
      </c>
    </row>
    <row r="2029" spans="1:66" x14ac:dyDescent="0.35">
      <c r="A2029" t="s">
        <v>8376</v>
      </c>
      <c r="B2029" t="s">
        <v>48</v>
      </c>
      <c r="C2029" t="s">
        <v>12167</v>
      </c>
      <c r="D2029" t="s">
        <v>1550</v>
      </c>
      <c r="E2029" t="s">
        <v>8377</v>
      </c>
      <c r="F2029" t="s">
        <v>4954</v>
      </c>
      <c r="G2029" t="s">
        <v>47</v>
      </c>
      <c r="H2029">
        <v>0</v>
      </c>
      <c r="I2029" s="61">
        <v>44733</v>
      </c>
      <c r="J2029" s="33" t="s">
        <v>45</v>
      </c>
      <c r="K2029" s="46">
        <v>0</v>
      </c>
      <c r="L2029">
        <v>32.9</v>
      </c>
      <c r="M2029" t="s">
        <v>48</v>
      </c>
      <c r="N2029" s="46">
        <v>0</v>
      </c>
      <c r="O2029" s="46">
        <v>0</v>
      </c>
      <c r="P2029" s="46">
        <v>0</v>
      </c>
      <c r="Q2029" t="s">
        <v>48</v>
      </c>
      <c r="R2029" t="s">
        <v>48</v>
      </c>
      <c r="S2029" t="s">
        <v>10348</v>
      </c>
      <c r="T2029" t="s">
        <v>48</v>
      </c>
      <c r="U2029" t="s">
        <v>10348</v>
      </c>
      <c r="V2029" s="47">
        <v>1</v>
      </c>
      <c r="W2029" t="s">
        <v>48</v>
      </c>
      <c r="X2029" t="s">
        <v>48</v>
      </c>
      <c r="Y2029" t="s">
        <v>48</v>
      </c>
      <c r="Z2029" t="s">
        <v>48</v>
      </c>
      <c r="AA2029" t="s">
        <v>48</v>
      </c>
      <c r="AB2029" t="s">
        <v>48</v>
      </c>
      <c r="AC2029" t="s">
        <v>49</v>
      </c>
      <c r="AD2029" t="s">
        <v>93</v>
      </c>
      <c r="AE2029" t="s">
        <v>4532</v>
      </c>
      <c r="AF2029" t="s">
        <v>48</v>
      </c>
      <c r="AG2029" t="s">
        <v>48</v>
      </c>
      <c r="AH2029" t="s">
        <v>48</v>
      </c>
      <c r="AI2029" t="s">
        <v>48</v>
      </c>
      <c r="AJ2029" t="s">
        <v>48</v>
      </c>
      <c r="AK2029" t="s">
        <v>48</v>
      </c>
      <c r="AL2029" t="s">
        <v>48</v>
      </c>
      <c r="AM2029" t="s">
        <v>48</v>
      </c>
      <c r="AN2029" t="s">
        <v>48</v>
      </c>
      <c r="AO2029" t="s">
        <v>48</v>
      </c>
      <c r="AP2029" s="46">
        <v>0</v>
      </c>
      <c r="AQ2029" s="46">
        <v>0</v>
      </c>
      <c r="AR2029" s="46">
        <v>0</v>
      </c>
      <c r="AS2029" s="46">
        <v>0</v>
      </c>
      <c r="AT2029" s="46">
        <v>0</v>
      </c>
      <c r="AU2029" s="46">
        <v>0</v>
      </c>
      <c r="AV2029" s="46">
        <v>0</v>
      </c>
      <c r="AW2029" s="46">
        <v>0</v>
      </c>
      <c r="AX2029" s="46">
        <v>0</v>
      </c>
      <c r="AY2029" s="46">
        <v>0</v>
      </c>
      <c r="AZ2029" s="46">
        <v>0</v>
      </c>
      <c r="BA2029" s="46">
        <v>0</v>
      </c>
      <c r="BB2029" s="46">
        <v>0</v>
      </c>
      <c r="BC2029" s="46">
        <v>0</v>
      </c>
      <c r="BD2029" s="46">
        <v>0</v>
      </c>
      <c r="BE2029" s="46">
        <v>0</v>
      </c>
      <c r="BF2029" s="46">
        <v>0</v>
      </c>
      <c r="BG2029" s="46" t="s">
        <v>48</v>
      </c>
      <c r="BH2029" s="46">
        <v>0</v>
      </c>
      <c r="BI2029" s="46">
        <v>0</v>
      </c>
      <c r="BJ2029" s="46">
        <v>0</v>
      </c>
      <c r="BK2029" s="46">
        <v>0</v>
      </c>
      <c r="BL2029" s="46">
        <v>0</v>
      </c>
      <c r="BM2029" s="46">
        <v>0</v>
      </c>
      <c r="BN2029" s="46">
        <v>0</v>
      </c>
    </row>
    <row r="2030" spans="1:66" x14ac:dyDescent="0.35">
      <c r="A2030" t="s">
        <v>9649</v>
      </c>
      <c r="B2030" s="44" t="s">
        <v>48</v>
      </c>
      <c r="C2030" t="s">
        <v>6200</v>
      </c>
      <c r="D2030" t="s">
        <v>12161</v>
      </c>
      <c r="E2030" t="s">
        <v>9650</v>
      </c>
      <c r="F2030" t="s">
        <v>4954</v>
      </c>
      <c r="G2030" t="s">
        <v>74</v>
      </c>
      <c r="H2030">
        <v>0</v>
      </c>
      <c r="I2030" s="61">
        <v>44749</v>
      </c>
      <c r="J2030" s="33" t="s">
        <v>45</v>
      </c>
      <c r="K2030" s="46">
        <v>0</v>
      </c>
      <c r="L2030">
        <v>2.4</v>
      </c>
      <c r="M2030" t="s">
        <v>48</v>
      </c>
      <c r="N2030" s="46">
        <v>0</v>
      </c>
      <c r="O2030" s="46">
        <v>0</v>
      </c>
      <c r="P2030" s="46">
        <v>0</v>
      </c>
      <c r="Q2030" t="s">
        <v>48</v>
      </c>
      <c r="R2030" t="s">
        <v>48</v>
      </c>
      <c r="S2030" t="s">
        <v>48</v>
      </c>
      <c r="T2030" t="s">
        <v>48</v>
      </c>
      <c r="U2030" t="s">
        <v>48</v>
      </c>
      <c r="V2030" s="47">
        <v>1</v>
      </c>
      <c r="W2030" t="s">
        <v>48</v>
      </c>
      <c r="X2030" t="s">
        <v>48</v>
      </c>
      <c r="Y2030" t="s">
        <v>48</v>
      </c>
      <c r="Z2030" t="s">
        <v>48</v>
      </c>
      <c r="AA2030" t="s">
        <v>48</v>
      </c>
      <c r="AB2030" t="s">
        <v>48</v>
      </c>
      <c r="AC2030" t="s">
        <v>49</v>
      </c>
      <c r="AD2030" t="s">
        <v>93</v>
      </c>
      <c r="AE2030" t="s">
        <v>4532</v>
      </c>
      <c r="AF2030" t="s">
        <v>48</v>
      </c>
      <c r="AG2030" t="s">
        <v>48</v>
      </c>
      <c r="AH2030" t="s">
        <v>48</v>
      </c>
      <c r="AI2030" t="s">
        <v>48</v>
      </c>
      <c r="AJ2030" t="s">
        <v>48</v>
      </c>
      <c r="AK2030" t="s">
        <v>48</v>
      </c>
      <c r="AL2030" t="s">
        <v>48</v>
      </c>
      <c r="AM2030" t="s">
        <v>48</v>
      </c>
      <c r="AN2030" t="s">
        <v>48</v>
      </c>
      <c r="AO2030" t="s">
        <v>48</v>
      </c>
      <c r="AP2030" s="46">
        <v>0</v>
      </c>
      <c r="AQ2030" s="46">
        <v>0</v>
      </c>
      <c r="AR2030" s="46">
        <v>0</v>
      </c>
      <c r="AS2030" s="46">
        <v>0</v>
      </c>
      <c r="AT2030" s="46">
        <v>0</v>
      </c>
      <c r="AU2030" s="46">
        <v>0</v>
      </c>
      <c r="AV2030" s="46">
        <v>0</v>
      </c>
      <c r="AW2030" s="46">
        <v>0</v>
      </c>
      <c r="AX2030" s="46">
        <v>0</v>
      </c>
      <c r="AY2030" s="46">
        <v>0</v>
      </c>
      <c r="AZ2030" s="46">
        <v>0</v>
      </c>
      <c r="BA2030" s="46">
        <v>0</v>
      </c>
      <c r="BB2030" s="46">
        <v>0</v>
      </c>
      <c r="BC2030" s="46">
        <v>0</v>
      </c>
      <c r="BD2030" s="46">
        <v>0</v>
      </c>
      <c r="BE2030" s="46">
        <v>0</v>
      </c>
      <c r="BF2030" s="46">
        <v>0</v>
      </c>
      <c r="BG2030" s="46" t="s">
        <v>48</v>
      </c>
      <c r="BH2030" s="46">
        <v>0</v>
      </c>
      <c r="BI2030" s="46">
        <v>0</v>
      </c>
      <c r="BJ2030" s="46">
        <v>0</v>
      </c>
      <c r="BK2030" s="46">
        <v>0</v>
      </c>
      <c r="BL2030" s="46">
        <v>0</v>
      </c>
      <c r="BM2030" s="46">
        <v>0</v>
      </c>
      <c r="BN2030" s="46">
        <v>0</v>
      </c>
    </row>
    <row r="2031" spans="1:66" x14ac:dyDescent="0.35">
      <c r="A2031" t="s">
        <v>8378</v>
      </c>
      <c r="B2031" t="s">
        <v>48</v>
      </c>
      <c r="C2031" t="s">
        <v>199</v>
      </c>
      <c r="D2031" t="s">
        <v>12160</v>
      </c>
      <c r="E2031" t="s">
        <v>8379</v>
      </c>
      <c r="F2031" t="s">
        <v>4954</v>
      </c>
      <c r="G2031" t="s">
        <v>47</v>
      </c>
      <c r="H2031">
        <v>0</v>
      </c>
      <c r="I2031" s="61">
        <v>44733</v>
      </c>
      <c r="J2031" s="33" t="s">
        <v>45</v>
      </c>
      <c r="K2031" s="46">
        <v>0</v>
      </c>
      <c r="L2031">
        <v>7.4</v>
      </c>
      <c r="M2031" t="s">
        <v>48</v>
      </c>
      <c r="N2031" s="46">
        <v>0</v>
      </c>
      <c r="O2031" s="46">
        <v>0</v>
      </c>
      <c r="P2031" s="46">
        <v>0</v>
      </c>
      <c r="Q2031" t="s">
        <v>48</v>
      </c>
      <c r="R2031" t="s">
        <v>48</v>
      </c>
      <c r="S2031" t="s">
        <v>10349</v>
      </c>
      <c r="T2031" t="s">
        <v>48</v>
      </c>
      <c r="U2031" t="s">
        <v>10349</v>
      </c>
      <c r="V2031" s="47">
        <v>1</v>
      </c>
      <c r="W2031" t="s">
        <v>48</v>
      </c>
      <c r="X2031" t="s">
        <v>48</v>
      </c>
      <c r="Y2031" t="s">
        <v>48</v>
      </c>
      <c r="Z2031" t="s">
        <v>48</v>
      </c>
      <c r="AA2031" t="s">
        <v>48</v>
      </c>
      <c r="AB2031" t="s">
        <v>48</v>
      </c>
      <c r="AC2031" t="s">
        <v>49</v>
      </c>
      <c r="AD2031" t="s">
        <v>93</v>
      </c>
      <c r="AE2031" t="s">
        <v>4532</v>
      </c>
      <c r="AF2031" t="s">
        <v>48</v>
      </c>
      <c r="AG2031" t="s">
        <v>48</v>
      </c>
      <c r="AH2031" t="s">
        <v>48</v>
      </c>
      <c r="AI2031" t="s">
        <v>48</v>
      </c>
      <c r="AJ2031" t="s">
        <v>48</v>
      </c>
      <c r="AK2031" t="s">
        <v>48</v>
      </c>
      <c r="AL2031" t="s">
        <v>48</v>
      </c>
      <c r="AM2031" t="s">
        <v>48</v>
      </c>
      <c r="AN2031" t="s">
        <v>48</v>
      </c>
      <c r="AO2031" t="s">
        <v>48</v>
      </c>
      <c r="AP2031" s="46">
        <v>0</v>
      </c>
      <c r="AQ2031" s="46">
        <v>0</v>
      </c>
      <c r="AR2031" s="46">
        <v>0</v>
      </c>
      <c r="AS2031" s="46">
        <v>0</v>
      </c>
      <c r="AT2031" s="46">
        <v>0</v>
      </c>
      <c r="AU2031" s="46">
        <v>0</v>
      </c>
      <c r="AV2031" s="46">
        <v>0</v>
      </c>
      <c r="AW2031" s="46">
        <v>0</v>
      </c>
      <c r="AX2031" s="46">
        <v>0</v>
      </c>
      <c r="AY2031" s="46">
        <v>0</v>
      </c>
      <c r="AZ2031" s="46">
        <v>0</v>
      </c>
      <c r="BA2031" s="46">
        <v>0</v>
      </c>
      <c r="BB2031" s="46">
        <v>0</v>
      </c>
      <c r="BC2031" s="46">
        <v>0</v>
      </c>
      <c r="BD2031" s="46">
        <v>0</v>
      </c>
      <c r="BE2031" s="46">
        <v>0</v>
      </c>
      <c r="BF2031" s="46">
        <v>0</v>
      </c>
      <c r="BG2031" s="46" t="s">
        <v>48</v>
      </c>
      <c r="BH2031" s="46">
        <v>0</v>
      </c>
      <c r="BI2031" s="46">
        <v>0</v>
      </c>
      <c r="BJ2031" s="46">
        <v>0</v>
      </c>
      <c r="BK2031" s="46">
        <v>0</v>
      </c>
      <c r="BL2031" s="46">
        <v>0</v>
      </c>
      <c r="BM2031" s="46">
        <v>0</v>
      </c>
      <c r="BN2031" s="46">
        <v>0</v>
      </c>
    </row>
    <row r="2032" spans="1:66" x14ac:dyDescent="0.35">
      <c r="A2032" t="s">
        <v>9651</v>
      </c>
      <c r="B2032" s="44" t="s">
        <v>48</v>
      </c>
      <c r="C2032" t="s">
        <v>12159</v>
      </c>
      <c r="D2032" t="s">
        <v>1505</v>
      </c>
      <c r="E2032" t="s">
        <v>9652</v>
      </c>
      <c r="F2032" t="s">
        <v>4954</v>
      </c>
      <c r="G2032" t="s">
        <v>74</v>
      </c>
      <c r="H2032">
        <v>0</v>
      </c>
      <c r="I2032" s="61">
        <v>44749</v>
      </c>
      <c r="J2032" s="33" t="s">
        <v>45</v>
      </c>
      <c r="K2032" s="46">
        <v>0</v>
      </c>
      <c r="L2032">
        <v>6.9</v>
      </c>
      <c r="M2032" t="s">
        <v>48</v>
      </c>
      <c r="N2032" s="46">
        <v>0</v>
      </c>
      <c r="O2032" s="46">
        <v>0</v>
      </c>
      <c r="P2032" s="46">
        <v>0</v>
      </c>
      <c r="Q2032" t="s">
        <v>48</v>
      </c>
      <c r="R2032" t="s">
        <v>48</v>
      </c>
      <c r="S2032" t="s">
        <v>10345</v>
      </c>
      <c r="T2032" t="s">
        <v>48</v>
      </c>
      <c r="U2032" t="s">
        <v>10345</v>
      </c>
      <c r="V2032" s="47">
        <v>0</v>
      </c>
      <c r="W2032" t="s">
        <v>48</v>
      </c>
      <c r="X2032" t="s">
        <v>48</v>
      </c>
      <c r="Y2032" t="s">
        <v>48</v>
      </c>
      <c r="Z2032" t="s">
        <v>48</v>
      </c>
      <c r="AA2032" t="s">
        <v>48</v>
      </c>
      <c r="AB2032" t="s">
        <v>48</v>
      </c>
      <c r="AC2032" t="s">
        <v>49</v>
      </c>
      <c r="AD2032" t="s">
        <v>48</v>
      </c>
      <c r="AE2032" t="s">
        <v>48</v>
      </c>
      <c r="AF2032" t="s">
        <v>48</v>
      </c>
      <c r="AG2032" t="s">
        <v>48</v>
      </c>
      <c r="AH2032" t="s">
        <v>48</v>
      </c>
      <c r="AI2032" t="s">
        <v>48</v>
      </c>
      <c r="AJ2032" t="s">
        <v>48</v>
      </c>
      <c r="AK2032" t="s">
        <v>48</v>
      </c>
      <c r="AL2032" t="s">
        <v>48</v>
      </c>
      <c r="AM2032" t="s">
        <v>48</v>
      </c>
      <c r="AN2032" t="s">
        <v>48</v>
      </c>
      <c r="AO2032" t="s">
        <v>48</v>
      </c>
      <c r="AP2032" s="46">
        <v>0</v>
      </c>
      <c r="AQ2032" s="46">
        <v>0</v>
      </c>
      <c r="AR2032" s="46">
        <v>0</v>
      </c>
      <c r="AS2032" s="46">
        <v>0</v>
      </c>
      <c r="AT2032" s="46">
        <v>0</v>
      </c>
      <c r="AU2032" s="46">
        <v>0</v>
      </c>
      <c r="AV2032" s="46">
        <v>0</v>
      </c>
      <c r="AW2032" s="46">
        <v>0</v>
      </c>
      <c r="AX2032" s="46">
        <v>0</v>
      </c>
      <c r="AY2032" s="46">
        <v>0</v>
      </c>
      <c r="AZ2032" s="46">
        <v>0</v>
      </c>
      <c r="BA2032" s="46">
        <v>0</v>
      </c>
      <c r="BB2032" s="46">
        <v>0</v>
      </c>
      <c r="BC2032" s="46">
        <v>0</v>
      </c>
      <c r="BD2032" s="46">
        <v>0</v>
      </c>
      <c r="BE2032" s="46">
        <v>0</v>
      </c>
      <c r="BF2032" s="46">
        <v>0</v>
      </c>
      <c r="BG2032" s="46" t="s">
        <v>48</v>
      </c>
      <c r="BH2032" s="46">
        <v>0</v>
      </c>
      <c r="BI2032" s="46">
        <v>0</v>
      </c>
      <c r="BJ2032" s="46">
        <v>0</v>
      </c>
      <c r="BK2032" s="46">
        <v>0</v>
      </c>
      <c r="BL2032" s="46">
        <v>0</v>
      </c>
      <c r="BM2032" s="46">
        <v>0</v>
      </c>
      <c r="BN2032" s="46">
        <v>0</v>
      </c>
    </row>
    <row r="2033" spans="1:66" x14ac:dyDescent="0.35">
      <c r="A2033" t="s">
        <v>4960</v>
      </c>
      <c r="B2033" s="44" t="s">
        <v>48</v>
      </c>
      <c r="C2033" t="s">
        <v>4962</v>
      </c>
      <c r="D2033" t="s">
        <v>396</v>
      </c>
      <c r="E2033" t="s">
        <v>4961</v>
      </c>
      <c r="F2033" t="s">
        <v>4954</v>
      </c>
      <c r="G2033" t="s">
        <v>74</v>
      </c>
      <c r="H2033">
        <v>0</v>
      </c>
      <c r="I2033" s="60" t="s">
        <v>125</v>
      </c>
      <c r="J2033" s="33" t="s">
        <v>45</v>
      </c>
      <c r="K2033" s="46">
        <v>0</v>
      </c>
      <c r="L2033">
        <v>12.4</v>
      </c>
      <c r="M2033" t="s">
        <v>48</v>
      </c>
      <c r="N2033" s="46">
        <v>0</v>
      </c>
      <c r="O2033" s="46">
        <v>0</v>
      </c>
      <c r="P2033" s="46">
        <v>0</v>
      </c>
      <c r="Q2033" t="s">
        <v>48</v>
      </c>
      <c r="R2033" t="s">
        <v>48</v>
      </c>
      <c r="S2033" t="s">
        <v>48</v>
      </c>
      <c r="T2033" t="s">
        <v>48</v>
      </c>
      <c r="U2033" t="s">
        <v>48</v>
      </c>
      <c r="V2033" s="47">
        <v>1</v>
      </c>
      <c r="W2033" t="s">
        <v>48</v>
      </c>
      <c r="X2033" t="s">
        <v>48</v>
      </c>
      <c r="Y2033" t="s">
        <v>48</v>
      </c>
      <c r="Z2033">
        <v>0</v>
      </c>
      <c r="AA2033" t="s">
        <v>48</v>
      </c>
      <c r="AB2033" t="s">
        <v>48</v>
      </c>
      <c r="AC2033" t="s">
        <v>49</v>
      </c>
      <c r="AD2033" t="s">
        <v>93</v>
      </c>
      <c r="AE2033" t="s">
        <v>4532</v>
      </c>
      <c r="AF2033" t="s">
        <v>48</v>
      </c>
      <c r="AG2033" t="s">
        <v>48</v>
      </c>
      <c r="AH2033" t="s">
        <v>48</v>
      </c>
      <c r="AI2033" t="s">
        <v>48</v>
      </c>
      <c r="AJ2033" t="s">
        <v>48</v>
      </c>
      <c r="AK2033" t="s">
        <v>48</v>
      </c>
      <c r="AL2033" t="s">
        <v>48</v>
      </c>
      <c r="AM2033" t="s">
        <v>48</v>
      </c>
      <c r="AN2033" t="s">
        <v>48</v>
      </c>
      <c r="AO2033" t="s">
        <v>48</v>
      </c>
      <c r="AP2033" s="46">
        <v>0</v>
      </c>
      <c r="AQ2033" s="46">
        <v>0</v>
      </c>
      <c r="AR2033" s="46">
        <v>0</v>
      </c>
      <c r="AS2033" s="46">
        <v>0</v>
      </c>
      <c r="AT2033" s="46">
        <v>0</v>
      </c>
      <c r="AU2033" s="46">
        <v>0</v>
      </c>
      <c r="AV2033" s="46">
        <v>0</v>
      </c>
      <c r="AW2033" s="46">
        <v>0</v>
      </c>
      <c r="AX2033" s="46">
        <v>0</v>
      </c>
      <c r="AY2033" s="46">
        <v>0</v>
      </c>
      <c r="AZ2033" s="46">
        <v>0</v>
      </c>
      <c r="BA2033" s="46">
        <v>0</v>
      </c>
      <c r="BB2033" s="46">
        <v>0</v>
      </c>
      <c r="BC2033" s="46">
        <v>0</v>
      </c>
      <c r="BD2033" s="46">
        <v>0</v>
      </c>
      <c r="BE2033" s="46">
        <v>0</v>
      </c>
      <c r="BF2033" s="46">
        <v>0</v>
      </c>
      <c r="BG2033" s="46" t="s">
        <v>48</v>
      </c>
      <c r="BH2033" s="46">
        <v>0</v>
      </c>
      <c r="BI2033" s="46">
        <v>0</v>
      </c>
      <c r="BJ2033" s="46">
        <v>0</v>
      </c>
      <c r="BK2033" s="46">
        <v>0</v>
      </c>
      <c r="BL2033" s="46">
        <v>0</v>
      </c>
      <c r="BM2033" s="46">
        <v>0</v>
      </c>
      <c r="BN2033" s="46">
        <v>0</v>
      </c>
    </row>
    <row r="2034" spans="1:66" x14ac:dyDescent="0.35">
      <c r="A2034" t="s">
        <v>9653</v>
      </c>
      <c r="B2034" s="44" t="s">
        <v>48</v>
      </c>
      <c r="C2034" t="s">
        <v>12163</v>
      </c>
      <c r="D2034" t="s">
        <v>12164</v>
      </c>
      <c r="E2034" t="s">
        <v>9654</v>
      </c>
      <c r="F2034" t="s">
        <v>4954</v>
      </c>
      <c r="G2034" t="s">
        <v>74</v>
      </c>
      <c r="H2034">
        <v>0</v>
      </c>
      <c r="I2034" s="61">
        <v>44749</v>
      </c>
      <c r="J2034" s="33" t="s">
        <v>45</v>
      </c>
      <c r="K2034" s="46">
        <v>0</v>
      </c>
      <c r="L2034">
        <v>7.9</v>
      </c>
      <c r="M2034" t="s">
        <v>48</v>
      </c>
      <c r="N2034" s="46">
        <v>0</v>
      </c>
      <c r="O2034" s="46">
        <v>0</v>
      </c>
      <c r="P2034" s="46">
        <v>0</v>
      </c>
      <c r="Q2034" t="s">
        <v>48</v>
      </c>
      <c r="R2034" t="s">
        <v>48</v>
      </c>
      <c r="S2034" t="s">
        <v>10346</v>
      </c>
      <c r="T2034" t="s">
        <v>48</v>
      </c>
      <c r="U2034" t="s">
        <v>10346</v>
      </c>
      <c r="V2034" s="47">
        <v>0</v>
      </c>
      <c r="W2034" t="s">
        <v>11317</v>
      </c>
      <c r="X2034" t="s">
        <v>48</v>
      </c>
      <c r="Y2034" t="s">
        <v>48</v>
      </c>
      <c r="Z2034" t="s">
        <v>48</v>
      </c>
      <c r="AA2034" t="s">
        <v>48</v>
      </c>
      <c r="AB2034" t="s">
        <v>48</v>
      </c>
      <c r="AC2034" t="s">
        <v>49</v>
      </c>
      <c r="AD2034" t="s">
        <v>48</v>
      </c>
      <c r="AE2034" t="s">
        <v>48</v>
      </c>
      <c r="AF2034" t="s">
        <v>48</v>
      </c>
      <c r="AG2034" t="s">
        <v>48</v>
      </c>
      <c r="AH2034" t="s">
        <v>48</v>
      </c>
      <c r="AI2034" t="s">
        <v>48</v>
      </c>
      <c r="AJ2034" t="s">
        <v>48</v>
      </c>
      <c r="AK2034" t="s">
        <v>48</v>
      </c>
      <c r="AL2034" t="s">
        <v>48</v>
      </c>
      <c r="AM2034" t="s">
        <v>48</v>
      </c>
      <c r="AN2034" t="s">
        <v>48</v>
      </c>
      <c r="AO2034" t="s">
        <v>48</v>
      </c>
      <c r="AP2034" s="46">
        <v>0</v>
      </c>
      <c r="AQ2034" s="46">
        <v>0</v>
      </c>
      <c r="AR2034" s="46">
        <v>0</v>
      </c>
      <c r="AS2034" s="46">
        <v>0</v>
      </c>
      <c r="AT2034" s="46">
        <v>0</v>
      </c>
      <c r="AU2034" s="46">
        <v>0</v>
      </c>
      <c r="AV2034" s="46">
        <v>0</v>
      </c>
      <c r="AW2034" s="46">
        <v>0</v>
      </c>
      <c r="AX2034" s="46">
        <v>0</v>
      </c>
      <c r="AY2034" s="46">
        <v>0</v>
      </c>
      <c r="AZ2034" s="46">
        <v>0</v>
      </c>
      <c r="BA2034" s="46">
        <v>0</v>
      </c>
      <c r="BB2034" s="46">
        <v>0</v>
      </c>
      <c r="BC2034" s="46">
        <v>0</v>
      </c>
      <c r="BD2034" s="46">
        <v>0</v>
      </c>
      <c r="BE2034" s="46">
        <v>0</v>
      </c>
      <c r="BF2034" s="46">
        <v>0</v>
      </c>
      <c r="BG2034" s="46" t="s">
        <v>48</v>
      </c>
      <c r="BH2034" s="46">
        <v>0</v>
      </c>
      <c r="BI2034" s="46">
        <v>0</v>
      </c>
      <c r="BJ2034" s="46">
        <v>0</v>
      </c>
      <c r="BK2034" s="46">
        <v>0</v>
      </c>
      <c r="BL2034" s="46">
        <v>0</v>
      </c>
      <c r="BM2034" s="46">
        <v>0</v>
      </c>
      <c r="BN2034" s="46">
        <v>0</v>
      </c>
    </row>
    <row r="2035" spans="1:66" x14ac:dyDescent="0.35">
      <c r="A2035" t="s">
        <v>4963</v>
      </c>
      <c r="B2035" s="44" t="s">
        <v>48</v>
      </c>
      <c r="C2035" t="s">
        <v>4966</v>
      </c>
      <c r="D2035" t="s">
        <v>849</v>
      </c>
      <c r="E2035" t="s">
        <v>4964</v>
      </c>
      <c r="F2035" t="s">
        <v>4954</v>
      </c>
      <c r="G2035" t="s">
        <v>74</v>
      </c>
      <c r="H2035">
        <v>0</v>
      </c>
      <c r="I2035" s="60" t="s">
        <v>51</v>
      </c>
      <c r="J2035" s="33" t="s">
        <v>45</v>
      </c>
      <c r="K2035" s="46">
        <v>0</v>
      </c>
      <c r="L2035">
        <v>14.3</v>
      </c>
      <c r="M2035" t="s">
        <v>48</v>
      </c>
      <c r="N2035" s="46">
        <v>0</v>
      </c>
      <c r="O2035" s="46">
        <v>0</v>
      </c>
      <c r="P2035" s="46">
        <v>0</v>
      </c>
      <c r="Q2035" t="s">
        <v>48</v>
      </c>
      <c r="R2035" t="s">
        <v>48</v>
      </c>
      <c r="S2035" t="s">
        <v>4965</v>
      </c>
      <c r="T2035" t="s">
        <v>48</v>
      </c>
      <c r="U2035" t="s">
        <v>4965</v>
      </c>
      <c r="V2035" s="47">
        <v>1</v>
      </c>
      <c r="W2035" t="s">
        <v>48</v>
      </c>
      <c r="X2035" t="s">
        <v>48</v>
      </c>
      <c r="Y2035" t="s">
        <v>48</v>
      </c>
      <c r="Z2035">
        <v>0</v>
      </c>
      <c r="AA2035" t="s">
        <v>48</v>
      </c>
      <c r="AB2035" t="s">
        <v>48</v>
      </c>
      <c r="AC2035" t="s">
        <v>49</v>
      </c>
      <c r="AD2035" t="s">
        <v>93</v>
      </c>
      <c r="AE2035" t="s">
        <v>4532</v>
      </c>
      <c r="AF2035" t="s">
        <v>48</v>
      </c>
      <c r="AG2035" t="s">
        <v>48</v>
      </c>
      <c r="AH2035" t="s">
        <v>48</v>
      </c>
      <c r="AI2035" t="s">
        <v>48</v>
      </c>
      <c r="AJ2035" t="s">
        <v>48</v>
      </c>
      <c r="AK2035" t="s">
        <v>48</v>
      </c>
      <c r="AL2035" t="s">
        <v>48</v>
      </c>
      <c r="AM2035" t="s">
        <v>48</v>
      </c>
      <c r="AN2035" t="s">
        <v>48</v>
      </c>
      <c r="AO2035" t="s">
        <v>48</v>
      </c>
      <c r="AP2035" s="46">
        <v>0</v>
      </c>
      <c r="AQ2035" s="46">
        <v>0</v>
      </c>
      <c r="AR2035" s="46">
        <v>0</v>
      </c>
      <c r="AS2035" s="46">
        <v>0</v>
      </c>
      <c r="AT2035" s="46">
        <v>0</v>
      </c>
      <c r="AU2035" s="46">
        <v>0</v>
      </c>
      <c r="AV2035" s="46">
        <v>0</v>
      </c>
      <c r="AW2035" s="46">
        <v>0</v>
      </c>
      <c r="AX2035" s="46">
        <v>0</v>
      </c>
      <c r="AY2035" s="46">
        <v>0</v>
      </c>
      <c r="AZ2035" s="46">
        <v>0</v>
      </c>
      <c r="BA2035" s="46">
        <v>0</v>
      </c>
      <c r="BB2035" s="46">
        <v>0</v>
      </c>
      <c r="BC2035" s="46">
        <v>0</v>
      </c>
      <c r="BD2035" s="46">
        <v>0</v>
      </c>
      <c r="BE2035" s="46">
        <v>0</v>
      </c>
      <c r="BF2035" s="46">
        <v>0</v>
      </c>
      <c r="BG2035" s="46" t="s">
        <v>48</v>
      </c>
      <c r="BH2035" s="46">
        <v>0</v>
      </c>
      <c r="BI2035" s="46">
        <v>0</v>
      </c>
      <c r="BJ2035" s="46">
        <v>0</v>
      </c>
      <c r="BK2035" s="46">
        <v>0</v>
      </c>
      <c r="BL2035" s="46">
        <v>0</v>
      </c>
      <c r="BM2035" s="46">
        <v>0</v>
      </c>
      <c r="BN2035" s="46">
        <v>0</v>
      </c>
    </row>
    <row r="2036" spans="1:66" x14ac:dyDescent="0.35">
      <c r="A2036" t="s">
        <v>8384</v>
      </c>
      <c r="B2036" t="s">
        <v>48</v>
      </c>
      <c r="C2036" t="s">
        <v>12001</v>
      </c>
      <c r="D2036" t="s">
        <v>12168</v>
      </c>
      <c r="E2036" t="s">
        <v>8385</v>
      </c>
      <c r="F2036" t="s">
        <v>4968</v>
      </c>
      <c r="G2036" t="s">
        <v>47</v>
      </c>
      <c r="H2036">
        <v>0</v>
      </c>
      <c r="I2036" s="61">
        <v>44733</v>
      </c>
      <c r="J2036" s="33" t="s">
        <v>45</v>
      </c>
      <c r="K2036" s="46">
        <v>0</v>
      </c>
      <c r="L2036">
        <v>4.5</v>
      </c>
      <c r="M2036" t="s">
        <v>48</v>
      </c>
      <c r="N2036" s="46">
        <v>0</v>
      </c>
      <c r="O2036" s="46">
        <v>0</v>
      </c>
      <c r="P2036" s="46">
        <v>0</v>
      </c>
      <c r="Q2036" t="s">
        <v>48</v>
      </c>
      <c r="R2036" t="s">
        <v>48</v>
      </c>
      <c r="S2036" t="s">
        <v>48</v>
      </c>
      <c r="T2036" t="s">
        <v>48</v>
      </c>
      <c r="U2036" t="s">
        <v>48</v>
      </c>
      <c r="V2036" s="47">
        <v>0</v>
      </c>
      <c r="W2036" t="s">
        <v>48</v>
      </c>
      <c r="X2036" t="s">
        <v>48</v>
      </c>
      <c r="Y2036" t="s">
        <v>48</v>
      </c>
      <c r="Z2036" t="s">
        <v>48</v>
      </c>
      <c r="AA2036" t="s">
        <v>48</v>
      </c>
      <c r="AB2036" t="s">
        <v>48</v>
      </c>
      <c r="AC2036" t="s">
        <v>49</v>
      </c>
      <c r="AD2036" t="s">
        <v>48</v>
      </c>
      <c r="AE2036" t="s">
        <v>48</v>
      </c>
      <c r="AF2036" t="s">
        <v>48</v>
      </c>
      <c r="AG2036" t="s">
        <v>48</v>
      </c>
      <c r="AH2036" t="s">
        <v>48</v>
      </c>
      <c r="AI2036" t="s">
        <v>48</v>
      </c>
      <c r="AJ2036" t="s">
        <v>48</v>
      </c>
      <c r="AK2036" t="s">
        <v>48</v>
      </c>
      <c r="AL2036" t="s">
        <v>48</v>
      </c>
      <c r="AM2036" t="s">
        <v>48</v>
      </c>
      <c r="AN2036" t="s">
        <v>48</v>
      </c>
      <c r="AO2036" t="s">
        <v>48</v>
      </c>
      <c r="AP2036" s="46">
        <v>0</v>
      </c>
      <c r="AQ2036" s="46">
        <v>0</v>
      </c>
      <c r="AR2036" s="46">
        <v>0</v>
      </c>
      <c r="AS2036" s="46">
        <v>0</v>
      </c>
      <c r="AT2036" s="46">
        <v>0</v>
      </c>
      <c r="AU2036" s="46">
        <v>0</v>
      </c>
      <c r="AV2036" s="46">
        <v>0</v>
      </c>
      <c r="AW2036" s="46">
        <v>0</v>
      </c>
      <c r="AX2036" s="46">
        <v>0</v>
      </c>
      <c r="AY2036" s="46">
        <v>0</v>
      </c>
      <c r="AZ2036" s="46">
        <v>0</v>
      </c>
      <c r="BA2036" s="46">
        <v>0</v>
      </c>
      <c r="BB2036" s="46">
        <v>0</v>
      </c>
      <c r="BC2036" s="46">
        <v>0</v>
      </c>
      <c r="BD2036" s="46">
        <v>0</v>
      </c>
      <c r="BE2036" s="46">
        <v>0</v>
      </c>
      <c r="BF2036" s="46">
        <v>0</v>
      </c>
      <c r="BG2036" s="46" t="s">
        <v>48</v>
      </c>
      <c r="BH2036" s="46">
        <v>0</v>
      </c>
      <c r="BI2036" s="46">
        <v>0</v>
      </c>
      <c r="BJ2036" s="46">
        <v>0</v>
      </c>
      <c r="BK2036" s="46">
        <v>0</v>
      </c>
      <c r="BL2036" s="46">
        <v>0</v>
      </c>
      <c r="BM2036" s="46">
        <v>0</v>
      </c>
      <c r="BN2036" s="46">
        <v>0</v>
      </c>
    </row>
    <row r="2037" spans="1:66" x14ac:dyDescent="0.35">
      <c r="A2037" t="s">
        <v>4972</v>
      </c>
      <c r="B2037" t="s">
        <v>48</v>
      </c>
      <c r="C2037" t="s">
        <v>4975</v>
      </c>
      <c r="D2037" t="s">
        <v>2150</v>
      </c>
      <c r="E2037" t="s">
        <v>4973</v>
      </c>
      <c r="F2037" t="s">
        <v>4968</v>
      </c>
      <c r="G2037" t="s">
        <v>47</v>
      </c>
      <c r="H2037">
        <v>0</v>
      </c>
      <c r="I2037" s="60" t="s">
        <v>51</v>
      </c>
      <c r="J2037" s="33" t="s">
        <v>45</v>
      </c>
      <c r="K2037" s="46">
        <v>0</v>
      </c>
      <c r="L2037">
        <v>10.3</v>
      </c>
      <c r="M2037" t="s">
        <v>48</v>
      </c>
      <c r="N2037" s="46">
        <v>0</v>
      </c>
      <c r="O2037" s="46">
        <v>0</v>
      </c>
      <c r="P2037" s="46">
        <v>0</v>
      </c>
      <c r="Q2037" t="s">
        <v>48</v>
      </c>
      <c r="R2037" t="s">
        <v>48</v>
      </c>
      <c r="S2037" t="s">
        <v>4974</v>
      </c>
      <c r="T2037" t="s">
        <v>48</v>
      </c>
      <c r="U2037" t="s">
        <v>4974</v>
      </c>
      <c r="V2037" s="47">
        <v>0</v>
      </c>
      <c r="W2037" t="s">
        <v>48</v>
      </c>
      <c r="X2037" t="s">
        <v>48</v>
      </c>
      <c r="Y2037" t="s">
        <v>48</v>
      </c>
      <c r="Z2037">
        <v>0</v>
      </c>
      <c r="AA2037" t="s">
        <v>48</v>
      </c>
      <c r="AB2037" t="s">
        <v>48</v>
      </c>
      <c r="AC2037" t="s">
        <v>49</v>
      </c>
      <c r="AD2037" t="s">
        <v>93</v>
      </c>
      <c r="AE2037" t="s">
        <v>4532</v>
      </c>
      <c r="AF2037" t="s">
        <v>48</v>
      </c>
      <c r="AG2037" t="s">
        <v>48</v>
      </c>
      <c r="AH2037" t="s">
        <v>48</v>
      </c>
      <c r="AI2037" t="s">
        <v>48</v>
      </c>
      <c r="AJ2037" t="s">
        <v>48</v>
      </c>
      <c r="AK2037" t="s">
        <v>48</v>
      </c>
      <c r="AL2037" t="s">
        <v>48</v>
      </c>
      <c r="AM2037" t="s">
        <v>48</v>
      </c>
      <c r="AN2037" t="s">
        <v>48</v>
      </c>
      <c r="AO2037" t="s">
        <v>48</v>
      </c>
      <c r="AP2037" s="46">
        <v>0</v>
      </c>
      <c r="AQ2037" s="46">
        <v>0</v>
      </c>
      <c r="AR2037" s="46">
        <v>0</v>
      </c>
      <c r="AS2037" s="46">
        <v>0</v>
      </c>
      <c r="AT2037" s="46">
        <v>0</v>
      </c>
      <c r="AU2037" s="46">
        <v>0</v>
      </c>
      <c r="AV2037" s="46">
        <v>0</v>
      </c>
      <c r="AW2037" s="46">
        <v>0</v>
      </c>
      <c r="AX2037" s="46">
        <v>0</v>
      </c>
      <c r="AY2037" s="46">
        <v>0</v>
      </c>
      <c r="AZ2037" s="46">
        <v>0</v>
      </c>
      <c r="BA2037" s="46">
        <v>0</v>
      </c>
      <c r="BB2037" s="46">
        <v>0</v>
      </c>
      <c r="BC2037" s="46">
        <v>0</v>
      </c>
      <c r="BD2037" s="46">
        <v>0</v>
      </c>
      <c r="BE2037" s="46">
        <v>0</v>
      </c>
      <c r="BF2037" s="46">
        <v>0</v>
      </c>
      <c r="BG2037" s="46" t="s">
        <v>48</v>
      </c>
      <c r="BH2037" s="46">
        <v>0</v>
      </c>
      <c r="BI2037" s="46">
        <v>0</v>
      </c>
      <c r="BJ2037" s="46">
        <v>0</v>
      </c>
      <c r="BK2037" s="46">
        <v>0</v>
      </c>
      <c r="BL2037" s="46">
        <v>0</v>
      </c>
      <c r="BM2037" s="46">
        <v>0</v>
      </c>
      <c r="BN2037" s="46">
        <v>0</v>
      </c>
    </row>
    <row r="2038" spans="1:66" x14ac:dyDescent="0.35">
      <c r="A2038" t="s">
        <v>4981</v>
      </c>
      <c r="B2038" t="s">
        <v>48</v>
      </c>
      <c r="C2038" t="s">
        <v>4984</v>
      </c>
      <c r="D2038" t="s">
        <v>221</v>
      </c>
      <c r="E2038" t="s">
        <v>4982</v>
      </c>
      <c r="F2038" t="s">
        <v>4968</v>
      </c>
      <c r="G2038" t="s">
        <v>47</v>
      </c>
      <c r="H2038">
        <v>0</v>
      </c>
      <c r="I2038" s="60" t="s">
        <v>51</v>
      </c>
      <c r="J2038" s="33" t="s">
        <v>45</v>
      </c>
      <c r="K2038" s="46">
        <v>0</v>
      </c>
      <c r="L2038">
        <v>11.1</v>
      </c>
      <c r="M2038" t="s">
        <v>48</v>
      </c>
      <c r="N2038" s="46">
        <v>0</v>
      </c>
      <c r="O2038" s="46">
        <v>0</v>
      </c>
      <c r="P2038" s="46">
        <v>0</v>
      </c>
      <c r="Q2038" t="s">
        <v>48</v>
      </c>
      <c r="R2038" t="s">
        <v>48</v>
      </c>
      <c r="S2038" t="s">
        <v>4983</v>
      </c>
      <c r="T2038" t="s">
        <v>48</v>
      </c>
      <c r="U2038" t="s">
        <v>4983</v>
      </c>
      <c r="V2038" s="47">
        <v>0</v>
      </c>
      <c r="W2038" t="s">
        <v>48</v>
      </c>
      <c r="X2038" t="s">
        <v>48</v>
      </c>
      <c r="Y2038" t="s">
        <v>48</v>
      </c>
      <c r="Z2038">
        <v>0</v>
      </c>
      <c r="AA2038" t="s">
        <v>48</v>
      </c>
      <c r="AB2038" t="s">
        <v>48</v>
      </c>
      <c r="AC2038" t="s">
        <v>49</v>
      </c>
      <c r="AD2038" t="s">
        <v>93</v>
      </c>
      <c r="AE2038" t="s">
        <v>4532</v>
      </c>
      <c r="AF2038" t="s">
        <v>48</v>
      </c>
      <c r="AG2038" t="s">
        <v>140</v>
      </c>
      <c r="AH2038" t="s">
        <v>48</v>
      </c>
      <c r="AI2038" t="s">
        <v>48</v>
      </c>
      <c r="AJ2038" t="s">
        <v>48</v>
      </c>
      <c r="AK2038" t="s">
        <v>48</v>
      </c>
      <c r="AL2038" t="s">
        <v>48</v>
      </c>
      <c r="AM2038" t="s">
        <v>48</v>
      </c>
      <c r="AN2038" t="s">
        <v>48</v>
      </c>
      <c r="AO2038" t="s">
        <v>48</v>
      </c>
      <c r="AP2038" s="46">
        <v>0</v>
      </c>
      <c r="AQ2038" s="46">
        <v>0</v>
      </c>
      <c r="AR2038" s="46">
        <v>0</v>
      </c>
      <c r="AS2038" s="46">
        <v>0</v>
      </c>
      <c r="AT2038" s="46">
        <v>0</v>
      </c>
      <c r="AU2038" s="46">
        <v>0</v>
      </c>
      <c r="AV2038" s="46">
        <v>0</v>
      </c>
      <c r="AW2038" s="46">
        <v>0</v>
      </c>
      <c r="AX2038" s="46">
        <v>0</v>
      </c>
      <c r="AY2038" s="46">
        <v>0</v>
      </c>
      <c r="AZ2038" s="46">
        <v>0</v>
      </c>
      <c r="BA2038" s="46">
        <v>0</v>
      </c>
      <c r="BB2038" s="46">
        <v>0</v>
      </c>
      <c r="BC2038" s="46">
        <v>0</v>
      </c>
      <c r="BD2038" s="46">
        <v>0</v>
      </c>
      <c r="BE2038" s="46">
        <v>0</v>
      </c>
      <c r="BF2038" s="46">
        <v>0</v>
      </c>
      <c r="BG2038" s="46" t="s">
        <v>48</v>
      </c>
      <c r="BH2038" s="46">
        <v>0</v>
      </c>
      <c r="BI2038" s="46">
        <v>0</v>
      </c>
      <c r="BJ2038" s="46">
        <v>0</v>
      </c>
      <c r="BK2038" s="46">
        <v>0</v>
      </c>
      <c r="BL2038" s="46">
        <v>0</v>
      </c>
      <c r="BM2038" s="46">
        <v>0</v>
      </c>
      <c r="BN2038" s="46">
        <v>0</v>
      </c>
    </row>
    <row r="2039" spans="1:66" x14ac:dyDescent="0.35">
      <c r="A2039" t="s">
        <v>4990</v>
      </c>
      <c r="B2039" t="s">
        <v>48</v>
      </c>
      <c r="C2039" t="s">
        <v>4994</v>
      </c>
      <c r="D2039" t="s">
        <v>4993</v>
      </c>
      <c r="E2039" t="s">
        <v>4991</v>
      </c>
      <c r="F2039" t="s">
        <v>4968</v>
      </c>
      <c r="G2039" t="s">
        <v>47</v>
      </c>
      <c r="H2039">
        <v>0</v>
      </c>
      <c r="I2039" s="60" t="s">
        <v>51</v>
      </c>
      <c r="J2039" s="33" t="s">
        <v>45</v>
      </c>
      <c r="K2039" s="46">
        <v>0</v>
      </c>
      <c r="L2039">
        <v>9.1</v>
      </c>
      <c r="M2039" t="s">
        <v>48</v>
      </c>
      <c r="N2039" s="46">
        <v>0</v>
      </c>
      <c r="O2039" s="46">
        <v>0</v>
      </c>
      <c r="P2039" s="46">
        <v>0</v>
      </c>
      <c r="Q2039" t="s">
        <v>48</v>
      </c>
      <c r="R2039" t="s">
        <v>48</v>
      </c>
      <c r="S2039" t="s">
        <v>4992</v>
      </c>
      <c r="T2039" t="s">
        <v>48</v>
      </c>
      <c r="U2039" t="s">
        <v>4992</v>
      </c>
      <c r="V2039" s="47">
        <v>0</v>
      </c>
      <c r="W2039" t="s">
        <v>48</v>
      </c>
      <c r="X2039" t="s">
        <v>48</v>
      </c>
      <c r="Y2039" t="s">
        <v>48</v>
      </c>
      <c r="Z2039">
        <v>0</v>
      </c>
      <c r="AA2039" t="s">
        <v>48</v>
      </c>
      <c r="AB2039" t="s">
        <v>48</v>
      </c>
      <c r="AC2039" t="s">
        <v>49</v>
      </c>
      <c r="AD2039" t="s">
        <v>93</v>
      </c>
      <c r="AE2039" t="s">
        <v>4532</v>
      </c>
      <c r="AF2039" t="s">
        <v>48</v>
      </c>
      <c r="AG2039" t="s">
        <v>48</v>
      </c>
      <c r="AH2039" t="s">
        <v>48</v>
      </c>
      <c r="AI2039" t="s">
        <v>48</v>
      </c>
      <c r="AJ2039" t="s">
        <v>48</v>
      </c>
      <c r="AK2039" t="s">
        <v>48</v>
      </c>
      <c r="AL2039" t="s">
        <v>48</v>
      </c>
      <c r="AM2039" t="s">
        <v>48</v>
      </c>
      <c r="AN2039" t="s">
        <v>48</v>
      </c>
      <c r="AO2039" t="s">
        <v>48</v>
      </c>
      <c r="AP2039" s="46">
        <v>0</v>
      </c>
      <c r="AQ2039" s="46">
        <v>0</v>
      </c>
      <c r="AR2039" s="46">
        <v>0</v>
      </c>
      <c r="AS2039" s="46">
        <v>0</v>
      </c>
      <c r="AT2039" s="46">
        <v>0</v>
      </c>
      <c r="AU2039" s="46">
        <v>0</v>
      </c>
      <c r="AV2039" s="46">
        <v>0</v>
      </c>
      <c r="AW2039" s="46">
        <v>0</v>
      </c>
      <c r="AX2039" s="46">
        <v>0</v>
      </c>
      <c r="AY2039" s="46">
        <v>0</v>
      </c>
      <c r="AZ2039" s="46">
        <v>0</v>
      </c>
      <c r="BA2039" s="46">
        <v>0</v>
      </c>
      <c r="BB2039" s="46">
        <v>0</v>
      </c>
      <c r="BC2039" s="46">
        <v>0</v>
      </c>
      <c r="BD2039" s="46">
        <v>0</v>
      </c>
      <c r="BE2039" s="46">
        <v>0</v>
      </c>
      <c r="BF2039" s="46">
        <v>0</v>
      </c>
      <c r="BG2039" s="46" t="s">
        <v>48</v>
      </c>
      <c r="BH2039" s="46">
        <v>0</v>
      </c>
      <c r="BI2039" s="46">
        <v>0</v>
      </c>
      <c r="BJ2039" s="46">
        <v>0</v>
      </c>
      <c r="BK2039" s="46">
        <v>0</v>
      </c>
      <c r="BL2039" s="46">
        <v>0</v>
      </c>
      <c r="BM2039" s="46">
        <v>0</v>
      </c>
      <c r="BN2039" s="46">
        <v>0</v>
      </c>
    </row>
    <row r="2040" spans="1:66" x14ac:dyDescent="0.35">
      <c r="A2040" t="s">
        <v>4976</v>
      </c>
      <c r="B2040" s="44" t="s">
        <v>48</v>
      </c>
      <c r="C2040" t="s">
        <v>4980</v>
      </c>
      <c r="D2040" t="s">
        <v>4979</v>
      </c>
      <c r="E2040" t="s">
        <v>4977</v>
      </c>
      <c r="F2040" t="s">
        <v>4968</v>
      </c>
      <c r="G2040" t="s">
        <v>74</v>
      </c>
      <c r="H2040">
        <v>0</v>
      </c>
      <c r="I2040" s="60" t="s">
        <v>149</v>
      </c>
      <c r="J2040" s="33" t="s">
        <v>45</v>
      </c>
      <c r="K2040" s="46">
        <v>0</v>
      </c>
      <c r="L2040">
        <v>10.4</v>
      </c>
      <c r="M2040" t="s">
        <v>48</v>
      </c>
      <c r="N2040" s="46">
        <v>0</v>
      </c>
      <c r="O2040" s="46">
        <v>0</v>
      </c>
      <c r="P2040" s="46">
        <v>0</v>
      </c>
      <c r="Q2040" t="s">
        <v>48</v>
      </c>
      <c r="R2040" t="s">
        <v>48</v>
      </c>
      <c r="S2040" t="s">
        <v>4978</v>
      </c>
      <c r="T2040" t="s">
        <v>48</v>
      </c>
      <c r="U2040" t="s">
        <v>4978</v>
      </c>
      <c r="V2040" s="47">
        <v>0</v>
      </c>
      <c r="W2040" t="s">
        <v>48</v>
      </c>
      <c r="X2040" t="s">
        <v>48</v>
      </c>
      <c r="Y2040" t="s">
        <v>48</v>
      </c>
      <c r="Z2040">
        <v>0</v>
      </c>
      <c r="AA2040" t="s">
        <v>48</v>
      </c>
      <c r="AB2040" t="s">
        <v>48</v>
      </c>
      <c r="AC2040" t="s">
        <v>49</v>
      </c>
      <c r="AD2040" t="s">
        <v>93</v>
      </c>
      <c r="AE2040" t="s">
        <v>4532</v>
      </c>
      <c r="AF2040" t="s">
        <v>48</v>
      </c>
      <c r="AG2040" t="s">
        <v>479</v>
      </c>
      <c r="AH2040" t="s">
        <v>426</v>
      </c>
      <c r="AI2040" t="s">
        <v>48</v>
      </c>
      <c r="AJ2040" t="s">
        <v>48</v>
      </c>
      <c r="AK2040" t="s">
        <v>48</v>
      </c>
      <c r="AL2040" t="s">
        <v>48</v>
      </c>
      <c r="AM2040" t="s">
        <v>48</v>
      </c>
      <c r="AN2040" t="s">
        <v>48</v>
      </c>
      <c r="AO2040" t="s">
        <v>48</v>
      </c>
      <c r="AP2040" s="46">
        <v>0</v>
      </c>
      <c r="AQ2040" s="46">
        <v>0</v>
      </c>
      <c r="AR2040" s="46">
        <v>0</v>
      </c>
      <c r="AS2040" s="46">
        <v>0</v>
      </c>
      <c r="AT2040" s="46">
        <v>0</v>
      </c>
      <c r="AU2040" s="46">
        <v>0</v>
      </c>
      <c r="AV2040" s="46">
        <v>0</v>
      </c>
      <c r="AW2040" s="46">
        <v>0</v>
      </c>
      <c r="AX2040" s="46">
        <v>0</v>
      </c>
      <c r="AY2040" s="46">
        <v>0</v>
      </c>
      <c r="AZ2040" s="46">
        <v>0</v>
      </c>
      <c r="BA2040" s="46">
        <v>0</v>
      </c>
      <c r="BB2040" s="46">
        <v>0</v>
      </c>
      <c r="BC2040" s="46">
        <v>0</v>
      </c>
      <c r="BD2040" s="46">
        <v>0</v>
      </c>
      <c r="BE2040" s="46">
        <v>0</v>
      </c>
      <c r="BF2040" s="46">
        <v>0</v>
      </c>
      <c r="BG2040" s="46" t="s">
        <v>48</v>
      </c>
      <c r="BH2040" s="46">
        <v>0</v>
      </c>
      <c r="BI2040" s="46">
        <v>0</v>
      </c>
      <c r="BJ2040" s="46">
        <v>0</v>
      </c>
      <c r="BK2040" s="46">
        <v>0</v>
      </c>
      <c r="BL2040" s="46">
        <v>0</v>
      </c>
      <c r="BM2040" s="46">
        <v>0</v>
      </c>
      <c r="BN2040" s="46">
        <v>0</v>
      </c>
    </row>
    <row r="2041" spans="1:66" x14ac:dyDescent="0.35">
      <c r="A2041" t="s">
        <v>4996</v>
      </c>
      <c r="B2041" t="s">
        <v>48</v>
      </c>
      <c r="C2041" t="s">
        <v>2471</v>
      </c>
      <c r="D2041" t="s">
        <v>5000</v>
      </c>
      <c r="E2041" t="s">
        <v>4998</v>
      </c>
      <c r="F2041" t="s">
        <v>4997</v>
      </c>
      <c r="G2041" t="s">
        <v>47</v>
      </c>
      <c r="H2041">
        <v>0</v>
      </c>
      <c r="I2041" s="60" t="s">
        <v>78</v>
      </c>
      <c r="J2041" s="33" t="s">
        <v>45</v>
      </c>
      <c r="K2041" s="46">
        <v>0</v>
      </c>
      <c r="L2041">
        <v>41.2</v>
      </c>
      <c r="M2041" t="s">
        <v>48</v>
      </c>
      <c r="N2041" s="46">
        <v>0</v>
      </c>
      <c r="O2041" s="46">
        <v>0</v>
      </c>
      <c r="P2041" s="46">
        <v>0</v>
      </c>
      <c r="Q2041" t="s">
        <v>48</v>
      </c>
      <c r="R2041" t="s">
        <v>48</v>
      </c>
      <c r="S2041" t="s">
        <v>4999</v>
      </c>
      <c r="T2041" t="s">
        <v>48</v>
      </c>
      <c r="U2041" t="s">
        <v>4999</v>
      </c>
      <c r="V2041" s="47">
        <v>0</v>
      </c>
      <c r="W2041" t="s">
        <v>48</v>
      </c>
      <c r="X2041" t="s">
        <v>48</v>
      </c>
      <c r="Y2041" t="s">
        <v>48</v>
      </c>
      <c r="Z2041">
        <v>0</v>
      </c>
      <c r="AA2041" t="s">
        <v>48</v>
      </c>
      <c r="AB2041" t="s">
        <v>48</v>
      </c>
      <c r="AC2041" t="s">
        <v>63</v>
      </c>
      <c r="AD2041" t="s">
        <v>93</v>
      </c>
      <c r="AE2041" t="s">
        <v>4532</v>
      </c>
      <c r="AF2041" t="s">
        <v>48</v>
      </c>
      <c r="AG2041" t="s">
        <v>48</v>
      </c>
      <c r="AH2041" t="s">
        <v>48</v>
      </c>
      <c r="AI2041" t="s">
        <v>48</v>
      </c>
      <c r="AJ2041" t="s">
        <v>48</v>
      </c>
      <c r="AK2041" t="s">
        <v>48</v>
      </c>
      <c r="AL2041" t="s">
        <v>48</v>
      </c>
      <c r="AM2041" t="s">
        <v>48</v>
      </c>
      <c r="AN2041" t="s">
        <v>48</v>
      </c>
      <c r="AO2041" t="s">
        <v>48</v>
      </c>
      <c r="AP2041" s="46">
        <v>0</v>
      </c>
      <c r="AQ2041" s="46">
        <v>0</v>
      </c>
      <c r="AR2041" s="46">
        <v>0</v>
      </c>
      <c r="AS2041" s="46">
        <v>0</v>
      </c>
      <c r="AT2041" s="46">
        <v>0</v>
      </c>
      <c r="AU2041" s="46">
        <v>0</v>
      </c>
      <c r="AV2041" s="46">
        <v>0</v>
      </c>
      <c r="AW2041" s="46">
        <v>0</v>
      </c>
      <c r="AX2041" s="46">
        <v>0</v>
      </c>
      <c r="AY2041" s="46">
        <v>0</v>
      </c>
      <c r="AZ2041" s="46">
        <v>0</v>
      </c>
      <c r="BA2041" s="46">
        <v>0</v>
      </c>
      <c r="BB2041" s="46">
        <v>0</v>
      </c>
      <c r="BC2041" s="46">
        <v>0</v>
      </c>
      <c r="BD2041" s="46">
        <v>0</v>
      </c>
      <c r="BE2041" s="46">
        <v>0</v>
      </c>
      <c r="BF2041" s="46">
        <v>0</v>
      </c>
      <c r="BG2041" s="46" t="s">
        <v>48</v>
      </c>
      <c r="BH2041" s="46">
        <v>0</v>
      </c>
      <c r="BI2041" s="46">
        <v>0</v>
      </c>
      <c r="BJ2041" s="46">
        <v>0</v>
      </c>
      <c r="BK2041" s="46">
        <v>0</v>
      </c>
      <c r="BL2041" s="46">
        <v>0</v>
      </c>
      <c r="BM2041" s="46">
        <v>0</v>
      </c>
      <c r="BN2041" s="46">
        <v>0</v>
      </c>
    </row>
    <row r="2042" spans="1:66" x14ac:dyDescent="0.35">
      <c r="A2042" t="s">
        <v>5001</v>
      </c>
      <c r="B2042" t="s">
        <v>48</v>
      </c>
      <c r="C2042" t="s">
        <v>5004</v>
      </c>
      <c r="D2042" t="s">
        <v>5003</v>
      </c>
      <c r="E2042" t="s">
        <v>5002</v>
      </c>
      <c r="F2042" t="s">
        <v>4997</v>
      </c>
      <c r="G2042" t="s">
        <v>47</v>
      </c>
      <c r="H2042">
        <v>0</v>
      </c>
      <c r="I2042" s="60" t="s">
        <v>78</v>
      </c>
      <c r="J2042" s="33" t="s">
        <v>45</v>
      </c>
      <c r="K2042" s="46">
        <v>0</v>
      </c>
      <c r="L2042">
        <v>10.8</v>
      </c>
      <c r="M2042" t="s">
        <v>48</v>
      </c>
      <c r="N2042" s="46">
        <v>0</v>
      </c>
      <c r="O2042" s="46">
        <v>0</v>
      </c>
      <c r="P2042" s="46">
        <v>0</v>
      </c>
      <c r="Q2042" t="s">
        <v>48</v>
      </c>
      <c r="R2042" t="s">
        <v>48</v>
      </c>
      <c r="S2042" t="s">
        <v>10350</v>
      </c>
      <c r="T2042" t="s">
        <v>48</v>
      </c>
      <c r="U2042" t="s">
        <v>10350</v>
      </c>
      <c r="V2042" s="47">
        <v>0</v>
      </c>
      <c r="W2042" t="s">
        <v>48</v>
      </c>
      <c r="X2042" t="s">
        <v>48</v>
      </c>
      <c r="Y2042" t="s">
        <v>48</v>
      </c>
      <c r="Z2042">
        <v>0</v>
      </c>
      <c r="AA2042" t="s">
        <v>48</v>
      </c>
      <c r="AB2042" t="s">
        <v>48</v>
      </c>
      <c r="AC2042" t="s">
        <v>49</v>
      </c>
      <c r="AD2042" t="s">
        <v>48</v>
      </c>
      <c r="AE2042" t="s">
        <v>48</v>
      </c>
      <c r="AF2042" t="s">
        <v>48</v>
      </c>
      <c r="AG2042" t="s">
        <v>48</v>
      </c>
      <c r="AH2042" t="s">
        <v>48</v>
      </c>
      <c r="AI2042" t="s">
        <v>48</v>
      </c>
      <c r="AJ2042" t="s">
        <v>48</v>
      </c>
      <c r="AK2042" t="s">
        <v>48</v>
      </c>
      <c r="AL2042" t="s">
        <v>48</v>
      </c>
      <c r="AM2042" t="s">
        <v>48</v>
      </c>
      <c r="AN2042" t="s">
        <v>48</v>
      </c>
      <c r="AO2042" t="s">
        <v>48</v>
      </c>
      <c r="AP2042" s="46">
        <v>0</v>
      </c>
      <c r="AQ2042" s="46">
        <v>0</v>
      </c>
      <c r="AR2042" s="46">
        <v>0</v>
      </c>
      <c r="AS2042" s="46">
        <v>0</v>
      </c>
      <c r="AT2042" s="46">
        <v>0</v>
      </c>
      <c r="AU2042" s="46">
        <v>0</v>
      </c>
      <c r="AV2042" s="46">
        <v>0</v>
      </c>
      <c r="AW2042" s="46">
        <v>0</v>
      </c>
      <c r="AX2042" s="46">
        <v>0</v>
      </c>
      <c r="AY2042" s="46">
        <v>0</v>
      </c>
      <c r="AZ2042" s="46">
        <v>0</v>
      </c>
      <c r="BA2042" s="46">
        <v>0</v>
      </c>
      <c r="BB2042" s="46">
        <v>0</v>
      </c>
      <c r="BC2042" s="46">
        <v>0</v>
      </c>
      <c r="BD2042" s="46">
        <v>0</v>
      </c>
      <c r="BE2042" s="46">
        <v>0</v>
      </c>
      <c r="BF2042" s="46">
        <v>0</v>
      </c>
      <c r="BG2042" s="46" t="s">
        <v>48</v>
      </c>
      <c r="BH2042" s="46">
        <v>0</v>
      </c>
      <c r="BI2042" s="46">
        <v>0</v>
      </c>
      <c r="BJ2042" s="46">
        <v>0</v>
      </c>
      <c r="BK2042" s="46">
        <v>0</v>
      </c>
      <c r="BL2042" s="46">
        <v>0</v>
      </c>
      <c r="BM2042" s="46">
        <v>0</v>
      </c>
      <c r="BN2042" s="46">
        <v>0</v>
      </c>
    </row>
    <row r="2043" spans="1:66" x14ac:dyDescent="0.35">
      <c r="A2043" t="s">
        <v>5045</v>
      </c>
      <c r="B2043" t="s">
        <v>48</v>
      </c>
      <c r="C2043" t="s">
        <v>5048</v>
      </c>
      <c r="D2043" t="s">
        <v>1748</v>
      </c>
      <c r="E2043" t="s">
        <v>5046</v>
      </c>
      <c r="F2043" t="s">
        <v>5043</v>
      </c>
      <c r="G2043" t="s">
        <v>47</v>
      </c>
      <c r="H2043">
        <v>0</v>
      </c>
      <c r="I2043" s="61" t="s">
        <v>11160</v>
      </c>
      <c r="J2043" s="33" t="s">
        <v>45</v>
      </c>
      <c r="K2043" s="46">
        <v>0</v>
      </c>
      <c r="L2043">
        <v>25</v>
      </c>
      <c r="M2043" t="s">
        <v>48</v>
      </c>
      <c r="N2043" s="46">
        <v>0</v>
      </c>
      <c r="O2043" s="46">
        <v>0</v>
      </c>
      <c r="P2043" s="46">
        <v>0</v>
      </c>
      <c r="Q2043" t="s">
        <v>48</v>
      </c>
      <c r="R2043" t="s">
        <v>48</v>
      </c>
      <c r="S2043" t="s">
        <v>11322</v>
      </c>
      <c r="T2043" t="s">
        <v>48</v>
      </c>
      <c r="U2043" t="s">
        <v>5047</v>
      </c>
      <c r="V2043" s="47">
        <v>0</v>
      </c>
      <c r="W2043" t="s">
        <v>48</v>
      </c>
      <c r="X2043" t="s">
        <v>48</v>
      </c>
      <c r="Y2043" t="s">
        <v>48</v>
      </c>
      <c r="Z2043">
        <v>0</v>
      </c>
      <c r="AA2043" t="s">
        <v>48</v>
      </c>
      <c r="AB2043" t="s">
        <v>48</v>
      </c>
      <c r="AC2043" t="s">
        <v>49</v>
      </c>
      <c r="AD2043" t="s">
        <v>93</v>
      </c>
      <c r="AE2043" t="s">
        <v>4532</v>
      </c>
      <c r="AF2043" t="s">
        <v>48</v>
      </c>
      <c r="AG2043" t="s">
        <v>48</v>
      </c>
      <c r="AH2043" t="s">
        <v>48</v>
      </c>
      <c r="AI2043" t="s">
        <v>48</v>
      </c>
      <c r="AJ2043" t="s">
        <v>48</v>
      </c>
      <c r="AK2043" t="s">
        <v>48</v>
      </c>
      <c r="AL2043" t="s">
        <v>48</v>
      </c>
      <c r="AM2043" t="s">
        <v>48</v>
      </c>
      <c r="AN2043" t="s">
        <v>48</v>
      </c>
      <c r="AO2043" t="s">
        <v>48</v>
      </c>
      <c r="AP2043" s="46">
        <v>0</v>
      </c>
      <c r="AQ2043" s="46">
        <v>0</v>
      </c>
      <c r="AR2043" s="46">
        <v>0</v>
      </c>
      <c r="AS2043" s="46">
        <v>0</v>
      </c>
      <c r="AT2043" s="46">
        <v>0</v>
      </c>
      <c r="AU2043" s="46">
        <v>0</v>
      </c>
      <c r="AV2043" s="46">
        <v>0</v>
      </c>
      <c r="AW2043" s="46">
        <v>0</v>
      </c>
      <c r="AX2043" s="46">
        <v>0</v>
      </c>
      <c r="AY2043" s="46">
        <v>0</v>
      </c>
      <c r="AZ2043" s="46">
        <v>0</v>
      </c>
      <c r="BA2043" s="46">
        <v>0</v>
      </c>
      <c r="BB2043" s="46">
        <v>0</v>
      </c>
      <c r="BC2043" s="46">
        <v>0</v>
      </c>
      <c r="BD2043" s="46">
        <v>0</v>
      </c>
      <c r="BE2043" s="46">
        <v>0</v>
      </c>
      <c r="BF2043" s="46">
        <v>0</v>
      </c>
      <c r="BG2043" s="46" t="s">
        <v>48</v>
      </c>
      <c r="BH2043" s="46">
        <v>0</v>
      </c>
      <c r="BI2043" s="46">
        <v>0</v>
      </c>
      <c r="BJ2043" s="46">
        <v>0</v>
      </c>
      <c r="BK2043" s="46">
        <v>0</v>
      </c>
      <c r="BL2043" s="46">
        <v>0</v>
      </c>
      <c r="BM2043" s="46">
        <v>0</v>
      </c>
      <c r="BN2043" s="46">
        <v>0</v>
      </c>
    </row>
    <row r="2044" spans="1:66" x14ac:dyDescent="0.35">
      <c r="A2044" t="s">
        <v>10720</v>
      </c>
      <c r="B2044" t="s">
        <v>48</v>
      </c>
      <c r="C2044" t="s">
        <v>11890</v>
      </c>
      <c r="D2044" t="s">
        <v>1469</v>
      </c>
      <c r="E2044" t="s">
        <v>10721</v>
      </c>
      <c r="F2044" t="s">
        <v>5043</v>
      </c>
      <c r="G2044" t="s">
        <v>47</v>
      </c>
      <c r="H2044">
        <v>0</v>
      </c>
      <c r="I2044" s="60" t="s">
        <v>11552</v>
      </c>
      <c r="J2044" s="33" t="s">
        <v>45</v>
      </c>
      <c r="K2044" s="46">
        <v>0</v>
      </c>
      <c r="L2044">
        <v>27.8</v>
      </c>
      <c r="M2044" t="s">
        <v>48</v>
      </c>
      <c r="N2044" s="46">
        <v>0</v>
      </c>
      <c r="O2044" s="46">
        <v>0</v>
      </c>
      <c r="P2044" s="46">
        <v>0</v>
      </c>
      <c r="Q2044" t="s">
        <v>48</v>
      </c>
      <c r="R2044" t="s">
        <v>48</v>
      </c>
      <c r="S2044" t="s">
        <v>11395</v>
      </c>
      <c r="T2044" t="s">
        <v>48</v>
      </c>
      <c r="U2044" t="s">
        <v>10722</v>
      </c>
      <c r="V2044" s="47">
        <v>0</v>
      </c>
      <c r="W2044" t="s">
        <v>11317</v>
      </c>
      <c r="X2044" t="s">
        <v>48</v>
      </c>
      <c r="Y2044" t="s">
        <v>48</v>
      </c>
      <c r="Z2044">
        <v>0</v>
      </c>
      <c r="AA2044" t="s">
        <v>48</v>
      </c>
      <c r="AB2044" t="s">
        <v>48</v>
      </c>
      <c r="AC2044" t="s">
        <v>63</v>
      </c>
      <c r="AD2044" t="s">
        <v>48</v>
      </c>
      <c r="AE2044" t="s">
        <v>48</v>
      </c>
      <c r="AF2044" t="s">
        <v>48</v>
      </c>
      <c r="AG2044" t="s">
        <v>48</v>
      </c>
      <c r="AH2044" t="s">
        <v>48</v>
      </c>
      <c r="AI2044" t="s">
        <v>48</v>
      </c>
      <c r="AJ2044" t="s">
        <v>48</v>
      </c>
      <c r="AK2044" t="s">
        <v>48</v>
      </c>
      <c r="AL2044" t="s">
        <v>48</v>
      </c>
      <c r="AM2044" t="s">
        <v>48</v>
      </c>
      <c r="AN2044" t="s">
        <v>48</v>
      </c>
      <c r="AO2044" t="s">
        <v>48</v>
      </c>
      <c r="AP2044" s="46">
        <v>0</v>
      </c>
      <c r="AQ2044" s="46">
        <v>0</v>
      </c>
      <c r="AR2044" s="46">
        <v>0</v>
      </c>
      <c r="AS2044" s="46">
        <v>0</v>
      </c>
      <c r="AT2044" s="46">
        <v>0</v>
      </c>
      <c r="AU2044" s="46">
        <v>0</v>
      </c>
      <c r="AV2044" s="46">
        <v>0</v>
      </c>
      <c r="AW2044" s="46">
        <v>0</v>
      </c>
      <c r="AX2044" s="46">
        <v>0</v>
      </c>
      <c r="AY2044" s="46">
        <v>0</v>
      </c>
      <c r="AZ2044" s="46">
        <v>0</v>
      </c>
      <c r="BA2044" s="46">
        <v>0</v>
      </c>
      <c r="BB2044" s="46">
        <v>0</v>
      </c>
      <c r="BC2044" s="46">
        <v>0</v>
      </c>
      <c r="BD2044" s="46">
        <v>0</v>
      </c>
      <c r="BE2044" s="46">
        <v>0</v>
      </c>
      <c r="BF2044" s="46">
        <v>0</v>
      </c>
      <c r="BG2044" s="46" t="s">
        <v>48</v>
      </c>
      <c r="BH2044" s="46">
        <v>0</v>
      </c>
      <c r="BI2044" s="46">
        <v>0</v>
      </c>
      <c r="BJ2044" s="46">
        <v>0</v>
      </c>
      <c r="BK2044" s="46">
        <v>0</v>
      </c>
      <c r="BL2044" s="46">
        <v>0</v>
      </c>
      <c r="BM2044" s="46">
        <v>0</v>
      </c>
      <c r="BN2044" s="46">
        <v>0</v>
      </c>
    </row>
    <row r="2045" spans="1:66" x14ac:dyDescent="0.35">
      <c r="A2045" t="s">
        <v>5068</v>
      </c>
      <c r="B2045" t="s">
        <v>48</v>
      </c>
      <c r="C2045" t="s">
        <v>5071</v>
      </c>
      <c r="D2045" t="s">
        <v>288</v>
      </c>
      <c r="E2045" t="s">
        <v>5069</v>
      </c>
      <c r="F2045" t="s">
        <v>5061</v>
      </c>
      <c r="G2045" t="s">
        <v>47</v>
      </c>
      <c r="H2045">
        <v>0</v>
      </c>
      <c r="I2045" s="60" t="s">
        <v>149</v>
      </c>
      <c r="J2045" s="33" t="s">
        <v>45</v>
      </c>
      <c r="K2045" s="46">
        <v>0</v>
      </c>
      <c r="L2045">
        <v>8.6999999999999993</v>
      </c>
      <c r="M2045" t="s">
        <v>48</v>
      </c>
      <c r="N2045" s="46">
        <v>0</v>
      </c>
      <c r="O2045" s="46">
        <v>0</v>
      </c>
      <c r="P2045" s="46">
        <v>0</v>
      </c>
      <c r="Q2045" t="s">
        <v>48</v>
      </c>
      <c r="R2045" t="s">
        <v>48</v>
      </c>
      <c r="S2045" t="s">
        <v>5070</v>
      </c>
      <c r="T2045" t="s">
        <v>48</v>
      </c>
      <c r="U2045" t="s">
        <v>5070</v>
      </c>
      <c r="V2045" s="47">
        <v>0</v>
      </c>
      <c r="W2045" t="s">
        <v>48</v>
      </c>
      <c r="X2045" t="s">
        <v>48</v>
      </c>
      <c r="Y2045" t="s">
        <v>48</v>
      </c>
      <c r="Z2045">
        <v>0</v>
      </c>
      <c r="AA2045" t="s">
        <v>48</v>
      </c>
      <c r="AB2045" t="s">
        <v>48</v>
      </c>
      <c r="AC2045" t="s">
        <v>49</v>
      </c>
      <c r="AD2045" t="s">
        <v>93</v>
      </c>
      <c r="AE2045" t="s">
        <v>4532</v>
      </c>
      <c r="AF2045" t="s">
        <v>48</v>
      </c>
      <c r="AG2045" t="s">
        <v>48</v>
      </c>
      <c r="AH2045" t="s">
        <v>48</v>
      </c>
      <c r="AI2045" t="s">
        <v>48</v>
      </c>
      <c r="AJ2045" t="s">
        <v>48</v>
      </c>
      <c r="AK2045" t="s">
        <v>48</v>
      </c>
      <c r="AL2045" t="s">
        <v>48</v>
      </c>
      <c r="AM2045" t="s">
        <v>48</v>
      </c>
      <c r="AN2045" t="s">
        <v>48</v>
      </c>
      <c r="AO2045" t="s">
        <v>48</v>
      </c>
      <c r="AP2045" s="46">
        <v>0</v>
      </c>
      <c r="AQ2045" s="46">
        <v>0</v>
      </c>
      <c r="AR2045" s="46">
        <v>0</v>
      </c>
      <c r="AS2045" s="46">
        <v>0</v>
      </c>
      <c r="AT2045" s="46">
        <v>0</v>
      </c>
      <c r="AU2045" s="46">
        <v>0</v>
      </c>
      <c r="AV2045" s="46">
        <v>0</v>
      </c>
      <c r="AW2045" s="46">
        <v>0</v>
      </c>
      <c r="AX2045" s="46">
        <v>0</v>
      </c>
      <c r="AY2045" s="46">
        <v>0</v>
      </c>
      <c r="AZ2045" s="46">
        <v>0</v>
      </c>
      <c r="BA2045" s="46">
        <v>0</v>
      </c>
      <c r="BB2045" s="46">
        <v>0</v>
      </c>
      <c r="BC2045" s="46">
        <v>0</v>
      </c>
      <c r="BD2045" s="46">
        <v>0</v>
      </c>
      <c r="BE2045" s="46">
        <v>0</v>
      </c>
      <c r="BF2045" s="46">
        <v>0</v>
      </c>
      <c r="BG2045" s="46" t="s">
        <v>48</v>
      </c>
      <c r="BH2045" s="46">
        <v>0</v>
      </c>
      <c r="BI2045" s="46">
        <v>0</v>
      </c>
      <c r="BJ2045" s="46">
        <v>0</v>
      </c>
      <c r="BK2045" s="46">
        <v>0</v>
      </c>
      <c r="BL2045" s="46">
        <v>0</v>
      </c>
      <c r="BM2045" s="46">
        <v>0</v>
      </c>
      <c r="BN2045" s="46">
        <v>0</v>
      </c>
    </row>
    <row r="2046" spans="1:66" x14ac:dyDescent="0.35">
      <c r="A2046" t="s">
        <v>5044</v>
      </c>
      <c r="B2046" t="s">
        <v>48</v>
      </c>
      <c r="C2046" t="s">
        <v>12174</v>
      </c>
      <c r="D2046" t="s">
        <v>210</v>
      </c>
      <c r="E2046" t="s">
        <v>10725</v>
      </c>
      <c r="F2046" t="s">
        <v>5061</v>
      </c>
      <c r="G2046" t="s">
        <v>47</v>
      </c>
      <c r="H2046">
        <v>0</v>
      </c>
      <c r="I2046" s="60" t="s">
        <v>11552</v>
      </c>
      <c r="J2046" s="33" t="s">
        <v>45</v>
      </c>
      <c r="K2046" s="46">
        <v>0</v>
      </c>
      <c r="L2046">
        <v>37.6</v>
      </c>
      <c r="M2046" t="s">
        <v>48</v>
      </c>
      <c r="N2046" s="46">
        <v>0</v>
      </c>
      <c r="O2046" s="46">
        <v>0</v>
      </c>
      <c r="P2046" s="46">
        <v>0</v>
      </c>
      <c r="Q2046" t="s">
        <v>48</v>
      </c>
      <c r="R2046" t="s">
        <v>48</v>
      </c>
      <c r="S2046" t="s">
        <v>11507</v>
      </c>
      <c r="T2046" t="s">
        <v>48</v>
      </c>
      <c r="U2046" t="s">
        <v>10726</v>
      </c>
      <c r="V2046" s="47">
        <v>0</v>
      </c>
      <c r="W2046" t="s">
        <v>48</v>
      </c>
      <c r="X2046" t="s">
        <v>48</v>
      </c>
      <c r="Y2046" t="s">
        <v>48</v>
      </c>
      <c r="Z2046">
        <v>0</v>
      </c>
      <c r="AA2046" t="s">
        <v>48</v>
      </c>
      <c r="AB2046" t="s">
        <v>48</v>
      </c>
      <c r="AC2046" t="s">
        <v>49</v>
      </c>
      <c r="AD2046" t="s">
        <v>93</v>
      </c>
      <c r="AE2046" t="s">
        <v>4532</v>
      </c>
      <c r="AF2046" t="s">
        <v>48</v>
      </c>
      <c r="AG2046" t="s">
        <v>48</v>
      </c>
      <c r="AH2046" t="s">
        <v>48</v>
      </c>
      <c r="AI2046" t="s">
        <v>48</v>
      </c>
      <c r="AJ2046" t="s">
        <v>48</v>
      </c>
      <c r="AK2046" t="s">
        <v>48</v>
      </c>
      <c r="AL2046" t="s">
        <v>48</v>
      </c>
      <c r="AM2046" t="s">
        <v>48</v>
      </c>
      <c r="AN2046" t="s">
        <v>48</v>
      </c>
      <c r="AO2046" t="s">
        <v>48</v>
      </c>
      <c r="AP2046" s="46">
        <v>0</v>
      </c>
      <c r="AQ2046" s="46">
        <v>0</v>
      </c>
      <c r="AR2046" s="46">
        <v>0</v>
      </c>
      <c r="AS2046" s="46">
        <v>0</v>
      </c>
      <c r="AT2046" s="46">
        <v>0</v>
      </c>
      <c r="AU2046" s="46">
        <v>0</v>
      </c>
      <c r="AV2046" s="46">
        <v>0</v>
      </c>
      <c r="AW2046" s="46">
        <v>0</v>
      </c>
      <c r="AX2046" s="46">
        <v>0</v>
      </c>
      <c r="AY2046" s="46">
        <v>0</v>
      </c>
      <c r="AZ2046" s="46">
        <v>0</v>
      </c>
      <c r="BA2046" s="46">
        <v>0</v>
      </c>
      <c r="BB2046" s="46">
        <v>0</v>
      </c>
      <c r="BC2046" s="46">
        <v>0</v>
      </c>
      <c r="BD2046" s="46">
        <v>0</v>
      </c>
      <c r="BE2046" s="46">
        <v>0</v>
      </c>
      <c r="BF2046" s="46">
        <v>0</v>
      </c>
      <c r="BG2046" s="46" t="s">
        <v>48</v>
      </c>
      <c r="BH2046" s="46">
        <v>0</v>
      </c>
      <c r="BI2046" s="46">
        <v>0</v>
      </c>
      <c r="BJ2046" s="46">
        <v>0</v>
      </c>
      <c r="BK2046" s="46">
        <v>0</v>
      </c>
      <c r="BL2046" s="46">
        <v>0</v>
      </c>
      <c r="BM2046" s="46">
        <v>0</v>
      </c>
      <c r="BN2046" s="46">
        <v>0</v>
      </c>
    </row>
    <row r="2047" spans="1:66" x14ac:dyDescent="0.35">
      <c r="A2047" t="s">
        <v>5077</v>
      </c>
      <c r="B2047" s="44" t="s">
        <v>48</v>
      </c>
      <c r="C2047" t="s">
        <v>5080</v>
      </c>
      <c r="D2047" t="s">
        <v>1867</v>
      </c>
      <c r="E2047" t="s">
        <v>5078</v>
      </c>
      <c r="F2047" t="s">
        <v>5073</v>
      </c>
      <c r="G2047" t="s">
        <v>74</v>
      </c>
      <c r="H2047">
        <v>0</v>
      </c>
      <c r="I2047" s="60" t="s">
        <v>78</v>
      </c>
      <c r="J2047" s="33" t="s">
        <v>45</v>
      </c>
      <c r="K2047" s="46">
        <v>0</v>
      </c>
      <c r="L2047">
        <v>26</v>
      </c>
      <c r="M2047" t="s">
        <v>48</v>
      </c>
      <c r="N2047" s="46">
        <v>0</v>
      </c>
      <c r="O2047" s="46">
        <v>0</v>
      </c>
      <c r="P2047" s="46">
        <v>0</v>
      </c>
      <c r="Q2047" t="s">
        <v>48</v>
      </c>
      <c r="R2047" t="s">
        <v>48</v>
      </c>
      <c r="S2047" t="s">
        <v>5079</v>
      </c>
      <c r="T2047" t="s">
        <v>48</v>
      </c>
      <c r="U2047" t="s">
        <v>5079</v>
      </c>
      <c r="V2047" s="47">
        <v>0</v>
      </c>
      <c r="W2047" t="s">
        <v>48</v>
      </c>
      <c r="X2047" t="s">
        <v>48</v>
      </c>
      <c r="Y2047" t="s">
        <v>48</v>
      </c>
      <c r="Z2047">
        <v>0</v>
      </c>
      <c r="AA2047" t="s">
        <v>48</v>
      </c>
      <c r="AB2047" t="s">
        <v>48</v>
      </c>
      <c r="AC2047" t="s">
        <v>49</v>
      </c>
      <c r="AD2047" t="s">
        <v>93</v>
      </c>
      <c r="AE2047" t="s">
        <v>4532</v>
      </c>
      <c r="AF2047" t="s">
        <v>48</v>
      </c>
      <c r="AG2047" t="s">
        <v>48</v>
      </c>
      <c r="AH2047" t="s">
        <v>48</v>
      </c>
      <c r="AI2047" t="s">
        <v>48</v>
      </c>
      <c r="AJ2047" t="s">
        <v>48</v>
      </c>
      <c r="AK2047" t="s">
        <v>48</v>
      </c>
      <c r="AL2047" t="s">
        <v>48</v>
      </c>
      <c r="AM2047" t="s">
        <v>48</v>
      </c>
      <c r="AN2047" t="s">
        <v>48</v>
      </c>
      <c r="AO2047" t="s">
        <v>48</v>
      </c>
      <c r="AP2047" s="46">
        <v>0</v>
      </c>
      <c r="AQ2047" s="46">
        <v>0</v>
      </c>
      <c r="AR2047" s="46">
        <v>0</v>
      </c>
      <c r="AS2047" s="46">
        <v>0</v>
      </c>
      <c r="AT2047" s="46">
        <v>0</v>
      </c>
      <c r="AU2047" s="46">
        <v>0</v>
      </c>
      <c r="AV2047" s="46">
        <v>0</v>
      </c>
      <c r="AW2047" s="46">
        <v>0</v>
      </c>
      <c r="AX2047" s="46">
        <v>0</v>
      </c>
      <c r="AY2047" s="46">
        <v>0</v>
      </c>
      <c r="AZ2047" s="46">
        <v>0</v>
      </c>
      <c r="BA2047" s="46">
        <v>0</v>
      </c>
      <c r="BB2047" s="46">
        <v>0</v>
      </c>
      <c r="BC2047" s="46">
        <v>0</v>
      </c>
      <c r="BD2047" s="46">
        <v>0</v>
      </c>
      <c r="BE2047" s="46">
        <v>0</v>
      </c>
      <c r="BF2047" s="46">
        <v>0</v>
      </c>
      <c r="BG2047" s="46" t="s">
        <v>48</v>
      </c>
      <c r="BH2047" s="46">
        <v>0</v>
      </c>
      <c r="BI2047" s="46">
        <v>0</v>
      </c>
      <c r="BJ2047" s="46">
        <v>0</v>
      </c>
      <c r="BK2047" s="46">
        <v>0</v>
      </c>
      <c r="BL2047" s="46">
        <v>0</v>
      </c>
      <c r="BM2047" s="46">
        <v>0</v>
      </c>
      <c r="BN2047" s="46">
        <v>0</v>
      </c>
    </row>
    <row r="2048" spans="1:66" x14ac:dyDescent="0.35">
      <c r="A2048" t="s">
        <v>5081</v>
      </c>
      <c r="B2048" s="44" t="s">
        <v>48</v>
      </c>
      <c r="C2048" t="s">
        <v>5084</v>
      </c>
      <c r="D2048" t="s">
        <v>412</v>
      </c>
      <c r="E2048" t="s">
        <v>5082</v>
      </c>
      <c r="F2048" t="s">
        <v>5073</v>
      </c>
      <c r="G2048" t="s">
        <v>74</v>
      </c>
      <c r="H2048">
        <v>0</v>
      </c>
      <c r="I2048" s="60" t="s">
        <v>149</v>
      </c>
      <c r="J2048" s="33" t="s">
        <v>45</v>
      </c>
      <c r="K2048" s="46">
        <v>0</v>
      </c>
      <c r="L2048">
        <v>20</v>
      </c>
      <c r="M2048" t="s">
        <v>48</v>
      </c>
      <c r="N2048" s="46">
        <v>0</v>
      </c>
      <c r="O2048" s="46">
        <v>0</v>
      </c>
      <c r="P2048" s="46">
        <v>0</v>
      </c>
      <c r="Q2048" t="s">
        <v>48</v>
      </c>
      <c r="R2048" t="s">
        <v>48</v>
      </c>
      <c r="S2048" t="s">
        <v>5083</v>
      </c>
      <c r="T2048" t="s">
        <v>48</v>
      </c>
      <c r="U2048" t="s">
        <v>5083</v>
      </c>
      <c r="V2048" s="47">
        <v>0</v>
      </c>
      <c r="W2048" t="s">
        <v>48</v>
      </c>
      <c r="X2048" t="s">
        <v>48</v>
      </c>
      <c r="Y2048" t="s">
        <v>48</v>
      </c>
      <c r="Z2048">
        <v>0</v>
      </c>
      <c r="AA2048" t="s">
        <v>48</v>
      </c>
      <c r="AB2048" t="s">
        <v>48</v>
      </c>
      <c r="AC2048" t="s">
        <v>49</v>
      </c>
      <c r="AD2048" t="s">
        <v>93</v>
      </c>
      <c r="AE2048" t="s">
        <v>4532</v>
      </c>
      <c r="AF2048" t="s">
        <v>48</v>
      </c>
      <c r="AG2048" t="s">
        <v>48</v>
      </c>
      <c r="AH2048" t="s">
        <v>48</v>
      </c>
      <c r="AI2048" t="s">
        <v>48</v>
      </c>
      <c r="AJ2048" t="s">
        <v>48</v>
      </c>
      <c r="AK2048" t="s">
        <v>48</v>
      </c>
      <c r="AL2048" t="s">
        <v>48</v>
      </c>
      <c r="AM2048" t="s">
        <v>48</v>
      </c>
      <c r="AN2048" t="s">
        <v>48</v>
      </c>
      <c r="AO2048" t="s">
        <v>48</v>
      </c>
      <c r="AP2048" s="46">
        <v>0</v>
      </c>
      <c r="AQ2048" s="46">
        <v>0</v>
      </c>
      <c r="AR2048" s="46">
        <v>0</v>
      </c>
      <c r="AS2048" s="46">
        <v>0</v>
      </c>
      <c r="AT2048" s="46">
        <v>0</v>
      </c>
      <c r="AU2048" s="46">
        <v>0</v>
      </c>
      <c r="AV2048" s="46">
        <v>0</v>
      </c>
      <c r="AW2048" s="46">
        <v>0</v>
      </c>
      <c r="AX2048" s="46">
        <v>0</v>
      </c>
      <c r="AY2048" s="46">
        <v>0</v>
      </c>
      <c r="AZ2048" s="46">
        <v>0</v>
      </c>
      <c r="BA2048" s="46">
        <v>0</v>
      </c>
      <c r="BB2048" s="46">
        <v>0</v>
      </c>
      <c r="BC2048" s="46">
        <v>0</v>
      </c>
      <c r="BD2048" s="46">
        <v>0</v>
      </c>
      <c r="BE2048" s="46">
        <v>0</v>
      </c>
      <c r="BF2048" s="46">
        <v>0</v>
      </c>
      <c r="BG2048" s="46" t="s">
        <v>48</v>
      </c>
      <c r="BH2048" s="46">
        <v>0</v>
      </c>
      <c r="BI2048" s="46">
        <v>0</v>
      </c>
      <c r="BJ2048" s="46">
        <v>0</v>
      </c>
      <c r="BK2048" s="46">
        <v>0</v>
      </c>
      <c r="BL2048" s="46">
        <v>0</v>
      </c>
      <c r="BM2048" s="46">
        <v>0</v>
      </c>
      <c r="BN2048" s="46">
        <v>0</v>
      </c>
    </row>
    <row r="2049" spans="1:66" x14ac:dyDescent="0.35">
      <c r="A2049" t="s">
        <v>5074</v>
      </c>
      <c r="B2049" s="44" t="s">
        <v>48</v>
      </c>
      <c r="C2049" t="s">
        <v>12410</v>
      </c>
      <c r="D2049" t="s">
        <v>4900</v>
      </c>
      <c r="E2049" t="s">
        <v>5075</v>
      </c>
      <c r="F2049" t="s">
        <v>5073</v>
      </c>
      <c r="G2049" t="s">
        <v>74</v>
      </c>
      <c r="H2049">
        <v>0</v>
      </c>
      <c r="I2049" s="60" t="s">
        <v>51</v>
      </c>
      <c r="J2049" s="33" t="s">
        <v>45</v>
      </c>
      <c r="K2049" s="46">
        <v>0</v>
      </c>
      <c r="L2049">
        <v>15.8</v>
      </c>
      <c r="M2049" t="s">
        <v>48</v>
      </c>
      <c r="N2049" s="46">
        <v>0</v>
      </c>
      <c r="O2049" s="46">
        <v>0</v>
      </c>
      <c r="P2049" s="46">
        <v>0</v>
      </c>
      <c r="Q2049" t="s">
        <v>48</v>
      </c>
      <c r="R2049" t="s">
        <v>48</v>
      </c>
      <c r="S2049" t="s">
        <v>5076</v>
      </c>
      <c r="T2049" t="s">
        <v>48</v>
      </c>
      <c r="U2049" t="s">
        <v>5076</v>
      </c>
      <c r="V2049" s="47">
        <v>0</v>
      </c>
      <c r="W2049" t="s">
        <v>48</v>
      </c>
      <c r="X2049" t="s">
        <v>48</v>
      </c>
      <c r="Y2049" t="s">
        <v>48</v>
      </c>
      <c r="Z2049">
        <v>0</v>
      </c>
      <c r="AA2049" t="s">
        <v>48</v>
      </c>
      <c r="AB2049" t="s">
        <v>48</v>
      </c>
      <c r="AC2049" t="s">
        <v>63</v>
      </c>
      <c r="AD2049" t="s">
        <v>93</v>
      </c>
      <c r="AE2049" t="s">
        <v>4532</v>
      </c>
      <c r="AF2049" t="s">
        <v>48</v>
      </c>
      <c r="AG2049" t="s">
        <v>48</v>
      </c>
      <c r="AH2049" t="s">
        <v>48</v>
      </c>
      <c r="AI2049" t="s">
        <v>48</v>
      </c>
      <c r="AJ2049" t="s">
        <v>48</v>
      </c>
      <c r="AK2049" t="s">
        <v>48</v>
      </c>
      <c r="AL2049" t="s">
        <v>48</v>
      </c>
      <c r="AM2049" t="s">
        <v>48</v>
      </c>
      <c r="AN2049" t="s">
        <v>48</v>
      </c>
      <c r="AO2049" t="s">
        <v>48</v>
      </c>
      <c r="AP2049" s="46">
        <v>0</v>
      </c>
      <c r="AQ2049" s="46">
        <v>0</v>
      </c>
      <c r="AR2049" s="46">
        <v>1</v>
      </c>
      <c r="AS2049" s="46">
        <v>1</v>
      </c>
      <c r="AT2049" s="46">
        <v>0</v>
      </c>
      <c r="AU2049" s="46">
        <v>0</v>
      </c>
      <c r="AV2049" s="46">
        <v>0</v>
      </c>
      <c r="AW2049" s="46">
        <v>0</v>
      </c>
      <c r="AX2049" s="46">
        <v>0</v>
      </c>
      <c r="AY2049" s="46">
        <v>0</v>
      </c>
      <c r="AZ2049" s="46">
        <v>0</v>
      </c>
      <c r="BA2049" s="46">
        <v>0</v>
      </c>
      <c r="BB2049" s="46">
        <v>0</v>
      </c>
      <c r="BC2049" s="46">
        <v>0</v>
      </c>
      <c r="BD2049" s="46">
        <v>0</v>
      </c>
      <c r="BE2049" s="46">
        <v>0</v>
      </c>
      <c r="BF2049" s="46">
        <v>0</v>
      </c>
      <c r="BG2049" s="46" t="s">
        <v>48</v>
      </c>
      <c r="BH2049" s="46">
        <v>0</v>
      </c>
      <c r="BI2049" s="46">
        <v>0</v>
      </c>
      <c r="BJ2049" s="46">
        <v>0</v>
      </c>
      <c r="BK2049" s="46">
        <v>1</v>
      </c>
      <c r="BL2049" s="46">
        <v>0</v>
      </c>
      <c r="BM2049" s="46">
        <v>0</v>
      </c>
      <c r="BN2049" s="46">
        <v>0</v>
      </c>
    </row>
    <row r="2050" spans="1:66" x14ac:dyDescent="0.35">
      <c r="A2050" t="s">
        <v>5085</v>
      </c>
      <c r="B2050" s="44" t="s">
        <v>48</v>
      </c>
      <c r="C2050" t="s">
        <v>5089</v>
      </c>
      <c r="D2050" t="s">
        <v>5088</v>
      </c>
      <c r="E2050" t="s">
        <v>5086</v>
      </c>
      <c r="F2050" t="s">
        <v>5073</v>
      </c>
      <c r="G2050" t="s">
        <v>74</v>
      </c>
      <c r="H2050">
        <v>0</v>
      </c>
      <c r="I2050" s="60" t="s">
        <v>149</v>
      </c>
      <c r="J2050" s="33" t="s">
        <v>45</v>
      </c>
      <c r="K2050" s="46">
        <v>0</v>
      </c>
      <c r="L2050">
        <v>2.5</v>
      </c>
      <c r="M2050" t="s">
        <v>48</v>
      </c>
      <c r="N2050" s="46">
        <v>0</v>
      </c>
      <c r="O2050" s="46">
        <v>0</v>
      </c>
      <c r="P2050" s="46">
        <v>0</v>
      </c>
      <c r="Q2050" t="s">
        <v>48</v>
      </c>
      <c r="R2050" t="s">
        <v>48</v>
      </c>
      <c r="S2050" t="s">
        <v>5087</v>
      </c>
      <c r="T2050" t="s">
        <v>48</v>
      </c>
      <c r="U2050" t="s">
        <v>5087</v>
      </c>
      <c r="V2050" s="47">
        <v>0</v>
      </c>
      <c r="W2050" t="s">
        <v>48</v>
      </c>
      <c r="X2050" t="s">
        <v>48</v>
      </c>
      <c r="Y2050" t="s">
        <v>48</v>
      </c>
      <c r="Z2050">
        <v>0</v>
      </c>
      <c r="AA2050" t="s">
        <v>48</v>
      </c>
      <c r="AB2050" t="s">
        <v>48</v>
      </c>
      <c r="AC2050" t="s">
        <v>63</v>
      </c>
      <c r="AD2050" t="s">
        <v>48</v>
      </c>
      <c r="AE2050" t="s">
        <v>48</v>
      </c>
      <c r="AF2050" t="s">
        <v>48</v>
      </c>
      <c r="AG2050" t="s">
        <v>48</v>
      </c>
      <c r="AH2050" t="s">
        <v>48</v>
      </c>
      <c r="AI2050" t="s">
        <v>48</v>
      </c>
      <c r="AJ2050" t="s">
        <v>48</v>
      </c>
      <c r="AK2050" t="s">
        <v>48</v>
      </c>
      <c r="AL2050" t="s">
        <v>48</v>
      </c>
      <c r="AM2050" t="s">
        <v>48</v>
      </c>
      <c r="AN2050" t="s">
        <v>48</v>
      </c>
      <c r="AO2050" t="s">
        <v>48</v>
      </c>
      <c r="AP2050" s="46">
        <v>0</v>
      </c>
      <c r="AQ2050" s="46">
        <v>0</v>
      </c>
      <c r="AR2050" s="46">
        <v>0</v>
      </c>
      <c r="AS2050" s="46">
        <v>0</v>
      </c>
      <c r="AT2050" s="46">
        <v>0</v>
      </c>
      <c r="AU2050" s="46">
        <v>0</v>
      </c>
      <c r="AV2050" s="46">
        <v>0</v>
      </c>
      <c r="AW2050" s="46">
        <v>0</v>
      </c>
      <c r="AX2050" s="46">
        <v>0</v>
      </c>
      <c r="AY2050" s="46">
        <v>0</v>
      </c>
      <c r="AZ2050" s="46">
        <v>0</v>
      </c>
      <c r="BA2050" s="46">
        <v>0</v>
      </c>
      <c r="BB2050" s="46">
        <v>0</v>
      </c>
      <c r="BC2050" s="46">
        <v>0</v>
      </c>
      <c r="BD2050" s="46">
        <v>0</v>
      </c>
      <c r="BE2050" s="46">
        <v>0</v>
      </c>
      <c r="BF2050" s="46">
        <v>0</v>
      </c>
      <c r="BG2050" s="46" t="s">
        <v>48</v>
      </c>
      <c r="BH2050" s="46">
        <v>0</v>
      </c>
      <c r="BI2050" s="46">
        <v>0</v>
      </c>
      <c r="BJ2050" s="46">
        <v>0</v>
      </c>
      <c r="BK2050" s="46">
        <v>0</v>
      </c>
      <c r="BL2050" s="46">
        <v>0</v>
      </c>
      <c r="BM2050" s="46">
        <v>0</v>
      </c>
      <c r="BN2050" s="46">
        <v>0</v>
      </c>
    </row>
    <row r="2051" spans="1:66" x14ac:dyDescent="0.35">
      <c r="A2051" t="s">
        <v>10730</v>
      </c>
      <c r="B2051" s="44" t="s">
        <v>48</v>
      </c>
      <c r="C2051" t="s">
        <v>12180</v>
      </c>
      <c r="D2051" t="s">
        <v>7447</v>
      </c>
      <c r="E2051" t="s">
        <v>10731</v>
      </c>
      <c r="F2051" t="s">
        <v>5101</v>
      </c>
      <c r="G2051" t="s">
        <v>74</v>
      </c>
      <c r="H2051">
        <v>0</v>
      </c>
      <c r="I2051" s="60" t="s">
        <v>11552</v>
      </c>
      <c r="J2051" s="33" t="s">
        <v>45</v>
      </c>
      <c r="K2051" s="46">
        <v>0</v>
      </c>
      <c r="L2051">
        <v>24.4</v>
      </c>
      <c r="M2051" t="s">
        <v>48</v>
      </c>
      <c r="N2051" s="46">
        <v>0</v>
      </c>
      <c r="O2051" s="46">
        <v>0</v>
      </c>
      <c r="P2051" s="46">
        <v>0</v>
      </c>
      <c r="Q2051" t="s">
        <v>48</v>
      </c>
      <c r="R2051" t="s">
        <v>48</v>
      </c>
      <c r="S2051" t="s">
        <v>11508</v>
      </c>
      <c r="T2051" t="s">
        <v>48</v>
      </c>
      <c r="U2051" t="s">
        <v>10732</v>
      </c>
      <c r="V2051" s="47">
        <v>0</v>
      </c>
      <c r="W2051" t="s">
        <v>48</v>
      </c>
      <c r="X2051" t="s">
        <v>48</v>
      </c>
      <c r="Y2051" t="s">
        <v>48</v>
      </c>
      <c r="Z2051">
        <v>0</v>
      </c>
      <c r="AA2051" t="s">
        <v>48</v>
      </c>
      <c r="AB2051" t="s">
        <v>48</v>
      </c>
      <c r="AC2051" t="s">
        <v>49</v>
      </c>
      <c r="AD2051" t="s">
        <v>93</v>
      </c>
      <c r="AE2051" t="s">
        <v>2471</v>
      </c>
      <c r="AF2051" t="s">
        <v>48</v>
      </c>
      <c r="AG2051" t="s">
        <v>48</v>
      </c>
      <c r="AH2051" t="s">
        <v>48</v>
      </c>
      <c r="AI2051" t="s">
        <v>48</v>
      </c>
      <c r="AJ2051" t="s">
        <v>48</v>
      </c>
      <c r="AK2051" t="s">
        <v>48</v>
      </c>
      <c r="AL2051" t="s">
        <v>48</v>
      </c>
      <c r="AM2051" t="s">
        <v>48</v>
      </c>
      <c r="AN2051" t="s">
        <v>48</v>
      </c>
      <c r="AO2051" t="s">
        <v>48</v>
      </c>
      <c r="AP2051" s="46">
        <v>0</v>
      </c>
      <c r="AQ2051" s="46">
        <v>0</v>
      </c>
      <c r="AR2051" s="46">
        <v>0</v>
      </c>
      <c r="AS2051" s="46">
        <v>0</v>
      </c>
      <c r="AT2051" s="46">
        <v>0</v>
      </c>
      <c r="AU2051" s="46">
        <v>0</v>
      </c>
      <c r="AV2051" s="46">
        <v>0</v>
      </c>
      <c r="AW2051" s="46">
        <v>0</v>
      </c>
      <c r="AX2051" s="46">
        <v>0</v>
      </c>
      <c r="AY2051" s="46">
        <v>0</v>
      </c>
      <c r="AZ2051" s="46">
        <v>0</v>
      </c>
      <c r="BA2051" s="46">
        <v>0</v>
      </c>
      <c r="BB2051" s="46">
        <v>0</v>
      </c>
      <c r="BC2051" s="46">
        <v>0</v>
      </c>
      <c r="BD2051" s="46">
        <v>0</v>
      </c>
      <c r="BE2051" s="46">
        <v>0</v>
      </c>
      <c r="BF2051" s="46">
        <v>0</v>
      </c>
      <c r="BG2051" s="46" t="s">
        <v>48</v>
      </c>
      <c r="BH2051" s="46">
        <v>0</v>
      </c>
      <c r="BI2051" s="46">
        <v>0</v>
      </c>
      <c r="BJ2051" s="46">
        <v>0</v>
      </c>
      <c r="BK2051" s="46">
        <v>0</v>
      </c>
      <c r="BL2051" s="46">
        <v>0</v>
      </c>
      <c r="BM2051" s="46">
        <v>0</v>
      </c>
      <c r="BN2051" s="46">
        <v>0</v>
      </c>
    </row>
    <row r="2052" spans="1:66" x14ac:dyDescent="0.35">
      <c r="A2052" t="s">
        <v>5102</v>
      </c>
      <c r="B2052" t="s">
        <v>48</v>
      </c>
      <c r="C2052" t="s">
        <v>5106</v>
      </c>
      <c r="D2052" t="s">
        <v>679</v>
      </c>
      <c r="E2052" t="s">
        <v>5103</v>
      </c>
      <c r="F2052" t="s">
        <v>5101</v>
      </c>
      <c r="G2052" t="s">
        <v>74</v>
      </c>
      <c r="H2052">
        <v>0</v>
      </c>
      <c r="I2052" s="60" t="s">
        <v>51</v>
      </c>
      <c r="J2052" s="33" t="s">
        <v>45</v>
      </c>
      <c r="K2052" s="46">
        <v>1</v>
      </c>
      <c r="L2052" t="s">
        <v>48</v>
      </c>
      <c r="M2052" t="s">
        <v>48</v>
      </c>
      <c r="N2052" s="46">
        <v>0</v>
      </c>
      <c r="O2052" s="46">
        <v>0</v>
      </c>
      <c r="P2052" s="46">
        <v>0</v>
      </c>
      <c r="Q2052" t="s">
        <v>48</v>
      </c>
      <c r="R2052" t="s">
        <v>48</v>
      </c>
      <c r="S2052" t="s">
        <v>5104</v>
      </c>
      <c r="T2052" t="s">
        <v>5105</v>
      </c>
      <c r="U2052" t="s">
        <v>5104</v>
      </c>
      <c r="V2052" s="47">
        <v>0</v>
      </c>
      <c r="W2052" t="s">
        <v>48</v>
      </c>
      <c r="X2052" t="s">
        <v>48</v>
      </c>
      <c r="Y2052" t="s">
        <v>48</v>
      </c>
      <c r="Z2052">
        <v>0</v>
      </c>
      <c r="AA2052" t="s">
        <v>48</v>
      </c>
      <c r="AB2052">
        <v>2014</v>
      </c>
      <c r="AC2052" t="s">
        <v>63</v>
      </c>
      <c r="AD2052" t="s">
        <v>93</v>
      </c>
      <c r="AE2052" t="s">
        <v>4532</v>
      </c>
      <c r="AF2052" t="s">
        <v>48</v>
      </c>
      <c r="AG2052" t="s">
        <v>140</v>
      </c>
      <c r="AH2052" t="s">
        <v>93</v>
      </c>
      <c r="AI2052">
        <v>21540</v>
      </c>
      <c r="AJ2052">
        <v>1965</v>
      </c>
      <c r="AK2052" t="s">
        <v>9134</v>
      </c>
      <c r="AL2052" t="s">
        <v>9135</v>
      </c>
      <c r="AM2052">
        <v>-0.27800000000000002</v>
      </c>
      <c r="AN2052">
        <v>2.3E-2</v>
      </c>
      <c r="AO2052">
        <v>-0.27800000000000002</v>
      </c>
      <c r="AP2052" s="46">
        <v>0</v>
      </c>
      <c r="AQ2052" s="46">
        <v>0</v>
      </c>
      <c r="AR2052" s="46">
        <v>0</v>
      </c>
      <c r="AS2052" s="46">
        <v>0</v>
      </c>
      <c r="AT2052" s="46">
        <v>0</v>
      </c>
      <c r="AU2052" s="46">
        <v>1</v>
      </c>
      <c r="AV2052" s="46">
        <v>0</v>
      </c>
      <c r="AW2052" s="46">
        <v>0</v>
      </c>
      <c r="AX2052" s="46">
        <v>0</v>
      </c>
      <c r="AY2052" s="46">
        <v>0</v>
      </c>
      <c r="AZ2052" s="46">
        <v>0</v>
      </c>
      <c r="BA2052" s="46">
        <v>0</v>
      </c>
      <c r="BB2052" s="46">
        <v>0</v>
      </c>
      <c r="BC2052" s="46">
        <v>0</v>
      </c>
      <c r="BD2052" s="46">
        <v>0</v>
      </c>
      <c r="BE2052" s="46">
        <v>0</v>
      </c>
      <c r="BF2052" s="46">
        <v>0</v>
      </c>
      <c r="BG2052" s="46" t="s">
        <v>48</v>
      </c>
      <c r="BH2052" s="46">
        <v>0</v>
      </c>
      <c r="BI2052" s="46">
        <v>0</v>
      </c>
      <c r="BJ2052" s="46">
        <v>0</v>
      </c>
      <c r="BK2052" s="46">
        <v>0</v>
      </c>
      <c r="BL2052" s="46">
        <v>0</v>
      </c>
      <c r="BM2052" s="46">
        <v>0</v>
      </c>
      <c r="BN2052" s="46">
        <v>0</v>
      </c>
    </row>
    <row r="2053" spans="1:66" x14ac:dyDescent="0.35">
      <c r="A2053" t="s">
        <v>10733</v>
      </c>
      <c r="B2053" s="44" t="s">
        <v>48</v>
      </c>
      <c r="C2053" t="s">
        <v>12176</v>
      </c>
      <c r="D2053" t="s">
        <v>2110</v>
      </c>
      <c r="E2053" t="s">
        <v>10734</v>
      </c>
      <c r="F2053" t="s">
        <v>5101</v>
      </c>
      <c r="G2053" t="s">
        <v>74</v>
      </c>
      <c r="H2053">
        <v>0</v>
      </c>
      <c r="I2053" s="60" t="s">
        <v>11552</v>
      </c>
      <c r="J2053" s="33" t="s">
        <v>45</v>
      </c>
      <c r="K2053" s="46">
        <v>0</v>
      </c>
      <c r="L2053">
        <v>11</v>
      </c>
      <c r="M2053" t="s">
        <v>48</v>
      </c>
      <c r="N2053" s="46">
        <v>0</v>
      </c>
      <c r="O2053" s="46">
        <v>0</v>
      </c>
      <c r="P2053" s="46">
        <v>0</v>
      </c>
      <c r="Q2053" t="s">
        <v>48</v>
      </c>
      <c r="R2053" t="s">
        <v>48</v>
      </c>
      <c r="S2053" t="s">
        <v>11509</v>
      </c>
      <c r="T2053" t="s">
        <v>48</v>
      </c>
      <c r="U2053" t="s">
        <v>10735</v>
      </c>
      <c r="V2053" s="47">
        <v>0</v>
      </c>
      <c r="W2053" t="s">
        <v>48</v>
      </c>
      <c r="X2053" t="s">
        <v>48</v>
      </c>
      <c r="Y2053" t="s">
        <v>48</v>
      </c>
      <c r="Z2053">
        <v>0</v>
      </c>
      <c r="AA2053" t="s">
        <v>48</v>
      </c>
      <c r="AB2053" t="s">
        <v>48</v>
      </c>
      <c r="AC2053" t="s">
        <v>49</v>
      </c>
      <c r="AD2053" t="s">
        <v>93</v>
      </c>
      <c r="AE2053" t="s">
        <v>4532</v>
      </c>
      <c r="AF2053" t="s">
        <v>48</v>
      </c>
      <c r="AG2053" t="s">
        <v>48</v>
      </c>
      <c r="AH2053" t="s">
        <v>48</v>
      </c>
      <c r="AI2053" t="s">
        <v>48</v>
      </c>
      <c r="AJ2053" t="s">
        <v>48</v>
      </c>
      <c r="AK2053" t="s">
        <v>48</v>
      </c>
      <c r="AL2053" t="s">
        <v>48</v>
      </c>
      <c r="AM2053" t="s">
        <v>48</v>
      </c>
      <c r="AN2053" t="s">
        <v>48</v>
      </c>
      <c r="AO2053" t="s">
        <v>48</v>
      </c>
      <c r="AP2053" s="46">
        <v>0</v>
      </c>
      <c r="AQ2053" s="46">
        <v>0</v>
      </c>
      <c r="AR2053" s="46">
        <v>0</v>
      </c>
      <c r="AS2053" s="46">
        <v>0</v>
      </c>
      <c r="AT2053" s="46">
        <v>0</v>
      </c>
      <c r="AU2053" s="46">
        <v>0</v>
      </c>
      <c r="AV2053" s="46">
        <v>0</v>
      </c>
      <c r="AW2053" s="46">
        <v>0</v>
      </c>
      <c r="AX2053" s="46">
        <v>0</v>
      </c>
      <c r="AY2053" s="46">
        <v>0</v>
      </c>
      <c r="AZ2053" s="46">
        <v>0</v>
      </c>
      <c r="BA2053" s="46">
        <v>0</v>
      </c>
      <c r="BB2053" s="46">
        <v>0</v>
      </c>
      <c r="BC2053" s="46">
        <v>0</v>
      </c>
      <c r="BD2053" s="46">
        <v>0</v>
      </c>
      <c r="BE2053" s="46">
        <v>0</v>
      </c>
      <c r="BF2053" s="46">
        <v>0</v>
      </c>
      <c r="BG2053" s="46" t="s">
        <v>48</v>
      </c>
      <c r="BH2053" s="46">
        <v>0</v>
      </c>
      <c r="BI2053" s="46">
        <v>0</v>
      </c>
      <c r="BJ2053" s="46">
        <v>0</v>
      </c>
      <c r="BK2053" s="46">
        <v>0</v>
      </c>
      <c r="BL2053" s="46">
        <v>0</v>
      </c>
      <c r="BM2053" s="46">
        <v>0</v>
      </c>
      <c r="BN2053" s="46">
        <v>0</v>
      </c>
    </row>
    <row r="2054" spans="1:66" x14ac:dyDescent="0.35">
      <c r="A2054" t="s">
        <v>5067</v>
      </c>
      <c r="B2054" s="44" t="s">
        <v>48</v>
      </c>
      <c r="C2054" t="s">
        <v>12178</v>
      </c>
      <c r="D2054" t="s">
        <v>12179</v>
      </c>
      <c r="E2054" t="s">
        <v>10736</v>
      </c>
      <c r="F2054" t="s">
        <v>5101</v>
      </c>
      <c r="G2054" t="s">
        <v>74</v>
      </c>
      <c r="H2054">
        <v>0</v>
      </c>
      <c r="I2054" s="60" t="s">
        <v>11552</v>
      </c>
      <c r="J2054" s="33" t="s">
        <v>45</v>
      </c>
      <c r="K2054" s="46">
        <v>0</v>
      </c>
      <c r="L2054">
        <v>1.5</v>
      </c>
      <c r="M2054" t="s">
        <v>48</v>
      </c>
      <c r="N2054" s="46">
        <v>0</v>
      </c>
      <c r="O2054" s="46">
        <v>0</v>
      </c>
      <c r="P2054" s="46">
        <v>0</v>
      </c>
      <c r="Q2054" t="s">
        <v>48</v>
      </c>
      <c r="R2054" t="s">
        <v>48</v>
      </c>
      <c r="S2054" t="s">
        <v>11511</v>
      </c>
      <c r="T2054" t="s">
        <v>48</v>
      </c>
      <c r="U2054" t="s">
        <v>10737</v>
      </c>
      <c r="V2054" s="47">
        <v>0</v>
      </c>
      <c r="W2054" t="s">
        <v>48</v>
      </c>
      <c r="X2054" t="s">
        <v>48</v>
      </c>
      <c r="Y2054" t="s">
        <v>48</v>
      </c>
      <c r="Z2054">
        <v>0</v>
      </c>
      <c r="AA2054" t="s">
        <v>48</v>
      </c>
      <c r="AB2054" t="s">
        <v>48</v>
      </c>
      <c r="AC2054" t="s">
        <v>49</v>
      </c>
      <c r="AD2054" t="s">
        <v>93</v>
      </c>
      <c r="AE2054" t="s">
        <v>977</v>
      </c>
      <c r="AF2054" t="s">
        <v>48</v>
      </c>
      <c r="AG2054" t="s">
        <v>48</v>
      </c>
      <c r="AH2054" t="s">
        <v>48</v>
      </c>
      <c r="AI2054" t="s">
        <v>48</v>
      </c>
      <c r="AJ2054" t="s">
        <v>48</v>
      </c>
      <c r="AK2054" t="s">
        <v>48</v>
      </c>
      <c r="AL2054" t="s">
        <v>48</v>
      </c>
      <c r="AM2054" t="s">
        <v>48</v>
      </c>
      <c r="AN2054" t="s">
        <v>48</v>
      </c>
      <c r="AO2054" t="s">
        <v>48</v>
      </c>
      <c r="AP2054" s="46">
        <v>0</v>
      </c>
      <c r="AQ2054" s="46">
        <v>0</v>
      </c>
      <c r="AR2054" s="46">
        <v>0</v>
      </c>
      <c r="AS2054" s="46">
        <v>0</v>
      </c>
      <c r="AT2054" s="46">
        <v>0</v>
      </c>
      <c r="AU2054" s="46">
        <v>0</v>
      </c>
      <c r="AV2054" s="46">
        <v>0</v>
      </c>
      <c r="AW2054" s="46">
        <v>0</v>
      </c>
      <c r="AX2054" s="46">
        <v>0</v>
      </c>
      <c r="AY2054" s="46">
        <v>0</v>
      </c>
      <c r="AZ2054" s="46">
        <v>0</v>
      </c>
      <c r="BA2054" s="46">
        <v>0</v>
      </c>
      <c r="BB2054" s="46">
        <v>0</v>
      </c>
      <c r="BC2054" s="46">
        <v>0</v>
      </c>
      <c r="BD2054" s="46">
        <v>0</v>
      </c>
      <c r="BE2054" s="46">
        <v>0</v>
      </c>
      <c r="BF2054" s="46">
        <v>0</v>
      </c>
      <c r="BG2054" s="46" t="s">
        <v>48</v>
      </c>
      <c r="BH2054" s="46">
        <v>0</v>
      </c>
      <c r="BI2054" s="46">
        <v>0</v>
      </c>
      <c r="BJ2054" s="46">
        <v>0</v>
      </c>
      <c r="BK2054" s="46">
        <v>0</v>
      </c>
      <c r="BL2054" s="46">
        <v>0</v>
      </c>
      <c r="BM2054" s="46">
        <v>0</v>
      </c>
      <c r="BN2054" s="46">
        <v>0</v>
      </c>
    </row>
    <row r="2055" spans="1:66" x14ac:dyDescent="0.35">
      <c r="A2055" t="s">
        <v>10744</v>
      </c>
      <c r="B2055" s="44" t="s">
        <v>48</v>
      </c>
      <c r="C2055" t="s">
        <v>12183</v>
      </c>
      <c r="D2055" t="s">
        <v>12184</v>
      </c>
      <c r="E2055" t="s">
        <v>10745</v>
      </c>
      <c r="F2055" t="s">
        <v>5122</v>
      </c>
      <c r="G2055" t="s">
        <v>74</v>
      </c>
      <c r="H2055">
        <v>0</v>
      </c>
      <c r="I2055" s="61">
        <v>44804</v>
      </c>
      <c r="J2055" s="33" t="s">
        <v>45</v>
      </c>
      <c r="K2055" s="46">
        <v>0</v>
      </c>
      <c r="L2055">
        <v>15.7</v>
      </c>
      <c r="M2055" t="s">
        <v>48</v>
      </c>
      <c r="N2055" s="46">
        <v>0</v>
      </c>
      <c r="O2055" s="46">
        <v>0</v>
      </c>
      <c r="P2055" s="46">
        <v>0</v>
      </c>
      <c r="Q2055" t="s">
        <v>48</v>
      </c>
      <c r="R2055" t="s">
        <v>48</v>
      </c>
      <c r="S2055" t="s">
        <v>48</v>
      </c>
      <c r="T2055" t="s">
        <v>48</v>
      </c>
      <c r="U2055" t="s">
        <v>48</v>
      </c>
      <c r="V2055" s="47">
        <v>0</v>
      </c>
      <c r="W2055" t="s">
        <v>48</v>
      </c>
      <c r="X2055" t="s">
        <v>48</v>
      </c>
      <c r="Y2055" t="s">
        <v>48</v>
      </c>
      <c r="Z2055">
        <v>0</v>
      </c>
      <c r="AA2055" t="s">
        <v>48</v>
      </c>
      <c r="AB2055" t="s">
        <v>48</v>
      </c>
      <c r="AC2055" t="s">
        <v>11064</v>
      </c>
      <c r="AD2055" t="s">
        <v>93</v>
      </c>
      <c r="AE2055" t="s">
        <v>2471</v>
      </c>
      <c r="AF2055" t="s">
        <v>48</v>
      </c>
      <c r="AG2055" t="s">
        <v>48</v>
      </c>
      <c r="AH2055" t="s">
        <v>48</v>
      </c>
      <c r="AI2055" t="s">
        <v>48</v>
      </c>
      <c r="AJ2055" t="s">
        <v>48</v>
      </c>
      <c r="AK2055" t="s">
        <v>48</v>
      </c>
      <c r="AL2055" t="s">
        <v>48</v>
      </c>
      <c r="AM2055" t="s">
        <v>48</v>
      </c>
      <c r="AN2055" t="s">
        <v>48</v>
      </c>
      <c r="AO2055" t="s">
        <v>48</v>
      </c>
      <c r="AP2055" s="46">
        <v>0</v>
      </c>
      <c r="AQ2055" s="46">
        <v>0</v>
      </c>
      <c r="AR2055" s="46">
        <v>0</v>
      </c>
      <c r="AS2055" s="46">
        <v>0</v>
      </c>
      <c r="AT2055" s="46">
        <v>0</v>
      </c>
      <c r="AU2055" s="46">
        <v>0</v>
      </c>
      <c r="AV2055" s="46">
        <v>0</v>
      </c>
      <c r="AW2055" s="46">
        <v>0</v>
      </c>
      <c r="AX2055" s="46">
        <v>0</v>
      </c>
      <c r="AY2055" s="46">
        <v>0</v>
      </c>
      <c r="AZ2055" s="46">
        <v>0</v>
      </c>
      <c r="BA2055" s="46">
        <v>0</v>
      </c>
      <c r="BB2055" s="46">
        <v>0</v>
      </c>
      <c r="BC2055" s="46">
        <v>0</v>
      </c>
      <c r="BD2055" s="46">
        <v>0</v>
      </c>
      <c r="BE2055" s="46">
        <v>0</v>
      </c>
      <c r="BF2055" s="46">
        <v>0</v>
      </c>
      <c r="BG2055" s="46" t="s">
        <v>48</v>
      </c>
      <c r="BH2055" s="46">
        <v>0</v>
      </c>
      <c r="BI2055" s="46">
        <v>0</v>
      </c>
      <c r="BJ2055" s="46">
        <v>0</v>
      </c>
      <c r="BK2055" s="46">
        <v>0</v>
      </c>
      <c r="BL2055" s="46">
        <v>0</v>
      </c>
      <c r="BM2055" s="46">
        <v>0</v>
      </c>
      <c r="BN2055" s="46">
        <v>0</v>
      </c>
    </row>
    <row r="2056" spans="1:66" x14ac:dyDescent="0.35">
      <c r="A2056" t="s">
        <v>5135</v>
      </c>
      <c r="B2056" s="44" t="s">
        <v>48</v>
      </c>
      <c r="C2056" t="s">
        <v>718</v>
      </c>
      <c r="D2056" t="s">
        <v>5138</v>
      </c>
      <c r="E2056" t="s">
        <v>5136</v>
      </c>
      <c r="F2056" t="s">
        <v>5129</v>
      </c>
      <c r="G2056" t="s">
        <v>74</v>
      </c>
      <c r="H2056">
        <v>0</v>
      </c>
      <c r="I2056" s="60" t="s">
        <v>51</v>
      </c>
      <c r="J2056" s="33" t="s">
        <v>45</v>
      </c>
      <c r="K2056" s="46">
        <v>0</v>
      </c>
      <c r="L2056">
        <v>12.6</v>
      </c>
      <c r="M2056" t="s">
        <v>48</v>
      </c>
      <c r="N2056" s="46">
        <v>0</v>
      </c>
      <c r="O2056" s="46">
        <v>0</v>
      </c>
      <c r="P2056" s="46">
        <v>0</v>
      </c>
      <c r="Q2056" t="s">
        <v>48</v>
      </c>
      <c r="R2056" t="s">
        <v>48</v>
      </c>
      <c r="S2056" t="s">
        <v>5137</v>
      </c>
      <c r="T2056" t="s">
        <v>48</v>
      </c>
      <c r="U2056" t="s">
        <v>5137</v>
      </c>
      <c r="V2056" s="47">
        <v>0</v>
      </c>
      <c r="W2056" t="s">
        <v>11317</v>
      </c>
      <c r="X2056" t="s">
        <v>48</v>
      </c>
      <c r="Y2056" t="s">
        <v>48</v>
      </c>
      <c r="Z2056">
        <v>0</v>
      </c>
      <c r="AA2056" t="s">
        <v>48</v>
      </c>
      <c r="AB2056" t="s">
        <v>48</v>
      </c>
      <c r="AC2056" t="s">
        <v>63</v>
      </c>
      <c r="AD2056" t="s">
        <v>93</v>
      </c>
      <c r="AE2056" s="40" t="s">
        <v>2471</v>
      </c>
      <c r="AF2056" t="s">
        <v>11061</v>
      </c>
      <c r="AG2056" t="s">
        <v>48</v>
      </c>
      <c r="AH2056" t="s">
        <v>48</v>
      </c>
      <c r="AI2056" t="s">
        <v>48</v>
      </c>
      <c r="AJ2056" t="s">
        <v>48</v>
      </c>
      <c r="AK2056" t="s">
        <v>48</v>
      </c>
      <c r="AL2056" t="s">
        <v>48</v>
      </c>
      <c r="AM2056" t="s">
        <v>48</v>
      </c>
      <c r="AN2056" t="s">
        <v>48</v>
      </c>
      <c r="AO2056" t="s">
        <v>48</v>
      </c>
      <c r="AP2056" s="46">
        <v>0</v>
      </c>
      <c r="AQ2056" s="46">
        <v>0</v>
      </c>
      <c r="AR2056" s="46">
        <v>0</v>
      </c>
      <c r="AS2056" s="46">
        <v>0</v>
      </c>
      <c r="AT2056" s="46">
        <v>0</v>
      </c>
      <c r="AU2056" s="46">
        <v>0</v>
      </c>
      <c r="AV2056" s="46">
        <v>0</v>
      </c>
      <c r="AW2056" s="46">
        <v>0</v>
      </c>
      <c r="AX2056" s="46">
        <v>0</v>
      </c>
      <c r="AY2056" s="46">
        <v>0</v>
      </c>
      <c r="AZ2056" s="46">
        <v>0</v>
      </c>
      <c r="BA2056" s="46">
        <v>0</v>
      </c>
      <c r="BB2056" s="46">
        <v>0</v>
      </c>
      <c r="BC2056" s="46">
        <v>0</v>
      </c>
      <c r="BD2056" s="46">
        <v>0</v>
      </c>
      <c r="BE2056" s="46">
        <v>0</v>
      </c>
      <c r="BF2056" s="46">
        <v>0</v>
      </c>
      <c r="BG2056" s="46" t="s">
        <v>48</v>
      </c>
      <c r="BH2056" s="46">
        <v>0</v>
      </c>
      <c r="BI2056" s="46">
        <v>0</v>
      </c>
      <c r="BJ2056" s="46">
        <v>0</v>
      </c>
      <c r="BK2056" s="46">
        <v>0</v>
      </c>
      <c r="BL2056" s="46">
        <v>0</v>
      </c>
      <c r="BM2056" s="46">
        <v>0</v>
      </c>
      <c r="BN2056" s="46">
        <v>0</v>
      </c>
    </row>
    <row r="2057" spans="1:66" x14ac:dyDescent="0.35">
      <c r="A2057" t="s">
        <v>5154</v>
      </c>
      <c r="B2057" s="44" t="s">
        <v>48</v>
      </c>
      <c r="C2057" t="s">
        <v>5156</v>
      </c>
      <c r="D2057" t="s">
        <v>195</v>
      </c>
      <c r="E2057" t="s">
        <v>5155</v>
      </c>
      <c r="F2057" t="s">
        <v>5145</v>
      </c>
      <c r="G2057" t="s">
        <v>74</v>
      </c>
      <c r="H2057">
        <v>0</v>
      </c>
      <c r="I2057" s="60" t="s">
        <v>51</v>
      </c>
      <c r="J2057" s="33" t="s">
        <v>45</v>
      </c>
      <c r="K2057" s="46">
        <v>0</v>
      </c>
      <c r="L2057">
        <v>0.5</v>
      </c>
      <c r="M2057" t="s">
        <v>48</v>
      </c>
      <c r="N2057" s="46">
        <v>0</v>
      </c>
      <c r="O2057" s="46">
        <v>0</v>
      </c>
      <c r="P2057" s="46">
        <v>0</v>
      </c>
      <c r="Q2057" t="s">
        <v>48</v>
      </c>
      <c r="R2057" t="s">
        <v>48</v>
      </c>
      <c r="S2057" t="s">
        <v>48</v>
      </c>
      <c r="T2057" t="s">
        <v>48</v>
      </c>
      <c r="U2057" t="s">
        <v>48</v>
      </c>
      <c r="V2057" s="47">
        <v>0</v>
      </c>
      <c r="W2057" t="s">
        <v>48</v>
      </c>
      <c r="X2057" t="s">
        <v>48</v>
      </c>
      <c r="Y2057" t="s">
        <v>48</v>
      </c>
      <c r="Z2057">
        <v>0</v>
      </c>
      <c r="AA2057" t="s">
        <v>48</v>
      </c>
      <c r="AB2057" t="s">
        <v>48</v>
      </c>
      <c r="AC2057" t="s">
        <v>49</v>
      </c>
      <c r="AD2057" t="s">
        <v>93</v>
      </c>
      <c r="AE2057" s="40" t="s">
        <v>4532</v>
      </c>
      <c r="AF2057" t="s">
        <v>48</v>
      </c>
      <c r="AG2057" t="s">
        <v>48</v>
      </c>
      <c r="AH2057" t="s">
        <v>48</v>
      </c>
      <c r="AI2057" t="s">
        <v>48</v>
      </c>
      <c r="AJ2057" t="s">
        <v>48</v>
      </c>
      <c r="AK2057" t="s">
        <v>48</v>
      </c>
      <c r="AL2057" t="s">
        <v>48</v>
      </c>
      <c r="AM2057" t="s">
        <v>48</v>
      </c>
      <c r="AN2057" t="s">
        <v>48</v>
      </c>
      <c r="AO2057" t="s">
        <v>48</v>
      </c>
      <c r="AP2057" s="46">
        <v>0</v>
      </c>
      <c r="AQ2057" s="46">
        <v>0</v>
      </c>
      <c r="AR2057" s="46">
        <v>0</v>
      </c>
      <c r="AS2057" s="46">
        <v>0</v>
      </c>
      <c r="AT2057" s="46">
        <v>0</v>
      </c>
      <c r="AU2057" s="46">
        <v>0</v>
      </c>
      <c r="AV2057" s="46">
        <v>0</v>
      </c>
      <c r="AW2057" s="46">
        <v>0</v>
      </c>
      <c r="AX2057" s="46">
        <v>0</v>
      </c>
      <c r="AY2057" s="46">
        <v>0</v>
      </c>
      <c r="AZ2057" s="46">
        <v>0</v>
      </c>
      <c r="BA2057" s="46">
        <v>0</v>
      </c>
      <c r="BB2057" s="46">
        <v>0</v>
      </c>
      <c r="BC2057" s="46">
        <v>0</v>
      </c>
      <c r="BD2057" s="46">
        <v>0</v>
      </c>
      <c r="BE2057" s="46">
        <v>0</v>
      </c>
      <c r="BF2057" s="46">
        <v>0</v>
      </c>
      <c r="BG2057" s="46" t="s">
        <v>48</v>
      </c>
      <c r="BH2057" s="46">
        <v>0</v>
      </c>
      <c r="BI2057" s="46">
        <v>0</v>
      </c>
      <c r="BJ2057" s="46">
        <v>0</v>
      </c>
      <c r="BK2057" s="46">
        <v>0</v>
      </c>
      <c r="BL2057" s="46">
        <v>0</v>
      </c>
      <c r="BM2057" s="46">
        <v>0</v>
      </c>
      <c r="BN2057" s="46">
        <v>0</v>
      </c>
    </row>
    <row r="2058" spans="1:66" x14ac:dyDescent="0.35">
      <c r="A2058" t="s">
        <v>10758</v>
      </c>
      <c r="B2058" s="44" t="s">
        <v>48</v>
      </c>
      <c r="C2058" t="s">
        <v>12192</v>
      </c>
      <c r="D2058" t="s">
        <v>12193</v>
      </c>
      <c r="E2058" t="s">
        <v>10759</v>
      </c>
      <c r="F2058" t="s">
        <v>5145</v>
      </c>
      <c r="G2058" t="s">
        <v>74</v>
      </c>
      <c r="H2058">
        <v>0</v>
      </c>
      <c r="I2058" s="60" t="s">
        <v>11552</v>
      </c>
      <c r="J2058" s="33" t="s">
        <v>45</v>
      </c>
      <c r="K2058" s="46">
        <v>0</v>
      </c>
      <c r="L2058">
        <v>17</v>
      </c>
      <c r="M2058" t="s">
        <v>48</v>
      </c>
      <c r="N2058" s="46">
        <v>0</v>
      </c>
      <c r="O2058" s="46">
        <v>0</v>
      </c>
      <c r="P2058" s="46">
        <v>0</v>
      </c>
      <c r="Q2058" t="s">
        <v>48</v>
      </c>
      <c r="R2058" t="s">
        <v>48</v>
      </c>
      <c r="S2058" t="s">
        <v>11515</v>
      </c>
      <c r="T2058" t="s">
        <v>48</v>
      </c>
      <c r="U2058" t="s">
        <v>10760</v>
      </c>
      <c r="V2058" s="47">
        <v>0</v>
      </c>
      <c r="W2058" t="s">
        <v>48</v>
      </c>
      <c r="X2058" t="s">
        <v>48</v>
      </c>
      <c r="Y2058" t="s">
        <v>48</v>
      </c>
      <c r="Z2058">
        <v>0</v>
      </c>
      <c r="AA2058" t="s">
        <v>48</v>
      </c>
      <c r="AB2058" t="s">
        <v>48</v>
      </c>
      <c r="AC2058" t="s">
        <v>63</v>
      </c>
      <c r="AD2058" t="s">
        <v>951</v>
      </c>
      <c r="AE2058" s="40" t="s">
        <v>11144</v>
      </c>
      <c r="AF2058" t="s">
        <v>11074</v>
      </c>
      <c r="AG2058" t="s">
        <v>48</v>
      </c>
      <c r="AH2058" t="s">
        <v>48</v>
      </c>
      <c r="AI2058" t="s">
        <v>48</v>
      </c>
      <c r="AJ2058" t="s">
        <v>48</v>
      </c>
      <c r="AK2058" t="s">
        <v>48</v>
      </c>
      <c r="AL2058" t="s">
        <v>48</v>
      </c>
      <c r="AM2058" t="s">
        <v>48</v>
      </c>
      <c r="AN2058" t="s">
        <v>48</v>
      </c>
      <c r="AO2058" t="s">
        <v>48</v>
      </c>
      <c r="AP2058" s="46">
        <v>0</v>
      </c>
      <c r="AQ2058" s="46">
        <v>0</v>
      </c>
      <c r="AR2058" s="46">
        <v>0</v>
      </c>
      <c r="AS2058" s="46">
        <v>0</v>
      </c>
      <c r="AT2058" s="46">
        <v>0</v>
      </c>
      <c r="AU2058" s="46">
        <v>0</v>
      </c>
      <c r="AV2058" s="46">
        <v>0</v>
      </c>
      <c r="AW2058" s="46">
        <v>0</v>
      </c>
      <c r="AX2058" s="46">
        <v>0</v>
      </c>
      <c r="AY2058" s="46">
        <v>0</v>
      </c>
      <c r="AZ2058" s="46">
        <v>0</v>
      </c>
      <c r="BA2058" s="46">
        <v>0</v>
      </c>
      <c r="BB2058" s="46">
        <v>0</v>
      </c>
      <c r="BC2058" s="46">
        <v>0</v>
      </c>
      <c r="BD2058" s="46">
        <v>0</v>
      </c>
      <c r="BE2058" s="46">
        <v>0</v>
      </c>
      <c r="BF2058" s="46">
        <v>0</v>
      </c>
      <c r="BG2058" s="46" t="s">
        <v>48</v>
      </c>
      <c r="BH2058" s="46">
        <v>0</v>
      </c>
      <c r="BI2058" s="46">
        <v>0</v>
      </c>
      <c r="BJ2058" s="46">
        <v>0</v>
      </c>
      <c r="BK2058" s="46">
        <v>0</v>
      </c>
      <c r="BL2058" s="46">
        <v>0</v>
      </c>
      <c r="BM2058" s="46">
        <v>0</v>
      </c>
      <c r="BN2058" s="46">
        <v>0</v>
      </c>
    </row>
    <row r="2059" spans="1:66" x14ac:dyDescent="0.35">
      <c r="A2059" t="s">
        <v>10764</v>
      </c>
      <c r="B2059" s="44" t="s">
        <v>48</v>
      </c>
      <c r="C2059" t="s">
        <v>12188</v>
      </c>
      <c r="D2059" t="s">
        <v>1338</v>
      </c>
      <c r="E2059" t="s">
        <v>10765</v>
      </c>
      <c r="F2059" t="s">
        <v>5145</v>
      </c>
      <c r="G2059" t="s">
        <v>74</v>
      </c>
      <c r="H2059">
        <v>0</v>
      </c>
      <c r="I2059" s="60" t="s">
        <v>11552</v>
      </c>
      <c r="J2059" s="33" t="s">
        <v>45</v>
      </c>
      <c r="K2059" s="46">
        <v>0</v>
      </c>
      <c r="L2059">
        <v>4.4000000000000004</v>
      </c>
      <c r="M2059" t="s">
        <v>48</v>
      </c>
      <c r="N2059" s="46">
        <v>0</v>
      </c>
      <c r="O2059" s="46">
        <v>0</v>
      </c>
      <c r="P2059" s="46">
        <v>0</v>
      </c>
      <c r="Q2059" t="s">
        <v>48</v>
      </c>
      <c r="R2059" t="s">
        <v>48</v>
      </c>
      <c r="S2059" t="s">
        <v>11517</v>
      </c>
      <c r="T2059" t="s">
        <v>48</v>
      </c>
      <c r="U2059" t="s">
        <v>10766</v>
      </c>
      <c r="V2059" s="47">
        <v>0</v>
      </c>
      <c r="W2059" t="s">
        <v>48</v>
      </c>
      <c r="X2059" t="s">
        <v>48</v>
      </c>
      <c r="Y2059" t="s">
        <v>48</v>
      </c>
      <c r="Z2059">
        <v>0</v>
      </c>
      <c r="AA2059" t="s">
        <v>48</v>
      </c>
      <c r="AB2059" t="s">
        <v>48</v>
      </c>
      <c r="AC2059" t="s">
        <v>63</v>
      </c>
      <c r="AD2059" t="s">
        <v>93</v>
      </c>
      <c r="AE2059" s="40" t="s">
        <v>4532</v>
      </c>
      <c r="AF2059" t="s">
        <v>48</v>
      </c>
      <c r="AG2059" t="s">
        <v>48</v>
      </c>
      <c r="AH2059" t="s">
        <v>48</v>
      </c>
      <c r="AI2059" t="s">
        <v>48</v>
      </c>
      <c r="AJ2059" t="s">
        <v>48</v>
      </c>
      <c r="AK2059" t="s">
        <v>48</v>
      </c>
      <c r="AL2059" t="s">
        <v>48</v>
      </c>
      <c r="AM2059" t="s">
        <v>48</v>
      </c>
      <c r="AN2059" t="s">
        <v>48</v>
      </c>
      <c r="AO2059" t="s">
        <v>48</v>
      </c>
      <c r="AP2059" s="46">
        <v>0</v>
      </c>
      <c r="AQ2059" s="46">
        <v>0</v>
      </c>
      <c r="AR2059" s="46">
        <v>0</v>
      </c>
      <c r="AS2059" s="46">
        <v>0</v>
      </c>
      <c r="AT2059" s="46">
        <v>0</v>
      </c>
      <c r="AU2059" s="46">
        <v>0</v>
      </c>
      <c r="AV2059" s="46">
        <v>0</v>
      </c>
      <c r="AW2059" s="46">
        <v>0</v>
      </c>
      <c r="AX2059" s="46">
        <v>0</v>
      </c>
      <c r="AY2059" s="46">
        <v>0</v>
      </c>
      <c r="AZ2059" s="46">
        <v>0</v>
      </c>
      <c r="BA2059" s="46">
        <v>0</v>
      </c>
      <c r="BB2059" s="46">
        <v>0</v>
      </c>
      <c r="BC2059" s="46">
        <v>0</v>
      </c>
      <c r="BD2059" s="46">
        <v>0</v>
      </c>
      <c r="BE2059" s="46">
        <v>0</v>
      </c>
      <c r="BF2059" s="46">
        <v>0</v>
      </c>
      <c r="BG2059" s="46" t="s">
        <v>48</v>
      </c>
      <c r="BH2059" s="46">
        <v>0</v>
      </c>
      <c r="BI2059" s="46">
        <v>0</v>
      </c>
      <c r="BJ2059" s="46">
        <v>0</v>
      </c>
      <c r="BK2059" s="46">
        <v>0</v>
      </c>
      <c r="BL2059" s="46">
        <v>0</v>
      </c>
      <c r="BM2059" s="46">
        <v>0</v>
      </c>
      <c r="BN2059" s="46">
        <v>0</v>
      </c>
    </row>
    <row r="2060" spans="1:66" x14ac:dyDescent="0.35">
      <c r="A2060" t="s">
        <v>10767</v>
      </c>
      <c r="B2060" s="44" t="s">
        <v>48</v>
      </c>
      <c r="C2060" t="s">
        <v>12189</v>
      </c>
      <c r="D2060" t="s">
        <v>1118</v>
      </c>
      <c r="E2060" t="s">
        <v>10768</v>
      </c>
      <c r="F2060" t="s">
        <v>5145</v>
      </c>
      <c r="G2060" t="s">
        <v>74</v>
      </c>
      <c r="H2060">
        <v>0</v>
      </c>
      <c r="I2060" s="61">
        <v>44804</v>
      </c>
      <c r="J2060" s="33" t="s">
        <v>45</v>
      </c>
      <c r="K2060" s="46">
        <v>0</v>
      </c>
      <c r="L2060">
        <v>1.2</v>
      </c>
      <c r="M2060" t="s">
        <v>48</v>
      </c>
      <c r="N2060" s="46">
        <v>0</v>
      </c>
      <c r="O2060" s="46">
        <v>0</v>
      </c>
      <c r="P2060" s="46">
        <v>0</v>
      </c>
      <c r="Q2060" t="s">
        <v>48</v>
      </c>
      <c r="R2060" t="s">
        <v>48</v>
      </c>
      <c r="S2060" t="s">
        <v>48</v>
      </c>
      <c r="T2060" t="s">
        <v>48</v>
      </c>
      <c r="U2060" t="s">
        <v>48</v>
      </c>
      <c r="V2060" s="47">
        <v>1</v>
      </c>
      <c r="W2060" t="s">
        <v>48</v>
      </c>
      <c r="X2060" t="s">
        <v>48</v>
      </c>
      <c r="Y2060" t="s">
        <v>48</v>
      </c>
      <c r="Z2060">
        <v>0</v>
      </c>
      <c r="AA2060" t="s">
        <v>48</v>
      </c>
      <c r="AB2060" t="s">
        <v>48</v>
      </c>
      <c r="AC2060" t="s">
        <v>49</v>
      </c>
      <c r="AD2060" t="s">
        <v>93</v>
      </c>
      <c r="AE2060" s="40" t="s">
        <v>977</v>
      </c>
      <c r="AF2060" t="s">
        <v>48</v>
      </c>
      <c r="AG2060" t="s">
        <v>48</v>
      </c>
      <c r="AH2060" t="s">
        <v>48</v>
      </c>
      <c r="AI2060" t="s">
        <v>48</v>
      </c>
      <c r="AJ2060" t="s">
        <v>48</v>
      </c>
      <c r="AK2060" t="s">
        <v>48</v>
      </c>
      <c r="AL2060" t="s">
        <v>48</v>
      </c>
      <c r="AM2060" t="s">
        <v>48</v>
      </c>
      <c r="AN2060" t="s">
        <v>48</v>
      </c>
      <c r="AO2060" t="s">
        <v>48</v>
      </c>
      <c r="AP2060" s="46">
        <v>0</v>
      </c>
      <c r="AQ2060" s="46">
        <v>0</v>
      </c>
      <c r="AR2060" s="46">
        <v>0</v>
      </c>
      <c r="AS2060" s="46">
        <v>0</v>
      </c>
      <c r="AT2060" s="46">
        <v>0</v>
      </c>
      <c r="AU2060" s="46">
        <v>0</v>
      </c>
      <c r="AV2060" s="46">
        <v>0</v>
      </c>
      <c r="AW2060" s="46">
        <v>0</v>
      </c>
      <c r="AX2060" s="46">
        <v>0</v>
      </c>
      <c r="AY2060" s="46">
        <v>0</v>
      </c>
      <c r="AZ2060" s="46">
        <v>0</v>
      </c>
      <c r="BA2060" s="46">
        <v>0</v>
      </c>
      <c r="BB2060" s="46">
        <v>0</v>
      </c>
      <c r="BC2060" s="46">
        <v>0</v>
      </c>
      <c r="BD2060" s="46">
        <v>0</v>
      </c>
      <c r="BE2060" s="46">
        <v>0</v>
      </c>
      <c r="BF2060" s="46">
        <v>0</v>
      </c>
      <c r="BG2060" s="46" t="s">
        <v>48</v>
      </c>
      <c r="BH2060" s="46">
        <v>0</v>
      </c>
      <c r="BI2060" s="46">
        <v>0</v>
      </c>
      <c r="BJ2060" s="46">
        <v>0</v>
      </c>
      <c r="BK2060" s="46">
        <v>0</v>
      </c>
      <c r="BL2060" s="46">
        <v>0</v>
      </c>
      <c r="BM2060" s="46">
        <v>0</v>
      </c>
      <c r="BN2060" s="46">
        <v>0</v>
      </c>
    </row>
    <row r="2061" spans="1:66" x14ac:dyDescent="0.35">
      <c r="A2061" t="s">
        <v>10761</v>
      </c>
      <c r="B2061" s="44" t="s">
        <v>48</v>
      </c>
      <c r="C2061" t="s">
        <v>12194</v>
      </c>
      <c r="D2061" t="s">
        <v>87</v>
      </c>
      <c r="E2061" t="s">
        <v>10762</v>
      </c>
      <c r="F2061" t="s">
        <v>5145</v>
      </c>
      <c r="G2061" t="s">
        <v>74</v>
      </c>
      <c r="H2061">
        <v>0</v>
      </c>
      <c r="I2061" s="60" t="s">
        <v>11552</v>
      </c>
      <c r="J2061" s="33" t="s">
        <v>45</v>
      </c>
      <c r="K2061" s="46">
        <v>0</v>
      </c>
      <c r="L2061">
        <v>6.2</v>
      </c>
      <c r="M2061" t="s">
        <v>48</v>
      </c>
      <c r="N2061" s="46">
        <v>0</v>
      </c>
      <c r="O2061" s="46">
        <v>0</v>
      </c>
      <c r="P2061" s="46">
        <v>0</v>
      </c>
      <c r="Q2061" t="s">
        <v>48</v>
      </c>
      <c r="R2061" t="s">
        <v>48</v>
      </c>
      <c r="S2061" t="s">
        <v>11518</v>
      </c>
      <c r="T2061" t="s">
        <v>48</v>
      </c>
      <c r="U2061" t="s">
        <v>10763</v>
      </c>
      <c r="V2061" s="47">
        <v>0</v>
      </c>
      <c r="W2061" t="s">
        <v>48</v>
      </c>
      <c r="X2061" t="s">
        <v>48</v>
      </c>
      <c r="Y2061" t="s">
        <v>48</v>
      </c>
      <c r="Z2061">
        <v>0</v>
      </c>
      <c r="AA2061" t="s">
        <v>48</v>
      </c>
      <c r="AB2061" t="s">
        <v>48</v>
      </c>
      <c r="AC2061" t="s">
        <v>63</v>
      </c>
      <c r="AD2061" t="s">
        <v>93</v>
      </c>
      <c r="AE2061" s="40" t="s">
        <v>4532</v>
      </c>
      <c r="AF2061" t="s">
        <v>48</v>
      </c>
      <c r="AG2061" t="s">
        <v>48</v>
      </c>
      <c r="AH2061" t="s">
        <v>48</v>
      </c>
      <c r="AI2061" t="s">
        <v>48</v>
      </c>
      <c r="AJ2061" t="s">
        <v>48</v>
      </c>
      <c r="AK2061" t="s">
        <v>48</v>
      </c>
      <c r="AL2061" t="s">
        <v>48</v>
      </c>
      <c r="AM2061" t="s">
        <v>48</v>
      </c>
      <c r="AN2061" t="s">
        <v>48</v>
      </c>
      <c r="AO2061" t="s">
        <v>48</v>
      </c>
      <c r="AP2061" s="46">
        <v>0</v>
      </c>
      <c r="AQ2061" s="46">
        <v>0</v>
      </c>
      <c r="AR2061" s="46">
        <v>0</v>
      </c>
      <c r="AS2061" s="46">
        <v>0</v>
      </c>
      <c r="AT2061" s="46">
        <v>0</v>
      </c>
      <c r="AU2061" s="46">
        <v>0</v>
      </c>
      <c r="AV2061" s="46">
        <v>0</v>
      </c>
      <c r="AW2061" s="46">
        <v>0</v>
      </c>
      <c r="AX2061" s="46">
        <v>0</v>
      </c>
      <c r="AY2061" s="46">
        <v>0</v>
      </c>
      <c r="AZ2061" s="46">
        <v>0</v>
      </c>
      <c r="BA2061" s="46">
        <v>0</v>
      </c>
      <c r="BB2061" s="46">
        <v>0</v>
      </c>
      <c r="BC2061" s="46">
        <v>0</v>
      </c>
      <c r="BD2061" s="46">
        <v>0</v>
      </c>
      <c r="BE2061" s="46">
        <v>0</v>
      </c>
      <c r="BF2061" s="46">
        <v>0</v>
      </c>
      <c r="BG2061" s="46" t="s">
        <v>48</v>
      </c>
      <c r="BH2061" s="46">
        <v>0</v>
      </c>
      <c r="BI2061" s="46">
        <v>0</v>
      </c>
      <c r="BJ2061" s="46">
        <v>0</v>
      </c>
      <c r="BK2061" s="46">
        <v>0</v>
      </c>
      <c r="BL2061" s="46">
        <v>0</v>
      </c>
      <c r="BM2061" s="46">
        <v>0</v>
      </c>
      <c r="BN2061" s="46">
        <v>0</v>
      </c>
    </row>
    <row r="2062" spans="1:66" x14ac:dyDescent="0.35">
      <c r="A2062" t="s">
        <v>5234</v>
      </c>
      <c r="B2062" s="44" t="s">
        <v>48</v>
      </c>
      <c r="C2062" t="s">
        <v>886</v>
      </c>
      <c r="D2062" t="s">
        <v>5238</v>
      </c>
      <c r="E2062" t="s">
        <v>10757</v>
      </c>
      <c r="F2062" t="s">
        <v>5145</v>
      </c>
      <c r="G2062" t="s">
        <v>74</v>
      </c>
      <c r="H2062">
        <v>0</v>
      </c>
      <c r="I2062" s="61">
        <v>44804</v>
      </c>
      <c r="J2062" s="33" t="s">
        <v>45</v>
      </c>
      <c r="K2062" s="46">
        <v>0</v>
      </c>
      <c r="L2062">
        <v>18.2</v>
      </c>
      <c r="M2062" t="s">
        <v>48</v>
      </c>
      <c r="N2062" s="46">
        <v>0</v>
      </c>
      <c r="O2062" s="46">
        <v>0</v>
      </c>
      <c r="P2062" s="46">
        <v>0</v>
      </c>
      <c r="Q2062" t="s">
        <v>48</v>
      </c>
      <c r="R2062" t="s">
        <v>48</v>
      </c>
      <c r="S2062" t="s">
        <v>5236</v>
      </c>
      <c r="T2062" t="s">
        <v>5237</v>
      </c>
      <c r="U2062" t="s">
        <v>5236</v>
      </c>
      <c r="V2062" s="47">
        <v>0</v>
      </c>
      <c r="W2062" t="s">
        <v>48</v>
      </c>
      <c r="X2062" t="s">
        <v>48</v>
      </c>
      <c r="Y2062" t="s">
        <v>48</v>
      </c>
      <c r="Z2062">
        <v>0</v>
      </c>
      <c r="AA2062" t="s">
        <v>11575</v>
      </c>
      <c r="AB2062" t="s">
        <v>48</v>
      </c>
      <c r="AC2062" t="s">
        <v>49</v>
      </c>
      <c r="AD2062" t="s">
        <v>93</v>
      </c>
      <c r="AE2062" s="40" t="s">
        <v>2471</v>
      </c>
      <c r="AF2062" t="s">
        <v>11061</v>
      </c>
      <c r="AG2062" t="s">
        <v>151</v>
      </c>
      <c r="AH2062" t="s">
        <v>426</v>
      </c>
      <c r="AI2062">
        <v>22127</v>
      </c>
      <c r="AJ2062">
        <v>1987</v>
      </c>
      <c r="AK2062" t="s">
        <v>9158</v>
      </c>
      <c r="AL2062" t="s">
        <v>9159</v>
      </c>
      <c r="AM2062">
        <v>-0.40799999999999997</v>
      </c>
      <c r="AN2062">
        <v>-0.50800000000000001</v>
      </c>
      <c r="AO2062">
        <v>-0.40799999999999997</v>
      </c>
      <c r="AP2062" s="46">
        <v>0</v>
      </c>
      <c r="AQ2062" s="46">
        <v>1</v>
      </c>
      <c r="AR2062" s="46">
        <v>0</v>
      </c>
      <c r="AS2062" s="46">
        <v>0</v>
      </c>
      <c r="AT2062" s="46">
        <v>1</v>
      </c>
      <c r="AU2062" s="46">
        <v>0</v>
      </c>
      <c r="AV2062" s="46">
        <v>0</v>
      </c>
      <c r="AW2062" s="46">
        <v>0</v>
      </c>
      <c r="AX2062" s="46">
        <v>0</v>
      </c>
      <c r="AY2062" s="46">
        <v>0</v>
      </c>
      <c r="AZ2062" s="46">
        <v>0</v>
      </c>
      <c r="BA2062" s="46">
        <v>0</v>
      </c>
      <c r="BB2062" s="46">
        <v>0</v>
      </c>
      <c r="BC2062" s="46">
        <v>0</v>
      </c>
      <c r="BD2062" s="46">
        <v>0</v>
      </c>
      <c r="BE2062" s="46">
        <v>0</v>
      </c>
      <c r="BF2062" s="46">
        <v>0</v>
      </c>
      <c r="BG2062" s="46" t="s">
        <v>48</v>
      </c>
      <c r="BH2062" s="46">
        <v>0</v>
      </c>
      <c r="BI2062" s="46">
        <v>0</v>
      </c>
      <c r="BJ2062" s="46">
        <v>0</v>
      </c>
      <c r="BK2062" s="46">
        <v>1</v>
      </c>
      <c r="BL2062" s="46">
        <v>0</v>
      </c>
      <c r="BM2062" s="46">
        <v>0</v>
      </c>
      <c r="BN2062" s="46">
        <v>0</v>
      </c>
    </row>
    <row r="2063" spans="1:66" x14ac:dyDescent="0.35">
      <c r="A2063" t="s">
        <v>5055</v>
      </c>
      <c r="B2063" s="44" t="s">
        <v>48</v>
      </c>
      <c r="C2063" t="s">
        <v>12195</v>
      </c>
      <c r="D2063" t="s">
        <v>12196</v>
      </c>
      <c r="E2063" t="s">
        <v>10769</v>
      </c>
      <c r="F2063" t="s">
        <v>5145</v>
      </c>
      <c r="G2063" t="s">
        <v>74</v>
      </c>
      <c r="H2063">
        <v>0</v>
      </c>
      <c r="I2063" s="60" t="s">
        <v>11552</v>
      </c>
      <c r="J2063" s="33" t="s">
        <v>45</v>
      </c>
      <c r="K2063" s="46">
        <v>0</v>
      </c>
      <c r="L2063">
        <v>1.1000000000000001</v>
      </c>
      <c r="M2063" t="s">
        <v>48</v>
      </c>
      <c r="N2063" s="46">
        <v>0</v>
      </c>
      <c r="O2063" s="46">
        <v>0</v>
      </c>
      <c r="P2063" s="46">
        <v>0</v>
      </c>
      <c r="Q2063" t="s">
        <v>48</v>
      </c>
      <c r="R2063" t="s">
        <v>48</v>
      </c>
      <c r="S2063" t="s">
        <v>11519</v>
      </c>
      <c r="T2063" t="s">
        <v>48</v>
      </c>
      <c r="U2063" t="s">
        <v>10770</v>
      </c>
      <c r="V2063" s="47">
        <v>0</v>
      </c>
      <c r="W2063" t="s">
        <v>48</v>
      </c>
      <c r="X2063" t="s">
        <v>48</v>
      </c>
      <c r="Y2063" t="s">
        <v>48</v>
      </c>
      <c r="Z2063">
        <v>0</v>
      </c>
      <c r="AA2063" t="s">
        <v>48</v>
      </c>
      <c r="AB2063" t="s">
        <v>48</v>
      </c>
      <c r="AC2063" t="s">
        <v>49</v>
      </c>
      <c r="AD2063" t="s">
        <v>93</v>
      </c>
      <c r="AE2063" s="40" t="s">
        <v>977</v>
      </c>
      <c r="AF2063" t="s">
        <v>48</v>
      </c>
      <c r="AG2063" t="s">
        <v>48</v>
      </c>
      <c r="AH2063" t="s">
        <v>48</v>
      </c>
      <c r="AI2063" t="s">
        <v>48</v>
      </c>
      <c r="AJ2063" t="s">
        <v>48</v>
      </c>
      <c r="AK2063" t="s">
        <v>48</v>
      </c>
      <c r="AL2063" t="s">
        <v>48</v>
      </c>
      <c r="AM2063" t="s">
        <v>48</v>
      </c>
      <c r="AN2063" t="s">
        <v>48</v>
      </c>
      <c r="AO2063" t="s">
        <v>48</v>
      </c>
      <c r="AP2063" s="46">
        <v>0</v>
      </c>
      <c r="AQ2063" s="46">
        <v>0</v>
      </c>
      <c r="AR2063" s="46">
        <v>0</v>
      </c>
      <c r="AS2063" s="46">
        <v>0</v>
      </c>
      <c r="AT2063" s="46">
        <v>0</v>
      </c>
      <c r="AU2063" s="46">
        <v>0</v>
      </c>
      <c r="AV2063" s="46">
        <v>0</v>
      </c>
      <c r="AW2063" s="46">
        <v>0</v>
      </c>
      <c r="AX2063" s="46">
        <v>0</v>
      </c>
      <c r="AY2063" s="46">
        <v>0</v>
      </c>
      <c r="AZ2063" s="46">
        <v>0</v>
      </c>
      <c r="BA2063" s="46">
        <v>0</v>
      </c>
      <c r="BB2063" s="46">
        <v>0</v>
      </c>
      <c r="BC2063" s="46">
        <v>0</v>
      </c>
      <c r="BD2063" s="46">
        <v>0</v>
      </c>
      <c r="BE2063" s="46">
        <v>0</v>
      </c>
      <c r="BF2063" s="46">
        <v>0</v>
      </c>
      <c r="BG2063" s="46" t="s">
        <v>48</v>
      </c>
      <c r="BH2063" s="46">
        <v>0</v>
      </c>
      <c r="BI2063" s="46">
        <v>0</v>
      </c>
      <c r="BJ2063" s="46">
        <v>0</v>
      </c>
      <c r="BK2063" s="46">
        <v>0</v>
      </c>
      <c r="BL2063" s="46">
        <v>0</v>
      </c>
      <c r="BM2063" s="46">
        <v>0</v>
      </c>
      <c r="BN2063" s="46">
        <v>0</v>
      </c>
    </row>
    <row r="2064" spans="1:66" x14ac:dyDescent="0.35">
      <c r="A2064" t="s">
        <v>10754</v>
      </c>
      <c r="B2064" s="44" t="s">
        <v>48</v>
      </c>
      <c r="C2064" t="s">
        <v>12190</v>
      </c>
      <c r="D2064" t="s">
        <v>12191</v>
      </c>
      <c r="E2064" t="s">
        <v>10755</v>
      </c>
      <c r="F2064" t="s">
        <v>5145</v>
      </c>
      <c r="G2064" t="s">
        <v>74</v>
      </c>
      <c r="H2064">
        <v>0</v>
      </c>
      <c r="I2064" s="60" t="s">
        <v>11552</v>
      </c>
      <c r="J2064" s="33" t="s">
        <v>45</v>
      </c>
      <c r="K2064" s="46">
        <v>0</v>
      </c>
      <c r="L2064">
        <v>23.7</v>
      </c>
      <c r="M2064" t="s">
        <v>48</v>
      </c>
      <c r="N2064" s="46">
        <v>0</v>
      </c>
      <c r="O2064" s="46">
        <v>0</v>
      </c>
      <c r="P2064" s="46">
        <v>0</v>
      </c>
      <c r="Q2064" t="s">
        <v>48</v>
      </c>
      <c r="R2064" t="s">
        <v>48</v>
      </c>
      <c r="S2064" t="s">
        <v>11520</v>
      </c>
      <c r="T2064" t="s">
        <v>48</v>
      </c>
      <c r="U2064" t="s">
        <v>10756</v>
      </c>
      <c r="V2064" s="47">
        <v>0</v>
      </c>
      <c r="W2064" t="s">
        <v>48</v>
      </c>
      <c r="X2064" t="s">
        <v>48</v>
      </c>
      <c r="Y2064" t="s">
        <v>48</v>
      </c>
      <c r="Z2064">
        <v>0</v>
      </c>
      <c r="AA2064" t="s">
        <v>48</v>
      </c>
      <c r="AB2064" t="s">
        <v>48</v>
      </c>
      <c r="AC2064" t="s">
        <v>63</v>
      </c>
      <c r="AD2064" t="s">
        <v>93</v>
      </c>
      <c r="AE2064" s="40" t="s">
        <v>977</v>
      </c>
      <c r="AF2064" t="s">
        <v>48</v>
      </c>
      <c r="AG2064" t="s">
        <v>48</v>
      </c>
      <c r="AH2064" t="s">
        <v>48</v>
      </c>
      <c r="AI2064" t="s">
        <v>48</v>
      </c>
      <c r="AJ2064" t="s">
        <v>48</v>
      </c>
      <c r="AK2064" t="s">
        <v>48</v>
      </c>
      <c r="AL2064" t="s">
        <v>48</v>
      </c>
      <c r="AM2064" t="s">
        <v>48</v>
      </c>
      <c r="AN2064" t="s">
        <v>48</v>
      </c>
      <c r="AO2064" t="s">
        <v>48</v>
      </c>
      <c r="AP2064" s="46">
        <v>0</v>
      </c>
      <c r="AQ2064" s="46">
        <v>0</v>
      </c>
      <c r="AR2064" s="46">
        <v>0</v>
      </c>
      <c r="AS2064" s="46">
        <v>0</v>
      </c>
      <c r="AT2064" s="46">
        <v>0</v>
      </c>
      <c r="AU2064" s="46">
        <v>0</v>
      </c>
      <c r="AV2064" s="46">
        <v>0</v>
      </c>
      <c r="AW2064" s="46">
        <v>0</v>
      </c>
      <c r="AX2064" s="46">
        <v>0</v>
      </c>
      <c r="AY2064" s="46">
        <v>0</v>
      </c>
      <c r="AZ2064" s="46">
        <v>0</v>
      </c>
      <c r="BA2064" s="46">
        <v>0</v>
      </c>
      <c r="BB2064" s="46">
        <v>0</v>
      </c>
      <c r="BC2064" s="46">
        <v>0</v>
      </c>
      <c r="BD2064" s="46">
        <v>0</v>
      </c>
      <c r="BE2064" s="46">
        <v>0</v>
      </c>
      <c r="BF2064" s="46">
        <v>0</v>
      </c>
      <c r="BG2064" s="46" t="s">
        <v>48</v>
      </c>
      <c r="BH2064" s="46">
        <v>0</v>
      </c>
      <c r="BI2064" s="46">
        <v>0</v>
      </c>
      <c r="BJ2064" s="46">
        <v>0</v>
      </c>
      <c r="BK2064" s="46">
        <v>0</v>
      </c>
      <c r="BL2064" s="46">
        <v>0</v>
      </c>
      <c r="BM2064" s="46">
        <v>0</v>
      </c>
      <c r="BN2064" s="46">
        <v>0</v>
      </c>
    </row>
    <row r="2065" spans="1:66" x14ac:dyDescent="0.35">
      <c r="A2065" t="s">
        <v>5172</v>
      </c>
      <c r="B2065" s="44" t="s">
        <v>48</v>
      </c>
      <c r="C2065" t="s">
        <v>12198</v>
      </c>
      <c r="D2065" t="s">
        <v>1674</v>
      </c>
      <c r="E2065" t="s">
        <v>5173</v>
      </c>
      <c r="F2065" t="s">
        <v>5159</v>
      </c>
      <c r="G2065" t="s">
        <v>74</v>
      </c>
      <c r="H2065">
        <v>0</v>
      </c>
      <c r="I2065" s="60" t="s">
        <v>51</v>
      </c>
      <c r="J2065" s="33" t="s">
        <v>45</v>
      </c>
      <c r="K2065" s="46">
        <v>0</v>
      </c>
      <c r="L2065">
        <v>20.8</v>
      </c>
      <c r="M2065" t="s">
        <v>48</v>
      </c>
      <c r="N2065" s="46">
        <v>0</v>
      </c>
      <c r="O2065" s="46">
        <v>0</v>
      </c>
      <c r="P2065" s="46">
        <v>0</v>
      </c>
      <c r="Q2065" t="s">
        <v>48</v>
      </c>
      <c r="R2065" t="s">
        <v>48</v>
      </c>
      <c r="S2065" t="s">
        <v>5174</v>
      </c>
      <c r="T2065" t="s">
        <v>48</v>
      </c>
      <c r="U2065" t="s">
        <v>5174</v>
      </c>
      <c r="V2065" s="47">
        <v>0</v>
      </c>
      <c r="W2065" t="s">
        <v>11318</v>
      </c>
      <c r="X2065" t="s">
        <v>48</v>
      </c>
      <c r="Y2065" t="s">
        <v>48</v>
      </c>
      <c r="Z2065">
        <v>0</v>
      </c>
      <c r="AA2065" t="s">
        <v>48</v>
      </c>
      <c r="AB2065" t="s">
        <v>48</v>
      </c>
      <c r="AC2065" t="s">
        <v>63</v>
      </c>
      <c r="AD2065" t="s">
        <v>951</v>
      </c>
      <c r="AE2065" s="40" t="s">
        <v>2471</v>
      </c>
      <c r="AF2065" t="s">
        <v>11096</v>
      </c>
      <c r="AG2065" t="s">
        <v>48</v>
      </c>
      <c r="AH2065" t="s">
        <v>48</v>
      </c>
      <c r="AI2065" t="s">
        <v>48</v>
      </c>
      <c r="AJ2065" t="s">
        <v>48</v>
      </c>
      <c r="AK2065" t="s">
        <v>48</v>
      </c>
      <c r="AL2065" t="s">
        <v>48</v>
      </c>
      <c r="AM2065" t="s">
        <v>48</v>
      </c>
      <c r="AN2065" t="s">
        <v>48</v>
      </c>
      <c r="AO2065" t="s">
        <v>48</v>
      </c>
      <c r="AP2065" s="46">
        <v>0</v>
      </c>
      <c r="AQ2065" s="46">
        <v>1</v>
      </c>
      <c r="AR2065" s="46">
        <v>1</v>
      </c>
      <c r="AS2065" s="46">
        <v>1</v>
      </c>
      <c r="AT2065" s="46">
        <v>0</v>
      </c>
      <c r="AU2065" s="46">
        <v>0</v>
      </c>
      <c r="AV2065" s="46">
        <v>0</v>
      </c>
      <c r="AW2065" s="46">
        <v>0</v>
      </c>
      <c r="AX2065" s="46">
        <v>0</v>
      </c>
      <c r="AY2065" s="46">
        <v>0</v>
      </c>
      <c r="AZ2065" s="46">
        <v>0</v>
      </c>
      <c r="BA2065" s="46">
        <v>0</v>
      </c>
      <c r="BB2065" s="46">
        <v>0</v>
      </c>
      <c r="BC2065" s="46">
        <v>0</v>
      </c>
      <c r="BD2065" s="46">
        <v>0</v>
      </c>
      <c r="BE2065" s="46">
        <v>0</v>
      </c>
      <c r="BF2065" s="46">
        <v>0</v>
      </c>
      <c r="BG2065" s="46" t="s">
        <v>48</v>
      </c>
      <c r="BH2065" s="46">
        <v>0</v>
      </c>
      <c r="BI2065" s="46">
        <v>0</v>
      </c>
      <c r="BJ2065" s="46">
        <v>0</v>
      </c>
      <c r="BK2065" s="46">
        <v>1</v>
      </c>
      <c r="BL2065" s="46">
        <v>0</v>
      </c>
      <c r="BM2065" s="46">
        <v>0</v>
      </c>
      <c r="BN2065" s="46">
        <v>0</v>
      </c>
    </row>
    <row r="2066" spans="1:66" x14ac:dyDescent="0.35">
      <c r="A2066" t="s">
        <v>5169</v>
      </c>
      <c r="B2066" t="s">
        <v>48</v>
      </c>
      <c r="C2066" t="s">
        <v>5171</v>
      </c>
      <c r="D2066" t="s">
        <v>221</v>
      </c>
      <c r="E2066" t="s">
        <v>5170</v>
      </c>
      <c r="F2066" t="s">
        <v>5159</v>
      </c>
      <c r="G2066" t="s">
        <v>47</v>
      </c>
      <c r="H2066">
        <v>0</v>
      </c>
      <c r="I2066" s="60" t="s">
        <v>78</v>
      </c>
      <c r="J2066" s="33" t="s">
        <v>45</v>
      </c>
      <c r="K2066" s="46">
        <v>0</v>
      </c>
      <c r="L2066">
        <v>21.5</v>
      </c>
      <c r="M2066" t="s">
        <v>48</v>
      </c>
      <c r="N2066" s="46">
        <v>0</v>
      </c>
      <c r="O2066" s="46">
        <v>0</v>
      </c>
      <c r="P2066" s="46">
        <v>0</v>
      </c>
      <c r="Q2066" t="s">
        <v>48</v>
      </c>
      <c r="R2066" t="s">
        <v>48</v>
      </c>
      <c r="S2066" t="s">
        <v>48</v>
      </c>
      <c r="T2066" t="s">
        <v>48</v>
      </c>
      <c r="U2066" t="s">
        <v>48</v>
      </c>
      <c r="V2066" s="47">
        <v>0</v>
      </c>
      <c r="W2066" t="s">
        <v>48</v>
      </c>
      <c r="X2066" t="s">
        <v>48</v>
      </c>
      <c r="Y2066" t="s">
        <v>48</v>
      </c>
      <c r="Z2066">
        <v>0</v>
      </c>
      <c r="AA2066" t="s">
        <v>48</v>
      </c>
      <c r="AB2066" t="s">
        <v>48</v>
      </c>
      <c r="AC2066" t="s">
        <v>49</v>
      </c>
      <c r="AD2066" t="s">
        <v>93</v>
      </c>
      <c r="AE2066" t="s">
        <v>4532</v>
      </c>
      <c r="AF2066" t="s">
        <v>48</v>
      </c>
      <c r="AG2066" t="s">
        <v>48</v>
      </c>
      <c r="AH2066" t="s">
        <v>48</v>
      </c>
      <c r="AI2066" t="s">
        <v>48</v>
      </c>
      <c r="AJ2066" t="s">
        <v>48</v>
      </c>
      <c r="AK2066" t="s">
        <v>48</v>
      </c>
      <c r="AL2066" t="s">
        <v>48</v>
      </c>
      <c r="AM2066" t="s">
        <v>48</v>
      </c>
      <c r="AN2066" t="s">
        <v>48</v>
      </c>
      <c r="AO2066" t="s">
        <v>48</v>
      </c>
      <c r="AP2066" s="46">
        <v>0</v>
      </c>
      <c r="AQ2066" s="46">
        <v>0</v>
      </c>
      <c r="AR2066" s="46">
        <v>0</v>
      </c>
      <c r="AS2066" s="46">
        <v>0</v>
      </c>
      <c r="AT2066" s="46">
        <v>0</v>
      </c>
      <c r="AU2066" s="46">
        <v>0</v>
      </c>
      <c r="AV2066" s="46">
        <v>0</v>
      </c>
      <c r="AW2066" s="46">
        <v>0</v>
      </c>
      <c r="AX2066" s="46">
        <v>0</v>
      </c>
      <c r="AY2066" s="46">
        <v>0</v>
      </c>
      <c r="AZ2066" s="46">
        <v>0</v>
      </c>
      <c r="BA2066" s="46">
        <v>0</v>
      </c>
      <c r="BB2066" s="46">
        <v>0</v>
      </c>
      <c r="BC2066" s="46">
        <v>0</v>
      </c>
      <c r="BD2066" s="46">
        <v>0</v>
      </c>
      <c r="BE2066" s="46">
        <v>0</v>
      </c>
      <c r="BF2066" s="46">
        <v>0</v>
      </c>
      <c r="BG2066" s="46" t="s">
        <v>48</v>
      </c>
      <c r="BH2066" s="46">
        <v>0</v>
      </c>
      <c r="BI2066" s="46">
        <v>0</v>
      </c>
      <c r="BJ2066" s="46">
        <v>0</v>
      </c>
      <c r="BK2066" s="46">
        <v>0</v>
      </c>
      <c r="BL2066" s="46">
        <v>0</v>
      </c>
      <c r="BM2066" s="46">
        <v>0</v>
      </c>
      <c r="BN2066" s="46">
        <v>0</v>
      </c>
    </row>
    <row r="2067" spans="1:66" x14ac:dyDescent="0.35">
      <c r="A2067" t="s">
        <v>5160</v>
      </c>
      <c r="B2067" s="44" t="s">
        <v>48</v>
      </c>
      <c r="C2067" t="s">
        <v>12197</v>
      </c>
      <c r="D2067" t="s">
        <v>5162</v>
      </c>
      <c r="E2067" t="s">
        <v>5161</v>
      </c>
      <c r="F2067" t="s">
        <v>5159</v>
      </c>
      <c r="G2067" t="s">
        <v>74</v>
      </c>
      <c r="H2067">
        <v>0</v>
      </c>
      <c r="I2067" s="60" t="s">
        <v>78</v>
      </c>
      <c r="J2067" s="33" t="s">
        <v>45</v>
      </c>
      <c r="K2067" s="46">
        <v>0</v>
      </c>
      <c r="L2067">
        <v>4.2</v>
      </c>
      <c r="M2067" t="s">
        <v>48</v>
      </c>
      <c r="N2067" s="46">
        <v>0</v>
      </c>
      <c r="O2067" s="46">
        <v>0</v>
      </c>
      <c r="P2067" s="46">
        <v>0</v>
      </c>
      <c r="Q2067" t="s">
        <v>48</v>
      </c>
      <c r="R2067" t="s">
        <v>48</v>
      </c>
      <c r="S2067" t="s">
        <v>48</v>
      </c>
      <c r="T2067" t="s">
        <v>48</v>
      </c>
      <c r="U2067" t="s">
        <v>48</v>
      </c>
      <c r="V2067" s="47">
        <v>0</v>
      </c>
      <c r="W2067" t="s">
        <v>48</v>
      </c>
      <c r="X2067" t="s">
        <v>48</v>
      </c>
      <c r="Y2067" t="s">
        <v>48</v>
      </c>
      <c r="Z2067">
        <v>0</v>
      </c>
      <c r="AA2067" t="s">
        <v>48</v>
      </c>
      <c r="AB2067" t="s">
        <v>48</v>
      </c>
      <c r="AC2067" t="s">
        <v>49</v>
      </c>
      <c r="AD2067" t="s">
        <v>93</v>
      </c>
      <c r="AE2067" s="40" t="s">
        <v>2471</v>
      </c>
      <c r="AF2067" t="s">
        <v>11155</v>
      </c>
      <c r="AG2067" t="s">
        <v>48</v>
      </c>
      <c r="AH2067" t="s">
        <v>48</v>
      </c>
      <c r="AI2067" t="s">
        <v>48</v>
      </c>
      <c r="AJ2067" t="s">
        <v>48</v>
      </c>
      <c r="AK2067" t="s">
        <v>48</v>
      </c>
      <c r="AL2067" t="s">
        <v>48</v>
      </c>
      <c r="AM2067" t="s">
        <v>48</v>
      </c>
      <c r="AN2067" t="s">
        <v>48</v>
      </c>
      <c r="AO2067" t="s">
        <v>48</v>
      </c>
      <c r="AP2067" s="46">
        <v>0</v>
      </c>
      <c r="AQ2067" s="46">
        <v>0</v>
      </c>
      <c r="AR2067" s="46">
        <v>0</v>
      </c>
      <c r="AS2067" s="46">
        <v>0</v>
      </c>
      <c r="AT2067" s="46">
        <v>0</v>
      </c>
      <c r="AU2067" s="46">
        <v>0</v>
      </c>
      <c r="AV2067" s="46">
        <v>0</v>
      </c>
      <c r="AW2067" s="46">
        <v>0</v>
      </c>
      <c r="AX2067" s="46">
        <v>0</v>
      </c>
      <c r="AY2067" s="46">
        <v>0</v>
      </c>
      <c r="AZ2067" s="46">
        <v>0</v>
      </c>
      <c r="BA2067" s="46">
        <v>0</v>
      </c>
      <c r="BB2067" s="46">
        <v>0</v>
      </c>
      <c r="BC2067" s="46">
        <v>0</v>
      </c>
      <c r="BD2067" s="46">
        <v>0</v>
      </c>
      <c r="BE2067" s="46">
        <v>0</v>
      </c>
      <c r="BF2067" s="46">
        <v>0</v>
      </c>
      <c r="BG2067" s="46" t="s">
        <v>48</v>
      </c>
      <c r="BH2067" s="46">
        <v>0</v>
      </c>
      <c r="BI2067" s="46">
        <v>0</v>
      </c>
      <c r="BJ2067" s="46">
        <v>0</v>
      </c>
      <c r="BK2067" s="46">
        <v>0</v>
      </c>
      <c r="BL2067" s="46">
        <v>0</v>
      </c>
      <c r="BM2067" s="46">
        <v>0</v>
      </c>
      <c r="BN2067" s="46">
        <v>0</v>
      </c>
    </row>
    <row r="2068" spans="1:66" x14ac:dyDescent="0.35">
      <c r="A2068" t="s">
        <v>5157</v>
      </c>
      <c r="B2068" s="44" t="s">
        <v>48</v>
      </c>
      <c r="C2068" t="s">
        <v>12201</v>
      </c>
      <c r="D2068" t="s">
        <v>12202</v>
      </c>
      <c r="E2068" t="s">
        <v>10772</v>
      </c>
      <c r="F2068" t="s">
        <v>5179</v>
      </c>
      <c r="G2068" t="s">
        <v>74</v>
      </c>
      <c r="H2068">
        <v>0</v>
      </c>
      <c r="I2068" s="61" t="s">
        <v>11160</v>
      </c>
      <c r="J2068" s="33" t="s">
        <v>45</v>
      </c>
      <c r="K2068" s="46">
        <v>0</v>
      </c>
      <c r="L2068">
        <v>1</v>
      </c>
      <c r="M2068" t="s">
        <v>48</v>
      </c>
      <c r="N2068" s="46">
        <v>0</v>
      </c>
      <c r="O2068" s="46">
        <v>0</v>
      </c>
      <c r="P2068" s="46">
        <v>0</v>
      </c>
      <c r="Q2068" t="s">
        <v>48</v>
      </c>
      <c r="R2068" t="s">
        <v>48</v>
      </c>
      <c r="S2068" t="s">
        <v>11324</v>
      </c>
      <c r="T2068" t="s">
        <v>48</v>
      </c>
      <c r="U2068" t="s">
        <v>5158</v>
      </c>
      <c r="V2068" s="47">
        <v>0</v>
      </c>
      <c r="W2068" t="s">
        <v>48</v>
      </c>
      <c r="X2068" t="s">
        <v>48</v>
      </c>
      <c r="Y2068" t="s">
        <v>48</v>
      </c>
      <c r="Z2068">
        <v>0</v>
      </c>
      <c r="AA2068" t="s">
        <v>48</v>
      </c>
      <c r="AB2068" t="s">
        <v>48</v>
      </c>
      <c r="AC2068" t="s">
        <v>63</v>
      </c>
      <c r="AD2068" t="s">
        <v>93</v>
      </c>
      <c r="AE2068" t="s">
        <v>977</v>
      </c>
      <c r="AF2068" t="s">
        <v>11053</v>
      </c>
      <c r="AG2068" t="s">
        <v>48</v>
      </c>
      <c r="AH2068" t="s">
        <v>48</v>
      </c>
      <c r="AI2068" t="s">
        <v>48</v>
      </c>
      <c r="AJ2068" t="s">
        <v>48</v>
      </c>
      <c r="AK2068" t="s">
        <v>48</v>
      </c>
      <c r="AL2068" t="s">
        <v>48</v>
      </c>
      <c r="AM2068" t="s">
        <v>48</v>
      </c>
      <c r="AN2068" t="s">
        <v>48</v>
      </c>
      <c r="AO2068" t="s">
        <v>48</v>
      </c>
      <c r="AP2068" s="46">
        <v>0</v>
      </c>
      <c r="AQ2068" s="46">
        <v>0</v>
      </c>
      <c r="AR2068" s="46">
        <v>0</v>
      </c>
      <c r="AS2068" s="46">
        <v>0</v>
      </c>
      <c r="AT2068" s="46">
        <v>0</v>
      </c>
      <c r="AU2068" s="46">
        <v>0</v>
      </c>
      <c r="AV2068" s="46">
        <v>0</v>
      </c>
      <c r="AW2068" s="46">
        <v>0</v>
      </c>
      <c r="AX2068" s="46">
        <v>0</v>
      </c>
      <c r="AY2068" s="46">
        <v>0</v>
      </c>
      <c r="AZ2068" s="46">
        <v>0</v>
      </c>
      <c r="BA2068" s="46">
        <v>0</v>
      </c>
      <c r="BB2068" s="46">
        <v>0</v>
      </c>
      <c r="BC2068" s="46">
        <v>0</v>
      </c>
      <c r="BD2068" s="46">
        <v>0</v>
      </c>
      <c r="BE2068" s="46">
        <v>0</v>
      </c>
      <c r="BF2068" s="46">
        <v>0</v>
      </c>
      <c r="BG2068" s="46" t="s">
        <v>48</v>
      </c>
      <c r="BH2068" s="46">
        <v>0</v>
      </c>
      <c r="BI2068" s="46">
        <v>0</v>
      </c>
      <c r="BJ2068" s="46">
        <v>0</v>
      </c>
      <c r="BK2068" s="46">
        <v>0</v>
      </c>
      <c r="BL2068" s="46">
        <v>0</v>
      </c>
      <c r="BM2068" s="46">
        <v>0</v>
      </c>
      <c r="BN2068" s="46">
        <v>0</v>
      </c>
    </row>
    <row r="2069" spans="1:66" x14ac:dyDescent="0.35">
      <c r="A2069" t="s">
        <v>5182</v>
      </c>
      <c r="B2069" s="44" t="s">
        <v>48</v>
      </c>
      <c r="C2069" t="s">
        <v>5186</v>
      </c>
      <c r="D2069" t="s">
        <v>1264</v>
      </c>
      <c r="E2069" t="s">
        <v>5183</v>
      </c>
      <c r="F2069" t="s">
        <v>5179</v>
      </c>
      <c r="G2069" t="s">
        <v>74</v>
      </c>
      <c r="H2069">
        <v>0</v>
      </c>
      <c r="I2069" s="60" t="s">
        <v>51</v>
      </c>
      <c r="J2069" s="33" t="s">
        <v>45</v>
      </c>
      <c r="K2069" s="46">
        <v>1</v>
      </c>
      <c r="L2069">
        <v>24.4</v>
      </c>
      <c r="M2069" t="s">
        <v>48</v>
      </c>
      <c r="N2069" s="46">
        <v>0</v>
      </c>
      <c r="O2069" s="46">
        <v>0</v>
      </c>
      <c r="P2069" s="46">
        <v>0</v>
      </c>
      <c r="Q2069" t="s">
        <v>48</v>
      </c>
      <c r="R2069" t="s">
        <v>48</v>
      </c>
      <c r="S2069" t="s">
        <v>5184</v>
      </c>
      <c r="T2069" t="s">
        <v>5185</v>
      </c>
      <c r="U2069" t="s">
        <v>5184</v>
      </c>
      <c r="V2069" s="47">
        <v>0</v>
      </c>
      <c r="W2069" t="s">
        <v>48</v>
      </c>
      <c r="X2069" t="s">
        <v>48</v>
      </c>
      <c r="Y2069" t="s">
        <v>48</v>
      </c>
      <c r="Z2069">
        <v>0</v>
      </c>
      <c r="AA2069" t="s">
        <v>48</v>
      </c>
      <c r="AB2069">
        <v>1992</v>
      </c>
      <c r="AC2069" t="s">
        <v>63</v>
      </c>
      <c r="AD2069" t="s">
        <v>93</v>
      </c>
      <c r="AE2069" t="s">
        <v>4532</v>
      </c>
      <c r="AF2069" t="s">
        <v>48</v>
      </c>
      <c r="AG2069" t="s">
        <v>466</v>
      </c>
      <c r="AH2069" t="s">
        <v>93</v>
      </c>
      <c r="AI2069">
        <v>29379</v>
      </c>
      <c r="AJ2069">
        <v>1946</v>
      </c>
      <c r="AK2069" t="s">
        <v>9148</v>
      </c>
      <c r="AL2069" t="s">
        <v>9149</v>
      </c>
      <c r="AM2069">
        <v>-0.38700000000000001</v>
      </c>
      <c r="AN2069">
        <v>-0.28199999999999997</v>
      </c>
      <c r="AO2069">
        <v>-0.38700000000000001</v>
      </c>
      <c r="AP2069" s="46">
        <v>0</v>
      </c>
      <c r="AQ2069" s="46">
        <v>0</v>
      </c>
      <c r="AR2069" s="46">
        <v>0</v>
      </c>
      <c r="AS2069" s="46">
        <v>0</v>
      </c>
      <c r="AT2069" s="46">
        <v>1</v>
      </c>
      <c r="AU2069" s="46">
        <v>0</v>
      </c>
      <c r="AV2069" s="46">
        <v>0</v>
      </c>
      <c r="AW2069" s="46">
        <v>0</v>
      </c>
      <c r="AX2069" s="46">
        <v>0</v>
      </c>
      <c r="AY2069" s="46">
        <v>0</v>
      </c>
      <c r="AZ2069" s="46">
        <v>0</v>
      </c>
      <c r="BA2069" s="46">
        <v>0</v>
      </c>
      <c r="BB2069" s="46">
        <v>0</v>
      </c>
      <c r="BC2069" s="46">
        <v>0</v>
      </c>
      <c r="BD2069" s="46">
        <v>0</v>
      </c>
      <c r="BE2069" s="46">
        <v>0</v>
      </c>
      <c r="BF2069" s="46">
        <v>0</v>
      </c>
      <c r="BG2069" s="46" t="s">
        <v>48</v>
      </c>
      <c r="BH2069" s="46">
        <v>0</v>
      </c>
      <c r="BI2069" s="46">
        <v>0</v>
      </c>
      <c r="BJ2069" s="46">
        <v>0</v>
      </c>
      <c r="BK2069" s="46">
        <v>0</v>
      </c>
      <c r="BL2069" s="46">
        <v>0</v>
      </c>
      <c r="BM2069" s="46">
        <v>0</v>
      </c>
      <c r="BN2069" s="46">
        <v>0</v>
      </c>
    </row>
    <row r="2070" spans="1:66" x14ac:dyDescent="0.35">
      <c r="A2070" t="s">
        <v>5187</v>
      </c>
      <c r="B2070" s="44" t="s">
        <v>48</v>
      </c>
      <c r="C2070" t="s">
        <v>389</v>
      </c>
      <c r="D2070" t="s">
        <v>5190</v>
      </c>
      <c r="E2070" t="s">
        <v>5188</v>
      </c>
      <c r="F2070" t="s">
        <v>5179</v>
      </c>
      <c r="G2070" t="s">
        <v>74</v>
      </c>
      <c r="H2070">
        <v>0</v>
      </c>
      <c r="I2070" s="60" t="s">
        <v>125</v>
      </c>
      <c r="J2070" s="33" t="s">
        <v>45</v>
      </c>
      <c r="K2070" s="46">
        <v>0</v>
      </c>
      <c r="L2070">
        <v>19.2</v>
      </c>
      <c r="M2070" t="s">
        <v>48</v>
      </c>
      <c r="N2070" s="46">
        <v>0</v>
      </c>
      <c r="O2070" s="46">
        <v>0</v>
      </c>
      <c r="P2070" s="46">
        <v>0</v>
      </c>
      <c r="Q2070" t="s">
        <v>48</v>
      </c>
      <c r="R2070" t="s">
        <v>48</v>
      </c>
      <c r="S2070" t="s">
        <v>5189</v>
      </c>
      <c r="T2070" t="s">
        <v>48</v>
      </c>
      <c r="U2070" t="s">
        <v>5189</v>
      </c>
      <c r="V2070" s="47">
        <v>0</v>
      </c>
      <c r="W2070" t="s">
        <v>48</v>
      </c>
      <c r="X2070" t="s">
        <v>48</v>
      </c>
      <c r="Y2070" t="s">
        <v>48</v>
      </c>
      <c r="Z2070">
        <v>0</v>
      </c>
      <c r="AA2070" t="s">
        <v>48</v>
      </c>
      <c r="AB2070" t="s">
        <v>48</v>
      </c>
      <c r="AC2070" t="s">
        <v>49</v>
      </c>
      <c r="AD2070" t="s">
        <v>93</v>
      </c>
      <c r="AE2070" t="s">
        <v>977</v>
      </c>
      <c r="AF2070" t="s">
        <v>11053</v>
      </c>
      <c r="AG2070" t="s">
        <v>48</v>
      </c>
      <c r="AH2070" t="s">
        <v>48</v>
      </c>
      <c r="AI2070" t="s">
        <v>48</v>
      </c>
      <c r="AJ2070" t="s">
        <v>48</v>
      </c>
      <c r="AK2070" t="s">
        <v>48</v>
      </c>
      <c r="AL2070" t="s">
        <v>48</v>
      </c>
      <c r="AM2070" t="s">
        <v>48</v>
      </c>
      <c r="AN2070" t="s">
        <v>48</v>
      </c>
      <c r="AO2070" t="s">
        <v>48</v>
      </c>
      <c r="AP2070" s="46">
        <v>0</v>
      </c>
      <c r="AQ2070" s="46">
        <v>0</v>
      </c>
      <c r="AR2070" s="46">
        <v>0</v>
      </c>
      <c r="AS2070" s="46">
        <v>0</v>
      </c>
      <c r="AT2070" s="46">
        <v>0</v>
      </c>
      <c r="AU2070" s="46">
        <v>0</v>
      </c>
      <c r="AV2070" s="46">
        <v>0</v>
      </c>
      <c r="AW2070" s="46">
        <v>0</v>
      </c>
      <c r="AX2070" s="46">
        <v>0</v>
      </c>
      <c r="AY2070" s="46">
        <v>0</v>
      </c>
      <c r="AZ2070" s="46">
        <v>0</v>
      </c>
      <c r="BA2070" s="46">
        <v>0</v>
      </c>
      <c r="BB2070" s="46">
        <v>0</v>
      </c>
      <c r="BC2070" s="46">
        <v>0</v>
      </c>
      <c r="BD2070" s="46">
        <v>0</v>
      </c>
      <c r="BE2070" s="46">
        <v>0</v>
      </c>
      <c r="BF2070" s="46">
        <v>0</v>
      </c>
      <c r="BG2070" s="46" t="s">
        <v>48</v>
      </c>
      <c r="BH2070" s="46">
        <v>0</v>
      </c>
      <c r="BI2070" s="46">
        <v>0</v>
      </c>
      <c r="BJ2070" s="46">
        <v>0</v>
      </c>
      <c r="BK2070" s="46">
        <v>0</v>
      </c>
      <c r="BL2070" s="46">
        <v>0</v>
      </c>
      <c r="BM2070" s="46">
        <v>0</v>
      </c>
      <c r="BN2070" s="46">
        <v>0</v>
      </c>
    </row>
    <row r="2071" spans="1:66" x14ac:dyDescent="0.35">
      <c r="A2071" t="s">
        <v>10775</v>
      </c>
      <c r="B2071" s="44" t="s">
        <v>48</v>
      </c>
      <c r="C2071" t="s">
        <v>12204</v>
      </c>
      <c r="D2071" t="s">
        <v>4392</v>
      </c>
      <c r="E2071" t="s">
        <v>10776</v>
      </c>
      <c r="F2071" t="s">
        <v>5195</v>
      </c>
      <c r="G2071" t="s">
        <v>74</v>
      </c>
      <c r="H2071">
        <v>0</v>
      </c>
      <c r="I2071" s="61">
        <v>44806</v>
      </c>
      <c r="J2071" s="33" t="s">
        <v>45</v>
      </c>
      <c r="K2071" s="46">
        <v>0</v>
      </c>
      <c r="L2071">
        <v>6.2</v>
      </c>
      <c r="M2071" t="s">
        <v>48</v>
      </c>
      <c r="N2071" s="46">
        <v>0</v>
      </c>
      <c r="O2071" s="46">
        <v>0</v>
      </c>
      <c r="P2071" s="46">
        <v>0</v>
      </c>
      <c r="Q2071" t="s">
        <v>48</v>
      </c>
      <c r="R2071" t="s">
        <v>48</v>
      </c>
      <c r="S2071" t="s">
        <v>48</v>
      </c>
      <c r="T2071" t="s">
        <v>48</v>
      </c>
      <c r="U2071" t="s">
        <v>48</v>
      </c>
      <c r="V2071" s="47">
        <v>1</v>
      </c>
      <c r="W2071" t="s">
        <v>48</v>
      </c>
      <c r="X2071" t="s">
        <v>48</v>
      </c>
      <c r="Y2071" t="s">
        <v>48</v>
      </c>
      <c r="Z2071">
        <v>0</v>
      </c>
      <c r="AA2071" t="s">
        <v>48</v>
      </c>
      <c r="AB2071" t="s">
        <v>48</v>
      </c>
      <c r="AC2071" t="s">
        <v>49</v>
      </c>
      <c r="AD2071" t="s">
        <v>48</v>
      </c>
      <c r="AE2071" t="s">
        <v>48</v>
      </c>
      <c r="AF2071" t="s">
        <v>48</v>
      </c>
      <c r="AG2071" t="s">
        <v>48</v>
      </c>
      <c r="AH2071" t="s">
        <v>48</v>
      </c>
      <c r="AI2071" t="s">
        <v>48</v>
      </c>
      <c r="AJ2071" t="s">
        <v>48</v>
      </c>
      <c r="AK2071" t="s">
        <v>48</v>
      </c>
      <c r="AL2071" t="s">
        <v>48</v>
      </c>
      <c r="AM2071" t="s">
        <v>48</v>
      </c>
      <c r="AN2071" t="s">
        <v>48</v>
      </c>
      <c r="AO2071" t="s">
        <v>48</v>
      </c>
      <c r="AP2071" s="46">
        <v>0</v>
      </c>
      <c r="AQ2071" s="46">
        <v>0</v>
      </c>
      <c r="AR2071" s="46">
        <v>0</v>
      </c>
      <c r="AS2071" s="46">
        <v>0</v>
      </c>
      <c r="AT2071" s="46">
        <v>0</v>
      </c>
      <c r="AU2071" s="46">
        <v>0</v>
      </c>
      <c r="AV2071" s="46">
        <v>0</v>
      </c>
      <c r="AW2071" s="46">
        <v>0</v>
      </c>
      <c r="AX2071" s="46">
        <v>0</v>
      </c>
      <c r="AY2071" s="46">
        <v>0</v>
      </c>
      <c r="AZ2071" s="46">
        <v>0</v>
      </c>
      <c r="BA2071" s="46">
        <v>0</v>
      </c>
      <c r="BB2071" s="46">
        <v>0</v>
      </c>
      <c r="BC2071" s="46">
        <v>0</v>
      </c>
      <c r="BD2071" s="46">
        <v>0</v>
      </c>
      <c r="BE2071" s="46">
        <v>0</v>
      </c>
      <c r="BF2071" s="46">
        <v>0</v>
      </c>
      <c r="BG2071" s="46" t="s">
        <v>48</v>
      </c>
      <c r="BH2071" s="46">
        <v>0</v>
      </c>
      <c r="BI2071" s="46">
        <v>0</v>
      </c>
      <c r="BJ2071" s="46">
        <v>0</v>
      </c>
      <c r="BK2071" s="46">
        <v>0</v>
      </c>
      <c r="BL2071" s="46">
        <v>0</v>
      </c>
      <c r="BM2071" s="46">
        <v>0</v>
      </c>
      <c r="BN2071" s="46">
        <v>0</v>
      </c>
    </row>
    <row r="2072" spans="1:66" x14ac:dyDescent="0.35">
      <c r="A2072" t="s">
        <v>10773</v>
      </c>
      <c r="B2072" s="44" t="s">
        <v>48</v>
      </c>
      <c r="C2072" t="s">
        <v>12203</v>
      </c>
      <c r="D2072" t="s">
        <v>396</v>
      </c>
      <c r="E2072" t="s">
        <v>10774</v>
      </c>
      <c r="F2072" t="s">
        <v>5195</v>
      </c>
      <c r="G2072" t="s">
        <v>74</v>
      </c>
      <c r="H2072">
        <v>0</v>
      </c>
      <c r="I2072" s="61">
        <v>44806</v>
      </c>
      <c r="J2072" s="33" t="s">
        <v>45</v>
      </c>
      <c r="K2072" s="46">
        <v>0</v>
      </c>
      <c r="L2072">
        <v>12.8</v>
      </c>
      <c r="M2072" t="s">
        <v>48</v>
      </c>
      <c r="N2072" s="46">
        <v>0</v>
      </c>
      <c r="O2072" s="46">
        <v>0</v>
      </c>
      <c r="P2072" s="46">
        <v>0</v>
      </c>
      <c r="Q2072" t="s">
        <v>48</v>
      </c>
      <c r="R2072" t="s">
        <v>48</v>
      </c>
      <c r="S2072" t="s">
        <v>48</v>
      </c>
      <c r="T2072" t="s">
        <v>48</v>
      </c>
      <c r="U2072" t="s">
        <v>48</v>
      </c>
      <c r="V2072" s="47">
        <v>1</v>
      </c>
      <c r="W2072" t="s">
        <v>48</v>
      </c>
      <c r="X2072" t="s">
        <v>48</v>
      </c>
      <c r="Y2072" t="s">
        <v>48</v>
      </c>
      <c r="Z2072">
        <v>0</v>
      </c>
      <c r="AA2072" t="s">
        <v>48</v>
      </c>
      <c r="AB2072" t="s">
        <v>48</v>
      </c>
      <c r="AC2072" t="s">
        <v>49</v>
      </c>
      <c r="AD2072" t="s">
        <v>48</v>
      </c>
      <c r="AE2072" t="s">
        <v>48</v>
      </c>
      <c r="AF2072" t="s">
        <v>48</v>
      </c>
      <c r="AG2072" t="s">
        <v>48</v>
      </c>
      <c r="AH2072" t="s">
        <v>48</v>
      </c>
      <c r="AI2072" t="s">
        <v>48</v>
      </c>
      <c r="AJ2072" t="s">
        <v>48</v>
      </c>
      <c r="AK2072" t="s">
        <v>48</v>
      </c>
      <c r="AL2072" t="s">
        <v>48</v>
      </c>
      <c r="AM2072" t="s">
        <v>48</v>
      </c>
      <c r="AN2072" t="s">
        <v>48</v>
      </c>
      <c r="AO2072" t="s">
        <v>48</v>
      </c>
      <c r="AP2072" s="46">
        <v>0</v>
      </c>
      <c r="AQ2072" s="46">
        <v>0</v>
      </c>
      <c r="AR2072" s="46">
        <v>0</v>
      </c>
      <c r="AS2072" s="46">
        <v>0</v>
      </c>
      <c r="AT2072" s="46">
        <v>0</v>
      </c>
      <c r="AU2072" s="46">
        <v>0</v>
      </c>
      <c r="AV2072" s="46">
        <v>0</v>
      </c>
      <c r="AW2072" s="46">
        <v>0</v>
      </c>
      <c r="AX2072" s="46">
        <v>0</v>
      </c>
      <c r="AY2072" s="46">
        <v>0</v>
      </c>
      <c r="AZ2072" s="46">
        <v>0</v>
      </c>
      <c r="BA2072" s="46">
        <v>0</v>
      </c>
      <c r="BB2072" s="46">
        <v>0</v>
      </c>
      <c r="BC2072" s="46">
        <v>0</v>
      </c>
      <c r="BD2072" s="46">
        <v>0</v>
      </c>
      <c r="BE2072" s="46">
        <v>0</v>
      </c>
      <c r="BF2072" s="46">
        <v>0</v>
      </c>
      <c r="BG2072" s="46" t="s">
        <v>48</v>
      </c>
      <c r="BH2072" s="46">
        <v>0</v>
      </c>
      <c r="BI2072" s="46">
        <v>0</v>
      </c>
      <c r="BJ2072" s="46">
        <v>0</v>
      </c>
      <c r="BK2072" s="46">
        <v>0</v>
      </c>
      <c r="BL2072" s="46">
        <v>0</v>
      </c>
      <c r="BM2072" s="46">
        <v>0</v>
      </c>
      <c r="BN2072" s="46">
        <v>0</v>
      </c>
    </row>
    <row r="2073" spans="1:66" x14ac:dyDescent="0.35">
      <c r="A2073" t="s">
        <v>5203</v>
      </c>
      <c r="B2073" t="s">
        <v>48</v>
      </c>
      <c r="C2073" t="s">
        <v>5207</v>
      </c>
      <c r="D2073" t="s">
        <v>5206</v>
      </c>
      <c r="E2073" t="s">
        <v>5204</v>
      </c>
      <c r="F2073" t="s">
        <v>5202</v>
      </c>
      <c r="G2073" t="s">
        <v>47</v>
      </c>
      <c r="H2073">
        <v>0</v>
      </c>
      <c r="I2073" s="60" t="s">
        <v>51</v>
      </c>
      <c r="J2073" s="33" t="s">
        <v>45</v>
      </c>
      <c r="K2073" s="46">
        <v>0</v>
      </c>
      <c r="L2073">
        <v>32.1</v>
      </c>
      <c r="M2073" t="s">
        <v>48</v>
      </c>
      <c r="N2073" s="46">
        <v>0</v>
      </c>
      <c r="O2073" s="46">
        <v>0</v>
      </c>
      <c r="P2073" s="46">
        <v>0</v>
      </c>
      <c r="Q2073" t="s">
        <v>48</v>
      </c>
      <c r="R2073" t="s">
        <v>48</v>
      </c>
      <c r="S2073" t="s">
        <v>5205</v>
      </c>
      <c r="T2073" t="s">
        <v>48</v>
      </c>
      <c r="U2073" t="s">
        <v>5205</v>
      </c>
      <c r="V2073" s="47">
        <v>0</v>
      </c>
      <c r="W2073" t="s">
        <v>48</v>
      </c>
      <c r="X2073" t="s">
        <v>48</v>
      </c>
      <c r="Y2073" t="s">
        <v>48</v>
      </c>
      <c r="Z2073">
        <v>0</v>
      </c>
      <c r="AA2073" t="s">
        <v>48</v>
      </c>
      <c r="AB2073" t="s">
        <v>48</v>
      </c>
      <c r="AC2073" t="s">
        <v>49</v>
      </c>
      <c r="AD2073" t="s">
        <v>951</v>
      </c>
      <c r="AE2073" s="40" t="s">
        <v>11051</v>
      </c>
      <c r="AF2073" t="s">
        <v>11063</v>
      </c>
      <c r="AG2073" t="s">
        <v>48</v>
      </c>
      <c r="AH2073" t="s">
        <v>48</v>
      </c>
      <c r="AI2073" t="s">
        <v>48</v>
      </c>
      <c r="AJ2073" t="s">
        <v>48</v>
      </c>
      <c r="AK2073" t="s">
        <v>48</v>
      </c>
      <c r="AL2073" t="s">
        <v>48</v>
      </c>
      <c r="AM2073" t="s">
        <v>48</v>
      </c>
      <c r="AN2073" t="s">
        <v>48</v>
      </c>
      <c r="AO2073" t="s">
        <v>48</v>
      </c>
      <c r="AP2073" s="46">
        <v>0</v>
      </c>
      <c r="AQ2073" s="46">
        <v>0</v>
      </c>
      <c r="AR2073" s="46">
        <v>0</v>
      </c>
      <c r="AS2073" s="46">
        <v>0</v>
      </c>
      <c r="AT2073" s="46">
        <v>0</v>
      </c>
      <c r="AU2073" s="46">
        <v>0</v>
      </c>
      <c r="AV2073" s="46">
        <v>0</v>
      </c>
      <c r="AW2073" s="46">
        <v>0</v>
      </c>
      <c r="AX2073" s="46">
        <v>0</v>
      </c>
      <c r="AY2073" s="46">
        <v>0</v>
      </c>
      <c r="AZ2073" s="46">
        <v>0</v>
      </c>
      <c r="BA2073" s="46">
        <v>0</v>
      </c>
      <c r="BB2073" s="46">
        <v>0</v>
      </c>
      <c r="BC2073" s="46">
        <v>0</v>
      </c>
      <c r="BD2073" s="46">
        <v>0</v>
      </c>
      <c r="BE2073" s="46">
        <v>0</v>
      </c>
      <c r="BF2073" s="46">
        <v>0</v>
      </c>
      <c r="BG2073" s="46" t="s">
        <v>48</v>
      </c>
      <c r="BH2073" s="46">
        <v>0</v>
      </c>
      <c r="BI2073" s="46">
        <v>0</v>
      </c>
      <c r="BJ2073" s="46">
        <v>0</v>
      </c>
      <c r="BK2073" s="46">
        <v>0</v>
      </c>
      <c r="BL2073" s="46">
        <v>0</v>
      </c>
      <c r="BM2073" s="46">
        <v>0</v>
      </c>
      <c r="BN2073" s="46">
        <v>0</v>
      </c>
    </row>
    <row r="2074" spans="1:66" x14ac:dyDescent="0.35">
      <c r="A2074" t="s">
        <v>10779</v>
      </c>
      <c r="B2074" s="44" t="s">
        <v>48</v>
      </c>
      <c r="C2074" t="s">
        <v>12211</v>
      </c>
      <c r="D2074" t="s">
        <v>5037</v>
      </c>
      <c r="E2074" t="s">
        <v>10780</v>
      </c>
      <c r="F2074" t="s">
        <v>5225</v>
      </c>
      <c r="G2074" t="s">
        <v>74</v>
      </c>
      <c r="H2074">
        <v>0</v>
      </c>
      <c r="I2074" s="60" t="s">
        <v>11552</v>
      </c>
      <c r="J2074" s="33" t="s">
        <v>45</v>
      </c>
      <c r="K2074" s="46">
        <v>0</v>
      </c>
      <c r="L2074">
        <v>18</v>
      </c>
      <c r="M2074" t="s">
        <v>48</v>
      </c>
      <c r="N2074" s="46">
        <v>0</v>
      </c>
      <c r="O2074" s="46">
        <v>0</v>
      </c>
      <c r="P2074" s="46">
        <v>0</v>
      </c>
      <c r="Q2074" t="s">
        <v>48</v>
      </c>
      <c r="R2074" t="s">
        <v>48</v>
      </c>
      <c r="S2074" t="s">
        <v>11521</v>
      </c>
      <c r="T2074" t="s">
        <v>48</v>
      </c>
      <c r="U2074" t="s">
        <v>10781</v>
      </c>
      <c r="V2074" s="47">
        <v>0</v>
      </c>
      <c r="W2074" t="s">
        <v>48</v>
      </c>
      <c r="X2074" t="s">
        <v>48</v>
      </c>
      <c r="Y2074" t="s">
        <v>48</v>
      </c>
      <c r="Z2074">
        <v>0</v>
      </c>
      <c r="AA2074" t="s">
        <v>48</v>
      </c>
      <c r="AB2074" t="s">
        <v>48</v>
      </c>
      <c r="AC2074" t="s">
        <v>63</v>
      </c>
      <c r="AD2074" t="s">
        <v>93</v>
      </c>
      <c r="AE2074" s="40" t="s">
        <v>4532</v>
      </c>
      <c r="AF2074" t="s">
        <v>48</v>
      </c>
      <c r="AG2074" t="s">
        <v>48</v>
      </c>
      <c r="AH2074" t="s">
        <v>48</v>
      </c>
      <c r="AI2074" t="s">
        <v>48</v>
      </c>
      <c r="AJ2074" t="s">
        <v>48</v>
      </c>
      <c r="AK2074" t="s">
        <v>48</v>
      </c>
      <c r="AL2074" t="s">
        <v>48</v>
      </c>
      <c r="AM2074" t="s">
        <v>48</v>
      </c>
      <c r="AN2074" t="s">
        <v>48</v>
      </c>
      <c r="AO2074" t="s">
        <v>48</v>
      </c>
      <c r="AP2074" s="46">
        <v>0</v>
      </c>
      <c r="AQ2074" s="46">
        <v>0</v>
      </c>
      <c r="AR2074" s="46">
        <v>0</v>
      </c>
      <c r="AS2074" s="46">
        <v>0</v>
      </c>
      <c r="AT2074" s="46">
        <v>0</v>
      </c>
      <c r="AU2074" s="46">
        <v>0</v>
      </c>
      <c r="AV2074" s="46">
        <v>0</v>
      </c>
      <c r="AW2074" s="46">
        <v>0</v>
      </c>
      <c r="AX2074" s="46">
        <v>0</v>
      </c>
      <c r="AY2074" s="46">
        <v>0</v>
      </c>
      <c r="AZ2074" s="46">
        <v>0</v>
      </c>
      <c r="BA2074" s="46">
        <v>0</v>
      </c>
      <c r="BB2074" s="46">
        <v>0</v>
      </c>
      <c r="BC2074" s="46">
        <v>0</v>
      </c>
      <c r="BD2074" s="46">
        <v>0</v>
      </c>
      <c r="BE2074" s="46">
        <v>0</v>
      </c>
      <c r="BF2074" s="46">
        <v>0</v>
      </c>
      <c r="BG2074" s="46" t="s">
        <v>48</v>
      </c>
      <c r="BH2074" s="46">
        <v>0</v>
      </c>
      <c r="BI2074" s="46">
        <v>0</v>
      </c>
      <c r="BJ2074" s="46">
        <v>0</v>
      </c>
      <c r="BK2074" s="46">
        <v>0</v>
      </c>
      <c r="BL2074" s="46">
        <v>0</v>
      </c>
      <c r="BM2074" s="46">
        <v>0</v>
      </c>
      <c r="BN2074" s="46">
        <v>0</v>
      </c>
    </row>
    <row r="2075" spans="1:66" x14ac:dyDescent="0.35">
      <c r="A2075" t="s">
        <v>10785</v>
      </c>
      <c r="B2075" t="s">
        <v>48</v>
      </c>
      <c r="C2075" t="s">
        <v>12207</v>
      </c>
      <c r="D2075" t="s">
        <v>221</v>
      </c>
      <c r="E2075" t="s">
        <v>10786</v>
      </c>
      <c r="F2075" t="s">
        <v>5225</v>
      </c>
      <c r="G2075" t="s">
        <v>47</v>
      </c>
      <c r="H2075">
        <v>0</v>
      </c>
      <c r="I2075" s="61">
        <v>44806</v>
      </c>
      <c r="J2075" s="33" t="s">
        <v>45</v>
      </c>
      <c r="K2075" s="46">
        <v>0</v>
      </c>
      <c r="L2075">
        <v>100</v>
      </c>
      <c r="M2075" t="s">
        <v>48</v>
      </c>
      <c r="N2075" s="46">
        <v>0</v>
      </c>
      <c r="O2075" s="46">
        <v>0</v>
      </c>
      <c r="P2075" s="46">
        <v>0</v>
      </c>
      <c r="Q2075" t="s">
        <v>48</v>
      </c>
      <c r="R2075" t="s">
        <v>48</v>
      </c>
      <c r="S2075" t="s">
        <v>48</v>
      </c>
      <c r="T2075" t="s">
        <v>48</v>
      </c>
      <c r="U2075" t="s">
        <v>48</v>
      </c>
      <c r="V2075" s="47">
        <v>1</v>
      </c>
      <c r="W2075" t="s">
        <v>11264</v>
      </c>
      <c r="X2075" t="s">
        <v>48</v>
      </c>
      <c r="Y2075" t="s">
        <v>48</v>
      </c>
      <c r="Z2075">
        <v>0</v>
      </c>
      <c r="AA2075" t="s">
        <v>11236</v>
      </c>
      <c r="AB2075" t="s">
        <v>48</v>
      </c>
      <c r="AC2075" t="s">
        <v>49</v>
      </c>
      <c r="AD2075" t="s">
        <v>48</v>
      </c>
      <c r="AE2075" s="40" t="s">
        <v>48</v>
      </c>
      <c r="AF2075" t="s">
        <v>48</v>
      </c>
      <c r="AG2075" t="s">
        <v>48</v>
      </c>
      <c r="AH2075" t="s">
        <v>48</v>
      </c>
      <c r="AI2075" t="s">
        <v>48</v>
      </c>
      <c r="AJ2075" t="s">
        <v>48</v>
      </c>
      <c r="AK2075" t="s">
        <v>48</v>
      </c>
      <c r="AL2075" t="s">
        <v>48</v>
      </c>
      <c r="AM2075" t="s">
        <v>48</v>
      </c>
      <c r="AN2075" t="s">
        <v>48</v>
      </c>
      <c r="AO2075" t="s">
        <v>48</v>
      </c>
      <c r="AP2075" s="46">
        <v>0</v>
      </c>
      <c r="AQ2075" s="46">
        <v>0</v>
      </c>
      <c r="AR2075" s="46">
        <v>0</v>
      </c>
      <c r="AS2075" s="46">
        <v>0</v>
      </c>
      <c r="AT2075" s="46">
        <v>0</v>
      </c>
      <c r="AU2075" s="46">
        <v>0</v>
      </c>
      <c r="AV2075" s="46">
        <v>0</v>
      </c>
      <c r="AW2075" s="46">
        <v>0</v>
      </c>
      <c r="AX2075" s="46">
        <v>0</v>
      </c>
      <c r="AY2075" s="46">
        <v>0</v>
      </c>
      <c r="AZ2075" s="46">
        <v>0</v>
      </c>
      <c r="BA2075" s="46">
        <v>0</v>
      </c>
      <c r="BB2075" s="46">
        <v>0</v>
      </c>
      <c r="BC2075" s="46">
        <v>0</v>
      </c>
      <c r="BD2075" s="46">
        <v>0</v>
      </c>
      <c r="BE2075" s="46">
        <v>0</v>
      </c>
      <c r="BF2075" s="46">
        <v>0</v>
      </c>
      <c r="BG2075" s="46" t="s">
        <v>48</v>
      </c>
      <c r="BH2075" s="46">
        <v>0</v>
      </c>
      <c r="BI2075" s="46">
        <v>0</v>
      </c>
      <c r="BJ2075" s="46">
        <v>0</v>
      </c>
      <c r="BK2075" s="46">
        <v>0</v>
      </c>
      <c r="BL2075" s="46">
        <v>0</v>
      </c>
      <c r="BM2075" s="46">
        <v>0</v>
      </c>
      <c r="BN2075" s="46">
        <v>0</v>
      </c>
    </row>
    <row r="2076" spans="1:66" x14ac:dyDescent="0.35">
      <c r="A2076" t="s">
        <v>10782</v>
      </c>
      <c r="B2076" s="44" t="s">
        <v>48</v>
      </c>
      <c r="C2076" t="s">
        <v>12208</v>
      </c>
      <c r="D2076" t="s">
        <v>655</v>
      </c>
      <c r="E2076" t="s">
        <v>10783</v>
      </c>
      <c r="F2076" t="s">
        <v>5225</v>
      </c>
      <c r="G2076" t="s">
        <v>74</v>
      </c>
      <c r="H2076">
        <v>0</v>
      </c>
      <c r="I2076" s="60" t="s">
        <v>11552</v>
      </c>
      <c r="J2076" s="33" t="s">
        <v>45</v>
      </c>
      <c r="K2076" s="46">
        <v>0</v>
      </c>
      <c r="L2076">
        <v>1.8</v>
      </c>
      <c r="M2076" t="s">
        <v>48</v>
      </c>
      <c r="N2076" s="46">
        <v>0</v>
      </c>
      <c r="O2076" s="46">
        <v>0</v>
      </c>
      <c r="P2076" s="46">
        <v>0</v>
      </c>
      <c r="Q2076" t="s">
        <v>48</v>
      </c>
      <c r="R2076" t="s">
        <v>48</v>
      </c>
      <c r="S2076" t="s">
        <v>11522</v>
      </c>
      <c r="T2076" t="s">
        <v>48</v>
      </c>
      <c r="U2076" t="s">
        <v>10784</v>
      </c>
      <c r="V2076" s="47">
        <v>0</v>
      </c>
      <c r="W2076" t="s">
        <v>48</v>
      </c>
      <c r="X2076" t="s">
        <v>48</v>
      </c>
      <c r="Y2076" t="s">
        <v>48</v>
      </c>
      <c r="Z2076">
        <v>0</v>
      </c>
      <c r="AA2076" t="s">
        <v>48</v>
      </c>
      <c r="AB2076" t="s">
        <v>48</v>
      </c>
      <c r="AC2076" t="s">
        <v>49</v>
      </c>
      <c r="AD2076" t="s">
        <v>93</v>
      </c>
      <c r="AE2076" s="40" t="s">
        <v>4532</v>
      </c>
      <c r="AF2076" t="s">
        <v>48</v>
      </c>
      <c r="AG2076" t="s">
        <v>48</v>
      </c>
      <c r="AH2076" t="s">
        <v>48</v>
      </c>
      <c r="AI2076" t="s">
        <v>48</v>
      </c>
      <c r="AJ2076" t="s">
        <v>48</v>
      </c>
      <c r="AK2076" t="s">
        <v>48</v>
      </c>
      <c r="AL2076" t="s">
        <v>48</v>
      </c>
      <c r="AM2076" t="s">
        <v>48</v>
      </c>
      <c r="AN2076" t="s">
        <v>48</v>
      </c>
      <c r="AO2076" t="s">
        <v>48</v>
      </c>
      <c r="AP2076" s="46">
        <v>0</v>
      </c>
      <c r="AQ2076" s="46">
        <v>0</v>
      </c>
      <c r="AR2076" s="46">
        <v>0</v>
      </c>
      <c r="AS2076" s="46">
        <v>0</v>
      </c>
      <c r="AT2076" s="46">
        <v>0</v>
      </c>
      <c r="AU2076" s="46">
        <v>0</v>
      </c>
      <c r="AV2076" s="46">
        <v>0</v>
      </c>
      <c r="AW2076" s="46">
        <v>0</v>
      </c>
      <c r="AX2076" s="46">
        <v>0</v>
      </c>
      <c r="AY2076" s="46">
        <v>0</v>
      </c>
      <c r="AZ2076" s="46">
        <v>0</v>
      </c>
      <c r="BA2076" s="46">
        <v>0</v>
      </c>
      <c r="BB2076" s="46">
        <v>0</v>
      </c>
      <c r="BC2076" s="46">
        <v>0</v>
      </c>
      <c r="BD2076" s="46">
        <v>0</v>
      </c>
      <c r="BE2076" s="46">
        <v>0</v>
      </c>
      <c r="BF2076" s="46">
        <v>0</v>
      </c>
      <c r="BG2076" s="46" t="s">
        <v>48</v>
      </c>
      <c r="BH2076" s="46">
        <v>0</v>
      </c>
      <c r="BI2076" s="46">
        <v>0</v>
      </c>
      <c r="BJ2076" s="46">
        <v>0</v>
      </c>
      <c r="BK2076" s="46">
        <v>0</v>
      </c>
      <c r="BL2076" s="46">
        <v>0</v>
      </c>
      <c r="BM2076" s="46">
        <v>0</v>
      </c>
      <c r="BN2076" s="46">
        <v>0</v>
      </c>
    </row>
    <row r="2077" spans="1:66" x14ac:dyDescent="0.35">
      <c r="A2077" t="s">
        <v>5229</v>
      </c>
      <c r="B2077" s="44" t="s">
        <v>48</v>
      </c>
      <c r="C2077" t="s">
        <v>5233</v>
      </c>
      <c r="D2077" t="s">
        <v>5232</v>
      </c>
      <c r="E2077" t="s">
        <v>5230</v>
      </c>
      <c r="F2077" t="s">
        <v>5225</v>
      </c>
      <c r="G2077" t="s">
        <v>74</v>
      </c>
      <c r="H2077">
        <v>0</v>
      </c>
      <c r="I2077" s="60" t="s">
        <v>125</v>
      </c>
      <c r="J2077" s="33" t="s">
        <v>45</v>
      </c>
      <c r="K2077" s="46">
        <v>0</v>
      </c>
      <c r="L2077">
        <v>23.1</v>
      </c>
      <c r="M2077" t="s">
        <v>48</v>
      </c>
      <c r="N2077" s="46">
        <v>0</v>
      </c>
      <c r="O2077" s="46">
        <v>0</v>
      </c>
      <c r="P2077" s="46">
        <v>0</v>
      </c>
      <c r="Q2077" t="s">
        <v>48</v>
      </c>
      <c r="R2077" t="s">
        <v>48</v>
      </c>
      <c r="S2077" t="s">
        <v>5231</v>
      </c>
      <c r="T2077" t="s">
        <v>48</v>
      </c>
      <c r="U2077" t="s">
        <v>5231</v>
      </c>
      <c r="V2077" s="47">
        <v>0</v>
      </c>
      <c r="W2077" t="s">
        <v>48</v>
      </c>
      <c r="X2077" t="s">
        <v>48</v>
      </c>
      <c r="Y2077" t="s">
        <v>48</v>
      </c>
      <c r="Z2077">
        <v>0</v>
      </c>
      <c r="AA2077" t="s">
        <v>48</v>
      </c>
      <c r="AB2077" t="s">
        <v>48</v>
      </c>
      <c r="AC2077" t="s">
        <v>49</v>
      </c>
      <c r="AD2077" t="s">
        <v>93</v>
      </c>
      <c r="AE2077" t="s">
        <v>4532</v>
      </c>
      <c r="AF2077" t="s">
        <v>48</v>
      </c>
      <c r="AG2077" t="s">
        <v>48</v>
      </c>
      <c r="AH2077" t="s">
        <v>48</v>
      </c>
      <c r="AI2077" t="s">
        <v>48</v>
      </c>
      <c r="AJ2077" t="s">
        <v>48</v>
      </c>
      <c r="AK2077" t="s">
        <v>48</v>
      </c>
      <c r="AL2077" t="s">
        <v>48</v>
      </c>
      <c r="AM2077" t="s">
        <v>48</v>
      </c>
      <c r="AN2077" t="s">
        <v>48</v>
      </c>
      <c r="AO2077" t="s">
        <v>48</v>
      </c>
      <c r="AP2077" s="46">
        <v>0</v>
      </c>
      <c r="AQ2077" s="46">
        <v>0</v>
      </c>
      <c r="AR2077" s="46">
        <v>0</v>
      </c>
      <c r="AS2077" s="46">
        <v>0</v>
      </c>
      <c r="AT2077" s="46">
        <v>0</v>
      </c>
      <c r="AU2077" s="46">
        <v>0</v>
      </c>
      <c r="AV2077" s="46">
        <v>0</v>
      </c>
      <c r="AW2077" s="46">
        <v>0</v>
      </c>
      <c r="AX2077" s="46">
        <v>0</v>
      </c>
      <c r="AY2077" s="46">
        <v>0</v>
      </c>
      <c r="AZ2077" s="46">
        <v>0</v>
      </c>
      <c r="BA2077" s="46">
        <v>0</v>
      </c>
      <c r="BB2077" s="46">
        <v>0</v>
      </c>
      <c r="BC2077" s="46">
        <v>0</v>
      </c>
      <c r="BD2077" s="46">
        <v>0</v>
      </c>
      <c r="BE2077" s="46">
        <v>0</v>
      </c>
      <c r="BF2077" s="46">
        <v>0</v>
      </c>
      <c r="BG2077" s="46" t="s">
        <v>48</v>
      </c>
      <c r="BH2077" s="46">
        <v>0</v>
      </c>
      <c r="BI2077" s="46">
        <v>0</v>
      </c>
      <c r="BJ2077" s="46">
        <v>0</v>
      </c>
      <c r="BK2077" s="46">
        <v>0</v>
      </c>
      <c r="BL2077" s="46">
        <v>0</v>
      </c>
      <c r="BM2077" s="46">
        <v>0</v>
      </c>
      <c r="BN2077" s="46">
        <v>0</v>
      </c>
    </row>
    <row r="2078" spans="1:66" x14ac:dyDescent="0.35">
      <c r="A2078" t="s">
        <v>5072</v>
      </c>
      <c r="B2078" s="44" t="s">
        <v>48</v>
      </c>
      <c r="C2078" t="s">
        <v>12212</v>
      </c>
      <c r="D2078" t="s">
        <v>12213</v>
      </c>
      <c r="E2078" t="s">
        <v>10788</v>
      </c>
      <c r="F2078" t="s">
        <v>5235</v>
      </c>
      <c r="G2078" t="s">
        <v>74</v>
      </c>
      <c r="H2078">
        <v>0</v>
      </c>
      <c r="I2078" s="60" t="s">
        <v>11552</v>
      </c>
      <c r="J2078" s="33" t="s">
        <v>45</v>
      </c>
      <c r="K2078" s="46">
        <v>0</v>
      </c>
      <c r="L2078">
        <v>33.299999999999997</v>
      </c>
      <c r="M2078" t="s">
        <v>48</v>
      </c>
      <c r="N2078" s="46">
        <v>0</v>
      </c>
      <c r="O2078" s="46">
        <v>0</v>
      </c>
      <c r="P2078" s="46">
        <v>0</v>
      </c>
      <c r="Q2078" t="s">
        <v>48</v>
      </c>
      <c r="R2078" t="s">
        <v>48</v>
      </c>
      <c r="S2078" t="s">
        <v>11523</v>
      </c>
      <c r="T2078" t="s">
        <v>48</v>
      </c>
      <c r="U2078" t="s">
        <v>10789</v>
      </c>
      <c r="V2078" s="47">
        <v>0</v>
      </c>
      <c r="W2078" t="s">
        <v>48</v>
      </c>
      <c r="X2078" t="s">
        <v>48</v>
      </c>
      <c r="Y2078" t="s">
        <v>48</v>
      </c>
      <c r="Z2078">
        <v>0</v>
      </c>
      <c r="AA2078" t="s">
        <v>48</v>
      </c>
      <c r="AB2078" t="s">
        <v>48</v>
      </c>
      <c r="AC2078" t="s">
        <v>63</v>
      </c>
      <c r="AD2078" t="s">
        <v>93</v>
      </c>
      <c r="AE2078" s="40" t="s">
        <v>4532</v>
      </c>
      <c r="AF2078" t="s">
        <v>48</v>
      </c>
      <c r="AG2078" t="s">
        <v>48</v>
      </c>
      <c r="AH2078" t="s">
        <v>48</v>
      </c>
      <c r="AI2078" t="s">
        <v>48</v>
      </c>
      <c r="AJ2078" t="s">
        <v>48</v>
      </c>
      <c r="AK2078" t="s">
        <v>48</v>
      </c>
      <c r="AL2078" t="s">
        <v>48</v>
      </c>
      <c r="AM2078" t="s">
        <v>48</v>
      </c>
      <c r="AN2078" t="s">
        <v>48</v>
      </c>
      <c r="AO2078" t="s">
        <v>48</v>
      </c>
      <c r="AP2078" s="46">
        <v>0</v>
      </c>
      <c r="AQ2078" s="46">
        <v>0</v>
      </c>
      <c r="AR2078" s="46">
        <v>0</v>
      </c>
      <c r="AS2078" s="46">
        <v>0</v>
      </c>
      <c r="AT2078" s="46">
        <v>0</v>
      </c>
      <c r="AU2078" s="46">
        <v>0</v>
      </c>
      <c r="AV2078" s="46">
        <v>0</v>
      </c>
      <c r="AW2078" s="46">
        <v>0</v>
      </c>
      <c r="AX2078" s="46">
        <v>0</v>
      </c>
      <c r="AY2078" s="46">
        <v>0</v>
      </c>
      <c r="AZ2078" s="46">
        <v>0</v>
      </c>
      <c r="BA2078" s="46">
        <v>0</v>
      </c>
      <c r="BB2078" s="46">
        <v>0</v>
      </c>
      <c r="BC2078" s="46">
        <v>0</v>
      </c>
      <c r="BD2078" s="46">
        <v>0</v>
      </c>
      <c r="BE2078" s="46">
        <v>0</v>
      </c>
      <c r="BF2078" s="46">
        <v>0</v>
      </c>
      <c r="BG2078" s="46" t="s">
        <v>48</v>
      </c>
      <c r="BH2078" s="46">
        <v>0</v>
      </c>
      <c r="BI2078" s="46">
        <v>0</v>
      </c>
      <c r="BJ2078" s="46">
        <v>0</v>
      </c>
      <c r="BK2078" s="46">
        <v>0</v>
      </c>
      <c r="BL2078" s="46">
        <v>0</v>
      </c>
      <c r="BM2078" s="46">
        <v>0</v>
      </c>
      <c r="BN2078" s="46">
        <v>0</v>
      </c>
    </row>
    <row r="2079" spans="1:66" x14ac:dyDescent="0.35">
      <c r="A2079" t="s">
        <v>10796</v>
      </c>
      <c r="B2079" t="s">
        <v>48</v>
      </c>
      <c r="C2079" t="s">
        <v>12214</v>
      </c>
      <c r="D2079" t="s">
        <v>1528</v>
      </c>
      <c r="E2079" t="s">
        <v>10797</v>
      </c>
      <c r="F2079" t="s">
        <v>5235</v>
      </c>
      <c r="G2079" t="s">
        <v>47</v>
      </c>
      <c r="H2079">
        <v>0</v>
      </c>
      <c r="I2079" s="61">
        <v>44806</v>
      </c>
      <c r="J2079" s="33" t="s">
        <v>45</v>
      </c>
      <c r="K2079" s="46">
        <v>0</v>
      </c>
      <c r="L2079">
        <v>6.7</v>
      </c>
      <c r="M2079" t="s">
        <v>48</v>
      </c>
      <c r="N2079" s="46">
        <v>0</v>
      </c>
      <c r="O2079" s="46">
        <v>0</v>
      </c>
      <c r="P2079" s="46">
        <v>0</v>
      </c>
      <c r="Q2079" t="s">
        <v>48</v>
      </c>
      <c r="R2079" t="s">
        <v>48</v>
      </c>
      <c r="S2079" t="s">
        <v>48</v>
      </c>
      <c r="T2079" t="s">
        <v>48</v>
      </c>
      <c r="U2079" t="s">
        <v>48</v>
      </c>
      <c r="V2079" s="47">
        <v>1</v>
      </c>
      <c r="W2079" t="s">
        <v>48</v>
      </c>
      <c r="X2079" t="s">
        <v>48</v>
      </c>
      <c r="Y2079" t="s">
        <v>48</v>
      </c>
      <c r="Z2079">
        <v>0</v>
      </c>
      <c r="AA2079" t="s">
        <v>48</v>
      </c>
      <c r="AB2079" t="s">
        <v>48</v>
      </c>
      <c r="AC2079" t="s">
        <v>49</v>
      </c>
      <c r="AD2079" t="s">
        <v>93</v>
      </c>
      <c r="AE2079" s="40" t="s">
        <v>4532</v>
      </c>
      <c r="AF2079" t="s">
        <v>48</v>
      </c>
      <c r="AG2079" t="s">
        <v>48</v>
      </c>
      <c r="AH2079" t="s">
        <v>48</v>
      </c>
      <c r="AI2079" t="s">
        <v>48</v>
      </c>
      <c r="AJ2079" t="s">
        <v>48</v>
      </c>
      <c r="AK2079" t="s">
        <v>48</v>
      </c>
      <c r="AL2079" t="s">
        <v>48</v>
      </c>
      <c r="AM2079" t="s">
        <v>48</v>
      </c>
      <c r="AN2079" t="s">
        <v>48</v>
      </c>
      <c r="AO2079" t="s">
        <v>48</v>
      </c>
      <c r="AP2079" s="46">
        <v>0</v>
      </c>
      <c r="AQ2079" s="46">
        <v>0</v>
      </c>
      <c r="AR2079" s="46">
        <v>0</v>
      </c>
      <c r="AS2079" s="46">
        <v>0</v>
      </c>
      <c r="AT2079" s="46">
        <v>0</v>
      </c>
      <c r="AU2079" s="46">
        <v>0</v>
      </c>
      <c r="AV2079" s="46">
        <v>0</v>
      </c>
      <c r="AW2079" s="46">
        <v>0</v>
      </c>
      <c r="AX2079" s="46">
        <v>0</v>
      </c>
      <c r="AY2079" s="46">
        <v>0</v>
      </c>
      <c r="AZ2079" s="46">
        <v>0</v>
      </c>
      <c r="BA2079" s="46">
        <v>0</v>
      </c>
      <c r="BB2079" s="46">
        <v>0</v>
      </c>
      <c r="BC2079" s="46">
        <v>0</v>
      </c>
      <c r="BD2079" s="46">
        <v>0</v>
      </c>
      <c r="BE2079" s="46">
        <v>0</v>
      </c>
      <c r="BF2079" s="46">
        <v>0</v>
      </c>
      <c r="BG2079" s="46" t="s">
        <v>48</v>
      </c>
      <c r="BH2079" s="46">
        <v>0</v>
      </c>
      <c r="BI2079" s="46">
        <v>0</v>
      </c>
      <c r="BJ2079" s="46">
        <v>0</v>
      </c>
      <c r="BK2079" s="46">
        <v>0</v>
      </c>
      <c r="BL2079" s="46">
        <v>0</v>
      </c>
      <c r="BM2079" s="46">
        <v>0</v>
      </c>
      <c r="BN2079" s="46">
        <v>0</v>
      </c>
    </row>
    <row r="2080" spans="1:66" x14ac:dyDescent="0.35">
      <c r="A2080" t="s">
        <v>11174</v>
      </c>
      <c r="B2080" s="44" t="s">
        <v>48</v>
      </c>
      <c r="C2080" t="s">
        <v>268</v>
      </c>
      <c r="D2080" t="s">
        <v>12217</v>
      </c>
      <c r="E2080" t="s">
        <v>11175</v>
      </c>
      <c r="F2080" t="s">
        <v>5235</v>
      </c>
      <c r="G2080" t="s">
        <v>47</v>
      </c>
      <c r="H2080">
        <v>0</v>
      </c>
      <c r="I2080" s="61" t="s">
        <v>11160</v>
      </c>
      <c r="J2080" s="33" t="s">
        <v>45</v>
      </c>
      <c r="K2080" s="46">
        <v>0</v>
      </c>
      <c r="L2080">
        <v>2</v>
      </c>
      <c r="M2080" t="s">
        <v>48</v>
      </c>
      <c r="N2080" s="46">
        <v>0</v>
      </c>
      <c r="O2080" s="46">
        <v>0</v>
      </c>
      <c r="P2080" s="46">
        <v>0</v>
      </c>
      <c r="Q2080" t="s">
        <v>48</v>
      </c>
      <c r="R2080" t="s">
        <v>48</v>
      </c>
      <c r="S2080" t="s">
        <v>48</v>
      </c>
      <c r="T2080" t="s">
        <v>48</v>
      </c>
      <c r="U2080" t="s">
        <v>48</v>
      </c>
      <c r="V2080" s="47" t="s">
        <v>48</v>
      </c>
      <c r="W2080" t="s">
        <v>48</v>
      </c>
      <c r="X2080" t="s">
        <v>48</v>
      </c>
      <c r="Y2080" t="s">
        <v>48</v>
      </c>
      <c r="Z2080" t="s">
        <v>48</v>
      </c>
      <c r="AA2080" t="s">
        <v>48</v>
      </c>
      <c r="AB2080" t="s">
        <v>48</v>
      </c>
      <c r="AC2080" t="s">
        <v>48</v>
      </c>
      <c r="AD2080" t="s">
        <v>48</v>
      </c>
      <c r="AE2080" s="40" t="s">
        <v>48</v>
      </c>
      <c r="AF2080" t="s">
        <v>48</v>
      </c>
      <c r="AG2080" t="s">
        <v>48</v>
      </c>
      <c r="AH2080" t="s">
        <v>48</v>
      </c>
      <c r="AI2080" t="s">
        <v>48</v>
      </c>
      <c r="AJ2080" t="s">
        <v>48</v>
      </c>
      <c r="AK2080" t="s">
        <v>48</v>
      </c>
      <c r="AL2080" t="s">
        <v>48</v>
      </c>
      <c r="AM2080" t="s">
        <v>48</v>
      </c>
      <c r="AN2080" t="s">
        <v>48</v>
      </c>
      <c r="AO2080" t="s">
        <v>48</v>
      </c>
      <c r="AP2080" s="46">
        <v>0</v>
      </c>
      <c r="AQ2080" s="46">
        <v>0</v>
      </c>
      <c r="AR2080" s="46">
        <v>0</v>
      </c>
      <c r="AS2080" s="46">
        <v>0</v>
      </c>
      <c r="AT2080" s="46">
        <v>0</v>
      </c>
      <c r="AU2080" s="46">
        <v>0</v>
      </c>
      <c r="AV2080" s="46">
        <v>0</v>
      </c>
      <c r="AW2080" s="46">
        <v>0</v>
      </c>
      <c r="AX2080" s="46">
        <v>0</v>
      </c>
      <c r="AY2080" s="46">
        <v>0</v>
      </c>
      <c r="AZ2080" s="46">
        <v>0</v>
      </c>
      <c r="BA2080" s="46">
        <v>0</v>
      </c>
      <c r="BB2080" s="46">
        <v>0</v>
      </c>
      <c r="BC2080" s="46">
        <v>1</v>
      </c>
      <c r="BD2080" s="46">
        <v>1</v>
      </c>
      <c r="BE2080" s="46">
        <v>0</v>
      </c>
      <c r="BF2080" s="46">
        <v>0</v>
      </c>
      <c r="BG2080" s="46" t="s">
        <v>48</v>
      </c>
      <c r="BH2080" s="46">
        <v>0</v>
      </c>
      <c r="BI2080" s="46">
        <v>0</v>
      </c>
      <c r="BJ2080" s="46">
        <v>0</v>
      </c>
      <c r="BK2080" s="46">
        <v>0</v>
      </c>
      <c r="BL2080" s="46">
        <v>0</v>
      </c>
      <c r="BM2080" s="46">
        <v>0</v>
      </c>
      <c r="BN2080" s="46">
        <v>1</v>
      </c>
    </row>
    <row r="2081" spans="1:66" x14ac:dyDescent="0.35">
      <c r="A2081" t="s">
        <v>10793</v>
      </c>
      <c r="B2081" t="s">
        <v>48</v>
      </c>
      <c r="C2081" t="s">
        <v>12215</v>
      </c>
      <c r="D2081" t="s">
        <v>262</v>
      </c>
      <c r="E2081" t="s">
        <v>10794</v>
      </c>
      <c r="F2081" t="s">
        <v>5235</v>
      </c>
      <c r="G2081" t="s">
        <v>47</v>
      </c>
      <c r="H2081">
        <v>0</v>
      </c>
      <c r="I2081" s="60" t="s">
        <v>11552</v>
      </c>
      <c r="J2081" s="33" t="s">
        <v>45</v>
      </c>
      <c r="K2081" s="46">
        <v>0</v>
      </c>
      <c r="L2081">
        <v>15.2</v>
      </c>
      <c r="M2081" t="s">
        <v>48</v>
      </c>
      <c r="N2081" s="46">
        <v>0</v>
      </c>
      <c r="O2081" s="46">
        <v>0</v>
      </c>
      <c r="P2081" s="46">
        <v>0</v>
      </c>
      <c r="Q2081" t="s">
        <v>48</v>
      </c>
      <c r="R2081" t="s">
        <v>48</v>
      </c>
      <c r="S2081" t="s">
        <v>11396</v>
      </c>
      <c r="T2081" t="s">
        <v>48</v>
      </c>
      <c r="U2081" t="s">
        <v>10795</v>
      </c>
      <c r="V2081" s="47">
        <v>0</v>
      </c>
      <c r="W2081" t="s">
        <v>11317</v>
      </c>
      <c r="X2081" t="s">
        <v>48</v>
      </c>
      <c r="Y2081" t="s">
        <v>48</v>
      </c>
      <c r="Z2081">
        <v>0</v>
      </c>
      <c r="AA2081" t="s">
        <v>48</v>
      </c>
      <c r="AB2081" t="s">
        <v>48</v>
      </c>
      <c r="AC2081" t="s">
        <v>49</v>
      </c>
      <c r="AD2081" t="s">
        <v>93</v>
      </c>
      <c r="AE2081" s="40" t="s">
        <v>4532</v>
      </c>
      <c r="AF2081" t="s">
        <v>48</v>
      </c>
      <c r="AG2081" t="s">
        <v>48</v>
      </c>
      <c r="AH2081" t="s">
        <v>48</v>
      </c>
      <c r="AI2081" t="s">
        <v>48</v>
      </c>
      <c r="AJ2081" t="s">
        <v>48</v>
      </c>
      <c r="AK2081" t="s">
        <v>48</v>
      </c>
      <c r="AL2081" t="s">
        <v>48</v>
      </c>
      <c r="AM2081" t="s">
        <v>48</v>
      </c>
      <c r="AN2081" t="s">
        <v>48</v>
      </c>
      <c r="AO2081" t="s">
        <v>48</v>
      </c>
      <c r="AP2081" s="46">
        <v>0</v>
      </c>
      <c r="AQ2081" s="46">
        <v>0</v>
      </c>
      <c r="AR2081" s="46">
        <v>0</v>
      </c>
      <c r="AS2081" s="46">
        <v>0</v>
      </c>
      <c r="AT2081" s="46">
        <v>0</v>
      </c>
      <c r="AU2081" s="46">
        <v>0</v>
      </c>
      <c r="AV2081" s="46">
        <v>0</v>
      </c>
      <c r="AW2081" s="46">
        <v>0</v>
      </c>
      <c r="AX2081" s="46">
        <v>0</v>
      </c>
      <c r="AY2081" s="46">
        <v>0</v>
      </c>
      <c r="AZ2081" s="46">
        <v>0</v>
      </c>
      <c r="BA2081" s="46">
        <v>0</v>
      </c>
      <c r="BB2081" s="46">
        <v>0</v>
      </c>
      <c r="BC2081" s="46">
        <v>0</v>
      </c>
      <c r="BD2081" s="46">
        <v>0</v>
      </c>
      <c r="BE2081" s="46">
        <v>0</v>
      </c>
      <c r="BF2081" s="46">
        <v>0</v>
      </c>
      <c r="BG2081" s="46" t="s">
        <v>48</v>
      </c>
      <c r="BH2081" s="46">
        <v>0</v>
      </c>
      <c r="BI2081" s="46">
        <v>0</v>
      </c>
      <c r="BJ2081" s="46">
        <v>0</v>
      </c>
      <c r="BK2081" s="46">
        <v>0</v>
      </c>
      <c r="BL2081" s="46">
        <v>0</v>
      </c>
      <c r="BM2081" s="46">
        <v>0</v>
      </c>
      <c r="BN2081" s="46">
        <v>0</v>
      </c>
    </row>
    <row r="2082" spans="1:66" x14ac:dyDescent="0.35">
      <c r="A2082" t="s">
        <v>10801</v>
      </c>
      <c r="B2082" s="44" t="s">
        <v>48</v>
      </c>
      <c r="C2082" t="s">
        <v>1891</v>
      </c>
      <c r="D2082" t="s">
        <v>12218</v>
      </c>
      <c r="E2082" t="s">
        <v>10802</v>
      </c>
      <c r="F2082" t="s">
        <v>5239</v>
      </c>
      <c r="G2082" t="s">
        <v>74</v>
      </c>
      <c r="H2082">
        <v>0</v>
      </c>
      <c r="I2082" s="60" t="s">
        <v>11552</v>
      </c>
      <c r="J2082" s="33" t="s">
        <v>45</v>
      </c>
      <c r="K2082" s="46">
        <v>0</v>
      </c>
      <c r="L2082">
        <v>13.2</v>
      </c>
      <c r="M2082" t="s">
        <v>48</v>
      </c>
      <c r="N2082" s="46">
        <v>0</v>
      </c>
      <c r="O2082" s="46">
        <v>0</v>
      </c>
      <c r="P2082" s="46">
        <v>0</v>
      </c>
      <c r="Q2082" t="s">
        <v>48</v>
      </c>
      <c r="R2082" t="s">
        <v>48</v>
      </c>
      <c r="S2082" t="s">
        <v>11397</v>
      </c>
      <c r="T2082" t="s">
        <v>48</v>
      </c>
      <c r="U2082" t="s">
        <v>10803</v>
      </c>
      <c r="V2082" s="47">
        <v>0</v>
      </c>
      <c r="W2082" t="s">
        <v>11317</v>
      </c>
      <c r="X2082" t="s">
        <v>48</v>
      </c>
      <c r="Y2082" t="s">
        <v>48</v>
      </c>
      <c r="Z2082">
        <v>0</v>
      </c>
      <c r="AA2082" t="s">
        <v>48</v>
      </c>
      <c r="AB2082" t="s">
        <v>48</v>
      </c>
      <c r="AC2082" t="s">
        <v>63</v>
      </c>
      <c r="AD2082" t="s">
        <v>93</v>
      </c>
      <c r="AE2082" s="40" t="s">
        <v>2471</v>
      </c>
      <c r="AF2082" t="s">
        <v>48</v>
      </c>
      <c r="AG2082" t="s">
        <v>48</v>
      </c>
      <c r="AH2082" t="s">
        <v>48</v>
      </c>
      <c r="AI2082" t="s">
        <v>48</v>
      </c>
      <c r="AJ2082" t="s">
        <v>48</v>
      </c>
      <c r="AK2082" t="s">
        <v>48</v>
      </c>
      <c r="AL2082" t="s">
        <v>48</v>
      </c>
      <c r="AM2082" t="s">
        <v>48</v>
      </c>
      <c r="AN2082" t="s">
        <v>48</v>
      </c>
      <c r="AO2082" t="s">
        <v>48</v>
      </c>
      <c r="AP2082" s="46">
        <v>0</v>
      </c>
      <c r="AQ2082" s="46">
        <v>0</v>
      </c>
      <c r="AR2082" s="46">
        <v>0</v>
      </c>
      <c r="AS2082" s="46">
        <v>0</v>
      </c>
      <c r="AT2082" s="46">
        <v>0</v>
      </c>
      <c r="AU2082" s="46">
        <v>0</v>
      </c>
      <c r="AV2082" s="46">
        <v>0</v>
      </c>
      <c r="AW2082" s="46">
        <v>0</v>
      </c>
      <c r="AX2082" s="46">
        <v>0</v>
      </c>
      <c r="AY2082" s="46">
        <v>0</v>
      </c>
      <c r="AZ2082" s="46">
        <v>0</v>
      </c>
      <c r="BA2082" s="46">
        <v>0</v>
      </c>
      <c r="BB2082" s="46">
        <v>0</v>
      </c>
      <c r="BC2082" s="46">
        <v>0</v>
      </c>
      <c r="BD2082" s="46">
        <v>0</v>
      </c>
      <c r="BE2082" s="46">
        <v>0</v>
      </c>
      <c r="BF2082" s="46">
        <v>0</v>
      </c>
      <c r="BG2082" s="46" t="s">
        <v>48</v>
      </c>
      <c r="BH2082" s="46">
        <v>0</v>
      </c>
      <c r="BI2082" s="46">
        <v>0</v>
      </c>
      <c r="BJ2082" s="46">
        <v>0</v>
      </c>
      <c r="BK2082" s="46">
        <v>0</v>
      </c>
      <c r="BL2082" s="46">
        <v>0</v>
      </c>
      <c r="BM2082" s="46">
        <v>0</v>
      </c>
      <c r="BN2082" s="46">
        <v>0</v>
      </c>
    </row>
    <row r="2083" spans="1:66" x14ac:dyDescent="0.35">
      <c r="A2083" t="s">
        <v>10804</v>
      </c>
      <c r="B2083" s="44" t="s">
        <v>48</v>
      </c>
      <c r="C2083" t="s">
        <v>12219</v>
      </c>
      <c r="D2083" t="s">
        <v>12220</v>
      </c>
      <c r="E2083" t="s">
        <v>10805</v>
      </c>
      <c r="F2083" t="s">
        <v>5239</v>
      </c>
      <c r="G2083" t="s">
        <v>74</v>
      </c>
      <c r="H2083">
        <v>0</v>
      </c>
      <c r="I2083" s="60" t="s">
        <v>11552</v>
      </c>
      <c r="J2083" s="33" t="s">
        <v>45</v>
      </c>
      <c r="K2083" s="46">
        <v>0</v>
      </c>
      <c r="L2083">
        <v>2.8</v>
      </c>
      <c r="M2083" t="s">
        <v>48</v>
      </c>
      <c r="N2083" s="46">
        <v>0</v>
      </c>
      <c r="O2083" s="46">
        <v>0</v>
      </c>
      <c r="P2083" s="46">
        <v>0</v>
      </c>
      <c r="Q2083" t="s">
        <v>48</v>
      </c>
      <c r="R2083" t="s">
        <v>48</v>
      </c>
      <c r="S2083" t="s">
        <v>11525</v>
      </c>
      <c r="T2083" t="s">
        <v>48</v>
      </c>
      <c r="U2083" t="s">
        <v>10806</v>
      </c>
      <c r="V2083" s="47">
        <v>0</v>
      </c>
      <c r="W2083" t="s">
        <v>48</v>
      </c>
      <c r="X2083" t="s">
        <v>48</v>
      </c>
      <c r="Y2083" t="s">
        <v>48</v>
      </c>
      <c r="Z2083">
        <v>0</v>
      </c>
      <c r="AA2083" t="s">
        <v>48</v>
      </c>
      <c r="AB2083" t="s">
        <v>48</v>
      </c>
      <c r="AC2083" t="s">
        <v>49</v>
      </c>
      <c r="AD2083" t="s">
        <v>93</v>
      </c>
      <c r="AE2083" s="40" t="s">
        <v>2471</v>
      </c>
      <c r="AF2083" t="s">
        <v>48</v>
      </c>
      <c r="AG2083" t="s">
        <v>48</v>
      </c>
      <c r="AH2083" t="s">
        <v>48</v>
      </c>
      <c r="AI2083" t="s">
        <v>48</v>
      </c>
      <c r="AJ2083" t="s">
        <v>48</v>
      </c>
      <c r="AK2083" t="s">
        <v>48</v>
      </c>
      <c r="AL2083" t="s">
        <v>48</v>
      </c>
      <c r="AM2083" t="s">
        <v>48</v>
      </c>
      <c r="AN2083" t="s">
        <v>48</v>
      </c>
      <c r="AO2083" t="s">
        <v>48</v>
      </c>
      <c r="AP2083" s="46">
        <v>0</v>
      </c>
      <c r="AQ2083" s="46">
        <v>0</v>
      </c>
      <c r="AR2083" s="46">
        <v>0</v>
      </c>
      <c r="AS2083" s="46">
        <v>0</v>
      </c>
      <c r="AT2083" s="46">
        <v>0</v>
      </c>
      <c r="AU2083" s="46">
        <v>0</v>
      </c>
      <c r="AV2083" s="46">
        <v>0</v>
      </c>
      <c r="AW2083" s="46">
        <v>0</v>
      </c>
      <c r="AX2083" s="46">
        <v>0</v>
      </c>
      <c r="AY2083" s="46">
        <v>0</v>
      </c>
      <c r="AZ2083" s="46">
        <v>0</v>
      </c>
      <c r="BA2083" s="46">
        <v>0</v>
      </c>
      <c r="BB2083" s="46">
        <v>0</v>
      </c>
      <c r="BC2083" s="46">
        <v>0</v>
      </c>
      <c r="BD2083" s="46">
        <v>0</v>
      </c>
      <c r="BE2083" s="46">
        <v>0</v>
      </c>
      <c r="BF2083" s="46">
        <v>0</v>
      </c>
      <c r="BG2083" s="46" t="s">
        <v>48</v>
      </c>
      <c r="BH2083" s="46">
        <v>0</v>
      </c>
      <c r="BI2083" s="46">
        <v>0</v>
      </c>
      <c r="BJ2083" s="46">
        <v>0</v>
      </c>
      <c r="BK2083" s="46">
        <v>0</v>
      </c>
      <c r="BL2083" s="46">
        <v>0</v>
      </c>
      <c r="BM2083" s="46">
        <v>0</v>
      </c>
      <c r="BN2083" s="46">
        <v>0</v>
      </c>
    </row>
    <row r="2084" spans="1:66" x14ac:dyDescent="0.35">
      <c r="A2084" t="s">
        <v>10809</v>
      </c>
      <c r="B2084" s="44" t="s">
        <v>48</v>
      </c>
      <c r="C2084" t="s">
        <v>7785</v>
      </c>
      <c r="D2084" t="s">
        <v>3675</v>
      </c>
      <c r="E2084" t="s">
        <v>10810</v>
      </c>
      <c r="F2084" t="s">
        <v>5246</v>
      </c>
      <c r="G2084" t="s">
        <v>74</v>
      </c>
      <c r="H2084">
        <v>0</v>
      </c>
      <c r="I2084" s="61">
        <v>44806</v>
      </c>
      <c r="J2084" s="33" t="s">
        <v>45</v>
      </c>
      <c r="K2084" s="46">
        <v>0</v>
      </c>
      <c r="L2084">
        <v>36.5</v>
      </c>
      <c r="M2084" t="s">
        <v>48</v>
      </c>
      <c r="N2084" s="46">
        <v>0</v>
      </c>
      <c r="O2084" s="46">
        <v>0</v>
      </c>
      <c r="P2084" s="46">
        <v>0</v>
      </c>
      <c r="Q2084" t="s">
        <v>48</v>
      </c>
      <c r="R2084" t="s">
        <v>48</v>
      </c>
      <c r="S2084" t="s">
        <v>48</v>
      </c>
      <c r="T2084" t="s">
        <v>48</v>
      </c>
      <c r="U2084" t="s">
        <v>48</v>
      </c>
      <c r="V2084" s="47">
        <v>1</v>
      </c>
      <c r="W2084" t="s">
        <v>11264</v>
      </c>
      <c r="X2084" t="s">
        <v>48</v>
      </c>
      <c r="Y2084" t="s">
        <v>48</v>
      </c>
      <c r="Z2084">
        <v>0</v>
      </c>
      <c r="AA2084" t="s">
        <v>48</v>
      </c>
      <c r="AB2084" t="s">
        <v>48</v>
      </c>
      <c r="AC2084" t="s">
        <v>49</v>
      </c>
      <c r="AD2084" t="s">
        <v>93</v>
      </c>
      <c r="AE2084" s="40" t="s">
        <v>4532</v>
      </c>
      <c r="AF2084" t="s">
        <v>48</v>
      </c>
      <c r="AG2084" t="s">
        <v>48</v>
      </c>
      <c r="AH2084" t="s">
        <v>48</v>
      </c>
      <c r="AI2084" t="s">
        <v>48</v>
      </c>
      <c r="AJ2084" t="s">
        <v>48</v>
      </c>
      <c r="AK2084" t="s">
        <v>48</v>
      </c>
      <c r="AL2084" t="s">
        <v>48</v>
      </c>
      <c r="AM2084" t="s">
        <v>48</v>
      </c>
      <c r="AN2084" t="s">
        <v>48</v>
      </c>
      <c r="AO2084" t="s">
        <v>48</v>
      </c>
      <c r="AP2084" s="46">
        <v>0</v>
      </c>
      <c r="AQ2084" s="46">
        <v>0</v>
      </c>
      <c r="AR2084" s="46">
        <v>0</v>
      </c>
      <c r="AS2084" s="46">
        <v>0</v>
      </c>
      <c r="AT2084" s="46">
        <v>0</v>
      </c>
      <c r="AU2084" s="46">
        <v>0</v>
      </c>
      <c r="AV2084" s="46">
        <v>0</v>
      </c>
      <c r="AW2084" s="46">
        <v>0</v>
      </c>
      <c r="AX2084" s="46">
        <v>0</v>
      </c>
      <c r="AY2084" s="46">
        <v>0</v>
      </c>
      <c r="AZ2084" s="46">
        <v>0</v>
      </c>
      <c r="BA2084" s="46">
        <v>0</v>
      </c>
      <c r="BB2084" s="46">
        <v>0</v>
      </c>
      <c r="BC2084" s="46">
        <v>0</v>
      </c>
      <c r="BD2084" s="46">
        <v>0</v>
      </c>
      <c r="BE2084" s="46">
        <v>0</v>
      </c>
      <c r="BF2084" s="46">
        <v>0</v>
      </c>
      <c r="BG2084" s="46" t="s">
        <v>48</v>
      </c>
      <c r="BH2084" s="46">
        <v>0</v>
      </c>
      <c r="BI2084" s="46">
        <v>0</v>
      </c>
      <c r="BJ2084" s="46">
        <v>0</v>
      </c>
      <c r="BK2084" s="46">
        <v>0</v>
      </c>
      <c r="BL2084" s="46">
        <v>0</v>
      </c>
      <c r="BM2084" s="46">
        <v>0</v>
      </c>
      <c r="BN2084" s="46">
        <v>0</v>
      </c>
    </row>
    <row r="2085" spans="1:66" x14ac:dyDescent="0.35">
      <c r="A2085" t="s">
        <v>5258</v>
      </c>
      <c r="B2085" s="44" t="s">
        <v>48</v>
      </c>
      <c r="C2085" t="s">
        <v>5262</v>
      </c>
      <c r="D2085" t="s">
        <v>5261</v>
      </c>
      <c r="E2085" t="s">
        <v>5259</v>
      </c>
      <c r="F2085" t="s">
        <v>5256</v>
      </c>
      <c r="G2085" t="s">
        <v>74</v>
      </c>
      <c r="H2085">
        <v>0</v>
      </c>
      <c r="I2085" s="60" t="s">
        <v>149</v>
      </c>
      <c r="J2085" s="33" t="s">
        <v>45</v>
      </c>
      <c r="K2085" s="46">
        <v>0</v>
      </c>
      <c r="L2085">
        <v>11.7</v>
      </c>
      <c r="M2085" t="s">
        <v>48</v>
      </c>
      <c r="N2085" s="46">
        <v>0</v>
      </c>
      <c r="O2085" s="46">
        <v>0</v>
      </c>
      <c r="P2085" s="46">
        <v>0</v>
      </c>
      <c r="Q2085" t="s">
        <v>48</v>
      </c>
      <c r="R2085" t="s">
        <v>48</v>
      </c>
      <c r="S2085" t="s">
        <v>5260</v>
      </c>
      <c r="T2085" t="s">
        <v>48</v>
      </c>
      <c r="U2085" t="s">
        <v>5260</v>
      </c>
      <c r="V2085" s="47">
        <v>0</v>
      </c>
      <c r="W2085" t="s">
        <v>48</v>
      </c>
      <c r="X2085" t="s">
        <v>48</v>
      </c>
      <c r="Y2085" t="s">
        <v>48</v>
      </c>
      <c r="Z2085">
        <v>0</v>
      </c>
      <c r="AA2085" t="s">
        <v>48</v>
      </c>
      <c r="AB2085" t="s">
        <v>48</v>
      </c>
      <c r="AC2085" t="s">
        <v>49</v>
      </c>
      <c r="AD2085" t="s">
        <v>93</v>
      </c>
      <c r="AE2085" t="s">
        <v>4532</v>
      </c>
      <c r="AF2085" t="s">
        <v>48</v>
      </c>
      <c r="AG2085" t="s">
        <v>48</v>
      </c>
      <c r="AH2085" t="s">
        <v>48</v>
      </c>
      <c r="AI2085" t="s">
        <v>48</v>
      </c>
      <c r="AJ2085" t="s">
        <v>48</v>
      </c>
      <c r="AK2085" t="s">
        <v>48</v>
      </c>
      <c r="AL2085" t="s">
        <v>48</v>
      </c>
      <c r="AM2085" t="s">
        <v>48</v>
      </c>
      <c r="AN2085" t="s">
        <v>48</v>
      </c>
      <c r="AO2085" t="s">
        <v>48</v>
      </c>
      <c r="AP2085" s="46">
        <v>0</v>
      </c>
      <c r="AQ2085" s="46">
        <v>0</v>
      </c>
      <c r="AR2085" s="46">
        <v>0</v>
      </c>
      <c r="AS2085" s="46">
        <v>0</v>
      </c>
      <c r="AT2085" s="46">
        <v>0</v>
      </c>
      <c r="AU2085" s="46">
        <v>0</v>
      </c>
      <c r="AV2085" s="46">
        <v>0</v>
      </c>
      <c r="AW2085" s="46">
        <v>0</v>
      </c>
      <c r="AX2085" s="46">
        <v>0</v>
      </c>
      <c r="AY2085" s="46">
        <v>0</v>
      </c>
      <c r="AZ2085" s="46">
        <v>0</v>
      </c>
      <c r="BA2085" s="46">
        <v>0</v>
      </c>
      <c r="BB2085" s="46">
        <v>0</v>
      </c>
      <c r="BC2085" s="46">
        <v>0</v>
      </c>
      <c r="BD2085" s="46">
        <v>0</v>
      </c>
      <c r="BE2085" s="46">
        <v>0</v>
      </c>
      <c r="BF2085" s="46">
        <v>0</v>
      </c>
      <c r="BG2085" s="46" t="s">
        <v>48</v>
      </c>
      <c r="BH2085" s="46">
        <v>0</v>
      </c>
      <c r="BI2085" s="46">
        <v>0</v>
      </c>
      <c r="BJ2085" s="46">
        <v>0</v>
      </c>
      <c r="BK2085" s="46">
        <v>0</v>
      </c>
      <c r="BL2085" s="46">
        <v>0</v>
      </c>
      <c r="BM2085" s="46">
        <v>0</v>
      </c>
      <c r="BN2085" s="46">
        <v>0</v>
      </c>
    </row>
    <row r="2086" spans="1:66" x14ac:dyDescent="0.35">
      <c r="A2086" t="s">
        <v>5272</v>
      </c>
      <c r="B2086" s="44" t="s">
        <v>48</v>
      </c>
      <c r="C2086" t="s">
        <v>5275</v>
      </c>
      <c r="D2086" t="s">
        <v>704</v>
      </c>
      <c r="E2086" t="s">
        <v>5273</v>
      </c>
      <c r="F2086" t="s">
        <v>5269</v>
      </c>
      <c r="G2086" t="s">
        <v>74</v>
      </c>
      <c r="H2086">
        <v>0</v>
      </c>
      <c r="I2086" s="60" t="s">
        <v>51</v>
      </c>
      <c r="J2086" s="33" t="s">
        <v>45</v>
      </c>
      <c r="K2086" s="46">
        <v>0</v>
      </c>
      <c r="L2086">
        <v>18.899999999999999</v>
      </c>
      <c r="M2086" t="s">
        <v>48</v>
      </c>
      <c r="N2086" s="46">
        <v>0</v>
      </c>
      <c r="O2086" s="46">
        <v>0</v>
      </c>
      <c r="P2086" s="46">
        <v>0</v>
      </c>
      <c r="Q2086" t="s">
        <v>48</v>
      </c>
      <c r="R2086" t="s">
        <v>48</v>
      </c>
      <c r="S2086" t="s">
        <v>5274</v>
      </c>
      <c r="T2086" t="s">
        <v>48</v>
      </c>
      <c r="U2086" t="s">
        <v>5274</v>
      </c>
      <c r="V2086" s="47">
        <v>0</v>
      </c>
      <c r="W2086" t="s">
        <v>48</v>
      </c>
      <c r="X2086" t="s">
        <v>48</v>
      </c>
      <c r="Y2086" t="s">
        <v>48</v>
      </c>
      <c r="Z2086">
        <v>0</v>
      </c>
      <c r="AA2086" t="s">
        <v>48</v>
      </c>
      <c r="AB2086" t="s">
        <v>48</v>
      </c>
      <c r="AC2086" t="s">
        <v>49</v>
      </c>
      <c r="AD2086" t="s">
        <v>93</v>
      </c>
      <c r="AE2086" t="s">
        <v>4532</v>
      </c>
      <c r="AF2086" t="s">
        <v>48</v>
      </c>
      <c r="AG2086" t="s">
        <v>48</v>
      </c>
      <c r="AH2086" t="s">
        <v>426</v>
      </c>
      <c r="AI2086" t="s">
        <v>48</v>
      </c>
      <c r="AJ2086" t="s">
        <v>48</v>
      </c>
      <c r="AK2086" t="s">
        <v>48</v>
      </c>
      <c r="AL2086" t="s">
        <v>48</v>
      </c>
      <c r="AM2086" t="s">
        <v>48</v>
      </c>
      <c r="AN2086" t="s">
        <v>48</v>
      </c>
      <c r="AO2086" t="s">
        <v>48</v>
      </c>
      <c r="AP2086" s="46">
        <v>0</v>
      </c>
      <c r="AQ2086" s="46">
        <v>0</v>
      </c>
      <c r="AR2086" s="46">
        <v>0</v>
      </c>
      <c r="AS2086" s="46">
        <v>0</v>
      </c>
      <c r="AT2086" s="46">
        <v>0</v>
      </c>
      <c r="AU2086" s="46">
        <v>0</v>
      </c>
      <c r="AV2086" s="46">
        <v>0</v>
      </c>
      <c r="AW2086" s="46">
        <v>0</v>
      </c>
      <c r="AX2086" s="46">
        <v>0</v>
      </c>
      <c r="AY2086" s="46">
        <v>0</v>
      </c>
      <c r="AZ2086" s="46">
        <v>0</v>
      </c>
      <c r="BA2086" s="46">
        <v>0</v>
      </c>
      <c r="BB2086" s="46">
        <v>0</v>
      </c>
      <c r="BC2086" s="46">
        <v>0</v>
      </c>
      <c r="BD2086" s="46">
        <v>0</v>
      </c>
      <c r="BE2086" s="46">
        <v>0</v>
      </c>
      <c r="BF2086" s="46">
        <v>0</v>
      </c>
      <c r="BG2086" s="46" t="s">
        <v>48</v>
      </c>
      <c r="BH2086" s="46">
        <v>0</v>
      </c>
      <c r="BI2086" s="46">
        <v>0</v>
      </c>
      <c r="BJ2086" s="46">
        <v>0</v>
      </c>
      <c r="BK2086" s="46">
        <v>0</v>
      </c>
      <c r="BL2086" s="46">
        <v>0</v>
      </c>
      <c r="BM2086" s="46">
        <v>0</v>
      </c>
      <c r="BN2086" s="46">
        <v>0</v>
      </c>
    </row>
    <row r="2087" spans="1:66" x14ac:dyDescent="0.35">
      <c r="A2087" t="s">
        <v>5308</v>
      </c>
      <c r="B2087" s="44" t="s">
        <v>48</v>
      </c>
      <c r="C2087" t="s">
        <v>12224</v>
      </c>
      <c r="D2087" t="s">
        <v>12225</v>
      </c>
      <c r="E2087" t="s">
        <v>10818</v>
      </c>
      <c r="F2087" t="s">
        <v>5282</v>
      </c>
      <c r="G2087" t="s">
        <v>74</v>
      </c>
      <c r="H2087">
        <v>0</v>
      </c>
      <c r="I2087" s="61">
        <v>44806</v>
      </c>
      <c r="J2087" s="33" t="s">
        <v>45</v>
      </c>
      <c r="K2087" s="46">
        <v>0</v>
      </c>
      <c r="L2087">
        <v>11.8</v>
      </c>
      <c r="M2087" t="s">
        <v>48</v>
      </c>
      <c r="N2087" s="46">
        <v>0</v>
      </c>
      <c r="O2087" s="46">
        <v>0</v>
      </c>
      <c r="P2087" s="46">
        <v>0</v>
      </c>
      <c r="Q2087" t="s">
        <v>48</v>
      </c>
      <c r="R2087" t="s">
        <v>48</v>
      </c>
      <c r="S2087" t="s">
        <v>5309</v>
      </c>
      <c r="T2087" t="s">
        <v>48</v>
      </c>
      <c r="U2087" t="s">
        <v>5309</v>
      </c>
      <c r="V2087" s="47">
        <v>0</v>
      </c>
      <c r="W2087" t="s">
        <v>48</v>
      </c>
      <c r="X2087" t="s">
        <v>48</v>
      </c>
      <c r="Y2087" t="s">
        <v>48</v>
      </c>
      <c r="Z2087">
        <v>0</v>
      </c>
      <c r="AA2087" t="s">
        <v>48</v>
      </c>
      <c r="AB2087" t="s">
        <v>48</v>
      </c>
      <c r="AC2087" t="s">
        <v>49</v>
      </c>
      <c r="AD2087" t="s">
        <v>93</v>
      </c>
      <c r="AE2087" t="s">
        <v>2471</v>
      </c>
      <c r="AF2087" t="s">
        <v>48</v>
      </c>
      <c r="AG2087" t="s">
        <v>48</v>
      </c>
      <c r="AH2087" t="s">
        <v>48</v>
      </c>
      <c r="AI2087" t="s">
        <v>48</v>
      </c>
      <c r="AJ2087" t="s">
        <v>48</v>
      </c>
      <c r="AK2087" t="s">
        <v>48</v>
      </c>
      <c r="AL2087" t="s">
        <v>48</v>
      </c>
      <c r="AM2087" t="s">
        <v>48</v>
      </c>
      <c r="AN2087" t="s">
        <v>48</v>
      </c>
      <c r="AO2087" t="s">
        <v>48</v>
      </c>
      <c r="AP2087" s="46">
        <v>0</v>
      </c>
      <c r="AQ2087" s="46">
        <v>0</v>
      </c>
      <c r="AR2087" s="46">
        <v>0</v>
      </c>
      <c r="AS2087" s="46">
        <v>0</v>
      </c>
      <c r="AT2087" s="46">
        <v>0</v>
      </c>
      <c r="AU2087" s="46">
        <v>0</v>
      </c>
      <c r="AV2087" s="46">
        <v>0</v>
      </c>
      <c r="AW2087" s="46">
        <v>0</v>
      </c>
      <c r="AX2087" s="46">
        <v>0</v>
      </c>
      <c r="AY2087" s="46">
        <v>0</v>
      </c>
      <c r="AZ2087" s="46">
        <v>0</v>
      </c>
      <c r="BA2087" s="46">
        <v>0</v>
      </c>
      <c r="BB2087" s="46">
        <v>0</v>
      </c>
      <c r="BC2087" s="46">
        <v>0</v>
      </c>
      <c r="BD2087" s="46">
        <v>0</v>
      </c>
      <c r="BE2087" s="46">
        <v>0</v>
      </c>
      <c r="BF2087" s="46">
        <v>0</v>
      </c>
      <c r="BG2087" s="46" t="s">
        <v>48</v>
      </c>
      <c r="BH2087" s="46">
        <v>0</v>
      </c>
      <c r="BI2087" s="46">
        <v>0</v>
      </c>
      <c r="BJ2087" s="46">
        <v>0</v>
      </c>
      <c r="BK2087" s="46">
        <v>0</v>
      </c>
      <c r="BL2087" s="46">
        <v>0</v>
      </c>
      <c r="BM2087" s="46">
        <v>0</v>
      </c>
      <c r="BN2087" s="46">
        <v>0</v>
      </c>
    </row>
    <row r="2088" spans="1:66" x14ac:dyDescent="0.35">
      <c r="A2088" t="s">
        <v>5284</v>
      </c>
      <c r="B2088" s="44" t="s">
        <v>48</v>
      </c>
      <c r="C2088" t="s">
        <v>433</v>
      </c>
      <c r="D2088" t="s">
        <v>351</v>
      </c>
      <c r="E2088" t="s">
        <v>5285</v>
      </c>
      <c r="F2088" t="s">
        <v>5282</v>
      </c>
      <c r="G2088" t="s">
        <v>74</v>
      </c>
      <c r="H2088">
        <v>0</v>
      </c>
      <c r="I2088" s="60" t="s">
        <v>125</v>
      </c>
      <c r="J2088" s="33" t="s">
        <v>45</v>
      </c>
      <c r="K2088" s="46">
        <v>0</v>
      </c>
      <c r="L2088">
        <v>13.2</v>
      </c>
      <c r="M2088" t="s">
        <v>48</v>
      </c>
      <c r="N2088" s="46">
        <v>0</v>
      </c>
      <c r="O2088" s="46">
        <v>0</v>
      </c>
      <c r="P2088" s="46">
        <v>0</v>
      </c>
      <c r="Q2088" t="s">
        <v>48</v>
      </c>
      <c r="R2088" t="s">
        <v>48</v>
      </c>
      <c r="S2088" t="s">
        <v>48</v>
      </c>
      <c r="T2088" t="s">
        <v>48</v>
      </c>
      <c r="U2088" t="s">
        <v>48</v>
      </c>
      <c r="V2088" s="47">
        <v>0</v>
      </c>
      <c r="W2088" t="s">
        <v>48</v>
      </c>
      <c r="X2088" t="s">
        <v>48</v>
      </c>
      <c r="Y2088" t="s">
        <v>48</v>
      </c>
      <c r="Z2088">
        <v>0</v>
      </c>
      <c r="AA2088" t="s">
        <v>48</v>
      </c>
      <c r="AB2088" t="s">
        <v>48</v>
      </c>
      <c r="AC2088" t="s">
        <v>49</v>
      </c>
      <c r="AD2088" t="s">
        <v>93</v>
      </c>
      <c r="AE2088" s="40" t="s">
        <v>2471</v>
      </c>
      <c r="AF2088" t="s">
        <v>11061</v>
      </c>
      <c r="AG2088" t="s">
        <v>48</v>
      </c>
      <c r="AH2088" t="s">
        <v>48</v>
      </c>
      <c r="AI2088" t="s">
        <v>48</v>
      </c>
      <c r="AJ2088" t="s">
        <v>48</v>
      </c>
      <c r="AK2088" t="s">
        <v>48</v>
      </c>
      <c r="AL2088" t="s">
        <v>48</v>
      </c>
      <c r="AM2088" t="s">
        <v>48</v>
      </c>
      <c r="AN2088" t="s">
        <v>48</v>
      </c>
      <c r="AO2088" t="s">
        <v>48</v>
      </c>
      <c r="AP2088" s="46">
        <v>0</v>
      </c>
      <c r="AQ2088" s="46">
        <v>0</v>
      </c>
      <c r="AR2088" s="46">
        <v>0</v>
      </c>
      <c r="AS2088" s="46">
        <v>0</v>
      </c>
      <c r="AT2088" s="46">
        <v>0</v>
      </c>
      <c r="AU2088" s="46">
        <v>0</v>
      </c>
      <c r="AV2088" s="46">
        <v>0</v>
      </c>
      <c r="AW2088" s="46">
        <v>0</v>
      </c>
      <c r="AX2088" s="46">
        <v>0</v>
      </c>
      <c r="AY2088" s="46">
        <v>0</v>
      </c>
      <c r="AZ2088" s="46">
        <v>0</v>
      </c>
      <c r="BA2088" s="46">
        <v>0</v>
      </c>
      <c r="BB2088" s="46">
        <v>0</v>
      </c>
      <c r="BC2088" s="46">
        <v>0</v>
      </c>
      <c r="BD2088" s="46">
        <v>0</v>
      </c>
      <c r="BE2088" s="46">
        <v>0</v>
      </c>
      <c r="BF2088" s="46">
        <v>0</v>
      </c>
      <c r="BG2088" s="46" t="s">
        <v>48</v>
      </c>
      <c r="BH2088" s="46">
        <v>0</v>
      </c>
      <c r="BI2088" s="46">
        <v>0</v>
      </c>
      <c r="BJ2088" s="46">
        <v>0</v>
      </c>
      <c r="BK2088" s="46">
        <v>0</v>
      </c>
      <c r="BL2088" s="46">
        <v>0</v>
      </c>
      <c r="BM2088" s="46">
        <v>0</v>
      </c>
      <c r="BN2088" s="46">
        <v>0</v>
      </c>
    </row>
    <row r="2089" spans="1:66" x14ac:dyDescent="0.35">
      <c r="A2089" t="s">
        <v>10816</v>
      </c>
      <c r="B2089" s="44" t="s">
        <v>48</v>
      </c>
      <c r="C2089" t="s">
        <v>12223</v>
      </c>
      <c r="D2089" t="s">
        <v>306</v>
      </c>
      <c r="E2089" t="s">
        <v>10817</v>
      </c>
      <c r="F2089" t="s">
        <v>5282</v>
      </c>
      <c r="G2089" t="s">
        <v>74</v>
      </c>
      <c r="H2089">
        <v>0</v>
      </c>
      <c r="I2089" s="61">
        <v>44806</v>
      </c>
      <c r="J2089" s="33" t="s">
        <v>45</v>
      </c>
      <c r="K2089" s="46">
        <v>0</v>
      </c>
      <c r="L2089">
        <v>35.5</v>
      </c>
      <c r="M2089" t="s">
        <v>48</v>
      </c>
      <c r="N2089" s="46">
        <v>0</v>
      </c>
      <c r="O2089" s="46">
        <v>0</v>
      </c>
      <c r="P2089" s="46">
        <v>0</v>
      </c>
      <c r="Q2089" t="s">
        <v>48</v>
      </c>
      <c r="R2089" t="s">
        <v>48</v>
      </c>
      <c r="S2089" t="s">
        <v>5303</v>
      </c>
      <c r="T2089" t="s">
        <v>48</v>
      </c>
      <c r="U2089" t="s">
        <v>5303</v>
      </c>
      <c r="V2089" s="47">
        <v>0</v>
      </c>
      <c r="W2089" t="s">
        <v>48</v>
      </c>
      <c r="X2089" t="s">
        <v>48</v>
      </c>
      <c r="Y2089" t="s">
        <v>48</v>
      </c>
      <c r="Z2089">
        <v>0</v>
      </c>
      <c r="AA2089" t="s">
        <v>48</v>
      </c>
      <c r="AB2089" t="s">
        <v>48</v>
      </c>
      <c r="AC2089" t="s">
        <v>63</v>
      </c>
      <c r="AD2089" t="s">
        <v>93</v>
      </c>
      <c r="AE2089" t="s">
        <v>4532</v>
      </c>
      <c r="AF2089" t="s">
        <v>48</v>
      </c>
      <c r="AG2089" t="s">
        <v>48</v>
      </c>
      <c r="AH2089" t="s">
        <v>48</v>
      </c>
      <c r="AI2089" t="s">
        <v>48</v>
      </c>
      <c r="AJ2089" t="s">
        <v>48</v>
      </c>
      <c r="AK2089" t="s">
        <v>48</v>
      </c>
      <c r="AL2089" t="s">
        <v>48</v>
      </c>
      <c r="AM2089" t="s">
        <v>48</v>
      </c>
      <c r="AN2089" t="s">
        <v>48</v>
      </c>
      <c r="AO2089" t="s">
        <v>48</v>
      </c>
      <c r="AP2089" s="46">
        <v>0</v>
      </c>
      <c r="AQ2089" s="46">
        <v>0</v>
      </c>
      <c r="AR2089" s="46">
        <v>0</v>
      </c>
      <c r="AS2089" s="46">
        <v>0</v>
      </c>
      <c r="AT2089" s="46">
        <v>0</v>
      </c>
      <c r="AU2089" s="46">
        <v>0</v>
      </c>
      <c r="AV2089" s="46">
        <v>0</v>
      </c>
      <c r="AW2089" s="46">
        <v>0</v>
      </c>
      <c r="AX2089" s="46">
        <v>0</v>
      </c>
      <c r="AY2089" s="46">
        <v>0</v>
      </c>
      <c r="AZ2089" s="46">
        <v>0</v>
      </c>
      <c r="BA2089" s="46">
        <v>0</v>
      </c>
      <c r="BB2089" s="46">
        <v>0</v>
      </c>
      <c r="BC2089" s="46">
        <v>0</v>
      </c>
      <c r="BD2089" s="46">
        <v>0</v>
      </c>
      <c r="BE2089" s="46">
        <v>0</v>
      </c>
      <c r="BF2089" s="46">
        <v>0</v>
      </c>
      <c r="BG2089" s="46" t="s">
        <v>48</v>
      </c>
      <c r="BH2089" s="46">
        <v>0</v>
      </c>
      <c r="BI2089" s="46">
        <v>0</v>
      </c>
      <c r="BJ2089" s="46">
        <v>0</v>
      </c>
      <c r="BK2089" s="46">
        <v>0</v>
      </c>
      <c r="BL2089" s="46">
        <v>0</v>
      </c>
      <c r="BM2089" s="46">
        <v>0</v>
      </c>
      <c r="BN2089" s="46">
        <v>0</v>
      </c>
    </row>
    <row r="2090" spans="1:66" x14ac:dyDescent="0.35">
      <c r="A2090" t="s">
        <v>10822</v>
      </c>
      <c r="B2090" t="s">
        <v>48</v>
      </c>
      <c r="C2090" t="s">
        <v>11757</v>
      </c>
      <c r="D2090" t="s">
        <v>571</v>
      </c>
      <c r="E2090" t="s">
        <v>10823</v>
      </c>
      <c r="F2090" t="s">
        <v>5282</v>
      </c>
      <c r="G2090" t="s">
        <v>47</v>
      </c>
      <c r="H2090">
        <v>0</v>
      </c>
      <c r="I2090" s="60" t="s">
        <v>11552</v>
      </c>
      <c r="J2090" s="33" t="s">
        <v>45</v>
      </c>
      <c r="K2090" s="46">
        <v>0</v>
      </c>
      <c r="L2090">
        <v>42.3</v>
      </c>
      <c r="M2090" t="s">
        <v>48</v>
      </c>
      <c r="N2090" s="46">
        <v>0</v>
      </c>
      <c r="O2090" s="46">
        <v>0</v>
      </c>
      <c r="P2090" s="46">
        <v>0</v>
      </c>
      <c r="Q2090" t="s">
        <v>48</v>
      </c>
      <c r="R2090" t="s">
        <v>48</v>
      </c>
      <c r="S2090" t="s">
        <v>11531</v>
      </c>
      <c r="T2090" t="s">
        <v>48</v>
      </c>
      <c r="U2090" t="s">
        <v>10824</v>
      </c>
      <c r="V2090" s="47">
        <v>0</v>
      </c>
      <c r="W2090" t="s">
        <v>48</v>
      </c>
      <c r="X2090" t="s">
        <v>48</v>
      </c>
      <c r="Y2090" t="s">
        <v>48</v>
      </c>
      <c r="Z2090">
        <v>0</v>
      </c>
      <c r="AA2090" t="s">
        <v>48</v>
      </c>
      <c r="AB2090" t="s">
        <v>48</v>
      </c>
      <c r="AC2090" t="s">
        <v>49</v>
      </c>
      <c r="AD2090" t="s">
        <v>93</v>
      </c>
      <c r="AE2090" t="s">
        <v>4532</v>
      </c>
      <c r="AF2090" t="s">
        <v>48</v>
      </c>
      <c r="AG2090" t="s">
        <v>48</v>
      </c>
      <c r="AH2090" t="s">
        <v>48</v>
      </c>
      <c r="AI2090" t="s">
        <v>48</v>
      </c>
      <c r="AJ2090" t="s">
        <v>48</v>
      </c>
      <c r="AK2090" t="s">
        <v>48</v>
      </c>
      <c r="AL2090" t="s">
        <v>48</v>
      </c>
      <c r="AM2090" t="s">
        <v>48</v>
      </c>
      <c r="AN2090" t="s">
        <v>48</v>
      </c>
      <c r="AO2090" t="s">
        <v>48</v>
      </c>
      <c r="AP2090" s="46">
        <v>0</v>
      </c>
      <c r="AQ2090" s="46">
        <v>0</v>
      </c>
      <c r="AR2090" s="46">
        <v>0</v>
      </c>
      <c r="AS2090" s="46">
        <v>0</v>
      </c>
      <c r="AT2090" s="46">
        <v>0</v>
      </c>
      <c r="AU2090" s="46">
        <v>0</v>
      </c>
      <c r="AV2090" s="46">
        <v>0</v>
      </c>
      <c r="AW2090" s="46">
        <v>0</v>
      </c>
      <c r="AX2090" s="46">
        <v>0</v>
      </c>
      <c r="AY2090" s="46">
        <v>0</v>
      </c>
      <c r="AZ2090" s="46">
        <v>0</v>
      </c>
      <c r="BA2090" s="46">
        <v>0</v>
      </c>
      <c r="BB2090" s="46">
        <v>0</v>
      </c>
      <c r="BC2090" s="46">
        <v>0</v>
      </c>
      <c r="BD2090" s="46">
        <v>0</v>
      </c>
      <c r="BE2090" s="46">
        <v>0</v>
      </c>
      <c r="BF2090" s="46">
        <v>0</v>
      </c>
      <c r="BG2090" s="46" t="s">
        <v>48</v>
      </c>
      <c r="BH2090" s="46">
        <v>0</v>
      </c>
      <c r="BI2090" s="46">
        <v>0</v>
      </c>
      <c r="BJ2090" s="46">
        <v>0</v>
      </c>
      <c r="BK2090" s="46">
        <v>0</v>
      </c>
      <c r="BL2090" s="46">
        <v>0</v>
      </c>
      <c r="BM2090" s="46">
        <v>0</v>
      </c>
      <c r="BN2090" s="46">
        <v>0</v>
      </c>
    </row>
    <row r="2091" spans="1:66" x14ac:dyDescent="0.35">
      <c r="A2091" t="s">
        <v>10831</v>
      </c>
      <c r="B2091" t="s">
        <v>48</v>
      </c>
      <c r="C2091" t="s">
        <v>12228</v>
      </c>
      <c r="D2091" t="s">
        <v>373</v>
      </c>
      <c r="E2091" t="s">
        <v>10832</v>
      </c>
      <c r="F2091" t="s">
        <v>5291</v>
      </c>
      <c r="G2091" t="s">
        <v>47</v>
      </c>
      <c r="H2091">
        <v>0</v>
      </c>
      <c r="I2091" s="60" t="s">
        <v>11552</v>
      </c>
      <c r="J2091" s="33" t="s">
        <v>45</v>
      </c>
      <c r="K2091" s="46">
        <v>0</v>
      </c>
      <c r="L2091">
        <v>47.9</v>
      </c>
      <c r="M2091" t="s">
        <v>48</v>
      </c>
      <c r="N2091" s="46">
        <v>0</v>
      </c>
      <c r="O2091" s="46">
        <v>0</v>
      </c>
      <c r="P2091" s="46">
        <v>0</v>
      </c>
      <c r="Q2091" t="s">
        <v>48</v>
      </c>
      <c r="R2091" t="s">
        <v>48</v>
      </c>
      <c r="S2091" t="s">
        <v>11533</v>
      </c>
      <c r="T2091" t="s">
        <v>48</v>
      </c>
      <c r="U2091" t="s">
        <v>10833</v>
      </c>
      <c r="V2091" s="47">
        <v>0</v>
      </c>
      <c r="W2091" t="s">
        <v>48</v>
      </c>
      <c r="X2091" t="s">
        <v>48</v>
      </c>
      <c r="Y2091" t="s">
        <v>48</v>
      </c>
      <c r="Z2091">
        <v>0</v>
      </c>
      <c r="AA2091" t="s">
        <v>48</v>
      </c>
      <c r="AB2091" t="s">
        <v>48</v>
      </c>
      <c r="AC2091" t="s">
        <v>49</v>
      </c>
      <c r="AD2091" t="s">
        <v>93</v>
      </c>
      <c r="AE2091" t="s">
        <v>4532</v>
      </c>
      <c r="AF2091" t="s">
        <v>48</v>
      </c>
      <c r="AG2091" t="s">
        <v>48</v>
      </c>
      <c r="AH2091" t="s">
        <v>48</v>
      </c>
      <c r="AI2091" t="s">
        <v>48</v>
      </c>
      <c r="AJ2091" t="s">
        <v>48</v>
      </c>
      <c r="AK2091" t="s">
        <v>48</v>
      </c>
      <c r="AL2091" t="s">
        <v>48</v>
      </c>
      <c r="AM2091" t="s">
        <v>48</v>
      </c>
      <c r="AN2091" t="s">
        <v>48</v>
      </c>
      <c r="AO2091" t="s">
        <v>48</v>
      </c>
      <c r="AP2091" s="46">
        <v>0</v>
      </c>
      <c r="AQ2091" s="46">
        <v>0</v>
      </c>
      <c r="AR2091" s="46">
        <v>0</v>
      </c>
      <c r="AS2091" s="46">
        <v>0</v>
      </c>
      <c r="AT2091" s="46">
        <v>0</v>
      </c>
      <c r="AU2091" s="46">
        <v>0</v>
      </c>
      <c r="AV2091" s="46">
        <v>0</v>
      </c>
      <c r="AW2091" s="46">
        <v>0</v>
      </c>
      <c r="AX2091" s="46">
        <v>0</v>
      </c>
      <c r="AY2091" s="46">
        <v>0</v>
      </c>
      <c r="AZ2091" s="46">
        <v>0</v>
      </c>
      <c r="BA2091" s="46">
        <v>0</v>
      </c>
      <c r="BB2091" s="46">
        <v>0</v>
      </c>
      <c r="BC2091" s="46">
        <v>0</v>
      </c>
      <c r="BD2091" s="46">
        <v>0</v>
      </c>
      <c r="BE2091" s="46">
        <v>0</v>
      </c>
      <c r="BF2091" s="46">
        <v>0</v>
      </c>
      <c r="BG2091" s="46" t="s">
        <v>48</v>
      </c>
      <c r="BH2091" s="46">
        <v>0</v>
      </c>
      <c r="BI2091" s="46">
        <v>0</v>
      </c>
      <c r="BJ2091" s="46">
        <v>0</v>
      </c>
      <c r="BK2091" s="46">
        <v>0</v>
      </c>
      <c r="BL2091" s="46">
        <v>0</v>
      </c>
      <c r="BM2091" s="46">
        <v>0</v>
      </c>
      <c r="BN2091" s="46">
        <v>0</v>
      </c>
    </row>
    <row r="2092" spans="1:66" x14ac:dyDescent="0.35">
      <c r="A2092" t="s">
        <v>10837</v>
      </c>
      <c r="B2092" t="s">
        <v>48</v>
      </c>
      <c r="C2092" t="s">
        <v>1019</v>
      </c>
      <c r="D2092" t="s">
        <v>1783</v>
      </c>
      <c r="E2092" t="s">
        <v>10838</v>
      </c>
      <c r="F2092" t="s">
        <v>5298</v>
      </c>
      <c r="G2092" t="s">
        <v>47</v>
      </c>
      <c r="H2092">
        <v>0</v>
      </c>
      <c r="I2092" s="61">
        <v>44806</v>
      </c>
      <c r="J2092" s="33" t="s">
        <v>45</v>
      </c>
      <c r="K2092" s="46">
        <v>0</v>
      </c>
      <c r="L2092">
        <v>6</v>
      </c>
      <c r="M2092" t="s">
        <v>48</v>
      </c>
      <c r="N2092" s="46">
        <v>0</v>
      </c>
      <c r="O2092" s="46">
        <v>0</v>
      </c>
      <c r="P2092" s="46">
        <v>0</v>
      </c>
      <c r="Q2092" t="s">
        <v>48</v>
      </c>
      <c r="R2092" t="s">
        <v>48</v>
      </c>
      <c r="S2092" t="s">
        <v>48</v>
      </c>
      <c r="T2092" t="s">
        <v>48</v>
      </c>
      <c r="U2092" t="s">
        <v>48</v>
      </c>
      <c r="V2092" s="47">
        <v>1</v>
      </c>
      <c r="W2092" t="s">
        <v>48</v>
      </c>
      <c r="X2092" t="s">
        <v>48</v>
      </c>
      <c r="Y2092" t="s">
        <v>48</v>
      </c>
      <c r="Z2092">
        <v>0</v>
      </c>
      <c r="AA2092" t="s">
        <v>48</v>
      </c>
      <c r="AB2092" t="s">
        <v>48</v>
      </c>
      <c r="AC2092" t="s">
        <v>49</v>
      </c>
      <c r="AD2092" t="s">
        <v>93</v>
      </c>
      <c r="AE2092" t="s">
        <v>4532</v>
      </c>
      <c r="AF2092" t="s">
        <v>48</v>
      </c>
      <c r="AG2092" t="s">
        <v>48</v>
      </c>
      <c r="AH2092" t="s">
        <v>48</v>
      </c>
      <c r="AI2092" t="s">
        <v>48</v>
      </c>
      <c r="AJ2092" t="s">
        <v>48</v>
      </c>
      <c r="AK2092" t="s">
        <v>48</v>
      </c>
      <c r="AL2092" t="s">
        <v>48</v>
      </c>
      <c r="AM2092" t="s">
        <v>48</v>
      </c>
      <c r="AN2092" t="s">
        <v>48</v>
      </c>
      <c r="AO2092" t="s">
        <v>48</v>
      </c>
      <c r="AP2092" s="46">
        <v>0</v>
      </c>
      <c r="AQ2092" s="46">
        <v>0</v>
      </c>
      <c r="AR2092" s="46">
        <v>0</v>
      </c>
      <c r="AS2092" s="46">
        <v>0</v>
      </c>
      <c r="AT2092" s="46">
        <v>0</v>
      </c>
      <c r="AU2092" s="46">
        <v>0</v>
      </c>
      <c r="AV2092" s="46">
        <v>0</v>
      </c>
      <c r="AW2092" s="46">
        <v>0</v>
      </c>
      <c r="AX2092" s="46">
        <v>0</v>
      </c>
      <c r="AY2092" s="46">
        <v>0</v>
      </c>
      <c r="AZ2092" s="46">
        <v>0</v>
      </c>
      <c r="BA2092" s="46">
        <v>0</v>
      </c>
      <c r="BB2092" s="46">
        <v>0</v>
      </c>
      <c r="BC2092" s="46">
        <v>0</v>
      </c>
      <c r="BD2092" s="46">
        <v>0</v>
      </c>
      <c r="BE2092" s="46">
        <v>0</v>
      </c>
      <c r="BF2092" s="46">
        <v>0</v>
      </c>
      <c r="BG2092" s="46" t="s">
        <v>48</v>
      </c>
      <c r="BH2092" s="46">
        <v>0</v>
      </c>
      <c r="BI2092" s="46">
        <v>0</v>
      </c>
      <c r="BJ2092" s="46">
        <v>0</v>
      </c>
      <c r="BK2092" s="46">
        <v>0</v>
      </c>
      <c r="BL2092" s="46">
        <v>0</v>
      </c>
      <c r="BM2092" s="46">
        <v>0</v>
      </c>
      <c r="BN2092" s="46">
        <v>0</v>
      </c>
    </row>
    <row r="2093" spans="1:66" x14ac:dyDescent="0.35">
      <c r="A2093" t="s">
        <v>5292</v>
      </c>
      <c r="B2093" t="s">
        <v>48</v>
      </c>
      <c r="C2093" t="s">
        <v>12229</v>
      </c>
      <c r="D2093" t="s">
        <v>2154</v>
      </c>
      <c r="E2093" t="s">
        <v>10835</v>
      </c>
      <c r="F2093" t="s">
        <v>5298</v>
      </c>
      <c r="G2093" t="s">
        <v>47</v>
      </c>
      <c r="H2093">
        <v>0</v>
      </c>
      <c r="I2093" s="60" t="s">
        <v>11552</v>
      </c>
      <c r="J2093" s="33" t="s">
        <v>45</v>
      </c>
      <c r="K2093" s="46">
        <v>0</v>
      </c>
      <c r="L2093">
        <v>40.200000000000003</v>
      </c>
      <c r="M2093" t="s">
        <v>48</v>
      </c>
      <c r="N2093" s="46">
        <v>0</v>
      </c>
      <c r="O2093" s="46">
        <v>0</v>
      </c>
      <c r="P2093" s="46">
        <v>0</v>
      </c>
      <c r="Q2093" t="s">
        <v>48</v>
      </c>
      <c r="R2093" t="s">
        <v>48</v>
      </c>
      <c r="S2093" t="s">
        <v>11535</v>
      </c>
      <c r="T2093" t="s">
        <v>48</v>
      </c>
      <c r="U2093" t="s">
        <v>10836</v>
      </c>
      <c r="V2093" s="47">
        <v>0</v>
      </c>
      <c r="W2093" t="s">
        <v>48</v>
      </c>
      <c r="X2093" t="s">
        <v>48</v>
      </c>
      <c r="Y2093" t="s">
        <v>48</v>
      </c>
      <c r="Z2093">
        <v>0</v>
      </c>
      <c r="AA2093" t="s">
        <v>48</v>
      </c>
      <c r="AB2093" t="s">
        <v>48</v>
      </c>
      <c r="AC2093" t="s">
        <v>49</v>
      </c>
      <c r="AD2093" t="s">
        <v>93</v>
      </c>
      <c r="AE2093" t="s">
        <v>4532</v>
      </c>
      <c r="AF2093" t="s">
        <v>48</v>
      </c>
      <c r="AG2093" t="s">
        <v>48</v>
      </c>
      <c r="AH2093" t="s">
        <v>48</v>
      </c>
      <c r="AI2093" t="s">
        <v>48</v>
      </c>
      <c r="AJ2093" t="s">
        <v>48</v>
      </c>
      <c r="AK2093" t="s">
        <v>48</v>
      </c>
      <c r="AL2093" t="s">
        <v>48</v>
      </c>
      <c r="AM2093" t="s">
        <v>48</v>
      </c>
      <c r="AN2093" t="s">
        <v>48</v>
      </c>
      <c r="AO2093" t="s">
        <v>48</v>
      </c>
      <c r="AP2093" s="46">
        <v>0</v>
      </c>
      <c r="AQ2093" s="46">
        <v>0</v>
      </c>
      <c r="AR2093" s="46">
        <v>0</v>
      </c>
      <c r="AS2093" s="46">
        <v>0</v>
      </c>
      <c r="AT2093" s="46">
        <v>0</v>
      </c>
      <c r="AU2093" s="46">
        <v>0</v>
      </c>
      <c r="AV2093" s="46">
        <v>0</v>
      </c>
      <c r="AW2093" s="46">
        <v>0</v>
      </c>
      <c r="AX2093" s="46">
        <v>0</v>
      </c>
      <c r="AY2093" s="46">
        <v>0</v>
      </c>
      <c r="AZ2093" s="46">
        <v>0</v>
      </c>
      <c r="BA2093" s="46">
        <v>0</v>
      </c>
      <c r="BB2093" s="46">
        <v>0</v>
      </c>
      <c r="BC2093" s="46">
        <v>0</v>
      </c>
      <c r="BD2093" s="46">
        <v>0</v>
      </c>
      <c r="BE2093" s="46">
        <v>0</v>
      </c>
      <c r="BF2093" s="46">
        <v>0</v>
      </c>
      <c r="BG2093" s="46" t="s">
        <v>48</v>
      </c>
      <c r="BH2093" s="46">
        <v>0</v>
      </c>
      <c r="BI2093" s="46">
        <v>0</v>
      </c>
      <c r="BJ2093" s="46">
        <v>0</v>
      </c>
      <c r="BK2093" s="46">
        <v>0</v>
      </c>
      <c r="BL2093" s="46">
        <v>0</v>
      </c>
      <c r="BM2093" s="46">
        <v>0</v>
      </c>
      <c r="BN2093" s="46">
        <v>0</v>
      </c>
    </row>
    <row r="2094" spans="1:66" x14ac:dyDescent="0.35">
      <c r="A2094" t="s">
        <v>10839</v>
      </c>
      <c r="B2094" s="44" t="s">
        <v>48</v>
      </c>
      <c r="C2094" t="s">
        <v>12231</v>
      </c>
      <c r="D2094" t="s">
        <v>12232</v>
      </c>
      <c r="E2094" t="s">
        <v>10840</v>
      </c>
      <c r="F2094" t="s">
        <v>5322</v>
      </c>
      <c r="G2094" t="s">
        <v>74</v>
      </c>
      <c r="H2094">
        <v>0</v>
      </c>
      <c r="I2094" s="61" t="s">
        <v>11160</v>
      </c>
      <c r="J2094" s="33" t="s">
        <v>45</v>
      </c>
      <c r="K2094" s="46">
        <v>0</v>
      </c>
      <c r="L2094">
        <v>8.6999999999999993</v>
      </c>
      <c r="M2094" t="s">
        <v>48</v>
      </c>
      <c r="N2094" s="46">
        <v>0</v>
      </c>
      <c r="O2094" s="46">
        <v>0</v>
      </c>
      <c r="P2094" s="46">
        <v>0</v>
      </c>
      <c r="Q2094" t="s">
        <v>48</v>
      </c>
      <c r="R2094" t="s">
        <v>48</v>
      </c>
      <c r="S2094" t="str">
        <f>"@Egriu"</f>
        <v>@Egriu</v>
      </c>
      <c r="T2094" t="s">
        <v>48</v>
      </c>
      <c r="U2094" t="str">
        <f>"@Egriu"</f>
        <v>@Egriu</v>
      </c>
      <c r="V2094" s="47">
        <v>0</v>
      </c>
      <c r="W2094" t="s">
        <v>48</v>
      </c>
      <c r="X2094" t="s">
        <v>48</v>
      </c>
      <c r="Y2094" t="s">
        <v>48</v>
      </c>
      <c r="Z2094">
        <v>0</v>
      </c>
      <c r="AA2094" t="s">
        <v>48</v>
      </c>
      <c r="AB2094" t="s">
        <v>48</v>
      </c>
      <c r="AC2094" t="s">
        <v>49</v>
      </c>
      <c r="AD2094" t="s">
        <v>48</v>
      </c>
      <c r="AE2094" t="s">
        <v>48</v>
      </c>
      <c r="AF2094" t="s">
        <v>48</v>
      </c>
      <c r="AG2094" t="s">
        <v>48</v>
      </c>
      <c r="AH2094" t="s">
        <v>48</v>
      </c>
      <c r="AI2094" t="s">
        <v>48</v>
      </c>
      <c r="AJ2094" t="s">
        <v>48</v>
      </c>
      <c r="AK2094" t="s">
        <v>48</v>
      </c>
      <c r="AL2094" t="s">
        <v>48</v>
      </c>
      <c r="AM2094" t="s">
        <v>48</v>
      </c>
      <c r="AN2094" t="s">
        <v>48</v>
      </c>
      <c r="AO2094" t="s">
        <v>48</v>
      </c>
      <c r="AP2094" s="46">
        <v>0</v>
      </c>
      <c r="AQ2094" s="46">
        <v>0</v>
      </c>
      <c r="AR2094" s="46">
        <v>0</v>
      </c>
      <c r="AS2094" s="46">
        <v>0</v>
      </c>
      <c r="AT2094" s="46">
        <v>0</v>
      </c>
      <c r="AU2094" s="46">
        <v>0</v>
      </c>
      <c r="AV2094" s="46">
        <v>0</v>
      </c>
      <c r="AW2094" s="46">
        <v>0</v>
      </c>
      <c r="AX2094" s="46">
        <v>0</v>
      </c>
      <c r="AY2094" s="46">
        <v>0</v>
      </c>
      <c r="AZ2094" s="46">
        <v>0</v>
      </c>
      <c r="BA2094" s="46">
        <v>0</v>
      </c>
      <c r="BB2094" s="46">
        <v>0</v>
      </c>
      <c r="BC2094" s="46">
        <v>0</v>
      </c>
      <c r="BD2094" s="46">
        <v>0</v>
      </c>
      <c r="BE2094" s="46">
        <v>0</v>
      </c>
      <c r="BF2094" s="46">
        <v>0</v>
      </c>
      <c r="BG2094" s="46" t="s">
        <v>48</v>
      </c>
      <c r="BH2094" s="46">
        <v>0</v>
      </c>
      <c r="BI2094" s="46">
        <v>0</v>
      </c>
      <c r="BJ2094" s="46">
        <v>0</v>
      </c>
      <c r="BK2094" s="46">
        <v>0</v>
      </c>
      <c r="BL2094" s="46">
        <v>0</v>
      </c>
      <c r="BM2094" s="46">
        <v>0</v>
      </c>
      <c r="BN2094" s="46">
        <v>0</v>
      </c>
    </row>
    <row r="2095" spans="1:66" x14ac:dyDescent="0.35">
      <c r="A2095" t="s">
        <v>5358</v>
      </c>
      <c r="B2095" s="44" t="s">
        <v>48</v>
      </c>
      <c r="C2095" t="s">
        <v>5362</v>
      </c>
      <c r="D2095" t="s">
        <v>1468</v>
      </c>
      <c r="E2095" t="s">
        <v>5360</v>
      </c>
      <c r="F2095" t="s">
        <v>5359</v>
      </c>
      <c r="G2095" t="s">
        <v>74</v>
      </c>
      <c r="H2095">
        <v>0</v>
      </c>
      <c r="I2095" s="60" t="s">
        <v>11160</v>
      </c>
      <c r="J2095" s="33" t="s">
        <v>45</v>
      </c>
      <c r="K2095" s="46">
        <v>0</v>
      </c>
      <c r="L2095">
        <v>27.9</v>
      </c>
      <c r="M2095" t="s">
        <v>48</v>
      </c>
      <c r="N2095" s="46">
        <v>0</v>
      </c>
      <c r="O2095" s="46">
        <v>0</v>
      </c>
      <c r="P2095" s="46">
        <v>0</v>
      </c>
      <c r="Q2095" t="s">
        <v>48</v>
      </c>
      <c r="R2095" t="s">
        <v>48</v>
      </c>
      <c r="S2095" t="s">
        <v>5361</v>
      </c>
      <c r="T2095" t="s">
        <v>48</v>
      </c>
      <c r="U2095" t="s">
        <v>5361</v>
      </c>
      <c r="V2095" s="47">
        <v>1</v>
      </c>
      <c r="W2095" t="s">
        <v>48</v>
      </c>
      <c r="X2095" t="s">
        <v>48</v>
      </c>
      <c r="Y2095" t="s">
        <v>48</v>
      </c>
      <c r="Z2095">
        <v>0</v>
      </c>
      <c r="AA2095" t="s">
        <v>48</v>
      </c>
      <c r="AB2095" t="s">
        <v>48</v>
      </c>
      <c r="AC2095" t="s">
        <v>49</v>
      </c>
      <c r="AD2095" t="s">
        <v>93</v>
      </c>
      <c r="AE2095" t="s">
        <v>4532</v>
      </c>
      <c r="AF2095" t="s">
        <v>48</v>
      </c>
      <c r="AG2095" t="s">
        <v>48</v>
      </c>
      <c r="AH2095" t="s">
        <v>48</v>
      </c>
      <c r="AI2095" t="s">
        <v>48</v>
      </c>
      <c r="AJ2095" t="s">
        <v>48</v>
      </c>
      <c r="AK2095" t="s">
        <v>48</v>
      </c>
      <c r="AL2095" t="s">
        <v>48</v>
      </c>
      <c r="AM2095" t="s">
        <v>48</v>
      </c>
      <c r="AN2095" t="s">
        <v>48</v>
      </c>
      <c r="AO2095" t="s">
        <v>48</v>
      </c>
      <c r="AP2095" s="46">
        <v>0</v>
      </c>
      <c r="AQ2095" s="46">
        <v>0</v>
      </c>
      <c r="AR2095" s="46">
        <v>0</v>
      </c>
      <c r="AS2095" s="46">
        <v>0</v>
      </c>
      <c r="AT2095" s="46">
        <v>0</v>
      </c>
      <c r="AU2095" s="46">
        <v>0</v>
      </c>
      <c r="AV2095" s="46">
        <v>0</v>
      </c>
      <c r="AW2095" s="46">
        <v>0</v>
      </c>
      <c r="AX2095" s="46">
        <v>0</v>
      </c>
      <c r="AY2095" s="46">
        <v>0</v>
      </c>
      <c r="AZ2095" s="46">
        <v>0</v>
      </c>
      <c r="BA2095" s="46">
        <v>0</v>
      </c>
      <c r="BB2095" s="46">
        <v>0</v>
      </c>
      <c r="BC2095" s="46">
        <v>0</v>
      </c>
      <c r="BD2095" s="46">
        <v>0</v>
      </c>
      <c r="BE2095" s="46">
        <v>0</v>
      </c>
      <c r="BF2095" s="46">
        <v>0</v>
      </c>
      <c r="BG2095" s="46" t="s">
        <v>48</v>
      </c>
      <c r="BH2095" s="46">
        <v>0</v>
      </c>
      <c r="BI2095" s="46">
        <v>0</v>
      </c>
      <c r="BJ2095" s="46">
        <v>0</v>
      </c>
      <c r="BK2095" s="46">
        <v>0</v>
      </c>
      <c r="BL2095" s="46">
        <v>0</v>
      </c>
      <c r="BM2095" s="46">
        <v>0</v>
      </c>
      <c r="BN2095" s="46">
        <v>0</v>
      </c>
    </row>
    <row r="2096" spans="1:66" x14ac:dyDescent="0.35">
      <c r="A2096" t="s">
        <v>9658</v>
      </c>
      <c r="B2096" t="s">
        <v>48</v>
      </c>
      <c r="C2096" t="s">
        <v>12234</v>
      </c>
      <c r="D2096" t="s">
        <v>268</v>
      </c>
      <c r="E2096" t="s">
        <v>9659</v>
      </c>
      <c r="F2096" t="s">
        <v>5359</v>
      </c>
      <c r="G2096" t="s">
        <v>47</v>
      </c>
      <c r="H2096">
        <v>0</v>
      </c>
      <c r="I2096" s="61">
        <v>44757</v>
      </c>
      <c r="J2096" s="33" t="s">
        <v>45</v>
      </c>
      <c r="K2096" s="46">
        <v>0</v>
      </c>
      <c r="L2096">
        <v>10.1</v>
      </c>
      <c r="M2096" t="s">
        <v>48</v>
      </c>
      <c r="N2096" s="46">
        <v>0</v>
      </c>
      <c r="O2096" s="46">
        <v>0</v>
      </c>
      <c r="P2096" s="46">
        <v>0</v>
      </c>
      <c r="Q2096" t="s">
        <v>48</v>
      </c>
      <c r="R2096" t="s">
        <v>48</v>
      </c>
      <c r="S2096" t="s">
        <v>48</v>
      </c>
      <c r="T2096" t="s">
        <v>48</v>
      </c>
      <c r="U2096" t="s">
        <v>48</v>
      </c>
      <c r="V2096" s="47">
        <v>1</v>
      </c>
      <c r="W2096" t="s">
        <v>48</v>
      </c>
      <c r="X2096" t="s">
        <v>48</v>
      </c>
      <c r="Y2096" t="s">
        <v>48</v>
      </c>
      <c r="Z2096" t="s">
        <v>48</v>
      </c>
      <c r="AA2096" t="s">
        <v>48</v>
      </c>
      <c r="AB2096" t="s">
        <v>48</v>
      </c>
      <c r="AC2096" t="s">
        <v>49</v>
      </c>
      <c r="AD2096" t="s">
        <v>48</v>
      </c>
      <c r="AE2096" t="s">
        <v>48</v>
      </c>
      <c r="AF2096" t="s">
        <v>48</v>
      </c>
      <c r="AG2096" t="s">
        <v>48</v>
      </c>
      <c r="AH2096" t="s">
        <v>48</v>
      </c>
      <c r="AI2096" t="s">
        <v>48</v>
      </c>
      <c r="AJ2096" t="s">
        <v>48</v>
      </c>
      <c r="AK2096" t="s">
        <v>48</v>
      </c>
      <c r="AL2096" t="s">
        <v>48</v>
      </c>
      <c r="AM2096" t="s">
        <v>48</v>
      </c>
      <c r="AN2096" t="s">
        <v>48</v>
      </c>
      <c r="AO2096" t="s">
        <v>48</v>
      </c>
      <c r="AP2096" s="46">
        <v>0</v>
      </c>
      <c r="AQ2096" s="46">
        <v>0</v>
      </c>
      <c r="AR2096" s="46">
        <v>0</v>
      </c>
      <c r="AS2096" s="46">
        <v>0</v>
      </c>
      <c r="AT2096" s="46">
        <v>0</v>
      </c>
      <c r="AU2096" s="46">
        <v>0</v>
      </c>
      <c r="AV2096" s="46">
        <v>0</v>
      </c>
      <c r="AW2096" s="46">
        <v>0</v>
      </c>
      <c r="AX2096" s="46">
        <v>0</v>
      </c>
      <c r="AY2096" s="46">
        <v>0</v>
      </c>
      <c r="AZ2096" s="46">
        <v>0</v>
      </c>
      <c r="BA2096" s="46">
        <v>0</v>
      </c>
      <c r="BB2096" s="46">
        <v>0</v>
      </c>
      <c r="BC2096" s="46">
        <v>0</v>
      </c>
      <c r="BD2096" s="46">
        <v>0</v>
      </c>
      <c r="BE2096" s="46">
        <v>0</v>
      </c>
      <c r="BF2096" s="46">
        <v>0</v>
      </c>
      <c r="BG2096" s="46" t="s">
        <v>48</v>
      </c>
      <c r="BH2096" s="46">
        <v>0</v>
      </c>
      <c r="BI2096" s="46">
        <v>0</v>
      </c>
      <c r="BJ2096" s="46">
        <v>0</v>
      </c>
      <c r="BK2096" s="46">
        <v>0</v>
      </c>
      <c r="BL2096" s="46">
        <v>0</v>
      </c>
      <c r="BM2096" s="46">
        <v>0</v>
      </c>
      <c r="BN2096" s="46">
        <v>0</v>
      </c>
    </row>
    <row r="2097" spans="1:66" x14ac:dyDescent="0.35">
      <c r="A2097" t="s">
        <v>9660</v>
      </c>
      <c r="B2097" t="s">
        <v>48</v>
      </c>
      <c r="C2097" t="s">
        <v>12233</v>
      </c>
      <c r="D2097" t="s">
        <v>603</v>
      </c>
      <c r="E2097" t="s">
        <v>9661</v>
      </c>
      <c r="F2097" t="s">
        <v>5359</v>
      </c>
      <c r="G2097" t="s">
        <v>47</v>
      </c>
      <c r="H2097">
        <v>0</v>
      </c>
      <c r="I2097" s="61">
        <v>44757</v>
      </c>
      <c r="J2097" s="33" t="s">
        <v>45</v>
      </c>
      <c r="K2097" s="46">
        <v>0</v>
      </c>
      <c r="L2097">
        <v>12.6</v>
      </c>
      <c r="M2097" t="s">
        <v>48</v>
      </c>
      <c r="N2097" s="46">
        <v>0</v>
      </c>
      <c r="O2097" s="46">
        <v>0</v>
      </c>
      <c r="P2097" s="46">
        <v>0</v>
      </c>
      <c r="Q2097" t="s">
        <v>48</v>
      </c>
      <c r="R2097" t="s">
        <v>48</v>
      </c>
      <c r="S2097" t="s">
        <v>48</v>
      </c>
      <c r="T2097" t="s">
        <v>48</v>
      </c>
      <c r="U2097" t="s">
        <v>48</v>
      </c>
      <c r="V2097" s="47">
        <v>0</v>
      </c>
      <c r="W2097" t="s">
        <v>48</v>
      </c>
      <c r="X2097" t="s">
        <v>48</v>
      </c>
      <c r="Y2097" t="s">
        <v>48</v>
      </c>
      <c r="Z2097" t="s">
        <v>48</v>
      </c>
      <c r="AA2097" t="s">
        <v>48</v>
      </c>
      <c r="AB2097" t="s">
        <v>48</v>
      </c>
      <c r="AC2097" t="s">
        <v>49</v>
      </c>
      <c r="AD2097" t="s">
        <v>93</v>
      </c>
      <c r="AE2097" t="s">
        <v>4532</v>
      </c>
      <c r="AF2097" t="s">
        <v>48</v>
      </c>
      <c r="AG2097" t="s">
        <v>48</v>
      </c>
      <c r="AH2097" t="s">
        <v>48</v>
      </c>
      <c r="AI2097" t="s">
        <v>48</v>
      </c>
      <c r="AJ2097" t="s">
        <v>48</v>
      </c>
      <c r="AK2097" t="s">
        <v>48</v>
      </c>
      <c r="AL2097" t="s">
        <v>48</v>
      </c>
      <c r="AM2097" t="s">
        <v>48</v>
      </c>
      <c r="AN2097" t="s">
        <v>48</v>
      </c>
      <c r="AO2097" t="s">
        <v>48</v>
      </c>
      <c r="AP2097" s="46">
        <v>0</v>
      </c>
      <c r="AQ2097" s="46">
        <v>0</v>
      </c>
      <c r="AR2097" s="46">
        <v>0</v>
      </c>
      <c r="AS2097" s="46">
        <v>0</v>
      </c>
      <c r="AT2097" s="46">
        <v>0</v>
      </c>
      <c r="AU2097" s="46">
        <v>0</v>
      </c>
      <c r="AV2097" s="46">
        <v>0</v>
      </c>
      <c r="AW2097" s="46">
        <v>0</v>
      </c>
      <c r="AX2097" s="46">
        <v>0</v>
      </c>
      <c r="AY2097" s="46">
        <v>0</v>
      </c>
      <c r="AZ2097" s="46">
        <v>0</v>
      </c>
      <c r="BA2097" s="46">
        <v>0</v>
      </c>
      <c r="BB2097" s="46">
        <v>0</v>
      </c>
      <c r="BC2097" s="46">
        <v>0</v>
      </c>
      <c r="BD2097" s="46">
        <v>0</v>
      </c>
      <c r="BE2097" s="46">
        <v>0</v>
      </c>
      <c r="BF2097" s="46">
        <v>0</v>
      </c>
      <c r="BG2097" s="46" t="s">
        <v>48</v>
      </c>
      <c r="BH2097" s="46">
        <v>0</v>
      </c>
      <c r="BI2097" s="46">
        <v>0</v>
      </c>
      <c r="BJ2097" s="46">
        <v>0</v>
      </c>
      <c r="BK2097" s="46">
        <v>0</v>
      </c>
      <c r="BL2097" s="46">
        <v>0</v>
      </c>
      <c r="BM2097" s="46">
        <v>0</v>
      </c>
      <c r="BN2097" s="46">
        <v>0</v>
      </c>
    </row>
    <row r="2098" spans="1:66" x14ac:dyDescent="0.35">
      <c r="A2098" t="s">
        <v>5385</v>
      </c>
      <c r="B2098" s="44" t="s">
        <v>48</v>
      </c>
      <c r="C2098" t="s">
        <v>5388</v>
      </c>
      <c r="D2098" t="s">
        <v>701</v>
      </c>
      <c r="E2098" t="s">
        <v>5386</v>
      </c>
      <c r="F2098" t="s">
        <v>5380</v>
      </c>
      <c r="G2098" t="s">
        <v>74</v>
      </c>
      <c r="H2098">
        <v>0</v>
      </c>
      <c r="I2098" s="60" t="s">
        <v>51</v>
      </c>
      <c r="J2098" s="33" t="s">
        <v>45</v>
      </c>
      <c r="K2098" s="46">
        <v>0</v>
      </c>
      <c r="L2098">
        <v>48.3</v>
      </c>
      <c r="M2098" t="s">
        <v>48</v>
      </c>
      <c r="N2098" s="46">
        <v>0</v>
      </c>
      <c r="O2098" s="46">
        <v>0</v>
      </c>
      <c r="P2098" s="46">
        <v>0</v>
      </c>
      <c r="Q2098" t="s">
        <v>48</v>
      </c>
      <c r="R2098" t="s">
        <v>48</v>
      </c>
      <c r="S2098" t="s">
        <v>5387</v>
      </c>
      <c r="T2098" t="s">
        <v>48</v>
      </c>
      <c r="U2098" t="s">
        <v>5387</v>
      </c>
      <c r="V2098" s="47">
        <v>0</v>
      </c>
      <c r="W2098" t="s">
        <v>11317</v>
      </c>
      <c r="X2098" t="s">
        <v>48</v>
      </c>
      <c r="Y2098" t="s">
        <v>48</v>
      </c>
      <c r="Z2098">
        <v>0</v>
      </c>
      <c r="AA2098" t="s">
        <v>48</v>
      </c>
      <c r="AB2098" t="s">
        <v>48</v>
      </c>
      <c r="AC2098" t="s">
        <v>49</v>
      </c>
      <c r="AD2098" t="s">
        <v>93</v>
      </c>
      <c r="AE2098" t="s">
        <v>4532</v>
      </c>
      <c r="AF2098" t="s">
        <v>48</v>
      </c>
      <c r="AG2098" t="s">
        <v>48</v>
      </c>
      <c r="AH2098" t="s">
        <v>48</v>
      </c>
      <c r="AI2098" t="s">
        <v>48</v>
      </c>
      <c r="AJ2098" t="s">
        <v>48</v>
      </c>
      <c r="AK2098" t="s">
        <v>48</v>
      </c>
      <c r="AL2098" t="s">
        <v>48</v>
      </c>
      <c r="AM2098" t="s">
        <v>48</v>
      </c>
      <c r="AN2098" t="s">
        <v>48</v>
      </c>
      <c r="AO2098" t="s">
        <v>48</v>
      </c>
      <c r="AP2098" s="46">
        <v>0</v>
      </c>
      <c r="AQ2098" s="46">
        <v>0</v>
      </c>
      <c r="AR2098" s="46">
        <v>0</v>
      </c>
      <c r="AS2098" s="46">
        <v>0</v>
      </c>
      <c r="AT2098" s="46">
        <v>0</v>
      </c>
      <c r="AU2098" s="46">
        <v>0</v>
      </c>
      <c r="AV2098" s="46">
        <v>0</v>
      </c>
      <c r="AW2098" s="46">
        <v>0</v>
      </c>
      <c r="AX2098" s="46">
        <v>0</v>
      </c>
      <c r="AY2098" s="46">
        <v>0</v>
      </c>
      <c r="AZ2098" s="46">
        <v>0</v>
      </c>
      <c r="BA2098" s="46">
        <v>0</v>
      </c>
      <c r="BB2098" s="46">
        <v>0</v>
      </c>
      <c r="BC2098" s="46">
        <v>0</v>
      </c>
      <c r="BD2098" s="46">
        <v>0</v>
      </c>
      <c r="BE2098" s="46">
        <v>0</v>
      </c>
      <c r="BF2098" s="46">
        <v>0</v>
      </c>
      <c r="BG2098" s="46" t="s">
        <v>48</v>
      </c>
      <c r="BH2098" s="46">
        <v>0</v>
      </c>
      <c r="BI2098" s="46">
        <v>0</v>
      </c>
      <c r="BJ2098" s="46">
        <v>0</v>
      </c>
      <c r="BK2098" s="46">
        <v>0</v>
      </c>
      <c r="BL2098" s="46">
        <v>0</v>
      </c>
      <c r="BM2098" s="46">
        <v>0</v>
      </c>
      <c r="BN2098" s="46">
        <v>0</v>
      </c>
    </row>
    <row r="2099" spans="1:66" ht="15" x14ac:dyDescent="0.4">
      <c r="A2099" t="s">
        <v>9662</v>
      </c>
      <c r="B2099" s="44" t="s">
        <v>48</v>
      </c>
      <c r="C2099" t="s">
        <v>12236</v>
      </c>
      <c r="D2099" t="s">
        <v>772</v>
      </c>
      <c r="E2099" t="s">
        <v>9663</v>
      </c>
      <c r="F2099" t="s">
        <v>5389</v>
      </c>
      <c r="G2099" t="s">
        <v>74</v>
      </c>
      <c r="H2099">
        <v>0</v>
      </c>
      <c r="I2099" s="61">
        <v>44757</v>
      </c>
      <c r="J2099" s="33" t="s">
        <v>45</v>
      </c>
      <c r="K2099" s="46">
        <v>0</v>
      </c>
      <c r="L2099">
        <v>44.8</v>
      </c>
      <c r="M2099" t="s">
        <v>48</v>
      </c>
      <c r="N2099" s="46">
        <v>0</v>
      </c>
      <c r="O2099" s="46">
        <v>0</v>
      </c>
      <c r="P2099" s="46">
        <v>0</v>
      </c>
      <c r="Q2099" t="s">
        <v>48</v>
      </c>
      <c r="R2099" t="s">
        <v>48</v>
      </c>
      <c r="S2099" s="55" t="s">
        <v>11369</v>
      </c>
      <c r="T2099" t="s">
        <v>48</v>
      </c>
      <c r="U2099" t="s">
        <v>48</v>
      </c>
      <c r="V2099" s="47">
        <v>1</v>
      </c>
      <c r="W2099" t="s">
        <v>11370</v>
      </c>
      <c r="X2099" t="s">
        <v>48</v>
      </c>
      <c r="Y2099" t="s">
        <v>48</v>
      </c>
      <c r="Z2099" t="s">
        <v>48</v>
      </c>
      <c r="AA2099" t="s">
        <v>48</v>
      </c>
      <c r="AB2099" t="s">
        <v>48</v>
      </c>
      <c r="AC2099" t="s">
        <v>49</v>
      </c>
      <c r="AD2099" t="s">
        <v>93</v>
      </c>
      <c r="AE2099" t="s">
        <v>4532</v>
      </c>
      <c r="AF2099" t="s">
        <v>48</v>
      </c>
      <c r="AG2099" t="s">
        <v>48</v>
      </c>
      <c r="AH2099" t="s">
        <v>48</v>
      </c>
      <c r="AI2099" t="s">
        <v>48</v>
      </c>
      <c r="AJ2099" t="s">
        <v>48</v>
      </c>
      <c r="AK2099" t="s">
        <v>48</v>
      </c>
      <c r="AL2099" t="s">
        <v>48</v>
      </c>
      <c r="AM2099" t="s">
        <v>48</v>
      </c>
      <c r="AN2099" t="s">
        <v>48</v>
      </c>
      <c r="AO2099" t="s">
        <v>48</v>
      </c>
      <c r="AP2099" s="46">
        <v>0</v>
      </c>
      <c r="AQ2099" s="46">
        <v>0</v>
      </c>
      <c r="AR2099" s="46">
        <v>0</v>
      </c>
      <c r="AS2099" s="46">
        <v>0</v>
      </c>
      <c r="AT2099" s="46">
        <v>0</v>
      </c>
      <c r="AU2099" s="46">
        <v>0</v>
      </c>
      <c r="AV2099" s="46">
        <v>0</v>
      </c>
      <c r="AW2099" s="46">
        <v>0</v>
      </c>
      <c r="AX2099" s="46">
        <v>0</v>
      </c>
      <c r="AY2099" s="46">
        <v>0</v>
      </c>
      <c r="AZ2099" s="46">
        <v>0</v>
      </c>
      <c r="BA2099" s="46">
        <v>0</v>
      </c>
      <c r="BB2099" s="46">
        <v>0</v>
      </c>
      <c r="BC2099" s="46">
        <v>0</v>
      </c>
      <c r="BD2099" s="46">
        <v>0</v>
      </c>
      <c r="BE2099" s="46">
        <v>0</v>
      </c>
      <c r="BF2099" s="46">
        <v>0</v>
      </c>
      <c r="BG2099" s="46" t="s">
        <v>48</v>
      </c>
      <c r="BH2099" s="46">
        <v>0</v>
      </c>
      <c r="BI2099" s="46">
        <v>0</v>
      </c>
      <c r="BJ2099" s="46">
        <v>0</v>
      </c>
      <c r="BK2099" s="46">
        <v>0</v>
      </c>
      <c r="BL2099" s="46">
        <v>0</v>
      </c>
      <c r="BM2099" s="46">
        <v>0</v>
      </c>
      <c r="BN2099" s="46">
        <v>0</v>
      </c>
    </row>
    <row r="2100" spans="1:66" ht="15" x14ac:dyDescent="0.4">
      <c r="A2100" t="s">
        <v>11192</v>
      </c>
      <c r="B2100" s="44" t="s">
        <v>48</v>
      </c>
      <c r="C2100" t="s">
        <v>886</v>
      </c>
      <c r="D2100" t="s">
        <v>1005</v>
      </c>
      <c r="E2100" t="s">
        <v>11195</v>
      </c>
      <c r="F2100" t="s">
        <v>5397</v>
      </c>
      <c r="G2100" t="s">
        <v>74</v>
      </c>
      <c r="H2100">
        <v>0</v>
      </c>
      <c r="I2100" s="60" t="s">
        <v>11160</v>
      </c>
      <c r="J2100" s="33" t="s">
        <v>45</v>
      </c>
      <c r="K2100" s="46">
        <v>0</v>
      </c>
      <c r="L2100">
        <v>25.3</v>
      </c>
      <c r="M2100" t="s">
        <v>48</v>
      </c>
      <c r="N2100" s="46">
        <v>0</v>
      </c>
      <c r="O2100" s="46">
        <v>0</v>
      </c>
      <c r="P2100" s="46">
        <v>0</v>
      </c>
      <c r="Q2100" t="s">
        <v>48</v>
      </c>
      <c r="R2100" t="s">
        <v>48</v>
      </c>
      <c r="S2100" s="55" t="s">
        <v>11198</v>
      </c>
      <c r="T2100" t="s">
        <v>48</v>
      </c>
      <c r="U2100" s="55" t="s">
        <v>11198</v>
      </c>
      <c r="V2100" s="47" t="s">
        <v>48</v>
      </c>
      <c r="W2100" t="s">
        <v>48</v>
      </c>
      <c r="X2100" t="s">
        <v>48</v>
      </c>
      <c r="Y2100" t="s">
        <v>48</v>
      </c>
      <c r="Z2100" t="s">
        <v>48</v>
      </c>
      <c r="AA2100" t="s">
        <v>48</v>
      </c>
      <c r="AB2100" t="s">
        <v>48</v>
      </c>
      <c r="AC2100" t="s">
        <v>48</v>
      </c>
      <c r="AD2100" t="s">
        <v>48</v>
      </c>
      <c r="AE2100" t="s">
        <v>48</v>
      </c>
      <c r="AF2100" t="s">
        <v>48</v>
      </c>
      <c r="AG2100" t="s">
        <v>48</v>
      </c>
      <c r="AH2100" t="s">
        <v>48</v>
      </c>
      <c r="AI2100" t="s">
        <v>48</v>
      </c>
      <c r="AJ2100" t="s">
        <v>48</v>
      </c>
      <c r="AK2100" t="s">
        <v>48</v>
      </c>
      <c r="AL2100" t="s">
        <v>48</v>
      </c>
      <c r="AM2100" t="s">
        <v>48</v>
      </c>
      <c r="AN2100" t="s">
        <v>48</v>
      </c>
      <c r="AO2100" t="s">
        <v>48</v>
      </c>
      <c r="AP2100" s="46">
        <v>0</v>
      </c>
      <c r="AQ2100" s="46">
        <v>0</v>
      </c>
      <c r="AR2100" s="46">
        <v>0</v>
      </c>
      <c r="AS2100" s="46">
        <v>0</v>
      </c>
      <c r="AT2100" s="46">
        <v>0</v>
      </c>
      <c r="AU2100" s="46">
        <v>0</v>
      </c>
      <c r="AV2100" s="46">
        <v>0</v>
      </c>
      <c r="AW2100" s="46">
        <v>0</v>
      </c>
      <c r="AX2100" s="46">
        <v>0</v>
      </c>
      <c r="AY2100" s="46">
        <v>0</v>
      </c>
      <c r="AZ2100" s="46">
        <v>0</v>
      </c>
      <c r="BA2100" s="46">
        <v>0</v>
      </c>
      <c r="BB2100" s="46">
        <v>0</v>
      </c>
      <c r="BC2100" s="46">
        <v>0</v>
      </c>
      <c r="BD2100" s="46">
        <v>0</v>
      </c>
      <c r="BE2100" s="46">
        <v>0</v>
      </c>
      <c r="BF2100" s="46">
        <v>0</v>
      </c>
      <c r="BG2100" s="46" t="s">
        <v>48</v>
      </c>
      <c r="BH2100" s="46">
        <v>0</v>
      </c>
      <c r="BI2100" s="46">
        <v>0</v>
      </c>
      <c r="BJ2100" s="46">
        <v>0</v>
      </c>
      <c r="BK2100" s="46">
        <v>0</v>
      </c>
      <c r="BL2100" s="46">
        <v>0</v>
      </c>
      <c r="BM2100" s="46">
        <v>0</v>
      </c>
      <c r="BN2100" s="46">
        <v>0</v>
      </c>
    </row>
    <row r="2101" spans="1:66" x14ac:dyDescent="0.35">
      <c r="A2101" t="s">
        <v>9664</v>
      </c>
      <c r="B2101" t="s">
        <v>48</v>
      </c>
      <c r="C2101" t="s">
        <v>12239</v>
      </c>
      <c r="D2101" t="s">
        <v>1726</v>
      </c>
      <c r="E2101" t="s">
        <v>9665</v>
      </c>
      <c r="F2101" t="s">
        <v>5397</v>
      </c>
      <c r="G2101" t="s">
        <v>47</v>
      </c>
      <c r="H2101">
        <v>0</v>
      </c>
      <c r="I2101" s="61">
        <v>44757</v>
      </c>
      <c r="J2101" s="33" t="s">
        <v>45</v>
      </c>
      <c r="K2101" s="46">
        <v>0</v>
      </c>
      <c r="L2101">
        <v>3.6</v>
      </c>
      <c r="M2101" t="s">
        <v>48</v>
      </c>
      <c r="N2101" s="46">
        <v>0</v>
      </c>
      <c r="O2101" s="46">
        <v>0</v>
      </c>
      <c r="P2101" s="46">
        <v>0</v>
      </c>
      <c r="Q2101" t="s">
        <v>48</v>
      </c>
      <c r="R2101" t="s">
        <v>48</v>
      </c>
      <c r="S2101" t="s">
        <v>48</v>
      </c>
      <c r="T2101" t="s">
        <v>48</v>
      </c>
      <c r="U2101" t="s">
        <v>48</v>
      </c>
      <c r="V2101" s="47">
        <v>1</v>
      </c>
      <c r="W2101" t="s">
        <v>48</v>
      </c>
      <c r="X2101" t="s">
        <v>48</v>
      </c>
      <c r="Y2101" t="s">
        <v>48</v>
      </c>
      <c r="Z2101" t="s">
        <v>48</v>
      </c>
      <c r="AA2101" t="s">
        <v>48</v>
      </c>
      <c r="AB2101" t="s">
        <v>48</v>
      </c>
      <c r="AC2101" t="s">
        <v>49</v>
      </c>
      <c r="AD2101" t="s">
        <v>93</v>
      </c>
      <c r="AE2101" t="s">
        <v>4532</v>
      </c>
      <c r="AF2101" t="s">
        <v>48</v>
      </c>
      <c r="AG2101" t="s">
        <v>48</v>
      </c>
      <c r="AH2101" t="s">
        <v>48</v>
      </c>
      <c r="AI2101" t="s">
        <v>48</v>
      </c>
      <c r="AJ2101" t="s">
        <v>48</v>
      </c>
      <c r="AK2101" t="s">
        <v>48</v>
      </c>
      <c r="AL2101" t="s">
        <v>48</v>
      </c>
      <c r="AM2101" t="s">
        <v>48</v>
      </c>
      <c r="AN2101" t="s">
        <v>48</v>
      </c>
      <c r="AO2101" t="s">
        <v>48</v>
      </c>
      <c r="AP2101" s="46">
        <v>0</v>
      </c>
      <c r="AQ2101" s="46">
        <v>0</v>
      </c>
      <c r="AR2101" s="46">
        <v>0</v>
      </c>
      <c r="AS2101" s="46">
        <v>0</v>
      </c>
      <c r="AT2101" s="46">
        <v>0</v>
      </c>
      <c r="AU2101" s="46">
        <v>0</v>
      </c>
      <c r="AV2101" s="46">
        <v>0</v>
      </c>
      <c r="AW2101" s="46">
        <v>0</v>
      </c>
      <c r="AX2101" s="46">
        <v>0</v>
      </c>
      <c r="AY2101" s="46">
        <v>0</v>
      </c>
      <c r="AZ2101" s="46">
        <v>0</v>
      </c>
      <c r="BA2101" s="46">
        <v>0</v>
      </c>
      <c r="BB2101" s="46">
        <v>0</v>
      </c>
      <c r="BC2101" s="46">
        <v>0</v>
      </c>
      <c r="BD2101" s="46">
        <v>0</v>
      </c>
      <c r="BE2101" s="46">
        <v>0</v>
      </c>
      <c r="BF2101" s="46">
        <v>0</v>
      </c>
      <c r="BG2101" s="46" t="s">
        <v>48</v>
      </c>
      <c r="BH2101" s="46">
        <v>0</v>
      </c>
      <c r="BI2101" s="46">
        <v>0</v>
      </c>
      <c r="BJ2101" s="46">
        <v>0</v>
      </c>
      <c r="BK2101" s="46">
        <v>0</v>
      </c>
      <c r="BL2101" s="46">
        <v>0</v>
      </c>
      <c r="BM2101" s="46">
        <v>0</v>
      </c>
      <c r="BN2101" s="46">
        <v>0</v>
      </c>
    </row>
    <row r="2102" spans="1:66" x14ac:dyDescent="0.35">
      <c r="A2102" t="s">
        <v>9666</v>
      </c>
      <c r="B2102" t="s">
        <v>48</v>
      </c>
      <c r="C2102" t="s">
        <v>375</v>
      </c>
      <c r="D2102" t="s">
        <v>221</v>
      </c>
      <c r="E2102" t="s">
        <v>9667</v>
      </c>
      <c r="F2102" t="s">
        <v>5397</v>
      </c>
      <c r="G2102" t="s">
        <v>47</v>
      </c>
      <c r="H2102">
        <v>0</v>
      </c>
      <c r="I2102" s="61">
        <v>44757</v>
      </c>
      <c r="J2102" s="33" t="s">
        <v>45</v>
      </c>
      <c r="K2102" s="46">
        <v>0</v>
      </c>
      <c r="L2102">
        <v>12.4</v>
      </c>
      <c r="M2102" t="s">
        <v>48</v>
      </c>
      <c r="N2102" s="46">
        <v>0</v>
      </c>
      <c r="O2102" s="46">
        <v>0</v>
      </c>
      <c r="P2102" s="46">
        <v>0</v>
      </c>
      <c r="Q2102" t="s">
        <v>48</v>
      </c>
      <c r="R2102" t="s">
        <v>48</v>
      </c>
      <c r="S2102" t="s">
        <v>48</v>
      </c>
      <c r="T2102" t="s">
        <v>48</v>
      </c>
      <c r="U2102" t="s">
        <v>48</v>
      </c>
      <c r="V2102" s="47">
        <v>0</v>
      </c>
      <c r="W2102" t="s">
        <v>48</v>
      </c>
      <c r="X2102" t="s">
        <v>48</v>
      </c>
      <c r="Y2102" t="s">
        <v>48</v>
      </c>
      <c r="Z2102" t="s">
        <v>48</v>
      </c>
      <c r="AA2102" t="s">
        <v>48</v>
      </c>
      <c r="AB2102" t="s">
        <v>48</v>
      </c>
      <c r="AC2102" t="s">
        <v>49</v>
      </c>
      <c r="AD2102" t="s">
        <v>93</v>
      </c>
      <c r="AE2102" t="s">
        <v>4532</v>
      </c>
      <c r="AF2102" t="s">
        <v>48</v>
      </c>
      <c r="AG2102" t="s">
        <v>48</v>
      </c>
      <c r="AH2102" t="s">
        <v>48</v>
      </c>
      <c r="AI2102" t="s">
        <v>48</v>
      </c>
      <c r="AJ2102" t="s">
        <v>48</v>
      </c>
      <c r="AK2102" t="s">
        <v>48</v>
      </c>
      <c r="AL2102" t="s">
        <v>48</v>
      </c>
      <c r="AM2102" t="s">
        <v>48</v>
      </c>
      <c r="AN2102" t="s">
        <v>48</v>
      </c>
      <c r="AO2102" t="s">
        <v>48</v>
      </c>
      <c r="AP2102" s="46">
        <v>0</v>
      </c>
      <c r="AQ2102" s="46">
        <v>0</v>
      </c>
      <c r="AR2102" s="46">
        <v>0</v>
      </c>
      <c r="AS2102" s="46">
        <v>0</v>
      </c>
      <c r="AT2102" s="46">
        <v>0</v>
      </c>
      <c r="AU2102" s="46">
        <v>0</v>
      </c>
      <c r="AV2102" s="46">
        <v>0</v>
      </c>
      <c r="AW2102" s="46">
        <v>0</v>
      </c>
      <c r="AX2102" s="46">
        <v>0</v>
      </c>
      <c r="AY2102" s="46">
        <v>0</v>
      </c>
      <c r="AZ2102" s="46">
        <v>0</v>
      </c>
      <c r="BA2102" s="46">
        <v>0</v>
      </c>
      <c r="BB2102" s="46">
        <v>0</v>
      </c>
      <c r="BC2102" s="46">
        <v>0</v>
      </c>
      <c r="BD2102" s="46">
        <v>0</v>
      </c>
      <c r="BE2102" s="46">
        <v>0</v>
      </c>
      <c r="BF2102" s="46">
        <v>0</v>
      </c>
      <c r="BG2102" s="46" t="s">
        <v>48</v>
      </c>
      <c r="BH2102" s="46">
        <v>0</v>
      </c>
      <c r="BI2102" s="46">
        <v>0</v>
      </c>
      <c r="BJ2102" s="46">
        <v>0</v>
      </c>
      <c r="BK2102" s="46">
        <v>0</v>
      </c>
      <c r="BL2102" s="46">
        <v>0</v>
      </c>
      <c r="BM2102" s="46">
        <v>0</v>
      </c>
      <c r="BN2102" s="46">
        <v>0</v>
      </c>
    </row>
    <row r="2103" spans="1:66" x14ac:dyDescent="0.35">
      <c r="A2103" t="s">
        <v>11193</v>
      </c>
      <c r="B2103" s="44" t="s">
        <v>48</v>
      </c>
      <c r="C2103" t="s">
        <v>4077</v>
      </c>
      <c r="D2103" t="s">
        <v>772</v>
      </c>
      <c r="E2103" t="s">
        <v>11197</v>
      </c>
      <c r="F2103" t="s">
        <v>5397</v>
      </c>
      <c r="G2103" t="s">
        <v>74</v>
      </c>
      <c r="H2103">
        <v>0</v>
      </c>
      <c r="I2103" s="60" t="s">
        <v>11160</v>
      </c>
      <c r="J2103" s="33" t="s">
        <v>45</v>
      </c>
      <c r="K2103" s="46">
        <v>0</v>
      </c>
      <c r="L2103">
        <v>18.399999999999999</v>
      </c>
      <c r="M2103" t="s">
        <v>48</v>
      </c>
      <c r="N2103" s="46">
        <v>0</v>
      </c>
      <c r="O2103" s="46">
        <v>0</v>
      </c>
      <c r="P2103" s="46">
        <v>0</v>
      </c>
      <c r="Q2103" t="s">
        <v>48</v>
      </c>
      <c r="R2103" t="s">
        <v>48</v>
      </c>
      <c r="S2103" t="s">
        <v>48</v>
      </c>
      <c r="T2103" t="s">
        <v>48</v>
      </c>
      <c r="U2103" t="s">
        <v>48</v>
      </c>
      <c r="V2103" s="47" t="s">
        <v>48</v>
      </c>
      <c r="W2103" t="s">
        <v>48</v>
      </c>
      <c r="X2103" t="s">
        <v>48</v>
      </c>
      <c r="Y2103" t="s">
        <v>48</v>
      </c>
      <c r="Z2103" t="s">
        <v>48</v>
      </c>
      <c r="AA2103" t="s">
        <v>48</v>
      </c>
      <c r="AB2103" t="s">
        <v>48</v>
      </c>
      <c r="AC2103" t="s">
        <v>48</v>
      </c>
      <c r="AD2103" t="s">
        <v>48</v>
      </c>
      <c r="AE2103" t="s">
        <v>48</v>
      </c>
      <c r="AF2103" t="s">
        <v>48</v>
      </c>
      <c r="AG2103" t="s">
        <v>48</v>
      </c>
      <c r="AH2103" t="s">
        <v>48</v>
      </c>
      <c r="AI2103" t="s">
        <v>48</v>
      </c>
      <c r="AJ2103" t="s">
        <v>48</v>
      </c>
      <c r="AK2103" t="s">
        <v>48</v>
      </c>
      <c r="AL2103" t="s">
        <v>48</v>
      </c>
      <c r="AM2103" t="s">
        <v>48</v>
      </c>
      <c r="AN2103" t="s">
        <v>48</v>
      </c>
      <c r="AO2103" t="s">
        <v>48</v>
      </c>
      <c r="AP2103" s="46">
        <v>0</v>
      </c>
      <c r="AQ2103" s="46">
        <v>0</v>
      </c>
      <c r="AR2103" s="46">
        <v>0</v>
      </c>
      <c r="AS2103" s="46">
        <v>0</v>
      </c>
      <c r="AT2103" s="46">
        <v>0</v>
      </c>
      <c r="AU2103" s="46">
        <v>0</v>
      </c>
      <c r="AV2103" s="46">
        <v>0</v>
      </c>
      <c r="AW2103" s="46">
        <v>0</v>
      </c>
      <c r="AX2103" s="46">
        <v>0</v>
      </c>
      <c r="AY2103" s="46">
        <v>0</v>
      </c>
      <c r="AZ2103" s="46">
        <v>0</v>
      </c>
      <c r="BA2103" s="46">
        <v>0</v>
      </c>
      <c r="BB2103" s="46">
        <v>0</v>
      </c>
      <c r="BC2103" s="46">
        <v>0</v>
      </c>
      <c r="BD2103" s="46">
        <v>0</v>
      </c>
      <c r="BE2103" s="46">
        <v>0</v>
      </c>
      <c r="BF2103" s="46">
        <v>0</v>
      </c>
      <c r="BG2103" s="46" t="s">
        <v>48</v>
      </c>
      <c r="BH2103" s="46">
        <v>0</v>
      </c>
      <c r="BI2103" s="46">
        <v>0</v>
      </c>
      <c r="BJ2103" s="46">
        <v>0</v>
      </c>
      <c r="BK2103" s="46">
        <v>0</v>
      </c>
      <c r="BL2103" s="46">
        <v>0</v>
      </c>
      <c r="BM2103" s="46">
        <v>0</v>
      </c>
      <c r="BN2103" s="46">
        <v>0</v>
      </c>
    </row>
    <row r="2104" spans="1:66" x14ac:dyDescent="0.35">
      <c r="A2104" t="s">
        <v>5401</v>
      </c>
      <c r="B2104" t="s">
        <v>48</v>
      </c>
      <c r="C2104" t="s">
        <v>5403</v>
      </c>
      <c r="D2104" t="s">
        <v>396</v>
      </c>
      <c r="E2104" t="s">
        <v>5402</v>
      </c>
      <c r="F2104" t="s">
        <v>5397</v>
      </c>
      <c r="G2104" t="s">
        <v>47</v>
      </c>
      <c r="H2104">
        <v>0</v>
      </c>
      <c r="I2104" s="60" t="s">
        <v>149</v>
      </c>
      <c r="J2104" s="33" t="s">
        <v>45</v>
      </c>
      <c r="K2104" s="46">
        <v>0</v>
      </c>
      <c r="L2104">
        <v>6.7</v>
      </c>
      <c r="M2104" t="s">
        <v>48</v>
      </c>
      <c r="N2104" s="46">
        <v>0</v>
      </c>
      <c r="O2104" s="46">
        <v>0</v>
      </c>
      <c r="P2104" s="46">
        <v>0</v>
      </c>
      <c r="Q2104" t="s">
        <v>48</v>
      </c>
      <c r="R2104" t="s">
        <v>48</v>
      </c>
      <c r="S2104" t="s">
        <v>48</v>
      </c>
      <c r="T2104" t="s">
        <v>48</v>
      </c>
      <c r="U2104" t="s">
        <v>48</v>
      </c>
      <c r="V2104" s="47">
        <v>1</v>
      </c>
      <c r="W2104" t="s">
        <v>48</v>
      </c>
      <c r="X2104" t="s">
        <v>48</v>
      </c>
      <c r="Y2104" t="s">
        <v>48</v>
      </c>
      <c r="Z2104">
        <v>0</v>
      </c>
      <c r="AA2104" t="s">
        <v>48</v>
      </c>
      <c r="AB2104" t="s">
        <v>48</v>
      </c>
      <c r="AC2104" t="s">
        <v>49</v>
      </c>
      <c r="AD2104" t="s">
        <v>93</v>
      </c>
      <c r="AE2104" t="s">
        <v>4532</v>
      </c>
      <c r="AF2104" t="s">
        <v>48</v>
      </c>
      <c r="AG2104" t="s">
        <v>48</v>
      </c>
      <c r="AH2104" t="s">
        <v>48</v>
      </c>
      <c r="AI2104" t="s">
        <v>48</v>
      </c>
      <c r="AJ2104" t="s">
        <v>48</v>
      </c>
      <c r="AK2104" t="s">
        <v>48</v>
      </c>
      <c r="AL2104" t="s">
        <v>48</v>
      </c>
      <c r="AM2104" t="s">
        <v>48</v>
      </c>
      <c r="AN2104" t="s">
        <v>48</v>
      </c>
      <c r="AO2104" t="s">
        <v>48</v>
      </c>
      <c r="AP2104" s="46">
        <v>0</v>
      </c>
      <c r="AQ2104" s="46">
        <v>0</v>
      </c>
      <c r="AR2104" s="46">
        <v>0</v>
      </c>
      <c r="AS2104" s="46">
        <v>0</v>
      </c>
      <c r="AT2104" s="46">
        <v>0</v>
      </c>
      <c r="AU2104" s="46">
        <v>0</v>
      </c>
      <c r="AV2104" s="46">
        <v>0</v>
      </c>
      <c r="AW2104" s="46">
        <v>0</v>
      </c>
      <c r="AX2104" s="46">
        <v>0</v>
      </c>
      <c r="AY2104" s="46">
        <v>0</v>
      </c>
      <c r="AZ2104" s="46">
        <v>0</v>
      </c>
      <c r="BA2104" s="46">
        <v>0</v>
      </c>
      <c r="BB2104" s="46">
        <v>0</v>
      </c>
      <c r="BC2104" s="46">
        <v>0</v>
      </c>
      <c r="BD2104" s="46">
        <v>0</v>
      </c>
      <c r="BE2104" s="46">
        <v>0</v>
      </c>
      <c r="BF2104" s="46">
        <v>0</v>
      </c>
      <c r="BG2104" s="46" t="s">
        <v>48</v>
      </c>
      <c r="BH2104" s="46">
        <v>0</v>
      </c>
      <c r="BI2104" s="46">
        <v>0</v>
      </c>
      <c r="BJ2104" s="46">
        <v>0</v>
      </c>
      <c r="BK2104" s="46">
        <v>0</v>
      </c>
      <c r="BL2104" s="46">
        <v>0</v>
      </c>
      <c r="BM2104" s="46">
        <v>0</v>
      </c>
      <c r="BN2104" s="46">
        <v>0</v>
      </c>
    </row>
    <row r="2105" spans="1:66" x14ac:dyDescent="0.35">
      <c r="A2105" t="s">
        <v>11190</v>
      </c>
      <c r="B2105" s="44" t="s">
        <v>48</v>
      </c>
      <c r="C2105" t="s">
        <v>433</v>
      </c>
      <c r="D2105" t="s">
        <v>12238</v>
      </c>
      <c r="E2105" t="s">
        <v>11196</v>
      </c>
      <c r="F2105" t="s">
        <v>5397</v>
      </c>
      <c r="G2105" t="s">
        <v>74</v>
      </c>
      <c r="H2105">
        <v>0</v>
      </c>
      <c r="I2105" s="60" t="s">
        <v>11160</v>
      </c>
      <c r="J2105" s="33" t="s">
        <v>45</v>
      </c>
      <c r="K2105" s="46">
        <v>0</v>
      </c>
      <c r="L2105">
        <v>24.9</v>
      </c>
      <c r="M2105" t="s">
        <v>48</v>
      </c>
      <c r="N2105" s="46">
        <v>0</v>
      </c>
      <c r="O2105" s="46">
        <v>0</v>
      </c>
      <c r="P2105" s="46">
        <v>0</v>
      </c>
      <c r="Q2105" t="s">
        <v>48</v>
      </c>
      <c r="R2105" t="s">
        <v>48</v>
      </c>
      <c r="S2105" t="s">
        <v>48</v>
      </c>
      <c r="T2105" t="s">
        <v>48</v>
      </c>
      <c r="U2105" t="s">
        <v>48</v>
      </c>
      <c r="V2105" s="47" t="s">
        <v>48</v>
      </c>
      <c r="W2105" t="s">
        <v>48</v>
      </c>
      <c r="X2105" t="s">
        <v>48</v>
      </c>
      <c r="Y2105" t="s">
        <v>48</v>
      </c>
      <c r="Z2105" t="s">
        <v>48</v>
      </c>
      <c r="AA2105" t="s">
        <v>48</v>
      </c>
      <c r="AB2105" t="s">
        <v>48</v>
      </c>
      <c r="AC2105" t="s">
        <v>48</v>
      </c>
      <c r="AD2105" t="s">
        <v>48</v>
      </c>
      <c r="AE2105" t="s">
        <v>48</v>
      </c>
      <c r="AF2105" t="s">
        <v>48</v>
      </c>
      <c r="AG2105" t="s">
        <v>48</v>
      </c>
      <c r="AH2105" t="s">
        <v>48</v>
      </c>
      <c r="AI2105" t="s">
        <v>48</v>
      </c>
      <c r="AJ2105" t="s">
        <v>48</v>
      </c>
      <c r="AK2105" t="s">
        <v>48</v>
      </c>
      <c r="AL2105" t="s">
        <v>48</v>
      </c>
      <c r="AM2105" t="s">
        <v>48</v>
      </c>
      <c r="AN2105" t="s">
        <v>48</v>
      </c>
      <c r="AO2105" t="s">
        <v>48</v>
      </c>
      <c r="AP2105" s="46">
        <v>0</v>
      </c>
      <c r="AQ2105" s="46">
        <v>0</v>
      </c>
      <c r="AR2105" s="46">
        <v>0</v>
      </c>
      <c r="AS2105" s="46">
        <v>0</v>
      </c>
      <c r="AT2105" s="46">
        <v>0</v>
      </c>
      <c r="AU2105" s="46">
        <v>0</v>
      </c>
      <c r="AV2105" s="46">
        <v>0</v>
      </c>
      <c r="AW2105" s="46">
        <v>0</v>
      </c>
      <c r="AX2105" s="46">
        <v>0</v>
      </c>
      <c r="AY2105" s="46">
        <v>0</v>
      </c>
      <c r="AZ2105" s="46">
        <v>0</v>
      </c>
      <c r="BA2105" s="46">
        <v>0</v>
      </c>
      <c r="BB2105" s="46">
        <v>0</v>
      </c>
      <c r="BC2105" s="46">
        <v>0</v>
      </c>
      <c r="BD2105" s="46">
        <v>0</v>
      </c>
      <c r="BE2105" s="46">
        <v>0</v>
      </c>
      <c r="BF2105" s="46">
        <v>0</v>
      </c>
      <c r="BG2105" s="46" t="s">
        <v>48</v>
      </c>
      <c r="BH2105" s="46">
        <v>0</v>
      </c>
      <c r="BI2105" s="46">
        <v>0</v>
      </c>
      <c r="BJ2105" s="46">
        <v>0</v>
      </c>
      <c r="BK2105" s="46">
        <v>0</v>
      </c>
      <c r="BL2105" s="46">
        <v>0</v>
      </c>
      <c r="BM2105" s="46">
        <v>0</v>
      </c>
      <c r="BN2105" s="46">
        <v>0</v>
      </c>
    </row>
    <row r="2106" spans="1:66" x14ac:dyDescent="0.35">
      <c r="A2106" t="s">
        <v>9668</v>
      </c>
      <c r="B2106" t="s">
        <v>48</v>
      </c>
      <c r="C2106" t="s">
        <v>4077</v>
      </c>
      <c r="D2106" t="s">
        <v>1748</v>
      </c>
      <c r="E2106" t="s">
        <v>9669</v>
      </c>
      <c r="F2106" t="s">
        <v>5407</v>
      </c>
      <c r="G2106" t="s">
        <v>47</v>
      </c>
      <c r="H2106">
        <v>0</v>
      </c>
      <c r="I2106" s="61">
        <v>44757</v>
      </c>
      <c r="J2106" s="33" t="s">
        <v>45</v>
      </c>
      <c r="K2106" s="46">
        <v>0</v>
      </c>
      <c r="L2106">
        <v>5.0999999999999996</v>
      </c>
      <c r="M2106" t="s">
        <v>48</v>
      </c>
      <c r="N2106" s="46">
        <v>0</v>
      </c>
      <c r="O2106" s="46">
        <v>0</v>
      </c>
      <c r="P2106" s="46">
        <v>0</v>
      </c>
      <c r="Q2106" t="s">
        <v>48</v>
      </c>
      <c r="R2106" t="s">
        <v>48</v>
      </c>
      <c r="S2106" t="s">
        <v>10357</v>
      </c>
      <c r="T2106" t="s">
        <v>48</v>
      </c>
      <c r="U2106" t="s">
        <v>10357</v>
      </c>
      <c r="V2106" s="47">
        <v>0</v>
      </c>
      <c r="W2106" t="s">
        <v>48</v>
      </c>
      <c r="X2106" t="s">
        <v>48</v>
      </c>
      <c r="Y2106" t="s">
        <v>48</v>
      </c>
      <c r="Z2106" t="s">
        <v>48</v>
      </c>
      <c r="AA2106" t="s">
        <v>48</v>
      </c>
      <c r="AB2106" t="s">
        <v>48</v>
      </c>
      <c r="AC2106" t="s">
        <v>49</v>
      </c>
      <c r="AD2106" t="s">
        <v>93</v>
      </c>
      <c r="AE2106" t="s">
        <v>2471</v>
      </c>
      <c r="AF2106" t="s">
        <v>48</v>
      </c>
      <c r="AG2106" t="s">
        <v>48</v>
      </c>
      <c r="AH2106" t="s">
        <v>48</v>
      </c>
      <c r="AI2106" t="s">
        <v>48</v>
      </c>
      <c r="AJ2106" t="s">
        <v>48</v>
      </c>
      <c r="AK2106" t="s">
        <v>48</v>
      </c>
      <c r="AL2106" t="s">
        <v>48</v>
      </c>
      <c r="AM2106" t="s">
        <v>48</v>
      </c>
      <c r="AN2106" t="s">
        <v>48</v>
      </c>
      <c r="AO2106" t="s">
        <v>48</v>
      </c>
      <c r="AP2106" s="46">
        <v>0</v>
      </c>
      <c r="AQ2106" s="46">
        <v>0</v>
      </c>
      <c r="AR2106" s="46">
        <v>0</v>
      </c>
      <c r="AS2106" s="46">
        <v>0</v>
      </c>
      <c r="AT2106" s="46">
        <v>0</v>
      </c>
      <c r="AU2106" s="46">
        <v>0</v>
      </c>
      <c r="AV2106" s="46">
        <v>0</v>
      </c>
      <c r="AW2106" s="46">
        <v>0</v>
      </c>
      <c r="AX2106" s="46">
        <v>0</v>
      </c>
      <c r="AY2106" s="46">
        <v>0</v>
      </c>
      <c r="AZ2106" s="46">
        <v>0</v>
      </c>
      <c r="BA2106" s="46">
        <v>0</v>
      </c>
      <c r="BB2106" s="46">
        <v>0</v>
      </c>
      <c r="BC2106" s="46">
        <v>0</v>
      </c>
      <c r="BD2106" s="46">
        <v>0</v>
      </c>
      <c r="BE2106" s="46">
        <v>0</v>
      </c>
      <c r="BF2106" s="46">
        <v>0</v>
      </c>
      <c r="BG2106" s="46" t="s">
        <v>48</v>
      </c>
      <c r="BH2106" s="46">
        <v>0</v>
      </c>
      <c r="BI2106" s="46">
        <v>0</v>
      </c>
      <c r="BJ2106" s="46">
        <v>0</v>
      </c>
      <c r="BK2106" s="46">
        <v>0</v>
      </c>
      <c r="BL2106" s="46">
        <v>0</v>
      </c>
      <c r="BM2106" s="46">
        <v>0</v>
      </c>
      <c r="BN2106" s="46">
        <v>0</v>
      </c>
    </row>
    <row r="2107" spans="1:66" x14ac:dyDescent="0.35">
      <c r="A2107" t="s">
        <v>5469</v>
      </c>
      <c r="B2107" t="s">
        <v>48</v>
      </c>
      <c r="C2107" t="s">
        <v>413</v>
      </c>
      <c r="D2107" t="s">
        <v>446</v>
      </c>
      <c r="E2107" t="s">
        <v>9670</v>
      </c>
      <c r="F2107" t="s">
        <v>5407</v>
      </c>
      <c r="G2107" t="s">
        <v>47</v>
      </c>
      <c r="H2107">
        <v>0</v>
      </c>
      <c r="I2107" s="61">
        <v>44757</v>
      </c>
      <c r="J2107" s="33" t="s">
        <v>45</v>
      </c>
      <c r="K2107" s="46">
        <v>0</v>
      </c>
      <c r="L2107">
        <v>9.3000000000000007</v>
      </c>
      <c r="M2107" t="s">
        <v>48</v>
      </c>
      <c r="N2107" s="46">
        <v>0</v>
      </c>
      <c r="O2107" s="46">
        <v>0</v>
      </c>
      <c r="P2107" s="46">
        <v>0</v>
      </c>
      <c r="Q2107" t="s">
        <v>48</v>
      </c>
      <c r="R2107" t="s">
        <v>48</v>
      </c>
      <c r="S2107" t="s">
        <v>10358</v>
      </c>
      <c r="T2107" t="s">
        <v>48</v>
      </c>
      <c r="U2107" t="s">
        <v>10358</v>
      </c>
      <c r="V2107" s="47">
        <v>0</v>
      </c>
      <c r="W2107" t="s">
        <v>48</v>
      </c>
      <c r="X2107" t="s">
        <v>48</v>
      </c>
      <c r="Y2107" t="s">
        <v>48</v>
      </c>
      <c r="Z2107">
        <v>0</v>
      </c>
      <c r="AA2107" t="s">
        <v>48</v>
      </c>
      <c r="AB2107" t="s">
        <v>48</v>
      </c>
      <c r="AC2107" t="s">
        <v>49</v>
      </c>
      <c r="AD2107" t="s">
        <v>93</v>
      </c>
      <c r="AE2107" t="s">
        <v>4532</v>
      </c>
      <c r="AF2107" t="s">
        <v>48</v>
      </c>
      <c r="AG2107" t="s">
        <v>48</v>
      </c>
      <c r="AH2107" t="s">
        <v>48</v>
      </c>
      <c r="AI2107" t="s">
        <v>48</v>
      </c>
      <c r="AJ2107" t="s">
        <v>48</v>
      </c>
      <c r="AK2107" t="s">
        <v>48</v>
      </c>
      <c r="AL2107" t="s">
        <v>48</v>
      </c>
      <c r="AM2107" t="s">
        <v>48</v>
      </c>
      <c r="AN2107" t="s">
        <v>48</v>
      </c>
      <c r="AO2107" t="s">
        <v>48</v>
      </c>
      <c r="AP2107" s="46">
        <v>0</v>
      </c>
      <c r="AQ2107" s="46">
        <v>0</v>
      </c>
      <c r="AR2107" s="46">
        <v>0</v>
      </c>
      <c r="AS2107" s="46">
        <v>0</v>
      </c>
      <c r="AT2107" s="46">
        <v>0</v>
      </c>
      <c r="AU2107" s="46">
        <v>0</v>
      </c>
      <c r="AV2107" s="46">
        <v>0</v>
      </c>
      <c r="AW2107" s="46">
        <v>0</v>
      </c>
      <c r="AX2107" s="46">
        <v>0</v>
      </c>
      <c r="AY2107" s="46">
        <v>0</v>
      </c>
      <c r="AZ2107" s="46">
        <v>0</v>
      </c>
      <c r="BA2107" s="46">
        <v>0</v>
      </c>
      <c r="BB2107" s="46">
        <v>0</v>
      </c>
      <c r="BC2107" s="46">
        <v>0</v>
      </c>
      <c r="BD2107" s="46">
        <v>0</v>
      </c>
      <c r="BE2107" s="46">
        <v>0</v>
      </c>
      <c r="BF2107" s="46">
        <v>0</v>
      </c>
      <c r="BG2107" s="46" t="s">
        <v>48</v>
      </c>
      <c r="BH2107" s="46">
        <v>0</v>
      </c>
      <c r="BI2107" s="46">
        <v>0</v>
      </c>
      <c r="BJ2107" s="46">
        <v>0</v>
      </c>
      <c r="BK2107" s="46">
        <v>0</v>
      </c>
      <c r="BL2107" s="46">
        <v>0</v>
      </c>
      <c r="BM2107" s="46">
        <v>0</v>
      </c>
      <c r="BN2107" s="46">
        <v>0</v>
      </c>
    </row>
    <row r="2108" spans="1:66" x14ac:dyDescent="0.35">
      <c r="A2108" t="s">
        <v>5479</v>
      </c>
      <c r="B2108" t="s">
        <v>48</v>
      </c>
      <c r="C2108" t="s">
        <v>5482</v>
      </c>
      <c r="D2108" t="s">
        <v>5481</v>
      </c>
      <c r="E2108" t="s">
        <v>9671</v>
      </c>
      <c r="F2108" t="s">
        <v>5407</v>
      </c>
      <c r="G2108" t="s">
        <v>47</v>
      </c>
      <c r="H2108">
        <v>0</v>
      </c>
      <c r="I2108" s="61">
        <v>44757</v>
      </c>
      <c r="J2108" s="33" t="s">
        <v>45</v>
      </c>
      <c r="K2108" s="46">
        <v>0</v>
      </c>
      <c r="L2108">
        <v>13.8</v>
      </c>
      <c r="M2108" t="s">
        <v>48</v>
      </c>
      <c r="N2108" s="46">
        <v>0</v>
      </c>
      <c r="O2108" s="46">
        <v>0</v>
      </c>
      <c r="P2108" s="46">
        <v>0</v>
      </c>
      <c r="Q2108" t="s">
        <v>48</v>
      </c>
      <c r="R2108" t="s">
        <v>48</v>
      </c>
      <c r="S2108" t="s">
        <v>5480</v>
      </c>
      <c r="T2108" t="s">
        <v>48</v>
      </c>
      <c r="U2108" t="s">
        <v>5480</v>
      </c>
      <c r="V2108" s="47">
        <v>0</v>
      </c>
      <c r="W2108" t="s">
        <v>48</v>
      </c>
      <c r="X2108" t="s">
        <v>48</v>
      </c>
      <c r="Y2108" t="s">
        <v>48</v>
      </c>
      <c r="Z2108">
        <v>0</v>
      </c>
      <c r="AA2108" t="s">
        <v>48</v>
      </c>
      <c r="AB2108" t="s">
        <v>48</v>
      </c>
      <c r="AC2108" t="s">
        <v>49</v>
      </c>
      <c r="AD2108" t="s">
        <v>93</v>
      </c>
      <c r="AE2108" t="s">
        <v>4532</v>
      </c>
      <c r="AF2108" t="s">
        <v>48</v>
      </c>
      <c r="AG2108" t="s">
        <v>48</v>
      </c>
      <c r="AH2108" t="s">
        <v>48</v>
      </c>
      <c r="AI2108" t="s">
        <v>48</v>
      </c>
      <c r="AJ2108" t="s">
        <v>48</v>
      </c>
      <c r="AK2108" t="s">
        <v>48</v>
      </c>
      <c r="AL2108" t="s">
        <v>48</v>
      </c>
      <c r="AM2108" t="s">
        <v>48</v>
      </c>
      <c r="AN2108" t="s">
        <v>48</v>
      </c>
      <c r="AO2108" t="s">
        <v>48</v>
      </c>
      <c r="AP2108" s="46">
        <v>0</v>
      </c>
      <c r="AQ2108" s="46">
        <v>0</v>
      </c>
      <c r="AR2108" s="46">
        <v>0</v>
      </c>
      <c r="AS2108" s="46">
        <v>0</v>
      </c>
      <c r="AT2108" s="46">
        <v>0</v>
      </c>
      <c r="AU2108" s="46">
        <v>0</v>
      </c>
      <c r="AV2108" s="46">
        <v>0</v>
      </c>
      <c r="AW2108" s="46">
        <v>0</v>
      </c>
      <c r="AX2108" s="46">
        <v>0</v>
      </c>
      <c r="AY2108" s="46">
        <v>0</v>
      </c>
      <c r="AZ2108" s="46">
        <v>0</v>
      </c>
      <c r="BA2108" s="46">
        <v>0</v>
      </c>
      <c r="BB2108" s="46">
        <v>0</v>
      </c>
      <c r="BC2108" s="46">
        <v>0</v>
      </c>
      <c r="BD2108" s="46">
        <v>0</v>
      </c>
      <c r="BE2108" s="46">
        <v>0</v>
      </c>
      <c r="BF2108" s="46">
        <v>0</v>
      </c>
      <c r="BG2108" s="46" t="s">
        <v>48</v>
      </c>
      <c r="BH2108" s="46">
        <v>0</v>
      </c>
      <c r="BI2108" s="46">
        <v>0</v>
      </c>
      <c r="BJ2108" s="46">
        <v>0</v>
      </c>
      <c r="BK2108" s="46">
        <v>0</v>
      </c>
      <c r="BL2108" s="46">
        <v>0</v>
      </c>
      <c r="BM2108" s="46">
        <v>0</v>
      </c>
      <c r="BN2108" s="46">
        <v>0</v>
      </c>
    </row>
    <row r="2109" spans="1:66" ht="15" x14ac:dyDescent="0.4">
      <c r="A2109" t="s">
        <v>11199</v>
      </c>
      <c r="B2109" s="44" t="s">
        <v>48</v>
      </c>
      <c r="C2109" t="s">
        <v>12240</v>
      </c>
      <c r="D2109" t="s">
        <v>6797</v>
      </c>
      <c r="E2109" t="s">
        <v>11200</v>
      </c>
      <c r="F2109" t="s">
        <v>5407</v>
      </c>
      <c r="G2109" t="s">
        <v>74</v>
      </c>
      <c r="H2109">
        <v>0</v>
      </c>
      <c r="I2109" s="61" t="s">
        <v>11160</v>
      </c>
      <c r="J2109" s="46" t="s">
        <v>45</v>
      </c>
      <c r="K2109" s="46">
        <v>0</v>
      </c>
      <c r="L2109">
        <v>37.200000000000003</v>
      </c>
      <c r="M2109" t="s">
        <v>48</v>
      </c>
      <c r="N2109" s="46">
        <v>0</v>
      </c>
      <c r="O2109" s="46">
        <v>0</v>
      </c>
      <c r="P2109" s="46">
        <v>0</v>
      </c>
      <c r="Q2109" t="s">
        <v>48</v>
      </c>
      <c r="R2109" t="s">
        <v>48</v>
      </c>
      <c r="S2109" s="55" t="s">
        <v>11201</v>
      </c>
      <c r="T2109" t="s">
        <v>48</v>
      </c>
      <c r="U2109" s="55" t="s">
        <v>11201</v>
      </c>
      <c r="V2109" s="47" t="s">
        <v>48</v>
      </c>
      <c r="W2109" t="s">
        <v>48</v>
      </c>
      <c r="X2109" t="s">
        <v>48</v>
      </c>
      <c r="Y2109" t="s">
        <v>48</v>
      </c>
      <c r="Z2109" t="s">
        <v>48</v>
      </c>
      <c r="AA2109" t="s">
        <v>48</v>
      </c>
      <c r="AB2109" t="s">
        <v>48</v>
      </c>
      <c r="AC2109" t="s">
        <v>48</v>
      </c>
      <c r="AD2109" t="s">
        <v>48</v>
      </c>
      <c r="AE2109" t="s">
        <v>48</v>
      </c>
      <c r="AF2109" t="s">
        <v>48</v>
      </c>
      <c r="AG2109" t="s">
        <v>48</v>
      </c>
      <c r="AH2109" t="s">
        <v>48</v>
      </c>
      <c r="AI2109" t="s">
        <v>48</v>
      </c>
      <c r="AJ2109" t="s">
        <v>48</v>
      </c>
      <c r="AK2109" t="s">
        <v>48</v>
      </c>
      <c r="AL2109" t="s">
        <v>48</v>
      </c>
      <c r="AM2109" t="s">
        <v>48</v>
      </c>
      <c r="AN2109" t="s">
        <v>48</v>
      </c>
      <c r="AO2109" t="s">
        <v>48</v>
      </c>
      <c r="AP2109" s="46">
        <v>0</v>
      </c>
      <c r="AQ2109" s="46">
        <v>0</v>
      </c>
      <c r="AR2109" s="46">
        <v>0</v>
      </c>
      <c r="AS2109" s="46">
        <v>0</v>
      </c>
      <c r="AT2109" s="46">
        <v>0</v>
      </c>
      <c r="AU2109" s="46">
        <v>0</v>
      </c>
      <c r="AV2109" s="46">
        <v>0</v>
      </c>
      <c r="AW2109" s="46">
        <v>0</v>
      </c>
      <c r="AX2109" s="46">
        <v>0</v>
      </c>
      <c r="AY2109" s="46">
        <v>0</v>
      </c>
      <c r="AZ2109" s="46">
        <v>0</v>
      </c>
      <c r="BA2109" s="46">
        <v>0</v>
      </c>
      <c r="BB2109" s="46">
        <v>0</v>
      </c>
      <c r="BC2109" s="46">
        <v>0</v>
      </c>
      <c r="BD2109" s="46">
        <v>0</v>
      </c>
      <c r="BE2109" s="46">
        <v>0</v>
      </c>
      <c r="BF2109" s="46">
        <v>0</v>
      </c>
      <c r="BG2109" s="46" t="s">
        <v>48</v>
      </c>
      <c r="BH2109" s="46">
        <v>0</v>
      </c>
      <c r="BI2109" s="46">
        <v>0</v>
      </c>
      <c r="BJ2109" s="46">
        <v>0</v>
      </c>
      <c r="BK2109" s="46">
        <v>0</v>
      </c>
      <c r="BL2109" s="46">
        <v>0</v>
      </c>
      <c r="BM2109" s="46">
        <v>0</v>
      </c>
      <c r="BN2109" s="46">
        <v>0</v>
      </c>
    </row>
    <row r="2110" spans="1:66" x14ac:dyDescent="0.35">
      <c r="A2110" t="s">
        <v>9672</v>
      </c>
      <c r="B2110" t="s">
        <v>48</v>
      </c>
      <c r="C2110" t="s">
        <v>12242</v>
      </c>
      <c r="D2110" t="s">
        <v>1136</v>
      </c>
      <c r="E2110" t="s">
        <v>9673</v>
      </c>
      <c r="F2110" t="s">
        <v>5415</v>
      </c>
      <c r="G2110" t="s">
        <v>47</v>
      </c>
      <c r="H2110">
        <v>0</v>
      </c>
      <c r="I2110" s="61">
        <v>44757</v>
      </c>
      <c r="J2110" s="33" t="s">
        <v>45</v>
      </c>
      <c r="K2110" s="46">
        <v>0</v>
      </c>
      <c r="L2110">
        <v>28.8</v>
      </c>
      <c r="M2110" t="s">
        <v>48</v>
      </c>
      <c r="N2110" s="46">
        <v>0</v>
      </c>
      <c r="O2110" s="46">
        <v>0</v>
      </c>
      <c r="P2110" s="46">
        <v>0</v>
      </c>
      <c r="Q2110" t="s">
        <v>48</v>
      </c>
      <c r="R2110" t="s">
        <v>48</v>
      </c>
      <c r="S2110" t="s">
        <v>10359</v>
      </c>
      <c r="T2110" t="s">
        <v>48</v>
      </c>
      <c r="U2110" t="s">
        <v>10359</v>
      </c>
      <c r="V2110" s="47">
        <v>1</v>
      </c>
      <c r="W2110" t="s">
        <v>48</v>
      </c>
      <c r="X2110" t="s">
        <v>48</v>
      </c>
      <c r="Y2110" t="s">
        <v>48</v>
      </c>
      <c r="Z2110" t="s">
        <v>48</v>
      </c>
      <c r="AA2110" t="s">
        <v>48</v>
      </c>
      <c r="AB2110" t="s">
        <v>48</v>
      </c>
      <c r="AC2110" t="s">
        <v>49</v>
      </c>
      <c r="AD2110" t="s">
        <v>48</v>
      </c>
      <c r="AE2110" t="s">
        <v>48</v>
      </c>
      <c r="AF2110" t="s">
        <v>48</v>
      </c>
      <c r="AG2110" t="s">
        <v>48</v>
      </c>
      <c r="AH2110" t="s">
        <v>48</v>
      </c>
      <c r="AI2110" t="s">
        <v>48</v>
      </c>
      <c r="AJ2110" t="s">
        <v>48</v>
      </c>
      <c r="AK2110" t="s">
        <v>48</v>
      </c>
      <c r="AL2110" t="s">
        <v>48</v>
      </c>
      <c r="AM2110" t="s">
        <v>48</v>
      </c>
      <c r="AN2110" t="s">
        <v>48</v>
      </c>
      <c r="AO2110" t="s">
        <v>48</v>
      </c>
      <c r="AP2110" s="46">
        <v>0</v>
      </c>
      <c r="AQ2110" s="46">
        <v>0</v>
      </c>
      <c r="AR2110" s="46">
        <v>0</v>
      </c>
      <c r="AS2110" s="46">
        <v>0</v>
      </c>
      <c r="AT2110" s="46">
        <v>0</v>
      </c>
      <c r="AU2110" s="46">
        <v>0</v>
      </c>
      <c r="AV2110" s="46">
        <v>0</v>
      </c>
      <c r="AW2110" s="46">
        <v>0</v>
      </c>
      <c r="AX2110" s="46">
        <v>0</v>
      </c>
      <c r="AY2110" s="46">
        <v>0</v>
      </c>
      <c r="AZ2110" s="46">
        <v>0</v>
      </c>
      <c r="BA2110" s="46">
        <v>0</v>
      </c>
      <c r="BB2110" s="46">
        <v>0</v>
      </c>
      <c r="BC2110" s="46">
        <v>0</v>
      </c>
      <c r="BD2110" s="46">
        <v>0</v>
      </c>
      <c r="BE2110" s="46">
        <v>0</v>
      </c>
      <c r="BF2110" s="46">
        <v>0</v>
      </c>
      <c r="BG2110" s="46" t="s">
        <v>48</v>
      </c>
      <c r="BH2110" s="46">
        <v>0</v>
      </c>
      <c r="BI2110" s="46">
        <v>0</v>
      </c>
      <c r="BJ2110" s="46">
        <v>0</v>
      </c>
      <c r="BK2110" s="46">
        <v>0</v>
      </c>
      <c r="BL2110" s="46">
        <v>0</v>
      </c>
      <c r="BM2110" s="46">
        <v>0</v>
      </c>
      <c r="BN2110" s="46">
        <v>0</v>
      </c>
    </row>
    <row r="2111" spans="1:66" x14ac:dyDescent="0.35">
      <c r="A2111" t="s">
        <v>9676</v>
      </c>
      <c r="B2111" t="s">
        <v>48</v>
      </c>
      <c r="C2111" t="s">
        <v>12243</v>
      </c>
      <c r="D2111" t="s">
        <v>870</v>
      </c>
      <c r="E2111" t="s">
        <v>9677</v>
      </c>
      <c r="F2111" t="s">
        <v>164</v>
      </c>
      <c r="G2111" t="s">
        <v>47</v>
      </c>
      <c r="H2111">
        <v>0</v>
      </c>
      <c r="I2111" s="61">
        <v>44757</v>
      </c>
      <c r="J2111" s="33" t="s">
        <v>45</v>
      </c>
      <c r="K2111" s="46">
        <v>0</v>
      </c>
      <c r="L2111">
        <v>4.8</v>
      </c>
      <c r="M2111" t="s">
        <v>48</v>
      </c>
      <c r="N2111" s="46">
        <v>0</v>
      </c>
      <c r="O2111" s="46">
        <v>0</v>
      </c>
      <c r="P2111" s="46">
        <v>0</v>
      </c>
      <c r="Q2111" t="s">
        <v>48</v>
      </c>
      <c r="R2111" t="s">
        <v>48</v>
      </c>
      <c r="S2111" t="s">
        <v>48</v>
      </c>
      <c r="T2111" t="s">
        <v>48</v>
      </c>
      <c r="U2111" t="s">
        <v>48</v>
      </c>
      <c r="V2111" s="47">
        <v>0</v>
      </c>
      <c r="W2111" t="s">
        <v>48</v>
      </c>
      <c r="X2111" t="s">
        <v>48</v>
      </c>
      <c r="Y2111" t="s">
        <v>48</v>
      </c>
      <c r="Z2111" t="s">
        <v>48</v>
      </c>
      <c r="AA2111" t="s">
        <v>48</v>
      </c>
      <c r="AB2111" t="s">
        <v>48</v>
      </c>
      <c r="AC2111" t="s">
        <v>63</v>
      </c>
      <c r="AD2111" t="s">
        <v>48</v>
      </c>
      <c r="AE2111" t="s">
        <v>48</v>
      </c>
      <c r="AF2111" t="s">
        <v>48</v>
      </c>
      <c r="AG2111" t="s">
        <v>48</v>
      </c>
      <c r="AH2111" t="s">
        <v>48</v>
      </c>
      <c r="AI2111" t="s">
        <v>48</v>
      </c>
      <c r="AJ2111" t="s">
        <v>48</v>
      </c>
      <c r="AK2111" t="s">
        <v>48</v>
      </c>
      <c r="AL2111" t="s">
        <v>48</v>
      </c>
      <c r="AM2111" t="s">
        <v>48</v>
      </c>
      <c r="AN2111" t="s">
        <v>48</v>
      </c>
      <c r="AO2111" t="s">
        <v>48</v>
      </c>
      <c r="AP2111" s="46">
        <v>0</v>
      </c>
      <c r="AQ2111" s="46">
        <v>0</v>
      </c>
      <c r="AR2111" s="46">
        <v>0</v>
      </c>
      <c r="AS2111" s="46">
        <v>0</v>
      </c>
      <c r="AT2111" s="46">
        <v>0</v>
      </c>
      <c r="AU2111" s="46">
        <v>0</v>
      </c>
      <c r="AV2111" s="46">
        <v>0</v>
      </c>
      <c r="AW2111" s="46">
        <v>0</v>
      </c>
      <c r="AX2111" s="46">
        <v>0</v>
      </c>
      <c r="AY2111" s="46">
        <v>0</v>
      </c>
      <c r="AZ2111" s="46">
        <v>0</v>
      </c>
      <c r="BA2111" s="46">
        <v>0</v>
      </c>
      <c r="BB2111" s="46">
        <v>0</v>
      </c>
      <c r="BC2111" s="46">
        <v>0</v>
      </c>
      <c r="BD2111" s="46">
        <v>0</v>
      </c>
      <c r="BE2111" s="46">
        <v>0</v>
      </c>
      <c r="BF2111" s="46">
        <v>0</v>
      </c>
      <c r="BG2111" s="46" t="s">
        <v>48</v>
      </c>
      <c r="BH2111" s="46">
        <v>0</v>
      </c>
      <c r="BI2111" s="46">
        <v>0</v>
      </c>
      <c r="BJ2111" s="46">
        <v>0</v>
      </c>
      <c r="BK2111" s="46">
        <v>0</v>
      </c>
      <c r="BL2111" s="46">
        <v>0</v>
      </c>
      <c r="BM2111" s="46">
        <v>0</v>
      </c>
      <c r="BN2111" s="46">
        <v>0</v>
      </c>
    </row>
    <row r="2112" spans="1:66" x14ac:dyDescent="0.35">
      <c r="A2112" t="s">
        <v>5431</v>
      </c>
      <c r="B2112" t="s">
        <v>48</v>
      </c>
      <c r="C2112" t="s">
        <v>5434</v>
      </c>
      <c r="D2112" t="s">
        <v>818</v>
      </c>
      <c r="E2112" t="s">
        <v>5432</v>
      </c>
      <c r="F2112" t="s">
        <v>164</v>
      </c>
      <c r="G2112" t="s">
        <v>47</v>
      </c>
      <c r="H2112">
        <v>0</v>
      </c>
      <c r="I2112" s="60" t="s">
        <v>881</v>
      </c>
      <c r="J2112" s="33" t="s">
        <v>45</v>
      </c>
      <c r="K2112" s="46">
        <v>0</v>
      </c>
      <c r="L2112">
        <v>30.7</v>
      </c>
      <c r="M2112" t="s">
        <v>48</v>
      </c>
      <c r="N2112" s="46">
        <v>0</v>
      </c>
      <c r="O2112" s="46">
        <v>0</v>
      </c>
      <c r="P2112" s="46">
        <v>0</v>
      </c>
      <c r="Q2112" t="s">
        <v>48</v>
      </c>
      <c r="R2112" t="s">
        <v>48</v>
      </c>
      <c r="S2112" t="s">
        <v>5433</v>
      </c>
      <c r="T2112" t="s">
        <v>48</v>
      </c>
      <c r="U2112" t="s">
        <v>5433</v>
      </c>
      <c r="V2112" s="47">
        <v>0</v>
      </c>
      <c r="W2112" t="s">
        <v>48</v>
      </c>
      <c r="X2112" t="s">
        <v>48</v>
      </c>
      <c r="Y2112" t="s">
        <v>48</v>
      </c>
      <c r="Z2112">
        <v>0</v>
      </c>
      <c r="AA2112" t="s">
        <v>48</v>
      </c>
      <c r="AB2112" t="s">
        <v>48</v>
      </c>
      <c r="AC2112" t="s">
        <v>49</v>
      </c>
      <c r="AD2112" t="s">
        <v>93</v>
      </c>
      <c r="AE2112" t="s">
        <v>4532</v>
      </c>
      <c r="AF2112" t="s">
        <v>48</v>
      </c>
      <c r="AG2112" t="s">
        <v>48</v>
      </c>
      <c r="AH2112" t="s">
        <v>48</v>
      </c>
      <c r="AI2112" t="s">
        <v>48</v>
      </c>
      <c r="AJ2112" t="s">
        <v>48</v>
      </c>
      <c r="AK2112" t="s">
        <v>48</v>
      </c>
      <c r="AL2112" t="s">
        <v>48</v>
      </c>
      <c r="AM2112" t="s">
        <v>48</v>
      </c>
      <c r="AN2112" t="s">
        <v>48</v>
      </c>
      <c r="AO2112" t="s">
        <v>48</v>
      </c>
      <c r="AP2112" s="46">
        <v>0</v>
      </c>
      <c r="AQ2112" s="46">
        <v>0</v>
      </c>
      <c r="AR2112" s="46">
        <v>0</v>
      </c>
      <c r="AS2112" s="46">
        <v>0</v>
      </c>
      <c r="AT2112" s="46">
        <v>0</v>
      </c>
      <c r="AU2112" s="46">
        <v>0</v>
      </c>
      <c r="AV2112" s="46">
        <v>0</v>
      </c>
      <c r="AW2112" s="46">
        <v>0</v>
      </c>
      <c r="AX2112" s="46">
        <v>0</v>
      </c>
      <c r="AY2112" s="46">
        <v>0</v>
      </c>
      <c r="AZ2112" s="46">
        <v>0</v>
      </c>
      <c r="BA2112" s="46">
        <v>0</v>
      </c>
      <c r="BB2112" s="46">
        <v>0</v>
      </c>
      <c r="BC2112" s="46">
        <v>0</v>
      </c>
      <c r="BD2112" s="46">
        <v>0</v>
      </c>
      <c r="BE2112" s="46">
        <v>0</v>
      </c>
      <c r="BF2112" s="46">
        <v>0</v>
      </c>
      <c r="BG2112" s="46" t="s">
        <v>48</v>
      </c>
      <c r="BH2112" s="46">
        <v>0</v>
      </c>
      <c r="BI2112" s="46">
        <v>0</v>
      </c>
      <c r="BJ2112" s="46">
        <v>0</v>
      </c>
      <c r="BK2112" s="46">
        <v>0</v>
      </c>
      <c r="BL2112" s="46">
        <v>0</v>
      </c>
      <c r="BM2112" s="46">
        <v>0</v>
      </c>
      <c r="BN2112" s="46">
        <v>0</v>
      </c>
    </row>
    <row r="2113" spans="1:66" x14ac:dyDescent="0.35">
      <c r="A2113" t="s">
        <v>9678</v>
      </c>
      <c r="B2113" t="s">
        <v>48</v>
      </c>
      <c r="C2113" t="s">
        <v>12244</v>
      </c>
      <c r="D2113" t="s">
        <v>7350</v>
      </c>
      <c r="E2113" t="s">
        <v>9679</v>
      </c>
      <c r="F2113" t="s">
        <v>164</v>
      </c>
      <c r="G2113" t="s">
        <v>47</v>
      </c>
      <c r="H2113">
        <v>0</v>
      </c>
      <c r="I2113" s="61">
        <v>44757</v>
      </c>
      <c r="J2113" s="33" t="s">
        <v>45</v>
      </c>
      <c r="K2113" s="46">
        <v>0</v>
      </c>
      <c r="L2113">
        <v>28.7</v>
      </c>
      <c r="M2113" t="s">
        <v>48</v>
      </c>
      <c r="N2113" s="46">
        <v>0</v>
      </c>
      <c r="O2113" s="46">
        <v>0</v>
      </c>
      <c r="P2113" s="46">
        <v>0</v>
      </c>
      <c r="Q2113" t="s">
        <v>48</v>
      </c>
      <c r="R2113" t="s">
        <v>48</v>
      </c>
      <c r="S2113" t="s">
        <v>10360</v>
      </c>
      <c r="T2113" t="s">
        <v>48</v>
      </c>
      <c r="U2113" t="s">
        <v>10360</v>
      </c>
      <c r="V2113" s="47">
        <v>0</v>
      </c>
      <c r="W2113" t="s">
        <v>48</v>
      </c>
      <c r="X2113" t="s">
        <v>48</v>
      </c>
      <c r="Y2113" t="s">
        <v>48</v>
      </c>
      <c r="Z2113" t="s">
        <v>48</v>
      </c>
      <c r="AA2113" t="s">
        <v>48</v>
      </c>
      <c r="AB2113" t="s">
        <v>48</v>
      </c>
      <c r="AC2113" t="s">
        <v>63</v>
      </c>
      <c r="AD2113" t="s">
        <v>93</v>
      </c>
      <c r="AE2113" t="s">
        <v>4532</v>
      </c>
      <c r="AF2113" t="s">
        <v>48</v>
      </c>
      <c r="AG2113" t="s">
        <v>48</v>
      </c>
      <c r="AH2113" t="s">
        <v>48</v>
      </c>
      <c r="AI2113" t="s">
        <v>48</v>
      </c>
      <c r="AJ2113" t="s">
        <v>48</v>
      </c>
      <c r="AK2113" t="s">
        <v>48</v>
      </c>
      <c r="AL2113" t="s">
        <v>48</v>
      </c>
      <c r="AM2113" t="s">
        <v>48</v>
      </c>
      <c r="AN2113" t="s">
        <v>48</v>
      </c>
      <c r="AO2113" t="s">
        <v>48</v>
      </c>
      <c r="AP2113" s="46">
        <v>0</v>
      </c>
      <c r="AQ2113" s="46">
        <v>0</v>
      </c>
      <c r="AR2113" s="46">
        <v>0</v>
      </c>
      <c r="AS2113" s="46">
        <v>0</v>
      </c>
      <c r="AT2113" s="46">
        <v>0</v>
      </c>
      <c r="AU2113" s="46">
        <v>0</v>
      </c>
      <c r="AV2113" s="46">
        <v>0</v>
      </c>
      <c r="AW2113" s="46">
        <v>0</v>
      </c>
      <c r="AX2113" s="46">
        <v>0</v>
      </c>
      <c r="AY2113" s="46">
        <v>0</v>
      </c>
      <c r="AZ2113" s="46">
        <v>0</v>
      </c>
      <c r="BA2113" s="46">
        <v>0</v>
      </c>
      <c r="BB2113" s="46">
        <v>0</v>
      </c>
      <c r="BC2113" s="46">
        <v>0</v>
      </c>
      <c r="BD2113" s="46">
        <v>0</v>
      </c>
      <c r="BE2113" s="46">
        <v>0</v>
      </c>
      <c r="BF2113" s="46">
        <v>0</v>
      </c>
      <c r="BG2113" s="46" t="s">
        <v>48</v>
      </c>
      <c r="BH2113" s="46">
        <v>0</v>
      </c>
      <c r="BI2113" s="46">
        <v>0</v>
      </c>
      <c r="BJ2113" s="46">
        <v>0</v>
      </c>
      <c r="BK2113" s="46">
        <v>0</v>
      </c>
      <c r="BL2113" s="46">
        <v>0</v>
      </c>
      <c r="BM2113" s="46">
        <v>0</v>
      </c>
      <c r="BN2113" s="46">
        <v>0</v>
      </c>
    </row>
    <row r="2114" spans="1:66" x14ac:dyDescent="0.35">
      <c r="A2114" t="s">
        <v>5439</v>
      </c>
      <c r="B2114" s="44" t="s">
        <v>48</v>
      </c>
      <c r="C2114" t="s">
        <v>5442</v>
      </c>
      <c r="D2114" t="s">
        <v>4660</v>
      </c>
      <c r="E2114" t="s">
        <v>5440</v>
      </c>
      <c r="F2114" t="s">
        <v>5436</v>
      </c>
      <c r="G2114" t="s">
        <v>74</v>
      </c>
      <c r="H2114">
        <v>0</v>
      </c>
      <c r="I2114" s="60" t="s">
        <v>51</v>
      </c>
      <c r="J2114" s="33" t="s">
        <v>45</v>
      </c>
      <c r="K2114" s="46">
        <v>0</v>
      </c>
      <c r="L2114">
        <v>25.5</v>
      </c>
      <c r="M2114" t="s">
        <v>48</v>
      </c>
      <c r="N2114" s="46">
        <v>0</v>
      </c>
      <c r="O2114" s="46">
        <v>0</v>
      </c>
      <c r="P2114" s="46">
        <v>0</v>
      </c>
      <c r="Q2114" t="s">
        <v>48</v>
      </c>
      <c r="R2114" t="s">
        <v>48</v>
      </c>
      <c r="S2114" t="s">
        <v>5441</v>
      </c>
      <c r="T2114" t="s">
        <v>48</v>
      </c>
      <c r="U2114" t="s">
        <v>5441</v>
      </c>
      <c r="V2114" s="47">
        <v>1</v>
      </c>
      <c r="W2114" t="s">
        <v>48</v>
      </c>
      <c r="X2114" t="s">
        <v>48</v>
      </c>
      <c r="Y2114" t="s">
        <v>48</v>
      </c>
      <c r="Z2114">
        <v>0</v>
      </c>
      <c r="AA2114" t="s">
        <v>48</v>
      </c>
      <c r="AB2114" t="s">
        <v>48</v>
      </c>
      <c r="AC2114" t="s">
        <v>49</v>
      </c>
      <c r="AD2114" t="s">
        <v>93</v>
      </c>
      <c r="AE2114" t="s">
        <v>4532</v>
      </c>
      <c r="AF2114" t="s">
        <v>48</v>
      </c>
      <c r="AG2114" t="s">
        <v>48</v>
      </c>
      <c r="AH2114" t="s">
        <v>48</v>
      </c>
      <c r="AI2114" t="s">
        <v>48</v>
      </c>
      <c r="AJ2114" t="s">
        <v>48</v>
      </c>
      <c r="AK2114" t="s">
        <v>48</v>
      </c>
      <c r="AL2114" t="s">
        <v>48</v>
      </c>
      <c r="AM2114" t="s">
        <v>48</v>
      </c>
      <c r="AN2114" t="s">
        <v>48</v>
      </c>
      <c r="AO2114" t="s">
        <v>48</v>
      </c>
      <c r="AP2114" s="46">
        <v>0</v>
      </c>
      <c r="AQ2114" s="46">
        <v>0</v>
      </c>
      <c r="AR2114" s="46">
        <v>0</v>
      </c>
      <c r="AS2114" s="46">
        <v>0</v>
      </c>
      <c r="AT2114" s="46">
        <v>0</v>
      </c>
      <c r="AU2114" s="46">
        <v>0</v>
      </c>
      <c r="AV2114" s="46">
        <v>0</v>
      </c>
      <c r="AW2114" s="46">
        <v>0</v>
      </c>
      <c r="AX2114" s="46">
        <v>0</v>
      </c>
      <c r="AY2114" s="46">
        <v>0</v>
      </c>
      <c r="AZ2114" s="46">
        <v>0</v>
      </c>
      <c r="BA2114" s="46">
        <v>0</v>
      </c>
      <c r="BB2114" s="46">
        <v>0</v>
      </c>
      <c r="BC2114" s="46">
        <v>0</v>
      </c>
      <c r="BD2114" s="46">
        <v>0</v>
      </c>
      <c r="BE2114" s="46">
        <v>0</v>
      </c>
      <c r="BF2114" s="46">
        <v>0</v>
      </c>
      <c r="BG2114" s="46" t="s">
        <v>48</v>
      </c>
      <c r="BH2114" s="46">
        <v>0</v>
      </c>
      <c r="BI2114" s="46">
        <v>0</v>
      </c>
      <c r="BJ2114" s="46">
        <v>0</v>
      </c>
      <c r="BK2114" s="46">
        <v>0</v>
      </c>
      <c r="BL2114" s="46">
        <v>0</v>
      </c>
      <c r="BM2114" s="46">
        <v>0</v>
      </c>
      <c r="BN2114" s="46">
        <v>0</v>
      </c>
    </row>
    <row r="2115" spans="1:66" x14ac:dyDescent="0.35">
      <c r="A2115" t="s">
        <v>9682</v>
      </c>
      <c r="B2115" s="44" t="s">
        <v>48</v>
      </c>
      <c r="C2115" t="s">
        <v>12246</v>
      </c>
      <c r="D2115" t="s">
        <v>273</v>
      </c>
      <c r="E2115" t="s">
        <v>9683</v>
      </c>
      <c r="F2115" t="s">
        <v>5436</v>
      </c>
      <c r="G2115" t="s">
        <v>74</v>
      </c>
      <c r="H2115">
        <v>0</v>
      </c>
      <c r="I2115" s="61">
        <v>44757</v>
      </c>
      <c r="J2115" s="33" t="s">
        <v>45</v>
      </c>
      <c r="K2115" s="46">
        <v>0</v>
      </c>
      <c r="L2115">
        <v>25.9</v>
      </c>
      <c r="M2115" t="s">
        <v>48</v>
      </c>
      <c r="N2115" s="46">
        <v>0</v>
      </c>
      <c r="O2115" s="46">
        <v>0</v>
      </c>
      <c r="P2115" s="46">
        <v>0</v>
      </c>
      <c r="Q2115" t="s">
        <v>48</v>
      </c>
      <c r="R2115" t="s">
        <v>48</v>
      </c>
      <c r="S2115" t="s">
        <v>48</v>
      </c>
      <c r="T2115" t="s">
        <v>48</v>
      </c>
      <c r="U2115" t="s">
        <v>48</v>
      </c>
      <c r="V2115" s="47">
        <v>1</v>
      </c>
      <c r="W2115" t="s">
        <v>11264</v>
      </c>
      <c r="X2115" t="s">
        <v>48</v>
      </c>
      <c r="Y2115" t="s">
        <v>48</v>
      </c>
      <c r="Z2115" t="s">
        <v>48</v>
      </c>
      <c r="AA2115" t="s">
        <v>48</v>
      </c>
      <c r="AB2115" t="s">
        <v>48</v>
      </c>
      <c r="AC2115" t="s">
        <v>49</v>
      </c>
      <c r="AD2115" t="s">
        <v>48</v>
      </c>
      <c r="AE2115" t="s">
        <v>48</v>
      </c>
      <c r="AF2115" t="s">
        <v>48</v>
      </c>
      <c r="AG2115" t="s">
        <v>48</v>
      </c>
      <c r="AH2115" t="s">
        <v>48</v>
      </c>
      <c r="AI2115" t="s">
        <v>48</v>
      </c>
      <c r="AJ2115" t="s">
        <v>48</v>
      </c>
      <c r="AK2115" t="s">
        <v>48</v>
      </c>
      <c r="AL2115" t="s">
        <v>48</v>
      </c>
      <c r="AM2115" t="s">
        <v>48</v>
      </c>
      <c r="AN2115" t="s">
        <v>48</v>
      </c>
      <c r="AO2115" t="s">
        <v>48</v>
      </c>
      <c r="AP2115" s="46">
        <v>0</v>
      </c>
      <c r="AQ2115" s="46">
        <v>0</v>
      </c>
      <c r="AR2115" s="46">
        <v>0</v>
      </c>
      <c r="AS2115" s="46">
        <v>0</v>
      </c>
      <c r="AT2115" s="46">
        <v>0</v>
      </c>
      <c r="AU2115" s="46">
        <v>0</v>
      </c>
      <c r="AV2115" s="46">
        <v>0</v>
      </c>
      <c r="AW2115" s="46">
        <v>0</v>
      </c>
      <c r="AX2115" s="46">
        <v>0</v>
      </c>
      <c r="AY2115" s="46">
        <v>0</v>
      </c>
      <c r="AZ2115" s="46">
        <v>0</v>
      </c>
      <c r="BA2115" s="46">
        <v>0</v>
      </c>
      <c r="BB2115" s="46">
        <v>0</v>
      </c>
      <c r="BC2115" s="46">
        <v>0</v>
      </c>
      <c r="BD2115" s="46">
        <v>0</v>
      </c>
      <c r="BE2115" s="46">
        <v>0</v>
      </c>
      <c r="BF2115" s="46">
        <v>0</v>
      </c>
      <c r="BG2115" s="46" t="s">
        <v>48</v>
      </c>
      <c r="BH2115" s="46">
        <v>0</v>
      </c>
      <c r="BI2115" s="46">
        <v>0</v>
      </c>
      <c r="BJ2115" s="46">
        <v>0</v>
      </c>
      <c r="BK2115" s="46">
        <v>0</v>
      </c>
      <c r="BL2115" s="46">
        <v>0</v>
      </c>
      <c r="BM2115" s="46">
        <v>0</v>
      </c>
      <c r="BN2115" s="46">
        <v>0</v>
      </c>
    </row>
    <row r="2116" spans="1:66" x14ac:dyDescent="0.35">
      <c r="A2116" t="s">
        <v>5435</v>
      </c>
      <c r="B2116" s="44" t="s">
        <v>48</v>
      </c>
      <c r="C2116" t="s">
        <v>744</v>
      </c>
      <c r="D2116" t="s">
        <v>5438</v>
      </c>
      <c r="E2116" t="s">
        <v>5437</v>
      </c>
      <c r="F2116" t="s">
        <v>5436</v>
      </c>
      <c r="G2116" t="s">
        <v>74</v>
      </c>
      <c r="H2116">
        <v>0</v>
      </c>
      <c r="I2116" s="60" t="s">
        <v>125</v>
      </c>
      <c r="J2116" s="33" t="s">
        <v>45</v>
      </c>
      <c r="K2116" s="46">
        <v>0</v>
      </c>
      <c r="L2116">
        <v>17.3</v>
      </c>
      <c r="M2116" t="s">
        <v>48</v>
      </c>
      <c r="N2116" s="46">
        <v>0</v>
      </c>
      <c r="O2116" s="46">
        <v>0</v>
      </c>
      <c r="P2116" s="46">
        <v>0</v>
      </c>
      <c r="Q2116" t="s">
        <v>48</v>
      </c>
      <c r="R2116" t="s">
        <v>48</v>
      </c>
      <c r="S2116" t="s">
        <v>48</v>
      </c>
      <c r="T2116" t="s">
        <v>48</v>
      </c>
      <c r="U2116" t="s">
        <v>48</v>
      </c>
      <c r="V2116" s="47">
        <v>1</v>
      </c>
      <c r="W2116" t="s">
        <v>48</v>
      </c>
      <c r="X2116" t="s">
        <v>48</v>
      </c>
      <c r="Y2116" t="s">
        <v>48</v>
      </c>
      <c r="Z2116">
        <v>0</v>
      </c>
      <c r="AA2116" t="s">
        <v>48</v>
      </c>
      <c r="AB2116" t="s">
        <v>48</v>
      </c>
      <c r="AC2116" t="s">
        <v>49</v>
      </c>
      <c r="AD2116" t="s">
        <v>48</v>
      </c>
      <c r="AE2116" t="s">
        <v>48</v>
      </c>
      <c r="AF2116" t="s">
        <v>48</v>
      </c>
      <c r="AG2116" t="s">
        <v>48</v>
      </c>
      <c r="AH2116" t="s">
        <v>48</v>
      </c>
      <c r="AI2116" t="s">
        <v>48</v>
      </c>
      <c r="AJ2116" t="s">
        <v>48</v>
      </c>
      <c r="AK2116" t="s">
        <v>48</v>
      </c>
      <c r="AL2116" t="s">
        <v>48</v>
      </c>
      <c r="AM2116" t="s">
        <v>48</v>
      </c>
      <c r="AN2116" t="s">
        <v>48</v>
      </c>
      <c r="AO2116" t="s">
        <v>48</v>
      </c>
      <c r="AP2116" s="46">
        <v>0</v>
      </c>
      <c r="AQ2116" s="46">
        <v>0</v>
      </c>
      <c r="AR2116" s="46">
        <v>0</v>
      </c>
      <c r="AS2116" s="46">
        <v>0</v>
      </c>
      <c r="AT2116" s="46">
        <v>0</v>
      </c>
      <c r="AU2116" s="46">
        <v>0</v>
      </c>
      <c r="AV2116" s="46">
        <v>0</v>
      </c>
      <c r="AW2116" s="46">
        <v>0</v>
      </c>
      <c r="AX2116" s="46">
        <v>0</v>
      </c>
      <c r="AY2116" s="46">
        <v>0</v>
      </c>
      <c r="AZ2116" s="46">
        <v>0</v>
      </c>
      <c r="BA2116" s="46">
        <v>0</v>
      </c>
      <c r="BB2116" s="46">
        <v>0</v>
      </c>
      <c r="BC2116" s="46">
        <v>0</v>
      </c>
      <c r="BD2116" s="46">
        <v>0</v>
      </c>
      <c r="BE2116" s="46">
        <v>0</v>
      </c>
      <c r="BF2116" s="46">
        <v>0</v>
      </c>
      <c r="BG2116" s="46" t="s">
        <v>48</v>
      </c>
      <c r="BH2116" s="46">
        <v>0</v>
      </c>
      <c r="BI2116" s="46">
        <v>0</v>
      </c>
      <c r="BJ2116" s="46">
        <v>0</v>
      </c>
      <c r="BK2116" s="46">
        <v>0</v>
      </c>
      <c r="BL2116" s="46">
        <v>0</v>
      </c>
      <c r="BM2116" s="46">
        <v>0</v>
      </c>
      <c r="BN2116" s="46">
        <v>0</v>
      </c>
    </row>
    <row r="2117" spans="1:66" x14ac:dyDescent="0.35">
      <c r="A2117" t="s">
        <v>5452</v>
      </c>
      <c r="B2117" t="s">
        <v>48</v>
      </c>
      <c r="C2117" t="s">
        <v>5455</v>
      </c>
      <c r="D2117" t="s">
        <v>603</v>
      </c>
      <c r="E2117" t="s">
        <v>5453</v>
      </c>
      <c r="F2117" t="s">
        <v>5448</v>
      </c>
      <c r="G2117" t="s">
        <v>47</v>
      </c>
      <c r="H2117">
        <v>0</v>
      </c>
      <c r="I2117" s="60" t="s">
        <v>51</v>
      </c>
      <c r="J2117" s="33" t="s">
        <v>45</v>
      </c>
      <c r="K2117" s="46">
        <v>0</v>
      </c>
      <c r="L2117">
        <v>42.4</v>
      </c>
      <c r="M2117" t="s">
        <v>48</v>
      </c>
      <c r="N2117" s="46">
        <v>0</v>
      </c>
      <c r="O2117" s="46">
        <v>0</v>
      </c>
      <c r="P2117" s="46">
        <v>0</v>
      </c>
      <c r="Q2117" t="s">
        <v>48</v>
      </c>
      <c r="R2117" t="s">
        <v>48</v>
      </c>
      <c r="S2117" t="s">
        <v>5454</v>
      </c>
      <c r="T2117" t="s">
        <v>48</v>
      </c>
      <c r="U2117" t="s">
        <v>5454</v>
      </c>
      <c r="V2117" s="47">
        <v>0</v>
      </c>
      <c r="W2117" t="s">
        <v>48</v>
      </c>
      <c r="X2117" t="s">
        <v>48</v>
      </c>
      <c r="Y2117" t="s">
        <v>48</v>
      </c>
      <c r="Z2117">
        <v>0</v>
      </c>
      <c r="AA2117" t="s">
        <v>48</v>
      </c>
      <c r="AB2117" t="s">
        <v>48</v>
      </c>
      <c r="AC2117" t="s">
        <v>49</v>
      </c>
      <c r="AD2117" t="s">
        <v>93</v>
      </c>
      <c r="AE2117" t="s">
        <v>2471</v>
      </c>
      <c r="AF2117" t="s">
        <v>48</v>
      </c>
      <c r="AG2117" t="s">
        <v>48</v>
      </c>
      <c r="AH2117" t="s">
        <v>48</v>
      </c>
      <c r="AI2117" t="s">
        <v>48</v>
      </c>
      <c r="AJ2117" t="s">
        <v>48</v>
      </c>
      <c r="AK2117" t="s">
        <v>48</v>
      </c>
      <c r="AL2117" t="s">
        <v>48</v>
      </c>
      <c r="AM2117" t="s">
        <v>48</v>
      </c>
      <c r="AN2117" t="s">
        <v>48</v>
      </c>
      <c r="AO2117" t="s">
        <v>48</v>
      </c>
      <c r="AP2117" s="46">
        <v>0</v>
      </c>
      <c r="AQ2117" s="46">
        <v>0</v>
      </c>
      <c r="AR2117" s="46">
        <v>0</v>
      </c>
      <c r="AS2117" s="46">
        <v>0</v>
      </c>
      <c r="AT2117" s="46">
        <v>0</v>
      </c>
      <c r="AU2117" s="46">
        <v>0</v>
      </c>
      <c r="AV2117" s="46">
        <v>0</v>
      </c>
      <c r="AW2117" s="46">
        <v>0</v>
      </c>
      <c r="AX2117" s="46">
        <v>0</v>
      </c>
      <c r="AY2117" s="46">
        <v>0</v>
      </c>
      <c r="AZ2117" s="46">
        <v>0</v>
      </c>
      <c r="BA2117" s="46">
        <v>0</v>
      </c>
      <c r="BB2117" s="46">
        <v>0</v>
      </c>
      <c r="BC2117" s="46">
        <v>0</v>
      </c>
      <c r="BD2117" s="46">
        <v>0</v>
      </c>
      <c r="BE2117" s="46">
        <v>0</v>
      </c>
      <c r="BF2117" s="46">
        <v>0</v>
      </c>
      <c r="BG2117" s="46" t="s">
        <v>48</v>
      </c>
      <c r="BH2117" s="46">
        <v>0</v>
      </c>
      <c r="BI2117" s="46">
        <v>0</v>
      </c>
      <c r="BJ2117" s="46">
        <v>0</v>
      </c>
      <c r="BK2117" s="46">
        <v>0</v>
      </c>
      <c r="BL2117" s="46">
        <v>0</v>
      </c>
      <c r="BM2117" s="46">
        <v>0</v>
      </c>
      <c r="BN2117" s="46">
        <v>0</v>
      </c>
    </row>
    <row r="2118" spans="1:66" x14ac:dyDescent="0.35">
      <c r="A2118" t="s">
        <v>5456</v>
      </c>
      <c r="B2118" s="44" t="s">
        <v>48</v>
      </c>
      <c r="C2118" t="s">
        <v>5290</v>
      </c>
      <c r="D2118" t="s">
        <v>690</v>
      </c>
      <c r="E2118" t="s">
        <v>5457</v>
      </c>
      <c r="F2118" t="s">
        <v>5448</v>
      </c>
      <c r="G2118" t="s">
        <v>74</v>
      </c>
      <c r="H2118">
        <v>0</v>
      </c>
      <c r="I2118" s="60" t="s">
        <v>51</v>
      </c>
      <c r="J2118" s="33" t="s">
        <v>45</v>
      </c>
      <c r="K2118" s="46">
        <v>0</v>
      </c>
      <c r="L2118">
        <v>33.700000000000003</v>
      </c>
      <c r="M2118" t="s">
        <v>48</v>
      </c>
      <c r="N2118" s="46">
        <v>0</v>
      </c>
      <c r="O2118" s="46">
        <v>0</v>
      </c>
      <c r="P2118" s="46">
        <v>0</v>
      </c>
      <c r="Q2118" t="s">
        <v>48</v>
      </c>
      <c r="R2118" t="s">
        <v>48</v>
      </c>
      <c r="S2118" t="s">
        <v>5458</v>
      </c>
      <c r="T2118" t="s">
        <v>48</v>
      </c>
      <c r="U2118" t="s">
        <v>5458</v>
      </c>
      <c r="V2118" s="47">
        <v>0</v>
      </c>
      <c r="W2118" t="s">
        <v>48</v>
      </c>
      <c r="X2118" t="s">
        <v>48</v>
      </c>
      <c r="Y2118" t="s">
        <v>48</v>
      </c>
      <c r="Z2118">
        <v>0</v>
      </c>
      <c r="AA2118" t="s">
        <v>48</v>
      </c>
      <c r="AB2118" t="s">
        <v>48</v>
      </c>
      <c r="AC2118" t="s">
        <v>63</v>
      </c>
      <c r="AD2118" t="s">
        <v>93</v>
      </c>
      <c r="AE2118" s="40" t="s">
        <v>2471</v>
      </c>
      <c r="AF2118" t="s">
        <v>11061</v>
      </c>
      <c r="AG2118" t="s">
        <v>266</v>
      </c>
      <c r="AH2118" t="s">
        <v>93</v>
      </c>
      <c r="AI2118" t="s">
        <v>48</v>
      </c>
      <c r="AJ2118">
        <v>1967</v>
      </c>
      <c r="AK2118" t="s">
        <v>48</v>
      </c>
      <c r="AL2118" t="s">
        <v>48</v>
      </c>
      <c r="AM2118" t="s">
        <v>48</v>
      </c>
      <c r="AN2118" t="s">
        <v>48</v>
      </c>
      <c r="AO2118" t="s">
        <v>48</v>
      </c>
      <c r="AP2118" s="46">
        <v>0</v>
      </c>
      <c r="AQ2118" s="46">
        <v>0</v>
      </c>
      <c r="AR2118" s="46">
        <v>0</v>
      </c>
      <c r="AS2118" s="46">
        <v>1</v>
      </c>
      <c r="AT2118" s="46">
        <v>0</v>
      </c>
      <c r="AU2118" s="46">
        <v>0</v>
      </c>
      <c r="AV2118" s="46">
        <v>0</v>
      </c>
      <c r="AW2118" s="46">
        <v>0</v>
      </c>
      <c r="AX2118" s="46">
        <v>0</v>
      </c>
      <c r="AY2118" s="46">
        <v>0</v>
      </c>
      <c r="AZ2118" s="46">
        <v>0</v>
      </c>
      <c r="BA2118" s="46">
        <v>0</v>
      </c>
      <c r="BB2118" s="46">
        <v>0</v>
      </c>
      <c r="BC2118" s="46">
        <v>0</v>
      </c>
      <c r="BD2118" s="46">
        <v>0</v>
      </c>
      <c r="BE2118" s="46">
        <v>0</v>
      </c>
      <c r="BF2118" s="46">
        <v>0</v>
      </c>
      <c r="BG2118" s="46" t="s">
        <v>48</v>
      </c>
      <c r="BH2118" s="46">
        <v>0</v>
      </c>
      <c r="BI2118" s="46">
        <v>0</v>
      </c>
      <c r="BJ2118" s="46">
        <v>0</v>
      </c>
      <c r="BK2118" s="46">
        <v>1</v>
      </c>
      <c r="BL2118" s="46">
        <v>0</v>
      </c>
      <c r="BM2118" s="46">
        <v>0</v>
      </c>
      <c r="BN2118" s="46">
        <v>0</v>
      </c>
    </row>
    <row r="2119" spans="1:66" x14ac:dyDescent="0.35">
      <c r="A2119" t="s">
        <v>9686</v>
      </c>
      <c r="B2119" t="s">
        <v>48</v>
      </c>
      <c r="C2119" t="s">
        <v>12248</v>
      </c>
      <c r="D2119" t="s">
        <v>771</v>
      </c>
      <c r="E2119" t="s">
        <v>9687</v>
      </c>
      <c r="F2119" t="s">
        <v>5460</v>
      </c>
      <c r="G2119" t="s">
        <v>47</v>
      </c>
      <c r="H2119">
        <v>0</v>
      </c>
      <c r="I2119" s="61">
        <v>44757</v>
      </c>
      <c r="J2119" s="33" t="s">
        <v>45</v>
      </c>
      <c r="K2119" s="46">
        <v>0</v>
      </c>
      <c r="L2119">
        <v>17.600000000000001</v>
      </c>
      <c r="M2119" t="s">
        <v>48</v>
      </c>
      <c r="N2119" s="46">
        <v>0</v>
      </c>
      <c r="O2119" s="46">
        <v>0</v>
      </c>
      <c r="P2119" s="46">
        <v>0</v>
      </c>
      <c r="Q2119" t="s">
        <v>48</v>
      </c>
      <c r="R2119" t="s">
        <v>48</v>
      </c>
      <c r="S2119" t="s">
        <v>10363</v>
      </c>
      <c r="T2119" t="s">
        <v>48</v>
      </c>
      <c r="U2119" t="s">
        <v>10363</v>
      </c>
      <c r="V2119" s="47">
        <v>0</v>
      </c>
      <c r="W2119" t="s">
        <v>48</v>
      </c>
      <c r="X2119" t="s">
        <v>48</v>
      </c>
      <c r="Y2119" t="s">
        <v>48</v>
      </c>
      <c r="Z2119" t="s">
        <v>48</v>
      </c>
      <c r="AA2119" t="s">
        <v>48</v>
      </c>
      <c r="AB2119" t="s">
        <v>48</v>
      </c>
      <c r="AC2119" t="s">
        <v>49</v>
      </c>
      <c r="AD2119" t="s">
        <v>93</v>
      </c>
      <c r="AE2119" t="s">
        <v>4532</v>
      </c>
      <c r="AF2119" t="s">
        <v>48</v>
      </c>
      <c r="AG2119" t="s">
        <v>48</v>
      </c>
      <c r="AH2119" t="s">
        <v>48</v>
      </c>
      <c r="AI2119" t="s">
        <v>48</v>
      </c>
      <c r="AJ2119" t="s">
        <v>48</v>
      </c>
      <c r="AK2119" t="s">
        <v>48</v>
      </c>
      <c r="AL2119" t="s">
        <v>48</v>
      </c>
      <c r="AM2119" t="s">
        <v>48</v>
      </c>
      <c r="AN2119" t="s">
        <v>48</v>
      </c>
      <c r="AO2119" t="s">
        <v>48</v>
      </c>
      <c r="AP2119" s="46">
        <v>0</v>
      </c>
      <c r="AQ2119" s="46">
        <v>0</v>
      </c>
      <c r="AR2119" s="46">
        <v>0</v>
      </c>
      <c r="AS2119" s="46">
        <v>0</v>
      </c>
      <c r="AT2119" s="46">
        <v>0</v>
      </c>
      <c r="AU2119" s="46">
        <v>0</v>
      </c>
      <c r="AV2119" s="46">
        <v>0</v>
      </c>
      <c r="AW2119" s="46">
        <v>0</v>
      </c>
      <c r="AX2119" s="46">
        <v>0</v>
      </c>
      <c r="AY2119" s="46">
        <v>0</v>
      </c>
      <c r="AZ2119" s="46">
        <v>0</v>
      </c>
      <c r="BA2119" s="46">
        <v>0</v>
      </c>
      <c r="BB2119" s="46">
        <v>0</v>
      </c>
      <c r="BC2119" s="46">
        <v>0</v>
      </c>
      <c r="BD2119" s="46">
        <v>0</v>
      </c>
      <c r="BE2119" s="46">
        <v>0</v>
      </c>
      <c r="BF2119" s="46">
        <v>0</v>
      </c>
      <c r="BG2119" s="46" t="s">
        <v>48</v>
      </c>
      <c r="BH2119" s="46">
        <v>0</v>
      </c>
      <c r="BI2119" s="46">
        <v>0</v>
      </c>
      <c r="BJ2119" s="46">
        <v>0</v>
      </c>
      <c r="BK2119" s="46">
        <v>0</v>
      </c>
      <c r="BL2119" s="46">
        <v>0</v>
      </c>
      <c r="BM2119" s="46">
        <v>0</v>
      </c>
      <c r="BN2119" s="46">
        <v>0</v>
      </c>
    </row>
    <row r="2120" spans="1:66" x14ac:dyDescent="0.35">
      <c r="A2120" t="s">
        <v>11204</v>
      </c>
      <c r="B2120" s="44" t="s">
        <v>48</v>
      </c>
      <c r="C2120" t="s">
        <v>6404</v>
      </c>
      <c r="D2120" t="s">
        <v>396</v>
      </c>
      <c r="E2120" t="s">
        <v>11205</v>
      </c>
      <c r="F2120" t="s">
        <v>5460</v>
      </c>
      <c r="G2120" t="s">
        <v>74</v>
      </c>
      <c r="H2120">
        <v>0</v>
      </c>
      <c r="I2120" s="60" t="s">
        <v>11160</v>
      </c>
      <c r="J2120" s="33" t="s">
        <v>45</v>
      </c>
      <c r="K2120" s="46">
        <v>0</v>
      </c>
      <c r="L2120">
        <v>43.3</v>
      </c>
      <c r="M2120" t="s">
        <v>48</v>
      </c>
      <c r="N2120" s="46">
        <v>0</v>
      </c>
      <c r="O2120" s="46">
        <v>0</v>
      </c>
      <c r="P2120" s="46">
        <v>0</v>
      </c>
      <c r="Q2120" t="s">
        <v>48</v>
      </c>
      <c r="R2120" t="s">
        <v>48</v>
      </c>
      <c r="S2120" t="s">
        <v>48</v>
      </c>
      <c r="T2120" t="s">
        <v>48</v>
      </c>
      <c r="U2120" t="s">
        <v>48</v>
      </c>
      <c r="V2120" s="47">
        <v>1</v>
      </c>
      <c r="W2120" t="s">
        <v>11264</v>
      </c>
      <c r="X2120" t="s">
        <v>48</v>
      </c>
      <c r="Y2120" t="s">
        <v>48</v>
      </c>
      <c r="Z2120" t="s">
        <v>48</v>
      </c>
      <c r="AA2120" t="s">
        <v>48</v>
      </c>
      <c r="AB2120" t="s">
        <v>48</v>
      </c>
      <c r="AC2120" t="s">
        <v>48</v>
      </c>
      <c r="AD2120" t="s">
        <v>48</v>
      </c>
      <c r="AE2120" t="s">
        <v>48</v>
      </c>
      <c r="AF2120" t="s">
        <v>48</v>
      </c>
      <c r="AG2120" t="s">
        <v>48</v>
      </c>
      <c r="AH2120" t="s">
        <v>48</v>
      </c>
      <c r="AI2120" t="s">
        <v>48</v>
      </c>
      <c r="AJ2120" t="s">
        <v>48</v>
      </c>
      <c r="AK2120" t="s">
        <v>48</v>
      </c>
      <c r="AL2120" t="s">
        <v>48</v>
      </c>
      <c r="AM2120" t="s">
        <v>48</v>
      </c>
      <c r="AN2120" t="s">
        <v>48</v>
      </c>
      <c r="AO2120" t="s">
        <v>48</v>
      </c>
      <c r="AP2120" s="46">
        <v>0</v>
      </c>
      <c r="AQ2120" s="46">
        <v>0</v>
      </c>
      <c r="AR2120" s="46">
        <v>0</v>
      </c>
      <c r="AS2120" s="46">
        <v>0</v>
      </c>
      <c r="AT2120" s="46">
        <v>0</v>
      </c>
      <c r="AU2120" s="46">
        <v>0</v>
      </c>
      <c r="AV2120" s="46">
        <v>0</v>
      </c>
      <c r="AW2120" s="46">
        <v>0</v>
      </c>
      <c r="AX2120" s="46">
        <v>0</v>
      </c>
      <c r="AY2120" s="46">
        <v>0</v>
      </c>
      <c r="AZ2120" s="46">
        <v>0</v>
      </c>
      <c r="BA2120" s="46">
        <v>0</v>
      </c>
      <c r="BB2120" s="46">
        <v>0</v>
      </c>
      <c r="BC2120" s="46">
        <v>0</v>
      </c>
      <c r="BD2120" s="46">
        <v>0</v>
      </c>
      <c r="BE2120" s="46">
        <v>0</v>
      </c>
      <c r="BF2120" s="46">
        <v>0</v>
      </c>
      <c r="BG2120" s="46" t="s">
        <v>48</v>
      </c>
      <c r="BH2120" s="46">
        <v>0</v>
      </c>
      <c r="BI2120" s="46">
        <v>0</v>
      </c>
      <c r="BJ2120" s="46">
        <v>0</v>
      </c>
      <c r="BK2120" s="46">
        <v>0</v>
      </c>
      <c r="BL2120" s="46">
        <v>0</v>
      </c>
      <c r="BM2120" s="46">
        <v>0</v>
      </c>
      <c r="BN2120" s="46">
        <v>0</v>
      </c>
    </row>
    <row r="2121" spans="1:66" x14ac:dyDescent="0.35">
      <c r="A2121" t="s">
        <v>5408</v>
      </c>
      <c r="B2121" t="s">
        <v>48</v>
      </c>
      <c r="C2121" t="s">
        <v>5411</v>
      </c>
      <c r="D2121" t="s">
        <v>5410</v>
      </c>
      <c r="E2121" t="s">
        <v>9688</v>
      </c>
      <c r="F2121" t="s">
        <v>5422</v>
      </c>
      <c r="G2121" t="s">
        <v>47</v>
      </c>
      <c r="H2121">
        <v>0</v>
      </c>
      <c r="I2121" s="61">
        <v>44757</v>
      </c>
      <c r="J2121" s="33" t="s">
        <v>45</v>
      </c>
      <c r="K2121" s="46">
        <v>0</v>
      </c>
      <c r="L2121">
        <v>8.4</v>
      </c>
      <c r="M2121" t="s">
        <v>48</v>
      </c>
      <c r="N2121" s="46">
        <v>0</v>
      </c>
      <c r="O2121" s="46">
        <v>0</v>
      </c>
      <c r="P2121" s="46">
        <v>0</v>
      </c>
      <c r="Q2121" t="s">
        <v>48</v>
      </c>
      <c r="R2121" t="s">
        <v>48</v>
      </c>
      <c r="S2121" t="s">
        <v>5409</v>
      </c>
      <c r="T2121" t="s">
        <v>48</v>
      </c>
      <c r="U2121" t="s">
        <v>5409</v>
      </c>
      <c r="V2121" s="47">
        <v>0</v>
      </c>
      <c r="W2121" t="s">
        <v>48</v>
      </c>
      <c r="X2121" t="s">
        <v>48</v>
      </c>
      <c r="Y2121" t="s">
        <v>48</v>
      </c>
      <c r="Z2121">
        <v>0</v>
      </c>
      <c r="AA2121" t="s">
        <v>48</v>
      </c>
      <c r="AB2121" t="s">
        <v>48</v>
      </c>
      <c r="AC2121" t="s">
        <v>49</v>
      </c>
      <c r="AD2121" t="s">
        <v>93</v>
      </c>
      <c r="AE2121" t="s">
        <v>4532</v>
      </c>
      <c r="AF2121" t="s">
        <v>48</v>
      </c>
      <c r="AG2121" t="s">
        <v>48</v>
      </c>
      <c r="AH2121" t="s">
        <v>48</v>
      </c>
      <c r="AI2121" t="s">
        <v>48</v>
      </c>
      <c r="AJ2121" t="s">
        <v>48</v>
      </c>
      <c r="AK2121" t="s">
        <v>48</v>
      </c>
      <c r="AL2121" t="s">
        <v>48</v>
      </c>
      <c r="AM2121" t="s">
        <v>48</v>
      </c>
      <c r="AN2121" t="s">
        <v>48</v>
      </c>
      <c r="AO2121" t="s">
        <v>48</v>
      </c>
      <c r="AP2121" s="46">
        <v>0</v>
      </c>
      <c r="AQ2121" s="46">
        <v>0</v>
      </c>
      <c r="AR2121" s="46">
        <v>0</v>
      </c>
      <c r="AS2121" s="46">
        <v>0</v>
      </c>
      <c r="AT2121" s="46">
        <v>0</v>
      </c>
      <c r="AU2121" s="46">
        <v>0</v>
      </c>
      <c r="AV2121" s="46">
        <v>0</v>
      </c>
      <c r="AW2121" s="46">
        <v>0</v>
      </c>
      <c r="AX2121" s="46">
        <v>0</v>
      </c>
      <c r="AY2121" s="46">
        <v>0</v>
      </c>
      <c r="AZ2121" s="46">
        <v>0</v>
      </c>
      <c r="BA2121" s="46">
        <v>0</v>
      </c>
      <c r="BB2121" s="46">
        <v>0</v>
      </c>
      <c r="BC2121" s="46">
        <v>0</v>
      </c>
      <c r="BD2121" s="46">
        <v>0</v>
      </c>
      <c r="BE2121" s="46">
        <v>0</v>
      </c>
      <c r="BF2121" s="46">
        <v>0</v>
      </c>
      <c r="BG2121" s="46" t="s">
        <v>48</v>
      </c>
      <c r="BH2121" s="46">
        <v>0</v>
      </c>
      <c r="BI2121" s="46">
        <v>0</v>
      </c>
      <c r="BJ2121" s="46">
        <v>0</v>
      </c>
      <c r="BK2121" s="46">
        <v>0</v>
      </c>
      <c r="BL2121" s="46">
        <v>0</v>
      </c>
      <c r="BM2121" s="46">
        <v>0</v>
      </c>
      <c r="BN2121" s="46">
        <v>0</v>
      </c>
    </row>
    <row r="2122" spans="1:66" x14ac:dyDescent="0.35">
      <c r="A2122" t="s">
        <v>5488</v>
      </c>
      <c r="B2122" t="s">
        <v>48</v>
      </c>
      <c r="C2122" t="s">
        <v>5491</v>
      </c>
      <c r="D2122" t="s">
        <v>1726</v>
      </c>
      <c r="E2122" t="s">
        <v>5489</v>
      </c>
      <c r="F2122" t="s">
        <v>5422</v>
      </c>
      <c r="G2122" t="s">
        <v>47</v>
      </c>
      <c r="H2122">
        <v>0</v>
      </c>
      <c r="I2122" s="60" t="s">
        <v>78</v>
      </c>
      <c r="J2122" s="33" t="s">
        <v>45</v>
      </c>
      <c r="K2122" s="46">
        <v>0</v>
      </c>
      <c r="L2122">
        <v>23.4</v>
      </c>
      <c r="M2122" t="s">
        <v>48</v>
      </c>
      <c r="N2122" s="46">
        <v>0</v>
      </c>
      <c r="O2122" s="46">
        <v>0</v>
      </c>
      <c r="P2122" s="46">
        <v>0</v>
      </c>
      <c r="Q2122" t="s">
        <v>48</v>
      </c>
      <c r="R2122" t="s">
        <v>48</v>
      </c>
      <c r="S2122" t="s">
        <v>5490</v>
      </c>
      <c r="T2122" t="s">
        <v>48</v>
      </c>
      <c r="U2122" t="s">
        <v>5490</v>
      </c>
      <c r="V2122" s="47">
        <v>0</v>
      </c>
      <c r="W2122" t="s">
        <v>11317</v>
      </c>
      <c r="X2122" t="s">
        <v>48</v>
      </c>
      <c r="Y2122" t="s">
        <v>48</v>
      </c>
      <c r="Z2122">
        <v>0</v>
      </c>
      <c r="AA2122" t="s">
        <v>48</v>
      </c>
      <c r="AB2122" t="s">
        <v>48</v>
      </c>
      <c r="AC2122" t="s">
        <v>49</v>
      </c>
      <c r="AD2122" t="s">
        <v>93</v>
      </c>
      <c r="AE2122" t="s">
        <v>4532</v>
      </c>
      <c r="AF2122" t="s">
        <v>48</v>
      </c>
      <c r="AG2122" t="s">
        <v>48</v>
      </c>
      <c r="AH2122" t="s">
        <v>48</v>
      </c>
      <c r="AI2122" t="s">
        <v>48</v>
      </c>
      <c r="AJ2122" t="s">
        <v>48</v>
      </c>
      <c r="AK2122" t="s">
        <v>48</v>
      </c>
      <c r="AL2122" t="s">
        <v>48</v>
      </c>
      <c r="AM2122" t="s">
        <v>48</v>
      </c>
      <c r="AN2122" t="s">
        <v>48</v>
      </c>
      <c r="AO2122" t="s">
        <v>48</v>
      </c>
      <c r="AP2122" s="46">
        <v>0</v>
      </c>
      <c r="AQ2122" s="46">
        <v>0</v>
      </c>
      <c r="AR2122" s="46">
        <v>0</v>
      </c>
      <c r="AS2122" s="46">
        <v>0</v>
      </c>
      <c r="AT2122" s="46">
        <v>0</v>
      </c>
      <c r="AU2122" s="46">
        <v>0</v>
      </c>
      <c r="AV2122" s="46">
        <v>0</v>
      </c>
      <c r="AW2122" s="46">
        <v>0</v>
      </c>
      <c r="AX2122" s="46">
        <v>0</v>
      </c>
      <c r="AY2122" s="46">
        <v>0</v>
      </c>
      <c r="AZ2122" s="46">
        <v>0</v>
      </c>
      <c r="BA2122" s="46">
        <v>0</v>
      </c>
      <c r="BB2122" s="46">
        <v>0</v>
      </c>
      <c r="BC2122" s="46">
        <v>0</v>
      </c>
      <c r="BD2122" s="46">
        <v>0</v>
      </c>
      <c r="BE2122" s="46">
        <v>0</v>
      </c>
      <c r="BF2122" s="46">
        <v>0</v>
      </c>
      <c r="BG2122" s="46" t="s">
        <v>48</v>
      </c>
      <c r="BH2122" s="46">
        <v>0</v>
      </c>
      <c r="BI2122" s="46">
        <v>0</v>
      </c>
      <c r="BJ2122" s="46">
        <v>0</v>
      </c>
      <c r="BK2122" s="46">
        <v>0</v>
      </c>
      <c r="BL2122" s="46">
        <v>0</v>
      </c>
      <c r="BM2122" s="46">
        <v>0</v>
      </c>
      <c r="BN2122" s="46">
        <v>0</v>
      </c>
    </row>
    <row r="2123" spans="1:66" x14ac:dyDescent="0.35">
      <c r="A2123" t="s">
        <v>5474</v>
      </c>
      <c r="B2123" t="s">
        <v>48</v>
      </c>
      <c r="C2123" t="s">
        <v>12251</v>
      </c>
      <c r="D2123" t="s">
        <v>5476</v>
      </c>
      <c r="E2123" t="s">
        <v>5475</v>
      </c>
      <c r="F2123" t="s">
        <v>5422</v>
      </c>
      <c r="G2123" t="s">
        <v>47</v>
      </c>
      <c r="H2123">
        <v>0</v>
      </c>
      <c r="I2123" s="60" t="s">
        <v>125</v>
      </c>
      <c r="J2123" s="33" t="s">
        <v>45</v>
      </c>
      <c r="K2123" s="46">
        <v>0</v>
      </c>
      <c r="L2123">
        <v>16.600000000000001</v>
      </c>
      <c r="M2123" t="s">
        <v>48</v>
      </c>
      <c r="N2123" s="46">
        <v>0</v>
      </c>
      <c r="O2123" s="46">
        <v>0</v>
      </c>
      <c r="P2123" s="46">
        <v>0</v>
      </c>
      <c r="Q2123" t="s">
        <v>48</v>
      </c>
      <c r="R2123" t="s">
        <v>48</v>
      </c>
      <c r="S2123" t="s">
        <v>48</v>
      </c>
      <c r="T2123" t="s">
        <v>48</v>
      </c>
      <c r="U2123" t="s">
        <v>48</v>
      </c>
      <c r="V2123" s="47">
        <v>0</v>
      </c>
      <c r="W2123" t="s">
        <v>48</v>
      </c>
      <c r="X2123" t="s">
        <v>48</v>
      </c>
      <c r="Y2123" t="s">
        <v>48</v>
      </c>
      <c r="Z2123">
        <v>0</v>
      </c>
      <c r="AA2123" t="s">
        <v>48</v>
      </c>
      <c r="AB2123" t="s">
        <v>48</v>
      </c>
      <c r="AC2123" t="s">
        <v>63</v>
      </c>
      <c r="AD2123" t="s">
        <v>93</v>
      </c>
      <c r="AE2123" t="s">
        <v>4532</v>
      </c>
      <c r="AF2123" t="s">
        <v>48</v>
      </c>
      <c r="AG2123" t="s">
        <v>48</v>
      </c>
      <c r="AH2123" t="s">
        <v>48</v>
      </c>
      <c r="AI2123" t="s">
        <v>48</v>
      </c>
      <c r="AJ2123" t="s">
        <v>48</v>
      </c>
      <c r="AK2123" t="s">
        <v>48</v>
      </c>
      <c r="AL2123" t="s">
        <v>48</v>
      </c>
      <c r="AM2123" t="s">
        <v>48</v>
      </c>
      <c r="AN2123" t="s">
        <v>48</v>
      </c>
      <c r="AO2123" t="s">
        <v>48</v>
      </c>
      <c r="AP2123" s="46">
        <v>0</v>
      </c>
      <c r="AQ2123" s="46">
        <v>0</v>
      </c>
      <c r="AR2123" s="46">
        <v>0</v>
      </c>
      <c r="AS2123" s="46">
        <v>0</v>
      </c>
      <c r="AT2123" s="46">
        <v>0</v>
      </c>
      <c r="AU2123" s="46">
        <v>0</v>
      </c>
      <c r="AV2123" s="46">
        <v>0</v>
      </c>
      <c r="AW2123" s="46">
        <v>0</v>
      </c>
      <c r="AX2123" s="46">
        <v>0</v>
      </c>
      <c r="AY2123" s="46">
        <v>0</v>
      </c>
      <c r="AZ2123" s="46">
        <v>0</v>
      </c>
      <c r="BA2123" s="46">
        <v>0</v>
      </c>
      <c r="BB2123" s="46">
        <v>0</v>
      </c>
      <c r="BC2123" s="46">
        <v>0</v>
      </c>
      <c r="BD2123" s="46">
        <v>0</v>
      </c>
      <c r="BE2123" s="46">
        <v>0</v>
      </c>
      <c r="BF2123" s="46">
        <v>0</v>
      </c>
      <c r="BG2123" s="46" t="s">
        <v>48</v>
      </c>
      <c r="BH2123" s="46">
        <v>0</v>
      </c>
      <c r="BI2123" s="46">
        <v>0</v>
      </c>
      <c r="BJ2123" s="46">
        <v>0</v>
      </c>
      <c r="BK2123" s="46">
        <v>0</v>
      </c>
      <c r="BL2123" s="46">
        <v>0</v>
      </c>
      <c r="BM2123" s="46">
        <v>0</v>
      </c>
      <c r="BN2123" s="46">
        <v>0</v>
      </c>
    </row>
    <row r="2124" spans="1:66" x14ac:dyDescent="0.35">
      <c r="A2124" t="s">
        <v>5412</v>
      </c>
      <c r="B2124" t="s">
        <v>48</v>
      </c>
      <c r="C2124" t="s">
        <v>5413</v>
      </c>
      <c r="D2124" t="s">
        <v>1652</v>
      </c>
      <c r="E2124" t="s">
        <v>9689</v>
      </c>
      <c r="F2124" t="s">
        <v>5422</v>
      </c>
      <c r="G2124" t="s">
        <v>47</v>
      </c>
      <c r="H2124">
        <v>0</v>
      </c>
      <c r="I2124" s="61">
        <v>44757</v>
      </c>
      <c r="J2124" s="33" t="s">
        <v>45</v>
      </c>
      <c r="K2124" s="46">
        <v>0</v>
      </c>
      <c r="L2124">
        <v>9.3000000000000007</v>
      </c>
      <c r="M2124" t="s">
        <v>48</v>
      </c>
      <c r="N2124" s="46">
        <v>0</v>
      </c>
      <c r="O2124" s="46">
        <v>0</v>
      </c>
      <c r="P2124" s="46">
        <v>0</v>
      </c>
      <c r="Q2124" t="s">
        <v>48</v>
      </c>
      <c r="R2124" t="s">
        <v>48</v>
      </c>
      <c r="S2124" t="s">
        <v>48</v>
      </c>
      <c r="T2124" t="s">
        <v>48</v>
      </c>
      <c r="U2124" t="s">
        <v>48</v>
      </c>
      <c r="V2124" s="47">
        <v>1</v>
      </c>
      <c r="W2124" t="s">
        <v>48</v>
      </c>
      <c r="X2124" t="s">
        <v>48</v>
      </c>
      <c r="Y2124" t="s">
        <v>48</v>
      </c>
      <c r="Z2124">
        <v>0</v>
      </c>
      <c r="AA2124" t="s">
        <v>48</v>
      </c>
      <c r="AB2124" t="s">
        <v>48</v>
      </c>
      <c r="AC2124" t="s">
        <v>49</v>
      </c>
      <c r="AD2124" t="s">
        <v>93</v>
      </c>
      <c r="AE2124" t="s">
        <v>4532</v>
      </c>
      <c r="AF2124" t="s">
        <v>48</v>
      </c>
      <c r="AG2124" t="s">
        <v>48</v>
      </c>
      <c r="AH2124" t="s">
        <v>48</v>
      </c>
      <c r="AI2124" t="s">
        <v>48</v>
      </c>
      <c r="AJ2124" t="s">
        <v>48</v>
      </c>
      <c r="AK2124" t="s">
        <v>48</v>
      </c>
      <c r="AL2124" t="s">
        <v>48</v>
      </c>
      <c r="AM2124" t="s">
        <v>48</v>
      </c>
      <c r="AN2124" t="s">
        <v>48</v>
      </c>
      <c r="AO2124" t="s">
        <v>48</v>
      </c>
      <c r="AP2124" s="46">
        <v>0</v>
      </c>
      <c r="AQ2124" s="46">
        <v>0</v>
      </c>
      <c r="AR2124" s="46">
        <v>0</v>
      </c>
      <c r="AS2124" s="46">
        <v>0</v>
      </c>
      <c r="AT2124" s="46">
        <v>0</v>
      </c>
      <c r="AU2124" s="46">
        <v>0</v>
      </c>
      <c r="AV2124" s="46">
        <v>0</v>
      </c>
      <c r="AW2124" s="46">
        <v>0</v>
      </c>
      <c r="AX2124" s="46">
        <v>0</v>
      </c>
      <c r="AY2124" s="46">
        <v>0</v>
      </c>
      <c r="AZ2124" s="46">
        <v>0</v>
      </c>
      <c r="BA2124" s="46">
        <v>0</v>
      </c>
      <c r="BB2124" s="46">
        <v>0</v>
      </c>
      <c r="BC2124" s="46">
        <v>0</v>
      </c>
      <c r="BD2124" s="46">
        <v>0</v>
      </c>
      <c r="BE2124" s="46">
        <v>0</v>
      </c>
      <c r="BF2124" s="46">
        <v>0</v>
      </c>
      <c r="BG2124" s="46" t="s">
        <v>48</v>
      </c>
      <c r="BH2124" s="46">
        <v>0</v>
      </c>
      <c r="BI2124" s="46">
        <v>0</v>
      </c>
      <c r="BJ2124" s="46">
        <v>0</v>
      </c>
      <c r="BK2124" s="46">
        <v>0</v>
      </c>
      <c r="BL2124" s="46">
        <v>0</v>
      </c>
      <c r="BM2124" s="46">
        <v>0</v>
      </c>
      <c r="BN2124" s="46">
        <v>0</v>
      </c>
    </row>
    <row r="2125" spans="1:66" x14ac:dyDescent="0.35">
      <c r="A2125" t="s">
        <v>9690</v>
      </c>
      <c r="B2125" t="s">
        <v>48</v>
      </c>
      <c r="C2125" t="s">
        <v>1968</v>
      </c>
      <c r="D2125" t="s">
        <v>12250</v>
      </c>
      <c r="E2125" t="s">
        <v>9691</v>
      </c>
      <c r="F2125" t="s">
        <v>5422</v>
      </c>
      <c r="G2125" t="s">
        <v>47</v>
      </c>
      <c r="H2125">
        <v>0</v>
      </c>
      <c r="I2125" s="61">
        <v>44757</v>
      </c>
      <c r="J2125" s="33" t="s">
        <v>45</v>
      </c>
      <c r="K2125" s="46">
        <v>0</v>
      </c>
      <c r="L2125">
        <v>2.2999999999999998</v>
      </c>
      <c r="M2125" t="s">
        <v>48</v>
      </c>
      <c r="N2125" s="46">
        <v>0</v>
      </c>
      <c r="O2125" s="46">
        <v>0</v>
      </c>
      <c r="P2125" s="46">
        <v>0</v>
      </c>
      <c r="Q2125" t="s">
        <v>48</v>
      </c>
      <c r="R2125" t="s">
        <v>48</v>
      </c>
      <c r="S2125" t="s">
        <v>10364</v>
      </c>
      <c r="T2125" t="s">
        <v>48</v>
      </c>
      <c r="U2125" t="s">
        <v>10364</v>
      </c>
      <c r="V2125" s="47">
        <v>0</v>
      </c>
      <c r="W2125" t="s">
        <v>48</v>
      </c>
      <c r="X2125" t="s">
        <v>48</v>
      </c>
      <c r="Y2125" t="s">
        <v>48</v>
      </c>
      <c r="Z2125" t="s">
        <v>48</v>
      </c>
      <c r="AA2125" t="s">
        <v>48</v>
      </c>
      <c r="AB2125" t="s">
        <v>48</v>
      </c>
      <c r="AC2125" t="s">
        <v>49</v>
      </c>
      <c r="AD2125" t="s">
        <v>48</v>
      </c>
      <c r="AE2125" t="s">
        <v>48</v>
      </c>
      <c r="AF2125" t="s">
        <v>48</v>
      </c>
      <c r="AG2125" t="s">
        <v>48</v>
      </c>
      <c r="AH2125" t="s">
        <v>48</v>
      </c>
      <c r="AI2125" t="s">
        <v>48</v>
      </c>
      <c r="AJ2125" t="s">
        <v>48</v>
      </c>
      <c r="AK2125" t="s">
        <v>48</v>
      </c>
      <c r="AL2125" t="s">
        <v>48</v>
      </c>
      <c r="AM2125" t="s">
        <v>48</v>
      </c>
      <c r="AN2125" t="s">
        <v>48</v>
      </c>
      <c r="AO2125" t="s">
        <v>48</v>
      </c>
      <c r="AP2125" s="46">
        <v>0</v>
      </c>
      <c r="AQ2125" s="46">
        <v>0</v>
      </c>
      <c r="AR2125" s="46">
        <v>0</v>
      </c>
      <c r="AS2125" s="46">
        <v>0</v>
      </c>
      <c r="AT2125" s="46">
        <v>0</v>
      </c>
      <c r="AU2125" s="46">
        <v>0</v>
      </c>
      <c r="AV2125" s="46">
        <v>0</v>
      </c>
      <c r="AW2125" s="46">
        <v>0</v>
      </c>
      <c r="AX2125" s="46">
        <v>0</v>
      </c>
      <c r="AY2125" s="46">
        <v>0</v>
      </c>
      <c r="AZ2125" s="46">
        <v>0</v>
      </c>
      <c r="BA2125" s="46">
        <v>0</v>
      </c>
      <c r="BB2125" s="46">
        <v>0</v>
      </c>
      <c r="BC2125" s="46">
        <v>0</v>
      </c>
      <c r="BD2125" s="46">
        <v>0</v>
      </c>
      <c r="BE2125" s="46">
        <v>0</v>
      </c>
      <c r="BF2125" s="46">
        <v>0</v>
      </c>
      <c r="BG2125" s="46" t="s">
        <v>48</v>
      </c>
      <c r="BH2125" s="46">
        <v>0</v>
      </c>
      <c r="BI2125" s="46">
        <v>0</v>
      </c>
      <c r="BJ2125" s="46">
        <v>0</v>
      </c>
      <c r="BK2125" s="46">
        <v>0</v>
      </c>
      <c r="BL2125" s="46">
        <v>0</v>
      </c>
      <c r="BM2125" s="46">
        <v>0</v>
      </c>
      <c r="BN2125" s="46">
        <v>0</v>
      </c>
    </row>
    <row r="2126" spans="1:66" x14ac:dyDescent="0.35">
      <c r="A2126" t="s">
        <v>5470</v>
      </c>
      <c r="B2126" t="s">
        <v>48</v>
      </c>
      <c r="C2126" t="s">
        <v>853</v>
      </c>
      <c r="D2126" t="s">
        <v>5473</v>
      </c>
      <c r="E2126" t="s">
        <v>5471</v>
      </c>
      <c r="F2126" t="s">
        <v>5422</v>
      </c>
      <c r="G2126" t="s">
        <v>47</v>
      </c>
      <c r="H2126">
        <v>0</v>
      </c>
      <c r="I2126" s="60" t="s">
        <v>149</v>
      </c>
      <c r="J2126" s="33" t="s">
        <v>45</v>
      </c>
      <c r="K2126" s="46">
        <v>0</v>
      </c>
      <c r="L2126">
        <v>11.4</v>
      </c>
      <c r="M2126" t="s">
        <v>48</v>
      </c>
      <c r="N2126" s="46">
        <v>0</v>
      </c>
      <c r="O2126" s="46">
        <v>0</v>
      </c>
      <c r="P2126" s="46">
        <v>0</v>
      </c>
      <c r="Q2126" t="s">
        <v>48</v>
      </c>
      <c r="R2126" t="s">
        <v>48</v>
      </c>
      <c r="S2126" t="s">
        <v>5472</v>
      </c>
      <c r="T2126" t="s">
        <v>48</v>
      </c>
      <c r="U2126" t="s">
        <v>5472</v>
      </c>
      <c r="V2126" s="47">
        <v>1</v>
      </c>
      <c r="W2126" t="s">
        <v>48</v>
      </c>
      <c r="X2126" t="s">
        <v>48</v>
      </c>
      <c r="Y2126" t="s">
        <v>48</v>
      </c>
      <c r="Z2126">
        <v>0</v>
      </c>
      <c r="AA2126" t="s">
        <v>48</v>
      </c>
      <c r="AB2126" t="s">
        <v>48</v>
      </c>
      <c r="AC2126" t="s">
        <v>49</v>
      </c>
      <c r="AD2126" t="s">
        <v>93</v>
      </c>
      <c r="AE2126" s="40" t="s">
        <v>2471</v>
      </c>
      <c r="AF2126" t="s">
        <v>11061</v>
      </c>
      <c r="AG2126" t="s">
        <v>48</v>
      </c>
      <c r="AH2126" t="s">
        <v>48</v>
      </c>
      <c r="AI2126" t="s">
        <v>48</v>
      </c>
      <c r="AJ2126" t="s">
        <v>48</v>
      </c>
      <c r="AK2126" t="s">
        <v>48</v>
      </c>
      <c r="AL2126" t="s">
        <v>48</v>
      </c>
      <c r="AM2126" t="s">
        <v>48</v>
      </c>
      <c r="AN2126" t="s">
        <v>48</v>
      </c>
      <c r="AO2126" t="s">
        <v>48</v>
      </c>
      <c r="AP2126" s="46">
        <v>0</v>
      </c>
      <c r="AQ2126" s="46">
        <v>0</v>
      </c>
      <c r="AR2126" s="46">
        <v>0</v>
      </c>
      <c r="AS2126" s="46">
        <v>0</v>
      </c>
      <c r="AT2126" s="46">
        <v>0</v>
      </c>
      <c r="AU2126" s="46">
        <v>0</v>
      </c>
      <c r="AV2126" s="46">
        <v>0</v>
      </c>
      <c r="AW2126" s="46">
        <v>0</v>
      </c>
      <c r="AX2126" s="46">
        <v>0</v>
      </c>
      <c r="AY2126" s="46">
        <v>0</v>
      </c>
      <c r="AZ2126" s="46">
        <v>0</v>
      </c>
      <c r="BA2126" s="46">
        <v>0</v>
      </c>
      <c r="BB2126" s="46">
        <v>0</v>
      </c>
      <c r="BC2126" s="46">
        <v>0</v>
      </c>
      <c r="BD2126" s="46">
        <v>0</v>
      </c>
      <c r="BE2126" s="46">
        <v>0</v>
      </c>
      <c r="BF2126" s="46">
        <v>0</v>
      </c>
      <c r="BG2126" s="46" t="s">
        <v>48</v>
      </c>
      <c r="BH2126" s="46">
        <v>0</v>
      </c>
      <c r="BI2126" s="46">
        <v>0</v>
      </c>
      <c r="BJ2126" s="46">
        <v>0</v>
      </c>
      <c r="BK2126" s="46">
        <v>0</v>
      </c>
      <c r="BL2126" s="46">
        <v>0</v>
      </c>
      <c r="BM2126" s="46">
        <v>0</v>
      </c>
      <c r="BN2126" s="46">
        <v>0</v>
      </c>
    </row>
    <row r="2127" spans="1:66" x14ac:dyDescent="0.35">
      <c r="A2127" t="s">
        <v>9692</v>
      </c>
      <c r="B2127" t="s">
        <v>48</v>
      </c>
      <c r="C2127" t="s">
        <v>12252</v>
      </c>
      <c r="D2127" t="s">
        <v>12253</v>
      </c>
      <c r="E2127" t="s">
        <v>9693</v>
      </c>
      <c r="F2127" t="s">
        <v>5493</v>
      </c>
      <c r="G2127" t="s">
        <v>47</v>
      </c>
      <c r="H2127">
        <v>0</v>
      </c>
      <c r="I2127" s="61">
        <v>44757</v>
      </c>
      <c r="J2127" s="33" t="s">
        <v>45</v>
      </c>
      <c r="K2127" s="46">
        <v>0</v>
      </c>
      <c r="L2127">
        <v>8.3000000000000007</v>
      </c>
      <c r="M2127" t="s">
        <v>48</v>
      </c>
      <c r="N2127" s="46">
        <v>0</v>
      </c>
      <c r="O2127" s="46">
        <v>0</v>
      </c>
      <c r="P2127" s="46">
        <v>0</v>
      </c>
      <c r="Q2127" t="s">
        <v>48</v>
      </c>
      <c r="R2127" t="s">
        <v>48</v>
      </c>
      <c r="S2127" t="s">
        <v>48</v>
      </c>
      <c r="T2127" t="s">
        <v>48</v>
      </c>
      <c r="U2127" t="s">
        <v>48</v>
      </c>
      <c r="V2127" s="47">
        <v>0</v>
      </c>
      <c r="W2127" t="s">
        <v>48</v>
      </c>
      <c r="X2127" t="s">
        <v>48</v>
      </c>
      <c r="Y2127" t="s">
        <v>48</v>
      </c>
      <c r="Z2127" t="s">
        <v>48</v>
      </c>
      <c r="AA2127" t="s">
        <v>48</v>
      </c>
      <c r="AB2127" t="s">
        <v>48</v>
      </c>
      <c r="AC2127" t="s">
        <v>63</v>
      </c>
      <c r="AD2127" t="s">
        <v>93</v>
      </c>
      <c r="AE2127" t="s">
        <v>4532</v>
      </c>
      <c r="AF2127" t="s">
        <v>48</v>
      </c>
      <c r="AG2127" t="s">
        <v>48</v>
      </c>
      <c r="AH2127" t="s">
        <v>48</v>
      </c>
      <c r="AI2127" t="s">
        <v>48</v>
      </c>
      <c r="AJ2127" t="s">
        <v>48</v>
      </c>
      <c r="AK2127" t="s">
        <v>48</v>
      </c>
      <c r="AL2127" t="s">
        <v>48</v>
      </c>
      <c r="AM2127" t="s">
        <v>48</v>
      </c>
      <c r="AN2127" t="s">
        <v>48</v>
      </c>
      <c r="AO2127" t="s">
        <v>48</v>
      </c>
      <c r="AP2127" s="46">
        <v>0</v>
      </c>
      <c r="AQ2127" s="46">
        <v>0</v>
      </c>
      <c r="AR2127" s="46">
        <v>0</v>
      </c>
      <c r="AS2127" s="46">
        <v>0</v>
      </c>
      <c r="AT2127" s="46">
        <v>0</v>
      </c>
      <c r="AU2127" s="46">
        <v>0</v>
      </c>
      <c r="AV2127" s="46">
        <v>0</v>
      </c>
      <c r="AW2127" s="46">
        <v>0</v>
      </c>
      <c r="AX2127" s="46">
        <v>0</v>
      </c>
      <c r="AY2127" s="46">
        <v>0</v>
      </c>
      <c r="AZ2127" s="46">
        <v>0</v>
      </c>
      <c r="BA2127" s="46">
        <v>0</v>
      </c>
      <c r="BB2127" s="46">
        <v>0</v>
      </c>
      <c r="BC2127" s="46">
        <v>0</v>
      </c>
      <c r="BD2127" s="46">
        <v>0</v>
      </c>
      <c r="BE2127" s="46">
        <v>0</v>
      </c>
      <c r="BF2127" s="46">
        <v>0</v>
      </c>
      <c r="BG2127" s="46" t="s">
        <v>48</v>
      </c>
      <c r="BH2127" s="46">
        <v>0</v>
      </c>
      <c r="BI2127" s="46">
        <v>0</v>
      </c>
      <c r="BJ2127" s="46">
        <v>0</v>
      </c>
      <c r="BK2127" s="46">
        <v>0</v>
      </c>
      <c r="BL2127" s="46">
        <v>0</v>
      </c>
      <c r="BM2127" s="46">
        <v>0</v>
      </c>
      <c r="BN2127" s="46">
        <v>0</v>
      </c>
    </row>
    <row r="2128" spans="1:66" x14ac:dyDescent="0.35">
      <c r="A2128" t="s">
        <v>5492</v>
      </c>
      <c r="B2128" t="s">
        <v>48</v>
      </c>
      <c r="C2128" t="s">
        <v>5496</v>
      </c>
      <c r="D2128" t="s">
        <v>1237</v>
      </c>
      <c r="E2128" t="s">
        <v>5494</v>
      </c>
      <c r="F2128" t="s">
        <v>5493</v>
      </c>
      <c r="G2128" t="s">
        <v>47</v>
      </c>
      <c r="H2128">
        <v>0</v>
      </c>
      <c r="I2128" s="60" t="s">
        <v>190</v>
      </c>
      <c r="J2128" s="33" t="s">
        <v>45</v>
      </c>
      <c r="K2128" s="46">
        <v>0</v>
      </c>
      <c r="L2128">
        <v>16</v>
      </c>
      <c r="M2128" t="s">
        <v>48</v>
      </c>
      <c r="N2128" s="46">
        <v>0</v>
      </c>
      <c r="O2128" s="46">
        <v>0</v>
      </c>
      <c r="P2128" s="46">
        <v>0</v>
      </c>
      <c r="Q2128" t="s">
        <v>48</v>
      </c>
      <c r="R2128" t="s">
        <v>48</v>
      </c>
      <c r="S2128" t="s">
        <v>5495</v>
      </c>
      <c r="T2128" t="s">
        <v>48</v>
      </c>
      <c r="U2128" t="s">
        <v>5495</v>
      </c>
      <c r="V2128" s="47">
        <v>0</v>
      </c>
      <c r="W2128" t="s">
        <v>48</v>
      </c>
      <c r="X2128" t="s">
        <v>48</v>
      </c>
      <c r="Y2128" t="s">
        <v>48</v>
      </c>
      <c r="Z2128">
        <v>0</v>
      </c>
      <c r="AA2128" t="s">
        <v>48</v>
      </c>
      <c r="AB2128" t="s">
        <v>48</v>
      </c>
      <c r="AC2128" t="s">
        <v>49</v>
      </c>
      <c r="AD2128" t="s">
        <v>93</v>
      </c>
      <c r="AE2128" t="s">
        <v>4532</v>
      </c>
      <c r="AF2128" t="s">
        <v>48</v>
      </c>
      <c r="AG2128" t="s">
        <v>48</v>
      </c>
      <c r="AH2128" t="s">
        <v>48</v>
      </c>
      <c r="AI2128" t="s">
        <v>48</v>
      </c>
      <c r="AJ2128" t="s">
        <v>48</v>
      </c>
      <c r="AK2128" t="s">
        <v>48</v>
      </c>
      <c r="AL2128" t="s">
        <v>48</v>
      </c>
      <c r="AM2128" t="s">
        <v>48</v>
      </c>
      <c r="AN2128" t="s">
        <v>48</v>
      </c>
      <c r="AO2128" t="s">
        <v>48</v>
      </c>
      <c r="AP2128" s="46">
        <v>0</v>
      </c>
      <c r="AQ2128" s="46">
        <v>0</v>
      </c>
      <c r="AR2128" s="46">
        <v>0</v>
      </c>
      <c r="AS2128" s="46">
        <v>0</v>
      </c>
      <c r="AT2128" s="46">
        <v>0</v>
      </c>
      <c r="AU2128" s="46">
        <v>0</v>
      </c>
      <c r="AV2128" s="46">
        <v>0</v>
      </c>
      <c r="AW2128" s="46">
        <v>0</v>
      </c>
      <c r="AX2128" s="46">
        <v>0</v>
      </c>
      <c r="AY2128" s="46">
        <v>0</v>
      </c>
      <c r="AZ2128" s="46">
        <v>0</v>
      </c>
      <c r="BA2128" s="46">
        <v>0</v>
      </c>
      <c r="BB2128" s="46">
        <v>0</v>
      </c>
      <c r="BC2128" s="46">
        <v>0</v>
      </c>
      <c r="BD2128" s="46">
        <v>0</v>
      </c>
      <c r="BE2128" s="46">
        <v>0</v>
      </c>
      <c r="BF2128" s="46">
        <v>0</v>
      </c>
      <c r="BG2128" s="46" t="s">
        <v>48</v>
      </c>
      <c r="BH2128" s="46">
        <v>0</v>
      </c>
      <c r="BI2128" s="46">
        <v>0</v>
      </c>
      <c r="BJ2128" s="46">
        <v>0</v>
      </c>
      <c r="BK2128" s="46">
        <v>0</v>
      </c>
      <c r="BL2128" s="46">
        <v>0</v>
      </c>
      <c r="BM2128" s="46">
        <v>0</v>
      </c>
      <c r="BN2128" s="46">
        <v>0</v>
      </c>
    </row>
    <row r="2129" spans="1:66" x14ac:dyDescent="0.35">
      <c r="A2129" t="s">
        <v>9694</v>
      </c>
      <c r="B2129" t="s">
        <v>48</v>
      </c>
      <c r="C2129" t="s">
        <v>12259</v>
      </c>
      <c r="D2129" t="s">
        <v>4163</v>
      </c>
      <c r="E2129" t="s">
        <v>9695</v>
      </c>
      <c r="F2129" t="s">
        <v>5565</v>
      </c>
      <c r="G2129" t="s">
        <v>47</v>
      </c>
      <c r="H2129">
        <v>0</v>
      </c>
      <c r="I2129" s="61">
        <v>44748</v>
      </c>
      <c r="J2129" s="33" t="s">
        <v>45</v>
      </c>
      <c r="K2129" s="46">
        <v>0</v>
      </c>
      <c r="L2129">
        <v>14.7</v>
      </c>
      <c r="M2129" t="s">
        <v>48</v>
      </c>
      <c r="N2129" s="46">
        <v>0</v>
      </c>
      <c r="O2129" s="46">
        <v>0</v>
      </c>
      <c r="P2129" s="46">
        <v>0</v>
      </c>
      <c r="Q2129" t="s">
        <v>48</v>
      </c>
      <c r="R2129" t="s">
        <v>48</v>
      </c>
      <c r="S2129" t="s">
        <v>10367</v>
      </c>
      <c r="T2129" t="s">
        <v>48</v>
      </c>
      <c r="U2129" t="s">
        <v>10367</v>
      </c>
      <c r="V2129" s="47">
        <v>1</v>
      </c>
      <c r="W2129" t="s">
        <v>48</v>
      </c>
      <c r="X2129" t="s">
        <v>48</v>
      </c>
      <c r="Y2129" t="s">
        <v>48</v>
      </c>
      <c r="Z2129" t="s">
        <v>48</v>
      </c>
      <c r="AA2129" t="s">
        <v>11226</v>
      </c>
      <c r="AB2129" t="s">
        <v>48</v>
      </c>
      <c r="AC2129" t="s">
        <v>49</v>
      </c>
      <c r="AD2129" t="s">
        <v>93</v>
      </c>
      <c r="AE2129" t="s">
        <v>4532</v>
      </c>
      <c r="AF2129" t="s">
        <v>48</v>
      </c>
      <c r="AG2129" t="s">
        <v>48</v>
      </c>
      <c r="AH2129" t="s">
        <v>48</v>
      </c>
      <c r="AI2129" t="s">
        <v>48</v>
      </c>
      <c r="AJ2129" t="s">
        <v>48</v>
      </c>
      <c r="AK2129" t="s">
        <v>48</v>
      </c>
      <c r="AL2129" t="s">
        <v>48</v>
      </c>
      <c r="AM2129" t="s">
        <v>48</v>
      </c>
      <c r="AN2129" t="s">
        <v>48</v>
      </c>
      <c r="AO2129" t="s">
        <v>48</v>
      </c>
      <c r="AP2129" s="46">
        <v>0</v>
      </c>
      <c r="AQ2129" s="46">
        <v>0</v>
      </c>
      <c r="AR2129" s="46">
        <v>0</v>
      </c>
      <c r="AS2129" s="46">
        <v>0</v>
      </c>
      <c r="AT2129" s="46">
        <v>0</v>
      </c>
      <c r="AU2129" s="46">
        <v>0</v>
      </c>
      <c r="AV2129" s="46">
        <v>0</v>
      </c>
      <c r="AW2129" s="46">
        <v>0</v>
      </c>
      <c r="AX2129" s="46">
        <v>0</v>
      </c>
      <c r="AY2129" s="46">
        <v>0</v>
      </c>
      <c r="AZ2129" s="46">
        <v>0</v>
      </c>
      <c r="BA2129" s="46">
        <v>0</v>
      </c>
      <c r="BB2129" s="46">
        <v>0</v>
      </c>
      <c r="BC2129" s="46">
        <v>0</v>
      </c>
      <c r="BD2129" s="46">
        <v>0</v>
      </c>
      <c r="BE2129" s="46">
        <v>0</v>
      </c>
      <c r="BF2129" s="46">
        <v>0</v>
      </c>
      <c r="BG2129" s="46" t="s">
        <v>48</v>
      </c>
      <c r="BH2129" s="46">
        <v>0</v>
      </c>
      <c r="BI2129" s="46">
        <v>0</v>
      </c>
      <c r="BJ2129" s="46">
        <v>0</v>
      </c>
      <c r="BK2129" s="46">
        <v>0</v>
      </c>
      <c r="BL2129" s="46">
        <v>0</v>
      </c>
      <c r="BM2129" s="46">
        <v>0</v>
      </c>
      <c r="BN2129" s="46">
        <v>0</v>
      </c>
    </row>
    <row r="2130" spans="1:66" x14ac:dyDescent="0.35">
      <c r="A2130" t="s">
        <v>9696</v>
      </c>
      <c r="B2130" t="s">
        <v>48</v>
      </c>
      <c r="C2130" t="s">
        <v>1838</v>
      </c>
      <c r="D2130" t="s">
        <v>216</v>
      </c>
      <c r="E2130" t="s">
        <v>9697</v>
      </c>
      <c r="F2130" s="40" t="s">
        <v>5565</v>
      </c>
      <c r="G2130" t="s">
        <v>47</v>
      </c>
      <c r="H2130">
        <v>0</v>
      </c>
      <c r="I2130" s="61">
        <v>44748</v>
      </c>
      <c r="J2130" s="33" t="s">
        <v>45</v>
      </c>
      <c r="K2130" s="46">
        <v>0</v>
      </c>
      <c r="L2130">
        <v>5.3</v>
      </c>
      <c r="M2130" t="s">
        <v>48</v>
      </c>
      <c r="N2130" s="46">
        <v>0</v>
      </c>
      <c r="O2130" s="46">
        <v>0</v>
      </c>
      <c r="P2130" s="46">
        <v>0</v>
      </c>
      <c r="Q2130" t="s">
        <v>48</v>
      </c>
      <c r="R2130" t="s">
        <v>48</v>
      </c>
      <c r="S2130" t="s">
        <v>10368</v>
      </c>
      <c r="T2130" t="s">
        <v>48</v>
      </c>
      <c r="U2130" t="s">
        <v>10368</v>
      </c>
      <c r="V2130" s="47">
        <v>1</v>
      </c>
      <c r="W2130" t="s">
        <v>11317</v>
      </c>
      <c r="X2130" t="s">
        <v>48</v>
      </c>
      <c r="Y2130" t="s">
        <v>48</v>
      </c>
      <c r="Z2130" t="s">
        <v>48</v>
      </c>
      <c r="AA2130" t="s">
        <v>48</v>
      </c>
      <c r="AB2130" t="s">
        <v>48</v>
      </c>
      <c r="AC2130" t="s">
        <v>49</v>
      </c>
      <c r="AD2130" t="s">
        <v>93</v>
      </c>
      <c r="AE2130" t="s">
        <v>4532</v>
      </c>
      <c r="AF2130" t="s">
        <v>48</v>
      </c>
      <c r="AG2130" t="s">
        <v>48</v>
      </c>
      <c r="AH2130" t="s">
        <v>48</v>
      </c>
      <c r="AI2130" t="s">
        <v>48</v>
      </c>
      <c r="AJ2130" t="s">
        <v>48</v>
      </c>
      <c r="AK2130" t="s">
        <v>48</v>
      </c>
      <c r="AL2130" t="s">
        <v>48</v>
      </c>
      <c r="AM2130" t="s">
        <v>48</v>
      </c>
      <c r="AN2130" t="s">
        <v>48</v>
      </c>
      <c r="AO2130" t="s">
        <v>48</v>
      </c>
      <c r="AP2130" s="46">
        <v>0</v>
      </c>
      <c r="AQ2130" s="46">
        <v>0</v>
      </c>
      <c r="AR2130" s="46">
        <v>0</v>
      </c>
      <c r="AS2130" s="46">
        <v>0</v>
      </c>
      <c r="AT2130" s="46">
        <v>0</v>
      </c>
      <c r="AU2130" s="46">
        <v>0</v>
      </c>
      <c r="AV2130" s="46">
        <v>0</v>
      </c>
      <c r="AW2130" s="46">
        <v>0</v>
      </c>
      <c r="AX2130" s="46">
        <v>0</v>
      </c>
      <c r="AY2130" s="46">
        <v>0</v>
      </c>
      <c r="AZ2130" s="46">
        <v>0</v>
      </c>
      <c r="BA2130" s="46">
        <v>0</v>
      </c>
      <c r="BB2130" s="46">
        <v>0</v>
      </c>
      <c r="BC2130" s="46">
        <v>0</v>
      </c>
      <c r="BD2130" s="46">
        <v>0</v>
      </c>
      <c r="BE2130" s="46">
        <v>0</v>
      </c>
      <c r="BF2130" s="46">
        <v>0</v>
      </c>
      <c r="BG2130" s="46" t="s">
        <v>48</v>
      </c>
      <c r="BH2130" s="46">
        <v>0</v>
      </c>
      <c r="BI2130" s="46">
        <v>0</v>
      </c>
      <c r="BJ2130" s="46">
        <v>0</v>
      </c>
      <c r="BK2130" s="46">
        <v>0</v>
      </c>
      <c r="BL2130" s="46">
        <v>0</v>
      </c>
      <c r="BM2130" s="46">
        <v>0</v>
      </c>
      <c r="BN2130" s="46">
        <v>0</v>
      </c>
    </row>
    <row r="2131" spans="1:66" x14ac:dyDescent="0.35">
      <c r="A2131" t="s">
        <v>9698</v>
      </c>
      <c r="B2131" t="s">
        <v>48</v>
      </c>
      <c r="C2131" t="s">
        <v>718</v>
      </c>
      <c r="D2131" t="s">
        <v>11608</v>
      </c>
      <c r="E2131" s="40" t="s">
        <v>9699</v>
      </c>
      <c r="F2131" s="40" t="s">
        <v>5565</v>
      </c>
      <c r="G2131" t="s">
        <v>47</v>
      </c>
      <c r="H2131">
        <v>0</v>
      </c>
      <c r="I2131" s="61">
        <v>44748</v>
      </c>
      <c r="J2131" s="33" t="s">
        <v>45</v>
      </c>
      <c r="K2131" s="46">
        <v>0</v>
      </c>
      <c r="L2131">
        <v>1.5</v>
      </c>
      <c r="M2131" t="s">
        <v>48</v>
      </c>
      <c r="N2131" s="46">
        <v>0</v>
      </c>
      <c r="O2131" s="46">
        <v>0</v>
      </c>
      <c r="P2131" s="46">
        <v>0</v>
      </c>
      <c r="Q2131" t="s">
        <v>48</v>
      </c>
      <c r="R2131" t="s">
        <v>48</v>
      </c>
      <c r="S2131" t="s">
        <v>10369</v>
      </c>
      <c r="T2131" t="s">
        <v>48</v>
      </c>
      <c r="U2131" t="s">
        <v>10369</v>
      </c>
      <c r="V2131" s="47">
        <v>1</v>
      </c>
      <c r="W2131" t="s">
        <v>48</v>
      </c>
      <c r="X2131" t="s">
        <v>48</v>
      </c>
      <c r="Y2131" t="s">
        <v>48</v>
      </c>
      <c r="Z2131" t="s">
        <v>48</v>
      </c>
      <c r="AA2131" t="s">
        <v>48</v>
      </c>
      <c r="AB2131" t="s">
        <v>48</v>
      </c>
      <c r="AC2131" t="s">
        <v>49</v>
      </c>
      <c r="AD2131" t="s">
        <v>48</v>
      </c>
      <c r="AE2131" t="s">
        <v>48</v>
      </c>
      <c r="AF2131" t="s">
        <v>48</v>
      </c>
      <c r="AG2131" t="s">
        <v>48</v>
      </c>
      <c r="AH2131" t="s">
        <v>48</v>
      </c>
      <c r="AI2131" t="s">
        <v>48</v>
      </c>
      <c r="AJ2131" t="s">
        <v>48</v>
      </c>
      <c r="AK2131" t="s">
        <v>48</v>
      </c>
      <c r="AL2131" t="s">
        <v>48</v>
      </c>
      <c r="AM2131" t="s">
        <v>48</v>
      </c>
      <c r="AN2131" t="s">
        <v>48</v>
      </c>
      <c r="AO2131" t="s">
        <v>48</v>
      </c>
      <c r="AP2131" s="46">
        <v>0</v>
      </c>
      <c r="AQ2131" s="46">
        <v>0</v>
      </c>
      <c r="AR2131" s="46">
        <v>0</v>
      </c>
      <c r="AS2131" s="46">
        <v>0</v>
      </c>
      <c r="AT2131" s="46">
        <v>0</v>
      </c>
      <c r="AU2131" s="46">
        <v>0</v>
      </c>
      <c r="AV2131" s="46">
        <v>0</v>
      </c>
      <c r="AW2131" s="46">
        <v>0</v>
      </c>
      <c r="AX2131" s="46">
        <v>0</v>
      </c>
      <c r="AY2131" s="46">
        <v>0</v>
      </c>
      <c r="AZ2131" s="46">
        <v>0</v>
      </c>
      <c r="BA2131" s="46">
        <v>0</v>
      </c>
      <c r="BB2131" s="46">
        <v>0</v>
      </c>
      <c r="BC2131" s="46">
        <v>0</v>
      </c>
      <c r="BD2131" s="46">
        <v>0</v>
      </c>
      <c r="BE2131" s="46">
        <v>0</v>
      </c>
      <c r="BF2131" s="46">
        <v>0</v>
      </c>
      <c r="BG2131" s="46" t="s">
        <v>48</v>
      </c>
      <c r="BH2131" s="46">
        <v>0</v>
      </c>
      <c r="BI2131" s="46">
        <v>0</v>
      </c>
      <c r="BJ2131" s="46">
        <v>0</v>
      </c>
      <c r="BK2131" s="46">
        <v>0</v>
      </c>
      <c r="BL2131" s="46">
        <v>0</v>
      </c>
      <c r="BM2131" s="46">
        <v>0</v>
      </c>
      <c r="BN2131" s="46">
        <v>0</v>
      </c>
    </row>
    <row r="2132" spans="1:66" x14ac:dyDescent="0.35">
      <c r="A2132" t="s">
        <v>9700</v>
      </c>
      <c r="B2132" t="s">
        <v>48</v>
      </c>
      <c r="C2132" t="s">
        <v>12258</v>
      </c>
      <c r="D2132" t="s">
        <v>268</v>
      </c>
      <c r="E2132" t="s">
        <v>9701</v>
      </c>
      <c r="F2132" s="40" t="s">
        <v>5565</v>
      </c>
      <c r="G2132" t="s">
        <v>47</v>
      </c>
      <c r="H2132">
        <v>0</v>
      </c>
      <c r="I2132" s="61">
        <v>44748</v>
      </c>
      <c r="J2132" s="33" t="s">
        <v>45</v>
      </c>
      <c r="K2132" s="46">
        <v>0</v>
      </c>
      <c r="L2132">
        <v>5.5</v>
      </c>
      <c r="M2132" t="s">
        <v>48</v>
      </c>
      <c r="N2132" s="46">
        <v>0</v>
      </c>
      <c r="O2132" s="46">
        <v>0</v>
      </c>
      <c r="P2132" s="46">
        <v>0</v>
      </c>
      <c r="Q2132" t="s">
        <v>48</v>
      </c>
      <c r="R2132" t="s">
        <v>48</v>
      </c>
      <c r="S2132" t="s">
        <v>48</v>
      </c>
      <c r="T2132" t="s">
        <v>48</v>
      </c>
      <c r="U2132" t="s">
        <v>48</v>
      </c>
      <c r="V2132" s="47">
        <v>1</v>
      </c>
      <c r="W2132" t="s">
        <v>48</v>
      </c>
      <c r="X2132" t="s">
        <v>48</v>
      </c>
      <c r="Y2132" t="s">
        <v>48</v>
      </c>
      <c r="Z2132" t="s">
        <v>48</v>
      </c>
      <c r="AA2132" t="s">
        <v>48</v>
      </c>
      <c r="AB2132" t="s">
        <v>48</v>
      </c>
      <c r="AC2132" t="s">
        <v>49</v>
      </c>
      <c r="AD2132" t="s">
        <v>93</v>
      </c>
      <c r="AE2132" t="s">
        <v>4532</v>
      </c>
      <c r="AF2132" t="s">
        <v>48</v>
      </c>
      <c r="AG2132" t="s">
        <v>48</v>
      </c>
      <c r="AH2132" t="s">
        <v>48</v>
      </c>
      <c r="AI2132" t="s">
        <v>48</v>
      </c>
      <c r="AJ2132" t="s">
        <v>48</v>
      </c>
      <c r="AK2132" t="s">
        <v>48</v>
      </c>
      <c r="AL2132" t="s">
        <v>48</v>
      </c>
      <c r="AM2132" t="s">
        <v>48</v>
      </c>
      <c r="AN2132" t="s">
        <v>48</v>
      </c>
      <c r="AO2132" t="s">
        <v>48</v>
      </c>
      <c r="AP2132" s="46">
        <v>0</v>
      </c>
      <c r="AQ2132" s="46">
        <v>0</v>
      </c>
      <c r="AR2132" s="46">
        <v>0</v>
      </c>
      <c r="AS2132" s="46">
        <v>0</v>
      </c>
      <c r="AT2132" s="46">
        <v>0</v>
      </c>
      <c r="AU2132" s="46">
        <v>0</v>
      </c>
      <c r="AV2132" s="46">
        <v>0</v>
      </c>
      <c r="AW2132" s="46">
        <v>0</v>
      </c>
      <c r="AX2132" s="46">
        <v>0</v>
      </c>
      <c r="AY2132" s="46">
        <v>0</v>
      </c>
      <c r="AZ2132" s="46">
        <v>0</v>
      </c>
      <c r="BA2132" s="46">
        <v>0</v>
      </c>
      <c r="BB2132" s="46">
        <v>0</v>
      </c>
      <c r="BC2132" s="46">
        <v>0</v>
      </c>
      <c r="BD2132" s="46">
        <v>0</v>
      </c>
      <c r="BE2132" s="46">
        <v>0</v>
      </c>
      <c r="BF2132" s="46">
        <v>0</v>
      </c>
      <c r="BG2132" s="46" t="s">
        <v>48</v>
      </c>
      <c r="BH2132" s="46">
        <v>0</v>
      </c>
      <c r="BI2132" s="46">
        <v>0</v>
      </c>
      <c r="BJ2132" s="46">
        <v>0</v>
      </c>
      <c r="BK2132" s="46">
        <v>0</v>
      </c>
      <c r="BL2132" s="46">
        <v>0</v>
      </c>
      <c r="BM2132" s="46">
        <v>0</v>
      </c>
      <c r="BN2132" s="46">
        <v>0</v>
      </c>
    </row>
    <row r="2133" spans="1:66" x14ac:dyDescent="0.35">
      <c r="A2133" t="s">
        <v>9702</v>
      </c>
      <c r="B2133" t="s">
        <v>48</v>
      </c>
      <c r="C2133" t="s">
        <v>433</v>
      </c>
      <c r="D2133" t="s">
        <v>12045</v>
      </c>
      <c r="E2133" t="s">
        <v>9703</v>
      </c>
      <c r="F2133" s="40" t="s">
        <v>5565</v>
      </c>
      <c r="G2133" t="s">
        <v>47</v>
      </c>
      <c r="H2133">
        <v>0</v>
      </c>
      <c r="I2133" s="61">
        <v>44748</v>
      </c>
      <c r="J2133" s="33" t="s">
        <v>45</v>
      </c>
      <c r="K2133" s="46">
        <v>0</v>
      </c>
      <c r="L2133">
        <v>4.9000000000000004</v>
      </c>
      <c r="M2133" t="s">
        <v>48</v>
      </c>
      <c r="N2133" s="46">
        <v>0</v>
      </c>
      <c r="O2133" s="46">
        <v>0</v>
      </c>
      <c r="P2133" s="46">
        <v>0</v>
      </c>
      <c r="Q2133" t="s">
        <v>48</v>
      </c>
      <c r="R2133" t="s">
        <v>48</v>
      </c>
      <c r="S2133" t="s">
        <v>10370</v>
      </c>
      <c r="T2133" t="s">
        <v>48</v>
      </c>
      <c r="U2133" t="s">
        <v>10370</v>
      </c>
      <c r="V2133" s="47">
        <v>1</v>
      </c>
      <c r="W2133" t="s">
        <v>48</v>
      </c>
      <c r="X2133" t="s">
        <v>48</v>
      </c>
      <c r="Y2133" t="s">
        <v>48</v>
      </c>
      <c r="Z2133" t="s">
        <v>48</v>
      </c>
      <c r="AA2133" t="s">
        <v>48</v>
      </c>
      <c r="AB2133" t="s">
        <v>48</v>
      </c>
      <c r="AC2133" t="s">
        <v>49</v>
      </c>
      <c r="AD2133" t="s">
        <v>93</v>
      </c>
      <c r="AE2133" t="s">
        <v>4532</v>
      </c>
      <c r="AF2133" t="s">
        <v>48</v>
      </c>
      <c r="AG2133" t="s">
        <v>48</v>
      </c>
      <c r="AH2133" t="s">
        <v>48</v>
      </c>
      <c r="AI2133" t="s">
        <v>48</v>
      </c>
      <c r="AJ2133" t="s">
        <v>48</v>
      </c>
      <c r="AK2133" t="s">
        <v>48</v>
      </c>
      <c r="AL2133" t="s">
        <v>48</v>
      </c>
      <c r="AM2133" t="s">
        <v>48</v>
      </c>
      <c r="AN2133" t="s">
        <v>48</v>
      </c>
      <c r="AO2133" t="s">
        <v>48</v>
      </c>
      <c r="AP2133" s="46">
        <v>0</v>
      </c>
      <c r="AQ2133" s="46">
        <v>0</v>
      </c>
      <c r="AR2133" s="46">
        <v>0</v>
      </c>
      <c r="AS2133" s="46">
        <v>0</v>
      </c>
      <c r="AT2133" s="46">
        <v>0</v>
      </c>
      <c r="AU2133" s="46">
        <v>0</v>
      </c>
      <c r="AV2133" s="46">
        <v>0</v>
      </c>
      <c r="AW2133" s="46">
        <v>0</v>
      </c>
      <c r="AX2133" s="46">
        <v>0</v>
      </c>
      <c r="AY2133" s="46">
        <v>0</v>
      </c>
      <c r="AZ2133" s="46">
        <v>0</v>
      </c>
      <c r="BA2133" s="46">
        <v>0</v>
      </c>
      <c r="BB2133" s="46">
        <v>0</v>
      </c>
      <c r="BC2133" s="46">
        <v>0</v>
      </c>
      <c r="BD2133" s="46">
        <v>0</v>
      </c>
      <c r="BE2133" s="46">
        <v>0</v>
      </c>
      <c r="BF2133" s="46">
        <v>0</v>
      </c>
      <c r="BG2133" s="46" t="s">
        <v>48</v>
      </c>
      <c r="BH2133" s="46">
        <v>0</v>
      </c>
      <c r="BI2133" s="46">
        <v>0</v>
      </c>
      <c r="BJ2133" s="46">
        <v>0</v>
      </c>
      <c r="BK2133" s="46">
        <v>0</v>
      </c>
      <c r="BL2133" s="46">
        <v>0</v>
      </c>
      <c r="BM2133" s="46">
        <v>0</v>
      </c>
      <c r="BN2133" s="46">
        <v>0</v>
      </c>
    </row>
    <row r="2134" spans="1:66" x14ac:dyDescent="0.35">
      <c r="A2134" t="s">
        <v>9704</v>
      </c>
      <c r="B2134" t="s">
        <v>48</v>
      </c>
      <c r="C2134" t="s">
        <v>4755</v>
      </c>
      <c r="D2134" t="s">
        <v>5884</v>
      </c>
      <c r="E2134" t="s">
        <v>9705</v>
      </c>
      <c r="F2134" s="40" t="s">
        <v>5565</v>
      </c>
      <c r="G2134" t="s">
        <v>47</v>
      </c>
      <c r="H2134">
        <v>0</v>
      </c>
      <c r="I2134" s="61">
        <v>44748</v>
      </c>
      <c r="J2134" s="33" t="s">
        <v>45</v>
      </c>
      <c r="K2134" s="46">
        <v>0</v>
      </c>
      <c r="L2134">
        <v>11</v>
      </c>
      <c r="M2134" t="s">
        <v>48</v>
      </c>
      <c r="N2134" s="46">
        <v>0</v>
      </c>
      <c r="O2134" s="46">
        <v>0</v>
      </c>
      <c r="P2134" s="46">
        <v>0</v>
      </c>
      <c r="Q2134" t="s">
        <v>48</v>
      </c>
      <c r="R2134" t="s">
        <v>48</v>
      </c>
      <c r="S2134" t="s">
        <v>10371</v>
      </c>
      <c r="T2134" t="s">
        <v>48</v>
      </c>
      <c r="U2134" t="s">
        <v>10371</v>
      </c>
      <c r="V2134" s="47">
        <v>1</v>
      </c>
      <c r="W2134" t="s">
        <v>48</v>
      </c>
      <c r="X2134" t="s">
        <v>48</v>
      </c>
      <c r="Y2134" t="s">
        <v>48</v>
      </c>
      <c r="Z2134" t="s">
        <v>48</v>
      </c>
      <c r="AA2134" t="s">
        <v>48</v>
      </c>
      <c r="AB2134" t="s">
        <v>48</v>
      </c>
      <c r="AC2134" t="s">
        <v>49</v>
      </c>
      <c r="AD2134" t="s">
        <v>93</v>
      </c>
      <c r="AE2134" t="s">
        <v>4532</v>
      </c>
      <c r="AF2134" t="s">
        <v>48</v>
      </c>
      <c r="AG2134" t="s">
        <v>48</v>
      </c>
      <c r="AH2134" t="s">
        <v>48</v>
      </c>
      <c r="AI2134" t="s">
        <v>48</v>
      </c>
      <c r="AJ2134" t="s">
        <v>48</v>
      </c>
      <c r="AK2134" t="s">
        <v>48</v>
      </c>
      <c r="AL2134" t="s">
        <v>48</v>
      </c>
      <c r="AM2134" t="s">
        <v>48</v>
      </c>
      <c r="AN2134" t="s">
        <v>48</v>
      </c>
      <c r="AO2134" t="s">
        <v>48</v>
      </c>
      <c r="AP2134" s="46">
        <v>0</v>
      </c>
      <c r="AQ2134" s="46">
        <v>0</v>
      </c>
      <c r="AR2134" s="46">
        <v>0</v>
      </c>
      <c r="AS2134" s="46">
        <v>0</v>
      </c>
      <c r="AT2134" s="46">
        <v>0</v>
      </c>
      <c r="AU2134" s="46">
        <v>0</v>
      </c>
      <c r="AV2134" s="46">
        <v>0</v>
      </c>
      <c r="AW2134" s="46">
        <v>0</v>
      </c>
      <c r="AX2134" s="46">
        <v>0</v>
      </c>
      <c r="AY2134" s="46">
        <v>0</v>
      </c>
      <c r="AZ2134" s="46">
        <v>0</v>
      </c>
      <c r="BA2134" s="46">
        <v>0</v>
      </c>
      <c r="BB2134" s="46">
        <v>0</v>
      </c>
      <c r="BC2134" s="46">
        <v>0</v>
      </c>
      <c r="BD2134" s="46">
        <v>0</v>
      </c>
      <c r="BE2134" s="46">
        <v>0</v>
      </c>
      <c r="BF2134" s="46">
        <v>0</v>
      </c>
      <c r="BG2134" s="46" t="s">
        <v>48</v>
      </c>
      <c r="BH2134" s="46">
        <v>0</v>
      </c>
      <c r="BI2134" s="46">
        <v>0</v>
      </c>
      <c r="BJ2134" s="46">
        <v>0</v>
      </c>
      <c r="BK2134" s="46">
        <v>0</v>
      </c>
      <c r="BL2134" s="46">
        <v>0</v>
      </c>
      <c r="BM2134" s="46">
        <v>0</v>
      </c>
      <c r="BN2134" s="46">
        <v>0</v>
      </c>
    </row>
    <row r="2135" spans="1:66" x14ac:dyDescent="0.35">
      <c r="A2135" t="s">
        <v>9706</v>
      </c>
      <c r="B2135" t="s">
        <v>48</v>
      </c>
      <c r="C2135" t="s">
        <v>12256</v>
      </c>
      <c r="D2135" t="s">
        <v>221</v>
      </c>
      <c r="E2135" t="s">
        <v>9707</v>
      </c>
      <c r="F2135" s="40" t="s">
        <v>5565</v>
      </c>
      <c r="G2135" t="s">
        <v>47</v>
      </c>
      <c r="H2135">
        <v>0</v>
      </c>
      <c r="I2135" s="61">
        <v>44748</v>
      </c>
      <c r="J2135" s="33" t="s">
        <v>45</v>
      </c>
      <c r="K2135" s="46">
        <v>0</v>
      </c>
      <c r="L2135">
        <v>11.3</v>
      </c>
      <c r="M2135" t="s">
        <v>48</v>
      </c>
      <c r="N2135" s="46">
        <v>0</v>
      </c>
      <c r="O2135" s="46">
        <v>0</v>
      </c>
      <c r="P2135" s="46">
        <v>0</v>
      </c>
      <c r="Q2135" t="s">
        <v>48</v>
      </c>
      <c r="R2135" t="s">
        <v>48</v>
      </c>
      <c r="S2135" t="s">
        <v>48</v>
      </c>
      <c r="T2135" t="s">
        <v>48</v>
      </c>
      <c r="U2135" t="s">
        <v>48</v>
      </c>
      <c r="V2135" s="47">
        <v>1</v>
      </c>
      <c r="W2135" t="s">
        <v>48</v>
      </c>
      <c r="X2135" t="s">
        <v>48</v>
      </c>
      <c r="Y2135" t="s">
        <v>48</v>
      </c>
      <c r="Z2135" t="s">
        <v>48</v>
      </c>
      <c r="AA2135" t="s">
        <v>48</v>
      </c>
      <c r="AB2135" t="s">
        <v>48</v>
      </c>
      <c r="AC2135" t="s">
        <v>49</v>
      </c>
      <c r="AD2135" t="s">
        <v>93</v>
      </c>
      <c r="AE2135" t="s">
        <v>4532</v>
      </c>
      <c r="AF2135" t="s">
        <v>48</v>
      </c>
      <c r="AG2135" t="s">
        <v>48</v>
      </c>
      <c r="AH2135" t="s">
        <v>48</v>
      </c>
      <c r="AI2135" t="s">
        <v>48</v>
      </c>
      <c r="AJ2135" t="s">
        <v>48</v>
      </c>
      <c r="AK2135" t="s">
        <v>48</v>
      </c>
      <c r="AL2135" t="s">
        <v>48</v>
      </c>
      <c r="AM2135" t="s">
        <v>48</v>
      </c>
      <c r="AN2135" t="s">
        <v>48</v>
      </c>
      <c r="AO2135" t="s">
        <v>48</v>
      </c>
      <c r="AP2135" s="46">
        <v>0</v>
      </c>
      <c r="AQ2135" s="46">
        <v>0</v>
      </c>
      <c r="AR2135" s="46">
        <v>0</v>
      </c>
      <c r="AS2135" s="46">
        <v>0</v>
      </c>
      <c r="AT2135" s="46">
        <v>0</v>
      </c>
      <c r="AU2135" s="46">
        <v>0</v>
      </c>
      <c r="AV2135" s="46">
        <v>0</v>
      </c>
      <c r="AW2135" s="46">
        <v>0</v>
      </c>
      <c r="AX2135" s="46">
        <v>0</v>
      </c>
      <c r="AY2135" s="46">
        <v>0</v>
      </c>
      <c r="AZ2135" s="46">
        <v>0</v>
      </c>
      <c r="BA2135" s="46">
        <v>0</v>
      </c>
      <c r="BB2135" s="46">
        <v>0</v>
      </c>
      <c r="BC2135" s="46">
        <v>0</v>
      </c>
      <c r="BD2135" s="46">
        <v>0</v>
      </c>
      <c r="BE2135" s="46">
        <v>0</v>
      </c>
      <c r="BF2135" s="46">
        <v>0</v>
      </c>
      <c r="BG2135" s="46" t="s">
        <v>48</v>
      </c>
      <c r="BH2135" s="46">
        <v>0</v>
      </c>
      <c r="BI2135" s="46">
        <v>0</v>
      </c>
      <c r="BJ2135" s="46">
        <v>0</v>
      </c>
      <c r="BK2135" s="46">
        <v>0</v>
      </c>
      <c r="BL2135" s="46">
        <v>0</v>
      </c>
      <c r="BM2135" s="46">
        <v>0</v>
      </c>
      <c r="BN2135" s="46">
        <v>0</v>
      </c>
    </row>
    <row r="2136" spans="1:66" x14ac:dyDescent="0.35">
      <c r="A2136" t="s">
        <v>9708</v>
      </c>
      <c r="B2136" t="s">
        <v>48</v>
      </c>
      <c r="C2136" t="s">
        <v>12263</v>
      </c>
      <c r="D2136" t="s">
        <v>1692</v>
      </c>
      <c r="E2136" t="s">
        <v>9709</v>
      </c>
      <c r="F2136" t="s">
        <v>5565</v>
      </c>
      <c r="G2136" t="s">
        <v>47</v>
      </c>
      <c r="H2136">
        <v>0</v>
      </c>
      <c r="I2136" s="61">
        <v>44748</v>
      </c>
      <c r="J2136" s="33" t="s">
        <v>45</v>
      </c>
      <c r="K2136" s="46">
        <v>0</v>
      </c>
      <c r="L2136">
        <v>13</v>
      </c>
      <c r="M2136" t="s">
        <v>48</v>
      </c>
      <c r="N2136" s="46">
        <v>0</v>
      </c>
      <c r="O2136" s="46">
        <v>0</v>
      </c>
      <c r="P2136" s="46">
        <v>0</v>
      </c>
      <c r="Q2136" t="s">
        <v>48</v>
      </c>
      <c r="R2136" t="s">
        <v>48</v>
      </c>
      <c r="S2136" t="s">
        <v>10372</v>
      </c>
      <c r="T2136" t="s">
        <v>48</v>
      </c>
      <c r="U2136" t="s">
        <v>10372</v>
      </c>
      <c r="V2136" s="47">
        <v>1</v>
      </c>
      <c r="W2136" t="s">
        <v>48</v>
      </c>
      <c r="X2136" t="s">
        <v>48</v>
      </c>
      <c r="Y2136" t="s">
        <v>48</v>
      </c>
      <c r="Z2136" t="s">
        <v>48</v>
      </c>
      <c r="AA2136" t="s">
        <v>48</v>
      </c>
      <c r="AB2136" t="s">
        <v>48</v>
      </c>
      <c r="AC2136" t="s">
        <v>49</v>
      </c>
      <c r="AD2136" t="s">
        <v>93</v>
      </c>
      <c r="AE2136" t="s">
        <v>4532</v>
      </c>
      <c r="AF2136" t="s">
        <v>48</v>
      </c>
      <c r="AG2136" t="s">
        <v>48</v>
      </c>
      <c r="AH2136" t="s">
        <v>48</v>
      </c>
      <c r="AI2136" t="s">
        <v>48</v>
      </c>
      <c r="AJ2136" t="s">
        <v>48</v>
      </c>
      <c r="AK2136" t="s">
        <v>48</v>
      </c>
      <c r="AL2136" t="s">
        <v>48</v>
      </c>
      <c r="AM2136" t="s">
        <v>48</v>
      </c>
      <c r="AN2136" t="s">
        <v>48</v>
      </c>
      <c r="AO2136" t="s">
        <v>48</v>
      </c>
      <c r="AP2136" s="46">
        <v>0</v>
      </c>
      <c r="AQ2136" s="46">
        <v>0</v>
      </c>
      <c r="AR2136" s="46">
        <v>0</v>
      </c>
      <c r="AS2136" s="46">
        <v>0</v>
      </c>
      <c r="AT2136" s="46">
        <v>0</v>
      </c>
      <c r="AU2136" s="46">
        <v>0</v>
      </c>
      <c r="AV2136" s="46">
        <v>0</v>
      </c>
      <c r="AW2136" s="46">
        <v>0</v>
      </c>
      <c r="AX2136" s="46">
        <v>0</v>
      </c>
      <c r="AY2136" s="46">
        <v>0</v>
      </c>
      <c r="AZ2136" s="46">
        <v>0</v>
      </c>
      <c r="BA2136" s="46">
        <v>0</v>
      </c>
      <c r="BB2136" s="46">
        <v>0</v>
      </c>
      <c r="BC2136" s="46">
        <v>0</v>
      </c>
      <c r="BD2136" s="46">
        <v>0</v>
      </c>
      <c r="BE2136" s="46">
        <v>0</v>
      </c>
      <c r="BF2136" s="46">
        <v>0</v>
      </c>
      <c r="BG2136" s="46" t="s">
        <v>48</v>
      </c>
      <c r="BH2136" s="46">
        <v>0</v>
      </c>
      <c r="BI2136" s="46">
        <v>0</v>
      </c>
      <c r="BJ2136" s="46">
        <v>0</v>
      </c>
      <c r="BK2136" s="46">
        <v>0</v>
      </c>
      <c r="BL2136" s="46">
        <v>0</v>
      </c>
      <c r="BM2136" s="46">
        <v>0</v>
      </c>
      <c r="BN2136" s="46">
        <v>0</v>
      </c>
    </row>
    <row r="2137" spans="1:66" x14ac:dyDescent="0.35">
      <c r="A2137" t="s">
        <v>9712</v>
      </c>
      <c r="B2137" t="s">
        <v>48</v>
      </c>
      <c r="C2137" t="s">
        <v>2042</v>
      </c>
      <c r="D2137" t="s">
        <v>12262</v>
      </c>
      <c r="E2137" t="s">
        <v>9713</v>
      </c>
      <c r="F2137" s="40" t="s">
        <v>5565</v>
      </c>
      <c r="G2137" t="s">
        <v>47</v>
      </c>
      <c r="H2137">
        <v>0</v>
      </c>
      <c r="I2137" s="61">
        <v>44748</v>
      </c>
      <c r="J2137" s="33" t="s">
        <v>45</v>
      </c>
      <c r="K2137" s="46">
        <v>0</v>
      </c>
      <c r="L2137">
        <v>7.3</v>
      </c>
      <c r="M2137" t="s">
        <v>48</v>
      </c>
      <c r="N2137" s="46">
        <v>0</v>
      </c>
      <c r="O2137" s="46">
        <v>0</v>
      </c>
      <c r="P2137" s="46">
        <v>0</v>
      </c>
      <c r="Q2137" t="s">
        <v>48</v>
      </c>
      <c r="R2137" t="s">
        <v>48</v>
      </c>
      <c r="S2137" t="s">
        <v>48</v>
      </c>
      <c r="T2137" t="s">
        <v>48</v>
      </c>
      <c r="U2137" t="s">
        <v>48</v>
      </c>
      <c r="V2137" s="47">
        <v>1</v>
      </c>
      <c r="W2137" t="s">
        <v>48</v>
      </c>
      <c r="X2137" t="s">
        <v>48</v>
      </c>
      <c r="Y2137" t="s">
        <v>48</v>
      </c>
      <c r="Z2137" t="s">
        <v>48</v>
      </c>
      <c r="AA2137" t="s">
        <v>48</v>
      </c>
      <c r="AB2137" t="s">
        <v>48</v>
      </c>
      <c r="AC2137" t="s">
        <v>49</v>
      </c>
      <c r="AD2137" t="s">
        <v>93</v>
      </c>
      <c r="AE2137" t="s">
        <v>4532</v>
      </c>
      <c r="AF2137" t="s">
        <v>48</v>
      </c>
      <c r="AG2137" t="s">
        <v>48</v>
      </c>
      <c r="AH2137" t="s">
        <v>48</v>
      </c>
      <c r="AI2137" t="s">
        <v>48</v>
      </c>
      <c r="AJ2137" t="s">
        <v>48</v>
      </c>
      <c r="AK2137" t="s">
        <v>48</v>
      </c>
      <c r="AL2137" t="s">
        <v>48</v>
      </c>
      <c r="AM2137" t="s">
        <v>48</v>
      </c>
      <c r="AN2137" t="s">
        <v>48</v>
      </c>
      <c r="AO2137" t="s">
        <v>48</v>
      </c>
      <c r="AP2137" s="46">
        <v>0</v>
      </c>
      <c r="AQ2137" s="46">
        <v>0</v>
      </c>
      <c r="AR2137" s="46">
        <v>0</v>
      </c>
      <c r="AS2137" s="46">
        <v>0</v>
      </c>
      <c r="AT2137" s="46">
        <v>0</v>
      </c>
      <c r="AU2137" s="46">
        <v>0</v>
      </c>
      <c r="AV2137" s="46">
        <v>0</v>
      </c>
      <c r="AW2137" s="46">
        <v>0</v>
      </c>
      <c r="AX2137" s="46">
        <v>0</v>
      </c>
      <c r="AY2137" s="46">
        <v>0</v>
      </c>
      <c r="AZ2137" s="46">
        <v>0</v>
      </c>
      <c r="BA2137" s="46">
        <v>0</v>
      </c>
      <c r="BB2137" s="46">
        <v>0</v>
      </c>
      <c r="BC2137" s="46">
        <v>0</v>
      </c>
      <c r="BD2137" s="46">
        <v>0</v>
      </c>
      <c r="BE2137" s="46">
        <v>0</v>
      </c>
      <c r="BF2137" s="46">
        <v>0</v>
      </c>
      <c r="BG2137" s="46" t="s">
        <v>48</v>
      </c>
      <c r="BH2137" s="46">
        <v>0</v>
      </c>
      <c r="BI2137" s="46">
        <v>0</v>
      </c>
      <c r="BJ2137" s="46">
        <v>0</v>
      </c>
      <c r="BK2137" s="46">
        <v>0</v>
      </c>
      <c r="BL2137" s="46">
        <v>0</v>
      </c>
      <c r="BM2137" s="46">
        <v>0</v>
      </c>
      <c r="BN2137" s="46">
        <v>0</v>
      </c>
    </row>
    <row r="2138" spans="1:66" x14ac:dyDescent="0.35">
      <c r="A2138" t="s">
        <v>9716</v>
      </c>
      <c r="B2138" t="s">
        <v>48</v>
      </c>
      <c r="C2138" t="s">
        <v>12175</v>
      </c>
      <c r="D2138" t="s">
        <v>11738</v>
      </c>
      <c r="E2138" t="s">
        <v>9717</v>
      </c>
      <c r="F2138" s="40" t="s">
        <v>5565</v>
      </c>
      <c r="G2138" t="s">
        <v>47</v>
      </c>
      <c r="H2138">
        <v>0</v>
      </c>
      <c r="I2138" s="61">
        <v>44748</v>
      </c>
      <c r="J2138" s="33" t="s">
        <v>45</v>
      </c>
      <c r="K2138" s="46">
        <v>0</v>
      </c>
      <c r="L2138">
        <v>3</v>
      </c>
      <c r="M2138" t="s">
        <v>48</v>
      </c>
      <c r="N2138" s="46">
        <v>0</v>
      </c>
      <c r="O2138" s="46">
        <v>0</v>
      </c>
      <c r="P2138" s="46">
        <v>0</v>
      </c>
      <c r="Q2138" t="s">
        <v>48</v>
      </c>
      <c r="R2138" t="s">
        <v>48</v>
      </c>
      <c r="S2138" t="s">
        <v>10374</v>
      </c>
      <c r="T2138" t="s">
        <v>48</v>
      </c>
      <c r="U2138" t="s">
        <v>10374</v>
      </c>
      <c r="V2138" s="47">
        <v>1</v>
      </c>
      <c r="W2138" t="s">
        <v>48</v>
      </c>
      <c r="X2138" t="s">
        <v>48</v>
      </c>
      <c r="Y2138" t="s">
        <v>48</v>
      </c>
      <c r="Z2138" t="s">
        <v>48</v>
      </c>
      <c r="AA2138" t="s">
        <v>48</v>
      </c>
      <c r="AB2138" t="s">
        <v>48</v>
      </c>
      <c r="AC2138" t="s">
        <v>63</v>
      </c>
      <c r="AD2138" t="s">
        <v>93</v>
      </c>
      <c r="AE2138" t="s">
        <v>4532</v>
      </c>
      <c r="AF2138" t="s">
        <v>48</v>
      </c>
      <c r="AG2138" t="s">
        <v>48</v>
      </c>
      <c r="AH2138" t="s">
        <v>48</v>
      </c>
      <c r="AI2138" t="s">
        <v>48</v>
      </c>
      <c r="AJ2138" t="s">
        <v>48</v>
      </c>
      <c r="AK2138" t="s">
        <v>48</v>
      </c>
      <c r="AL2138" t="s">
        <v>48</v>
      </c>
      <c r="AM2138" t="s">
        <v>48</v>
      </c>
      <c r="AN2138" t="s">
        <v>48</v>
      </c>
      <c r="AO2138" t="s">
        <v>48</v>
      </c>
      <c r="AP2138" s="46">
        <v>0</v>
      </c>
      <c r="AQ2138" s="46">
        <v>0</v>
      </c>
      <c r="AR2138" s="46">
        <v>0</v>
      </c>
      <c r="AS2138" s="46">
        <v>0</v>
      </c>
      <c r="AT2138" s="46">
        <v>0</v>
      </c>
      <c r="AU2138" s="46">
        <v>0</v>
      </c>
      <c r="AV2138" s="46">
        <v>0</v>
      </c>
      <c r="AW2138" s="46">
        <v>0</v>
      </c>
      <c r="AX2138" s="46">
        <v>0</v>
      </c>
      <c r="AY2138" s="46">
        <v>0</v>
      </c>
      <c r="AZ2138" s="46">
        <v>0</v>
      </c>
      <c r="BA2138" s="46">
        <v>0</v>
      </c>
      <c r="BB2138" s="46">
        <v>0</v>
      </c>
      <c r="BC2138" s="46">
        <v>0</v>
      </c>
      <c r="BD2138" s="46">
        <v>0</v>
      </c>
      <c r="BE2138" s="46">
        <v>0</v>
      </c>
      <c r="BF2138" s="46">
        <v>0</v>
      </c>
      <c r="BG2138" s="46" t="s">
        <v>48</v>
      </c>
      <c r="BH2138" s="46">
        <v>0</v>
      </c>
      <c r="BI2138" s="46">
        <v>0</v>
      </c>
      <c r="BJ2138" s="46">
        <v>0</v>
      </c>
      <c r="BK2138" s="46">
        <v>0</v>
      </c>
      <c r="BL2138" s="46">
        <v>0</v>
      </c>
      <c r="BM2138" s="46">
        <v>0</v>
      </c>
      <c r="BN2138" s="46">
        <v>0</v>
      </c>
    </row>
    <row r="2139" spans="1:66" x14ac:dyDescent="0.35">
      <c r="A2139" t="s">
        <v>9718</v>
      </c>
      <c r="B2139" t="s">
        <v>48</v>
      </c>
      <c r="C2139" t="s">
        <v>12260</v>
      </c>
      <c r="D2139" t="s">
        <v>416</v>
      </c>
      <c r="E2139" t="s">
        <v>9719</v>
      </c>
      <c r="F2139" s="40" t="s">
        <v>5565</v>
      </c>
      <c r="G2139" t="s">
        <v>47</v>
      </c>
      <c r="H2139">
        <v>0</v>
      </c>
      <c r="I2139" s="61">
        <v>44748</v>
      </c>
      <c r="J2139" s="33" t="s">
        <v>45</v>
      </c>
      <c r="K2139" s="46">
        <v>0</v>
      </c>
      <c r="L2139">
        <v>1.7</v>
      </c>
      <c r="M2139" t="s">
        <v>48</v>
      </c>
      <c r="N2139" s="46">
        <v>0</v>
      </c>
      <c r="O2139" s="46">
        <v>0</v>
      </c>
      <c r="P2139" s="46">
        <v>0</v>
      </c>
      <c r="Q2139" t="s">
        <v>48</v>
      </c>
      <c r="R2139" t="s">
        <v>48</v>
      </c>
      <c r="S2139" t="s">
        <v>48</v>
      </c>
      <c r="T2139" t="s">
        <v>48</v>
      </c>
      <c r="U2139" t="s">
        <v>48</v>
      </c>
      <c r="V2139" s="47">
        <v>1</v>
      </c>
      <c r="W2139" t="s">
        <v>48</v>
      </c>
      <c r="X2139" t="s">
        <v>48</v>
      </c>
      <c r="Y2139" t="s">
        <v>48</v>
      </c>
      <c r="Z2139" t="s">
        <v>48</v>
      </c>
      <c r="AA2139" t="s">
        <v>48</v>
      </c>
      <c r="AB2139" t="s">
        <v>48</v>
      </c>
      <c r="AC2139" t="s">
        <v>63</v>
      </c>
      <c r="AD2139" t="s">
        <v>48</v>
      </c>
      <c r="AE2139" t="s">
        <v>48</v>
      </c>
      <c r="AF2139" t="s">
        <v>48</v>
      </c>
      <c r="AG2139" t="s">
        <v>48</v>
      </c>
      <c r="AH2139" t="s">
        <v>48</v>
      </c>
      <c r="AI2139" t="s">
        <v>48</v>
      </c>
      <c r="AJ2139" t="s">
        <v>48</v>
      </c>
      <c r="AK2139" t="s">
        <v>48</v>
      </c>
      <c r="AL2139" t="s">
        <v>48</v>
      </c>
      <c r="AM2139" t="s">
        <v>48</v>
      </c>
      <c r="AN2139" t="s">
        <v>48</v>
      </c>
      <c r="AO2139" t="s">
        <v>48</v>
      </c>
      <c r="AP2139" s="46">
        <v>0</v>
      </c>
      <c r="AQ2139" s="46">
        <v>0</v>
      </c>
      <c r="AR2139" s="46">
        <v>0</v>
      </c>
      <c r="AS2139" s="46">
        <v>0</v>
      </c>
      <c r="AT2139" s="46">
        <v>0</v>
      </c>
      <c r="AU2139" s="46">
        <v>0</v>
      </c>
      <c r="AV2139" s="46">
        <v>0</v>
      </c>
      <c r="AW2139" s="46">
        <v>0</v>
      </c>
      <c r="AX2139" s="46">
        <v>0</v>
      </c>
      <c r="AY2139" s="46">
        <v>0</v>
      </c>
      <c r="AZ2139" s="46">
        <v>0</v>
      </c>
      <c r="BA2139" s="46">
        <v>0</v>
      </c>
      <c r="BB2139" s="46">
        <v>0</v>
      </c>
      <c r="BC2139" s="46">
        <v>0</v>
      </c>
      <c r="BD2139" s="46">
        <v>0</v>
      </c>
      <c r="BE2139" s="46">
        <v>0</v>
      </c>
      <c r="BF2139" s="46">
        <v>0</v>
      </c>
      <c r="BG2139" s="46" t="s">
        <v>48</v>
      </c>
      <c r="BH2139" s="46">
        <v>0</v>
      </c>
      <c r="BI2139" s="46">
        <v>0</v>
      </c>
      <c r="BJ2139" s="46">
        <v>0</v>
      </c>
      <c r="BK2139" s="46">
        <v>0</v>
      </c>
      <c r="BL2139" s="46">
        <v>0</v>
      </c>
      <c r="BM2139" s="46">
        <v>0</v>
      </c>
      <c r="BN2139" s="46">
        <v>0</v>
      </c>
    </row>
    <row r="2140" spans="1:66" x14ac:dyDescent="0.35">
      <c r="A2140" t="s">
        <v>9720</v>
      </c>
      <c r="B2140" t="s">
        <v>48</v>
      </c>
      <c r="C2140" t="s">
        <v>12261</v>
      </c>
      <c r="D2140" t="s">
        <v>11674</v>
      </c>
      <c r="E2140" t="s">
        <v>9721</v>
      </c>
      <c r="F2140" s="40" t="s">
        <v>5565</v>
      </c>
      <c r="G2140" t="s">
        <v>47</v>
      </c>
      <c r="H2140">
        <v>0</v>
      </c>
      <c r="I2140" s="61">
        <v>44748</v>
      </c>
      <c r="J2140" s="33" t="s">
        <v>45</v>
      </c>
      <c r="K2140" s="46">
        <v>0</v>
      </c>
      <c r="L2140">
        <v>6.3</v>
      </c>
      <c r="M2140" t="s">
        <v>48</v>
      </c>
      <c r="N2140" s="46">
        <v>0</v>
      </c>
      <c r="O2140" s="46">
        <v>0</v>
      </c>
      <c r="P2140" s="46">
        <v>0</v>
      </c>
      <c r="Q2140" t="s">
        <v>48</v>
      </c>
      <c r="R2140" t="s">
        <v>48</v>
      </c>
      <c r="S2140" t="s">
        <v>10375</v>
      </c>
      <c r="T2140" t="s">
        <v>48</v>
      </c>
      <c r="U2140" t="s">
        <v>10375</v>
      </c>
      <c r="V2140" s="47">
        <v>1</v>
      </c>
      <c r="W2140" t="s">
        <v>48</v>
      </c>
      <c r="X2140" t="s">
        <v>48</v>
      </c>
      <c r="Y2140" t="s">
        <v>48</v>
      </c>
      <c r="Z2140" t="s">
        <v>48</v>
      </c>
      <c r="AA2140" t="s">
        <v>48</v>
      </c>
      <c r="AB2140" t="s">
        <v>48</v>
      </c>
      <c r="AC2140" t="s">
        <v>49</v>
      </c>
      <c r="AD2140" t="s">
        <v>93</v>
      </c>
      <c r="AE2140" t="s">
        <v>4532</v>
      </c>
      <c r="AF2140" t="s">
        <v>48</v>
      </c>
      <c r="AG2140" t="s">
        <v>48</v>
      </c>
      <c r="AH2140" t="s">
        <v>48</v>
      </c>
      <c r="AI2140" t="s">
        <v>48</v>
      </c>
      <c r="AJ2140" t="s">
        <v>48</v>
      </c>
      <c r="AK2140" t="s">
        <v>48</v>
      </c>
      <c r="AL2140" t="s">
        <v>48</v>
      </c>
      <c r="AM2140" t="s">
        <v>48</v>
      </c>
      <c r="AN2140" t="s">
        <v>48</v>
      </c>
      <c r="AO2140" t="s">
        <v>48</v>
      </c>
      <c r="AP2140" s="46">
        <v>0</v>
      </c>
      <c r="AQ2140" s="46">
        <v>0</v>
      </c>
      <c r="AR2140" s="46">
        <v>0</v>
      </c>
      <c r="AS2140" s="46">
        <v>0</v>
      </c>
      <c r="AT2140" s="46">
        <v>0</v>
      </c>
      <c r="AU2140" s="46">
        <v>0</v>
      </c>
      <c r="AV2140" s="46">
        <v>0</v>
      </c>
      <c r="AW2140" s="46">
        <v>0</v>
      </c>
      <c r="AX2140" s="46">
        <v>0</v>
      </c>
      <c r="AY2140" s="46">
        <v>0</v>
      </c>
      <c r="AZ2140" s="46">
        <v>0</v>
      </c>
      <c r="BA2140" s="46">
        <v>0</v>
      </c>
      <c r="BB2140" s="46">
        <v>0</v>
      </c>
      <c r="BC2140" s="46">
        <v>0</v>
      </c>
      <c r="BD2140" s="46">
        <v>0</v>
      </c>
      <c r="BE2140" s="46">
        <v>0</v>
      </c>
      <c r="BF2140" s="46">
        <v>0</v>
      </c>
      <c r="BG2140" s="46" t="s">
        <v>48</v>
      </c>
      <c r="BH2140" s="46">
        <v>0</v>
      </c>
      <c r="BI2140" s="46">
        <v>0</v>
      </c>
      <c r="BJ2140" s="46">
        <v>0</v>
      </c>
      <c r="BK2140" s="46">
        <v>0</v>
      </c>
      <c r="BL2140" s="46">
        <v>0</v>
      </c>
      <c r="BM2140" s="46">
        <v>0</v>
      </c>
      <c r="BN2140" s="46">
        <v>0</v>
      </c>
    </row>
    <row r="2141" spans="1:66" x14ac:dyDescent="0.35">
      <c r="A2141" t="s">
        <v>9724</v>
      </c>
      <c r="B2141" t="s">
        <v>48</v>
      </c>
      <c r="C2141" t="s">
        <v>2329</v>
      </c>
      <c r="D2141" t="s">
        <v>339</v>
      </c>
      <c r="E2141" t="s">
        <v>9725</v>
      </c>
      <c r="F2141" t="s">
        <v>5570</v>
      </c>
      <c r="G2141" t="s">
        <v>47</v>
      </c>
      <c r="H2141">
        <v>0</v>
      </c>
      <c r="I2141" s="61">
        <v>44749</v>
      </c>
      <c r="J2141" s="33" t="s">
        <v>45</v>
      </c>
      <c r="K2141" s="46">
        <v>0</v>
      </c>
      <c r="L2141">
        <v>8.1999999999999993</v>
      </c>
      <c r="M2141" t="s">
        <v>48</v>
      </c>
      <c r="N2141" s="46">
        <v>0</v>
      </c>
      <c r="O2141" s="46">
        <v>0</v>
      </c>
      <c r="P2141" s="46">
        <v>0</v>
      </c>
      <c r="Q2141" t="s">
        <v>48</v>
      </c>
      <c r="R2141" t="s">
        <v>48</v>
      </c>
      <c r="S2141" t="s">
        <v>48</v>
      </c>
      <c r="T2141" t="s">
        <v>48</v>
      </c>
      <c r="U2141" t="s">
        <v>48</v>
      </c>
      <c r="V2141" s="47">
        <v>0</v>
      </c>
      <c r="W2141" t="s">
        <v>48</v>
      </c>
      <c r="X2141" t="s">
        <v>48</v>
      </c>
      <c r="Y2141" t="s">
        <v>48</v>
      </c>
      <c r="Z2141" t="s">
        <v>48</v>
      </c>
      <c r="AA2141" t="s">
        <v>48</v>
      </c>
      <c r="AB2141" t="s">
        <v>48</v>
      </c>
      <c r="AC2141" t="s">
        <v>49</v>
      </c>
      <c r="AD2141" t="s">
        <v>48</v>
      </c>
      <c r="AE2141" t="s">
        <v>48</v>
      </c>
      <c r="AF2141" t="s">
        <v>48</v>
      </c>
      <c r="AG2141" t="s">
        <v>48</v>
      </c>
      <c r="AH2141" t="s">
        <v>48</v>
      </c>
      <c r="AI2141" t="s">
        <v>48</v>
      </c>
      <c r="AJ2141" t="s">
        <v>48</v>
      </c>
      <c r="AK2141" t="s">
        <v>48</v>
      </c>
      <c r="AL2141" t="s">
        <v>48</v>
      </c>
      <c r="AM2141" t="s">
        <v>48</v>
      </c>
      <c r="AN2141" t="s">
        <v>48</v>
      </c>
      <c r="AO2141" t="s">
        <v>48</v>
      </c>
      <c r="AP2141" s="46">
        <v>0</v>
      </c>
      <c r="AQ2141" s="46">
        <v>0</v>
      </c>
      <c r="AR2141" s="46">
        <v>0</v>
      </c>
      <c r="AS2141" s="46">
        <v>0</v>
      </c>
      <c r="AT2141" s="46">
        <v>0</v>
      </c>
      <c r="AU2141" s="46">
        <v>0</v>
      </c>
      <c r="AV2141" s="46">
        <v>0</v>
      </c>
      <c r="AW2141" s="46">
        <v>0</v>
      </c>
      <c r="AX2141" s="46">
        <v>0</v>
      </c>
      <c r="AY2141" s="46">
        <v>0</v>
      </c>
      <c r="AZ2141" s="46">
        <v>0</v>
      </c>
      <c r="BA2141" s="46">
        <v>0</v>
      </c>
      <c r="BB2141" s="46">
        <v>0</v>
      </c>
      <c r="BC2141" s="46">
        <v>0</v>
      </c>
      <c r="BD2141" s="46">
        <v>0</v>
      </c>
      <c r="BE2141" s="46">
        <v>0</v>
      </c>
      <c r="BF2141" s="46">
        <v>0</v>
      </c>
      <c r="BG2141" s="46" t="s">
        <v>48</v>
      </c>
      <c r="BH2141" s="46">
        <v>0</v>
      </c>
      <c r="BI2141" s="46">
        <v>0</v>
      </c>
      <c r="BJ2141" s="46">
        <v>0</v>
      </c>
      <c r="BK2141" s="46">
        <v>0</v>
      </c>
      <c r="BL2141" s="46">
        <v>0</v>
      </c>
      <c r="BM2141" s="46">
        <v>0</v>
      </c>
      <c r="BN2141" s="46">
        <v>0</v>
      </c>
    </row>
    <row r="2142" spans="1:66" x14ac:dyDescent="0.35">
      <c r="A2142" t="s">
        <v>5569</v>
      </c>
      <c r="B2142" t="s">
        <v>48</v>
      </c>
      <c r="C2142" t="s">
        <v>5573</v>
      </c>
      <c r="D2142" t="s">
        <v>262</v>
      </c>
      <c r="E2142" t="s">
        <v>5571</v>
      </c>
      <c r="F2142" t="s">
        <v>5570</v>
      </c>
      <c r="G2142" t="s">
        <v>47</v>
      </c>
      <c r="H2142">
        <v>0</v>
      </c>
      <c r="I2142" s="60" t="s">
        <v>125</v>
      </c>
      <c r="J2142" s="33" t="s">
        <v>45</v>
      </c>
      <c r="K2142" s="46">
        <v>0</v>
      </c>
      <c r="L2142">
        <v>30.6</v>
      </c>
      <c r="M2142" t="s">
        <v>48</v>
      </c>
      <c r="N2142" s="46">
        <v>0</v>
      </c>
      <c r="O2142" s="46">
        <v>0</v>
      </c>
      <c r="P2142" s="46">
        <v>0</v>
      </c>
      <c r="Q2142" t="s">
        <v>48</v>
      </c>
      <c r="R2142" t="s">
        <v>48</v>
      </c>
      <c r="S2142" t="s">
        <v>10376</v>
      </c>
      <c r="T2142" t="s">
        <v>48</v>
      </c>
      <c r="U2142" t="s">
        <v>10376</v>
      </c>
      <c r="V2142" s="47">
        <v>1</v>
      </c>
      <c r="W2142" t="s">
        <v>48</v>
      </c>
      <c r="X2142" t="s">
        <v>48</v>
      </c>
      <c r="Y2142" t="s">
        <v>48</v>
      </c>
      <c r="Z2142">
        <v>0</v>
      </c>
      <c r="AA2142" t="s">
        <v>5572</v>
      </c>
      <c r="AB2142" t="s">
        <v>48</v>
      </c>
      <c r="AC2142" t="s">
        <v>49</v>
      </c>
      <c r="AD2142" t="s">
        <v>93</v>
      </c>
      <c r="AE2142" t="s">
        <v>4532</v>
      </c>
      <c r="AF2142" t="s">
        <v>48</v>
      </c>
      <c r="AG2142" t="s">
        <v>48</v>
      </c>
      <c r="AH2142" t="s">
        <v>48</v>
      </c>
      <c r="AI2142" t="s">
        <v>48</v>
      </c>
      <c r="AJ2142" t="s">
        <v>48</v>
      </c>
      <c r="AK2142" t="s">
        <v>48</v>
      </c>
      <c r="AL2142" t="s">
        <v>48</v>
      </c>
      <c r="AM2142" t="s">
        <v>48</v>
      </c>
      <c r="AN2142" t="s">
        <v>48</v>
      </c>
      <c r="AO2142" t="s">
        <v>48</v>
      </c>
      <c r="AP2142" s="46">
        <v>0</v>
      </c>
      <c r="AQ2142" s="46">
        <v>0</v>
      </c>
      <c r="AR2142" s="46">
        <v>0</v>
      </c>
      <c r="AS2142" s="46">
        <v>0</v>
      </c>
      <c r="AT2142" s="46">
        <v>0</v>
      </c>
      <c r="AU2142" s="46">
        <v>0</v>
      </c>
      <c r="AV2142" s="46">
        <v>0</v>
      </c>
      <c r="AW2142" s="46">
        <v>0</v>
      </c>
      <c r="AX2142" s="46">
        <v>0</v>
      </c>
      <c r="AY2142" s="46">
        <v>0</v>
      </c>
      <c r="AZ2142" s="46">
        <v>0</v>
      </c>
      <c r="BA2142" s="46">
        <v>0</v>
      </c>
      <c r="BB2142" s="46">
        <v>0</v>
      </c>
      <c r="BC2142" s="46">
        <v>0</v>
      </c>
      <c r="BD2142" s="46">
        <v>0</v>
      </c>
      <c r="BE2142" s="46">
        <v>0</v>
      </c>
      <c r="BF2142" s="46">
        <v>0</v>
      </c>
      <c r="BG2142" s="46" t="s">
        <v>48</v>
      </c>
      <c r="BH2142" s="46">
        <v>0</v>
      </c>
      <c r="BI2142" s="46">
        <v>0</v>
      </c>
      <c r="BJ2142" s="46">
        <v>0</v>
      </c>
      <c r="BK2142" s="46">
        <v>0</v>
      </c>
      <c r="BL2142" s="46">
        <v>0</v>
      </c>
      <c r="BM2142" s="46">
        <v>0</v>
      </c>
      <c r="BN2142" s="46">
        <v>0</v>
      </c>
    </row>
    <row r="2143" spans="1:66" x14ac:dyDescent="0.35">
      <c r="A2143" t="s">
        <v>9726</v>
      </c>
      <c r="B2143" t="s">
        <v>48</v>
      </c>
      <c r="C2143" t="s">
        <v>12264</v>
      </c>
      <c r="D2143" t="s">
        <v>817</v>
      </c>
      <c r="E2143" t="s">
        <v>9727</v>
      </c>
      <c r="F2143" t="s">
        <v>5580</v>
      </c>
      <c r="G2143" t="s">
        <v>47</v>
      </c>
      <c r="H2143">
        <v>0</v>
      </c>
      <c r="I2143" s="61">
        <v>44749</v>
      </c>
      <c r="J2143" s="33" t="s">
        <v>45</v>
      </c>
      <c r="K2143" s="46">
        <v>0</v>
      </c>
      <c r="L2143">
        <v>3.2</v>
      </c>
      <c r="M2143" t="s">
        <v>48</v>
      </c>
      <c r="N2143" s="46">
        <v>0</v>
      </c>
      <c r="O2143" s="46">
        <v>0</v>
      </c>
      <c r="P2143" s="46">
        <v>0</v>
      </c>
      <c r="Q2143" t="s">
        <v>48</v>
      </c>
      <c r="R2143" t="s">
        <v>48</v>
      </c>
      <c r="S2143" t="s">
        <v>48</v>
      </c>
      <c r="T2143" t="s">
        <v>48</v>
      </c>
      <c r="U2143" t="s">
        <v>48</v>
      </c>
      <c r="V2143" s="47">
        <v>1</v>
      </c>
      <c r="W2143" t="s">
        <v>48</v>
      </c>
      <c r="X2143" t="s">
        <v>48</v>
      </c>
      <c r="Y2143" t="s">
        <v>48</v>
      </c>
      <c r="Z2143" t="s">
        <v>48</v>
      </c>
      <c r="AA2143" t="s">
        <v>48</v>
      </c>
      <c r="AB2143" t="s">
        <v>48</v>
      </c>
      <c r="AC2143" t="s">
        <v>49</v>
      </c>
      <c r="AD2143" t="s">
        <v>48</v>
      </c>
      <c r="AE2143" t="s">
        <v>48</v>
      </c>
      <c r="AF2143" t="s">
        <v>48</v>
      </c>
      <c r="AG2143" t="s">
        <v>48</v>
      </c>
      <c r="AH2143" t="s">
        <v>48</v>
      </c>
      <c r="AI2143" t="s">
        <v>48</v>
      </c>
      <c r="AJ2143" t="s">
        <v>48</v>
      </c>
      <c r="AK2143" t="s">
        <v>48</v>
      </c>
      <c r="AL2143" t="s">
        <v>48</v>
      </c>
      <c r="AM2143" t="s">
        <v>48</v>
      </c>
      <c r="AN2143" t="s">
        <v>48</v>
      </c>
      <c r="AO2143" t="s">
        <v>48</v>
      </c>
      <c r="AP2143" s="46">
        <v>0</v>
      </c>
      <c r="AQ2143" s="46">
        <v>0</v>
      </c>
      <c r="AR2143" s="46">
        <v>0</v>
      </c>
      <c r="AS2143" s="46">
        <v>0</v>
      </c>
      <c r="AT2143" s="46">
        <v>0</v>
      </c>
      <c r="AU2143" s="46">
        <v>0</v>
      </c>
      <c r="AV2143" s="46">
        <v>0</v>
      </c>
      <c r="AW2143" s="46">
        <v>0</v>
      </c>
      <c r="AX2143" s="46">
        <v>0</v>
      </c>
      <c r="AY2143" s="46">
        <v>0</v>
      </c>
      <c r="AZ2143" s="46">
        <v>0</v>
      </c>
      <c r="BA2143" s="46">
        <v>0</v>
      </c>
      <c r="BB2143" s="46">
        <v>0</v>
      </c>
      <c r="BC2143" s="46">
        <v>0</v>
      </c>
      <c r="BD2143" s="46">
        <v>0</v>
      </c>
      <c r="BE2143" s="46">
        <v>0</v>
      </c>
      <c r="BF2143" s="46">
        <v>0</v>
      </c>
      <c r="BG2143" s="46" t="s">
        <v>48</v>
      </c>
      <c r="BH2143" s="46">
        <v>0</v>
      </c>
      <c r="BI2143" s="46">
        <v>0</v>
      </c>
      <c r="BJ2143" s="46">
        <v>0</v>
      </c>
      <c r="BK2143" s="46">
        <v>0</v>
      </c>
      <c r="BL2143" s="46">
        <v>0</v>
      </c>
      <c r="BM2143" s="46">
        <v>0</v>
      </c>
      <c r="BN2143" s="46">
        <v>0</v>
      </c>
    </row>
    <row r="2144" spans="1:66" x14ac:dyDescent="0.35">
      <c r="A2144" t="s">
        <v>7243</v>
      </c>
      <c r="B2144" t="s">
        <v>48</v>
      </c>
      <c r="C2144" t="s">
        <v>522</v>
      </c>
      <c r="D2144" t="s">
        <v>603</v>
      </c>
      <c r="E2144" t="s">
        <v>9728</v>
      </c>
      <c r="F2144" t="s">
        <v>5580</v>
      </c>
      <c r="G2144" t="s">
        <v>47</v>
      </c>
      <c r="H2144">
        <v>0</v>
      </c>
      <c r="I2144" s="61">
        <v>44749</v>
      </c>
      <c r="J2144" s="33" t="s">
        <v>45</v>
      </c>
      <c r="K2144" s="46">
        <v>0</v>
      </c>
      <c r="L2144">
        <v>27</v>
      </c>
      <c r="M2144" t="s">
        <v>48</v>
      </c>
      <c r="N2144" s="46">
        <v>0</v>
      </c>
      <c r="O2144" s="46">
        <v>0</v>
      </c>
      <c r="P2144" s="46">
        <v>0</v>
      </c>
      <c r="Q2144" t="s">
        <v>48</v>
      </c>
      <c r="R2144" t="s">
        <v>48</v>
      </c>
      <c r="S2144" t="s">
        <v>48</v>
      </c>
      <c r="T2144" t="s">
        <v>48</v>
      </c>
      <c r="U2144" t="s">
        <v>48</v>
      </c>
      <c r="V2144" s="47">
        <v>1</v>
      </c>
      <c r="W2144" t="s">
        <v>11264</v>
      </c>
      <c r="X2144" t="s">
        <v>48</v>
      </c>
      <c r="Y2144" t="s">
        <v>48</v>
      </c>
      <c r="Z2144" t="s">
        <v>48</v>
      </c>
      <c r="AA2144" t="s">
        <v>48</v>
      </c>
      <c r="AB2144" t="s">
        <v>48</v>
      </c>
      <c r="AC2144" t="s">
        <v>49</v>
      </c>
      <c r="AD2144" t="s">
        <v>93</v>
      </c>
      <c r="AE2144" t="s">
        <v>2471</v>
      </c>
      <c r="AF2144" t="s">
        <v>48</v>
      </c>
      <c r="AG2144" t="s">
        <v>48</v>
      </c>
      <c r="AH2144" t="s">
        <v>48</v>
      </c>
      <c r="AI2144" t="s">
        <v>48</v>
      </c>
      <c r="AJ2144" t="s">
        <v>48</v>
      </c>
      <c r="AK2144" t="s">
        <v>48</v>
      </c>
      <c r="AL2144" t="s">
        <v>48</v>
      </c>
      <c r="AM2144" t="s">
        <v>48</v>
      </c>
      <c r="AN2144" t="s">
        <v>48</v>
      </c>
      <c r="AO2144" t="s">
        <v>48</v>
      </c>
      <c r="AP2144" s="46">
        <v>0</v>
      </c>
      <c r="AQ2144" s="46">
        <v>0</v>
      </c>
      <c r="AR2144" s="46">
        <v>0</v>
      </c>
      <c r="AS2144" s="46">
        <v>0</v>
      </c>
      <c r="AT2144" s="46">
        <v>0</v>
      </c>
      <c r="AU2144" s="46">
        <v>0</v>
      </c>
      <c r="AV2144" s="46">
        <v>0</v>
      </c>
      <c r="AW2144" s="46">
        <v>0</v>
      </c>
      <c r="AX2144" s="46">
        <v>0</v>
      </c>
      <c r="AY2144" s="46">
        <v>0</v>
      </c>
      <c r="AZ2144" s="46">
        <v>0</v>
      </c>
      <c r="BA2144" s="46">
        <v>0</v>
      </c>
      <c r="BB2144" s="46">
        <v>0</v>
      </c>
      <c r="BC2144" s="46">
        <v>0</v>
      </c>
      <c r="BD2144" s="46">
        <v>0</v>
      </c>
      <c r="BE2144" s="46">
        <v>0</v>
      </c>
      <c r="BF2144" s="46">
        <v>0</v>
      </c>
      <c r="BG2144" s="46" t="s">
        <v>48</v>
      </c>
      <c r="BH2144" s="46">
        <v>0</v>
      </c>
      <c r="BI2144" s="46">
        <v>0</v>
      </c>
      <c r="BJ2144" s="46">
        <v>0</v>
      </c>
      <c r="BK2144" s="46">
        <v>0</v>
      </c>
      <c r="BL2144" s="46">
        <v>0</v>
      </c>
      <c r="BM2144" s="46">
        <v>0</v>
      </c>
      <c r="BN2144" s="46">
        <v>0</v>
      </c>
    </row>
    <row r="2145" spans="1:66" x14ac:dyDescent="0.35">
      <c r="A2145" t="s">
        <v>9733</v>
      </c>
      <c r="B2145" t="s">
        <v>48</v>
      </c>
      <c r="C2145" t="s">
        <v>2987</v>
      </c>
      <c r="D2145" t="s">
        <v>12266</v>
      </c>
      <c r="E2145" t="s">
        <v>9734</v>
      </c>
      <c r="F2145" t="s">
        <v>5584</v>
      </c>
      <c r="G2145" t="s">
        <v>47</v>
      </c>
      <c r="H2145">
        <v>0</v>
      </c>
      <c r="I2145" s="61">
        <v>44749</v>
      </c>
      <c r="J2145" s="33" t="s">
        <v>45</v>
      </c>
      <c r="K2145" s="46">
        <v>0</v>
      </c>
      <c r="L2145">
        <v>31.6</v>
      </c>
      <c r="M2145" t="s">
        <v>48</v>
      </c>
      <c r="N2145" s="46">
        <v>0</v>
      </c>
      <c r="O2145" s="46">
        <v>0</v>
      </c>
      <c r="P2145" s="46">
        <v>0</v>
      </c>
      <c r="Q2145" t="s">
        <v>48</v>
      </c>
      <c r="R2145" t="s">
        <v>48</v>
      </c>
      <c r="S2145" t="s">
        <v>10378</v>
      </c>
      <c r="T2145" t="s">
        <v>48</v>
      </c>
      <c r="U2145" t="s">
        <v>10378</v>
      </c>
      <c r="V2145" s="47">
        <v>0</v>
      </c>
      <c r="W2145" t="s">
        <v>48</v>
      </c>
      <c r="X2145" t="s">
        <v>48</v>
      </c>
      <c r="Y2145" t="s">
        <v>48</v>
      </c>
      <c r="Z2145" t="s">
        <v>48</v>
      </c>
      <c r="AA2145" t="s">
        <v>48</v>
      </c>
      <c r="AB2145" t="s">
        <v>48</v>
      </c>
      <c r="AC2145" t="s">
        <v>63</v>
      </c>
      <c r="AD2145" t="s">
        <v>93</v>
      </c>
      <c r="AE2145" t="s">
        <v>4532</v>
      </c>
      <c r="AF2145" t="s">
        <v>48</v>
      </c>
      <c r="AG2145" t="s">
        <v>48</v>
      </c>
      <c r="AH2145" t="s">
        <v>48</v>
      </c>
      <c r="AI2145" t="s">
        <v>48</v>
      </c>
      <c r="AJ2145" t="s">
        <v>48</v>
      </c>
      <c r="AK2145" t="s">
        <v>48</v>
      </c>
      <c r="AL2145" t="s">
        <v>48</v>
      </c>
      <c r="AM2145" t="s">
        <v>48</v>
      </c>
      <c r="AN2145" t="s">
        <v>48</v>
      </c>
      <c r="AO2145" t="s">
        <v>48</v>
      </c>
      <c r="AP2145" s="46">
        <v>0</v>
      </c>
      <c r="AQ2145" s="46">
        <v>0</v>
      </c>
      <c r="AR2145" s="46">
        <v>0</v>
      </c>
      <c r="AS2145" s="46">
        <v>0</v>
      </c>
      <c r="AT2145" s="46">
        <v>0</v>
      </c>
      <c r="AU2145" s="46">
        <v>0</v>
      </c>
      <c r="AV2145" s="46">
        <v>0</v>
      </c>
      <c r="AW2145" s="46">
        <v>0</v>
      </c>
      <c r="AX2145" s="46">
        <v>0</v>
      </c>
      <c r="AY2145" s="46">
        <v>0</v>
      </c>
      <c r="AZ2145" s="46">
        <v>0</v>
      </c>
      <c r="BA2145" s="46">
        <v>0</v>
      </c>
      <c r="BB2145" s="46">
        <v>0</v>
      </c>
      <c r="BC2145" s="46">
        <v>0</v>
      </c>
      <c r="BD2145" s="46">
        <v>0</v>
      </c>
      <c r="BE2145" s="46">
        <v>0</v>
      </c>
      <c r="BF2145" s="46">
        <v>0</v>
      </c>
      <c r="BG2145" s="46" t="s">
        <v>48</v>
      </c>
      <c r="BH2145" s="46">
        <v>0</v>
      </c>
      <c r="BI2145" s="46">
        <v>0</v>
      </c>
      <c r="BJ2145" s="46">
        <v>0</v>
      </c>
      <c r="BK2145" s="46">
        <v>0</v>
      </c>
      <c r="BL2145" s="46">
        <v>0</v>
      </c>
      <c r="BM2145" s="46">
        <v>0</v>
      </c>
      <c r="BN2145" s="46">
        <v>0</v>
      </c>
    </row>
    <row r="2146" spans="1:66" x14ac:dyDescent="0.35">
      <c r="A2146" t="s">
        <v>11384</v>
      </c>
      <c r="B2146" t="s">
        <v>48</v>
      </c>
      <c r="C2146" t="s">
        <v>3932</v>
      </c>
      <c r="D2146" t="s">
        <v>12277</v>
      </c>
      <c r="E2146" t="s">
        <v>11385</v>
      </c>
      <c r="F2146" t="s">
        <v>5619</v>
      </c>
      <c r="G2146" t="s">
        <v>47</v>
      </c>
      <c r="H2146">
        <v>0</v>
      </c>
      <c r="I2146" s="61" t="s">
        <v>11160</v>
      </c>
      <c r="J2146" s="33" t="s">
        <v>45</v>
      </c>
      <c r="K2146" s="46">
        <v>0</v>
      </c>
      <c r="L2146">
        <v>31.6</v>
      </c>
      <c r="M2146" t="s">
        <v>48</v>
      </c>
      <c r="N2146" s="46">
        <v>0</v>
      </c>
      <c r="O2146" s="46">
        <v>0</v>
      </c>
      <c r="P2146" s="46">
        <v>0</v>
      </c>
      <c r="Q2146" t="s">
        <v>48</v>
      </c>
      <c r="R2146" t="s">
        <v>48</v>
      </c>
      <c r="S2146" t="s">
        <v>48</v>
      </c>
      <c r="T2146" t="s">
        <v>48</v>
      </c>
      <c r="U2146" t="s">
        <v>48</v>
      </c>
      <c r="V2146" s="47">
        <v>1</v>
      </c>
      <c r="W2146" t="s">
        <v>11264</v>
      </c>
      <c r="X2146" t="s">
        <v>48</v>
      </c>
      <c r="Y2146" t="s">
        <v>48</v>
      </c>
      <c r="Z2146" t="s">
        <v>48</v>
      </c>
      <c r="AA2146" t="s">
        <v>48</v>
      </c>
      <c r="AB2146" t="s">
        <v>48</v>
      </c>
      <c r="AC2146" t="s">
        <v>63</v>
      </c>
      <c r="AD2146" t="s">
        <v>951</v>
      </c>
      <c r="AE2146" t="s">
        <v>11051</v>
      </c>
      <c r="AF2146" t="s">
        <v>11063</v>
      </c>
      <c r="AG2146" t="s">
        <v>48</v>
      </c>
      <c r="AH2146" t="s">
        <v>48</v>
      </c>
      <c r="AI2146" t="s">
        <v>48</v>
      </c>
      <c r="AJ2146" t="s">
        <v>48</v>
      </c>
      <c r="AK2146" t="s">
        <v>48</v>
      </c>
      <c r="AL2146" t="s">
        <v>48</v>
      </c>
      <c r="AM2146" t="s">
        <v>48</v>
      </c>
      <c r="AN2146" t="s">
        <v>48</v>
      </c>
      <c r="AO2146" t="s">
        <v>48</v>
      </c>
      <c r="AP2146" s="46">
        <v>0</v>
      </c>
      <c r="AQ2146" s="46">
        <v>0</v>
      </c>
      <c r="AR2146" s="46">
        <v>0</v>
      </c>
      <c r="AS2146" s="46">
        <v>0</v>
      </c>
      <c r="AT2146" s="46">
        <v>0</v>
      </c>
      <c r="AU2146" s="46">
        <v>0</v>
      </c>
      <c r="AV2146" s="46">
        <v>0</v>
      </c>
      <c r="AW2146" s="46">
        <v>0</v>
      </c>
      <c r="AX2146" s="46">
        <v>0</v>
      </c>
      <c r="AY2146" s="46">
        <v>0</v>
      </c>
      <c r="AZ2146" s="46">
        <v>0</v>
      </c>
      <c r="BA2146" s="46">
        <v>0</v>
      </c>
      <c r="BB2146" s="46">
        <v>0</v>
      </c>
      <c r="BC2146" s="46">
        <v>0</v>
      </c>
      <c r="BD2146" s="46">
        <v>0</v>
      </c>
      <c r="BE2146" s="46">
        <v>0</v>
      </c>
      <c r="BF2146" s="46">
        <v>0</v>
      </c>
      <c r="BG2146" s="46" t="s">
        <v>48</v>
      </c>
      <c r="BH2146" s="46">
        <v>0</v>
      </c>
      <c r="BI2146" s="46">
        <v>0</v>
      </c>
      <c r="BJ2146" s="46">
        <v>0</v>
      </c>
      <c r="BK2146" s="46">
        <v>0</v>
      </c>
      <c r="BL2146" s="46">
        <v>0</v>
      </c>
      <c r="BM2146" s="46">
        <v>0</v>
      </c>
      <c r="BN2146" s="46">
        <v>0</v>
      </c>
    </row>
    <row r="2147" spans="1:66" x14ac:dyDescent="0.35">
      <c r="A2147" t="s">
        <v>7934</v>
      </c>
      <c r="B2147" s="44" t="s">
        <v>48</v>
      </c>
      <c r="C2147" t="s">
        <v>114</v>
      </c>
      <c r="D2147" t="s">
        <v>266</v>
      </c>
      <c r="E2147" t="s">
        <v>7933</v>
      </c>
      <c r="F2147" t="s">
        <v>5619</v>
      </c>
      <c r="G2147" t="s">
        <v>74</v>
      </c>
      <c r="H2147">
        <v>0</v>
      </c>
      <c r="I2147" s="61">
        <v>44722</v>
      </c>
      <c r="J2147" s="33" t="s">
        <v>45</v>
      </c>
      <c r="K2147" s="46">
        <v>0</v>
      </c>
      <c r="L2147">
        <v>2.9</v>
      </c>
      <c r="M2147" t="s">
        <v>48</v>
      </c>
      <c r="N2147" s="46">
        <v>0</v>
      </c>
      <c r="O2147" s="46">
        <v>0</v>
      </c>
      <c r="P2147" s="46">
        <v>0</v>
      </c>
      <c r="Q2147" t="s">
        <v>48</v>
      </c>
      <c r="R2147" t="s">
        <v>48</v>
      </c>
      <c r="S2147" t="s">
        <v>48</v>
      </c>
      <c r="T2147" t="s">
        <v>48</v>
      </c>
      <c r="U2147" t="s">
        <v>48</v>
      </c>
      <c r="V2147" s="47">
        <v>1</v>
      </c>
      <c r="W2147" t="s">
        <v>48</v>
      </c>
      <c r="X2147" t="s">
        <v>48</v>
      </c>
      <c r="Y2147" t="s">
        <v>48</v>
      </c>
      <c r="Z2147" t="s">
        <v>48</v>
      </c>
      <c r="AA2147" t="s">
        <v>48</v>
      </c>
      <c r="AB2147" t="s">
        <v>48</v>
      </c>
      <c r="AC2147" t="s">
        <v>49</v>
      </c>
      <c r="AD2147" t="s">
        <v>93</v>
      </c>
      <c r="AE2147" t="s">
        <v>4532</v>
      </c>
      <c r="AF2147" t="s">
        <v>48</v>
      </c>
      <c r="AG2147" t="s">
        <v>48</v>
      </c>
      <c r="AH2147" t="s">
        <v>48</v>
      </c>
      <c r="AI2147" t="s">
        <v>48</v>
      </c>
      <c r="AJ2147" t="s">
        <v>48</v>
      </c>
      <c r="AK2147" t="s">
        <v>48</v>
      </c>
      <c r="AL2147" t="s">
        <v>48</v>
      </c>
      <c r="AM2147" t="s">
        <v>48</v>
      </c>
      <c r="AN2147" t="s">
        <v>48</v>
      </c>
      <c r="AO2147" t="s">
        <v>48</v>
      </c>
      <c r="AP2147" s="46">
        <v>0</v>
      </c>
      <c r="AQ2147" s="46">
        <v>0</v>
      </c>
      <c r="AR2147" s="46">
        <v>0</v>
      </c>
      <c r="AS2147" s="46">
        <v>0</v>
      </c>
      <c r="AT2147" s="46">
        <v>0</v>
      </c>
      <c r="AU2147" s="46">
        <v>0</v>
      </c>
      <c r="AV2147" s="46">
        <v>0</v>
      </c>
      <c r="AW2147" s="46">
        <v>0</v>
      </c>
      <c r="AX2147" s="46">
        <v>0</v>
      </c>
      <c r="AY2147" s="46">
        <v>0</v>
      </c>
      <c r="AZ2147" s="46">
        <v>0</v>
      </c>
      <c r="BA2147" s="46">
        <v>0</v>
      </c>
      <c r="BB2147" s="46">
        <v>0</v>
      </c>
      <c r="BC2147" s="46">
        <v>0</v>
      </c>
      <c r="BD2147" s="46">
        <v>0</v>
      </c>
      <c r="BE2147" s="46">
        <v>0</v>
      </c>
      <c r="BF2147" s="46">
        <v>0</v>
      </c>
      <c r="BG2147" s="46" t="s">
        <v>48</v>
      </c>
      <c r="BH2147" s="46">
        <v>0</v>
      </c>
      <c r="BI2147" s="46">
        <v>0</v>
      </c>
      <c r="BJ2147" s="46">
        <v>0</v>
      </c>
      <c r="BK2147" s="46">
        <v>0</v>
      </c>
      <c r="BL2147" s="46">
        <v>0</v>
      </c>
      <c r="BM2147" s="46">
        <v>0</v>
      </c>
      <c r="BN2147" s="46">
        <v>0</v>
      </c>
    </row>
    <row r="2148" spans="1:66" x14ac:dyDescent="0.35">
      <c r="A2148" t="s">
        <v>7932</v>
      </c>
      <c r="B2148" s="44" t="s">
        <v>48</v>
      </c>
      <c r="C2148" t="s">
        <v>1019</v>
      </c>
      <c r="D2148" t="s">
        <v>885</v>
      </c>
      <c r="E2148" t="s">
        <v>7931</v>
      </c>
      <c r="F2148" t="s">
        <v>5619</v>
      </c>
      <c r="G2148" t="s">
        <v>74</v>
      </c>
      <c r="H2148">
        <v>0</v>
      </c>
      <c r="I2148" s="61">
        <v>44722</v>
      </c>
      <c r="J2148" s="33" t="s">
        <v>45</v>
      </c>
      <c r="K2148" s="46">
        <v>0</v>
      </c>
      <c r="L2148">
        <v>8.6</v>
      </c>
      <c r="M2148" t="s">
        <v>48</v>
      </c>
      <c r="N2148" s="46">
        <v>0</v>
      </c>
      <c r="O2148" s="46">
        <v>0</v>
      </c>
      <c r="P2148" s="46">
        <v>0</v>
      </c>
      <c r="Q2148" t="s">
        <v>48</v>
      </c>
      <c r="R2148" t="s">
        <v>48</v>
      </c>
      <c r="S2148" t="s">
        <v>48</v>
      </c>
      <c r="T2148" t="s">
        <v>48</v>
      </c>
      <c r="U2148" t="s">
        <v>48</v>
      </c>
      <c r="V2148" s="47">
        <v>1</v>
      </c>
      <c r="W2148" t="s">
        <v>48</v>
      </c>
      <c r="X2148" t="s">
        <v>48</v>
      </c>
      <c r="Y2148" t="s">
        <v>48</v>
      </c>
      <c r="Z2148" t="s">
        <v>48</v>
      </c>
      <c r="AA2148" t="s">
        <v>48</v>
      </c>
      <c r="AB2148" t="s">
        <v>48</v>
      </c>
      <c r="AC2148" t="s">
        <v>49</v>
      </c>
      <c r="AD2148" t="s">
        <v>93</v>
      </c>
      <c r="AE2148" t="s">
        <v>4532</v>
      </c>
      <c r="AF2148" t="s">
        <v>48</v>
      </c>
      <c r="AG2148" t="s">
        <v>48</v>
      </c>
      <c r="AH2148" t="s">
        <v>48</v>
      </c>
      <c r="AI2148" t="s">
        <v>48</v>
      </c>
      <c r="AJ2148" t="s">
        <v>48</v>
      </c>
      <c r="AK2148" t="s">
        <v>48</v>
      </c>
      <c r="AL2148" t="s">
        <v>48</v>
      </c>
      <c r="AM2148" t="s">
        <v>48</v>
      </c>
      <c r="AN2148" t="s">
        <v>48</v>
      </c>
      <c r="AO2148" t="s">
        <v>48</v>
      </c>
      <c r="AP2148" s="46">
        <v>0</v>
      </c>
      <c r="AQ2148" s="46">
        <v>0</v>
      </c>
      <c r="AR2148" s="46">
        <v>0</v>
      </c>
      <c r="AS2148" s="46">
        <v>0</v>
      </c>
      <c r="AT2148" s="46">
        <v>0</v>
      </c>
      <c r="AU2148" s="46">
        <v>0</v>
      </c>
      <c r="AV2148" s="46">
        <v>0</v>
      </c>
      <c r="AW2148" s="46">
        <v>0</v>
      </c>
      <c r="AX2148" s="46">
        <v>0</v>
      </c>
      <c r="AY2148" s="46">
        <v>0</v>
      </c>
      <c r="AZ2148" s="46">
        <v>0</v>
      </c>
      <c r="BA2148" s="46">
        <v>0</v>
      </c>
      <c r="BB2148" s="46">
        <v>0</v>
      </c>
      <c r="BC2148" s="46">
        <v>0</v>
      </c>
      <c r="BD2148" s="46">
        <v>0</v>
      </c>
      <c r="BE2148" s="46">
        <v>0</v>
      </c>
      <c r="BF2148" s="46">
        <v>0</v>
      </c>
      <c r="BG2148" s="46" t="s">
        <v>48</v>
      </c>
      <c r="BH2148" s="46">
        <v>0</v>
      </c>
      <c r="BI2148" s="46">
        <v>0</v>
      </c>
      <c r="BJ2148" s="46">
        <v>0</v>
      </c>
      <c r="BK2148" s="46">
        <v>0</v>
      </c>
      <c r="BL2148" s="46">
        <v>0</v>
      </c>
      <c r="BM2148" s="46">
        <v>0</v>
      </c>
      <c r="BN2148" s="46">
        <v>0</v>
      </c>
    </row>
    <row r="2149" spans="1:66" ht="15" x14ac:dyDescent="0.4">
      <c r="A2149" t="s">
        <v>7904</v>
      </c>
      <c r="B2149" s="44" t="s">
        <v>48</v>
      </c>
      <c r="C2149" t="s">
        <v>12280</v>
      </c>
      <c r="D2149" t="s">
        <v>335</v>
      </c>
      <c r="E2149" t="s">
        <v>7903</v>
      </c>
      <c r="F2149" t="s">
        <v>5628</v>
      </c>
      <c r="G2149" t="s">
        <v>74</v>
      </c>
      <c r="H2149">
        <v>0</v>
      </c>
      <c r="I2149" s="61" t="s">
        <v>11160</v>
      </c>
      <c r="J2149" s="33" t="s">
        <v>45</v>
      </c>
      <c r="K2149" s="46">
        <v>0</v>
      </c>
      <c r="L2149">
        <v>29.5</v>
      </c>
      <c r="M2149" t="s">
        <v>48</v>
      </c>
      <c r="N2149" s="46">
        <v>0</v>
      </c>
      <c r="O2149" s="46">
        <v>0</v>
      </c>
      <c r="P2149" s="46">
        <v>0</v>
      </c>
      <c r="Q2149" t="s">
        <v>48</v>
      </c>
      <c r="R2149" t="s">
        <v>48</v>
      </c>
      <c r="S2149" s="55" t="s">
        <v>11387</v>
      </c>
      <c r="T2149" t="s">
        <v>48</v>
      </c>
      <c r="U2149" t="s">
        <v>48</v>
      </c>
      <c r="V2149" s="47">
        <v>1</v>
      </c>
      <c r="W2149" t="s">
        <v>48</v>
      </c>
      <c r="X2149" t="s">
        <v>48</v>
      </c>
      <c r="Y2149" t="s">
        <v>48</v>
      </c>
      <c r="Z2149" t="s">
        <v>48</v>
      </c>
      <c r="AA2149" t="s">
        <v>48</v>
      </c>
      <c r="AB2149" t="s">
        <v>48</v>
      </c>
      <c r="AC2149" t="s">
        <v>49</v>
      </c>
      <c r="AD2149" t="s">
        <v>93</v>
      </c>
      <c r="AE2149" t="s">
        <v>4532</v>
      </c>
      <c r="AF2149" t="s">
        <v>48</v>
      </c>
      <c r="AG2149" t="s">
        <v>48</v>
      </c>
      <c r="AH2149" t="s">
        <v>48</v>
      </c>
      <c r="AI2149" t="s">
        <v>48</v>
      </c>
      <c r="AJ2149" t="s">
        <v>48</v>
      </c>
      <c r="AK2149" t="s">
        <v>48</v>
      </c>
      <c r="AL2149" t="s">
        <v>48</v>
      </c>
      <c r="AM2149" t="s">
        <v>48</v>
      </c>
      <c r="AN2149" t="s">
        <v>48</v>
      </c>
      <c r="AO2149" t="s">
        <v>48</v>
      </c>
      <c r="AP2149" s="46">
        <v>0</v>
      </c>
      <c r="AQ2149" s="46">
        <v>0</v>
      </c>
      <c r="AR2149" s="46">
        <v>0</v>
      </c>
      <c r="AS2149" s="46">
        <v>0</v>
      </c>
      <c r="AT2149" s="46">
        <v>0</v>
      </c>
      <c r="AU2149" s="46">
        <v>0</v>
      </c>
      <c r="AV2149" s="46">
        <v>0</v>
      </c>
      <c r="AW2149" s="46">
        <v>0</v>
      </c>
      <c r="AX2149" s="46">
        <v>0</v>
      </c>
      <c r="AY2149" s="46">
        <v>0</v>
      </c>
      <c r="AZ2149" s="46">
        <v>0</v>
      </c>
      <c r="BA2149" s="46">
        <v>0</v>
      </c>
      <c r="BB2149" s="46">
        <v>0</v>
      </c>
      <c r="BC2149" s="46">
        <v>0</v>
      </c>
      <c r="BD2149" s="46">
        <v>0</v>
      </c>
      <c r="BE2149" s="46">
        <v>0</v>
      </c>
      <c r="BF2149" s="46">
        <v>0</v>
      </c>
      <c r="BG2149" s="46" t="s">
        <v>48</v>
      </c>
      <c r="BH2149" s="46">
        <v>0</v>
      </c>
      <c r="BI2149" s="46">
        <v>0</v>
      </c>
      <c r="BJ2149" s="46">
        <v>0</v>
      </c>
      <c r="BK2149" s="46">
        <v>0</v>
      </c>
      <c r="BL2149" s="46">
        <v>0</v>
      </c>
      <c r="BM2149" s="46">
        <v>0</v>
      </c>
      <c r="BN2149" s="46">
        <v>0</v>
      </c>
    </row>
    <row r="2150" spans="1:66" x14ac:dyDescent="0.35">
      <c r="A2150" t="s">
        <v>662</v>
      </c>
      <c r="B2150" t="s">
        <v>48</v>
      </c>
      <c r="C2150" t="s">
        <v>12279</v>
      </c>
      <c r="D2150" t="s">
        <v>663</v>
      </c>
      <c r="E2150" t="s">
        <v>7930</v>
      </c>
      <c r="F2150" t="s">
        <v>5628</v>
      </c>
      <c r="G2150" t="s">
        <v>47</v>
      </c>
      <c r="H2150">
        <v>0</v>
      </c>
      <c r="I2150" s="61">
        <v>44722</v>
      </c>
      <c r="J2150" s="33" t="s">
        <v>45</v>
      </c>
      <c r="K2150" s="46">
        <v>0</v>
      </c>
      <c r="L2150">
        <v>5.2</v>
      </c>
      <c r="M2150" t="s">
        <v>48</v>
      </c>
      <c r="N2150" s="46">
        <v>0</v>
      </c>
      <c r="O2150" s="46">
        <v>0</v>
      </c>
      <c r="P2150" s="46">
        <v>0</v>
      </c>
      <c r="Q2150" t="s">
        <v>48</v>
      </c>
      <c r="R2150" t="s">
        <v>48</v>
      </c>
      <c r="S2150" t="s">
        <v>48</v>
      </c>
      <c r="T2150" t="s">
        <v>48</v>
      </c>
      <c r="U2150" t="s">
        <v>48</v>
      </c>
      <c r="V2150" s="47">
        <v>1</v>
      </c>
      <c r="W2150" t="s">
        <v>48</v>
      </c>
      <c r="X2150" t="s">
        <v>48</v>
      </c>
      <c r="Y2150" t="s">
        <v>48</v>
      </c>
      <c r="Z2150" t="s">
        <v>48</v>
      </c>
      <c r="AA2150" t="s">
        <v>48</v>
      </c>
      <c r="AB2150" t="s">
        <v>48</v>
      </c>
      <c r="AC2150" t="s">
        <v>63</v>
      </c>
      <c r="AD2150" t="s">
        <v>93</v>
      </c>
      <c r="AE2150" t="s">
        <v>4532</v>
      </c>
      <c r="AF2150" t="s">
        <v>48</v>
      </c>
      <c r="AG2150" t="s">
        <v>48</v>
      </c>
      <c r="AH2150" t="s">
        <v>48</v>
      </c>
      <c r="AI2150" t="s">
        <v>48</v>
      </c>
      <c r="AJ2150" t="s">
        <v>48</v>
      </c>
      <c r="AK2150" t="s">
        <v>48</v>
      </c>
      <c r="AL2150" t="s">
        <v>48</v>
      </c>
      <c r="AM2150" t="s">
        <v>48</v>
      </c>
      <c r="AN2150" t="s">
        <v>48</v>
      </c>
      <c r="AO2150" t="s">
        <v>48</v>
      </c>
      <c r="AP2150" s="46">
        <v>0</v>
      </c>
      <c r="AQ2150" s="46">
        <v>0</v>
      </c>
      <c r="AR2150" s="46">
        <v>0</v>
      </c>
      <c r="AS2150" s="46">
        <v>0</v>
      </c>
      <c r="AT2150" s="46">
        <v>0</v>
      </c>
      <c r="AU2150" s="46">
        <v>0</v>
      </c>
      <c r="AV2150" s="46">
        <v>0</v>
      </c>
      <c r="AW2150" s="46">
        <v>0</v>
      </c>
      <c r="AX2150" s="46">
        <v>0</v>
      </c>
      <c r="AY2150" s="46">
        <v>0</v>
      </c>
      <c r="AZ2150" s="46">
        <v>0</v>
      </c>
      <c r="BA2150" s="46">
        <v>0</v>
      </c>
      <c r="BB2150" s="46">
        <v>0</v>
      </c>
      <c r="BC2150" s="46">
        <v>0</v>
      </c>
      <c r="BD2150" s="46">
        <v>0</v>
      </c>
      <c r="BE2150" s="46">
        <v>0</v>
      </c>
      <c r="BF2150" s="46">
        <v>0</v>
      </c>
      <c r="BG2150" s="46" t="s">
        <v>48</v>
      </c>
      <c r="BH2150" s="46">
        <v>0</v>
      </c>
      <c r="BI2150" s="46">
        <v>0</v>
      </c>
      <c r="BJ2150" s="46">
        <v>0</v>
      </c>
      <c r="BK2150" s="46">
        <v>0</v>
      </c>
      <c r="BL2150" s="46">
        <v>0</v>
      </c>
      <c r="BM2150" s="46">
        <v>0</v>
      </c>
      <c r="BN2150" s="46">
        <v>0</v>
      </c>
    </row>
    <row r="2151" spans="1:66" x14ac:dyDescent="0.35">
      <c r="A2151" t="s">
        <v>7929</v>
      </c>
      <c r="B2151" t="s">
        <v>48</v>
      </c>
      <c r="C2151" t="s">
        <v>12278</v>
      </c>
      <c r="D2151" t="s">
        <v>655</v>
      </c>
      <c r="E2151" t="s">
        <v>7928</v>
      </c>
      <c r="F2151" t="s">
        <v>5628</v>
      </c>
      <c r="G2151" t="s">
        <v>47</v>
      </c>
      <c r="H2151">
        <v>0</v>
      </c>
      <c r="I2151" s="61">
        <v>44722</v>
      </c>
      <c r="J2151" s="33" t="s">
        <v>45</v>
      </c>
      <c r="K2151" s="46">
        <v>0</v>
      </c>
      <c r="L2151">
        <v>19.5</v>
      </c>
      <c r="M2151" t="s">
        <v>48</v>
      </c>
      <c r="N2151" s="46">
        <v>0</v>
      </c>
      <c r="O2151" s="46">
        <v>0</v>
      </c>
      <c r="P2151" s="46">
        <v>0</v>
      </c>
      <c r="Q2151" t="s">
        <v>48</v>
      </c>
      <c r="R2151" t="s">
        <v>48</v>
      </c>
      <c r="S2151" t="s">
        <v>48</v>
      </c>
      <c r="T2151" t="s">
        <v>48</v>
      </c>
      <c r="U2151" t="s">
        <v>48</v>
      </c>
      <c r="V2151" s="47">
        <v>1</v>
      </c>
      <c r="W2151" t="s">
        <v>48</v>
      </c>
      <c r="X2151" t="s">
        <v>48</v>
      </c>
      <c r="Y2151" t="s">
        <v>48</v>
      </c>
      <c r="Z2151" t="s">
        <v>48</v>
      </c>
      <c r="AA2151" t="s">
        <v>48</v>
      </c>
      <c r="AB2151" t="s">
        <v>48</v>
      </c>
      <c r="AC2151" t="s">
        <v>49</v>
      </c>
      <c r="AD2151" t="s">
        <v>93</v>
      </c>
      <c r="AE2151" t="s">
        <v>4532</v>
      </c>
      <c r="AF2151" t="s">
        <v>48</v>
      </c>
      <c r="AG2151" t="s">
        <v>48</v>
      </c>
      <c r="AH2151" t="s">
        <v>48</v>
      </c>
      <c r="AI2151" t="s">
        <v>48</v>
      </c>
      <c r="AJ2151" t="s">
        <v>48</v>
      </c>
      <c r="AK2151" t="s">
        <v>48</v>
      </c>
      <c r="AL2151" t="s">
        <v>48</v>
      </c>
      <c r="AM2151" t="s">
        <v>48</v>
      </c>
      <c r="AN2151" t="s">
        <v>48</v>
      </c>
      <c r="AO2151" t="s">
        <v>48</v>
      </c>
      <c r="AP2151" s="46">
        <v>0</v>
      </c>
      <c r="AQ2151" s="46">
        <v>0</v>
      </c>
      <c r="AR2151" s="46">
        <v>0</v>
      </c>
      <c r="AS2151" s="46">
        <v>0</v>
      </c>
      <c r="AT2151" s="46">
        <v>0</v>
      </c>
      <c r="AU2151" s="46">
        <v>0</v>
      </c>
      <c r="AV2151" s="46">
        <v>0</v>
      </c>
      <c r="AW2151" s="46">
        <v>0</v>
      </c>
      <c r="AX2151" s="46">
        <v>0</v>
      </c>
      <c r="AY2151" s="46">
        <v>0</v>
      </c>
      <c r="AZ2151" s="46">
        <v>0</v>
      </c>
      <c r="BA2151" s="46">
        <v>0</v>
      </c>
      <c r="BB2151" s="46">
        <v>0</v>
      </c>
      <c r="BC2151" s="46">
        <v>0</v>
      </c>
      <c r="BD2151" s="46">
        <v>0</v>
      </c>
      <c r="BE2151" s="46">
        <v>0</v>
      </c>
      <c r="BF2151" s="46">
        <v>0</v>
      </c>
      <c r="BG2151" s="46" t="s">
        <v>48</v>
      </c>
      <c r="BH2151" s="46">
        <v>0</v>
      </c>
      <c r="BI2151" s="46">
        <v>0</v>
      </c>
      <c r="BJ2151" s="46">
        <v>0</v>
      </c>
      <c r="BK2151" s="46">
        <v>0</v>
      </c>
      <c r="BL2151" s="46">
        <v>0</v>
      </c>
      <c r="BM2151" s="46">
        <v>0</v>
      </c>
      <c r="BN2151" s="46">
        <v>0</v>
      </c>
    </row>
    <row r="2152" spans="1:66" x14ac:dyDescent="0.35">
      <c r="A2152" t="s">
        <v>5641</v>
      </c>
      <c r="B2152" s="44" t="s">
        <v>48</v>
      </c>
      <c r="C2152" t="s">
        <v>5643</v>
      </c>
      <c r="D2152" t="s">
        <v>982</v>
      </c>
      <c r="E2152" t="s">
        <v>5642</v>
      </c>
      <c r="F2152" t="s">
        <v>5635</v>
      </c>
      <c r="G2152" t="s">
        <v>74</v>
      </c>
      <c r="H2152">
        <v>0</v>
      </c>
      <c r="I2152" s="60" t="s">
        <v>125</v>
      </c>
      <c r="J2152" s="33" t="s">
        <v>45</v>
      </c>
      <c r="K2152" s="46">
        <v>0</v>
      </c>
      <c r="L2152">
        <v>5.2</v>
      </c>
      <c r="M2152" t="s">
        <v>48</v>
      </c>
      <c r="N2152" s="46">
        <v>0</v>
      </c>
      <c r="O2152" s="46">
        <v>0</v>
      </c>
      <c r="P2152" s="46">
        <v>0</v>
      </c>
      <c r="Q2152" t="s">
        <v>48</v>
      </c>
      <c r="R2152" t="s">
        <v>48</v>
      </c>
      <c r="S2152" t="s">
        <v>48</v>
      </c>
      <c r="T2152" t="s">
        <v>48</v>
      </c>
      <c r="U2152" t="s">
        <v>48</v>
      </c>
      <c r="V2152" s="47">
        <v>0</v>
      </c>
      <c r="W2152" t="s">
        <v>48</v>
      </c>
      <c r="X2152" t="s">
        <v>48</v>
      </c>
      <c r="Y2152" t="s">
        <v>48</v>
      </c>
      <c r="Z2152">
        <v>0</v>
      </c>
      <c r="AA2152" t="s">
        <v>48</v>
      </c>
      <c r="AB2152" t="s">
        <v>48</v>
      </c>
      <c r="AC2152" t="s">
        <v>49</v>
      </c>
      <c r="AD2152" t="s">
        <v>93</v>
      </c>
      <c r="AE2152" t="s">
        <v>4532</v>
      </c>
      <c r="AF2152" t="s">
        <v>48</v>
      </c>
      <c r="AG2152" t="s">
        <v>48</v>
      </c>
      <c r="AH2152" t="s">
        <v>48</v>
      </c>
      <c r="AI2152" t="s">
        <v>48</v>
      </c>
      <c r="AJ2152" t="s">
        <v>48</v>
      </c>
      <c r="AK2152" t="s">
        <v>48</v>
      </c>
      <c r="AL2152" t="s">
        <v>48</v>
      </c>
      <c r="AM2152" t="s">
        <v>48</v>
      </c>
      <c r="AN2152" t="s">
        <v>48</v>
      </c>
      <c r="AO2152" t="s">
        <v>48</v>
      </c>
      <c r="AP2152" s="46">
        <v>0</v>
      </c>
      <c r="AQ2152" s="46">
        <v>0</v>
      </c>
      <c r="AR2152" s="46">
        <v>0</v>
      </c>
      <c r="AS2152" s="46">
        <v>0</v>
      </c>
      <c r="AT2152" s="46">
        <v>0</v>
      </c>
      <c r="AU2152" s="46">
        <v>0</v>
      </c>
      <c r="AV2152" s="46">
        <v>0</v>
      </c>
      <c r="AW2152" s="46">
        <v>0</v>
      </c>
      <c r="AX2152" s="46">
        <v>0</v>
      </c>
      <c r="AY2152" s="46">
        <v>0</v>
      </c>
      <c r="AZ2152" s="46">
        <v>0</v>
      </c>
      <c r="BA2152" s="46">
        <v>0</v>
      </c>
      <c r="BB2152" s="46">
        <v>0</v>
      </c>
      <c r="BC2152" s="46">
        <v>0</v>
      </c>
      <c r="BD2152" s="46">
        <v>0</v>
      </c>
      <c r="BE2152" s="46">
        <v>0</v>
      </c>
      <c r="BF2152" s="46">
        <v>0</v>
      </c>
      <c r="BG2152" s="46" t="s">
        <v>48</v>
      </c>
      <c r="BH2152" s="46">
        <v>0</v>
      </c>
      <c r="BI2152" s="46">
        <v>0</v>
      </c>
      <c r="BJ2152" s="46">
        <v>0</v>
      </c>
      <c r="BK2152" s="46">
        <v>0</v>
      </c>
      <c r="BL2152" s="46">
        <v>0</v>
      </c>
      <c r="BM2152" s="46">
        <v>0</v>
      </c>
      <c r="BN2152" s="46">
        <v>0</v>
      </c>
    </row>
    <row r="2153" spans="1:66" x14ac:dyDescent="0.35">
      <c r="A2153" t="s">
        <v>5660</v>
      </c>
      <c r="B2153" s="44" t="s">
        <v>48</v>
      </c>
      <c r="C2153" t="s">
        <v>5663</v>
      </c>
      <c r="D2153" t="s">
        <v>259</v>
      </c>
      <c r="E2153" t="s">
        <v>5661</v>
      </c>
      <c r="F2153" t="s">
        <v>5645</v>
      </c>
      <c r="G2153" t="s">
        <v>74</v>
      </c>
      <c r="H2153">
        <v>0</v>
      </c>
      <c r="I2153" s="60" t="s">
        <v>149</v>
      </c>
      <c r="J2153" s="33" t="s">
        <v>45</v>
      </c>
      <c r="K2153" s="46">
        <v>0</v>
      </c>
      <c r="L2153">
        <v>4.9000000000000004</v>
      </c>
      <c r="M2153" t="s">
        <v>48</v>
      </c>
      <c r="N2153" s="46">
        <v>0</v>
      </c>
      <c r="O2153" s="46">
        <v>0</v>
      </c>
      <c r="P2153" s="46">
        <v>0</v>
      </c>
      <c r="Q2153" t="s">
        <v>48</v>
      </c>
      <c r="R2153" t="s">
        <v>48</v>
      </c>
      <c r="S2153" t="s">
        <v>5662</v>
      </c>
      <c r="T2153" t="s">
        <v>48</v>
      </c>
      <c r="U2153" t="s">
        <v>5662</v>
      </c>
      <c r="V2153" s="47">
        <v>0</v>
      </c>
      <c r="W2153" t="s">
        <v>48</v>
      </c>
      <c r="X2153" t="s">
        <v>48</v>
      </c>
      <c r="Y2153" t="s">
        <v>48</v>
      </c>
      <c r="Z2153">
        <v>0</v>
      </c>
      <c r="AA2153" t="s">
        <v>48</v>
      </c>
      <c r="AB2153" t="s">
        <v>48</v>
      </c>
      <c r="AC2153" t="s">
        <v>49</v>
      </c>
      <c r="AD2153" t="s">
        <v>93</v>
      </c>
      <c r="AE2153" t="s">
        <v>4532</v>
      </c>
      <c r="AF2153" t="s">
        <v>48</v>
      </c>
      <c r="AG2153" t="s">
        <v>48</v>
      </c>
      <c r="AH2153" t="s">
        <v>48</v>
      </c>
      <c r="AI2153" t="s">
        <v>48</v>
      </c>
      <c r="AJ2153" t="s">
        <v>48</v>
      </c>
      <c r="AK2153" t="s">
        <v>48</v>
      </c>
      <c r="AL2153" t="s">
        <v>48</v>
      </c>
      <c r="AM2153" t="s">
        <v>48</v>
      </c>
      <c r="AN2153" t="s">
        <v>48</v>
      </c>
      <c r="AO2153" t="s">
        <v>48</v>
      </c>
      <c r="AP2153" s="46">
        <v>0</v>
      </c>
      <c r="AQ2153" s="46">
        <v>0</v>
      </c>
      <c r="AR2153" s="46">
        <v>0</v>
      </c>
      <c r="AS2153" s="46">
        <v>0</v>
      </c>
      <c r="AT2153" s="46">
        <v>0</v>
      </c>
      <c r="AU2153" s="46">
        <v>0</v>
      </c>
      <c r="AV2153" s="46">
        <v>0</v>
      </c>
      <c r="AW2153" s="46">
        <v>0</v>
      </c>
      <c r="AX2153" s="46">
        <v>0</v>
      </c>
      <c r="AY2153" s="46">
        <v>0</v>
      </c>
      <c r="AZ2153" s="46">
        <v>0</v>
      </c>
      <c r="BA2153" s="46">
        <v>0</v>
      </c>
      <c r="BB2153" s="46">
        <v>0</v>
      </c>
      <c r="BC2153" s="46">
        <v>0</v>
      </c>
      <c r="BD2153" s="46">
        <v>0</v>
      </c>
      <c r="BE2153" s="46">
        <v>0</v>
      </c>
      <c r="BF2153" s="46">
        <v>0</v>
      </c>
      <c r="BG2153" s="46" t="s">
        <v>48</v>
      </c>
      <c r="BH2153" s="46">
        <v>0</v>
      </c>
      <c r="BI2153" s="46">
        <v>0</v>
      </c>
      <c r="BJ2153" s="46">
        <v>0</v>
      </c>
      <c r="BK2153" s="46">
        <v>0</v>
      </c>
      <c r="BL2153" s="46">
        <v>0</v>
      </c>
      <c r="BM2153" s="46">
        <v>0</v>
      </c>
      <c r="BN2153" s="46">
        <v>0</v>
      </c>
    </row>
    <row r="2154" spans="1:66" x14ac:dyDescent="0.35">
      <c r="A2154" t="s">
        <v>5650</v>
      </c>
      <c r="B2154" s="44" t="s">
        <v>48</v>
      </c>
      <c r="C2154" t="s">
        <v>5654</v>
      </c>
      <c r="D2154" t="s">
        <v>5653</v>
      </c>
      <c r="E2154" t="s">
        <v>5651</v>
      </c>
      <c r="F2154" t="s">
        <v>5645</v>
      </c>
      <c r="G2154" t="s">
        <v>74</v>
      </c>
      <c r="H2154">
        <v>0</v>
      </c>
      <c r="I2154" s="60" t="s">
        <v>125</v>
      </c>
      <c r="J2154" s="33" t="s">
        <v>45</v>
      </c>
      <c r="K2154" s="46">
        <v>0</v>
      </c>
      <c r="L2154">
        <v>16.2</v>
      </c>
      <c r="M2154" t="s">
        <v>48</v>
      </c>
      <c r="N2154" s="46">
        <v>0</v>
      </c>
      <c r="O2154" s="46">
        <v>0</v>
      </c>
      <c r="P2154" s="46">
        <v>0</v>
      </c>
      <c r="Q2154" t="s">
        <v>48</v>
      </c>
      <c r="R2154" t="s">
        <v>48</v>
      </c>
      <c r="S2154" t="s">
        <v>5652</v>
      </c>
      <c r="T2154" t="s">
        <v>48</v>
      </c>
      <c r="U2154" t="s">
        <v>5652</v>
      </c>
      <c r="V2154" s="47">
        <v>0</v>
      </c>
      <c r="W2154" t="s">
        <v>48</v>
      </c>
      <c r="X2154" t="s">
        <v>48</v>
      </c>
      <c r="Y2154" t="s">
        <v>48</v>
      </c>
      <c r="Z2154">
        <v>0</v>
      </c>
      <c r="AA2154" t="s">
        <v>48</v>
      </c>
      <c r="AB2154" t="s">
        <v>48</v>
      </c>
      <c r="AC2154" t="s">
        <v>63</v>
      </c>
      <c r="AD2154" t="s">
        <v>93</v>
      </c>
      <c r="AE2154" t="s">
        <v>4532</v>
      </c>
      <c r="AF2154" t="s">
        <v>48</v>
      </c>
      <c r="AG2154" t="s">
        <v>48</v>
      </c>
      <c r="AH2154" t="s">
        <v>48</v>
      </c>
      <c r="AI2154" t="s">
        <v>48</v>
      </c>
      <c r="AJ2154" t="s">
        <v>48</v>
      </c>
      <c r="AK2154" t="s">
        <v>48</v>
      </c>
      <c r="AL2154" t="s">
        <v>48</v>
      </c>
      <c r="AM2154" t="s">
        <v>48</v>
      </c>
      <c r="AN2154" t="s">
        <v>48</v>
      </c>
      <c r="AO2154" t="s">
        <v>48</v>
      </c>
      <c r="AP2154" s="46">
        <v>0</v>
      </c>
      <c r="AQ2154" s="46">
        <v>1</v>
      </c>
      <c r="AR2154" s="46">
        <v>0</v>
      </c>
      <c r="AS2154" s="46">
        <v>1</v>
      </c>
      <c r="AT2154" s="46">
        <v>0</v>
      </c>
      <c r="AU2154" s="46">
        <v>0</v>
      </c>
      <c r="AV2154" s="46">
        <v>0</v>
      </c>
      <c r="AW2154" s="46">
        <v>0</v>
      </c>
      <c r="AX2154" s="46">
        <v>0</v>
      </c>
      <c r="AY2154" s="46">
        <v>0</v>
      </c>
      <c r="AZ2154" s="46">
        <v>0</v>
      </c>
      <c r="BA2154" s="46">
        <v>0</v>
      </c>
      <c r="BB2154" s="46">
        <v>0</v>
      </c>
      <c r="BC2154" s="46">
        <v>0</v>
      </c>
      <c r="BD2154" s="46">
        <v>0</v>
      </c>
      <c r="BE2154" s="46">
        <v>0</v>
      </c>
      <c r="BF2154" s="46">
        <v>0</v>
      </c>
      <c r="BG2154" s="46" t="s">
        <v>48</v>
      </c>
      <c r="BH2154" s="46">
        <v>0</v>
      </c>
      <c r="BI2154" s="46">
        <v>0</v>
      </c>
      <c r="BJ2154" s="46">
        <v>0</v>
      </c>
      <c r="BK2154" s="46">
        <v>1</v>
      </c>
      <c r="BL2154" s="46">
        <v>0</v>
      </c>
      <c r="BM2154" s="46">
        <v>0</v>
      </c>
      <c r="BN2154" s="46">
        <v>0</v>
      </c>
    </row>
    <row r="2155" spans="1:66" x14ac:dyDescent="0.35">
      <c r="A2155" t="s">
        <v>5664</v>
      </c>
      <c r="B2155" s="44" t="s">
        <v>48</v>
      </c>
      <c r="C2155" t="s">
        <v>5668</v>
      </c>
      <c r="D2155" t="s">
        <v>221</v>
      </c>
      <c r="E2155" t="s">
        <v>5665</v>
      </c>
      <c r="F2155" t="s">
        <v>5645</v>
      </c>
      <c r="G2155" t="s">
        <v>74</v>
      </c>
      <c r="H2155">
        <v>0</v>
      </c>
      <c r="I2155" s="60" t="s">
        <v>881</v>
      </c>
      <c r="J2155" s="33" t="s">
        <v>45</v>
      </c>
      <c r="K2155" s="46">
        <v>0</v>
      </c>
      <c r="L2155">
        <v>5.4</v>
      </c>
      <c r="M2155" t="s">
        <v>48</v>
      </c>
      <c r="N2155" s="46">
        <v>0</v>
      </c>
      <c r="O2155" s="46">
        <v>0</v>
      </c>
      <c r="P2155" s="46">
        <v>0</v>
      </c>
      <c r="Q2155" t="s">
        <v>48</v>
      </c>
      <c r="R2155" t="s">
        <v>48</v>
      </c>
      <c r="S2155" t="s">
        <v>5666</v>
      </c>
      <c r="T2155" t="s">
        <v>48</v>
      </c>
      <c r="U2155" t="s">
        <v>5666</v>
      </c>
      <c r="V2155" s="47">
        <v>0</v>
      </c>
      <c r="W2155" t="s">
        <v>48</v>
      </c>
      <c r="X2155" t="s">
        <v>48</v>
      </c>
      <c r="Y2155" t="s">
        <v>48</v>
      </c>
      <c r="Z2155">
        <v>0</v>
      </c>
      <c r="AA2155" t="s">
        <v>48</v>
      </c>
      <c r="AB2155" t="s">
        <v>48</v>
      </c>
      <c r="AC2155" t="s">
        <v>49</v>
      </c>
      <c r="AD2155" t="s">
        <v>93</v>
      </c>
      <c r="AE2155" t="s">
        <v>4532</v>
      </c>
      <c r="AF2155" t="s">
        <v>48</v>
      </c>
      <c r="AG2155" t="s">
        <v>5667</v>
      </c>
      <c r="AH2155" t="s">
        <v>48</v>
      </c>
      <c r="AI2155" t="s">
        <v>48</v>
      </c>
      <c r="AJ2155" t="s">
        <v>48</v>
      </c>
      <c r="AK2155" t="s">
        <v>48</v>
      </c>
      <c r="AL2155" t="s">
        <v>48</v>
      </c>
      <c r="AM2155" t="s">
        <v>48</v>
      </c>
      <c r="AN2155" t="s">
        <v>48</v>
      </c>
      <c r="AO2155" t="s">
        <v>48</v>
      </c>
      <c r="AP2155" s="46">
        <v>0</v>
      </c>
      <c r="AQ2155" s="46">
        <v>0</v>
      </c>
      <c r="AR2155" s="46">
        <v>0</v>
      </c>
      <c r="AS2155" s="46">
        <v>0</v>
      </c>
      <c r="AT2155" s="46">
        <v>0</v>
      </c>
      <c r="AU2155" s="46">
        <v>0</v>
      </c>
      <c r="AV2155" s="46">
        <v>0</v>
      </c>
      <c r="AW2155" s="46">
        <v>0</v>
      </c>
      <c r="AX2155" s="46">
        <v>0</v>
      </c>
      <c r="AY2155" s="46">
        <v>0</v>
      </c>
      <c r="AZ2155" s="46">
        <v>0</v>
      </c>
      <c r="BA2155" s="46">
        <v>0</v>
      </c>
      <c r="BB2155" s="46">
        <v>0</v>
      </c>
      <c r="BC2155" s="46">
        <v>0</v>
      </c>
      <c r="BD2155" s="46">
        <v>0</v>
      </c>
      <c r="BE2155" s="46">
        <v>0</v>
      </c>
      <c r="BF2155" s="46">
        <v>0</v>
      </c>
      <c r="BG2155" s="46" t="s">
        <v>48</v>
      </c>
      <c r="BH2155" s="46">
        <v>0</v>
      </c>
      <c r="BI2155" s="46">
        <v>0</v>
      </c>
      <c r="BJ2155" s="46">
        <v>0</v>
      </c>
      <c r="BK2155" s="46">
        <v>0</v>
      </c>
      <c r="BL2155" s="46">
        <v>0</v>
      </c>
      <c r="BM2155" s="46">
        <v>0</v>
      </c>
      <c r="BN2155" s="46">
        <v>0</v>
      </c>
    </row>
    <row r="2156" spans="1:66" x14ac:dyDescent="0.35">
      <c r="A2156" t="s">
        <v>5644</v>
      </c>
      <c r="B2156" s="44" t="s">
        <v>48</v>
      </c>
      <c r="C2156" t="s">
        <v>5649</v>
      </c>
      <c r="D2156" t="s">
        <v>5648</v>
      </c>
      <c r="E2156" t="s">
        <v>5646</v>
      </c>
      <c r="F2156" t="s">
        <v>5645</v>
      </c>
      <c r="G2156" t="s">
        <v>74</v>
      </c>
      <c r="H2156">
        <v>0</v>
      </c>
      <c r="I2156" s="60" t="s">
        <v>125</v>
      </c>
      <c r="J2156" s="33" t="s">
        <v>45</v>
      </c>
      <c r="K2156" s="46">
        <v>0</v>
      </c>
      <c r="L2156">
        <v>6.9</v>
      </c>
      <c r="M2156" t="s">
        <v>48</v>
      </c>
      <c r="N2156" s="46">
        <v>0</v>
      </c>
      <c r="O2156" s="46">
        <v>0</v>
      </c>
      <c r="P2156" s="46">
        <v>0</v>
      </c>
      <c r="Q2156" t="s">
        <v>48</v>
      </c>
      <c r="R2156" t="s">
        <v>48</v>
      </c>
      <c r="S2156" t="s">
        <v>5647</v>
      </c>
      <c r="T2156" t="s">
        <v>48</v>
      </c>
      <c r="U2156" t="s">
        <v>5647</v>
      </c>
      <c r="V2156" s="47">
        <v>1</v>
      </c>
      <c r="W2156" t="s">
        <v>48</v>
      </c>
      <c r="X2156" t="s">
        <v>48</v>
      </c>
      <c r="Y2156" t="s">
        <v>48</v>
      </c>
      <c r="Z2156">
        <v>0</v>
      </c>
      <c r="AA2156" t="s">
        <v>48</v>
      </c>
      <c r="AB2156" t="s">
        <v>48</v>
      </c>
      <c r="AC2156" t="s">
        <v>49</v>
      </c>
      <c r="AD2156" t="s">
        <v>93</v>
      </c>
      <c r="AE2156" t="s">
        <v>11051</v>
      </c>
      <c r="AF2156" t="s">
        <v>48</v>
      </c>
      <c r="AG2156" t="s">
        <v>48</v>
      </c>
      <c r="AH2156" t="s">
        <v>48</v>
      </c>
      <c r="AI2156" t="s">
        <v>48</v>
      </c>
      <c r="AJ2156" t="s">
        <v>48</v>
      </c>
      <c r="AK2156" t="s">
        <v>48</v>
      </c>
      <c r="AL2156" t="s">
        <v>48</v>
      </c>
      <c r="AM2156" t="s">
        <v>48</v>
      </c>
      <c r="AN2156" t="s">
        <v>48</v>
      </c>
      <c r="AO2156" t="s">
        <v>48</v>
      </c>
      <c r="AP2156" s="46">
        <v>0</v>
      </c>
      <c r="AQ2156" s="46">
        <v>0</v>
      </c>
      <c r="AR2156" s="46">
        <v>0</v>
      </c>
      <c r="AS2156" s="46">
        <v>0</v>
      </c>
      <c r="AT2156" s="46">
        <v>0</v>
      </c>
      <c r="AU2156" s="46">
        <v>0</v>
      </c>
      <c r="AV2156" s="46">
        <v>0</v>
      </c>
      <c r="AW2156" s="46">
        <v>0</v>
      </c>
      <c r="AX2156" s="46">
        <v>0</v>
      </c>
      <c r="AY2156" s="46">
        <v>0</v>
      </c>
      <c r="AZ2156" s="46">
        <v>0</v>
      </c>
      <c r="BA2156" s="46">
        <v>0</v>
      </c>
      <c r="BB2156" s="46">
        <v>0</v>
      </c>
      <c r="BC2156" s="46">
        <v>0</v>
      </c>
      <c r="BD2156" s="46">
        <v>0</v>
      </c>
      <c r="BE2156" s="46">
        <v>0</v>
      </c>
      <c r="BF2156" s="46">
        <v>0</v>
      </c>
      <c r="BG2156" s="46" t="s">
        <v>48</v>
      </c>
      <c r="BH2156" s="46">
        <v>0</v>
      </c>
      <c r="BI2156" s="46">
        <v>0</v>
      </c>
      <c r="BJ2156" s="46">
        <v>0</v>
      </c>
      <c r="BK2156" s="46">
        <v>0</v>
      </c>
      <c r="BL2156" s="46">
        <v>0</v>
      </c>
      <c r="BM2156" s="46">
        <v>0</v>
      </c>
      <c r="BN2156" s="46">
        <v>0</v>
      </c>
    </row>
    <row r="2157" spans="1:66" x14ac:dyDescent="0.35">
      <c r="A2157" t="s">
        <v>9753</v>
      </c>
      <c r="B2157" s="44" t="s">
        <v>48</v>
      </c>
      <c r="C2157" t="s">
        <v>80</v>
      </c>
      <c r="D2157" t="s">
        <v>487</v>
      </c>
      <c r="E2157" t="s">
        <v>9754</v>
      </c>
      <c r="F2157" t="s">
        <v>5645</v>
      </c>
      <c r="G2157" t="s">
        <v>74</v>
      </c>
      <c r="H2157">
        <v>0</v>
      </c>
      <c r="I2157" s="61">
        <v>44749</v>
      </c>
      <c r="J2157" s="33" t="s">
        <v>45</v>
      </c>
      <c r="K2157" s="46">
        <v>0</v>
      </c>
      <c r="L2157">
        <v>1.5</v>
      </c>
      <c r="M2157" t="s">
        <v>48</v>
      </c>
      <c r="N2157" s="46">
        <v>0</v>
      </c>
      <c r="O2157" s="46">
        <v>0</v>
      </c>
      <c r="P2157" s="46">
        <v>0</v>
      </c>
      <c r="Q2157" t="s">
        <v>48</v>
      </c>
      <c r="R2157" t="s">
        <v>48</v>
      </c>
      <c r="S2157" t="s">
        <v>48</v>
      </c>
      <c r="T2157" t="s">
        <v>48</v>
      </c>
      <c r="U2157" t="s">
        <v>48</v>
      </c>
      <c r="V2157" s="47">
        <v>0</v>
      </c>
      <c r="W2157" t="s">
        <v>48</v>
      </c>
      <c r="X2157" t="s">
        <v>48</v>
      </c>
      <c r="Y2157" t="s">
        <v>48</v>
      </c>
      <c r="Z2157" t="s">
        <v>48</v>
      </c>
      <c r="AA2157" t="s">
        <v>48</v>
      </c>
      <c r="AB2157" t="s">
        <v>48</v>
      </c>
      <c r="AC2157" t="s">
        <v>49</v>
      </c>
      <c r="AD2157" t="s">
        <v>48</v>
      </c>
      <c r="AE2157" t="s">
        <v>48</v>
      </c>
      <c r="AF2157" t="s">
        <v>48</v>
      </c>
      <c r="AG2157" t="s">
        <v>48</v>
      </c>
      <c r="AH2157" t="s">
        <v>48</v>
      </c>
      <c r="AI2157" t="s">
        <v>48</v>
      </c>
      <c r="AJ2157" t="s">
        <v>48</v>
      </c>
      <c r="AK2157" t="s">
        <v>48</v>
      </c>
      <c r="AL2157" t="s">
        <v>48</v>
      </c>
      <c r="AM2157" t="s">
        <v>48</v>
      </c>
      <c r="AN2157" t="s">
        <v>48</v>
      </c>
      <c r="AO2157" t="s">
        <v>48</v>
      </c>
      <c r="AP2157" s="46">
        <v>0</v>
      </c>
      <c r="AQ2157" s="46">
        <v>0</v>
      </c>
      <c r="AR2157" s="46">
        <v>0</v>
      </c>
      <c r="AS2157" s="46">
        <v>0</v>
      </c>
      <c r="AT2157" s="46">
        <v>0</v>
      </c>
      <c r="AU2157" s="46">
        <v>0</v>
      </c>
      <c r="AV2157" s="46">
        <v>0</v>
      </c>
      <c r="AW2157" s="46">
        <v>0</v>
      </c>
      <c r="AX2157" s="46">
        <v>0</v>
      </c>
      <c r="AY2157" s="46">
        <v>0</v>
      </c>
      <c r="AZ2157" s="46">
        <v>0</v>
      </c>
      <c r="BA2157" s="46">
        <v>0</v>
      </c>
      <c r="BB2157" s="46">
        <v>0</v>
      </c>
      <c r="BC2157" s="46">
        <v>0</v>
      </c>
      <c r="BD2157" s="46">
        <v>0</v>
      </c>
      <c r="BE2157" s="46">
        <v>0</v>
      </c>
      <c r="BF2157" s="46">
        <v>0</v>
      </c>
      <c r="BG2157" s="46" t="s">
        <v>48</v>
      </c>
      <c r="BH2157" s="46">
        <v>0</v>
      </c>
      <c r="BI2157" s="46">
        <v>0</v>
      </c>
      <c r="BJ2157" s="46">
        <v>0</v>
      </c>
      <c r="BK2157" s="46">
        <v>0</v>
      </c>
      <c r="BL2157" s="46">
        <v>0</v>
      </c>
      <c r="BM2157" s="46">
        <v>0</v>
      </c>
      <c r="BN2157" s="46">
        <v>0</v>
      </c>
    </row>
    <row r="2158" spans="1:66" x14ac:dyDescent="0.35">
      <c r="A2158" t="s">
        <v>5679</v>
      </c>
      <c r="B2158" t="s">
        <v>48</v>
      </c>
      <c r="C2158" t="s">
        <v>5682</v>
      </c>
      <c r="D2158" t="s">
        <v>1118</v>
      </c>
      <c r="E2158" t="s">
        <v>5680</v>
      </c>
      <c r="F2158" t="s">
        <v>5675</v>
      </c>
      <c r="G2158" t="s">
        <v>47</v>
      </c>
      <c r="H2158">
        <v>0</v>
      </c>
      <c r="I2158" s="60" t="s">
        <v>125</v>
      </c>
      <c r="J2158" s="33" t="s">
        <v>45</v>
      </c>
      <c r="K2158" s="46">
        <v>0</v>
      </c>
      <c r="L2158">
        <v>29.2</v>
      </c>
      <c r="M2158" t="s">
        <v>48</v>
      </c>
      <c r="N2158" s="46">
        <v>0</v>
      </c>
      <c r="O2158" s="46">
        <v>0</v>
      </c>
      <c r="P2158" s="46">
        <v>0</v>
      </c>
      <c r="Q2158" t="s">
        <v>48</v>
      </c>
      <c r="R2158" t="s">
        <v>48</v>
      </c>
      <c r="S2158" t="s">
        <v>5681</v>
      </c>
      <c r="T2158" t="s">
        <v>48</v>
      </c>
      <c r="U2158" t="s">
        <v>5681</v>
      </c>
      <c r="V2158" s="47">
        <v>1</v>
      </c>
      <c r="W2158" t="s">
        <v>48</v>
      </c>
      <c r="X2158" t="s">
        <v>48</v>
      </c>
      <c r="Y2158" t="s">
        <v>48</v>
      </c>
      <c r="Z2158">
        <v>0</v>
      </c>
      <c r="AA2158" t="s">
        <v>48</v>
      </c>
      <c r="AB2158" t="s">
        <v>48</v>
      </c>
      <c r="AC2158" t="s">
        <v>49</v>
      </c>
      <c r="AD2158" t="s">
        <v>93</v>
      </c>
      <c r="AE2158" t="s">
        <v>4532</v>
      </c>
      <c r="AF2158" t="s">
        <v>48</v>
      </c>
      <c r="AG2158" t="s">
        <v>48</v>
      </c>
      <c r="AH2158" t="s">
        <v>48</v>
      </c>
      <c r="AI2158" t="s">
        <v>48</v>
      </c>
      <c r="AJ2158" t="s">
        <v>48</v>
      </c>
      <c r="AK2158" t="s">
        <v>48</v>
      </c>
      <c r="AL2158" t="s">
        <v>48</v>
      </c>
      <c r="AM2158" t="s">
        <v>48</v>
      </c>
      <c r="AN2158" t="s">
        <v>48</v>
      </c>
      <c r="AO2158" t="s">
        <v>48</v>
      </c>
      <c r="AP2158" s="46">
        <v>0</v>
      </c>
      <c r="AQ2158" s="46">
        <v>0</v>
      </c>
      <c r="AR2158" s="46">
        <v>0</v>
      </c>
      <c r="AS2158" s="46">
        <v>0</v>
      </c>
      <c r="AT2158" s="46">
        <v>0</v>
      </c>
      <c r="AU2158" s="46">
        <v>0</v>
      </c>
      <c r="AV2158" s="46">
        <v>0</v>
      </c>
      <c r="AW2158" s="46">
        <v>0</v>
      </c>
      <c r="AX2158" s="46">
        <v>0</v>
      </c>
      <c r="AY2158" s="46">
        <v>0</v>
      </c>
      <c r="AZ2158" s="46">
        <v>0</v>
      </c>
      <c r="BA2158" s="46">
        <v>0</v>
      </c>
      <c r="BB2158" s="46">
        <v>0</v>
      </c>
      <c r="BC2158" s="46">
        <v>0</v>
      </c>
      <c r="BD2158" s="46">
        <v>0</v>
      </c>
      <c r="BE2158" s="46">
        <v>0</v>
      </c>
      <c r="BF2158" s="46">
        <v>0</v>
      </c>
      <c r="BG2158" s="46" t="s">
        <v>48</v>
      </c>
      <c r="BH2158" s="46">
        <v>0</v>
      </c>
      <c r="BI2158" s="46">
        <v>0</v>
      </c>
      <c r="BJ2158" s="46">
        <v>0</v>
      </c>
      <c r="BK2158" s="46">
        <v>0</v>
      </c>
      <c r="BL2158" s="46">
        <v>0</v>
      </c>
      <c r="BM2158" s="46">
        <v>0</v>
      </c>
      <c r="BN2158" s="46">
        <v>0</v>
      </c>
    </row>
    <row r="2159" spans="1:66" x14ac:dyDescent="0.35">
      <c r="A2159" t="s">
        <v>7927</v>
      </c>
      <c r="B2159" t="s">
        <v>48</v>
      </c>
      <c r="C2159" t="s">
        <v>12284</v>
      </c>
      <c r="D2159" t="s">
        <v>221</v>
      </c>
      <c r="E2159" t="s">
        <v>7926</v>
      </c>
      <c r="F2159" t="s">
        <v>5675</v>
      </c>
      <c r="G2159" t="s">
        <v>47</v>
      </c>
      <c r="H2159">
        <v>0</v>
      </c>
      <c r="I2159" s="61">
        <v>44722</v>
      </c>
      <c r="J2159" s="33" t="s">
        <v>45</v>
      </c>
      <c r="K2159" s="46">
        <v>0</v>
      </c>
      <c r="L2159">
        <v>16.2</v>
      </c>
      <c r="M2159" t="s">
        <v>48</v>
      </c>
      <c r="N2159" s="46">
        <v>0</v>
      </c>
      <c r="O2159" s="46">
        <v>0</v>
      </c>
      <c r="P2159" s="46">
        <v>0</v>
      </c>
      <c r="Q2159" t="s">
        <v>48</v>
      </c>
      <c r="R2159" t="s">
        <v>48</v>
      </c>
      <c r="S2159" t="s">
        <v>48</v>
      </c>
      <c r="T2159" t="s">
        <v>48</v>
      </c>
      <c r="U2159" t="s">
        <v>48</v>
      </c>
      <c r="V2159" s="47">
        <v>1</v>
      </c>
      <c r="W2159" t="s">
        <v>48</v>
      </c>
      <c r="X2159" t="s">
        <v>48</v>
      </c>
      <c r="Y2159" t="s">
        <v>48</v>
      </c>
      <c r="Z2159" t="s">
        <v>48</v>
      </c>
      <c r="AA2159" t="s">
        <v>48</v>
      </c>
      <c r="AB2159" t="s">
        <v>48</v>
      </c>
      <c r="AC2159" t="s">
        <v>49</v>
      </c>
      <c r="AD2159" t="s">
        <v>93</v>
      </c>
      <c r="AE2159" t="s">
        <v>4532</v>
      </c>
      <c r="AF2159" t="s">
        <v>48</v>
      </c>
      <c r="AG2159" t="s">
        <v>48</v>
      </c>
      <c r="AH2159" t="s">
        <v>48</v>
      </c>
      <c r="AI2159" t="s">
        <v>48</v>
      </c>
      <c r="AJ2159" t="s">
        <v>48</v>
      </c>
      <c r="AK2159" t="s">
        <v>48</v>
      </c>
      <c r="AL2159" t="s">
        <v>48</v>
      </c>
      <c r="AM2159" t="s">
        <v>48</v>
      </c>
      <c r="AN2159" t="s">
        <v>48</v>
      </c>
      <c r="AO2159" t="s">
        <v>48</v>
      </c>
      <c r="AP2159" s="46">
        <v>0</v>
      </c>
      <c r="AQ2159" s="46">
        <v>0</v>
      </c>
      <c r="AR2159" s="46">
        <v>0</v>
      </c>
      <c r="AS2159" s="46">
        <v>0</v>
      </c>
      <c r="AT2159" s="46">
        <v>0</v>
      </c>
      <c r="AU2159" s="46">
        <v>0</v>
      </c>
      <c r="AV2159" s="46">
        <v>0</v>
      </c>
      <c r="AW2159" s="46">
        <v>0</v>
      </c>
      <c r="AX2159" s="46">
        <v>0</v>
      </c>
      <c r="AY2159" s="46">
        <v>0</v>
      </c>
      <c r="AZ2159" s="46">
        <v>0</v>
      </c>
      <c r="BA2159" s="46">
        <v>0</v>
      </c>
      <c r="BB2159" s="46">
        <v>0</v>
      </c>
      <c r="BC2159" s="46">
        <v>0</v>
      </c>
      <c r="BD2159" s="46">
        <v>0</v>
      </c>
      <c r="BE2159" s="46">
        <v>0</v>
      </c>
      <c r="BF2159" s="46">
        <v>0</v>
      </c>
      <c r="BG2159" s="46" t="s">
        <v>48</v>
      </c>
      <c r="BH2159" s="46">
        <v>0</v>
      </c>
      <c r="BI2159" s="46">
        <v>0</v>
      </c>
      <c r="BJ2159" s="46">
        <v>0</v>
      </c>
      <c r="BK2159" s="46">
        <v>0</v>
      </c>
      <c r="BL2159" s="46">
        <v>0</v>
      </c>
      <c r="BM2159" s="46">
        <v>0</v>
      </c>
      <c r="BN2159" s="46">
        <v>0</v>
      </c>
    </row>
    <row r="2160" spans="1:66" x14ac:dyDescent="0.35">
      <c r="A2160" t="s">
        <v>5689</v>
      </c>
      <c r="B2160" t="s">
        <v>48</v>
      </c>
      <c r="C2160" t="s">
        <v>2995</v>
      </c>
      <c r="D2160" t="s">
        <v>5693</v>
      </c>
      <c r="E2160" t="s">
        <v>5690</v>
      </c>
      <c r="F2160" t="s">
        <v>5675</v>
      </c>
      <c r="G2160" t="s">
        <v>74</v>
      </c>
      <c r="H2160">
        <v>0</v>
      </c>
      <c r="I2160" s="60" t="s">
        <v>51</v>
      </c>
      <c r="J2160" s="33" t="s">
        <v>45</v>
      </c>
      <c r="K2160" s="46">
        <v>1</v>
      </c>
      <c r="L2160">
        <v>42.9</v>
      </c>
      <c r="M2160" t="s">
        <v>48</v>
      </c>
      <c r="N2160" s="46">
        <v>0</v>
      </c>
      <c r="O2160" s="46">
        <v>0</v>
      </c>
      <c r="P2160" s="46">
        <v>0</v>
      </c>
      <c r="Q2160" t="s">
        <v>48</v>
      </c>
      <c r="R2160" t="s">
        <v>48</v>
      </c>
      <c r="S2160" t="s">
        <v>5691</v>
      </c>
      <c r="T2160" t="s">
        <v>5692</v>
      </c>
      <c r="U2160" t="s">
        <v>5691</v>
      </c>
      <c r="V2160" s="47">
        <v>0</v>
      </c>
      <c r="W2160" t="s">
        <v>11317</v>
      </c>
      <c r="X2160" t="s">
        <v>48</v>
      </c>
      <c r="Y2160" t="s">
        <v>48</v>
      </c>
      <c r="Z2160">
        <v>0</v>
      </c>
      <c r="AA2160" t="s">
        <v>48</v>
      </c>
      <c r="AB2160">
        <v>2008</v>
      </c>
      <c r="AC2160" t="s">
        <v>49</v>
      </c>
      <c r="AD2160" t="s">
        <v>93</v>
      </c>
      <c r="AE2160" t="s">
        <v>4532</v>
      </c>
      <c r="AF2160" t="s">
        <v>48</v>
      </c>
      <c r="AG2160" t="s">
        <v>119</v>
      </c>
      <c r="AH2160" t="s">
        <v>93</v>
      </c>
      <c r="AI2160">
        <v>20944</v>
      </c>
      <c r="AJ2160">
        <v>1951</v>
      </c>
      <c r="AK2160" t="s">
        <v>9220</v>
      </c>
      <c r="AL2160" t="s">
        <v>9221</v>
      </c>
      <c r="AM2160">
        <v>-0.184</v>
      </c>
      <c r="AN2160">
        <v>5.8999999999999997E-2</v>
      </c>
      <c r="AO2160">
        <v>-0.184</v>
      </c>
      <c r="AP2160" s="46">
        <v>0</v>
      </c>
      <c r="AQ2160" s="46">
        <v>0</v>
      </c>
      <c r="AR2160" s="46">
        <v>0</v>
      </c>
      <c r="AS2160" s="46">
        <v>0</v>
      </c>
      <c r="AT2160" s="46">
        <v>0</v>
      </c>
      <c r="AU2160" s="46">
        <v>1</v>
      </c>
      <c r="AV2160" s="46">
        <v>1</v>
      </c>
      <c r="AW2160" s="46">
        <v>0</v>
      </c>
      <c r="AX2160" s="46">
        <v>0</v>
      </c>
      <c r="AY2160" s="46">
        <v>0</v>
      </c>
      <c r="AZ2160" s="46">
        <v>0</v>
      </c>
      <c r="BA2160" s="46">
        <v>1</v>
      </c>
      <c r="BB2160" s="46">
        <v>0</v>
      </c>
      <c r="BC2160" s="46">
        <v>0</v>
      </c>
      <c r="BD2160" s="46">
        <v>0</v>
      </c>
      <c r="BE2160" s="46">
        <v>0</v>
      </c>
      <c r="BF2160" s="46">
        <v>0</v>
      </c>
      <c r="BG2160" s="46" t="s">
        <v>48</v>
      </c>
      <c r="BH2160" s="46">
        <v>0</v>
      </c>
      <c r="BI2160" s="46">
        <v>0</v>
      </c>
      <c r="BJ2160" s="46">
        <v>0</v>
      </c>
      <c r="BK2160" s="46">
        <v>0</v>
      </c>
      <c r="BL2160" s="46">
        <v>1</v>
      </c>
      <c r="BM2160" s="46">
        <v>0</v>
      </c>
      <c r="BN2160" s="46">
        <v>0</v>
      </c>
    </row>
    <row r="2161" spans="1:66" x14ac:dyDescent="0.35">
      <c r="A2161" t="s">
        <v>9755</v>
      </c>
      <c r="B2161" t="s">
        <v>48</v>
      </c>
      <c r="C2161" t="s">
        <v>12286</v>
      </c>
      <c r="D2161" t="s">
        <v>249</v>
      </c>
      <c r="E2161" t="s">
        <v>9756</v>
      </c>
      <c r="F2161" t="s">
        <v>5675</v>
      </c>
      <c r="G2161" t="s">
        <v>47</v>
      </c>
      <c r="H2161">
        <v>0</v>
      </c>
      <c r="I2161" s="61">
        <v>44749</v>
      </c>
      <c r="J2161" s="33" t="s">
        <v>45</v>
      </c>
      <c r="K2161" s="46">
        <v>0</v>
      </c>
      <c r="L2161">
        <v>8.9</v>
      </c>
      <c r="M2161" t="s">
        <v>48</v>
      </c>
      <c r="N2161" s="46">
        <v>0</v>
      </c>
      <c r="O2161" s="46">
        <v>0</v>
      </c>
      <c r="P2161" s="46">
        <v>0</v>
      </c>
      <c r="Q2161" t="s">
        <v>48</v>
      </c>
      <c r="R2161" t="s">
        <v>48</v>
      </c>
      <c r="S2161" t="s">
        <v>48</v>
      </c>
      <c r="T2161" t="s">
        <v>48</v>
      </c>
      <c r="U2161" t="s">
        <v>48</v>
      </c>
      <c r="V2161" s="47">
        <v>0</v>
      </c>
      <c r="W2161" t="s">
        <v>48</v>
      </c>
      <c r="X2161" t="s">
        <v>48</v>
      </c>
      <c r="Y2161" t="s">
        <v>48</v>
      </c>
      <c r="Z2161" t="s">
        <v>48</v>
      </c>
      <c r="AA2161" t="s">
        <v>48</v>
      </c>
      <c r="AB2161" t="s">
        <v>48</v>
      </c>
      <c r="AC2161" t="s">
        <v>63</v>
      </c>
      <c r="AD2161" t="s">
        <v>93</v>
      </c>
      <c r="AE2161" t="s">
        <v>4532</v>
      </c>
      <c r="AF2161" t="s">
        <v>48</v>
      </c>
      <c r="AG2161" t="s">
        <v>48</v>
      </c>
      <c r="AH2161" t="s">
        <v>48</v>
      </c>
      <c r="AI2161" t="s">
        <v>48</v>
      </c>
      <c r="AJ2161" t="s">
        <v>48</v>
      </c>
      <c r="AK2161" t="s">
        <v>48</v>
      </c>
      <c r="AL2161" t="s">
        <v>48</v>
      </c>
      <c r="AM2161" t="s">
        <v>48</v>
      </c>
      <c r="AN2161" t="s">
        <v>48</v>
      </c>
      <c r="AO2161" t="s">
        <v>48</v>
      </c>
      <c r="AP2161" s="46">
        <v>0</v>
      </c>
      <c r="AQ2161" s="46">
        <v>0</v>
      </c>
      <c r="AR2161" s="46">
        <v>0</v>
      </c>
      <c r="AS2161" s="46">
        <v>0</v>
      </c>
      <c r="AT2161" s="46">
        <v>0</v>
      </c>
      <c r="AU2161" s="46">
        <v>0</v>
      </c>
      <c r="AV2161" s="46">
        <v>0</v>
      </c>
      <c r="AW2161" s="46">
        <v>0</v>
      </c>
      <c r="AX2161" s="46">
        <v>0</v>
      </c>
      <c r="AY2161" s="46">
        <v>0</v>
      </c>
      <c r="AZ2161" s="46">
        <v>0</v>
      </c>
      <c r="BA2161" s="46">
        <v>0</v>
      </c>
      <c r="BB2161" s="46">
        <v>0</v>
      </c>
      <c r="BC2161" s="46">
        <v>0</v>
      </c>
      <c r="BD2161" s="46">
        <v>0</v>
      </c>
      <c r="BE2161" s="46">
        <v>0</v>
      </c>
      <c r="BF2161" s="46">
        <v>0</v>
      </c>
      <c r="BG2161" s="46" t="s">
        <v>48</v>
      </c>
      <c r="BH2161" s="46">
        <v>0</v>
      </c>
      <c r="BI2161" s="46">
        <v>0</v>
      </c>
      <c r="BJ2161" s="46">
        <v>0</v>
      </c>
      <c r="BK2161" s="46">
        <v>0</v>
      </c>
      <c r="BL2161" s="46">
        <v>0</v>
      </c>
      <c r="BM2161" s="46">
        <v>0</v>
      </c>
      <c r="BN2161" s="46">
        <v>0</v>
      </c>
    </row>
    <row r="2162" spans="1:66" x14ac:dyDescent="0.35">
      <c r="A2162" t="s">
        <v>9757</v>
      </c>
      <c r="B2162" t="s">
        <v>48</v>
      </c>
      <c r="C2162" t="s">
        <v>12285</v>
      </c>
      <c r="D2162" t="s">
        <v>983</v>
      </c>
      <c r="E2162" t="s">
        <v>9758</v>
      </c>
      <c r="F2162" t="s">
        <v>5675</v>
      </c>
      <c r="G2162" t="s">
        <v>47</v>
      </c>
      <c r="H2162">
        <v>0</v>
      </c>
      <c r="I2162" s="61">
        <v>44749</v>
      </c>
      <c r="J2162" s="33" t="s">
        <v>45</v>
      </c>
      <c r="K2162" s="46">
        <v>0</v>
      </c>
      <c r="L2162">
        <v>2.6</v>
      </c>
      <c r="M2162" t="s">
        <v>48</v>
      </c>
      <c r="N2162" s="46">
        <v>0</v>
      </c>
      <c r="O2162" s="46">
        <v>0</v>
      </c>
      <c r="P2162" s="46">
        <v>0</v>
      </c>
      <c r="Q2162" t="s">
        <v>48</v>
      </c>
      <c r="R2162" t="s">
        <v>48</v>
      </c>
      <c r="S2162" t="s">
        <v>48</v>
      </c>
      <c r="T2162" t="s">
        <v>48</v>
      </c>
      <c r="U2162" t="s">
        <v>48</v>
      </c>
      <c r="V2162" s="47">
        <v>0</v>
      </c>
      <c r="W2162" t="s">
        <v>48</v>
      </c>
      <c r="X2162" t="s">
        <v>48</v>
      </c>
      <c r="Y2162" t="s">
        <v>48</v>
      </c>
      <c r="Z2162" t="s">
        <v>48</v>
      </c>
      <c r="AA2162" t="s">
        <v>48</v>
      </c>
      <c r="AB2162" t="s">
        <v>48</v>
      </c>
      <c r="AC2162" t="s">
        <v>63</v>
      </c>
      <c r="AD2162" t="s">
        <v>93</v>
      </c>
      <c r="AE2162" t="s">
        <v>4532</v>
      </c>
      <c r="AF2162" t="s">
        <v>48</v>
      </c>
      <c r="AG2162" t="s">
        <v>48</v>
      </c>
      <c r="AH2162" t="s">
        <v>48</v>
      </c>
      <c r="AI2162" t="s">
        <v>48</v>
      </c>
      <c r="AJ2162" t="s">
        <v>48</v>
      </c>
      <c r="AK2162" t="s">
        <v>48</v>
      </c>
      <c r="AL2162" t="s">
        <v>48</v>
      </c>
      <c r="AM2162" t="s">
        <v>48</v>
      </c>
      <c r="AN2162" t="s">
        <v>48</v>
      </c>
      <c r="AO2162" t="s">
        <v>48</v>
      </c>
      <c r="AP2162" s="46">
        <v>0</v>
      </c>
      <c r="AQ2162" s="46">
        <v>0</v>
      </c>
      <c r="AR2162" s="46">
        <v>0</v>
      </c>
      <c r="AS2162" s="46">
        <v>0</v>
      </c>
      <c r="AT2162" s="46">
        <v>0</v>
      </c>
      <c r="AU2162" s="46">
        <v>0</v>
      </c>
      <c r="AV2162" s="46">
        <v>0</v>
      </c>
      <c r="AW2162" s="46">
        <v>0</v>
      </c>
      <c r="AX2162" s="46">
        <v>0</v>
      </c>
      <c r="AY2162" s="46">
        <v>0</v>
      </c>
      <c r="AZ2162" s="46">
        <v>0</v>
      </c>
      <c r="BA2162" s="46">
        <v>0</v>
      </c>
      <c r="BB2162" s="46">
        <v>0</v>
      </c>
      <c r="BC2162" s="46">
        <v>0</v>
      </c>
      <c r="BD2162" s="46">
        <v>0</v>
      </c>
      <c r="BE2162" s="46">
        <v>0</v>
      </c>
      <c r="BF2162" s="46">
        <v>0</v>
      </c>
      <c r="BG2162" s="46" t="s">
        <v>48</v>
      </c>
      <c r="BH2162" s="46">
        <v>0</v>
      </c>
      <c r="BI2162" s="46">
        <v>0</v>
      </c>
      <c r="BJ2162" s="46">
        <v>0</v>
      </c>
      <c r="BK2162" s="46">
        <v>0</v>
      </c>
      <c r="BL2162" s="46">
        <v>0</v>
      </c>
      <c r="BM2162" s="46">
        <v>0</v>
      </c>
      <c r="BN2162" s="46">
        <v>0</v>
      </c>
    </row>
    <row r="2163" spans="1:66" x14ac:dyDescent="0.35">
      <c r="A2163" s="44" t="s">
        <v>5683</v>
      </c>
      <c r="B2163" t="s">
        <v>48</v>
      </c>
      <c r="C2163" t="s">
        <v>12288</v>
      </c>
      <c r="D2163" t="s">
        <v>1439</v>
      </c>
      <c r="E2163" t="s">
        <v>7959</v>
      </c>
      <c r="F2163" t="s">
        <v>72</v>
      </c>
      <c r="G2163" t="s">
        <v>47</v>
      </c>
      <c r="H2163">
        <v>0</v>
      </c>
      <c r="I2163" s="60" t="s">
        <v>51</v>
      </c>
      <c r="J2163" s="33" t="s">
        <v>45</v>
      </c>
      <c r="K2163" s="46">
        <v>0</v>
      </c>
      <c r="L2163">
        <v>16.399999999999999</v>
      </c>
      <c r="M2163" t="s">
        <v>48</v>
      </c>
      <c r="N2163" s="46">
        <v>0</v>
      </c>
      <c r="O2163" s="46">
        <v>0</v>
      </c>
      <c r="P2163" s="46">
        <v>0</v>
      </c>
      <c r="Q2163" t="s">
        <v>48</v>
      </c>
      <c r="R2163" t="s">
        <v>48</v>
      </c>
      <c r="S2163" t="s">
        <v>5684</v>
      </c>
      <c r="T2163" t="s">
        <v>48</v>
      </c>
      <c r="U2163" t="s">
        <v>5684</v>
      </c>
      <c r="V2163" s="47">
        <v>0</v>
      </c>
      <c r="W2163" t="s">
        <v>48</v>
      </c>
      <c r="X2163" t="s">
        <v>48</v>
      </c>
      <c r="Y2163" t="s">
        <v>48</v>
      </c>
      <c r="Z2163">
        <v>0</v>
      </c>
      <c r="AA2163" t="s">
        <v>48</v>
      </c>
      <c r="AB2163" t="s">
        <v>48</v>
      </c>
      <c r="AC2163" t="s">
        <v>63</v>
      </c>
      <c r="AD2163" t="s">
        <v>93</v>
      </c>
      <c r="AE2163" t="s">
        <v>4532</v>
      </c>
      <c r="AF2163" t="s">
        <v>48</v>
      </c>
      <c r="AG2163" t="s">
        <v>48</v>
      </c>
      <c r="AH2163" t="s">
        <v>48</v>
      </c>
      <c r="AI2163" t="s">
        <v>48</v>
      </c>
      <c r="AJ2163" t="s">
        <v>48</v>
      </c>
      <c r="AK2163" t="s">
        <v>48</v>
      </c>
      <c r="AL2163" t="s">
        <v>48</v>
      </c>
      <c r="AM2163" t="s">
        <v>48</v>
      </c>
      <c r="AN2163" t="s">
        <v>48</v>
      </c>
      <c r="AO2163" t="s">
        <v>48</v>
      </c>
      <c r="AP2163" s="46">
        <v>0</v>
      </c>
      <c r="AQ2163" s="46">
        <v>0</v>
      </c>
      <c r="AR2163" s="46">
        <v>0</v>
      </c>
      <c r="AS2163" s="46">
        <v>0</v>
      </c>
      <c r="AT2163" s="46">
        <v>0</v>
      </c>
      <c r="AU2163" s="46">
        <v>0</v>
      </c>
      <c r="AV2163" s="46">
        <v>0</v>
      </c>
      <c r="AW2163" s="46">
        <v>0</v>
      </c>
      <c r="AX2163" s="46">
        <v>0</v>
      </c>
      <c r="AY2163" s="46">
        <v>0</v>
      </c>
      <c r="AZ2163" s="46">
        <v>0</v>
      </c>
      <c r="BA2163" s="46">
        <v>0</v>
      </c>
      <c r="BB2163" s="46">
        <v>0</v>
      </c>
      <c r="BC2163" s="46">
        <v>0</v>
      </c>
      <c r="BD2163" s="46">
        <v>0</v>
      </c>
      <c r="BE2163" s="46">
        <v>0</v>
      </c>
      <c r="BF2163" s="46">
        <v>0</v>
      </c>
      <c r="BG2163" s="46" t="s">
        <v>48</v>
      </c>
      <c r="BH2163" s="46">
        <v>0</v>
      </c>
      <c r="BI2163" s="46">
        <v>0</v>
      </c>
      <c r="BJ2163" s="46">
        <v>0</v>
      </c>
      <c r="BK2163" s="46">
        <v>0</v>
      </c>
      <c r="BL2163" s="46">
        <v>0</v>
      </c>
      <c r="BM2163" s="46">
        <v>0</v>
      </c>
      <c r="BN2163" s="46">
        <v>0</v>
      </c>
    </row>
    <row r="2164" spans="1:66" x14ac:dyDescent="0.35">
      <c r="A2164" t="s">
        <v>5712</v>
      </c>
      <c r="B2164" t="s">
        <v>48</v>
      </c>
      <c r="C2164" t="s">
        <v>5715</v>
      </c>
      <c r="D2164" t="s">
        <v>1981</v>
      </c>
      <c r="E2164" t="s">
        <v>5713</v>
      </c>
      <c r="F2164" t="s">
        <v>72</v>
      </c>
      <c r="G2164" t="s">
        <v>47</v>
      </c>
      <c r="H2164">
        <v>0</v>
      </c>
      <c r="I2164" s="60" t="s">
        <v>675</v>
      </c>
      <c r="J2164" s="33" t="s">
        <v>45</v>
      </c>
      <c r="K2164" s="46">
        <v>0</v>
      </c>
      <c r="L2164">
        <v>13.3</v>
      </c>
      <c r="M2164" t="s">
        <v>48</v>
      </c>
      <c r="N2164" s="46">
        <v>0</v>
      </c>
      <c r="O2164" s="46">
        <v>0</v>
      </c>
      <c r="P2164" s="46">
        <v>0</v>
      </c>
      <c r="Q2164" t="s">
        <v>48</v>
      </c>
      <c r="R2164" t="s">
        <v>48</v>
      </c>
      <c r="S2164" t="s">
        <v>5714</v>
      </c>
      <c r="T2164" t="s">
        <v>48</v>
      </c>
      <c r="U2164" t="s">
        <v>5714</v>
      </c>
      <c r="V2164" s="47">
        <v>0</v>
      </c>
      <c r="W2164" t="s">
        <v>48</v>
      </c>
      <c r="X2164" t="s">
        <v>48</v>
      </c>
      <c r="Y2164" t="s">
        <v>48</v>
      </c>
      <c r="Z2164">
        <v>0</v>
      </c>
      <c r="AA2164" t="s">
        <v>48</v>
      </c>
      <c r="AB2164" t="s">
        <v>48</v>
      </c>
      <c r="AC2164" t="s">
        <v>63</v>
      </c>
      <c r="AD2164" t="s">
        <v>93</v>
      </c>
      <c r="AE2164" t="s">
        <v>4532</v>
      </c>
      <c r="AF2164" t="s">
        <v>48</v>
      </c>
      <c r="AG2164" t="s">
        <v>48</v>
      </c>
      <c r="AH2164" t="s">
        <v>48</v>
      </c>
      <c r="AI2164" t="s">
        <v>48</v>
      </c>
      <c r="AJ2164" t="s">
        <v>48</v>
      </c>
      <c r="AK2164" t="s">
        <v>48</v>
      </c>
      <c r="AL2164" t="s">
        <v>48</v>
      </c>
      <c r="AM2164" t="s">
        <v>48</v>
      </c>
      <c r="AN2164" t="s">
        <v>48</v>
      </c>
      <c r="AO2164" t="s">
        <v>48</v>
      </c>
      <c r="AP2164" s="46">
        <v>0</v>
      </c>
      <c r="AQ2164" s="46">
        <v>0</v>
      </c>
      <c r="AR2164" s="46">
        <v>0</v>
      </c>
      <c r="AS2164" s="46">
        <v>0</v>
      </c>
      <c r="AT2164" s="46">
        <v>0</v>
      </c>
      <c r="AU2164" s="46">
        <v>0</v>
      </c>
      <c r="AV2164" s="46">
        <v>0</v>
      </c>
      <c r="AW2164" s="46">
        <v>0</v>
      </c>
      <c r="AX2164" s="46">
        <v>0</v>
      </c>
      <c r="AY2164" s="46">
        <v>0</v>
      </c>
      <c r="AZ2164" s="46">
        <v>0</v>
      </c>
      <c r="BA2164" s="46">
        <v>0</v>
      </c>
      <c r="BB2164" s="46">
        <v>0</v>
      </c>
      <c r="BC2164" s="46">
        <v>0</v>
      </c>
      <c r="BD2164" s="46">
        <v>0</v>
      </c>
      <c r="BE2164" s="46">
        <v>0</v>
      </c>
      <c r="BF2164" s="46">
        <v>0</v>
      </c>
      <c r="BG2164" s="46" t="s">
        <v>48</v>
      </c>
      <c r="BH2164" s="46">
        <v>0</v>
      </c>
      <c r="BI2164" s="46">
        <v>0</v>
      </c>
      <c r="BJ2164" s="46">
        <v>0</v>
      </c>
      <c r="BK2164" s="46">
        <v>0</v>
      </c>
      <c r="BL2164" s="46">
        <v>0</v>
      </c>
      <c r="BM2164" s="46">
        <v>0</v>
      </c>
      <c r="BN2164" s="46">
        <v>0</v>
      </c>
    </row>
    <row r="2165" spans="1:66" x14ac:dyDescent="0.35">
      <c r="A2165" t="s">
        <v>5697</v>
      </c>
      <c r="B2165" s="44" t="s">
        <v>48</v>
      </c>
      <c r="C2165" t="s">
        <v>1794</v>
      </c>
      <c r="D2165" t="s">
        <v>5700</v>
      </c>
      <c r="E2165" t="s">
        <v>5698</v>
      </c>
      <c r="F2165" t="s">
        <v>72</v>
      </c>
      <c r="G2165" t="s">
        <v>74</v>
      </c>
      <c r="H2165">
        <v>0</v>
      </c>
      <c r="I2165" s="60" t="s">
        <v>125</v>
      </c>
      <c r="J2165" s="33" t="s">
        <v>45</v>
      </c>
      <c r="K2165" s="46">
        <v>0</v>
      </c>
      <c r="L2165">
        <v>18.600000000000001</v>
      </c>
      <c r="M2165" t="s">
        <v>48</v>
      </c>
      <c r="N2165" s="46">
        <v>0</v>
      </c>
      <c r="O2165" s="46">
        <v>0</v>
      </c>
      <c r="P2165" s="46">
        <v>0</v>
      </c>
      <c r="Q2165" t="s">
        <v>48</v>
      </c>
      <c r="R2165" t="s">
        <v>48</v>
      </c>
      <c r="S2165" t="s">
        <v>5699</v>
      </c>
      <c r="T2165" t="s">
        <v>48</v>
      </c>
      <c r="U2165" t="s">
        <v>5699</v>
      </c>
      <c r="V2165" s="47">
        <v>0</v>
      </c>
      <c r="W2165" t="s">
        <v>48</v>
      </c>
      <c r="X2165" t="s">
        <v>48</v>
      </c>
      <c r="Y2165" t="s">
        <v>48</v>
      </c>
      <c r="Z2165">
        <v>0</v>
      </c>
      <c r="AA2165" t="s">
        <v>48</v>
      </c>
      <c r="AB2165" t="s">
        <v>48</v>
      </c>
      <c r="AC2165" t="s">
        <v>49</v>
      </c>
      <c r="AD2165" t="s">
        <v>93</v>
      </c>
      <c r="AE2165" t="s">
        <v>4532</v>
      </c>
      <c r="AF2165" t="s">
        <v>48</v>
      </c>
      <c r="AG2165" t="s">
        <v>48</v>
      </c>
      <c r="AH2165" t="s">
        <v>48</v>
      </c>
      <c r="AI2165" t="s">
        <v>48</v>
      </c>
      <c r="AJ2165" t="s">
        <v>48</v>
      </c>
      <c r="AK2165" t="s">
        <v>48</v>
      </c>
      <c r="AL2165" t="s">
        <v>48</v>
      </c>
      <c r="AM2165" t="s">
        <v>48</v>
      </c>
      <c r="AN2165" t="s">
        <v>48</v>
      </c>
      <c r="AO2165" t="s">
        <v>48</v>
      </c>
      <c r="AP2165" s="46">
        <v>0</v>
      </c>
      <c r="AQ2165" s="46">
        <v>0</v>
      </c>
      <c r="AR2165" s="46">
        <v>0</v>
      </c>
      <c r="AS2165" s="46">
        <v>0</v>
      </c>
      <c r="AT2165" s="46">
        <v>0</v>
      </c>
      <c r="AU2165" s="46">
        <v>0</v>
      </c>
      <c r="AV2165" s="46">
        <v>0</v>
      </c>
      <c r="AW2165" s="46">
        <v>0</v>
      </c>
      <c r="AX2165" s="46">
        <v>0</v>
      </c>
      <c r="AY2165" s="46">
        <v>0</v>
      </c>
      <c r="AZ2165" s="46">
        <v>0</v>
      </c>
      <c r="BA2165" s="46">
        <v>0</v>
      </c>
      <c r="BB2165" s="46">
        <v>0</v>
      </c>
      <c r="BC2165" s="46">
        <v>0</v>
      </c>
      <c r="BD2165" s="46">
        <v>0</v>
      </c>
      <c r="BE2165" s="46">
        <v>0</v>
      </c>
      <c r="BF2165" s="46">
        <v>0</v>
      </c>
      <c r="BG2165" s="46" t="s">
        <v>48</v>
      </c>
      <c r="BH2165" s="46">
        <v>0</v>
      </c>
      <c r="BI2165" s="46">
        <v>0</v>
      </c>
      <c r="BJ2165" s="46">
        <v>0</v>
      </c>
      <c r="BK2165" s="46">
        <v>0</v>
      </c>
      <c r="BL2165" s="46">
        <v>0</v>
      </c>
      <c r="BM2165" s="46">
        <v>0</v>
      </c>
      <c r="BN2165" s="46">
        <v>0</v>
      </c>
    </row>
    <row r="2166" spans="1:66" x14ac:dyDescent="0.35">
      <c r="A2166" t="s">
        <v>5626</v>
      </c>
      <c r="B2166" t="s">
        <v>48</v>
      </c>
      <c r="C2166" t="s">
        <v>2600</v>
      </c>
      <c r="D2166" t="s">
        <v>268</v>
      </c>
      <c r="E2166" t="s">
        <v>9759</v>
      </c>
      <c r="F2166" t="s">
        <v>72</v>
      </c>
      <c r="G2166" t="s">
        <v>47</v>
      </c>
      <c r="H2166">
        <v>0</v>
      </c>
      <c r="I2166" s="61">
        <v>44749</v>
      </c>
      <c r="J2166" s="33" t="s">
        <v>45</v>
      </c>
      <c r="K2166" s="46">
        <v>0</v>
      </c>
      <c r="L2166">
        <v>3.9</v>
      </c>
      <c r="M2166" t="s">
        <v>48</v>
      </c>
      <c r="N2166" s="46">
        <v>0</v>
      </c>
      <c r="O2166" s="46">
        <v>0</v>
      </c>
      <c r="P2166" s="46">
        <v>0</v>
      </c>
      <c r="Q2166" t="s">
        <v>48</v>
      </c>
      <c r="R2166" t="s">
        <v>48</v>
      </c>
      <c r="S2166" t="s">
        <v>48</v>
      </c>
      <c r="T2166" t="s">
        <v>48</v>
      </c>
      <c r="U2166" t="s">
        <v>48</v>
      </c>
      <c r="V2166" s="47">
        <v>1</v>
      </c>
      <c r="W2166" t="s">
        <v>48</v>
      </c>
      <c r="X2166" t="s">
        <v>48</v>
      </c>
      <c r="Y2166" t="s">
        <v>48</v>
      </c>
      <c r="Z2166">
        <v>0</v>
      </c>
      <c r="AA2166" t="s">
        <v>48</v>
      </c>
      <c r="AB2166" t="s">
        <v>48</v>
      </c>
      <c r="AC2166" t="s">
        <v>49</v>
      </c>
      <c r="AD2166" t="s">
        <v>93</v>
      </c>
      <c r="AE2166" t="s">
        <v>4532</v>
      </c>
      <c r="AF2166" t="s">
        <v>48</v>
      </c>
      <c r="AG2166" t="s">
        <v>48</v>
      </c>
      <c r="AH2166" t="s">
        <v>48</v>
      </c>
      <c r="AI2166" t="s">
        <v>48</v>
      </c>
      <c r="AJ2166" t="s">
        <v>48</v>
      </c>
      <c r="AK2166" t="s">
        <v>48</v>
      </c>
      <c r="AL2166" t="s">
        <v>48</v>
      </c>
      <c r="AM2166" t="s">
        <v>48</v>
      </c>
      <c r="AN2166" t="s">
        <v>48</v>
      </c>
      <c r="AO2166" t="s">
        <v>48</v>
      </c>
      <c r="AP2166" s="46">
        <v>0</v>
      </c>
      <c r="AQ2166" s="46">
        <v>0</v>
      </c>
      <c r="AR2166" s="46">
        <v>0</v>
      </c>
      <c r="AS2166" s="46">
        <v>0</v>
      </c>
      <c r="AT2166" s="46">
        <v>0</v>
      </c>
      <c r="AU2166" s="46">
        <v>0</v>
      </c>
      <c r="AV2166" s="46">
        <v>0</v>
      </c>
      <c r="AW2166" s="46">
        <v>0</v>
      </c>
      <c r="AX2166" s="46">
        <v>0</v>
      </c>
      <c r="AY2166" s="46">
        <v>0</v>
      </c>
      <c r="AZ2166" s="46">
        <v>0</v>
      </c>
      <c r="BA2166" s="46">
        <v>0</v>
      </c>
      <c r="BB2166" s="46">
        <v>0</v>
      </c>
      <c r="BC2166" s="46">
        <v>0</v>
      </c>
      <c r="BD2166" s="46">
        <v>0</v>
      </c>
      <c r="BE2166" s="46">
        <v>0</v>
      </c>
      <c r="BF2166" s="46">
        <v>0</v>
      </c>
      <c r="BG2166" s="46" t="s">
        <v>48</v>
      </c>
      <c r="BH2166" s="46">
        <v>0</v>
      </c>
      <c r="BI2166" s="46">
        <v>0</v>
      </c>
      <c r="BJ2166" s="46">
        <v>0</v>
      </c>
      <c r="BK2166" s="46">
        <v>0</v>
      </c>
      <c r="BL2166" s="46">
        <v>0</v>
      </c>
      <c r="BM2166" s="46">
        <v>0</v>
      </c>
      <c r="BN2166" s="46">
        <v>0</v>
      </c>
    </row>
    <row r="2167" spans="1:66" x14ac:dyDescent="0.35">
      <c r="A2167" t="s">
        <v>9760</v>
      </c>
      <c r="B2167" t="s">
        <v>48</v>
      </c>
      <c r="C2167" t="s">
        <v>12289</v>
      </c>
      <c r="D2167" t="s">
        <v>829</v>
      </c>
      <c r="E2167" t="s">
        <v>9761</v>
      </c>
      <c r="F2167" t="s">
        <v>72</v>
      </c>
      <c r="G2167" t="s">
        <v>47</v>
      </c>
      <c r="H2167">
        <v>0</v>
      </c>
      <c r="I2167" s="61">
        <v>44749</v>
      </c>
      <c r="J2167" s="33" t="s">
        <v>45</v>
      </c>
      <c r="K2167" s="46">
        <v>0</v>
      </c>
      <c r="L2167">
        <v>10.199999999999999</v>
      </c>
      <c r="M2167" t="s">
        <v>48</v>
      </c>
      <c r="N2167" s="46">
        <v>0</v>
      </c>
      <c r="O2167" s="46">
        <v>0</v>
      </c>
      <c r="P2167" s="46">
        <v>0</v>
      </c>
      <c r="Q2167" t="s">
        <v>48</v>
      </c>
      <c r="R2167" t="s">
        <v>48</v>
      </c>
      <c r="S2167" t="s">
        <v>48</v>
      </c>
      <c r="T2167" t="s">
        <v>48</v>
      </c>
      <c r="U2167" t="s">
        <v>48</v>
      </c>
      <c r="V2167" s="47">
        <v>0</v>
      </c>
      <c r="W2167" t="s">
        <v>48</v>
      </c>
      <c r="X2167" t="s">
        <v>48</v>
      </c>
      <c r="Y2167" t="s">
        <v>48</v>
      </c>
      <c r="Z2167" t="s">
        <v>48</v>
      </c>
      <c r="AA2167" t="s">
        <v>48</v>
      </c>
      <c r="AB2167" t="s">
        <v>48</v>
      </c>
      <c r="AC2167" t="s">
        <v>49</v>
      </c>
      <c r="AD2167" t="s">
        <v>48</v>
      </c>
      <c r="AE2167" t="s">
        <v>48</v>
      </c>
      <c r="AF2167" t="s">
        <v>48</v>
      </c>
      <c r="AG2167" t="s">
        <v>48</v>
      </c>
      <c r="AH2167" t="s">
        <v>48</v>
      </c>
      <c r="AI2167" t="s">
        <v>48</v>
      </c>
      <c r="AJ2167" t="s">
        <v>48</v>
      </c>
      <c r="AK2167" t="s">
        <v>48</v>
      </c>
      <c r="AL2167" t="s">
        <v>48</v>
      </c>
      <c r="AM2167" t="s">
        <v>48</v>
      </c>
      <c r="AN2167" t="s">
        <v>48</v>
      </c>
      <c r="AO2167" t="s">
        <v>48</v>
      </c>
      <c r="AP2167" s="46">
        <v>0</v>
      </c>
      <c r="AQ2167" s="46">
        <v>0</v>
      </c>
      <c r="AR2167" s="46">
        <v>0</v>
      </c>
      <c r="AS2167" s="46">
        <v>0</v>
      </c>
      <c r="AT2167" s="46">
        <v>0</v>
      </c>
      <c r="AU2167" s="46">
        <v>0</v>
      </c>
      <c r="AV2167" s="46">
        <v>0</v>
      </c>
      <c r="AW2167" s="46">
        <v>0</v>
      </c>
      <c r="AX2167" s="46">
        <v>0</v>
      </c>
      <c r="AY2167" s="46">
        <v>0</v>
      </c>
      <c r="AZ2167" s="46">
        <v>0</v>
      </c>
      <c r="BA2167" s="46">
        <v>0</v>
      </c>
      <c r="BB2167" s="46">
        <v>0</v>
      </c>
      <c r="BC2167" s="46">
        <v>0</v>
      </c>
      <c r="BD2167" s="46">
        <v>0</v>
      </c>
      <c r="BE2167" s="46">
        <v>0</v>
      </c>
      <c r="BF2167" s="46">
        <v>0</v>
      </c>
      <c r="BG2167" s="46" t="s">
        <v>48</v>
      </c>
      <c r="BH2167" s="46">
        <v>0</v>
      </c>
      <c r="BI2167" s="46">
        <v>0</v>
      </c>
      <c r="BJ2167" s="46">
        <v>0</v>
      </c>
      <c r="BK2167" s="46">
        <v>0</v>
      </c>
      <c r="BL2167" s="46">
        <v>0</v>
      </c>
      <c r="BM2167" s="46">
        <v>0</v>
      </c>
      <c r="BN2167" s="46">
        <v>0</v>
      </c>
    </row>
    <row r="2168" spans="1:66" x14ac:dyDescent="0.35">
      <c r="A2168" t="s">
        <v>5701</v>
      </c>
      <c r="B2168" s="44" t="s">
        <v>48</v>
      </c>
      <c r="C2168" t="s">
        <v>992</v>
      </c>
      <c r="D2168" t="s">
        <v>679</v>
      </c>
      <c r="E2168" t="s">
        <v>5702</v>
      </c>
      <c r="F2168" t="s">
        <v>72</v>
      </c>
      <c r="G2168" t="s">
        <v>74</v>
      </c>
      <c r="H2168">
        <v>0</v>
      </c>
      <c r="I2168" s="60" t="s">
        <v>149</v>
      </c>
      <c r="J2168" s="33" t="s">
        <v>45</v>
      </c>
      <c r="K2168" s="46">
        <v>0</v>
      </c>
      <c r="L2168">
        <v>8</v>
      </c>
      <c r="M2168" t="s">
        <v>48</v>
      </c>
      <c r="N2168" s="46">
        <v>0</v>
      </c>
      <c r="O2168" s="46">
        <v>0</v>
      </c>
      <c r="P2168" s="46">
        <v>0</v>
      </c>
      <c r="Q2168" t="s">
        <v>48</v>
      </c>
      <c r="R2168" t="s">
        <v>48</v>
      </c>
      <c r="S2168" t="s">
        <v>5703</v>
      </c>
      <c r="T2168" t="s">
        <v>48</v>
      </c>
      <c r="U2168" t="s">
        <v>5703</v>
      </c>
      <c r="V2168" s="47">
        <v>0</v>
      </c>
      <c r="W2168" t="s">
        <v>48</v>
      </c>
      <c r="X2168" t="s">
        <v>48</v>
      </c>
      <c r="Y2168" t="s">
        <v>48</v>
      </c>
      <c r="Z2168">
        <v>0</v>
      </c>
      <c r="AA2168" t="s">
        <v>48</v>
      </c>
      <c r="AB2168" t="s">
        <v>48</v>
      </c>
      <c r="AC2168" t="s">
        <v>63</v>
      </c>
      <c r="AD2168" t="s">
        <v>93</v>
      </c>
      <c r="AE2168" t="s">
        <v>4532</v>
      </c>
      <c r="AF2168" t="s">
        <v>48</v>
      </c>
      <c r="AG2168" t="s">
        <v>1165</v>
      </c>
      <c r="AH2168" t="s">
        <v>48</v>
      </c>
      <c r="AI2168" t="s">
        <v>48</v>
      </c>
      <c r="AJ2168" t="s">
        <v>48</v>
      </c>
      <c r="AK2168" t="s">
        <v>48</v>
      </c>
      <c r="AL2168" t="s">
        <v>48</v>
      </c>
      <c r="AM2168" t="s">
        <v>48</v>
      </c>
      <c r="AN2168" t="s">
        <v>48</v>
      </c>
      <c r="AO2168" t="s">
        <v>48</v>
      </c>
      <c r="AP2168" s="46">
        <v>0</v>
      </c>
      <c r="AQ2168" s="46">
        <v>0</v>
      </c>
      <c r="AR2168" s="46">
        <v>0</v>
      </c>
      <c r="AS2168" s="46">
        <v>0</v>
      </c>
      <c r="AT2168" s="46">
        <v>0</v>
      </c>
      <c r="AU2168" s="46">
        <v>0</v>
      </c>
      <c r="AV2168" s="46">
        <v>0</v>
      </c>
      <c r="AW2168" s="46">
        <v>0</v>
      </c>
      <c r="AX2168" s="46">
        <v>0</v>
      </c>
      <c r="AY2168" s="46">
        <v>0</v>
      </c>
      <c r="AZ2168" s="46">
        <v>0</v>
      </c>
      <c r="BA2168" s="46">
        <v>0</v>
      </c>
      <c r="BB2168" s="46">
        <v>0</v>
      </c>
      <c r="BC2168" s="46">
        <v>0</v>
      </c>
      <c r="BD2168" s="46">
        <v>0</v>
      </c>
      <c r="BE2168" s="46">
        <v>0</v>
      </c>
      <c r="BF2168" s="46">
        <v>0</v>
      </c>
      <c r="BG2168" s="46" t="s">
        <v>48</v>
      </c>
      <c r="BH2168" s="46">
        <v>0</v>
      </c>
      <c r="BI2168" s="46">
        <v>0</v>
      </c>
      <c r="BJ2168" s="46">
        <v>0</v>
      </c>
      <c r="BK2168" s="46">
        <v>0</v>
      </c>
      <c r="BL2168" s="46">
        <v>0</v>
      </c>
      <c r="BM2168" s="46">
        <v>0</v>
      </c>
      <c r="BN2168" s="46">
        <v>0</v>
      </c>
    </row>
    <row r="2169" spans="1:66" x14ac:dyDescent="0.35">
      <c r="A2169" t="s">
        <v>5719</v>
      </c>
      <c r="B2169" s="44" t="s">
        <v>48</v>
      </c>
      <c r="C2169" t="s">
        <v>80</v>
      </c>
      <c r="D2169" t="s">
        <v>5722</v>
      </c>
      <c r="E2169" t="s">
        <v>5720</v>
      </c>
      <c r="F2169" t="s">
        <v>72</v>
      </c>
      <c r="G2169" t="s">
        <v>74</v>
      </c>
      <c r="H2169">
        <v>0</v>
      </c>
      <c r="I2169" s="60" t="s">
        <v>51</v>
      </c>
      <c r="J2169" s="33" t="s">
        <v>45</v>
      </c>
      <c r="K2169" s="46">
        <v>0</v>
      </c>
      <c r="L2169">
        <v>9.9</v>
      </c>
      <c r="M2169" t="s">
        <v>48</v>
      </c>
      <c r="N2169" s="46">
        <v>0</v>
      </c>
      <c r="O2169" s="46">
        <v>0</v>
      </c>
      <c r="P2169" s="46">
        <v>0</v>
      </c>
      <c r="Q2169" t="s">
        <v>48</v>
      </c>
      <c r="R2169" t="s">
        <v>48</v>
      </c>
      <c r="S2169" t="s">
        <v>5721</v>
      </c>
      <c r="T2169" t="s">
        <v>48</v>
      </c>
      <c r="U2169" t="s">
        <v>5721</v>
      </c>
      <c r="V2169" s="47">
        <v>0</v>
      </c>
      <c r="W2169" t="s">
        <v>48</v>
      </c>
      <c r="X2169" t="s">
        <v>48</v>
      </c>
      <c r="Y2169" t="s">
        <v>48</v>
      </c>
      <c r="Z2169">
        <v>0</v>
      </c>
      <c r="AA2169" t="s">
        <v>48</v>
      </c>
      <c r="AB2169" t="s">
        <v>48</v>
      </c>
      <c r="AC2169" t="s">
        <v>63</v>
      </c>
      <c r="AD2169" t="s">
        <v>93</v>
      </c>
      <c r="AE2169" s="40" t="s">
        <v>2471</v>
      </c>
      <c r="AF2169" t="s">
        <v>11061</v>
      </c>
      <c r="AG2169" t="s">
        <v>48</v>
      </c>
      <c r="AH2169" t="s">
        <v>48</v>
      </c>
      <c r="AI2169" t="s">
        <v>48</v>
      </c>
      <c r="AJ2169" t="s">
        <v>48</v>
      </c>
      <c r="AK2169" t="s">
        <v>48</v>
      </c>
      <c r="AL2169" t="s">
        <v>48</v>
      </c>
      <c r="AM2169" t="s">
        <v>48</v>
      </c>
      <c r="AN2169" t="s">
        <v>48</v>
      </c>
      <c r="AO2169" t="s">
        <v>48</v>
      </c>
      <c r="AP2169" s="46">
        <v>0</v>
      </c>
      <c r="AQ2169" s="46">
        <v>0</v>
      </c>
      <c r="AR2169" s="46">
        <v>0</v>
      </c>
      <c r="AS2169" s="46">
        <v>0</v>
      </c>
      <c r="AT2169" s="46">
        <v>0</v>
      </c>
      <c r="AU2169" s="46">
        <v>0</v>
      </c>
      <c r="AV2169" s="46">
        <v>0</v>
      </c>
      <c r="AW2169" s="46">
        <v>0</v>
      </c>
      <c r="AX2169" s="46">
        <v>0</v>
      </c>
      <c r="AY2169" s="46">
        <v>0</v>
      </c>
      <c r="AZ2169" s="46">
        <v>0</v>
      </c>
      <c r="BA2169" s="46">
        <v>0</v>
      </c>
      <c r="BB2169" s="46">
        <v>0</v>
      </c>
      <c r="BC2169" s="46">
        <v>0</v>
      </c>
      <c r="BD2169" s="46">
        <v>0</v>
      </c>
      <c r="BE2169" s="46">
        <v>0</v>
      </c>
      <c r="BF2169" s="46">
        <v>0</v>
      </c>
      <c r="BG2169" s="46" t="s">
        <v>48</v>
      </c>
      <c r="BH2169" s="46">
        <v>0</v>
      </c>
      <c r="BI2169" s="46">
        <v>0</v>
      </c>
      <c r="BJ2169" s="46">
        <v>0</v>
      </c>
      <c r="BK2169" s="46">
        <v>0</v>
      </c>
      <c r="BL2169" s="46">
        <v>0</v>
      </c>
      <c r="BM2169" s="46">
        <v>0</v>
      </c>
      <c r="BN2169" s="46">
        <v>0</v>
      </c>
    </row>
    <row r="2170" spans="1:66" x14ac:dyDescent="0.35">
      <c r="A2170" t="s">
        <v>5723</v>
      </c>
      <c r="B2170" s="44" t="s">
        <v>48</v>
      </c>
      <c r="C2170" t="s">
        <v>1440</v>
      </c>
      <c r="D2170" t="s">
        <v>1193</v>
      </c>
      <c r="E2170" t="s">
        <v>5724</v>
      </c>
      <c r="F2170" t="s">
        <v>72</v>
      </c>
      <c r="G2170" t="s">
        <v>74</v>
      </c>
      <c r="H2170">
        <v>0</v>
      </c>
      <c r="I2170" s="60" t="s">
        <v>190</v>
      </c>
      <c r="J2170" s="33" t="s">
        <v>45</v>
      </c>
      <c r="K2170" s="46">
        <v>0</v>
      </c>
      <c r="L2170">
        <v>8.1</v>
      </c>
      <c r="M2170" t="s">
        <v>48</v>
      </c>
      <c r="N2170" s="46">
        <v>0</v>
      </c>
      <c r="O2170" s="46">
        <v>0</v>
      </c>
      <c r="P2170" s="46">
        <v>0</v>
      </c>
      <c r="Q2170" t="s">
        <v>48</v>
      </c>
      <c r="R2170" t="s">
        <v>48</v>
      </c>
      <c r="S2170" t="s">
        <v>5725</v>
      </c>
      <c r="T2170" t="s">
        <v>48</v>
      </c>
      <c r="U2170" t="s">
        <v>5725</v>
      </c>
      <c r="V2170" s="47">
        <v>1</v>
      </c>
      <c r="W2170" t="s">
        <v>48</v>
      </c>
      <c r="X2170" t="s">
        <v>48</v>
      </c>
      <c r="Y2170" t="s">
        <v>48</v>
      </c>
      <c r="Z2170">
        <v>0</v>
      </c>
      <c r="AA2170" t="s">
        <v>48</v>
      </c>
      <c r="AB2170" t="s">
        <v>48</v>
      </c>
      <c r="AC2170" t="s">
        <v>49</v>
      </c>
      <c r="AD2170" t="s">
        <v>93</v>
      </c>
      <c r="AE2170" t="s">
        <v>4532</v>
      </c>
      <c r="AF2170" t="s">
        <v>48</v>
      </c>
      <c r="AG2170" t="s">
        <v>48</v>
      </c>
      <c r="AH2170" t="s">
        <v>48</v>
      </c>
      <c r="AI2170" t="s">
        <v>48</v>
      </c>
      <c r="AJ2170" t="s">
        <v>48</v>
      </c>
      <c r="AK2170" t="s">
        <v>48</v>
      </c>
      <c r="AL2170" t="s">
        <v>48</v>
      </c>
      <c r="AM2170" t="s">
        <v>48</v>
      </c>
      <c r="AN2170" t="s">
        <v>48</v>
      </c>
      <c r="AO2170" t="s">
        <v>48</v>
      </c>
      <c r="AP2170" s="46">
        <v>0</v>
      </c>
      <c r="AQ2170" s="46">
        <v>0</v>
      </c>
      <c r="AR2170" s="46">
        <v>0</v>
      </c>
      <c r="AS2170" s="46">
        <v>0</v>
      </c>
      <c r="AT2170" s="46">
        <v>0</v>
      </c>
      <c r="AU2170" s="46">
        <v>0</v>
      </c>
      <c r="AV2170" s="46">
        <v>0</v>
      </c>
      <c r="AW2170" s="46">
        <v>0</v>
      </c>
      <c r="AX2170" s="46">
        <v>0</v>
      </c>
      <c r="AY2170" s="46">
        <v>0</v>
      </c>
      <c r="AZ2170" s="46">
        <v>0</v>
      </c>
      <c r="BA2170" s="46">
        <v>0</v>
      </c>
      <c r="BB2170" s="46">
        <v>0</v>
      </c>
      <c r="BC2170" s="46">
        <v>0</v>
      </c>
      <c r="BD2170" s="46">
        <v>0</v>
      </c>
      <c r="BE2170" s="46">
        <v>0</v>
      </c>
      <c r="BF2170" s="46">
        <v>0</v>
      </c>
      <c r="BG2170" s="46" t="s">
        <v>48</v>
      </c>
      <c r="BH2170" s="46">
        <v>0</v>
      </c>
      <c r="BI2170" s="46">
        <v>0</v>
      </c>
      <c r="BJ2170" s="46">
        <v>0</v>
      </c>
      <c r="BK2170" s="46">
        <v>0</v>
      </c>
      <c r="BL2170" s="46">
        <v>0</v>
      </c>
      <c r="BM2170" s="46">
        <v>0</v>
      </c>
      <c r="BN2170" s="46">
        <v>0</v>
      </c>
    </row>
    <row r="2171" spans="1:66" x14ac:dyDescent="0.35">
      <c r="A2171" t="s">
        <v>5685</v>
      </c>
      <c r="B2171" t="s">
        <v>48</v>
      </c>
      <c r="C2171" t="s">
        <v>5688</v>
      </c>
      <c r="D2171" t="s">
        <v>5687</v>
      </c>
      <c r="E2171" t="s">
        <v>9762</v>
      </c>
      <c r="F2171" t="s">
        <v>72</v>
      </c>
      <c r="G2171" t="s">
        <v>47</v>
      </c>
      <c r="H2171">
        <v>0</v>
      </c>
      <c r="I2171" s="61">
        <v>44749</v>
      </c>
      <c r="J2171" s="33" t="s">
        <v>45</v>
      </c>
      <c r="K2171" s="46">
        <v>0</v>
      </c>
      <c r="L2171">
        <v>3.6</v>
      </c>
      <c r="M2171" t="s">
        <v>48</v>
      </c>
      <c r="N2171" s="46">
        <v>0</v>
      </c>
      <c r="O2171" s="46">
        <v>0</v>
      </c>
      <c r="P2171" s="46">
        <v>0</v>
      </c>
      <c r="Q2171" t="s">
        <v>48</v>
      </c>
      <c r="R2171" t="s">
        <v>48</v>
      </c>
      <c r="S2171" t="s">
        <v>5686</v>
      </c>
      <c r="T2171" t="s">
        <v>48</v>
      </c>
      <c r="U2171" t="s">
        <v>5686</v>
      </c>
      <c r="V2171" s="47">
        <v>0</v>
      </c>
      <c r="W2171" t="s">
        <v>48</v>
      </c>
      <c r="X2171" t="s">
        <v>48</v>
      </c>
      <c r="Y2171" t="s">
        <v>48</v>
      </c>
      <c r="Z2171">
        <v>0</v>
      </c>
      <c r="AA2171" t="s">
        <v>48</v>
      </c>
      <c r="AB2171" t="s">
        <v>48</v>
      </c>
      <c r="AC2171" t="s">
        <v>49</v>
      </c>
      <c r="AD2171" t="s">
        <v>93</v>
      </c>
      <c r="AE2171" t="s">
        <v>4532</v>
      </c>
      <c r="AF2171" t="s">
        <v>48</v>
      </c>
      <c r="AG2171" t="s">
        <v>48</v>
      </c>
      <c r="AH2171" t="s">
        <v>48</v>
      </c>
      <c r="AI2171" t="s">
        <v>48</v>
      </c>
      <c r="AJ2171" t="s">
        <v>48</v>
      </c>
      <c r="AK2171" t="s">
        <v>48</v>
      </c>
      <c r="AL2171" t="s">
        <v>48</v>
      </c>
      <c r="AM2171" t="s">
        <v>48</v>
      </c>
      <c r="AN2171" t="s">
        <v>48</v>
      </c>
      <c r="AO2171" t="s">
        <v>48</v>
      </c>
      <c r="AP2171" s="46">
        <v>0</v>
      </c>
      <c r="AQ2171" s="46">
        <v>0</v>
      </c>
      <c r="AR2171" s="46">
        <v>0</v>
      </c>
      <c r="AS2171" s="46">
        <v>0</v>
      </c>
      <c r="AT2171" s="46">
        <v>0</v>
      </c>
      <c r="AU2171" s="46">
        <v>0</v>
      </c>
      <c r="AV2171" s="46">
        <v>0</v>
      </c>
      <c r="AW2171" s="46">
        <v>0</v>
      </c>
      <c r="AX2171" s="46">
        <v>0</v>
      </c>
      <c r="AY2171" s="46">
        <v>0</v>
      </c>
      <c r="AZ2171" s="46">
        <v>0</v>
      </c>
      <c r="BA2171" s="46">
        <v>0</v>
      </c>
      <c r="BB2171" s="46">
        <v>0</v>
      </c>
      <c r="BC2171" s="46">
        <v>0</v>
      </c>
      <c r="BD2171" s="46">
        <v>0</v>
      </c>
      <c r="BE2171" s="46">
        <v>0</v>
      </c>
      <c r="BF2171" s="46">
        <v>0</v>
      </c>
      <c r="BG2171" s="46" t="s">
        <v>48</v>
      </c>
      <c r="BH2171" s="46">
        <v>0</v>
      </c>
      <c r="BI2171" s="46">
        <v>0</v>
      </c>
      <c r="BJ2171" s="46">
        <v>0</v>
      </c>
      <c r="BK2171" s="46">
        <v>0</v>
      </c>
      <c r="BL2171" s="46">
        <v>0</v>
      </c>
      <c r="BM2171" s="46">
        <v>0</v>
      </c>
      <c r="BN2171" s="46">
        <v>0</v>
      </c>
    </row>
    <row r="2172" spans="1:66" x14ac:dyDescent="0.35">
      <c r="A2172" t="s">
        <v>5708</v>
      </c>
      <c r="B2172" t="s">
        <v>48</v>
      </c>
      <c r="C2172" t="s">
        <v>5711</v>
      </c>
      <c r="D2172" t="s">
        <v>673</v>
      </c>
      <c r="E2172" t="s">
        <v>5709</v>
      </c>
      <c r="F2172" t="s">
        <v>72</v>
      </c>
      <c r="G2172" t="s">
        <v>47</v>
      </c>
      <c r="H2172">
        <v>0</v>
      </c>
      <c r="I2172" s="60" t="s">
        <v>675</v>
      </c>
      <c r="J2172" s="33" t="s">
        <v>45</v>
      </c>
      <c r="K2172" s="46">
        <v>0</v>
      </c>
      <c r="L2172">
        <v>17.7</v>
      </c>
      <c r="M2172" t="s">
        <v>48</v>
      </c>
      <c r="N2172" s="46">
        <v>0</v>
      </c>
      <c r="O2172" s="46">
        <v>0</v>
      </c>
      <c r="P2172" s="46">
        <v>0</v>
      </c>
      <c r="Q2172" t="s">
        <v>48</v>
      </c>
      <c r="R2172" t="s">
        <v>48</v>
      </c>
      <c r="S2172" t="s">
        <v>5710</v>
      </c>
      <c r="T2172" t="s">
        <v>48</v>
      </c>
      <c r="U2172" t="s">
        <v>5710</v>
      </c>
      <c r="V2172" s="47">
        <v>0</v>
      </c>
      <c r="W2172" t="s">
        <v>48</v>
      </c>
      <c r="X2172" t="s">
        <v>48</v>
      </c>
      <c r="Y2172" t="s">
        <v>48</v>
      </c>
      <c r="Z2172">
        <v>0</v>
      </c>
      <c r="AA2172" t="s">
        <v>48</v>
      </c>
      <c r="AB2172" t="s">
        <v>48</v>
      </c>
      <c r="AC2172" t="s">
        <v>49</v>
      </c>
      <c r="AD2172" t="s">
        <v>93</v>
      </c>
      <c r="AE2172" t="s">
        <v>4532</v>
      </c>
      <c r="AF2172" t="s">
        <v>48</v>
      </c>
      <c r="AG2172" t="s">
        <v>48</v>
      </c>
      <c r="AH2172" t="s">
        <v>48</v>
      </c>
      <c r="AI2172" t="s">
        <v>48</v>
      </c>
      <c r="AJ2172" t="s">
        <v>48</v>
      </c>
      <c r="AK2172" t="s">
        <v>48</v>
      </c>
      <c r="AL2172" t="s">
        <v>48</v>
      </c>
      <c r="AM2172" t="s">
        <v>48</v>
      </c>
      <c r="AN2172" t="s">
        <v>48</v>
      </c>
      <c r="AO2172" t="s">
        <v>48</v>
      </c>
      <c r="AP2172" s="46">
        <v>0</v>
      </c>
      <c r="AQ2172" s="46">
        <v>0</v>
      </c>
      <c r="AR2172" s="46">
        <v>0</v>
      </c>
      <c r="AS2172" s="46">
        <v>0</v>
      </c>
      <c r="AT2172" s="46">
        <v>0</v>
      </c>
      <c r="AU2172" s="46">
        <v>0</v>
      </c>
      <c r="AV2172" s="46">
        <v>0</v>
      </c>
      <c r="AW2172" s="46">
        <v>0</v>
      </c>
      <c r="AX2172" s="46">
        <v>0</v>
      </c>
      <c r="AY2172" s="46">
        <v>0</v>
      </c>
      <c r="AZ2172" s="46">
        <v>0</v>
      </c>
      <c r="BA2172" s="46">
        <v>0</v>
      </c>
      <c r="BB2172" s="46">
        <v>0</v>
      </c>
      <c r="BC2172" s="46">
        <v>0</v>
      </c>
      <c r="BD2172" s="46">
        <v>0</v>
      </c>
      <c r="BE2172" s="46">
        <v>0</v>
      </c>
      <c r="BF2172" s="46">
        <v>0</v>
      </c>
      <c r="BG2172" s="46" t="s">
        <v>48</v>
      </c>
      <c r="BH2172" s="46">
        <v>0</v>
      </c>
      <c r="BI2172" s="46">
        <v>0</v>
      </c>
      <c r="BJ2172" s="46">
        <v>0</v>
      </c>
      <c r="BK2172" s="46">
        <v>0</v>
      </c>
      <c r="BL2172" s="46">
        <v>0</v>
      </c>
      <c r="BM2172" s="46">
        <v>0</v>
      </c>
      <c r="BN2172" s="46">
        <v>0</v>
      </c>
    </row>
    <row r="2173" spans="1:66" x14ac:dyDescent="0.35">
      <c r="A2173" t="s">
        <v>71</v>
      </c>
      <c r="B2173" s="44" t="s">
        <v>48</v>
      </c>
      <c r="C2173" t="s">
        <v>556</v>
      </c>
      <c r="D2173" t="s">
        <v>76</v>
      </c>
      <c r="E2173" t="s">
        <v>73</v>
      </c>
      <c r="F2173" t="s">
        <v>72</v>
      </c>
      <c r="G2173" t="s">
        <v>74</v>
      </c>
      <c r="H2173">
        <v>0</v>
      </c>
      <c r="I2173" s="60" t="s">
        <v>78</v>
      </c>
      <c r="J2173" s="33" t="s">
        <v>45</v>
      </c>
      <c r="K2173" s="46">
        <v>0</v>
      </c>
      <c r="L2173">
        <v>11.4</v>
      </c>
      <c r="M2173" t="s">
        <v>48</v>
      </c>
      <c r="N2173" s="46">
        <v>0</v>
      </c>
      <c r="O2173" s="46">
        <v>0</v>
      </c>
      <c r="P2173" s="46">
        <v>0</v>
      </c>
      <c r="Q2173" t="s">
        <v>48</v>
      </c>
      <c r="R2173" t="s">
        <v>48</v>
      </c>
      <c r="S2173" t="s">
        <v>75</v>
      </c>
      <c r="T2173" t="s">
        <v>48</v>
      </c>
      <c r="U2173" t="s">
        <v>75</v>
      </c>
      <c r="V2173" s="47">
        <v>0</v>
      </c>
      <c r="W2173" t="s">
        <v>48</v>
      </c>
      <c r="X2173" t="s">
        <v>48</v>
      </c>
      <c r="Y2173" t="s">
        <v>48</v>
      </c>
      <c r="Z2173">
        <v>0</v>
      </c>
      <c r="AA2173" t="s">
        <v>48</v>
      </c>
      <c r="AB2173" t="s">
        <v>48</v>
      </c>
      <c r="AC2173" t="s">
        <v>49</v>
      </c>
      <c r="AD2173" t="s">
        <v>93</v>
      </c>
      <c r="AE2173" t="s">
        <v>4532</v>
      </c>
      <c r="AF2173" t="s">
        <v>48</v>
      </c>
      <c r="AG2173" t="s">
        <v>48</v>
      </c>
      <c r="AH2173" t="s">
        <v>48</v>
      </c>
      <c r="AI2173" t="s">
        <v>48</v>
      </c>
      <c r="AJ2173" t="s">
        <v>48</v>
      </c>
      <c r="AK2173" t="s">
        <v>48</v>
      </c>
      <c r="AL2173" t="s">
        <v>48</v>
      </c>
      <c r="AM2173" t="s">
        <v>48</v>
      </c>
      <c r="AN2173" t="s">
        <v>48</v>
      </c>
      <c r="AO2173" t="s">
        <v>48</v>
      </c>
      <c r="AP2173" s="46">
        <v>0</v>
      </c>
      <c r="AQ2173" s="46">
        <v>0</v>
      </c>
      <c r="AR2173" s="46">
        <v>0</v>
      </c>
      <c r="AS2173" s="46">
        <v>0</v>
      </c>
      <c r="AT2173" s="46">
        <v>0</v>
      </c>
      <c r="AU2173" s="46">
        <v>0</v>
      </c>
      <c r="AV2173" s="46">
        <v>0</v>
      </c>
      <c r="AW2173" s="46">
        <v>0</v>
      </c>
      <c r="AX2173" s="46">
        <v>0</v>
      </c>
      <c r="AY2173" s="46">
        <v>0</v>
      </c>
      <c r="AZ2173" s="46">
        <v>0</v>
      </c>
      <c r="BA2173" s="46">
        <v>0</v>
      </c>
      <c r="BB2173" s="46">
        <v>0</v>
      </c>
      <c r="BC2173" s="46">
        <v>0</v>
      </c>
      <c r="BD2173" s="46">
        <v>0</v>
      </c>
      <c r="BE2173" s="46">
        <v>0</v>
      </c>
      <c r="BF2173" s="46">
        <v>0</v>
      </c>
      <c r="BG2173" s="46" t="s">
        <v>48</v>
      </c>
      <c r="BH2173" s="46">
        <v>0</v>
      </c>
      <c r="BI2173" s="46">
        <v>0</v>
      </c>
      <c r="BJ2173" s="46">
        <v>0</v>
      </c>
      <c r="BK2173" s="46">
        <v>0</v>
      </c>
      <c r="BL2173" s="46">
        <v>0</v>
      </c>
      <c r="BM2173" s="46">
        <v>0</v>
      </c>
      <c r="BN2173" s="46">
        <v>0</v>
      </c>
    </row>
    <row r="2174" spans="1:66" x14ac:dyDescent="0.35">
      <c r="A2174" t="s">
        <v>5704</v>
      </c>
      <c r="B2174" s="44" t="s">
        <v>48</v>
      </c>
      <c r="C2174" t="s">
        <v>12291</v>
      </c>
      <c r="D2174" t="s">
        <v>1979</v>
      </c>
      <c r="E2174" t="s">
        <v>5705</v>
      </c>
      <c r="F2174" t="s">
        <v>72</v>
      </c>
      <c r="G2174" t="s">
        <v>74</v>
      </c>
      <c r="H2174">
        <v>0</v>
      </c>
      <c r="I2174" s="60" t="s">
        <v>125</v>
      </c>
      <c r="J2174" s="33" t="s">
        <v>45</v>
      </c>
      <c r="K2174" s="46">
        <v>0</v>
      </c>
      <c r="L2174">
        <v>6.7</v>
      </c>
      <c r="M2174" t="s">
        <v>48</v>
      </c>
      <c r="N2174" s="46">
        <v>0</v>
      </c>
      <c r="O2174" s="46">
        <v>0</v>
      </c>
      <c r="P2174" s="46">
        <v>0</v>
      </c>
      <c r="Q2174" t="s">
        <v>48</v>
      </c>
      <c r="R2174" t="s">
        <v>48</v>
      </c>
      <c r="S2174" t="s">
        <v>5706</v>
      </c>
      <c r="T2174" t="s">
        <v>48</v>
      </c>
      <c r="U2174" t="s">
        <v>5706</v>
      </c>
      <c r="V2174" s="47">
        <v>1</v>
      </c>
      <c r="W2174" t="s">
        <v>48</v>
      </c>
      <c r="X2174" t="s">
        <v>48</v>
      </c>
      <c r="Y2174" t="s">
        <v>48</v>
      </c>
      <c r="Z2174">
        <v>0</v>
      </c>
      <c r="AA2174" t="s">
        <v>48</v>
      </c>
      <c r="AB2174" t="s">
        <v>48</v>
      </c>
      <c r="AC2174" t="s">
        <v>63</v>
      </c>
      <c r="AD2174" t="s">
        <v>951</v>
      </c>
      <c r="AE2174" s="40" t="s">
        <v>11051</v>
      </c>
      <c r="AF2174" t="s">
        <v>11054</v>
      </c>
      <c r="AG2174" t="s">
        <v>48</v>
      </c>
      <c r="AH2174" t="s">
        <v>48</v>
      </c>
      <c r="AI2174" t="s">
        <v>48</v>
      </c>
      <c r="AJ2174" t="s">
        <v>48</v>
      </c>
      <c r="AK2174" t="s">
        <v>48</v>
      </c>
      <c r="AL2174" t="s">
        <v>48</v>
      </c>
      <c r="AM2174" t="s">
        <v>48</v>
      </c>
      <c r="AN2174" t="s">
        <v>48</v>
      </c>
      <c r="AO2174" t="s">
        <v>48</v>
      </c>
      <c r="AP2174" s="46">
        <v>0</v>
      </c>
      <c r="AQ2174" s="46">
        <v>0</v>
      </c>
      <c r="AR2174" s="46">
        <v>0</v>
      </c>
      <c r="AS2174" s="46">
        <v>0</v>
      </c>
      <c r="AT2174" s="46">
        <v>0</v>
      </c>
      <c r="AU2174" s="46">
        <v>0</v>
      </c>
      <c r="AV2174" s="46">
        <v>0</v>
      </c>
      <c r="AW2174" s="46">
        <v>0</v>
      </c>
      <c r="AX2174" s="46">
        <v>0</v>
      </c>
      <c r="AY2174" s="46">
        <v>0</v>
      </c>
      <c r="AZ2174" s="46">
        <v>0</v>
      </c>
      <c r="BA2174" s="46">
        <v>0</v>
      </c>
      <c r="BB2174" s="46">
        <v>0</v>
      </c>
      <c r="BC2174" s="46">
        <v>0</v>
      </c>
      <c r="BD2174" s="46">
        <v>0</v>
      </c>
      <c r="BE2174" s="46">
        <v>0</v>
      </c>
      <c r="BF2174" s="46">
        <v>0</v>
      </c>
      <c r="BG2174" s="46" t="s">
        <v>48</v>
      </c>
      <c r="BH2174" s="46">
        <v>0</v>
      </c>
      <c r="BI2174" s="46">
        <v>0</v>
      </c>
      <c r="BJ2174" s="46">
        <v>0</v>
      </c>
      <c r="BK2174" s="46">
        <v>0</v>
      </c>
      <c r="BL2174" s="46">
        <v>0</v>
      </c>
      <c r="BM2174" s="46">
        <v>0</v>
      </c>
      <c r="BN2174" s="46">
        <v>0</v>
      </c>
    </row>
    <row r="2175" spans="1:66" x14ac:dyDescent="0.35">
      <c r="A2175" t="s">
        <v>5757</v>
      </c>
      <c r="B2175" t="s">
        <v>48</v>
      </c>
      <c r="C2175" t="s">
        <v>5760</v>
      </c>
      <c r="D2175" t="s">
        <v>731</v>
      </c>
      <c r="E2175" t="s">
        <v>5758</v>
      </c>
      <c r="F2175" t="s">
        <v>5752</v>
      </c>
      <c r="G2175" t="s">
        <v>47</v>
      </c>
      <c r="H2175">
        <v>0</v>
      </c>
      <c r="I2175" s="60" t="s">
        <v>125</v>
      </c>
      <c r="J2175" s="33" t="s">
        <v>45</v>
      </c>
      <c r="K2175" s="46">
        <v>0</v>
      </c>
      <c r="L2175">
        <v>34</v>
      </c>
      <c r="M2175" t="s">
        <v>48</v>
      </c>
      <c r="N2175" s="46">
        <v>0</v>
      </c>
      <c r="O2175" s="46">
        <v>0</v>
      </c>
      <c r="P2175" s="46">
        <v>0</v>
      </c>
      <c r="Q2175" t="s">
        <v>48</v>
      </c>
      <c r="R2175" t="s">
        <v>48</v>
      </c>
      <c r="S2175" t="s">
        <v>5759</v>
      </c>
      <c r="T2175" t="s">
        <v>48</v>
      </c>
      <c r="U2175" t="s">
        <v>5759</v>
      </c>
      <c r="V2175" s="47">
        <v>0</v>
      </c>
      <c r="W2175" t="s">
        <v>48</v>
      </c>
      <c r="X2175" t="s">
        <v>48</v>
      </c>
      <c r="Y2175" t="s">
        <v>48</v>
      </c>
      <c r="Z2175">
        <v>0</v>
      </c>
      <c r="AA2175" t="s">
        <v>48</v>
      </c>
      <c r="AB2175" t="s">
        <v>48</v>
      </c>
      <c r="AC2175" t="s">
        <v>49</v>
      </c>
      <c r="AD2175" t="s">
        <v>93</v>
      </c>
      <c r="AE2175" t="s">
        <v>4532</v>
      </c>
      <c r="AF2175" t="s">
        <v>48</v>
      </c>
      <c r="AG2175" t="s">
        <v>48</v>
      </c>
      <c r="AH2175" t="s">
        <v>48</v>
      </c>
      <c r="AI2175" t="s">
        <v>48</v>
      </c>
      <c r="AJ2175" t="s">
        <v>48</v>
      </c>
      <c r="AK2175" t="s">
        <v>48</v>
      </c>
      <c r="AL2175" t="s">
        <v>48</v>
      </c>
      <c r="AM2175" t="s">
        <v>48</v>
      </c>
      <c r="AN2175" t="s">
        <v>48</v>
      </c>
      <c r="AO2175" t="s">
        <v>48</v>
      </c>
      <c r="AP2175" s="46">
        <v>0</v>
      </c>
      <c r="AQ2175" s="46">
        <v>0</v>
      </c>
      <c r="AR2175" s="46">
        <v>0</v>
      </c>
      <c r="AS2175" s="46">
        <v>0</v>
      </c>
      <c r="AT2175" s="46">
        <v>0</v>
      </c>
      <c r="AU2175" s="46">
        <v>0</v>
      </c>
      <c r="AV2175" s="46">
        <v>0</v>
      </c>
      <c r="AW2175" s="46">
        <v>0</v>
      </c>
      <c r="AX2175" s="46">
        <v>0</v>
      </c>
      <c r="AY2175" s="46">
        <v>0</v>
      </c>
      <c r="AZ2175" s="46">
        <v>0</v>
      </c>
      <c r="BA2175" s="46">
        <v>0</v>
      </c>
      <c r="BB2175" s="46">
        <v>0</v>
      </c>
      <c r="BC2175" s="46">
        <v>0</v>
      </c>
      <c r="BD2175" s="46">
        <v>0</v>
      </c>
      <c r="BE2175" s="46">
        <v>0</v>
      </c>
      <c r="BF2175" s="46">
        <v>0</v>
      </c>
      <c r="BG2175" s="46" t="s">
        <v>48</v>
      </c>
      <c r="BH2175" s="46">
        <v>0</v>
      </c>
      <c r="BI2175" s="46">
        <v>0</v>
      </c>
      <c r="BJ2175" s="46">
        <v>0</v>
      </c>
      <c r="BK2175" s="46">
        <v>0</v>
      </c>
      <c r="BL2175" s="46">
        <v>0</v>
      </c>
      <c r="BM2175" s="46">
        <v>0</v>
      </c>
      <c r="BN2175" s="46">
        <v>0</v>
      </c>
    </row>
    <row r="2176" spans="1:66" x14ac:dyDescent="0.35">
      <c r="A2176" t="s">
        <v>5783</v>
      </c>
      <c r="B2176" s="44" t="s">
        <v>48</v>
      </c>
      <c r="C2176" t="s">
        <v>2225</v>
      </c>
      <c r="D2176" t="s">
        <v>5786</v>
      </c>
      <c r="E2176" t="s">
        <v>5784</v>
      </c>
      <c r="F2176" t="s">
        <v>5774</v>
      </c>
      <c r="G2176" t="s">
        <v>74</v>
      </c>
      <c r="H2176">
        <v>0</v>
      </c>
      <c r="I2176" s="60" t="s">
        <v>51</v>
      </c>
      <c r="J2176" s="33" t="s">
        <v>45</v>
      </c>
      <c r="K2176" s="46">
        <v>0</v>
      </c>
      <c r="L2176">
        <v>19.899999999999999</v>
      </c>
      <c r="M2176" t="s">
        <v>48</v>
      </c>
      <c r="N2176" s="46">
        <v>0</v>
      </c>
      <c r="O2176" s="46">
        <v>0</v>
      </c>
      <c r="P2176" s="46">
        <v>0</v>
      </c>
      <c r="Q2176" t="s">
        <v>48</v>
      </c>
      <c r="R2176" t="s">
        <v>48</v>
      </c>
      <c r="S2176" t="s">
        <v>5785</v>
      </c>
      <c r="T2176" t="s">
        <v>48</v>
      </c>
      <c r="U2176" t="s">
        <v>5785</v>
      </c>
      <c r="V2176" s="47">
        <v>0</v>
      </c>
      <c r="W2176" t="s">
        <v>11317</v>
      </c>
      <c r="X2176" t="s">
        <v>48</v>
      </c>
      <c r="Y2176" t="s">
        <v>48</v>
      </c>
      <c r="Z2176">
        <v>0</v>
      </c>
      <c r="AA2176" t="s">
        <v>48</v>
      </c>
      <c r="AB2176" t="s">
        <v>48</v>
      </c>
      <c r="AC2176" t="s">
        <v>63</v>
      </c>
      <c r="AD2176" t="s">
        <v>93</v>
      </c>
      <c r="AE2176" t="s">
        <v>4532</v>
      </c>
      <c r="AF2176" t="s">
        <v>48</v>
      </c>
      <c r="AG2176" t="s">
        <v>48</v>
      </c>
      <c r="AH2176" t="s">
        <v>48</v>
      </c>
      <c r="AI2176" t="s">
        <v>48</v>
      </c>
      <c r="AJ2176" t="s">
        <v>48</v>
      </c>
      <c r="AK2176" t="s">
        <v>48</v>
      </c>
      <c r="AL2176" t="s">
        <v>48</v>
      </c>
      <c r="AM2176" t="s">
        <v>48</v>
      </c>
      <c r="AN2176" t="s">
        <v>48</v>
      </c>
      <c r="AO2176" t="s">
        <v>48</v>
      </c>
      <c r="AP2176" s="46">
        <v>0</v>
      </c>
      <c r="AQ2176" s="46">
        <v>0</v>
      </c>
      <c r="AR2176" s="46">
        <v>0</v>
      </c>
      <c r="AS2176" s="46">
        <v>0</v>
      </c>
      <c r="AT2176" s="46">
        <v>0</v>
      </c>
      <c r="AU2176" s="46">
        <v>0</v>
      </c>
      <c r="AV2176" s="46">
        <v>0</v>
      </c>
      <c r="AW2176" s="46">
        <v>0</v>
      </c>
      <c r="AX2176" s="46">
        <v>0</v>
      </c>
      <c r="AY2176" s="46">
        <v>0</v>
      </c>
      <c r="AZ2176" s="46">
        <v>0</v>
      </c>
      <c r="BA2176" s="46">
        <v>0</v>
      </c>
      <c r="BB2176" s="46">
        <v>0</v>
      </c>
      <c r="BC2176" s="46">
        <v>0</v>
      </c>
      <c r="BD2176" s="46">
        <v>0</v>
      </c>
      <c r="BE2176" s="46">
        <v>0</v>
      </c>
      <c r="BF2176" s="46">
        <v>0</v>
      </c>
      <c r="BG2176" s="46" t="s">
        <v>48</v>
      </c>
      <c r="BH2176" s="46">
        <v>0</v>
      </c>
      <c r="BI2176" s="46">
        <v>0</v>
      </c>
      <c r="BJ2176" s="46">
        <v>0</v>
      </c>
      <c r="BK2176" s="46">
        <v>0</v>
      </c>
      <c r="BL2176" s="46">
        <v>0</v>
      </c>
      <c r="BM2176" s="46">
        <v>0</v>
      </c>
      <c r="BN2176" s="46">
        <v>0</v>
      </c>
    </row>
    <row r="2177" spans="1:66" x14ac:dyDescent="0.35">
      <c r="A2177" t="s">
        <v>5773</v>
      </c>
      <c r="B2177" s="44" t="s">
        <v>48</v>
      </c>
      <c r="C2177" t="s">
        <v>5777</v>
      </c>
      <c r="D2177" t="s">
        <v>396</v>
      </c>
      <c r="E2177" t="s">
        <v>5775</v>
      </c>
      <c r="F2177" t="s">
        <v>5774</v>
      </c>
      <c r="G2177" t="s">
        <v>74</v>
      </c>
      <c r="H2177">
        <v>0</v>
      </c>
      <c r="I2177" s="60" t="s">
        <v>149</v>
      </c>
      <c r="J2177" s="33" t="s">
        <v>45</v>
      </c>
      <c r="K2177" s="46">
        <v>0</v>
      </c>
      <c r="L2177">
        <v>4.4000000000000004</v>
      </c>
      <c r="M2177" t="s">
        <v>48</v>
      </c>
      <c r="N2177" s="46">
        <v>0</v>
      </c>
      <c r="O2177" s="46">
        <v>0</v>
      </c>
      <c r="P2177" s="46">
        <v>0</v>
      </c>
      <c r="Q2177" t="s">
        <v>48</v>
      </c>
      <c r="R2177" t="s">
        <v>48</v>
      </c>
      <c r="S2177" t="s">
        <v>5776</v>
      </c>
      <c r="T2177" t="s">
        <v>48</v>
      </c>
      <c r="U2177" t="s">
        <v>5776</v>
      </c>
      <c r="V2177" s="47">
        <v>0</v>
      </c>
      <c r="W2177" t="s">
        <v>48</v>
      </c>
      <c r="X2177" t="s">
        <v>48</v>
      </c>
      <c r="Y2177" t="s">
        <v>48</v>
      </c>
      <c r="Z2177">
        <v>0</v>
      </c>
      <c r="AA2177" t="s">
        <v>48</v>
      </c>
      <c r="AB2177" t="s">
        <v>48</v>
      </c>
      <c r="AC2177" t="s">
        <v>49</v>
      </c>
      <c r="AD2177" t="s">
        <v>93</v>
      </c>
      <c r="AE2177" s="40" t="s">
        <v>2471</v>
      </c>
      <c r="AF2177" t="s">
        <v>11061</v>
      </c>
      <c r="AG2177" t="s">
        <v>48</v>
      </c>
      <c r="AH2177" t="s">
        <v>48</v>
      </c>
      <c r="AI2177" t="s">
        <v>48</v>
      </c>
      <c r="AJ2177" t="s">
        <v>48</v>
      </c>
      <c r="AK2177" t="s">
        <v>48</v>
      </c>
      <c r="AL2177" t="s">
        <v>48</v>
      </c>
      <c r="AM2177" t="s">
        <v>48</v>
      </c>
      <c r="AN2177" t="s">
        <v>48</v>
      </c>
      <c r="AO2177" t="s">
        <v>48</v>
      </c>
      <c r="AP2177" s="46">
        <v>0</v>
      </c>
      <c r="AQ2177" s="46">
        <v>0</v>
      </c>
      <c r="AR2177" s="46">
        <v>0</v>
      </c>
      <c r="AS2177" s="46">
        <v>0</v>
      </c>
      <c r="AT2177" s="46">
        <v>0</v>
      </c>
      <c r="AU2177" s="46">
        <v>0</v>
      </c>
      <c r="AV2177" s="46">
        <v>0</v>
      </c>
      <c r="AW2177" s="46">
        <v>0</v>
      </c>
      <c r="AX2177" s="46">
        <v>0</v>
      </c>
      <c r="AY2177" s="46">
        <v>0</v>
      </c>
      <c r="AZ2177" s="46">
        <v>0</v>
      </c>
      <c r="BA2177" s="46">
        <v>0</v>
      </c>
      <c r="BB2177" s="46">
        <v>0</v>
      </c>
      <c r="BC2177" s="46">
        <v>0</v>
      </c>
      <c r="BD2177" s="46">
        <v>0</v>
      </c>
      <c r="BE2177" s="46">
        <v>0</v>
      </c>
      <c r="BF2177" s="46">
        <v>0</v>
      </c>
      <c r="BG2177" s="46" t="s">
        <v>48</v>
      </c>
      <c r="BH2177" s="46">
        <v>0</v>
      </c>
      <c r="BI2177" s="46">
        <v>0</v>
      </c>
      <c r="BJ2177" s="46">
        <v>0</v>
      </c>
      <c r="BK2177" s="46">
        <v>0</v>
      </c>
      <c r="BL2177" s="46">
        <v>0</v>
      </c>
      <c r="BM2177" s="46">
        <v>0</v>
      </c>
      <c r="BN2177" s="46">
        <v>0</v>
      </c>
    </row>
    <row r="2178" spans="1:66" x14ac:dyDescent="0.35">
      <c r="A2178" t="s">
        <v>7919</v>
      </c>
      <c r="B2178" t="s">
        <v>48</v>
      </c>
      <c r="C2178" t="s">
        <v>12293</v>
      </c>
      <c r="D2178" t="s">
        <v>705</v>
      </c>
      <c r="E2178" t="s">
        <v>7918</v>
      </c>
      <c r="F2178" t="s">
        <v>5788</v>
      </c>
      <c r="G2178" t="s">
        <v>47</v>
      </c>
      <c r="H2178">
        <v>0</v>
      </c>
      <c r="I2178" s="61">
        <v>44722</v>
      </c>
      <c r="J2178" s="33" t="s">
        <v>45</v>
      </c>
      <c r="K2178" s="46">
        <v>0</v>
      </c>
      <c r="L2178">
        <v>30.9</v>
      </c>
      <c r="M2178" t="s">
        <v>48</v>
      </c>
      <c r="N2178" s="46">
        <v>0</v>
      </c>
      <c r="O2178" s="46">
        <v>0</v>
      </c>
      <c r="P2178" s="46">
        <v>0</v>
      </c>
      <c r="Q2178" t="s">
        <v>48</v>
      </c>
      <c r="R2178" t="s">
        <v>48</v>
      </c>
      <c r="S2178" t="s">
        <v>48</v>
      </c>
      <c r="T2178" t="s">
        <v>48</v>
      </c>
      <c r="U2178" t="s">
        <v>48</v>
      </c>
      <c r="V2178" s="47">
        <v>1</v>
      </c>
      <c r="W2178" t="s">
        <v>11264</v>
      </c>
      <c r="X2178" t="s">
        <v>48</v>
      </c>
      <c r="Y2178" t="s">
        <v>48</v>
      </c>
      <c r="Z2178" t="s">
        <v>48</v>
      </c>
      <c r="AA2178" t="s">
        <v>48</v>
      </c>
      <c r="AB2178" t="s">
        <v>48</v>
      </c>
      <c r="AC2178" t="s">
        <v>49</v>
      </c>
      <c r="AD2178" t="s">
        <v>93</v>
      </c>
      <c r="AE2178" t="s">
        <v>4532</v>
      </c>
      <c r="AF2178" t="s">
        <v>48</v>
      </c>
      <c r="AG2178" t="s">
        <v>48</v>
      </c>
      <c r="AH2178" t="s">
        <v>48</v>
      </c>
      <c r="AI2178" t="s">
        <v>48</v>
      </c>
      <c r="AJ2178" t="s">
        <v>48</v>
      </c>
      <c r="AK2178" t="s">
        <v>48</v>
      </c>
      <c r="AL2178" t="s">
        <v>48</v>
      </c>
      <c r="AM2178" t="s">
        <v>48</v>
      </c>
      <c r="AN2178" t="s">
        <v>48</v>
      </c>
      <c r="AO2178" t="s">
        <v>48</v>
      </c>
      <c r="AP2178" s="46">
        <v>0</v>
      </c>
      <c r="AQ2178" s="46">
        <v>0</v>
      </c>
      <c r="AR2178" s="46">
        <v>0</v>
      </c>
      <c r="AS2178" s="46">
        <v>0</v>
      </c>
      <c r="AT2178" s="46">
        <v>0</v>
      </c>
      <c r="AU2178" s="46">
        <v>0</v>
      </c>
      <c r="AV2178" s="46">
        <v>0</v>
      </c>
      <c r="AW2178" s="46">
        <v>0</v>
      </c>
      <c r="AX2178" s="46">
        <v>0</v>
      </c>
      <c r="AY2178" s="46">
        <v>0</v>
      </c>
      <c r="AZ2178" s="46">
        <v>0</v>
      </c>
      <c r="BA2178" s="46">
        <v>0</v>
      </c>
      <c r="BB2178" s="46">
        <v>0</v>
      </c>
      <c r="BC2178" s="46">
        <v>0</v>
      </c>
      <c r="BD2178" s="46">
        <v>0</v>
      </c>
      <c r="BE2178" s="46">
        <v>0</v>
      </c>
      <c r="BF2178" s="46">
        <v>0</v>
      </c>
      <c r="BG2178" s="46" t="s">
        <v>48</v>
      </c>
      <c r="BH2178" s="46">
        <v>0</v>
      </c>
      <c r="BI2178" s="46">
        <v>0</v>
      </c>
      <c r="BJ2178" s="46">
        <v>0</v>
      </c>
      <c r="BK2178" s="46">
        <v>0</v>
      </c>
      <c r="BL2178" s="46">
        <v>0</v>
      </c>
      <c r="BM2178" s="46">
        <v>0</v>
      </c>
      <c r="BN2178" s="46">
        <v>0</v>
      </c>
    </row>
    <row r="2179" spans="1:66" x14ac:dyDescent="0.35">
      <c r="A2179" t="s">
        <v>5816</v>
      </c>
      <c r="B2179" t="s">
        <v>48</v>
      </c>
      <c r="C2179" t="s">
        <v>5820</v>
      </c>
      <c r="D2179" t="s">
        <v>5819</v>
      </c>
      <c r="E2179" t="s">
        <v>5817</v>
      </c>
      <c r="F2179" t="s">
        <v>5808</v>
      </c>
      <c r="G2179" t="s">
        <v>47</v>
      </c>
      <c r="H2179">
        <v>0</v>
      </c>
      <c r="I2179" s="60" t="s">
        <v>125</v>
      </c>
      <c r="J2179" s="33" t="s">
        <v>45</v>
      </c>
      <c r="K2179" s="46">
        <v>0</v>
      </c>
      <c r="L2179">
        <v>14.8</v>
      </c>
      <c r="M2179" t="s">
        <v>48</v>
      </c>
      <c r="N2179" s="46">
        <v>0</v>
      </c>
      <c r="O2179" s="46">
        <v>0</v>
      </c>
      <c r="P2179" s="46">
        <v>0</v>
      </c>
      <c r="Q2179" t="s">
        <v>48</v>
      </c>
      <c r="R2179" t="s">
        <v>48</v>
      </c>
      <c r="S2179" t="s">
        <v>5818</v>
      </c>
      <c r="T2179" t="s">
        <v>48</v>
      </c>
      <c r="U2179" t="s">
        <v>5818</v>
      </c>
      <c r="V2179" s="47">
        <v>0</v>
      </c>
      <c r="W2179" t="s">
        <v>48</v>
      </c>
      <c r="X2179" t="s">
        <v>48</v>
      </c>
      <c r="Y2179" t="s">
        <v>48</v>
      </c>
      <c r="Z2179">
        <v>0</v>
      </c>
      <c r="AA2179" t="s">
        <v>48</v>
      </c>
      <c r="AB2179" t="s">
        <v>48</v>
      </c>
      <c r="AC2179" t="s">
        <v>63</v>
      </c>
      <c r="AD2179" t="s">
        <v>93</v>
      </c>
      <c r="AE2179" t="s">
        <v>4532</v>
      </c>
      <c r="AF2179" t="s">
        <v>48</v>
      </c>
      <c r="AG2179" t="s">
        <v>48</v>
      </c>
      <c r="AH2179" t="s">
        <v>48</v>
      </c>
      <c r="AI2179" t="s">
        <v>48</v>
      </c>
      <c r="AJ2179" t="s">
        <v>48</v>
      </c>
      <c r="AK2179" t="s">
        <v>48</v>
      </c>
      <c r="AL2179" t="s">
        <v>48</v>
      </c>
      <c r="AM2179" t="s">
        <v>48</v>
      </c>
      <c r="AN2179" t="s">
        <v>48</v>
      </c>
      <c r="AO2179" t="s">
        <v>48</v>
      </c>
      <c r="AP2179" s="46">
        <v>0</v>
      </c>
      <c r="AQ2179" s="46">
        <v>0</v>
      </c>
      <c r="AR2179" s="46">
        <v>0</v>
      </c>
      <c r="AS2179" s="46">
        <v>0</v>
      </c>
      <c r="AT2179" s="46">
        <v>0</v>
      </c>
      <c r="AU2179" s="46">
        <v>0</v>
      </c>
      <c r="AV2179" s="46">
        <v>0</v>
      </c>
      <c r="AW2179" s="46">
        <v>0</v>
      </c>
      <c r="AX2179" s="46">
        <v>0</v>
      </c>
      <c r="AY2179" s="46">
        <v>0</v>
      </c>
      <c r="AZ2179" s="46">
        <v>0</v>
      </c>
      <c r="BA2179" s="46">
        <v>0</v>
      </c>
      <c r="BB2179" s="46">
        <v>0</v>
      </c>
      <c r="BC2179" s="46">
        <v>0</v>
      </c>
      <c r="BD2179" s="46">
        <v>0</v>
      </c>
      <c r="BE2179" s="46">
        <v>0</v>
      </c>
      <c r="BF2179" s="46">
        <v>0</v>
      </c>
      <c r="BG2179" s="46" t="s">
        <v>48</v>
      </c>
      <c r="BH2179" s="46">
        <v>0</v>
      </c>
      <c r="BI2179" s="46">
        <v>0</v>
      </c>
      <c r="BJ2179" s="46">
        <v>0</v>
      </c>
      <c r="BK2179" s="46">
        <v>0</v>
      </c>
      <c r="BL2179" s="46">
        <v>0</v>
      </c>
      <c r="BM2179" s="46">
        <v>0</v>
      </c>
      <c r="BN2179" s="46">
        <v>0</v>
      </c>
    </row>
    <row r="2180" spans="1:66" x14ac:dyDescent="0.35">
      <c r="A2180" t="s">
        <v>5821</v>
      </c>
      <c r="B2180" t="s">
        <v>48</v>
      </c>
      <c r="C2180" t="s">
        <v>5824</v>
      </c>
      <c r="D2180" t="s">
        <v>673</v>
      </c>
      <c r="E2180" t="s">
        <v>5822</v>
      </c>
      <c r="F2180" t="s">
        <v>5808</v>
      </c>
      <c r="G2180" t="s">
        <v>47</v>
      </c>
      <c r="H2180">
        <v>0</v>
      </c>
      <c r="I2180" s="60" t="s">
        <v>881</v>
      </c>
      <c r="J2180" s="33" t="s">
        <v>45</v>
      </c>
      <c r="K2180" s="46">
        <v>0</v>
      </c>
      <c r="L2180">
        <v>22.2</v>
      </c>
      <c r="M2180" t="s">
        <v>48</v>
      </c>
      <c r="N2180" s="46">
        <v>0</v>
      </c>
      <c r="O2180" s="46">
        <v>0</v>
      </c>
      <c r="P2180" s="46">
        <v>0</v>
      </c>
      <c r="Q2180" t="s">
        <v>48</v>
      </c>
      <c r="R2180" t="s">
        <v>48</v>
      </c>
      <c r="S2180" t="s">
        <v>5823</v>
      </c>
      <c r="T2180" t="s">
        <v>48</v>
      </c>
      <c r="U2180" t="s">
        <v>5823</v>
      </c>
      <c r="V2180" s="47">
        <v>0</v>
      </c>
      <c r="W2180" t="s">
        <v>48</v>
      </c>
      <c r="X2180" t="s">
        <v>48</v>
      </c>
      <c r="Y2180" t="s">
        <v>48</v>
      </c>
      <c r="Z2180">
        <v>0</v>
      </c>
      <c r="AA2180" t="s">
        <v>48</v>
      </c>
      <c r="AB2180" t="s">
        <v>48</v>
      </c>
      <c r="AC2180" t="s">
        <v>49</v>
      </c>
      <c r="AD2180" t="s">
        <v>93</v>
      </c>
      <c r="AE2180" t="s">
        <v>4532</v>
      </c>
      <c r="AF2180" t="s">
        <v>48</v>
      </c>
      <c r="AG2180" t="s">
        <v>48</v>
      </c>
      <c r="AH2180" t="s">
        <v>48</v>
      </c>
      <c r="AI2180" t="s">
        <v>48</v>
      </c>
      <c r="AJ2180" t="s">
        <v>48</v>
      </c>
      <c r="AK2180" t="s">
        <v>48</v>
      </c>
      <c r="AL2180" t="s">
        <v>48</v>
      </c>
      <c r="AM2180" t="s">
        <v>48</v>
      </c>
      <c r="AN2180" t="s">
        <v>48</v>
      </c>
      <c r="AO2180" t="s">
        <v>48</v>
      </c>
      <c r="AP2180" s="46">
        <v>0</v>
      </c>
      <c r="AQ2180" s="46">
        <v>0</v>
      </c>
      <c r="AR2180" s="46">
        <v>0</v>
      </c>
      <c r="AS2180" s="46">
        <v>0</v>
      </c>
      <c r="AT2180" s="46">
        <v>0</v>
      </c>
      <c r="AU2180" s="46">
        <v>0</v>
      </c>
      <c r="AV2180" s="46">
        <v>0</v>
      </c>
      <c r="AW2180" s="46">
        <v>0</v>
      </c>
      <c r="AX2180" s="46">
        <v>0</v>
      </c>
      <c r="AY2180" s="46">
        <v>0</v>
      </c>
      <c r="AZ2180" s="46">
        <v>0</v>
      </c>
      <c r="BA2180" s="46">
        <v>0</v>
      </c>
      <c r="BB2180" s="46">
        <v>0</v>
      </c>
      <c r="BC2180" s="46">
        <v>0</v>
      </c>
      <c r="BD2180" s="46">
        <v>0</v>
      </c>
      <c r="BE2180" s="46">
        <v>0</v>
      </c>
      <c r="BF2180" s="46">
        <v>0</v>
      </c>
      <c r="BG2180" s="46" t="s">
        <v>48</v>
      </c>
      <c r="BH2180" s="46">
        <v>0</v>
      </c>
      <c r="BI2180" s="46">
        <v>0</v>
      </c>
      <c r="BJ2180" s="46">
        <v>0</v>
      </c>
      <c r="BK2180" s="46">
        <v>0</v>
      </c>
      <c r="BL2180" s="46">
        <v>0</v>
      </c>
      <c r="BM2180" s="46">
        <v>0</v>
      </c>
      <c r="BN2180" s="46">
        <v>0</v>
      </c>
    </row>
    <row r="2181" spans="1:66" x14ac:dyDescent="0.35">
      <c r="A2181" t="s">
        <v>5807</v>
      </c>
      <c r="B2181" t="s">
        <v>48</v>
      </c>
      <c r="C2181" t="s">
        <v>5810</v>
      </c>
      <c r="D2181" t="s">
        <v>571</v>
      </c>
      <c r="E2181" t="s">
        <v>5809</v>
      </c>
      <c r="F2181" t="s">
        <v>5808</v>
      </c>
      <c r="G2181" t="s">
        <v>47</v>
      </c>
      <c r="H2181">
        <v>0</v>
      </c>
      <c r="I2181" s="60" t="s">
        <v>51</v>
      </c>
      <c r="J2181" s="33" t="s">
        <v>45</v>
      </c>
      <c r="K2181" s="46">
        <v>0</v>
      </c>
      <c r="L2181">
        <v>30</v>
      </c>
      <c r="M2181" t="s">
        <v>48</v>
      </c>
      <c r="N2181" s="46">
        <v>0</v>
      </c>
      <c r="O2181" s="46">
        <v>0</v>
      </c>
      <c r="P2181" s="46">
        <v>0</v>
      </c>
      <c r="Q2181" t="s">
        <v>48</v>
      </c>
      <c r="R2181" t="s">
        <v>48</v>
      </c>
      <c r="S2181" t="s">
        <v>48</v>
      </c>
      <c r="T2181" t="s">
        <v>48</v>
      </c>
      <c r="U2181" t="s">
        <v>48</v>
      </c>
      <c r="V2181" s="47">
        <v>1</v>
      </c>
      <c r="W2181" t="s">
        <v>11264</v>
      </c>
      <c r="X2181" t="s">
        <v>48</v>
      </c>
      <c r="Y2181" t="s">
        <v>48</v>
      </c>
      <c r="Z2181">
        <v>0</v>
      </c>
      <c r="AA2181" t="s">
        <v>48</v>
      </c>
      <c r="AB2181" t="s">
        <v>48</v>
      </c>
      <c r="AC2181" t="s">
        <v>49</v>
      </c>
      <c r="AD2181" t="s">
        <v>93</v>
      </c>
      <c r="AE2181" t="s">
        <v>4532</v>
      </c>
      <c r="AF2181" t="s">
        <v>48</v>
      </c>
      <c r="AG2181" t="s">
        <v>48</v>
      </c>
      <c r="AH2181" t="s">
        <v>48</v>
      </c>
      <c r="AI2181" t="s">
        <v>48</v>
      </c>
      <c r="AJ2181" t="s">
        <v>48</v>
      </c>
      <c r="AK2181" t="s">
        <v>48</v>
      </c>
      <c r="AL2181" t="s">
        <v>48</v>
      </c>
      <c r="AM2181" t="s">
        <v>48</v>
      </c>
      <c r="AN2181" t="s">
        <v>48</v>
      </c>
      <c r="AO2181" t="s">
        <v>48</v>
      </c>
      <c r="AP2181" s="46">
        <v>0</v>
      </c>
      <c r="AQ2181" s="46">
        <v>0</v>
      </c>
      <c r="AR2181" s="46">
        <v>0</v>
      </c>
      <c r="AS2181" s="46">
        <v>0</v>
      </c>
      <c r="AT2181" s="46">
        <v>0</v>
      </c>
      <c r="AU2181" s="46">
        <v>0</v>
      </c>
      <c r="AV2181" s="46">
        <v>0</v>
      </c>
      <c r="AW2181" s="46">
        <v>0</v>
      </c>
      <c r="AX2181" s="46">
        <v>0</v>
      </c>
      <c r="AY2181" s="46">
        <v>0</v>
      </c>
      <c r="AZ2181" s="46">
        <v>0</v>
      </c>
      <c r="BA2181" s="46">
        <v>0</v>
      </c>
      <c r="BB2181" s="46">
        <v>0</v>
      </c>
      <c r="BC2181" s="46">
        <v>0</v>
      </c>
      <c r="BD2181" s="46">
        <v>0</v>
      </c>
      <c r="BE2181" s="46">
        <v>0</v>
      </c>
      <c r="BF2181" s="46">
        <v>0</v>
      </c>
      <c r="BG2181" s="46" t="s">
        <v>48</v>
      </c>
      <c r="BH2181" s="46">
        <v>0</v>
      </c>
      <c r="BI2181" s="46">
        <v>0</v>
      </c>
      <c r="BJ2181" s="46">
        <v>0</v>
      </c>
      <c r="BK2181" s="46">
        <v>0</v>
      </c>
      <c r="BL2181" s="46">
        <v>0</v>
      </c>
      <c r="BM2181" s="46">
        <v>0</v>
      </c>
      <c r="BN2181" s="46">
        <v>0</v>
      </c>
    </row>
    <row r="2182" spans="1:66" x14ac:dyDescent="0.35">
      <c r="A2182" t="s">
        <v>5825</v>
      </c>
      <c r="B2182" t="s">
        <v>48</v>
      </c>
      <c r="C2182" t="s">
        <v>5829</v>
      </c>
      <c r="D2182" t="s">
        <v>427</v>
      </c>
      <c r="E2182" t="s">
        <v>5827</v>
      </c>
      <c r="F2182" t="s">
        <v>5826</v>
      </c>
      <c r="G2182" t="s">
        <v>47</v>
      </c>
      <c r="H2182">
        <v>0</v>
      </c>
      <c r="I2182" s="60" t="s">
        <v>51</v>
      </c>
      <c r="J2182" s="33" t="s">
        <v>45</v>
      </c>
      <c r="K2182" s="46">
        <v>0</v>
      </c>
      <c r="L2182">
        <v>49</v>
      </c>
      <c r="M2182" t="s">
        <v>48</v>
      </c>
      <c r="N2182" s="46">
        <v>0</v>
      </c>
      <c r="O2182" s="46">
        <v>0</v>
      </c>
      <c r="P2182" s="46">
        <v>0</v>
      </c>
      <c r="Q2182" t="s">
        <v>48</v>
      </c>
      <c r="R2182" t="s">
        <v>48</v>
      </c>
      <c r="S2182" t="s">
        <v>5828</v>
      </c>
      <c r="T2182" t="s">
        <v>48</v>
      </c>
      <c r="U2182" t="s">
        <v>5828</v>
      </c>
      <c r="V2182" s="47">
        <v>0</v>
      </c>
      <c r="W2182" t="s">
        <v>48</v>
      </c>
      <c r="X2182" t="s">
        <v>48</v>
      </c>
      <c r="Y2182" t="s">
        <v>48</v>
      </c>
      <c r="Z2182">
        <v>0</v>
      </c>
      <c r="AA2182" t="s">
        <v>48</v>
      </c>
      <c r="AB2182" t="s">
        <v>48</v>
      </c>
      <c r="AC2182" t="s">
        <v>49</v>
      </c>
      <c r="AD2182" t="s">
        <v>93</v>
      </c>
      <c r="AE2182" t="s">
        <v>4532</v>
      </c>
      <c r="AF2182" t="s">
        <v>48</v>
      </c>
      <c r="AG2182" t="s">
        <v>48</v>
      </c>
      <c r="AH2182" t="s">
        <v>48</v>
      </c>
      <c r="AI2182" t="s">
        <v>48</v>
      </c>
      <c r="AJ2182" t="s">
        <v>48</v>
      </c>
      <c r="AK2182" t="s">
        <v>48</v>
      </c>
      <c r="AL2182" t="s">
        <v>48</v>
      </c>
      <c r="AM2182" t="s">
        <v>48</v>
      </c>
      <c r="AN2182" t="s">
        <v>48</v>
      </c>
      <c r="AO2182" t="s">
        <v>48</v>
      </c>
      <c r="AP2182" s="46">
        <v>0</v>
      </c>
      <c r="AQ2182" s="46">
        <v>0</v>
      </c>
      <c r="AR2182" s="46">
        <v>0</v>
      </c>
      <c r="AS2182" s="46">
        <v>0</v>
      </c>
      <c r="AT2182" s="46">
        <v>0</v>
      </c>
      <c r="AU2182" s="46">
        <v>0</v>
      </c>
      <c r="AV2182" s="46">
        <v>0</v>
      </c>
      <c r="AW2182" s="46">
        <v>0</v>
      </c>
      <c r="AX2182" s="46">
        <v>0</v>
      </c>
      <c r="AY2182" s="46">
        <v>0</v>
      </c>
      <c r="AZ2182" s="46">
        <v>0</v>
      </c>
      <c r="BA2182" s="46">
        <v>0</v>
      </c>
      <c r="BB2182" s="46">
        <v>0</v>
      </c>
      <c r="BC2182" s="46">
        <v>0</v>
      </c>
      <c r="BD2182" s="46">
        <v>0</v>
      </c>
      <c r="BE2182" s="46">
        <v>0</v>
      </c>
      <c r="BF2182" s="46">
        <v>0</v>
      </c>
      <c r="BG2182" s="46" t="s">
        <v>48</v>
      </c>
      <c r="BH2182" s="46">
        <v>0</v>
      </c>
      <c r="BI2182" s="46">
        <v>0</v>
      </c>
      <c r="BJ2182" s="46">
        <v>0</v>
      </c>
      <c r="BK2182" s="46">
        <v>0</v>
      </c>
      <c r="BL2182" s="46">
        <v>0</v>
      </c>
      <c r="BM2182" s="46">
        <v>0</v>
      </c>
      <c r="BN2182" s="46">
        <v>0</v>
      </c>
    </row>
    <row r="2183" spans="1:66" x14ac:dyDescent="0.35">
      <c r="A2183" t="s">
        <v>7915</v>
      </c>
      <c r="B2183" t="s">
        <v>48</v>
      </c>
      <c r="C2183" t="s">
        <v>12294</v>
      </c>
      <c r="D2183" t="s">
        <v>288</v>
      </c>
      <c r="E2183" t="s">
        <v>7914</v>
      </c>
      <c r="F2183" t="s">
        <v>5840</v>
      </c>
      <c r="G2183" t="s">
        <v>47</v>
      </c>
      <c r="H2183">
        <v>0</v>
      </c>
      <c r="I2183" s="61">
        <v>44722</v>
      </c>
      <c r="J2183" s="33" t="s">
        <v>45</v>
      </c>
      <c r="K2183" s="46">
        <v>0</v>
      </c>
      <c r="L2183">
        <v>31.3</v>
      </c>
      <c r="M2183" t="s">
        <v>48</v>
      </c>
      <c r="N2183" s="46">
        <v>0</v>
      </c>
      <c r="O2183" s="46">
        <v>0</v>
      </c>
      <c r="P2183" s="46">
        <v>0</v>
      </c>
      <c r="Q2183" t="s">
        <v>48</v>
      </c>
      <c r="R2183" t="s">
        <v>48</v>
      </c>
      <c r="S2183" t="s">
        <v>48</v>
      </c>
      <c r="T2183" t="s">
        <v>48</v>
      </c>
      <c r="U2183" t="s">
        <v>48</v>
      </c>
      <c r="V2183" s="47">
        <v>1</v>
      </c>
      <c r="W2183" t="s">
        <v>11264</v>
      </c>
      <c r="X2183" t="s">
        <v>48</v>
      </c>
      <c r="Y2183" t="s">
        <v>48</v>
      </c>
      <c r="Z2183" t="s">
        <v>48</v>
      </c>
      <c r="AA2183" t="s">
        <v>48</v>
      </c>
      <c r="AB2183" t="s">
        <v>48</v>
      </c>
      <c r="AC2183" t="s">
        <v>49</v>
      </c>
      <c r="AD2183" t="s">
        <v>93</v>
      </c>
      <c r="AE2183" t="s">
        <v>4532</v>
      </c>
      <c r="AF2183" t="s">
        <v>48</v>
      </c>
      <c r="AG2183" t="s">
        <v>48</v>
      </c>
      <c r="AH2183" t="s">
        <v>48</v>
      </c>
      <c r="AI2183" t="s">
        <v>48</v>
      </c>
      <c r="AJ2183" t="s">
        <v>48</v>
      </c>
      <c r="AK2183" t="s">
        <v>48</v>
      </c>
      <c r="AL2183" t="s">
        <v>48</v>
      </c>
      <c r="AM2183" t="s">
        <v>48</v>
      </c>
      <c r="AN2183" t="s">
        <v>48</v>
      </c>
      <c r="AO2183" t="s">
        <v>48</v>
      </c>
      <c r="AP2183" s="46">
        <v>0</v>
      </c>
      <c r="AQ2183" s="46">
        <v>0</v>
      </c>
      <c r="AR2183" s="46">
        <v>0</v>
      </c>
      <c r="AS2183" s="46">
        <v>0</v>
      </c>
      <c r="AT2183" s="46">
        <v>0</v>
      </c>
      <c r="AU2183" s="46">
        <v>0</v>
      </c>
      <c r="AV2183" s="46">
        <v>0</v>
      </c>
      <c r="AW2183" s="46">
        <v>0</v>
      </c>
      <c r="AX2183" s="46">
        <v>0</v>
      </c>
      <c r="AY2183" s="46">
        <v>0</v>
      </c>
      <c r="AZ2183" s="46">
        <v>0</v>
      </c>
      <c r="BA2183" s="46">
        <v>0</v>
      </c>
      <c r="BB2183" s="46">
        <v>0</v>
      </c>
      <c r="BC2183" s="46">
        <v>0</v>
      </c>
      <c r="BD2183" s="46">
        <v>0</v>
      </c>
      <c r="BE2183" s="46">
        <v>0</v>
      </c>
      <c r="BF2183" s="46">
        <v>0</v>
      </c>
      <c r="BG2183" s="46" t="s">
        <v>48</v>
      </c>
      <c r="BH2183" s="46">
        <v>0</v>
      </c>
      <c r="BI2183" s="46">
        <v>0</v>
      </c>
      <c r="BJ2183" s="46">
        <v>0</v>
      </c>
      <c r="BK2183" s="46">
        <v>0</v>
      </c>
      <c r="BL2183" s="46">
        <v>0</v>
      </c>
      <c r="BM2183" s="46">
        <v>0</v>
      </c>
      <c r="BN2183" s="46">
        <v>0</v>
      </c>
    </row>
    <row r="2184" spans="1:66" ht="15" x14ac:dyDescent="0.4">
      <c r="A2184" t="s">
        <v>7894</v>
      </c>
      <c r="B2184" s="44" t="s">
        <v>48</v>
      </c>
      <c r="C2184" t="s">
        <v>12296</v>
      </c>
      <c r="D2184" t="s">
        <v>421</v>
      </c>
      <c r="E2184" t="s">
        <v>7893</v>
      </c>
      <c r="F2184" t="s">
        <v>5853</v>
      </c>
      <c r="G2184" t="s">
        <v>74</v>
      </c>
      <c r="H2184">
        <v>0</v>
      </c>
      <c r="I2184" s="61" t="s">
        <v>11160</v>
      </c>
      <c r="J2184" s="33" t="s">
        <v>45</v>
      </c>
      <c r="K2184" s="46">
        <v>0</v>
      </c>
      <c r="L2184">
        <v>47.5</v>
      </c>
      <c r="M2184" t="s">
        <v>48</v>
      </c>
      <c r="N2184" s="46">
        <v>0</v>
      </c>
      <c r="O2184" s="46">
        <v>0</v>
      </c>
      <c r="P2184" s="46">
        <v>0</v>
      </c>
      <c r="Q2184" t="s">
        <v>48</v>
      </c>
      <c r="R2184" t="s">
        <v>48</v>
      </c>
      <c r="S2184" s="55" t="s">
        <v>11367</v>
      </c>
      <c r="T2184" t="s">
        <v>48</v>
      </c>
      <c r="U2184" t="s">
        <v>48</v>
      </c>
      <c r="V2184" s="47">
        <v>1</v>
      </c>
      <c r="W2184" t="s">
        <v>48</v>
      </c>
      <c r="X2184" t="s">
        <v>48</v>
      </c>
      <c r="Y2184" t="s">
        <v>48</v>
      </c>
      <c r="Z2184" t="s">
        <v>48</v>
      </c>
      <c r="AA2184" t="s">
        <v>48</v>
      </c>
      <c r="AB2184" t="s">
        <v>48</v>
      </c>
      <c r="AC2184" t="s">
        <v>49</v>
      </c>
      <c r="AD2184" t="s">
        <v>93</v>
      </c>
      <c r="AE2184" t="s">
        <v>4532</v>
      </c>
      <c r="AF2184" t="s">
        <v>48</v>
      </c>
      <c r="AG2184" t="s">
        <v>48</v>
      </c>
      <c r="AH2184" t="s">
        <v>48</v>
      </c>
      <c r="AI2184" t="s">
        <v>48</v>
      </c>
      <c r="AJ2184" t="s">
        <v>48</v>
      </c>
      <c r="AK2184" t="s">
        <v>48</v>
      </c>
      <c r="AL2184" t="s">
        <v>48</v>
      </c>
      <c r="AM2184" t="s">
        <v>48</v>
      </c>
      <c r="AN2184" t="s">
        <v>48</v>
      </c>
      <c r="AO2184" t="s">
        <v>48</v>
      </c>
      <c r="AP2184" s="46">
        <v>0</v>
      </c>
      <c r="AQ2184" s="46">
        <v>0</v>
      </c>
      <c r="AR2184" s="46">
        <v>0</v>
      </c>
      <c r="AS2184" s="46">
        <v>0</v>
      </c>
      <c r="AT2184" s="46">
        <v>0</v>
      </c>
      <c r="AU2184" s="46">
        <v>0</v>
      </c>
      <c r="AV2184" s="46">
        <v>0</v>
      </c>
      <c r="AW2184" s="46">
        <v>0</v>
      </c>
      <c r="AX2184" s="46">
        <v>0</v>
      </c>
      <c r="AY2184" s="46">
        <v>0</v>
      </c>
      <c r="AZ2184" s="46">
        <v>0</v>
      </c>
      <c r="BA2184" s="46">
        <v>0</v>
      </c>
      <c r="BB2184" s="46">
        <v>0</v>
      </c>
      <c r="BC2184" s="46">
        <v>0</v>
      </c>
      <c r="BD2184" s="46">
        <v>0</v>
      </c>
      <c r="BE2184" s="46">
        <v>0</v>
      </c>
      <c r="BF2184" s="46">
        <v>0</v>
      </c>
      <c r="BG2184" s="46" t="s">
        <v>48</v>
      </c>
      <c r="BH2184" s="46">
        <v>0</v>
      </c>
      <c r="BI2184" s="46">
        <v>0</v>
      </c>
      <c r="BJ2184" s="46">
        <v>0</v>
      </c>
      <c r="BK2184" s="46">
        <v>0</v>
      </c>
      <c r="BL2184" s="46">
        <v>0</v>
      </c>
      <c r="BM2184" s="46">
        <v>0</v>
      </c>
      <c r="BN2184" s="46">
        <v>0</v>
      </c>
    </row>
    <row r="2185" spans="1:66" x14ac:dyDescent="0.35">
      <c r="A2185" t="s">
        <v>9763</v>
      </c>
      <c r="B2185" s="44" t="s">
        <v>48</v>
      </c>
      <c r="C2185" t="s">
        <v>12299</v>
      </c>
      <c r="D2185" t="s">
        <v>273</v>
      </c>
      <c r="E2185" t="s">
        <v>9764</v>
      </c>
      <c r="F2185" t="s">
        <v>5869</v>
      </c>
      <c r="G2185" t="s">
        <v>74</v>
      </c>
      <c r="H2185">
        <v>0</v>
      </c>
      <c r="I2185" s="61">
        <v>44749</v>
      </c>
      <c r="J2185" s="33" t="s">
        <v>45</v>
      </c>
      <c r="K2185" s="46">
        <v>0</v>
      </c>
      <c r="L2185">
        <v>4.8</v>
      </c>
      <c r="M2185" t="s">
        <v>48</v>
      </c>
      <c r="N2185" s="46">
        <v>0</v>
      </c>
      <c r="O2185" s="46">
        <v>0</v>
      </c>
      <c r="P2185" s="46">
        <v>0</v>
      </c>
      <c r="Q2185" t="s">
        <v>48</v>
      </c>
      <c r="R2185" t="s">
        <v>48</v>
      </c>
      <c r="S2185" t="s">
        <v>48</v>
      </c>
      <c r="T2185" t="s">
        <v>48</v>
      </c>
      <c r="U2185" t="s">
        <v>48</v>
      </c>
      <c r="V2185" s="47">
        <v>1</v>
      </c>
      <c r="W2185" t="s">
        <v>48</v>
      </c>
      <c r="X2185" t="s">
        <v>48</v>
      </c>
      <c r="Y2185" t="s">
        <v>48</v>
      </c>
      <c r="Z2185" t="s">
        <v>48</v>
      </c>
      <c r="AA2185" t="s">
        <v>48</v>
      </c>
      <c r="AB2185" t="s">
        <v>48</v>
      </c>
      <c r="AC2185" t="s">
        <v>49</v>
      </c>
      <c r="AD2185" t="s">
        <v>93</v>
      </c>
      <c r="AE2185" t="s">
        <v>2471</v>
      </c>
      <c r="AF2185" t="s">
        <v>48</v>
      </c>
      <c r="AG2185" t="s">
        <v>48</v>
      </c>
      <c r="AH2185" t="s">
        <v>48</v>
      </c>
      <c r="AI2185" t="s">
        <v>48</v>
      </c>
      <c r="AJ2185" t="s">
        <v>48</v>
      </c>
      <c r="AK2185" t="s">
        <v>48</v>
      </c>
      <c r="AL2185" t="s">
        <v>48</v>
      </c>
      <c r="AM2185" t="s">
        <v>48</v>
      </c>
      <c r="AN2185" t="s">
        <v>48</v>
      </c>
      <c r="AO2185" t="s">
        <v>48</v>
      </c>
      <c r="AP2185" s="46">
        <v>0</v>
      </c>
      <c r="AQ2185" s="46">
        <v>0</v>
      </c>
      <c r="AR2185" s="46">
        <v>0</v>
      </c>
      <c r="AS2185" s="46">
        <v>0</v>
      </c>
      <c r="AT2185" s="46">
        <v>0</v>
      </c>
      <c r="AU2185" s="46">
        <v>0</v>
      </c>
      <c r="AV2185" s="46">
        <v>0</v>
      </c>
      <c r="AW2185" s="46">
        <v>0</v>
      </c>
      <c r="AX2185" s="46">
        <v>0</v>
      </c>
      <c r="AY2185" s="46">
        <v>0</v>
      </c>
      <c r="AZ2185" s="46">
        <v>0</v>
      </c>
      <c r="BA2185" s="46">
        <v>0</v>
      </c>
      <c r="BB2185" s="46">
        <v>0</v>
      </c>
      <c r="BC2185" s="46">
        <v>0</v>
      </c>
      <c r="BD2185" s="46">
        <v>0</v>
      </c>
      <c r="BE2185" s="46">
        <v>0</v>
      </c>
      <c r="BF2185" s="46">
        <v>0</v>
      </c>
      <c r="BG2185" s="46" t="s">
        <v>48</v>
      </c>
      <c r="BH2185" s="46">
        <v>0</v>
      </c>
      <c r="BI2185" s="46">
        <v>0</v>
      </c>
      <c r="BJ2185" s="46">
        <v>0</v>
      </c>
      <c r="BK2185" s="46">
        <v>0</v>
      </c>
      <c r="BL2185" s="46">
        <v>0</v>
      </c>
      <c r="BM2185" s="46">
        <v>0</v>
      </c>
      <c r="BN2185" s="46">
        <v>0</v>
      </c>
    </row>
    <row r="2186" spans="1:66" x14ac:dyDescent="0.35">
      <c r="A2186" t="s">
        <v>9807</v>
      </c>
      <c r="B2186" s="44" t="s">
        <v>48</v>
      </c>
      <c r="C2186" t="s">
        <v>12298</v>
      </c>
      <c r="D2186" t="s">
        <v>372</v>
      </c>
      <c r="E2186" t="s">
        <v>7890</v>
      </c>
      <c r="F2186" t="s">
        <v>5869</v>
      </c>
      <c r="G2186" t="s">
        <v>74</v>
      </c>
      <c r="H2186">
        <v>0</v>
      </c>
      <c r="I2186" s="61">
        <v>44722</v>
      </c>
      <c r="J2186" s="33" t="s">
        <v>45</v>
      </c>
      <c r="K2186" s="46">
        <v>0</v>
      </c>
      <c r="L2186">
        <v>10.9</v>
      </c>
      <c r="M2186" t="s">
        <v>48</v>
      </c>
      <c r="N2186" s="46">
        <v>0</v>
      </c>
      <c r="O2186" s="46">
        <v>0</v>
      </c>
      <c r="P2186" s="46">
        <v>0</v>
      </c>
      <c r="Q2186" t="s">
        <v>48</v>
      </c>
      <c r="R2186" t="s">
        <v>48</v>
      </c>
      <c r="S2186" t="s">
        <v>48</v>
      </c>
      <c r="T2186" t="s">
        <v>48</v>
      </c>
      <c r="U2186" t="s">
        <v>48</v>
      </c>
      <c r="V2186" s="47">
        <v>1</v>
      </c>
      <c r="W2186" t="s">
        <v>48</v>
      </c>
      <c r="X2186" t="s">
        <v>48</v>
      </c>
      <c r="Y2186" t="s">
        <v>48</v>
      </c>
      <c r="Z2186" t="s">
        <v>48</v>
      </c>
      <c r="AA2186" t="s">
        <v>48</v>
      </c>
      <c r="AB2186" t="s">
        <v>48</v>
      </c>
      <c r="AC2186" t="s">
        <v>49</v>
      </c>
      <c r="AD2186" t="s">
        <v>93</v>
      </c>
      <c r="AE2186" t="s">
        <v>2471</v>
      </c>
      <c r="AF2186" t="s">
        <v>48</v>
      </c>
      <c r="AG2186" t="s">
        <v>48</v>
      </c>
      <c r="AH2186" t="s">
        <v>48</v>
      </c>
      <c r="AI2186" t="s">
        <v>48</v>
      </c>
      <c r="AJ2186" t="s">
        <v>48</v>
      </c>
      <c r="AK2186" t="s">
        <v>48</v>
      </c>
      <c r="AL2186" t="s">
        <v>48</v>
      </c>
      <c r="AM2186" t="s">
        <v>48</v>
      </c>
      <c r="AN2186" t="s">
        <v>48</v>
      </c>
      <c r="AO2186" t="s">
        <v>48</v>
      </c>
      <c r="AP2186" s="46">
        <v>0</v>
      </c>
      <c r="AQ2186" s="46">
        <v>0</v>
      </c>
      <c r="AR2186" s="46">
        <v>0</v>
      </c>
      <c r="AS2186" s="46">
        <v>1</v>
      </c>
      <c r="AT2186" s="46">
        <v>0</v>
      </c>
      <c r="AU2186" s="46">
        <v>0</v>
      </c>
      <c r="AV2186" s="46">
        <v>0</v>
      </c>
      <c r="AW2186" s="46">
        <v>0</v>
      </c>
      <c r="AX2186" s="46">
        <v>0</v>
      </c>
      <c r="AY2186" s="46">
        <v>0</v>
      </c>
      <c r="AZ2186" s="46">
        <v>0</v>
      </c>
      <c r="BA2186" s="46">
        <v>0</v>
      </c>
      <c r="BB2186" s="46">
        <v>0</v>
      </c>
      <c r="BC2186" s="46">
        <v>0</v>
      </c>
      <c r="BD2186" s="46">
        <v>0</v>
      </c>
      <c r="BE2186" s="46">
        <v>0</v>
      </c>
      <c r="BF2186" s="46">
        <v>0</v>
      </c>
      <c r="BG2186" s="46" t="s">
        <v>48</v>
      </c>
      <c r="BH2186" s="46">
        <v>0</v>
      </c>
      <c r="BI2186" s="46">
        <v>0</v>
      </c>
      <c r="BJ2186" s="46">
        <v>0</v>
      </c>
      <c r="BK2186" s="46">
        <v>1</v>
      </c>
      <c r="BL2186" s="46">
        <v>0</v>
      </c>
      <c r="BM2186" s="46">
        <v>0</v>
      </c>
      <c r="BN2186" s="46">
        <v>0</v>
      </c>
    </row>
    <row r="2187" spans="1:66" ht="15" x14ac:dyDescent="0.4">
      <c r="A2187" t="s">
        <v>7889</v>
      </c>
      <c r="B2187" s="44" t="s">
        <v>48</v>
      </c>
      <c r="C2187" t="s">
        <v>4047</v>
      </c>
      <c r="D2187" t="s">
        <v>571</v>
      </c>
      <c r="E2187" t="s">
        <v>7888</v>
      </c>
      <c r="F2187" t="s">
        <v>5869</v>
      </c>
      <c r="G2187" t="s">
        <v>74</v>
      </c>
      <c r="H2187">
        <v>0</v>
      </c>
      <c r="I2187" s="61" t="s">
        <v>11160</v>
      </c>
      <c r="J2187" s="33" t="s">
        <v>45</v>
      </c>
      <c r="K2187" s="46">
        <v>0</v>
      </c>
      <c r="L2187">
        <v>41</v>
      </c>
      <c r="M2187" t="s">
        <v>48</v>
      </c>
      <c r="N2187" s="46">
        <v>0</v>
      </c>
      <c r="O2187" s="46">
        <v>0</v>
      </c>
      <c r="P2187" s="46">
        <v>0</v>
      </c>
      <c r="Q2187" t="s">
        <v>48</v>
      </c>
      <c r="R2187" t="s">
        <v>48</v>
      </c>
      <c r="S2187" s="55" t="s">
        <v>11377</v>
      </c>
      <c r="T2187" t="s">
        <v>48</v>
      </c>
      <c r="U2187" t="s">
        <v>48</v>
      </c>
      <c r="V2187" s="47">
        <v>0</v>
      </c>
      <c r="W2187" t="s">
        <v>48</v>
      </c>
      <c r="X2187" t="s">
        <v>48</v>
      </c>
      <c r="Y2187" t="s">
        <v>48</v>
      </c>
      <c r="Z2187" t="s">
        <v>48</v>
      </c>
      <c r="AA2187" t="s">
        <v>48</v>
      </c>
      <c r="AB2187" t="s">
        <v>48</v>
      </c>
      <c r="AC2187" t="s">
        <v>49</v>
      </c>
      <c r="AD2187" t="s">
        <v>93</v>
      </c>
      <c r="AE2187" t="s">
        <v>4532</v>
      </c>
      <c r="AF2187" t="s">
        <v>48</v>
      </c>
      <c r="AG2187" t="s">
        <v>48</v>
      </c>
      <c r="AH2187" t="s">
        <v>48</v>
      </c>
      <c r="AI2187" t="s">
        <v>48</v>
      </c>
      <c r="AJ2187" t="s">
        <v>48</v>
      </c>
      <c r="AK2187" t="s">
        <v>48</v>
      </c>
      <c r="AL2187" t="s">
        <v>48</v>
      </c>
      <c r="AM2187" t="s">
        <v>48</v>
      </c>
      <c r="AN2187" t="s">
        <v>48</v>
      </c>
      <c r="AO2187" t="s">
        <v>48</v>
      </c>
      <c r="AP2187" s="46">
        <v>0</v>
      </c>
      <c r="AQ2187" s="46">
        <v>0</v>
      </c>
      <c r="AR2187" s="46">
        <v>0</v>
      </c>
      <c r="AS2187" s="46">
        <v>0</v>
      </c>
      <c r="AT2187" s="46">
        <v>0</v>
      </c>
      <c r="AU2187" s="46">
        <v>0</v>
      </c>
      <c r="AV2187" s="46">
        <v>0</v>
      </c>
      <c r="AW2187" s="46">
        <v>0</v>
      </c>
      <c r="AX2187" s="46">
        <v>0</v>
      </c>
      <c r="AY2187" s="46">
        <v>0</v>
      </c>
      <c r="AZ2187" s="46">
        <v>0</v>
      </c>
      <c r="BA2187" s="46">
        <v>0</v>
      </c>
      <c r="BB2187" s="46">
        <v>0</v>
      </c>
      <c r="BC2187" s="46">
        <v>0</v>
      </c>
      <c r="BD2187" s="46">
        <v>0</v>
      </c>
      <c r="BE2187" s="46">
        <v>0</v>
      </c>
      <c r="BF2187" s="46">
        <v>0</v>
      </c>
      <c r="BG2187" s="46" t="s">
        <v>48</v>
      </c>
      <c r="BH2187" s="46">
        <v>0</v>
      </c>
      <c r="BI2187" s="46">
        <v>0</v>
      </c>
      <c r="BJ2187" s="46">
        <v>0</v>
      </c>
      <c r="BK2187" s="46">
        <v>0</v>
      </c>
      <c r="BL2187" s="46">
        <v>0</v>
      </c>
      <c r="BM2187" s="46">
        <v>0</v>
      </c>
      <c r="BN2187" s="46">
        <v>0</v>
      </c>
    </row>
    <row r="2188" spans="1:66" x14ac:dyDescent="0.35">
      <c r="A2188" t="s">
        <v>9765</v>
      </c>
      <c r="B2188" s="44" t="s">
        <v>48</v>
      </c>
      <c r="C2188" t="s">
        <v>12211</v>
      </c>
      <c r="D2188" t="s">
        <v>262</v>
      </c>
      <c r="E2188" t="s">
        <v>9766</v>
      </c>
      <c r="F2188" t="s">
        <v>5869</v>
      </c>
      <c r="G2188" t="s">
        <v>74</v>
      </c>
      <c r="H2188">
        <v>0</v>
      </c>
      <c r="I2188" s="61">
        <v>44749</v>
      </c>
      <c r="J2188" s="33" t="s">
        <v>45</v>
      </c>
      <c r="K2188" s="46">
        <v>0</v>
      </c>
      <c r="L2188">
        <v>1.5</v>
      </c>
      <c r="M2188" t="s">
        <v>48</v>
      </c>
      <c r="N2188" s="46">
        <v>0</v>
      </c>
      <c r="O2188" s="46">
        <v>0</v>
      </c>
      <c r="P2188" s="46">
        <v>0</v>
      </c>
      <c r="Q2188" t="s">
        <v>48</v>
      </c>
      <c r="R2188" t="s">
        <v>48</v>
      </c>
      <c r="S2188" t="s">
        <v>48</v>
      </c>
      <c r="T2188" t="s">
        <v>48</v>
      </c>
      <c r="U2188" t="s">
        <v>48</v>
      </c>
      <c r="V2188" s="47">
        <v>0</v>
      </c>
      <c r="W2188" t="s">
        <v>48</v>
      </c>
      <c r="X2188" t="s">
        <v>48</v>
      </c>
      <c r="Y2188" t="s">
        <v>48</v>
      </c>
      <c r="Z2188" t="s">
        <v>48</v>
      </c>
      <c r="AA2188" t="s">
        <v>48</v>
      </c>
      <c r="AB2188" t="s">
        <v>48</v>
      </c>
      <c r="AC2188" t="s">
        <v>49</v>
      </c>
      <c r="AD2188" t="s">
        <v>48</v>
      </c>
      <c r="AE2188" t="s">
        <v>48</v>
      </c>
      <c r="AF2188" t="s">
        <v>48</v>
      </c>
      <c r="AG2188" t="s">
        <v>48</v>
      </c>
      <c r="AH2188" t="s">
        <v>48</v>
      </c>
      <c r="AI2188" t="s">
        <v>48</v>
      </c>
      <c r="AJ2188" t="s">
        <v>48</v>
      </c>
      <c r="AK2188" t="s">
        <v>48</v>
      </c>
      <c r="AL2188" t="s">
        <v>48</v>
      </c>
      <c r="AM2188" t="s">
        <v>48</v>
      </c>
      <c r="AN2188" t="s">
        <v>48</v>
      </c>
      <c r="AO2188" t="s">
        <v>48</v>
      </c>
      <c r="AP2188" s="46">
        <v>0</v>
      </c>
      <c r="AQ2188" s="46">
        <v>0</v>
      </c>
      <c r="AR2188" s="46">
        <v>0</v>
      </c>
      <c r="AS2188" s="46">
        <v>0</v>
      </c>
      <c r="AT2188" s="46">
        <v>0</v>
      </c>
      <c r="AU2188" s="46">
        <v>0</v>
      </c>
      <c r="AV2188" s="46">
        <v>0</v>
      </c>
      <c r="AW2188" s="46">
        <v>0</v>
      </c>
      <c r="AX2188" s="46">
        <v>0</v>
      </c>
      <c r="AY2188" s="46">
        <v>0</v>
      </c>
      <c r="AZ2188" s="46">
        <v>0</v>
      </c>
      <c r="BA2188" s="46">
        <v>0</v>
      </c>
      <c r="BB2188" s="46">
        <v>0</v>
      </c>
      <c r="BC2188" s="46">
        <v>0</v>
      </c>
      <c r="BD2188" s="46">
        <v>0</v>
      </c>
      <c r="BE2188" s="46">
        <v>0</v>
      </c>
      <c r="BF2188" s="46">
        <v>0</v>
      </c>
      <c r="BG2188" s="46" t="s">
        <v>48</v>
      </c>
      <c r="BH2188" s="46">
        <v>0</v>
      </c>
      <c r="BI2188" s="46">
        <v>0</v>
      </c>
      <c r="BJ2188" s="46">
        <v>0</v>
      </c>
      <c r="BK2188" s="46">
        <v>0</v>
      </c>
      <c r="BL2188" s="46">
        <v>0</v>
      </c>
      <c r="BM2188" s="46">
        <v>0</v>
      </c>
      <c r="BN2188" s="46">
        <v>0</v>
      </c>
    </row>
    <row r="2189" spans="1:66" x14ac:dyDescent="0.35">
      <c r="A2189" t="s">
        <v>5899</v>
      </c>
      <c r="B2189" s="44" t="s">
        <v>48</v>
      </c>
      <c r="C2189" t="s">
        <v>5902</v>
      </c>
      <c r="D2189" t="s">
        <v>421</v>
      </c>
      <c r="E2189" t="s">
        <v>5900</v>
      </c>
      <c r="F2189" t="s">
        <v>5892</v>
      </c>
      <c r="G2189" t="s">
        <v>74</v>
      </c>
      <c r="H2189">
        <v>0</v>
      </c>
      <c r="I2189" s="60" t="s">
        <v>11160</v>
      </c>
      <c r="J2189" s="33" t="s">
        <v>45</v>
      </c>
      <c r="K2189" s="46">
        <v>0</v>
      </c>
      <c r="L2189">
        <v>31</v>
      </c>
      <c r="M2189" t="s">
        <v>48</v>
      </c>
      <c r="N2189" s="46">
        <v>0</v>
      </c>
      <c r="O2189" s="46">
        <v>0</v>
      </c>
      <c r="P2189" s="46">
        <v>0</v>
      </c>
      <c r="Q2189" t="s">
        <v>48</v>
      </c>
      <c r="R2189" t="s">
        <v>48</v>
      </c>
      <c r="S2189" t="s">
        <v>5901</v>
      </c>
      <c r="T2189" t="s">
        <v>48</v>
      </c>
      <c r="U2189" t="s">
        <v>5901</v>
      </c>
      <c r="V2189" s="47">
        <v>0</v>
      </c>
      <c r="W2189" t="s">
        <v>11317</v>
      </c>
      <c r="X2189" t="s">
        <v>48</v>
      </c>
      <c r="Y2189" t="s">
        <v>48</v>
      </c>
      <c r="Z2189">
        <v>0</v>
      </c>
      <c r="AA2189" t="s">
        <v>48</v>
      </c>
      <c r="AB2189" t="s">
        <v>48</v>
      </c>
      <c r="AC2189" t="s">
        <v>49</v>
      </c>
      <c r="AD2189" t="s">
        <v>93</v>
      </c>
      <c r="AE2189" t="s">
        <v>4532</v>
      </c>
      <c r="AF2189" t="s">
        <v>48</v>
      </c>
      <c r="AG2189" t="s">
        <v>48</v>
      </c>
      <c r="AH2189" t="s">
        <v>48</v>
      </c>
      <c r="AI2189" t="s">
        <v>48</v>
      </c>
      <c r="AJ2189" t="s">
        <v>48</v>
      </c>
      <c r="AK2189" t="s">
        <v>48</v>
      </c>
      <c r="AL2189" t="s">
        <v>48</v>
      </c>
      <c r="AM2189" t="s">
        <v>48</v>
      </c>
      <c r="AN2189" t="s">
        <v>48</v>
      </c>
      <c r="AO2189" t="s">
        <v>48</v>
      </c>
      <c r="AP2189" s="46">
        <v>0</v>
      </c>
      <c r="AQ2189" s="46">
        <v>0</v>
      </c>
      <c r="AR2189" s="46">
        <v>0</v>
      </c>
      <c r="AS2189" s="46">
        <v>0</v>
      </c>
      <c r="AT2189" s="46">
        <v>0</v>
      </c>
      <c r="AU2189" s="46">
        <v>0</v>
      </c>
      <c r="AV2189" s="46">
        <v>0</v>
      </c>
      <c r="AW2189" s="46">
        <v>0</v>
      </c>
      <c r="AX2189" s="46">
        <v>0</v>
      </c>
      <c r="AY2189" s="46">
        <v>0</v>
      </c>
      <c r="AZ2189" s="46">
        <v>0</v>
      </c>
      <c r="BA2189" s="46">
        <v>0</v>
      </c>
      <c r="BB2189" s="46">
        <v>0</v>
      </c>
      <c r="BC2189" s="46">
        <v>0</v>
      </c>
      <c r="BD2189" s="46">
        <v>0</v>
      </c>
      <c r="BE2189" s="46">
        <v>0</v>
      </c>
      <c r="BF2189" s="46">
        <v>0</v>
      </c>
      <c r="BG2189" s="46" t="s">
        <v>48</v>
      </c>
      <c r="BH2189" s="46">
        <v>0</v>
      </c>
      <c r="BI2189" s="46">
        <v>0</v>
      </c>
      <c r="BJ2189" s="46">
        <v>0</v>
      </c>
      <c r="BK2189" s="46">
        <v>0</v>
      </c>
      <c r="BL2189" s="46">
        <v>0</v>
      </c>
      <c r="BM2189" s="46">
        <v>0</v>
      </c>
      <c r="BN2189" s="46">
        <v>0</v>
      </c>
    </row>
    <row r="2190" spans="1:66" x14ac:dyDescent="0.35">
      <c r="A2190" t="s">
        <v>5907</v>
      </c>
      <c r="B2190" t="s">
        <v>48</v>
      </c>
      <c r="C2190" t="s">
        <v>5910</v>
      </c>
      <c r="D2190" t="s">
        <v>331</v>
      </c>
      <c r="E2190" t="s">
        <v>5908</v>
      </c>
      <c r="F2190" t="s">
        <v>5903</v>
      </c>
      <c r="G2190" t="s">
        <v>47</v>
      </c>
      <c r="H2190">
        <v>0</v>
      </c>
      <c r="I2190" s="60" t="s">
        <v>125</v>
      </c>
      <c r="J2190" s="33" t="s">
        <v>45</v>
      </c>
      <c r="K2190" s="46">
        <v>0</v>
      </c>
      <c r="L2190">
        <v>24</v>
      </c>
      <c r="M2190" t="s">
        <v>48</v>
      </c>
      <c r="N2190" s="46">
        <v>0</v>
      </c>
      <c r="O2190" s="46">
        <v>0</v>
      </c>
      <c r="P2190" s="46">
        <v>0</v>
      </c>
      <c r="Q2190" t="s">
        <v>48</v>
      </c>
      <c r="R2190" t="s">
        <v>48</v>
      </c>
      <c r="S2190" t="s">
        <v>5909</v>
      </c>
      <c r="T2190" t="s">
        <v>48</v>
      </c>
      <c r="U2190" t="s">
        <v>5909</v>
      </c>
      <c r="V2190" s="47">
        <v>0</v>
      </c>
      <c r="W2190" t="s">
        <v>48</v>
      </c>
      <c r="X2190" t="s">
        <v>48</v>
      </c>
      <c r="Y2190" t="s">
        <v>48</v>
      </c>
      <c r="Z2190">
        <v>0</v>
      </c>
      <c r="AA2190" t="s">
        <v>48</v>
      </c>
      <c r="AB2190" t="s">
        <v>48</v>
      </c>
      <c r="AC2190" t="s">
        <v>49</v>
      </c>
      <c r="AD2190" t="s">
        <v>93</v>
      </c>
      <c r="AE2190" t="s">
        <v>4532</v>
      </c>
      <c r="AF2190" t="s">
        <v>48</v>
      </c>
      <c r="AG2190" t="s">
        <v>48</v>
      </c>
      <c r="AH2190" t="s">
        <v>48</v>
      </c>
      <c r="AI2190" t="s">
        <v>48</v>
      </c>
      <c r="AJ2190" t="s">
        <v>48</v>
      </c>
      <c r="AK2190" t="s">
        <v>48</v>
      </c>
      <c r="AL2190" t="s">
        <v>48</v>
      </c>
      <c r="AM2190" t="s">
        <v>48</v>
      </c>
      <c r="AN2190" t="s">
        <v>48</v>
      </c>
      <c r="AO2190" t="s">
        <v>48</v>
      </c>
      <c r="AP2190" s="46">
        <v>0</v>
      </c>
      <c r="AQ2190" s="46">
        <v>0</v>
      </c>
      <c r="AR2190" s="46">
        <v>0</v>
      </c>
      <c r="AS2190" s="46">
        <v>0</v>
      </c>
      <c r="AT2190" s="46">
        <v>0</v>
      </c>
      <c r="AU2190" s="46">
        <v>0</v>
      </c>
      <c r="AV2190" s="46">
        <v>0</v>
      </c>
      <c r="AW2190" s="46">
        <v>0</v>
      </c>
      <c r="AX2190" s="46">
        <v>0</v>
      </c>
      <c r="AY2190" s="46">
        <v>0</v>
      </c>
      <c r="AZ2190" s="46">
        <v>0</v>
      </c>
      <c r="BA2190" s="46">
        <v>0</v>
      </c>
      <c r="BB2190" s="46">
        <v>0</v>
      </c>
      <c r="BC2190" s="46">
        <v>0</v>
      </c>
      <c r="BD2190" s="46">
        <v>0</v>
      </c>
      <c r="BE2190" s="46">
        <v>0</v>
      </c>
      <c r="BF2190" s="46">
        <v>0</v>
      </c>
      <c r="BG2190" s="46" t="s">
        <v>48</v>
      </c>
      <c r="BH2190" s="46">
        <v>0</v>
      </c>
      <c r="BI2190" s="46">
        <v>0</v>
      </c>
      <c r="BJ2190" s="46">
        <v>0</v>
      </c>
      <c r="BK2190" s="46">
        <v>0</v>
      </c>
      <c r="BL2190" s="46">
        <v>0</v>
      </c>
      <c r="BM2190" s="46">
        <v>0</v>
      </c>
      <c r="BN2190" s="46">
        <v>0</v>
      </c>
    </row>
    <row r="2191" spans="1:66" x14ac:dyDescent="0.35">
      <c r="A2191" t="s">
        <v>7913</v>
      </c>
      <c r="B2191" t="s">
        <v>48</v>
      </c>
      <c r="C2191" t="s">
        <v>12301</v>
      </c>
      <c r="D2191" t="s">
        <v>456</v>
      </c>
      <c r="E2191" t="s">
        <v>7912</v>
      </c>
      <c r="F2191" t="s">
        <v>5903</v>
      </c>
      <c r="G2191" t="s">
        <v>47</v>
      </c>
      <c r="H2191">
        <v>0</v>
      </c>
      <c r="I2191" s="61">
        <v>44722</v>
      </c>
      <c r="J2191" s="33" t="s">
        <v>45</v>
      </c>
      <c r="K2191" s="46">
        <v>0</v>
      </c>
      <c r="L2191">
        <v>17.3</v>
      </c>
      <c r="M2191" t="s">
        <v>48</v>
      </c>
      <c r="N2191" s="46">
        <v>0</v>
      </c>
      <c r="O2191" s="46">
        <v>0</v>
      </c>
      <c r="P2191" s="46">
        <v>0</v>
      </c>
      <c r="Q2191" t="s">
        <v>48</v>
      </c>
      <c r="R2191" t="s">
        <v>48</v>
      </c>
      <c r="S2191" t="s">
        <v>48</v>
      </c>
      <c r="T2191" t="s">
        <v>48</v>
      </c>
      <c r="U2191" t="s">
        <v>48</v>
      </c>
      <c r="V2191" s="47">
        <v>0</v>
      </c>
      <c r="W2191" t="s">
        <v>48</v>
      </c>
      <c r="X2191" t="s">
        <v>48</v>
      </c>
      <c r="Y2191" t="s">
        <v>48</v>
      </c>
      <c r="Z2191" t="s">
        <v>48</v>
      </c>
      <c r="AA2191" t="s">
        <v>48</v>
      </c>
      <c r="AB2191" t="s">
        <v>48</v>
      </c>
      <c r="AC2191" t="s">
        <v>63</v>
      </c>
      <c r="AD2191" t="s">
        <v>93</v>
      </c>
      <c r="AE2191" t="s">
        <v>4532</v>
      </c>
      <c r="AF2191" t="s">
        <v>48</v>
      </c>
      <c r="AG2191" t="s">
        <v>48</v>
      </c>
      <c r="AH2191" t="s">
        <v>48</v>
      </c>
      <c r="AI2191" t="s">
        <v>48</v>
      </c>
      <c r="AJ2191" t="s">
        <v>48</v>
      </c>
      <c r="AK2191" t="s">
        <v>48</v>
      </c>
      <c r="AL2191" t="s">
        <v>48</v>
      </c>
      <c r="AM2191" t="s">
        <v>48</v>
      </c>
      <c r="AN2191" t="s">
        <v>48</v>
      </c>
      <c r="AO2191" t="s">
        <v>48</v>
      </c>
      <c r="AP2191" s="46">
        <v>0</v>
      </c>
      <c r="AQ2191" s="46">
        <v>0</v>
      </c>
      <c r="AR2191" s="46">
        <v>0</v>
      </c>
      <c r="AS2191" s="46">
        <v>0</v>
      </c>
      <c r="AT2191" s="46">
        <v>0</v>
      </c>
      <c r="AU2191" s="46">
        <v>0</v>
      </c>
      <c r="AV2191" s="46">
        <v>0</v>
      </c>
      <c r="AW2191" s="46">
        <v>0</v>
      </c>
      <c r="AX2191" s="46">
        <v>0</v>
      </c>
      <c r="AY2191" s="46">
        <v>0</v>
      </c>
      <c r="AZ2191" s="46">
        <v>0</v>
      </c>
      <c r="BA2191" s="46">
        <v>0</v>
      </c>
      <c r="BB2191" s="46">
        <v>0</v>
      </c>
      <c r="BC2191" s="46">
        <v>0</v>
      </c>
      <c r="BD2191" s="46">
        <v>0</v>
      </c>
      <c r="BE2191" s="46">
        <v>0</v>
      </c>
      <c r="BF2191" s="46">
        <v>0</v>
      </c>
      <c r="BG2191" s="46" t="s">
        <v>48</v>
      </c>
      <c r="BH2191" s="46">
        <v>0</v>
      </c>
      <c r="BI2191" s="46">
        <v>0</v>
      </c>
      <c r="BJ2191" s="46">
        <v>0</v>
      </c>
      <c r="BK2191" s="46">
        <v>0</v>
      </c>
      <c r="BL2191" s="46">
        <v>0</v>
      </c>
      <c r="BM2191" s="46">
        <v>0</v>
      </c>
      <c r="BN2191" s="46">
        <v>0</v>
      </c>
    </row>
    <row r="2192" spans="1:66" x14ac:dyDescent="0.35">
      <c r="A2192" t="s">
        <v>5912</v>
      </c>
      <c r="B2192" s="44" t="s">
        <v>48</v>
      </c>
      <c r="C2192" t="s">
        <v>5915</v>
      </c>
      <c r="D2192" t="s">
        <v>993</v>
      </c>
      <c r="E2192" t="s">
        <v>5913</v>
      </c>
      <c r="F2192" t="s">
        <v>5903</v>
      </c>
      <c r="G2192" t="s">
        <v>74</v>
      </c>
      <c r="H2192">
        <v>0</v>
      </c>
      <c r="I2192" s="60" t="s">
        <v>177</v>
      </c>
      <c r="J2192" s="33" t="s">
        <v>45</v>
      </c>
      <c r="K2192" s="46">
        <v>0</v>
      </c>
      <c r="L2192">
        <v>37</v>
      </c>
      <c r="M2192" t="s">
        <v>48</v>
      </c>
      <c r="N2192" s="46">
        <v>0</v>
      </c>
      <c r="O2192" s="46">
        <v>0</v>
      </c>
      <c r="P2192" s="46">
        <v>0</v>
      </c>
      <c r="Q2192" t="s">
        <v>48</v>
      </c>
      <c r="R2192" t="s">
        <v>48</v>
      </c>
      <c r="S2192" t="s">
        <v>5914</v>
      </c>
      <c r="T2192" t="s">
        <v>48</v>
      </c>
      <c r="U2192" t="s">
        <v>5914</v>
      </c>
      <c r="V2192" s="47">
        <v>0</v>
      </c>
      <c r="W2192" t="s">
        <v>48</v>
      </c>
      <c r="X2192" t="s">
        <v>48</v>
      </c>
      <c r="Y2192" t="s">
        <v>48</v>
      </c>
      <c r="Z2192">
        <v>0</v>
      </c>
      <c r="AA2192" t="s">
        <v>48</v>
      </c>
      <c r="AB2192" t="s">
        <v>48</v>
      </c>
      <c r="AC2192" t="s">
        <v>49</v>
      </c>
      <c r="AD2192" t="s">
        <v>93</v>
      </c>
      <c r="AE2192" t="s">
        <v>4532</v>
      </c>
      <c r="AF2192" t="s">
        <v>48</v>
      </c>
      <c r="AG2192" t="s">
        <v>48</v>
      </c>
      <c r="AH2192" t="s">
        <v>426</v>
      </c>
      <c r="AI2192" t="s">
        <v>48</v>
      </c>
      <c r="AJ2192" t="s">
        <v>48</v>
      </c>
      <c r="AK2192" t="s">
        <v>48</v>
      </c>
      <c r="AL2192" t="s">
        <v>48</v>
      </c>
      <c r="AM2192" t="s">
        <v>48</v>
      </c>
      <c r="AN2192" t="s">
        <v>48</v>
      </c>
      <c r="AO2192" t="s">
        <v>48</v>
      </c>
      <c r="AP2192" s="46">
        <v>0</v>
      </c>
      <c r="AQ2192" s="46">
        <v>0</v>
      </c>
      <c r="AR2192" s="46">
        <v>0</v>
      </c>
      <c r="AS2192" s="46">
        <v>0</v>
      </c>
      <c r="AT2192" s="46">
        <v>0</v>
      </c>
      <c r="AU2192" s="46">
        <v>0</v>
      </c>
      <c r="AV2192" s="46">
        <v>0</v>
      </c>
      <c r="AW2192" s="46">
        <v>0</v>
      </c>
      <c r="AX2192" s="46">
        <v>0</v>
      </c>
      <c r="AY2192" s="46">
        <v>0</v>
      </c>
      <c r="AZ2192" s="46">
        <v>0</v>
      </c>
      <c r="BA2192" s="46">
        <v>0</v>
      </c>
      <c r="BB2192" s="46">
        <v>0</v>
      </c>
      <c r="BC2192" s="46">
        <v>0</v>
      </c>
      <c r="BD2192" s="46">
        <v>0</v>
      </c>
      <c r="BE2192" s="46">
        <v>0</v>
      </c>
      <c r="BF2192" s="46">
        <v>0</v>
      </c>
      <c r="BG2192" s="46" t="s">
        <v>48</v>
      </c>
      <c r="BH2192" s="46">
        <v>0</v>
      </c>
      <c r="BI2192" s="46">
        <v>0</v>
      </c>
      <c r="BJ2192" s="46">
        <v>0</v>
      </c>
      <c r="BK2192" s="46">
        <v>0</v>
      </c>
      <c r="BL2192" s="46">
        <v>0</v>
      </c>
      <c r="BM2192" s="46">
        <v>0</v>
      </c>
      <c r="BN2192" s="46">
        <v>0</v>
      </c>
    </row>
    <row r="2193" spans="1:66" x14ac:dyDescent="0.35">
      <c r="A2193" t="s">
        <v>11032</v>
      </c>
      <c r="B2193" s="44" t="s">
        <v>48</v>
      </c>
      <c r="C2193" t="s">
        <v>12305</v>
      </c>
      <c r="D2193" t="s">
        <v>268</v>
      </c>
      <c r="E2193" t="s">
        <v>11033</v>
      </c>
      <c r="F2193" t="s">
        <v>5980</v>
      </c>
      <c r="G2193" t="s">
        <v>74</v>
      </c>
      <c r="H2193">
        <v>0</v>
      </c>
      <c r="I2193" s="60" t="s">
        <v>11552</v>
      </c>
      <c r="J2193" s="33" t="s">
        <v>45</v>
      </c>
      <c r="K2193" s="46">
        <v>0</v>
      </c>
      <c r="L2193">
        <v>16</v>
      </c>
      <c r="M2193" t="s">
        <v>48</v>
      </c>
      <c r="N2193" s="46">
        <v>0</v>
      </c>
      <c r="O2193" s="46">
        <v>0</v>
      </c>
      <c r="P2193" s="46">
        <v>0</v>
      </c>
      <c r="Q2193" t="s">
        <v>48</v>
      </c>
      <c r="R2193" t="s">
        <v>48</v>
      </c>
      <c r="S2193" t="s">
        <v>11537</v>
      </c>
      <c r="T2193" t="s">
        <v>48</v>
      </c>
      <c r="U2193" t="s">
        <v>11034</v>
      </c>
      <c r="V2193" s="47">
        <v>0</v>
      </c>
      <c r="W2193" t="s">
        <v>48</v>
      </c>
      <c r="X2193" t="s">
        <v>48</v>
      </c>
      <c r="Y2193" t="s">
        <v>48</v>
      </c>
      <c r="Z2193" t="s">
        <v>48</v>
      </c>
      <c r="AA2193" t="s">
        <v>48</v>
      </c>
      <c r="AB2193" t="s">
        <v>48</v>
      </c>
      <c r="AC2193" t="s">
        <v>49</v>
      </c>
      <c r="AD2193" t="s">
        <v>93</v>
      </c>
      <c r="AE2193" t="s">
        <v>4532</v>
      </c>
      <c r="AF2193" t="s">
        <v>48</v>
      </c>
      <c r="AG2193" t="s">
        <v>48</v>
      </c>
      <c r="AH2193" t="s">
        <v>48</v>
      </c>
      <c r="AI2193" t="s">
        <v>48</v>
      </c>
      <c r="AJ2193" t="s">
        <v>48</v>
      </c>
      <c r="AK2193" t="s">
        <v>48</v>
      </c>
      <c r="AL2193" t="s">
        <v>48</v>
      </c>
      <c r="AM2193" t="s">
        <v>48</v>
      </c>
      <c r="AN2193" t="s">
        <v>48</v>
      </c>
      <c r="AO2193" t="s">
        <v>48</v>
      </c>
      <c r="AP2193" s="46">
        <v>0</v>
      </c>
      <c r="AQ2193" s="46">
        <v>0</v>
      </c>
      <c r="AR2193" s="46">
        <v>0</v>
      </c>
      <c r="AS2193" s="46">
        <v>0</v>
      </c>
      <c r="AT2193" s="46">
        <v>0</v>
      </c>
      <c r="AU2193" s="46">
        <v>0</v>
      </c>
      <c r="AV2193" s="46">
        <v>0</v>
      </c>
      <c r="AW2193" s="46">
        <v>0</v>
      </c>
      <c r="AX2193" s="46">
        <v>0</v>
      </c>
      <c r="AY2193" s="46">
        <v>0</v>
      </c>
      <c r="AZ2193" s="46">
        <v>0</v>
      </c>
      <c r="BA2193" s="46">
        <v>0</v>
      </c>
      <c r="BB2193" s="46">
        <v>0</v>
      </c>
      <c r="BC2193" s="46">
        <v>0</v>
      </c>
      <c r="BD2193" s="46">
        <v>0</v>
      </c>
      <c r="BE2193" s="46">
        <v>0</v>
      </c>
      <c r="BF2193" s="46">
        <v>0</v>
      </c>
      <c r="BG2193" s="46" t="s">
        <v>48</v>
      </c>
      <c r="BH2193" s="46">
        <v>0</v>
      </c>
      <c r="BI2193" s="46">
        <v>0</v>
      </c>
      <c r="BJ2193" s="46">
        <v>0</v>
      </c>
      <c r="BK2193" s="46">
        <v>0</v>
      </c>
      <c r="BL2193" s="46">
        <v>0</v>
      </c>
      <c r="BM2193" s="46">
        <v>0</v>
      </c>
      <c r="BN2193" s="46">
        <v>0</v>
      </c>
    </row>
    <row r="2194" spans="1:66" x14ac:dyDescent="0.35">
      <c r="A2194" t="s">
        <v>5987</v>
      </c>
      <c r="B2194" s="44" t="s">
        <v>48</v>
      </c>
      <c r="C2194" t="s">
        <v>1076</v>
      </c>
      <c r="D2194" t="s">
        <v>5990</v>
      </c>
      <c r="E2194" t="s">
        <v>5988</v>
      </c>
      <c r="F2194" t="s">
        <v>5980</v>
      </c>
      <c r="G2194" t="s">
        <v>74</v>
      </c>
      <c r="H2194">
        <v>0</v>
      </c>
      <c r="I2194" s="60" t="s">
        <v>125</v>
      </c>
      <c r="J2194" s="33" t="s">
        <v>45</v>
      </c>
      <c r="K2194" s="46">
        <v>0</v>
      </c>
      <c r="L2194">
        <v>11</v>
      </c>
      <c r="M2194" t="s">
        <v>48</v>
      </c>
      <c r="N2194" s="46">
        <v>0</v>
      </c>
      <c r="O2194" s="46">
        <v>0</v>
      </c>
      <c r="P2194" s="46">
        <v>0</v>
      </c>
      <c r="Q2194" t="s">
        <v>48</v>
      </c>
      <c r="R2194" t="s">
        <v>48</v>
      </c>
      <c r="S2194" t="s">
        <v>5989</v>
      </c>
      <c r="T2194" t="s">
        <v>48</v>
      </c>
      <c r="U2194" t="s">
        <v>5989</v>
      </c>
      <c r="V2194" s="47">
        <v>0</v>
      </c>
      <c r="W2194" t="s">
        <v>48</v>
      </c>
      <c r="X2194" t="s">
        <v>48</v>
      </c>
      <c r="Y2194" t="s">
        <v>48</v>
      </c>
      <c r="Z2194">
        <v>0</v>
      </c>
      <c r="AA2194" t="s">
        <v>48</v>
      </c>
      <c r="AB2194" t="s">
        <v>48</v>
      </c>
      <c r="AC2194" t="s">
        <v>63</v>
      </c>
      <c r="AD2194" t="s">
        <v>93</v>
      </c>
      <c r="AE2194" t="s">
        <v>4532</v>
      </c>
      <c r="AF2194" t="s">
        <v>48</v>
      </c>
      <c r="AG2194" t="s">
        <v>48</v>
      </c>
      <c r="AH2194" t="s">
        <v>48</v>
      </c>
      <c r="AI2194" t="s">
        <v>48</v>
      </c>
      <c r="AJ2194" t="s">
        <v>48</v>
      </c>
      <c r="AK2194" t="s">
        <v>48</v>
      </c>
      <c r="AL2194" t="s">
        <v>48</v>
      </c>
      <c r="AM2194" t="s">
        <v>48</v>
      </c>
      <c r="AN2194" t="s">
        <v>48</v>
      </c>
      <c r="AO2194" t="s">
        <v>48</v>
      </c>
      <c r="AP2194" s="46">
        <v>0</v>
      </c>
      <c r="AQ2194" s="46">
        <v>0</v>
      </c>
      <c r="AR2194" s="46">
        <v>0</v>
      </c>
      <c r="AS2194" s="46">
        <v>0</v>
      </c>
      <c r="AT2194" s="46">
        <v>0</v>
      </c>
      <c r="AU2194" s="46">
        <v>0</v>
      </c>
      <c r="AV2194" s="46">
        <v>0</v>
      </c>
      <c r="AW2194" s="46">
        <v>0</v>
      </c>
      <c r="AX2194" s="46">
        <v>0</v>
      </c>
      <c r="AY2194" s="46">
        <v>0</v>
      </c>
      <c r="AZ2194" s="46">
        <v>0</v>
      </c>
      <c r="BA2194" s="46">
        <v>0</v>
      </c>
      <c r="BB2194" s="46">
        <v>0</v>
      </c>
      <c r="BC2194" s="46">
        <v>0</v>
      </c>
      <c r="BD2194" s="46">
        <v>0</v>
      </c>
      <c r="BE2194" s="46">
        <v>0</v>
      </c>
      <c r="BF2194" s="46">
        <v>0</v>
      </c>
      <c r="BG2194" s="46" t="s">
        <v>48</v>
      </c>
      <c r="BH2194" s="46">
        <v>0</v>
      </c>
      <c r="BI2194" s="46">
        <v>0</v>
      </c>
      <c r="BJ2194" s="46">
        <v>0</v>
      </c>
      <c r="BK2194" s="46">
        <v>0</v>
      </c>
      <c r="BL2194" s="46">
        <v>0</v>
      </c>
      <c r="BM2194" s="46">
        <v>0</v>
      </c>
      <c r="BN2194" s="46">
        <v>0</v>
      </c>
    </row>
    <row r="2195" spans="1:66" x14ac:dyDescent="0.35">
      <c r="A2195" t="s">
        <v>5979</v>
      </c>
      <c r="B2195" s="44" t="s">
        <v>48</v>
      </c>
      <c r="C2195" t="s">
        <v>5983</v>
      </c>
      <c r="D2195" t="s">
        <v>1407</v>
      </c>
      <c r="E2195" t="s">
        <v>5981</v>
      </c>
      <c r="F2195" t="s">
        <v>5980</v>
      </c>
      <c r="G2195" t="s">
        <v>74</v>
      </c>
      <c r="H2195">
        <v>0</v>
      </c>
      <c r="I2195" s="60" t="s">
        <v>125</v>
      </c>
      <c r="J2195" s="33" t="s">
        <v>45</v>
      </c>
      <c r="K2195" s="46">
        <v>0</v>
      </c>
      <c r="L2195">
        <v>4.7</v>
      </c>
      <c r="M2195" t="s">
        <v>48</v>
      </c>
      <c r="N2195" s="46">
        <v>0</v>
      </c>
      <c r="O2195" s="46">
        <v>0</v>
      </c>
      <c r="P2195" s="46">
        <v>0</v>
      </c>
      <c r="Q2195" t="s">
        <v>48</v>
      </c>
      <c r="R2195" t="s">
        <v>48</v>
      </c>
      <c r="S2195" t="s">
        <v>5982</v>
      </c>
      <c r="T2195" t="s">
        <v>48</v>
      </c>
      <c r="U2195" t="s">
        <v>5982</v>
      </c>
      <c r="V2195" s="47">
        <v>0</v>
      </c>
      <c r="W2195" t="s">
        <v>48</v>
      </c>
      <c r="X2195" t="s">
        <v>48</v>
      </c>
      <c r="Y2195" t="s">
        <v>48</v>
      </c>
      <c r="Z2195">
        <v>0</v>
      </c>
      <c r="AA2195" t="s">
        <v>48</v>
      </c>
      <c r="AB2195" t="s">
        <v>48</v>
      </c>
      <c r="AC2195" t="s">
        <v>49</v>
      </c>
      <c r="AD2195" t="s">
        <v>93</v>
      </c>
      <c r="AE2195" s="40" t="s">
        <v>2471</v>
      </c>
      <c r="AF2195" t="s">
        <v>11100</v>
      </c>
      <c r="AG2195" t="s">
        <v>48</v>
      </c>
      <c r="AH2195" t="s">
        <v>48</v>
      </c>
      <c r="AI2195" t="s">
        <v>48</v>
      </c>
      <c r="AJ2195" t="s">
        <v>48</v>
      </c>
      <c r="AK2195" t="s">
        <v>48</v>
      </c>
      <c r="AL2195" t="s">
        <v>48</v>
      </c>
      <c r="AM2195" t="s">
        <v>48</v>
      </c>
      <c r="AN2195" t="s">
        <v>48</v>
      </c>
      <c r="AO2195" t="s">
        <v>48</v>
      </c>
      <c r="AP2195" s="46">
        <v>0</v>
      </c>
      <c r="AQ2195" s="46">
        <v>0</v>
      </c>
      <c r="AR2195" s="46">
        <v>0</v>
      </c>
      <c r="AS2195" s="46">
        <v>0</v>
      </c>
      <c r="AT2195" s="46">
        <v>0</v>
      </c>
      <c r="AU2195" s="46">
        <v>0</v>
      </c>
      <c r="AV2195" s="46">
        <v>0</v>
      </c>
      <c r="AW2195" s="46">
        <v>0</v>
      </c>
      <c r="AX2195" s="46">
        <v>0</v>
      </c>
      <c r="AY2195" s="46">
        <v>0</v>
      </c>
      <c r="AZ2195" s="46">
        <v>0</v>
      </c>
      <c r="BA2195" s="46">
        <v>0</v>
      </c>
      <c r="BB2195" s="46">
        <v>0</v>
      </c>
      <c r="BC2195" s="46">
        <v>0</v>
      </c>
      <c r="BD2195" s="46">
        <v>0</v>
      </c>
      <c r="BE2195" s="46">
        <v>0</v>
      </c>
      <c r="BF2195" s="46">
        <v>0</v>
      </c>
      <c r="BG2195" s="46" t="s">
        <v>48</v>
      </c>
      <c r="BH2195" s="46">
        <v>0</v>
      </c>
      <c r="BI2195" s="46">
        <v>0</v>
      </c>
      <c r="BJ2195" s="46">
        <v>0</v>
      </c>
      <c r="BK2195" s="46">
        <v>0</v>
      </c>
      <c r="BL2195" s="46">
        <v>0</v>
      </c>
      <c r="BM2195" s="46">
        <v>0</v>
      </c>
      <c r="BN2195" s="46">
        <v>0</v>
      </c>
    </row>
    <row r="2196" spans="1:66" x14ac:dyDescent="0.35">
      <c r="A2196" t="s">
        <v>11035</v>
      </c>
      <c r="B2196" s="44" t="s">
        <v>48</v>
      </c>
      <c r="C2196" t="s">
        <v>12304</v>
      </c>
      <c r="D2196" t="s">
        <v>306</v>
      </c>
      <c r="E2196" t="s">
        <v>11036</v>
      </c>
      <c r="F2196" t="s">
        <v>5980</v>
      </c>
      <c r="G2196" t="s">
        <v>74</v>
      </c>
      <c r="H2196">
        <v>0</v>
      </c>
      <c r="I2196" s="60" t="s">
        <v>11552</v>
      </c>
      <c r="J2196" s="33" t="s">
        <v>45</v>
      </c>
      <c r="K2196" s="46">
        <v>0</v>
      </c>
      <c r="L2196">
        <v>12</v>
      </c>
      <c r="M2196" t="s">
        <v>48</v>
      </c>
      <c r="N2196" s="46">
        <v>0</v>
      </c>
      <c r="O2196" s="46">
        <v>0</v>
      </c>
      <c r="P2196" s="46">
        <v>0</v>
      </c>
      <c r="Q2196" t="s">
        <v>48</v>
      </c>
      <c r="R2196" t="s">
        <v>48</v>
      </c>
      <c r="S2196" t="s">
        <v>11538</v>
      </c>
      <c r="T2196" t="s">
        <v>48</v>
      </c>
      <c r="U2196" t="s">
        <v>11037</v>
      </c>
      <c r="V2196" s="47">
        <v>0</v>
      </c>
      <c r="W2196" t="s">
        <v>48</v>
      </c>
      <c r="X2196" t="s">
        <v>48</v>
      </c>
      <c r="Y2196" t="s">
        <v>48</v>
      </c>
      <c r="Z2196" t="s">
        <v>48</v>
      </c>
      <c r="AA2196" t="s">
        <v>48</v>
      </c>
      <c r="AB2196" t="s">
        <v>48</v>
      </c>
      <c r="AC2196" t="s">
        <v>63</v>
      </c>
      <c r="AD2196" t="s">
        <v>93</v>
      </c>
      <c r="AE2196" t="s">
        <v>4532</v>
      </c>
      <c r="AF2196" t="s">
        <v>48</v>
      </c>
      <c r="AG2196" t="s">
        <v>48</v>
      </c>
      <c r="AH2196" t="s">
        <v>48</v>
      </c>
      <c r="AI2196" t="s">
        <v>48</v>
      </c>
      <c r="AJ2196" t="s">
        <v>48</v>
      </c>
      <c r="AK2196" t="s">
        <v>48</v>
      </c>
      <c r="AL2196" t="s">
        <v>48</v>
      </c>
      <c r="AM2196" t="s">
        <v>48</v>
      </c>
      <c r="AN2196" t="s">
        <v>48</v>
      </c>
      <c r="AO2196" t="s">
        <v>48</v>
      </c>
      <c r="AP2196" s="46">
        <v>0</v>
      </c>
      <c r="AQ2196" s="46">
        <v>0</v>
      </c>
      <c r="AR2196" s="46">
        <v>0</v>
      </c>
      <c r="AS2196" s="46">
        <v>0</v>
      </c>
      <c r="AT2196" s="46">
        <v>0</v>
      </c>
      <c r="AU2196" s="46">
        <v>0</v>
      </c>
      <c r="AV2196" s="46">
        <v>0</v>
      </c>
      <c r="AW2196" s="46">
        <v>0</v>
      </c>
      <c r="AX2196" s="46">
        <v>0</v>
      </c>
      <c r="AY2196" s="46">
        <v>0</v>
      </c>
      <c r="AZ2196" s="46">
        <v>0</v>
      </c>
      <c r="BA2196" s="46">
        <v>0</v>
      </c>
      <c r="BB2196" s="46">
        <v>0</v>
      </c>
      <c r="BC2196" s="46">
        <v>0</v>
      </c>
      <c r="BD2196" s="46">
        <v>0</v>
      </c>
      <c r="BE2196" s="46">
        <v>0</v>
      </c>
      <c r="BF2196" s="46">
        <v>0</v>
      </c>
      <c r="BG2196" s="46" t="s">
        <v>48</v>
      </c>
      <c r="BH2196" s="46">
        <v>0</v>
      </c>
      <c r="BI2196" s="46">
        <v>0</v>
      </c>
      <c r="BJ2196" s="46">
        <v>0</v>
      </c>
      <c r="BK2196" s="46">
        <v>0</v>
      </c>
      <c r="BL2196" s="46">
        <v>0</v>
      </c>
      <c r="BM2196" s="46">
        <v>0</v>
      </c>
      <c r="BN2196" s="46">
        <v>0</v>
      </c>
    </row>
    <row r="2197" spans="1:66" x14ac:dyDescent="0.35">
      <c r="A2197" t="s">
        <v>11038</v>
      </c>
      <c r="B2197" s="44" t="s">
        <v>48</v>
      </c>
      <c r="C2197" t="s">
        <v>12298</v>
      </c>
      <c r="D2197" t="s">
        <v>4157</v>
      </c>
      <c r="E2197" s="71" t="s">
        <v>11583</v>
      </c>
      <c r="F2197" t="s">
        <v>5980</v>
      </c>
      <c r="G2197" t="s">
        <v>74</v>
      </c>
      <c r="H2197">
        <v>0</v>
      </c>
      <c r="I2197" s="61">
        <v>44819</v>
      </c>
      <c r="J2197" s="33" t="s">
        <v>45</v>
      </c>
      <c r="K2197" s="46">
        <v>0</v>
      </c>
      <c r="L2197">
        <v>2.2999999999999998</v>
      </c>
      <c r="M2197" t="s">
        <v>48</v>
      </c>
      <c r="N2197" s="46">
        <v>0</v>
      </c>
      <c r="O2197" s="46">
        <v>0</v>
      </c>
      <c r="P2197" s="46">
        <v>0</v>
      </c>
      <c r="Q2197" t="s">
        <v>48</v>
      </c>
      <c r="R2197" t="s">
        <v>48</v>
      </c>
      <c r="S2197" t="s">
        <v>48</v>
      </c>
      <c r="T2197" t="s">
        <v>48</v>
      </c>
      <c r="U2197" t="s">
        <v>48</v>
      </c>
      <c r="V2197" s="47">
        <v>1</v>
      </c>
      <c r="W2197" t="s">
        <v>48</v>
      </c>
      <c r="X2197" t="s">
        <v>48</v>
      </c>
      <c r="Y2197" t="s">
        <v>48</v>
      </c>
      <c r="Z2197" t="s">
        <v>48</v>
      </c>
      <c r="AA2197" t="s">
        <v>11584</v>
      </c>
      <c r="AB2197" t="s">
        <v>48</v>
      </c>
      <c r="AC2197" t="s">
        <v>49</v>
      </c>
      <c r="AD2197" t="s">
        <v>93</v>
      </c>
      <c r="AE2197" t="s">
        <v>4532</v>
      </c>
      <c r="AF2197" t="s">
        <v>48</v>
      </c>
      <c r="AG2197" t="s">
        <v>48</v>
      </c>
      <c r="AH2197" t="s">
        <v>48</v>
      </c>
      <c r="AI2197" t="s">
        <v>48</v>
      </c>
      <c r="AJ2197" t="s">
        <v>48</v>
      </c>
      <c r="AK2197" t="s">
        <v>48</v>
      </c>
      <c r="AL2197" t="s">
        <v>48</v>
      </c>
      <c r="AM2197" t="s">
        <v>48</v>
      </c>
      <c r="AN2197" t="s">
        <v>48</v>
      </c>
      <c r="AO2197" t="s">
        <v>48</v>
      </c>
      <c r="AP2197" s="46">
        <v>0</v>
      </c>
      <c r="AQ2197" s="46">
        <v>0</v>
      </c>
      <c r="AR2197" s="46">
        <v>0</v>
      </c>
      <c r="AS2197" s="46">
        <v>0</v>
      </c>
      <c r="AT2197" s="46">
        <v>0</v>
      </c>
      <c r="AU2197" s="46">
        <v>0</v>
      </c>
      <c r="AV2197" s="46">
        <v>0</v>
      </c>
      <c r="AW2197" s="46">
        <v>0</v>
      </c>
      <c r="AX2197" s="46">
        <v>0</v>
      </c>
      <c r="AY2197" s="46">
        <v>0</v>
      </c>
      <c r="AZ2197" s="46">
        <v>0</v>
      </c>
      <c r="BA2197" s="46">
        <v>0</v>
      </c>
      <c r="BB2197" s="46">
        <v>0</v>
      </c>
      <c r="BC2197" s="46">
        <v>0</v>
      </c>
      <c r="BD2197" s="46">
        <v>0</v>
      </c>
      <c r="BE2197" s="46">
        <v>0</v>
      </c>
      <c r="BF2197" s="46">
        <v>0</v>
      </c>
      <c r="BG2197" s="46" t="s">
        <v>48</v>
      </c>
      <c r="BH2197" s="46">
        <v>0</v>
      </c>
      <c r="BI2197" s="46">
        <v>0</v>
      </c>
      <c r="BJ2197" s="46">
        <v>0</v>
      </c>
      <c r="BK2197" s="46">
        <v>0</v>
      </c>
      <c r="BL2197" s="46">
        <v>0</v>
      </c>
      <c r="BM2197" s="46">
        <v>0</v>
      </c>
      <c r="BN2197" s="46">
        <v>0</v>
      </c>
    </row>
    <row r="2198" spans="1:66" x14ac:dyDescent="0.35">
      <c r="A2198" t="s">
        <v>6035</v>
      </c>
      <c r="B2198" s="44" t="s">
        <v>48</v>
      </c>
      <c r="C2198" t="s">
        <v>6038</v>
      </c>
      <c r="D2198" t="s">
        <v>501</v>
      </c>
      <c r="E2198" t="s">
        <v>6036</v>
      </c>
      <c r="F2198" t="s">
        <v>6031</v>
      </c>
      <c r="G2198" t="s">
        <v>47</v>
      </c>
      <c r="H2198">
        <v>0</v>
      </c>
      <c r="I2198" s="60" t="s">
        <v>125</v>
      </c>
      <c r="J2198" s="33" t="s">
        <v>45</v>
      </c>
      <c r="K2198" s="46">
        <v>0</v>
      </c>
      <c r="L2198">
        <v>45.3</v>
      </c>
      <c r="M2198" t="s">
        <v>48</v>
      </c>
      <c r="N2198" s="46">
        <v>0</v>
      </c>
      <c r="O2198" s="46">
        <v>0</v>
      </c>
      <c r="P2198" s="46">
        <v>0</v>
      </c>
      <c r="Q2198" t="s">
        <v>48</v>
      </c>
      <c r="R2198" t="s">
        <v>48</v>
      </c>
      <c r="S2198" t="s">
        <v>6037</v>
      </c>
      <c r="T2198" t="s">
        <v>48</v>
      </c>
      <c r="U2198" t="s">
        <v>6037</v>
      </c>
      <c r="V2198" s="47">
        <v>0</v>
      </c>
      <c r="W2198" t="s">
        <v>48</v>
      </c>
      <c r="X2198" t="s">
        <v>48</v>
      </c>
      <c r="Y2198" t="s">
        <v>48</v>
      </c>
      <c r="Z2198">
        <v>0</v>
      </c>
      <c r="AA2198" t="s">
        <v>48</v>
      </c>
      <c r="AB2198" t="s">
        <v>48</v>
      </c>
      <c r="AC2198" t="s">
        <v>63</v>
      </c>
      <c r="AD2198" t="s">
        <v>93</v>
      </c>
      <c r="AE2198" t="s">
        <v>4532</v>
      </c>
      <c r="AF2198" t="s">
        <v>48</v>
      </c>
      <c r="AG2198" t="s">
        <v>48</v>
      </c>
      <c r="AH2198" t="s">
        <v>48</v>
      </c>
      <c r="AI2198" t="s">
        <v>48</v>
      </c>
      <c r="AJ2198" t="s">
        <v>48</v>
      </c>
      <c r="AK2198" t="s">
        <v>48</v>
      </c>
      <c r="AL2198" t="s">
        <v>48</v>
      </c>
      <c r="AM2198" t="s">
        <v>48</v>
      </c>
      <c r="AN2198" t="s">
        <v>48</v>
      </c>
      <c r="AO2198" t="s">
        <v>48</v>
      </c>
      <c r="AP2198" s="46">
        <v>0</v>
      </c>
      <c r="AQ2198" s="46">
        <v>0</v>
      </c>
      <c r="AR2198" s="46">
        <v>0</v>
      </c>
      <c r="AS2198" s="46">
        <v>0</v>
      </c>
      <c r="AT2198" s="46">
        <v>0</v>
      </c>
      <c r="AU2198" s="46">
        <v>0</v>
      </c>
      <c r="AV2198" s="46">
        <v>0</v>
      </c>
      <c r="AW2198" s="46">
        <v>0</v>
      </c>
      <c r="AX2198" s="46">
        <v>0</v>
      </c>
      <c r="AY2198" s="46">
        <v>0</v>
      </c>
      <c r="AZ2198" s="46">
        <v>0</v>
      </c>
      <c r="BA2198" s="46">
        <v>0</v>
      </c>
      <c r="BB2198" s="46">
        <v>0</v>
      </c>
      <c r="BC2198" s="46">
        <v>1</v>
      </c>
      <c r="BD2198" s="46">
        <v>0</v>
      </c>
      <c r="BE2198" s="46">
        <v>0</v>
      </c>
      <c r="BF2198" s="46">
        <v>0</v>
      </c>
      <c r="BG2198" s="46" t="s">
        <v>48</v>
      </c>
      <c r="BH2198" s="46">
        <v>0</v>
      </c>
      <c r="BI2198" s="46">
        <v>0</v>
      </c>
      <c r="BJ2198" s="46">
        <v>0</v>
      </c>
      <c r="BK2198" s="46">
        <v>0</v>
      </c>
      <c r="BL2198" s="46">
        <v>0</v>
      </c>
      <c r="BM2198" s="46">
        <v>0</v>
      </c>
      <c r="BN2198" s="46">
        <v>0</v>
      </c>
    </row>
    <row r="2199" spans="1:66" x14ac:dyDescent="0.35">
      <c r="A2199" t="s">
        <v>6044</v>
      </c>
      <c r="B2199" t="s">
        <v>48</v>
      </c>
      <c r="C2199" t="s">
        <v>6048</v>
      </c>
      <c r="D2199" t="s">
        <v>6047</v>
      </c>
      <c r="E2199" t="s">
        <v>6045</v>
      </c>
      <c r="F2199" t="s">
        <v>6031</v>
      </c>
      <c r="G2199" t="s">
        <v>47</v>
      </c>
      <c r="H2199">
        <v>0</v>
      </c>
      <c r="I2199" s="60" t="s">
        <v>51</v>
      </c>
      <c r="J2199" s="33" t="s">
        <v>45</v>
      </c>
      <c r="K2199" s="46">
        <v>0</v>
      </c>
      <c r="L2199">
        <v>1.6</v>
      </c>
      <c r="M2199" t="s">
        <v>48</v>
      </c>
      <c r="N2199" s="46">
        <v>0</v>
      </c>
      <c r="O2199" s="46">
        <v>0</v>
      </c>
      <c r="P2199" s="46">
        <v>0</v>
      </c>
      <c r="Q2199" t="s">
        <v>48</v>
      </c>
      <c r="R2199" t="s">
        <v>48</v>
      </c>
      <c r="S2199" t="s">
        <v>6046</v>
      </c>
      <c r="T2199" t="s">
        <v>48</v>
      </c>
      <c r="U2199" t="s">
        <v>6046</v>
      </c>
      <c r="V2199" s="47">
        <v>0</v>
      </c>
      <c r="W2199" t="s">
        <v>48</v>
      </c>
      <c r="X2199" t="s">
        <v>48</v>
      </c>
      <c r="Y2199" t="s">
        <v>48</v>
      </c>
      <c r="Z2199">
        <v>0</v>
      </c>
      <c r="AA2199" t="s">
        <v>48</v>
      </c>
      <c r="AB2199" t="s">
        <v>48</v>
      </c>
      <c r="AC2199" t="s">
        <v>63</v>
      </c>
      <c r="AD2199" t="s">
        <v>93</v>
      </c>
      <c r="AE2199" t="s">
        <v>4532</v>
      </c>
      <c r="AF2199" t="s">
        <v>48</v>
      </c>
      <c r="AG2199" t="s">
        <v>48</v>
      </c>
      <c r="AH2199" t="s">
        <v>48</v>
      </c>
      <c r="AI2199" t="s">
        <v>48</v>
      </c>
      <c r="AJ2199" t="s">
        <v>48</v>
      </c>
      <c r="AK2199" t="s">
        <v>48</v>
      </c>
      <c r="AL2199" t="s">
        <v>48</v>
      </c>
      <c r="AM2199" t="s">
        <v>48</v>
      </c>
      <c r="AN2199" t="s">
        <v>48</v>
      </c>
      <c r="AO2199" t="s">
        <v>48</v>
      </c>
      <c r="AP2199" s="46">
        <v>0</v>
      </c>
      <c r="AQ2199" s="46">
        <v>0</v>
      </c>
      <c r="AR2199" s="46">
        <v>0</v>
      </c>
      <c r="AS2199" s="46">
        <v>0</v>
      </c>
      <c r="AT2199" s="46">
        <v>0</v>
      </c>
      <c r="AU2199" s="46">
        <v>0</v>
      </c>
      <c r="AV2199" s="46">
        <v>0</v>
      </c>
      <c r="AW2199" s="46">
        <v>0</v>
      </c>
      <c r="AX2199" s="46">
        <v>0</v>
      </c>
      <c r="AY2199" s="46">
        <v>0</v>
      </c>
      <c r="AZ2199" s="46">
        <v>0</v>
      </c>
      <c r="BA2199" s="46">
        <v>0</v>
      </c>
      <c r="BB2199" s="46">
        <v>0</v>
      </c>
      <c r="BC2199" s="46">
        <v>0</v>
      </c>
      <c r="BD2199" s="46">
        <v>0</v>
      </c>
      <c r="BE2199" s="46">
        <v>0</v>
      </c>
      <c r="BF2199" s="46">
        <v>0</v>
      </c>
      <c r="BG2199" s="46" t="s">
        <v>48</v>
      </c>
      <c r="BH2199" s="46">
        <v>0</v>
      </c>
      <c r="BI2199" s="46">
        <v>0</v>
      </c>
      <c r="BJ2199" s="46">
        <v>0</v>
      </c>
      <c r="BK2199" s="46">
        <v>0</v>
      </c>
      <c r="BL2199" s="46">
        <v>0</v>
      </c>
      <c r="BM2199" s="46">
        <v>0</v>
      </c>
      <c r="BN2199" s="46">
        <v>0</v>
      </c>
    </row>
    <row r="2200" spans="1:66" x14ac:dyDescent="0.35">
      <c r="A2200" t="s">
        <v>6065</v>
      </c>
      <c r="B2200" t="s">
        <v>48</v>
      </c>
      <c r="C2200" t="s">
        <v>6068</v>
      </c>
      <c r="D2200" t="s">
        <v>1783</v>
      </c>
      <c r="E2200" t="s">
        <v>6067</v>
      </c>
      <c r="F2200" t="s">
        <v>6066</v>
      </c>
      <c r="G2200" t="s">
        <v>47</v>
      </c>
      <c r="H2200">
        <v>0</v>
      </c>
      <c r="I2200" s="60" t="s">
        <v>661</v>
      </c>
      <c r="J2200" s="33" t="s">
        <v>45</v>
      </c>
      <c r="K2200" s="46">
        <v>0</v>
      </c>
      <c r="L2200">
        <v>6.4</v>
      </c>
      <c r="M2200" t="s">
        <v>48</v>
      </c>
      <c r="N2200" s="46">
        <v>0</v>
      </c>
      <c r="O2200" s="46">
        <v>0</v>
      </c>
      <c r="P2200" s="46">
        <v>0</v>
      </c>
      <c r="Q2200" t="s">
        <v>48</v>
      </c>
      <c r="R2200" t="s">
        <v>48</v>
      </c>
      <c r="S2200" t="s">
        <v>48</v>
      </c>
      <c r="T2200" t="s">
        <v>48</v>
      </c>
      <c r="U2200" t="s">
        <v>48</v>
      </c>
      <c r="V2200" s="47">
        <v>1</v>
      </c>
      <c r="W2200" t="s">
        <v>48</v>
      </c>
      <c r="X2200" t="s">
        <v>48</v>
      </c>
      <c r="Y2200" t="s">
        <v>48</v>
      </c>
      <c r="Z2200">
        <v>0</v>
      </c>
      <c r="AA2200" t="s">
        <v>48</v>
      </c>
      <c r="AB2200" t="s">
        <v>48</v>
      </c>
      <c r="AC2200" t="s">
        <v>49</v>
      </c>
      <c r="AD2200" t="s">
        <v>93</v>
      </c>
      <c r="AE2200" t="s">
        <v>11051</v>
      </c>
      <c r="AF2200" t="s">
        <v>48</v>
      </c>
      <c r="AG2200" t="s">
        <v>48</v>
      </c>
      <c r="AH2200" t="s">
        <v>48</v>
      </c>
      <c r="AI2200" t="s">
        <v>48</v>
      </c>
      <c r="AJ2200" t="s">
        <v>48</v>
      </c>
      <c r="AK2200" t="s">
        <v>48</v>
      </c>
      <c r="AL2200" t="s">
        <v>48</v>
      </c>
      <c r="AM2200" t="s">
        <v>48</v>
      </c>
      <c r="AN2200" t="s">
        <v>48</v>
      </c>
      <c r="AO2200" t="s">
        <v>48</v>
      </c>
      <c r="AP2200" s="46">
        <v>0</v>
      </c>
      <c r="AQ2200" s="46">
        <v>0</v>
      </c>
      <c r="AR2200" s="46">
        <v>0</v>
      </c>
      <c r="AS2200" s="46">
        <v>0</v>
      </c>
      <c r="AT2200" s="46">
        <v>0</v>
      </c>
      <c r="AU2200" s="46">
        <v>0</v>
      </c>
      <c r="AV2200" s="46">
        <v>0</v>
      </c>
      <c r="AW2200" s="46">
        <v>0</v>
      </c>
      <c r="AX2200" s="46">
        <v>0</v>
      </c>
      <c r="AY2200" s="46">
        <v>0</v>
      </c>
      <c r="AZ2200" s="46">
        <v>0</v>
      </c>
      <c r="BA2200" s="46">
        <v>0</v>
      </c>
      <c r="BB2200" s="46">
        <v>0</v>
      </c>
      <c r="BC2200" s="46">
        <v>0</v>
      </c>
      <c r="BD2200" s="46">
        <v>0</v>
      </c>
      <c r="BE2200" s="46">
        <v>0</v>
      </c>
      <c r="BF2200" s="46">
        <v>0</v>
      </c>
      <c r="BG2200" s="46" t="s">
        <v>48</v>
      </c>
      <c r="BH2200" s="46">
        <v>0</v>
      </c>
      <c r="BI2200" s="46">
        <v>0</v>
      </c>
      <c r="BJ2200" s="46">
        <v>0</v>
      </c>
      <c r="BK2200" s="46">
        <v>0</v>
      </c>
      <c r="BL2200" s="46">
        <v>0</v>
      </c>
      <c r="BM2200" s="46">
        <v>0</v>
      </c>
      <c r="BN2200" s="46">
        <v>0</v>
      </c>
    </row>
    <row r="2201" spans="1:66" x14ac:dyDescent="0.35">
      <c r="A2201" t="s">
        <v>8116</v>
      </c>
      <c r="B2201" s="44" t="s">
        <v>48</v>
      </c>
      <c r="C2201" t="s">
        <v>551</v>
      </c>
      <c r="D2201" t="s">
        <v>1380</v>
      </c>
      <c r="E2201" t="s">
        <v>8117</v>
      </c>
      <c r="F2201" t="s">
        <v>6066</v>
      </c>
      <c r="G2201" t="s">
        <v>74</v>
      </c>
      <c r="H2201">
        <v>0</v>
      </c>
      <c r="I2201" s="61">
        <v>44733</v>
      </c>
      <c r="J2201" s="33" t="s">
        <v>45</v>
      </c>
      <c r="K2201" s="46">
        <v>0</v>
      </c>
      <c r="L2201">
        <v>100</v>
      </c>
      <c r="M2201" t="s">
        <v>48</v>
      </c>
      <c r="N2201" s="46">
        <v>0</v>
      </c>
      <c r="O2201" s="46">
        <v>0</v>
      </c>
      <c r="P2201" s="46">
        <v>0</v>
      </c>
      <c r="Q2201" t="s">
        <v>48</v>
      </c>
      <c r="R2201" t="s">
        <v>48</v>
      </c>
      <c r="S2201" t="s">
        <v>48</v>
      </c>
      <c r="T2201" t="s">
        <v>48</v>
      </c>
      <c r="U2201" t="s">
        <v>48</v>
      </c>
      <c r="V2201" s="47">
        <v>1</v>
      </c>
      <c r="W2201" t="s">
        <v>11264</v>
      </c>
      <c r="X2201" t="s">
        <v>48</v>
      </c>
      <c r="Y2201" t="s">
        <v>48</v>
      </c>
      <c r="Z2201" t="s">
        <v>48</v>
      </c>
      <c r="AA2201" t="s">
        <v>11212</v>
      </c>
      <c r="AB2201" t="s">
        <v>48</v>
      </c>
      <c r="AC2201" t="s">
        <v>49</v>
      </c>
      <c r="AD2201" t="s">
        <v>93</v>
      </c>
      <c r="AE2201" t="s">
        <v>4532</v>
      </c>
      <c r="AF2201" t="s">
        <v>48</v>
      </c>
      <c r="AG2201" t="s">
        <v>48</v>
      </c>
      <c r="AH2201" t="s">
        <v>48</v>
      </c>
      <c r="AI2201" t="s">
        <v>48</v>
      </c>
      <c r="AJ2201" t="s">
        <v>48</v>
      </c>
      <c r="AK2201" t="s">
        <v>48</v>
      </c>
      <c r="AL2201" t="s">
        <v>48</v>
      </c>
      <c r="AM2201" t="s">
        <v>48</v>
      </c>
      <c r="AN2201" t="s">
        <v>48</v>
      </c>
      <c r="AO2201" t="s">
        <v>48</v>
      </c>
      <c r="AP2201" s="46">
        <v>0</v>
      </c>
      <c r="AQ2201" s="46">
        <v>0</v>
      </c>
      <c r="AR2201" s="46">
        <v>0</v>
      </c>
      <c r="AS2201" s="46">
        <v>0</v>
      </c>
      <c r="AT2201" s="46">
        <v>0</v>
      </c>
      <c r="AU2201" s="46">
        <v>0</v>
      </c>
      <c r="AV2201" s="46">
        <v>0</v>
      </c>
      <c r="AW2201" s="46">
        <v>0</v>
      </c>
      <c r="AX2201" s="46">
        <v>0</v>
      </c>
      <c r="AY2201" s="46">
        <v>0</v>
      </c>
      <c r="AZ2201" s="46">
        <v>0</v>
      </c>
      <c r="BA2201" s="46">
        <v>0</v>
      </c>
      <c r="BB2201" s="46">
        <v>0</v>
      </c>
      <c r="BC2201" s="46">
        <v>0</v>
      </c>
      <c r="BD2201" s="46">
        <v>0</v>
      </c>
      <c r="BE2201" s="46">
        <v>0</v>
      </c>
      <c r="BF2201" s="46">
        <v>0</v>
      </c>
      <c r="BG2201" s="46" t="s">
        <v>48</v>
      </c>
      <c r="BH2201" s="46">
        <v>0</v>
      </c>
      <c r="BI2201" s="46">
        <v>0</v>
      </c>
      <c r="BJ2201" s="46">
        <v>0</v>
      </c>
      <c r="BK2201" s="46">
        <v>0</v>
      </c>
      <c r="BL2201" s="46">
        <v>0</v>
      </c>
      <c r="BM2201" s="46">
        <v>0</v>
      </c>
      <c r="BN2201" s="46">
        <v>0</v>
      </c>
    </row>
    <row r="2202" spans="1:66" x14ac:dyDescent="0.35">
      <c r="A2202" t="s">
        <v>6069</v>
      </c>
      <c r="B2202" s="44" t="s">
        <v>48</v>
      </c>
      <c r="C2202" t="s">
        <v>3499</v>
      </c>
      <c r="D2202" t="s">
        <v>655</v>
      </c>
      <c r="E2202" t="s">
        <v>6070</v>
      </c>
      <c r="F2202" t="s">
        <v>6066</v>
      </c>
      <c r="G2202" t="s">
        <v>47</v>
      </c>
      <c r="H2202">
        <v>0</v>
      </c>
      <c r="I2202" s="60" t="s">
        <v>51</v>
      </c>
      <c r="J2202" s="33" t="s">
        <v>45</v>
      </c>
      <c r="K2202" s="46">
        <v>0</v>
      </c>
      <c r="L2202">
        <v>23.8</v>
      </c>
      <c r="M2202" t="s">
        <v>48</v>
      </c>
      <c r="N2202" s="46">
        <v>0</v>
      </c>
      <c r="O2202" s="46">
        <v>0</v>
      </c>
      <c r="P2202" s="46">
        <v>0</v>
      </c>
      <c r="Q2202" t="s">
        <v>48</v>
      </c>
      <c r="R2202" t="s">
        <v>48</v>
      </c>
      <c r="S2202" t="s">
        <v>6071</v>
      </c>
      <c r="T2202" t="s">
        <v>48</v>
      </c>
      <c r="U2202" t="s">
        <v>6071</v>
      </c>
      <c r="V2202" s="47">
        <v>0</v>
      </c>
      <c r="W2202" t="s">
        <v>48</v>
      </c>
      <c r="X2202" t="s">
        <v>48</v>
      </c>
      <c r="Y2202" t="s">
        <v>48</v>
      </c>
      <c r="Z2202">
        <v>0</v>
      </c>
      <c r="AA2202" t="s">
        <v>48</v>
      </c>
      <c r="AB2202" t="s">
        <v>48</v>
      </c>
      <c r="AC2202" t="s">
        <v>49</v>
      </c>
      <c r="AD2202" t="s">
        <v>93</v>
      </c>
      <c r="AE2202" s="40" t="s">
        <v>2471</v>
      </c>
      <c r="AF2202" t="s">
        <v>11061</v>
      </c>
      <c r="AG2202" t="s">
        <v>48</v>
      </c>
      <c r="AH2202" t="s">
        <v>48</v>
      </c>
      <c r="AI2202" t="s">
        <v>48</v>
      </c>
      <c r="AJ2202" t="s">
        <v>48</v>
      </c>
      <c r="AK2202" t="s">
        <v>48</v>
      </c>
      <c r="AL2202" t="s">
        <v>48</v>
      </c>
      <c r="AM2202" t="s">
        <v>48</v>
      </c>
      <c r="AN2202" t="s">
        <v>48</v>
      </c>
      <c r="AO2202" t="s">
        <v>48</v>
      </c>
      <c r="AP2202" s="46">
        <v>0</v>
      </c>
      <c r="AQ2202" s="46">
        <v>0</v>
      </c>
      <c r="AR2202" s="46">
        <v>0</v>
      </c>
      <c r="AS2202" s="46">
        <v>0</v>
      </c>
      <c r="AT2202" s="46">
        <v>0</v>
      </c>
      <c r="AU2202" s="46">
        <v>0</v>
      </c>
      <c r="AV2202" s="46">
        <v>0</v>
      </c>
      <c r="AW2202" s="46">
        <v>0</v>
      </c>
      <c r="AX2202" s="46">
        <v>0</v>
      </c>
      <c r="AY2202" s="46">
        <v>0</v>
      </c>
      <c r="AZ2202" s="46">
        <v>0</v>
      </c>
      <c r="BA2202" s="46">
        <v>0</v>
      </c>
      <c r="BB2202" s="46">
        <v>0</v>
      </c>
      <c r="BC2202" s="46">
        <v>0</v>
      </c>
      <c r="BD2202" s="46">
        <v>0</v>
      </c>
      <c r="BE2202" s="46">
        <v>1</v>
      </c>
      <c r="BF2202" s="46">
        <v>0</v>
      </c>
      <c r="BG2202" s="46" t="s">
        <v>48</v>
      </c>
      <c r="BH2202" s="46">
        <v>0</v>
      </c>
      <c r="BI2202" s="46">
        <v>0</v>
      </c>
      <c r="BJ2202" s="46">
        <v>0</v>
      </c>
      <c r="BK2202" s="46">
        <v>0</v>
      </c>
      <c r="BL2202" s="46">
        <v>0</v>
      </c>
      <c r="BM2202" s="46">
        <v>0</v>
      </c>
      <c r="BN2202" s="46">
        <v>0</v>
      </c>
    </row>
    <row r="2203" spans="1:66" x14ac:dyDescent="0.35">
      <c r="A2203" t="s">
        <v>6072</v>
      </c>
      <c r="B2203" t="s">
        <v>48</v>
      </c>
      <c r="C2203" t="s">
        <v>6074</v>
      </c>
      <c r="D2203" t="s">
        <v>396</v>
      </c>
      <c r="E2203" t="s">
        <v>6073</v>
      </c>
      <c r="F2203" t="s">
        <v>6066</v>
      </c>
      <c r="G2203" t="s">
        <v>47</v>
      </c>
      <c r="H2203">
        <v>0</v>
      </c>
      <c r="I2203" s="60" t="s">
        <v>51</v>
      </c>
      <c r="J2203" s="33" t="s">
        <v>45</v>
      </c>
      <c r="K2203" s="46">
        <v>0</v>
      </c>
      <c r="L2203">
        <v>17.100000000000001</v>
      </c>
      <c r="M2203" t="s">
        <v>48</v>
      </c>
      <c r="N2203" s="46">
        <v>0</v>
      </c>
      <c r="O2203" s="46">
        <v>0</v>
      </c>
      <c r="P2203" s="46">
        <v>0</v>
      </c>
      <c r="Q2203" t="s">
        <v>48</v>
      </c>
      <c r="R2203" t="s">
        <v>48</v>
      </c>
      <c r="S2203" t="s">
        <v>48</v>
      </c>
      <c r="T2203" t="s">
        <v>48</v>
      </c>
      <c r="U2203" t="s">
        <v>48</v>
      </c>
      <c r="V2203" s="47">
        <v>1</v>
      </c>
      <c r="W2203" t="s">
        <v>48</v>
      </c>
      <c r="X2203" t="s">
        <v>48</v>
      </c>
      <c r="Y2203" t="s">
        <v>48</v>
      </c>
      <c r="Z2203">
        <v>0</v>
      </c>
      <c r="AA2203" t="s">
        <v>48</v>
      </c>
      <c r="AB2203" t="s">
        <v>48</v>
      </c>
      <c r="AC2203" t="s">
        <v>49</v>
      </c>
      <c r="AD2203" t="s">
        <v>93</v>
      </c>
      <c r="AE2203" t="s">
        <v>4532</v>
      </c>
      <c r="AF2203" t="s">
        <v>48</v>
      </c>
      <c r="AG2203" t="s">
        <v>48</v>
      </c>
      <c r="AH2203" t="s">
        <v>48</v>
      </c>
      <c r="AI2203" t="s">
        <v>48</v>
      </c>
      <c r="AJ2203" t="s">
        <v>48</v>
      </c>
      <c r="AK2203" t="s">
        <v>48</v>
      </c>
      <c r="AL2203" t="s">
        <v>48</v>
      </c>
      <c r="AM2203" t="s">
        <v>48</v>
      </c>
      <c r="AN2203" t="s">
        <v>48</v>
      </c>
      <c r="AO2203" t="s">
        <v>48</v>
      </c>
      <c r="AP2203" s="46">
        <v>0</v>
      </c>
      <c r="AQ2203" s="46">
        <v>0</v>
      </c>
      <c r="AR2203" s="46">
        <v>0</v>
      </c>
      <c r="AS2203" s="46">
        <v>0</v>
      </c>
      <c r="AT2203" s="46">
        <v>0</v>
      </c>
      <c r="AU2203" s="46">
        <v>0</v>
      </c>
      <c r="AV2203" s="46">
        <v>0</v>
      </c>
      <c r="AW2203" s="46">
        <v>0</v>
      </c>
      <c r="AX2203" s="46">
        <v>0</v>
      </c>
      <c r="AY2203" s="46">
        <v>0</v>
      </c>
      <c r="AZ2203" s="46">
        <v>0</v>
      </c>
      <c r="BA2203" s="46">
        <v>0</v>
      </c>
      <c r="BB2203" s="46">
        <v>0</v>
      </c>
      <c r="BC2203" s="46">
        <v>0</v>
      </c>
      <c r="BD2203" s="46">
        <v>0</v>
      </c>
      <c r="BE2203" s="46">
        <v>0</v>
      </c>
      <c r="BF2203" s="46">
        <v>0</v>
      </c>
      <c r="BG2203" s="46" t="s">
        <v>48</v>
      </c>
      <c r="BH2203" s="46">
        <v>0</v>
      </c>
      <c r="BI2203" s="46">
        <v>0</v>
      </c>
      <c r="BJ2203" s="46">
        <v>0</v>
      </c>
      <c r="BK2203" s="46">
        <v>0</v>
      </c>
      <c r="BL2203" s="46">
        <v>0</v>
      </c>
      <c r="BM2203" s="46">
        <v>0</v>
      </c>
      <c r="BN2203" s="46">
        <v>0</v>
      </c>
    </row>
    <row r="2204" spans="1:66" x14ac:dyDescent="0.35">
      <c r="A2204" t="s">
        <v>11128</v>
      </c>
      <c r="B2204" s="44" t="s">
        <v>48</v>
      </c>
      <c r="C2204" t="s">
        <v>6083</v>
      </c>
      <c r="D2204" t="s">
        <v>427</v>
      </c>
      <c r="E2204" t="s">
        <v>6081</v>
      </c>
      <c r="F2204" t="s">
        <v>6080</v>
      </c>
      <c r="G2204" t="s">
        <v>74</v>
      </c>
      <c r="H2204">
        <v>0</v>
      </c>
      <c r="I2204" s="60" t="s">
        <v>11160</v>
      </c>
      <c r="J2204" s="33" t="s">
        <v>45</v>
      </c>
      <c r="K2204" s="46">
        <v>0</v>
      </c>
      <c r="L2204">
        <v>42.4</v>
      </c>
      <c r="M2204" t="s">
        <v>48</v>
      </c>
      <c r="N2204" s="46">
        <v>0</v>
      </c>
      <c r="O2204" s="46">
        <v>0</v>
      </c>
      <c r="P2204" s="46">
        <v>0</v>
      </c>
      <c r="Q2204" t="s">
        <v>48</v>
      </c>
      <c r="R2204" t="s">
        <v>48</v>
      </c>
      <c r="S2204" t="s">
        <v>6082</v>
      </c>
      <c r="T2204" t="s">
        <v>48</v>
      </c>
      <c r="U2204" t="s">
        <v>6082</v>
      </c>
      <c r="V2204" s="47">
        <v>0</v>
      </c>
      <c r="W2204" t="s">
        <v>11317</v>
      </c>
      <c r="X2204" t="s">
        <v>48</v>
      </c>
      <c r="Y2204" t="s">
        <v>48</v>
      </c>
      <c r="Z2204">
        <v>0</v>
      </c>
      <c r="AA2204" t="s">
        <v>48</v>
      </c>
      <c r="AB2204" t="s">
        <v>48</v>
      </c>
      <c r="AC2204" t="s">
        <v>63</v>
      </c>
      <c r="AD2204" t="s">
        <v>93</v>
      </c>
      <c r="AE2204" t="s">
        <v>2471</v>
      </c>
      <c r="AF2204" t="s">
        <v>48</v>
      </c>
      <c r="AG2204" t="s">
        <v>48</v>
      </c>
      <c r="AH2204" t="s">
        <v>48</v>
      </c>
      <c r="AI2204" t="s">
        <v>48</v>
      </c>
      <c r="AJ2204" t="s">
        <v>48</v>
      </c>
      <c r="AK2204" t="s">
        <v>48</v>
      </c>
      <c r="AL2204" t="s">
        <v>48</v>
      </c>
      <c r="AM2204" t="s">
        <v>48</v>
      </c>
      <c r="AN2204" t="s">
        <v>48</v>
      </c>
      <c r="AO2204" t="s">
        <v>48</v>
      </c>
      <c r="AP2204" s="46">
        <v>0</v>
      </c>
      <c r="AQ2204" s="46">
        <v>0</v>
      </c>
      <c r="AR2204" s="46">
        <v>0</v>
      </c>
      <c r="AS2204" s="46">
        <v>0</v>
      </c>
      <c r="AT2204" s="46">
        <v>0</v>
      </c>
      <c r="AU2204" s="46">
        <v>0</v>
      </c>
      <c r="AV2204" s="46">
        <v>0</v>
      </c>
      <c r="AW2204" s="46">
        <v>0</v>
      </c>
      <c r="AX2204" s="46">
        <v>0</v>
      </c>
      <c r="AY2204" s="46">
        <v>0</v>
      </c>
      <c r="AZ2204" s="46">
        <v>0</v>
      </c>
      <c r="BA2204" s="46">
        <v>0</v>
      </c>
      <c r="BB2204" s="46">
        <v>0</v>
      </c>
      <c r="BC2204" s="46">
        <v>0</v>
      </c>
      <c r="BD2204" s="46">
        <v>0</v>
      </c>
      <c r="BE2204" s="46">
        <v>0</v>
      </c>
      <c r="BF2204" s="46">
        <v>0</v>
      </c>
      <c r="BG2204" s="46" t="s">
        <v>48</v>
      </c>
      <c r="BH2204" s="46">
        <v>0</v>
      </c>
      <c r="BI2204" s="46">
        <v>0</v>
      </c>
      <c r="BJ2204" s="46">
        <v>0</v>
      </c>
      <c r="BK2204" s="46">
        <v>0</v>
      </c>
      <c r="BL2204" s="46">
        <v>0</v>
      </c>
      <c r="BM2204" s="46">
        <v>0</v>
      </c>
      <c r="BN2204" s="46">
        <v>0</v>
      </c>
    </row>
    <row r="2205" spans="1:66" x14ac:dyDescent="0.35">
      <c r="A2205" t="s">
        <v>6101</v>
      </c>
      <c r="B2205" s="44" t="s">
        <v>48</v>
      </c>
      <c r="C2205" t="s">
        <v>6103</v>
      </c>
      <c r="D2205" t="s">
        <v>208</v>
      </c>
      <c r="E2205" t="s">
        <v>6102</v>
      </c>
      <c r="F2205" t="s">
        <v>6090</v>
      </c>
      <c r="G2205" t="s">
        <v>74</v>
      </c>
      <c r="H2205">
        <v>0</v>
      </c>
      <c r="I2205" s="60" t="s">
        <v>51</v>
      </c>
      <c r="J2205" s="33" t="s">
        <v>45</v>
      </c>
      <c r="K2205" s="46">
        <v>0</v>
      </c>
      <c r="L2205">
        <v>4.5</v>
      </c>
      <c r="M2205" t="s">
        <v>48</v>
      </c>
      <c r="N2205" s="46">
        <v>0</v>
      </c>
      <c r="O2205" s="46">
        <v>0</v>
      </c>
      <c r="P2205" s="46">
        <v>0</v>
      </c>
      <c r="Q2205" t="s">
        <v>48</v>
      </c>
      <c r="R2205" t="s">
        <v>48</v>
      </c>
      <c r="S2205" t="s">
        <v>48</v>
      </c>
      <c r="T2205" t="s">
        <v>48</v>
      </c>
      <c r="U2205" t="s">
        <v>48</v>
      </c>
      <c r="V2205" s="47">
        <v>0</v>
      </c>
      <c r="W2205" t="s">
        <v>48</v>
      </c>
      <c r="X2205" t="s">
        <v>48</v>
      </c>
      <c r="Y2205" t="s">
        <v>48</v>
      </c>
      <c r="Z2205">
        <v>0</v>
      </c>
      <c r="AA2205" t="s">
        <v>48</v>
      </c>
      <c r="AB2205" t="s">
        <v>48</v>
      </c>
      <c r="AC2205" t="s">
        <v>49</v>
      </c>
      <c r="AD2205" t="s">
        <v>93</v>
      </c>
      <c r="AE2205" s="40" t="s">
        <v>2471</v>
      </c>
      <c r="AF2205" t="s">
        <v>11061</v>
      </c>
      <c r="AG2205" t="s">
        <v>48</v>
      </c>
      <c r="AH2205" t="s">
        <v>48</v>
      </c>
      <c r="AI2205" t="s">
        <v>48</v>
      </c>
      <c r="AJ2205" t="s">
        <v>48</v>
      </c>
      <c r="AK2205" t="s">
        <v>48</v>
      </c>
      <c r="AL2205" t="s">
        <v>48</v>
      </c>
      <c r="AM2205" t="s">
        <v>48</v>
      </c>
      <c r="AN2205" t="s">
        <v>48</v>
      </c>
      <c r="AO2205" t="s">
        <v>48</v>
      </c>
      <c r="AP2205" s="46">
        <v>0</v>
      </c>
      <c r="AQ2205" s="46">
        <v>0</v>
      </c>
      <c r="AR2205" s="46">
        <v>0</v>
      </c>
      <c r="AS2205" s="46">
        <v>0</v>
      </c>
      <c r="AT2205" s="46">
        <v>0</v>
      </c>
      <c r="AU2205" s="46">
        <v>0</v>
      </c>
      <c r="AV2205" s="46">
        <v>0</v>
      </c>
      <c r="AW2205" s="46">
        <v>0</v>
      </c>
      <c r="AX2205" s="46">
        <v>0</v>
      </c>
      <c r="AY2205" s="46">
        <v>0</v>
      </c>
      <c r="AZ2205" s="46">
        <v>0</v>
      </c>
      <c r="BA2205" s="46">
        <v>0</v>
      </c>
      <c r="BB2205" s="46">
        <v>0</v>
      </c>
      <c r="BC2205" s="46">
        <v>0</v>
      </c>
      <c r="BD2205" s="46">
        <v>0</v>
      </c>
      <c r="BE2205" s="46">
        <v>0</v>
      </c>
      <c r="BF2205" s="46">
        <v>0</v>
      </c>
      <c r="BG2205" s="46" t="s">
        <v>48</v>
      </c>
      <c r="BH2205" s="46">
        <v>0</v>
      </c>
      <c r="BI2205" s="46">
        <v>0</v>
      </c>
      <c r="BJ2205" s="46">
        <v>0</v>
      </c>
      <c r="BK2205" s="46">
        <v>0</v>
      </c>
      <c r="BL2205" s="46">
        <v>0</v>
      </c>
      <c r="BM2205" s="46">
        <v>0</v>
      </c>
      <c r="BN2205" s="46">
        <v>0</v>
      </c>
    </row>
    <row r="2206" spans="1:66" x14ac:dyDescent="0.35">
      <c r="A2206" t="s">
        <v>6089</v>
      </c>
      <c r="B2206" s="44" t="s">
        <v>48</v>
      </c>
      <c r="C2206" t="s">
        <v>6092</v>
      </c>
      <c r="D2206" t="s">
        <v>396</v>
      </c>
      <c r="E2206" t="s">
        <v>6091</v>
      </c>
      <c r="F2206" t="s">
        <v>6090</v>
      </c>
      <c r="G2206" t="s">
        <v>74</v>
      </c>
      <c r="H2206">
        <v>0</v>
      </c>
      <c r="I2206" s="60" t="s">
        <v>51</v>
      </c>
      <c r="J2206" s="33" t="s">
        <v>45</v>
      </c>
      <c r="K2206" s="46">
        <v>0</v>
      </c>
      <c r="L2206">
        <v>7.5</v>
      </c>
      <c r="M2206" t="s">
        <v>48</v>
      </c>
      <c r="N2206" s="46">
        <v>0</v>
      </c>
      <c r="O2206" s="46">
        <v>0</v>
      </c>
      <c r="P2206" s="46">
        <v>0</v>
      </c>
      <c r="Q2206" t="s">
        <v>48</v>
      </c>
      <c r="R2206" t="s">
        <v>48</v>
      </c>
      <c r="S2206" t="s">
        <v>48</v>
      </c>
      <c r="T2206" t="s">
        <v>48</v>
      </c>
      <c r="U2206" t="s">
        <v>48</v>
      </c>
      <c r="V2206" s="47">
        <v>1</v>
      </c>
      <c r="W2206" t="s">
        <v>48</v>
      </c>
      <c r="X2206" t="s">
        <v>48</v>
      </c>
      <c r="Y2206" t="s">
        <v>48</v>
      </c>
      <c r="Z2206">
        <v>0</v>
      </c>
      <c r="AA2206" t="s">
        <v>48</v>
      </c>
      <c r="AB2206" t="s">
        <v>48</v>
      </c>
      <c r="AC2206" t="s">
        <v>49</v>
      </c>
      <c r="AD2206" t="s">
        <v>93</v>
      </c>
      <c r="AE2206" s="40" t="s">
        <v>2471</v>
      </c>
      <c r="AF2206" t="s">
        <v>11061</v>
      </c>
      <c r="AG2206" t="s">
        <v>48</v>
      </c>
      <c r="AH2206" t="s">
        <v>48</v>
      </c>
      <c r="AI2206" t="s">
        <v>48</v>
      </c>
      <c r="AJ2206" t="s">
        <v>48</v>
      </c>
      <c r="AK2206" t="s">
        <v>48</v>
      </c>
      <c r="AL2206" t="s">
        <v>48</v>
      </c>
      <c r="AM2206" t="s">
        <v>48</v>
      </c>
      <c r="AN2206" t="s">
        <v>48</v>
      </c>
      <c r="AO2206" t="s">
        <v>48</v>
      </c>
      <c r="AP2206" s="46">
        <v>0</v>
      </c>
      <c r="AQ2206" s="46">
        <v>0</v>
      </c>
      <c r="AR2206" s="46">
        <v>0</v>
      </c>
      <c r="AS2206" s="46">
        <v>0</v>
      </c>
      <c r="AT2206" s="46">
        <v>0</v>
      </c>
      <c r="AU2206" s="46">
        <v>0</v>
      </c>
      <c r="AV2206" s="46">
        <v>0</v>
      </c>
      <c r="AW2206" s="46">
        <v>0</v>
      </c>
      <c r="AX2206" s="46">
        <v>0</v>
      </c>
      <c r="AY2206" s="46">
        <v>0</v>
      </c>
      <c r="AZ2206" s="46">
        <v>0</v>
      </c>
      <c r="BA2206" s="46">
        <v>0</v>
      </c>
      <c r="BB2206" s="46">
        <v>0</v>
      </c>
      <c r="BC2206" s="46">
        <v>0</v>
      </c>
      <c r="BD2206" s="46">
        <v>0</v>
      </c>
      <c r="BE2206" s="46">
        <v>0</v>
      </c>
      <c r="BF2206" s="46">
        <v>0</v>
      </c>
      <c r="BG2206" s="46" t="s">
        <v>48</v>
      </c>
      <c r="BH2206" s="46">
        <v>0</v>
      </c>
      <c r="BI2206" s="46">
        <v>0</v>
      </c>
      <c r="BJ2206" s="46">
        <v>0</v>
      </c>
      <c r="BK2206" s="46">
        <v>0</v>
      </c>
      <c r="BL2206" s="46">
        <v>0</v>
      </c>
      <c r="BM2206" s="46">
        <v>0</v>
      </c>
      <c r="BN2206" s="46">
        <v>0</v>
      </c>
    </row>
    <row r="2207" spans="1:66" ht="15" x14ac:dyDescent="0.4">
      <c r="A2207" t="s">
        <v>8388</v>
      </c>
      <c r="B2207" t="s">
        <v>48</v>
      </c>
      <c r="C2207" t="s">
        <v>2891</v>
      </c>
      <c r="D2207" t="s">
        <v>12308</v>
      </c>
      <c r="E2207" t="s">
        <v>8389</v>
      </c>
      <c r="F2207" t="s">
        <v>6090</v>
      </c>
      <c r="G2207" t="s">
        <v>47</v>
      </c>
      <c r="H2207">
        <v>0</v>
      </c>
      <c r="I2207" s="61" t="s">
        <v>11160</v>
      </c>
      <c r="J2207" s="33" t="s">
        <v>45</v>
      </c>
      <c r="K2207" s="46">
        <v>0</v>
      </c>
      <c r="L2207">
        <v>25.6</v>
      </c>
      <c r="M2207" t="s">
        <v>48</v>
      </c>
      <c r="N2207" s="46">
        <v>0</v>
      </c>
      <c r="O2207" s="46">
        <v>0</v>
      </c>
      <c r="P2207" s="46">
        <v>0</v>
      </c>
      <c r="Q2207" t="s">
        <v>48</v>
      </c>
      <c r="R2207" t="s">
        <v>48</v>
      </c>
      <c r="S2207" s="55" t="str">
        <f>"@SCCongressSonia"</f>
        <v>@SCCongressSonia</v>
      </c>
      <c r="T2207" t="s">
        <v>48</v>
      </c>
      <c r="U2207" t="s">
        <v>48</v>
      </c>
      <c r="V2207" s="47">
        <v>0</v>
      </c>
      <c r="W2207" t="s">
        <v>48</v>
      </c>
      <c r="X2207" t="s">
        <v>48</v>
      </c>
      <c r="Y2207" t="s">
        <v>48</v>
      </c>
      <c r="Z2207" t="s">
        <v>48</v>
      </c>
      <c r="AA2207" t="s">
        <v>48</v>
      </c>
      <c r="AB2207" t="s">
        <v>48</v>
      </c>
      <c r="AC2207" t="s">
        <v>63</v>
      </c>
      <c r="AD2207" t="s">
        <v>93</v>
      </c>
      <c r="AE2207" s="40" t="s">
        <v>2471</v>
      </c>
      <c r="AF2207" t="s">
        <v>48</v>
      </c>
      <c r="AG2207" t="s">
        <v>48</v>
      </c>
      <c r="AH2207" t="s">
        <v>48</v>
      </c>
      <c r="AI2207" t="s">
        <v>48</v>
      </c>
      <c r="AJ2207" t="s">
        <v>48</v>
      </c>
      <c r="AK2207" t="s">
        <v>48</v>
      </c>
      <c r="AL2207" t="s">
        <v>48</v>
      </c>
      <c r="AM2207" t="s">
        <v>48</v>
      </c>
      <c r="AN2207" t="s">
        <v>48</v>
      </c>
      <c r="AO2207" t="s">
        <v>48</v>
      </c>
      <c r="AP2207" s="46">
        <v>0</v>
      </c>
      <c r="AQ2207" s="46">
        <v>0</v>
      </c>
      <c r="AR2207" s="46">
        <v>0</v>
      </c>
      <c r="AS2207" s="46">
        <v>0</v>
      </c>
      <c r="AT2207" s="46">
        <v>0</v>
      </c>
      <c r="AU2207" s="46">
        <v>0</v>
      </c>
      <c r="AV2207" s="46">
        <v>0</v>
      </c>
      <c r="AW2207" s="46">
        <v>0</v>
      </c>
      <c r="AX2207" s="46">
        <v>0</v>
      </c>
      <c r="AY2207" s="46">
        <v>0</v>
      </c>
      <c r="AZ2207" s="46">
        <v>0</v>
      </c>
      <c r="BA2207" s="46">
        <v>0</v>
      </c>
      <c r="BB2207" s="46">
        <v>0</v>
      </c>
      <c r="BC2207" s="46">
        <v>0</v>
      </c>
      <c r="BD2207" s="46">
        <v>0</v>
      </c>
      <c r="BE2207" s="46">
        <v>0</v>
      </c>
      <c r="BF2207" s="46">
        <v>0</v>
      </c>
      <c r="BG2207" s="46" t="s">
        <v>48</v>
      </c>
      <c r="BH2207" s="46">
        <v>0</v>
      </c>
      <c r="BI2207" s="46">
        <v>0</v>
      </c>
      <c r="BJ2207" s="46">
        <v>0</v>
      </c>
      <c r="BK2207" s="46">
        <v>0</v>
      </c>
      <c r="BL2207" s="46">
        <v>0</v>
      </c>
      <c r="BM2207" s="46">
        <v>0</v>
      </c>
      <c r="BN2207" s="46">
        <v>0</v>
      </c>
    </row>
    <row r="2208" spans="1:66" x14ac:dyDescent="0.35">
      <c r="A2208" t="s">
        <v>6105</v>
      </c>
      <c r="B2208" t="s">
        <v>48</v>
      </c>
      <c r="C2208" t="s">
        <v>6107</v>
      </c>
      <c r="D2208" t="s">
        <v>1033</v>
      </c>
      <c r="E2208" t="s">
        <v>6106</v>
      </c>
      <c r="F2208" t="s">
        <v>6104</v>
      </c>
      <c r="G2208" t="s">
        <v>47</v>
      </c>
      <c r="H2208">
        <v>0</v>
      </c>
      <c r="I2208" s="60" t="s">
        <v>51</v>
      </c>
      <c r="J2208" s="33" t="s">
        <v>45</v>
      </c>
      <c r="K2208" s="46">
        <v>0</v>
      </c>
      <c r="L2208">
        <v>12.3</v>
      </c>
      <c r="M2208" t="s">
        <v>48</v>
      </c>
      <c r="N2208" s="46">
        <v>0</v>
      </c>
      <c r="O2208" s="46">
        <v>0</v>
      </c>
      <c r="P2208" s="46">
        <v>0</v>
      </c>
      <c r="Q2208" t="s">
        <v>48</v>
      </c>
      <c r="R2208" t="s">
        <v>48</v>
      </c>
      <c r="S2208" t="s">
        <v>48</v>
      </c>
      <c r="T2208" t="s">
        <v>48</v>
      </c>
      <c r="U2208" t="s">
        <v>48</v>
      </c>
      <c r="V2208" s="47">
        <v>1</v>
      </c>
      <c r="W2208" t="s">
        <v>48</v>
      </c>
      <c r="X2208" t="s">
        <v>48</v>
      </c>
      <c r="Y2208" t="s">
        <v>48</v>
      </c>
      <c r="Z2208">
        <v>0</v>
      </c>
      <c r="AA2208" t="s">
        <v>48</v>
      </c>
      <c r="AB2208" t="s">
        <v>48</v>
      </c>
      <c r="AC2208" t="s">
        <v>63</v>
      </c>
      <c r="AD2208" t="s">
        <v>93</v>
      </c>
      <c r="AE2208" t="s">
        <v>4532</v>
      </c>
      <c r="AF2208" t="s">
        <v>48</v>
      </c>
      <c r="AG2208" t="s">
        <v>48</v>
      </c>
      <c r="AH2208" t="s">
        <v>48</v>
      </c>
      <c r="AI2208" t="s">
        <v>48</v>
      </c>
      <c r="AJ2208" t="s">
        <v>48</v>
      </c>
      <c r="AK2208" t="s">
        <v>48</v>
      </c>
      <c r="AL2208" t="s">
        <v>48</v>
      </c>
      <c r="AM2208" t="s">
        <v>48</v>
      </c>
      <c r="AN2208" t="s">
        <v>48</v>
      </c>
      <c r="AO2208" t="s">
        <v>48</v>
      </c>
      <c r="AP2208" s="46">
        <v>0</v>
      </c>
      <c r="AQ2208" s="46">
        <v>0</v>
      </c>
      <c r="AR2208" s="46">
        <v>0</v>
      </c>
      <c r="AS2208" s="46">
        <v>0</v>
      </c>
      <c r="AT2208" s="46">
        <v>0</v>
      </c>
      <c r="AU2208" s="46">
        <v>0</v>
      </c>
      <c r="AV2208" s="46">
        <v>0</v>
      </c>
      <c r="AW2208" s="46">
        <v>0</v>
      </c>
      <c r="AX2208" s="46">
        <v>0</v>
      </c>
      <c r="AY2208" s="46">
        <v>0</v>
      </c>
      <c r="AZ2208" s="46">
        <v>0</v>
      </c>
      <c r="BA2208" s="46">
        <v>0</v>
      </c>
      <c r="BB2208" s="46">
        <v>0</v>
      </c>
      <c r="BC2208" s="46">
        <v>0</v>
      </c>
      <c r="BD2208" s="46">
        <v>0</v>
      </c>
      <c r="BE2208" s="46">
        <v>0</v>
      </c>
      <c r="BF2208" s="46">
        <v>0</v>
      </c>
      <c r="BG2208" s="46" t="s">
        <v>48</v>
      </c>
      <c r="BH2208" s="46">
        <v>0</v>
      </c>
      <c r="BI2208" s="46">
        <v>0</v>
      </c>
      <c r="BJ2208" s="46">
        <v>0</v>
      </c>
      <c r="BK2208" s="46">
        <v>0</v>
      </c>
      <c r="BL2208" s="46">
        <v>0</v>
      </c>
      <c r="BM2208" s="46">
        <v>0</v>
      </c>
      <c r="BN2208" s="46">
        <v>0</v>
      </c>
    </row>
    <row r="2209" spans="1:66" x14ac:dyDescent="0.35">
      <c r="A2209" t="s">
        <v>6108</v>
      </c>
      <c r="B2209" t="s">
        <v>48</v>
      </c>
      <c r="C2209" t="s">
        <v>3043</v>
      </c>
      <c r="D2209" t="s">
        <v>5655</v>
      </c>
      <c r="E2209" t="s">
        <v>6109</v>
      </c>
      <c r="F2209" t="s">
        <v>6104</v>
      </c>
      <c r="G2209" t="s">
        <v>47</v>
      </c>
      <c r="H2209">
        <v>0</v>
      </c>
      <c r="I2209" s="60" t="s">
        <v>51</v>
      </c>
      <c r="J2209" s="33" t="s">
        <v>45</v>
      </c>
      <c r="K2209" s="46">
        <v>0</v>
      </c>
      <c r="L2209">
        <v>2.5</v>
      </c>
      <c r="M2209" t="s">
        <v>48</v>
      </c>
      <c r="N2209" s="46">
        <v>0</v>
      </c>
      <c r="O2209" s="46">
        <v>0</v>
      </c>
      <c r="P2209" s="46">
        <v>0</v>
      </c>
      <c r="Q2209" t="s">
        <v>48</v>
      </c>
      <c r="R2209" t="s">
        <v>48</v>
      </c>
      <c r="S2209" t="s">
        <v>6110</v>
      </c>
      <c r="T2209" t="s">
        <v>48</v>
      </c>
      <c r="U2209" t="s">
        <v>6110</v>
      </c>
      <c r="V2209" s="47">
        <v>0</v>
      </c>
      <c r="W2209" t="s">
        <v>48</v>
      </c>
      <c r="X2209" t="s">
        <v>48</v>
      </c>
      <c r="Y2209" t="s">
        <v>48</v>
      </c>
      <c r="Z2209">
        <v>0</v>
      </c>
      <c r="AA2209" t="s">
        <v>48</v>
      </c>
      <c r="AB2209" t="s">
        <v>48</v>
      </c>
      <c r="AC2209" t="s">
        <v>49</v>
      </c>
      <c r="AD2209" t="s">
        <v>93</v>
      </c>
      <c r="AE2209" t="s">
        <v>4532</v>
      </c>
      <c r="AF2209" t="s">
        <v>48</v>
      </c>
      <c r="AG2209" t="s">
        <v>48</v>
      </c>
      <c r="AH2209" t="s">
        <v>48</v>
      </c>
      <c r="AI2209" t="s">
        <v>48</v>
      </c>
      <c r="AJ2209" t="s">
        <v>48</v>
      </c>
      <c r="AK2209" t="s">
        <v>48</v>
      </c>
      <c r="AL2209" t="s">
        <v>48</v>
      </c>
      <c r="AM2209" t="s">
        <v>48</v>
      </c>
      <c r="AN2209" t="s">
        <v>48</v>
      </c>
      <c r="AO2209" t="s">
        <v>48</v>
      </c>
      <c r="AP2209" s="46">
        <v>0</v>
      </c>
      <c r="AQ2209" s="46">
        <v>0</v>
      </c>
      <c r="AR2209" s="46">
        <v>0</v>
      </c>
      <c r="AS2209" s="46">
        <v>0</v>
      </c>
      <c r="AT2209" s="46">
        <v>0</v>
      </c>
      <c r="AU2209" s="46">
        <v>0</v>
      </c>
      <c r="AV2209" s="46">
        <v>0</v>
      </c>
      <c r="AW2209" s="46">
        <v>0</v>
      </c>
      <c r="AX2209" s="46">
        <v>0</v>
      </c>
      <c r="AY2209" s="46">
        <v>0</v>
      </c>
      <c r="AZ2209" s="46">
        <v>0</v>
      </c>
      <c r="BA2209" s="46">
        <v>0</v>
      </c>
      <c r="BB2209" s="46">
        <v>0</v>
      </c>
      <c r="BC2209" s="46">
        <v>0</v>
      </c>
      <c r="BD2209" s="46">
        <v>0</v>
      </c>
      <c r="BE2209" s="46">
        <v>0</v>
      </c>
      <c r="BF2209" s="46">
        <v>0</v>
      </c>
      <c r="BG2209" s="46" t="s">
        <v>48</v>
      </c>
      <c r="BH2209" s="46">
        <v>0</v>
      </c>
      <c r="BI2209" s="46">
        <v>0</v>
      </c>
      <c r="BJ2209" s="46">
        <v>0</v>
      </c>
      <c r="BK2209" s="46">
        <v>0</v>
      </c>
      <c r="BL2209" s="46">
        <v>0</v>
      </c>
      <c r="BM2209" s="46">
        <v>0</v>
      </c>
      <c r="BN2209" s="46">
        <v>0</v>
      </c>
    </row>
    <row r="2210" spans="1:66" x14ac:dyDescent="0.35">
      <c r="A2210" t="s">
        <v>6124</v>
      </c>
      <c r="B2210" t="s">
        <v>48</v>
      </c>
      <c r="C2210" t="s">
        <v>2810</v>
      </c>
      <c r="D2210" t="s">
        <v>1380</v>
      </c>
      <c r="E2210" t="s">
        <v>6125</v>
      </c>
      <c r="F2210" t="s">
        <v>6104</v>
      </c>
      <c r="G2210" t="s">
        <v>47</v>
      </c>
      <c r="H2210">
        <v>0</v>
      </c>
      <c r="I2210" s="60" t="s">
        <v>51</v>
      </c>
      <c r="J2210" s="33" t="s">
        <v>45</v>
      </c>
      <c r="K2210" s="46">
        <v>0</v>
      </c>
      <c r="L2210">
        <v>7.1</v>
      </c>
      <c r="M2210" t="s">
        <v>48</v>
      </c>
      <c r="N2210" s="46">
        <v>0</v>
      </c>
      <c r="O2210" s="46">
        <v>0</v>
      </c>
      <c r="P2210" s="46">
        <v>0</v>
      </c>
      <c r="Q2210" t="s">
        <v>48</v>
      </c>
      <c r="R2210" t="s">
        <v>48</v>
      </c>
      <c r="S2210" t="s">
        <v>48</v>
      </c>
      <c r="T2210" t="s">
        <v>48</v>
      </c>
      <c r="U2210" t="s">
        <v>48</v>
      </c>
      <c r="V2210" s="47">
        <v>0</v>
      </c>
      <c r="W2210" t="s">
        <v>48</v>
      </c>
      <c r="X2210" t="s">
        <v>48</v>
      </c>
      <c r="Y2210" t="s">
        <v>48</v>
      </c>
      <c r="Z2210">
        <v>0</v>
      </c>
      <c r="AA2210" t="s">
        <v>48</v>
      </c>
      <c r="AB2210" t="s">
        <v>48</v>
      </c>
      <c r="AC2210" t="s">
        <v>49</v>
      </c>
      <c r="AD2210" t="s">
        <v>93</v>
      </c>
      <c r="AE2210" t="s">
        <v>4532</v>
      </c>
      <c r="AF2210" t="s">
        <v>48</v>
      </c>
      <c r="AG2210" t="s">
        <v>48</v>
      </c>
      <c r="AH2210" t="s">
        <v>48</v>
      </c>
      <c r="AI2210" t="s">
        <v>48</v>
      </c>
      <c r="AJ2210" t="s">
        <v>48</v>
      </c>
      <c r="AK2210" t="s">
        <v>48</v>
      </c>
      <c r="AL2210" t="s">
        <v>48</v>
      </c>
      <c r="AM2210" t="s">
        <v>48</v>
      </c>
      <c r="AN2210" t="s">
        <v>48</v>
      </c>
      <c r="AO2210" t="s">
        <v>48</v>
      </c>
      <c r="AP2210" s="46">
        <v>0</v>
      </c>
      <c r="AQ2210" s="46">
        <v>0</v>
      </c>
      <c r="AR2210" s="46">
        <v>0</v>
      </c>
      <c r="AS2210" s="46">
        <v>0</v>
      </c>
      <c r="AT2210" s="46">
        <v>0</v>
      </c>
      <c r="AU2210" s="46">
        <v>0</v>
      </c>
      <c r="AV2210" s="46">
        <v>0</v>
      </c>
      <c r="AW2210" s="46">
        <v>0</v>
      </c>
      <c r="AX2210" s="46">
        <v>0</v>
      </c>
      <c r="AY2210" s="46">
        <v>0</v>
      </c>
      <c r="AZ2210" s="46">
        <v>0</v>
      </c>
      <c r="BA2210" s="46">
        <v>0</v>
      </c>
      <c r="BB2210" s="46">
        <v>0</v>
      </c>
      <c r="BC2210" s="46">
        <v>0</v>
      </c>
      <c r="BD2210" s="46">
        <v>0</v>
      </c>
      <c r="BE2210" s="46">
        <v>0</v>
      </c>
      <c r="BF2210" s="46">
        <v>0</v>
      </c>
      <c r="BG2210" s="46" t="s">
        <v>48</v>
      </c>
      <c r="BH2210" s="46">
        <v>0</v>
      </c>
      <c r="BI2210" s="46">
        <v>0</v>
      </c>
      <c r="BJ2210" s="46">
        <v>0</v>
      </c>
      <c r="BK2210" s="46">
        <v>0</v>
      </c>
      <c r="BL2210" s="46">
        <v>0</v>
      </c>
      <c r="BM2210" s="46">
        <v>0</v>
      </c>
      <c r="BN2210" s="46">
        <v>0</v>
      </c>
    </row>
    <row r="2211" spans="1:66" x14ac:dyDescent="0.35">
      <c r="A2211" t="s">
        <v>6115</v>
      </c>
      <c r="B2211" t="s">
        <v>48</v>
      </c>
      <c r="C2211" t="s">
        <v>6117</v>
      </c>
      <c r="D2211" t="s">
        <v>655</v>
      </c>
      <c r="E2211" t="s">
        <v>6116</v>
      </c>
      <c r="F2211" t="s">
        <v>6104</v>
      </c>
      <c r="G2211" t="s">
        <v>47</v>
      </c>
      <c r="H2211">
        <v>0</v>
      </c>
      <c r="I2211" s="60" t="s">
        <v>51</v>
      </c>
      <c r="J2211" s="33" t="s">
        <v>45</v>
      </c>
      <c r="K2211" s="46">
        <v>0</v>
      </c>
      <c r="L2211">
        <v>2</v>
      </c>
      <c r="M2211" t="s">
        <v>48</v>
      </c>
      <c r="N2211" s="46">
        <v>0</v>
      </c>
      <c r="O2211" s="46">
        <v>0</v>
      </c>
      <c r="P2211" s="46">
        <v>0</v>
      </c>
      <c r="Q2211" t="s">
        <v>48</v>
      </c>
      <c r="R2211" t="s">
        <v>48</v>
      </c>
      <c r="S2211" t="s">
        <v>48</v>
      </c>
      <c r="T2211" t="s">
        <v>48</v>
      </c>
      <c r="U2211" t="s">
        <v>48</v>
      </c>
      <c r="V2211" s="47">
        <v>0</v>
      </c>
      <c r="W2211" t="s">
        <v>48</v>
      </c>
      <c r="X2211" t="s">
        <v>48</v>
      </c>
      <c r="Y2211" t="s">
        <v>48</v>
      </c>
      <c r="Z2211">
        <v>0</v>
      </c>
      <c r="AA2211" t="s">
        <v>48</v>
      </c>
      <c r="AB2211" t="s">
        <v>48</v>
      </c>
      <c r="AC2211" t="s">
        <v>49</v>
      </c>
      <c r="AD2211" t="s">
        <v>93</v>
      </c>
      <c r="AE2211" t="s">
        <v>4532</v>
      </c>
      <c r="AF2211" t="s">
        <v>48</v>
      </c>
      <c r="AG2211" t="s">
        <v>48</v>
      </c>
      <c r="AH2211" t="s">
        <v>48</v>
      </c>
      <c r="AI2211" t="s">
        <v>48</v>
      </c>
      <c r="AJ2211" t="s">
        <v>48</v>
      </c>
      <c r="AK2211" t="s">
        <v>48</v>
      </c>
      <c r="AL2211" t="s">
        <v>48</v>
      </c>
      <c r="AM2211" t="s">
        <v>48</v>
      </c>
      <c r="AN2211" t="s">
        <v>48</v>
      </c>
      <c r="AO2211" t="s">
        <v>48</v>
      </c>
      <c r="AP2211" s="46">
        <v>0</v>
      </c>
      <c r="AQ2211" s="46">
        <v>0</v>
      </c>
      <c r="AR2211" s="46">
        <v>0</v>
      </c>
      <c r="AS2211" s="46">
        <v>0</v>
      </c>
      <c r="AT2211" s="46">
        <v>0</v>
      </c>
      <c r="AU2211" s="46">
        <v>0</v>
      </c>
      <c r="AV2211" s="46">
        <v>0</v>
      </c>
      <c r="AW2211" s="46">
        <v>0</v>
      </c>
      <c r="AX2211" s="46">
        <v>0</v>
      </c>
      <c r="AY2211" s="46">
        <v>0</v>
      </c>
      <c r="AZ2211" s="46">
        <v>0</v>
      </c>
      <c r="BA2211" s="46">
        <v>0</v>
      </c>
      <c r="BB2211" s="46">
        <v>0</v>
      </c>
      <c r="BC2211" s="46">
        <v>0</v>
      </c>
      <c r="BD2211" s="46">
        <v>0</v>
      </c>
      <c r="BE2211" s="46">
        <v>0</v>
      </c>
      <c r="BF2211" s="46">
        <v>0</v>
      </c>
      <c r="BG2211" s="46" t="s">
        <v>48</v>
      </c>
      <c r="BH2211" s="46">
        <v>0</v>
      </c>
      <c r="BI2211" s="46">
        <v>0</v>
      </c>
      <c r="BJ2211" s="46">
        <v>0</v>
      </c>
      <c r="BK2211" s="46">
        <v>0</v>
      </c>
      <c r="BL2211" s="46">
        <v>0</v>
      </c>
      <c r="BM2211" s="46">
        <v>0</v>
      </c>
      <c r="BN2211" s="46">
        <v>0</v>
      </c>
    </row>
    <row r="2212" spans="1:66" x14ac:dyDescent="0.35">
      <c r="A2212" t="s">
        <v>6118</v>
      </c>
      <c r="B2212" t="s">
        <v>48</v>
      </c>
      <c r="C2212" t="s">
        <v>2891</v>
      </c>
      <c r="D2212" t="s">
        <v>4157</v>
      </c>
      <c r="E2212" t="s">
        <v>6119</v>
      </c>
      <c r="F2212" t="s">
        <v>6104</v>
      </c>
      <c r="G2212" t="s">
        <v>47</v>
      </c>
      <c r="H2212">
        <v>0</v>
      </c>
      <c r="I2212" s="60" t="s">
        <v>716</v>
      </c>
      <c r="J2212" s="33" t="s">
        <v>45</v>
      </c>
      <c r="K2212" s="46">
        <v>0</v>
      </c>
      <c r="L2212">
        <v>0.5</v>
      </c>
      <c r="M2212" t="s">
        <v>48</v>
      </c>
      <c r="N2212" s="46">
        <v>0</v>
      </c>
      <c r="O2212" s="46">
        <v>0</v>
      </c>
      <c r="P2212" s="46">
        <v>0</v>
      </c>
      <c r="Q2212" t="s">
        <v>48</v>
      </c>
      <c r="R2212" t="s">
        <v>48</v>
      </c>
      <c r="S2212" t="s">
        <v>48</v>
      </c>
      <c r="T2212" t="s">
        <v>48</v>
      </c>
      <c r="U2212" t="s">
        <v>48</v>
      </c>
      <c r="V2212" s="47">
        <v>0</v>
      </c>
      <c r="W2212" t="s">
        <v>48</v>
      </c>
      <c r="X2212" t="s">
        <v>48</v>
      </c>
      <c r="Y2212" t="s">
        <v>48</v>
      </c>
      <c r="Z2212">
        <v>0</v>
      </c>
      <c r="AA2212" t="s">
        <v>48</v>
      </c>
      <c r="AB2212" t="s">
        <v>48</v>
      </c>
      <c r="AC2212" t="s">
        <v>49</v>
      </c>
      <c r="AD2212" t="s">
        <v>93</v>
      </c>
      <c r="AE2212" t="s">
        <v>4532</v>
      </c>
      <c r="AF2212" t="s">
        <v>48</v>
      </c>
      <c r="AG2212" t="s">
        <v>48</v>
      </c>
      <c r="AH2212" t="s">
        <v>48</v>
      </c>
      <c r="AI2212" t="s">
        <v>48</v>
      </c>
      <c r="AJ2212" t="s">
        <v>48</v>
      </c>
      <c r="AK2212" t="s">
        <v>48</v>
      </c>
      <c r="AL2212" t="s">
        <v>48</v>
      </c>
      <c r="AM2212" t="s">
        <v>48</v>
      </c>
      <c r="AN2212" t="s">
        <v>48</v>
      </c>
      <c r="AO2212" t="s">
        <v>48</v>
      </c>
      <c r="AP2212" s="46">
        <v>0</v>
      </c>
      <c r="AQ2212" s="46">
        <v>0</v>
      </c>
      <c r="AR2212" s="46">
        <v>0</v>
      </c>
      <c r="AS2212" s="46">
        <v>0</v>
      </c>
      <c r="AT2212" s="46">
        <v>0</v>
      </c>
      <c r="AU2212" s="46">
        <v>0</v>
      </c>
      <c r="AV2212" s="46">
        <v>0</v>
      </c>
      <c r="AW2212" s="46">
        <v>0</v>
      </c>
      <c r="AX2212" s="46">
        <v>0</v>
      </c>
      <c r="AY2212" s="46">
        <v>0</v>
      </c>
      <c r="AZ2212" s="46">
        <v>0</v>
      </c>
      <c r="BA2212" s="46">
        <v>0</v>
      </c>
      <c r="BB2212" s="46">
        <v>0</v>
      </c>
      <c r="BC2212" s="46">
        <v>0</v>
      </c>
      <c r="BD2212" s="46">
        <v>0</v>
      </c>
      <c r="BE2212" s="46">
        <v>0</v>
      </c>
      <c r="BF2212" s="46">
        <v>0</v>
      </c>
      <c r="BG2212" s="46" t="s">
        <v>48</v>
      </c>
      <c r="BH2212" s="46">
        <v>0</v>
      </c>
      <c r="BI2212" s="46">
        <v>0</v>
      </c>
      <c r="BJ2212" s="46">
        <v>0</v>
      </c>
      <c r="BK2212" s="46">
        <v>0</v>
      </c>
      <c r="BL2212" s="46">
        <v>0</v>
      </c>
      <c r="BM2212" s="46">
        <v>0</v>
      </c>
      <c r="BN2212" s="46">
        <v>0</v>
      </c>
    </row>
    <row r="2213" spans="1:66" x14ac:dyDescent="0.35">
      <c r="A2213" t="s">
        <v>6120</v>
      </c>
      <c r="B2213" t="s">
        <v>48</v>
      </c>
      <c r="C2213" t="s">
        <v>5106</v>
      </c>
      <c r="D2213" t="s">
        <v>585</v>
      </c>
      <c r="E2213" t="s">
        <v>6121</v>
      </c>
      <c r="F2213" t="s">
        <v>6104</v>
      </c>
      <c r="G2213" t="s">
        <v>47</v>
      </c>
      <c r="H2213">
        <v>0</v>
      </c>
      <c r="I2213" s="60" t="s">
        <v>51</v>
      </c>
      <c r="J2213" s="33" t="s">
        <v>45</v>
      </c>
      <c r="K2213" s="46">
        <v>1</v>
      </c>
      <c r="L2213">
        <v>24.5</v>
      </c>
      <c r="M2213" t="s">
        <v>48</v>
      </c>
      <c r="N2213" s="46">
        <v>0</v>
      </c>
      <c r="O2213" s="46">
        <v>0</v>
      </c>
      <c r="P2213" s="46">
        <v>0</v>
      </c>
      <c r="Q2213" t="s">
        <v>48</v>
      </c>
      <c r="R2213" t="s">
        <v>48</v>
      </c>
      <c r="S2213" t="s">
        <v>6122</v>
      </c>
      <c r="T2213" t="s">
        <v>6123</v>
      </c>
      <c r="U2213" t="s">
        <v>6122</v>
      </c>
      <c r="V2213" s="47">
        <v>0</v>
      </c>
      <c r="W2213" t="s">
        <v>48</v>
      </c>
      <c r="X2213" t="s">
        <v>48</v>
      </c>
      <c r="Y2213" t="s">
        <v>48</v>
      </c>
      <c r="Z2213">
        <v>0</v>
      </c>
      <c r="AA2213" t="s">
        <v>48</v>
      </c>
      <c r="AB2213">
        <v>2012</v>
      </c>
      <c r="AC2213" t="s">
        <v>49</v>
      </c>
      <c r="AD2213" t="s">
        <v>93</v>
      </c>
      <c r="AE2213" t="s">
        <v>4532</v>
      </c>
      <c r="AF2213" t="s">
        <v>48</v>
      </c>
      <c r="AG2213" t="s">
        <v>119</v>
      </c>
      <c r="AH2213" t="s">
        <v>93</v>
      </c>
      <c r="AI2213">
        <v>21359</v>
      </c>
      <c r="AJ2213">
        <v>1957</v>
      </c>
      <c r="AK2213" t="s">
        <v>9272</v>
      </c>
      <c r="AL2213" t="s">
        <v>9273</v>
      </c>
      <c r="AM2213">
        <v>0.56799999999999995</v>
      </c>
      <c r="AN2213">
        <v>-0.222</v>
      </c>
      <c r="AO2213">
        <v>0.56799999999999995</v>
      </c>
      <c r="AP2213" s="46">
        <v>0</v>
      </c>
      <c r="AQ2213" s="46">
        <v>0</v>
      </c>
      <c r="AR2213" s="46">
        <v>0</v>
      </c>
      <c r="AS2213" s="46">
        <v>0</v>
      </c>
      <c r="AT2213" s="46">
        <v>0</v>
      </c>
      <c r="AU2213" s="46">
        <v>0</v>
      </c>
      <c r="AV2213" s="46">
        <v>0</v>
      </c>
      <c r="AW2213" s="46">
        <v>0</v>
      </c>
      <c r="AX2213" s="46">
        <v>1</v>
      </c>
      <c r="AY2213" s="46">
        <v>1</v>
      </c>
      <c r="AZ2213" s="46">
        <v>0</v>
      </c>
      <c r="BA2213" s="46">
        <v>1</v>
      </c>
      <c r="BB2213" s="46">
        <v>1</v>
      </c>
      <c r="BC2213" s="46">
        <v>0</v>
      </c>
      <c r="BD2213" s="46">
        <v>0</v>
      </c>
      <c r="BE2213" s="46">
        <v>0</v>
      </c>
      <c r="BF2213" s="46">
        <v>0</v>
      </c>
      <c r="BG2213" s="46" t="s">
        <v>48</v>
      </c>
      <c r="BH2213" s="46">
        <v>0</v>
      </c>
      <c r="BI2213" s="46">
        <v>0</v>
      </c>
      <c r="BJ2213" s="46">
        <v>0</v>
      </c>
      <c r="BK2213" s="46">
        <v>0</v>
      </c>
      <c r="BL2213" s="46">
        <v>0</v>
      </c>
      <c r="BM2213" s="46">
        <v>0</v>
      </c>
      <c r="BN2213" s="46">
        <v>0</v>
      </c>
    </row>
    <row r="2214" spans="1:66" ht="15" x14ac:dyDescent="0.4">
      <c r="A2214" t="s">
        <v>8390</v>
      </c>
      <c r="B2214" t="s">
        <v>48</v>
      </c>
      <c r="C2214" t="s">
        <v>3013</v>
      </c>
      <c r="D2214" t="s">
        <v>12310</v>
      </c>
      <c r="E2214" t="s">
        <v>8391</v>
      </c>
      <c r="F2214" t="s">
        <v>6142</v>
      </c>
      <c r="G2214" t="s">
        <v>47</v>
      </c>
      <c r="H2214">
        <v>0</v>
      </c>
      <c r="I2214" s="61" t="s">
        <v>11160</v>
      </c>
      <c r="J2214" s="33" t="s">
        <v>45</v>
      </c>
      <c r="K2214" s="46">
        <v>0</v>
      </c>
      <c r="L2214">
        <v>40.700000000000003</v>
      </c>
      <c r="M2214" t="s">
        <v>48</v>
      </c>
      <c r="N2214" s="46">
        <v>0</v>
      </c>
      <c r="O2214" s="46">
        <v>0</v>
      </c>
      <c r="P2214" s="46">
        <v>0</v>
      </c>
      <c r="Q2214" t="s">
        <v>48</v>
      </c>
      <c r="R2214" t="s">
        <v>48</v>
      </c>
      <c r="S2214" s="55" t="s">
        <v>11378</v>
      </c>
      <c r="T2214" t="s">
        <v>48</v>
      </c>
      <c r="U2214" t="s">
        <v>48</v>
      </c>
      <c r="V2214" s="47">
        <v>0</v>
      </c>
      <c r="W2214" t="s">
        <v>48</v>
      </c>
      <c r="X2214" t="s">
        <v>48</v>
      </c>
      <c r="Y2214" t="s">
        <v>48</v>
      </c>
      <c r="Z2214" t="s">
        <v>48</v>
      </c>
      <c r="AA2214" t="s">
        <v>48</v>
      </c>
      <c r="AB2214" t="s">
        <v>48</v>
      </c>
      <c r="AC2214" t="s">
        <v>49</v>
      </c>
      <c r="AD2214" t="s">
        <v>93</v>
      </c>
      <c r="AE2214" s="40" t="s">
        <v>4532</v>
      </c>
      <c r="AF2214" t="s">
        <v>48</v>
      </c>
      <c r="AG2214" t="s">
        <v>48</v>
      </c>
      <c r="AH2214" t="s">
        <v>48</v>
      </c>
      <c r="AI2214" t="s">
        <v>48</v>
      </c>
      <c r="AJ2214" t="s">
        <v>48</v>
      </c>
      <c r="AK2214" t="s">
        <v>48</v>
      </c>
      <c r="AL2214" t="s">
        <v>48</v>
      </c>
      <c r="AM2214" t="s">
        <v>48</v>
      </c>
      <c r="AN2214" t="s">
        <v>48</v>
      </c>
      <c r="AO2214" t="s">
        <v>48</v>
      </c>
      <c r="AP2214" s="46">
        <v>0</v>
      </c>
      <c r="AQ2214" s="46">
        <v>0</v>
      </c>
      <c r="AR2214" s="46">
        <v>0</v>
      </c>
      <c r="AS2214" s="46">
        <v>0</v>
      </c>
      <c r="AT2214" s="46">
        <v>0</v>
      </c>
      <c r="AU2214" s="46">
        <v>0</v>
      </c>
      <c r="AV2214" s="46">
        <v>0</v>
      </c>
      <c r="AW2214" s="46">
        <v>0</v>
      </c>
      <c r="AX2214" s="46">
        <v>0</v>
      </c>
      <c r="AY2214" s="46">
        <v>0</v>
      </c>
      <c r="AZ2214" s="46">
        <v>0</v>
      </c>
      <c r="BA2214" s="46">
        <v>0</v>
      </c>
      <c r="BB2214" s="46">
        <v>0</v>
      </c>
      <c r="BC2214" s="46">
        <v>0</v>
      </c>
      <c r="BD2214" s="46">
        <v>0</v>
      </c>
      <c r="BE2214" s="46">
        <v>0</v>
      </c>
      <c r="BF2214" s="46">
        <v>0</v>
      </c>
      <c r="BG2214" s="46" t="s">
        <v>48</v>
      </c>
      <c r="BH2214" s="46">
        <v>0</v>
      </c>
      <c r="BI2214" s="46">
        <v>0</v>
      </c>
      <c r="BJ2214" s="46">
        <v>0</v>
      </c>
      <c r="BK2214" s="46">
        <v>0</v>
      </c>
      <c r="BL2214" s="46">
        <v>0</v>
      </c>
      <c r="BM2214" s="46">
        <v>0</v>
      </c>
      <c r="BN2214" s="46">
        <v>0</v>
      </c>
    </row>
    <row r="2215" spans="1:66" x14ac:dyDescent="0.35">
      <c r="A2215" t="s">
        <v>6188</v>
      </c>
      <c r="B2215" t="s">
        <v>48</v>
      </c>
      <c r="C2215" t="s">
        <v>451</v>
      </c>
      <c r="D2215" t="s">
        <v>4283</v>
      </c>
      <c r="E2215" t="s">
        <v>6189</v>
      </c>
      <c r="F2215" t="s">
        <v>6187</v>
      </c>
      <c r="G2215" t="s">
        <v>47</v>
      </c>
      <c r="H2215">
        <v>0</v>
      </c>
      <c r="I2215" s="60" t="s">
        <v>51</v>
      </c>
      <c r="J2215" s="33" t="s">
        <v>45</v>
      </c>
      <c r="K2215" s="46">
        <v>0</v>
      </c>
      <c r="L2215">
        <v>20.7</v>
      </c>
      <c r="M2215" t="s">
        <v>48</v>
      </c>
      <c r="N2215" s="46">
        <v>0</v>
      </c>
      <c r="O2215" s="46">
        <v>0</v>
      </c>
      <c r="P2215" s="46">
        <v>0</v>
      </c>
      <c r="Q2215" t="s">
        <v>48</v>
      </c>
      <c r="R2215" t="s">
        <v>48</v>
      </c>
      <c r="S2215" t="s">
        <v>48</v>
      </c>
      <c r="T2215" t="s">
        <v>48</v>
      </c>
      <c r="U2215" t="s">
        <v>48</v>
      </c>
      <c r="V2215" s="47">
        <v>0</v>
      </c>
      <c r="W2215" t="s">
        <v>48</v>
      </c>
      <c r="X2215" t="s">
        <v>48</v>
      </c>
      <c r="Y2215" t="s">
        <v>48</v>
      </c>
      <c r="Z2215">
        <v>0</v>
      </c>
      <c r="AA2215" t="s">
        <v>48</v>
      </c>
      <c r="AB2215" t="s">
        <v>48</v>
      </c>
      <c r="AC2215" t="s">
        <v>63</v>
      </c>
      <c r="AD2215" t="s">
        <v>48</v>
      </c>
      <c r="AE2215" t="s">
        <v>48</v>
      </c>
      <c r="AF2215" t="s">
        <v>48</v>
      </c>
      <c r="AG2215" t="s">
        <v>48</v>
      </c>
      <c r="AH2215" t="s">
        <v>48</v>
      </c>
      <c r="AI2215" t="s">
        <v>48</v>
      </c>
      <c r="AJ2215" t="s">
        <v>48</v>
      </c>
      <c r="AK2215" t="s">
        <v>48</v>
      </c>
      <c r="AL2215" t="s">
        <v>48</v>
      </c>
      <c r="AM2215" t="s">
        <v>48</v>
      </c>
      <c r="AN2215" t="s">
        <v>48</v>
      </c>
      <c r="AO2215" t="s">
        <v>48</v>
      </c>
      <c r="AP2215" s="46">
        <v>0</v>
      </c>
      <c r="AQ2215" s="46">
        <v>0</v>
      </c>
      <c r="AR2215" s="46">
        <v>0</v>
      </c>
      <c r="AS2215" s="46">
        <v>0</v>
      </c>
      <c r="AT2215" s="46">
        <v>0</v>
      </c>
      <c r="AU2215" s="46">
        <v>0</v>
      </c>
      <c r="AV2215" s="46">
        <v>0</v>
      </c>
      <c r="AW2215" s="46">
        <v>0</v>
      </c>
      <c r="AX2215" s="46">
        <v>0</v>
      </c>
      <c r="AY2215" s="46">
        <v>0</v>
      </c>
      <c r="AZ2215" s="46">
        <v>0</v>
      </c>
      <c r="BA2215" s="46">
        <v>0</v>
      </c>
      <c r="BB2215" s="46">
        <v>0</v>
      </c>
      <c r="BC2215" s="46">
        <v>0</v>
      </c>
      <c r="BD2215" s="46">
        <v>0</v>
      </c>
      <c r="BE2215" s="46">
        <v>0</v>
      </c>
      <c r="BF2215" s="46">
        <v>0</v>
      </c>
      <c r="BG2215" s="46" t="s">
        <v>48</v>
      </c>
      <c r="BH2215" s="46">
        <v>0</v>
      </c>
      <c r="BI2215" s="46">
        <v>0</v>
      </c>
      <c r="BJ2215" s="46">
        <v>0</v>
      </c>
      <c r="BK2215" s="46">
        <v>0</v>
      </c>
      <c r="BL2215" s="46">
        <v>0</v>
      </c>
      <c r="BM2215" s="46">
        <v>0</v>
      </c>
      <c r="BN2215" s="46">
        <v>0</v>
      </c>
    </row>
    <row r="2216" spans="1:66" x14ac:dyDescent="0.35">
      <c r="A2216" t="s">
        <v>10843</v>
      </c>
      <c r="B2216" s="44" t="s">
        <v>48</v>
      </c>
      <c r="C2216" t="s">
        <v>4532</v>
      </c>
      <c r="D2216" t="s">
        <v>1545</v>
      </c>
      <c r="E2216" t="s">
        <v>10844</v>
      </c>
      <c r="F2216" t="s">
        <v>6201</v>
      </c>
      <c r="G2216" t="s">
        <v>74</v>
      </c>
      <c r="H2216">
        <v>0</v>
      </c>
      <c r="I2216" s="61">
        <v>44789</v>
      </c>
      <c r="J2216" s="33" t="s">
        <v>45</v>
      </c>
      <c r="K2216" s="46">
        <v>0</v>
      </c>
      <c r="L2216">
        <v>34.9</v>
      </c>
      <c r="M2216" t="s">
        <v>48</v>
      </c>
      <c r="N2216" s="46">
        <v>0</v>
      </c>
      <c r="O2216" s="46">
        <v>0</v>
      </c>
      <c r="P2216" s="46">
        <v>0</v>
      </c>
      <c r="Q2216" t="s">
        <v>48</v>
      </c>
      <c r="R2216" t="s">
        <v>48</v>
      </c>
      <c r="S2216" t="s">
        <v>48</v>
      </c>
      <c r="T2216" t="s">
        <v>48</v>
      </c>
      <c r="U2216" t="s">
        <v>48</v>
      </c>
      <c r="V2216" s="47">
        <v>1</v>
      </c>
      <c r="W2216" t="s">
        <v>11264</v>
      </c>
      <c r="X2216" t="s">
        <v>48</v>
      </c>
      <c r="Y2216" t="s">
        <v>48</v>
      </c>
      <c r="Z2216">
        <v>0</v>
      </c>
      <c r="AA2216" t="s">
        <v>48</v>
      </c>
      <c r="AB2216" t="s">
        <v>48</v>
      </c>
      <c r="AC2216" t="s">
        <v>49</v>
      </c>
      <c r="AD2216" t="s">
        <v>48</v>
      </c>
      <c r="AE2216" t="s">
        <v>48</v>
      </c>
      <c r="AF2216" t="s">
        <v>48</v>
      </c>
      <c r="AG2216" t="s">
        <v>48</v>
      </c>
      <c r="AH2216" t="s">
        <v>48</v>
      </c>
      <c r="AI2216" t="s">
        <v>48</v>
      </c>
      <c r="AJ2216" t="s">
        <v>48</v>
      </c>
      <c r="AK2216" t="s">
        <v>48</v>
      </c>
      <c r="AL2216" t="s">
        <v>48</v>
      </c>
      <c r="AM2216" t="s">
        <v>48</v>
      </c>
      <c r="AN2216" t="s">
        <v>48</v>
      </c>
      <c r="AO2216" t="s">
        <v>48</v>
      </c>
      <c r="AP2216" s="46">
        <v>0</v>
      </c>
      <c r="AQ2216" s="46">
        <v>0</v>
      </c>
      <c r="AR2216" s="46">
        <v>0</v>
      </c>
      <c r="AS2216" s="46">
        <v>0</v>
      </c>
      <c r="AT2216" s="46">
        <v>0</v>
      </c>
      <c r="AU2216" s="46">
        <v>0</v>
      </c>
      <c r="AV2216" s="46">
        <v>0</v>
      </c>
      <c r="AW2216" s="46">
        <v>0</v>
      </c>
      <c r="AX2216" s="46">
        <v>0</v>
      </c>
      <c r="AY2216" s="46">
        <v>0</v>
      </c>
      <c r="AZ2216" s="46">
        <v>0</v>
      </c>
      <c r="BA2216" s="46">
        <v>0</v>
      </c>
      <c r="BB2216" s="46">
        <v>0</v>
      </c>
      <c r="BC2216" s="46">
        <v>0</v>
      </c>
      <c r="BD2216" s="46">
        <v>0</v>
      </c>
      <c r="BE2216" s="46">
        <v>0</v>
      </c>
      <c r="BF2216" s="46">
        <v>0</v>
      </c>
      <c r="BG2216" s="46" t="s">
        <v>48</v>
      </c>
      <c r="BH2216" s="46">
        <v>0</v>
      </c>
      <c r="BI2216" s="46">
        <v>0</v>
      </c>
      <c r="BJ2216" s="46">
        <v>0</v>
      </c>
      <c r="BK2216" s="46">
        <v>0</v>
      </c>
      <c r="BL2216" s="46">
        <v>0</v>
      </c>
      <c r="BM2216" s="46">
        <v>0</v>
      </c>
      <c r="BN2216" s="46">
        <v>0</v>
      </c>
    </row>
    <row r="2217" spans="1:66" x14ac:dyDescent="0.35">
      <c r="A2217" t="s">
        <v>10850</v>
      </c>
      <c r="B2217" t="s">
        <v>48</v>
      </c>
      <c r="C2217" t="s">
        <v>12312</v>
      </c>
      <c r="D2217" t="s">
        <v>870</v>
      </c>
      <c r="E2217" t="s">
        <v>10851</v>
      </c>
      <c r="F2217" t="s">
        <v>6208</v>
      </c>
      <c r="G2217" t="s">
        <v>47</v>
      </c>
      <c r="H2217">
        <v>0</v>
      </c>
      <c r="I2217" s="60" t="s">
        <v>11552</v>
      </c>
      <c r="J2217" s="33" t="s">
        <v>45</v>
      </c>
      <c r="K2217" s="46">
        <v>0</v>
      </c>
      <c r="L2217">
        <v>26</v>
      </c>
      <c r="M2217" t="s">
        <v>48</v>
      </c>
      <c r="N2217" s="46">
        <v>0</v>
      </c>
      <c r="O2217" s="46">
        <v>0</v>
      </c>
      <c r="P2217" s="46">
        <v>0</v>
      </c>
      <c r="Q2217" t="s">
        <v>48</v>
      </c>
      <c r="R2217" t="s">
        <v>48</v>
      </c>
      <c r="S2217" t="s">
        <v>11540</v>
      </c>
      <c r="T2217" t="s">
        <v>48</v>
      </c>
      <c r="U2217" t="s">
        <v>10852</v>
      </c>
      <c r="V2217" s="47">
        <v>0</v>
      </c>
      <c r="W2217" t="s">
        <v>48</v>
      </c>
      <c r="X2217" t="s">
        <v>48</v>
      </c>
      <c r="Y2217" t="s">
        <v>48</v>
      </c>
      <c r="Z2217">
        <v>0</v>
      </c>
      <c r="AA2217" t="s">
        <v>48</v>
      </c>
      <c r="AB2217" t="s">
        <v>48</v>
      </c>
      <c r="AC2217" t="s">
        <v>63</v>
      </c>
      <c r="AD2217" t="s">
        <v>93</v>
      </c>
      <c r="AE2217" t="s">
        <v>4532</v>
      </c>
      <c r="AF2217" t="s">
        <v>48</v>
      </c>
      <c r="AG2217" t="s">
        <v>48</v>
      </c>
      <c r="AH2217" t="s">
        <v>48</v>
      </c>
      <c r="AI2217" t="s">
        <v>48</v>
      </c>
      <c r="AJ2217" t="s">
        <v>48</v>
      </c>
      <c r="AK2217" t="s">
        <v>48</v>
      </c>
      <c r="AL2217" t="s">
        <v>48</v>
      </c>
      <c r="AM2217" t="s">
        <v>48</v>
      </c>
      <c r="AN2217" t="s">
        <v>48</v>
      </c>
      <c r="AO2217" t="s">
        <v>48</v>
      </c>
      <c r="AP2217" s="46">
        <v>0</v>
      </c>
      <c r="AQ2217" s="46">
        <v>0</v>
      </c>
      <c r="AR2217" s="46">
        <v>0</v>
      </c>
      <c r="AS2217" s="46">
        <v>0</v>
      </c>
      <c r="AT2217" s="46">
        <v>0</v>
      </c>
      <c r="AU2217" s="46">
        <v>0</v>
      </c>
      <c r="AV2217" s="46">
        <v>0</v>
      </c>
      <c r="AW2217" s="46">
        <v>0</v>
      </c>
      <c r="AX2217" s="46">
        <v>0</v>
      </c>
      <c r="AY2217" s="46">
        <v>0</v>
      </c>
      <c r="AZ2217" s="46">
        <v>0</v>
      </c>
      <c r="BA2217" s="46">
        <v>0</v>
      </c>
      <c r="BB2217" s="46">
        <v>0</v>
      </c>
      <c r="BC2217" s="46">
        <v>0</v>
      </c>
      <c r="BD2217" s="46">
        <v>0</v>
      </c>
      <c r="BE2217" s="46">
        <v>0</v>
      </c>
      <c r="BF2217" s="46">
        <v>0</v>
      </c>
      <c r="BG2217" s="46" t="s">
        <v>48</v>
      </c>
      <c r="BH2217" s="46">
        <v>0</v>
      </c>
      <c r="BI2217" s="46">
        <v>0</v>
      </c>
      <c r="BJ2217" s="46">
        <v>0</v>
      </c>
      <c r="BK2217" s="46">
        <v>0</v>
      </c>
      <c r="BL2217" s="46">
        <v>0</v>
      </c>
      <c r="BM2217" s="46">
        <v>0</v>
      </c>
      <c r="BN2217" s="46">
        <v>0</v>
      </c>
    </row>
    <row r="2218" spans="1:66" x14ac:dyDescent="0.35">
      <c r="A2218" t="s">
        <v>6207</v>
      </c>
      <c r="B2218" t="s">
        <v>48</v>
      </c>
      <c r="C2218" t="s">
        <v>4371</v>
      </c>
      <c r="D2218" t="s">
        <v>6210</v>
      </c>
      <c r="E2218" t="s">
        <v>6209</v>
      </c>
      <c r="F2218" t="s">
        <v>6208</v>
      </c>
      <c r="G2218" t="s">
        <v>47</v>
      </c>
      <c r="H2218">
        <v>0</v>
      </c>
      <c r="I2218" s="60" t="s">
        <v>125</v>
      </c>
      <c r="J2218" s="33" t="s">
        <v>45</v>
      </c>
      <c r="K2218" s="46">
        <v>0</v>
      </c>
      <c r="L2218">
        <v>1.8</v>
      </c>
      <c r="M2218" t="s">
        <v>48</v>
      </c>
      <c r="N2218" s="46">
        <v>0</v>
      </c>
      <c r="O2218" s="46">
        <v>0</v>
      </c>
      <c r="P2218" s="46">
        <v>0</v>
      </c>
      <c r="Q2218" t="s">
        <v>48</v>
      </c>
      <c r="R2218" t="s">
        <v>48</v>
      </c>
      <c r="S2218" t="s">
        <v>48</v>
      </c>
      <c r="T2218" t="s">
        <v>48</v>
      </c>
      <c r="U2218" t="s">
        <v>48</v>
      </c>
      <c r="V2218" s="47">
        <v>0</v>
      </c>
      <c r="W2218" t="s">
        <v>48</v>
      </c>
      <c r="X2218" t="s">
        <v>48</v>
      </c>
      <c r="Y2218" t="s">
        <v>48</v>
      </c>
      <c r="Z2218">
        <v>0</v>
      </c>
      <c r="AA2218" t="s">
        <v>48</v>
      </c>
      <c r="AB2218" t="s">
        <v>48</v>
      </c>
      <c r="AC2218" t="s">
        <v>63</v>
      </c>
      <c r="AD2218" t="s">
        <v>93</v>
      </c>
      <c r="AE2218" t="s">
        <v>4532</v>
      </c>
      <c r="AF2218" t="s">
        <v>48</v>
      </c>
      <c r="AG2218" t="s">
        <v>48</v>
      </c>
      <c r="AH2218" t="s">
        <v>48</v>
      </c>
      <c r="AI2218" t="s">
        <v>48</v>
      </c>
      <c r="AJ2218" t="s">
        <v>48</v>
      </c>
      <c r="AK2218" t="s">
        <v>48</v>
      </c>
      <c r="AL2218" t="s">
        <v>48</v>
      </c>
      <c r="AM2218" t="s">
        <v>48</v>
      </c>
      <c r="AN2218" t="s">
        <v>48</v>
      </c>
      <c r="AO2218" t="s">
        <v>48</v>
      </c>
      <c r="AP2218" s="46">
        <v>0</v>
      </c>
      <c r="AQ2218" s="46">
        <v>0</v>
      </c>
      <c r="AR2218" s="46">
        <v>0</v>
      </c>
      <c r="AS2218" s="46">
        <v>0</v>
      </c>
      <c r="AT2218" s="46">
        <v>0</v>
      </c>
      <c r="AU2218" s="46">
        <v>0</v>
      </c>
      <c r="AV2218" s="46">
        <v>0</v>
      </c>
      <c r="AW2218" s="46">
        <v>0</v>
      </c>
      <c r="AX2218" s="46">
        <v>0</v>
      </c>
      <c r="AY2218" s="46">
        <v>0</v>
      </c>
      <c r="AZ2218" s="46">
        <v>0</v>
      </c>
      <c r="BA2218" s="46">
        <v>0</v>
      </c>
      <c r="BB2218" s="46">
        <v>0</v>
      </c>
      <c r="BC2218" s="46">
        <v>0</v>
      </c>
      <c r="BD2218" s="46">
        <v>0</v>
      </c>
      <c r="BE2218" s="46">
        <v>0</v>
      </c>
      <c r="BF2218" s="46">
        <v>0</v>
      </c>
      <c r="BG2218" s="46" t="s">
        <v>48</v>
      </c>
      <c r="BH2218" s="46">
        <v>0</v>
      </c>
      <c r="BI2218" s="46">
        <v>0</v>
      </c>
      <c r="BJ2218" s="46">
        <v>0</v>
      </c>
      <c r="BK2218" s="46">
        <v>0</v>
      </c>
      <c r="BL2218" s="46">
        <v>0</v>
      </c>
      <c r="BM2218" s="46">
        <v>0</v>
      </c>
      <c r="BN2218" s="46">
        <v>0</v>
      </c>
    </row>
    <row r="2219" spans="1:66" x14ac:dyDescent="0.35">
      <c r="A2219" t="s">
        <v>10853</v>
      </c>
      <c r="B2219" t="s">
        <v>48</v>
      </c>
      <c r="C2219" t="s">
        <v>12311</v>
      </c>
      <c r="D2219" t="s">
        <v>273</v>
      </c>
      <c r="E2219" t="s">
        <v>10854</v>
      </c>
      <c r="F2219" t="s">
        <v>6208</v>
      </c>
      <c r="G2219" t="s">
        <v>47</v>
      </c>
      <c r="H2219">
        <v>0</v>
      </c>
      <c r="I2219" s="61">
        <v>44789</v>
      </c>
      <c r="J2219" s="33" t="s">
        <v>45</v>
      </c>
      <c r="K2219" s="46">
        <v>0</v>
      </c>
      <c r="L2219">
        <v>7.1</v>
      </c>
      <c r="M2219" t="s">
        <v>48</v>
      </c>
      <c r="N2219" s="46">
        <v>0</v>
      </c>
      <c r="O2219" s="46">
        <v>0</v>
      </c>
      <c r="P2219" s="46">
        <v>0</v>
      </c>
      <c r="Q2219" t="s">
        <v>48</v>
      </c>
      <c r="R2219" t="s">
        <v>48</v>
      </c>
      <c r="S2219" t="s">
        <v>48</v>
      </c>
      <c r="T2219" t="s">
        <v>48</v>
      </c>
      <c r="U2219" t="s">
        <v>48</v>
      </c>
      <c r="V2219" s="47">
        <v>1</v>
      </c>
      <c r="W2219" t="s">
        <v>48</v>
      </c>
      <c r="X2219" t="s">
        <v>48</v>
      </c>
      <c r="Y2219" t="s">
        <v>48</v>
      </c>
      <c r="Z2219">
        <v>0</v>
      </c>
      <c r="AA2219" t="s">
        <v>48</v>
      </c>
      <c r="AB2219" t="s">
        <v>48</v>
      </c>
      <c r="AC2219" t="s">
        <v>49</v>
      </c>
      <c r="AD2219" t="s">
        <v>93</v>
      </c>
      <c r="AE2219" t="s">
        <v>4532</v>
      </c>
      <c r="AF2219" t="s">
        <v>48</v>
      </c>
      <c r="AG2219" t="s">
        <v>48</v>
      </c>
      <c r="AH2219" t="s">
        <v>48</v>
      </c>
      <c r="AI2219" t="s">
        <v>48</v>
      </c>
      <c r="AJ2219" t="s">
        <v>48</v>
      </c>
      <c r="AK2219" t="s">
        <v>48</v>
      </c>
      <c r="AL2219" t="s">
        <v>48</v>
      </c>
      <c r="AM2219" t="s">
        <v>48</v>
      </c>
      <c r="AN2219" t="s">
        <v>48</v>
      </c>
      <c r="AO2219" t="s">
        <v>48</v>
      </c>
      <c r="AP2219" s="46">
        <v>0</v>
      </c>
      <c r="AQ2219" s="46">
        <v>0</v>
      </c>
      <c r="AR2219" s="46">
        <v>0</v>
      </c>
      <c r="AS2219" s="46">
        <v>0</v>
      </c>
      <c r="AT2219" s="46">
        <v>0</v>
      </c>
      <c r="AU2219" s="46">
        <v>0</v>
      </c>
      <c r="AV2219" s="46">
        <v>0</v>
      </c>
      <c r="AW2219" s="46">
        <v>0</v>
      </c>
      <c r="AX2219" s="46">
        <v>0</v>
      </c>
      <c r="AY2219" s="46">
        <v>0</v>
      </c>
      <c r="AZ2219" s="46">
        <v>0</v>
      </c>
      <c r="BA2219" s="46">
        <v>0</v>
      </c>
      <c r="BB2219" s="46">
        <v>0</v>
      </c>
      <c r="BC2219" s="46">
        <v>0</v>
      </c>
      <c r="BD2219" s="46">
        <v>0</v>
      </c>
      <c r="BE2219" s="46">
        <v>0</v>
      </c>
      <c r="BF2219" s="46">
        <v>0</v>
      </c>
      <c r="BG2219" s="46" t="s">
        <v>48</v>
      </c>
      <c r="BH2219" s="46">
        <v>0</v>
      </c>
      <c r="BI2219" s="46">
        <v>0</v>
      </c>
      <c r="BJ2219" s="46">
        <v>0</v>
      </c>
      <c r="BK2219" s="46">
        <v>0</v>
      </c>
      <c r="BL2219" s="46">
        <v>0</v>
      </c>
      <c r="BM2219" s="46">
        <v>0</v>
      </c>
      <c r="BN2219" s="46">
        <v>0</v>
      </c>
    </row>
    <row r="2220" spans="1:66" x14ac:dyDescent="0.35">
      <c r="A2220" t="s">
        <v>6215</v>
      </c>
      <c r="B2220" t="s">
        <v>48</v>
      </c>
      <c r="C2220" t="s">
        <v>800</v>
      </c>
      <c r="D2220" t="s">
        <v>829</v>
      </c>
      <c r="E2220" t="s">
        <v>6216</v>
      </c>
      <c r="F2220" t="s">
        <v>6208</v>
      </c>
      <c r="G2220" t="s">
        <v>74</v>
      </c>
      <c r="H2220">
        <v>0</v>
      </c>
      <c r="I2220" s="60" t="s">
        <v>51</v>
      </c>
      <c r="J2220" s="33" t="s">
        <v>45</v>
      </c>
      <c r="K2220" s="46">
        <v>1</v>
      </c>
      <c r="L2220" t="s">
        <v>48</v>
      </c>
      <c r="M2220" t="s">
        <v>48</v>
      </c>
      <c r="N2220" s="46">
        <v>0</v>
      </c>
      <c r="O2220" s="46">
        <v>0</v>
      </c>
      <c r="P2220" s="46">
        <v>0</v>
      </c>
      <c r="Q2220" t="s">
        <v>48</v>
      </c>
      <c r="R2220" t="s">
        <v>48</v>
      </c>
      <c r="S2220" t="s">
        <v>6217</v>
      </c>
      <c r="T2220" t="s">
        <v>6218</v>
      </c>
      <c r="U2220" t="s">
        <v>6217</v>
      </c>
      <c r="V2220" s="47">
        <v>0</v>
      </c>
      <c r="W2220" t="s">
        <v>48</v>
      </c>
      <c r="X2220" t="s">
        <v>48</v>
      </c>
      <c r="Y2220" t="s">
        <v>48</v>
      </c>
      <c r="Z2220">
        <v>0</v>
      </c>
      <c r="AA2220" t="s">
        <v>48</v>
      </c>
      <c r="AB2220" t="s">
        <v>6219</v>
      </c>
      <c r="AC2220" t="s">
        <v>49</v>
      </c>
      <c r="AD2220" t="s">
        <v>93</v>
      </c>
      <c r="AE2220" t="s">
        <v>4532</v>
      </c>
      <c r="AF2220" t="s">
        <v>48</v>
      </c>
      <c r="AG2220" t="s">
        <v>119</v>
      </c>
      <c r="AH2220" t="s">
        <v>93</v>
      </c>
      <c r="AI2220">
        <v>15019</v>
      </c>
      <c r="AJ2220">
        <v>1954</v>
      </c>
      <c r="AK2220" t="s">
        <v>9284</v>
      </c>
      <c r="AL2220" t="s">
        <v>9285</v>
      </c>
      <c r="AM2220">
        <v>-0.16400000000000001</v>
      </c>
      <c r="AN2220">
        <v>-3.2000000000000001E-2</v>
      </c>
      <c r="AO2220">
        <v>-0.16400000000000001</v>
      </c>
      <c r="AP2220" s="46">
        <v>0</v>
      </c>
      <c r="AQ2220" s="46">
        <v>0</v>
      </c>
      <c r="AR2220" s="46">
        <v>0</v>
      </c>
      <c r="AS2220" s="46">
        <v>0</v>
      </c>
      <c r="AT2220" s="46">
        <v>0</v>
      </c>
      <c r="AU2220" s="46">
        <v>1</v>
      </c>
      <c r="AV2220" s="46">
        <v>1</v>
      </c>
      <c r="AW2220" s="46">
        <v>0</v>
      </c>
      <c r="AX2220" s="46">
        <v>0</v>
      </c>
      <c r="AY2220" s="46">
        <v>0</v>
      </c>
      <c r="AZ2220" s="46">
        <v>0</v>
      </c>
      <c r="BA2220" s="46">
        <v>0</v>
      </c>
      <c r="BB2220" s="46">
        <v>0</v>
      </c>
      <c r="BC2220" s="46">
        <v>0</v>
      </c>
      <c r="BD2220" s="46">
        <v>0</v>
      </c>
      <c r="BE2220" s="46">
        <v>0</v>
      </c>
      <c r="BF2220" s="46">
        <v>0</v>
      </c>
      <c r="BG2220" s="46" t="s">
        <v>48</v>
      </c>
      <c r="BH2220" s="46">
        <v>0</v>
      </c>
      <c r="BI2220" s="46">
        <v>0</v>
      </c>
      <c r="BJ2220" s="46">
        <v>0</v>
      </c>
      <c r="BK2220" s="46">
        <v>0</v>
      </c>
      <c r="BL2220" s="46">
        <v>1</v>
      </c>
      <c r="BM2220" s="46">
        <v>0</v>
      </c>
      <c r="BN2220" s="46">
        <v>0</v>
      </c>
    </row>
    <row r="2221" spans="1:66" x14ac:dyDescent="0.35">
      <c r="A2221" t="s">
        <v>6222</v>
      </c>
      <c r="B2221" t="s">
        <v>48</v>
      </c>
      <c r="C2221" t="s">
        <v>6224</v>
      </c>
      <c r="D2221" t="s">
        <v>5693</v>
      </c>
      <c r="E2221" t="s">
        <v>6223</v>
      </c>
      <c r="F2221" t="s">
        <v>6208</v>
      </c>
      <c r="G2221" t="s">
        <v>47</v>
      </c>
      <c r="H2221">
        <v>0</v>
      </c>
      <c r="I2221" s="60" t="s">
        <v>125</v>
      </c>
      <c r="J2221" s="33" t="s">
        <v>45</v>
      </c>
      <c r="K2221" s="46">
        <v>0</v>
      </c>
      <c r="L2221">
        <v>22</v>
      </c>
      <c r="M2221" t="s">
        <v>48</v>
      </c>
      <c r="N2221" s="46">
        <v>0</v>
      </c>
      <c r="O2221" s="46">
        <v>0</v>
      </c>
      <c r="P2221" s="46">
        <v>0</v>
      </c>
      <c r="Q2221" t="s">
        <v>48</v>
      </c>
      <c r="R2221" t="s">
        <v>48</v>
      </c>
      <c r="S2221" t="s">
        <v>48</v>
      </c>
      <c r="T2221" t="s">
        <v>48</v>
      </c>
      <c r="U2221" t="s">
        <v>48</v>
      </c>
      <c r="V2221" s="47">
        <v>0</v>
      </c>
      <c r="W2221" t="s">
        <v>48</v>
      </c>
      <c r="X2221" t="s">
        <v>48</v>
      </c>
      <c r="Y2221" t="s">
        <v>48</v>
      </c>
      <c r="Z2221">
        <v>0</v>
      </c>
      <c r="AA2221" t="s">
        <v>48</v>
      </c>
      <c r="AB2221" t="s">
        <v>48</v>
      </c>
      <c r="AC2221" t="s">
        <v>49</v>
      </c>
      <c r="AD2221" t="s">
        <v>93</v>
      </c>
      <c r="AE2221" t="s">
        <v>4532</v>
      </c>
      <c r="AF2221" t="s">
        <v>48</v>
      </c>
      <c r="AG2221" t="s">
        <v>48</v>
      </c>
      <c r="AH2221" t="s">
        <v>48</v>
      </c>
      <c r="AI2221" t="s">
        <v>48</v>
      </c>
      <c r="AJ2221" t="s">
        <v>48</v>
      </c>
      <c r="AK2221" t="s">
        <v>48</v>
      </c>
      <c r="AL2221" t="s">
        <v>48</v>
      </c>
      <c r="AM2221" t="s">
        <v>48</v>
      </c>
      <c r="AN2221" t="s">
        <v>48</v>
      </c>
      <c r="AO2221" t="s">
        <v>48</v>
      </c>
      <c r="AP2221" s="46">
        <v>0</v>
      </c>
      <c r="AQ2221" s="46">
        <v>0</v>
      </c>
      <c r="AR2221" s="46">
        <v>0</v>
      </c>
      <c r="AS2221" s="46">
        <v>0</v>
      </c>
      <c r="AT2221" s="46">
        <v>0</v>
      </c>
      <c r="AU2221" s="46">
        <v>0</v>
      </c>
      <c r="AV2221" s="46">
        <v>0</v>
      </c>
      <c r="AW2221" s="46">
        <v>0</v>
      </c>
      <c r="AX2221" s="46">
        <v>0</v>
      </c>
      <c r="AY2221" s="46">
        <v>0</v>
      </c>
      <c r="AZ2221" s="46">
        <v>0</v>
      </c>
      <c r="BA2221" s="46">
        <v>0</v>
      </c>
      <c r="BB2221" s="46">
        <v>0</v>
      </c>
      <c r="BC2221" s="46">
        <v>0</v>
      </c>
      <c r="BD2221" s="46">
        <v>0</v>
      </c>
      <c r="BE2221" s="46">
        <v>0</v>
      </c>
      <c r="BF2221" s="46">
        <v>0</v>
      </c>
      <c r="BG2221" s="46" t="s">
        <v>48</v>
      </c>
      <c r="BH2221" s="46">
        <v>0</v>
      </c>
      <c r="BI2221" s="46">
        <v>0</v>
      </c>
      <c r="BJ2221" s="46">
        <v>0</v>
      </c>
      <c r="BK2221" s="46">
        <v>0</v>
      </c>
      <c r="BL2221" s="46">
        <v>0</v>
      </c>
      <c r="BM2221" s="46">
        <v>0</v>
      </c>
      <c r="BN2221" s="46">
        <v>0</v>
      </c>
    </row>
    <row r="2222" spans="1:66" x14ac:dyDescent="0.35">
      <c r="A2222" t="s">
        <v>6211</v>
      </c>
      <c r="B2222" t="s">
        <v>48</v>
      </c>
      <c r="C2222" t="s">
        <v>95</v>
      </c>
      <c r="D2222" t="s">
        <v>6214</v>
      </c>
      <c r="E2222" t="s">
        <v>6212</v>
      </c>
      <c r="F2222" t="s">
        <v>6208</v>
      </c>
      <c r="G2222" t="s">
        <v>47</v>
      </c>
      <c r="H2222">
        <v>0</v>
      </c>
      <c r="I2222" s="60" t="s">
        <v>51</v>
      </c>
      <c r="J2222" s="33" t="s">
        <v>45</v>
      </c>
      <c r="K2222" s="46">
        <v>0</v>
      </c>
      <c r="L2222">
        <v>3</v>
      </c>
      <c r="M2222" t="s">
        <v>48</v>
      </c>
      <c r="N2222" s="46">
        <v>0</v>
      </c>
      <c r="O2222" s="46">
        <v>0</v>
      </c>
      <c r="P2222" s="46">
        <v>0</v>
      </c>
      <c r="Q2222" t="s">
        <v>48</v>
      </c>
      <c r="R2222" t="s">
        <v>48</v>
      </c>
      <c r="S2222" t="s">
        <v>6213</v>
      </c>
      <c r="T2222" t="s">
        <v>48</v>
      </c>
      <c r="U2222" t="s">
        <v>6213</v>
      </c>
      <c r="V2222" s="47">
        <v>0</v>
      </c>
      <c r="W2222" t="s">
        <v>48</v>
      </c>
      <c r="X2222" t="s">
        <v>48</v>
      </c>
      <c r="Y2222" t="s">
        <v>48</v>
      </c>
      <c r="Z2222">
        <v>0</v>
      </c>
      <c r="AA2222" t="s">
        <v>48</v>
      </c>
      <c r="AB2222" t="s">
        <v>48</v>
      </c>
      <c r="AC2222" t="s">
        <v>63</v>
      </c>
      <c r="AD2222" t="s">
        <v>93</v>
      </c>
      <c r="AE2222" s="40" t="s">
        <v>2471</v>
      </c>
      <c r="AF2222" t="s">
        <v>11061</v>
      </c>
      <c r="AG2222" t="s">
        <v>48</v>
      </c>
      <c r="AH2222" t="s">
        <v>48</v>
      </c>
      <c r="AI2222" t="s">
        <v>48</v>
      </c>
      <c r="AJ2222" t="s">
        <v>48</v>
      </c>
      <c r="AK2222" t="s">
        <v>48</v>
      </c>
      <c r="AL2222" t="s">
        <v>48</v>
      </c>
      <c r="AM2222" t="s">
        <v>48</v>
      </c>
      <c r="AN2222" t="s">
        <v>48</v>
      </c>
      <c r="AO2222" t="s">
        <v>48</v>
      </c>
      <c r="AP2222" s="46">
        <v>0</v>
      </c>
      <c r="AQ2222" s="46">
        <v>0</v>
      </c>
      <c r="AR2222" s="46">
        <v>0</v>
      </c>
      <c r="AS2222" s="46">
        <v>0</v>
      </c>
      <c r="AT2222" s="46">
        <v>0</v>
      </c>
      <c r="AU2222" s="46">
        <v>0</v>
      </c>
      <c r="AV2222" s="46">
        <v>0</v>
      </c>
      <c r="AW2222" s="46">
        <v>0</v>
      </c>
      <c r="AX2222" s="46">
        <v>0</v>
      </c>
      <c r="AY2222" s="46">
        <v>0</v>
      </c>
      <c r="AZ2222" s="46">
        <v>0</v>
      </c>
      <c r="BA2222" s="46">
        <v>0</v>
      </c>
      <c r="BB2222" s="46">
        <v>0</v>
      </c>
      <c r="BC2222" s="46">
        <v>0</v>
      </c>
      <c r="BD2222" s="46">
        <v>0</v>
      </c>
      <c r="BE2222" s="46">
        <v>0</v>
      </c>
      <c r="BF2222" s="46">
        <v>0</v>
      </c>
      <c r="BG2222" s="46" t="s">
        <v>48</v>
      </c>
      <c r="BH2222" s="46">
        <v>0</v>
      </c>
      <c r="BI2222" s="46">
        <v>0</v>
      </c>
      <c r="BJ2222" s="46">
        <v>0</v>
      </c>
      <c r="BK2222" s="46">
        <v>0</v>
      </c>
      <c r="BL2222" s="46">
        <v>0</v>
      </c>
      <c r="BM2222" s="46">
        <v>0</v>
      </c>
      <c r="BN2222" s="46">
        <v>0</v>
      </c>
    </row>
    <row r="2223" spans="1:66" x14ac:dyDescent="0.35">
      <c r="A2223" t="s">
        <v>11176</v>
      </c>
      <c r="B2223" s="44" t="s">
        <v>48</v>
      </c>
      <c r="C2223" t="s">
        <v>1034</v>
      </c>
      <c r="D2223" t="s">
        <v>849</v>
      </c>
      <c r="E2223" t="s">
        <v>11177</v>
      </c>
      <c r="F2223" t="s">
        <v>6208</v>
      </c>
      <c r="G2223" t="s">
        <v>47</v>
      </c>
      <c r="H2223">
        <v>0</v>
      </c>
      <c r="I2223" s="61" t="s">
        <v>11160</v>
      </c>
      <c r="J2223" s="33" t="s">
        <v>45</v>
      </c>
      <c r="K2223" s="46">
        <v>0</v>
      </c>
      <c r="L2223">
        <v>1.5</v>
      </c>
      <c r="M2223" t="s">
        <v>48</v>
      </c>
      <c r="N2223" s="46">
        <v>0</v>
      </c>
      <c r="O2223" s="46">
        <v>0</v>
      </c>
      <c r="P2223" s="46">
        <v>0</v>
      </c>
      <c r="Q2223" t="s">
        <v>48</v>
      </c>
      <c r="R2223" t="s">
        <v>48</v>
      </c>
      <c r="S2223" t="s">
        <v>48</v>
      </c>
      <c r="T2223" t="s">
        <v>48</v>
      </c>
      <c r="U2223" t="s">
        <v>48</v>
      </c>
      <c r="V2223" s="47">
        <v>1</v>
      </c>
      <c r="W2223" t="s">
        <v>48</v>
      </c>
      <c r="X2223" t="s">
        <v>48</v>
      </c>
      <c r="Y2223" t="s">
        <v>48</v>
      </c>
      <c r="Z2223" t="s">
        <v>48</v>
      </c>
      <c r="AA2223" t="s">
        <v>48</v>
      </c>
      <c r="AB2223" t="s">
        <v>48</v>
      </c>
      <c r="AC2223" t="s">
        <v>48</v>
      </c>
      <c r="AD2223" t="s">
        <v>48</v>
      </c>
      <c r="AE2223" t="s">
        <v>48</v>
      </c>
      <c r="AF2223" t="s">
        <v>48</v>
      </c>
      <c r="AG2223" t="s">
        <v>48</v>
      </c>
      <c r="AH2223" t="s">
        <v>48</v>
      </c>
      <c r="AI2223" t="s">
        <v>48</v>
      </c>
      <c r="AJ2223" t="s">
        <v>48</v>
      </c>
      <c r="AK2223" t="s">
        <v>48</v>
      </c>
      <c r="AL2223" t="s">
        <v>48</v>
      </c>
      <c r="AM2223" t="s">
        <v>48</v>
      </c>
      <c r="AN2223" t="s">
        <v>48</v>
      </c>
      <c r="AO2223" t="s">
        <v>48</v>
      </c>
      <c r="AP2223" s="46">
        <v>0</v>
      </c>
      <c r="AQ2223" s="46">
        <v>0</v>
      </c>
      <c r="AR2223" s="46">
        <v>0</v>
      </c>
      <c r="AS2223" s="46">
        <v>0</v>
      </c>
      <c r="AT2223" s="46">
        <v>0</v>
      </c>
      <c r="AU2223" s="46">
        <v>0</v>
      </c>
      <c r="AV2223" s="46">
        <v>0</v>
      </c>
      <c r="AW2223" s="46">
        <v>0</v>
      </c>
      <c r="AX2223" s="46">
        <v>0</v>
      </c>
      <c r="AY2223" s="46">
        <v>0</v>
      </c>
      <c r="AZ2223" s="46">
        <v>0</v>
      </c>
      <c r="BA2223" s="46">
        <v>0</v>
      </c>
      <c r="BB2223" s="46">
        <v>0</v>
      </c>
      <c r="BC2223" s="46">
        <v>1</v>
      </c>
      <c r="BD2223" s="46">
        <v>1</v>
      </c>
      <c r="BE2223" s="46">
        <v>0</v>
      </c>
      <c r="BF2223" s="46">
        <v>0</v>
      </c>
      <c r="BG2223" s="46" t="s">
        <v>48</v>
      </c>
      <c r="BH2223" s="46">
        <v>0</v>
      </c>
      <c r="BI2223" s="46">
        <v>0</v>
      </c>
      <c r="BJ2223" s="46">
        <v>0</v>
      </c>
      <c r="BK2223" s="46">
        <v>0</v>
      </c>
      <c r="BL2223" s="46">
        <v>0</v>
      </c>
      <c r="BM2223" s="46">
        <v>0</v>
      </c>
      <c r="BN2223" s="46">
        <v>1</v>
      </c>
    </row>
    <row r="2224" spans="1:66" x14ac:dyDescent="0.35">
      <c r="A2224" t="s">
        <v>10858</v>
      </c>
      <c r="B2224" s="44" t="s">
        <v>48</v>
      </c>
      <c r="C2224" t="s">
        <v>12315</v>
      </c>
      <c r="D2224" t="s">
        <v>2428</v>
      </c>
      <c r="E2224" t="s">
        <v>10859</v>
      </c>
      <c r="F2224" t="s">
        <v>6226</v>
      </c>
      <c r="G2224" t="s">
        <v>74</v>
      </c>
      <c r="H2224">
        <v>0</v>
      </c>
      <c r="I2224" s="60" t="s">
        <v>11552</v>
      </c>
      <c r="J2224" s="33" t="s">
        <v>45</v>
      </c>
      <c r="K2224" s="46">
        <v>0</v>
      </c>
      <c r="L2224">
        <v>25.4</v>
      </c>
      <c r="M2224" t="s">
        <v>48</v>
      </c>
      <c r="N2224" s="46">
        <v>0</v>
      </c>
      <c r="O2224" s="46">
        <v>0</v>
      </c>
      <c r="P2224" s="46">
        <v>0</v>
      </c>
      <c r="Q2224" t="s">
        <v>48</v>
      </c>
      <c r="R2224" t="s">
        <v>48</v>
      </c>
      <c r="S2224" t="s">
        <v>11398</v>
      </c>
      <c r="T2224" t="s">
        <v>48</v>
      </c>
      <c r="U2224" t="s">
        <v>10860</v>
      </c>
      <c r="V2224" s="47">
        <v>0</v>
      </c>
      <c r="W2224" t="s">
        <v>11317</v>
      </c>
      <c r="X2224" t="s">
        <v>48</v>
      </c>
      <c r="Y2224" t="s">
        <v>48</v>
      </c>
      <c r="Z2224">
        <v>0</v>
      </c>
      <c r="AA2224" t="s">
        <v>48</v>
      </c>
      <c r="AB2224" t="s">
        <v>48</v>
      </c>
      <c r="AC2224" t="s">
        <v>49</v>
      </c>
      <c r="AD2224" t="s">
        <v>93</v>
      </c>
      <c r="AE2224" t="s">
        <v>4532</v>
      </c>
      <c r="AF2224" t="s">
        <v>48</v>
      </c>
      <c r="AG2224" t="s">
        <v>48</v>
      </c>
      <c r="AH2224" t="s">
        <v>48</v>
      </c>
      <c r="AI2224" t="s">
        <v>48</v>
      </c>
      <c r="AJ2224" t="s">
        <v>48</v>
      </c>
      <c r="AK2224" t="s">
        <v>48</v>
      </c>
      <c r="AL2224" t="s">
        <v>48</v>
      </c>
      <c r="AM2224" t="s">
        <v>48</v>
      </c>
      <c r="AN2224" t="s">
        <v>48</v>
      </c>
      <c r="AO2224" t="s">
        <v>48</v>
      </c>
      <c r="AP2224" s="46">
        <v>0</v>
      </c>
      <c r="AQ2224" s="46">
        <v>0</v>
      </c>
      <c r="AR2224" s="46">
        <v>0</v>
      </c>
      <c r="AS2224" s="46">
        <v>0</v>
      </c>
      <c r="AT2224" s="46">
        <v>0</v>
      </c>
      <c r="AU2224" s="46">
        <v>0</v>
      </c>
      <c r="AV2224" s="46">
        <v>0</v>
      </c>
      <c r="AW2224" s="46">
        <v>0</v>
      </c>
      <c r="AX2224" s="46">
        <v>0</v>
      </c>
      <c r="AY2224" s="46">
        <v>0</v>
      </c>
      <c r="AZ2224" s="46">
        <v>0</v>
      </c>
      <c r="BA2224" s="46">
        <v>0</v>
      </c>
      <c r="BB2224" s="46">
        <v>0</v>
      </c>
      <c r="BC2224" s="46">
        <v>0</v>
      </c>
      <c r="BD2224" s="46">
        <v>0</v>
      </c>
      <c r="BE2224" s="46">
        <v>0</v>
      </c>
      <c r="BF2224" s="46">
        <v>0</v>
      </c>
      <c r="BG2224" s="46" t="s">
        <v>48</v>
      </c>
      <c r="BH2224" s="46">
        <v>0</v>
      </c>
      <c r="BI2224" s="46">
        <v>0</v>
      </c>
      <c r="BJ2224" s="46">
        <v>0</v>
      </c>
      <c r="BK2224" s="46">
        <v>0</v>
      </c>
      <c r="BL2224" s="46">
        <v>0</v>
      </c>
      <c r="BM2224" s="46">
        <v>0</v>
      </c>
      <c r="BN2224" s="46">
        <v>0</v>
      </c>
    </row>
    <row r="2225" spans="1:66" x14ac:dyDescent="0.35">
      <c r="A2225" t="s">
        <v>6237</v>
      </c>
      <c r="B2225" t="s">
        <v>48</v>
      </c>
      <c r="C2225" t="s">
        <v>6240</v>
      </c>
      <c r="D2225" t="s">
        <v>2513</v>
      </c>
      <c r="E2225" t="s">
        <v>6238</v>
      </c>
      <c r="F2225" t="s">
        <v>6235</v>
      </c>
      <c r="G2225" t="s">
        <v>47</v>
      </c>
      <c r="H2225">
        <v>0</v>
      </c>
      <c r="I2225" s="61" t="s">
        <v>11160</v>
      </c>
      <c r="J2225" s="33" t="s">
        <v>45</v>
      </c>
      <c r="K2225" s="46">
        <v>0</v>
      </c>
      <c r="L2225">
        <v>8.4</v>
      </c>
      <c r="M2225" t="s">
        <v>48</v>
      </c>
      <c r="N2225" s="46">
        <v>0</v>
      </c>
      <c r="O2225" s="46">
        <v>0</v>
      </c>
      <c r="P2225" s="46">
        <v>0</v>
      </c>
      <c r="Q2225" t="s">
        <v>48</v>
      </c>
      <c r="R2225" t="s">
        <v>48</v>
      </c>
      <c r="S2225" t="s">
        <v>11326</v>
      </c>
      <c r="T2225" t="s">
        <v>48</v>
      </c>
      <c r="U2225" t="s">
        <v>6239</v>
      </c>
      <c r="V2225" s="47">
        <v>0</v>
      </c>
      <c r="W2225" t="s">
        <v>48</v>
      </c>
      <c r="X2225" t="s">
        <v>48</v>
      </c>
      <c r="Y2225" t="s">
        <v>48</v>
      </c>
      <c r="Z2225">
        <v>0</v>
      </c>
      <c r="AA2225" t="s">
        <v>48</v>
      </c>
      <c r="AB2225" t="s">
        <v>48</v>
      </c>
      <c r="AC2225" t="s">
        <v>49</v>
      </c>
      <c r="AD2225" t="s">
        <v>93</v>
      </c>
      <c r="AE2225" t="s">
        <v>4532</v>
      </c>
      <c r="AF2225" t="s">
        <v>48</v>
      </c>
      <c r="AG2225" t="s">
        <v>48</v>
      </c>
      <c r="AH2225" t="s">
        <v>48</v>
      </c>
      <c r="AI2225" t="s">
        <v>48</v>
      </c>
      <c r="AJ2225" t="s">
        <v>48</v>
      </c>
      <c r="AK2225" t="s">
        <v>48</v>
      </c>
      <c r="AL2225" t="s">
        <v>48</v>
      </c>
      <c r="AM2225" t="s">
        <v>48</v>
      </c>
      <c r="AN2225" t="s">
        <v>48</v>
      </c>
      <c r="AO2225" t="s">
        <v>48</v>
      </c>
      <c r="AP2225" s="46">
        <v>0</v>
      </c>
      <c r="AQ2225" s="46">
        <v>0</v>
      </c>
      <c r="AR2225" s="46">
        <v>0</v>
      </c>
      <c r="AS2225" s="46">
        <v>0</v>
      </c>
      <c r="AT2225" s="46">
        <v>0</v>
      </c>
      <c r="AU2225" s="46">
        <v>0</v>
      </c>
      <c r="AV2225" s="46">
        <v>0</v>
      </c>
      <c r="AW2225" s="46">
        <v>0</v>
      </c>
      <c r="AX2225" s="46">
        <v>0</v>
      </c>
      <c r="AY2225" s="46">
        <v>0</v>
      </c>
      <c r="AZ2225" s="46">
        <v>0</v>
      </c>
      <c r="BA2225" s="46">
        <v>0</v>
      </c>
      <c r="BB2225" s="46">
        <v>0</v>
      </c>
      <c r="BC2225" s="46">
        <v>0</v>
      </c>
      <c r="BD2225" s="46">
        <v>0</v>
      </c>
      <c r="BE2225" s="46">
        <v>0</v>
      </c>
      <c r="BF2225" s="46">
        <v>0</v>
      </c>
      <c r="BG2225" s="46" t="s">
        <v>48</v>
      </c>
      <c r="BH2225" s="46">
        <v>0</v>
      </c>
      <c r="BI2225" s="46">
        <v>0</v>
      </c>
      <c r="BJ2225" s="46">
        <v>0</v>
      </c>
      <c r="BK2225" s="46">
        <v>0</v>
      </c>
      <c r="BL2225" s="46">
        <v>0</v>
      </c>
      <c r="BM2225" s="46">
        <v>0</v>
      </c>
      <c r="BN2225" s="46">
        <v>0</v>
      </c>
    </row>
    <row r="2226" spans="1:66" x14ac:dyDescent="0.35">
      <c r="A2226" t="s">
        <v>10866</v>
      </c>
      <c r="B2226" t="s">
        <v>48</v>
      </c>
      <c r="C2226" t="s">
        <v>12317</v>
      </c>
      <c r="D2226" t="s">
        <v>1550</v>
      </c>
      <c r="E2226" t="s">
        <v>10867</v>
      </c>
      <c r="F2226" t="s">
        <v>6235</v>
      </c>
      <c r="G2226" t="s">
        <v>47</v>
      </c>
      <c r="H2226">
        <v>0</v>
      </c>
      <c r="I2226" s="61">
        <v>44789</v>
      </c>
      <c r="J2226" s="33" t="s">
        <v>45</v>
      </c>
      <c r="K2226" s="46">
        <v>0</v>
      </c>
      <c r="L2226">
        <v>5.0999999999999996</v>
      </c>
      <c r="M2226" t="s">
        <v>48</v>
      </c>
      <c r="N2226" s="46">
        <v>0</v>
      </c>
      <c r="O2226" s="46">
        <v>0</v>
      </c>
      <c r="P2226" s="46">
        <v>0</v>
      </c>
      <c r="Q2226" t="s">
        <v>48</v>
      </c>
      <c r="R2226" t="s">
        <v>48</v>
      </c>
      <c r="S2226" t="s">
        <v>48</v>
      </c>
      <c r="T2226" t="s">
        <v>48</v>
      </c>
      <c r="U2226" t="s">
        <v>48</v>
      </c>
      <c r="V2226" s="47">
        <v>1</v>
      </c>
      <c r="W2226" t="s">
        <v>48</v>
      </c>
      <c r="X2226" t="s">
        <v>48</v>
      </c>
      <c r="Y2226" t="s">
        <v>48</v>
      </c>
      <c r="Z2226">
        <v>0</v>
      </c>
      <c r="AA2226" t="s">
        <v>48</v>
      </c>
      <c r="AB2226" t="s">
        <v>48</v>
      </c>
      <c r="AC2226" t="s">
        <v>49</v>
      </c>
      <c r="AD2226" t="s">
        <v>93</v>
      </c>
      <c r="AE2226" t="s">
        <v>4532</v>
      </c>
      <c r="AF2226" t="s">
        <v>48</v>
      </c>
      <c r="AG2226" t="s">
        <v>48</v>
      </c>
      <c r="AH2226" t="s">
        <v>48</v>
      </c>
      <c r="AI2226" t="s">
        <v>48</v>
      </c>
      <c r="AJ2226" t="s">
        <v>48</v>
      </c>
      <c r="AK2226" t="s">
        <v>48</v>
      </c>
      <c r="AL2226" t="s">
        <v>48</v>
      </c>
      <c r="AM2226" t="s">
        <v>48</v>
      </c>
      <c r="AN2226" t="s">
        <v>48</v>
      </c>
      <c r="AO2226" t="s">
        <v>48</v>
      </c>
      <c r="AP2226" s="46">
        <v>0</v>
      </c>
      <c r="AQ2226" s="46">
        <v>0</v>
      </c>
      <c r="AR2226" s="46">
        <v>0</v>
      </c>
      <c r="AS2226" s="46">
        <v>0</v>
      </c>
      <c r="AT2226" s="46">
        <v>0</v>
      </c>
      <c r="AU2226" s="46">
        <v>0</v>
      </c>
      <c r="AV2226" s="46">
        <v>0</v>
      </c>
      <c r="AW2226" s="46">
        <v>0</v>
      </c>
      <c r="AX2226" s="46">
        <v>0</v>
      </c>
      <c r="AY2226" s="46">
        <v>0</v>
      </c>
      <c r="AZ2226" s="46">
        <v>0</v>
      </c>
      <c r="BA2226" s="46">
        <v>0</v>
      </c>
      <c r="BB2226" s="46">
        <v>0</v>
      </c>
      <c r="BC2226" s="46">
        <v>0</v>
      </c>
      <c r="BD2226" s="46">
        <v>0</v>
      </c>
      <c r="BE2226" s="46">
        <v>0</v>
      </c>
      <c r="BF2226" s="46">
        <v>0</v>
      </c>
      <c r="BG2226" s="46" t="s">
        <v>48</v>
      </c>
      <c r="BH2226" s="46">
        <v>0</v>
      </c>
      <c r="BI2226" s="46">
        <v>0</v>
      </c>
      <c r="BJ2226" s="46">
        <v>0</v>
      </c>
      <c r="BK2226" s="46">
        <v>0</v>
      </c>
      <c r="BL2226" s="46">
        <v>0</v>
      </c>
      <c r="BM2226" s="46">
        <v>0</v>
      </c>
      <c r="BN2226" s="46">
        <v>0</v>
      </c>
    </row>
    <row r="2227" spans="1:66" x14ac:dyDescent="0.35">
      <c r="A2227" t="s">
        <v>10926</v>
      </c>
      <c r="B2227" t="s">
        <v>48</v>
      </c>
      <c r="C2227" t="s">
        <v>6236</v>
      </c>
      <c r="D2227" t="s">
        <v>467</v>
      </c>
      <c r="E2227" t="s">
        <v>10927</v>
      </c>
      <c r="F2227" t="s">
        <v>6235</v>
      </c>
      <c r="G2227" t="s">
        <v>47</v>
      </c>
      <c r="H2227">
        <v>0</v>
      </c>
      <c r="I2227" s="60" t="s">
        <v>125</v>
      </c>
      <c r="J2227" s="33" t="s">
        <v>45</v>
      </c>
      <c r="K2227" s="46">
        <v>0</v>
      </c>
      <c r="L2227">
        <v>2.8</v>
      </c>
      <c r="M2227" t="s">
        <v>48</v>
      </c>
      <c r="N2227" s="46">
        <v>0</v>
      </c>
      <c r="O2227" s="46">
        <v>0</v>
      </c>
      <c r="P2227" s="46">
        <v>0</v>
      </c>
      <c r="Q2227" t="s">
        <v>48</v>
      </c>
      <c r="R2227" t="s">
        <v>48</v>
      </c>
      <c r="S2227" t="s">
        <v>48</v>
      </c>
      <c r="T2227" t="s">
        <v>48</v>
      </c>
      <c r="U2227" t="s">
        <v>48</v>
      </c>
      <c r="V2227" s="47">
        <v>0</v>
      </c>
      <c r="W2227" t="s">
        <v>48</v>
      </c>
      <c r="X2227" t="s">
        <v>48</v>
      </c>
      <c r="Y2227" t="s">
        <v>48</v>
      </c>
      <c r="Z2227">
        <v>0</v>
      </c>
      <c r="AA2227" t="s">
        <v>48</v>
      </c>
      <c r="AB2227" t="s">
        <v>48</v>
      </c>
      <c r="AC2227" t="s">
        <v>49</v>
      </c>
      <c r="AD2227" t="s">
        <v>93</v>
      </c>
      <c r="AE2227" t="s">
        <v>4532</v>
      </c>
      <c r="AF2227" t="s">
        <v>48</v>
      </c>
      <c r="AG2227" t="s">
        <v>48</v>
      </c>
      <c r="AH2227" t="s">
        <v>48</v>
      </c>
      <c r="AI2227" t="s">
        <v>48</v>
      </c>
      <c r="AJ2227" t="s">
        <v>48</v>
      </c>
      <c r="AK2227" t="s">
        <v>48</v>
      </c>
      <c r="AL2227" t="s">
        <v>48</v>
      </c>
      <c r="AM2227" t="s">
        <v>48</v>
      </c>
      <c r="AN2227" t="s">
        <v>48</v>
      </c>
      <c r="AO2227" t="s">
        <v>48</v>
      </c>
      <c r="AP2227" s="46">
        <v>0</v>
      </c>
      <c r="AQ2227" s="46">
        <v>0</v>
      </c>
      <c r="AR2227" s="46">
        <v>0</v>
      </c>
      <c r="AS2227" s="46">
        <v>0</v>
      </c>
      <c r="AT2227" s="46">
        <v>0</v>
      </c>
      <c r="AU2227" s="46">
        <v>0</v>
      </c>
      <c r="AV2227" s="46">
        <v>0</v>
      </c>
      <c r="AW2227" s="46">
        <v>0</v>
      </c>
      <c r="AX2227" s="46">
        <v>0</v>
      </c>
      <c r="AY2227" s="46">
        <v>0</v>
      </c>
      <c r="AZ2227" s="46">
        <v>0</v>
      </c>
      <c r="BA2227" s="46">
        <v>0</v>
      </c>
      <c r="BB2227" s="46">
        <v>0</v>
      </c>
      <c r="BC2227" s="46">
        <v>0</v>
      </c>
      <c r="BD2227" s="46">
        <v>0</v>
      </c>
      <c r="BE2227" s="46">
        <v>0</v>
      </c>
      <c r="BF2227" s="46">
        <v>0</v>
      </c>
      <c r="BG2227" s="46" t="s">
        <v>48</v>
      </c>
      <c r="BH2227" s="46">
        <v>0</v>
      </c>
      <c r="BI2227" s="46">
        <v>0</v>
      </c>
      <c r="BJ2227" s="46">
        <v>0</v>
      </c>
      <c r="BK2227" s="46">
        <v>0</v>
      </c>
      <c r="BL2227" s="46">
        <v>0</v>
      </c>
      <c r="BM2227" s="46">
        <v>0</v>
      </c>
      <c r="BN2227" s="46">
        <v>0</v>
      </c>
    </row>
    <row r="2228" spans="1:66" x14ac:dyDescent="0.35">
      <c r="A2228" t="s">
        <v>10864</v>
      </c>
      <c r="B2228" s="44" t="s">
        <v>48</v>
      </c>
      <c r="C2228" t="s">
        <v>12318</v>
      </c>
      <c r="D2228" t="s">
        <v>198</v>
      </c>
      <c r="E2228" t="s">
        <v>10865</v>
      </c>
      <c r="F2228" t="s">
        <v>6235</v>
      </c>
      <c r="G2228" t="s">
        <v>74</v>
      </c>
      <c r="H2228">
        <v>0</v>
      </c>
      <c r="I2228" s="61">
        <v>44789</v>
      </c>
      <c r="J2228" s="33" t="s">
        <v>45</v>
      </c>
      <c r="K2228" s="46">
        <v>0</v>
      </c>
      <c r="L2228">
        <v>36.700000000000003</v>
      </c>
      <c r="M2228" t="s">
        <v>48</v>
      </c>
      <c r="N2228" s="46">
        <v>0</v>
      </c>
      <c r="O2228" s="46">
        <v>0</v>
      </c>
      <c r="P2228" s="46">
        <v>0</v>
      </c>
      <c r="Q2228" t="s">
        <v>48</v>
      </c>
      <c r="R2228" t="s">
        <v>48</v>
      </c>
      <c r="S2228" t="s">
        <v>48</v>
      </c>
      <c r="T2228" t="s">
        <v>48</v>
      </c>
      <c r="U2228" t="s">
        <v>48</v>
      </c>
      <c r="V2228" s="47">
        <v>1</v>
      </c>
      <c r="W2228" t="s">
        <v>11264</v>
      </c>
      <c r="X2228" t="s">
        <v>48</v>
      </c>
      <c r="Y2228" t="s">
        <v>48</v>
      </c>
      <c r="Z2228">
        <v>0</v>
      </c>
      <c r="AA2228" t="s">
        <v>48</v>
      </c>
      <c r="AB2228" t="s">
        <v>48</v>
      </c>
      <c r="AC2228" t="s">
        <v>49</v>
      </c>
      <c r="AD2228" t="s">
        <v>93</v>
      </c>
      <c r="AE2228" t="s">
        <v>4532</v>
      </c>
      <c r="AF2228" t="s">
        <v>48</v>
      </c>
      <c r="AG2228" t="s">
        <v>48</v>
      </c>
      <c r="AH2228" t="s">
        <v>48</v>
      </c>
      <c r="AI2228" t="s">
        <v>48</v>
      </c>
      <c r="AJ2228" t="s">
        <v>48</v>
      </c>
      <c r="AK2228" t="s">
        <v>48</v>
      </c>
      <c r="AL2228" t="s">
        <v>48</v>
      </c>
      <c r="AM2228" t="s">
        <v>48</v>
      </c>
      <c r="AN2228" t="s">
        <v>48</v>
      </c>
      <c r="AO2228" t="s">
        <v>48</v>
      </c>
      <c r="AP2228" s="46">
        <v>0</v>
      </c>
      <c r="AQ2228" s="46">
        <v>0</v>
      </c>
      <c r="AR2228" s="46">
        <v>0</v>
      </c>
      <c r="AS2228" s="46">
        <v>0</v>
      </c>
      <c r="AT2228" s="46">
        <v>0</v>
      </c>
      <c r="AU2228" s="46">
        <v>0</v>
      </c>
      <c r="AV2228" s="46">
        <v>0</v>
      </c>
      <c r="AW2228" s="46">
        <v>0</v>
      </c>
      <c r="AX2228" s="46">
        <v>0</v>
      </c>
      <c r="AY2228" s="46">
        <v>0</v>
      </c>
      <c r="AZ2228" s="46">
        <v>0</v>
      </c>
      <c r="BA2228" s="46">
        <v>0</v>
      </c>
      <c r="BB2228" s="46">
        <v>0</v>
      </c>
      <c r="BC2228" s="46">
        <v>0</v>
      </c>
      <c r="BD2228" s="46">
        <v>0</v>
      </c>
      <c r="BE2228" s="46">
        <v>0</v>
      </c>
      <c r="BF2228" s="46">
        <v>0</v>
      </c>
      <c r="BG2228" s="46" t="s">
        <v>48</v>
      </c>
      <c r="BH2228" s="46">
        <v>0</v>
      </c>
      <c r="BI2228" s="46">
        <v>0</v>
      </c>
      <c r="BJ2228" s="46">
        <v>0</v>
      </c>
      <c r="BK2228" s="46">
        <v>0</v>
      </c>
      <c r="BL2228" s="46">
        <v>0</v>
      </c>
      <c r="BM2228" s="46">
        <v>0</v>
      </c>
      <c r="BN2228" s="46">
        <v>0</v>
      </c>
    </row>
    <row r="2229" spans="1:66" ht="15" x14ac:dyDescent="0.4">
      <c r="A2229" t="s">
        <v>11374</v>
      </c>
      <c r="B2229" t="s">
        <v>48</v>
      </c>
      <c r="C2229" t="s">
        <v>6252</v>
      </c>
      <c r="D2229" t="s">
        <v>211</v>
      </c>
      <c r="E2229" t="s">
        <v>11375</v>
      </c>
      <c r="F2229" t="s">
        <v>6247</v>
      </c>
      <c r="G2229" t="s">
        <v>47</v>
      </c>
      <c r="H2229">
        <v>0</v>
      </c>
      <c r="I2229" s="60" t="s">
        <v>11160</v>
      </c>
      <c r="J2229" s="33" t="s">
        <v>45</v>
      </c>
      <c r="K2229" s="46">
        <v>0</v>
      </c>
      <c r="L2229">
        <v>43.5</v>
      </c>
      <c r="M2229" t="s">
        <v>48</v>
      </c>
      <c r="N2229" s="46">
        <v>0</v>
      </c>
      <c r="O2229" s="46">
        <v>0</v>
      </c>
      <c r="P2229" s="46">
        <v>0</v>
      </c>
      <c r="Q2229" t="s">
        <v>48</v>
      </c>
      <c r="R2229" t="s">
        <v>48</v>
      </c>
      <c r="S2229" s="55" t="s">
        <v>11373</v>
      </c>
      <c r="T2229" t="s">
        <v>48</v>
      </c>
      <c r="U2229" t="s">
        <v>48</v>
      </c>
      <c r="V2229" s="47">
        <v>0</v>
      </c>
      <c r="W2229" t="s">
        <v>48</v>
      </c>
      <c r="X2229" t="s">
        <v>48</v>
      </c>
      <c r="Y2229" t="s">
        <v>48</v>
      </c>
      <c r="Z2229">
        <v>0</v>
      </c>
      <c r="AA2229" t="s">
        <v>48</v>
      </c>
      <c r="AB2229" t="s">
        <v>48</v>
      </c>
      <c r="AC2229" t="s">
        <v>49</v>
      </c>
      <c r="AD2229" t="s">
        <v>93</v>
      </c>
      <c r="AE2229" t="s">
        <v>4532</v>
      </c>
      <c r="AF2229" t="s">
        <v>48</v>
      </c>
      <c r="AG2229" t="s">
        <v>48</v>
      </c>
      <c r="AH2229" t="s">
        <v>48</v>
      </c>
      <c r="AI2229" t="s">
        <v>48</v>
      </c>
      <c r="AJ2229" t="s">
        <v>48</v>
      </c>
      <c r="AK2229" t="s">
        <v>48</v>
      </c>
      <c r="AL2229" t="s">
        <v>48</v>
      </c>
      <c r="AM2229" t="s">
        <v>48</v>
      </c>
      <c r="AN2229" t="s">
        <v>48</v>
      </c>
      <c r="AO2229" t="s">
        <v>48</v>
      </c>
      <c r="AP2229" s="46">
        <v>0</v>
      </c>
      <c r="AQ2229" s="46">
        <v>0</v>
      </c>
      <c r="AR2229" s="46">
        <v>0</v>
      </c>
      <c r="AS2229" s="46">
        <v>0</v>
      </c>
      <c r="AT2229" s="46">
        <v>0</v>
      </c>
      <c r="AU2229" s="46">
        <v>0</v>
      </c>
      <c r="AV2229" s="46">
        <v>0</v>
      </c>
      <c r="AW2229" s="46">
        <v>0</v>
      </c>
      <c r="AX2229" s="46">
        <v>0</v>
      </c>
      <c r="AY2229" s="46">
        <v>0</v>
      </c>
      <c r="AZ2229" s="46">
        <v>0</v>
      </c>
      <c r="BA2229" s="46">
        <v>0</v>
      </c>
      <c r="BB2229" s="46">
        <v>0</v>
      </c>
      <c r="BC2229" s="46">
        <v>0</v>
      </c>
      <c r="BD2229" s="46">
        <v>0</v>
      </c>
      <c r="BE2229" s="46">
        <v>0</v>
      </c>
      <c r="BF2229" s="46">
        <v>0</v>
      </c>
      <c r="BG2229" s="46" t="s">
        <v>48</v>
      </c>
      <c r="BH2229" s="46">
        <v>0</v>
      </c>
      <c r="BI2229" s="46">
        <v>0</v>
      </c>
      <c r="BJ2229" s="46">
        <v>0</v>
      </c>
      <c r="BK2229" s="46">
        <v>0</v>
      </c>
      <c r="BL2229" s="46">
        <v>0</v>
      </c>
      <c r="BM2229" s="46">
        <v>0</v>
      </c>
      <c r="BN2229" s="46">
        <v>0</v>
      </c>
    </row>
    <row r="2230" spans="1:66" x14ac:dyDescent="0.35">
      <c r="A2230" t="s">
        <v>10868</v>
      </c>
      <c r="B2230" s="44" t="s">
        <v>48</v>
      </c>
      <c r="C2230" t="s">
        <v>12320</v>
      </c>
      <c r="D2230" t="s">
        <v>12321</v>
      </c>
      <c r="E2230" t="s">
        <v>10869</v>
      </c>
      <c r="F2230" t="s">
        <v>6247</v>
      </c>
      <c r="G2230" t="s">
        <v>74</v>
      </c>
      <c r="H2230">
        <v>0</v>
      </c>
      <c r="I2230" s="61">
        <v>44789</v>
      </c>
      <c r="J2230" s="33" t="s">
        <v>45</v>
      </c>
      <c r="K2230" s="46">
        <v>0</v>
      </c>
      <c r="L2230">
        <v>12</v>
      </c>
      <c r="M2230" t="s">
        <v>48</v>
      </c>
      <c r="N2230" s="46">
        <v>0</v>
      </c>
      <c r="O2230" s="46">
        <v>0</v>
      </c>
      <c r="P2230" s="46">
        <v>0</v>
      </c>
      <c r="Q2230" t="s">
        <v>48</v>
      </c>
      <c r="R2230" t="s">
        <v>48</v>
      </c>
      <c r="S2230" t="s">
        <v>48</v>
      </c>
      <c r="T2230" t="s">
        <v>48</v>
      </c>
      <c r="U2230" t="s">
        <v>48</v>
      </c>
      <c r="V2230" s="47">
        <v>0</v>
      </c>
      <c r="W2230" t="s">
        <v>48</v>
      </c>
      <c r="X2230" t="s">
        <v>48</v>
      </c>
      <c r="Y2230" t="s">
        <v>48</v>
      </c>
      <c r="Z2230">
        <v>0</v>
      </c>
      <c r="AA2230" t="s">
        <v>48</v>
      </c>
      <c r="AB2230" t="s">
        <v>48</v>
      </c>
      <c r="AC2230" t="s">
        <v>49</v>
      </c>
      <c r="AD2230" t="s">
        <v>48</v>
      </c>
      <c r="AE2230" t="s">
        <v>48</v>
      </c>
      <c r="AF2230" t="s">
        <v>48</v>
      </c>
      <c r="AG2230" t="s">
        <v>48</v>
      </c>
      <c r="AH2230" t="s">
        <v>48</v>
      </c>
      <c r="AI2230" t="s">
        <v>48</v>
      </c>
      <c r="AJ2230" t="s">
        <v>48</v>
      </c>
      <c r="AK2230" t="s">
        <v>48</v>
      </c>
      <c r="AL2230" t="s">
        <v>48</v>
      </c>
      <c r="AM2230" t="s">
        <v>48</v>
      </c>
      <c r="AN2230" t="s">
        <v>48</v>
      </c>
      <c r="AO2230" t="s">
        <v>48</v>
      </c>
      <c r="AP2230" s="46">
        <v>0</v>
      </c>
      <c r="AQ2230" s="46">
        <v>0</v>
      </c>
      <c r="AR2230" s="46">
        <v>0</v>
      </c>
      <c r="AS2230" s="46">
        <v>0</v>
      </c>
      <c r="AT2230" s="46">
        <v>0</v>
      </c>
      <c r="AU2230" s="46">
        <v>0</v>
      </c>
      <c r="AV2230" s="46">
        <v>0</v>
      </c>
      <c r="AW2230" s="46">
        <v>0</v>
      </c>
      <c r="AX2230" s="46">
        <v>0</v>
      </c>
      <c r="AY2230" s="46">
        <v>0</v>
      </c>
      <c r="AZ2230" s="46">
        <v>0</v>
      </c>
      <c r="BA2230" s="46">
        <v>0</v>
      </c>
      <c r="BB2230" s="46">
        <v>0</v>
      </c>
      <c r="BC2230" s="46">
        <v>0</v>
      </c>
      <c r="BD2230" s="46">
        <v>0</v>
      </c>
      <c r="BE2230" s="46">
        <v>0</v>
      </c>
      <c r="BF2230" s="46">
        <v>0</v>
      </c>
      <c r="BG2230" s="46" t="s">
        <v>48</v>
      </c>
      <c r="BH2230" s="46">
        <v>0</v>
      </c>
      <c r="BI2230" s="46">
        <v>0</v>
      </c>
      <c r="BJ2230" s="46">
        <v>0</v>
      </c>
      <c r="BK2230" s="46">
        <v>0</v>
      </c>
      <c r="BL2230" s="46">
        <v>0</v>
      </c>
      <c r="BM2230" s="46">
        <v>0</v>
      </c>
      <c r="BN2230" s="46">
        <v>0</v>
      </c>
    </row>
    <row r="2231" spans="1:66" x14ac:dyDescent="0.35">
      <c r="A2231" t="s">
        <v>10873</v>
      </c>
      <c r="B2231" t="s">
        <v>48</v>
      </c>
      <c r="C2231" t="s">
        <v>12322</v>
      </c>
      <c r="D2231" t="s">
        <v>12323</v>
      </c>
      <c r="E2231" t="s">
        <v>10874</v>
      </c>
      <c r="F2231" t="s">
        <v>6247</v>
      </c>
      <c r="G2231" t="s">
        <v>47</v>
      </c>
      <c r="H2231">
        <v>0</v>
      </c>
      <c r="I2231" s="61">
        <v>44789</v>
      </c>
      <c r="J2231" s="33" t="s">
        <v>45</v>
      </c>
      <c r="K2231" s="46">
        <v>0</v>
      </c>
      <c r="L2231">
        <v>5</v>
      </c>
      <c r="M2231" t="s">
        <v>48</v>
      </c>
      <c r="N2231" s="46">
        <v>0</v>
      </c>
      <c r="O2231" s="46">
        <v>0</v>
      </c>
      <c r="P2231" s="46">
        <v>0</v>
      </c>
      <c r="Q2231" t="s">
        <v>48</v>
      </c>
      <c r="R2231" t="s">
        <v>48</v>
      </c>
      <c r="S2231" t="s">
        <v>48</v>
      </c>
      <c r="T2231" t="s">
        <v>48</v>
      </c>
      <c r="U2231" t="s">
        <v>48</v>
      </c>
      <c r="V2231" s="47">
        <v>0</v>
      </c>
      <c r="W2231" t="s">
        <v>48</v>
      </c>
      <c r="X2231" t="s">
        <v>48</v>
      </c>
      <c r="Y2231" t="s">
        <v>48</v>
      </c>
      <c r="Z2231">
        <v>0</v>
      </c>
      <c r="AA2231" t="s">
        <v>48</v>
      </c>
      <c r="AB2231" t="s">
        <v>48</v>
      </c>
      <c r="AC2231" t="s">
        <v>49</v>
      </c>
      <c r="AD2231" t="s">
        <v>48</v>
      </c>
      <c r="AE2231" t="s">
        <v>48</v>
      </c>
      <c r="AF2231" t="s">
        <v>48</v>
      </c>
      <c r="AG2231" t="s">
        <v>48</v>
      </c>
      <c r="AH2231" t="s">
        <v>48</v>
      </c>
      <c r="AI2231" t="s">
        <v>48</v>
      </c>
      <c r="AJ2231" t="s">
        <v>48</v>
      </c>
      <c r="AK2231" t="s">
        <v>48</v>
      </c>
      <c r="AL2231" t="s">
        <v>48</v>
      </c>
      <c r="AM2231" t="s">
        <v>48</v>
      </c>
      <c r="AN2231" t="s">
        <v>48</v>
      </c>
      <c r="AO2231" t="s">
        <v>48</v>
      </c>
      <c r="AP2231" s="46">
        <v>0</v>
      </c>
      <c r="AQ2231" s="46">
        <v>0</v>
      </c>
      <c r="AR2231" s="46">
        <v>0</v>
      </c>
      <c r="AS2231" s="46">
        <v>0</v>
      </c>
      <c r="AT2231" s="46">
        <v>0</v>
      </c>
      <c r="AU2231" s="46">
        <v>0</v>
      </c>
      <c r="AV2231" s="46">
        <v>0</v>
      </c>
      <c r="AW2231" s="46">
        <v>0</v>
      </c>
      <c r="AX2231" s="46">
        <v>0</v>
      </c>
      <c r="AY2231" s="46">
        <v>0</v>
      </c>
      <c r="AZ2231" s="46">
        <v>0</v>
      </c>
      <c r="BA2231" s="46">
        <v>0</v>
      </c>
      <c r="BB2231" s="46">
        <v>0</v>
      </c>
      <c r="BC2231" s="46">
        <v>0</v>
      </c>
      <c r="BD2231" s="46">
        <v>0</v>
      </c>
      <c r="BE2231" s="46">
        <v>0</v>
      </c>
      <c r="BF2231" s="46">
        <v>0</v>
      </c>
      <c r="BG2231" s="46" t="s">
        <v>48</v>
      </c>
      <c r="BH2231" s="46">
        <v>0</v>
      </c>
      <c r="BI2231" s="46">
        <v>0</v>
      </c>
      <c r="BJ2231" s="46">
        <v>0</v>
      </c>
      <c r="BK2231" s="46">
        <v>0</v>
      </c>
      <c r="BL2231" s="46">
        <v>0</v>
      </c>
      <c r="BM2231" s="46">
        <v>0</v>
      </c>
      <c r="BN2231" s="46">
        <v>0</v>
      </c>
    </row>
    <row r="2232" spans="1:66" x14ac:dyDescent="0.35">
      <c r="A2232" t="s">
        <v>6264</v>
      </c>
      <c r="B2232" t="s">
        <v>48</v>
      </c>
      <c r="C2232" t="s">
        <v>6269</v>
      </c>
      <c r="D2232" t="s">
        <v>6268</v>
      </c>
      <c r="E2232" t="s">
        <v>6266</v>
      </c>
      <c r="F2232" t="s">
        <v>6265</v>
      </c>
      <c r="G2232" t="s">
        <v>47</v>
      </c>
      <c r="H2232">
        <v>0</v>
      </c>
      <c r="I2232" s="60" t="s">
        <v>149</v>
      </c>
      <c r="J2232" s="33" t="s">
        <v>45</v>
      </c>
      <c r="K2232" s="46">
        <v>0</v>
      </c>
      <c r="L2232">
        <v>7.6</v>
      </c>
      <c r="M2232" t="s">
        <v>48</v>
      </c>
      <c r="N2232" s="46">
        <v>0</v>
      </c>
      <c r="O2232" s="46">
        <v>0</v>
      </c>
      <c r="P2232" s="46">
        <v>0</v>
      </c>
      <c r="Q2232" t="s">
        <v>48</v>
      </c>
      <c r="R2232" t="s">
        <v>48</v>
      </c>
      <c r="S2232" t="s">
        <v>6267</v>
      </c>
      <c r="T2232" t="s">
        <v>48</v>
      </c>
      <c r="U2232" t="s">
        <v>6267</v>
      </c>
      <c r="V2232" s="47">
        <v>0</v>
      </c>
      <c r="W2232" t="s">
        <v>48</v>
      </c>
      <c r="X2232" t="s">
        <v>48</v>
      </c>
      <c r="Y2232" t="s">
        <v>48</v>
      </c>
      <c r="Z2232">
        <v>0</v>
      </c>
      <c r="AA2232" t="s">
        <v>48</v>
      </c>
      <c r="AB2232" t="s">
        <v>48</v>
      </c>
      <c r="AC2232" t="s">
        <v>49</v>
      </c>
      <c r="AD2232" t="s">
        <v>93</v>
      </c>
      <c r="AE2232" t="s">
        <v>977</v>
      </c>
      <c r="AF2232" t="s">
        <v>11053</v>
      </c>
      <c r="AG2232" t="s">
        <v>48</v>
      </c>
      <c r="AH2232" t="s">
        <v>48</v>
      </c>
      <c r="AI2232" t="s">
        <v>48</v>
      </c>
      <c r="AJ2232" t="s">
        <v>48</v>
      </c>
      <c r="AK2232" t="s">
        <v>48</v>
      </c>
      <c r="AL2232" t="s">
        <v>48</v>
      </c>
      <c r="AM2232" t="s">
        <v>48</v>
      </c>
      <c r="AN2232" t="s">
        <v>48</v>
      </c>
      <c r="AO2232" t="s">
        <v>48</v>
      </c>
      <c r="AP2232" s="46">
        <v>0</v>
      </c>
      <c r="AQ2232" s="46">
        <v>0</v>
      </c>
      <c r="AR2232" s="46">
        <v>0</v>
      </c>
      <c r="AS2232" s="46">
        <v>0</v>
      </c>
      <c r="AT2232" s="46">
        <v>0</v>
      </c>
      <c r="AU2232" s="46">
        <v>0</v>
      </c>
      <c r="AV2232" s="46">
        <v>0</v>
      </c>
      <c r="AW2232" s="46">
        <v>0</v>
      </c>
      <c r="AX2232" s="46">
        <v>0</v>
      </c>
      <c r="AY2232" s="46">
        <v>0</v>
      </c>
      <c r="AZ2232" s="46">
        <v>0</v>
      </c>
      <c r="BA2232" s="46">
        <v>0</v>
      </c>
      <c r="BB2232" s="46">
        <v>0</v>
      </c>
      <c r="BC2232" s="46">
        <v>0</v>
      </c>
      <c r="BD2232" s="46">
        <v>0</v>
      </c>
      <c r="BE2232" s="46">
        <v>0</v>
      </c>
      <c r="BF2232" s="46">
        <v>0</v>
      </c>
      <c r="BG2232" s="46" t="s">
        <v>48</v>
      </c>
      <c r="BH2232" s="46">
        <v>0</v>
      </c>
      <c r="BI2232" s="46">
        <v>0</v>
      </c>
      <c r="BJ2232" s="46">
        <v>0</v>
      </c>
      <c r="BK2232" s="46">
        <v>0</v>
      </c>
      <c r="BL2232" s="46">
        <v>0</v>
      </c>
      <c r="BM2232" s="46">
        <v>0</v>
      </c>
      <c r="BN2232" s="46">
        <v>0</v>
      </c>
    </row>
    <row r="2233" spans="1:66" x14ac:dyDescent="0.35">
      <c r="A2233" t="s">
        <v>6270</v>
      </c>
      <c r="B2233" s="44" t="s">
        <v>48</v>
      </c>
      <c r="C2233" t="s">
        <v>6273</v>
      </c>
      <c r="D2233" t="s">
        <v>6272</v>
      </c>
      <c r="E2233" t="s">
        <v>6271</v>
      </c>
      <c r="F2233" t="s">
        <v>6265</v>
      </c>
      <c r="G2233" t="s">
        <v>74</v>
      </c>
      <c r="H2233">
        <v>0</v>
      </c>
      <c r="I2233" s="60" t="s">
        <v>149</v>
      </c>
      <c r="J2233" s="33" t="s">
        <v>45</v>
      </c>
      <c r="K2233" s="46">
        <v>0</v>
      </c>
      <c r="L2233">
        <v>11.5</v>
      </c>
      <c r="M2233" t="s">
        <v>48</v>
      </c>
      <c r="N2233" s="46">
        <v>0</v>
      </c>
      <c r="O2233" s="46">
        <v>0</v>
      </c>
      <c r="P2233" s="46">
        <v>0</v>
      </c>
      <c r="Q2233" t="s">
        <v>48</v>
      </c>
      <c r="R2233" t="s">
        <v>48</v>
      </c>
      <c r="S2233" t="s">
        <v>48</v>
      </c>
      <c r="T2233" t="s">
        <v>48</v>
      </c>
      <c r="U2233" t="s">
        <v>48</v>
      </c>
      <c r="V2233" s="47">
        <v>0</v>
      </c>
      <c r="W2233" t="s">
        <v>48</v>
      </c>
      <c r="X2233" t="s">
        <v>48</v>
      </c>
      <c r="Y2233" t="s">
        <v>48</v>
      </c>
      <c r="Z2233">
        <v>0</v>
      </c>
      <c r="AA2233" t="s">
        <v>48</v>
      </c>
      <c r="AB2233" t="s">
        <v>48</v>
      </c>
      <c r="AC2233" t="s">
        <v>49</v>
      </c>
      <c r="AD2233" t="s">
        <v>93</v>
      </c>
      <c r="AE2233" t="s">
        <v>4532</v>
      </c>
      <c r="AF2233" t="s">
        <v>48</v>
      </c>
      <c r="AG2233" t="s">
        <v>48</v>
      </c>
      <c r="AH2233" t="s">
        <v>48</v>
      </c>
      <c r="AI2233" t="s">
        <v>48</v>
      </c>
      <c r="AJ2233" t="s">
        <v>48</v>
      </c>
      <c r="AK2233" t="s">
        <v>48</v>
      </c>
      <c r="AL2233" t="s">
        <v>48</v>
      </c>
      <c r="AM2233" t="s">
        <v>48</v>
      </c>
      <c r="AN2233" t="s">
        <v>48</v>
      </c>
      <c r="AO2233" t="s">
        <v>48</v>
      </c>
      <c r="AP2233" s="46">
        <v>0</v>
      </c>
      <c r="AQ2233" s="46">
        <v>0</v>
      </c>
      <c r="AR2233" s="46">
        <v>0</v>
      </c>
      <c r="AS2233" s="46">
        <v>0</v>
      </c>
      <c r="AT2233" s="46">
        <v>0</v>
      </c>
      <c r="AU2233" s="46">
        <v>0</v>
      </c>
      <c r="AV2233" s="46">
        <v>0</v>
      </c>
      <c r="AW2233" s="46">
        <v>0</v>
      </c>
      <c r="AX2233" s="46">
        <v>0</v>
      </c>
      <c r="AY2233" s="46">
        <v>0</v>
      </c>
      <c r="AZ2233" s="46">
        <v>0</v>
      </c>
      <c r="BA2233" s="46">
        <v>0</v>
      </c>
      <c r="BB2233" s="46">
        <v>0</v>
      </c>
      <c r="BC2233" s="46">
        <v>0</v>
      </c>
      <c r="BD2233" s="46">
        <v>0</v>
      </c>
      <c r="BE2233" s="46">
        <v>0</v>
      </c>
      <c r="BF2233" s="46">
        <v>0</v>
      </c>
      <c r="BG2233" s="46" t="s">
        <v>48</v>
      </c>
      <c r="BH2233" s="46">
        <v>0</v>
      </c>
      <c r="BI2233" s="46">
        <v>0</v>
      </c>
      <c r="BJ2233" s="46">
        <v>0</v>
      </c>
      <c r="BK2233" s="46">
        <v>0</v>
      </c>
      <c r="BL2233" s="46">
        <v>0</v>
      </c>
      <c r="BM2233" s="46">
        <v>0</v>
      </c>
      <c r="BN2233" s="46">
        <v>0</v>
      </c>
    </row>
    <row r="2234" spans="1:66" x14ac:dyDescent="0.35">
      <c r="A2234" t="s">
        <v>6291</v>
      </c>
      <c r="B2234" t="s">
        <v>48</v>
      </c>
      <c r="C2234" t="s">
        <v>6294</v>
      </c>
      <c r="D2234" t="s">
        <v>1402</v>
      </c>
      <c r="E2234" t="s">
        <v>6292</v>
      </c>
      <c r="F2234" t="s">
        <v>6265</v>
      </c>
      <c r="G2234" t="s">
        <v>47</v>
      </c>
      <c r="H2234">
        <v>0</v>
      </c>
      <c r="I2234" s="60" t="s">
        <v>149</v>
      </c>
      <c r="J2234" s="33" t="s">
        <v>45</v>
      </c>
      <c r="K2234" s="46">
        <v>0</v>
      </c>
      <c r="L2234">
        <v>24.1</v>
      </c>
      <c r="M2234" t="s">
        <v>48</v>
      </c>
      <c r="N2234" s="46">
        <v>0</v>
      </c>
      <c r="O2234" s="46">
        <v>0</v>
      </c>
      <c r="P2234" s="46">
        <v>0</v>
      </c>
      <c r="Q2234" t="s">
        <v>48</v>
      </c>
      <c r="R2234" t="s">
        <v>48</v>
      </c>
      <c r="S2234" t="s">
        <v>6293</v>
      </c>
      <c r="T2234" t="s">
        <v>48</v>
      </c>
      <c r="U2234" t="s">
        <v>6293</v>
      </c>
      <c r="V2234" s="47">
        <v>0</v>
      </c>
      <c r="W2234" t="s">
        <v>48</v>
      </c>
      <c r="X2234" t="s">
        <v>48</v>
      </c>
      <c r="Y2234" t="s">
        <v>48</v>
      </c>
      <c r="Z2234">
        <v>0</v>
      </c>
      <c r="AA2234" t="s">
        <v>48</v>
      </c>
      <c r="AB2234" t="s">
        <v>48</v>
      </c>
      <c r="AC2234" t="s">
        <v>49</v>
      </c>
      <c r="AD2234" t="s">
        <v>93</v>
      </c>
      <c r="AE2234" t="s">
        <v>4532</v>
      </c>
      <c r="AF2234" t="s">
        <v>48</v>
      </c>
      <c r="AG2234" t="s">
        <v>48</v>
      </c>
      <c r="AH2234" t="s">
        <v>48</v>
      </c>
      <c r="AI2234" t="s">
        <v>48</v>
      </c>
      <c r="AJ2234" t="s">
        <v>48</v>
      </c>
      <c r="AK2234" t="s">
        <v>48</v>
      </c>
      <c r="AL2234" t="s">
        <v>48</v>
      </c>
      <c r="AM2234" t="s">
        <v>48</v>
      </c>
      <c r="AN2234" t="s">
        <v>48</v>
      </c>
      <c r="AO2234" t="s">
        <v>48</v>
      </c>
      <c r="AP2234" s="46">
        <v>0</v>
      </c>
      <c r="AQ2234" s="46">
        <v>0</v>
      </c>
      <c r="AR2234" s="46">
        <v>0</v>
      </c>
      <c r="AS2234" s="46">
        <v>0</v>
      </c>
      <c r="AT2234" s="46">
        <v>0</v>
      </c>
      <c r="AU2234" s="46">
        <v>0</v>
      </c>
      <c r="AV2234" s="46">
        <v>0</v>
      </c>
      <c r="AW2234" s="46">
        <v>0</v>
      </c>
      <c r="AX2234" s="46">
        <v>0</v>
      </c>
      <c r="AY2234" s="46">
        <v>0</v>
      </c>
      <c r="AZ2234" s="46">
        <v>0</v>
      </c>
      <c r="BA2234" s="46">
        <v>0</v>
      </c>
      <c r="BB2234" s="46">
        <v>0</v>
      </c>
      <c r="BC2234" s="46">
        <v>0</v>
      </c>
      <c r="BD2234" s="46">
        <v>0</v>
      </c>
      <c r="BE2234" s="46">
        <v>0</v>
      </c>
      <c r="BF2234" s="46">
        <v>0</v>
      </c>
      <c r="BG2234" s="46" t="s">
        <v>48</v>
      </c>
      <c r="BH2234" s="46">
        <v>0</v>
      </c>
      <c r="BI2234" s="46">
        <v>0</v>
      </c>
      <c r="BJ2234" s="46">
        <v>0</v>
      </c>
      <c r="BK2234" s="46">
        <v>0</v>
      </c>
      <c r="BL2234" s="46">
        <v>0</v>
      </c>
      <c r="BM2234" s="46">
        <v>0</v>
      </c>
      <c r="BN2234" s="46">
        <v>0</v>
      </c>
    </row>
    <row r="2235" spans="1:66" x14ac:dyDescent="0.35">
      <c r="A2235" t="s">
        <v>6298</v>
      </c>
      <c r="B2235" t="s">
        <v>48</v>
      </c>
      <c r="C2235" t="s">
        <v>6301</v>
      </c>
      <c r="D2235" t="s">
        <v>221</v>
      </c>
      <c r="E2235" t="s">
        <v>6299</v>
      </c>
      <c r="F2235" t="s">
        <v>6265</v>
      </c>
      <c r="G2235" t="s">
        <v>47</v>
      </c>
      <c r="H2235">
        <v>0</v>
      </c>
      <c r="I2235" s="60" t="s">
        <v>51</v>
      </c>
      <c r="J2235" s="33" t="s">
        <v>45</v>
      </c>
      <c r="K2235" s="46">
        <v>0</v>
      </c>
      <c r="L2235">
        <v>5.2</v>
      </c>
      <c r="M2235" t="s">
        <v>48</v>
      </c>
      <c r="N2235" s="46">
        <v>0</v>
      </c>
      <c r="O2235" s="46">
        <v>0</v>
      </c>
      <c r="P2235" s="46">
        <v>0</v>
      </c>
      <c r="Q2235" t="s">
        <v>48</v>
      </c>
      <c r="R2235" t="s">
        <v>48</v>
      </c>
      <c r="S2235" t="s">
        <v>6300</v>
      </c>
      <c r="T2235" t="s">
        <v>48</v>
      </c>
      <c r="U2235" t="s">
        <v>6300</v>
      </c>
      <c r="V2235" s="47">
        <v>0</v>
      </c>
      <c r="W2235" t="s">
        <v>48</v>
      </c>
      <c r="X2235" t="s">
        <v>48</v>
      </c>
      <c r="Y2235" t="s">
        <v>48</v>
      </c>
      <c r="Z2235">
        <v>0</v>
      </c>
      <c r="AA2235" t="s">
        <v>48</v>
      </c>
      <c r="AB2235" t="s">
        <v>48</v>
      </c>
      <c r="AC2235" t="s">
        <v>49</v>
      </c>
      <c r="AD2235" t="s">
        <v>93</v>
      </c>
      <c r="AE2235" t="s">
        <v>4532</v>
      </c>
      <c r="AF2235" t="s">
        <v>48</v>
      </c>
      <c r="AG2235" t="s">
        <v>48</v>
      </c>
      <c r="AH2235" t="s">
        <v>48</v>
      </c>
      <c r="AI2235" t="s">
        <v>48</v>
      </c>
      <c r="AJ2235" t="s">
        <v>48</v>
      </c>
      <c r="AK2235" t="s">
        <v>48</v>
      </c>
      <c r="AL2235" t="s">
        <v>48</v>
      </c>
      <c r="AM2235" t="s">
        <v>48</v>
      </c>
      <c r="AN2235" t="s">
        <v>48</v>
      </c>
      <c r="AO2235" t="s">
        <v>48</v>
      </c>
      <c r="AP2235" s="46">
        <v>0</v>
      </c>
      <c r="AQ2235" s="46">
        <v>0</v>
      </c>
      <c r="AR2235" s="46">
        <v>0</v>
      </c>
      <c r="AS2235" s="46">
        <v>0</v>
      </c>
      <c r="AT2235" s="46">
        <v>0</v>
      </c>
      <c r="AU2235" s="46">
        <v>0</v>
      </c>
      <c r="AV2235" s="46">
        <v>0</v>
      </c>
      <c r="AW2235" s="46">
        <v>0</v>
      </c>
      <c r="AX2235" s="46">
        <v>0</v>
      </c>
      <c r="AY2235" s="46">
        <v>0</v>
      </c>
      <c r="AZ2235" s="46">
        <v>0</v>
      </c>
      <c r="BA2235" s="46">
        <v>0</v>
      </c>
      <c r="BB2235" s="46">
        <v>0</v>
      </c>
      <c r="BC2235" s="46">
        <v>0</v>
      </c>
      <c r="BD2235" s="46">
        <v>0</v>
      </c>
      <c r="BE2235" s="46">
        <v>0</v>
      </c>
      <c r="BF2235" s="46">
        <v>0</v>
      </c>
      <c r="BG2235" s="46" t="s">
        <v>48</v>
      </c>
      <c r="BH2235" s="46">
        <v>0</v>
      </c>
      <c r="BI2235" s="46">
        <v>0</v>
      </c>
      <c r="BJ2235" s="46">
        <v>0</v>
      </c>
      <c r="BK2235" s="46">
        <v>0</v>
      </c>
      <c r="BL2235" s="46">
        <v>0</v>
      </c>
      <c r="BM2235" s="46">
        <v>0</v>
      </c>
      <c r="BN2235" s="46">
        <v>0</v>
      </c>
    </row>
    <row r="2236" spans="1:66" x14ac:dyDescent="0.35">
      <c r="A2236" t="s">
        <v>6287</v>
      </c>
      <c r="B2236" s="44" t="s">
        <v>48</v>
      </c>
      <c r="C2236" t="s">
        <v>6290</v>
      </c>
      <c r="D2236" t="s">
        <v>339</v>
      </c>
      <c r="E2236" t="s">
        <v>6288</v>
      </c>
      <c r="F2236" t="s">
        <v>6265</v>
      </c>
      <c r="G2236" t="s">
        <v>74</v>
      </c>
      <c r="H2236">
        <v>0</v>
      </c>
      <c r="I2236" s="60" t="s">
        <v>149</v>
      </c>
      <c r="J2236" s="33" t="s">
        <v>45</v>
      </c>
      <c r="K2236" s="46">
        <v>0</v>
      </c>
      <c r="L2236">
        <v>15</v>
      </c>
      <c r="M2236" t="s">
        <v>48</v>
      </c>
      <c r="N2236" s="46">
        <v>0</v>
      </c>
      <c r="O2236" s="46">
        <v>0</v>
      </c>
      <c r="P2236" s="46">
        <v>0</v>
      </c>
      <c r="Q2236" t="s">
        <v>48</v>
      </c>
      <c r="R2236" t="s">
        <v>48</v>
      </c>
      <c r="S2236" t="s">
        <v>6289</v>
      </c>
      <c r="T2236" t="s">
        <v>48</v>
      </c>
      <c r="U2236" t="s">
        <v>6289</v>
      </c>
      <c r="V2236" s="47">
        <v>0</v>
      </c>
      <c r="W2236" t="s">
        <v>48</v>
      </c>
      <c r="X2236" t="s">
        <v>48</v>
      </c>
      <c r="Y2236" t="s">
        <v>48</v>
      </c>
      <c r="Z2236">
        <v>0</v>
      </c>
      <c r="AA2236" t="s">
        <v>48</v>
      </c>
      <c r="AB2236" t="s">
        <v>48</v>
      </c>
      <c r="AC2236" t="s">
        <v>49</v>
      </c>
      <c r="AD2236" t="s">
        <v>93</v>
      </c>
      <c r="AE2236" t="s">
        <v>4532</v>
      </c>
      <c r="AF2236" t="s">
        <v>48</v>
      </c>
      <c r="AG2236" t="s">
        <v>48</v>
      </c>
      <c r="AH2236" t="s">
        <v>48</v>
      </c>
      <c r="AI2236" t="s">
        <v>48</v>
      </c>
      <c r="AJ2236" t="s">
        <v>48</v>
      </c>
      <c r="AK2236" t="s">
        <v>48</v>
      </c>
      <c r="AL2236" t="s">
        <v>48</v>
      </c>
      <c r="AM2236" t="s">
        <v>48</v>
      </c>
      <c r="AN2236" t="s">
        <v>48</v>
      </c>
      <c r="AO2236" t="s">
        <v>48</v>
      </c>
      <c r="AP2236" s="46">
        <v>0</v>
      </c>
      <c r="AQ2236" s="46">
        <v>0</v>
      </c>
      <c r="AR2236" s="46">
        <v>0</v>
      </c>
      <c r="AS2236" s="46">
        <v>0</v>
      </c>
      <c r="AT2236" s="46">
        <v>0</v>
      </c>
      <c r="AU2236" s="46">
        <v>0</v>
      </c>
      <c r="AV2236" s="46">
        <v>0</v>
      </c>
      <c r="AW2236" s="46">
        <v>0</v>
      </c>
      <c r="AX2236" s="46">
        <v>0</v>
      </c>
      <c r="AY2236" s="46">
        <v>0</v>
      </c>
      <c r="AZ2236" s="46">
        <v>0</v>
      </c>
      <c r="BA2236" s="46">
        <v>0</v>
      </c>
      <c r="BB2236" s="46">
        <v>0</v>
      </c>
      <c r="BC2236" s="46">
        <v>0</v>
      </c>
      <c r="BD2236" s="46">
        <v>0</v>
      </c>
      <c r="BE2236" s="46">
        <v>0</v>
      </c>
      <c r="BF2236" s="46">
        <v>0</v>
      </c>
      <c r="BG2236" s="46" t="s">
        <v>48</v>
      </c>
      <c r="BH2236" s="46">
        <v>0</v>
      </c>
      <c r="BI2236" s="46">
        <v>0</v>
      </c>
      <c r="BJ2236" s="46">
        <v>0</v>
      </c>
      <c r="BK2236" s="46">
        <v>0</v>
      </c>
      <c r="BL2236" s="46">
        <v>0</v>
      </c>
      <c r="BM2236" s="46">
        <v>0</v>
      </c>
      <c r="BN2236" s="46">
        <v>0</v>
      </c>
    </row>
    <row r="2237" spans="1:66" x14ac:dyDescent="0.35">
      <c r="A2237" t="s">
        <v>6274</v>
      </c>
      <c r="B2237" s="44" t="s">
        <v>48</v>
      </c>
      <c r="C2237" t="s">
        <v>504</v>
      </c>
      <c r="D2237" t="s">
        <v>523</v>
      </c>
      <c r="E2237" t="s">
        <v>6275</v>
      </c>
      <c r="F2237" t="s">
        <v>6265</v>
      </c>
      <c r="G2237" t="s">
        <v>74</v>
      </c>
      <c r="H2237">
        <v>0</v>
      </c>
      <c r="I2237" s="60" t="s">
        <v>11160</v>
      </c>
      <c r="J2237" s="33" t="s">
        <v>45</v>
      </c>
      <c r="K2237" s="46">
        <v>0</v>
      </c>
      <c r="L2237">
        <v>28</v>
      </c>
      <c r="M2237">
        <v>24.1</v>
      </c>
      <c r="N2237" s="46">
        <v>0</v>
      </c>
      <c r="O2237" s="46">
        <v>0</v>
      </c>
      <c r="P2237" s="46">
        <v>0</v>
      </c>
      <c r="Q2237" t="s">
        <v>48</v>
      </c>
      <c r="R2237" t="s">
        <v>48</v>
      </c>
      <c r="S2237" t="s">
        <v>6276</v>
      </c>
      <c r="T2237" t="s">
        <v>48</v>
      </c>
      <c r="U2237" t="s">
        <v>6276</v>
      </c>
      <c r="V2237" s="47">
        <v>0</v>
      </c>
      <c r="W2237" t="s">
        <v>11317</v>
      </c>
      <c r="X2237" t="s">
        <v>48</v>
      </c>
      <c r="Y2237" t="s">
        <v>48</v>
      </c>
      <c r="Z2237">
        <v>0</v>
      </c>
      <c r="AA2237" t="s">
        <v>48</v>
      </c>
      <c r="AB2237" t="s">
        <v>48</v>
      </c>
      <c r="AC2237" t="s">
        <v>49</v>
      </c>
      <c r="AD2237" t="s">
        <v>93</v>
      </c>
      <c r="AE2237" s="40" t="s">
        <v>2471</v>
      </c>
      <c r="AF2237" t="s">
        <v>11061</v>
      </c>
      <c r="AG2237" t="s">
        <v>48</v>
      </c>
      <c r="AH2237" t="s">
        <v>48</v>
      </c>
      <c r="AI2237" t="s">
        <v>48</v>
      </c>
      <c r="AJ2237" t="s">
        <v>48</v>
      </c>
      <c r="AK2237" t="s">
        <v>48</v>
      </c>
      <c r="AL2237" t="s">
        <v>48</v>
      </c>
      <c r="AM2237" t="s">
        <v>48</v>
      </c>
      <c r="AN2237" t="s">
        <v>48</v>
      </c>
      <c r="AO2237" t="s">
        <v>48</v>
      </c>
      <c r="AP2237" s="46">
        <v>0</v>
      </c>
      <c r="AQ2237" s="46">
        <v>0</v>
      </c>
      <c r="AR2237" s="46">
        <v>0</v>
      </c>
      <c r="AS2237" s="46">
        <v>0</v>
      </c>
      <c r="AT2237" s="46">
        <v>0</v>
      </c>
      <c r="AU2237" s="46">
        <v>0</v>
      </c>
      <c r="AV2237" s="46">
        <v>0</v>
      </c>
      <c r="AW2237" s="46">
        <v>0</v>
      </c>
      <c r="AX2237" s="46">
        <v>0</v>
      </c>
      <c r="AY2237" s="46">
        <v>0</v>
      </c>
      <c r="AZ2237" s="46">
        <v>0</v>
      </c>
      <c r="BA2237" s="46">
        <v>0</v>
      </c>
      <c r="BB2237" s="46">
        <v>0</v>
      </c>
      <c r="BC2237" s="46">
        <v>0</v>
      </c>
      <c r="BD2237" s="46">
        <v>0</v>
      </c>
      <c r="BE2237" s="46">
        <v>0</v>
      </c>
      <c r="BF2237" s="46">
        <v>0</v>
      </c>
      <c r="BG2237" s="46" t="s">
        <v>48</v>
      </c>
      <c r="BH2237" s="46">
        <v>0</v>
      </c>
      <c r="BI2237" s="46">
        <v>0</v>
      </c>
      <c r="BJ2237" s="46">
        <v>0</v>
      </c>
      <c r="BK2237" s="46">
        <v>0</v>
      </c>
      <c r="BL2237" s="46">
        <v>0</v>
      </c>
      <c r="BM2237" s="46">
        <v>0</v>
      </c>
      <c r="BN2237" s="46">
        <v>0</v>
      </c>
    </row>
    <row r="2238" spans="1:66" x14ac:dyDescent="0.35">
      <c r="A2238" t="s">
        <v>6308</v>
      </c>
      <c r="B2238" t="s">
        <v>48</v>
      </c>
      <c r="C2238" t="s">
        <v>2835</v>
      </c>
      <c r="D2238" t="s">
        <v>6311</v>
      </c>
      <c r="E2238" t="s">
        <v>6309</v>
      </c>
      <c r="F2238" t="s">
        <v>6302</v>
      </c>
      <c r="G2238" t="s">
        <v>47</v>
      </c>
      <c r="H2238">
        <v>0</v>
      </c>
      <c r="I2238" s="60" t="s">
        <v>51</v>
      </c>
      <c r="J2238" s="33" t="s">
        <v>45</v>
      </c>
      <c r="K2238" s="46">
        <v>0</v>
      </c>
      <c r="L2238">
        <v>16.7</v>
      </c>
      <c r="M2238" t="s">
        <v>48</v>
      </c>
      <c r="N2238" s="46">
        <v>0</v>
      </c>
      <c r="O2238" s="46">
        <v>0</v>
      </c>
      <c r="P2238" s="46">
        <v>0</v>
      </c>
      <c r="Q2238" t="s">
        <v>48</v>
      </c>
      <c r="R2238" t="s">
        <v>48</v>
      </c>
      <c r="S2238" t="s">
        <v>6310</v>
      </c>
      <c r="T2238" t="s">
        <v>48</v>
      </c>
      <c r="U2238" t="s">
        <v>6310</v>
      </c>
      <c r="V2238" s="47">
        <v>0</v>
      </c>
      <c r="W2238" t="s">
        <v>48</v>
      </c>
      <c r="X2238" t="s">
        <v>48</v>
      </c>
      <c r="Y2238" t="s">
        <v>48</v>
      </c>
      <c r="Z2238">
        <v>0</v>
      </c>
      <c r="AA2238" t="s">
        <v>48</v>
      </c>
      <c r="AB2238" t="s">
        <v>48</v>
      </c>
      <c r="AC2238" t="s">
        <v>49</v>
      </c>
      <c r="AD2238" t="s">
        <v>93</v>
      </c>
      <c r="AE2238" t="s">
        <v>4532</v>
      </c>
      <c r="AF2238" t="s">
        <v>48</v>
      </c>
      <c r="AG2238" t="s">
        <v>48</v>
      </c>
      <c r="AH2238" t="s">
        <v>48</v>
      </c>
      <c r="AI2238" t="s">
        <v>48</v>
      </c>
      <c r="AJ2238" t="s">
        <v>48</v>
      </c>
      <c r="AK2238" t="s">
        <v>48</v>
      </c>
      <c r="AL2238" t="s">
        <v>48</v>
      </c>
      <c r="AM2238" t="s">
        <v>48</v>
      </c>
      <c r="AN2238" t="s">
        <v>48</v>
      </c>
      <c r="AO2238" t="s">
        <v>48</v>
      </c>
      <c r="AP2238" s="46">
        <v>0</v>
      </c>
      <c r="AQ2238" s="46">
        <v>0</v>
      </c>
      <c r="AR2238" s="46">
        <v>0</v>
      </c>
      <c r="AS2238" s="46">
        <v>0</v>
      </c>
      <c r="AT2238" s="46">
        <v>0</v>
      </c>
      <c r="AU2238" s="46">
        <v>0</v>
      </c>
      <c r="AV2238" s="46">
        <v>0</v>
      </c>
      <c r="AW2238" s="46">
        <v>0</v>
      </c>
      <c r="AX2238" s="46">
        <v>0</v>
      </c>
      <c r="AY2238" s="46">
        <v>0</v>
      </c>
      <c r="AZ2238" s="46">
        <v>0</v>
      </c>
      <c r="BA2238" s="46">
        <v>0</v>
      </c>
      <c r="BB2238" s="46">
        <v>0</v>
      </c>
      <c r="BC2238" s="46">
        <v>0</v>
      </c>
      <c r="BD2238" s="46">
        <v>0</v>
      </c>
      <c r="BE2238" s="46">
        <v>0</v>
      </c>
      <c r="BF2238" s="46">
        <v>0</v>
      </c>
      <c r="BG2238" s="46" t="s">
        <v>48</v>
      </c>
      <c r="BH2238" s="46">
        <v>0</v>
      </c>
      <c r="BI2238" s="46">
        <v>0</v>
      </c>
      <c r="BJ2238" s="46">
        <v>0</v>
      </c>
      <c r="BK2238" s="46">
        <v>0</v>
      </c>
      <c r="BL2238" s="46">
        <v>0</v>
      </c>
      <c r="BM2238" s="46">
        <v>0</v>
      </c>
      <c r="BN2238" s="46">
        <v>0</v>
      </c>
    </row>
    <row r="2239" spans="1:66" x14ac:dyDescent="0.35">
      <c r="A2239" t="s">
        <v>6312</v>
      </c>
      <c r="B2239" t="s">
        <v>48</v>
      </c>
      <c r="C2239" t="s">
        <v>6314</v>
      </c>
      <c r="D2239" t="s">
        <v>772</v>
      </c>
      <c r="E2239" t="s">
        <v>6313</v>
      </c>
      <c r="F2239" t="s">
        <v>6302</v>
      </c>
      <c r="G2239" t="s">
        <v>47</v>
      </c>
      <c r="H2239">
        <v>0</v>
      </c>
      <c r="I2239" s="60" t="s">
        <v>51</v>
      </c>
      <c r="J2239" s="33" t="s">
        <v>45</v>
      </c>
      <c r="K2239" s="46">
        <v>0</v>
      </c>
      <c r="L2239">
        <v>4.5999999999999996</v>
      </c>
      <c r="M2239" t="s">
        <v>48</v>
      </c>
      <c r="N2239" s="46">
        <v>0</v>
      </c>
      <c r="O2239" s="46">
        <v>0</v>
      </c>
      <c r="P2239" s="46">
        <v>0</v>
      </c>
      <c r="Q2239" t="s">
        <v>48</v>
      </c>
      <c r="R2239" t="s">
        <v>48</v>
      </c>
      <c r="S2239" t="s">
        <v>48</v>
      </c>
      <c r="T2239" t="s">
        <v>48</v>
      </c>
      <c r="U2239" t="s">
        <v>48</v>
      </c>
      <c r="V2239" s="47">
        <v>0</v>
      </c>
      <c r="W2239" t="s">
        <v>48</v>
      </c>
      <c r="X2239" t="s">
        <v>48</v>
      </c>
      <c r="Y2239" t="s">
        <v>48</v>
      </c>
      <c r="Z2239">
        <v>0</v>
      </c>
      <c r="AA2239" t="s">
        <v>48</v>
      </c>
      <c r="AB2239" t="s">
        <v>48</v>
      </c>
      <c r="AC2239" t="s">
        <v>49</v>
      </c>
      <c r="AD2239" t="s">
        <v>93</v>
      </c>
      <c r="AE2239" s="40" t="s">
        <v>2471</v>
      </c>
      <c r="AF2239" t="s">
        <v>11101</v>
      </c>
      <c r="AG2239" t="s">
        <v>266</v>
      </c>
      <c r="AH2239" t="s">
        <v>48</v>
      </c>
      <c r="AI2239" t="s">
        <v>48</v>
      </c>
      <c r="AJ2239" t="s">
        <v>48</v>
      </c>
      <c r="AK2239" t="s">
        <v>48</v>
      </c>
      <c r="AL2239" t="s">
        <v>48</v>
      </c>
      <c r="AM2239" t="s">
        <v>48</v>
      </c>
      <c r="AN2239" t="s">
        <v>48</v>
      </c>
      <c r="AO2239" t="s">
        <v>48</v>
      </c>
      <c r="AP2239" s="46">
        <v>0</v>
      </c>
      <c r="AQ2239" s="46">
        <v>0</v>
      </c>
      <c r="AR2239" s="46">
        <v>0</v>
      </c>
      <c r="AS2239" s="46">
        <v>0</v>
      </c>
      <c r="AT2239" s="46">
        <v>0</v>
      </c>
      <c r="AU2239" s="46">
        <v>0</v>
      </c>
      <c r="AV2239" s="46">
        <v>0</v>
      </c>
      <c r="AW2239" s="46">
        <v>0</v>
      </c>
      <c r="AX2239" s="46">
        <v>0</v>
      </c>
      <c r="AY2239" s="46">
        <v>0</v>
      </c>
      <c r="AZ2239" s="46">
        <v>0</v>
      </c>
      <c r="BA2239" s="46">
        <v>0</v>
      </c>
      <c r="BB2239" s="46">
        <v>0</v>
      </c>
      <c r="BC2239" s="46">
        <v>0</v>
      </c>
      <c r="BD2239" s="46">
        <v>0</v>
      </c>
      <c r="BE2239" s="46">
        <v>0</v>
      </c>
      <c r="BF2239" s="46">
        <v>0</v>
      </c>
      <c r="BG2239" s="46" t="s">
        <v>48</v>
      </c>
      <c r="BH2239" s="46">
        <v>0</v>
      </c>
      <c r="BI2239" s="46">
        <v>0</v>
      </c>
      <c r="BJ2239" s="46">
        <v>0</v>
      </c>
      <c r="BK2239" s="46">
        <v>0</v>
      </c>
      <c r="BL2239" s="46">
        <v>0</v>
      </c>
      <c r="BM2239" s="46">
        <v>0</v>
      </c>
      <c r="BN2239" s="46">
        <v>0</v>
      </c>
    </row>
    <row r="2240" spans="1:66" x14ac:dyDescent="0.35">
      <c r="A2240" t="s">
        <v>6320</v>
      </c>
      <c r="B2240" t="s">
        <v>48</v>
      </c>
      <c r="C2240" t="s">
        <v>6324</v>
      </c>
      <c r="D2240" t="s">
        <v>6323</v>
      </c>
      <c r="E2240" t="s">
        <v>6321</v>
      </c>
      <c r="F2240" t="s">
        <v>6302</v>
      </c>
      <c r="G2240" t="s">
        <v>47</v>
      </c>
      <c r="H2240">
        <v>0</v>
      </c>
      <c r="I2240" s="60" t="s">
        <v>149</v>
      </c>
      <c r="J2240" s="33" t="s">
        <v>45</v>
      </c>
      <c r="K2240" s="46">
        <v>0</v>
      </c>
      <c r="L2240">
        <v>4.5</v>
      </c>
      <c r="M2240" t="s">
        <v>48</v>
      </c>
      <c r="N2240" s="46">
        <v>0</v>
      </c>
      <c r="O2240" s="46">
        <v>0</v>
      </c>
      <c r="P2240" s="46">
        <v>0</v>
      </c>
      <c r="Q2240" t="s">
        <v>48</v>
      </c>
      <c r="R2240" t="s">
        <v>48</v>
      </c>
      <c r="S2240" t="s">
        <v>6322</v>
      </c>
      <c r="T2240" t="s">
        <v>48</v>
      </c>
      <c r="U2240" t="s">
        <v>6322</v>
      </c>
      <c r="V2240" s="47">
        <v>0</v>
      </c>
      <c r="W2240" t="s">
        <v>48</v>
      </c>
      <c r="X2240" t="s">
        <v>48</v>
      </c>
      <c r="Y2240" t="s">
        <v>48</v>
      </c>
      <c r="Z2240">
        <v>0</v>
      </c>
      <c r="AA2240" t="s">
        <v>48</v>
      </c>
      <c r="AB2240" t="s">
        <v>48</v>
      </c>
      <c r="AC2240" t="s">
        <v>49</v>
      </c>
      <c r="AD2240" t="s">
        <v>93</v>
      </c>
      <c r="AE2240" t="s">
        <v>4532</v>
      </c>
      <c r="AF2240" t="s">
        <v>48</v>
      </c>
      <c r="AG2240" t="s">
        <v>48</v>
      </c>
      <c r="AH2240" t="s">
        <v>48</v>
      </c>
      <c r="AI2240" t="s">
        <v>48</v>
      </c>
      <c r="AJ2240" t="s">
        <v>48</v>
      </c>
      <c r="AK2240" t="s">
        <v>48</v>
      </c>
      <c r="AL2240" t="s">
        <v>48</v>
      </c>
      <c r="AM2240" t="s">
        <v>48</v>
      </c>
      <c r="AN2240" t="s">
        <v>48</v>
      </c>
      <c r="AO2240" t="s">
        <v>48</v>
      </c>
      <c r="AP2240" s="46">
        <v>0</v>
      </c>
      <c r="AQ2240" s="46">
        <v>0</v>
      </c>
      <c r="AR2240" s="46">
        <v>0</v>
      </c>
      <c r="AS2240" s="46">
        <v>0</v>
      </c>
      <c r="AT2240" s="46">
        <v>0</v>
      </c>
      <c r="AU2240" s="46">
        <v>0</v>
      </c>
      <c r="AV2240" s="46">
        <v>0</v>
      </c>
      <c r="AW2240" s="46">
        <v>0</v>
      </c>
      <c r="AX2240" s="46">
        <v>0</v>
      </c>
      <c r="AY2240" s="46">
        <v>0</v>
      </c>
      <c r="AZ2240" s="46">
        <v>0</v>
      </c>
      <c r="BA2240" s="46">
        <v>0</v>
      </c>
      <c r="BB2240" s="46">
        <v>0</v>
      </c>
      <c r="BC2240" s="46">
        <v>0</v>
      </c>
      <c r="BD2240" s="46">
        <v>0</v>
      </c>
      <c r="BE2240" s="46">
        <v>0</v>
      </c>
      <c r="BF2240" s="46">
        <v>0</v>
      </c>
      <c r="BG2240" s="46" t="s">
        <v>48</v>
      </c>
      <c r="BH2240" s="46">
        <v>0</v>
      </c>
      <c r="BI2240" s="46">
        <v>0</v>
      </c>
      <c r="BJ2240" s="46">
        <v>0</v>
      </c>
      <c r="BK2240" s="46">
        <v>0</v>
      </c>
      <c r="BL2240" s="46">
        <v>0</v>
      </c>
      <c r="BM2240" s="46">
        <v>0</v>
      </c>
      <c r="BN2240" s="46">
        <v>0</v>
      </c>
    </row>
    <row r="2241" spans="1:66" x14ac:dyDescent="0.35">
      <c r="A2241" t="s">
        <v>6337</v>
      </c>
      <c r="B2241" s="44" t="s">
        <v>48</v>
      </c>
      <c r="C2241" t="s">
        <v>520</v>
      </c>
      <c r="D2241" t="s">
        <v>6340</v>
      </c>
      <c r="E2241" t="s">
        <v>6338</v>
      </c>
      <c r="F2241" t="s">
        <v>6326</v>
      </c>
      <c r="G2241" t="s">
        <v>74</v>
      </c>
      <c r="H2241">
        <v>0</v>
      </c>
      <c r="I2241" s="60" t="s">
        <v>51</v>
      </c>
      <c r="J2241" s="33" t="s">
        <v>45</v>
      </c>
      <c r="K2241" s="46">
        <v>0</v>
      </c>
      <c r="L2241">
        <v>38</v>
      </c>
      <c r="M2241" t="s">
        <v>48</v>
      </c>
      <c r="N2241" s="46">
        <v>0</v>
      </c>
      <c r="O2241" s="46">
        <v>0</v>
      </c>
      <c r="P2241" s="46">
        <v>0</v>
      </c>
      <c r="Q2241" t="s">
        <v>48</v>
      </c>
      <c r="R2241" t="s">
        <v>48</v>
      </c>
      <c r="S2241" t="s">
        <v>6339</v>
      </c>
      <c r="T2241" t="s">
        <v>48</v>
      </c>
      <c r="U2241" t="s">
        <v>6339</v>
      </c>
      <c r="V2241" s="47">
        <v>0</v>
      </c>
      <c r="W2241" t="s">
        <v>48</v>
      </c>
      <c r="X2241" t="s">
        <v>48</v>
      </c>
      <c r="Y2241" t="s">
        <v>48</v>
      </c>
      <c r="Z2241">
        <v>0</v>
      </c>
      <c r="AA2241" t="s">
        <v>48</v>
      </c>
      <c r="AB2241" t="s">
        <v>48</v>
      </c>
      <c r="AC2241" t="s">
        <v>49</v>
      </c>
      <c r="AD2241" t="s">
        <v>93</v>
      </c>
      <c r="AE2241" s="40" t="s">
        <v>2471</v>
      </c>
      <c r="AF2241" t="s">
        <v>11061</v>
      </c>
      <c r="AG2241" t="s">
        <v>48</v>
      </c>
      <c r="AH2241" t="s">
        <v>48</v>
      </c>
      <c r="AI2241" t="s">
        <v>48</v>
      </c>
      <c r="AJ2241" t="s">
        <v>48</v>
      </c>
      <c r="AK2241" t="s">
        <v>48</v>
      </c>
      <c r="AL2241" t="s">
        <v>48</v>
      </c>
      <c r="AM2241" t="s">
        <v>48</v>
      </c>
      <c r="AN2241" t="s">
        <v>48</v>
      </c>
      <c r="AO2241" t="s">
        <v>48</v>
      </c>
      <c r="AP2241" s="46">
        <v>0</v>
      </c>
      <c r="AQ2241" s="46">
        <v>0</v>
      </c>
      <c r="AR2241" s="46">
        <v>0</v>
      </c>
      <c r="AS2241" s="46">
        <v>0</v>
      </c>
      <c r="AT2241" s="46">
        <v>0</v>
      </c>
      <c r="AU2241" s="46">
        <v>0</v>
      </c>
      <c r="AV2241" s="46">
        <v>0</v>
      </c>
      <c r="AW2241" s="46">
        <v>0</v>
      </c>
      <c r="AX2241" s="46">
        <v>0</v>
      </c>
      <c r="AY2241" s="46">
        <v>0</v>
      </c>
      <c r="AZ2241" s="46">
        <v>0</v>
      </c>
      <c r="BA2241" s="46">
        <v>0</v>
      </c>
      <c r="BB2241" s="46">
        <v>0</v>
      </c>
      <c r="BC2241" s="46">
        <v>0</v>
      </c>
      <c r="BD2241" s="46">
        <v>0</v>
      </c>
      <c r="BE2241" s="46">
        <v>0</v>
      </c>
      <c r="BF2241" s="46">
        <v>0</v>
      </c>
      <c r="BG2241" s="46" t="s">
        <v>48</v>
      </c>
      <c r="BH2241" s="46">
        <v>0</v>
      </c>
      <c r="BI2241" s="46">
        <v>0</v>
      </c>
      <c r="BJ2241" s="46">
        <v>0</v>
      </c>
      <c r="BK2241" s="46">
        <v>0</v>
      </c>
      <c r="BL2241" s="46">
        <v>0</v>
      </c>
      <c r="BM2241" s="46">
        <v>0</v>
      </c>
      <c r="BN2241" s="46">
        <v>0</v>
      </c>
    </row>
    <row r="2242" spans="1:66" x14ac:dyDescent="0.35">
      <c r="A2242" t="s">
        <v>6330</v>
      </c>
      <c r="B2242" t="s">
        <v>48</v>
      </c>
      <c r="C2242" t="s">
        <v>6332</v>
      </c>
      <c r="D2242" t="s">
        <v>1635</v>
      </c>
      <c r="E2242" t="s">
        <v>6331</v>
      </c>
      <c r="F2242" t="s">
        <v>6326</v>
      </c>
      <c r="G2242" t="s">
        <v>47</v>
      </c>
      <c r="H2242">
        <v>0</v>
      </c>
      <c r="I2242" s="60" t="s">
        <v>149</v>
      </c>
      <c r="J2242" s="33" t="s">
        <v>45</v>
      </c>
      <c r="K2242" s="46">
        <v>0</v>
      </c>
      <c r="L2242">
        <v>1.3</v>
      </c>
      <c r="M2242" t="s">
        <v>48</v>
      </c>
      <c r="N2242" s="46">
        <v>0</v>
      </c>
      <c r="O2242" s="46">
        <v>0</v>
      </c>
      <c r="P2242" s="46">
        <v>0</v>
      </c>
      <c r="Q2242" t="s">
        <v>48</v>
      </c>
      <c r="R2242" t="s">
        <v>48</v>
      </c>
      <c r="S2242" t="s">
        <v>48</v>
      </c>
      <c r="T2242" t="s">
        <v>48</v>
      </c>
      <c r="U2242" t="s">
        <v>48</v>
      </c>
      <c r="V2242" s="47">
        <v>0</v>
      </c>
      <c r="W2242" t="s">
        <v>48</v>
      </c>
      <c r="X2242" t="s">
        <v>48</v>
      </c>
      <c r="Y2242" t="s">
        <v>48</v>
      </c>
      <c r="Z2242">
        <v>0</v>
      </c>
      <c r="AA2242" t="s">
        <v>48</v>
      </c>
      <c r="AB2242" t="s">
        <v>48</v>
      </c>
      <c r="AC2242" t="s">
        <v>49</v>
      </c>
      <c r="AD2242" t="s">
        <v>93</v>
      </c>
      <c r="AE2242" t="s">
        <v>4532</v>
      </c>
      <c r="AF2242" t="s">
        <v>48</v>
      </c>
      <c r="AG2242" t="s">
        <v>48</v>
      </c>
      <c r="AH2242" t="s">
        <v>48</v>
      </c>
      <c r="AI2242" t="s">
        <v>48</v>
      </c>
      <c r="AJ2242" t="s">
        <v>48</v>
      </c>
      <c r="AK2242" t="s">
        <v>48</v>
      </c>
      <c r="AL2242" t="s">
        <v>48</v>
      </c>
      <c r="AM2242" t="s">
        <v>48</v>
      </c>
      <c r="AN2242" t="s">
        <v>48</v>
      </c>
      <c r="AO2242" t="s">
        <v>48</v>
      </c>
      <c r="AP2242" s="46">
        <v>0</v>
      </c>
      <c r="AQ2242" s="46">
        <v>0</v>
      </c>
      <c r="AR2242" s="46">
        <v>0</v>
      </c>
      <c r="AS2242" s="46">
        <v>0</v>
      </c>
      <c r="AT2242" s="46">
        <v>0</v>
      </c>
      <c r="AU2242" s="46">
        <v>0</v>
      </c>
      <c r="AV2242" s="46">
        <v>0</v>
      </c>
      <c r="AW2242" s="46">
        <v>0</v>
      </c>
      <c r="AX2242" s="46">
        <v>0</v>
      </c>
      <c r="AY2242" s="46">
        <v>0</v>
      </c>
      <c r="AZ2242" s="46">
        <v>0</v>
      </c>
      <c r="BA2242" s="46">
        <v>0</v>
      </c>
      <c r="BB2242" s="46">
        <v>0</v>
      </c>
      <c r="BC2242" s="46">
        <v>0</v>
      </c>
      <c r="BD2242" s="46">
        <v>0</v>
      </c>
      <c r="BE2242" s="46">
        <v>0</v>
      </c>
      <c r="BF2242" s="46">
        <v>0</v>
      </c>
      <c r="BG2242" s="46" t="s">
        <v>48</v>
      </c>
      <c r="BH2242" s="46">
        <v>0</v>
      </c>
      <c r="BI2242" s="46">
        <v>0</v>
      </c>
      <c r="BJ2242" s="46">
        <v>0</v>
      </c>
      <c r="BK2242" s="46">
        <v>0</v>
      </c>
      <c r="BL2242" s="46">
        <v>0</v>
      </c>
      <c r="BM2242" s="46">
        <v>0</v>
      </c>
      <c r="BN2242" s="46">
        <v>0</v>
      </c>
    </row>
    <row r="2243" spans="1:66" x14ac:dyDescent="0.35">
      <c r="A2243" t="s">
        <v>6350</v>
      </c>
      <c r="B2243" t="s">
        <v>48</v>
      </c>
      <c r="C2243" t="s">
        <v>332</v>
      </c>
      <c r="D2243" t="s">
        <v>6352</v>
      </c>
      <c r="E2243" t="s">
        <v>6351</v>
      </c>
      <c r="F2243" t="s">
        <v>6326</v>
      </c>
      <c r="G2243" t="s">
        <v>47</v>
      </c>
      <c r="H2243">
        <v>0</v>
      </c>
      <c r="I2243" s="60" t="s">
        <v>149</v>
      </c>
      <c r="J2243" s="33" t="s">
        <v>45</v>
      </c>
      <c r="K2243" s="46">
        <v>0</v>
      </c>
      <c r="L2243">
        <v>2.7</v>
      </c>
      <c r="M2243" t="s">
        <v>48</v>
      </c>
      <c r="N2243" s="46">
        <v>0</v>
      </c>
      <c r="O2243" s="46">
        <v>0</v>
      </c>
      <c r="P2243" s="46">
        <v>0</v>
      </c>
      <c r="Q2243" t="s">
        <v>48</v>
      </c>
      <c r="R2243" t="s">
        <v>48</v>
      </c>
      <c r="S2243" t="s">
        <v>48</v>
      </c>
      <c r="T2243" t="s">
        <v>48</v>
      </c>
      <c r="U2243" t="s">
        <v>48</v>
      </c>
      <c r="V2243" s="47">
        <v>0</v>
      </c>
      <c r="W2243" t="s">
        <v>48</v>
      </c>
      <c r="X2243" t="s">
        <v>48</v>
      </c>
      <c r="Y2243" t="s">
        <v>48</v>
      </c>
      <c r="Z2243">
        <v>0</v>
      </c>
      <c r="AA2243" t="s">
        <v>48</v>
      </c>
      <c r="AB2243" t="s">
        <v>48</v>
      </c>
      <c r="AC2243" t="s">
        <v>49</v>
      </c>
      <c r="AD2243" t="s">
        <v>93</v>
      </c>
      <c r="AE2243" t="s">
        <v>4532</v>
      </c>
      <c r="AF2243" t="s">
        <v>48</v>
      </c>
      <c r="AG2243" t="s">
        <v>48</v>
      </c>
      <c r="AH2243" t="s">
        <v>48</v>
      </c>
      <c r="AI2243" t="s">
        <v>48</v>
      </c>
      <c r="AJ2243" t="s">
        <v>48</v>
      </c>
      <c r="AK2243" t="s">
        <v>48</v>
      </c>
      <c r="AL2243" t="s">
        <v>48</v>
      </c>
      <c r="AM2243" t="s">
        <v>48</v>
      </c>
      <c r="AN2243" t="s">
        <v>48</v>
      </c>
      <c r="AO2243" t="s">
        <v>48</v>
      </c>
      <c r="AP2243" s="46">
        <v>0</v>
      </c>
      <c r="AQ2243" s="46">
        <v>0</v>
      </c>
      <c r="AR2243" s="46">
        <v>0</v>
      </c>
      <c r="AS2243" s="46">
        <v>0</v>
      </c>
      <c r="AT2243" s="46">
        <v>0</v>
      </c>
      <c r="AU2243" s="46">
        <v>0</v>
      </c>
      <c r="AV2243" s="46">
        <v>0</v>
      </c>
      <c r="AW2243" s="46">
        <v>0</v>
      </c>
      <c r="AX2243" s="46">
        <v>0</v>
      </c>
      <c r="AY2243" s="46">
        <v>0</v>
      </c>
      <c r="AZ2243" s="46">
        <v>0</v>
      </c>
      <c r="BA2243" s="46">
        <v>0</v>
      </c>
      <c r="BB2243" s="46">
        <v>0</v>
      </c>
      <c r="BC2243" s="46">
        <v>0</v>
      </c>
      <c r="BD2243" s="46">
        <v>0</v>
      </c>
      <c r="BE2243" s="46">
        <v>0</v>
      </c>
      <c r="BF2243" s="46">
        <v>0</v>
      </c>
      <c r="BG2243" s="46" t="s">
        <v>48</v>
      </c>
      <c r="BH2243" s="46">
        <v>0</v>
      </c>
      <c r="BI2243" s="46">
        <v>0</v>
      </c>
      <c r="BJ2243" s="46">
        <v>0</v>
      </c>
      <c r="BK2243" s="46">
        <v>0</v>
      </c>
      <c r="BL2243" s="46">
        <v>0</v>
      </c>
      <c r="BM2243" s="46">
        <v>0</v>
      </c>
      <c r="BN2243" s="46">
        <v>0</v>
      </c>
    </row>
    <row r="2244" spans="1:66" x14ac:dyDescent="0.35">
      <c r="A2244" t="s">
        <v>6325</v>
      </c>
      <c r="B2244" t="s">
        <v>48</v>
      </c>
      <c r="C2244" t="s">
        <v>6329</v>
      </c>
      <c r="D2244" t="s">
        <v>5622</v>
      </c>
      <c r="E2244" t="s">
        <v>6327</v>
      </c>
      <c r="F2244" t="s">
        <v>6326</v>
      </c>
      <c r="G2244" t="s">
        <v>47</v>
      </c>
      <c r="H2244">
        <v>0</v>
      </c>
      <c r="I2244" s="60" t="s">
        <v>51</v>
      </c>
      <c r="J2244" s="33" t="s">
        <v>45</v>
      </c>
      <c r="K2244" s="46">
        <v>0</v>
      </c>
      <c r="L2244">
        <v>20.8</v>
      </c>
      <c r="M2244" t="s">
        <v>48</v>
      </c>
      <c r="N2244" s="46">
        <v>0</v>
      </c>
      <c r="O2244" s="46">
        <v>0</v>
      </c>
      <c r="P2244" s="46">
        <v>0</v>
      </c>
      <c r="Q2244" t="s">
        <v>48</v>
      </c>
      <c r="R2244" t="s">
        <v>48</v>
      </c>
      <c r="S2244" t="s">
        <v>6328</v>
      </c>
      <c r="T2244" t="s">
        <v>48</v>
      </c>
      <c r="U2244" t="s">
        <v>6328</v>
      </c>
      <c r="V2244" s="47">
        <v>0</v>
      </c>
      <c r="W2244" t="s">
        <v>48</v>
      </c>
      <c r="X2244" t="s">
        <v>48</v>
      </c>
      <c r="Y2244" t="s">
        <v>48</v>
      </c>
      <c r="Z2244">
        <v>0</v>
      </c>
      <c r="AA2244" t="s">
        <v>48</v>
      </c>
      <c r="AB2244" t="s">
        <v>48</v>
      </c>
      <c r="AC2244" t="s">
        <v>63</v>
      </c>
      <c r="AD2244" t="s">
        <v>93</v>
      </c>
      <c r="AE2244" t="s">
        <v>4532</v>
      </c>
      <c r="AF2244" t="s">
        <v>48</v>
      </c>
      <c r="AG2244" t="s">
        <v>48</v>
      </c>
      <c r="AH2244" t="s">
        <v>48</v>
      </c>
      <c r="AI2244" t="s">
        <v>48</v>
      </c>
      <c r="AJ2244" t="s">
        <v>48</v>
      </c>
      <c r="AK2244" t="s">
        <v>48</v>
      </c>
      <c r="AL2244" t="s">
        <v>48</v>
      </c>
      <c r="AM2244" t="s">
        <v>48</v>
      </c>
      <c r="AN2244" t="s">
        <v>48</v>
      </c>
      <c r="AO2244" t="s">
        <v>48</v>
      </c>
      <c r="AP2244" s="46">
        <v>0</v>
      </c>
      <c r="AQ2244" s="46">
        <v>0</v>
      </c>
      <c r="AR2244" s="46">
        <v>0</v>
      </c>
      <c r="AS2244" s="46">
        <v>0</v>
      </c>
      <c r="AT2244" s="46">
        <v>0</v>
      </c>
      <c r="AU2244" s="46">
        <v>0</v>
      </c>
      <c r="AV2244" s="46">
        <v>0</v>
      </c>
      <c r="AW2244" s="46">
        <v>0</v>
      </c>
      <c r="AX2244" s="46">
        <v>0</v>
      </c>
      <c r="AY2244" s="46">
        <v>0</v>
      </c>
      <c r="AZ2244" s="46">
        <v>0</v>
      </c>
      <c r="BA2244" s="46">
        <v>0</v>
      </c>
      <c r="BB2244" s="46">
        <v>0</v>
      </c>
      <c r="BC2244" s="46">
        <v>0</v>
      </c>
      <c r="BD2244" s="46">
        <v>0</v>
      </c>
      <c r="BE2244" s="46">
        <v>0</v>
      </c>
      <c r="BF2244" s="46">
        <v>0</v>
      </c>
      <c r="BG2244" s="46" t="s">
        <v>48</v>
      </c>
      <c r="BH2244" s="46">
        <v>0</v>
      </c>
      <c r="BI2244" s="46">
        <v>0</v>
      </c>
      <c r="BJ2244" s="46">
        <v>0</v>
      </c>
      <c r="BK2244" s="46">
        <v>0</v>
      </c>
      <c r="BL2244" s="46">
        <v>0</v>
      </c>
      <c r="BM2244" s="46">
        <v>0</v>
      </c>
      <c r="BN2244" s="46">
        <v>0</v>
      </c>
    </row>
    <row r="2245" spans="1:66" x14ac:dyDescent="0.35">
      <c r="A2245" t="s">
        <v>6345</v>
      </c>
      <c r="B2245" t="s">
        <v>48</v>
      </c>
      <c r="C2245" t="s">
        <v>522</v>
      </c>
      <c r="D2245" t="s">
        <v>6349</v>
      </c>
      <c r="E2245" t="s">
        <v>6346</v>
      </c>
      <c r="F2245" t="s">
        <v>6326</v>
      </c>
      <c r="G2245" t="s">
        <v>47</v>
      </c>
      <c r="H2245">
        <v>0</v>
      </c>
      <c r="I2245" s="60" t="s">
        <v>51</v>
      </c>
      <c r="J2245" s="33" t="s">
        <v>45</v>
      </c>
      <c r="K2245" s="46">
        <v>1</v>
      </c>
      <c r="L2245">
        <v>48.7</v>
      </c>
      <c r="M2245" t="s">
        <v>48</v>
      </c>
      <c r="N2245" s="46">
        <v>0</v>
      </c>
      <c r="O2245" s="46">
        <v>0</v>
      </c>
      <c r="P2245" s="46">
        <v>0</v>
      </c>
      <c r="Q2245" t="s">
        <v>48</v>
      </c>
      <c r="R2245" t="s">
        <v>48</v>
      </c>
      <c r="S2245" t="s">
        <v>6347</v>
      </c>
      <c r="T2245" t="s">
        <v>6348</v>
      </c>
      <c r="U2245" t="s">
        <v>6347</v>
      </c>
      <c r="V2245" s="47">
        <v>0</v>
      </c>
      <c r="W2245" t="s">
        <v>48</v>
      </c>
      <c r="X2245" t="s">
        <v>48</v>
      </c>
      <c r="Y2245" t="s">
        <v>48</v>
      </c>
      <c r="Z2245">
        <v>0</v>
      </c>
      <c r="AA2245" t="s">
        <v>11212</v>
      </c>
      <c r="AB2245">
        <v>2018</v>
      </c>
      <c r="AC2245" t="s">
        <v>49</v>
      </c>
      <c r="AD2245" t="s">
        <v>93</v>
      </c>
      <c r="AE2245" t="s">
        <v>4532</v>
      </c>
      <c r="AF2245" t="s">
        <v>48</v>
      </c>
      <c r="AG2245" t="s">
        <v>119</v>
      </c>
      <c r="AH2245" t="s">
        <v>93</v>
      </c>
      <c r="AI2245">
        <v>21973</v>
      </c>
      <c r="AJ2245">
        <v>1972</v>
      </c>
      <c r="AK2245" t="s">
        <v>9298</v>
      </c>
      <c r="AL2245" t="s">
        <v>9299</v>
      </c>
      <c r="AM2245">
        <v>0.56899999999999995</v>
      </c>
      <c r="AN2245">
        <v>-0.217</v>
      </c>
      <c r="AO2245">
        <v>0.56899999999999995</v>
      </c>
      <c r="AP2245" s="46">
        <v>0</v>
      </c>
      <c r="AQ2245" s="46">
        <v>0</v>
      </c>
      <c r="AR2245" s="46">
        <v>0</v>
      </c>
      <c r="AS2245" s="46">
        <v>0</v>
      </c>
      <c r="AT2245" s="46">
        <v>0</v>
      </c>
      <c r="AU2245" s="46">
        <v>0</v>
      </c>
      <c r="AV2245" s="46">
        <v>0</v>
      </c>
      <c r="AW2245" s="46">
        <v>0</v>
      </c>
      <c r="AX2245" s="46">
        <v>0</v>
      </c>
      <c r="AY2245" s="46">
        <v>0</v>
      </c>
      <c r="AZ2245" s="46">
        <v>0</v>
      </c>
      <c r="BA2245" s="46">
        <v>1</v>
      </c>
      <c r="BB2245" s="46">
        <v>1</v>
      </c>
      <c r="BC2245" s="46">
        <v>0</v>
      </c>
      <c r="BD2245" s="46">
        <v>0</v>
      </c>
      <c r="BE2245" s="46">
        <v>0</v>
      </c>
      <c r="BF2245" s="46">
        <v>0</v>
      </c>
      <c r="BG2245" s="46" t="s">
        <v>48</v>
      </c>
      <c r="BH2245" s="46">
        <v>0</v>
      </c>
      <c r="BI2245" s="46">
        <v>0</v>
      </c>
      <c r="BJ2245" s="46">
        <v>0</v>
      </c>
      <c r="BK2245" s="46">
        <v>0</v>
      </c>
      <c r="BL2245" s="46">
        <v>0</v>
      </c>
      <c r="BM2245" s="46">
        <v>0</v>
      </c>
      <c r="BN2245" s="46">
        <v>0</v>
      </c>
    </row>
    <row r="2246" spans="1:66" x14ac:dyDescent="0.35">
      <c r="A2246" t="s">
        <v>6367</v>
      </c>
      <c r="B2246" t="s">
        <v>48</v>
      </c>
      <c r="C2246" t="s">
        <v>253</v>
      </c>
      <c r="D2246" t="s">
        <v>347</v>
      </c>
      <c r="E2246" t="s">
        <v>6368</v>
      </c>
      <c r="F2246" t="s">
        <v>6353</v>
      </c>
      <c r="G2246" t="s">
        <v>47</v>
      </c>
      <c r="H2246">
        <v>0</v>
      </c>
      <c r="I2246" s="60" t="s">
        <v>149</v>
      </c>
      <c r="J2246" s="33" t="s">
        <v>45</v>
      </c>
      <c r="K2246" s="46">
        <v>0</v>
      </c>
      <c r="L2246">
        <v>11</v>
      </c>
      <c r="M2246" t="s">
        <v>48</v>
      </c>
      <c r="N2246" s="46">
        <v>0</v>
      </c>
      <c r="O2246" s="46">
        <v>0</v>
      </c>
      <c r="P2246" s="46">
        <v>0</v>
      </c>
      <c r="Q2246" t="s">
        <v>48</v>
      </c>
      <c r="R2246" t="s">
        <v>48</v>
      </c>
      <c r="S2246" t="s">
        <v>6369</v>
      </c>
      <c r="T2246" t="s">
        <v>48</v>
      </c>
      <c r="U2246" t="s">
        <v>6369</v>
      </c>
      <c r="V2246" s="47">
        <v>0</v>
      </c>
      <c r="W2246" t="s">
        <v>48</v>
      </c>
      <c r="X2246" t="s">
        <v>48</v>
      </c>
      <c r="Y2246" t="s">
        <v>48</v>
      </c>
      <c r="Z2246">
        <v>0</v>
      </c>
      <c r="AA2246" t="s">
        <v>48</v>
      </c>
      <c r="AB2246" t="s">
        <v>48</v>
      </c>
      <c r="AC2246" t="s">
        <v>49</v>
      </c>
      <c r="AD2246" t="s">
        <v>93</v>
      </c>
      <c r="AE2246" t="s">
        <v>4532</v>
      </c>
      <c r="AF2246" t="s">
        <v>48</v>
      </c>
      <c r="AG2246" t="s">
        <v>48</v>
      </c>
      <c r="AH2246" t="s">
        <v>48</v>
      </c>
      <c r="AI2246" t="s">
        <v>48</v>
      </c>
      <c r="AJ2246" t="s">
        <v>48</v>
      </c>
      <c r="AK2246" t="s">
        <v>48</v>
      </c>
      <c r="AL2246" t="s">
        <v>48</v>
      </c>
      <c r="AM2246" t="s">
        <v>48</v>
      </c>
      <c r="AN2246" t="s">
        <v>48</v>
      </c>
      <c r="AO2246" t="s">
        <v>48</v>
      </c>
      <c r="AP2246" s="46">
        <v>0</v>
      </c>
      <c r="AQ2246" s="46">
        <v>0</v>
      </c>
      <c r="AR2246" s="46">
        <v>0</v>
      </c>
      <c r="AS2246" s="46">
        <v>0</v>
      </c>
      <c r="AT2246" s="46">
        <v>0</v>
      </c>
      <c r="AU2246" s="46">
        <v>0</v>
      </c>
      <c r="AV2246" s="46">
        <v>0</v>
      </c>
      <c r="AW2246" s="46">
        <v>0</v>
      </c>
      <c r="AX2246" s="46">
        <v>0</v>
      </c>
      <c r="AY2246" s="46">
        <v>0</v>
      </c>
      <c r="AZ2246" s="46">
        <v>0</v>
      </c>
      <c r="BA2246" s="46">
        <v>0</v>
      </c>
      <c r="BB2246" s="46">
        <v>0</v>
      </c>
      <c r="BC2246" s="46">
        <v>0</v>
      </c>
      <c r="BD2246" s="46">
        <v>0</v>
      </c>
      <c r="BE2246" s="46">
        <v>0</v>
      </c>
      <c r="BF2246" s="46">
        <v>0</v>
      </c>
      <c r="BG2246" s="46" t="s">
        <v>48</v>
      </c>
      <c r="BH2246" s="46">
        <v>0</v>
      </c>
      <c r="BI2246" s="46">
        <v>0</v>
      </c>
      <c r="BJ2246" s="46">
        <v>0</v>
      </c>
      <c r="BK2246" s="46">
        <v>0</v>
      </c>
      <c r="BL2246" s="46">
        <v>0</v>
      </c>
      <c r="BM2246" s="46">
        <v>0</v>
      </c>
      <c r="BN2246" s="46">
        <v>0</v>
      </c>
    </row>
    <row r="2247" spans="1:66" x14ac:dyDescent="0.35">
      <c r="A2247" t="s">
        <v>6360</v>
      </c>
      <c r="B2247" t="s">
        <v>48</v>
      </c>
      <c r="C2247" t="s">
        <v>4450</v>
      </c>
      <c r="D2247" t="s">
        <v>221</v>
      </c>
      <c r="E2247" t="s">
        <v>6361</v>
      </c>
      <c r="F2247" t="s">
        <v>6353</v>
      </c>
      <c r="G2247" t="s">
        <v>47</v>
      </c>
      <c r="H2247">
        <v>0</v>
      </c>
      <c r="I2247" s="60" t="s">
        <v>149</v>
      </c>
      <c r="J2247" s="33" t="s">
        <v>45</v>
      </c>
      <c r="K2247" s="46">
        <v>0</v>
      </c>
      <c r="L2247">
        <v>29.9</v>
      </c>
      <c r="M2247" t="s">
        <v>48</v>
      </c>
      <c r="N2247" s="46">
        <v>0</v>
      </c>
      <c r="O2247" s="46">
        <v>0</v>
      </c>
      <c r="P2247" s="46">
        <v>0</v>
      </c>
      <c r="Q2247" t="s">
        <v>48</v>
      </c>
      <c r="R2247" t="s">
        <v>48</v>
      </c>
      <c r="S2247" t="s">
        <v>48</v>
      </c>
      <c r="T2247" t="s">
        <v>48</v>
      </c>
      <c r="U2247" t="s">
        <v>48</v>
      </c>
      <c r="V2247" s="47">
        <v>1</v>
      </c>
      <c r="W2247" t="s">
        <v>11264</v>
      </c>
      <c r="X2247" t="s">
        <v>48</v>
      </c>
      <c r="Y2247" t="s">
        <v>48</v>
      </c>
      <c r="Z2247">
        <v>0</v>
      </c>
      <c r="AA2247" t="s">
        <v>48</v>
      </c>
      <c r="AB2247" t="s">
        <v>48</v>
      </c>
      <c r="AC2247" t="s">
        <v>49</v>
      </c>
      <c r="AD2247" t="s">
        <v>93</v>
      </c>
      <c r="AE2247" t="s">
        <v>4532</v>
      </c>
      <c r="AF2247" t="s">
        <v>48</v>
      </c>
      <c r="AG2247" t="s">
        <v>48</v>
      </c>
      <c r="AH2247" t="s">
        <v>48</v>
      </c>
      <c r="AI2247" t="s">
        <v>48</v>
      </c>
      <c r="AJ2247" t="s">
        <v>48</v>
      </c>
      <c r="AK2247" t="s">
        <v>48</v>
      </c>
      <c r="AL2247" t="s">
        <v>48</v>
      </c>
      <c r="AM2247" t="s">
        <v>48</v>
      </c>
      <c r="AN2247" t="s">
        <v>48</v>
      </c>
      <c r="AO2247" t="s">
        <v>48</v>
      </c>
      <c r="AP2247" s="46">
        <v>0</v>
      </c>
      <c r="AQ2247" s="46">
        <v>0</v>
      </c>
      <c r="AR2247" s="46">
        <v>0</v>
      </c>
      <c r="AS2247" s="46">
        <v>0</v>
      </c>
      <c r="AT2247" s="46">
        <v>0</v>
      </c>
      <c r="AU2247" s="46">
        <v>0</v>
      </c>
      <c r="AV2247" s="46">
        <v>0</v>
      </c>
      <c r="AW2247" s="46">
        <v>0</v>
      </c>
      <c r="AX2247" s="46">
        <v>0</v>
      </c>
      <c r="AY2247" s="46">
        <v>0</v>
      </c>
      <c r="AZ2247" s="46">
        <v>0</v>
      </c>
      <c r="BA2247" s="46">
        <v>0</v>
      </c>
      <c r="BB2247" s="46">
        <v>0</v>
      </c>
      <c r="BC2247" s="46">
        <v>0</v>
      </c>
      <c r="BD2247" s="46">
        <v>0</v>
      </c>
      <c r="BE2247" s="46">
        <v>0</v>
      </c>
      <c r="BF2247" s="46">
        <v>0</v>
      </c>
      <c r="BG2247" s="46" t="s">
        <v>48</v>
      </c>
      <c r="BH2247" s="46">
        <v>0</v>
      </c>
      <c r="BI2247" s="46">
        <v>0</v>
      </c>
      <c r="BJ2247" s="46">
        <v>0</v>
      </c>
      <c r="BK2247" s="46">
        <v>0</v>
      </c>
      <c r="BL2247" s="46">
        <v>0</v>
      </c>
      <c r="BM2247" s="46">
        <v>0</v>
      </c>
      <c r="BN2247" s="46">
        <v>0</v>
      </c>
    </row>
    <row r="2248" spans="1:66" x14ac:dyDescent="0.35">
      <c r="A2248" t="s">
        <v>6370</v>
      </c>
      <c r="B2248" s="44" t="s">
        <v>48</v>
      </c>
      <c r="C2248" t="s">
        <v>1520</v>
      </c>
      <c r="D2248" t="s">
        <v>679</v>
      </c>
      <c r="E2248" t="s">
        <v>6372</v>
      </c>
      <c r="F2248" t="s">
        <v>6371</v>
      </c>
      <c r="G2248" t="s">
        <v>74</v>
      </c>
      <c r="H2248">
        <v>0</v>
      </c>
      <c r="I2248" s="60" t="s">
        <v>51</v>
      </c>
      <c r="J2248" s="33" t="s">
        <v>45</v>
      </c>
      <c r="K2248" s="46">
        <v>0</v>
      </c>
      <c r="L2248">
        <v>47.1</v>
      </c>
      <c r="M2248" t="s">
        <v>48</v>
      </c>
      <c r="N2248" s="46">
        <v>0</v>
      </c>
      <c r="O2248" s="46">
        <v>0</v>
      </c>
      <c r="P2248" s="46">
        <v>0</v>
      </c>
      <c r="Q2248" t="s">
        <v>48</v>
      </c>
      <c r="R2248" t="s">
        <v>48</v>
      </c>
      <c r="S2248" t="s">
        <v>6373</v>
      </c>
      <c r="T2248" t="s">
        <v>48</v>
      </c>
      <c r="U2248" t="s">
        <v>6373</v>
      </c>
      <c r="V2248" s="47">
        <v>0</v>
      </c>
      <c r="W2248" t="s">
        <v>48</v>
      </c>
      <c r="X2248" t="s">
        <v>48</v>
      </c>
      <c r="Y2248" t="s">
        <v>48</v>
      </c>
      <c r="Z2248">
        <v>0</v>
      </c>
      <c r="AA2248" t="s">
        <v>48</v>
      </c>
      <c r="AB2248" t="s">
        <v>48</v>
      </c>
      <c r="AC2248" t="s">
        <v>63</v>
      </c>
      <c r="AD2248" t="s">
        <v>93</v>
      </c>
      <c r="AE2248" t="s">
        <v>4532</v>
      </c>
      <c r="AF2248" t="s">
        <v>48</v>
      </c>
      <c r="AG2248" t="s">
        <v>48</v>
      </c>
      <c r="AH2248" t="s">
        <v>48</v>
      </c>
      <c r="AI2248" t="s">
        <v>48</v>
      </c>
      <c r="AJ2248" t="s">
        <v>48</v>
      </c>
      <c r="AK2248" t="s">
        <v>48</v>
      </c>
      <c r="AL2248" t="s">
        <v>48</v>
      </c>
      <c r="AM2248" t="s">
        <v>48</v>
      </c>
      <c r="AN2248" t="s">
        <v>48</v>
      </c>
      <c r="AO2248" t="s">
        <v>48</v>
      </c>
      <c r="AP2248" s="46">
        <v>0</v>
      </c>
      <c r="AQ2248" s="46">
        <v>0</v>
      </c>
      <c r="AR2248" s="46">
        <v>0</v>
      </c>
      <c r="AS2248" s="46">
        <v>0</v>
      </c>
      <c r="AT2248" s="46">
        <v>0</v>
      </c>
      <c r="AU2248" s="46">
        <v>0</v>
      </c>
      <c r="AV2248" s="46">
        <v>0</v>
      </c>
      <c r="AW2248" s="46">
        <v>0</v>
      </c>
      <c r="AX2248" s="46">
        <v>0</v>
      </c>
      <c r="AY2248" s="46">
        <v>0</v>
      </c>
      <c r="AZ2248" s="46">
        <v>0</v>
      </c>
      <c r="BA2248" s="46">
        <v>0</v>
      </c>
      <c r="BB2248" s="46">
        <v>0</v>
      </c>
      <c r="BC2248" s="46">
        <v>0</v>
      </c>
      <c r="BD2248" s="46">
        <v>0</v>
      </c>
      <c r="BE2248" s="46">
        <v>0</v>
      </c>
      <c r="BF2248" s="46">
        <v>0</v>
      </c>
      <c r="BG2248" s="46" t="s">
        <v>48</v>
      </c>
      <c r="BH2248" s="46">
        <v>0</v>
      </c>
      <c r="BI2248" s="46">
        <v>0</v>
      </c>
      <c r="BJ2248" s="46">
        <v>0</v>
      </c>
      <c r="BK2248" s="46">
        <v>0</v>
      </c>
      <c r="BL2248" s="46">
        <v>0</v>
      </c>
      <c r="BM2248" s="46">
        <v>0</v>
      </c>
      <c r="BN2248" s="46">
        <v>0</v>
      </c>
    </row>
    <row r="2249" spans="1:66" x14ac:dyDescent="0.35">
      <c r="A2249" t="s">
        <v>6390</v>
      </c>
      <c r="B2249" t="s">
        <v>48</v>
      </c>
      <c r="C2249" t="s">
        <v>2669</v>
      </c>
      <c r="D2249" t="s">
        <v>1915</v>
      </c>
      <c r="E2249" t="s">
        <v>6391</v>
      </c>
      <c r="F2249" t="s">
        <v>6383</v>
      </c>
      <c r="G2249" t="s">
        <v>47</v>
      </c>
      <c r="H2249">
        <v>0</v>
      </c>
      <c r="I2249" s="60" t="s">
        <v>149</v>
      </c>
      <c r="J2249" s="33" t="s">
        <v>45</v>
      </c>
      <c r="K2249" s="46">
        <v>0</v>
      </c>
      <c r="L2249">
        <v>12.9</v>
      </c>
      <c r="M2249" t="s">
        <v>48</v>
      </c>
      <c r="N2249" s="46">
        <v>0</v>
      </c>
      <c r="O2249" s="46">
        <v>0</v>
      </c>
      <c r="P2249" s="46">
        <v>0</v>
      </c>
      <c r="Q2249" t="s">
        <v>48</v>
      </c>
      <c r="R2249" t="s">
        <v>48</v>
      </c>
      <c r="S2249" t="s">
        <v>48</v>
      </c>
      <c r="T2249" t="s">
        <v>48</v>
      </c>
      <c r="U2249" t="s">
        <v>48</v>
      </c>
      <c r="V2249" s="47">
        <v>0</v>
      </c>
      <c r="W2249" t="s">
        <v>48</v>
      </c>
      <c r="X2249" t="s">
        <v>48</v>
      </c>
      <c r="Y2249" t="s">
        <v>48</v>
      </c>
      <c r="Z2249">
        <v>0</v>
      </c>
      <c r="AA2249" t="s">
        <v>48</v>
      </c>
      <c r="AB2249" t="s">
        <v>48</v>
      </c>
      <c r="AC2249" t="s">
        <v>49</v>
      </c>
      <c r="AD2249" t="s">
        <v>48</v>
      </c>
      <c r="AE2249" t="s">
        <v>48</v>
      </c>
      <c r="AF2249" t="s">
        <v>48</v>
      </c>
      <c r="AG2249" t="s">
        <v>48</v>
      </c>
      <c r="AH2249" t="s">
        <v>48</v>
      </c>
      <c r="AI2249" t="s">
        <v>48</v>
      </c>
      <c r="AJ2249" t="s">
        <v>48</v>
      </c>
      <c r="AK2249" t="s">
        <v>48</v>
      </c>
      <c r="AL2249" t="s">
        <v>48</v>
      </c>
      <c r="AM2249" t="s">
        <v>48</v>
      </c>
      <c r="AN2249" t="s">
        <v>48</v>
      </c>
      <c r="AO2249" t="s">
        <v>48</v>
      </c>
      <c r="AP2249" s="46">
        <v>0</v>
      </c>
      <c r="AQ2249" s="46">
        <v>0</v>
      </c>
      <c r="AR2249" s="46">
        <v>0</v>
      </c>
      <c r="AS2249" s="46">
        <v>0</v>
      </c>
      <c r="AT2249" s="46">
        <v>0</v>
      </c>
      <c r="AU2249" s="46">
        <v>0</v>
      </c>
      <c r="AV2249" s="46">
        <v>0</v>
      </c>
      <c r="AW2249" s="46">
        <v>0</v>
      </c>
      <c r="AX2249" s="46">
        <v>0</v>
      </c>
      <c r="AY2249" s="46">
        <v>0</v>
      </c>
      <c r="AZ2249" s="46">
        <v>0</v>
      </c>
      <c r="BA2249" s="46">
        <v>0</v>
      </c>
      <c r="BB2249" s="46">
        <v>0</v>
      </c>
      <c r="BC2249" s="46">
        <v>0</v>
      </c>
      <c r="BD2249" s="46">
        <v>0</v>
      </c>
      <c r="BE2249" s="46">
        <v>0</v>
      </c>
      <c r="BF2249" s="46">
        <v>0</v>
      </c>
      <c r="BG2249" s="46" t="s">
        <v>48</v>
      </c>
      <c r="BH2249" s="46">
        <v>0</v>
      </c>
      <c r="BI2249" s="46">
        <v>0</v>
      </c>
      <c r="BJ2249" s="46">
        <v>0</v>
      </c>
      <c r="BK2249" s="46">
        <v>0</v>
      </c>
      <c r="BL2249" s="46">
        <v>0</v>
      </c>
      <c r="BM2249" s="46">
        <v>0</v>
      </c>
      <c r="BN2249" s="46">
        <v>0</v>
      </c>
    </row>
    <row r="2250" spans="1:66" x14ac:dyDescent="0.35">
      <c r="A2250" t="s">
        <v>6382</v>
      </c>
      <c r="B2250" t="s">
        <v>48</v>
      </c>
      <c r="C2250" t="s">
        <v>6385</v>
      </c>
      <c r="D2250" t="s">
        <v>603</v>
      </c>
      <c r="E2250" t="s">
        <v>6384</v>
      </c>
      <c r="F2250" t="s">
        <v>6383</v>
      </c>
      <c r="G2250" t="s">
        <v>47</v>
      </c>
      <c r="H2250">
        <v>0</v>
      </c>
      <c r="I2250" s="60" t="s">
        <v>51</v>
      </c>
      <c r="J2250" s="33" t="s">
        <v>45</v>
      </c>
      <c r="K2250" s="46">
        <v>0</v>
      </c>
      <c r="L2250">
        <v>15.9</v>
      </c>
      <c r="M2250" t="s">
        <v>48</v>
      </c>
      <c r="N2250" s="46">
        <v>0</v>
      </c>
      <c r="O2250" s="46">
        <v>0</v>
      </c>
      <c r="P2250" s="46">
        <v>0</v>
      </c>
      <c r="Q2250" t="s">
        <v>48</v>
      </c>
      <c r="R2250" t="s">
        <v>48</v>
      </c>
      <c r="S2250" t="s">
        <v>48</v>
      </c>
      <c r="T2250" t="s">
        <v>48</v>
      </c>
      <c r="U2250" t="s">
        <v>48</v>
      </c>
      <c r="V2250" s="47">
        <v>0</v>
      </c>
      <c r="W2250" t="s">
        <v>48</v>
      </c>
      <c r="X2250" t="s">
        <v>48</v>
      </c>
      <c r="Y2250" t="s">
        <v>48</v>
      </c>
      <c r="Z2250">
        <v>0</v>
      </c>
      <c r="AA2250" t="s">
        <v>48</v>
      </c>
      <c r="AB2250" t="s">
        <v>48</v>
      </c>
      <c r="AC2250" t="s">
        <v>49</v>
      </c>
      <c r="AD2250" t="s">
        <v>93</v>
      </c>
      <c r="AE2250" t="s">
        <v>4532</v>
      </c>
      <c r="AF2250" t="s">
        <v>48</v>
      </c>
      <c r="AG2250" t="s">
        <v>48</v>
      </c>
      <c r="AH2250" t="s">
        <v>48</v>
      </c>
      <c r="AI2250" t="s">
        <v>48</v>
      </c>
      <c r="AJ2250" t="s">
        <v>48</v>
      </c>
      <c r="AK2250" t="s">
        <v>48</v>
      </c>
      <c r="AL2250" t="s">
        <v>48</v>
      </c>
      <c r="AM2250" t="s">
        <v>48</v>
      </c>
      <c r="AN2250" t="s">
        <v>48</v>
      </c>
      <c r="AO2250" t="s">
        <v>48</v>
      </c>
      <c r="AP2250" s="46">
        <v>0</v>
      </c>
      <c r="AQ2250" s="46">
        <v>0</v>
      </c>
      <c r="AR2250" s="46">
        <v>0</v>
      </c>
      <c r="AS2250" s="46">
        <v>0</v>
      </c>
      <c r="AT2250" s="46">
        <v>0</v>
      </c>
      <c r="AU2250" s="46">
        <v>0</v>
      </c>
      <c r="AV2250" s="46">
        <v>0</v>
      </c>
      <c r="AW2250" s="46">
        <v>0</v>
      </c>
      <c r="AX2250" s="46">
        <v>0</v>
      </c>
      <c r="AY2250" s="46">
        <v>0</v>
      </c>
      <c r="AZ2250" s="46">
        <v>0</v>
      </c>
      <c r="BA2250" s="46">
        <v>0</v>
      </c>
      <c r="BB2250" s="46">
        <v>0</v>
      </c>
      <c r="BC2250" s="46">
        <v>0</v>
      </c>
      <c r="BD2250" s="46">
        <v>0</v>
      </c>
      <c r="BE2250" s="46">
        <v>0</v>
      </c>
      <c r="BF2250" s="46">
        <v>0</v>
      </c>
      <c r="BG2250" s="46" t="s">
        <v>48</v>
      </c>
      <c r="BH2250" s="46">
        <v>0</v>
      </c>
      <c r="BI2250" s="46">
        <v>0</v>
      </c>
      <c r="BJ2250" s="46">
        <v>0</v>
      </c>
      <c r="BK2250" s="46">
        <v>0</v>
      </c>
      <c r="BL2250" s="46">
        <v>0</v>
      </c>
      <c r="BM2250" s="46">
        <v>0</v>
      </c>
      <c r="BN2250" s="46">
        <v>0</v>
      </c>
    </row>
    <row r="2251" spans="1:66" x14ac:dyDescent="0.35">
      <c r="A2251" t="s">
        <v>6405</v>
      </c>
      <c r="B2251" t="s">
        <v>48</v>
      </c>
      <c r="C2251" t="s">
        <v>6408</v>
      </c>
      <c r="D2251" t="s">
        <v>3034</v>
      </c>
      <c r="E2251" t="s">
        <v>6406</v>
      </c>
      <c r="F2251" t="s">
        <v>6393</v>
      </c>
      <c r="G2251" t="s">
        <v>47</v>
      </c>
      <c r="H2251">
        <v>0</v>
      </c>
      <c r="I2251" s="60" t="s">
        <v>149</v>
      </c>
      <c r="J2251" s="33" t="s">
        <v>45</v>
      </c>
      <c r="K2251" s="46">
        <v>0</v>
      </c>
      <c r="L2251">
        <v>2</v>
      </c>
      <c r="M2251" t="s">
        <v>48</v>
      </c>
      <c r="N2251" s="46">
        <v>0</v>
      </c>
      <c r="O2251" s="46">
        <v>0</v>
      </c>
      <c r="P2251" s="46">
        <v>0</v>
      </c>
      <c r="Q2251" t="s">
        <v>48</v>
      </c>
      <c r="R2251" t="s">
        <v>48</v>
      </c>
      <c r="S2251" t="s">
        <v>6407</v>
      </c>
      <c r="T2251" t="s">
        <v>48</v>
      </c>
      <c r="U2251" t="s">
        <v>6407</v>
      </c>
      <c r="V2251" s="47">
        <v>0</v>
      </c>
      <c r="W2251" t="s">
        <v>48</v>
      </c>
      <c r="X2251" t="s">
        <v>48</v>
      </c>
      <c r="Y2251" t="s">
        <v>48</v>
      </c>
      <c r="Z2251">
        <v>0</v>
      </c>
      <c r="AA2251" t="s">
        <v>48</v>
      </c>
      <c r="AB2251" t="s">
        <v>48</v>
      </c>
      <c r="AC2251" t="s">
        <v>49</v>
      </c>
      <c r="AD2251" t="s">
        <v>93</v>
      </c>
      <c r="AE2251" s="40" t="s">
        <v>2471</v>
      </c>
      <c r="AF2251" t="s">
        <v>11102</v>
      </c>
      <c r="AG2251" t="s">
        <v>48</v>
      </c>
      <c r="AH2251" t="s">
        <v>48</v>
      </c>
      <c r="AI2251" t="s">
        <v>48</v>
      </c>
      <c r="AJ2251" t="s">
        <v>48</v>
      </c>
      <c r="AK2251" t="s">
        <v>48</v>
      </c>
      <c r="AL2251" t="s">
        <v>48</v>
      </c>
      <c r="AM2251" t="s">
        <v>48</v>
      </c>
      <c r="AN2251" t="s">
        <v>48</v>
      </c>
      <c r="AO2251" t="s">
        <v>48</v>
      </c>
      <c r="AP2251" s="46">
        <v>0</v>
      </c>
      <c r="AQ2251" s="46">
        <v>0</v>
      </c>
      <c r="AR2251" s="46">
        <v>0</v>
      </c>
      <c r="AS2251" s="46">
        <v>0</v>
      </c>
      <c r="AT2251" s="46">
        <v>0</v>
      </c>
      <c r="AU2251" s="46">
        <v>0</v>
      </c>
      <c r="AV2251" s="46">
        <v>0</v>
      </c>
      <c r="AW2251" s="46">
        <v>0</v>
      </c>
      <c r="AX2251" s="46">
        <v>0</v>
      </c>
      <c r="AY2251" s="46">
        <v>0</v>
      </c>
      <c r="AZ2251" s="46">
        <v>0</v>
      </c>
      <c r="BA2251" s="46">
        <v>0</v>
      </c>
      <c r="BB2251" s="46">
        <v>0</v>
      </c>
      <c r="BC2251" s="46">
        <v>0</v>
      </c>
      <c r="BD2251" s="46">
        <v>0</v>
      </c>
      <c r="BE2251" s="46">
        <v>0</v>
      </c>
      <c r="BF2251" s="46">
        <v>0</v>
      </c>
      <c r="BG2251" s="46" t="s">
        <v>48</v>
      </c>
      <c r="BH2251" s="46">
        <v>0</v>
      </c>
      <c r="BI2251" s="46">
        <v>0</v>
      </c>
      <c r="BJ2251" s="46">
        <v>0</v>
      </c>
      <c r="BK2251" s="46">
        <v>0</v>
      </c>
      <c r="BL2251" s="46">
        <v>0</v>
      </c>
      <c r="BM2251" s="46">
        <v>0</v>
      </c>
      <c r="BN2251" s="46">
        <v>0</v>
      </c>
    </row>
    <row r="2252" spans="1:66" x14ac:dyDescent="0.35">
      <c r="A2252" t="s">
        <v>6409</v>
      </c>
      <c r="B2252" t="s">
        <v>48</v>
      </c>
      <c r="C2252" t="s">
        <v>6413</v>
      </c>
      <c r="D2252" t="s">
        <v>6412</v>
      </c>
      <c r="E2252" t="s">
        <v>6410</v>
      </c>
      <c r="F2252" t="s">
        <v>6393</v>
      </c>
      <c r="G2252" t="s">
        <v>47</v>
      </c>
      <c r="H2252">
        <v>0</v>
      </c>
      <c r="I2252" s="60" t="s">
        <v>149</v>
      </c>
      <c r="J2252" s="33" t="s">
        <v>45</v>
      </c>
      <c r="K2252" s="46">
        <v>0</v>
      </c>
      <c r="L2252">
        <v>4.5</v>
      </c>
      <c r="M2252" t="s">
        <v>48</v>
      </c>
      <c r="N2252" s="46">
        <v>0</v>
      </c>
      <c r="O2252" s="46">
        <v>0</v>
      </c>
      <c r="P2252" s="46">
        <v>0</v>
      </c>
      <c r="Q2252" t="s">
        <v>48</v>
      </c>
      <c r="R2252" t="s">
        <v>48</v>
      </c>
      <c r="S2252" t="s">
        <v>6411</v>
      </c>
      <c r="T2252" t="s">
        <v>48</v>
      </c>
      <c r="U2252" t="s">
        <v>6411</v>
      </c>
      <c r="V2252" s="47">
        <v>0</v>
      </c>
      <c r="W2252" t="s">
        <v>48</v>
      </c>
      <c r="X2252" t="s">
        <v>48</v>
      </c>
      <c r="Y2252" t="s">
        <v>48</v>
      </c>
      <c r="Z2252">
        <v>0</v>
      </c>
      <c r="AA2252" t="s">
        <v>48</v>
      </c>
      <c r="AB2252" t="s">
        <v>48</v>
      </c>
      <c r="AC2252" t="s">
        <v>49</v>
      </c>
      <c r="AD2252" t="s">
        <v>93</v>
      </c>
      <c r="AE2252" t="s">
        <v>11051</v>
      </c>
      <c r="AF2252" t="s">
        <v>11058</v>
      </c>
      <c r="AG2252" t="s">
        <v>48</v>
      </c>
      <c r="AH2252" t="s">
        <v>48</v>
      </c>
      <c r="AI2252" t="s">
        <v>48</v>
      </c>
      <c r="AJ2252" t="s">
        <v>48</v>
      </c>
      <c r="AK2252" t="s">
        <v>48</v>
      </c>
      <c r="AL2252" t="s">
        <v>48</v>
      </c>
      <c r="AM2252" t="s">
        <v>48</v>
      </c>
      <c r="AN2252" t="s">
        <v>48</v>
      </c>
      <c r="AO2252" t="s">
        <v>48</v>
      </c>
      <c r="AP2252" s="46">
        <v>0</v>
      </c>
      <c r="AQ2252" s="46">
        <v>0</v>
      </c>
      <c r="AR2252" s="46">
        <v>0</v>
      </c>
      <c r="AS2252" s="46">
        <v>0</v>
      </c>
      <c r="AT2252" s="46">
        <v>0</v>
      </c>
      <c r="AU2252" s="46">
        <v>0</v>
      </c>
      <c r="AV2252" s="46">
        <v>0</v>
      </c>
      <c r="AW2252" s="46">
        <v>0</v>
      </c>
      <c r="AX2252" s="46">
        <v>0</v>
      </c>
      <c r="AY2252" s="46">
        <v>0</v>
      </c>
      <c r="AZ2252" s="46">
        <v>0</v>
      </c>
      <c r="BA2252" s="46">
        <v>0</v>
      </c>
      <c r="BB2252" s="46">
        <v>0</v>
      </c>
      <c r="BC2252" s="46">
        <v>0</v>
      </c>
      <c r="BD2252" s="46">
        <v>0</v>
      </c>
      <c r="BE2252" s="46">
        <v>0</v>
      </c>
      <c r="BF2252" s="46">
        <v>0</v>
      </c>
      <c r="BG2252" s="46" t="s">
        <v>48</v>
      </c>
      <c r="BH2252" s="46">
        <v>0</v>
      </c>
      <c r="BI2252" s="46">
        <v>0</v>
      </c>
      <c r="BJ2252" s="46">
        <v>0</v>
      </c>
      <c r="BK2252" s="46">
        <v>0</v>
      </c>
      <c r="BL2252" s="46">
        <v>0</v>
      </c>
      <c r="BM2252" s="46">
        <v>0</v>
      </c>
      <c r="BN2252" s="46">
        <v>0</v>
      </c>
    </row>
    <row r="2253" spans="1:66" x14ac:dyDescent="0.35">
      <c r="A2253" t="s">
        <v>6414</v>
      </c>
      <c r="B2253" t="s">
        <v>48</v>
      </c>
      <c r="C2253" t="s">
        <v>6417</v>
      </c>
      <c r="D2253" t="s">
        <v>3590</v>
      </c>
      <c r="E2253" t="s">
        <v>6415</v>
      </c>
      <c r="F2253" t="s">
        <v>6393</v>
      </c>
      <c r="G2253" t="s">
        <v>47</v>
      </c>
      <c r="H2253">
        <v>0</v>
      </c>
      <c r="I2253" s="60" t="s">
        <v>149</v>
      </c>
      <c r="J2253" s="33" t="s">
        <v>45</v>
      </c>
      <c r="K2253" s="46">
        <v>0</v>
      </c>
      <c r="L2253">
        <v>8.1999999999999993</v>
      </c>
      <c r="M2253" t="s">
        <v>48</v>
      </c>
      <c r="N2253" s="46">
        <v>0</v>
      </c>
      <c r="O2253" s="46">
        <v>0</v>
      </c>
      <c r="P2253" s="46">
        <v>0</v>
      </c>
      <c r="Q2253" t="s">
        <v>48</v>
      </c>
      <c r="R2253" t="s">
        <v>48</v>
      </c>
      <c r="S2253" t="s">
        <v>6416</v>
      </c>
      <c r="T2253" t="s">
        <v>48</v>
      </c>
      <c r="U2253" t="s">
        <v>6416</v>
      </c>
      <c r="V2253" s="47">
        <v>0</v>
      </c>
      <c r="W2253" t="s">
        <v>48</v>
      </c>
      <c r="X2253" t="s">
        <v>48</v>
      </c>
      <c r="Y2253" t="s">
        <v>48</v>
      </c>
      <c r="Z2253">
        <v>0</v>
      </c>
      <c r="AA2253" t="s">
        <v>48</v>
      </c>
      <c r="AB2253" t="s">
        <v>48</v>
      </c>
      <c r="AC2253" t="s">
        <v>49</v>
      </c>
      <c r="AD2253" t="s">
        <v>93</v>
      </c>
      <c r="AE2253" t="s">
        <v>4532</v>
      </c>
      <c r="AF2253" t="s">
        <v>48</v>
      </c>
      <c r="AG2253" t="s">
        <v>48</v>
      </c>
      <c r="AH2253" t="s">
        <v>48</v>
      </c>
      <c r="AI2253" t="s">
        <v>48</v>
      </c>
      <c r="AJ2253" t="s">
        <v>48</v>
      </c>
      <c r="AK2253" t="s">
        <v>48</v>
      </c>
      <c r="AL2253" t="s">
        <v>48</v>
      </c>
      <c r="AM2253" t="s">
        <v>48</v>
      </c>
      <c r="AN2253" t="s">
        <v>48</v>
      </c>
      <c r="AO2253" t="s">
        <v>48</v>
      </c>
      <c r="AP2253" s="46">
        <v>0</v>
      </c>
      <c r="AQ2253" s="46">
        <v>0</v>
      </c>
      <c r="AR2253" s="46">
        <v>0</v>
      </c>
      <c r="AS2253" s="46">
        <v>0</v>
      </c>
      <c r="AT2253" s="46">
        <v>0</v>
      </c>
      <c r="AU2253" s="46">
        <v>0</v>
      </c>
      <c r="AV2253" s="46">
        <v>0</v>
      </c>
      <c r="AW2253" s="46">
        <v>0</v>
      </c>
      <c r="AX2253" s="46">
        <v>0</v>
      </c>
      <c r="AY2253" s="46">
        <v>0</v>
      </c>
      <c r="AZ2253" s="46">
        <v>0</v>
      </c>
      <c r="BA2253" s="46">
        <v>0</v>
      </c>
      <c r="BB2253" s="46">
        <v>0</v>
      </c>
      <c r="BC2253" s="46">
        <v>0</v>
      </c>
      <c r="BD2253" s="46">
        <v>0</v>
      </c>
      <c r="BE2253" s="46">
        <v>0</v>
      </c>
      <c r="BF2253" s="46">
        <v>0</v>
      </c>
      <c r="BG2253" s="46" t="s">
        <v>48</v>
      </c>
      <c r="BH2253" s="46">
        <v>0</v>
      </c>
      <c r="BI2253" s="46">
        <v>0</v>
      </c>
      <c r="BJ2253" s="46">
        <v>0</v>
      </c>
      <c r="BK2253" s="46">
        <v>0</v>
      </c>
      <c r="BL2253" s="46">
        <v>0</v>
      </c>
      <c r="BM2253" s="46">
        <v>0</v>
      </c>
      <c r="BN2253" s="46">
        <v>0</v>
      </c>
    </row>
    <row r="2254" spans="1:66" x14ac:dyDescent="0.35">
      <c r="A2254" t="s">
        <v>6392</v>
      </c>
      <c r="B2254" t="s">
        <v>48</v>
      </c>
      <c r="C2254" t="s">
        <v>6396</v>
      </c>
      <c r="D2254" t="s">
        <v>1127</v>
      </c>
      <c r="E2254" t="s">
        <v>6394</v>
      </c>
      <c r="F2254" t="s">
        <v>6393</v>
      </c>
      <c r="G2254" t="s">
        <v>47</v>
      </c>
      <c r="H2254">
        <v>0</v>
      </c>
      <c r="I2254" s="60" t="s">
        <v>51</v>
      </c>
      <c r="J2254" s="33" t="s">
        <v>45</v>
      </c>
      <c r="K2254" s="46">
        <v>0</v>
      </c>
      <c r="L2254">
        <v>4.7</v>
      </c>
      <c r="M2254" t="s">
        <v>48</v>
      </c>
      <c r="N2254" s="46">
        <v>0</v>
      </c>
      <c r="O2254" s="46">
        <v>0</v>
      </c>
      <c r="P2254" s="46">
        <v>0</v>
      </c>
      <c r="Q2254" t="s">
        <v>48</v>
      </c>
      <c r="R2254" t="s">
        <v>48</v>
      </c>
      <c r="S2254" t="s">
        <v>6395</v>
      </c>
      <c r="T2254" t="s">
        <v>48</v>
      </c>
      <c r="U2254" t="s">
        <v>6395</v>
      </c>
      <c r="V2254" s="47">
        <v>0</v>
      </c>
      <c r="W2254" t="s">
        <v>48</v>
      </c>
      <c r="X2254" t="s">
        <v>48</v>
      </c>
      <c r="Y2254" t="s">
        <v>48</v>
      </c>
      <c r="Z2254">
        <v>0</v>
      </c>
      <c r="AA2254" t="s">
        <v>48</v>
      </c>
      <c r="AB2254" t="s">
        <v>48</v>
      </c>
      <c r="AC2254" t="s">
        <v>49</v>
      </c>
      <c r="AD2254" t="s">
        <v>951</v>
      </c>
      <c r="AE2254" t="s">
        <v>11051</v>
      </c>
      <c r="AF2254" t="s">
        <v>48</v>
      </c>
      <c r="AG2254" t="s">
        <v>48</v>
      </c>
      <c r="AH2254" t="s">
        <v>48</v>
      </c>
      <c r="AI2254" t="s">
        <v>48</v>
      </c>
      <c r="AJ2254" t="s">
        <v>48</v>
      </c>
      <c r="AK2254" t="s">
        <v>48</v>
      </c>
      <c r="AL2254" t="s">
        <v>48</v>
      </c>
      <c r="AM2254" t="s">
        <v>48</v>
      </c>
      <c r="AN2254" t="s">
        <v>48</v>
      </c>
      <c r="AO2254" t="s">
        <v>48</v>
      </c>
      <c r="AP2254" s="46">
        <v>0</v>
      </c>
      <c r="AQ2254" s="46">
        <v>0</v>
      </c>
      <c r="AR2254" s="46">
        <v>0</v>
      </c>
      <c r="AS2254" s="46">
        <v>0</v>
      </c>
      <c r="AT2254" s="46">
        <v>0</v>
      </c>
      <c r="AU2254" s="46">
        <v>0</v>
      </c>
      <c r="AV2254" s="46">
        <v>0</v>
      </c>
      <c r="AW2254" s="46">
        <v>0</v>
      </c>
      <c r="AX2254" s="46">
        <v>0</v>
      </c>
      <c r="AY2254" s="46">
        <v>0</v>
      </c>
      <c r="AZ2254" s="46">
        <v>0</v>
      </c>
      <c r="BA2254" s="46">
        <v>0</v>
      </c>
      <c r="BB2254" s="46">
        <v>0</v>
      </c>
      <c r="BC2254" s="46">
        <v>0</v>
      </c>
      <c r="BD2254" s="46">
        <v>0</v>
      </c>
      <c r="BE2254" s="46">
        <v>0</v>
      </c>
      <c r="BF2254" s="46">
        <v>0</v>
      </c>
      <c r="BG2254" s="46" t="s">
        <v>48</v>
      </c>
      <c r="BH2254" s="46">
        <v>0</v>
      </c>
      <c r="BI2254" s="46">
        <v>0</v>
      </c>
      <c r="BJ2254" s="46">
        <v>0</v>
      </c>
      <c r="BK2254" s="46">
        <v>0</v>
      </c>
      <c r="BL2254" s="46">
        <v>0</v>
      </c>
      <c r="BM2254" s="46">
        <v>0</v>
      </c>
      <c r="BN2254" s="46">
        <v>0</v>
      </c>
    </row>
    <row r="2255" spans="1:66" x14ac:dyDescent="0.35">
      <c r="A2255" t="s">
        <v>6418</v>
      </c>
      <c r="B2255" t="s">
        <v>48</v>
      </c>
      <c r="C2255" t="s">
        <v>6421</v>
      </c>
      <c r="D2255" t="s">
        <v>198</v>
      </c>
      <c r="E2255" t="s">
        <v>6419</v>
      </c>
      <c r="F2255" t="s">
        <v>6393</v>
      </c>
      <c r="G2255" t="s">
        <v>47</v>
      </c>
      <c r="H2255">
        <v>0</v>
      </c>
      <c r="I2255" s="60" t="s">
        <v>51</v>
      </c>
      <c r="J2255" s="33" t="s">
        <v>45</v>
      </c>
      <c r="K2255" s="46">
        <v>0</v>
      </c>
      <c r="L2255">
        <v>29.5</v>
      </c>
      <c r="M2255">
        <v>36.4</v>
      </c>
      <c r="N2255" s="46">
        <v>0</v>
      </c>
      <c r="O2255" s="46">
        <v>0</v>
      </c>
      <c r="P2255" s="46">
        <v>0</v>
      </c>
      <c r="Q2255" t="s">
        <v>48</v>
      </c>
      <c r="R2255" t="s">
        <v>48</v>
      </c>
      <c r="S2255" t="s">
        <v>6420</v>
      </c>
      <c r="T2255" t="s">
        <v>48</v>
      </c>
      <c r="U2255" t="s">
        <v>6420</v>
      </c>
      <c r="V2255" s="47">
        <v>0</v>
      </c>
      <c r="W2255" t="s">
        <v>48</v>
      </c>
      <c r="X2255" t="s">
        <v>48</v>
      </c>
      <c r="Y2255" t="s">
        <v>48</v>
      </c>
      <c r="Z2255">
        <v>0</v>
      </c>
      <c r="AA2255" t="s">
        <v>48</v>
      </c>
      <c r="AB2255" t="s">
        <v>48</v>
      </c>
      <c r="AC2255" t="s">
        <v>49</v>
      </c>
      <c r="AD2255" t="s">
        <v>93</v>
      </c>
      <c r="AE2255" t="s">
        <v>4532</v>
      </c>
      <c r="AF2255" t="s">
        <v>48</v>
      </c>
      <c r="AG2255" t="s">
        <v>48</v>
      </c>
      <c r="AH2255" t="s">
        <v>48</v>
      </c>
      <c r="AI2255" t="s">
        <v>48</v>
      </c>
      <c r="AJ2255" t="s">
        <v>48</v>
      </c>
      <c r="AK2255" t="s">
        <v>48</v>
      </c>
      <c r="AL2255" t="s">
        <v>48</v>
      </c>
      <c r="AM2255" t="s">
        <v>48</v>
      </c>
      <c r="AN2255" t="s">
        <v>48</v>
      </c>
      <c r="AO2255" t="s">
        <v>48</v>
      </c>
      <c r="AP2255" s="46">
        <v>0</v>
      </c>
      <c r="AQ2255" s="46">
        <v>0</v>
      </c>
      <c r="AR2255" s="46">
        <v>0</v>
      </c>
      <c r="AS2255" s="46">
        <v>0</v>
      </c>
      <c r="AT2255" s="46">
        <v>0</v>
      </c>
      <c r="AU2255" s="46">
        <v>0</v>
      </c>
      <c r="AV2255" s="46">
        <v>0</v>
      </c>
      <c r="AW2255" s="46">
        <v>0</v>
      </c>
      <c r="AX2255" s="46">
        <v>0</v>
      </c>
      <c r="AY2255" s="46">
        <v>0</v>
      </c>
      <c r="AZ2255" s="46">
        <v>0</v>
      </c>
      <c r="BA2255" s="46">
        <v>0</v>
      </c>
      <c r="BB2255" s="46">
        <v>0</v>
      </c>
      <c r="BC2255" s="46">
        <v>0</v>
      </c>
      <c r="BD2255" s="46">
        <v>0</v>
      </c>
      <c r="BE2255" s="46">
        <v>0</v>
      </c>
      <c r="BF2255" s="46">
        <v>0</v>
      </c>
      <c r="BG2255" s="46" t="s">
        <v>48</v>
      </c>
      <c r="BH2255" s="46">
        <v>0</v>
      </c>
      <c r="BI2255" s="46">
        <v>0</v>
      </c>
      <c r="BJ2255" s="46">
        <v>0</v>
      </c>
      <c r="BK2255" s="46">
        <v>0</v>
      </c>
      <c r="BL2255" s="46">
        <v>0</v>
      </c>
      <c r="BM2255" s="46">
        <v>0</v>
      </c>
      <c r="BN2255" s="46">
        <v>0</v>
      </c>
    </row>
    <row r="2256" spans="1:66" x14ac:dyDescent="0.35">
      <c r="A2256" t="s">
        <v>6397</v>
      </c>
      <c r="B2256" t="s">
        <v>48</v>
      </c>
      <c r="C2256" t="s">
        <v>6251</v>
      </c>
      <c r="D2256" t="s">
        <v>3978</v>
      </c>
      <c r="E2256" t="s">
        <v>6398</v>
      </c>
      <c r="F2256" t="s">
        <v>6393</v>
      </c>
      <c r="G2256" t="s">
        <v>47</v>
      </c>
      <c r="H2256">
        <v>0</v>
      </c>
      <c r="I2256" s="60" t="s">
        <v>149</v>
      </c>
      <c r="J2256" s="33" t="s">
        <v>45</v>
      </c>
      <c r="K2256" s="46">
        <v>0</v>
      </c>
      <c r="L2256">
        <v>8.4</v>
      </c>
      <c r="M2256" t="s">
        <v>48</v>
      </c>
      <c r="N2256" s="46">
        <v>0</v>
      </c>
      <c r="O2256" s="46">
        <v>0</v>
      </c>
      <c r="P2256" s="46">
        <v>0</v>
      </c>
      <c r="Q2256" t="s">
        <v>48</v>
      </c>
      <c r="R2256" t="s">
        <v>48</v>
      </c>
      <c r="S2256" t="s">
        <v>48</v>
      </c>
      <c r="T2256" t="s">
        <v>48</v>
      </c>
      <c r="U2256" t="s">
        <v>48</v>
      </c>
      <c r="V2256" s="47">
        <v>0</v>
      </c>
      <c r="W2256" t="s">
        <v>48</v>
      </c>
      <c r="X2256" t="s">
        <v>48</v>
      </c>
      <c r="Y2256" t="s">
        <v>48</v>
      </c>
      <c r="Z2256">
        <v>0</v>
      </c>
      <c r="AA2256" t="s">
        <v>48</v>
      </c>
      <c r="AB2256" t="s">
        <v>48</v>
      </c>
      <c r="AC2256" t="s">
        <v>63</v>
      </c>
      <c r="AD2256" t="s">
        <v>93</v>
      </c>
      <c r="AE2256" t="s">
        <v>4532</v>
      </c>
      <c r="AF2256" t="s">
        <v>48</v>
      </c>
      <c r="AG2256" t="s">
        <v>48</v>
      </c>
      <c r="AH2256" t="s">
        <v>48</v>
      </c>
      <c r="AI2256" t="s">
        <v>48</v>
      </c>
      <c r="AJ2256" t="s">
        <v>48</v>
      </c>
      <c r="AK2256" t="s">
        <v>48</v>
      </c>
      <c r="AL2256" t="s">
        <v>48</v>
      </c>
      <c r="AM2256" t="s">
        <v>48</v>
      </c>
      <c r="AN2256" t="s">
        <v>48</v>
      </c>
      <c r="AO2256" t="s">
        <v>48</v>
      </c>
      <c r="AP2256" s="46">
        <v>0</v>
      </c>
      <c r="AQ2256" s="46">
        <v>0</v>
      </c>
      <c r="AR2256" s="46">
        <v>0</v>
      </c>
      <c r="AS2256" s="46">
        <v>0</v>
      </c>
      <c r="AT2256" s="46">
        <v>0</v>
      </c>
      <c r="AU2256" s="46">
        <v>0</v>
      </c>
      <c r="AV2256" s="46">
        <v>0</v>
      </c>
      <c r="AW2256" s="46">
        <v>0</v>
      </c>
      <c r="AX2256" s="46">
        <v>0</v>
      </c>
      <c r="AY2256" s="46">
        <v>0</v>
      </c>
      <c r="AZ2256" s="46">
        <v>0</v>
      </c>
      <c r="BA2256" s="46">
        <v>0</v>
      </c>
      <c r="BB2256" s="46">
        <v>0</v>
      </c>
      <c r="BC2256" s="46">
        <v>0</v>
      </c>
      <c r="BD2256" s="46">
        <v>0</v>
      </c>
      <c r="BE2256" s="46">
        <v>0</v>
      </c>
      <c r="BF2256" s="46">
        <v>0</v>
      </c>
      <c r="BG2256" s="46" t="s">
        <v>48</v>
      </c>
      <c r="BH2256" s="46">
        <v>0</v>
      </c>
      <c r="BI2256" s="46">
        <v>0</v>
      </c>
      <c r="BJ2256" s="46">
        <v>0</v>
      </c>
      <c r="BK2256" s="46">
        <v>0</v>
      </c>
      <c r="BL2256" s="46">
        <v>0</v>
      </c>
      <c r="BM2256" s="46">
        <v>0</v>
      </c>
      <c r="BN2256" s="46">
        <v>0</v>
      </c>
    </row>
    <row r="2257" spans="1:66" x14ac:dyDescent="0.35">
      <c r="A2257" t="s">
        <v>6426</v>
      </c>
      <c r="B2257" t="s">
        <v>48</v>
      </c>
      <c r="C2257" t="s">
        <v>6431</v>
      </c>
      <c r="D2257" t="s">
        <v>6430</v>
      </c>
      <c r="E2257" t="s">
        <v>6428</v>
      </c>
      <c r="F2257" t="s">
        <v>6427</v>
      </c>
      <c r="G2257" t="s">
        <v>47</v>
      </c>
      <c r="H2257">
        <v>0</v>
      </c>
      <c r="I2257" s="60" t="s">
        <v>51</v>
      </c>
      <c r="J2257" s="33" t="s">
        <v>45</v>
      </c>
      <c r="K2257" s="46">
        <v>0</v>
      </c>
      <c r="L2257">
        <v>1.1000000000000001</v>
      </c>
      <c r="M2257" t="s">
        <v>48</v>
      </c>
      <c r="N2257" s="46">
        <v>0</v>
      </c>
      <c r="O2257" s="46">
        <v>0</v>
      </c>
      <c r="P2257" s="46">
        <v>0</v>
      </c>
      <c r="Q2257" t="s">
        <v>48</v>
      </c>
      <c r="R2257" t="s">
        <v>48</v>
      </c>
      <c r="S2257" t="s">
        <v>6429</v>
      </c>
      <c r="T2257" t="s">
        <v>48</v>
      </c>
      <c r="U2257" t="s">
        <v>6429</v>
      </c>
      <c r="V2257" s="47">
        <v>0</v>
      </c>
      <c r="W2257" t="s">
        <v>11319</v>
      </c>
      <c r="X2257" t="s">
        <v>48</v>
      </c>
      <c r="Y2257" t="s">
        <v>48</v>
      </c>
      <c r="Z2257">
        <v>0</v>
      </c>
      <c r="AA2257" t="s">
        <v>48</v>
      </c>
      <c r="AB2257" t="s">
        <v>48</v>
      </c>
      <c r="AC2257" t="s">
        <v>63</v>
      </c>
      <c r="AD2257" t="s">
        <v>93</v>
      </c>
      <c r="AE2257" t="s">
        <v>4532</v>
      </c>
      <c r="AF2257" t="s">
        <v>48</v>
      </c>
      <c r="AG2257" t="s">
        <v>48</v>
      </c>
      <c r="AH2257" t="s">
        <v>48</v>
      </c>
      <c r="AI2257" t="s">
        <v>48</v>
      </c>
      <c r="AJ2257" t="s">
        <v>48</v>
      </c>
      <c r="AK2257" t="s">
        <v>48</v>
      </c>
      <c r="AL2257" t="s">
        <v>48</v>
      </c>
      <c r="AM2257" t="s">
        <v>48</v>
      </c>
      <c r="AN2257" t="s">
        <v>48</v>
      </c>
      <c r="AO2257" t="s">
        <v>48</v>
      </c>
      <c r="AP2257" s="46">
        <v>0</v>
      </c>
      <c r="AQ2257" s="46">
        <v>0</v>
      </c>
      <c r="AR2257" s="46">
        <v>0</v>
      </c>
      <c r="AS2257" s="46">
        <v>0</v>
      </c>
      <c r="AT2257" s="46">
        <v>0</v>
      </c>
      <c r="AU2257" s="46">
        <v>0</v>
      </c>
      <c r="AV2257" s="46">
        <v>0</v>
      </c>
      <c r="AW2257" s="46">
        <v>0</v>
      </c>
      <c r="AX2257" s="46">
        <v>0</v>
      </c>
      <c r="AY2257" s="46">
        <v>0</v>
      </c>
      <c r="AZ2257" s="46">
        <v>0</v>
      </c>
      <c r="BA2257" s="46">
        <v>0</v>
      </c>
      <c r="BB2257" s="46">
        <v>0</v>
      </c>
      <c r="BC2257" s="46">
        <v>0</v>
      </c>
      <c r="BD2257" s="46">
        <v>0</v>
      </c>
      <c r="BE2257" s="46">
        <v>0</v>
      </c>
      <c r="BF2257" s="46">
        <v>0</v>
      </c>
      <c r="BG2257" s="46" t="s">
        <v>48</v>
      </c>
      <c r="BH2257" s="46">
        <v>0</v>
      </c>
      <c r="BI2257" s="46">
        <v>0</v>
      </c>
      <c r="BJ2257" s="46">
        <v>0</v>
      </c>
      <c r="BK2257" s="46">
        <v>0</v>
      </c>
      <c r="BL2257" s="46">
        <v>0</v>
      </c>
      <c r="BM2257" s="46">
        <v>0</v>
      </c>
      <c r="BN2257" s="46">
        <v>0</v>
      </c>
    </row>
    <row r="2258" spans="1:66" x14ac:dyDescent="0.35">
      <c r="A2258" t="s">
        <v>6436</v>
      </c>
      <c r="B2258" t="s">
        <v>48</v>
      </c>
      <c r="C2258" t="s">
        <v>6439</v>
      </c>
      <c r="D2258" t="s">
        <v>6438</v>
      </c>
      <c r="E2258" t="s">
        <v>6437</v>
      </c>
      <c r="F2258" t="s">
        <v>6427</v>
      </c>
      <c r="G2258" t="s">
        <v>47</v>
      </c>
      <c r="H2258">
        <v>0</v>
      </c>
      <c r="I2258" s="60" t="s">
        <v>190</v>
      </c>
      <c r="J2258" s="33" t="s">
        <v>45</v>
      </c>
      <c r="K2258" s="46">
        <v>0</v>
      </c>
      <c r="L2258">
        <v>2.2999999999999998</v>
      </c>
      <c r="M2258" t="s">
        <v>48</v>
      </c>
      <c r="N2258" s="46">
        <v>0</v>
      </c>
      <c r="O2258" s="46">
        <v>0</v>
      </c>
      <c r="P2258" s="46">
        <v>0</v>
      </c>
      <c r="Q2258" t="s">
        <v>48</v>
      </c>
      <c r="R2258" t="s">
        <v>48</v>
      </c>
      <c r="S2258" t="s">
        <v>48</v>
      </c>
      <c r="T2258" t="s">
        <v>48</v>
      </c>
      <c r="U2258" t="s">
        <v>48</v>
      </c>
      <c r="V2258" s="47">
        <v>0</v>
      </c>
      <c r="W2258" t="s">
        <v>48</v>
      </c>
      <c r="X2258" t="s">
        <v>48</v>
      </c>
      <c r="Y2258" t="s">
        <v>48</v>
      </c>
      <c r="Z2258">
        <v>0</v>
      </c>
      <c r="AA2258" t="s">
        <v>48</v>
      </c>
      <c r="AB2258" t="s">
        <v>48</v>
      </c>
      <c r="AC2258" t="s">
        <v>63</v>
      </c>
      <c r="AD2258" t="s">
        <v>93</v>
      </c>
      <c r="AE2258" t="s">
        <v>4532</v>
      </c>
      <c r="AF2258" t="s">
        <v>48</v>
      </c>
      <c r="AG2258" t="s">
        <v>48</v>
      </c>
      <c r="AH2258" t="s">
        <v>48</v>
      </c>
      <c r="AI2258" t="s">
        <v>48</v>
      </c>
      <c r="AJ2258" t="s">
        <v>48</v>
      </c>
      <c r="AK2258" t="s">
        <v>48</v>
      </c>
      <c r="AL2258" t="s">
        <v>48</v>
      </c>
      <c r="AM2258" t="s">
        <v>48</v>
      </c>
      <c r="AN2258" t="s">
        <v>48</v>
      </c>
      <c r="AO2258" t="s">
        <v>48</v>
      </c>
      <c r="AP2258" s="46">
        <v>0</v>
      </c>
      <c r="AQ2258" s="46">
        <v>0</v>
      </c>
      <c r="AR2258" s="46">
        <v>0</v>
      </c>
      <c r="AS2258" s="46">
        <v>0</v>
      </c>
      <c r="AT2258" s="46">
        <v>0</v>
      </c>
      <c r="AU2258" s="46">
        <v>0</v>
      </c>
      <c r="AV2258" s="46">
        <v>0</v>
      </c>
      <c r="AW2258" s="46">
        <v>0</v>
      </c>
      <c r="AX2258" s="46">
        <v>0</v>
      </c>
      <c r="AY2258" s="46">
        <v>0</v>
      </c>
      <c r="AZ2258" s="46">
        <v>0</v>
      </c>
      <c r="BA2258" s="46">
        <v>0</v>
      </c>
      <c r="BB2258" s="46">
        <v>0</v>
      </c>
      <c r="BC2258" s="46">
        <v>0</v>
      </c>
      <c r="BD2258" s="46">
        <v>0</v>
      </c>
      <c r="BE2258" s="46">
        <v>0</v>
      </c>
      <c r="BF2258" s="46">
        <v>0</v>
      </c>
      <c r="BG2258" s="46" t="s">
        <v>48</v>
      </c>
      <c r="BH2258" s="46">
        <v>0</v>
      </c>
      <c r="BI2258" s="46">
        <v>0</v>
      </c>
      <c r="BJ2258" s="46">
        <v>0</v>
      </c>
      <c r="BK2258" s="46">
        <v>0</v>
      </c>
      <c r="BL2258" s="46">
        <v>0</v>
      </c>
      <c r="BM2258" s="46">
        <v>0</v>
      </c>
      <c r="BN2258" s="46">
        <v>0</v>
      </c>
    </row>
    <row r="2259" spans="1:66" x14ac:dyDescent="0.35">
      <c r="A2259" t="s">
        <v>6440</v>
      </c>
      <c r="B2259" t="s">
        <v>48</v>
      </c>
      <c r="C2259" t="s">
        <v>1403</v>
      </c>
      <c r="D2259" t="s">
        <v>266</v>
      </c>
      <c r="E2259" t="s">
        <v>6441</v>
      </c>
      <c r="F2259" t="s">
        <v>6427</v>
      </c>
      <c r="G2259" t="s">
        <v>47</v>
      </c>
      <c r="H2259">
        <v>0</v>
      </c>
      <c r="I2259" s="60" t="s">
        <v>675</v>
      </c>
      <c r="J2259" s="33" t="s">
        <v>45</v>
      </c>
      <c r="K2259" s="46">
        <v>0</v>
      </c>
      <c r="L2259">
        <v>22.2</v>
      </c>
      <c r="M2259" t="s">
        <v>48</v>
      </c>
      <c r="N2259" s="46">
        <v>0</v>
      </c>
      <c r="O2259" s="46">
        <v>0</v>
      </c>
      <c r="P2259" s="46">
        <v>0</v>
      </c>
      <c r="Q2259" t="s">
        <v>48</v>
      </c>
      <c r="R2259" t="s">
        <v>48</v>
      </c>
      <c r="S2259" t="s">
        <v>6442</v>
      </c>
      <c r="T2259" t="s">
        <v>48</v>
      </c>
      <c r="U2259" t="s">
        <v>6442</v>
      </c>
      <c r="V2259" s="47">
        <v>0</v>
      </c>
      <c r="W2259" t="s">
        <v>48</v>
      </c>
      <c r="X2259" t="s">
        <v>48</v>
      </c>
      <c r="Y2259" t="s">
        <v>48</v>
      </c>
      <c r="Z2259">
        <v>0</v>
      </c>
      <c r="AA2259" t="s">
        <v>48</v>
      </c>
      <c r="AB2259" t="s">
        <v>48</v>
      </c>
      <c r="AC2259" t="s">
        <v>49</v>
      </c>
      <c r="AD2259" t="s">
        <v>93</v>
      </c>
      <c r="AE2259" t="s">
        <v>4532</v>
      </c>
      <c r="AF2259" t="s">
        <v>48</v>
      </c>
      <c r="AG2259" t="s">
        <v>48</v>
      </c>
      <c r="AH2259" t="s">
        <v>48</v>
      </c>
      <c r="AI2259" t="s">
        <v>48</v>
      </c>
      <c r="AJ2259" t="s">
        <v>48</v>
      </c>
      <c r="AK2259" t="s">
        <v>48</v>
      </c>
      <c r="AL2259" t="s">
        <v>48</v>
      </c>
      <c r="AM2259" t="s">
        <v>48</v>
      </c>
      <c r="AN2259" t="s">
        <v>48</v>
      </c>
      <c r="AO2259" t="s">
        <v>48</v>
      </c>
      <c r="AP2259" s="46">
        <v>0</v>
      </c>
      <c r="AQ2259" s="46">
        <v>0</v>
      </c>
      <c r="AR2259" s="46">
        <v>0</v>
      </c>
      <c r="AS2259" s="46">
        <v>0</v>
      </c>
      <c r="AT2259" s="46">
        <v>0</v>
      </c>
      <c r="AU2259" s="46">
        <v>0</v>
      </c>
      <c r="AV2259" s="46">
        <v>0</v>
      </c>
      <c r="AW2259" s="46">
        <v>0</v>
      </c>
      <c r="AX2259" s="46">
        <v>0</v>
      </c>
      <c r="AY2259" s="46">
        <v>0</v>
      </c>
      <c r="AZ2259" s="46">
        <v>0</v>
      </c>
      <c r="BA2259" s="46">
        <v>0</v>
      </c>
      <c r="BB2259" s="46">
        <v>0</v>
      </c>
      <c r="BC2259" s="46">
        <v>0</v>
      </c>
      <c r="BD2259" s="46">
        <v>0</v>
      </c>
      <c r="BE2259" s="46">
        <v>0</v>
      </c>
      <c r="BF2259" s="46">
        <v>0</v>
      </c>
      <c r="BG2259" s="46" t="s">
        <v>48</v>
      </c>
      <c r="BH2259" s="46">
        <v>0</v>
      </c>
      <c r="BI2259" s="46">
        <v>0</v>
      </c>
      <c r="BJ2259" s="46">
        <v>0</v>
      </c>
      <c r="BK2259" s="46">
        <v>0</v>
      </c>
      <c r="BL2259" s="46">
        <v>0</v>
      </c>
      <c r="BM2259" s="46">
        <v>0</v>
      </c>
      <c r="BN2259" s="46">
        <v>0</v>
      </c>
    </row>
    <row r="2260" spans="1:66" x14ac:dyDescent="0.35">
      <c r="A2260" t="s">
        <v>6460</v>
      </c>
      <c r="B2260" t="s">
        <v>48</v>
      </c>
      <c r="C2260" t="s">
        <v>6462</v>
      </c>
      <c r="D2260" t="s">
        <v>1577</v>
      </c>
      <c r="E2260" t="s">
        <v>6461</v>
      </c>
      <c r="F2260" t="s">
        <v>6427</v>
      </c>
      <c r="G2260" t="s">
        <v>47</v>
      </c>
      <c r="H2260">
        <v>0</v>
      </c>
      <c r="I2260" s="60" t="s">
        <v>149</v>
      </c>
      <c r="J2260" s="33" t="s">
        <v>45</v>
      </c>
      <c r="K2260" s="46">
        <v>0</v>
      </c>
      <c r="L2260">
        <v>1.8</v>
      </c>
      <c r="M2260" t="s">
        <v>48</v>
      </c>
      <c r="N2260" s="46">
        <v>0</v>
      </c>
      <c r="O2260" s="46">
        <v>0</v>
      </c>
      <c r="P2260" s="46">
        <v>0</v>
      </c>
      <c r="Q2260" t="s">
        <v>48</v>
      </c>
      <c r="R2260" t="s">
        <v>48</v>
      </c>
      <c r="S2260" t="s">
        <v>48</v>
      </c>
      <c r="T2260" t="s">
        <v>48</v>
      </c>
      <c r="U2260" t="s">
        <v>48</v>
      </c>
      <c r="V2260" s="47">
        <v>0</v>
      </c>
      <c r="W2260" t="s">
        <v>48</v>
      </c>
      <c r="X2260" t="s">
        <v>48</v>
      </c>
      <c r="Y2260" t="s">
        <v>48</v>
      </c>
      <c r="Z2260">
        <v>0</v>
      </c>
      <c r="AA2260" t="s">
        <v>48</v>
      </c>
      <c r="AB2260" t="s">
        <v>48</v>
      </c>
      <c r="AC2260" t="s">
        <v>49</v>
      </c>
      <c r="AD2260" t="s">
        <v>93</v>
      </c>
      <c r="AE2260" t="s">
        <v>4532</v>
      </c>
      <c r="AF2260" t="s">
        <v>48</v>
      </c>
      <c r="AG2260" t="s">
        <v>48</v>
      </c>
      <c r="AH2260" t="s">
        <v>48</v>
      </c>
      <c r="AI2260" t="s">
        <v>48</v>
      </c>
      <c r="AJ2260" t="s">
        <v>48</v>
      </c>
      <c r="AK2260" t="s">
        <v>48</v>
      </c>
      <c r="AL2260" t="s">
        <v>48</v>
      </c>
      <c r="AM2260" t="s">
        <v>48</v>
      </c>
      <c r="AN2260" t="s">
        <v>48</v>
      </c>
      <c r="AO2260" t="s">
        <v>48</v>
      </c>
      <c r="AP2260" s="46">
        <v>0</v>
      </c>
      <c r="AQ2260" s="46">
        <v>0</v>
      </c>
      <c r="AR2260" s="46">
        <v>0</v>
      </c>
      <c r="AS2260" s="46">
        <v>0</v>
      </c>
      <c r="AT2260" s="46">
        <v>0</v>
      </c>
      <c r="AU2260" s="46">
        <v>0</v>
      </c>
      <c r="AV2260" s="46">
        <v>0</v>
      </c>
      <c r="AW2260" s="46">
        <v>0</v>
      </c>
      <c r="AX2260" s="46">
        <v>0</v>
      </c>
      <c r="AY2260" s="46">
        <v>0</v>
      </c>
      <c r="AZ2260" s="46">
        <v>0</v>
      </c>
      <c r="BA2260" s="46">
        <v>0</v>
      </c>
      <c r="BB2260" s="46">
        <v>0</v>
      </c>
      <c r="BC2260" s="46">
        <v>0</v>
      </c>
      <c r="BD2260" s="46">
        <v>0</v>
      </c>
      <c r="BE2260" s="46">
        <v>0</v>
      </c>
      <c r="BF2260" s="46">
        <v>0</v>
      </c>
      <c r="BG2260" s="46" t="s">
        <v>48</v>
      </c>
      <c r="BH2260" s="46">
        <v>0</v>
      </c>
      <c r="BI2260" s="46">
        <v>0</v>
      </c>
      <c r="BJ2260" s="46">
        <v>0</v>
      </c>
      <c r="BK2260" s="46">
        <v>0</v>
      </c>
      <c r="BL2260" s="46">
        <v>0</v>
      </c>
      <c r="BM2260" s="46">
        <v>0</v>
      </c>
      <c r="BN2260" s="46">
        <v>0</v>
      </c>
    </row>
    <row r="2261" spans="1:66" x14ac:dyDescent="0.35">
      <c r="A2261" t="s">
        <v>6454</v>
      </c>
      <c r="B2261" t="s">
        <v>48</v>
      </c>
      <c r="C2261" t="s">
        <v>6457</v>
      </c>
      <c r="D2261" t="s">
        <v>347</v>
      </c>
      <c r="E2261" t="s">
        <v>6455</v>
      </c>
      <c r="F2261" t="s">
        <v>6427</v>
      </c>
      <c r="G2261" t="s">
        <v>47</v>
      </c>
      <c r="H2261">
        <v>0</v>
      </c>
      <c r="I2261" s="60" t="s">
        <v>51</v>
      </c>
      <c r="J2261" s="33" t="s">
        <v>45</v>
      </c>
      <c r="K2261" s="46">
        <v>0</v>
      </c>
      <c r="L2261">
        <v>2.4</v>
      </c>
      <c r="M2261" t="s">
        <v>48</v>
      </c>
      <c r="N2261" s="46">
        <v>0</v>
      </c>
      <c r="O2261" s="46">
        <v>0</v>
      </c>
      <c r="P2261" s="46">
        <v>0</v>
      </c>
      <c r="Q2261" t="s">
        <v>48</v>
      </c>
      <c r="R2261" t="s">
        <v>48</v>
      </c>
      <c r="S2261" t="s">
        <v>6456</v>
      </c>
      <c r="T2261" t="s">
        <v>48</v>
      </c>
      <c r="U2261" t="s">
        <v>6456</v>
      </c>
      <c r="V2261" s="47">
        <v>0</v>
      </c>
      <c r="W2261" t="s">
        <v>48</v>
      </c>
      <c r="X2261" t="s">
        <v>48</v>
      </c>
      <c r="Y2261" t="s">
        <v>48</v>
      </c>
      <c r="Z2261">
        <v>0</v>
      </c>
      <c r="AA2261" t="s">
        <v>48</v>
      </c>
      <c r="AB2261" t="s">
        <v>48</v>
      </c>
      <c r="AC2261" t="s">
        <v>49</v>
      </c>
      <c r="AD2261" t="s">
        <v>93</v>
      </c>
      <c r="AE2261" t="s">
        <v>4532</v>
      </c>
      <c r="AF2261" t="s">
        <v>48</v>
      </c>
      <c r="AG2261" t="s">
        <v>48</v>
      </c>
      <c r="AH2261" t="s">
        <v>48</v>
      </c>
      <c r="AI2261" t="s">
        <v>48</v>
      </c>
      <c r="AJ2261" t="s">
        <v>48</v>
      </c>
      <c r="AK2261" t="s">
        <v>48</v>
      </c>
      <c r="AL2261" t="s">
        <v>48</v>
      </c>
      <c r="AM2261" t="s">
        <v>48</v>
      </c>
      <c r="AN2261" t="s">
        <v>48</v>
      </c>
      <c r="AO2261" t="s">
        <v>48</v>
      </c>
      <c r="AP2261" s="46">
        <v>0</v>
      </c>
      <c r="AQ2261" s="46">
        <v>0</v>
      </c>
      <c r="AR2261" s="46">
        <v>0</v>
      </c>
      <c r="AS2261" s="46">
        <v>0</v>
      </c>
      <c r="AT2261" s="46">
        <v>0</v>
      </c>
      <c r="AU2261" s="46">
        <v>0</v>
      </c>
      <c r="AV2261" s="46">
        <v>0</v>
      </c>
      <c r="AW2261" s="46">
        <v>0</v>
      </c>
      <c r="AX2261" s="46">
        <v>0</v>
      </c>
      <c r="AY2261" s="46">
        <v>0</v>
      </c>
      <c r="AZ2261" s="46">
        <v>0</v>
      </c>
      <c r="BA2261" s="46">
        <v>0</v>
      </c>
      <c r="BB2261" s="46">
        <v>0</v>
      </c>
      <c r="BC2261" s="46">
        <v>0</v>
      </c>
      <c r="BD2261" s="46">
        <v>0</v>
      </c>
      <c r="BE2261" s="46">
        <v>0</v>
      </c>
      <c r="BF2261" s="46">
        <v>0</v>
      </c>
      <c r="BG2261" s="46" t="s">
        <v>48</v>
      </c>
      <c r="BH2261" s="46">
        <v>0</v>
      </c>
      <c r="BI2261" s="46">
        <v>0</v>
      </c>
      <c r="BJ2261" s="46">
        <v>0</v>
      </c>
      <c r="BK2261" s="46">
        <v>0</v>
      </c>
      <c r="BL2261" s="46">
        <v>0</v>
      </c>
      <c r="BM2261" s="46">
        <v>0</v>
      </c>
      <c r="BN2261" s="46">
        <v>0</v>
      </c>
    </row>
    <row r="2262" spans="1:66" x14ac:dyDescent="0.35">
      <c r="A2262" t="s">
        <v>6466</v>
      </c>
      <c r="B2262" t="s">
        <v>48</v>
      </c>
      <c r="C2262" t="s">
        <v>6469</v>
      </c>
      <c r="D2262" t="s">
        <v>521</v>
      </c>
      <c r="E2262" t="s">
        <v>6467</v>
      </c>
      <c r="F2262" t="s">
        <v>6427</v>
      </c>
      <c r="G2262" t="s">
        <v>47</v>
      </c>
      <c r="H2262">
        <v>0</v>
      </c>
      <c r="I2262" s="60" t="s">
        <v>149</v>
      </c>
      <c r="J2262" s="33" t="s">
        <v>45</v>
      </c>
      <c r="K2262" s="46">
        <v>0</v>
      </c>
      <c r="L2262">
        <v>2.2999999999999998</v>
      </c>
      <c r="M2262" t="s">
        <v>48</v>
      </c>
      <c r="N2262" s="46">
        <v>0</v>
      </c>
      <c r="O2262" s="46">
        <v>0</v>
      </c>
      <c r="P2262" s="46">
        <v>0</v>
      </c>
      <c r="Q2262" t="s">
        <v>48</v>
      </c>
      <c r="R2262" t="s">
        <v>48</v>
      </c>
      <c r="S2262" t="s">
        <v>6468</v>
      </c>
      <c r="T2262" t="s">
        <v>48</v>
      </c>
      <c r="U2262" t="s">
        <v>6468</v>
      </c>
      <c r="V2262" s="47">
        <v>0</v>
      </c>
      <c r="W2262" t="s">
        <v>48</v>
      </c>
      <c r="X2262" t="s">
        <v>48</v>
      </c>
      <c r="Y2262" t="s">
        <v>48</v>
      </c>
      <c r="Z2262">
        <v>0</v>
      </c>
      <c r="AA2262" t="s">
        <v>48</v>
      </c>
      <c r="AB2262" t="s">
        <v>48</v>
      </c>
      <c r="AC2262" t="s">
        <v>63</v>
      </c>
      <c r="AD2262" t="s">
        <v>93</v>
      </c>
      <c r="AE2262" t="s">
        <v>4532</v>
      </c>
      <c r="AF2262" t="s">
        <v>48</v>
      </c>
      <c r="AG2262" t="s">
        <v>48</v>
      </c>
      <c r="AH2262" t="s">
        <v>48</v>
      </c>
      <c r="AI2262" t="s">
        <v>48</v>
      </c>
      <c r="AJ2262" t="s">
        <v>48</v>
      </c>
      <c r="AK2262" t="s">
        <v>48</v>
      </c>
      <c r="AL2262" t="s">
        <v>48</v>
      </c>
      <c r="AM2262" t="s">
        <v>48</v>
      </c>
      <c r="AN2262" t="s">
        <v>48</v>
      </c>
      <c r="AO2262" t="s">
        <v>48</v>
      </c>
      <c r="AP2262" s="46">
        <v>0</v>
      </c>
      <c r="AQ2262" s="46">
        <v>0</v>
      </c>
      <c r="AR2262" s="46">
        <v>0</v>
      </c>
      <c r="AS2262" s="46">
        <v>0</v>
      </c>
      <c r="AT2262" s="46">
        <v>0</v>
      </c>
      <c r="AU2262" s="46">
        <v>0</v>
      </c>
      <c r="AV2262" s="46">
        <v>0</v>
      </c>
      <c r="AW2262" s="46">
        <v>0</v>
      </c>
      <c r="AX2262" s="46">
        <v>0</v>
      </c>
      <c r="AY2262" s="46">
        <v>0</v>
      </c>
      <c r="AZ2262" s="46">
        <v>0</v>
      </c>
      <c r="BA2262" s="46">
        <v>0</v>
      </c>
      <c r="BB2262" s="46">
        <v>0</v>
      </c>
      <c r="BC2262" s="46">
        <v>0</v>
      </c>
      <c r="BD2262" s="46">
        <v>0</v>
      </c>
      <c r="BE2262" s="46">
        <v>0</v>
      </c>
      <c r="BF2262" s="46">
        <v>0</v>
      </c>
      <c r="BG2262" s="46" t="s">
        <v>48</v>
      </c>
      <c r="BH2262" s="46">
        <v>0</v>
      </c>
      <c r="BI2262" s="46">
        <v>0</v>
      </c>
      <c r="BJ2262" s="46">
        <v>0</v>
      </c>
      <c r="BK2262" s="46">
        <v>0</v>
      </c>
      <c r="BL2262" s="46">
        <v>0</v>
      </c>
      <c r="BM2262" s="46">
        <v>0</v>
      </c>
      <c r="BN2262" s="46">
        <v>0</v>
      </c>
    </row>
    <row r="2263" spans="1:66" x14ac:dyDescent="0.35">
      <c r="A2263" t="s">
        <v>6443</v>
      </c>
      <c r="B2263" t="s">
        <v>48</v>
      </c>
      <c r="C2263" t="s">
        <v>6446</v>
      </c>
      <c r="D2263" t="s">
        <v>982</v>
      </c>
      <c r="E2263" t="s">
        <v>6444</v>
      </c>
      <c r="F2263" t="s">
        <v>6427</v>
      </c>
      <c r="G2263" t="s">
        <v>47</v>
      </c>
      <c r="H2263">
        <v>0</v>
      </c>
      <c r="I2263" s="60" t="s">
        <v>51</v>
      </c>
      <c r="J2263" s="33" t="s">
        <v>45</v>
      </c>
      <c r="K2263" s="46">
        <v>0</v>
      </c>
      <c r="L2263">
        <v>12.6</v>
      </c>
      <c r="M2263" t="s">
        <v>48</v>
      </c>
      <c r="N2263" s="46">
        <v>0</v>
      </c>
      <c r="O2263" s="46">
        <v>0</v>
      </c>
      <c r="P2263" s="46">
        <v>0</v>
      </c>
      <c r="Q2263" t="s">
        <v>48</v>
      </c>
      <c r="R2263" t="s">
        <v>48</v>
      </c>
      <c r="S2263" t="s">
        <v>6445</v>
      </c>
      <c r="T2263" t="s">
        <v>48</v>
      </c>
      <c r="U2263" t="s">
        <v>6445</v>
      </c>
      <c r="V2263" s="47">
        <v>0</v>
      </c>
      <c r="W2263" t="s">
        <v>48</v>
      </c>
      <c r="X2263" t="s">
        <v>48</v>
      </c>
      <c r="Y2263" t="s">
        <v>48</v>
      </c>
      <c r="Z2263">
        <v>0</v>
      </c>
      <c r="AA2263" t="s">
        <v>48</v>
      </c>
      <c r="AB2263" t="s">
        <v>48</v>
      </c>
      <c r="AC2263" t="s">
        <v>49</v>
      </c>
      <c r="AD2263" t="s">
        <v>93</v>
      </c>
      <c r="AE2263" t="s">
        <v>4532</v>
      </c>
      <c r="AF2263" t="s">
        <v>48</v>
      </c>
      <c r="AG2263" t="s">
        <v>48</v>
      </c>
      <c r="AH2263" t="s">
        <v>48</v>
      </c>
      <c r="AI2263" t="s">
        <v>48</v>
      </c>
      <c r="AJ2263" t="s">
        <v>48</v>
      </c>
      <c r="AK2263" t="s">
        <v>48</v>
      </c>
      <c r="AL2263" t="s">
        <v>48</v>
      </c>
      <c r="AM2263" t="s">
        <v>48</v>
      </c>
      <c r="AN2263" t="s">
        <v>48</v>
      </c>
      <c r="AO2263" t="s">
        <v>48</v>
      </c>
      <c r="AP2263" s="46">
        <v>0</v>
      </c>
      <c r="AQ2263" s="46">
        <v>0</v>
      </c>
      <c r="AR2263" s="46">
        <v>0</v>
      </c>
      <c r="AS2263" s="46">
        <v>0</v>
      </c>
      <c r="AT2263" s="46">
        <v>0</v>
      </c>
      <c r="AU2263" s="46">
        <v>0</v>
      </c>
      <c r="AV2263" s="46">
        <v>0</v>
      </c>
      <c r="AW2263" s="46">
        <v>0</v>
      </c>
      <c r="AX2263" s="46">
        <v>0</v>
      </c>
      <c r="AY2263" s="46">
        <v>0</v>
      </c>
      <c r="AZ2263" s="46">
        <v>0</v>
      </c>
      <c r="BA2263" s="46">
        <v>0</v>
      </c>
      <c r="BB2263" s="46">
        <v>0</v>
      </c>
      <c r="BC2263" s="46">
        <v>0</v>
      </c>
      <c r="BD2263" s="46">
        <v>0</v>
      </c>
      <c r="BE2263" s="46">
        <v>0</v>
      </c>
      <c r="BF2263" s="46">
        <v>0</v>
      </c>
      <c r="BG2263" s="46" t="s">
        <v>48</v>
      </c>
      <c r="BH2263" s="46">
        <v>0</v>
      </c>
      <c r="BI2263" s="46">
        <v>0</v>
      </c>
      <c r="BJ2263" s="46">
        <v>0</v>
      </c>
      <c r="BK2263" s="46">
        <v>0</v>
      </c>
      <c r="BL2263" s="46">
        <v>0</v>
      </c>
      <c r="BM2263" s="46">
        <v>0</v>
      </c>
      <c r="BN2263" s="46">
        <v>0</v>
      </c>
    </row>
    <row r="2264" spans="1:66" x14ac:dyDescent="0.35">
      <c r="A2264" t="s">
        <v>6458</v>
      </c>
      <c r="B2264" t="s">
        <v>48</v>
      </c>
      <c r="C2264" t="s">
        <v>777</v>
      </c>
      <c r="D2264" t="s">
        <v>982</v>
      </c>
      <c r="E2264" t="s">
        <v>6459</v>
      </c>
      <c r="F2264" t="s">
        <v>6427</v>
      </c>
      <c r="G2264" t="s">
        <v>47</v>
      </c>
      <c r="H2264">
        <v>0</v>
      </c>
      <c r="I2264" s="60" t="s">
        <v>51</v>
      </c>
      <c r="J2264" s="33" t="s">
        <v>45</v>
      </c>
      <c r="K2264" s="46">
        <v>0</v>
      </c>
      <c r="L2264">
        <v>1.2</v>
      </c>
      <c r="M2264" t="s">
        <v>48</v>
      </c>
      <c r="N2264" s="46">
        <v>0</v>
      </c>
      <c r="O2264" s="46">
        <v>0</v>
      </c>
      <c r="P2264" s="46">
        <v>0</v>
      </c>
      <c r="Q2264" t="s">
        <v>48</v>
      </c>
      <c r="R2264" t="s">
        <v>48</v>
      </c>
      <c r="S2264" t="s">
        <v>48</v>
      </c>
      <c r="T2264" t="s">
        <v>48</v>
      </c>
      <c r="U2264" t="s">
        <v>48</v>
      </c>
      <c r="V2264" s="47">
        <v>0</v>
      </c>
      <c r="W2264" t="s">
        <v>48</v>
      </c>
      <c r="X2264" t="s">
        <v>48</v>
      </c>
      <c r="Y2264" t="s">
        <v>48</v>
      </c>
      <c r="Z2264">
        <v>0</v>
      </c>
      <c r="AA2264" t="s">
        <v>48</v>
      </c>
      <c r="AB2264" t="s">
        <v>48</v>
      </c>
      <c r="AC2264" t="s">
        <v>49</v>
      </c>
      <c r="AD2264" t="s">
        <v>93</v>
      </c>
      <c r="AE2264" t="s">
        <v>4532</v>
      </c>
      <c r="AF2264" t="s">
        <v>48</v>
      </c>
      <c r="AG2264" t="s">
        <v>48</v>
      </c>
      <c r="AH2264" t="s">
        <v>48</v>
      </c>
      <c r="AI2264" t="s">
        <v>48</v>
      </c>
      <c r="AJ2264" t="s">
        <v>48</v>
      </c>
      <c r="AK2264" t="s">
        <v>48</v>
      </c>
      <c r="AL2264" t="s">
        <v>48</v>
      </c>
      <c r="AM2264" t="s">
        <v>48</v>
      </c>
      <c r="AN2264" t="s">
        <v>48</v>
      </c>
      <c r="AO2264" t="s">
        <v>48</v>
      </c>
      <c r="AP2264" s="46">
        <v>0</v>
      </c>
      <c r="AQ2264" s="46">
        <v>0</v>
      </c>
      <c r="AR2264" s="46">
        <v>0</v>
      </c>
      <c r="AS2264" s="46">
        <v>0</v>
      </c>
      <c r="AT2264" s="46">
        <v>0</v>
      </c>
      <c r="AU2264" s="46">
        <v>0</v>
      </c>
      <c r="AV2264" s="46">
        <v>0</v>
      </c>
      <c r="AW2264" s="46">
        <v>0</v>
      </c>
      <c r="AX2264" s="46">
        <v>0</v>
      </c>
      <c r="AY2264" s="46">
        <v>0</v>
      </c>
      <c r="AZ2264" s="46">
        <v>0</v>
      </c>
      <c r="BA2264" s="46">
        <v>0</v>
      </c>
      <c r="BB2264" s="46">
        <v>0</v>
      </c>
      <c r="BC2264" s="46">
        <v>0</v>
      </c>
      <c r="BD2264" s="46">
        <v>0</v>
      </c>
      <c r="BE2264" s="46">
        <v>0</v>
      </c>
      <c r="BF2264" s="46">
        <v>0</v>
      </c>
      <c r="BG2264" s="46" t="s">
        <v>48</v>
      </c>
      <c r="BH2264" s="46">
        <v>0</v>
      </c>
      <c r="BI2264" s="46">
        <v>0</v>
      </c>
      <c r="BJ2264" s="46">
        <v>0</v>
      </c>
      <c r="BK2264" s="46">
        <v>0</v>
      </c>
      <c r="BL2264" s="46">
        <v>0</v>
      </c>
      <c r="BM2264" s="46">
        <v>0</v>
      </c>
      <c r="BN2264" s="46">
        <v>0</v>
      </c>
    </row>
    <row r="2265" spans="1:66" x14ac:dyDescent="0.35">
      <c r="A2265" t="s">
        <v>6463</v>
      </c>
      <c r="B2265" t="s">
        <v>48</v>
      </c>
      <c r="C2265" t="s">
        <v>6465</v>
      </c>
      <c r="D2265" t="s">
        <v>288</v>
      </c>
      <c r="E2265" t="s">
        <v>6464</v>
      </c>
      <c r="F2265" t="s">
        <v>6427</v>
      </c>
      <c r="G2265" t="s">
        <v>47</v>
      </c>
      <c r="H2265">
        <v>0</v>
      </c>
      <c r="I2265" s="60" t="s">
        <v>51</v>
      </c>
      <c r="J2265" s="33" t="s">
        <v>45</v>
      </c>
      <c r="K2265" s="46">
        <v>0</v>
      </c>
      <c r="L2265">
        <v>1.3</v>
      </c>
      <c r="M2265" t="s">
        <v>48</v>
      </c>
      <c r="N2265" s="46">
        <v>0</v>
      </c>
      <c r="O2265" s="46">
        <v>0</v>
      </c>
      <c r="P2265" s="46">
        <v>0</v>
      </c>
      <c r="Q2265" t="s">
        <v>48</v>
      </c>
      <c r="R2265" t="s">
        <v>48</v>
      </c>
      <c r="S2265" t="s">
        <v>48</v>
      </c>
      <c r="T2265" t="s">
        <v>48</v>
      </c>
      <c r="U2265" t="s">
        <v>48</v>
      </c>
      <c r="V2265" s="47">
        <v>0</v>
      </c>
      <c r="W2265" t="s">
        <v>48</v>
      </c>
      <c r="X2265" t="s">
        <v>48</v>
      </c>
      <c r="Y2265" t="s">
        <v>48</v>
      </c>
      <c r="Z2265">
        <v>0</v>
      </c>
      <c r="AA2265" t="s">
        <v>48</v>
      </c>
      <c r="AB2265" t="s">
        <v>48</v>
      </c>
      <c r="AC2265" t="s">
        <v>49</v>
      </c>
      <c r="AD2265" t="s">
        <v>93</v>
      </c>
      <c r="AE2265" t="s">
        <v>4532</v>
      </c>
      <c r="AF2265" t="s">
        <v>48</v>
      </c>
      <c r="AG2265" t="s">
        <v>48</v>
      </c>
      <c r="AH2265" t="s">
        <v>48</v>
      </c>
      <c r="AI2265" t="s">
        <v>48</v>
      </c>
      <c r="AJ2265" t="s">
        <v>48</v>
      </c>
      <c r="AK2265" t="s">
        <v>48</v>
      </c>
      <c r="AL2265" t="s">
        <v>48</v>
      </c>
      <c r="AM2265" t="s">
        <v>48</v>
      </c>
      <c r="AN2265" t="s">
        <v>48</v>
      </c>
      <c r="AO2265" t="s">
        <v>48</v>
      </c>
      <c r="AP2265" s="46">
        <v>0</v>
      </c>
      <c r="AQ2265" s="46">
        <v>0</v>
      </c>
      <c r="AR2265" s="46">
        <v>0</v>
      </c>
      <c r="AS2265" s="46">
        <v>0</v>
      </c>
      <c r="AT2265" s="46">
        <v>0</v>
      </c>
      <c r="AU2265" s="46">
        <v>0</v>
      </c>
      <c r="AV2265" s="46">
        <v>0</v>
      </c>
      <c r="AW2265" s="46">
        <v>0</v>
      </c>
      <c r="AX2265" s="46">
        <v>0</v>
      </c>
      <c r="AY2265" s="46">
        <v>0</v>
      </c>
      <c r="AZ2265" s="46">
        <v>0</v>
      </c>
      <c r="BA2265" s="46">
        <v>0</v>
      </c>
      <c r="BB2265" s="46">
        <v>0</v>
      </c>
      <c r="BC2265" s="46">
        <v>0</v>
      </c>
      <c r="BD2265" s="46">
        <v>0</v>
      </c>
      <c r="BE2265" s="46">
        <v>0</v>
      </c>
      <c r="BF2265" s="46">
        <v>0</v>
      </c>
      <c r="BG2265" s="46" t="s">
        <v>48</v>
      </c>
      <c r="BH2265" s="46">
        <v>0</v>
      </c>
      <c r="BI2265" s="46">
        <v>0</v>
      </c>
      <c r="BJ2265" s="46">
        <v>0</v>
      </c>
      <c r="BK2265" s="46">
        <v>0</v>
      </c>
      <c r="BL2265" s="46">
        <v>0</v>
      </c>
      <c r="BM2265" s="46">
        <v>0</v>
      </c>
      <c r="BN2265" s="46">
        <v>0</v>
      </c>
    </row>
    <row r="2266" spans="1:66" x14ac:dyDescent="0.35">
      <c r="A2266" t="s">
        <v>6470</v>
      </c>
      <c r="B2266" t="s">
        <v>48</v>
      </c>
      <c r="C2266" t="s">
        <v>6473</v>
      </c>
      <c r="D2266" t="s">
        <v>522</v>
      </c>
      <c r="E2266" t="s">
        <v>6471</v>
      </c>
      <c r="F2266" t="s">
        <v>6427</v>
      </c>
      <c r="G2266" t="s">
        <v>47</v>
      </c>
      <c r="H2266">
        <v>0</v>
      </c>
      <c r="I2266" s="60" t="s">
        <v>51</v>
      </c>
      <c r="J2266" s="33" t="s">
        <v>45</v>
      </c>
      <c r="K2266" s="46">
        <v>0</v>
      </c>
      <c r="L2266">
        <v>0.4</v>
      </c>
      <c r="M2266" t="s">
        <v>48</v>
      </c>
      <c r="N2266" s="46">
        <v>0</v>
      </c>
      <c r="O2266" s="46">
        <v>0</v>
      </c>
      <c r="P2266" s="46">
        <v>0</v>
      </c>
      <c r="Q2266" t="s">
        <v>48</v>
      </c>
      <c r="R2266" t="s">
        <v>48</v>
      </c>
      <c r="S2266" t="s">
        <v>6472</v>
      </c>
      <c r="T2266" t="s">
        <v>48</v>
      </c>
      <c r="U2266" t="s">
        <v>6472</v>
      </c>
      <c r="V2266" s="47">
        <v>0</v>
      </c>
      <c r="W2266" t="s">
        <v>48</v>
      </c>
      <c r="X2266" t="s">
        <v>48</v>
      </c>
      <c r="Y2266" t="s">
        <v>48</v>
      </c>
      <c r="Z2266">
        <v>0</v>
      </c>
      <c r="AA2266" t="s">
        <v>48</v>
      </c>
      <c r="AB2266" t="s">
        <v>48</v>
      </c>
      <c r="AC2266" t="s">
        <v>49</v>
      </c>
      <c r="AD2266" t="s">
        <v>93</v>
      </c>
      <c r="AE2266" t="s">
        <v>4532</v>
      </c>
      <c r="AF2266" t="s">
        <v>48</v>
      </c>
      <c r="AG2266" t="s">
        <v>48</v>
      </c>
      <c r="AH2266" t="s">
        <v>48</v>
      </c>
      <c r="AI2266" t="s">
        <v>48</v>
      </c>
      <c r="AJ2266" t="s">
        <v>48</v>
      </c>
      <c r="AK2266" t="s">
        <v>48</v>
      </c>
      <c r="AL2266" t="s">
        <v>48</v>
      </c>
      <c r="AM2266" t="s">
        <v>48</v>
      </c>
      <c r="AN2266" t="s">
        <v>48</v>
      </c>
      <c r="AO2266" t="s">
        <v>48</v>
      </c>
      <c r="AP2266" s="46">
        <v>0</v>
      </c>
      <c r="AQ2266" s="46">
        <v>0</v>
      </c>
      <c r="AR2266" s="46">
        <v>0</v>
      </c>
      <c r="AS2266" s="46">
        <v>0</v>
      </c>
      <c r="AT2266" s="46">
        <v>0</v>
      </c>
      <c r="AU2266" s="46">
        <v>0</v>
      </c>
      <c r="AV2266" s="46">
        <v>0</v>
      </c>
      <c r="AW2266" s="46">
        <v>0</v>
      </c>
      <c r="AX2266" s="46">
        <v>0</v>
      </c>
      <c r="AY2266" s="46">
        <v>0</v>
      </c>
      <c r="AZ2266" s="46">
        <v>0</v>
      </c>
      <c r="BA2266" s="46">
        <v>0</v>
      </c>
      <c r="BB2266" s="46">
        <v>0</v>
      </c>
      <c r="BC2266" s="46">
        <v>0</v>
      </c>
      <c r="BD2266" s="46">
        <v>0</v>
      </c>
      <c r="BE2266" s="46">
        <v>0</v>
      </c>
      <c r="BF2266" s="46">
        <v>0</v>
      </c>
      <c r="BG2266" s="46" t="s">
        <v>48</v>
      </c>
      <c r="BH2266" s="46">
        <v>0</v>
      </c>
      <c r="BI2266" s="46">
        <v>0</v>
      </c>
      <c r="BJ2266" s="46">
        <v>0</v>
      </c>
      <c r="BK2266" s="46">
        <v>0</v>
      </c>
      <c r="BL2266" s="46">
        <v>0</v>
      </c>
      <c r="BM2266" s="46">
        <v>0</v>
      </c>
      <c r="BN2266" s="46">
        <v>0</v>
      </c>
    </row>
    <row r="2267" spans="1:66" x14ac:dyDescent="0.35">
      <c r="A2267" t="s">
        <v>6507</v>
      </c>
      <c r="B2267" t="s">
        <v>48</v>
      </c>
      <c r="C2267" t="s">
        <v>6511</v>
      </c>
      <c r="D2267" t="s">
        <v>6510</v>
      </c>
      <c r="E2267" t="s">
        <v>6508</v>
      </c>
      <c r="F2267" t="s">
        <v>6494</v>
      </c>
      <c r="G2267" t="s">
        <v>47</v>
      </c>
      <c r="H2267">
        <v>0</v>
      </c>
      <c r="I2267" s="60" t="s">
        <v>149</v>
      </c>
      <c r="J2267" s="33" t="s">
        <v>45</v>
      </c>
      <c r="K2267" s="46">
        <v>0</v>
      </c>
      <c r="L2267">
        <v>10.7</v>
      </c>
      <c r="M2267" t="s">
        <v>48</v>
      </c>
      <c r="N2267" s="46">
        <v>0</v>
      </c>
      <c r="O2267" s="46">
        <v>0</v>
      </c>
      <c r="P2267" s="46">
        <v>0</v>
      </c>
      <c r="Q2267" t="s">
        <v>48</v>
      </c>
      <c r="R2267" t="s">
        <v>48</v>
      </c>
      <c r="S2267" t="s">
        <v>6509</v>
      </c>
      <c r="T2267" t="s">
        <v>48</v>
      </c>
      <c r="U2267" t="s">
        <v>6509</v>
      </c>
      <c r="V2267" s="47">
        <v>0</v>
      </c>
      <c r="W2267" t="s">
        <v>48</v>
      </c>
      <c r="X2267" t="s">
        <v>48</v>
      </c>
      <c r="Y2267" t="s">
        <v>48</v>
      </c>
      <c r="Z2267">
        <v>0</v>
      </c>
      <c r="AA2267" t="s">
        <v>48</v>
      </c>
      <c r="AB2267" t="s">
        <v>48</v>
      </c>
      <c r="AC2267" t="s">
        <v>63</v>
      </c>
      <c r="AD2267" t="s">
        <v>93</v>
      </c>
      <c r="AE2267" t="s">
        <v>977</v>
      </c>
      <c r="AF2267" t="s">
        <v>11072</v>
      </c>
      <c r="AG2267" t="s">
        <v>48</v>
      </c>
      <c r="AH2267" t="s">
        <v>48</v>
      </c>
      <c r="AI2267" t="s">
        <v>48</v>
      </c>
      <c r="AJ2267" t="s">
        <v>48</v>
      </c>
      <c r="AK2267" t="s">
        <v>48</v>
      </c>
      <c r="AL2267" t="s">
        <v>48</v>
      </c>
      <c r="AM2267" t="s">
        <v>48</v>
      </c>
      <c r="AN2267" t="s">
        <v>48</v>
      </c>
      <c r="AO2267" t="s">
        <v>48</v>
      </c>
      <c r="AP2267" s="46">
        <v>0</v>
      </c>
      <c r="AQ2267" s="46">
        <v>0</v>
      </c>
      <c r="AR2267" s="46">
        <v>0</v>
      </c>
      <c r="AS2267" s="46">
        <v>0</v>
      </c>
      <c r="AT2267" s="46">
        <v>0</v>
      </c>
      <c r="AU2267" s="46">
        <v>0</v>
      </c>
      <c r="AV2267" s="46">
        <v>0</v>
      </c>
      <c r="AW2267" s="46">
        <v>0</v>
      </c>
      <c r="AX2267" s="46">
        <v>0</v>
      </c>
      <c r="AY2267" s="46">
        <v>0</v>
      </c>
      <c r="AZ2267" s="46">
        <v>0</v>
      </c>
      <c r="BA2267" s="46">
        <v>0</v>
      </c>
      <c r="BB2267" s="46">
        <v>0</v>
      </c>
      <c r="BC2267" s="46">
        <v>0</v>
      </c>
      <c r="BD2267" s="46">
        <v>0</v>
      </c>
      <c r="BE2267" s="46">
        <v>0</v>
      </c>
      <c r="BF2267" s="46">
        <v>0</v>
      </c>
      <c r="BG2267" s="46" t="s">
        <v>48</v>
      </c>
      <c r="BH2267" s="46">
        <v>0</v>
      </c>
      <c r="BI2267" s="46">
        <v>0</v>
      </c>
      <c r="BJ2267" s="46">
        <v>0</v>
      </c>
      <c r="BK2267" s="46">
        <v>0</v>
      </c>
      <c r="BL2267" s="46">
        <v>0</v>
      </c>
      <c r="BM2267" s="46">
        <v>0</v>
      </c>
      <c r="BN2267" s="46">
        <v>0</v>
      </c>
    </row>
    <row r="2268" spans="1:66" x14ac:dyDescent="0.35">
      <c r="A2268" t="s">
        <v>6493</v>
      </c>
      <c r="B2268" t="s">
        <v>48</v>
      </c>
      <c r="C2268" t="s">
        <v>6497</v>
      </c>
      <c r="D2268" t="s">
        <v>1652</v>
      </c>
      <c r="E2268" t="s">
        <v>6495</v>
      </c>
      <c r="F2268" t="s">
        <v>6494</v>
      </c>
      <c r="G2268" t="s">
        <v>47</v>
      </c>
      <c r="H2268">
        <v>0</v>
      </c>
      <c r="I2268" s="60" t="s">
        <v>51</v>
      </c>
      <c r="J2268" s="33" t="s">
        <v>45</v>
      </c>
      <c r="K2268" s="46">
        <v>0</v>
      </c>
      <c r="L2268">
        <v>14.1</v>
      </c>
      <c r="M2268" t="s">
        <v>48</v>
      </c>
      <c r="N2268" s="46">
        <v>0</v>
      </c>
      <c r="O2268" s="46">
        <v>0</v>
      </c>
      <c r="P2268" s="46">
        <v>0</v>
      </c>
      <c r="Q2268" t="s">
        <v>48</v>
      </c>
      <c r="R2268" t="s">
        <v>48</v>
      </c>
      <c r="S2268" t="s">
        <v>6496</v>
      </c>
      <c r="T2268" t="s">
        <v>48</v>
      </c>
      <c r="U2268" t="s">
        <v>6496</v>
      </c>
      <c r="V2268" s="47">
        <v>0</v>
      </c>
      <c r="W2268" t="s">
        <v>48</v>
      </c>
      <c r="X2268" t="s">
        <v>48</v>
      </c>
      <c r="Y2268" t="s">
        <v>48</v>
      </c>
      <c r="Z2268">
        <v>0</v>
      </c>
      <c r="AA2268" t="s">
        <v>48</v>
      </c>
      <c r="AB2268" t="s">
        <v>48</v>
      </c>
      <c r="AC2268" t="s">
        <v>49</v>
      </c>
      <c r="AD2268" t="s">
        <v>48</v>
      </c>
      <c r="AE2268" t="s">
        <v>48</v>
      </c>
      <c r="AF2268" t="s">
        <v>48</v>
      </c>
      <c r="AG2268" t="s">
        <v>266</v>
      </c>
      <c r="AH2268" t="s">
        <v>48</v>
      </c>
      <c r="AI2268" t="s">
        <v>48</v>
      </c>
      <c r="AJ2268" t="s">
        <v>48</v>
      </c>
      <c r="AK2268" t="s">
        <v>48</v>
      </c>
      <c r="AL2268" t="s">
        <v>48</v>
      </c>
      <c r="AM2268" t="s">
        <v>48</v>
      </c>
      <c r="AN2268" t="s">
        <v>48</v>
      </c>
      <c r="AO2268" t="s">
        <v>48</v>
      </c>
      <c r="AP2268" s="46">
        <v>0</v>
      </c>
      <c r="AQ2268" s="46">
        <v>0</v>
      </c>
      <c r="AR2268" s="46">
        <v>0</v>
      </c>
      <c r="AS2268" s="46">
        <v>0</v>
      </c>
      <c r="AT2268" s="46">
        <v>0</v>
      </c>
      <c r="AU2268" s="46">
        <v>0</v>
      </c>
      <c r="AV2268" s="46">
        <v>0</v>
      </c>
      <c r="AW2268" s="46">
        <v>0</v>
      </c>
      <c r="AX2268" s="46">
        <v>0</v>
      </c>
      <c r="AY2268" s="46">
        <v>0</v>
      </c>
      <c r="AZ2268" s="46">
        <v>0</v>
      </c>
      <c r="BA2268" s="46">
        <v>0</v>
      </c>
      <c r="BB2268" s="46">
        <v>0</v>
      </c>
      <c r="BC2268" s="46">
        <v>0</v>
      </c>
      <c r="BD2268" s="46">
        <v>0</v>
      </c>
      <c r="BE2268" s="46">
        <v>0</v>
      </c>
      <c r="BF2268" s="46">
        <v>0</v>
      </c>
      <c r="BG2268" s="46" t="s">
        <v>48</v>
      </c>
      <c r="BH2268" s="46">
        <v>0</v>
      </c>
      <c r="BI2268" s="46">
        <v>0</v>
      </c>
      <c r="BJ2268" s="46">
        <v>0</v>
      </c>
      <c r="BK2268" s="46">
        <v>0</v>
      </c>
      <c r="BL2268" s="46">
        <v>0</v>
      </c>
      <c r="BM2268" s="46">
        <v>0</v>
      </c>
      <c r="BN2268" s="46">
        <v>0</v>
      </c>
    </row>
    <row r="2269" spans="1:66" x14ac:dyDescent="0.35">
      <c r="A2269" t="s">
        <v>6526</v>
      </c>
      <c r="B2269" s="44" t="s">
        <v>48</v>
      </c>
      <c r="C2269" t="s">
        <v>3013</v>
      </c>
      <c r="D2269" t="s">
        <v>994</v>
      </c>
      <c r="E2269" t="s">
        <v>6527</v>
      </c>
      <c r="F2269" t="s">
        <v>79</v>
      </c>
      <c r="G2269" t="s">
        <v>74</v>
      </c>
      <c r="H2269">
        <v>0</v>
      </c>
      <c r="I2269" s="60" t="s">
        <v>51</v>
      </c>
      <c r="J2269" s="33" t="s">
        <v>45</v>
      </c>
      <c r="K2269" s="46">
        <v>0</v>
      </c>
      <c r="L2269">
        <v>49.8</v>
      </c>
      <c r="M2269" t="s">
        <v>48</v>
      </c>
      <c r="N2269" s="46">
        <v>0</v>
      </c>
      <c r="O2269" s="46">
        <v>0</v>
      </c>
      <c r="P2269" s="46">
        <v>0</v>
      </c>
      <c r="Q2269" t="s">
        <v>48</v>
      </c>
      <c r="R2269" t="s">
        <v>48</v>
      </c>
      <c r="S2269" t="s">
        <v>6528</v>
      </c>
      <c r="T2269" t="s">
        <v>48</v>
      </c>
      <c r="U2269" t="s">
        <v>6528</v>
      </c>
      <c r="V2269" s="47">
        <v>0</v>
      </c>
      <c r="W2269" t="s">
        <v>48</v>
      </c>
      <c r="X2269" t="s">
        <v>48</v>
      </c>
      <c r="Y2269" t="s">
        <v>48</v>
      </c>
      <c r="Z2269">
        <v>0</v>
      </c>
      <c r="AA2269" t="s">
        <v>48</v>
      </c>
      <c r="AB2269" t="s">
        <v>48</v>
      </c>
      <c r="AC2269" t="s">
        <v>49</v>
      </c>
      <c r="AD2269" t="s">
        <v>93</v>
      </c>
      <c r="AE2269" s="40" t="s">
        <v>2471</v>
      </c>
      <c r="AF2269" t="s">
        <v>11061</v>
      </c>
      <c r="AG2269" t="s">
        <v>48</v>
      </c>
      <c r="AH2269" t="s">
        <v>48</v>
      </c>
      <c r="AI2269" t="s">
        <v>48</v>
      </c>
      <c r="AJ2269" t="s">
        <v>48</v>
      </c>
      <c r="AK2269" t="s">
        <v>48</v>
      </c>
      <c r="AL2269" t="s">
        <v>48</v>
      </c>
      <c r="AM2269" t="s">
        <v>48</v>
      </c>
      <c r="AN2269" t="s">
        <v>48</v>
      </c>
      <c r="AO2269" t="s">
        <v>48</v>
      </c>
      <c r="AP2269" s="46">
        <v>0</v>
      </c>
      <c r="AQ2269" s="46">
        <v>0</v>
      </c>
      <c r="AR2269" s="46">
        <v>0</v>
      </c>
      <c r="AS2269" s="46">
        <v>0</v>
      </c>
      <c r="AT2269" s="46">
        <v>0</v>
      </c>
      <c r="AU2269" s="46">
        <v>0</v>
      </c>
      <c r="AV2269" s="46">
        <v>0</v>
      </c>
      <c r="AW2269" s="46">
        <v>0</v>
      </c>
      <c r="AX2269" s="46">
        <v>0</v>
      </c>
      <c r="AY2269" s="46">
        <v>0</v>
      </c>
      <c r="AZ2269" s="46">
        <v>0</v>
      </c>
      <c r="BA2269" s="46">
        <v>0</v>
      </c>
      <c r="BB2269" s="46">
        <v>0</v>
      </c>
      <c r="BC2269" s="46">
        <v>0</v>
      </c>
      <c r="BD2269" s="46">
        <v>0</v>
      </c>
      <c r="BE2269" s="46">
        <v>0</v>
      </c>
      <c r="BF2269" s="46">
        <v>0</v>
      </c>
      <c r="BG2269" s="46" t="s">
        <v>48</v>
      </c>
      <c r="BH2269" s="46">
        <v>0</v>
      </c>
      <c r="BI2269" s="46">
        <v>0</v>
      </c>
      <c r="BJ2269" s="46">
        <v>0</v>
      </c>
      <c r="BK2269" s="46">
        <v>0</v>
      </c>
      <c r="BL2269" s="46">
        <v>0</v>
      </c>
      <c r="BM2269" s="46">
        <v>0</v>
      </c>
      <c r="BN2269" s="46">
        <v>0</v>
      </c>
    </row>
    <row r="2270" spans="1:66" x14ac:dyDescent="0.35">
      <c r="A2270" t="s">
        <v>6521</v>
      </c>
      <c r="B2270" t="s">
        <v>48</v>
      </c>
      <c r="C2270" t="s">
        <v>451</v>
      </c>
      <c r="D2270" t="s">
        <v>2110</v>
      </c>
      <c r="E2270" t="s">
        <v>6522</v>
      </c>
      <c r="F2270" t="s">
        <v>79</v>
      </c>
      <c r="G2270" t="s">
        <v>47</v>
      </c>
      <c r="H2270">
        <v>0</v>
      </c>
      <c r="I2270" s="60" t="s">
        <v>149</v>
      </c>
      <c r="J2270" s="33" t="s">
        <v>45</v>
      </c>
      <c r="K2270" s="46">
        <v>0</v>
      </c>
      <c r="L2270">
        <v>7.9</v>
      </c>
      <c r="M2270" t="s">
        <v>48</v>
      </c>
      <c r="N2270" s="46">
        <v>0</v>
      </c>
      <c r="O2270" s="46">
        <v>0</v>
      </c>
      <c r="P2270" s="46">
        <v>0</v>
      </c>
      <c r="Q2270" t="s">
        <v>48</v>
      </c>
      <c r="R2270" t="s">
        <v>48</v>
      </c>
      <c r="S2270" t="s">
        <v>48</v>
      </c>
      <c r="T2270" t="s">
        <v>48</v>
      </c>
      <c r="U2270" t="s">
        <v>48</v>
      </c>
      <c r="V2270" s="47">
        <v>0</v>
      </c>
      <c r="W2270" t="s">
        <v>48</v>
      </c>
      <c r="X2270" t="s">
        <v>48</v>
      </c>
      <c r="Y2270" t="s">
        <v>48</v>
      </c>
      <c r="Z2270">
        <v>0</v>
      </c>
      <c r="AA2270" t="s">
        <v>48</v>
      </c>
      <c r="AB2270" t="s">
        <v>48</v>
      </c>
      <c r="AC2270" t="s">
        <v>49</v>
      </c>
      <c r="AD2270" t="s">
        <v>93</v>
      </c>
      <c r="AE2270" t="s">
        <v>4532</v>
      </c>
      <c r="AF2270" t="s">
        <v>48</v>
      </c>
      <c r="AG2270" t="s">
        <v>48</v>
      </c>
      <c r="AH2270" t="s">
        <v>48</v>
      </c>
      <c r="AI2270" t="s">
        <v>48</v>
      </c>
      <c r="AJ2270" t="s">
        <v>48</v>
      </c>
      <c r="AK2270" t="s">
        <v>48</v>
      </c>
      <c r="AL2270" t="s">
        <v>48</v>
      </c>
      <c r="AM2270" t="s">
        <v>48</v>
      </c>
      <c r="AN2270" t="s">
        <v>48</v>
      </c>
      <c r="AO2270" t="s">
        <v>48</v>
      </c>
      <c r="AP2270" s="46">
        <v>0</v>
      </c>
      <c r="AQ2270" s="46">
        <v>0</v>
      </c>
      <c r="AR2270" s="46">
        <v>0</v>
      </c>
      <c r="AS2270" s="46">
        <v>0</v>
      </c>
      <c r="AT2270" s="46">
        <v>0</v>
      </c>
      <c r="AU2270" s="46">
        <v>0</v>
      </c>
      <c r="AV2270" s="46">
        <v>0</v>
      </c>
      <c r="AW2270" s="46">
        <v>0</v>
      </c>
      <c r="AX2270" s="46">
        <v>0</v>
      </c>
      <c r="AY2270" s="46">
        <v>0</v>
      </c>
      <c r="AZ2270" s="46">
        <v>0</v>
      </c>
      <c r="BA2270" s="46">
        <v>0</v>
      </c>
      <c r="BB2270" s="46">
        <v>0</v>
      </c>
      <c r="BC2270" s="46">
        <v>0</v>
      </c>
      <c r="BD2270" s="46">
        <v>0</v>
      </c>
      <c r="BE2270" s="46">
        <v>0</v>
      </c>
      <c r="BF2270" s="46">
        <v>0</v>
      </c>
      <c r="BG2270" s="46" t="s">
        <v>48</v>
      </c>
      <c r="BH2270" s="46">
        <v>0</v>
      </c>
      <c r="BI2270" s="46">
        <v>0</v>
      </c>
      <c r="BJ2270" s="46">
        <v>0</v>
      </c>
      <c r="BK2270" s="46">
        <v>0</v>
      </c>
      <c r="BL2270" s="46">
        <v>0</v>
      </c>
      <c r="BM2270" s="46">
        <v>0</v>
      </c>
      <c r="BN2270" s="46">
        <v>0</v>
      </c>
    </row>
    <row r="2271" spans="1:66" x14ac:dyDescent="0.35">
      <c r="A2271" t="s">
        <v>6523</v>
      </c>
      <c r="B2271" t="s">
        <v>48</v>
      </c>
      <c r="C2271" t="s">
        <v>5410</v>
      </c>
      <c r="D2271" t="s">
        <v>696</v>
      </c>
      <c r="E2271" t="s">
        <v>6524</v>
      </c>
      <c r="F2271" t="s">
        <v>79</v>
      </c>
      <c r="G2271" t="s">
        <v>47</v>
      </c>
      <c r="H2271">
        <v>0</v>
      </c>
      <c r="I2271" s="60" t="s">
        <v>51</v>
      </c>
      <c r="J2271" s="33" t="s">
        <v>45</v>
      </c>
      <c r="K2271" s="46">
        <v>0</v>
      </c>
      <c r="L2271">
        <v>2.8</v>
      </c>
      <c r="M2271" t="s">
        <v>48</v>
      </c>
      <c r="N2271" s="46">
        <v>0</v>
      </c>
      <c r="O2271" s="46">
        <v>0</v>
      </c>
      <c r="P2271" s="46">
        <v>0</v>
      </c>
      <c r="Q2271" t="s">
        <v>48</v>
      </c>
      <c r="R2271" t="s">
        <v>48</v>
      </c>
      <c r="S2271" t="s">
        <v>6525</v>
      </c>
      <c r="T2271" t="s">
        <v>48</v>
      </c>
      <c r="U2271" t="s">
        <v>6525</v>
      </c>
      <c r="V2271" s="47">
        <v>0</v>
      </c>
      <c r="W2271" t="s">
        <v>48</v>
      </c>
      <c r="X2271" t="s">
        <v>48</v>
      </c>
      <c r="Y2271" t="s">
        <v>48</v>
      </c>
      <c r="Z2271">
        <v>0</v>
      </c>
      <c r="AA2271" t="s">
        <v>48</v>
      </c>
      <c r="AB2271" t="s">
        <v>48</v>
      </c>
      <c r="AC2271" t="s">
        <v>49</v>
      </c>
      <c r="AD2271" t="s">
        <v>951</v>
      </c>
      <c r="AE2271" t="s">
        <v>11051</v>
      </c>
      <c r="AF2271" t="s">
        <v>48</v>
      </c>
      <c r="AG2271" t="s">
        <v>48</v>
      </c>
      <c r="AH2271" t="s">
        <v>951</v>
      </c>
      <c r="AI2271" t="s">
        <v>48</v>
      </c>
      <c r="AJ2271" t="s">
        <v>48</v>
      </c>
      <c r="AK2271" t="s">
        <v>48</v>
      </c>
      <c r="AL2271" t="s">
        <v>48</v>
      </c>
      <c r="AM2271" t="s">
        <v>48</v>
      </c>
      <c r="AN2271" t="s">
        <v>48</v>
      </c>
      <c r="AO2271" t="s">
        <v>48</v>
      </c>
      <c r="AP2271" s="46">
        <v>0</v>
      </c>
      <c r="AQ2271" s="46">
        <v>0</v>
      </c>
      <c r="AR2271" s="46">
        <v>0</v>
      </c>
      <c r="AS2271" s="46">
        <v>0</v>
      </c>
      <c r="AT2271" s="46">
        <v>0</v>
      </c>
      <c r="AU2271" s="46">
        <v>0</v>
      </c>
      <c r="AV2271" s="46">
        <v>0</v>
      </c>
      <c r="AW2271" s="46">
        <v>0</v>
      </c>
      <c r="AX2271" s="46">
        <v>0</v>
      </c>
      <c r="AY2271" s="46">
        <v>0</v>
      </c>
      <c r="AZ2271" s="46">
        <v>0</v>
      </c>
      <c r="BA2271" s="46">
        <v>0</v>
      </c>
      <c r="BB2271" s="46">
        <v>0</v>
      </c>
      <c r="BC2271" s="46">
        <v>0</v>
      </c>
      <c r="BD2271" s="46">
        <v>0</v>
      </c>
      <c r="BE2271" s="46">
        <v>0</v>
      </c>
      <c r="BF2271" s="46">
        <v>0</v>
      </c>
      <c r="BG2271" s="46" t="s">
        <v>48</v>
      </c>
      <c r="BH2271" s="46">
        <v>0</v>
      </c>
      <c r="BI2271" s="46">
        <v>0</v>
      </c>
      <c r="BJ2271" s="46">
        <v>0</v>
      </c>
      <c r="BK2271" s="46">
        <v>0</v>
      </c>
      <c r="BL2271" s="46">
        <v>0</v>
      </c>
      <c r="BM2271" s="46">
        <v>0</v>
      </c>
      <c r="BN2271" s="46">
        <v>0</v>
      </c>
    </row>
    <row r="2272" spans="1:66" x14ac:dyDescent="0.35">
      <c r="A2272" t="s">
        <v>6564</v>
      </c>
      <c r="B2272" t="s">
        <v>48</v>
      </c>
      <c r="C2272" t="s">
        <v>6566</v>
      </c>
      <c r="D2272" t="s">
        <v>1981</v>
      </c>
      <c r="E2272" t="s">
        <v>6565</v>
      </c>
      <c r="F2272" t="s">
        <v>6539</v>
      </c>
      <c r="G2272" t="s">
        <v>47</v>
      </c>
      <c r="H2272">
        <v>0</v>
      </c>
      <c r="I2272" s="60" t="s">
        <v>149</v>
      </c>
      <c r="J2272" s="33" t="s">
        <v>45</v>
      </c>
      <c r="K2272" s="46">
        <v>0</v>
      </c>
      <c r="L2272">
        <v>1.4</v>
      </c>
      <c r="M2272" t="s">
        <v>48</v>
      </c>
      <c r="N2272" s="46">
        <v>0</v>
      </c>
      <c r="O2272" s="46">
        <v>0</v>
      </c>
      <c r="P2272" s="46">
        <v>0</v>
      </c>
      <c r="Q2272" t="s">
        <v>48</v>
      </c>
      <c r="R2272" t="s">
        <v>48</v>
      </c>
      <c r="S2272" t="s">
        <v>48</v>
      </c>
      <c r="T2272" t="s">
        <v>48</v>
      </c>
      <c r="U2272" t="s">
        <v>48</v>
      </c>
      <c r="V2272" s="47">
        <v>0</v>
      </c>
      <c r="W2272" t="s">
        <v>48</v>
      </c>
      <c r="X2272" t="s">
        <v>48</v>
      </c>
      <c r="Y2272" t="s">
        <v>48</v>
      </c>
      <c r="Z2272">
        <v>0</v>
      </c>
      <c r="AA2272" t="s">
        <v>48</v>
      </c>
      <c r="AB2272" t="s">
        <v>48</v>
      </c>
      <c r="AC2272" t="s">
        <v>63</v>
      </c>
      <c r="AD2272" t="s">
        <v>951</v>
      </c>
      <c r="AE2272" t="s">
        <v>11051</v>
      </c>
      <c r="AF2272" t="s">
        <v>48</v>
      </c>
      <c r="AG2272" t="s">
        <v>48</v>
      </c>
      <c r="AH2272" t="s">
        <v>48</v>
      </c>
      <c r="AI2272" t="s">
        <v>48</v>
      </c>
      <c r="AJ2272" t="s">
        <v>48</v>
      </c>
      <c r="AK2272" t="s">
        <v>48</v>
      </c>
      <c r="AL2272" t="s">
        <v>48</v>
      </c>
      <c r="AM2272" t="s">
        <v>48</v>
      </c>
      <c r="AN2272" t="s">
        <v>48</v>
      </c>
      <c r="AO2272" t="s">
        <v>48</v>
      </c>
      <c r="AP2272" s="46">
        <v>0</v>
      </c>
      <c r="AQ2272" s="46">
        <v>0</v>
      </c>
      <c r="AR2272" s="46">
        <v>0</v>
      </c>
      <c r="AS2272" s="46">
        <v>0</v>
      </c>
      <c r="AT2272" s="46">
        <v>0</v>
      </c>
      <c r="AU2272" s="46">
        <v>0</v>
      </c>
      <c r="AV2272" s="46">
        <v>0</v>
      </c>
      <c r="AW2272" s="46">
        <v>0</v>
      </c>
      <c r="AX2272" s="46">
        <v>0</v>
      </c>
      <c r="AY2272" s="46">
        <v>0</v>
      </c>
      <c r="AZ2272" s="46">
        <v>0</v>
      </c>
      <c r="BA2272" s="46">
        <v>0</v>
      </c>
      <c r="BB2272" s="46">
        <v>0</v>
      </c>
      <c r="BC2272" s="46">
        <v>0</v>
      </c>
      <c r="BD2272" s="46">
        <v>0</v>
      </c>
      <c r="BE2272" s="46">
        <v>0</v>
      </c>
      <c r="BF2272" s="46">
        <v>0</v>
      </c>
      <c r="BG2272" s="46" t="s">
        <v>48</v>
      </c>
      <c r="BH2272" s="46">
        <v>0</v>
      </c>
      <c r="BI2272" s="46">
        <v>0</v>
      </c>
      <c r="BJ2272" s="46">
        <v>0</v>
      </c>
      <c r="BK2272" s="46">
        <v>0</v>
      </c>
      <c r="BL2272" s="46">
        <v>0</v>
      </c>
      <c r="BM2272" s="46">
        <v>0</v>
      </c>
      <c r="BN2272" s="46">
        <v>0</v>
      </c>
    </row>
    <row r="2273" spans="1:66" x14ac:dyDescent="0.35">
      <c r="A2273" t="s">
        <v>6538</v>
      </c>
      <c r="B2273" s="44" t="s">
        <v>48</v>
      </c>
      <c r="C2273" t="s">
        <v>6542</v>
      </c>
      <c r="D2273" t="s">
        <v>6541</v>
      </c>
      <c r="E2273" t="s">
        <v>6540</v>
      </c>
      <c r="F2273" t="s">
        <v>6539</v>
      </c>
      <c r="G2273" t="s">
        <v>74</v>
      </c>
      <c r="H2273">
        <v>0</v>
      </c>
      <c r="I2273" s="60" t="s">
        <v>661</v>
      </c>
      <c r="J2273" s="33" t="s">
        <v>45</v>
      </c>
      <c r="K2273" s="46">
        <v>0</v>
      </c>
      <c r="L2273">
        <v>16.5</v>
      </c>
      <c r="M2273" t="s">
        <v>48</v>
      </c>
      <c r="N2273" s="46">
        <v>0</v>
      </c>
      <c r="O2273" s="46">
        <v>0</v>
      </c>
      <c r="P2273" s="46">
        <v>0</v>
      </c>
      <c r="Q2273" t="s">
        <v>48</v>
      </c>
      <c r="R2273" t="s">
        <v>48</v>
      </c>
      <c r="S2273" t="s">
        <v>48</v>
      </c>
      <c r="T2273" t="s">
        <v>48</v>
      </c>
      <c r="U2273" t="s">
        <v>48</v>
      </c>
      <c r="V2273" s="47">
        <v>0</v>
      </c>
      <c r="W2273" t="s">
        <v>48</v>
      </c>
      <c r="X2273" t="s">
        <v>48</v>
      </c>
      <c r="Y2273" t="s">
        <v>48</v>
      </c>
      <c r="Z2273">
        <v>0</v>
      </c>
      <c r="AA2273" t="s">
        <v>48</v>
      </c>
      <c r="AB2273" t="s">
        <v>48</v>
      </c>
      <c r="AC2273" t="s">
        <v>63</v>
      </c>
      <c r="AD2273" t="s">
        <v>951</v>
      </c>
      <c r="AE2273" t="s">
        <v>11051</v>
      </c>
      <c r="AF2273" t="s">
        <v>48</v>
      </c>
      <c r="AG2273" t="s">
        <v>48</v>
      </c>
      <c r="AH2273" t="s">
        <v>48</v>
      </c>
      <c r="AI2273" t="s">
        <v>48</v>
      </c>
      <c r="AJ2273" t="s">
        <v>48</v>
      </c>
      <c r="AK2273" t="s">
        <v>48</v>
      </c>
      <c r="AL2273" t="s">
        <v>48</v>
      </c>
      <c r="AM2273" t="s">
        <v>48</v>
      </c>
      <c r="AN2273" t="s">
        <v>48</v>
      </c>
      <c r="AO2273" t="s">
        <v>48</v>
      </c>
      <c r="AP2273" s="46">
        <v>0</v>
      </c>
      <c r="AQ2273" s="46">
        <v>0</v>
      </c>
      <c r="AR2273" s="46">
        <v>0</v>
      </c>
      <c r="AS2273" s="46">
        <v>0</v>
      </c>
      <c r="AT2273" s="46">
        <v>0</v>
      </c>
      <c r="AU2273" s="46">
        <v>0</v>
      </c>
      <c r="AV2273" s="46">
        <v>0</v>
      </c>
      <c r="AW2273" s="46">
        <v>0</v>
      </c>
      <c r="AX2273" s="46">
        <v>0</v>
      </c>
      <c r="AY2273" s="46">
        <v>0</v>
      </c>
      <c r="AZ2273" s="46">
        <v>0</v>
      </c>
      <c r="BA2273" s="46">
        <v>0</v>
      </c>
      <c r="BB2273" s="46">
        <v>0</v>
      </c>
      <c r="BC2273" s="46">
        <v>0</v>
      </c>
      <c r="BD2273" s="46">
        <v>0</v>
      </c>
      <c r="BE2273" s="46">
        <v>0</v>
      </c>
      <c r="BF2273" s="46">
        <v>0</v>
      </c>
      <c r="BG2273" s="46" t="s">
        <v>48</v>
      </c>
      <c r="BH2273" s="46">
        <v>0</v>
      </c>
      <c r="BI2273" s="46">
        <v>0</v>
      </c>
      <c r="BJ2273" s="46">
        <v>0</v>
      </c>
      <c r="BK2273" s="46">
        <v>0</v>
      </c>
      <c r="BL2273" s="46">
        <v>0</v>
      </c>
      <c r="BM2273" s="46">
        <v>0</v>
      </c>
      <c r="BN2273" s="46">
        <v>0</v>
      </c>
    </row>
    <row r="2274" spans="1:66" x14ac:dyDescent="0.35">
      <c r="A2274" t="s">
        <v>6570</v>
      </c>
      <c r="B2274" t="s">
        <v>48</v>
      </c>
      <c r="C2274" t="s">
        <v>6572</v>
      </c>
      <c r="D2274" t="s">
        <v>221</v>
      </c>
      <c r="E2274" t="s">
        <v>6571</v>
      </c>
      <c r="F2274" t="s">
        <v>6539</v>
      </c>
      <c r="G2274" t="s">
        <v>47</v>
      </c>
      <c r="H2274">
        <v>0</v>
      </c>
      <c r="I2274" s="60" t="s">
        <v>149</v>
      </c>
      <c r="J2274" s="33" t="s">
        <v>45</v>
      </c>
      <c r="K2274" s="46">
        <v>0</v>
      </c>
      <c r="L2274">
        <v>2.2000000000000002</v>
      </c>
      <c r="M2274" t="s">
        <v>48</v>
      </c>
      <c r="N2274" s="46">
        <v>0</v>
      </c>
      <c r="O2274" s="46">
        <v>0</v>
      </c>
      <c r="P2274" s="46">
        <v>0</v>
      </c>
      <c r="Q2274" t="s">
        <v>48</v>
      </c>
      <c r="R2274" t="s">
        <v>48</v>
      </c>
      <c r="S2274" t="s">
        <v>48</v>
      </c>
      <c r="T2274" t="s">
        <v>48</v>
      </c>
      <c r="U2274" t="s">
        <v>48</v>
      </c>
      <c r="V2274" s="47">
        <v>0</v>
      </c>
      <c r="W2274" t="s">
        <v>48</v>
      </c>
      <c r="X2274" t="s">
        <v>48</v>
      </c>
      <c r="Y2274" t="s">
        <v>48</v>
      </c>
      <c r="Z2274">
        <v>0</v>
      </c>
      <c r="AA2274" t="s">
        <v>48</v>
      </c>
      <c r="AB2274" t="s">
        <v>48</v>
      </c>
      <c r="AC2274" t="s">
        <v>49</v>
      </c>
      <c r="AD2274" t="s">
        <v>48</v>
      </c>
      <c r="AE2274" t="s">
        <v>48</v>
      </c>
      <c r="AF2274" t="s">
        <v>48</v>
      </c>
      <c r="AG2274" t="s">
        <v>48</v>
      </c>
      <c r="AH2274" t="s">
        <v>48</v>
      </c>
      <c r="AI2274" t="s">
        <v>48</v>
      </c>
      <c r="AJ2274" t="s">
        <v>48</v>
      </c>
      <c r="AK2274" t="s">
        <v>48</v>
      </c>
      <c r="AL2274" t="s">
        <v>48</v>
      </c>
      <c r="AM2274" t="s">
        <v>48</v>
      </c>
      <c r="AN2274" t="s">
        <v>48</v>
      </c>
      <c r="AO2274" t="s">
        <v>48</v>
      </c>
      <c r="AP2274" s="46">
        <v>0</v>
      </c>
      <c r="AQ2274" s="46">
        <v>0</v>
      </c>
      <c r="AR2274" s="46">
        <v>0</v>
      </c>
      <c r="AS2274" s="46">
        <v>0</v>
      </c>
      <c r="AT2274" s="46">
        <v>0</v>
      </c>
      <c r="AU2274" s="46">
        <v>0</v>
      </c>
      <c r="AV2274" s="46">
        <v>0</v>
      </c>
      <c r="AW2274" s="46">
        <v>0</v>
      </c>
      <c r="AX2274" s="46">
        <v>0</v>
      </c>
      <c r="AY2274" s="46">
        <v>0</v>
      </c>
      <c r="AZ2274" s="46">
        <v>0</v>
      </c>
      <c r="BA2274" s="46">
        <v>0</v>
      </c>
      <c r="BB2274" s="46">
        <v>0</v>
      </c>
      <c r="BC2274" s="46">
        <v>0</v>
      </c>
      <c r="BD2274" s="46">
        <v>0</v>
      </c>
      <c r="BE2274" s="46">
        <v>0</v>
      </c>
      <c r="BF2274" s="46">
        <v>0</v>
      </c>
      <c r="BG2274" s="46" t="s">
        <v>48</v>
      </c>
      <c r="BH2274" s="46">
        <v>0</v>
      </c>
      <c r="BI2274" s="46">
        <v>0</v>
      </c>
      <c r="BJ2274" s="46">
        <v>0</v>
      </c>
      <c r="BK2274" s="46">
        <v>0</v>
      </c>
      <c r="BL2274" s="46">
        <v>0</v>
      </c>
      <c r="BM2274" s="46">
        <v>0</v>
      </c>
      <c r="BN2274" s="46">
        <v>0</v>
      </c>
    </row>
    <row r="2275" spans="1:66" x14ac:dyDescent="0.35">
      <c r="A2275" t="s">
        <v>6575</v>
      </c>
      <c r="B2275" s="44" t="s">
        <v>48</v>
      </c>
      <c r="C2275" t="s">
        <v>12326</v>
      </c>
      <c r="D2275" t="s">
        <v>221</v>
      </c>
      <c r="E2275" t="s">
        <v>6576</v>
      </c>
      <c r="F2275" t="s">
        <v>6539</v>
      </c>
      <c r="G2275" t="s">
        <v>74</v>
      </c>
      <c r="H2275">
        <v>0</v>
      </c>
      <c r="I2275" s="60" t="s">
        <v>149</v>
      </c>
      <c r="J2275" s="33" t="s">
        <v>45</v>
      </c>
      <c r="K2275" s="46">
        <v>0</v>
      </c>
      <c r="L2275">
        <v>19.2</v>
      </c>
      <c r="M2275" t="s">
        <v>48</v>
      </c>
      <c r="N2275" s="46">
        <v>0</v>
      </c>
      <c r="O2275" s="46">
        <v>0</v>
      </c>
      <c r="P2275" s="46">
        <v>0</v>
      </c>
      <c r="Q2275" t="s">
        <v>48</v>
      </c>
      <c r="R2275" t="s">
        <v>48</v>
      </c>
      <c r="S2275" t="s">
        <v>48</v>
      </c>
      <c r="T2275" t="s">
        <v>48</v>
      </c>
      <c r="U2275" t="s">
        <v>48</v>
      </c>
      <c r="V2275" s="47">
        <v>0</v>
      </c>
      <c r="W2275" t="s">
        <v>48</v>
      </c>
      <c r="X2275" t="s">
        <v>48</v>
      </c>
      <c r="Y2275" t="s">
        <v>48</v>
      </c>
      <c r="Z2275">
        <v>0</v>
      </c>
      <c r="AA2275" t="s">
        <v>48</v>
      </c>
      <c r="AB2275" t="s">
        <v>48</v>
      </c>
      <c r="AC2275" t="s">
        <v>49</v>
      </c>
      <c r="AD2275" t="s">
        <v>951</v>
      </c>
      <c r="AE2275" t="s">
        <v>11051</v>
      </c>
      <c r="AF2275" t="s">
        <v>11054</v>
      </c>
      <c r="AG2275" t="s">
        <v>48</v>
      </c>
      <c r="AH2275" t="s">
        <v>48</v>
      </c>
      <c r="AI2275" t="s">
        <v>48</v>
      </c>
      <c r="AJ2275" t="s">
        <v>48</v>
      </c>
      <c r="AK2275" t="s">
        <v>48</v>
      </c>
      <c r="AL2275" t="s">
        <v>48</v>
      </c>
      <c r="AM2275" t="s">
        <v>48</v>
      </c>
      <c r="AN2275" t="s">
        <v>48</v>
      </c>
      <c r="AO2275" t="s">
        <v>48</v>
      </c>
      <c r="AP2275" s="46">
        <v>0</v>
      </c>
      <c r="AQ2275" s="46">
        <v>0</v>
      </c>
      <c r="AR2275" s="46">
        <v>0</v>
      </c>
      <c r="AS2275" s="46">
        <v>0</v>
      </c>
      <c r="AT2275" s="46">
        <v>0</v>
      </c>
      <c r="AU2275" s="46">
        <v>0</v>
      </c>
      <c r="AV2275" s="46">
        <v>0</v>
      </c>
      <c r="AW2275" s="46">
        <v>0</v>
      </c>
      <c r="AX2275" s="46">
        <v>0</v>
      </c>
      <c r="AY2275" s="46">
        <v>0</v>
      </c>
      <c r="AZ2275" s="46">
        <v>0</v>
      </c>
      <c r="BA2275" s="46">
        <v>0</v>
      </c>
      <c r="BB2275" s="46">
        <v>0</v>
      </c>
      <c r="BC2275" s="46">
        <v>0</v>
      </c>
      <c r="BD2275" s="46">
        <v>0</v>
      </c>
      <c r="BE2275" s="46">
        <v>0</v>
      </c>
      <c r="BF2275" s="46">
        <v>0</v>
      </c>
      <c r="BG2275" s="46" t="s">
        <v>48</v>
      </c>
      <c r="BH2275" s="46">
        <v>0</v>
      </c>
      <c r="BI2275" s="46">
        <v>0</v>
      </c>
      <c r="BJ2275" s="46">
        <v>0</v>
      </c>
      <c r="BK2275" s="46">
        <v>0</v>
      </c>
      <c r="BL2275" s="46">
        <v>0</v>
      </c>
      <c r="BM2275" s="46">
        <v>0</v>
      </c>
      <c r="BN2275" s="46">
        <v>0</v>
      </c>
    </row>
    <row r="2276" spans="1:66" x14ac:dyDescent="0.35">
      <c r="A2276" t="s">
        <v>6547</v>
      </c>
      <c r="B2276" t="s">
        <v>48</v>
      </c>
      <c r="C2276" t="s">
        <v>6550</v>
      </c>
      <c r="D2276" t="s">
        <v>6549</v>
      </c>
      <c r="E2276" t="s">
        <v>6548</v>
      </c>
      <c r="F2276" t="s">
        <v>6539</v>
      </c>
      <c r="G2276" t="s">
        <v>47</v>
      </c>
      <c r="H2276">
        <v>0</v>
      </c>
      <c r="I2276" s="60" t="s">
        <v>190</v>
      </c>
      <c r="J2276" s="33" t="s">
        <v>45</v>
      </c>
      <c r="K2276" s="46">
        <v>0</v>
      </c>
      <c r="L2276">
        <v>1.7</v>
      </c>
      <c r="M2276" t="s">
        <v>48</v>
      </c>
      <c r="N2276" s="46">
        <v>0</v>
      </c>
      <c r="O2276" s="46">
        <v>0</v>
      </c>
      <c r="P2276" s="46">
        <v>0</v>
      </c>
      <c r="Q2276" t="s">
        <v>48</v>
      </c>
      <c r="R2276" t="s">
        <v>48</v>
      </c>
      <c r="S2276" t="s">
        <v>48</v>
      </c>
      <c r="T2276" t="s">
        <v>48</v>
      </c>
      <c r="U2276" t="s">
        <v>48</v>
      </c>
      <c r="V2276" s="47">
        <v>0</v>
      </c>
      <c r="W2276" t="s">
        <v>48</v>
      </c>
      <c r="X2276" t="s">
        <v>48</v>
      </c>
      <c r="Y2276" t="s">
        <v>48</v>
      </c>
      <c r="Z2276">
        <v>0</v>
      </c>
      <c r="AA2276" t="s">
        <v>48</v>
      </c>
      <c r="AB2276" t="s">
        <v>48</v>
      </c>
      <c r="AC2276" t="s">
        <v>49</v>
      </c>
      <c r="AD2276" t="s">
        <v>951</v>
      </c>
      <c r="AE2276" t="s">
        <v>11051</v>
      </c>
      <c r="AF2276" t="s">
        <v>48</v>
      </c>
      <c r="AG2276" t="s">
        <v>48</v>
      </c>
      <c r="AH2276" t="s">
        <v>48</v>
      </c>
      <c r="AI2276" t="s">
        <v>48</v>
      </c>
      <c r="AJ2276" t="s">
        <v>48</v>
      </c>
      <c r="AK2276" t="s">
        <v>48</v>
      </c>
      <c r="AL2276" t="s">
        <v>48</v>
      </c>
      <c r="AM2276" t="s">
        <v>48</v>
      </c>
      <c r="AN2276" t="s">
        <v>48</v>
      </c>
      <c r="AO2276" t="s">
        <v>48</v>
      </c>
      <c r="AP2276" s="46">
        <v>0</v>
      </c>
      <c r="AQ2276" s="46">
        <v>0</v>
      </c>
      <c r="AR2276" s="46">
        <v>0</v>
      </c>
      <c r="AS2276" s="46">
        <v>0</v>
      </c>
      <c r="AT2276" s="46">
        <v>0</v>
      </c>
      <c r="AU2276" s="46">
        <v>0</v>
      </c>
      <c r="AV2276" s="46">
        <v>0</v>
      </c>
      <c r="AW2276" s="46">
        <v>0</v>
      </c>
      <c r="AX2276" s="46">
        <v>0</v>
      </c>
      <c r="AY2276" s="46">
        <v>0</v>
      </c>
      <c r="AZ2276" s="46">
        <v>0</v>
      </c>
      <c r="BA2276" s="46">
        <v>0</v>
      </c>
      <c r="BB2276" s="46">
        <v>0</v>
      </c>
      <c r="BC2276" s="46">
        <v>0</v>
      </c>
      <c r="BD2276" s="46">
        <v>0</v>
      </c>
      <c r="BE2276" s="46">
        <v>0</v>
      </c>
      <c r="BF2276" s="46">
        <v>0</v>
      </c>
      <c r="BG2276" s="46" t="s">
        <v>48</v>
      </c>
      <c r="BH2276" s="46">
        <v>0</v>
      </c>
      <c r="BI2276" s="46">
        <v>0</v>
      </c>
      <c r="BJ2276" s="46">
        <v>0</v>
      </c>
      <c r="BK2276" s="46">
        <v>0</v>
      </c>
      <c r="BL2276" s="46">
        <v>0</v>
      </c>
      <c r="BM2276" s="46">
        <v>0</v>
      </c>
      <c r="BN2276" s="46">
        <v>0</v>
      </c>
    </row>
    <row r="2277" spans="1:66" x14ac:dyDescent="0.35">
      <c r="A2277" t="s">
        <v>6558</v>
      </c>
      <c r="B2277" s="44" t="s">
        <v>48</v>
      </c>
      <c r="C2277" t="s">
        <v>6561</v>
      </c>
      <c r="D2277" t="s">
        <v>52</v>
      </c>
      <c r="E2277" t="s">
        <v>6559</v>
      </c>
      <c r="F2277" t="s">
        <v>6539</v>
      </c>
      <c r="G2277" t="s">
        <v>74</v>
      </c>
      <c r="H2277">
        <v>0</v>
      </c>
      <c r="I2277" s="60" t="s">
        <v>149</v>
      </c>
      <c r="J2277" s="33" t="s">
        <v>45</v>
      </c>
      <c r="K2277" s="46">
        <v>0</v>
      </c>
      <c r="L2277">
        <v>5.2</v>
      </c>
      <c r="M2277" t="s">
        <v>48</v>
      </c>
      <c r="N2277" s="46">
        <v>0</v>
      </c>
      <c r="O2277" s="46">
        <v>0</v>
      </c>
      <c r="P2277" s="46">
        <v>0</v>
      </c>
      <c r="Q2277" t="s">
        <v>48</v>
      </c>
      <c r="R2277" t="s">
        <v>48</v>
      </c>
      <c r="S2277" t="s">
        <v>6560</v>
      </c>
      <c r="T2277" t="s">
        <v>48</v>
      </c>
      <c r="U2277" t="s">
        <v>6560</v>
      </c>
      <c r="V2277" s="47">
        <v>0</v>
      </c>
      <c r="W2277" t="s">
        <v>11317</v>
      </c>
      <c r="X2277" t="s">
        <v>48</v>
      </c>
      <c r="Y2277" t="s">
        <v>48</v>
      </c>
      <c r="Z2277">
        <v>0</v>
      </c>
      <c r="AA2277" t="s">
        <v>48</v>
      </c>
      <c r="AB2277" t="s">
        <v>48</v>
      </c>
      <c r="AC2277" t="s">
        <v>49</v>
      </c>
      <c r="AD2277" t="s">
        <v>951</v>
      </c>
      <c r="AE2277" s="40" t="s">
        <v>11051</v>
      </c>
      <c r="AF2277" t="s">
        <v>108</v>
      </c>
      <c r="AG2277" t="s">
        <v>48</v>
      </c>
      <c r="AH2277" t="s">
        <v>813</v>
      </c>
      <c r="AI2277" t="s">
        <v>48</v>
      </c>
      <c r="AJ2277" t="s">
        <v>48</v>
      </c>
      <c r="AK2277" t="s">
        <v>48</v>
      </c>
      <c r="AL2277" t="s">
        <v>48</v>
      </c>
      <c r="AM2277" t="s">
        <v>48</v>
      </c>
      <c r="AN2277" t="s">
        <v>48</v>
      </c>
      <c r="AO2277" t="s">
        <v>48</v>
      </c>
      <c r="AP2277" s="46">
        <v>0</v>
      </c>
      <c r="AQ2277" s="46">
        <v>0</v>
      </c>
      <c r="AR2277" s="46">
        <v>0</v>
      </c>
      <c r="AS2277" s="46">
        <v>0</v>
      </c>
      <c r="AT2277" s="46">
        <v>0</v>
      </c>
      <c r="AU2277" s="46">
        <v>0</v>
      </c>
      <c r="AV2277" s="46">
        <v>0</v>
      </c>
      <c r="AW2277" s="46">
        <v>0</v>
      </c>
      <c r="AX2277" s="46">
        <v>0</v>
      </c>
      <c r="AY2277" s="46">
        <v>0</v>
      </c>
      <c r="AZ2277" s="46">
        <v>0</v>
      </c>
      <c r="BA2277" s="46">
        <v>0</v>
      </c>
      <c r="BB2277" s="46">
        <v>0</v>
      </c>
      <c r="BC2277" s="46">
        <v>0</v>
      </c>
      <c r="BD2277" s="46">
        <v>0</v>
      </c>
      <c r="BE2277" s="46">
        <v>0</v>
      </c>
      <c r="BF2277" s="46">
        <v>0</v>
      </c>
      <c r="BG2277" s="46" t="s">
        <v>48</v>
      </c>
      <c r="BH2277" s="46">
        <v>0</v>
      </c>
      <c r="BI2277" s="46">
        <v>0</v>
      </c>
      <c r="BJ2277" s="46">
        <v>0</v>
      </c>
      <c r="BK2277" s="46">
        <v>0</v>
      </c>
      <c r="BL2277" s="46">
        <v>0</v>
      </c>
      <c r="BM2277" s="46">
        <v>0</v>
      </c>
      <c r="BN2277" s="46">
        <v>0</v>
      </c>
    </row>
    <row r="2278" spans="1:66" x14ac:dyDescent="0.35">
      <c r="A2278" t="s">
        <v>6562</v>
      </c>
      <c r="B2278" t="s">
        <v>48</v>
      </c>
      <c r="C2278" t="s">
        <v>6561</v>
      </c>
      <c r="D2278" t="s">
        <v>5820</v>
      </c>
      <c r="E2278" t="s">
        <v>6563</v>
      </c>
      <c r="F2278" t="s">
        <v>6539</v>
      </c>
      <c r="G2278" t="s">
        <v>47</v>
      </c>
      <c r="H2278">
        <v>0</v>
      </c>
      <c r="I2278" s="60" t="s">
        <v>661</v>
      </c>
      <c r="J2278" s="33" t="s">
        <v>45</v>
      </c>
      <c r="K2278" s="46">
        <v>0</v>
      </c>
      <c r="L2278">
        <v>15.3</v>
      </c>
      <c r="M2278" t="s">
        <v>48</v>
      </c>
      <c r="N2278" s="46">
        <v>0</v>
      </c>
      <c r="O2278" s="46">
        <v>0</v>
      </c>
      <c r="P2278" s="46">
        <v>0</v>
      </c>
      <c r="Q2278" t="s">
        <v>48</v>
      </c>
      <c r="R2278" t="s">
        <v>48</v>
      </c>
      <c r="S2278" t="s">
        <v>48</v>
      </c>
      <c r="T2278" t="s">
        <v>48</v>
      </c>
      <c r="U2278" t="s">
        <v>48</v>
      </c>
      <c r="V2278" s="47">
        <v>0</v>
      </c>
      <c r="W2278" t="s">
        <v>48</v>
      </c>
      <c r="X2278" t="s">
        <v>48</v>
      </c>
      <c r="Y2278" t="s">
        <v>48</v>
      </c>
      <c r="Z2278">
        <v>0</v>
      </c>
      <c r="AA2278" t="s">
        <v>48</v>
      </c>
      <c r="AB2278" t="s">
        <v>48</v>
      </c>
      <c r="AC2278" t="s">
        <v>49</v>
      </c>
      <c r="AD2278" t="s">
        <v>951</v>
      </c>
      <c r="AE2278" t="s">
        <v>11051</v>
      </c>
      <c r="AF2278" t="s">
        <v>48</v>
      </c>
      <c r="AG2278" t="s">
        <v>633</v>
      </c>
      <c r="AH2278" t="s">
        <v>48</v>
      </c>
      <c r="AI2278" t="s">
        <v>48</v>
      </c>
      <c r="AJ2278" t="s">
        <v>48</v>
      </c>
      <c r="AK2278" t="s">
        <v>48</v>
      </c>
      <c r="AL2278" t="s">
        <v>48</v>
      </c>
      <c r="AM2278" t="s">
        <v>48</v>
      </c>
      <c r="AN2278" t="s">
        <v>48</v>
      </c>
      <c r="AO2278" t="s">
        <v>48</v>
      </c>
      <c r="AP2278" s="46">
        <v>0</v>
      </c>
      <c r="AQ2278" s="46">
        <v>0</v>
      </c>
      <c r="AR2278" s="46">
        <v>0</v>
      </c>
      <c r="AS2278" s="46">
        <v>0</v>
      </c>
      <c r="AT2278" s="46">
        <v>0</v>
      </c>
      <c r="AU2278" s="46">
        <v>0</v>
      </c>
      <c r="AV2278" s="46">
        <v>0</v>
      </c>
      <c r="AW2278" s="46">
        <v>0</v>
      </c>
      <c r="AX2278" s="46">
        <v>0</v>
      </c>
      <c r="AY2278" s="46">
        <v>0</v>
      </c>
      <c r="AZ2278" s="46">
        <v>0</v>
      </c>
      <c r="BA2278" s="46">
        <v>0</v>
      </c>
      <c r="BB2278" s="46">
        <v>0</v>
      </c>
      <c r="BC2278" s="46">
        <v>0</v>
      </c>
      <c r="BD2278" s="46">
        <v>0</v>
      </c>
      <c r="BE2278" s="46">
        <v>0</v>
      </c>
      <c r="BF2278" s="46">
        <v>0</v>
      </c>
      <c r="BG2278" s="46" t="s">
        <v>48</v>
      </c>
      <c r="BH2278" s="46">
        <v>0</v>
      </c>
      <c r="BI2278" s="46">
        <v>0</v>
      </c>
      <c r="BJ2278" s="46">
        <v>0</v>
      </c>
      <c r="BK2278" s="46">
        <v>0</v>
      </c>
      <c r="BL2278" s="46">
        <v>0</v>
      </c>
      <c r="BM2278" s="46">
        <v>0</v>
      </c>
      <c r="BN2278" s="46">
        <v>0</v>
      </c>
    </row>
    <row r="2279" spans="1:66" x14ac:dyDescent="0.35">
      <c r="A2279" t="s">
        <v>6573</v>
      </c>
      <c r="B2279" s="44" t="s">
        <v>48</v>
      </c>
      <c r="C2279" t="s">
        <v>2707</v>
      </c>
      <c r="D2279" t="s">
        <v>696</v>
      </c>
      <c r="E2279" t="s">
        <v>6574</v>
      </c>
      <c r="F2279" t="s">
        <v>6539</v>
      </c>
      <c r="G2279" t="s">
        <v>74</v>
      </c>
      <c r="H2279">
        <v>0</v>
      </c>
      <c r="I2279" s="60" t="s">
        <v>675</v>
      </c>
      <c r="J2279" s="33" t="s">
        <v>45</v>
      </c>
      <c r="K2279" s="46">
        <v>0</v>
      </c>
      <c r="L2279">
        <v>28.3</v>
      </c>
      <c r="M2279">
        <v>49.9</v>
      </c>
      <c r="N2279" s="46">
        <v>0</v>
      </c>
      <c r="O2279" s="46">
        <v>0</v>
      </c>
      <c r="P2279" s="46">
        <v>0</v>
      </c>
      <c r="Q2279" t="s">
        <v>48</v>
      </c>
      <c r="R2279" t="s">
        <v>48</v>
      </c>
      <c r="S2279" t="s">
        <v>48</v>
      </c>
      <c r="T2279" t="s">
        <v>48</v>
      </c>
      <c r="U2279" t="s">
        <v>48</v>
      </c>
      <c r="V2279" s="47">
        <v>1</v>
      </c>
      <c r="W2279" t="s">
        <v>11264</v>
      </c>
      <c r="X2279" t="s">
        <v>48</v>
      </c>
      <c r="Y2279" t="s">
        <v>48</v>
      </c>
      <c r="Z2279">
        <v>0</v>
      </c>
      <c r="AA2279" t="s">
        <v>48</v>
      </c>
      <c r="AB2279" t="s">
        <v>48</v>
      </c>
      <c r="AC2279" t="s">
        <v>49</v>
      </c>
      <c r="AD2279" t="s">
        <v>951</v>
      </c>
      <c r="AE2279" s="40" t="s">
        <v>11051</v>
      </c>
      <c r="AF2279" t="s">
        <v>48</v>
      </c>
      <c r="AG2279" t="s">
        <v>48</v>
      </c>
      <c r="AH2279" t="s">
        <v>48</v>
      </c>
      <c r="AI2279" t="s">
        <v>48</v>
      </c>
      <c r="AJ2279" t="s">
        <v>48</v>
      </c>
      <c r="AK2279" t="s">
        <v>48</v>
      </c>
      <c r="AL2279" t="s">
        <v>48</v>
      </c>
      <c r="AM2279" t="s">
        <v>48</v>
      </c>
      <c r="AN2279" t="s">
        <v>48</v>
      </c>
      <c r="AO2279" t="s">
        <v>48</v>
      </c>
      <c r="AP2279" s="46">
        <v>0</v>
      </c>
      <c r="AQ2279" s="46">
        <v>0</v>
      </c>
      <c r="AR2279" s="46">
        <v>0</v>
      </c>
      <c r="AS2279" s="46">
        <v>0</v>
      </c>
      <c r="AT2279" s="46">
        <v>0</v>
      </c>
      <c r="AU2279" s="46">
        <v>0</v>
      </c>
      <c r="AV2279" s="46">
        <v>0</v>
      </c>
      <c r="AW2279" s="46">
        <v>0</v>
      </c>
      <c r="AX2279" s="46">
        <v>0</v>
      </c>
      <c r="AY2279" s="46">
        <v>0</v>
      </c>
      <c r="AZ2279" s="46">
        <v>0</v>
      </c>
      <c r="BA2279" s="46">
        <v>0</v>
      </c>
      <c r="BB2279" s="46">
        <v>0</v>
      </c>
      <c r="BC2279" s="46">
        <v>0</v>
      </c>
      <c r="BD2279" s="46">
        <v>0</v>
      </c>
      <c r="BE2279" s="46">
        <v>0</v>
      </c>
      <c r="BF2279" s="46">
        <v>0</v>
      </c>
      <c r="BG2279" s="46" t="s">
        <v>48</v>
      </c>
      <c r="BH2279" s="46">
        <v>0</v>
      </c>
      <c r="BI2279" s="46">
        <v>0</v>
      </c>
      <c r="BJ2279" s="46">
        <v>0</v>
      </c>
      <c r="BK2279" s="46">
        <v>0</v>
      </c>
      <c r="BL2279" s="46">
        <v>0</v>
      </c>
      <c r="BM2279" s="46">
        <v>0</v>
      </c>
      <c r="BN2279" s="46">
        <v>0</v>
      </c>
    </row>
    <row r="2280" spans="1:66" x14ac:dyDescent="0.35">
      <c r="A2280" t="s">
        <v>6567</v>
      </c>
      <c r="B2280" t="s">
        <v>48</v>
      </c>
      <c r="C2280" t="s">
        <v>6569</v>
      </c>
      <c r="D2280" t="s">
        <v>1652</v>
      </c>
      <c r="E2280" t="s">
        <v>6568</v>
      </c>
      <c r="F2280" t="s">
        <v>6539</v>
      </c>
      <c r="G2280" t="s">
        <v>47</v>
      </c>
      <c r="H2280">
        <v>0</v>
      </c>
      <c r="I2280" s="60" t="s">
        <v>661</v>
      </c>
      <c r="J2280" s="33" t="s">
        <v>45</v>
      </c>
      <c r="K2280" s="46">
        <v>0</v>
      </c>
      <c r="L2280">
        <v>9.1</v>
      </c>
      <c r="M2280" t="s">
        <v>48</v>
      </c>
      <c r="N2280" s="46">
        <v>0</v>
      </c>
      <c r="O2280" s="46">
        <v>0</v>
      </c>
      <c r="P2280" s="46">
        <v>0</v>
      </c>
      <c r="Q2280" t="s">
        <v>48</v>
      </c>
      <c r="R2280" t="s">
        <v>48</v>
      </c>
      <c r="S2280" t="s">
        <v>48</v>
      </c>
      <c r="T2280" t="s">
        <v>48</v>
      </c>
      <c r="U2280" t="s">
        <v>48</v>
      </c>
      <c r="V2280" s="47">
        <v>0</v>
      </c>
      <c r="W2280" t="s">
        <v>48</v>
      </c>
      <c r="X2280" t="s">
        <v>48</v>
      </c>
      <c r="Y2280" t="s">
        <v>48</v>
      </c>
      <c r="Z2280">
        <v>0</v>
      </c>
      <c r="AA2280" t="s">
        <v>48</v>
      </c>
      <c r="AB2280" t="s">
        <v>48</v>
      </c>
      <c r="AC2280" t="s">
        <v>49</v>
      </c>
      <c r="AD2280" t="s">
        <v>93</v>
      </c>
      <c r="AE2280" t="s">
        <v>4532</v>
      </c>
      <c r="AF2280" t="s">
        <v>48</v>
      </c>
      <c r="AG2280" t="s">
        <v>48</v>
      </c>
      <c r="AH2280" t="s">
        <v>48</v>
      </c>
      <c r="AI2280" t="s">
        <v>48</v>
      </c>
      <c r="AJ2280" t="s">
        <v>48</v>
      </c>
      <c r="AK2280" t="s">
        <v>48</v>
      </c>
      <c r="AL2280" t="s">
        <v>48</v>
      </c>
      <c r="AM2280" t="s">
        <v>48</v>
      </c>
      <c r="AN2280" t="s">
        <v>48</v>
      </c>
      <c r="AO2280" t="s">
        <v>48</v>
      </c>
      <c r="AP2280" s="46">
        <v>0</v>
      </c>
      <c r="AQ2280" s="46">
        <v>0</v>
      </c>
      <c r="AR2280" s="46">
        <v>0</v>
      </c>
      <c r="AS2280" s="46">
        <v>0</v>
      </c>
      <c r="AT2280" s="46">
        <v>0</v>
      </c>
      <c r="AU2280" s="46">
        <v>0</v>
      </c>
      <c r="AV2280" s="46">
        <v>0</v>
      </c>
      <c r="AW2280" s="46">
        <v>0</v>
      </c>
      <c r="AX2280" s="46">
        <v>0</v>
      </c>
      <c r="AY2280" s="46">
        <v>0</v>
      </c>
      <c r="AZ2280" s="46">
        <v>0</v>
      </c>
      <c r="BA2280" s="46">
        <v>0</v>
      </c>
      <c r="BB2280" s="46">
        <v>0</v>
      </c>
      <c r="BC2280" s="46">
        <v>0</v>
      </c>
      <c r="BD2280" s="46">
        <v>0</v>
      </c>
      <c r="BE2280" s="46">
        <v>0</v>
      </c>
      <c r="BF2280" s="46">
        <v>0</v>
      </c>
      <c r="BG2280" s="46" t="s">
        <v>48</v>
      </c>
      <c r="BH2280" s="46">
        <v>0</v>
      </c>
      <c r="BI2280" s="46">
        <v>0</v>
      </c>
      <c r="BJ2280" s="46">
        <v>0</v>
      </c>
      <c r="BK2280" s="46">
        <v>0</v>
      </c>
      <c r="BL2280" s="46">
        <v>0</v>
      </c>
      <c r="BM2280" s="46">
        <v>0</v>
      </c>
      <c r="BN2280" s="46">
        <v>0</v>
      </c>
    </row>
    <row r="2281" spans="1:66" x14ac:dyDescent="0.35">
      <c r="A2281" t="s">
        <v>6543</v>
      </c>
      <c r="B2281" t="s">
        <v>48</v>
      </c>
      <c r="C2281" t="s">
        <v>6546</v>
      </c>
      <c r="D2281" t="s">
        <v>1532</v>
      </c>
      <c r="E2281" t="s">
        <v>6544</v>
      </c>
      <c r="F2281" t="s">
        <v>6539</v>
      </c>
      <c r="G2281" t="s">
        <v>47</v>
      </c>
      <c r="H2281">
        <v>0</v>
      </c>
      <c r="I2281" s="60" t="s">
        <v>149</v>
      </c>
      <c r="J2281" s="33" t="s">
        <v>45</v>
      </c>
      <c r="K2281" s="46">
        <v>0</v>
      </c>
      <c r="L2281">
        <v>9.1999999999999993</v>
      </c>
      <c r="M2281" t="s">
        <v>48</v>
      </c>
      <c r="N2281" s="46">
        <v>0</v>
      </c>
      <c r="O2281" s="46">
        <v>0</v>
      </c>
      <c r="P2281" s="46">
        <v>0</v>
      </c>
      <c r="Q2281" t="s">
        <v>48</v>
      </c>
      <c r="R2281" t="s">
        <v>48</v>
      </c>
      <c r="S2281" t="s">
        <v>6545</v>
      </c>
      <c r="T2281" t="s">
        <v>48</v>
      </c>
      <c r="U2281" t="s">
        <v>6545</v>
      </c>
      <c r="V2281" s="47">
        <v>0</v>
      </c>
      <c r="W2281" t="s">
        <v>48</v>
      </c>
      <c r="X2281" t="s">
        <v>48</v>
      </c>
      <c r="Y2281" t="s">
        <v>48</v>
      </c>
      <c r="Z2281">
        <v>0</v>
      </c>
      <c r="AA2281" t="s">
        <v>48</v>
      </c>
      <c r="AB2281" t="s">
        <v>48</v>
      </c>
      <c r="AC2281" t="s">
        <v>63</v>
      </c>
      <c r="AD2281" t="s">
        <v>93</v>
      </c>
      <c r="AE2281" t="s">
        <v>4532</v>
      </c>
      <c r="AF2281" t="s">
        <v>48</v>
      </c>
      <c r="AG2281" t="s">
        <v>48</v>
      </c>
      <c r="AH2281" t="s">
        <v>48</v>
      </c>
      <c r="AI2281" t="s">
        <v>48</v>
      </c>
      <c r="AJ2281" t="s">
        <v>48</v>
      </c>
      <c r="AK2281" t="s">
        <v>48</v>
      </c>
      <c r="AL2281" t="s">
        <v>48</v>
      </c>
      <c r="AM2281" t="s">
        <v>48</v>
      </c>
      <c r="AN2281" t="s">
        <v>48</v>
      </c>
      <c r="AO2281" t="s">
        <v>48</v>
      </c>
      <c r="AP2281" s="46">
        <v>0</v>
      </c>
      <c r="AQ2281" s="46">
        <v>0</v>
      </c>
      <c r="AR2281" s="46">
        <v>0</v>
      </c>
      <c r="AS2281" s="46">
        <v>0</v>
      </c>
      <c r="AT2281" s="46">
        <v>0</v>
      </c>
      <c r="AU2281" s="46">
        <v>0</v>
      </c>
      <c r="AV2281" s="46">
        <v>0</v>
      </c>
      <c r="AW2281" s="46">
        <v>0</v>
      </c>
      <c r="AX2281" s="46">
        <v>0</v>
      </c>
      <c r="AY2281" s="46">
        <v>0</v>
      </c>
      <c r="AZ2281" s="46">
        <v>0</v>
      </c>
      <c r="BA2281" s="46">
        <v>0</v>
      </c>
      <c r="BB2281" s="46">
        <v>0</v>
      </c>
      <c r="BC2281" s="46">
        <v>0</v>
      </c>
      <c r="BD2281" s="46">
        <v>0</v>
      </c>
      <c r="BE2281" s="46">
        <v>0</v>
      </c>
      <c r="BF2281" s="46">
        <v>0</v>
      </c>
      <c r="BG2281" s="46" t="s">
        <v>48</v>
      </c>
      <c r="BH2281" s="46">
        <v>0</v>
      </c>
      <c r="BI2281" s="46">
        <v>0</v>
      </c>
      <c r="BJ2281" s="46">
        <v>0</v>
      </c>
      <c r="BK2281" s="46">
        <v>0</v>
      </c>
      <c r="BL2281" s="46">
        <v>0</v>
      </c>
      <c r="BM2281" s="46">
        <v>0</v>
      </c>
      <c r="BN2281" s="46">
        <v>0</v>
      </c>
    </row>
    <row r="2282" spans="1:66" x14ac:dyDescent="0.35">
      <c r="A2282" t="s">
        <v>6577</v>
      </c>
      <c r="B2282" t="s">
        <v>48</v>
      </c>
      <c r="C2282" t="s">
        <v>6579</v>
      </c>
      <c r="D2282" t="s">
        <v>571</v>
      </c>
      <c r="E2282" t="s">
        <v>6578</v>
      </c>
      <c r="F2282" t="s">
        <v>6539</v>
      </c>
      <c r="G2282" t="s">
        <v>47</v>
      </c>
      <c r="H2282">
        <v>0</v>
      </c>
      <c r="I2282" s="60" t="s">
        <v>149</v>
      </c>
      <c r="J2282" s="33" t="s">
        <v>45</v>
      </c>
      <c r="K2282" s="46">
        <v>0</v>
      </c>
      <c r="L2282">
        <v>3.6</v>
      </c>
      <c r="M2282" t="s">
        <v>48</v>
      </c>
      <c r="N2282" s="46">
        <v>0</v>
      </c>
      <c r="O2282" s="46">
        <v>0</v>
      </c>
      <c r="P2282" s="46">
        <v>0</v>
      </c>
      <c r="Q2282" t="s">
        <v>48</v>
      </c>
      <c r="R2282" t="s">
        <v>48</v>
      </c>
      <c r="S2282" t="s">
        <v>48</v>
      </c>
      <c r="T2282" t="s">
        <v>48</v>
      </c>
      <c r="U2282" t="s">
        <v>48</v>
      </c>
      <c r="V2282" s="47">
        <v>0</v>
      </c>
      <c r="W2282" t="s">
        <v>48</v>
      </c>
      <c r="X2282" t="s">
        <v>48</v>
      </c>
      <c r="Y2282" t="s">
        <v>48</v>
      </c>
      <c r="Z2282">
        <v>0</v>
      </c>
      <c r="AA2282" t="s">
        <v>48</v>
      </c>
      <c r="AB2282" t="s">
        <v>48</v>
      </c>
      <c r="AC2282" t="s">
        <v>49</v>
      </c>
      <c r="AD2282" t="s">
        <v>48</v>
      </c>
      <c r="AE2282" s="40" t="s">
        <v>48</v>
      </c>
      <c r="AF2282" t="s">
        <v>48</v>
      </c>
      <c r="AG2282" t="s">
        <v>48</v>
      </c>
      <c r="AH2282" t="s">
        <v>48</v>
      </c>
      <c r="AI2282" t="s">
        <v>48</v>
      </c>
      <c r="AJ2282" t="s">
        <v>48</v>
      </c>
      <c r="AK2282" t="s">
        <v>48</v>
      </c>
      <c r="AL2282" t="s">
        <v>48</v>
      </c>
      <c r="AM2282" t="s">
        <v>48</v>
      </c>
      <c r="AN2282" t="s">
        <v>48</v>
      </c>
      <c r="AO2282" t="s">
        <v>48</v>
      </c>
      <c r="AP2282" s="46">
        <v>0</v>
      </c>
      <c r="AQ2282" s="46">
        <v>0</v>
      </c>
      <c r="AR2282" s="46">
        <v>0</v>
      </c>
      <c r="AS2282" s="46">
        <v>0</v>
      </c>
      <c r="AT2282" s="46">
        <v>0</v>
      </c>
      <c r="AU2282" s="46">
        <v>0</v>
      </c>
      <c r="AV2282" s="46">
        <v>0</v>
      </c>
      <c r="AW2282" s="46">
        <v>0</v>
      </c>
      <c r="AX2282" s="46">
        <v>0</v>
      </c>
      <c r="AY2282" s="46">
        <v>0</v>
      </c>
      <c r="AZ2282" s="46">
        <v>0</v>
      </c>
      <c r="BA2282" s="46">
        <v>0</v>
      </c>
      <c r="BB2282" s="46">
        <v>0</v>
      </c>
      <c r="BC2282" s="46">
        <v>0</v>
      </c>
      <c r="BD2282" s="46">
        <v>0</v>
      </c>
      <c r="BE2282" s="46">
        <v>0</v>
      </c>
      <c r="BF2282" s="46">
        <v>0</v>
      </c>
      <c r="BG2282" s="46" t="s">
        <v>48</v>
      </c>
      <c r="BH2282" s="46">
        <v>0</v>
      </c>
      <c r="BI2282" s="46">
        <v>0</v>
      </c>
      <c r="BJ2282" s="46">
        <v>0</v>
      </c>
      <c r="BK2282" s="46">
        <v>0</v>
      </c>
      <c r="BL2282" s="46">
        <v>0</v>
      </c>
      <c r="BM2282" s="46">
        <v>0</v>
      </c>
      <c r="BN2282" s="46">
        <v>0</v>
      </c>
    </row>
    <row r="2283" spans="1:66" x14ac:dyDescent="0.35">
      <c r="A2283" t="s">
        <v>6580</v>
      </c>
      <c r="B2283" s="44" t="s">
        <v>48</v>
      </c>
      <c r="C2283" t="s">
        <v>6582</v>
      </c>
      <c r="D2283" t="s">
        <v>5289</v>
      </c>
      <c r="E2283" t="s">
        <v>6581</v>
      </c>
      <c r="F2283" t="s">
        <v>6539</v>
      </c>
      <c r="G2283" t="s">
        <v>74</v>
      </c>
      <c r="H2283">
        <v>0</v>
      </c>
      <c r="I2283" s="60" t="s">
        <v>149</v>
      </c>
      <c r="J2283" s="33" t="s">
        <v>45</v>
      </c>
      <c r="K2283" s="46">
        <v>0</v>
      </c>
      <c r="L2283">
        <v>10.6</v>
      </c>
      <c r="M2283" t="s">
        <v>48</v>
      </c>
      <c r="N2283" s="46">
        <v>0</v>
      </c>
      <c r="O2283" s="46">
        <v>0</v>
      </c>
      <c r="P2283" s="46">
        <v>0</v>
      </c>
      <c r="Q2283" t="s">
        <v>48</v>
      </c>
      <c r="R2283" t="s">
        <v>48</v>
      </c>
      <c r="S2283" t="s">
        <v>48</v>
      </c>
      <c r="T2283" t="s">
        <v>48</v>
      </c>
      <c r="U2283" t="s">
        <v>48</v>
      </c>
      <c r="V2283" s="47">
        <v>0</v>
      </c>
      <c r="W2283" t="s">
        <v>48</v>
      </c>
      <c r="X2283" t="s">
        <v>48</v>
      </c>
      <c r="Y2283" t="s">
        <v>48</v>
      </c>
      <c r="Z2283">
        <v>0</v>
      </c>
      <c r="AA2283" t="s">
        <v>48</v>
      </c>
      <c r="AB2283" t="s">
        <v>48</v>
      </c>
      <c r="AC2283" t="s">
        <v>63</v>
      </c>
      <c r="AD2283" t="s">
        <v>951</v>
      </c>
      <c r="AE2283" s="40" t="s">
        <v>11051</v>
      </c>
      <c r="AF2283" t="s">
        <v>48</v>
      </c>
      <c r="AG2283" t="s">
        <v>48</v>
      </c>
      <c r="AH2283" t="s">
        <v>48</v>
      </c>
      <c r="AI2283" t="s">
        <v>48</v>
      </c>
      <c r="AJ2283" t="s">
        <v>48</v>
      </c>
      <c r="AK2283" t="s">
        <v>48</v>
      </c>
      <c r="AL2283" t="s">
        <v>48</v>
      </c>
      <c r="AM2283" t="s">
        <v>48</v>
      </c>
      <c r="AN2283" t="s">
        <v>48</v>
      </c>
      <c r="AO2283" t="s">
        <v>48</v>
      </c>
      <c r="AP2283" s="46">
        <v>0</v>
      </c>
      <c r="AQ2283" s="46">
        <v>0</v>
      </c>
      <c r="AR2283" s="46">
        <v>0</v>
      </c>
      <c r="AS2283" s="46">
        <v>0</v>
      </c>
      <c r="AT2283" s="46">
        <v>0</v>
      </c>
      <c r="AU2283" s="46">
        <v>0</v>
      </c>
      <c r="AV2283" s="46">
        <v>0</v>
      </c>
      <c r="AW2283" s="46">
        <v>0</v>
      </c>
      <c r="AX2283" s="46">
        <v>0</v>
      </c>
      <c r="AY2283" s="46">
        <v>0</v>
      </c>
      <c r="AZ2283" s="46">
        <v>0</v>
      </c>
      <c r="BA2283" s="46">
        <v>0</v>
      </c>
      <c r="BB2283" s="46">
        <v>0</v>
      </c>
      <c r="BC2283" s="46">
        <v>0</v>
      </c>
      <c r="BD2283" s="46">
        <v>0</v>
      </c>
      <c r="BE2283" s="46">
        <v>0</v>
      </c>
      <c r="BF2283" s="46">
        <v>0</v>
      </c>
      <c r="BG2283" s="46" t="s">
        <v>48</v>
      </c>
      <c r="BH2283" s="46">
        <v>0</v>
      </c>
      <c r="BI2283" s="46">
        <v>0</v>
      </c>
      <c r="BJ2283" s="46">
        <v>0</v>
      </c>
      <c r="BK2283" s="46">
        <v>0</v>
      </c>
      <c r="BL2283" s="46">
        <v>0</v>
      </c>
      <c r="BM2283" s="46">
        <v>0</v>
      </c>
      <c r="BN2283" s="46">
        <v>0</v>
      </c>
    </row>
    <row r="2284" spans="1:66" x14ac:dyDescent="0.35">
      <c r="A2284" t="s">
        <v>6551</v>
      </c>
      <c r="B2284" t="s">
        <v>48</v>
      </c>
      <c r="C2284" t="s">
        <v>6554</v>
      </c>
      <c r="D2284" t="s">
        <v>6553</v>
      </c>
      <c r="E2284" t="s">
        <v>6552</v>
      </c>
      <c r="F2284" t="s">
        <v>6539</v>
      </c>
      <c r="G2284" t="s">
        <v>47</v>
      </c>
      <c r="H2284">
        <v>0</v>
      </c>
      <c r="I2284" s="60" t="s">
        <v>149</v>
      </c>
      <c r="J2284" s="33" t="s">
        <v>45</v>
      </c>
      <c r="K2284" s="46">
        <v>0</v>
      </c>
      <c r="L2284">
        <v>1</v>
      </c>
      <c r="M2284" t="s">
        <v>48</v>
      </c>
      <c r="N2284" s="46">
        <v>0</v>
      </c>
      <c r="O2284" s="46">
        <v>0</v>
      </c>
      <c r="P2284" s="46">
        <v>0</v>
      </c>
      <c r="Q2284" t="s">
        <v>48</v>
      </c>
      <c r="R2284" t="s">
        <v>48</v>
      </c>
      <c r="S2284" t="s">
        <v>48</v>
      </c>
      <c r="T2284" t="s">
        <v>48</v>
      </c>
      <c r="U2284" t="s">
        <v>48</v>
      </c>
      <c r="V2284" s="47">
        <v>0</v>
      </c>
      <c r="W2284" t="s">
        <v>48</v>
      </c>
      <c r="X2284" t="s">
        <v>48</v>
      </c>
      <c r="Y2284" t="s">
        <v>48</v>
      </c>
      <c r="Z2284">
        <v>0</v>
      </c>
      <c r="AA2284" t="s">
        <v>48</v>
      </c>
      <c r="AB2284" t="s">
        <v>48</v>
      </c>
      <c r="AC2284" t="s">
        <v>63</v>
      </c>
      <c r="AD2284" t="s">
        <v>93</v>
      </c>
      <c r="AE2284" t="s">
        <v>4532</v>
      </c>
      <c r="AF2284" t="s">
        <v>48</v>
      </c>
      <c r="AG2284" t="s">
        <v>48</v>
      </c>
      <c r="AH2284" t="s">
        <v>48</v>
      </c>
      <c r="AI2284" t="s">
        <v>48</v>
      </c>
      <c r="AJ2284" t="s">
        <v>48</v>
      </c>
      <c r="AK2284" t="s">
        <v>48</v>
      </c>
      <c r="AL2284" t="s">
        <v>48</v>
      </c>
      <c r="AM2284" t="s">
        <v>48</v>
      </c>
      <c r="AN2284" t="s">
        <v>48</v>
      </c>
      <c r="AO2284" t="s">
        <v>48</v>
      </c>
      <c r="AP2284" s="46">
        <v>0</v>
      </c>
      <c r="AQ2284" s="46">
        <v>0</v>
      </c>
      <c r="AR2284" s="46">
        <v>0</v>
      </c>
      <c r="AS2284" s="46">
        <v>0</v>
      </c>
      <c r="AT2284" s="46">
        <v>0</v>
      </c>
      <c r="AU2284" s="46">
        <v>0</v>
      </c>
      <c r="AV2284" s="46">
        <v>0</v>
      </c>
      <c r="AW2284" s="46">
        <v>0</v>
      </c>
      <c r="AX2284" s="46">
        <v>0</v>
      </c>
      <c r="AY2284" s="46">
        <v>0</v>
      </c>
      <c r="AZ2284" s="46">
        <v>0</v>
      </c>
      <c r="BA2284" s="46">
        <v>0</v>
      </c>
      <c r="BB2284" s="46">
        <v>0</v>
      </c>
      <c r="BC2284" s="46">
        <v>0</v>
      </c>
      <c r="BD2284" s="46">
        <v>0</v>
      </c>
      <c r="BE2284" s="46">
        <v>0</v>
      </c>
      <c r="BF2284" s="46">
        <v>0</v>
      </c>
      <c r="BG2284" s="46" t="s">
        <v>48</v>
      </c>
      <c r="BH2284" s="46">
        <v>0</v>
      </c>
      <c r="BI2284" s="46">
        <v>0</v>
      </c>
      <c r="BJ2284" s="46">
        <v>0</v>
      </c>
      <c r="BK2284" s="46">
        <v>0</v>
      </c>
      <c r="BL2284" s="46">
        <v>0</v>
      </c>
      <c r="BM2284" s="46">
        <v>0</v>
      </c>
      <c r="BN2284" s="46">
        <v>0</v>
      </c>
    </row>
    <row r="2285" spans="1:66" x14ac:dyDescent="0.35">
      <c r="A2285" t="s">
        <v>6599</v>
      </c>
      <c r="B2285" s="44" t="s">
        <v>48</v>
      </c>
      <c r="C2285" t="s">
        <v>12327</v>
      </c>
      <c r="D2285" t="s">
        <v>6602</v>
      </c>
      <c r="E2285" t="s">
        <v>6600</v>
      </c>
      <c r="F2285" t="s">
        <v>6588</v>
      </c>
      <c r="G2285" t="s">
        <v>74</v>
      </c>
      <c r="H2285">
        <v>0</v>
      </c>
      <c r="I2285" s="60" t="s">
        <v>149</v>
      </c>
      <c r="J2285" s="33" t="s">
        <v>45</v>
      </c>
      <c r="K2285" s="46">
        <v>0</v>
      </c>
      <c r="L2285">
        <v>12.2</v>
      </c>
      <c r="M2285" t="s">
        <v>48</v>
      </c>
      <c r="N2285" s="46">
        <v>0</v>
      </c>
      <c r="O2285" s="46">
        <v>0</v>
      </c>
      <c r="P2285" s="46">
        <v>0</v>
      </c>
      <c r="Q2285" t="s">
        <v>48</v>
      </c>
      <c r="R2285" t="s">
        <v>48</v>
      </c>
      <c r="S2285" t="s">
        <v>6601</v>
      </c>
      <c r="T2285" t="s">
        <v>48</v>
      </c>
      <c r="U2285" t="s">
        <v>6601</v>
      </c>
      <c r="V2285" s="47">
        <v>0</v>
      </c>
      <c r="W2285" t="s">
        <v>48</v>
      </c>
      <c r="X2285" t="s">
        <v>48</v>
      </c>
      <c r="Y2285" t="s">
        <v>48</v>
      </c>
      <c r="Z2285">
        <v>0</v>
      </c>
      <c r="AA2285" t="s">
        <v>48</v>
      </c>
      <c r="AB2285" t="s">
        <v>48</v>
      </c>
      <c r="AC2285" t="s">
        <v>63</v>
      </c>
      <c r="AD2285" t="s">
        <v>951</v>
      </c>
      <c r="AE2285" s="40" t="s">
        <v>11051</v>
      </c>
      <c r="AF2285" t="s">
        <v>108</v>
      </c>
      <c r="AG2285" t="s">
        <v>48</v>
      </c>
      <c r="AH2285" t="s">
        <v>48</v>
      </c>
      <c r="AI2285" t="s">
        <v>48</v>
      </c>
      <c r="AJ2285" t="s">
        <v>48</v>
      </c>
      <c r="AK2285" t="s">
        <v>48</v>
      </c>
      <c r="AL2285" t="s">
        <v>48</v>
      </c>
      <c r="AM2285" t="s">
        <v>48</v>
      </c>
      <c r="AN2285" t="s">
        <v>48</v>
      </c>
      <c r="AO2285" t="s">
        <v>48</v>
      </c>
      <c r="AP2285" s="46">
        <v>0</v>
      </c>
      <c r="AQ2285" s="46">
        <v>0</v>
      </c>
      <c r="AR2285" s="46">
        <v>0</v>
      </c>
      <c r="AS2285" s="46">
        <v>0</v>
      </c>
      <c r="AT2285" s="46">
        <v>0</v>
      </c>
      <c r="AU2285" s="46">
        <v>0</v>
      </c>
      <c r="AV2285" s="46">
        <v>0</v>
      </c>
      <c r="AW2285" s="46">
        <v>0</v>
      </c>
      <c r="AX2285" s="46">
        <v>0</v>
      </c>
      <c r="AY2285" s="46">
        <v>0</v>
      </c>
      <c r="AZ2285" s="46">
        <v>0</v>
      </c>
      <c r="BA2285" s="46">
        <v>0</v>
      </c>
      <c r="BB2285" s="46">
        <v>0</v>
      </c>
      <c r="BC2285" s="46">
        <v>0</v>
      </c>
      <c r="BD2285" s="46">
        <v>0</v>
      </c>
      <c r="BE2285" s="46">
        <v>0</v>
      </c>
      <c r="BF2285" s="46">
        <v>0</v>
      </c>
      <c r="BG2285" s="46" t="s">
        <v>48</v>
      </c>
      <c r="BH2285" s="46">
        <v>0</v>
      </c>
      <c r="BI2285" s="46">
        <v>0</v>
      </c>
      <c r="BJ2285" s="46">
        <v>0</v>
      </c>
      <c r="BK2285" s="46">
        <v>0</v>
      </c>
      <c r="BL2285" s="46">
        <v>0</v>
      </c>
      <c r="BM2285" s="46">
        <v>0</v>
      </c>
      <c r="BN2285" s="46">
        <v>0</v>
      </c>
    </row>
    <row r="2286" spans="1:66" x14ac:dyDescent="0.35">
      <c r="A2286" t="s">
        <v>6608</v>
      </c>
      <c r="B2286" t="s">
        <v>48</v>
      </c>
      <c r="C2286" t="s">
        <v>6611</v>
      </c>
      <c r="D2286" t="s">
        <v>331</v>
      </c>
      <c r="E2286" t="s">
        <v>6609</v>
      </c>
      <c r="F2286" t="s">
        <v>6604</v>
      </c>
      <c r="G2286" t="s">
        <v>47</v>
      </c>
      <c r="H2286">
        <v>0</v>
      </c>
      <c r="I2286" s="60" t="s">
        <v>149</v>
      </c>
      <c r="J2286" s="33" t="s">
        <v>45</v>
      </c>
      <c r="K2286" s="46">
        <v>0</v>
      </c>
      <c r="L2286">
        <v>11.4</v>
      </c>
      <c r="M2286" t="s">
        <v>48</v>
      </c>
      <c r="N2286" s="46">
        <v>0</v>
      </c>
      <c r="O2286" s="46">
        <v>0</v>
      </c>
      <c r="P2286" s="46">
        <v>0</v>
      </c>
      <c r="Q2286" t="s">
        <v>48</v>
      </c>
      <c r="R2286" t="s">
        <v>48</v>
      </c>
      <c r="S2286" t="s">
        <v>6610</v>
      </c>
      <c r="T2286" t="s">
        <v>48</v>
      </c>
      <c r="U2286" t="s">
        <v>6610</v>
      </c>
      <c r="V2286" s="47">
        <v>0</v>
      </c>
      <c r="W2286" t="s">
        <v>48</v>
      </c>
      <c r="X2286" t="s">
        <v>48</v>
      </c>
      <c r="Y2286" t="s">
        <v>48</v>
      </c>
      <c r="Z2286">
        <v>0</v>
      </c>
      <c r="AA2286" t="s">
        <v>48</v>
      </c>
      <c r="AB2286" t="s">
        <v>48</v>
      </c>
      <c r="AC2286" t="s">
        <v>49</v>
      </c>
      <c r="AD2286" t="s">
        <v>93</v>
      </c>
      <c r="AE2286" t="s">
        <v>4532</v>
      </c>
      <c r="AF2286" t="s">
        <v>48</v>
      </c>
      <c r="AG2286" t="s">
        <v>48</v>
      </c>
      <c r="AH2286" t="s">
        <v>48</v>
      </c>
      <c r="AI2286" t="s">
        <v>48</v>
      </c>
      <c r="AJ2286" t="s">
        <v>48</v>
      </c>
      <c r="AK2286" t="s">
        <v>48</v>
      </c>
      <c r="AL2286" t="s">
        <v>48</v>
      </c>
      <c r="AM2286" t="s">
        <v>48</v>
      </c>
      <c r="AN2286" t="s">
        <v>48</v>
      </c>
      <c r="AO2286" t="s">
        <v>48</v>
      </c>
      <c r="AP2286" s="46">
        <v>0</v>
      </c>
      <c r="AQ2286" s="46">
        <v>0</v>
      </c>
      <c r="AR2286" s="46">
        <v>0</v>
      </c>
      <c r="AS2286" s="46">
        <v>0</v>
      </c>
      <c r="AT2286" s="46">
        <v>0</v>
      </c>
      <c r="AU2286" s="46">
        <v>0</v>
      </c>
      <c r="AV2286" s="46">
        <v>0</v>
      </c>
      <c r="AW2286" s="46">
        <v>0</v>
      </c>
      <c r="AX2286" s="46">
        <v>0</v>
      </c>
      <c r="AY2286" s="46">
        <v>0</v>
      </c>
      <c r="AZ2286" s="46">
        <v>0</v>
      </c>
      <c r="BA2286" s="46">
        <v>0</v>
      </c>
      <c r="BB2286" s="46">
        <v>0</v>
      </c>
      <c r="BC2286" s="46">
        <v>0</v>
      </c>
      <c r="BD2286" s="46">
        <v>0</v>
      </c>
      <c r="BE2286" s="46">
        <v>0</v>
      </c>
      <c r="BF2286" s="46">
        <v>0</v>
      </c>
      <c r="BG2286" s="46" t="s">
        <v>48</v>
      </c>
      <c r="BH2286" s="46">
        <v>0</v>
      </c>
      <c r="BI2286" s="46">
        <v>0</v>
      </c>
      <c r="BJ2286" s="46">
        <v>0</v>
      </c>
      <c r="BK2286" s="46">
        <v>0</v>
      </c>
      <c r="BL2286" s="46">
        <v>0</v>
      </c>
      <c r="BM2286" s="46">
        <v>0</v>
      </c>
      <c r="BN2286" s="46">
        <v>0</v>
      </c>
    </row>
    <row r="2287" spans="1:66" x14ac:dyDescent="0.35">
      <c r="A2287" t="s">
        <v>6603</v>
      </c>
      <c r="B2287" t="s">
        <v>48</v>
      </c>
      <c r="C2287" t="s">
        <v>3057</v>
      </c>
      <c r="D2287" t="s">
        <v>6607</v>
      </c>
      <c r="E2287" t="s">
        <v>6605</v>
      </c>
      <c r="F2287" t="s">
        <v>6604</v>
      </c>
      <c r="G2287" t="s">
        <v>47</v>
      </c>
      <c r="H2287">
        <v>0</v>
      </c>
      <c r="I2287" s="60" t="s">
        <v>51</v>
      </c>
      <c r="J2287" s="33" t="s">
        <v>45</v>
      </c>
      <c r="K2287" s="46">
        <v>0</v>
      </c>
      <c r="L2287">
        <v>11.2</v>
      </c>
      <c r="M2287" t="s">
        <v>48</v>
      </c>
      <c r="N2287" s="46">
        <v>0</v>
      </c>
      <c r="O2287" s="46">
        <v>0</v>
      </c>
      <c r="P2287" s="46">
        <v>0</v>
      </c>
      <c r="Q2287" t="s">
        <v>48</v>
      </c>
      <c r="R2287" t="s">
        <v>48</v>
      </c>
      <c r="S2287" t="s">
        <v>6606</v>
      </c>
      <c r="T2287" t="s">
        <v>48</v>
      </c>
      <c r="U2287" t="s">
        <v>6606</v>
      </c>
      <c r="V2287" s="47">
        <v>0</v>
      </c>
      <c r="W2287" t="s">
        <v>48</v>
      </c>
      <c r="X2287" t="s">
        <v>48</v>
      </c>
      <c r="Y2287" t="s">
        <v>48</v>
      </c>
      <c r="Z2287">
        <v>0</v>
      </c>
      <c r="AA2287" t="s">
        <v>48</v>
      </c>
      <c r="AB2287" t="s">
        <v>48</v>
      </c>
      <c r="AC2287" t="s">
        <v>63</v>
      </c>
      <c r="AD2287" t="s">
        <v>93</v>
      </c>
      <c r="AE2287" s="40" t="s">
        <v>4532</v>
      </c>
      <c r="AF2287" t="s">
        <v>48</v>
      </c>
      <c r="AG2287" t="s">
        <v>48</v>
      </c>
      <c r="AH2287" t="s">
        <v>48</v>
      </c>
      <c r="AI2287" t="s">
        <v>48</v>
      </c>
      <c r="AJ2287" t="s">
        <v>48</v>
      </c>
      <c r="AK2287" t="s">
        <v>48</v>
      </c>
      <c r="AL2287" t="s">
        <v>48</v>
      </c>
      <c r="AM2287" t="s">
        <v>48</v>
      </c>
      <c r="AN2287" t="s">
        <v>48</v>
      </c>
      <c r="AO2287" t="s">
        <v>48</v>
      </c>
      <c r="AP2287" s="46">
        <v>0</v>
      </c>
      <c r="AQ2287" s="46">
        <v>0</v>
      </c>
      <c r="AR2287" s="46">
        <v>0</v>
      </c>
      <c r="AS2287" s="46">
        <v>0</v>
      </c>
      <c r="AT2287" s="46">
        <v>0</v>
      </c>
      <c r="AU2287" s="46">
        <v>0</v>
      </c>
      <c r="AV2287" s="46">
        <v>0</v>
      </c>
      <c r="AW2287" s="46">
        <v>0</v>
      </c>
      <c r="AX2287" s="46">
        <v>0</v>
      </c>
      <c r="AY2287" s="46">
        <v>0</v>
      </c>
      <c r="AZ2287" s="46">
        <v>0</v>
      </c>
      <c r="BA2287" s="46">
        <v>0</v>
      </c>
      <c r="BB2287" s="46">
        <v>0</v>
      </c>
      <c r="BC2287" s="46">
        <v>0</v>
      </c>
      <c r="BD2287" s="46">
        <v>0</v>
      </c>
      <c r="BE2287" s="46">
        <v>0</v>
      </c>
      <c r="BF2287" s="46">
        <v>0</v>
      </c>
      <c r="BG2287" s="46" t="s">
        <v>48</v>
      </c>
      <c r="BH2287" s="46">
        <v>0</v>
      </c>
      <c r="BI2287" s="46">
        <v>0</v>
      </c>
      <c r="BJ2287" s="46">
        <v>0</v>
      </c>
      <c r="BK2287" s="46">
        <v>0</v>
      </c>
      <c r="BL2287" s="46">
        <v>0</v>
      </c>
      <c r="BM2287" s="46">
        <v>0</v>
      </c>
      <c r="BN2287" s="46">
        <v>0</v>
      </c>
    </row>
    <row r="2288" spans="1:66" x14ac:dyDescent="0.35">
      <c r="A2288" t="s">
        <v>6612</v>
      </c>
      <c r="B2288" t="s">
        <v>48</v>
      </c>
      <c r="C2288" t="s">
        <v>6614</v>
      </c>
      <c r="D2288" t="s">
        <v>210</v>
      </c>
      <c r="E2288" t="s">
        <v>6613</v>
      </c>
      <c r="F2288" t="s">
        <v>6604</v>
      </c>
      <c r="G2288" t="s">
        <v>47</v>
      </c>
      <c r="H2288">
        <v>0</v>
      </c>
      <c r="I2288" s="60" t="s">
        <v>149</v>
      </c>
      <c r="J2288" s="33" t="s">
        <v>45</v>
      </c>
      <c r="K2288" s="46">
        <v>0</v>
      </c>
      <c r="L2288">
        <v>7.6</v>
      </c>
      <c r="M2288" t="s">
        <v>48</v>
      </c>
      <c r="N2288" s="46">
        <v>0</v>
      </c>
      <c r="O2288" s="46">
        <v>0</v>
      </c>
      <c r="P2288" s="46">
        <v>0</v>
      </c>
      <c r="Q2288" t="s">
        <v>48</v>
      </c>
      <c r="R2288" t="s">
        <v>48</v>
      </c>
      <c r="S2288" t="s">
        <v>48</v>
      </c>
      <c r="T2288" t="s">
        <v>48</v>
      </c>
      <c r="U2288" t="s">
        <v>48</v>
      </c>
      <c r="V2288" s="47">
        <v>0</v>
      </c>
      <c r="W2288" t="s">
        <v>48</v>
      </c>
      <c r="X2288" t="s">
        <v>48</v>
      </c>
      <c r="Y2288" t="s">
        <v>48</v>
      </c>
      <c r="Z2288">
        <v>0</v>
      </c>
      <c r="AA2288" t="s">
        <v>48</v>
      </c>
      <c r="AB2288" t="s">
        <v>48</v>
      </c>
      <c r="AC2288" t="s">
        <v>49</v>
      </c>
      <c r="AD2288" t="s">
        <v>93</v>
      </c>
      <c r="AE2288" s="40" t="s">
        <v>4532</v>
      </c>
      <c r="AF2288" t="s">
        <v>48</v>
      </c>
      <c r="AG2288" t="s">
        <v>48</v>
      </c>
      <c r="AH2288" t="s">
        <v>48</v>
      </c>
      <c r="AI2288" t="s">
        <v>48</v>
      </c>
      <c r="AJ2288" t="s">
        <v>48</v>
      </c>
      <c r="AK2288" t="s">
        <v>48</v>
      </c>
      <c r="AL2288" t="s">
        <v>48</v>
      </c>
      <c r="AM2288" t="s">
        <v>48</v>
      </c>
      <c r="AN2288" t="s">
        <v>48</v>
      </c>
      <c r="AO2288" t="s">
        <v>48</v>
      </c>
      <c r="AP2288" s="46">
        <v>0</v>
      </c>
      <c r="AQ2288" s="46">
        <v>0</v>
      </c>
      <c r="AR2288" s="46">
        <v>0</v>
      </c>
      <c r="AS2288" s="46">
        <v>0</v>
      </c>
      <c r="AT2288" s="46">
        <v>0</v>
      </c>
      <c r="AU2288" s="46">
        <v>0</v>
      </c>
      <c r="AV2288" s="46">
        <v>0</v>
      </c>
      <c r="AW2288" s="46">
        <v>0</v>
      </c>
      <c r="AX2288" s="46">
        <v>0</v>
      </c>
      <c r="AY2288" s="46">
        <v>0</v>
      </c>
      <c r="AZ2288" s="46">
        <v>0</v>
      </c>
      <c r="BA2288" s="46">
        <v>0</v>
      </c>
      <c r="BB2288" s="46">
        <v>0</v>
      </c>
      <c r="BC2288" s="46">
        <v>0</v>
      </c>
      <c r="BD2288" s="46">
        <v>0</v>
      </c>
      <c r="BE2288" s="46">
        <v>0</v>
      </c>
      <c r="BF2288" s="46">
        <v>0</v>
      </c>
      <c r="BG2288" s="46" t="s">
        <v>48</v>
      </c>
      <c r="BH2288" s="46">
        <v>0</v>
      </c>
      <c r="BI2288" s="46">
        <v>0</v>
      </c>
      <c r="BJ2288" s="46">
        <v>0</v>
      </c>
      <c r="BK2288" s="46">
        <v>0</v>
      </c>
      <c r="BL2288" s="46">
        <v>0</v>
      </c>
      <c r="BM2288" s="46">
        <v>0</v>
      </c>
      <c r="BN2288" s="46">
        <v>0</v>
      </c>
    </row>
    <row r="2289" spans="1:66" x14ac:dyDescent="0.35">
      <c r="A2289" t="s">
        <v>6663</v>
      </c>
      <c r="B2289" s="44" t="s">
        <v>48</v>
      </c>
      <c r="C2289" t="s">
        <v>6667</v>
      </c>
      <c r="D2289" t="s">
        <v>6666</v>
      </c>
      <c r="E2289" t="s">
        <v>6664</v>
      </c>
      <c r="F2289" t="s">
        <v>6653</v>
      </c>
      <c r="G2289" t="s">
        <v>74</v>
      </c>
      <c r="H2289">
        <v>0</v>
      </c>
      <c r="I2289" s="60" t="s">
        <v>51</v>
      </c>
      <c r="J2289" s="33" t="s">
        <v>45</v>
      </c>
      <c r="K2289" s="46">
        <v>0</v>
      </c>
      <c r="L2289">
        <v>2.6</v>
      </c>
      <c r="M2289" t="s">
        <v>48</v>
      </c>
      <c r="N2289" s="46">
        <v>0</v>
      </c>
      <c r="O2289" s="46">
        <v>0</v>
      </c>
      <c r="P2289" s="46">
        <v>0</v>
      </c>
      <c r="Q2289" t="s">
        <v>48</v>
      </c>
      <c r="R2289" t="s">
        <v>48</v>
      </c>
      <c r="S2289" t="s">
        <v>6665</v>
      </c>
      <c r="T2289" t="s">
        <v>48</v>
      </c>
      <c r="U2289" t="s">
        <v>6665</v>
      </c>
      <c r="V2289" s="47">
        <v>0</v>
      </c>
      <c r="W2289" t="s">
        <v>11317</v>
      </c>
      <c r="X2289" t="s">
        <v>48</v>
      </c>
      <c r="Y2289" t="s">
        <v>48</v>
      </c>
      <c r="Z2289">
        <v>0</v>
      </c>
      <c r="AA2289" t="s">
        <v>48</v>
      </c>
      <c r="AB2289" t="s">
        <v>48</v>
      </c>
      <c r="AC2289" t="s">
        <v>49</v>
      </c>
      <c r="AD2289" t="s">
        <v>93</v>
      </c>
      <c r="AE2289" s="40" t="s">
        <v>11051</v>
      </c>
      <c r="AF2289" t="s">
        <v>48</v>
      </c>
      <c r="AG2289" t="s">
        <v>48</v>
      </c>
      <c r="AH2289" t="s">
        <v>48</v>
      </c>
      <c r="AI2289" t="s">
        <v>48</v>
      </c>
      <c r="AJ2289" t="s">
        <v>48</v>
      </c>
      <c r="AK2289" t="s">
        <v>48</v>
      </c>
      <c r="AL2289" t="s">
        <v>48</v>
      </c>
      <c r="AM2289" t="s">
        <v>48</v>
      </c>
      <c r="AN2289" t="s">
        <v>48</v>
      </c>
      <c r="AO2289" t="s">
        <v>48</v>
      </c>
      <c r="AP2289" s="46">
        <v>0</v>
      </c>
      <c r="AQ2289" s="46">
        <v>0</v>
      </c>
      <c r="AR2289" s="46">
        <v>0</v>
      </c>
      <c r="AS2289" s="46">
        <v>0</v>
      </c>
      <c r="AT2289" s="46">
        <v>0</v>
      </c>
      <c r="AU2289" s="46">
        <v>0</v>
      </c>
      <c r="AV2289" s="46">
        <v>0</v>
      </c>
      <c r="AW2289" s="46">
        <v>0</v>
      </c>
      <c r="AX2289" s="46">
        <v>0</v>
      </c>
      <c r="AY2289" s="46">
        <v>0</v>
      </c>
      <c r="AZ2289" s="46">
        <v>0</v>
      </c>
      <c r="BA2289" s="46">
        <v>0</v>
      </c>
      <c r="BB2289" s="46">
        <v>0</v>
      </c>
      <c r="BC2289" s="46">
        <v>0</v>
      </c>
      <c r="BD2289" s="46">
        <v>0</v>
      </c>
      <c r="BE2289" s="46">
        <v>0</v>
      </c>
      <c r="BF2289" s="46">
        <v>0</v>
      </c>
      <c r="BG2289" s="46" t="s">
        <v>48</v>
      </c>
      <c r="BH2289" s="46">
        <v>0</v>
      </c>
      <c r="BI2289" s="46">
        <v>0</v>
      </c>
      <c r="BJ2289" s="46">
        <v>0</v>
      </c>
      <c r="BK2289" s="46">
        <v>0</v>
      </c>
      <c r="BL2289" s="46">
        <v>0</v>
      </c>
      <c r="BM2289" s="46">
        <v>0</v>
      </c>
      <c r="BN2289" s="46">
        <v>0</v>
      </c>
    </row>
    <row r="2290" spans="1:66" x14ac:dyDescent="0.35">
      <c r="A2290" t="s">
        <v>6656</v>
      </c>
      <c r="B2290" s="44" t="s">
        <v>48</v>
      </c>
      <c r="C2290" t="s">
        <v>6660</v>
      </c>
      <c r="D2290" t="s">
        <v>6659</v>
      </c>
      <c r="E2290" t="s">
        <v>6657</v>
      </c>
      <c r="F2290" t="s">
        <v>6653</v>
      </c>
      <c r="G2290" t="s">
        <v>74</v>
      </c>
      <c r="H2290">
        <v>0</v>
      </c>
      <c r="I2290" s="60" t="s">
        <v>190</v>
      </c>
      <c r="J2290" s="33" t="s">
        <v>45</v>
      </c>
      <c r="K2290" s="46">
        <v>0</v>
      </c>
      <c r="L2290">
        <v>9</v>
      </c>
      <c r="M2290" t="s">
        <v>48</v>
      </c>
      <c r="N2290" s="46">
        <v>0</v>
      </c>
      <c r="O2290" s="46">
        <v>0</v>
      </c>
      <c r="P2290" s="46">
        <v>0</v>
      </c>
      <c r="Q2290" t="s">
        <v>48</v>
      </c>
      <c r="R2290" t="s">
        <v>48</v>
      </c>
      <c r="S2290" t="s">
        <v>6658</v>
      </c>
      <c r="T2290" t="s">
        <v>48</v>
      </c>
      <c r="U2290" t="s">
        <v>6658</v>
      </c>
      <c r="V2290" s="47">
        <v>0</v>
      </c>
      <c r="W2290" t="s">
        <v>48</v>
      </c>
      <c r="X2290" t="s">
        <v>48</v>
      </c>
      <c r="Y2290" t="s">
        <v>48</v>
      </c>
      <c r="Z2290">
        <v>0</v>
      </c>
      <c r="AA2290" t="s">
        <v>48</v>
      </c>
      <c r="AB2290" t="s">
        <v>48</v>
      </c>
      <c r="AC2290" t="s">
        <v>49</v>
      </c>
      <c r="AD2290" t="s">
        <v>93</v>
      </c>
      <c r="AE2290" t="s">
        <v>4532</v>
      </c>
      <c r="AF2290" t="s">
        <v>48</v>
      </c>
      <c r="AG2290" t="s">
        <v>48</v>
      </c>
      <c r="AH2290" t="s">
        <v>48</v>
      </c>
      <c r="AI2290" t="s">
        <v>48</v>
      </c>
      <c r="AJ2290" t="s">
        <v>48</v>
      </c>
      <c r="AK2290" t="s">
        <v>48</v>
      </c>
      <c r="AL2290" t="s">
        <v>48</v>
      </c>
      <c r="AM2290" t="s">
        <v>48</v>
      </c>
      <c r="AN2290" t="s">
        <v>48</v>
      </c>
      <c r="AO2290" t="s">
        <v>48</v>
      </c>
      <c r="AP2290" s="46">
        <v>0</v>
      </c>
      <c r="AQ2290" s="46">
        <v>0</v>
      </c>
      <c r="AR2290" s="46">
        <v>0</v>
      </c>
      <c r="AS2290" s="46">
        <v>0</v>
      </c>
      <c r="AT2290" s="46">
        <v>0</v>
      </c>
      <c r="AU2290" s="46">
        <v>0</v>
      </c>
      <c r="AV2290" s="46">
        <v>0</v>
      </c>
      <c r="AW2290" s="46">
        <v>0</v>
      </c>
      <c r="AX2290" s="46">
        <v>0</v>
      </c>
      <c r="AY2290" s="46">
        <v>0</v>
      </c>
      <c r="AZ2290" s="46">
        <v>0</v>
      </c>
      <c r="BA2290" s="46">
        <v>0</v>
      </c>
      <c r="BB2290" s="46">
        <v>0</v>
      </c>
      <c r="BC2290" s="46">
        <v>0</v>
      </c>
      <c r="BD2290" s="46">
        <v>0</v>
      </c>
      <c r="BE2290" s="46">
        <v>0</v>
      </c>
      <c r="BF2290" s="46">
        <v>0</v>
      </c>
      <c r="BG2290" s="46" t="s">
        <v>48</v>
      </c>
      <c r="BH2290" s="46">
        <v>0</v>
      </c>
      <c r="BI2290" s="46">
        <v>0</v>
      </c>
      <c r="BJ2290" s="46">
        <v>0</v>
      </c>
      <c r="BK2290" s="46">
        <v>0</v>
      </c>
      <c r="BL2290" s="46">
        <v>0</v>
      </c>
      <c r="BM2290" s="46">
        <v>0</v>
      </c>
      <c r="BN2290" s="46">
        <v>0</v>
      </c>
    </row>
    <row r="2291" spans="1:66" x14ac:dyDescent="0.35">
      <c r="A2291" t="s">
        <v>6688</v>
      </c>
      <c r="B2291" t="s">
        <v>48</v>
      </c>
      <c r="C2291" t="s">
        <v>6691</v>
      </c>
      <c r="D2291" t="s">
        <v>6690</v>
      </c>
      <c r="E2291" t="s">
        <v>6689</v>
      </c>
      <c r="F2291" t="s">
        <v>6653</v>
      </c>
      <c r="G2291" t="s">
        <v>47</v>
      </c>
      <c r="H2291">
        <v>0</v>
      </c>
      <c r="I2291" s="60" t="s">
        <v>149</v>
      </c>
      <c r="J2291" s="33" t="s">
        <v>45</v>
      </c>
      <c r="K2291" s="46">
        <v>0</v>
      </c>
      <c r="L2291">
        <v>4.5</v>
      </c>
      <c r="M2291" t="s">
        <v>48</v>
      </c>
      <c r="N2291" s="46">
        <v>0</v>
      </c>
      <c r="O2291" s="46">
        <v>0</v>
      </c>
      <c r="P2291" s="46">
        <v>0</v>
      </c>
      <c r="Q2291" t="s">
        <v>48</v>
      </c>
      <c r="R2291" t="s">
        <v>48</v>
      </c>
      <c r="S2291" t="s">
        <v>48</v>
      </c>
      <c r="T2291" t="s">
        <v>48</v>
      </c>
      <c r="U2291" t="s">
        <v>48</v>
      </c>
      <c r="V2291" s="47">
        <v>0</v>
      </c>
      <c r="W2291" t="s">
        <v>48</v>
      </c>
      <c r="X2291" t="s">
        <v>48</v>
      </c>
      <c r="Y2291" t="s">
        <v>48</v>
      </c>
      <c r="Z2291">
        <v>0</v>
      </c>
      <c r="AA2291" t="s">
        <v>48</v>
      </c>
      <c r="AB2291" t="s">
        <v>48</v>
      </c>
      <c r="AC2291" t="s">
        <v>63</v>
      </c>
      <c r="AD2291" t="s">
        <v>93</v>
      </c>
      <c r="AE2291" s="40" t="s">
        <v>4532</v>
      </c>
      <c r="AF2291" t="s">
        <v>48</v>
      </c>
      <c r="AG2291" t="s">
        <v>48</v>
      </c>
      <c r="AH2291" t="s">
        <v>48</v>
      </c>
      <c r="AI2291" t="s">
        <v>48</v>
      </c>
      <c r="AJ2291" t="s">
        <v>48</v>
      </c>
      <c r="AK2291" t="s">
        <v>48</v>
      </c>
      <c r="AL2291" t="s">
        <v>48</v>
      </c>
      <c r="AM2291" t="s">
        <v>48</v>
      </c>
      <c r="AN2291" t="s">
        <v>48</v>
      </c>
      <c r="AO2291" t="s">
        <v>48</v>
      </c>
      <c r="AP2291" s="46">
        <v>0</v>
      </c>
      <c r="AQ2291" s="46">
        <v>0</v>
      </c>
      <c r="AR2291" s="46">
        <v>0</v>
      </c>
      <c r="AS2291" s="46">
        <v>0</v>
      </c>
      <c r="AT2291" s="46">
        <v>0</v>
      </c>
      <c r="AU2291" s="46">
        <v>0</v>
      </c>
      <c r="AV2291" s="46">
        <v>0</v>
      </c>
      <c r="AW2291" s="46">
        <v>0</v>
      </c>
      <c r="AX2291" s="46">
        <v>0</v>
      </c>
      <c r="AY2291" s="46">
        <v>0</v>
      </c>
      <c r="AZ2291" s="46">
        <v>0</v>
      </c>
      <c r="BA2291" s="46">
        <v>0</v>
      </c>
      <c r="BB2291" s="46">
        <v>0</v>
      </c>
      <c r="BC2291" s="46">
        <v>0</v>
      </c>
      <c r="BD2291" s="46">
        <v>0</v>
      </c>
      <c r="BE2291" s="46">
        <v>0</v>
      </c>
      <c r="BF2291" s="46">
        <v>0</v>
      </c>
      <c r="BG2291" s="46" t="s">
        <v>48</v>
      </c>
      <c r="BH2291" s="46">
        <v>0</v>
      </c>
      <c r="BI2291" s="46">
        <v>0</v>
      </c>
      <c r="BJ2291" s="46">
        <v>0</v>
      </c>
      <c r="BK2291" s="46">
        <v>0</v>
      </c>
      <c r="BL2291" s="46">
        <v>0</v>
      </c>
      <c r="BM2291" s="46">
        <v>0</v>
      </c>
      <c r="BN2291" s="46">
        <v>0</v>
      </c>
    </row>
    <row r="2292" spans="1:66" x14ac:dyDescent="0.35">
      <c r="A2292" t="s">
        <v>6652</v>
      </c>
      <c r="B2292" s="44" t="s">
        <v>48</v>
      </c>
      <c r="C2292" t="s">
        <v>375</v>
      </c>
      <c r="D2292" t="s">
        <v>268</v>
      </c>
      <c r="E2292" t="s">
        <v>6654</v>
      </c>
      <c r="F2292" t="s">
        <v>6653</v>
      </c>
      <c r="G2292" t="s">
        <v>74</v>
      </c>
      <c r="H2292">
        <v>0</v>
      </c>
      <c r="I2292" s="60" t="s">
        <v>51</v>
      </c>
      <c r="J2292" s="33" t="s">
        <v>45</v>
      </c>
      <c r="K2292" s="46">
        <v>0</v>
      </c>
      <c r="L2292">
        <v>8.6</v>
      </c>
      <c r="M2292" t="s">
        <v>48</v>
      </c>
      <c r="N2292" s="46">
        <v>0</v>
      </c>
      <c r="O2292" s="46">
        <v>0</v>
      </c>
      <c r="P2292" s="46">
        <v>0</v>
      </c>
      <c r="Q2292" t="s">
        <v>48</v>
      </c>
      <c r="R2292" t="s">
        <v>48</v>
      </c>
      <c r="S2292" t="s">
        <v>6655</v>
      </c>
      <c r="T2292" t="s">
        <v>48</v>
      </c>
      <c r="U2292" t="s">
        <v>6655</v>
      </c>
      <c r="V2292" s="47">
        <v>0</v>
      </c>
      <c r="W2292" t="s">
        <v>48</v>
      </c>
      <c r="X2292" t="s">
        <v>48</v>
      </c>
      <c r="Y2292" t="s">
        <v>48</v>
      </c>
      <c r="Z2292">
        <v>0</v>
      </c>
      <c r="AA2292" t="s">
        <v>48</v>
      </c>
      <c r="AB2292" t="s">
        <v>48</v>
      </c>
      <c r="AC2292" t="s">
        <v>49</v>
      </c>
      <c r="AD2292" t="s">
        <v>93</v>
      </c>
      <c r="AE2292" t="s">
        <v>2471</v>
      </c>
      <c r="AF2292" t="s">
        <v>48</v>
      </c>
      <c r="AG2292" t="s">
        <v>48</v>
      </c>
      <c r="AH2292" t="s">
        <v>48</v>
      </c>
      <c r="AI2292" t="s">
        <v>48</v>
      </c>
      <c r="AJ2292" t="s">
        <v>48</v>
      </c>
      <c r="AK2292" t="s">
        <v>48</v>
      </c>
      <c r="AL2292" t="s">
        <v>48</v>
      </c>
      <c r="AM2292" t="s">
        <v>48</v>
      </c>
      <c r="AN2292" t="s">
        <v>48</v>
      </c>
      <c r="AO2292" t="s">
        <v>48</v>
      </c>
      <c r="AP2292" s="46">
        <v>0</v>
      </c>
      <c r="AQ2292" s="46">
        <v>0</v>
      </c>
      <c r="AR2292" s="46">
        <v>0</v>
      </c>
      <c r="AS2292" s="46">
        <v>0</v>
      </c>
      <c r="AT2292" s="46">
        <v>0</v>
      </c>
      <c r="AU2292" s="46">
        <v>0</v>
      </c>
      <c r="AV2292" s="46">
        <v>0</v>
      </c>
      <c r="AW2292" s="46">
        <v>0</v>
      </c>
      <c r="AX2292" s="46">
        <v>0</v>
      </c>
      <c r="AY2292" s="46">
        <v>0</v>
      </c>
      <c r="AZ2292" s="46">
        <v>0</v>
      </c>
      <c r="BA2292" s="46">
        <v>0</v>
      </c>
      <c r="BB2292" s="46">
        <v>0</v>
      </c>
      <c r="BC2292" s="46">
        <v>0</v>
      </c>
      <c r="BD2292" s="46">
        <v>0</v>
      </c>
      <c r="BE2292" s="46">
        <v>0</v>
      </c>
      <c r="BF2292" s="46">
        <v>0</v>
      </c>
      <c r="BG2292" s="46" t="s">
        <v>48</v>
      </c>
      <c r="BH2292" s="46">
        <v>0</v>
      </c>
      <c r="BI2292" s="46">
        <v>0</v>
      </c>
      <c r="BJ2292" s="46">
        <v>0</v>
      </c>
      <c r="BK2292" s="46">
        <v>0</v>
      </c>
      <c r="BL2292" s="46">
        <v>0</v>
      </c>
      <c r="BM2292" s="46">
        <v>0</v>
      </c>
      <c r="BN2292" s="46">
        <v>0</v>
      </c>
    </row>
    <row r="2293" spans="1:66" x14ac:dyDescent="0.35">
      <c r="A2293" t="s">
        <v>6661</v>
      </c>
      <c r="B2293" t="s">
        <v>48</v>
      </c>
      <c r="C2293" t="s">
        <v>550</v>
      </c>
      <c r="D2293" t="s">
        <v>396</v>
      </c>
      <c r="E2293" t="s">
        <v>6662</v>
      </c>
      <c r="F2293" t="s">
        <v>6653</v>
      </c>
      <c r="G2293" t="s">
        <v>47</v>
      </c>
      <c r="H2293">
        <v>0</v>
      </c>
      <c r="I2293" s="60" t="s">
        <v>51</v>
      </c>
      <c r="J2293" s="33" t="s">
        <v>45</v>
      </c>
      <c r="K2293" s="46">
        <v>0</v>
      </c>
      <c r="L2293">
        <v>4.0999999999999996</v>
      </c>
      <c r="M2293" t="s">
        <v>48</v>
      </c>
      <c r="N2293" s="46">
        <v>0</v>
      </c>
      <c r="O2293" s="46">
        <v>0</v>
      </c>
      <c r="P2293" s="46">
        <v>0</v>
      </c>
      <c r="Q2293" t="s">
        <v>48</v>
      </c>
      <c r="R2293" t="s">
        <v>48</v>
      </c>
      <c r="S2293" t="s">
        <v>48</v>
      </c>
      <c r="T2293" t="s">
        <v>48</v>
      </c>
      <c r="U2293" t="s">
        <v>48</v>
      </c>
      <c r="V2293" s="47">
        <v>0</v>
      </c>
      <c r="W2293" t="s">
        <v>48</v>
      </c>
      <c r="X2293" t="s">
        <v>48</v>
      </c>
      <c r="Y2293" t="s">
        <v>48</v>
      </c>
      <c r="Z2293">
        <v>0</v>
      </c>
      <c r="AA2293" t="s">
        <v>48</v>
      </c>
      <c r="AB2293" t="s">
        <v>48</v>
      </c>
      <c r="AC2293" t="s">
        <v>49</v>
      </c>
      <c r="AD2293" t="s">
        <v>93</v>
      </c>
      <c r="AE2293" s="40" t="s">
        <v>4532</v>
      </c>
      <c r="AF2293" t="s">
        <v>48</v>
      </c>
      <c r="AG2293" t="s">
        <v>48</v>
      </c>
      <c r="AH2293" t="s">
        <v>48</v>
      </c>
      <c r="AI2293" t="s">
        <v>48</v>
      </c>
      <c r="AJ2293" t="s">
        <v>48</v>
      </c>
      <c r="AK2293" t="s">
        <v>48</v>
      </c>
      <c r="AL2293" t="s">
        <v>48</v>
      </c>
      <c r="AM2293" t="s">
        <v>48</v>
      </c>
      <c r="AN2293" t="s">
        <v>48</v>
      </c>
      <c r="AO2293" t="s">
        <v>48</v>
      </c>
      <c r="AP2293" s="46">
        <v>0</v>
      </c>
      <c r="AQ2293" s="46">
        <v>0</v>
      </c>
      <c r="AR2293" s="46">
        <v>0</v>
      </c>
      <c r="AS2293" s="46">
        <v>0</v>
      </c>
      <c r="AT2293" s="46">
        <v>0</v>
      </c>
      <c r="AU2293" s="46">
        <v>0</v>
      </c>
      <c r="AV2293" s="46">
        <v>0</v>
      </c>
      <c r="AW2293" s="46">
        <v>0</v>
      </c>
      <c r="AX2293" s="46">
        <v>0</v>
      </c>
      <c r="AY2293" s="46">
        <v>0</v>
      </c>
      <c r="AZ2293" s="46">
        <v>0</v>
      </c>
      <c r="BA2293" s="46">
        <v>0</v>
      </c>
      <c r="BB2293" s="46">
        <v>0</v>
      </c>
      <c r="BC2293" s="46">
        <v>0</v>
      </c>
      <c r="BD2293" s="46">
        <v>0</v>
      </c>
      <c r="BE2293" s="46">
        <v>0</v>
      </c>
      <c r="BF2293" s="46">
        <v>0</v>
      </c>
      <c r="BG2293" s="46" t="s">
        <v>48</v>
      </c>
      <c r="BH2293" s="46">
        <v>0</v>
      </c>
      <c r="BI2293" s="46">
        <v>0</v>
      </c>
      <c r="BJ2293" s="46">
        <v>0</v>
      </c>
      <c r="BK2293" s="46">
        <v>0</v>
      </c>
      <c r="BL2293" s="46">
        <v>0</v>
      </c>
      <c r="BM2293" s="46">
        <v>0</v>
      </c>
      <c r="BN2293" s="46">
        <v>0</v>
      </c>
    </row>
    <row r="2294" spans="1:66" x14ac:dyDescent="0.35">
      <c r="A2294" t="s">
        <v>6680</v>
      </c>
      <c r="B2294" s="44" t="s">
        <v>48</v>
      </c>
      <c r="C2294" t="s">
        <v>6683</v>
      </c>
      <c r="D2294" t="s">
        <v>4834</v>
      </c>
      <c r="E2294" t="s">
        <v>6681</v>
      </c>
      <c r="F2294" t="s">
        <v>6653</v>
      </c>
      <c r="G2294" t="s">
        <v>74</v>
      </c>
      <c r="H2294">
        <v>0</v>
      </c>
      <c r="I2294" s="60" t="s">
        <v>11160</v>
      </c>
      <c r="J2294" s="33" t="s">
        <v>45</v>
      </c>
      <c r="K2294" s="46">
        <v>0</v>
      </c>
      <c r="L2294">
        <v>27.1</v>
      </c>
      <c r="M2294">
        <v>36.5</v>
      </c>
      <c r="N2294" s="46">
        <v>0</v>
      </c>
      <c r="O2294" s="46">
        <v>0</v>
      </c>
      <c r="P2294" s="46">
        <v>0</v>
      </c>
      <c r="Q2294" t="s">
        <v>48</v>
      </c>
      <c r="R2294" t="s">
        <v>48</v>
      </c>
      <c r="S2294" t="s">
        <v>6682</v>
      </c>
      <c r="T2294" t="s">
        <v>48</v>
      </c>
      <c r="U2294" t="s">
        <v>6682</v>
      </c>
      <c r="V2294" s="47">
        <v>0</v>
      </c>
      <c r="W2294" t="s">
        <v>48</v>
      </c>
      <c r="X2294" t="s">
        <v>48</v>
      </c>
      <c r="Y2294" t="s">
        <v>48</v>
      </c>
      <c r="Z2294">
        <v>0</v>
      </c>
      <c r="AA2294" t="s">
        <v>48</v>
      </c>
      <c r="AB2294" t="s">
        <v>48</v>
      </c>
      <c r="AC2294" t="s">
        <v>49</v>
      </c>
      <c r="AD2294" t="s">
        <v>951</v>
      </c>
      <c r="AE2294" s="40" t="s">
        <v>11051</v>
      </c>
      <c r="AF2294" t="s">
        <v>11054</v>
      </c>
      <c r="AG2294" t="s">
        <v>48</v>
      </c>
      <c r="AH2294" t="s">
        <v>48</v>
      </c>
      <c r="AI2294" t="s">
        <v>48</v>
      </c>
      <c r="AJ2294" t="s">
        <v>48</v>
      </c>
      <c r="AK2294" t="s">
        <v>48</v>
      </c>
      <c r="AL2294" t="s">
        <v>48</v>
      </c>
      <c r="AM2294" t="s">
        <v>48</v>
      </c>
      <c r="AN2294" t="s">
        <v>48</v>
      </c>
      <c r="AO2294" t="s">
        <v>48</v>
      </c>
      <c r="AP2294" s="46">
        <v>0</v>
      </c>
      <c r="AQ2294" s="46">
        <v>0</v>
      </c>
      <c r="AR2294" s="46">
        <v>0</v>
      </c>
      <c r="AS2294" s="46">
        <v>0</v>
      </c>
      <c r="AT2294" s="46">
        <v>0</v>
      </c>
      <c r="AU2294" s="46">
        <v>0</v>
      </c>
      <c r="AV2294" s="46">
        <v>0</v>
      </c>
      <c r="AW2294" s="46">
        <v>0</v>
      </c>
      <c r="AX2294" s="46">
        <v>0</v>
      </c>
      <c r="AY2294" s="46">
        <v>0</v>
      </c>
      <c r="AZ2294" s="46">
        <v>0</v>
      </c>
      <c r="BA2294" s="46">
        <v>0</v>
      </c>
      <c r="BB2294" s="46">
        <v>0</v>
      </c>
      <c r="BC2294" s="46">
        <v>0</v>
      </c>
      <c r="BD2294" s="46">
        <v>0</v>
      </c>
      <c r="BE2294" s="46">
        <v>0</v>
      </c>
      <c r="BF2294" s="46">
        <v>0</v>
      </c>
      <c r="BG2294" s="46" t="s">
        <v>48</v>
      </c>
      <c r="BH2294" s="46">
        <v>0</v>
      </c>
      <c r="BI2294" s="46">
        <v>0</v>
      </c>
      <c r="BJ2294" s="46">
        <v>0</v>
      </c>
      <c r="BK2294" s="46">
        <v>0</v>
      </c>
      <c r="BL2294" s="46">
        <v>0</v>
      </c>
      <c r="BM2294" s="46">
        <v>0</v>
      </c>
      <c r="BN2294" s="46">
        <v>0</v>
      </c>
    </row>
    <row r="2295" spans="1:66" x14ac:dyDescent="0.35">
      <c r="A2295" t="s">
        <v>6668</v>
      </c>
      <c r="B2295" t="s">
        <v>48</v>
      </c>
      <c r="C2295" t="s">
        <v>6670</v>
      </c>
      <c r="D2295" t="s">
        <v>210</v>
      </c>
      <c r="E2295" t="s">
        <v>6669</v>
      </c>
      <c r="F2295" t="s">
        <v>6653</v>
      </c>
      <c r="G2295" t="s">
        <v>47</v>
      </c>
      <c r="H2295">
        <v>0</v>
      </c>
      <c r="I2295" s="60" t="s">
        <v>51</v>
      </c>
      <c r="J2295" s="33" t="s">
        <v>45</v>
      </c>
      <c r="K2295" s="46">
        <v>0</v>
      </c>
      <c r="L2295">
        <v>8.1999999999999993</v>
      </c>
      <c r="M2295" t="s">
        <v>48</v>
      </c>
      <c r="N2295" s="46">
        <v>0</v>
      </c>
      <c r="O2295" s="46">
        <v>0</v>
      </c>
      <c r="P2295" s="46">
        <v>0</v>
      </c>
      <c r="Q2295" t="s">
        <v>48</v>
      </c>
      <c r="R2295" t="s">
        <v>48</v>
      </c>
      <c r="S2295" t="s">
        <v>48</v>
      </c>
      <c r="T2295" t="s">
        <v>48</v>
      </c>
      <c r="U2295" t="s">
        <v>48</v>
      </c>
      <c r="V2295" s="47">
        <v>0</v>
      </c>
      <c r="W2295" t="s">
        <v>48</v>
      </c>
      <c r="X2295" t="s">
        <v>48</v>
      </c>
      <c r="Y2295" t="s">
        <v>48</v>
      </c>
      <c r="Z2295">
        <v>0</v>
      </c>
      <c r="AA2295" t="s">
        <v>48</v>
      </c>
      <c r="AB2295" t="s">
        <v>48</v>
      </c>
      <c r="AC2295" t="s">
        <v>49</v>
      </c>
      <c r="AD2295" t="s">
        <v>93</v>
      </c>
      <c r="AE2295" s="40" t="s">
        <v>4532</v>
      </c>
      <c r="AF2295" t="s">
        <v>48</v>
      </c>
      <c r="AG2295" t="s">
        <v>48</v>
      </c>
      <c r="AH2295" t="s">
        <v>48</v>
      </c>
      <c r="AI2295" t="s">
        <v>48</v>
      </c>
      <c r="AJ2295" t="s">
        <v>48</v>
      </c>
      <c r="AK2295" t="s">
        <v>48</v>
      </c>
      <c r="AL2295" t="s">
        <v>48</v>
      </c>
      <c r="AM2295" t="s">
        <v>48</v>
      </c>
      <c r="AN2295" t="s">
        <v>48</v>
      </c>
      <c r="AO2295" t="s">
        <v>48</v>
      </c>
      <c r="AP2295" s="46">
        <v>0</v>
      </c>
      <c r="AQ2295" s="46">
        <v>0</v>
      </c>
      <c r="AR2295" s="46">
        <v>0</v>
      </c>
      <c r="AS2295" s="46">
        <v>0</v>
      </c>
      <c r="AT2295" s="46">
        <v>0</v>
      </c>
      <c r="AU2295" s="46">
        <v>0</v>
      </c>
      <c r="AV2295" s="46">
        <v>0</v>
      </c>
      <c r="AW2295" s="46">
        <v>0</v>
      </c>
      <c r="AX2295" s="46">
        <v>0</v>
      </c>
      <c r="AY2295" s="46">
        <v>0</v>
      </c>
      <c r="AZ2295" s="46">
        <v>0</v>
      </c>
      <c r="BA2295" s="46">
        <v>0</v>
      </c>
      <c r="BB2295" s="46">
        <v>0</v>
      </c>
      <c r="BC2295" s="46">
        <v>0</v>
      </c>
      <c r="BD2295" s="46">
        <v>0</v>
      </c>
      <c r="BE2295" s="46">
        <v>0</v>
      </c>
      <c r="BF2295" s="46">
        <v>0</v>
      </c>
      <c r="BG2295" s="46" t="s">
        <v>48</v>
      </c>
      <c r="BH2295" s="46">
        <v>0</v>
      </c>
      <c r="BI2295" s="46">
        <v>0</v>
      </c>
      <c r="BJ2295" s="46">
        <v>0</v>
      </c>
      <c r="BK2295" s="46">
        <v>0</v>
      </c>
      <c r="BL2295" s="46">
        <v>0</v>
      </c>
      <c r="BM2295" s="46">
        <v>0</v>
      </c>
      <c r="BN2295" s="46">
        <v>0</v>
      </c>
    </row>
    <row r="2296" spans="1:66" x14ac:dyDescent="0.35">
      <c r="A2296" t="s">
        <v>6676</v>
      </c>
      <c r="B2296" s="44" t="s">
        <v>48</v>
      </c>
      <c r="C2296" t="s">
        <v>6679</v>
      </c>
      <c r="D2296" t="s">
        <v>885</v>
      </c>
      <c r="E2296" t="s">
        <v>6677</v>
      </c>
      <c r="F2296" t="s">
        <v>6653</v>
      </c>
      <c r="G2296" t="s">
        <v>74</v>
      </c>
      <c r="H2296">
        <v>0</v>
      </c>
      <c r="I2296" s="60" t="s">
        <v>51</v>
      </c>
      <c r="J2296" s="33" t="s">
        <v>45</v>
      </c>
      <c r="K2296" s="46">
        <v>0</v>
      </c>
      <c r="L2296">
        <v>5.3</v>
      </c>
      <c r="M2296" t="s">
        <v>48</v>
      </c>
      <c r="N2296" s="46">
        <v>0</v>
      </c>
      <c r="O2296" s="46">
        <v>0</v>
      </c>
      <c r="P2296" s="46">
        <v>0</v>
      </c>
      <c r="Q2296" t="s">
        <v>48</v>
      </c>
      <c r="R2296" t="s">
        <v>48</v>
      </c>
      <c r="S2296" t="s">
        <v>6678</v>
      </c>
      <c r="T2296" t="s">
        <v>48</v>
      </c>
      <c r="U2296" t="s">
        <v>6678</v>
      </c>
      <c r="V2296" s="47">
        <v>0</v>
      </c>
      <c r="W2296" t="s">
        <v>48</v>
      </c>
      <c r="X2296" t="s">
        <v>48</v>
      </c>
      <c r="Y2296" t="s">
        <v>48</v>
      </c>
      <c r="Z2296">
        <v>0</v>
      </c>
      <c r="AA2296" t="s">
        <v>48</v>
      </c>
      <c r="AB2296" t="s">
        <v>48</v>
      </c>
      <c r="AC2296" t="s">
        <v>49</v>
      </c>
      <c r="AD2296" t="s">
        <v>93</v>
      </c>
      <c r="AE2296" s="40" t="s">
        <v>4532</v>
      </c>
      <c r="AF2296" t="s">
        <v>48</v>
      </c>
      <c r="AG2296" t="s">
        <v>48</v>
      </c>
      <c r="AH2296" t="s">
        <v>48</v>
      </c>
      <c r="AI2296" t="s">
        <v>48</v>
      </c>
      <c r="AJ2296" t="s">
        <v>48</v>
      </c>
      <c r="AK2296" t="s">
        <v>48</v>
      </c>
      <c r="AL2296" t="s">
        <v>48</v>
      </c>
      <c r="AM2296" t="s">
        <v>48</v>
      </c>
      <c r="AN2296" t="s">
        <v>48</v>
      </c>
      <c r="AO2296" t="s">
        <v>48</v>
      </c>
      <c r="AP2296" s="46">
        <v>0</v>
      </c>
      <c r="AQ2296" s="46">
        <v>0</v>
      </c>
      <c r="AR2296" s="46">
        <v>0</v>
      </c>
      <c r="AS2296" s="46">
        <v>0</v>
      </c>
      <c r="AT2296" s="46">
        <v>0</v>
      </c>
      <c r="AU2296" s="46">
        <v>0</v>
      </c>
      <c r="AV2296" s="46">
        <v>0</v>
      </c>
      <c r="AW2296" s="46">
        <v>0</v>
      </c>
      <c r="AX2296" s="46">
        <v>0</v>
      </c>
      <c r="AY2296" s="46">
        <v>0</v>
      </c>
      <c r="AZ2296" s="46">
        <v>0</v>
      </c>
      <c r="BA2296" s="46">
        <v>0</v>
      </c>
      <c r="BB2296" s="46">
        <v>0</v>
      </c>
      <c r="BC2296" s="46">
        <v>0</v>
      </c>
      <c r="BD2296" s="46">
        <v>0</v>
      </c>
      <c r="BE2296" s="46">
        <v>0</v>
      </c>
      <c r="BF2296" s="46">
        <v>0</v>
      </c>
      <c r="BG2296" s="46" t="s">
        <v>48</v>
      </c>
      <c r="BH2296" s="46">
        <v>0</v>
      </c>
      <c r="BI2296" s="46">
        <v>0</v>
      </c>
      <c r="BJ2296" s="46">
        <v>0</v>
      </c>
      <c r="BK2296" s="46">
        <v>0</v>
      </c>
      <c r="BL2296" s="46">
        <v>0</v>
      </c>
      <c r="BM2296" s="46">
        <v>0</v>
      </c>
      <c r="BN2296" s="46">
        <v>0</v>
      </c>
    </row>
    <row r="2297" spans="1:66" x14ac:dyDescent="0.35">
      <c r="A2297" t="s">
        <v>6700</v>
      </c>
      <c r="B2297" t="s">
        <v>48</v>
      </c>
      <c r="C2297" t="s">
        <v>6703</v>
      </c>
      <c r="D2297" t="s">
        <v>1726</v>
      </c>
      <c r="E2297" t="s">
        <v>6701</v>
      </c>
      <c r="F2297" t="s">
        <v>6692</v>
      </c>
      <c r="G2297" t="s">
        <v>47</v>
      </c>
      <c r="H2297">
        <v>0</v>
      </c>
      <c r="I2297" s="60" t="s">
        <v>149</v>
      </c>
      <c r="J2297" s="33" t="s">
        <v>45</v>
      </c>
      <c r="K2297" s="46">
        <v>0</v>
      </c>
      <c r="L2297">
        <v>10.8</v>
      </c>
      <c r="M2297" t="s">
        <v>48</v>
      </c>
      <c r="N2297" s="46">
        <v>0</v>
      </c>
      <c r="O2297" s="46">
        <v>0</v>
      </c>
      <c r="P2297" s="46">
        <v>0</v>
      </c>
      <c r="Q2297" t="s">
        <v>48</v>
      </c>
      <c r="R2297" t="s">
        <v>48</v>
      </c>
      <c r="S2297" t="s">
        <v>6702</v>
      </c>
      <c r="T2297" t="s">
        <v>48</v>
      </c>
      <c r="U2297" t="s">
        <v>6702</v>
      </c>
      <c r="V2297" s="47">
        <v>0</v>
      </c>
      <c r="W2297" t="s">
        <v>48</v>
      </c>
      <c r="X2297" t="s">
        <v>48</v>
      </c>
      <c r="Y2297" t="s">
        <v>48</v>
      </c>
      <c r="Z2297">
        <v>0</v>
      </c>
      <c r="AA2297" t="s">
        <v>48</v>
      </c>
      <c r="AB2297" t="s">
        <v>48</v>
      </c>
      <c r="AC2297" t="s">
        <v>49</v>
      </c>
      <c r="AD2297" t="s">
        <v>93</v>
      </c>
      <c r="AE2297" t="s">
        <v>4532</v>
      </c>
      <c r="AF2297" t="s">
        <v>48</v>
      </c>
      <c r="AG2297" t="s">
        <v>48</v>
      </c>
      <c r="AH2297" t="s">
        <v>48</v>
      </c>
      <c r="AI2297" t="s">
        <v>48</v>
      </c>
      <c r="AJ2297" t="s">
        <v>48</v>
      </c>
      <c r="AK2297" t="s">
        <v>48</v>
      </c>
      <c r="AL2297" t="s">
        <v>48</v>
      </c>
      <c r="AM2297" t="s">
        <v>48</v>
      </c>
      <c r="AN2297" t="s">
        <v>48</v>
      </c>
      <c r="AO2297" t="s">
        <v>48</v>
      </c>
      <c r="AP2297" s="46">
        <v>0</v>
      </c>
      <c r="AQ2297" s="46">
        <v>0</v>
      </c>
      <c r="AR2297" s="46">
        <v>0</v>
      </c>
      <c r="AS2297" s="46">
        <v>0</v>
      </c>
      <c r="AT2297" s="46">
        <v>0</v>
      </c>
      <c r="AU2297" s="46">
        <v>0</v>
      </c>
      <c r="AV2297" s="46">
        <v>0</v>
      </c>
      <c r="AW2297" s="46">
        <v>0</v>
      </c>
      <c r="AX2297" s="46">
        <v>0</v>
      </c>
      <c r="AY2297" s="46">
        <v>0</v>
      </c>
      <c r="AZ2297" s="46">
        <v>0</v>
      </c>
      <c r="BA2297" s="46">
        <v>0</v>
      </c>
      <c r="BB2297" s="46">
        <v>0</v>
      </c>
      <c r="BC2297" s="46">
        <v>0</v>
      </c>
      <c r="BD2297" s="46">
        <v>0</v>
      </c>
      <c r="BE2297" s="46">
        <v>0</v>
      </c>
      <c r="BF2297" s="46">
        <v>0</v>
      </c>
      <c r="BG2297" s="46" t="s">
        <v>48</v>
      </c>
      <c r="BH2297" s="46">
        <v>0</v>
      </c>
      <c r="BI2297" s="46">
        <v>0</v>
      </c>
      <c r="BJ2297" s="46">
        <v>0</v>
      </c>
      <c r="BK2297" s="46">
        <v>0</v>
      </c>
      <c r="BL2297" s="46">
        <v>0</v>
      </c>
      <c r="BM2297" s="46">
        <v>0</v>
      </c>
      <c r="BN2297" s="46">
        <v>0</v>
      </c>
    </row>
    <row r="2298" spans="1:66" x14ac:dyDescent="0.35">
      <c r="A2298" t="s">
        <v>6719</v>
      </c>
      <c r="B2298" t="s">
        <v>48</v>
      </c>
      <c r="C2298" t="s">
        <v>12330</v>
      </c>
      <c r="D2298" t="s">
        <v>6722</v>
      </c>
      <c r="E2298" t="s">
        <v>6720</v>
      </c>
      <c r="F2298" t="s">
        <v>6706</v>
      </c>
      <c r="G2298" t="s">
        <v>47</v>
      </c>
      <c r="H2298">
        <v>0</v>
      </c>
      <c r="I2298" s="60" t="s">
        <v>149</v>
      </c>
      <c r="J2298" s="33" t="s">
        <v>45</v>
      </c>
      <c r="K2298" s="46">
        <v>0</v>
      </c>
      <c r="L2298">
        <v>6.8</v>
      </c>
      <c r="M2298" t="s">
        <v>48</v>
      </c>
      <c r="N2298" s="46">
        <v>0</v>
      </c>
      <c r="O2298" s="46">
        <v>0</v>
      </c>
      <c r="P2298" s="46">
        <v>0</v>
      </c>
      <c r="Q2298" t="s">
        <v>48</v>
      </c>
      <c r="R2298" t="s">
        <v>48</v>
      </c>
      <c r="S2298" t="s">
        <v>6721</v>
      </c>
      <c r="T2298" t="s">
        <v>48</v>
      </c>
      <c r="U2298" t="s">
        <v>6721</v>
      </c>
      <c r="V2298" s="47">
        <v>0</v>
      </c>
      <c r="W2298" t="s">
        <v>48</v>
      </c>
      <c r="X2298" t="s">
        <v>48</v>
      </c>
      <c r="Y2298" t="s">
        <v>48</v>
      </c>
      <c r="Z2298">
        <v>0</v>
      </c>
      <c r="AA2298" t="s">
        <v>48</v>
      </c>
      <c r="AB2298" t="s">
        <v>48</v>
      </c>
      <c r="AC2298" t="s">
        <v>63</v>
      </c>
      <c r="AD2298" t="s">
        <v>951</v>
      </c>
      <c r="AE2298" s="40" t="s">
        <v>11051</v>
      </c>
      <c r="AF2298" t="s">
        <v>48</v>
      </c>
      <c r="AG2298" t="s">
        <v>633</v>
      </c>
      <c r="AH2298" t="s">
        <v>48</v>
      </c>
      <c r="AI2298" t="s">
        <v>48</v>
      </c>
      <c r="AJ2298" t="s">
        <v>48</v>
      </c>
      <c r="AK2298" t="s">
        <v>48</v>
      </c>
      <c r="AL2298" t="s">
        <v>48</v>
      </c>
      <c r="AM2298" t="s">
        <v>48</v>
      </c>
      <c r="AN2298" t="s">
        <v>48</v>
      </c>
      <c r="AO2298" t="s">
        <v>48</v>
      </c>
      <c r="AP2298" s="46">
        <v>0</v>
      </c>
      <c r="AQ2298" s="46">
        <v>0</v>
      </c>
      <c r="AR2298" s="46">
        <v>0</v>
      </c>
      <c r="AS2298" s="46">
        <v>0</v>
      </c>
      <c r="AT2298" s="46">
        <v>0</v>
      </c>
      <c r="AU2298" s="46">
        <v>0</v>
      </c>
      <c r="AV2298" s="46">
        <v>0</v>
      </c>
      <c r="AW2298" s="46">
        <v>0</v>
      </c>
      <c r="AX2298" s="46">
        <v>0</v>
      </c>
      <c r="AY2298" s="46">
        <v>0</v>
      </c>
      <c r="AZ2298" s="46">
        <v>0</v>
      </c>
      <c r="BA2298" s="46">
        <v>0</v>
      </c>
      <c r="BB2298" s="46">
        <v>0</v>
      </c>
      <c r="BC2298" s="46">
        <v>0</v>
      </c>
      <c r="BD2298" s="46">
        <v>0</v>
      </c>
      <c r="BE2298" s="46">
        <v>0</v>
      </c>
      <c r="BF2298" s="46">
        <v>0</v>
      </c>
      <c r="BG2298" s="46" t="s">
        <v>48</v>
      </c>
      <c r="BH2298" s="46">
        <v>0</v>
      </c>
      <c r="BI2298" s="46">
        <v>0</v>
      </c>
      <c r="BJ2298" s="46">
        <v>0</v>
      </c>
      <c r="BK2298" s="46">
        <v>0</v>
      </c>
      <c r="BL2298" s="46">
        <v>0</v>
      </c>
      <c r="BM2298" s="46">
        <v>0</v>
      </c>
      <c r="BN2298" s="46">
        <v>0</v>
      </c>
    </row>
    <row r="2299" spans="1:66" x14ac:dyDescent="0.35">
      <c r="A2299" t="s">
        <v>6705</v>
      </c>
      <c r="B2299" t="s">
        <v>48</v>
      </c>
      <c r="C2299" t="s">
        <v>12329</v>
      </c>
      <c r="D2299" t="s">
        <v>4538</v>
      </c>
      <c r="E2299" t="s">
        <v>6707</v>
      </c>
      <c r="F2299" t="s">
        <v>6706</v>
      </c>
      <c r="G2299" t="s">
        <v>47</v>
      </c>
      <c r="H2299">
        <v>0</v>
      </c>
      <c r="I2299" s="60" t="s">
        <v>177</v>
      </c>
      <c r="J2299" s="33" t="s">
        <v>45</v>
      </c>
      <c r="K2299" s="46">
        <v>0</v>
      </c>
      <c r="L2299">
        <v>15.3</v>
      </c>
      <c r="M2299" t="s">
        <v>48</v>
      </c>
      <c r="N2299" s="46">
        <v>0</v>
      </c>
      <c r="O2299" s="46">
        <v>0</v>
      </c>
      <c r="P2299" s="46">
        <v>0</v>
      </c>
      <c r="Q2299" t="s">
        <v>48</v>
      </c>
      <c r="R2299" t="s">
        <v>48</v>
      </c>
      <c r="S2299" t="s">
        <v>48</v>
      </c>
      <c r="T2299" t="s">
        <v>48</v>
      </c>
      <c r="U2299" t="s">
        <v>48</v>
      </c>
      <c r="V2299" s="47">
        <v>0</v>
      </c>
      <c r="W2299" t="s">
        <v>48</v>
      </c>
      <c r="X2299" t="s">
        <v>48</v>
      </c>
      <c r="Y2299" t="s">
        <v>48</v>
      </c>
      <c r="Z2299">
        <v>0</v>
      </c>
      <c r="AA2299" t="s">
        <v>48</v>
      </c>
      <c r="AB2299" t="s">
        <v>48</v>
      </c>
      <c r="AC2299" t="s">
        <v>63</v>
      </c>
      <c r="AD2299" t="s">
        <v>951</v>
      </c>
      <c r="AE2299" s="40" t="s">
        <v>11051</v>
      </c>
      <c r="AF2299" t="s">
        <v>108</v>
      </c>
      <c r="AG2299" t="s">
        <v>48</v>
      </c>
      <c r="AH2299" t="s">
        <v>48</v>
      </c>
      <c r="AI2299" t="s">
        <v>48</v>
      </c>
      <c r="AJ2299" t="s">
        <v>48</v>
      </c>
      <c r="AK2299" t="s">
        <v>48</v>
      </c>
      <c r="AL2299" t="s">
        <v>48</v>
      </c>
      <c r="AM2299" t="s">
        <v>48</v>
      </c>
      <c r="AN2299" t="s">
        <v>48</v>
      </c>
      <c r="AO2299" t="s">
        <v>48</v>
      </c>
      <c r="AP2299" s="46">
        <v>0</v>
      </c>
      <c r="AQ2299" s="46">
        <v>0</v>
      </c>
      <c r="AR2299" s="46">
        <v>0</v>
      </c>
      <c r="AS2299" s="46">
        <v>0</v>
      </c>
      <c r="AT2299" s="46">
        <v>0</v>
      </c>
      <c r="AU2299" s="46">
        <v>0</v>
      </c>
      <c r="AV2299" s="46">
        <v>0</v>
      </c>
      <c r="AW2299" s="46">
        <v>0</v>
      </c>
      <c r="AX2299" s="46">
        <v>0</v>
      </c>
      <c r="AY2299" s="46">
        <v>0</v>
      </c>
      <c r="AZ2299" s="46">
        <v>0</v>
      </c>
      <c r="BA2299" s="46">
        <v>0</v>
      </c>
      <c r="BB2299" s="46">
        <v>0</v>
      </c>
      <c r="BC2299" s="46">
        <v>0</v>
      </c>
      <c r="BD2299" s="46">
        <v>0</v>
      </c>
      <c r="BE2299" s="46">
        <v>0</v>
      </c>
      <c r="BF2299" s="46">
        <v>0</v>
      </c>
      <c r="BG2299" s="46" t="s">
        <v>48</v>
      </c>
      <c r="BH2299" s="46">
        <v>0</v>
      </c>
      <c r="BI2299" s="46">
        <v>0</v>
      </c>
      <c r="BJ2299" s="46">
        <v>0</v>
      </c>
      <c r="BK2299" s="46">
        <v>0</v>
      </c>
      <c r="BL2299" s="46">
        <v>0</v>
      </c>
      <c r="BM2299" s="46">
        <v>0</v>
      </c>
      <c r="BN2299" s="46">
        <v>0</v>
      </c>
    </row>
    <row r="2300" spans="1:66" x14ac:dyDescent="0.35">
      <c r="A2300" t="s">
        <v>6708</v>
      </c>
      <c r="B2300" s="44" t="s">
        <v>48</v>
      </c>
      <c r="C2300" t="s">
        <v>3722</v>
      </c>
      <c r="D2300" t="s">
        <v>6710</v>
      </c>
      <c r="E2300" t="s">
        <v>6709</v>
      </c>
      <c r="F2300" t="s">
        <v>6706</v>
      </c>
      <c r="G2300" t="s">
        <v>74</v>
      </c>
      <c r="H2300">
        <v>0</v>
      </c>
      <c r="I2300" s="60" t="s">
        <v>149</v>
      </c>
      <c r="J2300" s="33" t="s">
        <v>45</v>
      </c>
      <c r="K2300" s="46">
        <v>0</v>
      </c>
      <c r="L2300">
        <v>43.9</v>
      </c>
      <c r="M2300" t="s">
        <v>48</v>
      </c>
      <c r="N2300" s="46">
        <v>0</v>
      </c>
      <c r="O2300" s="46">
        <v>0</v>
      </c>
      <c r="P2300" s="46">
        <v>0</v>
      </c>
      <c r="Q2300" t="s">
        <v>48</v>
      </c>
      <c r="R2300" t="s">
        <v>48</v>
      </c>
      <c r="S2300" t="s">
        <v>48</v>
      </c>
      <c r="T2300" t="s">
        <v>48</v>
      </c>
      <c r="U2300" t="s">
        <v>48</v>
      </c>
      <c r="V2300" s="47">
        <v>1</v>
      </c>
      <c r="W2300" t="s">
        <v>11264</v>
      </c>
      <c r="X2300" t="s">
        <v>48</v>
      </c>
      <c r="Y2300" t="s">
        <v>48</v>
      </c>
      <c r="Z2300">
        <v>0</v>
      </c>
      <c r="AA2300" t="s">
        <v>48</v>
      </c>
      <c r="AB2300" t="s">
        <v>48</v>
      </c>
      <c r="AC2300" t="s">
        <v>63</v>
      </c>
      <c r="AD2300" t="s">
        <v>48</v>
      </c>
      <c r="AE2300" s="40" t="s">
        <v>48</v>
      </c>
      <c r="AF2300" t="s">
        <v>48</v>
      </c>
      <c r="AG2300" t="s">
        <v>48</v>
      </c>
      <c r="AH2300" t="s">
        <v>48</v>
      </c>
      <c r="AI2300" t="s">
        <v>48</v>
      </c>
      <c r="AJ2300" t="s">
        <v>48</v>
      </c>
      <c r="AK2300" t="s">
        <v>48</v>
      </c>
      <c r="AL2300" t="s">
        <v>48</v>
      </c>
      <c r="AM2300" t="s">
        <v>48</v>
      </c>
      <c r="AN2300" t="s">
        <v>48</v>
      </c>
      <c r="AO2300" t="s">
        <v>48</v>
      </c>
      <c r="AP2300" s="46">
        <v>0</v>
      </c>
      <c r="AQ2300" s="46">
        <v>0</v>
      </c>
      <c r="AR2300" s="46">
        <v>0</v>
      </c>
      <c r="AS2300" s="46">
        <v>0</v>
      </c>
      <c r="AT2300" s="46">
        <v>0</v>
      </c>
      <c r="AU2300" s="46">
        <v>0</v>
      </c>
      <c r="AV2300" s="46">
        <v>0</v>
      </c>
      <c r="AW2300" s="46">
        <v>0</v>
      </c>
      <c r="AX2300" s="46">
        <v>0</v>
      </c>
      <c r="AY2300" s="46">
        <v>0</v>
      </c>
      <c r="AZ2300" s="46">
        <v>0</v>
      </c>
      <c r="BA2300" s="46">
        <v>0</v>
      </c>
      <c r="BB2300" s="46">
        <v>0</v>
      </c>
      <c r="BC2300" s="46">
        <v>0</v>
      </c>
      <c r="BD2300" s="46">
        <v>0</v>
      </c>
      <c r="BE2300" s="46">
        <v>0</v>
      </c>
      <c r="BF2300" s="46">
        <v>0</v>
      </c>
      <c r="BG2300" s="46" t="s">
        <v>48</v>
      </c>
      <c r="BH2300" s="46">
        <v>0</v>
      </c>
      <c r="BI2300" s="46">
        <v>0</v>
      </c>
      <c r="BJ2300" s="46">
        <v>0</v>
      </c>
      <c r="BK2300" s="46">
        <v>0</v>
      </c>
      <c r="BL2300" s="46">
        <v>0</v>
      </c>
      <c r="BM2300" s="46">
        <v>0</v>
      </c>
      <c r="BN2300" s="46">
        <v>0</v>
      </c>
    </row>
    <row r="2301" spans="1:66" x14ac:dyDescent="0.35">
      <c r="A2301" t="s">
        <v>6728</v>
      </c>
      <c r="B2301" s="44" t="s">
        <v>48</v>
      </c>
      <c r="C2301" t="s">
        <v>426</v>
      </c>
      <c r="D2301" t="s">
        <v>6731</v>
      </c>
      <c r="E2301" t="s">
        <v>6729</v>
      </c>
      <c r="F2301" t="s">
        <v>6723</v>
      </c>
      <c r="G2301" t="s">
        <v>74</v>
      </c>
      <c r="H2301">
        <v>0</v>
      </c>
      <c r="I2301" s="60" t="s">
        <v>51</v>
      </c>
      <c r="J2301" s="33" t="s">
        <v>45</v>
      </c>
      <c r="K2301" s="46">
        <v>0</v>
      </c>
      <c r="L2301">
        <v>32.6</v>
      </c>
      <c r="M2301">
        <v>48.8</v>
      </c>
      <c r="N2301" s="46">
        <v>0</v>
      </c>
      <c r="O2301" s="46">
        <v>0</v>
      </c>
      <c r="P2301" s="46">
        <v>0</v>
      </c>
      <c r="Q2301" t="s">
        <v>48</v>
      </c>
      <c r="R2301" t="s">
        <v>48</v>
      </c>
      <c r="S2301" t="s">
        <v>6730</v>
      </c>
      <c r="T2301" t="s">
        <v>48</v>
      </c>
      <c r="U2301" t="s">
        <v>6730</v>
      </c>
      <c r="V2301" s="47">
        <v>0</v>
      </c>
      <c r="W2301" t="s">
        <v>48</v>
      </c>
      <c r="X2301" t="s">
        <v>48</v>
      </c>
      <c r="Y2301" t="s">
        <v>48</v>
      </c>
      <c r="Z2301">
        <v>0</v>
      </c>
      <c r="AA2301" t="s">
        <v>48</v>
      </c>
      <c r="AB2301" t="s">
        <v>48</v>
      </c>
      <c r="AC2301" t="s">
        <v>49</v>
      </c>
      <c r="AD2301" t="s">
        <v>93</v>
      </c>
      <c r="AE2301" s="40" t="s">
        <v>4532</v>
      </c>
      <c r="AF2301" t="s">
        <v>48</v>
      </c>
      <c r="AG2301" t="s">
        <v>48</v>
      </c>
      <c r="AH2301" t="s">
        <v>93</v>
      </c>
      <c r="AI2301" t="s">
        <v>48</v>
      </c>
      <c r="AJ2301" t="s">
        <v>48</v>
      </c>
      <c r="AK2301" t="s">
        <v>48</v>
      </c>
      <c r="AL2301" t="s">
        <v>48</v>
      </c>
      <c r="AM2301" t="s">
        <v>48</v>
      </c>
      <c r="AN2301" t="s">
        <v>48</v>
      </c>
      <c r="AO2301" t="s">
        <v>48</v>
      </c>
      <c r="AP2301" s="46">
        <v>0</v>
      </c>
      <c r="AQ2301" s="46">
        <v>0</v>
      </c>
      <c r="AR2301" s="46">
        <v>0</v>
      </c>
      <c r="AS2301" s="46">
        <v>0</v>
      </c>
      <c r="AT2301" s="46">
        <v>0</v>
      </c>
      <c r="AU2301" s="46">
        <v>0</v>
      </c>
      <c r="AV2301" s="46">
        <v>0</v>
      </c>
      <c r="AW2301" s="46">
        <v>0</v>
      </c>
      <c r="AX2301" s="46">
        <v>0</v>
      </c>
      <c r="AY2301" s="46">
        <v>0</v>
      </c>
      <c r="AZ2301" s="46">
        <v>0</v>
      </c>
      <c r="BA2301" s="46">
        <v>0</v>
      </c>
      <c r="BB2301" s="46">
        <v>0</v>
      </c>
      <c r="BC2301" s="46">
        <v>0</v>
      </c>
      <c r="BD2301" s="46">
        <v>0</v>
      </c>
      <c r="BE2301" s="46">
        <v>0</v>
      </c>
      <c r="BF2301" s="46">
        <v>0</v>
      </c>
      <c r="BG2301" s="46" t="s">
        <v>48</v>
      </c>
      <c r="BH2301" s="46">
        <v>0</v>
      </c>
      <c r="BI2301" s="46">
        <v>0</v>
      </c>
      <c r="BJ2301" s="46">
        <v>0</v>
      </c>
      <c r="BK2301" s="46">
        <v>0</v>
      </c>
      <c r="BL2301" s="46">
        <v>0</v>
      </c>
      <c r="BM2301" s="46">
        <v>0</v>
      </c>
      <c r="BN2301" s="46">
        <v>0</v>
      </c>
    </row>
    <row r="2302" spans="1:66" x14ac:dyDescent="0.35">
      <c r="A2302" t="s">
        <v>6724</v>
      </c>
      <c r="B2302" s="44" t="s">
        <v>48</v>
      </c>
      <c r="C2302" t="s">
        <v>6727</v>
      </c>
      <c r="D2302" t="s">
        <v>456</v>
      </c>
      <c r="E2302" t="s">
        <v>6725</v>
      </c>
      <c r="F2302" t="s">
        <v>6723</v>
      </c>
      <c r="G2302" t="s">
        <v>74</v>
      </c>
      <c r="H2302">
        <v>0</v>
      </c>
      <c r="I2302" s="60" t="s">
        <v>149</v>
      </c>
      <c r="J2302" s="33" t="s">
        <v>45</v>
      </c>
      <c r="K2302" s="46">
        <v>0</v>
      </c>
      <c r="L2302">
        <v>28</v>
      </c>
      <c r="M2302" t="s">
        <v>48</v>
      </c>
      <c r="N2302" s="46">
        <v>0</v>
      </c>
      <c r="O2302" s="46">
        <v>0</v>
      </c>
      <c r="P2302" s="46">
        <v>0</v>
      </c>
      <c r="Q2302" t="s">
        <v>48</v>
      </c>
      <c r="R2302" t="s">
        <v>48</v>
      </c>
      <c r="S2302" t="s">
        <v>6726</v>
      </c>
      <c r="T2302" t="s">
        <v>48</v>
      </c>
      <c r="U2302" t="s">
        <v>6726</v>
      </c>
      <c r="V2302" s="47">
        <v>0</v>
      </c>
      <c r="W2302" t="s">
        <v>48</v>
      </c>
      <c r="X2302" t="s">
        <v>48</v>
      </c>
      <c r="Y2302" t="s">
        <v>48</v>
      </c>
      <c r="Z2302">
        <v>0</v>
      </c>
      <c r="AA2302" t="s">
        <v>48</v>
      </c>
      <c r="AB2302" t="s">
        <v>48</v>
      </c>
      <c r="AC2302" t="s">
        <v>63</v>
      </c>
      <c r="AD2302" t="s">
        <v>93</v>
      </c>
      <c r="AE2302" t="s">
        <v>4532</v>
      </c>
      <c r="AF2302" t="s">
        <v>48</v>
      </c>
      <c r="AG2302" t="s">
        <v>48</v>
      </c>
      <c r="AH2302" t="s">
        <v>48</v>
      </c>
      <c r="AI2302" t="s">
        <v>48</v>
      </c>
      <c r="AJ2302" t="s">
        <v>48</v>
      </c>
      <c r="AK2302" t="s">
        <v>48</v>
      </c>
      <c r="AL2302" t="s">
        <v>48</v>
      </c>
      <c r="AM2302" t="s">
        <v>48</v>
      </c>
      <c r="AN2302" t="s">
        <v>48</v>
      </c>
      <c r="AO2302" t="s">
        <v>48</v>
      </c>
      <c r="AP2302" s="46">
        <v>0</v>
      </c>
      <c r="AQ2302" s="46">
        <v>0</v>
      </c>
      <c r="AR2302" s="46">
        <v>0</v>
      </c>
      <c r="AS2302" s="46">
        <v>0</v>
      </c>
      <c r="AT2302" s="46">
        <v>0</v>
      </c>
      <c r="AU2302" s="46">
        <v>0</v>
      </c>
      <c r="AV2302" s="46">
        <v>0</v>
      </c>
      <c r="AW2302" s="46">
        <v>0</v>
      </c>
      <c r="AX2302" s="46">
        <v>0</v>
      </c>
      <c r="AY2302" s="46">
        <v>0</v>
      </c>
      <c r="AZ2302" s="46">
        <v>0</v>
      </c>
      <c r="BA2302" s="46">
        <v>0</v>
      </c>
      <c r="BB2302" s="46">
        <v>0</v>
      </c>
      <c r="BC2302" s="46">
        <v>0</v>
      </c>
      <c r="BD2302" s="46">
        <v>0</v>
      </c>
      <c r="BE2302" s="46">
        <v>0</v>
      </c>
      <c r="BF2302" s="46">
        <v>0</v>
      </c>
      <c r="BG2302" s="46" t="s">
        <v>48</v>
      </c>
      <c r="BH2302" s="46">
        <v>0</v>
      </c>
      <c r="BI2302" s="46">
        <v>0</v>
      </c>
      <c r="BJ2302" s="46">
        <v>0</v>
      </c>
      <c r="BK2302" s="46">
        <v>0</v>
      </c>
      <c r="BL2302" s="46">
        <v>0</v>
      </c>
      <c r="BM2302" s="46">
        <v>0</v>
      </c>
      <c r="BN2302" s="46">
        <v>0</v>
      </c>
    </row>
    <row r="2303" spans="1:66" x14ac:dyDescent="0.35">
      <c r="A2303" t="s">
        <v>6738</v>
      </c>
      <c r="B2303" t="s">
        <v>48</v>
      </c>
      <c r="C2303" t="s">
        <v>6740</v>
      </c>
      <c r="D2303" t="s">
        <v>5687</v>
      </c>
      <c r="E2303" t="s">
        <v>6739</v>
      </c>
      <c r="F2303" t="s">
        <v>6723</v>
      </c>
      <c r="G2303" t="s">
        <v>47</v>
      </c>
      <c r="H2303">
        <v>0</v>
      </c>
      <c r="I2303" s="60" t="s">
        <v>149</v>
      </c>
      <c r="J2303" s="33" t="s">
        <v>45</v>
      </c>
      <c r="K2303" s="46">
        <v>0</v>
      </c>
      <c r="L2303">
        <v>15</v>
      </c>
      <c r="M2303" t="s">
        <v>48</v>
      </c>
      <c r="N2303" s="46">
        <v>0</v>
      </c>
      <c r="O2303" s="46">
        <v>0</v>
      </c>
      <c r="P2303" s="46">
        <v>0</v>
      </c>
      <c r="Q2303" t="s">
        <v>48</v>
      </c>
      <c r="R2303" t="s">
        <v>48</v>
      </c>
      <c r="S2303" t="s">
        <v>48</v>
      </c>
      <c r="T2303" t="s">
        <v>48</v>
      </c>
      <c r="U2303" t="s">
        <v>48</v>
      </c>
      <c r="V2303" s="47">
        <v>0</v>
      </c>
      <c r="W2303" t="s">
        <v>48</v>
      </c>
      <c r="X2303" t="s">
        <v>48</v>
      </c>
      <c r="Y2303" t="s">
        <v>48</v>
      </c>
      <c r="Z2303">
        <v>0</v>
      </c>
      <c r="AA2303" t="s">
        <v>48</v>
      </c>
      <c r="AB2303" t="s">
        <v>48</v>
      </c>
      <c r="AC2303" t="s">
        <v>49</v>
      </c>
      <c r="AD2303" t="s">
        <v>48</v>
      </c>
      <c r="AE2303" t="s">
        <v>48</v>
      </c>
      <c r="AF2303" t="s">
        <v>48</v>
      </c>
      <c r="AG2303" t="s">
        <v>48</v>
      </c>
      <c r="AH2303" t="s">
        <v>48</v>
      </c>
      <c r="AI2303" t="s">
        <v>48</v>
      </c>
      <c r="AJ2303" t="s">
        <v>48</v>
      </c>
      <c r="AK2303" t="s">
        <v>48</v>
      </c>
      <c r="AL2303" t="s">
        <v>48</v>
      </c>
      <c r="AM2303" t="s">
        <v>48</v>
      </c>
      <c r="AN2303" t="s">
        <v>48</v>
      </c>
      <c r="AO2303" t="s">
        <v>48</v>
      </c>
      <c r="AP2303" s="46">
        <v>0</v>
      </c>
      <c r="AQ2303" s="46">
        <v>0</v>
      </c>
      <c r="AR2303" s="46">
        <v>0</v>
      </c>
      <c r="AS2303" s="46">
        <v>0</v>
      </c>
      <c r="AT2303" s="46">
        <v>0</v>
      </c>
      <c r="AU2303" s="46">
        <v>0</v>
      </c>
      <c r="AV2303" s="46">
        <v>0</v>
      </c>
      <c r="AW2303" s="46">
        <v>0</v>
      </c>
      <c r="AX2303" s="46">
        <v>0</v>
      </c>
      <c r="AY2303" s="46">
        <v>0</v>
      </c>
      <c r="AZ2303" s="46">
        <v>0</v>
      </c>
      <c r="BA2303" s="46">
        <v>0</v>
      </c>
      <c r="BB2303" s="46">
        <v>0</v>
      </c>
      <c r="BC2303" s="46">
        <v>0</v>
      </c>
      <c r="BD2303" s="46">
        <v>0</v>
      </c>
      <c r="BE2303" s="46">
        <v>0</v>
      </c>
      <c r="BF2303" s="46">
        <v>0</v>
      </c>
      <c r="BG2303" s="46" t="s">
        <v>48</v>
      </c>
      <c r="BH2303" s="46">
        <v>0</v>
      </c>
      <c r="BI2303" s="46">
        <v>0</v>
      </c>
      <c r="BJ2303" s="46">
        <v>0</v>
      </c>
      <c r="BK2303" s="46">
        <v>0</v>
      </c>
      <c r="BL2303" s="46">
        <v>0</v>
      </c>
      <c r="BM2303" s="46">
        <v>0</v>
      </c>
      <c r="BN2303" s="46">
        <v>0</v>
      </c>
    </row>
    <row r="2304" spans="1:66" x14ac:dyDescent="0.35">
      <c r="A2304" t="s">
        <v>6747</v>
      </c>
      <c r="B2304" t="s">
        <v>48</v>
      </c>
      <c r="C2304" t="s">
        <v>6751</v>
      </c>
      <c r="D2304" t="s">
        <v>195</v>
      </c>
      <c r="E2304" t="s">
        <v>6749</v>
      </c>
      <c r="F2304" t="s">
        <v>6748</v>
      </c>
      <c r="G2304" t="s">
        <v>47</v>
      </c>
      <c r="H2304">
        <v>0</v>
      </c>
      <c r="I2304" s="60" t="s">
        <v>149</v>
      </c>
      <c r="J2304" s="33" t="s">
        <v>45</v>
      </c>
      <c r="K2304" s="46">
        <v>0</v>
      </c>
      <c r="L2304">
        <v>9.4</v>
      </c>
      <c r="M2304" t="s">
        <v>48</v>
      </c>
      <c r="N2304" s="46">
        <v>0</v>
      </c>
      <c r="O2304" s="46">
        <v>0</v>
      </c>
      <c r="P2304" s="46">
        <v>0</v>
      </c>
      <c r="Q2304" t="s">
        <v>48</v>
      </c>
      <c r="R2304" t="s">
        <v>48</v>
      </c>
      <c r="S2304" t="s">
        <v>6750</v>
      </c>
      <c r="T2304" t="s">
        <v>48</v>
      </c>
      <c r="U2304" t="s">
        <v>6750</v>
      </c>
      <c r="V2304" s="47">
        <v>0</v>
      </c>
      <c r="W2304" t="s">
        <v>48</v>
      </c>
      <c r="X2304" t="s">
        <v>48</v>
      </c>
      <c r="Y2304" t="s">
        <v>48</v>
      </c>
      <c r="Z2304">
        <v>0</v>
      </c>
      <c r="AA2304" t="s">
        <v>48</v>
      </c>
      <c r="AB2304" t="s">
        <v>48</v>
      </c>
      <c r="AC2304" t="s">
        <v>49</v>
      </c>
      <c r="AD2304" t="s">
        <v>93</v>
      </c>
      <c r="AE2304" t="s">
        <v>4532</v>
      </c>
      <c r="AF2304" t="s">
        <v>48</v>
      </c>
      <c r="AG2304" t="s">
        <v>48</v>
      </c>
      <c r="AH2304" t="s">
        <v>48</v>
      </c>
      <c r="AI2304" t="s">
        <v>48</v>
      </c>
      <c r="AJ2304" t="s">
        <v>48</v>
      </c>
      <c r="AK2304" t="s">
        <v>48</v>
      </c>
      <c r="AL2304" t="s">
        <v>48</v>
      </c>
      <c r="AM2304" t="s">
        <v>48</v>
      </c>
      <c r="AN2304" t="s">
        <v>48</v>
      </c>
      <c r="AO2304" t="s">
        <v>48</v>
      </c>
      <c r="AP2304" s="46">
        <v>0</v>
      </c>
      <c r="AQ2304" s="46">
        <v>0</v>
      </c>
      <c r="AR2304" s="46">
        <v>0</v>
      </c>
      <c r="AS2304" s="46">
        <v>0</v>
      </c>
      <c r="AT2304" s="46">
        <v>0</v>
      </c>
      <c r="AU2304" s="46">
        <v>0</v>
      </c>
      <c r="AV2304" s="46">
        <v>0</v>
      </c>
      <c r="AW2304" s="46">
        <v>0</v>
      </c>
      <c r="AX2304" s="46">
        <v>0</v>
      </c>
      <c r="AY2304" s="46">
        <v>0</v>
      </c>
      <c r="AZ2304" s="46">
        <v>0</v>
      </c>
      <c r="BA2304" s="46">
        <v>0</v>
      </c>
      <c r="BB2304" s="46">
        <v>0</v>
      </c>
      <c r="BC2304" s="46">
        <v>0</v>
      </c>
      <c r="BD2304" s="46">
        <v>0</v>
      </c>
      <c r="BE2304" s="46">
        <v>0</v>
      </c>
      <c r="BF2304" s="46">
        <v>0</v>
      </c>
      <c r="BG2304" s="46" t="s">
        <v>48</v>
      </c>
      <c r="BH2304" s="46">
        <v>0</v>
      </c>
      <c r="BI2304" s="46">
        <v>0</v>
      </c>
      <c r="BJ2304" s="46">
        <v>0</v>
      </c>
      <c r="BK2304" s="46">
        <v>0</v>
      </c>
      <c r="BL2304" s="46">
        <v>0</v>
      </c>
      <c r="BM2304" s="46">
        <v>0</v>
      </c>
      <c r="BN2304" s="46">
        <v>0</v>
      </c>
    </row>
    <row r="2305" spans="1:66" x14ac:dyDescent="0.35">
      <c r="A2305" t="s">
        <v>6764</v>
      </c>
      <c r="B2305" t="s">
        <v>48</v>
      </c>
      <c r="C2305" t="s">
        <v>80</v>
      </c>
      <c r="D2305" t="s">
        <v>1628</v>
      </c>
      <c r="E2305" t="s">
        <v>6765</v>
      </c>
      <c r="F2305" t="s">
        <v>6748</v>
      </c>
      <c r="G2305" t="s">
        <v>47</v>
      </c>
      <c r="H2305">
        <v>0</v>
      </c>
      <c r="I2305" s="60" t="s">
        <v>51</v>
      </c>
      <c r="J2305" s="33" t="s">
        <v>45</v>
      </c>
      <c r="K2305" s="46">
        <v>0</v>
      </c>
      <c r="L2305">
        <v>8.1</v>
      </c>
      <c r="M2305" t="s">
        <v>48</v>
      </c>
      <c r="N2305" s="46">
        <v>0</v>
      </c>
      <c r="O2305" s="46">
        <v>0</v>
      </c>
      <c r="P2305" s="46">
        <v>0</v>
      </c>
      <c r="Q2305" t="s">
        <v>48</v>
      </c>
      <c r="R2305" t="s">
        <v>48</v>
      </c>
      <c r="S2305" t="s">
        <v>48</v>
      </c>
      <c r="T2305" t="s">
        <v>48</v>
      </c>
      <c r="U2305" t="s">
        <v>48</v>
      </c>
      <c r="V2305" s="47">
        <v>0</v>
      </c>
      <c r="W2305" t="s">
        <v>48</v>
      </c>
      <c r="X2305" t="s">
        <v>48</v>
      </c>
      <c r="Y2305" t="s">
        <v>48</v>
      </c>
      <c r="Z2305">
        <v>0</v>
      </c>
      <c r="AA2305" t="s">
        <v>48</v>
      </c>
      <c r="AB2305" t="s">
        <v>48</v>
      </c>
      <c r="AC2305" t="s">
        <v>49</v>
      </c>
      <c r="AD2305" t="s">
        <v>93</v>
      </c>
      <c r="AE2305" t="s">
        <v>4532</v>
      </c>
      <c r="AF2305" t="s">
        <v>48</v>
      </c>
      <c r="AG2305" t="s">
        <v>48</v>
      </c>
      <c r="AH2305" t="s">
        <v>48</v>
      </c>
      <c r="AI2305" t="s">
        <v>48</v>
      </c>
      <c r="AJ2305" t="s">
        <v>48</v>
      </c>
      <c r="AK2305" t="s">
        <v>48</v>
      </c>
      <c r="AL2305" t="s">
        <v>48</v>
      </c>
      <c r="AM2305" t="s">
        <v>48</v>
      </c>
      <c r="AN2305" t="s">
        <v>48</v>
      </c>
      <c r="AO2305" t="s">
        <v>48</v>
      </c>
      <c r="AP2305" s="46">
        <v>0</v>
      </c>
      <c r="AQ2305" s="46">
        <v>0</v>
      </c>
      <c r="AR2305" s="46">
        <v>0</v>
      </c>
      <c r="AS2305" s="46">
        <v>0</v>
      </c>
      <c r="AT2305" s="46">
        <v>0</v>
      </c>
      <c r="AU2305" s="46">
        <v>0</v>
      </c>
      <c r="AV2305" s="46">
        <v>0</v>
      </c>
      <c r="AW2305" s="46">
        <v>0</v>
      </c>
      <c r="AX2305" s="46">
        <v>0</v>
      </c>
      <c r="AY2305" s="46">
        <v>0</v>
      </c>
      <c r="AZ2305" s="46">
        <v>0</v>
      </c>
      <c r="BA2305" s="46">
        <v>0</v>
      </c>
      <c r="BB2305" s="46">
        <v>0</v>
      </c>
      <c r="BC2305" s="46">
        <v>0</v>
      </c>
      <c r="BD2305" s="46">
        <v>0</v>
      </c>
      <c r="BE2305" s="46">
        <v>0</v>
      </c>
      <c r="BF2305" s="46">
        <v>0</v>
      </c>
      <c r="BG2305" s="46" t="s">
        <v>48</v>
      </c>
      <c r="BH2305" s="46">
        <v>0</v>
      </c>
      <c r="BI2305" s="46">
        <v>0</v>
      </c>
      <c r="BJ2305" s="46">
        <v>0</v>
      </c>
      <c r="BK2305" s="46">
        <v>0</v>
      </c>
      <c r="BL2305" s="46">
        <v>0</v>
      </c>
      <c r="BM2305" s="46">
        <v>0</v>
      </c>
      <c r="BN2305" s="46">
        <v>0</v>
      </c>
    </row>
    <row r="2306" spans="1:66" x14ac:dyDescent="0.35">
      <c r="A2306" t="s">
        <v>6760</v>
      </c>
      <c r="B2306" t="s">
        <v>48</v>
      </c>
      <c r="C2306" t="s">
        <v>460</v>
      </c>
      <c r="D2306" t="s">
        <v>6763</v>
      </c>
      <c r="E2306" t="s">
        <v>6761</v>
      </c>
      <c r="F2306" t="s">
        <v>6748</v>
      </c>
      <c r="G2306" t="s">
        <v>47</v>
      </c>
      <c r="H2306">
        <v>0</v>
      </c>
      <c r="I2306" s="60" t="s">
        <v>149</v>
      </c>
      <c r="J2306" s="33" t="s">
        <v>45</v>
      </c>
      <c r="K2306" s="46">
        <v>0</v>
      </c>
      <c r="L2306">
        <v>5.5</v>
      </c>
      <c r="M2306" t="s">
        <v>48</v>
      </c>
      <c r="N2306" s="46">
        <v>0</v>
      </c>
      <c r="O2306" s="46">
        <v>0</v>
      </c>
      <c r="P2306" s="46">
        <v>0</v>
      </c>
      <c r="Q2306" t="s">
        <v>48</v>
      </c>
      <c r="R2306" t="s">
        <v>48</v>
      </c>
      <c r="S2306" t="s">
        <v>6762</v>
      </c>
      <c r="T2306" t="s">
        <v>48</v>
      </c>
      <c r="U2306" t="s">
        <v>6762</v>
      </c>
      <c r="V2306" s="47">
        <v>0</v>
      </c>
      <c r="W2306" t="s">
        <v>48</v>
      </c>
      <c r="X2306" t="s">
        <v>48</v>
      </c>
      <c r="Y2306" t="s">
        <v>48</v>
      </c>
      <c r="Z2306">
        <v>0</v>
      </c>
      <c r="AA2306" t="s">
        <v>48</v>
      </c>
      <c r="AB2306" t="s">
        <v>48</v>
      </c>
      <c r="AC2306" t="s">
        <v>63</v>
      </c>
      <c r="AD2306" t="s">
        <v>93</v>
      </c>
      <c r="AE2306" s="40" t="s">
        <v>2471</v>
      </c>
      <c r="AF2306" t="s">
        <v>11061</v>
      </c>
      <c r="AG2306" t="s">
        <v>48</v>
      </c>
      <c r="AH2306" t="s">
        <v>48</v>
      </c>
      <c r="AI2306" t="s">
        <v>48</v>
      </c>
      <c r="AJ2306" t="s">
        <v>48</v>
      </c>
      <c r="AK2306" t="s">
        <v>48</v>
      </c>
      <c r="AL2306" t="s">
        <v>48</v>
      </c>
      <c r="AM2306" t="s">
        <v>48</v>
      </c>
      <c r="AN2306" t="s">
        <v>48</v>
      </c>
      <c r="AO2306" t="s">
        <v>48</v>
      </c>
      <c r="AP2306" s="46">
        <v>0</v>
      </c>
      <c r="AQ2306" s="46">
        <v>0</v>
      </c>
      <c r="AR2306" s="46">
        <v>0</v>
      </c>
      <c r="AS2306" s="46">
        <v>0</v>
      </c>
      <c r="AT2306" s="46">
        <v>0</v>
      </c>
      <c r="AU2306" s="46">
        <v>0</v>
      </c>
      <c r="AV2306" s="46">
        <v>0</v>
      </c>
      <c r="AW2306" s="46">
        <v>0</v>
      </c>
      <c r="AX2306" s="46">
        <v>0</v>
      </c>
      <c r="AY2306" s="46">
        <v>0</v>
      </c>
      <c r="AZ2306" s="46">
        <v>0</v>
      </c>
      <c r="BA2306" s="46">
        <v>0</v>
      </c>
      <c r="BB2306" s="46">
        <v>0</v>
      </c>
      <c r="BC2306" s="46">
        <v>0</v>
      </c>
      <c r="BD2306" s="46">
        <v>0</v>
      </c>
      <c r="BE2306" s="46">
        <v>0</v>
      </c>
      <c r="BF2306" s="46">
        <v>0</v>
      </c>
      <c r="BG2306" s="46" t="s">
        <v>48</v>
      </c>
      <c r="BH2306" s="46">
        <v>0</v>
      </c>
      <c r="BI2306" s="46">
        <v>0</v>
      </c>
      <c r="BJ2306" s="46">
        <v>0</v>
      </c>
      <c r="BK2306" s="46">
        <v>0</v>
      </c>
      <c r="BL2306" s="46">
        <v>0</v>
      </c>
      <c r="BM2306" s="46">
        <v>0</v>
      </c>
      <c r="BN2306" s="46">
        <v>0</v>
      </c>
    </row>
    <row r="2307" spans="1:66" x14ac:dyDescent="0.35">
      <c r="A2307" t="s">
        <v>6757</v>
      </c>
      <c r="B2307" t="s">
        <v>48</v>
      </c>
      <c r="C2307" t="s">
        <v>6759</v>
      </c>
      <c r="D2307" t="s">
        <v>2416</v>
      </c>
      <c r="E2307" t="s">
        <v>6758</v>
      </c>
      <c r="F2307" t="s">
        <v>6748</v>
      </c>
      <c r="G2307" t="s">
        <v>47</v>
      </c>
      <c r="H2307">
        <v>0</v>
      </c>
      <c r="I2307" s="60" t="s">
        <v>149</v>
      </c>
      <c r="J2307" s="33" t="s">
        <v>45</v>
      </c>
      <c r="K2307" s="46">
        <v>0</v>
      </c>
      <c r="L2307">
        <v>10.3</v>
      </c>
      <c r="M2307" t="s">
        <v>48</v>
      </c>
      <c r="N2307" s="46">
        <v>0</v>
      </c>
      <c r="O2307" s="46">
        <v>0</v>
      </c>
      <c r="P2307" s="46">
        <v>0</v>
      </c>
      <c r="Q2307" t="s">
        <v>48</v>
      </c>
      <c r="R2307" t="s">
        <v>48</v>
      </c>
      <c r="S2307" t="s">
        <v>48</v>
      </c>
      <c r="T2307" t="s">
        <v>48</v>
      </c>
      <c r="U2307" t="s">
        <v>48</v>
      </c>
      <c r="V2307" s="47">
        <v>0</v>
      </c>
      <c r="W2307" t="s">
        <v>48</v>
      </c>
      <c r="X2307" t="s">
        <v>48</v>
      </c>
      <c r="Y2307" t="s">
        <v>48</v>
      </c>
      <c r="Z2307">
        <v>0</v>
      </c>
      <c r="AA2307" t="s">
        <v>48</v>
      </c>
      <c r="AB2307" t="s">
        <v>48</v>
      </c>
      <c r="AC2307" t="s">
        <v>49</v>
      </c>
      <c r="AD2307" t="s">
        <v>93</v>
      </c>
      <c r="AE2307" t="s">
        <v>4532</v>
      </c>
      <c r="AF2307" t="s">
        <v>48</v>
      </c>
      <c r="AG2307" t="s">
        <v>48</v>
      </c>
      <c r="AH2307" t="s">
        <v>48</v>
      </c>
      <c r="AI2307" t="s">
        <v>48</v>
      </c>
      <c r="AJ2307" t="s">
        <v>48</v>
      </c>
      <c r="AK2307" t="s">
        <v>48</v>
      </c>
      <c r="AL2307" t="s">
        <v>48</v>
      </c>
      <c r="AM2307" t="s">
        <v>48</v>
      </c>
      <c r="AN2307" t="s">
        <v>48</v>
      </c>
      <c r="AO2307" t="s">
        <v>48</v>
      </c>
      <c r="AP2307" s="46">
        <v>0</v>
      </c>
      <c r="AQ2307" s="46">
        <v>0</v>
      </c>
      <c r="AR2307" s="46">
        <v>0</v>
      </c>
      <c r="AS2307" s="46">
        <v>0</v>
      </c>
      <c r="AT2307" s="46">
        <v>0</v>
      </c>
      <c r="AU2307" s="46">
        <v>0</v>
      </c>
      <c r="AV2307" s="46">
        <v>0</v>
      </c>
      <c r="AW2307" s="46">
        <v>0</v>
      </c>
      <c r="AX2307" s="46">
        <v>0</v>
      </c>
      <c r="AY2307" s="46">
        <v>0</v>
      </c>
      <c r="AZ2307" s="46">
        <v>0</v>
      </c>
      <c r="BA2307" s="46">
        <v>0</v>
      </c>
      <c r="BB2307" s="46">
        <v>0</v>
      </c>
      <c r="BC2307" s="46">
        <v>0</v>
      </c>
      <c r="BD2307" s="46">
        <v>0</v>
      </c>
      <c r="BE2307" s="46">
        <v>0</v>
      </c>
      <c r="BF2307" s="46">
        <v>0</v>
      </c>
      <c r="BG2307" s="46" t="s">
        <v>48</v>
      </c>
      <c r="BH2307" s="46">
        <v>0</v>
      </c>
      <c r="BI2307" s="46">
        <v>0</v>
      </c>
      <c r="BJ2307" s="46">
        <v>0</v>
      </c>
      <c r="BK2307" s="46">
        <v>0</v>
      </c>
      <c r="BL2307" s="46">
        <v>0</v>
      </c>
      <c r="BM2307" s="46">
        <v>0</v>
      </c>
      <c r="BN2307" s="46">
        <v>0</v>
      </c>
    </row>
    <row r="2308" spans="1:66" x14ac:dyDescent="0.35">
      <c r="A2308" t="s">
        <v>6776</v>
      </c>
      <c r="B2308" t="s">
        <v>48</v>
      </c>
      <c r="C2308" t="s">
        <v>6780</v>
      </c>
      <c r="D2308" t="s">
        <v>6779</v>
      </c>
      <c r="E2308" t="s">
        <v>6777</v>
      </c>
      <c r="F2308" t="s">
        <v>6767</v>
      </c>
      <c r="G2308" t="s">
        <v>47</v>
      </c>
      <c r="H2308">
        <v>0</v>
      </c>
      <c r="I2308" s="60" t="s">
        <v>149</v>
      </c>
      <c r="J2308" s="33" t="s">
        <v>45</v>
      </c>
      <c r="K2308" s="46">
        <v>0</v>
      </c>
      <c r="L2308">
        <v>12.2</v>
      </c>
      <c r="M2308" t="s">
        <v>48</v>
      </c>
      <c r="N2308" s="46">
        <v>0</v>
      </c>
      <c r="O2308" s="46">
        <v>0</v>
      </c>
      <c r="P2308" s="46">
        <v>0</v>
      </c>
      <c r="Q2308" t="s">
        <v>48</v>
      </c>
      <c r="R2308" t="s">
        <v>48</v>
      </c>
      <c r="S2308" t="s">
        <v>6778</v>
      </c>
      <c r="T2308" t="s">
        <v>48</v>
      </c>
      <c r="U2308" t="s">
        <v>6778</v>
      </c>
      <c r="V2308" s="47">
        <v>0</v>
      </c>
      <c r="W2308" t="s">
        <v>48</v>
      </c>
      <c r="X2308" t="s">
        <v>48</v>
      </c>
      <c r="Y2308" t="s">
        <v>48</v>
      </c>
      <c r="Z2308">
        <v>0</v>
      </c>
      <c r="AA2308" t="s">
        <v>48</v>
      </c>
      <c r="AB2308" t="s">
        <v>48</v>
      </c>
      <c r="AC2308" t="s">
        <v>49</v>
      </c>
      <c r="AD2308" t="s">
        <v>93</v>
      </c>
      <c r="AE2308" t="s">
        <v>4532</v>
      </c>
      <c r="AF2308" t="s">
        <v>48</v>
      </c>
      <c r="AG2308" t="s">
        <v>48</v>
      </c>
      <c r="AH2308" t="s">
        <v>48</v>
      </c>
      <c r="AI2308" t="s">
        <v>48</v>
      </c>
      <c r="AJ2308" t="s">
        <v>48</v>
      </c>
      <c r="AK2308" t="s">
        <v>48</v>
      </c>
      <c r="AL2308" t="s">
        <v>48</v>
      </c>
      <c r="AM2308" t="s">
        <v>48</v>
      </c>
      <c r="AN2308" t="s">
        <v>48</v>
      </c>
      <c r="AO2308" t="s">
        <v>48</v>
      </c>
      <c r="AP2308" s="46">
        <v>0</v>
      </c>
      <c r="AQ2308" s="46">
        <v>0</v>
      </c>
      <c r="AR2308" s="46">
        <v>0</v>
      </c>
      <c r="AS2308" s="46">
        <v>0</v>
      </c>
      <c r="AT2308" s="46">
        <v>0</v>
      </c>
      <c r="AU2308" s="46">
        <v>0</v>
      </c>
      <c r="AV2308" s="46">
        <v>0</v>
      </c>
      <c r="AW2308" s="46">
        <v>0</v>
      </c>
      <c r="AX2308" s="46">
        <v>0</v>
      </c>
      <c r="AY2308" s="46">
        <v>0</v>
      </c>
      <c r="AZ2308" s="46">
        <v>0</v>
      </c>
      <c r="BA2308" s="46">
        <v>0</v>
      </c>
      <c r="BB2308" s="46">
        <v>0</v>
      </c>
      <c r="BC2308" s="46">
        <v>0</v>
      </c>
      <c r="BD2308" s="46">
        <v>0</v>
      </c>
      <c r="BE2308" s="46">
        <v>0</v>
      </c>
      <c r="BF2308" s="46">
        <v>0</v>
      </c>
      <c r="BG2308" s="46" t="s">
        <v>48</v>
      </c>
      <c r="BH2308" s="46">
        <v>0</v>
      </c>
      <c r="BI2308" s="46">
        <v>0</v>
      </c>
      <c r="BJ2308" s="46">
        <v>0</v>
      </c>
      <c r="BK2308" s="46">
        <v>0</v>
      </c>
      <c r="BL2308" s="46">
        <v>0</v>
      </c>
      <c r="BM2308" s="46">
        <v>0</v>
      </c>
      <c r="BN2308" s="46">
        <v>0</v>
      </c>
    </row>
    <row r="2309" spans="1:66" x14ac:dyDescent="0.35">
      <c r="A2309" t="s">
        <v>6766</v>
      </c>
      <c r="B2309" t="s">
        <v>48</v>
      </c>
      <c r="C2309" t="s">
        <v>6770</v>
      </c>
      <c r="D2309" t="s">
        <v>259</v>
      </c>
      <c r="E2309" t="s">
        <v>6768</v>
      </c>
      <c r="F2309" t="s">
        <v>6767</v>
      </c>
      <c r="G2309" t="s">
        <v>47</v>
      </c>
      <c r="H2309">
        <v>0</v>
      </c>
      <c r="I2309" s="60" t="s">
        <v>51</v>
      </c>
      <c r="J2309" s="33" t="s">
        <v>45</v>
      </c>
      <c r="K2309" s="46">
        <v>0</v>
      </c>
      <c r="L2309">
        <v>4.2</v>
      </c>
      <c r="M2309" t="s">
        <v>48</v>
      </c>
      <c r="N2309" s="46">
        <v>0</v>
      </c>
      <c r="O2309" s="46">
        <v>0</v>
      </c>
      <c r="P2309" s="46">
        <v>0</v>
      </c>
      <c r="Q2309" t="s">
        <v>48</v>
      </c>
      <c r="R2309" t="s">
        <v>48</v>
      </c>
      <c r="S2309" t="s">
        <v>6769</v>
      </c>
      <c r="T2309" t="s">
        <v>48</v>
      </c>
      <c r="U2309" t="s">
        <v>6769</v>
      </c>
      <c r="V2309" s="47">
        <v>0</v>
      </c>
      <c r="W2309" t="s">
        <v>11317</v>
      </c>
      <c r="X2309" t="s">
        <v>48</v>
      </c>
      <c r="Y2309" t="s">
        <v>48</v>
      </c>
      <c r="Z2309">
        <v>0</v>
      </c>
      <c r="AA2309" t="s">
        <v>48</v>
      </c>
      <c r="AB2309" t="s">
        <v>48</v>
      </c>
      <c r="AC2309" t="s">
        <v>49</v>
      </c>
      <c r="AD2309" t="s">
        <v>951</v>
      </c>
      <c r="AE2309" t="s">
        <v>11051</v>
      </c>
      <c r="AF2309" t="s">
        <v>48</v>
      </c>
      <c r="AG2309" t="s">
        <v>48</v>
      </c>
      <c r="AH2309" t="s">
        <v>48</v>
      </c>
      <c r="AI2309" t="s">
        <v>48</v>
      </c>
      <c r="AJ2309" t="s">
        <v>48</v>
      </c>
      <c r="AK2309" t="s">
        <v>48</v>
      </c>
      <c r="AL2309" t="s">
        <v>48</v>
      </c>
      <c r="AM2309" t="s">
        <v>48</v>
      </c>
      <c r="AN2309" t="s">
        <v>48</v>
      </c>
      <c r="AO2309" t="s">
        <v>48</v>
      </c>
      <c r="AP2309" s="46">
        <v>0</v>
      </c>
      <c r="AQ2309" s="46">
        <v>0</v>
      </c>
      <c r="AR2309" s="46">
        <v>0</v>
      </c>
      <c r="AS2309" s="46">
        <v>0</v>
      </c>
      <c r="AT2309" s="46">
        <v>0</v>
      </c>
      <c r="AU2309" s="46">
        <v>0</v>
      </c>
      <c r="AV2309" s="46">
        <v>0</v>
      </c>
      <c r="AW2309" s="46">
        <v>0</v>
      </c>
      <c r="AX2309" s="46">
        <v>0</v>
      </c>
      <c r="AY2309" s="46">
        <v>0</v>
      </c>
      <c r="AZ2309" s="46">
        <v>0</v>
      </c>
      <c r="BA2309" s="46">
        <v>0</v>
      </c>
      <c r="BB2309" s="46">
        <v>0</v>
      </c>
      <c r="BC2309" s="46">
        <v>0</v>
      </c>
      <c r="BD2309" s="46">
        <v>0</v>
      </c>
      <c r="BE2309" s="46">
        <v>0</v>
      </c>
      <c r="BF2309" s="46">
        <v>0</v>
      </c>
      <c r="BG2309" s="46" t="s">
        <v>48</v>
      </c>
      <c r="BH2309" s="46">
        <v>0</v>
      </c>
      <c r="BI2309" s="46">
        <v>0</v>
      </c>
      <c r="BJ2309" s="46">
        <v>0</v>
      </c>
      <c r="BK2309" s="46">
        <v>0</v>
      </c>
      <c r="BL2309" s="46">
        <v>0</v>
      </c>
      <c r="BM2309" s="46">
        <v>0</v>
      </c>
      <c r="BN2309" s="46">
        <v>0</v>
      </c>
    </row>
    <row r="2310" spans="1:66" x14ac:dyDescent="0.35">
      <c r="A2310" t="s">
        <v>6794</v>
      </c>
      <c r="B2310" s="44" t="s">
        <v>48</v>
      </c>
      <c r="C2310" t="s">
        <v>6797</v>
      </c>
      <c r="D2310" t="s">
        <v>1748</v>
      </c>
      <c r="E2310" t="s">
        <v>6795</v>
      </c>
      <c r="F2310" t="s">
        <v>6767</v>
      </c>
      <c r="G2310" t="s">
        <v>74</v>
      </c>
      <c r="H2310">
        <v>0</v>
      </c>
      <c r="I2310" s="60" t="s">
        <v>149</v>
      </c>
      <c r="J2310" s="33" t="s">
        <v>45</v>
      </c>
      <c r="K2310" s="46">
        <v>0</v>
      </c>
      <c r="L2310">
        <v>26</v>
      </c>
      <c r="M2310" t="s">
        <v>48</v>
      </c>
      <c r="N2310" s="46">
        <v>0</v>
      </c>
      <c r="O2310" s="46">
        <v>0</v>
      </c>
      <c r="P2310" s="46">
        <v>0</v>
      </c>
      <c r="Q2310" t="s">
        <v>48</v>
      </c>
      <c r="R2310" t="s">
        <v>48</v>
      </c>
      <c r="S2310" t="s">
        <v>6796</v>
      </c>
      <c r="T2310" t="s">
        <v>48</v>
      </c>
      <c r="U2310" t="s">
        <v>6796</v>
      </c>
      <c r="V2310" s="47">
        <v>0</v>
      </c>
      <c r="W2310" t="s">
        <v>48</v>
      </c>
      <c r="X2310" t="s">
        <v>48</v>
      </c>
      <c r="Y2310" t="s">
        <v>48</v>
      </c>
      <c r="Z2310">
        <v>0</v>
      </c>
      <c r="AA2310" t="s">
        <v>48</v>
      </c>
      <c r="AB2310" t="s">
        <v>48</v>
      </c>
      <c r="AC2310" t="s">
        <v>49</v>
      </c>
      <c r="AD2310" t="s">
        <v>951</v>
      </c>
      <c r="AE2310" s="40" t="s">
        <v>11051</v>
      </c>
      <c r="AF2310" t="s">
        <v>108</v>
      </c>
      <c r="AG2310" t="s">
        <v>48</v>
      </c>
      <c r="AH2310" t="s">
        <v>48</v>
      </c>
      <c r="AI2310" t="s">
        <v>48</v>
      </c>
      <c r="AJ2310" t="s">
        <v>48</v>
      </c>
      <c r="AK2310" t="s">
        <v>48</v>
      </c>
      <c r="AL2310" t="s">
        <v>48</v>
      </c>
      <c r="AM2310" t="s">
        <v>48</v>
      </c>
      <c r="AN2310" t="s">
        <v>48</v>
      </c>
      <c r="AO2310" t="s">
        <v>48</v>
      </c>
      <c r="AP2310" s="46">
        <v>0</v>
      </c>
      <c r="AQ2310" s="46">
        <v>0</v>
      </c>
      <c r="AR2310" s="46">
        <v>0</v>
      </c>
      <c r="AS2310" s="46">
        <v>0</v>
      </c>
      <c r="AT2310" s="46">
        <v>0</v>
      </c>
      <c r="AU2310" s="46">
        <v>0</v>
      </c>
      <c r="AV2310" s="46">
        <v>0</v>
      </c>
      <c r="AW2310" s="46">
        <v>0</v>
      </c>
      <c r="AX2310" s="46">
        <v>0</v>
      </c>
      <c r="AY2310" s="46">
        <v>0</v>
      </c>
      <c r="AZ2310" s="46">
        <v>0</v>
      </c>
      <c r="BA2310" s="46">
        <v>0</v>
      </c>
      <c r="BB2310" s="46">
        <v>0</v>
      </c>
      <c r="BC2310" s="46">
        <v>0</v>
      </c>
      <c r="BD2310" s="46">
        <v>0</v>
      </c>
      <c r="BE2310" s="46">
        <v>0</v>
      </c>
      <c r="BF2310" s="46">
        <v>0</v>
      </c>
      <c r="BG2310" s="46" t="s">
        <v>48</v>
      </c>
      <c r="BH2310" s="46">
        <v>0</v>
      </c>
      <c r="BI2310" s="46">
        <v>0</v>
      </c>
      <c r="BJ2310" s="46">
        <v>0</v>
      </c>
      <c r="BK2310" s="46">
        <v>0</v>
      </c>
      <c r="BL2310" s="46">
        <v>0</v>
      </c>
      <c r="BM2310" s="46">
        <v>0</v>
      </c>
      <c r="BN2310" s="46">
        <v>0</v>
      </c>
    </row>
    <row r="2311" spans="1:66" x14ac:dyDescent="0.35">
      <c r="A2311" t="s">
        <v>6781</v>
      </c>
      <c r="B2311" t="s">
        <v>48</v>
      </c>
      <c r="C2311" t="s">
        <v>6784</v>
      </c>
      <c r="D2311" t="s">
        <v>216</v>
      </c>
      <c r="E2311" t="s">
        <v>6782</v>
      </c>
      <c r="F2311" t="s">
        <v>6767</v>
      </c>
      <c r="G2311" t="s">
        <v>47</v>
      </c>
      <c r="H2311">
        <v>0</v>
      </c>
      <c r="I2311" s="60" t="s">
        <v>149</v>
      </c>
      <c r="J2311" s="33" t="s">
        <v>45</v>
      </c>
      <c r="K2311" s="46">
        <v>0</v>
      </c>
      <c r="L2311">
        <v>7.2</v>
      </c>
      <c r="M2311" t="s">
        <v>48</v>
      </c>
      <c r="N2311" s="46">
        <v>0</v>
      </c>
      <c r="O2311" s="46">
        <v>0</v>
      </c>
      <c r="P2311" s="46">
        <v>0</v>
      </c>
      <c r="Q2311" t="s">
        <v>48</v>
      </c>
      <c r="R2311" t="s">
        <v>48</v>
      </c>
      <c r="S2311" t="s">
        <v>6783</v>
      </c>
      <c r="T2311" t="s">
        <v>48</v>
      </c>
      <c r="U2311" t="s">
        <v>6783</v>
      </c>
      <c r="V2311" s="47">
        <v>0</v>
      </c>
      <c r="W2311" t="s">
        <v>48</v>
      </c>
      <c r="X2311" t="s">
        <v>48</v>
      </c>
      <c r="Y2311" t="s">
        <v>48</v>
      </c>
      <c r="Z2311">
        <v>0</v>
      </c>
      <c r="AA2311" t="s">
        <v>48</v>
      </c>
      <c r="AB2311" t="s">
        <v>48</v>
      </c>
      <c r="AC2311" t="s">
        <v>49</v>
      </c>
      <c r="AD2311" t="s">
        <v>93</v>
      </c>
      <c r="AE2311" t="s">
        <v>4532</v>
      </c>
      <c r="AF2311" t="s">
        <v>48</v>
      </c>
      <c r="AG2311" t="s">
        <v>48</v>
      </c>
      <c r="AH2311" t="s">
        <v>48</v>
      </c>
      <c r="AI2311" t="s">
        <v>48</v>
      </c>
      <c r="AJ2311" t="s">
        <v>48</v>
      </c>
      <c r="AK2311" t="s">
        <v>48</v>
      </c>
      <c r="AL2311" t="s">
        <v>48</v>
      </c>
      <c r="AM2311" t="s">
        <v>48</v>
      </c>
      <c r="AN2311" t="s">
        <v>48</v>
      </c>
      <c r="AO2311" t="s">
        <v>48</v>
      </c>
      <c r="AP2311" s="46">
        <v>0</v>
      </c>
      <c r="AQ2311" s="46">
        <v>0</v>
      </c>
      <c r="AR2311" s="46">
        <v>0</v>
      </c>
      <c r="AS2311" s="46">
        <v>0</v>
      </c>
      <c r="AT2311" s="46">
        <v>0</v>
      </c>
      <c r="AU2311" s="46">
        <v>0</v>
      </c>
      <c r="AV2311" s="46">
        <v>0</v>
      </c>
      <c r="AW2311" s="46">
        <v>0</v>
      </c>
      <c r="AX2311" s="46">
        <v>0</v>
      </c>
      <c r="AY2311" s="46">
        <v>0</v>
      </c>
      <c r="AZ2311" s="46">
        <v>0</v>
      </c>
      <c r="BA2311" s="46">
        <v>0</v>
      </c>
      <c r="BB2311" s="46">
        <v>0</v>
      </c>
      <c r="BC2311" s="46">
        <v>0</v>
      </c>
      <c r="BD2311" s="46">
        <v>0</v>
      </c>
      <c r="BE2311" s="46">
        <v>0</v>
      </c>
      <c r="BF2311" s="46">
        <v>0</v>
      </c>
      <c r="BG2311" s="46" t="s">
        <v>48</v>
      </c>
      <c r="BH2311" s="46">
        <v>0</v>
      </c>
      <c r="BI2311" s="46">
        <v>0</v>
      </c>
      <c r="BJ2311" s="46">
        <v>0</v>
      </c>
      <c r="BK2311" s="46">
        <v>0</v>
      </c>
      <c r="BL2311" s="46">
        <v>0</v>
      </c>
      <c r="BM2311" s="46">
        <v>0</v>
      </c>
      <c r="BN2311" s="46">
        <v>0</v>
      </c>
    </row>
    <row r="2312" spans="1:66" x14ac:dyDescent="0.35">
      <c r="A2312" t="s">
        <v>6788</v>
      </c>
      <c r="B2312" t="s">
        <v>48</v>
      </c>
      <c r="C2312" t="s">
        <v>6790</v>
      </c>
      <c r="D2312" t="s">
        <v>1005</v>
      </c>
      <c r="E2312" t="s">
        <v>6789</v>
      </c>
      <c r="F2312" t="s">
        <v>6767</v>
      </c>
      <c r="G2312" t="s">
        <v>47</v>
      </c>
      <c r="H2312">
        <v>0</v>
      </c>
      <c r="I2312" s="60" t="s">
        <v>149</v>
      </c>
      <c r="J2312" s="33" t="s">
        <v>45</v>
      </c>
      <c r="K2312" s="46">
        <v>0</v>
      </c>
      <c r="L2312">
        <v>3.9</v>
      </c>
      <c r="M2312" t="s">
        <v>48</v>
      </c>
      <c r="N2312" s="46">
        <v>0</v>
      </c>
      <c r="O2312" s="46">
        <v>0</v>
      </c>
      <c r="P2312" s="46">
        <v>0</v>
      </c>
      <c r="Q2312" t="s">
        <v>48</v>
      </c>
      <c r="R2312" t="s">
        <v>48</v>
      </c>
      <c r="S2312" t="s">
        <v>48</v>
      </c>
      <c r="T2312" t="s">
        <v>48</v>
      </c>
      <c r="U2312" t="s">
        <v>48</v>
      </c>
      <c r="V2312" s="47">
        <v>0</v>
      </c>
      <c r="W2312" t="s">
        <v>48</v>
      </c>
      <c r="X2312" t="s">
        <v>48</v>
      </c>
      <c r="Y2312" t="s">
        <v>48</v>
      </c>
      <c r="Z2312">
        <v>0</v>
      </c>
      <c r="AA2312" t="s">
        <v>48</v>
      </c>
      <c r="AB2312" t="s">
        <v>48</v>
      </c>
      <c r="AC2312" t="s">
        <v>49</v>
      </c>
      <c r="AD2312" t="s">
        <v>951</v>
      </c>
      <c r="AE2312" t="s">
        <v>11051</v>
      </c>
      <c r="AF2312" t="s">
        <v>48</v>
      </c>
      <c r="AG2312" t="s">
        <v>48</v>
      </c>
      <c r="AH2312" t="s">
        <v>48</v>
      </c>
      <c r="AI2312" t="s">
        <v>48</v>
      </c>
      <c r="AJ2312" t="s">
        <v>48</v>
      </c>
      <c r="AK2312" t="s">
        <v>48</v>
      </c>
      <c r="AL2312" t="s">
        <v>48</v>
      </c>
      <c r="AM2312" t="s">
        <v>48</v>
      </c>
      <c r="AN2312" t="s">
        <v>48</v>
      </c>
      <c r="AO2312" t="s">
        <v>48</v>
      </c>
      <c r="AP2312" s="46">
        <v>0</v>
      </c>
      <c r="AQ2312" s="46">
        <v>0</v>
      </c>
      <c r="AR2312" s="46">
        <v>0</v>
      </c>
      <c r="AS2312" s="46">
        <v>0</v>
      </c>
      <c r="AT2312" s="46">
        <v>0</v>
      </c>
      <c r="AU2312" s="46">
        <v>0</v>
      </c>
      <c r="AV2312" s="46">
        <v>0</v>
      </c>
      <c r="AW2312" s="46">
        <v>0</v>
      </c>
      <c r="AX2312" s="46">
        <v>0</v>
      </c>
      <c r="AY2312" s="46">
        <v>0</v>
      </c>
      <c r="AZ2312" s="46">
        <v>0</v>
      </c>
      <c r="BA2312" s="46">
        <v>0</v>
      </c>
      <c r="BB2312" s="46">
        <v>0</v>
      </c>
      <c r="BC2312" s="46">
        <v>0</v>
      </c>
      <c r="BD2312" s="46">
        <v>0</v>
      </c>
      <c r="BE2312" s="46">
        <v>0</v>
      </c>
      <c r="BF2312" s="46">
        <v>0</v>
      </c>
      <c r="BG2312" s="46" t="s">
        <v>48</v>
      </c>
      <c r="BH2312" s="46">
        <v>0</v>
      </c>
      <c r="BI2312" s="46">
        <v>0</v>
      </c>
      <c r="BJ2312" s="46">
        <v>0</v>
      </c>
      <c r="BK2312" s="46">
        <v>0</v>
      </c>
      <c r="BL2312" s="46">
        <v>0</v>
      </c>
      <c r="BM2312" s="46">
        <v>0</v>
      </c>
      <c r="BN2312" s="46">
        <v>0</v>
      </c>
    </row>
    <row r="2313" spans="1:66" x14ac:dyDescent="0.35">
      <c r="A2313" t="s">
        <v>6785</v>
      </c>
      <c r="B2313" s="44" t="s">
        <v>48</v>
      </c>
      <c r="C2313" t="s">
        <v>6787</v>
      </c>
      <c r="D2313" t="s">
        <v>523</v>
      </c>
      <c r="E2313" t="s">
        <v>6786</v>
      </c>
      <c r="F2313" t="s">
        <v>6767</v>
      </c>
      <c r="G2313" t="s">
        <v>74</v>
      </c>
      <c r="H2313">
        <v>0</v>
      </c>
      <c r="I2313" s="60" t="s">
        <v>149</v>
      </c>
      <c r="J2313" s="33" t="s">
        <v>45</v>
      </c>
      <c r="K2313" s="46">
        <v>0</v>
      </c>
      <c r="L2313">
        <v>14.9</v>
      </c>
      <c r="M2313" t="s">
        <v>48</v>
      </c>
      <c r="N2313" s="46">
        <v>0</v>
      </c>
      <c r="O2313" s="46">
        <v>0</v>
      </c>
      <c r="P2313" s="46">
        <v>0</v>
      </c>
      <c r="Q2313" t="s">
        <v>48</v>
      </c>
      <c r="R2313" t="s">
        <v>48</v>
      </c>
      <c r="S2313" t="s">
        <v>48</v>
      </c>
      <c r="T2313" t="s">
        <v>48</v>
      </c>
      <c r="U2313" t="s">
        <v>48</v>
      </c>
      <c r="V2313" s="47">
        <v>0</v>
      </c>
      <c r="W2313" t="s">
        <v>48</v>
      </c>
      <c r="X2313" t="s">
        <v>48</v>
      </c>
      <c r="Y2313" t="s">
        <v>48</v>
      </c>
      <c r="Z2313">
        <v>0</v>
      </c>
      <c r="AA2313" t="s">
        <v>48</v>
      </c>
      <c r="AB2313" t="s">
        <v>48</v>
      </c>
      <c r="AC2313" t="s">
        <v>49</v>
      </c>
      <c r="AD2313" t="s">
        <v>951</v>
      </c>
      <c r="AE2313" t="s">
        <v>11051</v>
      </c>
      <c r="AF2313" t="s">
        <v>48</v>
      </c>
      <c r="AG2313" t="s">
        <v>48</v>
      </c>
      <c r="AH2313" t="s">
        <v>48</v>
      </c>
      <c r="AI2313" t="s">
        <v>48</v>
      </c>
      <c r="AJ2313" t="s">
        <v>48</v>
      </c>
      <c r="AK2313" t="s">
        <v>48</v>
      </c>
      <c r="AL2313" t="s">
        <v>48</v>
      </c>
      <c r="AM2313" t="s">
        <v>48</v>
      </c>
      <c r="AN2313" t="s">
        <v>48</v>
      </c>
      <c r="AO2313" t="s">
        <v>48</v>
      </c>
      <c r="AP2313" s="46">
        <v>0</v>
      </c>
      <c r="AQ2313" s="46">
        <v>0</v>
      </c>
      <c r="AR2313" s="46">
        <v>0</v>
      </c>
      <c r="AS2313" s="46">
        <v>0</v>
      </c>
      <c r="AT2313" s="46">
        <v>0</v>
      </c>
      <c r="AU2313" s="46">
        <v>0</v>
      </c>
      <c r="AV2313" s="46">
        <v>0</v>
      </c>
      <c r="AW2313" s="46">
        <v>0</v>
      </c>
      <c r="AX2313" s="46">
        <v>0</v>
      </c>
      <c r="AY2313" s="46">
        <v>0</v>
      </c>
      <c r="AZ2313" s="46">
        <v>0</v>
      </c>
      <c r="BA2313" s="46">
        <v>0</v>
      </c>
      <c r="BB2313" s="46">
        <v>0</v>
      </c>
      <c r="BC2313" s="46">
        <v>0</v>
      </c>
      <c r="BD2313" s="46">
        <v>0</v>
      </c>
      <c r="BE2313" s="46">
        <v>0</v>
      </c>
      <c r="BF2313" s="46">
        <v>0</v>
      </c>
      <c r="BG2313" s="46" t="s">
        <v>48</v>
      </c>
      <c r="BH2313" s="46">
        <v>0</v>
      </c>
      <c r="BI2313" s="46">
        <v>0</v>
      </c>
      <c r="BJ2313" s="46">
        <v>0</v>
      </c>
      <c r="BK2313" s="46">
        <v>0</v>
      </c>
      <c r="BL2313" s="46">
        <v>0</v>
      </c>
      <c r="BM2313" s="46">
        <v>0</v>
      </c>
      <c r="BN2313" s="46">
        <v>0</v>
      </c>
    </row>
    <row r="2314" spans="1:66" x14ac:dyDescent="0.35">
      <c r="A2314" t="s">
        <v>186</v>
      </c>
      <c r="B2314" t="s">
        <v>48</v>
      </c>
      <c r="C2314" t="s">
        <v>189</v>
      </c>
      <c r="D2314" t="s">
        <v>113</v>
      </c>
      <c r="E2314" t="s">
        <v>188</v>
      </c>
      <c r="F2314" t="s">
        <v>187</v>
      </c>
      <c r="G2314" t="s">
        <v>47</v>
      </c>
      <c r="H2314">
        <v>0</v>
      </c>
      <c r="I2314" s="60" t="s">
        <v>190</v>
      </c>
      <c r="J2314" s="33" t="s">
        <v>45</v>
      </c>
      <c r="K2314" s="46">
        <v>0</v>
      </c>
      <c r="L2314">
        <v>13.3</v>
      </c>
      <c r="M2314" t="s">
        <v>48</v>
      </c>
      <c r="N2314" s="46">
        <v>0</v>
      </c>
      <c r="O2314" s="46">
        <v>0</v>
      </c>
      <c r="P2314" s="46">
        <v>0</v>
      </c>
      <c r="Q2314" t="s">
        <v>48</v>
      </c>
      <c r="R2314" t="s">
        <v>48</v>
      </c>
      <c r="S2314" t="s">
        <v>48</v>
      </c>
      <c r="T2314" t="s">
        <v>48</v>
      </c>
      <c r="U2314" t="s">
        <v>48</v>
      </c>
      <c r="V2314" s="47">
        <v>0</v>
      </c>
      <c r="W2314" t="s">
        <v>48</v>
      </c>
      <c r="X2314" t="s">
        <v>48</v>
      </c>
      <c r="Y2314" t="s">
        <v>48</v>
      </c>
      <c r="Z2314">
        <v>0</v>
      </c>
      <c r="AA2314" t="s">
        <v>48</v>
      </c>
      <c r="AB2314" t="s">
        <v>48</v>
      </c>
      <c r="AC2314" t="s">
        <v>49</v>
      </c>
      <c r="AD2314" t="s">
        <v>951</v>
      </c>
      <c r="AE2314" t="s">
        <v>11051</v>
      </c>
      <c r="AF2314" t="s">
        <v>48</v>
      </c>
      <c r="AG2314" t="s">
        <v>48</v>
      </c>
      <c r="AH2314" t="s">
        <v>48</v>
      </c>
      <c r="AI2314" t="s">
        <v>48</v>
      </c>
      <c r="AJ2314" t="s">
        <v>48</v>
      </c>
      <c r="AK2314" t="s">
        <v>48</v>
      </c>
      <c r="AL2314" t="s">
        <v>48</v>
      </c>
      <c r="AM2314" t="s">
        <v>48</v>
      </c>
      <c r="AN2314" t="s">
        <v>48</v>
      </c>
      <c r="AO2314" t="s">
        <v>48</v>
      </c>
      <c r="AP2314" s="46">
        <v>0</v>
      </c>
      <c r="AQ2314" s="46">
        <v>0</v>
      </c>
      <c r="AR2314" s="46">
        <v>0</v>
      </c>
      <c r="AS2314" s="46">
        <v>0</v>
      </c>
      <c r="AT2314" s="46">
        <v>0</v>
      </c>
      <c r="AU2314" s="46">
        <v>0</v>
      </c>
      <c r="AV2314" s="46">
        <v>0</v>
      </c>
      <c r="AW2314" s="46">
        <v>0</v>
      </c>
      <c r="AX2314" s="46">
        <v>0</v>
      </c>
      <c r="AY2314" s="46">
        <v>0</v>
      </c>
      <c r="AZ2314" s="46">
        <v>0</v>
      </c>
      <c r="BA2314" s="46">
        <v>0</v>
      </c>
      <c r="BB2314" s="46">
        <v>0</v>
      </c>
      <c r="BC2314" s="46">
        <v>0</v>
      </c>
      <c r="BD2314" s="46">
        <v>0</v>
      </c>
      <c r="BE2314" s="46">
        <v>0</v>
      </c>
      <c r="BF2314" s="46">
        <v>0</v>
      </c>
      <c r="BG2314" s="46" t="s">
        <v>48</v>
      </c>
      <c r="BH2314" s="46">
        <v>0</v>
      </c>
      <c r="BI2314" s="46">
        <v>0</v>
      </c>
      <c r="BJ2314" s="46">
        <v>0</v>
      </c>
      <c r="BK2314" s="46">
        <v>0</v>
      </c>
      <c r="BL2314" s="46">
        <v>0</v>
      </c>
      <c r="BM2314" s="46">
        <v>0</v>
      </c>
      <c r="BN2314" s="46">
        <v>0</v>
      </c>
    </row>
    <row r="2315" spans="1:66" x14ac:dyDescent="0.35">
      <c r="A2315" t="s">
        <v>6818</v>
      </c>
      <c r="B2315" t="s">
        <v>48</v>
      </c>
      <c r="C2315" t="s">
        <v>6821</v>
      </c>
      <c r="D2315" t="s">
        <v>1005</v>
      </c>
      <c r="E2315" t="s">
        <v>6819</v>
      </c>
      <c r="F2315" t="s">
        <v>187</v>
      </c>
      <c r="G2315" t="s">
        <v>47</v>
      </c>
      <c r="H2315">
        <v>0</v>
      </c>
      <c r="I2315" s="60" t="s">
        <v>149</v>
      </c>
      <c r="J2315" s="33" t="s">
        <v>45</v>
      </c>
      <c r="K2315" s="46">
        <v>0</v>
      </c>
      <c r="L2315">
        <v>11.9</v>
      </c>
      <c r="M2315" t="s">
        <v>48</v>
      </c>
      <c r="N2315" s="46">
        <v>0</v>
      </c>
      <c r="O2315" s="46">
        <v>0</v>
      </c>
      <c r="P2315" s="46">
        <v>0</v>
      </c>
      <c r="Q2315" t="s">
        <v>48</v>
      </c>
      <c r="R2315" t="s">
        <v>48</v>
      </c>
      <c r="S2315" t="s">
        <v>6820</v>
      </c>
      <c r="T2315" t="s">
        <v>48</v>
      </c>
      <c r="U2315" t="s">
        <v>6820</v>
      </c>
      <c r="V2315" s="47">
        <v>0</v>
      </c>
      <c r="W2315" t="s">
        <v>48</v>
      </c>
      <c r="X2315" t="s">
        <v>48</v>
      </c>
      <c r="Y2315" t="s">
        <v>48</v>
      </c>
      <c r="Z2315">
        <v>0</v>
      </c>
      <c r="AA2315" t="s">
        <v>48</v>
      </c>
      <c r="AB2315" t="s">
        <v>48</v>
      </c>
      <c r="AC2315" t="s">
        <v>49</v>
      </c>
      <c r="AD2315" t="s">
        <v>48</v>
      </c>
      <c r="AE2315" t="s">
        <v>48</v>
      </c>
      <c r="AF2315" t="s">
        <v>48</v>
      </c>
      <c r="AG2315" t="s">
        <v>48</v>
      </c>
      <c r="AH2315" t="s">
        <v>48</v>
      </c>
      <c r="AI2315" t="s">
        <v>48</v>
      </c>
      <c r="AJ2315" t="s">
        <v>48</v>
      </c>
      <c r="AK2315" t="s">
        <v>48</v>
      </c>
      <c r="AL2315" t="s">
        <v>48</v>
      </c>
      <c r="AM2315" t="s">
        <v>48</v>
      </c>
      <c r="AN2315" t="s">
        <v>48</v>
      </c>
      <c r="AO2315" t="s">
        <v>48</v>
      </c>
      <c r="AP2315" s="46">
        <v>0</v>
      </c>
      <c r="AQ2315" s="46">
        <v>0</v>
      </c>
      <c r="AR2315" s="46">
        <v>0</v>
      </c>
      <c r="AS2315" s="46">
        <v>0</v>
      </c>
      <c r="AT2315" s="46">
        <v>0</v>
      </c>
      <c r="AU2315" s="46">
        <v>0</v>
      </c>
      <c r="AV2315" s="46">
        <v>0</v>
      </c>
      <c r="AW2315" s="46">
        <v>0</v>
      </c>
      <c r="AX2315" s="46">
        <v>0</v>
      </c>
      <c r="AY2315" s="46">
        <v>0</v>
      </c>
      <c r="AZ2315" s="46">
        <v>0</v>
      </c>
      <c r="BA2315" s="46">
        <v>0</v>
      </c>
      <c r="BB2315" s="46">
        <v>0</v>
      </c>
      <c r="BC2315" s="46">
        <v>0</v>
      </c>
      <c r="BD2315" s="46">
        <v>0</v>
      </c>
      <c r="BE2315" s="46">
        <v>0</v>
      </c>
      <c r="BF2315" s="46">
        <v>0</v>
      </c>
      <c r="BG2315" s="46" t="s">
        <v>48</v>
      </c>
      <c r="BH2315" s="46">
        <v>0</v>
      </c>
      <c r="BI2315" s="46">
        <v>0</v>
      </c>
      <c r="BJ2315" s="46">
        <v>0</v>
      </c>
      <c r="BK2315" s="46">
        <v>0</v>
      </c>
      <c r="BL2315" s="46">
        <v>0</v>
      </c>
      <c r="BM2315" s="46">
        <v>0</v>
      </c>
      <c r="BN2315" s="46">
        <v>0</v>
      </c>
    </row>
    <row r="2316" spans="1:66" ht="15" x14ac:dyDescent="0.4">
      <c r="A2316" t="s">
        <v>6803</v>
      </c>
      <c r="B2316" s="44" t="s">
        <v>48</v>
      </c>
      <c r="C2316" t="s">
        <v>6805</v>
      </c>
      <c r="D2316" t="s">
        <v>521</v>
      </c>
      <c r="E2316" t="s">
        <v>6804</v>
      </c>
      <c r="F2316" t="s">
        <v>187</v>
      </c>
      <c r="G2316" t="s">
        <v>74</v>
      </c>
      <c r="H2316">
        <v>0</v>
      </c>
      <c r="I2316" s="60" t="s">
        <v>11160</v>
      </c>
      <c r="J2316" s="33" t="s">
        <v>45</v>
      </c>
      <c r="K2316" s="46">
        <v>0</v>
      </c>
      <c r="L2316">
        <v>46.9</v>
      </c>
      <c r="M2316">
        <v>49.7</v>
      </c>
      <c r="N2316" s="46">
        <v>0</v>
      </c>
      <c r="O2316" s="46">
        <v>0</v>
      </c>
      <c r="P2316" s="46">
        <v>0</v>
      </c>
      <c r="Q2316" t="s">
        <v>48</v>
      </c>
      <c r="R2316" t="s">
        <v>48</v>
      </c>
      <c r="S2316" s="55" t="s">
        <v>11368</v>
      </c>
      <c r="T2316" t="s">
        <v>48</v>
      </c>
      <c r="U2316" t="s">
        <v>48</v>
      </c>
      <c r="V2316" s="47">
        <v>0</v>
      </c>
      <c r="W2316" t="s">
        <v>48</v>
      </c>
      <c r="X2316" t="s">
        <v>48</v>
      </c>
      <c r="Y2316" t="s">
        <v>48</v>
      </c>
      <c r="Z2316">
        <v>0</v>
      </c>
      <c r="AA2316" t="s">
        <v>48</v>
      </c>
      <c r="AB2316" t="s">
        <v>48</v>
      </c>
      <c r="AC2316" t="s">
        <v>63</v>
      </c>
      <c r="AD2316" t="s">
        <v>951</v>
      </c>
      <c r="AE2316" t="s">
        <v>11051</v>
      </c>
      <c r="AF2316" t="s">
        <v>48</v>
      </c>
      <c r="AG2316" t="s">
        <v>48</v>
      </c>
      <c r="AH2316" t="s">
        <v>48</v>
      </c>
      <c r="AI2316" t="s">
        <v>48</v>
      </c>
      <c r="AJ2316" t="s">
        <v>48</v>
      </c>
      <c r="AK2316" t="s">
        <v>48</v>
      </c>
      <c r="AL2316" t="s">
        <v>48</v>
      </c>
      <c r="AM2316" t="s">
        <v>48</v>
      </c>
      <c r="AN2316" t="s">
        <v>48</v>
      </c>
      <c r="AO2316" t="s">
        <v>48</v>
      </c>
      <c r="AP2316" s="46">
        <v>1</v>
      </c>
      <c r="AQ2316" s="46">
        <v>1</v>
      </c>
      <c r="AR2316" s="46">
        <v>1</v>
      </c>
      <c r="AS2316" s="46">
        <v>1</v>
      </c>
      <c r="AT2316" s="46">
        <v>0</v>
      </c>
      <c r="AU2316" s="46">
        <v>0</v>
      </c>
      <c r="AV2316" s="46">
        <v>0</v>
      </c>
      <c r="AW2316" s="46">
        <v>0</v>
      </c>
      <c r="AX2316" s="46">
        <v>0</v>
      </c>
      <c r="AY2316" s="46">
        <v>0</v>
      </c>
      <c r="AZ2316" s="46">
        <v>0</v>
      </c>
      <c r="BA2316" s="46">
        <v>0</v>
      </c>
      <c r="BB2316" s="46">
        <v>0</v>
      </c>
      <c r="BC2316" s="46">
        <v>0</v>
      </c>
      <c r="BD2316" s="46">
        <v>0</v>
      </c>
      <c r="BE2316" s="46">
        <v>0</v>
      </c>
      <c r="BF2316" s="46">
        <v>0</v>
      </c>
      <c r="BG2316" s="46" t="s">
        <v>48</v>
      </c>
      <c r="BH2316" s="46">
        <v>0</v>
      </c>
      <c r="BI2316" s="46">
        <v>0</v>
      </c>
      <c r="BJ2316" s="46">
        <v>0</v>
      </c>
      <c r="BK2316" s="46">
        <v>1</v>
      </c>
      <c r="BL2316" s="46">
        <v>0</v>
      </c>
      <c r="BM2316" s="46">
        <v>0</v>
      </c>
      <c r="BN2316" s="46">
        <v>0</v>
      </c>
    </row>
    <row r="2317" spans="1:66" x14ac:dyDescent="0.35">
      <c r="A2317" t="s">
        <v>6826</v>
      </c>
      <c r="B2317" t="s">
        <v>48</v>
      </c>
      <c r="C2317" t="s">
        <v>723</v>
      </c>
      <c r="D2317" t="s">
        <v>6829</v>
      </c>
      <c r="E2317" t="s">
        <v>6827</v>
      </c>
      <c r="F2317" t="s">
        <v>187</v>
      </c>
      <c r="G2317" t="s">
        <v>47</v>
      </c>
      <c r="H2317">
        <v>0</v>
      </c>
      <c r="I2317" s="60" t="s">
        <v>149</v>
      </c>
      <c r="J2317" s="33" t="s">
        <v>45</v>
      </c>
      <c r="K2317" s="46">
        <v>0</v>
      </c>
      <c r="L2317">
        <v>6.5</v>
      </c>
      <c r="M2317" t="s">
        <v>48</v>
      </c>
      <c r="N2317" s="46">
        <v>0</v>
      </c>
      <c r="O2317" s="46">
        <v>0</v>
      </c>
      <c r="P2317" s="46">
        <v>0</v>
      </c>
      <c r="Q2317" t="s">
        <v>48</v>
      </c>
      <c r="R2317" t="s">
        <v>48</v>
      </c>
      <c r="S2317" t="s">
        <v>6828</v>
      </c>
      <c r="T2317" t="s">
        <v>48</v>
      </c>
      <c r="U2317" t="s">
        <v>6828</v>
      </c>
      <c r="V2317" s="47">
        <v>0</v>
      </c>
      <c r="W2317" t="s">
        <v>48</v>
      </c>
      <c r="X2317" t="s">
        <v>48</v>
      </c>
      <c r="Y2317" t="s">
        <v>48</v>
      </c>
      <c r="Z2317">
        <v>0</v>
      </c>
      <c r="AA2317" t="s">
        <v>48</v>
      </c>
      <c r="AB2317" t="s">
        <v>48</v>
      </c>
      <c r="AC2317" t="s">
        <v>49</v>
      </c>
      <c r="AD2317" t="s">
        <v>951</v>
      </c>
      <c r="AE2317" s="40" t="s">
        <v>11051</v>
      </c>
      <c r="AF2317" t="s">
        <v>108</v>
      </c>
      <c r="AG2317" t="s">
        <v>48</v>
      </c>
      <c r="AH2317" t="s">
        <v>48</v>
      </c>
      <c r="AI2317" t="s">
        <v>48</v>
      </c>
      <c r="AJ2317" t="s">
        <v>48</v>
      </c>
      <c r="AK2317" t="s">
        <v>48</v>
      </c>
      <c r="AL2317" t="s">
        <v>48</v>
      </c>
      <c r="AM2317" t="s">
        <v>48</v>
      </c>
      <c r="AN2317" t="s">
        <v>48</v>
      </c>
      <c r="AO2317" t="s">
        <v>48</v>
      </c>
      <c r="AP2317" s="46">
        <v>0</v>
      </c>
      <c r="AQ2317" s="46">
        <v>0</v>
      </c>
      <c r="AR2317" s="46">
        <v>0</v>
      </c>
      <c r="AS2317" s="46">
        <v>0</v>
      </c>
      <c r="AT2317" s="46">
        <v>0</v>
      </c>
      <c r="AU2317" s="46">
        <v>0</v>
      </c>
      <c r="AV2317" s="46">
        <v>0</v>
      </c>
      <c r="AW2317" s="46">
        <v>0</v>
      </c>
      <c r="AX2317" s="46">
        <v>0</v>
      </c>
      <c r="AY2317" s="46">
        <v>0</v>
      </c>
      <c r="AZ2317" s="46">
        <v>0</v>
      </c>
      <c r="BA2317" s="46">
        <v>0</v>
      </c>
      <c r="BB2317" s="46">
        <v>0</v>
      </c>
      <c r="BC2317" s="46">
        <v>0</v>
      </c>
      <c r="BD2317" s="46">
        <v>0</v>
      </c>
      <c r="BE2317" s="46">
        <v>0</v>
      </c>
      <c r="BF2317" s="46">
        <v>0</v>
      </c>
      <c r="BG2317" s="46" t="s">
        <v>48</v>
      </c>
      <c r="BH2317" s="46">
        <v>0</v>
      </c>
      <c r="BI2317" s="46">
        <v>0</v>
      </c>
      <c r="BJ2317" s="46">
        <v>0</v>
      </c>
      <c r="BK2317" s="46">
        <v>0</v>
      </c>
      <c r="BL2317" s="46">
        <v>0</v>
      </c>
      <c r="BM2317" s="46">
        <v>0</v>
      </c>
      <c r="BN2317" s="46">
        <v>0</v>
      </c>
    </row>
    <row r="2318" spans="1:66" x14ac:dyDescent="0.35">
      <c r="A2318" t="s">
        <v>6830</v>
      </c>
      <c r="B2318" t="s">
        <v>48</v>
      </c>
      <c r="C2318" t="s">
        <v>6834</v>
      </c>
      <c r="D2318" t="s">
        <v>6833</v>
      </c>
      <c r="E2318" t="s">
        <v>6831</v>
      </c>
      <c r="F2318" t="s">
        <v>187</v>
      </c>
      <c r="G2318" t="s">
        <v>47</v>
      </c>
      <c r="H2318">
        <v>0</v>
      </c>
      <c r="I2318" s="60" t="s">
        <v>51</v>
      </c>
      <c r="J2318" s="33" t="s">
        <v>45</v>
      </c>
      <c r="K2318" s="46">
        <v>0</v>
      </c>
      <c r="L2318">
        <v>18</v>
      </c>
      <c r="M2318">
        <v>43</v>
      </c>
      <c r="N2318" s="46">
        <v>0</v>
      </c>
      <c r="O2318" s="46">
        <v>0</v>
      </c>
      <c r="P2318" s="46">
        <v>0</v>
      </c>
      <c r="Q2318" t="s">
        <v>48</v>
      </c>
      <c r="R2318" t="s">
        <v>48</v>
      </c>
      <c r="S2318" t="s">
        <v>6832</v>
      </c>
      <c r="T2318" t="s">
        <v>48</v>
      </c>
      <c r="U2318" t="s">
        <v>6832</v>
      </c>
      <c r="V2318" s="47">
        <v>0</v>
      </c>
      <c r="W2318" t="s">
        <v>48</v>
      </c>
      <c r="X2318" t="s">
        <v>48</v>
      </c>
      <c r="Y2318" t="s">
        <v>48</v>
      </c>
      <c r="Z2318">
        <v>0</v>
      </c>
      <c r="AA2318" t="s">
        <v>48</v>
      </c>
      <c r="AB2318" t="s">
        <v>48</v>
      </c>
      <c r="AC2318" t="s">
        <v>63</v>
      </c>
      <c r="AD2318" t="s">
        <v>93</v>
      </c>
      <c r="AE2318" t="s">
        <v>4532</v>
      </c>
      <c r="AF2318" t="s">
        <v>48</v>
      </c>
      <c r="AG2318" t="s">
        <v>48</v>
      </c>
      <c r="AH2318" t="s">
        <v>48</v>
      </c>
      <c r="AI2318" t="s">
        <v>48</v>
      </c>
      <c r="AJ2318" t="s">
        <v>48</v>
      </c>
      <c r="AK2318" t="s">
        <v>48</v>
      </c>
      <c r="AL2318" t="s">
        <v>48</v>
      </c>
      <c r="AM2318" t="s">
        <v>48</v>
      </c>
      <c r="AN2318" t="s">
        <v>48</v>
      </c>
      <c r="AO2318" t="s">
        <v>48</v>
      </c>
      <c r="AP2318" s="46">
        <v>0</v>
      </c>
      <c r="AQ2318" s="46">
        <v>0</v>
      </c>
      <c r="AR2318" s="46">
        <v>0</v>
      </c>
      <c r="AS2318" s="46">
        <v>0</v>
      </c>
      <c r="AT2318" s="46">
        <v>0</v>
      </c>
      <c r="AU2318" s="46">
        <v>0</v>
      </c>
      <c r="AV2318" s="46">
        <v>0</v>
      </c>
      <c r="AW2318" s="46">
        <v>0</v>
      </c>
      <c r="AX2318" s="46">
        <v>0</v>
      </c>
      <c r="AY2318" s="46">
        <v>0</v>
      </c>
      <c r="AZ2318" s="46">
        <v>0</v>
      </c>
      <c r="BA2318" s="46">
        <v>0</v>
      </c>
      <c r="BB2318" s="46">
        <v>0</v>
      </c>
      <c r="BC2318" s="46">
        <v>0</v>
      </c>
      <c r="BD2318" s="46">
        <v>0</v>
      </c>
      <c r="BE2318" s="46">
        <v>0</v>
      </c>
      <c r="BF2318" s="46">
        <v>0</v>
      </c>
      <c r="BG2318" s="46" t="s">
        <v>48</v>
      </c>
      <c r="BH2318" s="46">
        <v>0</v>
      </c>
      <c r="BI2318" s="46">
        <v>0</v>
      </c>
      <c r="BJ2318" s="46">
        <v>0</v>
      </c>
      <c r="BK2318" s="46">
        <v>0</v>
      </c>
      <c r="BL2318" s="46">
        <v>0</v>
      </c>
      <c r="BM2318" s="46">
        <v>0</v>
      </c>
      <c r="BN2318" s="46">
        <v>0</v>
      </c>
    </row>
    <row r="2319" spans="1:66" x14ac:dyDescent="0.35">
      <c r="A2319" t="s">
        <v>6810</v>
      </c>
      <c r="B2319" t="s">
        <v>48</v>
      </c>
      <c r="C2319" t="s">
        <v>6813</v>
      </c>
      <c r="D2319" t="s">
        <v>76</v>
      </c>
      <c r="E2319" t="s">
        <v>6811</v>
      </c>
      <c r="F2319" t="s">
        <v>187</v>
      </c>
      <c r="G2319" t="s">
        <v>47</v>
      </c>
      <c r="H2319">
        <v>0</v>
      </c>
      <c r="I2319" s="60" t="s">
        <v>51</v>
      </c>
      <c r="J2319" s="33" t="s">
        <v>45</v>
      </c>
      <c r="K2319" s="46">
        <v>0</v>
      </c>
      <c r="L2319">
        <v>13.5</v>
      </c>
      <c r="M2319" t="s">
        <v>48</v>
      </c>
      <c r="N2319" s="46">
        <v>0</v>
      </c>
      <c r="O2319" s="46">
        <v>0</v>
      </c>
      <c r="P2319" s="46">
        <v>0</v>
      </c>
      <c r="Q2319" t="s">
        <v>48</v>
      </c>
      <c r="R2319" t="s">
        <v>48</v>
      </c>
      <c r="S2319" t="s">
        <v>6812</v>
      </c>
      <c r="T2319" t="s">
        <v>48</v>
      </c>
      <c r="U2319" t="s">
        <v>6812</v>
      </c>
      <c r="V2319" s="47">
        <v>0</v>
      </c>
      <c r="W2319" t="s">
        <v>11317</v>
      </c>
      <c r="X2319" t="s">
        <v>48</v>
      </c>
      <c r="Y2319" t="s">
        <v>48</v>
      </c>
      <c r="Z2319">
        <v>0</v>
      </c>
      <c r="AA2319" t="s">
        <v>48</v>
      </c>
      <c r="AB2319" t="s">
        <v>48</v>
      </c>
      <c r="AC2319" t="s">
        <v>49</v>
      </c>
      <c r="AD2319" t="s">
        <v>93</v>
      </c>
      <c r="AE2319" s="40" t="s">
        <v>4532</v>
      </c>
      <c r="AF2319" t="s">
        <v>48</v>
      </c>
      <c r="AG2319" t="s">
        <v>48</v>
      </c>
      <c r="AH2319" t="s">
        <v>48</v>
      </c>
      <c r="AI2319" t="s">
        <v>48</v>
      </c>
      <c r="AJ2319" t="s">
        <v>48</v>
      </c>
      <c r="AK2319" t="s">
        <v>48</v>
      </c>
      <c r="AL2319" t="s">
        <v>48</v>
      </c>
      <c r="AM2319" t="s">
        <v>48</v>
      </c>
      <c r="AN2319" t="s">
        <v>48</v>
      </c>
      <c r="AO2319" t="s">
        <v>48</v>
      </c>
      <c r="AP2319" s="46">
        <v>0</v>
      </c>
      <c r="AQ2319" s="46">
        <v>0</v>
      </c>
      <c r="AR2319" s="46">
        <v>0</v>
      </c>
      <c r="AS2319" s="46">
        <v>0</v>
      </c>
      <c r="AT2319" s="46">
        <v>0</v>
      </c>
      <c r="AU2319" s="46">
        <v>0</v>
      </c>
      <c r="AV2319" s="46">
        <v>0</v>
      </c>
      <c r="AW2319" s="46">
        <v>0</v>
      </c>
      <c r="AX2319" s="46">
        <v>0</v>
      </c>
      <c r="AY2319" s="46">
        <v>0</v>
      </c>
      <c r="AZ2319" s="46">
        <v>0</v>
      </c>
      <c r="BA2319" s="46">
        <v>0</v>
      </c>
      <c r="BB2319" s="46">
        <v>0</v>
      </c>
      <c r="BC2319" s="46">
        <v>0</v>
      </c>
      <c r="BD2319" s="46">
        <v>0</v>
      </c>
      <c r="BE2319" s="46">
        <v>0</v>
      </c>
      <c r="BF2319" s="46">
        <v>0</v>
      </c>
      <c r="BG2319" s="46" t="s">
        <v>48</v>
      </c>
      <c r="BH2319" s="46">
        <v>0</v>
      </c>
      <c r="BI2319" s="46">
        <v>0</v>
      </c>
      <c r="BJ2319" s="46">
        <v>0</v>
      </c>
      <c r="BK2319" s="46">
        <v>0</v>
      </c>
      <c r="BL2319" s="46">
        <v>0</v>
      </c>
      <c r="BM2319" s="46">
        <v>0</v>
      </c>
      <c r="BN2319" s="46">
        <v>0</v>
      </c>
    </row>
    <row r="2320" spans="1:66" x14ac:dyDescent="0.35">
      <c r="A2320" t="s">
        <v>6798</v>
      </c>
      <c r="B2320" s="44" t="s">
        <v>48</v>
      </c>
      <c r="C2320" t="s">
        <v>6802</v>
      </c>
      <c r="D2320" t="s">
        <v>6801</v>
      </c>
      <c r="E2320" t="s">
        <v>6799</v>
      </c>
      <c r="F2320" t="s">
        <v>187</v>
      </c>
      <c r="G2320" t="s">
        <v>74</v>
      </c>
      <c r="H2320">
        <v>0</v>
      </c>
      <c r="I2320" s="60" t="s">
        <v>51</v>
      </c>
      <c r="J2320" s="33" t="s">
        <v>45</v>
      </c>
      <c r="K2320" s="46">
        <v>0</v>
      </c>
      <c r="L2320">
        <v>4.7</v>
      </c>
      <c r="M2320" t="s">
        <v>48</v>
      </c>
      <c r="N2320" s="46">
        <v>0</v>
      </c>
      <c r="O2320" s="46">
        <v>0</v>
      </c>
      <c r="P2320" s="46">
        <v>0</v>
      </c>
      <c r="Q2320" t="s">
        <v>48</v>
      </c>
      <c r="R2320" t="s">
        <v>48</v>
      </c>
      <c r="S2320" t="s">
        <v>6800</v>
      </c>
      <c r="T2320" t="s">
        <v>48</v>
      </c>
      <c r="U2320" t="s">
        <v>6800</v>
      </c>
      <c r="V2320" s="47">
        <v>0</v>
      </c>
      <c r="W2320" t="s">
        <v>48</v>
      </c>
      <c r="X2320" t="s">
        <v>48</v>
      </c>
      <c r="Y2320" t="s">
        <v>48</v>
      </c>
      <c r="Z2320">
        <v>0</v>
      </c>
      <c r="AA2320" t="s">
        <v>48</v>
      </c>
      <c r="AB2320" t="s">
        <v>48</v>
      </c>
      <c r="AC2320" t="s">
        <v>63</v>
      </c>
      <c r="AD2320" t="s">
        <v>951</v>
      </c>
      <c r="AE2320" t="s">
        <v>11051</v>
      </c>
      <c r="AF2320" t="s">
        <v>48</v>
      </c>
      <c r="AG2320" t="s">
        <v>48</v>
      </c>
      <c r="AH2320" t="s">
        <v>48</v>
      </c>
      <c r="AI2320" t="s">
        <v>48</v>
      </c>
      <c r="AJ2320" t="s">
        <v>48</v>
      </c>
      <c r="AK2320" t="s">
        <v>48</v>
      </c>
      <c r="AL2320" t="s">
        <v>48</v>
      </c>
      <c r="AM2320" t="s">
        <v>48</v>
      </c>
      <c r="AN2320" t="s">
        <v>48</v>
      </c>
      <c r="AO2320" t="s">
        <v>48</v>
      </c>
      <c r="AP2320" s="46">
        <v>0</v>
      </c>
      <c r="AQ2320" s="46">
        <v>0</v>
      </c>
      <c r="AR2320" s="46">
        <v>0</v>
      </c>
      <c r="AS2320" s="46">
        <v>0</v>
      </c>
      <c r="AT2320" s="46">
        <v>0</v>
      </c>
      <c r="AU2320" s="46">
        <v>0</v>
      </c>
      <c r="AV2320" s="46">
        <v>0</v>
      </c>
      <c r="AW2320" s="46">
        <v>0</v>
      </c>
      <c r="AX2320" s="46">
        <v>0</v>
      </c>
      <c r="AY2320" s="46">
        <v>0</v>
      </c>
      <c r="AZ2320" s="46">
        <v>0</v>
      </c>
      <c r="BA2320" s="46">
        <v>0</v>
      </c>
      <c r="BB2320" s="46">
        <v>0</v>
      </c>
      <c r="BC2320" s="46">
        <v>0</v>
      </c>
      <c r="BD2320" s="46">
        <v>0</v>
      </c>
      <c r="BE2320" s="46">
        <v>0</v>
      </c>
      <c r="BF2320" s="46">
        <v>0</v>
      </c>
      <c r="BG2320" s="46" t="s">
        <v>48</v>
      </c>
      <c r="BH2320" s="46">
        <v>0</v>
      </c>
      <c r="BI2320" s="46">
        <v>0</v>
      </c>
      <c r="BJ2320" s="46">
        <v>0</v>
      </c>
      <c r="BK2320" s="46">
        <v>0</v>
      </c>
      <c r="BL2320" s="46">
        <v>0</v>
      </c>
      <c r="BM2320" s="46">
        <v>0</v>
      </c>
      <c r="BN2320" s="46">
        <v>0</v>
      </c>
    </row>
    <row r="2321" spans="1:66" x14ac:dyDescent="0.35">
      <c r="A2321" t="s">
        <v>6822</v>
      </c>
      <c r="B2321" t="s">
        <v>48</v>
      </c>
      <c r="C2321" t="s">
        <v>6825</v>
      </c>
      <c r="D2321" t="s">
        <v>1972</v>
      </c>
      <c r="E2321" t="s">
        <v>6823</v>
      </c>
      <c r="F2321" t="s">
        <v>187</v>
      </c>
      <c r="G2321" t="s">
        <v>47</v>
      </c>
      <c r="H2321">
        <v>0</v>
      </c>
      <c r="I2321" s="60" t="s">
        <v>149</v>
      </c>
      <c r="J2321" s="33" t="s">
        <v>45</v>
      </c>
      <c r="K2321" s="46">
        <v>0</v>
      </c>
      <c r="L2321">
        <v>13.3</v>
      </c>
      <c r="M2321" t="s">
        <v>48</v>
      </c>
      <c r="N2321" s="46">
        <v>0</v>
      </c>
      <c r="O2321" s="46">
        <v>0</v>
      </c>
      <c r="P2321" s="46">
        <v>0</v>
      </c>
      <c r="Q2321" t="s">
        <v>48</v>
      </c>
      <c r="R2321" t="s">
        <v>48</v>
      </c>
      <c r="S2321" t="s">
        <v>6824</v>
      </c>
      <c r="T2321" t="s">
        <v>48</v>
      </c>
      <c r="U2321" t="s">
        <v>6824</v>
      </c>
      <c r="V2321" s="47">
        <v>0</v>
      </c>
      <c r="W2321" t="s">
        <v>11317</v>
      </c>
      <c r="X2321" t="s">
        <v>48</v>
      </c>
      <c r="Y2321" t="s">
        <v>48</v>
      </c>
      <c r="Z2321">
        <v>0</v>
      </c>
      <c r="AA2321" t="s">
        <v>48</v>
      </c>
      <c r="AB2321" t="s">
        <v>48</v>
      </c>
      <c r="AC2321" t="s">
        <v>49</v>
      </c>
      <c r="AD2321" t="s">
        <v>951</v>
      </c>
      <c r="AE2321" s="40" t="s">
        <v>977</v>
      </c>
      <c r="AF2321" t="s">
        <v>48</v>
      </c>
      <c r="AG2321" t="s">
        <v>48</v>
      </c>
      <c r="AH2321" t="s">
        <v>48</v>
      </c>
      <c r="AI2321" t="s">
        <v>48</v>
      </c>
      <c r="AJ2321" t="s">
        <v>48</v>
      </c>
      <c r="AK2321" t="s">
        <v>48</v>
      </c>
      <c r="AL2321" t="s">
        <v>48</v>
      </c>
      <c r="AM2321" t="s">
        <v>48</v>
      </c>
      <c r="AN2321" t="s">
        <v>48</v>
      </c>
      <c r="AO2321" t="s">
        <v>48</v>
      </c>
      <c r="AP2321" s="46">
        <v>0</v>
      </c>
      <c r="AQ2321" s="46">
        <v>0</v>
      </c>
      <c r="AR2321" s="46">
        <v>0</v>
      </c>
      <c r="AS2321" s="46">
        <v>0</v>
      </c>
      <c r="AT2321" s="46">
        <v>0</v>
      </c>
      <c r="AU2321" s="46">
        <v>0</v>
      </c>
      <c r="AV2321" s="46">
        <v>0</v>
      </c>
      <c r="AW2321" s="46">
        <v>0</v>
      </c>
      <c r="AX2321" s="46">
        <v>0</v>
      </c>
      <c r="AY2321" s="46">
        <v>0</v>
      </c>
      <c r="AZ2321" s="46">
        <v>0</v>
      </c>
      <c r="BA2321" s="46">
        <v>0</v>
      </c>
      <c r="BB2321" s="46">
        <v>0</v>
      </c>
      <c r="BC2321" s="46">
        <v>0</v>
      </c>
      <c r="BD2321" s="46">
        <v>0</v>
      </c>
      <c r="BE2321" s="46">
        <v>0</v>
      </c>
      <c r="BF2321" s="46">
        <v>0</v>
      </c>
      <c r="BG2321" s="46" t="s">
        <v>48</v>
      </c>
      <c r="BH2321" s="46">
        <v>0</v>
      </c>
      <c r="BI2321" s="46">
        <v>0</v>
      </c>
      <c r="BJ2321" s="46">
        <v>0</v>
      </c>
      <c r="BK2321" s="46">
        <v>0</v>
      </c>
      <c r="BL2321" s="46">
        <v>0</v>
      </c>
      <c r="BM2321" s="46">
        <v>0</v>
      </c>
      <c r="BN2321" s="46">
        <v>0</v>
      </c>
    </row>
    <row r="2322" spans="1:66" x14ac:dyDescent="0.35">
      <c r="A2322" t="s">
        <v>6835</v>
      </c>
      <c r="B2322" t="s">
        <v>48</v>
      </c>
      <c r="C2322" t="s">
        <v>6840</v>
      </c>
      <c r="D2322" t="s">
        <v>6839</v>
      </c>
      <c r="E2322" t="s">
        <v>6837</v>
      </c>
      <c r="F2322" t="s">
        <v>6836</v>
      </c>
      <c r="G2322" t="s">
        <v>47</v>
      </c>
      <c r="H2322">
        <v>0</v>
      </c>
      <c r="I2322" s="60" t="s">
        <v>149</v>
      </c>
      <c r="J2322" s="33" t="s">
        <v>45</v>
      </c>
      <c r="K2322" s="46">
        <v>0</v>
      </c>
      <c r="L2322">
        <v>26.3</v>
      </c>
      <c r="M2322" t="s">
        <v>48</v>
      </c>
      <c r="N2322" s="46">
        <v>0</v>
      </c>
      <c r="O2322" s="46">
        <v>0</v>
      </c>
      <c r="P2322" s="46">
        <v>0</v>
      </c>
      <c r="Q2322" t="s">
        <v>48</v>
      </c>
      <c r="R2322" t="s">
        <v>48</v>
      </c>
      <c r="S2322" t="s">
        <v>6838</v>
      </c>
      <c r="T2322" t="s">
        <v>48</v>
      </c>
      <c r="U2322" t="s">
        <v>6838</v>
      </c>
      <c r="V2322" s="47">
        <v>0</v>
      </c>
      <c r="W2322" t="s">
        <v>48</v>
      </c>
      <c r="X2322" t="s">
        <v>48</v>
      </c>
      <c r="Y2322" t="s">
        <v>48</v>
      </c>
      <c r="Z2322">
        <v>0</v>
      </c>
      <c r="AA2322" t="s">
        <v>48</v>
      </c>
      <c r="AB2322" t="s">
        <v>48</v>
      </c>
      <c r="AC2322" t="s">
        <v>63</v>
      </c>
      <c r="AD2322" t="s">
        <v>951</v>
      </c>
      <c r="AE2322" s="40" t="s">
        <v>11051</v>
      </c>
      <c r="AF2322" t="s">
        <v>108</v>
      </c>
      <c r="AG2322" t="s">
        <v>48</v>
      </c>
      <c r="AH2322" t="s">
        <v>48</v>
      </c>
      <c r="AI2322" t="s">
        <v>48</v>
      </c>
      <c r="AJ2322" t="s">
        <v>48</v>
      </c>
      <c r="AK2322" t="s">
        <v>48</v>
      </c>
      <c r="AL2322" t="s">
        <v>48</v>
      </c>
      <c r="AM2322" t="s">
        <v>48</v>
      </c>
      <c r="AN2322" t="s">
        <v>48</v>
      </c>
      <c r="AO2322" t="s">
        <v>48</v>
      </c>
      <c r="AP2322" s="46">
        <v>0</v>
      </c>
      <c r="AQ2322" s="46">
        <v>0</v>
      </c>
      <c r="AR2322" s="46">
        <v>0</v>
      </c>
      <c r="AS2322" s="46">
        <v>0</v>
      </c>
      <c r="AT2322" s="46">
        <v>0</v>
      </c>
      <c r="AU2322" s="46">
        <v>0</v>
      </c>
      <c r="AV2322" s="46">
        <v>0</v>
      </c>
      <c r="AW2322" s="46">
        <v>0</v>
      </c>
      <c r="AX2322" s="46">
        <v>0</v>
      </c>
      <c r="AY2322" s="46">
        <v>0</v>
      </c>
      <c r="AZ2322" s="46">
        <v>0</v>
      </c>
      <c r="BA2322" s="46">
        <v>0</v>
      </c>
      <c r="BB2322" s="46">
        <v>0</v>
      </c>
      <c r="BC2322" s="46">
        <v>0</v>
      </c>
      <c r="BD2322" s="46">
        <v>0</v>
      </c>
      <c r="BE2322" s="46">
        <v>0</v>
      </c>
      <c r="BF2322" s="46">
        <v>0</v>
      </c>
      <c r="BG2322" s="46" t="s">
        <v>48</v>
      </c>
      <c r="BH2322" s="46">
        <v>0</v>
      </c>
      <c r="BI2322" s="46">
        <v>0</v>
      </c>
      <c r="BJ2322" s="46">
        <v>0</v>
      </c>
      <c r="BK2322" s="46">
        <v>0</v>
      </c>
      <c r="BL2322" s="46">
        <v>0</v>
      </c>
      <c r="BM2322" s="46">
        <v>0</v>
      </c>
      <c r="BN2322" s="46">
        <v>0</v>
      </c>
    </row>
    <row r="2323" spans="1:66" x14ac:dyDescent="0.35">
      <c r="A2323" t="s">
        <v>6558</v>
      </c>
      <c r="B2323" t="s">
        <v>48</v>
      </c>
      <c r="C2323" t="s">
        <v>6561</v>
      </c>
      <c r="D2323" t="s">
        <v>52</v>
      </c>
      <c r="E2323" t="s">
        <v>6850</v>
      </c>
      <c r="F2323" t="s">
        <v>6836</v>
      </c>
      <c r="G2323" t="s">
        <v>47</v>
      </c>
      <c r="H2323">
        <v>0</v>
      </c>
      <c r="I2323" s="60" t="s">
        <v>125</v>
      </c>
      <c r="J2323" s="33" t="s">
        <v>45</v>
      </c>
      <c r="K2323" s="46">
        <v>0</v>
      </c>
      <c r="L2323">
        <v>31.7</v>
      </c>
      <c r="M2323">
        <v>39.4</v>
      </c>
      <c r="N2323" s="46">
        <v>0</v>
      </c>
      <c r="O2323" s="46">
        <v>0</v>
      </c>
      <c r="P2323" s="46">
        <v>0</v>
      </c>
      <c r="Q2323" t="s">
        <v>48</v>
      </c>
      <c r="R2323" t="s">
        <v>48</v>
      </c>
      <c r="S2323" t="s">
        <v>6851</v>
      </c>
      <c r="T2323" t="s">
        <v>48</v>
      </c>
      <c r="U2323" t="s">
        <v>6851</v>
      </c>
      <c r="V2323" s="47">
        <v>0</v>
      </c>
      <c r="W2323" t="s">
        <v>48</v>
      </c>
      <c r="X2323" t="s">
        <v>48</v>
      </c>
      <c r="Y2323" t="s">
        <v>48</v>
      </c>
      <c r="Z2323">
        <v>0</v>
      </c>
      <c r="AA2323" t="s">
        <v>48</v>
      </c>
      <c r="AB2323" t="s">
        <v>48</v>
      </c>
      <c r="AC2323" t="s">
        <v>49</v>
      </c>
      <c r="AD2323" t="s">
        <v>951</v>
      </c>
      <c r="AE2323" s="40" t="s">
        <v>11051</v>
      </c>
      <c r="AF2323" t="s">
        <v>108</v>
      </c>
      <c r="AG2323" t="s">
        <v>48</v>
      </c>
      <c r="AH2323" t="s">
        <v>48</v>
      </c>
      <c r="AI2323" t="s">
        <v>48</v>
      </c>
      <c r="AJ2323" t="s">
        <v>48</v>
      </c>
      <c r="AK2323" t="s">
        <v>48</v>
      </c>
      <c r="AL2323" t="s">
        <v>48</v>
      </c>
      <c r="AM2323" t="s">
        <v>48</v>
      </c>
      <c r="AN2323" t="s">
        <v>48</v>
      </c>
      <c r="AO2323" t="s">
        <v>48</v>
      </c>
      <c r="AP2323" s="46">
        <v>0</v>
      </c>
      <c r="AQ2323" s="46">
        <v>0</v>
      </c>
      <c r="AR2323" s="46">
        <v>0</v>
      </c>
      <c r="AS2323" s="46">
        <v>0</v>
      </c>
      <c r="AT2323" s="46">
        <v>0</v>
      </c>
      <c r="AU2323" s="46">
        <v>0</v>
      </c>
      <c r="AV2323" s="46">
        <v>0</v>
      </c>
      <c r="AW2323" s="46">
        <v>0</v>
      </c>
      <c r="AX2323" s="46">
        <v>0</v>
      </c>
      <c r="AY2323" s="46">
        <v>0</v>
      </c>
      <c r="AZ2323" s="46">
        <v>0</v>
      </c>
      <c r="BA2323" s="46">
        <v>0</v>
      </c>
      <c r="BB2323" s="46">
        <v>0</v>
      </c>
      <c r="BC2323" s="46">
        <v>0</v>
      </c>
      <c r="BD2323" s="46">
        <v>0</v>
      </c>
      <c r="BE2323" s="46">
        <v>0</v>
      </c>
      <c r="BF2323" s="46">
        <v>0</v>
      </c>
      <c r="BG2323" s="46" t="s">
        <v>48</v>
      </c>
      <c r="BH2323" s="46">
        <v>0</v>
      </c>
      <c r="BI2323" s="46">
        <v>0</v>
      </c>
      <c r="BJ2323" s="46">
        <v>0</v>
      </c>
      <c r="BK2323" s="46">
        <v>0</v>
      </c>
      <c r="BL2323" s="46">
        <v>0</v>
      </c>
      <c r="BM2323" s="46">
        <v>0</v>
      </c>
      <c r="BN2323" s="46">
        <v>0</v>
      </c>
    </row>
    <row r="2324" spans="1:66" x14ac:dyDescent="0.35">
      <c r="A2324" t="s">
        <v>6841</v>
      </c>
      <c r="B2324" t="s">
        <v>48</v>
      </c>
      <c r="C2324" t="s">
        <v>6844</v>
      </c>
      <c r="D2324" t="s">
        <v>6843</v>
      </c>
      <c r="E2324" t="s">
        <v>6842</v>
      </c>
      <c r="F2324" t="s">
        <v>6836</v>
      </c>
      <c r="G2324" t="s">
        <v>47</v>
      </c>
      <c r="H2324">
        <v>0</v>
      </c>
      <c r="I2324" s="60" t="s">
        <v>149</v>
      </c>
      <c r="J2324" s="33" t="s">
        <v>45</v>
      </c>
      <c r="K2324" s="46">
        <v>0</v>
      </c>
      <c r="L2324">
        <v>2.8</v>
      </c>
      <c r="M2324" t="s">
        <v>48</v>
      </c>
      <c r="N2324" s="46">
        <v>0</v>
      </c>
      <c r="O2324" s="46">
        <v>0</v>
      </c>
      <c r="P2324" s="46">
        <v>0</v>
      </c>
      <c r="Q2324" t="s">
        <v>48</v>
      </c>
      <c r="R2324" t="s">
        <v>48</v>
      </c>
      <c r="S2324" t="s">
        <v>48</v>
      </c>
      <c r="T2324" t="s">
        <v>48</v>
      </c>
      <c r="U2324" t="s">
        <v>48</v>
      </c>
      <c r="V2324" s="47">
        <v>0</v>
      </c>
      <c r="W2324" t="s">
        <v>48</v>
      </c>
      <c r="X2324" t="s">
        <v>48</v>
      </c>
      <c r="Y2324" t="s">
        <v>48</v>
      </c>
      <c r="Z2324">
        <v>0</v>
      </c>
      <c r="AA2324" t="s">
        <v>48</v>
      </c>
      <c r="AB2324" t="s">
        <v>48</v>
      </c>
      <c r="AC2324" t="s">
        <v>63</v>
      </c>
      <c r="AD2324" t="s">
        <v>93</v>
      </c>
      <c r="AE2324" s="40" t="s">
        <v>2471</v>
      </c>
      <c r="AF2324" t="s">
        <v>11088</v>
      </c>
      <c r="AG2324" t="s">
        <v>48</v>
      </c>
      <c r="AH2324" t="s">
        <v>48</v>
      </c>
      <c r="AI2324" t="s">
        <v>48</v>
      </c>
      <c r="AJ2324" t="s">
        <v>48</v>
      </c>
      <c r="AK2324" t="s">
        <v>48</v>
      </c>
      <c r="AL2324" t="s">
        <v>48</v>
      </c>
      <c r="AM2324" t="s">
        <v>48</v>
      </c>
      <c r="AN2324" t="s">
        <v>48</v>
      </c>
      <c r="AO2324" t="s">
        <v>48</v>
      </c>
      <c r="AP2324" s="46">
        <v>0</v>
      </c>
      <c r="AQ2324" s="46">
        <v>0</v>
      </c>
      <c r="AR2324" s="46">
        <v>0</v>
      </c>
      <c r="AS2324" s="46">
        <v>0</v>
      </c>
      <c r="AT2324" s="46">
        <v>0</v>
      </c>
      <c r="AU2324" s="46">
        <v>0</v>
      </c>
      <c r="AV2324" s="46">
        <v>0</v>
      </c>
      <c r="AW2324" s="46">
        <v>0</v>
      </c>
      <c r="AX2324" s="46">
        <v>0</v>
      </c>
      <c r="AY2324" s="46">
        <v>0</v>
      </c>
      <c r="AZ2324" s="46">
        <v>0</v>
      </c>
      <c r="BA2324" s="46">
        <v>0</v>
      </c>
      <c r="BB2324" s="46">
        <v>0</v>
      </c>
      <c r="BC2324" s="46">
        <v>0</v>
      </c>
      <c r="BD2324" s="46">
        <v>0</v>
      </c>
      <c r="BE2324" s="46">
        <v>0</v>
      </c>
      <c r="BF2324" s="46">
        <v>0</v>
      </c>
      <c r="BG2324" s="46" t="s">
        <v>48</v>
      </c>
      <c r="BH2324" s="46">
        <v>0</v>
      </c>
      <c r="BI2324" s="46">
        <v>0</v>
      </c>
      <c r="BJ2324" s="46">
        <v>0</v>
      </c>
      <c r="BK2324" s="46">
        <v>0</v>
      </c>
      <c r="BL2324" s="46">
        <v>0</v>
      </c>
      <c r="BM2324" s="46">
        <v>0</v>
      </c>
      <c r="BN2324" s="46">
        <v>0</v>
      </c>
    </row>
    <row r="2325" spans="1:66" x14ac:dyDescent="0.35">
      <c r="A2325" t="s">
        <v>6896</v>
      </c>
      <c r="B2325" s="44" t="s">
        <v>48</v>
      </c>
      <c r="C2325" t="s">
        <v>6900</v>
      </c>
      <c r="D2325" t="s">
        <v>6899</v>
      </c>
      <c r="E2325" t="s">
        <v>6897</v>
      </c>
      <c r="F2325" t="s">
        <v>6856</v>
      </c>
      <c r="G2325" t="s">
        <v>74</v>
      </c>
      <c r="H2325">
        <v>0</v>
      </c>
      <c r="I2325" s="60" t="s">
        <v>661</v>
      </c>
      <c r="J2325" s="33" t="s">
        <v>45</v>
      </c>
      <c r="K2325" s="46">
        <v>0</v>
      </c>
      <c r="L2325">
        <v>5.9</v>
      </c>
      <c r="M2325" t="s">
        <v>48</v>
      </c>
      <c r="N2325" s="46">
        <v>0</v>
      </c>
      <c r="O2325" s="46">
        <v>0</v>
      </c>
      <c r="P2325" s="46">
        <v>0</v>
      </c>
      <c r="Q2325" t="s">
        <v>48</v>
      </c>
      <c r="R2325" t="s">
        <v>48</v>
      </c>
      <c r="S2325" t="s">
        <v>6898</v>
      </c>
      <c r="T2325" t="s">
        <v>48</v>
      </c>
      <c r="U2325" t="s">
        <v>6898</v>
      </c>
      <c r="V2325" s="47">
        <v>0</v>
      </c>
      <c r="W2325" t="s">
        <v>48</v>
      </c>
      <c r="X2325" t="s">
        <v>48</v>
      </c>
      <c r="Y2325" t="s">
        <v>48</v>
      </c>
      <c r="Z2325">
        <v>0</v>
      </c>
      <c r="AA2325" t="s">
        <v>48</v>
      </c>
      <c r="AB2325" t="s">
        <v>48</v>
      </c>
      <c r="AC2325" t="s">
        <v>49</v>
      </c>
      <c r="AD2325" t="s">
        <v>93</v>
      </c>
      <c r="AE2325" s="40" t="s">
        <v>2471</v>
      </c>
      <c r="AF2325" t="s">
        <v>48</v>
      </c>
      <c r="AG2325" t="s">
        <v>48</v>
      </c>
      <c r="AH2325" t="s">
        <v>48</v>
      </c>
      <c r="AI2325" t="s">
        <v>48</v>
      </c>
      <c r="AJ2325" t="s">
        <v>48</v>
      </c>
      <c r="AK2325" t="s">
        <v>48</v>
      </c>
      <c r="AL2325" t="s">
        <v>48</v>
      </c>
      <c r="AM2325" t="s">
        <v>48</v>
      </c>
      <c r="AN2325" t="s">
        <v>48</v>
      </c>
      <c r="AO2325" t="s">
        <v>48</v>
      </c>
      <c r="AP2325" s="46">
        <v>0</v>
      </c>
      <c r="AQ2325" s="46">
        <v>0</v>
      </c>
      <c r="AR2325" s="46">
        <v>0</v>
      </c>
      <c r="AS2325" s="46">
        <v>0</v>
      </c>
      <c r="AT2325" s="46">
        <v>0</v>
      </c>
      <c r="AU2325" s="46">
        <v>0</v>
      </c>
      <c r="AV2325" s="46">
        <v>0</v>
      </c>
      <c r="AW2325" s="46">
        <v>0</v>
      </c>
      <c r="AX2325" s="46">
        <v>0</v>
      </c>
      <c r="AY2325" s="46">
        <v>0</v>
      </c>
      <c r="AZ2325" s="46">
        <v>0</v>
      </c>
      <c r="BA2325" s="46">
        <v>0</v>
      </c>
      <c r="BB2325" s="46">
        <v>0</v>
      </c>
      <c r="BC2325" s="46">
        <v>0</v>
      </c>
      <c r="BD2325" s="46">
        <v>0</v>
      </c>
      <c r="BE2325" s="46">
        <v>0</v>
      </c>
      <c r="BF2325" s="46">
        <v>0</v>
      </c>
      <c r="BG2325" s="46" t="s">
        <v>48</v>
      </c>
      <c r="BH2325" s="46">
        <v>0</v>
      </c>
      <c r="BI2325" s="46">
        <v>0</v>
      </c>
      <c r="BJ2325" s="46">
        <v>0</v>
      </c>
      <c r="BK2325" s="46">
        <v>0</v>
      </c>
      <c r="BL2325" s="46">
        <v>0</v>
      </c>
      <c r="BM2325" s="46">
        <v>0</v>
      </c>
      <c r="BN2325" s="46">
        <v>0</v>
      </c>
    </row>
    <row r="2326" spans="1:66" x14ac:dyDescent="0.35">
      <c r="A2326" t="s">
        <v>6901</v>
      </c>
      <c r="B2326" t="s">
        <v>48</v>
      </c>
      <c r="C2326" t="s">
        <v>12412</v>
      </c>
      <c r="D2326" t="s">
        <v>6903</v>
      </c>
      <c r="E2326" t="s">
        <v>6902</v>
      </c>
      <c r="F2326" t="s">
        <v>6856</v>
      </c>
      <c r="G2326" t="s">
        <v>47</v>
      </c>
      <c r="H2326">
        <v>0</v>
      </c>
      <c r="I2326" s="60" t="s">
        <v>149</v>
      </c>
      <c r="J2326" s="33" t="s">
        <v>45</v>
      </c>
      <c r="K2326" s="46">
        <v>0</v>
      </c>
      <c r="L2326">
        <v>1.3</v>
      </c>
      <c r="M2326" t="s">
        <v>48</v>
      </c>
      <c r="N2326" s="46">
        <v>0</v>
      </c>
      <c r="O2326" s="46">
        <v>0</v>
      </c>
      <c r="P2326" s="46">
        <v>0</v>
      </c>
      <c r="Q2326" t="s">
        <v>48</v>
      </c>
      <c r="R2326" t="s">
        <v>48</v>
      </c>
      <c r="S2326" t="s">
        <v>48</v>
      </c>
      <c r="T2326" t="s">
        <v>48</v>
      </c>
      <c r="U2326" t="s">
        <v>48</v>
      </c>
      <c r="V2326" s="47">
        <v>0</v>
      </c>
      <c r="W2326" t="s">
        <v>48</v>
      </c>
      <c r="X2326" t="s">
        <v>48</v>
      </c>
      <c r="Y2326" t="s">
        <v>48</v>
      </c>
      <c r="Z2326">
        <v>0</v>
      </c>
      <c r="AA2326" t="s">
        <v>48</v>
      </c>
      <c r="AB2326" t="s">
        <v>48</v>
      </c>
      <c r="AC2326" t="s">
        <v>63</v>
      </c>
      <c r="AD2326" t="s">
        <v>93</v>
      </c>
      <c r="AE2326" s="40" t="s">
        <v>2471</v>
      </c>
      <c r="AF2326" t="s">
        <v>48</v>
      </c>
      <c r="AG2326" t="s">
        <v>48</v>
      </c>
      <c r="AH2326" t="s">
        <v>48</v>
      </c>
      <c r="AI2326" t="s">
        <v>48</v>
      </c>
      <c r="AJ2326" t="s">
        <v>48</v>
      </c>
      <c r="AK2326" t="s">
        <v>48</v>
      </c>
      <c r="AL2326" t="s">
        <v>48</v>
      </c>
      <c r="AM2326" t="s">
        <v>48</v>
      </c>
      <c r="AN2326" t="s">
        <v>48</v>
      </c>
      <c r="AO2326" t="s">
        <v>48</v>
      </c>
      <c r="AP2326" s="46">
        <v>0</v>
      </c>
      <c r="AQ2326" s="46">
        <v>0</v>
      </c>
      <c r="AR2326" s="46">
        <v>0</v>
      </c>
      <c r="AS2326" s="46">
        <v>0</v>
      </c>
      <c r="AT2326" s="46">
        <v>0</v>
      </c>
      <c r="AU2326" s="46">
        <v>0</v>
      </c>
      <c r="AV2326" s="46">
        <v>0</v>
      </c>
      <c r="AW2326" s="46">
        <v>0</v>
      </c>
      <c r="AX2326" s="46">
        <v>0</v>
      </c>
      <c r="AY2326" s="46">
        <v>0</v>
      </c>
      <c r="AZ2326" s="46">
        <v>0</v>
      </c>
      <c r="BA2326" s="46">
        <v>0</v>
      </c>
      <c r="BB2326" s="46">
        <v>0</v>
      </c>
      <c r="BC2326" s="46">
        <v>0</v>
      </c>
      <c r="BD2326" s="46">
        <v>0</v>
      </c>
      <c r="BE2326" s="46">
        <v>0</v>
      </c>
      <c r="BF2326" s="46">
        <v>0</v>
      </c>
      <c r="BG2326" s="46" t="s">
        <v>48</v>
      </c>
      <c r="BH2326" s="46">
        <v>0</v>
      </c>
      <c r="BI2326" s="46">
        <v>0</v>
      </c>
      <c r="BJ2326" s="46">
        <v>0</v>
      </c>
      <c r="BK2326" s="46">
        <v>0</v>
      </c>
      <c r="BL2326" s="46">
        <v>0</v>
      </c>
      <c r="BM2326" s="46">
        <v>0</v>
      </c>
      <c r="BN2326" s="46">
        <v>0</v>
      </c>
    </row>
    <row r="2327" spans="1:66" x14ac:dyDescent="0.35">
      <c r="A2327" t="s">
        <v>6871</v>
      </c>
      <c r="B2327" s="44" t="s">
        <v>48</v>
      </c>
      <c r="C2327" t="s">
        <v>6103</v>
      </c>
      <c r="D2327" t="s">
        <v>6107</v>
      </c>
      <c r="E2327" t="s">
        <v>6872</v>
      </c>
      <c r="F2327" t="s">
        <v>6856</v>
      </c>
      <c r="G2327" t="s">
        <v>74</v>
      </c>
      <c r="H2327">
        <v>0</v>
      </c>
      <c r="I2327" s="60" t="s">
        <v>149</v>
      </c>
      <c r="J2327" s="33" t="s">
        <v>45</v>
      </c>
      <c r="K2327" s="46">
        <v>0</v>
      </c>
      <c r="L2327">
        <v>1.2</v>
      </c>
      <c r="M2327" t="s">
        <v>48</v>
      </c>
      <c r="N2327" s="46">
        <v>0</v>
      </c>
      <c r="O2327" s="46">
        <v>0</v>
      </c>
      <c r="P2327" s="46">
        <v>0</v>
      </c>
      <c r="Q2327" t="s">
        <v>48</v>
      </c>
      <c r="R2327" t="s">
        <v>48</v>
      </c>
      <c r="S2327" t="s">
        <v>6873</v>
      </c>
      <c r="T2327" t="s">
        <v>48</v>
      </c>
      <c r="U2327" t="s">
        <v>6873</v>
      </c>
      <c r="V2327" s="47">
        <v>0</v>
      </c>
      <c r="W2327" t="s">
        <v>48</v>
      </c>
      <c r="X2327" t="s">
        <v>48</v>
      </c>
      <c r="Y2327" t="s">
        <v>48</v>
      </c>
      <c r="Z2327">
        <v>0</v>
      </c>
      <c r="AA2327" t="s">
        <v>48</v>
      </c>
      <c r="AB2327" t="s">
        <v>48</v>
      </c>
      <c r="AC2327" t="s">
        <v>49</v>
      </c>
      <c r="AD2327" t="s">
        <v>93</v>
      </c>
      <c r="AE2327" s="40" t="s">
        <v>2471</v>
      </c>
      <c r="AF2327" t="s">
        <v>11061</v>
      </c>
      <c r="AG2327" t="s">
        <v>48</v>
      </c>
      <c r="AH2327" t="s">
        <v>48</v>
      </c>
      <c r="AI2327" t="s">
        <v>48</v>
      </c>
      <c r="AJ2327" t="s">
        <v>48</v>
      </c>
      <c r="AK2327" t="s">
        <v>48</v>
      </c>
      <c r="AL2327" t="s">
        <v>48</v>
      </c>
      <c r="AM2327" t="s">
        <v>48</v>
      </c>
      <c r="AN2327" t="s">
        <v>48</v>
      </c>
      <c r="AO2327" t="s">
        <v>48</v>
      </c>
      <c r="AP2327" s="46">
        <v>0</v>
      </c>
      <c r="AQ2327" s="46">
        <v>0</v>
      </c>
      <c r="AR2327" s="46">
        <v>0</v>
      </c>
      <c r="AS2327" s="46">
        <v>0</v>
      </c>
      <c r="AT2327" s="46">
        <v>0</v>
      </c>
      <c r="AU2327" s="46">
        <v>0</v>
      </c>
      <c r="AV2327" s="46">
        <v>0</v>
      </c>
      <c r="AW2327" s="46">
        <v>0</v>
      </c>
      <c r="AX2327" s="46">
        <v>0</v>
      </c>
      <c r="AY2327" s="46">
        <v>0</v>
      </c>
      <c r="AZ2327" s="46">
        <v>0</v>
      </c>
      <c r="BA2327" s="46">
        <v>0</v>
      </c>
      <c r="BB2327" s="46">
        <v>0</v>
      </c>
      <c r="BC2327" s="46">
        <v>0</v>
      </c>
      <c r="BD2327" s="46">
        <v>0</v>
      </c>
      <c r="BE2327" s="46">
        <v>0</v>
      </c>
      <c r="BF2327" s="46">
        <v>0</v>
      </c>
      <c r="BG2327" s="46" t="s">
        <v>48</v>
      </c>
      <c r="BH2327" s="46">
        <v>0</v>
      </c>
      <c r="BI2327" s="46">
        <v>0</v>
      </c>
      <c r="BJ2327" s="46">
        <v>0</v>
      </c>
      <c r="BK2327" s="46">
        <v>0</v>
      </c>
      <c r="BL2327" s="46">
        <v>0</v>
      </c>
      <c r="BM2327" s="46">
        <v>0</v>
      </c>
      <c r="BN2327" s="46">
        <v>0</v>
      </c>
    </row>
    <row r="2328" spans="1:66" x14ac:dyDescent="0.35">
      <c r="A2328" t="s">
        <v>6855</v>
      </c>
      <c r="B2328" s="44" t="s">
        <v>48</v>
      </c>
      <c r="C2328" t="s">
        <v>6859</v>
      </c>
      <c r="D2328" t="s">
        <v>1033</v>
      </c>
      <c r="E2328" t="s">
        <v>6857</v>
      </c>
      <c r="F2328" t="s">
        <v>6856</v>
      </c>
      <c r="G2328" t="s">
        <v>74</v>
      </c>
      <c r="H2328">
        <v>0</v>
      </c>
      <c r="I2328" s="60" t="s">
        <v>149</v>
      </c>
      <c r="J2328" s="33" t="s">
        <v>45</v>
      </c>
      <c r="K2328" s="46">
        <v>0</v>
      </c>
      <c r="L2328">
        <v>7.7</v>
      </c>
      <c r="M2328" t="s">
        <v>48</v>
      </c>
      <c r="N2328" s="46">
        <v>0</v>
      </c>
      <c r="O2328" s="46">
        <v>0</v>
      </c>
      <c r="P2328" s="46">
        <v>0</v>
      </c>
      <c r="Q2328" t="s">
        <v>48</v>
      </c>
      <c r="R2328" t="s">
        <v>48</v>
      </c>
      <c r="S2328" t="s">
        <v>6858</v>
      </c>
      <c r="T2328" t="s">
        <v>48</v>
      </c>
      <c r="U2328" t="s">
        <v>6858</v>
      </c>
      <c r="V2328" s="47">
        <v>0</v>
      </c>
      <c r="W2328" t="s">
        <v>48</v>
      </c>
      <c r="X2328" t="s">
        <v>48</v>
      </c>
      <c r="Y2328" t="s">
        <v>48</v>
      </c>
      <c r="Z2328">
        <v>0</v>
      </c>
      <c r="AA2328" t="s">
        <v>48</v>
      </c>
      <c r="AB2328" t="s">
        <v>48</v>
      </c>
      <c r="AC2328" t="s">
        <v>63</v>
      </c>
      <c r="AD2328" t="s">
        <v>93</v>
      </c>
      <c r="AE2328" s="40" t="s">
        <v>2471</v>
      </c>
      <c r="AF2328" t="s">
        <v>11061</v>
      </c>
      <c r="AG2328" t="s">
        <v>48</v>
      </c>
      <c r="AH2328" t="s">
        <v>48</v>
      </c>
      <c r="AI2328" t="s">
        <v>48</v>
      </c>
      <c r="AJ2328" t="s">
        <v>48</v>
      </c>
      <c r="AK2328" t="s">
        <v>48</v>
      </c>
      <c r="AL2328" t="s">
        <v>48</v>
      </c>
      <c r="AM2328" t="s">
        <v>48</v>
      </c>
      <c r="AN2328" t="s">
        <v>48</v>
      </c>
      <c r="AO2328" t="s">
        <v>48</v>
      </c>
      <c r="AP2328" s="46">
        <v>0</v>
      </c>
      <c r="AQ2328" s="46">
        <v>0</v>
      </c>
      <c r="AR2328" s="46">
        <v>0</v>
      </c>
      <c r="AS2328" s="46">
        <v>0</v>
      </c>
      <c r="AT2328" s="46">
        <v>0</v>
      </c>
      <c r="AU2328" s="46">
        <v>0</v>
      </c>
      <c r="AV2328" s="46">
        <v>0</v>
      </c>
      <c r="AW2328" s="46">
        <v>0</v>
      </c>
      <c r="AX2328" s="46">
        <v>0</v>
      </c>
      <c r="AY2328" s="46">
        <v>0</v>
      </c>
      <c r="AZ2328" s="46">
        <v>0</v>
      </c>
      <c r="BA2328" s="46">
        <v>0</v>
      </c>
      <c r="BB2328" s="46">
        <v>0</v>
      </c>
      <c r="BC2328" s="46">
        <v>0</v>
      </c>
      <c r="BD2328" s="46">
        <v>0</v>
      </c>
      <c r="BE2328" s="46">
        <v>0</v>
      </c>
      <c r="BF2328" s="46">
        <v>0</v>
      </c>
      <c r="BG2328" s="46" t="s">
        <v>48</v>
      </c>
      <c r="BH2328" s="46">
        <v>0</v>
      </c>
      <c r="BI2328" s="46">
        <v>0</v>
      </c>
      <c r="BJ2328" s="46">
        <v>0</v>
      </c>
      <c r="BK2328" s="46">
        <v>0</v>
      </c>
      <c r="BL2328" s="46">
        <v>0</v>
      </c>
      <c r="BM2328" s="46">
        <v>0</v>
      </c>
      <c r="BN2328" s="46">
        <v>0</v>
      </c>
    </row>
    <row r="2329" spans="1:66" x14ac:dyDescent="0.35">
      <c r="A2329" t="s">
        <v>6883</v>
      </c>
      <c r="B2329" t="s">
        <v>48</v>
      </c>
      <c r="C2329" t="s">
        <v>6286</v>
      </c>
      <c r="D2329" t="s">
        <v>6885</v>
      </c>
      <c r="E2329" t="s">
        <v>6884</v>
      </c>
      <c r="F2329" t="s">
        <v>6856</v>
      </c>
      <c r="G2329" t="s">
        <v>47</v>
      </c>
      <c r="H2329">
        <v>0</v>
      </c>
      <c r="I2329" s="60" t="s">
        <v>149</v>
      </c>
      <c r="J2329" s="33" t="s">
        <v>45</v>
      </c>
      <c r="K2329" s="46">
        <v>0</v>
      </c>
      <c r="L2329">
        <v>5.9</v>
      </c>
      <c r="M2329" t="s">
        <v>48</v>
      </c>
      <c r="N2329" s="46">
        <v>0</v>
      </c>
      <c r="O2329" s="46">
        <v>0</v>
      </c>
      <c r="P2329" s="46">
        <v>0</v>
      </c>
      <c r="Q2329" t="s">
        <v>48</v>
      </c>
      <c r="R2329" t="s">
        <v>48</v>
      </c>
      <c r="S2329" t="s">
        <v>48</v>
      </c>
      <c r="T2329" t="s">
        <v>48</v>
      </c>
      <c r="U2329" t="s">
        <v>48</v>
      </c>
      <c r="V2329" s="47">
        <v>0</v>
      </c>
      <c r="W2329" t="s">
        <v>48</v>
      </c>
      <c r="X2329" t="s">
        <v>48</v>
      </c>
      <c r="Y2329" t="s">
        <v>48</v>
      </c>
      <c r="Z2329">
        <v>0</v>
      </c>
      <c r="AA2329" t="s">
        <v>48</v>
      </c>
      <c r="AB2329" t="s">
        <v>48</v>
      </c>
      <c r="AC2329" t="s">
        <v>63</v>
      </c>
      <c r="AD2329" t="s">
        <v>93</v>
      </c>
      <c r="AE2329" s="40" t="s">
        <v>2471</v>
      </c>
      <c r="AF2329" t="s">
        <v>48</v>
      </c>
      <c r="AG2329" t="s">
        <v>48</v>
      </c>
      <c r="AH2329" t="s">
        <v>48</v>
      </c>
      <c r="AI2329" t="s">
        <v>48</v>
      </c>
      <c r="AJ2329" t="s">
        <v>48</v>
      </c>
      <c r="AK2329" t="s">
        <v>48</v>
      </c>
      <c r="AL2329" t="s">
        <v>48</v>
      </c>
      <c r="AM2329" t="s">
        <v>48</v>
      </c>
      <c r="AN2329" t="s">
        <v>48</v>
      </c>
      <c r="AO2329" t="s">
        <v>48</v>
      </c>
      <c r="AP2329" s="46">
        <v>0</v>
      </c>
      <c r="AQ2329" s="46">
        <v>0</v>
      </c>
      <c r="AR2329" s="46">
        <v>0</v>
      </c>
      <c r="AS2329" s="46">
        <v>0</v>
      </c>
      <c r="AT2329" s="46">
        <v>0</v>
      </c>
      <c r="AU2329" s="46">
        <v>0</v>
      </c>
      <c r="AV2329" s="46">
        <v>0</v>
      </c>
      <c r="AW2329" s="46">
        <v>0</v>
      </c>
      <c r="AX2329" s="46">
        <v>0</v>
      </c>
      <c r="AY2329" s="46">
        <v>0</v>
      </c>
      <c r="AZ2329" s="46">
        <v>0</v>
      </c>
      <c r="BA2329" s="46">
        <v>0</v>
      </c>
      <c r="BB2329" s="46">
        <v>0</v>
      </c>
      <c r="BC2329" s="46">
        <v>0</v>
      </c>
      <c r="BD2329" s="46">
        <v>0</v>
      </c>
      <c r="BE2329" s="46">
        <v>0</v>
      </c>
      <c r="BF2329" s="46">
        <v>0</v>
      </c>
      <c r="BG2329" s="46" t="s">
        <v>48</v>
      </c>
      <c r="BH2329" s="46">
        <v>0</v>
      </c>
      <c r="BI2329" s="46">
        <v>0</v>
      </c>
      <c r="BJ2329" s="46">
        <v>0</v>
      </c>
      <c r="BK2329" s="46">
        <v>0</v>
      </c>
      <c r="BL2329" s="46">
        <v>0</v>
      </c>
      <c r="BM2329" s="46">
        <v>0</v>
      </c>
      <c r="BN2329" s="46">
        <v>0</v>
      </c>
    </row>
    <row r="2330" spans="1:66" x14ac:dyDescent="0.35">
      <c r="A2330" t="s">
        <v>6877</v>
      </c>
      <c r="B2330" t="s">
        <v>48</v>
      </c>
      <c r="C2330" t="s">
        <v>2140</v>
      </c>
      <c r="D2330" t="s">
        <v>603</v>
      </c>
      <c r="E2330" t="s">
        <v>6878</v>
      </c>
      <c r="F2330" t="s">
        <v>6856</v>
      </c>
      <c r="G2330" t="s">
        <v>47</v>
      </c>
      <c r="H2330">
        <v>0</v>
      </c>
      <c r="I2330" s="60" t="s">
        <v>78</v>
      </c>
      <c r="J2330" s="33" t="s">
        <v>45</v>
      </c>
      <c r="K2330" s="46">
        <v>0</v>
      </c>
      <c r="L2330">
        <v>32.9</v>
      </c>
      <c r="M2330">
        <v>43.1</v>
      </c>
      <c r="N2330" s="46">
        <v>0</v>
      </c>
      <c r="O2330" s="46">
        <v>0</v>
      </c>
      <c r="P2330" s="46">
        <v>0</v>
      </c>
      <c r="Q2330" t="s">
        <v>48</v>
      </c>
      <c r="R2330" t="s">
        <v>48</v>
      </c>
      <c r="S2330" t="s">
        <v>48</v>
      </c>
      <c r="T2330" t="s">
        <v>48</v>
      </c>
      <c r="U2330" t="s">
        <v>48</v>
      </c>
      <c r="V2330" s="47">
        <v>1</v>
      </c>
      <c r="W2330" t="s">
        <v>11264</v>
      </c>
      <c r="X2330" t="s">
        <v>48</v>
      </c>
      <c r="Y2330" t="s">
        <v>48</v>
      </c>
      <c r="Z2330">
        <v>0</v>
      </c>
      <c r="AA2330" t="s">
        <v>48</v>
      </c>
      <c r="AB2330" t="s">
        <v>48</v>
      </c>
      <c r="AC2330" t="s">
        <v>49</v>
      </c>
      <c r="AD2330" t="s">
        <v>93</v>
      </c>
      <c r="AE2330" s="40" t="s">
        <v>2471</v>
      </c>
      <c r="AF2330" t="s">
        <v>48</v>
      </c>
      <c r="AG2330" t="s">
        <v>48</v>
      </c>
      <c r="AH2330" t="s">
        <v>48</v>
      </c>
      <c r="AI2330" t="s">
        <v>48</v>
      </c>
      <c r="AJ2330" t="s">
        <v>48</v>
      </c>
      <c r="AK2330" t="s">
        <v>48</v>
      </c>
      <c r="AL2330" t="s">
        <v>48</v>
      </c>
      <c r="AM2330" t="s">
        <v>48</v>
      </c>
      <c r="AN2330" t="s">
        <v>48</v>
      </c>
      <c r="AO2330" t="s">
        <v>48</v>
      </c>
      <c r="AP2330" s="46">
        <v>0</v>
      </c>
      <c r="AQ2330" s="46">
        <v>0</v>
      </c>
      <c r="AR2330" s="46">
        <v>0</v>
      </c>
      <c r="AS2330" s="46">
        <v>0</v>
      </c>
      <c r="AT2330" s="46">
        <v>0</v>
      </c>
      <c r="AU2330" s="46">
        <v>0</v>
      </c>
      <c r="AV2330" s="46">
        <v>0</v>
      </c>
      <c r="AW2330" s="46">
        <v>0</v>
      </c>
      <c r="AX2330" s="46">
        <v>0</v>
      </c>
      <c r="AY2330" s="46">
        <v>0</v>
      </c>
      <c r="AZ2330" s="46">
        <v>0</v>
      </c>
      <c r="BA2330" s="46">
        <v>0</v>
      </c>
      <c r="BB2330" s="46">
        <v>0</v>
      </c>
      <c r="BC2330" s="46">
        <v>0</v>
      </c>
      <c r="BD2330" s="46">
        <v>0</v>
      </c>
      <c r="BE2330" s="46">
        <v>0</v>
      </c>
      <c r="BF2330" s="46">
        <v>0</v>
      </c>
      <c r="BG2330" s="46" t="s">
        <v>48</v>
      </c>
      <c r="BH2330" s="46">
        <v>0</v>
      </c>
      <c r="BI2330" s="46">
        <v>0</v>
      </c>
      <c r="BJ2330" s="46">
        <v>0</v>
      </c>
      <c r="BK2330" s="46">
        <v>0</v>
      </c>
      <c r="BL2330" s="46">
        <v>0</v>
      </c>
      <c r="BM2330" s="46">
        <v>0</v>
      </c>
      <c r="BN2330" s="46">
        <v>0</v>
      </c>
    </row>
    <row r="2331" spans="1:66" x14ac:dyDescent="0.35">
      <c r="A2331" t="s">
        <v>6874</v>
      </c>
      <c r="B2331" s="44" t="s">
        <v>48</v>
      </c>
      <c r="C2331" t="s">
        <v>3373</v>
      </c>
      <c r="D2331" t="s">
        <v>5549</v>
      </c>
      <c r="E2331" t="s">
        <v>6875</v>
      </c>
      <c r="F2331" t="s">
        <v>6856</v>
      </c>
      <c r="G2331" t="s">
        <v>74</v>
      </c>
      <c r="H2331">
        <v>0</v>
      </c>
      <c r="I2331" s="60" t="s">
        <v>149</v>
      </c>
      <c r="J2331" s="33" t="s">
        <v>45</v>
      </c>
      <c r="K2331" s="46">
        <v>0</v>
      </c>
      <c r="L2331">
        <v>17</v>
      </c>
      <c r="M2331">
        <v>39.4</v>
      </c>
      <c r="N2331" s="46">
        <v>0</v>
      </c>
      <c r="O2331" s="46">
        <v>0</v>
      </c>
      <c r="P2331" s="46">
        <v>0</v>
      </c>
      <c r="Q2331" t="s">
        <v>48</v>
      </c>
      <c r="R2331" t="s">
        <v>48</v>
      </c>
      <c r="S2331" t="s">
        <v>6876</v>
      </c>
      <c r="T2331" t="s">
        <v>48</v>
      </c>
      <c r="U2331" t="s">
        <v>6876</v>
      </c>
      <c r="V2331" s="47">
        <v>0</v>
      </c>
      <c r="W2331" t="s">
        <v>48</v>
      </c>
      <c r="X2331" t="s">
        <v>48</v>
      </c>
      <c r="Y2331" t="s">
        <v>48</v>
      </c>
      <c r="Z2331">
        <v>0</v>
      </c>
      <c r="AA2331" t="s">
        <v>48</v>
      </c>
      <c r="AB2331" t="s">
        <v>48</v>
      </c>
      <c r="AC2331" t="s">
        <v>63</v>
      </c>
      <c r="AD2331" t="s">
        <v>93</v>
      </c>
      <c r="AE2331" s="40" t="s">
        <v>2471</v>
      </c>
      <c r="AF2331" t="s">
        <v>11061</v>
      </c>
      <c r="AG2331" t="s">
        <v>48</v>
      </c>
      <c r="AH2331" t="s">
        <v>48</v>
      </c>
      <c r="AI2331" t="s">
        <v>48</v>
      </c>
      <c r="AJ2331" t="s">
        <v>48</v>
      </c>
      <c r="AK2331" t="s">
        <v>48</v>
      </c>
      <c r="AL2331" t="s">
        <v>48</v>
      </c>
      <c r="AM2331" t="s">
        <v>48</v>
      </c>
      <c r="AN2331" t="s">
        <v>48</v>
      </c>
      <c r="AO2331" t="s">
        <v>48</v>
      </c>
      <c r="AP2331" s="46">
        <v>0</v>
      </c>
      <c r="AQ2331" s="46">
        <v>0</v>
      </c>
      <c r="AR2331" s="46">
        <v>0</v>
      </c>
      <c r="AS2331" s="46">
        <v>0</v>
      </c>
      <c r="AT2331" s="46">
        <v>0</v>
      </c>
      <c r="AU2331" s="46">
        <v>0</v>
      </c>
      <c r="AV2331" s="46">
        <v>0</v>
      </c>
      <c r="AW2331" s="46">
        <v>0</v>
      </c>
      <c r="AX2331" s="46">
        <v>0</v>
      </c>
      <c r="AY2331" s="46">
        <v>0</v>
      </c>
      <c r="AZ2331" s="46">
        <v>0</v>
      </c>
      <c r="BA2331" s="46">
        <v>0</v>
      </c>
      <c r="BB2331" s="46">
        <v>0</v>
      </c>
      <c r="BC2331" s="46">
        <v>0</v>
      </c>
      <c r="BD2331" s="46">
        <v>0</v>
      </c>
      <c r="BE2331" s="46">
        <v>0</v>
      </c>
      <c r="BF2331" s="46">
        <v>0</v>
      </c>
      <c r="BG2331" s="46" t="s">
        <v>48</v>
      </c>
      <c r="BH2331" s="46">
        <v>0</v>
      </c>
      <c r="BI2331" s="46">
        <v>0</v>
      </c>
      <c r="BJ2331" s="46">
        <v>0</v>
      </c>
      <c r="BK2331" s="46">
        <v>0</v>
      </c>
      <c r="BL2331" s="46">
        <v>0</v>
      </c>
      <c r="BM2331" s="46">
        <v>0</v>
      </c>
      <c r="BN2331" s="46">
        <v>0</v>
      </c>
    </row>
    <row r="2332" spans="1:66" x14ac:dyDescent="0.35">
      <c r="A2332" t="s">
        <v>6893</v>
      </c>
      <c r="B2332" s="44" t="s">
        <v>48</v>
      </c>
      <c r="C2332" t="s">
        <v>3560</v>
      </c>
      <c r="D2332" t="s">
        <v>521</v>
      </c>
      <c r="E2332" t="s">
        <v>6894</v>
      </c>
      <c r="F2332" t="s">
        <v>6856</v>
      </c>
      <c r="G2332" t="s">
        <v>74</v>
      </c>
      <c r="H2332">
        <v>0</v>
      </c>
      <c r="I2332" s="60" t="s">
        <v>51</v>
      </c>
      <c r="J2332" s="33" t="s">
        <v>45</v>
      </c>
      <c r="K2332" s="46">
        <v>0</v>
      </c>
      <c r="L2332">
        <v>3.4</v>
      </c>
      <c r="M2332" t="s">
        <v>48</v>
      </c>
      <c r="N2332" s="46">
        <v>0</v>
      </c>
      <c r="O2332" s="46">
        <v>0</v>
      </c>
      <c r="P2332" s="46">
        <v>0</v>
      </c>
      <c r="Q2332" t="s">
        <v>48</v>
      </c>
      <c r="R2332" t="s">
        <v>48</v>
      </c>
      <c r="S2332" t="s">
        <v>6895</v>
      </c>
      <c r="T2332" t="s">
        <v>48</v>
      </c>
      <c r="U2332" t="s">
        <v>6895</v>
      </c>
      <c r="V2332" s="47">
        <v>0</v>
      </c>
      <c r="W2332" t="s">
        <v>48</v>
      </c>
      <c r="X2332" t="s">
        <v>48</v>
      </c>
      <c r="Y2332" t="s">
        <v>48</v>
      </c>
      <c r="Z2332">
        <v>0</v>
      </c>
      <c r="AA2332" t="s">
        <v>48</v>
      </c>
      <c r="AB2332" t="s">
        <v>48</v>
      </c>
      <c r="AC2332" t="s">
        <v>63</v>
      </c>
      <c r="AD2332" t="s">
        <v>93</v>
      </c>
      <c r="AE2332" s="40" t="s">
        <v>2471</v>
      </c>
      <c r="AF2332" t="s">
        <v>48</v>
      </c>
      <c r="AG2332" t="s">
        <v>48</v>
      </c>
      <c r="AH2332" t="s">
        <v>48</v>
      </c>
      <c r="AI2332" t="s">
        <v>48</v>
      </c>
      <c r="AJ2332" t="s">
        <v>48</v>
      </c>
      <c r="AK2332" t="s">
        <v>48</v>
      </c>
      <c r="AL2332" t="s">
        <v>48</v>
      </c>
      <c r="AM2332" t="s">
        <v>48</v>
      </c>
      <c r="AN2332" t="s">
        <v>48</v>
      </c>
      <c r="AO2332" t="s">
        <v>48</v>
      </c>
      <c r="AP2332" s="46">
        <v>0</v>
      </c>
      <c r="AQ2332" s="46">
        <v>0</v>
      </c>
      <c r="AR2332" s="46">
        <v>0</v>
      </c>
      <c r="AS2332" s="46">
        <v>1</v>
      </c>
      <c r="AT2332" s="46">
        <v>0</v>
      </c>
      <c r="AU2332" s="46">
        <v>0</v>
      </c>
      <c r="AV2332" s="46">
        <v>0</v>
      </c>
      <c r="AW2332" s="46">
        <v>0</v>
      </c>
      <c r="AX2332" s="46">
        <v>0</v>
      </c>
      <c r="AY2332" s="46">
        <v>0</v>
      </c>
      <c r="AZ2332" s="46">
        <v>0</v>
      </c>
      <c r="BA2332" s="46">
        <v>0</v>
      </c>
      <c r="BB2332" s="46">
        <v>0</v>
      </c>
      <c r="BC2332" s="46">
        <v>0</v>
      </c>
      <c r="BD2332" s="46">
        <v>0</v>
      </c>
      <c r="BE2332" s="46">
        <v>0</v>
      </c>
      <c r="BF2332" s="46">
        <v>0</v>
      </c>
      <c r="BG2332" s="46" t="s">
        <v>48</v>
      </c>
      <c r="BH2332" s="46">
        <v>0</v>
      </c>
      <c r="BI2332" s="46">
        <v>0</v>
      </c>
      <c r="BJ2332" s="46">
        <v>0</v>
      </c>
      <c r="BK2332" s="46">
        <v>1</v>
      </c>
      <c r="BL2332" s="46">
        <v>0</v>
      </c>
      <c r="BM2332" s="46">
        <v>0</v>
      </c>
      <c r="BN2332" s="46">
        <v>0</v>
      </c>
    </row>
    <row r="2333" spans="1:66" x14ac:dyDescent="0.35">
      <c r="A2333" t="s">
        <v>6889</v>
      </c>
      <c r="B2333" s="44" t="s">
        <v>48</v>
      </c>
      <c r="C2333" t="s">
        <v>5617</v>
      </c>
      <c r="D2333" t="s">
        <v>6892</v>
      </c>
      <c r="E2333" t="s">
        <v>6890</v>
      </c>
      <c r="F2333" t="s">
        <v>6856</v>
      </c>
      <c r="G2333" t="s">
        <v>74</v>
      </c>
      <c r="H2333">
        <v>0</v>
      </c>
      <c r="I2333" s="60" t="s">
        <v>149</v>
      </c>
      <c r="J2333" s="33" t="s">
        <v>45</v>
      </c>
      <c r="K2333" s="46">
        <v>0</v>
      </c>
      <c r="L2333">
        <v>7.9</v>
      </c>
      <c r="M2333" t="s">
        <v>48</v>
      </c>
      <c r="N2333" s="46">
        <v>0</v>
      </c>
      <c r="O2333" s="46">
        <v>0</v>
      </c>
      <c r="P2333" s="46">
        <v>0</v>
      </c>
      <c r="Q2333" t="s">
        <v>48</v>
      </c>
      <c r="R2333" t="s">
        <v>48</v>
      </c>
      <c r="S2333" t="s">
        <v>6891</v>
      </c>
      <c r="T2333" t="s">
        <v>48</v>
      </c>
      <c r="U2333" t="s">
        <v>6891</v>
      </c>
      <c r="V2333" s="47">
        <v>0</v>
      </c>
      <c r="W2333" t="s">
        <v>48</v>
      </c>
      <c r="X2333" t="s">
        <v>48</v>
      </c>
      <c r="Y2333" t="s">
        <v>48</v>
      </c>
      <c r="Z2333">
        <v>0</v>
      </c>
      <c r="AA2333" t="s">
        <v>48</v>
      </c>
      <c r="AB2333" t="s">
        <v>48</v>
      </c>
      <c r="AC2333" t="s">
        <v>63</v>
      </c>
      <c r="AD2333" t="s">
        <v>93</v>
      </c>
      <c r="AE2333" s="40" t="s">
        <v>2471</v>
      </c>
      <c r="AF2333" t="s">
        <v>11061</v>
      </c>
      <c r="AG2333" t="s">
        <v>48</v>
      </c>
      <c r="AH2333" t="s">
        <v>48</v>
      </c>
      <c r="AI2333" t="s">
        <v>48</v>
      </c>
      <c r="AJ2333" t="s">
        <v>48</v>
      </c>
      <c r="AK2333" t="s">
        <v>48</v>
      </c>
      <c r="AL2333" t="s">
        <v>48</v>
      </c>
      <c r="AM2333" t="s">
        <v>48</v>
      </c>
      <c r="AN2333" t="s">
        <v>48</v>
      </c>
      <c r="AO2333" t="s">
        <v>48</v>
      </c>
      <c r="AP2333" s="46">
        <v>0</v>
      </c>
      <c r="AQ2333" s="46">
        <v>0</v>
      </c>
      <c r="AR2333" s="46">
        <v>0</v>
      </c>
      <c r="AS2333" s="46">
        <v>0</v>
      </c>
      <c r="AT2333" s="46">
        <v>0</v>
      </c>
      <c r="AU2333" s="46">
        <v>0</v>
      </c>
      <c r="AV2333" s="46">
        <v>0</v>
      </c>
      <c r="AW2333" s="46">
        <v>0</v>
      </c>
      <c r="AX2333" s="46">
        <v>0</v>
      </c>
      <c r="AY2333" s="46">
        <v>0</v>
      </c>
      <c r="AZ2333" s="46">
        <v>0</v>
      </c>
      <c r="BA2333" s="46">
        <v>0</v>
      </c>
      <c r="BB2333" s="46">
        <v>0</v>
      </c>
      <c r="BC2333" s="46">
        <v>0</v>
      </c>
      <c r="BD2333" s="46">
        <v>0</v>
      </c>
      <c r="BE2333" s="46">
        <v>0</v>
      </c>
      <c r="BF2333" s="46">
        <v>0</v>
      </c>
      <c r="BG2333" s="46" t="s">
        <v>48</v>
      </c>
      <c r="BH2333" s="46">
        <v>0</v>
      </c>
      <c r="BI2333" s="46">
        <v>0</v>
      </c>
      <c r="BJ2333" s="46">
        <v>0</v>
      </c>
      <c r="BK2333" s="46">
        <v>0</v>
      </c>
      <c r="BL2333" s="46">
        <v>0</v>
      </c>
      <c r="BM2333" s="46">
        <v>0</v>
      </c>
      <c r="BN2333" s="46">
        <v>0</v>
      </c>
    </row>
    <row r="2334" spans="1:66" x14ac:dyDescent="0.35">
      <c r="A2334" t="s">
        <v>6860</v>
      </c>
      <c r="B2334" t="s">
        <v>48</v>
      </c>
      <c r="C2334" t="s">
        <v>12332</v>
      </c>
      <c r="D2334" t="s">
        <v>2479</v>
      </c>
      <c r="E2334" t="s">
        <v>6861</v>
      </c>
      <c r="F2334" t="s">
        <v>6856</v>
      </c>
      <c r="G2334" t="s">
        <v>47</v>
      </c>
      <c r="H2334">
        <v>0</v>
      </c>
      <c r="I2334" s="60" t="s">
        <v>149</v>
      </c>
      <c r="J2334" s="33" t="s">
        <v>45</v>
      </c>
      <c r="K2334" s="46">
        <v>0</v>
      </c>
      <c r="L2334">
        <v>16.8</v>
      </c>
      <c r="M2334" t="s">
        <v>48</v>
      </c>
      <c r="N2334" s="46">
        <v>0</v>
      </c>
      <c r="O2334" s="46">
        <v>0</v>
      </c>
      <c r="P2334" s="46">
        <v>0</v>
      </c>
      <c r="Q2334" t="s">
        <v>48</v>
      </c>
      <c r="R2334" t="s">
        <v>48</v>
      </c>
      <c r="S2334" t="s">
        <v>6862</v>
      </c>
      <c r="T2334" t="s">
        <v>48</v>
      </c>
      <c r="U2334" t="s">
        <v>6862</v>
      </c>
      <c r="V2334" s="47">
        <v>0</v>
      </c>
      <c r="W2334" t="s">
        <v>48</v>
      </c>
      <c r="X2334" t="s">
        <v>48</v>
      </c>
      <c r="Y2334" t="s">
        <v>48</v>
      </c>
      <c r="Z2334">
        <v>0</v>
      </c>
      <c r="AA2334" t="s">
        <v>48</v>
      </c>
      <c r="AB2334" t="s">
        <v>48</v>
      </c>
      <c r="AC2334" t="s">
        <v>49</v>
      </c>
      <c r="AD2334" t="s">
        <v>951</v>
      </c>
      <c r="AE2334" s="40" t="s">
        <v>11051</v>
      </c>
      <c r="AF2334" t="s">
        <v>108</v>
      </c>
      <c r="AG2334" t="s">
        <v>48</v>
      </c>
      <c r="AH2334" t="s">
        <v>48</v>
      </c>
      <c r="AI2334" t="s">
        <v>48</v>
      </c>
      <c r="AJ2334" t="s">
        <v>48</v>
      </c>
      <c r="AK2334" t="s">
        <v>48</v>
      </c>
      <c r="AL2334" t="s">
        <v>48</v>
      </c>
      <c r="AM2334" t="s">
        <v>48</v>
      </c>
      <c r="AN2334" t="s">
        <v>48</v>
      </c>
      <c r="AO2334" t="s">
        <v>48</v>
      </c>
      <c r="AP2334" s="46">
        <v>0</v>
      </c>
      <c r="AQ2334" s="46">
        <v>0</v>
      </c>
      <c r="AR2334" s="46">
        <v>0</v>
      </c>
      <c r="AS2334" s="46">
        <v>0</v>
      </c>
      <c r="AT2334" s="46">
        <v>0</v>
      </c>
      <c r="AU2334" s="46">
        <v>0</v>
      </c>
      <c r="AV2334" s="46">
        <v>0</v>
      </c>
      <c r="AW2334" s="46">
        <v>0</v>
      </c>
      <c r="AX2334" s="46">
        <v>0</v>
      </c>
      <c r="AY2334" s="46">
        <v>0</v>
      </c>
      <c r="AZ2334" s="46">
        <v>0</v>
      </c>
      <c r="BA2334" s="46">
        <v>0</v>
      </c>
      <c r="BB2334" s="46">
        <v>0</v>
      </c>
      <c r="BC2334" s="46">
        <v>0</v>
      </c>
      <c r="BD2334" s="46">
        <v>0</v>
      </c>
      <c r="BE2334" s="46">
        <v>0</v>
      </c>
      <c r="BF2334" s="46">
        <v>0</v>
      </c>
      <c r="BG2334" s="46" t="s">
        <v>48</v>
      </c>
      <c r="BH2334" s="46">
        <v>0</v>
      </c>
      <c r="BI2334" s="46">
        <v>0</v>
      </c>
      <c r="BJ2334" s="46">
        <v>0</v>
      </c>
      <c r="BK2334" s="46">
        <v>0</v>
      </c>
      <c r="BL2334" s="46">
        <v>0</v>
      </c>
      <c r="BM2334" s="46">
        <v>0</v>
      </c>
      <c r="BN2334" s="46">
        <v>0</v>
      </c>
    </row>
    <row r="2335" spans="1:66" x14ac:dyDescent="0.35">
      <c r="A2335" t="s">
        <v>6867</v>
      </c>
      <c r="B2335" t="s">
        <v>48</v>
      </c>
      <c r="C2335" t="s">
        <v>6870</v>
      </c>
      <c r="D2335" t="s">
        <v>6869</v>
      </c>
      <c r="E2335" t="s">
        <v>6868</v>
      </c>
      <c r="F2335" t="s">
        <v>6856</v>
      </c>
      <c r="G2335" t="s">
        <v>47</v>
      </c>
      <c r="H2335">
        <v>0</v>
      </c>
      <c r="I2335" s="60" t="s">
        <v>149</v>
      </c>
      <c r="J2335" s="33" t="s">
        <v>45</v>
      </c>
      <c r="K2335" s="46">
        <v>0</v>
      </c>
      <c r="L2335">
        <v>11.8</v>
      </c>
      <c r="M2335" t="s">
        <v>48</v>
      </c>
      <c r="N2335" s="46">
        <v>0</v>
      </c>
      <c r="O2335" s="46">
        <v>0</v>
      </c>
      <c r="P2335" s="46">
        <v>0</v>
      </c>
      <c r="Q2335" t="s">
        <v>48</v>
      </c>
      <c r="R2335" t="s">
        <v>48</v>
      </c>
      <c r="S2335" t="s">
        <v>48</v>
      </c>
      <c r="T2335" t="s">
        <v>48</v>
      </c>
      <c r="U2335" t="s">
        <v>48</v>
      </c>
      <c r="V2335" s="47">
        <v>0</v>
      </c>
      <c r="W2335" t="s">
        <v>48</v>
      </c>
      <c r="X2335" t="s">
        <v>48</v>
      </c>
      <c r="Y2335" t="s">
        <v>48</v>
      </c>
      <c r="Z2335">
        <v>0</v>
      </c>
      <c r="AA2335" t="s">
        <v>48</v>
      </c>
      <c r="AB2335" t="s">
        <v>48</v>
      </c>
      <c r="AC2335" t="s">
        <v>63</v>
      </c>
      <c r="AD2335" t="s">
        <v>951</v>
      </c>
      <c r="AE2335" s="40" t="s">
        <v>11051</v>
      </c>
      <c r="AF2335" t="s">
        <v>48</v>
      </c>
      <c r="AG2335" t="s">
        <v>48</v>
      </c>
      <c r="AH2335" t="s">
        <v>48</v>
      </c>
      <c r="AI2335" t="s">
        <v>48</v>
      </c>
      <c r="AJ2335" t="s">
        <v>48</v>
      </c>
      <c r="AK2335" t="s">
        <v>48</v>
      </c>
      <c r="AL2335" t="s">
        <v>48</v>
      </c>
      <c r="AM2335" t="s">
        <v>48</v>
      </c>
      <c r="AN2335" t="s">
        <v>48</v>
      </c>
      <c r="AO2335" t="s">
        <v>48</v>
      </c>
      <c r="AP2335" s="46">
        <v>0</v>
      </c>
      <c r="AQ2335" s="46">
        <v>0</v>
      </c>
      <c r="AR2335" s="46">
        <v>0</v>
      </c>
      <c r="AS2335" s="46">
        <v>0</v>
      </c>
      <c r="AT2335" s="46">
        <v>0</v>
      </c>
      <c r="AU2335" s="46">
        <v>0</v>
      </c>
      <c r="AV2335" s="46">
        <v>0</v>
      </c>
      <c r="AW2335" s="46">
        <v>0</v>
      </c>
      <c r="AX2335" s="46">
        <v>0</v>
      </c>
      <c r="AY2335" s="46">
        <v>0</v>
      </c>
      <c r="AZ2335" s="46">
        <v>0</v>
      </c>
      <c r="BA2335" s="46">
        <v>0</v>
      </c>
      <c r="BB2335" s="46">
        <v>0</v>
      </c>
      <c r="BC2335" s="46">
        <v>0</v>
      </c>
      <c r="BD2335" s="46">
        <v>0</v>
      </c>
      <c r="BE2335" s="46">
        <v>0</v>
      </c>
      <c r="BF2335" s="46">
        <v>0</v>
      </c>
      <c r="BG2335" s="46" t="s">
        <v>48</v>
      </c>
      <c r="BH2335" s="46">
        <v>0</v>
      </c>
      <c r="BI2335" s="46">
        <v>0</v>
      </c>
      <c r="BJ2335" s="46">
        <v>0</v>
      </c>
      <c r="BK2335" s="46">
        <v>0</v>
      </c>
      <c r="BL2335" s="46">
        <v>0</v>
      </c>
      <c r="BM2335" s="46">
        <v>0</v>
      </c>
      <c r="BN2335" s="46">
        <v>0</v>
      </c>
    </row>
    <row r="2336" spans="1:66" x14ac:dyDescent="0.35">
      <c r="A2336" t="s">
        <v>6907</v>
      </c>
      <c r="B2336" s="44" t="s">
        <v>48</v>
      </c>
      <c r="C2336" t="s">
        <v>332</v>
      </c>
      <c r="D2336" t="s">
        <v>4112</v>
      </c>
      <c r="E2336" t="s">
        <v>6908</v>
      </c>
      <c r="F2336" t="s">
        <v>6856</v>
      </c>
      <c r="G2336" t="s">
        <v>74</v>
      </c>
      <c r="H2336">
        <v>0</v>
      </c>
      <c r="I2336" s="60" t="s">
        <v>149</v>
      </c>
      <c r="J2336" s="33" t="s">
        <v>45</v>
      </c>
      <c r="K2336" s="46">
        <v>0</v>
      </c>
      <c r="L2336">
        <v>5</v>
      </c>
      <c r="M2336" t="s">
        <v>48</v>
      </c>
      <c r="N2336" s="46">
        <v>0</v>
      </c>
      <c r="O2336" s="46">
        <v>0</v>
      </c>
      <c r="P2336" s="46">
        <v>0</v>
      </c>
      <c r="Q2336" t="s">
        <v>48</v>
      </c>
      <c r="R2336" t="s">
        <v>48</v>
      </c>
      <c r="S2336" t="s">
        <v>6909</v>
      </c>
      <c r="T2336" t="s">
        <v>48</v>
      </c>
      <c r="U2336" t="s">
        <v>6909</v>
      </c>
      <c r="V2336" s="47">
        <v>0</v>
      </c>
      <c r="W2336" t="s">
        <v>48</v>
      </c>
      <c r="X2336" t="s">
        <v>48</v>
      </c>
      <c r="Y2336" t="s">
        <v>48</v>
      </c>
      <c r="Z2336">
        <v>0</v>
      </c>
      <c r="AA2336" t="s">
        <v>48</v>
      </c>
      <c r="AB2336" t="s">
        <v>48</v>
      </c>
      <c r="AC2336" t="s">
        <v>49</v>
      </c>
      <c r="AD2336" t="s">
        <v>93</v>
      </c>
      <c r="AE2336" s="40" t="s">
        <v>2471</v>
      </c>
      <c r="AF2336" t="s">
        <v>11061</v>
      </c>
      <c r="AG2336" t="s">
        <v>48</v>
      </c>
      <c r="AH2336" t="s">
        <v>48</v>
      </c>
      <c r="AI2336" t="s">
        <v>48</v>
      </c>
      <c r="AJ2336" t="s">
        <v>48</v>
      </c>
      <c r="AK2336" t="s">
        <v>48</v>
      </c>
      <c r="AL2336" t="s">
        <v>48</v>
      </c>
      <c r="AM2336" t="s">
        <v>48</v>
      </c>
      <c r="AN2336" t="s">
        <v>48</v>
      </c>
      <c r="AO2336" t="s">
        <v>48</v>
      </c>
      <c r="AP2336" s="46">
        <v>0</v>
      </c>
      <c r="AQ2336" s="46">
        <v>0</v>
      </c>
      <c r="AR2336" s="46">
        <v>0</v>
      </c>
      <c r="AS2336" s="46">
        <v>0</v>
      </c>
      <c r="AT2336" s="46">
        <v>0</v>
      </c>
      <c r="AU2336" s="46">
        <v>0</v>
      </c>
      <c r="AV2336" s="46">
        <v>0</v>
      </c>
      <c r="AW2336" s="46">
        <v>0</v>
      </c>
      <c r="AX2336" s="46">
        <v>0</v>
      </c>
      <c r="AY2336" s="46">
        <v>0</v>
      </c>
      <c r="AZ2336" s="46">
        <v>0</v>
      </c>
      <c r="BA2336" s="46">
        <v>0</v>
      </c>
      <c r="BB2336" s="46">
        <v>0</v>
      </c>
      <c r="BC2336" s="46">
        <v>0</v>
      </c>
      <c r="BD2336" s="46">
        <v>0</v>
      </c>
      <c r="BE2336" s="46">
        <v>0</v>
      </c>
      <c r="BF2336" s="46">
        <v>0</v>
      </c>
      <c r="BG2336" s="46" t="s">
        <v>48</v>
      </c>
      <c r="BH2336" s="46">
        <v>0</v>
      </c>
      <c r="BI2336" s="46">
        <v>0</v>
      </c>
      <c r="BJ2336" s="46">
        <v>0</v>
      </c>
      <c r="BK2336" s="46">
        <v>0</v>
      </c>
      <c r="BL2336" s="46">
        <v>0</v>
      </c>
      <c r="BM2336" s="46">
        <v>0</v>
      </c>
      <c r="BN2336" s="46">
        <v>0</v>
      </c>
    </row>
    <row r="2337" spans="1:66" x14ac:dyDescent="0.35">
      <c r="A2337" t="s">
        <v>6879</v>
      </c>
      <c r="B2337" s="44" t="s">
        <v>48</v>
      </c>
      <c r="C2337" t="s">
        <v>551</v>
      </c>
      <c r="D2337" t="s">
        <v>6882</v>
      </c>
      <c r="E2337" t="s">
        <v>6880</v>
      </c>
      <c r="F2337" t="s">
        <v>6856</v>
      </c>
      <c r="G2337" t="s">
        <v>74</v>
      </c>
      <c r="H2337">
        <v>0</v>
      </c>
      <c r="I2337" s="60" t="s">
        <v>149</v>
      </c>
      <c r="J2337" s="33" t="s">
        <v>45</v>
      </c>
      <c r="K2337" s="46">
        <v>0</v>
      </c>
      <c r="L2337">
        <v>3.4</v>
      </c>
      <c r="M2337" t="s">
        <v>48</v>
      </c>
      <c r="N2337" s="46">
        <v>0</v>
      </c>
      <c r="O2337" s="46">
        <v>0</v>
      </c>
      <c r="P2337" s="46">
        <v>0</v>
      </c>
      <c r="Q2337" t="s">
        <v>48</v>
      </c>
      <c r="R2337" t="s">
        <v>48</v>
      </c>
      <c r="S2337" t="s">
        <v>6881</v>
      </c>
      <c r="T2337" t="s">
        <v>48</v>
      </c>
      <c r="U2337" t="s">
        <v>6881</v>
      </c>
      <c r="V2337" s="47">
        <v>0</v>
      </c>
      <c r="W2337" t="s">
        <v>48</v>
      </c>
      <c r="X2337" t="s">
        <v>48</v>
      </c>
      <c r="Y2337" t="s">
        <v>48</v>
      </c>
      <c r="Z2337">
        <v>0</v>
      </c>
      <c r="AA2337" t="s">
        <v>48</v>
      </c>
      <c r="AB2337" t="s">
        <v>48</v>
      </c>
      <c r="AC2337" t="s">
        <v>63</v>
      </c>
      <c r="AD2337" t="s">
        <v>93</v>
      </c>
      <c r="AE2337" s="40" t="s">
        <v>2471</v>
      </c>
      <c r="AF2337" t="s">
        <v>11061</v>
      </c>
      <c r="AG2337" t="s">
        <v>48</v>
      </c>
      <c r="AH2337" t="s">
        <v>48</v>
      </c>
      <c r="AI2337" t="s">
        <v>48</v>
      </c>
      <c r="AJ2337" t="s">
        <v>48</v>
      </c>
      <c r="AK2337" t="s">
        <v>48</v>
      </c>
      <c r="AL2337" t="s">
        <v>48</v>
      </c>
      <c r="AM2337" t="s">
        <v>48</v>
      </c>
      <c r="AN2337" t="s">
        <v>48</v>
      </c>
      <c r="AO2337" t="s">
        <v>48</v>
      </c>
      <c r="AP2337" s="46">
        <v>0</v>
      </c>
      <c r="AQ2337" s="46">
        <v>0</v>
      </c>
      <c r="AR2337" s="46">
        <v>0</v>
      </c>
      <c r="AS2337" s="46">
        <v>0</v>
      </c>
      <c r="AT2337" s="46">
        <v>0</v>
      </c>
      <c r="AU2337" s="46">
        <v>0</v>
      </c>
      <c r="AV2337" s="46">
        <v>0</v>
      </c>
      <c r="AW2337" s="46">
        <v>0</v>
      </c>
      <c r="AX2337" s="46">
        <v>0</v>
      </c>
      <c r="AY2337" s="46">
        <v>0</v>
      </c>
      <c r="AZ2337" s="46">
        <v>0</v>
      </c>
      <c r="BA2337" s="46">
        <v>0</v>
      </c>
      <c r="BB2337" s="46">
        <v>0</v>
      </c>
      <c r="BC2337" s="46">
        <v>0</v>
      </c>
      <c r="BD2337" s="46">
        <v>0</v>
      </c>
      <c r="BE2337" s="46">
        <v>0</v>
      </c>
      <c r="BF2337" s="46">
        <v>0</v>
      </c>
      <c r="BG2337" s="46" t="s">
        <v>48</v>
      </c>
      <c r="BH2337" s="46">
        <v>0</v>
      </c>
      <c r="BI2337" s="46">
        <v>0</v>
      </c>
      <c r="BJ2337" s="46">
        <v>0</v>
      </c>
      <c r="BK2337" s="46">
        <v>0</v>
      </c>
      <c r="BL2337" s="46">
        <v>0</v>
      </c>
      <c r="BM2337" s="46">
        <v>0</v>
      </c>
      <c r="BN2337" s="46">
        <v>0</v>
      </c>
    </row>
    <row r="2338" spans="1:66" x14ac:dyDescent="0.35">
      <c r="A2338" t="s">
        <v>6915</v>
      </c>
      <c r="B2338" t="s">
        <v>48</v>
      </c>
      <c r="C2338" t="s">
        <v>6919</v>
      </c>
      <c r="D2338" t="s">
        <v>6918</v>
      </c>
      <c r="E2338" t="s">
        <v>6916</v>
      </c>
      <c r="F2338" t="s">
        <v>6911</v>
      </c>
      <c r="G2338" t="s">
        <v>47</v>
      </c>
      <c r="H2338">
        <v>0</v>
      </c>
      <c r="I2338" s="61" t="s">
        <v>11160</v>
      </c>
      <c r="J2338" s="33" t="s">
        <v>45</v>
      </c>
      <c r="K2338" s="46">
        <v>0</v>
      </c>
      <c r="L2338">
        <v>9.1</v>
      </c>
      <c r="M2338" t="s">
        <v>48</v>
      </c>
      <c r="N2338" s="46">
        <v>0</v>
      </c>
      <c r="O2338" s="46">
        <v>0</v>
      </c>
      <c r="P2338" s="46">
        <v>0</v>
      </c>
      <c r="Q2338" t="s">
        <v>48</v>
      </c>
      <c r="R2338" t="s">
        <v>48</v>
      </c>
      <c r="S2338" t="s">
        <v>11346</v>
      </c>
      <c r="T2338" t="s">
        <v>48</v>
      </c>
      <c r="U2338" t="s">
        <v>6917</v>
      </c>
      <c r="V2338" s="47">
        <v>0</v>
      </c>
      <c r="W2338" t="s">
        <v>48</v>
      </c>
      <c r="X2338" t="s">
        <v>48</v>
      </c>
      <c r="Y2338" t="s">
        <v>48</v>
      </c>
      <c r="Z2338">
        <v>0</v>
      </c>
      <c r="AA2338" t="s">
        <v>48</v>
      </c>
      <c r="AB2338" t="s">
        <v>48</v>
      </c>
      <c r="AC2338" t="s">
        <v>49</v>
      </c>
      <c r="AD2338" t="s">
        <v>93</v>
      </c>
      <c r="AE2338" t="s">
        <v>977</v>
      </c>
      <c r="AF2338" t="s">
        <v>11053</v>
      </c>
      <c r="AG2338" t="s">
        <v>48</v>
      </c>
      <c r="AH2338" t="s">
        <v>48</v>
      </c>
      <c r="AI2338" t="s">
        <v>48</v>
      </c>
      <c r="AJ2338" t="s">
        <v>48</v>
      </c>
      <c r="AK2338" t="s">
        <v>48</v>
      </c>
      <c r="AL2338" t="s">
        <v>48</v>
      </c>
      <c r="AM2338" t="s">
        <v>48</v>
      </c>
      <c r="AN2338" t="s">
        <v>48</v>
      </c>
      <c r="AO2338" t="s">
        <v>48</v>
      </c>
      <c r="AP2338" s="46">
        <v>0</v>
      </c>
      <c r="AQ2338" s="46">
        <v>0</v>
      </c>
      <c r="AR2338" s="46">
        <v>0</v>
      </c>
      <c r="AS2338" s="46">
        <v>0</v>
      </c>
      <c r="AT2338" s="46">
        <v>0</v>
      </c>
      <c r="AU2338" s="46">
        <v>0</v>
      </c>
      <c r="AV2338" s="46">
        <v>0</v>
      </c>
      <c r="AW2338" s="46">
        <v>0</v>
      </c>
      <c r="AX2338" s="46">
        <v>0</v>
      </c>
      <c r="AY2338" s="46">
        <v>0</v>
      </c>
      <c r="AZ2338" s="46">
        <v>0</v>
      </c>
      <c r="BA2338" s="46">
        <v>0</v>
      </c>
      <c r="BB2338" s="46">
        <v>0</v>
      </c>
      <c r="BC2338" s="46">
        <v>0</v>
      </c>
      <c r="BD2338" s="46">
        <v>0</v>
      </c>
      <c r="BE2338" s="46">
        <v>0</v>
      </c>
      <c r="BF2338" s="46">
        <v>0</v>
      </c>
      <c r="BG2338" s="46" t="s">
        <v>48</v>
      </c>
      <c r="BH2338" s="46">
        <v>0</v>
      </c>
      <c r="BI2338" s="46">
        <v>0</v>
      </c>
      <c r="BJ2338" s="46">
        <v>0</v>
      </c>
      <c r="BK2338" s="46">
        <v>0</v>
      </c>
      <c r="BL2338" s="46">
        <v>0</v>
      </c>
      <c r="BM2338" s="46">
        <v>0</v>
      </c>
      <c r="BN2338" s="46">
        <v>0</v>
      </c>
    </row>
    <row r="2339" spans="1:66" x14ac:dyDescent="0.35">
      <c r="A2339" t="s">
        <v>6920</v>
      </c>
      <c r="B2339" t="s">
        <v>48</v>
      </c>
      <c r="C2339" t="s">
        <v>332</v>
      </c>
      <c r="D2339" t="s">
        <v>288</v>
      </c>
      <c r="E2339" t="s">
        <v>6921</v>
      </c>
      <c r="F2339" t="s">
        <v>6911</v>
      </c>
      <c r="G2339" t="s">
        <v>47</v>
      </c>
      <c r="H2339">
        <v>0</v>
      </c>
      <c r="I2339" s="60" t="s">
        <v>149</v>
      </c>
      <c r="J2339" s="33" t="s">
        <v>45</v>
      </c>
      <c r="K2339" s="46">
        <v>0</v>
      </c>
      <c r="L2339">
        <v>19.600000000000001</v>
      </c>
      <c r="M2339" t="s">
        <v>48</v>
      </c>
      <c r="N2339" s="46">
        <v>0</v>
      </c>
      <c r="O2339" s="46">
        <v>0</v>
      </c>
      <c r="P2339" s="46">
        <v>0</v>
      </c>
      <c r="Q2339" t="s">
        <v>48</v>
      </c>
      <c r="R2339" t="s">
        <v>48</v>
      </c>
      <c r="S2339" t="s">
        <v>48</v>
      </c>
      <c r="T2339" t="s">
        <v>48</v>
      </c>
      <c r="U2339" t="s">
        <v>48</v>
      </c>
      <c r="V2339" s="47">
        <v>0</v>
      </c>
      <c r="W2339" t="s">
        <v>48</v>
      </c>
      <c r="X2339" t="s">
        <v>48</v>
      </c>
      <c r="Y2339" t="s">
        <v>48</v>
      </c>
      <c r="Z2339">
        <v>0</v>
      </c>
      <c r="AA2339" t="s">
        <v>48</v>
      </c>
      <c r="AB2339" t="s">
        <v>48</v>
      </c>
      <c r="AC2339" t="s">
        <v>49</v>
      </c>
      <c r="AD2339" t="s">
        <v>93</v>
      </c>
      <c r="AE2339" t="s">
        <v>4532</v>
      </c>
      <c r="AF2339" t="s">
        <v>48</v>
      </c>
      <c r="AG2339" t="s">
        <v>48</v>
      </c>
      <c r="AH2339" t="s">
        <v>48</v>
      </c>
      <c r="AI2339" t="s">
        <v>48</v>
      </c>
      <c r="AJ2339" t="s">
        <v>48</v>
      </c>
      <c r="AK2339" t="s">
        <v>48</v>
      </c>
      <c r="AL2339" t="s">
        <v>48</v>
      </c>
      <c r="AM2339" t="s">
        <v>48</v>
      </c>
      <c r="AN2339" t="s">
        <v>48</v>
      </c>
      <c r="AO2339" t="s">
        <v>48</v>
      </c>
      <c r="AP2339" s="46">
        <v>0</v>
      </c>
      <c r="AQ2339" s="46">
        <v>0</v>
      </c>
      <c r="AR2339" s="46">
        <v>0</v>
      </c>
      <c r="AS2339" s="46">
        <v>0</v>
      </c>
      <c r="AT2339" s="46">
        <v>0</v>
      </c>
      <c r="AU2339" s="46">
        <v>0</v>
      </c>
      <c r="AV2339" s="46">
        <v>0</v>
      </c>
      <c r="AW2339" s="46">
        <v>0</v>
      </c>
      <c r="AX2339" s="46">
        <v>0</v>
      </c>
      <c r="AY2339" s="46">
        <v>0</v>
      </c>
      <c r="AZ2339" s="46">
        <v>0</v>
      </c>
      <c r="BA2339" s="46">
        <v>0</v>
      </c>
      <c r="BB2339" s="46">
        <v>0</v>
      </c>
      <c r="BC2339" s="46">
        <v>0</v>
      </c>
      <c r="BD2339" s="46">
        <v>0</v>
      </c>
      <c r="BE2339" s="46">
        <v>0</v>
      </c>
      <c r="BF2339" s="46">
        <v>0</v>
      </c>
      <c r="BG2339" s="46" t="s">
        <v>48</v>
      </c>
      <c r="BH2339" s="46">
        <v>0</v>
      </c>
      <c r="BI2339" s="46">
        <v>0</v>
      </c>
      <c r="BJ2339" s="46">
        <v>0</v>
      </c>
      <c r="BK2339" s="46">
        <v>0</v>
      </c>
      <c r="BL2339" s="46">
        <v>0</v>
      </c>
      <c r="BM2339" s="46">
        <v>0</v>
      </c>
      <c r="BN2339" s="46">
        <v>0</v>
      </c>
    </row>
    <row r="2340" spans="1:66" x14ac:dyDescent="0.35">
      <c r="A2340" t="s">
        <v>6933</v>
      </c>
      <c r="B2340" t="s">
        <v>48</v>
      </c>
      <c r="C2340" t="s">
        <v>6937</v>
      </c>
      <c r="D2340" t="s">
        <v>6936</v>
      </c>
      <c r="E2340" t="s">
        <v>6934</v>
      </c>
      <c r="F2340" t="s">
        <v>6923</v>
      </c>
      <c r="G2340" t="s">
        <v>47</v>
      </c>
      <c r="H2340">
        <v>0</v>
      </c>
      <c r="I2340" s="60" t="s">
        <v>51</v>
      </c>
      <c r="J2340" s="33" t="s">
        <v>45</v>
      </c>
      <c r="K2340" s="46">
        <v>0</v>
      </c>
      <c r="L2340">
        <v>10.199999999999999</v>
      </c>
      <c r="M2340" t="s">
        <v>48</v>
      </c>
      <c r="N2340" s="46">
        <v>0</v>
      </c>
      <c r="O2340" s="46">
        <v>0</v>
      </c>
      <c r="P2340" s="46">
        <v>0</v>
      </c>
      <c r="Q2340" t="s">
        <v>48</v>
      </c>
      <c r="R2340" t="s">
        <v>48</v>
      </c>
      <c r="S2340" t="s">
        <v>6935</v>
      </c>
      <c r="T2340" t="s">
        <v>48</v>
      </c>
      <c r="U2340" t="s">
        <v>6935</v>
      </c>
      <c r="V2340" s="47">
        <v>0</v>
      </c>
      <c r="W2340" t="s">
        <v>48</v>
      </c>
      <c r="X2340" t="s">
        <v>48</v>
      </c>
      <c r="Y2340" t="s">
        <v>48</v>
      </c>
      <c r="Z2340">
        <v>0</v>
      </c>
      <c r="AA2340" t="s">
        <v>48</v>
      </c>
      <c r="AB2340" t="s">
        <v>48</v>
      </c>
      <c r="AC2340" t="s">
        <v>49</v>
      </c>
      <c r="AD2340" t="s">
        <v>93</v>
      </c>
      <c r="AE2340" t="s">
        <v>11051</v>
      </c>
      <c r="AF2340" t="s">
        <v>48</v>
      </c>
      <c r="AG2340" t="s">
        <v>48</v>
      </c>
      <c r="AH2340" t="s">
        <v>48</v>
      </c>
      <c r="AI2340" t="s">
        <v>48</v>
      </c>
      <c r="AJ2340" t="s">
        <v>48</v>
      </c>
      <c r="AK2340" t="s">
        <v>48</v>
      </c>
      <c r="AL2340" t="s">
        <v>48</v>
      </c>
      <c r="AM2340" t="s">
        <v>48</v>
      </c>
      <c r="AN2340" t="s">
        <v>48</v>
      </c>
      <c r="AO2340" t="s">
        <v>48</v>
      </c>
      <c r="AP2340" s="46">
        <v>0</v>
      </c>
      <c r="AQ2340" s="46">
        <v>0</v>
      </c>
      <c r="AR2340" s="46">
        <v>0</v>
      </c>
      <c r="AS2340" s="46">
        <v>0</v>
      </c>
      <c r="AT2340" s="46">
        <v>0</v>
      </c>
      <c r="AU2340" s="46">
        <v>0</v>
      </c>
      <c r="AV2340" s="46">
        <v>0</v>
      </c>
      <c r="AW2340" s="46">
        <v>0</v>
      </c>
      <c r="AX2340" s="46">
        <v>0</v>
      </c>
      <c r="AY2340" s="46">
        <v>0</v>
      </c>
      <c r="AZ2340" s="46">
        <v>0</v>
      </c>
      <c r="BA2340" s="46">
        <v>0</v>
      </c>
      <c r="BB2340" s="46">
        <v>0</v>
      </c>
      <c r="BC2340" s="46">
        <v>0</v>
      </c>
      <c r="BD2340" s="46">
        <v>0</v>
      </c>
      <c r="BE2340" s="46">
        <v>0</v>
      </c>
      <c r="BF2340" s="46">
        <v>0</v>
      </c>
      <c r="BG2340" s="46" t="s">
        <v>48</v>
      </c>
      <c r="BH2340" s="46">
        <v>0</v>
      </c>
      <c r="BI2340" s="46">
        <v>0</v>
      </c>
      <c r="BJ2340" s="46">
        <v>0</v>
      </c>
      <c r="BK2340" s="46">
        <v>0</v>
      </c>
      <c r="BL2340" s="46">
        <v>0</v>
      </c>
      <c r="BM2340" s="46">
        <v>0</v>
      </c>
      <c r="BN2340" s="46">
        <v>0</v>
      </c>
    </row>
    <row r="2341" spans="1:66" x14ac:dyDescent="0.35">
      <c r="A2341" t="s">
        <v>6931</v>
      </c>
      <c r="B2341" t="s">
        <v>48</v>
      </c>
      <c r="C2341" t="s">
        <v>3010</v>
      </c>
      <c r="D2341" t="s">
        <v>1503</v>
      </c>
      <c r="E2341" t="s">
        <v>6932</v>
      </c>
      <c r="F2341" t="s">
        <v>6923</v>
      </c>
      <c r="G2341" t="s">
        <v>47</v>
      </c>
      <c r="H2341">
        <v>0</v>
      </c>
      <c r="I2341" s="60" t="s">
        <v>149</v>
      </c>
      <c r="J2341" s="33" t="s">
        <v>45</v>
      </c>
      <c r="K2341" s="46">
        <v>0</v>
      </c>
      <c r="L2341">
        <v>10.5</v>
      </c>
      <c r="M2341" t="s">
        <v>48</v>
      </c>
      <c r="N2341" s="46">
        <v>0</v>
      </c>
      <c r="O2341" s="46">
        <v>0</v>
      </c>
      <c r="P2341" s="46">
        <v>0</v>
      </c>
      <c r="Q2341" t="s">
        <v>48</v>
      </c>
      <c r="R2341" t="s">
        <v>48</v>
      </c>
      <c r="S2341" t="s">
        <v>48</v>
      </c>
      <c r="T2341" t="s">
        <v>48</v>
      </c>
      <c r="U2341" t="s">
        <v>48</v>
      </c>
      <c r="V2341" s="47">
        <v>0</v>
      </c>
      <c r="W2341" t="s">
        <v>48</v>
      </c>
      <c r="X2341" t="s">
        <v>48</v>
      </c>
      <c r="Y2341" t="s">
        <v>48</v>
      </c>
      <c r="Z2341">
        <v>0</v>
      </c>
      <c r="AA2341" t="s">
        <v>48</v>
      </c>
      <c r="AB2341" t="s">
        <v>48</v>
      </c>
      <c r="AC2341" t="s">
        <v>49</v>
      </c>
      <c r="AD2341" t="s">
        <v>48</v>
      </c>
      <c r="AE2341" t="s">
        <v>48</v>
      </c>
      <c r="AF2341" t="s">
        <v>48</v>
      </c>
      <c r="AG2341" t="s">
        <v>48</v>
      </c>
      <c r="AH2341" t="s">
        <v>48</v>
      </c>
      <c r="AI2341" t="s">
        <v>48</v>
      </c>
      <c r="AJ2341" t="s">
        <v>48</v>
      </c>
      <c r="AK2341" t="s">
        <v>48</v>
      </c>
      <c r="AL2341" t="s">
        <v>48</v>
      </c>
      <c r="AM2341" t="s">
        <v>48</v>
      </c>
      <c r="AN2341" t="s">
        <v>48</v>
      </c>
      <c r="AO2341" t="s">
        <v>48</v>
      </c>
      <c r="AP2341" s="46">
        <v>0</v>
      </c>
      <c r="AQ2341" s="46">
        <v>0</v>
      </c>
      <c r="AR2341" s="46">
        <v>0</v>
      </c>
      <c r="AS2341" s="46">
        <v>0</v>
      </c>
      <c r="AT2341" s="46">
        <v>0</v>
      </c>
      <c r="AU2341" s="46">
        <v>0</v>
      </c>
      <c r="AV2341" s="46">
        <v>0</v>
      </c>
      <c r="AW2341" s="46">
        <v>0</v>
      </c>
      <c r="AX2341" s="46">
        <v>0</v>
      </c>
      <c r="AY2341" s="46">
        <v>0</v>
      </c>
      <c r="AZ2341" s="46">
        <v>0</v>
      </c>
      <c r="BA2341" s="46">
        <v>0</v>
      </c>
      <c r="BB2341" s="46">
        <v>0</v>
      </c>
      <c r="BC2341" s="46">
        <v>0</v>
      </c>
      <c r="BD2341" s="46">
        <v>0</v>
      </c>
      <c r="BE2341" s="46">
        <v>0</v>
      </c>
      <c r="BF2341" s="46">
        <v>0</v>
      </c>
      <c r="BG2341" s="46" t="s">
        <v>48</v>
      </c>
      <c r="BH2341" s="46">
        <v>0</v>
      </c>
      <c r="BI2341" s="46">
        <v>0</v>
      </c>
      <c r="BJ2341" s="46">
        <v>0</v>
      </c>
      <c r="BK2341" s="46">
        <v>0</v>
      </c>
      <c r="BL2341" s="46">
        <v>0</v>
      </c>
      <c r="BM2341" s="46">
        <v>0</v>
      </c>
      <c r="BN2341" s="46">
        <v>0</v>
      </c>
    </row>
    <row r="2342" spans="1:66" x14ac:dyDescent="0.35">
      <c r="A2342" t="s">
        <v>6938</v>
      </c>
      <c r="B2342" t="s">
        <v>48</v>
      </c>
      <c r="C2342" t="s">
        <v>6942</v>
      </c>
      <c r="D2342" t="s">
        <v>6941</v>
      </c>
      <c r="E2342" t="s">
        <v>6939</v>
      </c>
      <c r="F2342" t="s">
        <v>6923</v>
      </c>
      <c r="G2342" t="s">
        <v>47</v>
      </c>
      <c r="H2342">
        <v>0</v>
      </c>
      <c r="I2342" s="60" t="s">
        <v>149</v>
      </c>
      <c r="J2342" s="33" t="s">
        <v>45</v>
      </c>
      <c r="K2342" s="46">
        <v>0</v>
      </c>
      <c r="L2342">
        <v>5.0999999999999996</v>
      </c>
      <c r="M2342" t="s">
        <v>48</v>
      </c>
      <c r="N2342" s="46">
        <v>0</v>
      </c>
      <c r="O2342" s="46">
        <v>0</v>
      </c>
      <c r="P2342" s="46">
        <v>0</v>
      </c>
      <c r="Q2342" t="s">
        <v>48</v>
      </c>
      <c r="R2342" t="s">
        <v>48</v>
      </c>
      <c r="S2342" t="s">
        <v>6940</v>
      </c>
      <c r="T2342" t="s">
        <v>48</v>
      </c>
      <c r="U2342" t="s">
        <v>6940</v>
      </c>
      <c r="V2342" s="47">
        <v>0</v>
      </c>
      <c r="W2342" t="s">
        <v>11317</v>
      </c>
      <c r="X2342" t="s">
        <v>48</v>
      </c>
      <c r="Y2342" t="s">
        <v>48</v>
      </c>
      <c r="Z2342">
        <v>0</v>
      </c>
      <c r="AA2342" t="s">
        <v>48</v>
      </c>
      <c r="AB2342" t="s">
        <v>48</v>
      </c>
      <c r="AC2342" t="s">
        <v>49</v>
      </c>
      <c r="AD2342" t="s">
        <v>93</v>
      </c>
      <c r="AE2342" t="s">
        <v>2471</v>
      </c>
      <c r="AF2342" t="s">
        <v>11061</v>
      </c>
      <c r="AG2342" t="s">
        <v>48</v>
      </c>
      <c r="AH2342" t="s">
        <v>48</v>
      </c>
      <c r="AI2342" t="s">
        <v>48</v>
      </c>
      <c r="AJ2342" t="s">
        <v>48</v>
      </c>
      <c r="AK2342" t="s">
        <v>48</v>
      </c>
      <c r="AL2342" t="s">
        <v>48</v>
      </c>
      <c r="AM2342" t="s">
        <v>48</v>
      </c>
      <c r="AN2342" t="s">
        <v>48</v>
      </c>
      <c r="AO2342" t="s">
        <v>48</v>
      </c>
      <c r="AP2342" s="46">
        <v>0</v>
      </c>
      <c r="AQ2342" s="46">
        <v>0</v>
      </c>
      <c r="AR2342" s="46">
        <v>0</v>
      </c>
      <c r="AS2342" s="46">
        <v>0</v>
      </c>
      <c r="AT2342" s="46">
        <v>0</v>
      </c>
      <c r="AU2342" s="46">
        <v>0</v>
      </c>
      <c r="AV2342" s="46">
        <v>0</v>
      </c>
      <c r="AW2342" s="46">
        <v>0</v>
      </c>
      <c r="AX2342" s="46">
        <v>0</v>
      </c>
      <c r="AY2342" s="46">
        <v>0</v>
      </c>
      <c r="AZ2342" s="46">
        <v>0</v>
      </c>
      <c r="BA2342" s="46">
        <v>0</v>
      </c>
      <c r="BB2342" s="46">
        <v>0</v>
      </c>
      <c r="BC2342" s="46">
        <v>0</v>
      </c>
      <c r="BD2342" s="46">
        <v>0</v>
      </c>
      <c r="BE2342" s="46">
        <v>0</v>
      </c>
      <c r="BF2342" s="46">
        <v>0</v>
      </c>
      <c r="BG2342" s="46" t="s">
        <v>48</v>
      </c>
      <c r="BH2342" s="46">
        <v>0</v>
      </c>
      <c r="BI2342" s="46">
        <v>0</v>
      </c>
      <c r="BJ2342" s="46">
        <v>0</v>
      </c>
      <c r="BK2342" s="46">
        <v>0</v>
      </c>
      <c r="BL2342" s="46">
        <v>0</v>
      </c>
      <c r="BM2342" s="46">
        <v>0</v>
      </c>
      <c r="BN2342" s="46">
        <v>0</v>
      </c>
    </row>
    <row r="2343" spans="1:66" x14ac:dyDescent="0.35">
      <c r="A2343" t="s">
        <v>6947</v>
      </c>
      <c r="B2343" t="s">
        <v>48</v>
      </c>
      <c r="C2343" t="s">
        <v>6949</v>
      </c>
      <c r="D2343" t="s">
        <v>843</v>
      </c>
      <c r="E2343" t="s">
        <v>6948</v>
      </c>
      <c r="F2343" t="s">
        <v>6923</v>
      </c>
      <c r="G2343" t="s">
        <v>47</v>
      </c>
      <c r="H2343">
        <v>0</v>
      </c>
      <c r="I2343" s="60" t="s">
        <v>51</v>
      </c>
      <c r="J2343" s="33" t="s">
        <v>45</v>
      </c>
      <c r="K2343" s="46">
        <v>0</v>
      </c>
      <c r="L2343">
        <v>18</v>
      </c>
      <c r="M2343">
        <v>43</v>
      </c>
      <c r="N2343" s="46">
        <v>0</v>
      </c>
      <c r="O2343" s="46">
        <v>0</v>
      </c>
      <c r="P2343" s="46">
        <v>0</v>
      </c>
      <c r="Q2343" t="s">
        <v>48</v>
      </c>
      <c r="R2343" t="s">
        <v>48</v>
      </c>
      <c r="S2343" t="s">
        <v>48</v>
      </c>
      <c r="T2343" t="s">
        <v>48</v>
      </c>
      <c r="U2343" t="s">
        <v>48</v>
      </c>
      <c r="V2343" s="47">
        <v>0</v>
      </c>
      <c r="W2343" t="s">
        <v>48</v>
      </c>
      <c r="X2343" t="s">
        <v>48</v>
      </c>
      <c r="Y2343" t="s">
        <v>48</v>
      </c>
      <c r="Z2343">
        <v>0</v>
      </c>
      <c r="AA2343" t="s">
        <v>48</v>
      </c>
      <c r="AB2343" t="s">
        <v>48</v>
      </c>
      <c r="AC2343" t="s">
        <v>49</v>
      </c>
      <c r="AD2343" t="s">
        <v>93</v>
      </c>
      <c r="AE2343" t="s">
        <v>4532</v>
      </c>
      <c r="AF2343" t="s">
        <v>48</v>
      </c>
      <c r="AG2343" t="s">
        <v>48</v>
      </c>
      <c r="AH2343" t="s">
        <v>48</v>
      </c>
      <c r="AI2343" t="s">
        <v>48</v>
      </c>
      <c r="AJ2343" t="s">
        <v>48</v>
      </c>
      <c r="AK2343" t="s">
        <v>48</v>
      </c>
      <c r="AL2343" t="s">
        <v>48</v>
      </c>
      <c r="AM2343" t="s">
        <v>48</v>
      </c>
      <c r="AN2343" t="s">
        <v>48</v>
      </c>
      <c r="AO2343" t="s">
        <v>48</v>
      </c>
      <c r="AP2343" s="46">
        <v>0</v>
      </c>
      <c r="AQ2343" s="46">
        <v>0</v>
      </c>
      <c r="AR2343" s="46">
        <v>0</v>
      </c>
      <c r="AS2343" s="46">
        <v>0</v>
      </c>
      <c r="AT2343" s="46">
        <v>0</v>
      </c>
      <c r="AU2343" s="46">
        <v>0</v>
      </c>
      <c r="AV2343" s="46">
        <v>0</v>
      </c>
      <c r="AW2343" s="46">
        <v>0</v>
      </c>
      <c r="AX2343" s="46">
        <v>0</v>
      </c>
      <c r="AY2343" s="46">
        <v>0</v>
      </c>
      <c r="AZ2343" s="46">
        <v>0</v>
      </c>
      <c r="BA2343" s="46">
        <v>0</v>
      </c>
      <c r="BB2343" s="46">
        <v>0</v>
      </c>
      <c r="BC2343" s="46">
        <v>0</v>
      </c>
      <c r="BD2343" s="46">
        <v>0</v>
      </c>
      <c r="BE2343" s="46">
        <v>0</v>
      </c>
      <c r="BF2343" s="46">
        <v>0</v>
      </c>
      <c r="BG2343" s="46" t="s">
        <v>48</v>
      </c>
      <c r="BH2343" s="46">
        <v>0</v>
      </c>
      <c r="BI2343" s="46">
        <v>0</v>
      </c>
      <c r="BJ2343" s="46">
        <v>0</v>
      </c>
      <c r="BK2343" s="46">
        <v>0</v>
      </c>
      <c r="BL2343" s="46">
        <v>0</v>
      </c>
      <c r="BM2343" s="46">
        <v>0</v>
      </c>
      <c r="BN2343" s="46">
        <v>0</v>
      </c>
    </row>
    <row r="2344" spans="1:66" x14ac:dyDescent="0.35">
      <c r="A2344" t="s">
        <v>6928</v>
      </c>
      <c r="B2344" t="s">
        <v>48</v>
      </c>
      <c r="C2344" t="s">
        <v>2437</v>
      </c>
      <c r="D2344" t="s">
        <v>1070</v>
      </c>
      <c r="E2344" t="s">
        <v>6929</v>
      </c>
      <c r="F2344" t="s">
        <v>6923</v>
      </c>
      <c r="G2344" t="s">
        <v>47</v>
      </c>
      <c r="H2344">
        <v>0</v>
      </c>
      <c r="I2344" s="60" t="s">
        <v>661</v>
      </c>
      <c r="J2344" s="33" t="s">
        <v>45</v>
      </c>
      <c r="K2344" s="46">
        <v>0</v>
      </c>
      <c r="L2344">
        <v>16</v>
      </c>
      <c r="M2344" t="s">
        <v>48</v>
      </c>
      <c r="N2344" s="46">
        <v>0</v>
      </c>
      <c r="O2344" s="46">
        <v>0</v>
      </c>
      <c r="P2344" s="46">
        <v>0</v>
      </c>
      <c r="Q2344" t="s">
        <v>48</v>
      </c>
      <c r="R2344" t="s">
        <v>48</v>
      </c>
      <c r="S2344" t="s">
        <v>6930</v>
      </c>
      <c r="T2344" t="s">
        <v>48</v>
      </c>
      <c r="U2344" t="s">
        <v>6930</v>
      </c>
      <c r="V2344" s="47">
        <v>0</v>
      </c>
      <c r="W2344" t="s">
        <v>48</v>
      </c>
      <c r="X2344" t="s">
        <v>48</v>
      </c>
      <c r="Y2344" t="s">
        <v>48</v>
      </c>
      <c r="Z2344">
        <v>0</v>
      </c>
      <c r="AA2344" t="s">
        <v>48</v>
      </c>
      <c r="AB2344" t="s">
        <v>48</v>
      </c>
      <c r="AC2344" t="s">
        <v>49</v>
      </c>
      <c r="AD2344" t="s">
        <v>93</v>
      </c>
      <c r="AE2344" t="s">
        <v>4532</v>
      </c>
      <c r="AF2344" t="s">
        <v>48</v>
      </c>
      <c r="AG2344" t="s">
        <v>48</v>
      </c>
      <c r="AH2344" t="s">
        <v>48</v>
      </c>
      <c r="AI2344" t="s">
        <v>48</v>
      </c>
      <c r="AJ2344" t="s">
        <v>48</v>
      </c>
      <c r="AK2344" t="s">
        <v>48</v>
      </c>
      <c r="AL2344" t="s">
        <v>48</v>
      </c>
      <c r="AM2344" t="s">
        <v>48</v>
      </c>
      <c r="AN2344" t="s">
        <v>48</v>
      </c>
      <c r="AO2344" t="s">
        <v>48</v>
      </c>
      <c r="AP2344" s="46">
        <v>0</v>
      </c>
      <c r="AQ2344" s="46">
        <v>0</v>
      </c>
      <c r="AR2344" s="46">
        <v>0</v>
      </c>
      <c r="AS2344" s="46">
        <v>0</v>
      </c>
      <c r="AT2344" s="46">
        <v>0</v>
      </c>
      <c r="AU2344" s="46">
        <v>0</v>
      </c>
      <c r="AV2344" s="46">
        <v>0</v>
      </c>
      <c r="AW2344" s="46">
        <v>0</v>
      </c>
      <c r="AX2344" s="46">
        <v>0</v>
      </c>
      <c r="AY2344" s="46">
        <v>0</v>
      </c>
      <c r="AZ2344" s="46">
        <v>0</v>
      </c>
      <c r="BA2344" s="46">
        <v>0</v>
      </c>
      <c r="BB2344" s="46">
        <v>0</v>
      </c>
      <c r="BC2344" s="46">
        <v>0</v>
      </c>
      <c r="BD2344" s="46">
        <v>0</v>
      </c>
      <c r="BE2344" s="46">
        <v>0</v>
      </c>
      <c r="BF2344" s="46">
        <v>0</v>
      </c>
      <c r="BG2344" s="46" t="s">
        <v>48</v>
      </c>
      <c r="BH2344" s="46">
        <v>0</v>
      </c>
      <c r="BI2344" s="46">
        <v>0</v>
      </c>
      <c r="BJ2344" s="46">
        <v>0</v>
      </c>
      <c r="BK2344" s="46">
        <v>0</v>
      </c>
      <c r="BL2344" s="46">
        <v>0</v>
      </c>
      <c r="BM2344" s="46">
        <v>0</v>
      </c>
      <c r="BN2344" s="46">
        <v>0</v>
      </c>
    </row>
    <row r="2345" spans="1:66" x14ac:dyDescent="0.35">
      <c r="A2345" t="s">
        <v>6957</v>
      </c>
      <c r="B2345" s="44" t="s">
        <v>48</v>
      </c>
      <c r="C2345" t="s">
        <v>6960</v>
      </c>
      <c r="D2345" t="s">
        <v>2159</v>
      </c>
      <c r="E2345" t="s">
        <v>6958</v>
      </c>
      <c r="F2345" t="s">
        <v>6951</v>
      </c>
      <c r="G2345" t="s">
        <v>74</v>
      </c>
      <c r="H2345">
        <v>0</v>
      </c>
      <c r="I2345" s="60" t="s">
        <v>149</v>
      </c>
      <c r="J2345" s="33" t="s">
        <v>45</v>
      </c>
      <c r="K2345" s="46">
        <v>0</v>
      </c>
      <c r="L2345">
        <v>30.7</v>
      </c>
      <c r="M2345" t="s">
        <v>48</v>
      </c>
      <c r="N2345" s="46">
        <v>0</v>
      </c>
      <c r="O2345" s="46">
        <v>0</v>
      </c>
      <c r="P2345" s="46">
        <v>0</v>
      </c>
      <c r="Q2345" t="s">
        <v>48</v>
      </c>
      <c r="R2345" t="s">
        <v>48</v>
      </c>
      <c r="S2345" t="s">
        <v>6959</v>
      </c>
      <c r="T2345" t="s">
        <v>48</v>
      </c>
      <c r="U2345" t="s">
        <v>6959</v>
      </c>
      <c r="V2345" s="47">
        <v>0</v>
      </c>
      <c r="W2345" t="s">
        <v>48</v>
      </c>
      <c r="X2345" t="s">
        <v>48</v>
      </c>
      <c r="Y2345" t="s">
        <v>48</v>
      </c>
      <c r="Z2345">
        <v>0</v>
      </c>
      <c r="AA2345" t="s">
        <v>48</v>
      </c>
      <c r="AB2345" t="s">
        <v>48</v>
      </c>
      <c r="AC2345" t="s">
        <v>49</v>
      </c>
      <c r="AD2345" t="s">
        <v>951</v>
      </c>
      <c r="AE2345" s="40" t="s">
        <v>11051</v>
      </c>
      <c r="AF2345" t="s">
        <v>108</v>
      </c>
      <c r="AG2345" t="s">
        <v>48</v>
      </c>
      <c r="AH2345" t="s">
        <v>48</v>
      </c>
      <c r="AI2345" t="s">
        <v>48</v>
      </c>
      <c r="AJ2345" t="s">
        <v>48</v>
      </c>
      <c r="AK2345" t="s">
        <v>48</v>
      </c>
      <c r="AL2345" t="s">
        <v>48</v>
      </c>
      <c r="AM2345" t="s">
        <v>48</v>
      </c>
      <c r="AN2345" t="s">
        <v>48</v>
      </c>
      <c r="AO2345" t="s">
        <v>48</v>
      </c>
      <c r="AP2345" s="46">
        <v>0</v>
      </c>
      <c r="AQ2345" s="46">
        <v>0</v>
      </c>
      <c r="AR2345" s="46">
        <v>0</v>
      </c>
      <c r="AS2345" s="46">
        <v>0</v>
      </c>
      <c r="AT2345" s="46">
        <v>0</v>
      </c>
      <c r="AU2345" s="46">
        <v>0</v>
      </c>
      <c r="AV2345" s="46">
        <v>0</v>
      </c>
      <c r="AW2345" s="46">
        <v>0</v>
      </c>
      <c r="AX2345" s="46">
        <v>0</v>
      </c>
      <c r="AY2345" s="46">
        <v>0</v>
      </c>
      <c r="AZ2345" s="46">
        <v>0</v>
      </c>
      <c r="BA2345" s="46">
        <v>0</v>
      </c>
      <c r="BB2345" s="46">
        <v>0</v>
      </c>
      <c r="BC2345" s="46">
        <v>0</v>
      </c>
      <c r="BD2345" s="46">
        <v>0</v>
      </c>
      <c r="BE2345" s="46">
        <v>0</v>
      </c>
      <c r="BF2345" s="46">
        <v>0</v>
      </c>
      <c r="BG2345" s="46" t="s">
        <v>48</v>
      </c>
      <c r="BH2345" s="46">
        <v>0</v>
      </c>
      <c r="BI2345" s="46">
        <v>0</v>
      </c>
      <c r="BJ2345" s="46">
        <v>0</v>
      </c>
      <c r="BK2345" s="46">
        <v>0</v>
      </c>
      <c r="BL2345" s="46">
        <v>0</v>
      </c>
      <c r="BM2345" s="46">
        <v>0</v>
      </c>
      <c r="BN2345" s="46">
        <v>0</v>
      </c>
    </row>
    <row r="2346" spans="1:66" x14ac:dyDescent="0.35">
      <c r="A2346" t="s">
        <v>6954</v>
      </c>
      <c r="B2346" t="s">
        <v>48</v>
      </c>
      <c r="C2346" t="s">
        <v>6956</v>
      </c>
      <c r="D2346" t="s">
        <v>210</v>
      </c>
      <c r="E2346" t="s">
        <v>6955</v>
      </c>
      <c r="F2346" t="s">
        <v>6951</v>
      </c>
      <c r="G2346" t="s">
        <v>47</v>
      </c>
      <c r="H2346">
        <v>0</v>
      </c>
      <c r="I2346" s="60" t="s">
        <v>149</v>
      </c>
      <c r="J2346" s="33" t="s">
        <v>45</v>
      </c>
      <c r="K2346" s="46">
        <v>0</v>
      </c>
      <c r="L2346">
        <v>36.6</v>
      </c>
      <c r="M2346" t="s">
        <v>48</v>
      </c>
      <c r="N2346" s="46">
        <v>0</v>
      </c>
      <c r="O2346" s="46">
        <v>0</v>
      </c>
      <c r="P2346" s="46">
        <v>0</v>
      </c>
      <c r="Q2346" t="s">
        <v>48</v>
      </c>
      <c r="R2346" t="s">
        <v>48</v>
      </c>
      <c r="S2346" t="s">
        <v>48</v>
      </c>
      <c r="T2346" t="s">
        <v>48</v>
      </c>
      <c r="U2346" t="s">
        <v>48</v>
      </c>
      <c r="V2346" s="47">
        <v>1</v>
      </c>
      <c r="W2346" t="s">
        <v>11264</v>
      </c>
      <c r="X2346" t="s">
        <v>48</v>
      </c>
      <c r="Y2346" t="s">
        <v>48</v>
      </c>
      <c r="Z2346">
        <v>0</v>
      </c>
      <c r="AA2346" t="s">
        <v>48</v>
      </c>
      <c r="AB2346" t="s">
        <v>48</v>
      </c>
      <c r="AC2346" t="s">
        <v>49</v>
      </c>
      <c r="AD2346" t="s">
        <v>93</v>
      </c>
      <c r="AE2346" t="s">
        <v>4532</v>
      </c>
      <c r="AF2346" t="s">
        <v>48</v>
      </c>
      <c r="AG2346" t="s">
        <v>48</v>
      </c>
      <c r="AH2346" t="s">
        <v>48</v>
      </c>
      <c r="AI2346" t="s">
        <v>48</v>
      </c>
      <c r="AJ2346" t="s">
        <v>48</v>
      </c>
      <c r="AK2346" t="s">
        <v>48</v>
      </c>
      <c r="AL2346" t="s">
        <v>48</v>
      </c>
      <c r="AM2346" t="s">
        <v>48</v>
      </c>
      <c r="AN2346" t="s">
        <v>48</v>
      </c>
      <c r="AO2346" t="s">
        <v>48</v>
      </c>
      <c r="AP2346" s="46">
        <v>0</v>
      </c>
      <c r="AQ2346" s="46">
        <v>0</v>
      </c>
      <c r="AR2346" s="46">
        <v>0</v>
      </c>
      <c r="AS2346" s="46">
        <v>0</v>
      </c>
      <c r="AT2346" s="46">
        <v>0</v>
      </c>
      <c r="AU2346" s="46">
        <v>0</v>
      </c>
      <c r="AV2346" s="46">
        <v>0</v>
      </c>
      <c r="AW2346" s="46">
        <v>0</v>
      </c>
      <c r="AX2346" s="46">
        <v>0</v>
      </c>
      <c r="AY2346" s="46">
        <v>0</v>
      </c>
      <c r="AZ2346" s="46">
        <v>0</v>
      </c>
      <c r="BA2346" s="46">
        <v>0</v>
      </c>
      <c r="BB2346" s="46">
        <v>0</v>
      </c>
      <c r="BC2346" s="46">
        <v>0</v>
      </c>
      <c r="BD2346" s="46">
        <v>0</v>
      </c>
      <c r="BE2346" s="46">
        <v>0</v>
      </c>
      <c r="BF2346" s="46">
        <v>0</v>
      </c>
      <c r="BG2346" s="46" t="s">
        <v>48</v>
      </c>
      <c r="BH2346" s="46">
        <v>0</v>
      </c>
      <c r="BI2346" s="46">
        <v>0</v>
      </c>
      <c r="BJ2346" s="46">
        <v>0</v>
      </c>
      <c r="BK2346" s="46">
        <v>0</v>
      </c>
      <c r="BL2346" s="46">
        <v>0</v>
      </c>
      <c r="BM2346" s="46">
        <v>0</v>
      </c>
      <c r="BN2346" s="46">
        <v>0</v>
      </c>
    </row>
    <row r="2347" spans="1:66" x14ac:dyDescent="0.35">
      <c r="A2347" t="s">
        <v>6996</v>
      </c>
      <c r="B2347" s="44" t="s">
        <v>48</v>
      </c>
      <c r="C2347" t="s">
        <v>7000</v>
      </c>
      <c r="D2347" t="s">
        <v>6999</v>
      </c>
      <c r="E2347" t="s">
        <v>6997</v>
      </c>
      <c r="F2347" t="s">
        <v>6966</v>
      </c>
      <c r="G2347" t="s">
        <v>74</v>
      </c>
      <c r="H2347">
        <v>0</v>
      </c>
      <c r="I2347" s="60" t="s">
        <v>51</v>
      </c>
      <c r="J2347" s="33" t="s">
        <v>45</v>
      </c>
      <c r="K2347" s="46">
        <v>0</v>
      </c>
      <c r="L2347">
        <v>3.5</v>
      </c>
      <c r="M2347" t="s">
        <v>48</v>
      </c>
      <c r="N2347" s="46">
        <v>0</v>
      </c>
      <c r="O2347" s="46">
        <v>0</v>
      </c>
      <c r="P2347" s="46">
        <v>0</v>
      </c>
      <c r="Q2347" t="s">
        <v>48</v>
      </c>
      <c r="R2347" t="s">
        <v>48</v>
      </c>
      <c r="S2347" t="s">
        <v>6998</v>
      </c>
      <c r="T2347" t="s">
        <v>48</v>
      </c>
      <c r="U2347" t="s">
        <v>6998</v>
      </c>
      <c r="V2347" s="47">
        <v>0</v>
      </c>
      <c r="W2347" t="s">
        <v>11317</v>
      </c>
      <c r="X2347" t="s">
        <v>48</v>
      </c>
      <c r="Y2347" t="s">
        <v>48</v>
      </c>
      <c r="Z2347">
        <v>0</v>
      </c>
      <c r="AA2347" t="s">
        <v>48</v>
      </c>
      <c r="AB2347" t="s">
        <v>48</v>
      </c>
      <c r="AC2347" t="s">
        <v>63</v>
      </c>
      <c r="AD2347" t="s">
        <v>951</v>
      </c>
      <c r="AE2347" s="40" t="s">
        <v>11051</v>
      </c>
      <c r="AF2347" t="s">
        <v>108</v>
      </c>
      <c r="AG2347" t="s">
        <v>48</v>
      </c>
      <c r="AH2347" t="s">
        <v>48</v>
      </c>
      <c r="AI2347" t="s">
        <v>48</v>
      </c>
      <c r="AJ2347" t="s">
        <v>48</v>
      </c>
      <c r="AK2347" t="s">
        <v>48</v>
      </c>
      <c r="AL2347" t="s">
        <v>48</v>
      </c>
      <c r="AM2347" t="s">
        <v>48</v>
      </c>
      <c r="AN2347" t="s">
        <v>48</v>
      </c>
      <c r="AO2347" t="s">
        <v>48</v>
      </c>
      <c r="AP2347" s="46">
        <v>0</v>
      </c>
      <c r="AQ2347" s="46">
        <v>0</v>
      </c>
      <c r="AR2347" s="46">
        <v>0</v>
      </c>
      <c r="AS2347" s="46">
        <v>0</v>
      </c>
      <c r="AT2347" s="46">
        <v>0</v>
      </c>
      <c r="AU2347" s="46">
        <v>0</v>
      </c>
      <c r="AV2347" s="46">
        <v>0</v>
      </c>
      <c r="AW2347" s="46">
        <v>0</v>
      </c>
      <c r="AX2347" s="46">
        <v>0</v>
      </c>
      <c r="AY2347" s="46">
        <v>0</v>
      </c>
      <c r="AZ2347" s="46">
        <v>0</v>
      </c>
      <c r="BA2347" s="46">
        <v>0</v>
      </c>
      <c r="BB2347" s="46">
        <v>0</v>
      </c>
      <c r="BC2347" s="46">
        <v>0</v>
      </c>
      <c r="BD2347" s="46">
        <v>0</v>
      </c>
      <c r="BE2347" s="46">
        <v>0</v>
      </c>
      <c r="BF2347" s="46">
        <v>0</v>
      </c>
      <c r="BG2347" s="46" t="s">
        <v>48</v>
      </c>
      <c r="BH2347" s="46">
        <v>0</v>
      </c>
      <c r="BI2347" s="46">
        <v>0</v>
      </c>
      <c r="BJ2347" s="46">
        <v>0</v>
      </c>
      <c r="BK2347" s="46">
        <v>0</v>
      </c>
      <c r="BL2347" s="46">
        <v>0</v>
      </c>
      <c r="BM2347" s="46">
        <v>0</v>
      </c>
      <c r="BN2347" s="46">
        <v>0</v>
      </c>
    </row>
    <row r="2348" spans="1:66" x14ac:dyDescent="0.35">
      <c r="A2348" t="s">
        <v>7004</v>
      </c>
      <c r="B2348" s="44" t="s">
        <v>48</v>
      </c>
      <c r="C2348" t="s">
        <v>7007</v>
      </c>
      <c r="D2348" t="s">
        <v>7006</v>
      </c>
      <c r="E2348" t="s">
        <v>7005</v>
      </c>
      <c r="F2348" t="s">
        <v>6966</v>
      </c>
      <c r="G2348" t="s">
        <v>74</v>
      </c>
      <c r="H2348">
        <v>0</v>
      </c>
      <c r="I2348" s="60" t="s">
        <v>149</v>
      </c>
      <c r="J2348" s="33" t="s">
        <v>45</v>
      </c>
      <c r="K2348" s="46">
        <v>0</v>
      </c>
      <c r="L2348">
        <v>2</v>
      </c>
      <c r="M2348" t="s">
        <v>48</v>
      </c>
      <c r="N2348" s="46">
        <v>0</v>
      </c>
      <c r="O2348" s="46">
        <v>0</v>
      </c>
      <c r="P2348" s="46">
        <v>0</v>
      </c>
      <c r="Q2348" t="s">
        <v>48</v>
      </c>
      <c r="R2348" t="s">
        <v>48</v>
      </c>
      <c r="S2348" t="s">
        <v>48</v>
      </c>
      <c r="T2348" t="s">
        <v>48</v>
      </c>
      <c r="U2348" t="s">
        <v>48</v>
      </c>
      <c r="V2348" s="47">
        <v>0</v>
      </c>
      <c r="W2348" t="s">
        <v>48</v>
      </c>
      <c r="X2348" t="s">
        <v>48</v>
      </c>
      <c r="Y2348" t="s">
        <v>48</v>
      </c>
      <c r="Z2348">
        <v>0</v>
      </c>
      <c r="AA2348" t="s">
        <v>48</v>
      </c>
      <c r="AB2348" t="s">
        <v>48</v>
      </c>
      <c r="AC2348" t="s">
        <v>49</v>
      </c>
      <c r="AD2348" t="s">
        <v>951</v>
      </c>
      <c r="AE2348" s="40" t="s">
        <v>11051</v>
      </c>
      <c r="AF2348" t="s">
        <v>108</v>
      </c>
      <c r="AG2348" t="s">
        <v>48</v>
      </c>
      <c r="AH2348" t="s">
        <v>48</v>
      </c>
      <c r="AI2348" t="s">
        <v>48</v>
      </c>
      <c r="AJ2348" t="s">
        <v>48</v>
      </c>
      <c r="AK2348" t="s">
        <v>48</v>
      </c>
      <c r="AL2348" t="s">
        <v>48</v>
      </c>
      <c r="AM2348" t="s">
        <v>48</v>
      </c>
      <c r="AN2348" t="s">
        <v>48</v>
      </c>
      <c r="AO2348" t="s">
        <v>48</v>
      </c>
      <c r="AP2348" s="46">
        <v>0</v>
      </c>
      <c r="AQ2348" s="46">
        <v>0</v>
      </c>
      <c r="AR2348" s="46">
        <v>0</v>
      </c>
      <c r="AS2348" s="46">
        <v>0</v>
      </c>
      <c r="AT2348" s="46">
        <v>0</v>
      </c>
      <c r="AU2348" s="46">
        <v>0</v>
      </c>
      <c r="AV2348" s="46">
        <v>0</v>
      </c>
      <c r="AW2348" s="46">
        <v>0</v>
      </c>
      <c r="AX2348" s="46">
        <v>0</v>
      </c>
      <c r="AY2348" s="46">
        <v>0</v>
      </c>
      <c r="AZ2348" s="46">
        <v>0</v>
      </c>
      <c r="BA2348" s="46">
        <v>0</v>
      </c>
      <c r="BB2348" s="46">
        <v>0</v>
      </c>
      <c r="BC2348" s="46">
        <v>0</v>
      </c>
      <c r="BD2348" s="46">
        <v>0</v>
      </c>
      <c r="BE2348" s="46">
        <v>0</v>
      </c>
      <c r="BF2348" s="46">
        <v>0</v>
      </c>
      <c r="BG2348" s="46" t="s">
        <v>48</v>
      </c>
      <c r="BH2348" s="46">
        <v>0</v>
      </c>
      <c r="BI2348" s="46">
        <v>0</v>
      </c>
      <c r="BJ2348" s="46">
        <v>0</v>
      </c>
      <c r="BK2348" s="46">
        <v>0</v>
      </c>
      <c r="BL2348" s="46">
        <v>0</v>
      </c>
      <c r="BM2348" s="46">
        <v>0</v>
      </c>
      <c r="BN2348" s="46">
        <v>0</v>
      </c>
    </row>
    <row r="2349" spans="1:66" x14ac:dyDescent="0.35">
      <c r="A2349" t="s">
        <v>6992</v>
      </c>
      <c r="B2349" s="44" t="s">
        <v>48</v>
      </c>
      <c r="C2349" t="s">
        <v>6995</v>
      </c>
      <c r="D2349" t="s">
        <v>6994</v>
      </c>
      <c r="E2349" t="s">
        <v>6993</v>
      </c>
      <c r="F2349" t="s">
        <v>6966</v>
      </c>
      <c r="G2349" t="s">
        <v>74</v>
      </c>
      <c r="H2349">
        <v>0</v>
      </c>
      <c r="I2349" s="60" t="s">
        <v>149</v>
      </c>
      <c r="J2349" s="33" t="s">
        <v>45</v>
      </c>
      <c r="K2349" s="46">
        <v>0</v>
      </c>
      <c r="L2349">
        <v>2.5</v>
      </c>
      <c r="M2349" t="s">
        <v>48</v>
      </c>
      <c r="N2349" s="46">
        <v>0</v>
      </c>
      <c r="O2349" s="46">
        <v>0</v>
      </c>
      <c r="P2349" s="46">
        <v>0</v>
      </c>
      <c r="Q2349" t="s">
        <v>48</v>
      </c>
      <c r="R2349" t="s">
        <v>48</v>
      </c>
      <c r="S2349" t="s">
        <v>48</v>
      </c>
      <c r="T2349" t="s">
        <v>48</v>
      </c>
      <c r="U2349" t="s">
        <v>48</v>
      </c>
      <c r="V2349" s="47">
        <v>0</v>
      </c>
      <c r="W2349" t="s">
        <v>48</v>
      </c>
      <c r="X2349" t="s">
        <v>48</v>
      </c>
      <c r="Y2349" t="s">
        <v>48</v>
      </c>
      <c r="Z2349">
        <v>0</v>
      </c>
      <c r="AA2349" t="s">
        <v>48</v>
      </c>
      <c r="AB2349" t="s">
        <v>48</v>
      </c>
      <c r="AC2349" t="s">
        <v>49</v>
      </c>
      <c r="AD2349" t="s">
        <v>48</v>
      </c>
      <c r="AE2349" s="40" t="s">
        <v>48</v>
      </c>
      <c r="AF2349" t="s">
        <v>48</v>
      </c>
      <c r="AG2349" t="s">
        <v>48</v>
      </c>
      <c r="AH2349" t="s">
        <v>48</v>
      </c>
      <c r="AI2349" t="s">
        <v>48</v>
      </c>
      <c r="AJ2349" t="s">
        <v>48</v>
      </c>
      <c r="AK2349" t="s">
        <v>48</v>
      </c>
      <c r="AL2349" t="s">
        <v>48</v>
      </c>
      <c r="AM2349" t="s">
        <v>48</v>
      </c>
      <c r="AN2349" t="s">
        <v>48</v>
      </c>
      <c r="AO2349" t="s">
        <v>48</v>
      </c>
      <c r="AP2349" s="46">
        <v>0</v>
      </c>
      <c r="AQ2349" s="46">
        <v>0</v>
      </c>
      <c r="AR2349" s="46">
        <v>0</v>
      </c>
      <c r="AS2349" s="46">
        <v>0</v>
      </c>
      <c r="AT2349" s="46">
        <v>0</v>
      </c>
      <c r="AU2349" s="46">
        <v>0</v>
      </c>
      <c r="AV2349" s="46">
        <v>0</v>
      </c>
      <c r="AW2349" s="46">
        <v>0</v>
      </c>
      <c r="AX2349" s="46">
        <v>0</v>
      </c>
      <c r="AY2349" s="46">
        <v>0</v>
      </c>
      <c r="AZ2349" s="46">
        <v>0</v>
      </c>
      <c r="BA2349" s="46">
        <v>0</v>
      </c>
      <c r="BB2349" s="46">
        <v>0</v>
      </c>
      <c r="BC2349" s="46">
        <v>0</v>
      </c>
      <c r="BD2349" s="46">
        <v>0</v>
      </c>
      <c r="BE2349" s="46">
        <v>0</v>
      </c>
      <c r="BF2349" s="46">
        <v>0</v>
      </c>
      <c r="BG2349" s="46" t="s">
        <v>48</v>
      </c>
      <c r="BH2349" s="46">
        <v>0</v>
      </c>
      <c r="BI2349" s="46">
        <v>0</v>
      </c>
      <c r="BJ2349" s="46">
        <v>0</v>
      </c>
      <c r="BK2349" s="46">
        <v>0</v>
      </c>
      <c r="BL2349" s="46">
        <v>0</v>
      </c>
      <c r="BM2349" s="46">
        <v>0</v>
      </c>
      <c r="BN2349" s="46">
        <v>0</v>
      </c>
    </row>
    <row r="2350" spans="1:66" x14ac:dyDescent="0.35">
      <c r="A2350" t="s">
        <v>6988</v>
      </c>
      <c r="B2350" t="s">
        <v>48</v>
      </c>
      <c r="C2350" t="s">
        <v>6991</v>
      </c>
      <c r="D2350" t="s">
        <v>817</v>
      </c>
      <c r="E2350" t="s">
        <v>6989</v>
      </c>
      <c r="F2350" t="s">
        <v>6966</v>
      </c>
      <c r="G2350" t="s">
        <v>47</v>
      </c>
      <c r="H2350">
        <v>0</v>
      </c>
      <c r="I2350" s="60" t="s">
        <v>177</v>
      </c>
      <c r="J2350" s="33" t="s">
        <v>45</v>
      </c>
      <c r="K2350" s="46">
        <v>0</v>
      </c>
      <c r="L2350">
        <v>21.9</v>
      </c>
      <c r="M2350" t="s">
        <v>48</v>
      </c>
      <c r="N2350" s="46">
        <v>0</v>
      </c>
      <c r="O2350" s="46">
        <v>0</v>
      </c>
      <c r="P2350" s="46">
        <v>0</v>
      </c>
      <c r="Q2350" t="s">
        <v>48</v>
      </c>
      <c r="R2350" t="s">
        <v>48</v>
      </c>
      <c r="S2350" t="s">
        <v>6990</v>
      </c>
      <c r="T2350" t="s">
        <v>48</v>
      </c>
      <c r="U2350" t="s">
        <v>6990</v>
      </c>
      <c r="V2350" s="47">
        <v>0</v>
      </c>
      <c r="W2350" t="s">
        <v>48</v>
      </c>
      <c r="X2350" t="s">
        <v>48</v>
      </c>
      <c r="Y2350" t="s">
        <v>48</v>
      </c>
      <c r="Z2350">
        <v>0</v>
      </c>
      <c r="AA2350" t="s">
        <v>48</v>
      </c>
      <c r="AB2350" t="s">
        <v>48</v>
      </c>
      <c r="AC2350" t="s">
        <v>49</v>
      </c>
      <c r="AD2350" t="s">
        <v>93</v>
      </c>
      <c r="AE2350" t="s">
        <v>4532</v>
      </c>
      <c r="AF2350" t="s">
        <v>48</v>
      </c>
      <c r="AG2350" t="s">
        <v>48</v>
      </c>
      <c r="AH2350" t="s">
        <v>48</v>
      </c>
      <c r="AI2350" t="s">
        <v>48</v>
      </c>
      <c r="AJ2350" t="s">
        <v>48</v>
      </c>
      <c r="AK2350" t="s">
        <v>48</v>
      </c>
      <c r="AL2350" t="s">
        <v>48</v>
      </c>
      <c r="AM2350" t="s">
        <v>48</v>
      </c>
      <c r="AN2350" t="s">
        <v>48</v>
      </c>
      <c r="AO2350" t="s">
        <v>48</v>
      </c>
      <c r="AP2350" s="46">
        <v>0</v>
      </c>
      <c r="AQ2350" s="46">
        <v>0</v>
      </c>
      <c r="AR2350" s="46">
        <v>0</v>
      </c>
      <c r="AS2350" s="46">
        <v>0</v>
      </c>
      <c r="AT2350" s="46">
        <v>0</v>
      </c>
      <c r="AU2350" s="46">
        <v>0</v>
      </c>
      <c r="AV2350" s="46">
        <v>0</v>
      </c>
      <c r="AW2350" s="46">
        <v>0</v>
      </c>
      <c r="AX2350" s="46">
        <v>0</v>
      </c>
      <c r="AY2350" s="46">
        <v>0</v>
      </c>
      <c r="AZ2350" s="46">
        <v>0</v>
      </c>
      <c r="BA2350" s="46">
        <v>0</v>
      </c>
      <c r="BB2350" s="46">
        <v>0</v>
      </c>
      <c r="BC2350" s="46">
        <v>0</v>
      </c>
      <c r="BD2350" s="46">
        <v>0</v>
      </c>
      <c r="BE2350" s="46">
        <v>0</v>
      </c>
      <c r="BF2350" s="46">
        <v>0</v>
      </c>
      <c r="BG2350" s="46" t="s">
        <v>48</v>
      </c>
      <c r="BH2350" s="46">
        <v>0</v>
      </c>
      <c r="BI2350" s="46">
        <v>0</v>
      </c>
      <c r="BJ2350" s="46">
        <v>0</v>
      </c>
      <c r="BK2350" s="46">
        <v>0</v>
      </c>
      <c r="BL2350" s="46">
        <v>0</v>
      </c>
      <c r="BM2350" s="46">
        <v>0</v>
      </c>
      <c r="BN2350" s="46">
        <v>0</v>
      </c>
    </row>
    <row r="2351" spans="1:66" x14ac:dyDescent="0.35">
      <c r="A2351" t="s">
        <v>6984</v>
      </c>
      <c r="B2351" t="s">
        <v>48</v>
      </c>
      <c r="C2351" t="s">
        <v>6987</v>
      </c>
      <c r="D2351" t="s">
        <v>1726</v>
      </c>
      <c r="E2351" t="s">
        <v>6985</v>
      </c>
      <c r="F2351" t="s">
        <v>6966</v>
      </c>
      <c r="G2351" t="s">
        <v>47</v>
      </c>
      <c r="H2351">
        <v>0</v>
      </c>
      <c r="I2351" s="60" t="s">
        <v>149</v>
      </c>
      <c r="J2351" s="33" t="s">
        <v>45</v>
      </c>
      <c r="K2351" s="46">
        <v>0</v>
      </c>
      <c r="L2351">
        <v>10.7</v>
      </c>
      <c r="M2351" t="s">
        <v>48</v>
      </c>
      <c r="N2351" s="46">
        <v>0</v>
      </c>
      <c r="O2351" s="46">
        <v>0</v>
      </c>
      <c r="P2351" s="46">
        <v>0</v>
      </c>
      <c r="Q2351" t="s">
        <v>48</v>
      </c>
      <c r="R2351" t="s">
        <v>48</v>
      </c>
      <c r="S2351" t="s">
        <v>6986</v>
      </c>
      <c r="T2351" t="s">
        <v>48</v>
      </c>
      <c r="U2351" t="s">
        <v>6986</v>
      </c>
      <c r="V2351" s="47">
        <v>0</v>
      </c>
      <c r="W2351" t="s">
        <v>48</v>
      </c>
      <c r="X2351" t="s">
        <v>48</v>
      </c>
      <c r="Y2351" t="s">
        <v>48</v>
      </c>
      <c r="Z2351">
        <v>0</v>
      </c>
      <c r="AA2351" t="s">
        <v>48</v>
      </c>
      <c r="AB2351" t="s">
        <v>48</v>
      </c>
      <c r="AC2351" t="s">
        <v>49</v>
      </c>
      <c r="AD2351" t="s">
        <v>93</v>
      </c>
      <c r="AE2351" t="s">
        <v>4532</v>
      </c>
      <c r="AF2351" t="s">
        <v>48</v>
      </c>
      <c r="AG2351" t="s">
        <v>48</v>
      </c>
      <c r="AH2351" t="s">
        <v>48</v>
      </c>
      <c r="AI2351" t="s">
        <v>48</v>
      </c>
      <c r="AJ2351" t="s">
        <v>48</v>
      </c>
      <c r="AK2351" t="s">
        <v>48</v>
      </c>
      <c r="AL2351" t="s">
        <v>48</v>
      </c>
      <c r="AM2351" t="s">
        <v>48</v>
      </c>
      <c r="AN2351" t="s">
        <v>48</v>
      </c>
      <c r="AO2351" t="s">
        <v>48</v>
      </c>
      <c r="AP2351" s="46">
        <v>0</v>
      </c>
      <c r="AQ2351" s="46">
        <v>0</v>
      </c>
      <c r="AR2351" s="46">
        <v>0</v>
      </c>
      <c r="AS2351" s="46">
        <v>0</v>
      </c>
      <c r="AT2351" s="46">
        <v>0</v>
      </c>
      <c r="AU2351" s="46">
        <v>0</v>
      </c>
      <c r="AV2351" s="46">
        <v>0</v>
      </c>
      <c r="AW2351" s="46">
        <v>0</v>
      </c>
      <c r="AX2351" s="46">
        <v>0</v>
      </c>
      <c r="AY2351" s="46">
        <v>0</v>
      </c>
      <c r="AZ2351" s="46">
        <v>0</v>
      </c>
      <c r="BA2351" s="46">
        <v>0</v>
      </c>
      <c r="BB2351" s="46">
        <v>0</v>
      </c>
      <c r="BC2351" s="46">
        <v>0</v>
      </c>
      <c r="BD2351" s="46">
        <v>0</v>
      </c>
      <c r="BE2351" s="46">
        <v>0</v>
      </c>
      <c r="BF2351" s="46">
        <v>0</v>
      </c>
      <c r="BG2351" s="46" t="s">
        <v>48</v>
      </c>
      <c r="BH2351" s="46">
        <v>0</v>
      </c>
      <c r="BI2351" s="46">
        <v>0</v>
      </c>
      <c r="BJ2351" s="46">
        <v>0</v>
      </c>
      <c r="BK2351" s="46">
        <v>0</v>
      </c>
      <c r="BL2351" s="46">
        <v>0</v>
      </c>
      <c r="BM2351" s="46">
        <v>0</v>
      </c>
      <c r="BN2351" s="46">
        <v>0</v>
      </c>
    </row>
    <row r="2352" spans="1:66" x14ac:dyDescent="0.35">
      <c r="A2352" t="s">
        <v>6965</v>
      </c>
      <c r="B2352" t="s">
        <v>48</v>
      </c>
      <c r="C2352" t="s">
        <v>12333</v>
      </c>
      <c r="D2352" t="s">
        <v>6968</v>
      </c>
      <c r="E2352" t="s">
        <v>6967</v>
      </c>
      <c r="F2352" t="s">
        <v>6966</v>
      </c>
      <c r="G2352" t="s">
        <v>47</v>
      </c>
      <c r="H2352">
        <v>0</v>
      </c>
      <c r="I2352" s="60" t="s">
        <v>149</v>
      </c>
      <c r="J2352" s="33" t="s">
        <v>45</v>
      </c>
      <c r="K2352" s="46">
        <v>0</v>
      </c>
      <c r="L2352">
        <v>7.1</v>
      </c>
      <c r="M2352" t="s">
        <v>48</v>
      </c>
      <c r="N2352" s="46">
        <v>0</v>
      </c>
      <c r="O2352" s="46">
        <v>0</v>
      </c>
      <c r="P2352" s="46">
        <v>0</v>
      </c>
      <c r="Q2352" t="s">
        <v>48</v>
      </c>
      <c r="R2352" t="s">
        <v>48</v>
      </c>
      <c r="S2352" t="s">
        <v>48</v>
      </c>
      <c r="T2352" t="s">
        <v>48</v>
      </c>
      <c r="U2352" t="s">
        <v>48</v>
      </c>
      <c r="V2352" s="47">
        <v>0</v>
      </c>
      <c r="W2352" t="s">
        <v>48</v>
      </c>
      <c r="X2352" t="s">
        <v>48</v>
      </c>
      <c r="Y2352" t="s">
        <v>48</v>
      </c>
      <c r="Z2352">
        <v>0</v>
      </c>
      <c r="AA2352" t="s">
        <v>48</v>
      </c>
      <c r="AB2352" t="s">
        <v>48</v>
      </c>
      <c r="AC2352" t="s">
        <v>63</v>
      </c>
      <c r="AD2352" t="s">
        <v>951</v>
      </c>
      <c r="AE2352" s="40" t="s">
        <v>11051</v>
      </c>
      <c r="AF2352" t="s">
        <v>108</v>
      </c>
      <c r="AG2352" t="s">
        <v>48</v>
      </c>
      <c r="AH2352" t="s">
        <v>48</v>
      </c>
      <c r="AI2352" t="s">
        <v>48</v>
      </c>
      <c r="AJ2352" t="s">
        <v>48</v>
      </c>
      <c r="AK2352" t="s">
        <v>48</v>
      </c>
      <c r="AL2352" t="s">
        <v>48</v>
      </c>
      <c r="AM2352" t="s">
        <v>48</v>
      </c>
      <c r="AN2352" t="s">
        <v>48</v>
      </c>
      <c r="AO2352" t="s">
        <v>48</v>
      </c>
      <c r="AP2352" s="46">
        <v>0</v>
      </c>
      <c r="AQ2352" s="46">
        <v>0</v>
      </c>
      <c r="AR2352" s="46">
        <v>0</v>
      </c>
      <c r="AS2352" s="46">
        <v>0</v>
      </c>
      <c r="AT2352" s="46">
        <v>0</v>
      </c>
      <c r="AU2352" s="46">
        <v>0</v>
      </c>
      <c r="AV2352" s="46">
        <v>0</v>
      </c>
      <c r="AW2352" s="46">
        <v>0</v>
      </c>
      <c r="AX2352" s="46">
        <v>0</v>
      </c>
      <c r="AY2352" s="46">
        <v>0</v>
      </c>
      <c r="AZ2352" s="46">
        <v>0</v>
      </c>
      <c r="BA2352" s="46">
        <v>0</v>
      </c>
      <c r="BB2352" s="46">
        <v>0</v>
      </c>
      <c r="BC2352" s="46">
        <v>0</v>
      </c>
      <c r="BD2352" s="46">
        <v>0</v>
      </c>
      <c r="BE2352" s="46">
        <v>0</v>
      </c>
      <c r="BF2352" s="46">
        <v>0</v>
      </c>
      <c r="BG2352" s="46" t="s">
        <v>48</v>
      </c>
      <c r="BH2352" s="46">
        <v>0</v>
      </c>
      <c r="BI2352" s="46">
        <v>0</v>
      </c>
      <c r="BJ2352" s="46">
        <v>0</v>
      </c>
      <c r="BK2352" s="46">
        <v>0</v>
      </c>
      <c r="BL2352" s="46">
        <v>0</v>
      </c>
      <c r="BM2352" s="46">
        <v>0</v>
      </c>
      <c r="BN2352" s="46">
        <v>0</v>
      </c>
    </row>
    <row r="2353" spans="1:66" x14ac:dyDescent="0.35">
      <c r="A2353" t="s">
        <v>6969</v>
      </c>
      <c r="B2353" s="44" t="s">
        <v>48</v>
      </c>
      <c r="C2353" t="s">
        <v>6805</v>
      </c>
      <c r="D2353" t="s">
        <v>2114</v>
      </c>
      <c r="E2353" t="s">
        <v>6970</v>
      </c>
      <c r="F2353" t="s">
        <v>6966</v>
      </c>
      <c r="G2353" t="s">
        <v>74</v>
      </c>
      <c r="H2353">
        <v>0</v>
      </c>
      <c r="I2353" s="60" t="s">
        <v>149</v>
      </c>
      <c r="J2353" s="33" t="s">
        <v>45</v>
      </c>
      <c r="K2353" s="46">
        <v>0</v>
      </c>
      <c r="L2353">
        <v>23.4</v>
      </c>
      <c r="M2353" t="s">
        <v>48</v>
      </c>
      <c r="N2353" s="46">
        <v>0</v>
      </c>
      <c r="O2353" s="46">
        <v>0</v>
      </c>
      <c r="P2353" s="46">
        <v>0</v>
      </c>
      <c r="Q2353" t="s">
        <v>48</v>
      </c>
      <c r="R2353" t="s">
        <v>48</v>
      </c>
      <c r="S2353" t="s">
        <v>6971</v>
      </c>
      <c r="T2353" t="s">
        <v>48</v>
      </c>
      <c r="U2353" t="s">
        <v>6971</v>
      </c>
      <c r="V2353" s="47">
        <v>0</v>
      </c>
      <c r="W2353" t="s">
        <v>11317</v>
      </c>
      <c r="X2353" t="s">
        <v>48</v>
      </c>
      <c r="Y2353" t="s">
        <v>48</v>
      </c>
      <c r="Z2353">
        <v>0</v>
      </c>
      <c r="AA2353" t="s">
        <v>48</v>
      </c>
      <c r="AB2353" t="s">
        <v>48</v>
      </c>
      <c r="AC2353" t="s">
        <v>63</v>
      </c>
      <c r="AD2353" t="s">
        <v>951</v>
      </c>
      <c r="AE2353" s="40" t="s">
        <v>11051</v>
      </c>
      <c r="AF2353" t="s">
        <v>108</v>
      </c>
      <c r="AG2353" t="s">
        <v>48</v>
      </c>
      <c r="AH2353" t="s">
        <v>48</v>
      </c>
      <c r="AI2353" t="s">
        <v>48</v>
      </c>
      <c r="AJ2353" t="s">
        <v>48</v>
      </c>
      <c r="AK2353" t="s">
        <v>48</v>
      </c>
      <c r="AL2353" t="s">
        <v>48</v>
      </c>
      <c r="AM2353" t="s">
        <v>48</v>
      </c>
      <c r="AN2353" t="s">
        <v>48</v>
      </c>
      <c r="AO2353" t="s">
        <v>48</v>
      </c>
      <c r="AP2353" s="46">
        <v>0</v>
      </c>
      <c r="AQ2353" s="46">
        <v>0</v>
      </c>
      <c r="AR2353" s="46">
        <v>0</v>
      </c>
      <c r="AS2353" s="46">
        <v>0</v>
      </c>
      <c r="AT2353" s="46">
        <v>0</v>
      </c>
      <c r="AU2353" s="46">
        <v>0</v>
      </c>
      <c r="AV2353" s="46">
        <v>0</v>
      </c>
      <c r="AW2353" s="46">
        <v>0</v>
      </c>
      <c r="AX2353" s="46">
        <v>0</v>
      </c>
      <c r="AY2353" s="46">
        <v>0</v>
      </c>
      <c r="AZ2353" s="46">
        <v>0</v>
      </c>
      <c r="BA2353" s="46">
        <v>0</v>
      </c>
      <c r="BB2353" s="46">
        <v>0</v>
      </c>
      <c r="BC2353" s="46">
        <v>0</v>
      </c>
      <c r="BD2353" s="46">
        <v>0</v>
      </c>
      <c r="BE2353" s="46">
        <v>0</v>
      </c>
      <c r="BF2353" s="46">
        <v>0</v>
      </c>
      <c r="BG2353" s="46" t="s">
        <v>48</v>
      </c>
      <c r="BH2353" s="46">
        <v>0</v>
      </c>
      <c r="BI2353" s="46">
        <v>0</v>
      </c>
      <c r="BJ2353" s="46">
        <v>0</v>
      </c>
      <c r="BK2353" s="46">
        <v>0</v>
      </c>
      <c r="BL2353" s="46">
        <v>0</v>
      </c>
      <c r="BM2353" s="46">
        <v>0</v>
      </c>
      <c r="BN2353" s="46">
        <v>0</v>
      </c>
    </row>
    <row r="2354" spans="1:66" x14ac:dyDescent="0.35">
      <c r="A2354" t="s">
        <v>6980</v>
      </c>
      <c r="B2354" s="44" t="s">
        <v>48</v>
      </c>
      <c r="C2354" t="s">
        <v>6983</v>
      </c>
      <c r="D2354" t="s">
        <v>6982</v>
      </c>
      <c r="E2354" t="s">
        <v>6981</v>
      </c>
      <c r="F2354" t="s">
        <v>6966</v>
      </c>
      <c r="G2354" t="s">
        <v>74</v>
      </c>
      <c r="H2354">
        <v>0</v>
      </c>
      <c r="I2354" s="60" t="s">
        <v>149</v>
      </c>
      <c r="J2354" s="33" t="s">
        <v>45</v>
      </c>
      <c r="K2354" s="46">
        <v>0</v>
      </c>
      <c r="L2354">
        <v>0.9</v>
      </c>
      <c r="M2354" t="s">
        <v>48</v>
      </c>
      <c r="N2354" s="46">
        <v>0</v>
      </c>
      <c r="O2354" s="46">
        <v>0</v>
      </c>
      <c r="P2354" s="46">
        <v>0</v>
      </c>
      <c r="Q2354" t="s">
        <v>48</v>
      </c>
      <c r="R2354" t="s">
        <v>48</v>
      </c>
      <c r="S2354" t="s">
        <v>48</v>
      </c>
      <c r="T2354" t="s">
        <v>48</v>
      </c>
      <c r="U2354" t="s">
        <v>48</v>
      </c>
      <c r="V2354" s="47">
        <v>0</v>
      </c>
      <c r="W2354" t="s">
        <v>48</v>
      </c>
      <c r="X2354" t="s">
        <v>48</v>
      </c>
      <c r="Y2354" t="s">
        <v>48</v>
      </c>
      <c r="Z2354">
        <v>0</v>
      </c>
      <c r="AA2354" t="s">
        <v>48</v>
      </c>
      <c r="AB2354" t="s">
        <v>48</v>
      </c>
      <c r="AC2354" t="s">
        <v>49</v>
      </c>
      <c r="AD2354" t="s">
        <v>951</v>
      </c>
      <c r="AE2354" s="40" t="s">
        <v>11051</v>
      </c>
      <c r="AF2354" t="s">
        <v>108</v>
      </c>
      <c r="AG2354" t="s">
        <v>48</v>
      </c>
      <c r="AH2354" t="s">
        <v>48</v>
      </c>
      <c r="AI2354" t="s">
        <v>48</v>
      </c>
      <c r="AJ2354" t="s">
        <v>48</v>
      </c>
      <c r="AK2354" t="s">
        <v>48</v>
      </c>
      <c r="AL2354" t="s">
        <v>48</v>
      </c>
      <c r="AM2354" t="s">
        <v>48</v>
      </c>
      <c r="AN2354" t="s">
        <v>48</v>
      </c>
      <c r="AO2354" t="s">
        <v>48</v>
      </c>
      <c r="AP2354" s="46">
        <v>0</v>
      </c>
      <c r="AQ2354" s="46">
        <v>0</v>
      </c>
      <c r="AR2354" s="46">
        <v>0</v>
      </c>
      <c r="AS2354" s="46">
        <v>0</v>
      </c>
      <c r="AT2354" s="46">
        <v>0</v>
      </c>
      <c r="AU2354" s="46">
        <v>0</v>
      </c>
      <c r="AV2354" s="46">
        <v>0</v>
      </c>
      <c r="AW2354" s="46">
        <v>0</v>
      </c>
      <c r="AX2354" s="46">
        <v>0</v>
      </c>
      <c r="AY2354" s="46">
        <v>0</v>
      </c>
      <c r="AZ2354" s="46">
        <v>0</v>
      </c>
      <c r="BA2354" s="46">
        <v>0</v>
      </c>
      <c r="BB2354" s="46">
        <v>0</v>
      </c>
      <c r="BC2354" s="46">
        <v>0</v>
      </c>
      <c r="BD2354" s="46">
        <v>0</v>
      </c>
      <c r="BE2354" s="46">
        <v>0</v>
      </c>
      <c r="BF2354" s="46">
        <v>0</v>
      </c>
      <c r="BG2354" s="46" t="s">
        <v>48</v>
      </c>
      <c r="BH2354" s="46">
        <v>0</v>
      </c>
      <c r="BI2354" s="46">
        <v>0</v>
      </c>
      <c r="BJ2354" s="46">
        <v>0</v>
      </c>
      <c r="BK2354" s="46">
        <v>0</v>
      </c>
      <c r="BL2354" s="46">
        <v>0</v>
      </c>
      <c r="BM2354" s="46">
        <v>0</v>
      </c>
      <c r="BN2354" s="46">
        <v>0</v>
      </c>
    </row>
    <row r="2355" spans="1:66" x14ac:dyDescent="0.35">
      <c r="A2355" t="s">
        <v>7002</v>
      </c>
      <c r="B2355" s="44" t="s">
        <v>48</v>
      </c>
      <c r="C2355" t="s">
        <v>447</v>
      </c>
      <c r="D2355" t="s">
        <v>262</v>
      </c>
      <c r="E2355" t="s">
        <v>7003</v>
      </c>
      <c r="F2355" t="s">
        <v>6966</v>
      </c>
      <c r="G2355" t="s">
        <v>74</v>
      </c>
      <c r="H2355">
        <v>0</v>
      </c>
      <c r="I2355" s="60" t="s">
        <v>149</v>
      </c>
      <c r="J2355" s="33" t="s">
        <v>45</v>
      </c>
      <c r="K2355" s="46">
        <v>0</v>
      </c>
      <c r="L2355">
        <v>3</v>
      </c>
      <c r="M2355" t="s">
        <v>48</v>
      </c>
      <c r="N2355" s="46">
        <v>0</v>
      </c>
      <c r="O2355" s="46">
        <v>0</v>
      </c>
      <c r="P2355" s="46">
        <v>0</v>
      </c>
      <c r="Q2355" t="s">
        <v>48</v>
      </c>
      <c r="R2355" t="s">
        <v>48</v>
      </c>
      <c r="S2355" t="s">
        <v>48</v>
      </c>
      <c r="T2355" t="s">
        <v>48</v>
      </c>
      <c r="U2355" t="s">
        <v>48</v>
      </c>
      <c r="V2355" s="47">
        <v>0</v>
      </c>
      <c r="W2355" t="s">
        <v>48</v>
      </c>
      <c r="X2355" t="s">
        <v>48</v>
      </c>
      <c r="Y2355" t="s">
        <v>48</v>
      </c>
      <c r="Z2355">
        <v>0</v>
      </c>
      <c r="AA2355" t="s">
        <v>48</v>
      </c>
      <c r="AB2355" t="s">
        <v>48</v>
      </c>
      <c r="AC2355" t="s">
        <v>49</v>
      </c>
      <c r="AD2355" t="s">
        <v>93</v>
      </c>
      <c r="AE2355" t="s">
        <v>4532</v>
      </c>
      <c r="AF2355" t="s">
        <v>48</v>
      </c>
      <c r="AG2355" t="s">
        <v>48</v>
      </c>
      <c r="AH2355" t="s">
        <v>48</v>
      </c>
      <c r="AI2355" t="s">
        <v>48</v>
      </c>
      <c r="AJ2355" t="s">
        <v>48</v>
      </c>
      <c r="AK2355" t="s">
        <v>48</v>
      </c>
      <c r="AL2355" t="s">
        <v>48</v>
      </c>
      <c r="AM2355" t="s">
        <v>48</v>
      </c>
      <c r="AN2355" t="s">
        <v>48</v>
      </c>
      <c r="AO2355" t="s">
        <v>48</v>
      </c>
      <c r="AP2355" s="46">
        <v>0</v>
      </c>
      <c r="AQ2355" s="46">
        <v>0</v>
      </c>
      <c r="AR2355" s="46">
        <v>0</v>
      </c>
      <c r="AS2355" s="46">
        <v>0</v>
      </c>
      <c r="AT2355" s="46">
        <v>0</v>
      </c>
      <c r="AU2355" s="46">
        <v>0</v>
      </c>
      <c r="AV2355" s="46">
        <v>0</v>
      </c>
      <c r="AW2355" s="46">
        <v>0</v>
      </c>
      <c r="AX2355" s="46">
        <v>0</v>
      </c>
      <c r="AY2355" s="46">
        <v>0</v>
      </c>
      <c r="AZ2355" s="46">
        <v>0</v>
      </c>
      <c r="BA2355" s="46">
        <v>0</v>
      </c>
      <c r="BB2355" s="46">
        <v>0</v>
      </c>
      <c r="BC2355" s="46">
        <v>0</v>
      </c>
      <c r="BD2355" s="46">
        <v>0</v>
      </c>
      <c r="BE2355" s="46">
        <v>0</v>
      </c>
      <c r="BF2355" s="46">
        <v>0</v>
      </c>
      <c r="BG2355" s="46" t="s">
        <v>48</v>
      </c>
      <c r="BH2355" s="46">
        <v>0</v>
      </c>
      <c r="BI2355" s="46">
        <v>0</v>
      </c>
      <c r="BJ2355" s="46">
        <v>0</v>
      </c>
      <c r="BK2355" s="46">
        <v>0</v>
      </c>
      <c r="BL2355" s="46">
        <v>0</v>
      </c>
      <c r="BM2355" s="46">
        <v>0</v>
      </c>
      <c r="BN2355" s="46">
        <v>0</v>
      </c>
    </row>
    <row r="2356" spans="1:66" x14ac:dyDescent="0.35">
      <c r="A2356" t="s">
        <v>7023</v>
      </c>
      <c r="B2356" t="s">
        <v>48</v>
      </c>
      <c r="C2356" t="s">
        <v>7027</v>
      </c>
      <c r="D2356" t="s">
        <v>7026</v>
      </c>
      <c r="E2356" t="s">
        <v>7024</v>
      </c>
      <c r="F2356" t="s">
        <v>7009</v>
      </c>
      <c r="G2356" t="s">
        <v>47</v>
      </c>
      <c r="H2356">
        <v>0</v>
      </c>
      <c r="I2356" s="60" t="s">
        <v>149</v>
      </c>
      <c r="J2356" s="33" t="s">
        <v>45</v>
      </c>
      <c r="K2356" s="46">
        <v>0</v>
      </c>
      <c r="L2356">
        <v>6.1</v>
      </c>
      <c r="M2356" t="s">
        <v>48</v>
      </c>
      <c r="N2356" s="46">
        <v>0</v>
      </c>
      <c r="O2356" s="46">
        <v>0</v>
      </c>
      <c r="P2356" s="46">
        <v>0</v>
      </c>
      <c r="Q2356" t="s">
        <v>48</v>
      </c>
      <c r="R2356" t="s">
        <v>48</v>
      </c>
      <c r="S2356" t="s">
        <v>7025</v>
      </c>
      <c r="T2356" t="s">
        <v>48</v>
      </c>
      <c r="U2356" t="s">
        <v>7025</v>
      </c>
      <c r="V2356" s="47">
        <v>0</v>
      </c>
      <c r="W2356" t="s">
        <v>11317</v>
      </c>
      <c r="X2356" t="s">
        <v>48</v>
      </c>
      <c r="Y2356" t="s">
        <v>48</v>
      </c>
      <c r="Z2356">
        <v>0</v>
      </c>
      <c r="AA2356" t="s">
        <v>48</v>
      </c>
      <c r="AB2356" t="s">
        <v>48</v>
      </c>
      <c r="AC2356" t="s">
        <v>49</v>
      </c>
      <c r="AD2356" t="s">
        <v>951</v>
      </c>
      <c r="AE2356" s="40" t="s">
        <v>11051</v>
      </c>
      <c r="AF2356" t="s">
        <v>108</v>
      </c>
      <c r="AG2356" t="s">
        <v>48</v>
      </c>
      <c r="AH2356" t="s">
        <v>48</v>
      </c>
      <c r="AI2356" t="s">
        <v>48</v>
      </c>
      <c r="AJ2356" t="s">
        <v>48</v>
      </c>
      <c r="AK2356" t="s">
        <v>48</v>
      </c>
      <c r="AL2356" t="s">
        <v>48</v>
      </c>
      <c r="AM2356" t="s">
        <v>48</v>
      </c>
      <c r="AN2356" t="s">
        <v>48</v>
      </c>
      <c r="AO2356" t="s">
        <v>48</v>
      </c>
      <c r="AP2356" s="46">
        <v>0</v>
      </c>
      <c r="AQ2356" s="46">
        <v>0</v>
      </c>
      <c r="AR2356" s="46">
        <v>0</v>
      </c>
      <c r="AS2356" s="46">
        <v>0</v>
      </c>
      <c r="AT2356" s="46">
        <v>0</v>
      </c>
      <c r="AU2356" s="46">
        <v>0</v>
      </c>
      <c r="AV2356" s="46">
        <v>0</v>
      </c>
      <c r="AW2356" s="46">
        <v>0</v>
      </c>
      <c r="AX2356" s="46">
        <v>0</v>
      </c>
      <c r="AY2356" s="46">
        <v>0</v>
      </c>
      <c r="AZ2356" s="46">
        <v>0</v>
      </c>
      <c r="BA2356" s="46">
        <v>0</v>
      </c>
      <c r="BB2356" s="46">
        <v>0</v>
      </c>
      <c r="BC2356" s="46">
        <v>0</v>
      </c>
      <c r="BD2356" s="46">
        <v>0</v>
      </c>
      <c r="BE2356" s="46">
        <v>0</v>
      </c>
      <c r="BF2356" s="46">
        <v>0</v>
      </c>
      <c r="BG2356" s="46" t="s">
        <v>48</v>
      </c>
      <c r="BH2356" s="46">
        <v>0</v>
      </c>
      <c r="BI2356" s="46">
        <v>0</v>
      </c>
      <c r="BJ2356" s="46">
        <v>0</v>
      </c>
      <c r="BK2356" s="46">
        <v>0</v>
      </c>
      <c r="BL2356" s="46">
        <v>0</v>
      </c>
      <c r="BM2356" s="46">
        <v>0</v>
      </c>
      <c r="BN2356" s="46">
        <v>0</v>
      </c>
    </row>
    <row r="2357" spans="1:66" x14ac:dyDescent="0.35">
      <c r="A2357" t="s">
        <v>7034</v>
      </c>
      <c r="B2357" t="s">
        <v>48</v>
      </c>
      <c r="C2357" t="s">
        <v>7037</v>
      </c>
      <c r="D2357" t="s">
        <v>7036</v>
      </c>
      <c r="E2357" t="s">
        <v>7035</v>
      </c>
      <c r="F2357" t="s">
        <v>7009</v>
      </c>
      <c r="G2357" t="s">
        <v>47</v>
      </c>
      <c r="H2357">
        <v>0</v>
      </c>
      <c r="I2357" s="60" t="s">
        <v>149</v>
      </c>
      <c r="J2357" s="33" t="s">
        <v>45</v>
      </c>
      <c r="K2357" s="46">
        <v>0</v>
      </c>
      <c r="L2357">
        <v>2.4</v>
      </c>
      <c r="M2357" t="s">
        <v>48</v>
      </c>
      <c r="N2357" s="46">
        <v>0</v>
      </c>
      <c r="O2357" s="46">
        <v>0</v>
      </c>
      <c r="P2357" s="46">
        <v>0</v>
      </c>
      <c r="Q2357" t="s">
        <v>48</v>
      </c>
      <c r="R2357" t="s">
        <v>48</v>
      </c>
      <c r="S2357" t="s">
        <v>48</v>
      </c>
      <c r="T2357" t="s">
        <v>48</v>
      </c>
      <c r="U2357" t="s">
        <v>48</v>
      </c>
      <c r="V2357" s="47">
        <v>0</v>
      </c>
      <c r="W2357" t="s">
        <v>48</v>
      </c>
      <c r="X2357" t="s">
        <v>48</v>
      </c>
      <c r="Y2357" t="s">
        <v>48</v>
      </c>
      <c r="Z2357">
        <v>0</v>
      </c>
      <c r="AA2357" t="s">
        <v>48</v>
      </c>
      <c r="AB2357" t="s">
        <v>48</v>
      </c>
      <c r="AC2357" t="s">
        <v>49</v>
      </c>
      <c r="AD2357" t="s">
        <v>93</v>
      </c>
      <c r="AE2357" t="s">
        <v>4532</v>
      </c>
      <c r="AF2357" t="s">
        <v>48</v>
      </c>
      <c r="AG2357" t="s">
        <v>48</v>
      </c>
      <c r="AH2357" t="s">
        <v>48</v>
      </c>
      <c r="AI2357" t="s">
        <v>48</v>
      </c>
      <c r="AJ2357" t="s">
        <v>48</v>
      </c>
      <c r="AK2357" t="s">
        <v>48</v>
      </c>
      <c r="AL2357" t="s">
        <v>48</v>
      </c>
      <c r="AM2357" t="s">
        <v>48</v>
      </c>
      <c r="AN2357" t="s">
        <v>48</v>
      </c>
      <c r="AO2357" t="s">
        <v>48</v>
      </c>
      <c r="AP2357" s="46">
        <v>0</v>
      </c>
      <c r="AQ2357" s="46">
        <v>0</v>
      </c>
      <c r="AR2357" s="46">
        <v>0</v>
      </c>
      <c r="AS2357" s="46">
        <v>0</v>
      </c>
      <c r="AT2357" s="46">
        <v>0</v>
      </c>
      <c r="AU2357" s="46">
        <v>0</v>
      </c>
      <c r="AV2357" s="46">
        <v>0</v>
      </c>
      <c r="AW2357" s="46">
        <v>0</v>
      </c>
      <c r="AX2357" s="46">
        <v>0</v>
      </c>
      <c r="AY2357" s="46">
        <v>0</v>
      </c>
      <c r="AZ2357" s="46">
        <v>0</v>
      </c>
      <c r="BA2357" s="46">
        <v>0</v>
      </c>
      <c r="BB2357" s="46">
        <v>0</v>
      </c>
      <c r="BC2357" s="46">
        <v>0</v>
      </c>
      <c r="BD2357" s="46">
        <v>0</v>
      </c>
      <c r="BE2357" s="46">
        <v>0</v>
      </c>
      <c r="BF2357" s="46">
        <v>0</v>
      </c>
      <c r="BG2357" s="46" t="s">
        <v>48</v>
      </c>
      <c r="BH2357" s="46">
        <v>0</v>
      </c>
      <c r="BI2357" s="46">
        <v>0</v>
      </c>
      <c r="BJ2357" s="46">
        <v>0</v>
      </c>
      <c r="BK2357" s="46">
        <v>0</v>
      </c>
      <c r="BL2357" s="46">
        <v>0</v>
      </c>
      <c r="BM2357" s="46">
        <v>0</v>
      </c>
      <c r="BN2357" s="46">
        <v>0</v>
      </c>
    </row>
    <row r="2358" spans="1:66" x14ac:dyDescent="0.35">
      <c r="A2358" t="s">
        <v>7016</v>
      </c>
      <c r="B2358" t="s">
        <v>48</v>
      </c>
      <c r="C2358" t="s">
        <v>7019</v>
      </c>
      <c r="D2358" t="s">
        <v>1915</v>
      </c>
      <c r="E2358" t="s">
        <v>7017</v>
      </c>
      <c r="F2358" t="s">
        <v>7009</v>
      </c>
      <c r="G2358" t="s">
        <v>47</v>
      </c>
      <c r="H2358">
        <v>0</v>
      </c>
      <c r="I2358" s="60" t="s">
        <v>149</v>
      </c>
      <c r="J2358" s="33" t="s">
        <v>45</v>
      </c>
      <c r="K2358" s="46">
        <v>0</v>
      </c>
      <c r="L2358">
        <v>11.2</v>
      </c>
      <c r="M2358" t="s">
        <v>48</v>
      </c>
      <c r="N2358" s="46">
        <v>0</v>
      </c>
      <c r="O2358" s="46">
        <v>0</v>
      </c>
      <c r="P2358" s="46">
        <v>0</v>
      </c>
      <c r="Q2358" t="s">
        <v>48</v>
      </c>
      <c r="R2358" t="s">
        <v>48</v>
      </c>
      <c r="S2358" t="s">
        <v>7018</v>
      </c>
      <c r="T2358" t="s">
        <v>48</v>
      </c>
      <c r="U2358" t="s">
        <v>7018</v>
      </c>
      <c r="V2358" s="47">
        <v>0</v>
      </c>
      <c r="W2358" t="s">
        <v>48</v>
      </c>
      <c r="X2358" t="s">
        <v>48</v>
      </c>
      <c r="Y2358" t="s">
        <v>48</v>
      </c>
      <c r="Z2358">
        <v>0</v>
      </c>
      <c r="AA2358" t="s">
        <v>48</v>
      </c>
      <c r="AB2358" t="s">
        <v>48</v>
      </c>
      <c r="AC2358" t="s">
        <v>49</v>
      </c>
      <c r="AD2358" t="s">
        <v>93</v>
      </c>
      <c r="AE2358" t="s">
        <v>4532</v>
      </c>
      <c r="AF2358" t="s">
        <v>48</v>
      </c>
      <c r="AG2358" t="s">
        <v>48</v>
      </c>
      <c r="AH2358" t="s">
        <v>48</v>
      </c>
      <c r="AI2358" t="s">
        <v>48</v>
      </c>
      <c r="AJ2358" t="s">
        <v>48</v>
      </c>
      <c r="AK2358" t="s">
        <v>48</v>
      </c>
      <c r="AL2358" t="s">
        <v>48</v>
      </c>
      <c r="AM2358" t="s">
        <v>48</v>
      </c>
      <c r="AN2358" t="s">
        <v>48</v>
      </c>
      <c r="AO2358" t="s">
        <v>48</v>
      </c>
      <c r="AP2358" s="46">
        <v>0</v>
      </c>
      <c r="AQ2358" s="46">
        <v>0</v>
      </c>
      <c r="AR2358" s="46">
        <v>0</v>
      </c>
      <c r="AS2358" s="46">
        <v>0</v>
      </c>
      <c r="AT2358" s="46">
        <v>0</v>
      </c>
      <c r="AU2358" s="46">
        <v>0</v>
      </c>
      <c r="AV2358" s="46">
        <v>0</v>
      </c>
      <c r="AW2358" s="46">
        <v>0</v>
      </c>
      <c r="AX2358" s="46">
        <v>0</v>
      </c>
      <c r="AY2358" s="46">
        <v>0</v>
      </c>
      <c r="AZ2358" s="46">
        <v>0</v>
      </c>
      <c r="BA2358" s="46">
        <v>0</v>
      </c>
      <c r="BB2358" s="46">
        <v>0</v>
      </c>
      <c r="BC2358" s="46">
        <v>0</v>
      </c>
      <c r="BD2358" s="46">
        <v>0</v>
      </c>
      <c r="BE2358" s="46">
        <v>0</v>
      </c>
      <c r="BF2358" s="46">
        <v>0</v>
      </c>
      <c r="BG2358" s="46" t="s">
        <v>48</v>
      </c>
      <c r="BH2358" s="46">
        <v>0</v>
      </c>
      <c r="BI2358" s="46">
        <v>0</v>
      </c>
      <c r="BJ2358" s="46">
        <v>0</v>
      </c>
      <c r="BK2358" s="46">
        <v>0</v>
      </c>
      <c r="BL2358" s="46">
        <v>0</v>
      </c>
      <c r="BM2358" s="46">
        <v>0</v>
      </c>
      <c r="BN2358" s="46">
        <v>0</v>
      </c>
    </row>
    <row r="2359" spans="1:66" x14ac:dyDescent="0.35">
      <c r="A2359" t="s">
        <v>7048</v>
      </c>
      <c r="B2359" s="44" t="s">
        <v>48</v>
      </c>
      <c r="C2359" t="s">
        <v>7050</v>
      </c>
      <c r="D2359" t="s">
        <v>12336</v>
      </c>
      <c r="E2359" t="s">
        <v>7049</v>
      </c>
      <c r="F2359" t="s">
        <v>7009</v>
      </c>
      <c r="G2359" t="s">
        <v>74</v>
      </c>
      <c r="H2359">
        <v>0</v>
      </c>
      <c r="I2359" s="60" t="s">
        <v>149</v>
      </c>
      <c r="J2359" s="33" t="s">
        <v>45</v>
      </c>
      <c r="K2359" s="46">
        <v>0</v>
      </c>
      <c r="L2359">
        <v>7.7</v>
      </c>
      <c r="M2359" t="s">
        <v>48</v>
      </c>
      <c r="N2359" s="46">
        <v>0</v>
      </c>
      <c r="O2359" s="46">
        <v>0</v>
      </c>
      <c r="P2359" s="46">
        <v>0</v>
      </c>
      <c r="Q2359" t="s">
        <v>48</v>
      </c>
      <c r="R2359" t="s">
        <v>48</v>
      </c>
      <c r="S2359" t="s">
        <v>48</v>
      </c>
      <c r="T2359" t="s">
        <v>48</v>
      </c>
      <c r="U2359" t="s">
        <v>48</v>
      </c>
      <c r="V2359" s="47">
        <v>0</v>
      </c>
      <c r="W2359" t="s">
        <v>48</v>
      </c>
      <c r="X2359" t="s">
        <v>48</v>
      </c>
      <c r="Y2359" t="s">
        <v>48</v>
      </c>
      <c r="Z2359">
        <v>0</v>
      </c>
      <c r="AA2359" t="s">
        <v>48</v>
      </c>
      <c r="AB2359" t="s">
        <v>48</v>
      </c>
      <c r="AC2359" t="s">
        <v>63</v>
      </c>
      <c r="AD2359" t="s">
        <v>93</v>
      </c>
      <c r="AE2359" s="40" t="s">
        <v>2471</v>
      </c>
      <c r="AF2359" t="s">
        <v>11061</v>
      </c>
      <c r="AG2359" t="s">
        <v>48</v>
      </c>
      <c r="AH2359" t="s">
        <v>48</v>
      </c>
      <c r="AI2359" t="s">
        <v>48</v>
      </c>
      <c r="AJ2359" t="s">
        <v>48</v>
      </c>
      <c r="AK2359" t="s">
        <v>48</v>
      </c>
      <c r="AL2359" t="s">
        <v>48</v>
      </c>
      <c r="AM2359" t="s">
        <v>48</v>
      </c>
      <c r="AN2359" t="s">
        <v>48</v>
      </c>
      <c r="AO2359" t="s">
        <v>48</v>
      </c>
      <c r="AP2359" s="46">
        <v>0</v>
      </c>
      <c r="AQ2359" s="46">
        <v>0</v>
      </c>
      <c r="AR2359" s="46">
        <v>0</v>
      </c>
      <c r="AS2359" s="46">
        <v>0</v>
      </c>
      <c r="AT2359" s="46">
        <v>0</v>
      </c>
      <c r="AU2359" s="46">
        <v>0</v>
      </c>
      <c r="AV2359" s="46">
        <v>0</v>
      </c>
      <c r="AW2359" s="46">
        <v>0</v>
      </c>
      <c r="AX2359" s="46">
        <v>0</v>
      </c>
      <c r="AY2359" s="46">
        <v>0</v>
      </c>
      <c r="AZ2359" s="46">
        <v>0</v>
      </c>
      <c r="BA2359" s="46">
        <v>0</v>
      </c>
      <c r="BB2359" s="46">
        <v>0</v>
      </c>
      <c r="BC2359" s="46">
        <v>0</v>
      </c>
      <c r="BD2359" s="46">
        <v>0</v>
      </c>
      <c r="BE2359" s="46">
        <v>0</v>
      </c>
      <c r="BF2359" s="46">
        <v>0</v>
      </c>
      <c r="BG2359" s="46" t="s">
        <v>48</v>
      </c>
      <c r="BH2359" s="46">
        <v>0</v>
      </c>
      <c r="BI2359" s="46">
        <v>0</v>
      </c>
      <c r="BJ2359" s="46">
        <v>0</v>
      </c>
      <c r="BK2359" s="46">
        <v>0</v>
      </c>
      <c r="BL2359" s="46">
        <v>0</v>
      </c>
      <c r="BM2359" s="46">
        <v>0</v>
      </c>
      <c r="BN2359" s="46">
        <v>0</v>
      </c>
    </row>
    <row r="2360" spans="1:66" x14ac:dyDescent="0.35">
      <c r="A2360" t="s">
        <v>7045</v>
      </c>
      <c r="B2360" t="s">
        <v>48</v>
      </c>
      <c r="C2360" t="s">
        <v>7047</v>
      </c>
      <c r="D2360" t="s">
        <v>347</v>
      </c>
      <c r="E2360" t="s">
        <v>7046</v>
      </c>
      <c r="F2360" t="s">
        <v>7009</v>
      </c>
      <c r="G2360" t="s">
        <v>47</v>
      </c>
      <c r="H2360">
        <v>0</v>
      </c>
      <c r="I2360" s="60" t="s">
        <v>149</v>
      </c>
      <c r="J2360" s="33" t="s">
        <v>45</v>
      </c>
      <c r="K2360" s="46">
        <v>0</v>
      </c>
      <c r="L2360">
        <v>10.4</v>
      </c>
      <c r="M2360" t="s">
        <v>48</v>
      </c>
      <c r="N2360" s="46">
        <v>0</v>
      </c>
      <c r="O2360" s="46">
        <v>0</v>
      </c>
      <c r="P2360" s="46">
        <v>0</v>
      </c>
      <c r="Q2360" t="s">
        <v>48</v>
      </c>
      <c r="R2360" t="s">
        <v>48</v>
      </c>
      <c r="S2360" t="s">
        <v>48</v>
      </c>
      <c r="T2360" t="s">
        <v>48</v>
      </c>
      <c r="U2360" t="s">
        <v>48</v>
      </c>
      <c r="V2360" s="47">
        <v>0</v>
      </c>
      <c r="W2360" t="s">
        <v>48</v>
      </c>
      <c r="X2360" t="s">
        <v>48</v>
      </c>
      <c r="Y2360" t="s">
        <v>48</v>
      </c>
      <c r="Z2360">
        <v>0</v>
      </c>
      <c r="AA2360" t="s">
        <v>48</v>
      </c>
      <c r="AB2360" t="s">
        <v>48</v>
      </c>
      <c r="AC2360" t="s">
        <v>49</v>
      </c>
      <c r="AD2360" t="s">
        <v>93</v>
      </c>
      <c r="AE2360" t="s">
        <v>4532</v>
      </c>
      <c r="AF2360" t="s">
        <v>48</v>
      </c>
      <c r="AG2360" t="s">
        <v>48</v>
      </c>
      <c r="AH2360" t="s">
        <v>48</v>
      </c>
      <c r="AI2360" t="s">
        <v>48</v>
      </c>
      <c r="AJ2360" t="s">
        <v>48</v>
      </c>
      <c r="AK2360" t="s">
        <v>48</v>
      </c>
      <c r="AL2360" t="s">
        <v>48</v>
      </c>
      <c r="AM2360" t="s">
        <v>48</v>
      </c>
      <c r="AN2360" t="s">
        <v>48</v>
      </c>
      <c r="AO2360" t="s">
        <v>48</v>
      </c>
      <c r="AP2360" s="46">
        <v>0</v>
      </c>
      <c r="AQ2360" s="46">
        <v>0</v>
      </c>
      <c r="AR2360" s="46">
        <v>0</v>
      </c>
      <c r="AS2360" s="46">
        <v>0</v>
      </c>
      <c r="AT2360" s="46">
        <v>0</v>
      </c>
      <c r="AU2360" s="46">
        <v>0</v>
      </c>
      <c r="AV2360" s="46">
        <v>0</v>
      </c>
      <c r="AW2360" s="46">
        <v>0</v>
      </c>
      <c r="AX2360" s="46">
        <v>0</v>
      </c>
      <c r="AY2360" s="46">
        <v>0</v>
      </c>
      <c r="AZ2360" s="46">
        <v>0</v>
      </c>
      <c r="BA2360" s="46">
        <v>0</v>
      </c>
      <c r="BB2360" s="46">
        <v>0</v>
      </c>
      <c r="BC2360" s="46">
        <v>0</v>
      </c>
      <c r="BD2360" s="46">
        <v>0</v>
      </c>
      <c r="BE2360" s="46">
        <v>0</v>
      </c>
      <c r="BF2360" s="46">
        <v>0</v>
      </c>
      <c r="BG2360" s="46" t="s">
        <v>48</v>
      </c>
      <c r="BH2360" s="46">
        <v>0</v>
      </c>
      <c r="BI2360" s="46">
        <v>0</v>
      </c>
      <c r="BJ2360" s="46">
        <v>0</v>
      </c>
      <c r="BK2360" s="46">
        <v>0</v>
      </c>
      <c r="BL2360" s="46">
        <v>0</v>
      </c>
      <c r="BM2360" s="46">
        <v>0</v>
      </c>
      <c r="BN2360" s="46">
        <v>0</v>
      </c>
    </row>
    <row r="2361" spans="1:66" x14ac:dyDescent="0.35">
      <c r="A2361" t="s">
        <v>7038</v>
      </c>
      <c r="B2361" s="44" t="s">
        <v>48</v>
      </c>
      <c r="C2361" t="s">
        <v>723</v>
      </c>
      <c r="D2361" t="s">
        <v>7042</v>
      </c>
      <c r="E2361" t="s">
        <v>7039</v>
      </c>
      <c r="F2361" t="s">
        <v>7009</v>
      </c>
      <c r="G2361" t="s">
        <v>74</v>
      </c>
      <c r="H2361">
        <v>0</v>
      </c>
      <c r="I2361" s="60" t="s">
        <v>177</v>
      </c>
      <c r="J2361" s="33" t="s">
        <v>45</v>
      </c>
      <c r="K2361" s="46">
        <v>0</v>
      </c>
      <c r="L2361">
        <v>15.6</v>
      </c>
      <c r="M2361" t="s">
        <v>48</v>
      </c>
      <c r="N2361" s="46">
        <v>0</v>
      </c>
      <c r="O2361" s="46">
        <v>0</v>
      </c>
      <c r="P2361" s="46">
        <v>0</v>
      </c>
      <c r="Q2361" t="s">
        <v>48</v>
      </c>
      <c r="R2361" t="s">
        <v>48</v>
      </c>
      <c r="S2361" t="s">
        <v>7040</v>
      </c>
      <c r="T2361" t="s">
        <v>48</v>
      </c>
      <c r="U2361" t="s">
        <v>7040</v>
      </c>
      <c r="V2361" s="47">
        <v>0</v>
      </c>
      <c r="W2361" t="s">
        <v>48</v>
      </c>
      <c r="X2361" t="s">
        <v>48</v>
      </c>
      <c r="Y2361" t="s">
        <v>48</v>
      </c>
      <c r="Z2361">
        <v>0</v>
      </c>
      <c r="AA2361" t="s">
        <v>7041</v>
      </c>
      <c r="AB2361" t="s">
        <v>48</v>
      </c>
      <c r="AC2361" t="s">
        <v>49</v>
      </c>
      <c r="AD2361" t="s">
        <v>951</v>
      </c>
      <c r="AE2361" s="40" t="s">
        <v>11051</v>
      </c>
      <c r="AF2361" t="s">
        <v>108</v>
      </c>
      <c r="AG2361" t="s">
        <v>48</v>
      </c>
      <c r="AH2361" t="s">
        <v>48</v>
      </c>
      <c r="AI2361" t="s">
        <v>48</v>
      </c>
      <c r="AJ2361" t="s">
        <v>48</v>
      </c>
      <c r="AK2361" t="s">
        <v>48</v>
      </c>
      <c r="AL2361" t="s">
        <v>48</v>
      </c>
      <c r="AM2361" t="s">
        <v>48</v>
      </c>
      <c r="AN2361" t="s">
        <v>48</v>
      </c>
      <c r="AO2361" t="s">
        <v>48</v>
      </c>
      <c r="AP2361" s="46">
        <v>0</v>
      </c>
      <c r="AQ2361" s="46">
        <v>0</v>
      </c>
      <c r="AR2361" s="46">
        <v>0</v>
      </c>
      <c r="AS2361" s="46">
        <v>0</v>
      </c>
      <c r="AT2361" s="46">
        <v>0</v>
      </c>
      <c r="AU2361" s="46">
        <v>0</v>
      </c>
      <c r="AV2361" s="46">
        <v>0</v>
      </c>
      <c r="AW2361" s="46">
        <v>0</v>
      </c>
      <c r="AX2361" s="46">
        <v>0</v>
      </c>
      <c r="AY2361" s="46">
        <v>0</v>
      </c>
      <c r="AZ2361" s="46">
        <v>0</v>
      </c>
      <c r="BA2361" s="46">
        <v>0</v>
      </c>
      <c r="BB2361" s="46">
        <v>0</v>
      </c>
      <c r="BC2361" s="46">
        <v>0</v>
      </c>
      <c r="BD2361" s="46">
        <v>0</v>
      </c>
      <c r="BE2361" s="46">
        <v>0</v>
      </c>
      <c r="BF2361" s="46">
        <v>0</v>
      </c>
      <c r="BG2361" s="46" t="s">
        <v>48</v>
      </c>
      <c r="BH2361" s="46">
        <v>0</v>
      </c>
      <c r="BI2361" s="46">
        <v>0</v>
      </c>
      <c r="BJ2361" s="46">
        <v>0</v>
      </c>
      <c r="BK2361" s="46">
        <v>0</v>
      </c>
      <c r="BL2361" s="46">
        <v>0</v>
      </c>
      <c r="BM2361" s="46">
        <v>0</v>
      </c>
      <c r="BN2361" s="46">
        <v>0</v>
      </c>
    </row>
    <row r="2362" spans="1:66" x14ac:dyDescent="0.35">
      <c r="A2362" t="s">
        <v>7008</v>
      </c>
      <c r="B2362" t="s">
        <v>48</v>
      </c>
      <c r="C2362" t="s">
        <v>12335</v>
      </c>
      <c r="D2362" t="s">
        <v>7011</v>
      </c>
      <c r="E2362" t="s">
        <v>7010</v>
      </c>
      <c r="F2362" t="s">
        <v>7009</v>
      </c>
      <c r="G2362" t="s">
        <v>47</v>
      </c>
      <c r="H2362">
        <v>0</v>
      </c>
      <c r="I2362" s="60" t="s">
        <v>149</v>
      </c>
      <c r="J2362" s="33" t="s">
        <v>45</v>
      </c>
      <c r="K2362" s="46">
        <v>0</v>
      </c>
      <c r="L2362">
        <v>4.3</v>
      </c>
      <c r="M2362" t="s">
        <v>48</v>
      </c>
      <c r="N2362" s="46">
        <v>0</v>
      </c>
      <c r="O2362" s="46">
        <v>0</v>
      </c>
      <c r="P2362" s="46">
        <v>0</v>
      </c>
      <c r="Q2362" t="s">
        <v>48</v>
      </c>
      <c r="R2362" t="s">
        <v>48</v>
      </c>
      <c r="S2362" t="s">
        <v>48</v>
      </c>
      <c r="T2362" t="s">
        <v>48</v>
      </c>
      <c r="U2362" t="s">
        <v>48</v>
      </c>
      <c r="V2362" s="47">
        <v>0</v>
      </c>
      <c r="W2362" t="s">
        <v>48</v>
      </c>
      <c r="X2362" t="s">
        <v>48</v>
      </c>
      <c r="Y2362" t="s">
        <v>48</v>
      </c>
      <c r="Z2362">
        <v>0</v>
      </c>
      <c r="AA2362" t="s">
        <v>48</v>
      </c>
      <c r="AB2362" t="s">
        <v>48</v>
      </c>
      <c r="AC2362" t="s">
        <v>63</v>
      </c>
      <c r="AD2362" t="s">
        <v>93</v>
      </c>
      <c r="AE2362" t="s">
        <v>4532</v>
      </c>
      <c r="AF2362" t="s">
        <v>48</v>
      </c>
      <c r="AG2362" t="s">
        <v>48</v>
      </c>
      <c r="AH2362" t="s">
        <v>48</v>
      </c>
      <c r="AI2362" t="s">
        <v>48</v>
      </c>
      <c r="AJ2362" t="s">
        <v>48</v>
      </c>
      <c r="AK2362" t="s">
        <v>48</v>
      </c>
      <c r="AL2362" t="s">
        <v>48</v>
      </c>
      <c r="AM2362" t="s">
        <v>48</v>
      </c>
      <c r="AN2362" t="s">
        <v>48</v>
      </c>
      <c r="AO2362" t="s">
        <v>48</v>
      </c>
      <c r="AP2362" s="46">
        <v>0</v>
      </c>
      <c r="AQ2362" s="46">
        <v>0</v>
      </c>
      <c r="AR2362" s="46">
        <v>0</v>
      </c>
      <c r="AS2362" s="46">
        <v>0</v>
      </c>
      <c r="AT2362" s="46">
        <v>0</v>
      </c>
      <c r="AU2362" s="46">
        <v>0</v>
      </c>
      <c r="AV2362" s="46">
        <v>0</v>
      </c>
      <c r="AW2362" s="46">
        <v>0</v>
      </c>
      <c r="AX2362" s="46">
        <v>0</v>
      </c>
      <c r="AY2362" s="46">
        <v>0</v>
      </c>
      <c r="AZ2362" s="46">
        <v>0</v>
      </c>
      <c r="BA2362" s="46">
        <v>0</v>
      </c>
      <c r="BB2362" s="46">
        <v>0</v>
      </c>
      <c r="BC2362" s="46">
        <v>0</v>
      </c>
      <c r="BD2362" s="46">
        <v>0</v>
      </c>
      <c r="BE2362" s="46">
        <v>0</v>
      </c>
      <c r="BF2362" s="46">
        <v>0</v>
      </c>
      <c r="BG2362" s="46" t="s">
        <v>48</v>
      </c>
      <c r="BH2362" s="46">
        <v>0</v>
      </c>
      <c r="BI2362" s="46">
        <v>0</v>
      </c>
      <c r="BJ2362" s="46">
        <v>0</v>
      </c>
      <c r="BK2362" s="46">
        <v>0</v>
      </c>
      <c r="BL2362" s="46">
        <v>0</v>
      </c>
      <c r="BM2362" s="46">
        <v>0</v>
      </c>
      <c r="BN2362" s="46">
        <v>0</v>
      </c>
    </row>
    <row r="2363" spans="1:66" x14ac:dyDescent="0.35">
      <c r="A2363" t="s">
        <v>7051</v>
      </c>
      <c r="B2363" t="s">
        <v>48</v>
      </c>
      <c r="C2363" t="s">
        <v>7053</v>
      </c>
      <c r="D2363" t="s">
        <v>1445</v>
      </c>
      <c r="E2363" t="s">
        <v>7052</v>
      </c>
      <c r="F2363" t="s">
        <v>7009</v>
      </c>
      <c r="G2363" t="s">
        <v>47</v>
      </c>
      <c r="H2363">
        <v>0</v>
      </c>
      <c r="I2363" s="60" t="s">
        <v>149</v>
      </c>
      <c r="J2363" s="33" t="s">
        <v>45</v>
      </c>
      <c r="K2363" s="46">
        <v>0</v>
      </c>
      <c r="L2363">
        <v>9.5</v>
      </c>
      <c r="M2363" t="s">
        <v>48</v>
      </c>
      <c r="N2363" s="46">
        <v>0</v>
      </c>
      <c r="O2363" s="46">
        <v>0</v>
      </c>
      <c r="P2363" s="46">
        <v>0</v>
      </c>
      <c r="Q2363" t="s">
        <v>48</v>
      </c>
      <c r="R2363" t="s">
        <v>48</v>
      </c>
      <c r="S2363" t="s">
        <v>48</v>
      </c>
      <c r="T2363" t="s">
        <v>48</v>
      </c>
      <c r="U2363" t="s">
        <v>48</v>
      </c>
      <c r="V2363" s="47">
        <v>0</v>
      </c>
      <c r="W2363" t="s">
        <v>48</v>
      </c>
      <c r="X2363" t="s">
        <v>48</v>
      </c>
      <c r="Y2363" t="s">
        <v>48</v>
      </c>
      <c r="Z2363">
        <v>0</v>
      </c>
      <c r="AA2363" t="s">
        <v>48</v>
      </c>
      <c r="AB2363" t="s">
        <v>48</v>
      </c>
      <c r="AC2363" t="s">
        <v>63</v>
      </c>
      <c r="AD2363" t="s">
        <v>93</v>
      </c>
      <c r="AE2363" t="s">
        <v>4532</v>
      </c>
      <c r="AF2363" t="s">
        <v>48</v>
      </c>
      <c r="AG2363" t="s">
        <v>48</v>
      </c>
      <c r="AH2363" t="s">
        <v>48</v>
      </c>
      <c r="AI2363" t="s">
        <v>48</v>
      </c>
      <c r="AJ2363" t="s">
        <v>48</v>
      </c>
      <c r="AK2363" t="s">
        <v>48</v>
      </c>
      <c r="AL2363" t="s">
        <v>48</v>
      </c>
      <c r="AM2363" t="s">
        <v>48</v>
      </c>
      <c r="AN2363" t="s">
        <v>48</v>
      </c>
      <c r="AO2363" t="s">
        <v>48</v>
      </c>
      <c r="AP2363" s="46">
        <v>0</v>
      </c>
      <c r="AQ2363" s="46">
        <v>0</v>
      </c>
      <c r="AR2363" s="46">
        <v>0</v>
      </c>
      <c r="AS2363" s="46">
        <v>0</v>
      </c>
      <c r="AT2363" s="46">
        <v>0</v>
      </c>
      <c r="AU2363" s="46">
        <v>0</v>
      </c>
      <c r="AV2363" s="46">
        <v>0</v>
      </c>
      <c r="AW2363" s="46">
        <v>0</v>
      </c>
      <c r="AX2363" s="46">
        <v>0</v>
      </c>
      <c r="AY2363" s="46">
        <v>0</v>
      </c>
      <c r="AZ2363" s="46">
        <v>0</v>
      </c>
      <c r="BA2363" s="46">
        <v>0</v>
      </c>
      <c r="BB2363" s="46">
        <v>0</v>
      </c>
      <c r="BC2363" s="46">
        <v>0</v>
      </c>
      <c r="BD2363" s="46">
        <v>0</v>
      </c>
      <c r="BE2363" s="46">
        <v>0</v>
      </c>
      <c r="BF2363" s="46">
        <v>0</v>
      </c>
      <c r="BG2363" s="46" t="s">
        <v>48</v>
      </c>
      <c r="BH2363" s="46">
        <v>0</v>
      </c>
      <c r="BI2363" s="46">
        <v>0</v>
      </c>
      <c r="BJ2363" s="46">
        <v>0</v>
      </c>
      <c r="BK2363" s="46">
        <v>0</v>
      </c>
      <c r="BL2363" s="46">
        <v>0</v>
      </c>
      <c r="BM2363" s="46">
        <v>0</v>
      </c>
      <c r="BN2363" s="46">
        <v>0</v>
      </c>
    </row>
    <row r="2364" spans="1:66" x14ac:dyDescent="0.35">
      <c r="A2364" t="s">
        <v>7020</v>
      </c>
      <c r="B2364" t="s">
        <v>48</v>
      </c>
      <c r="C2364" t="s">
        <v>350</v>
      </c>
      <c r="D2364" t="s">
        <v>7022</v>
      </c>
      <c r="E2364" t="s">
        <v>7021</v>
      </c>
      <c r="F2364" t="s">
        <v>7009</v>
      </c>
      <c r="G2364" t="s">
        <v>47</v>
      </c>
      <c r="H2364">
        <v>0</v>
      </c>
      <c r="I2364" s="60" t="s">
        <v>149</v>
      </c>
      <c r="J2364" s="33" t="s">
        <v>45</v>
      </c>
      <c r="K2364" s="46">
        <v>0</v>
      </c>
      <c r="L2364">
        <v>10.8</v>
      </c>
      <c r="M2364" t="s">
        <v>48</v>
      </c>
      <c r="N2364" s="46">
        <v>0</v>
      </c>
      <c r="O2364" s="46">
        <v>0</v>
      </c>
      <c r="P2364" s="46">
        <v>0</v>
      </c>
      <c r="Q2364" t="s">
        <v>48</v>
      </c>
      <c r="R2364" t="s">
        <v>48</v>
      </c>
      <c r="S2364" t="s">
        <v>48</v>
      </c>
      <c r="T2364" t="s">
        <v>48</v>
      </c>
      <c r="U2364" t="s">
        <v>48</v>
      </c>
      <c r="V2364" s="47">
        <v>0</v>
      </c>
      <c r="W2364" t="s">
        <v>48</v>
      </c>
      <c r="X2364" t="s">
        <v>48</v>
      </c>
      <c r="Y2364" t="s">
        <v>48</v>
      </c>
      <c r="Z2364">
        <v>0</v>
      </c>
      <c r="AA2364" t="s">
        <v>48</v>
      </c>
      <c r="AB2364" t="s">
        <v>48</v>
      </c>
      <c r="AC2364" t="s">
        <v>63</v>
      </c>
      <c r="AD2364" t="s">
        <v>93</v>
      </c>
      <c r="AE2364" s="40" t="s">
        <v>2471</v>
      </c>
      <c r="AF2364" t="s">
        <v>11061</v>
      </c>
      <c r="AG2364" t="s">
        <v>48</v>
      </c>
      <c r="AH2364" t="s">
        <v>48</v>
      </c>
      <c r="AI2364" t="s">
        <v>48</v>
      </c>
      <c r="AJ2364" t="s">
        <v>48</v>
      </c>
      <c r="AK2364" t="s">
        <v>48</v>
      </c>
      <c r="AL2364" t="s">
        <v>48</v>
      </c>
      <c r="AM2364" t="s">
        <v>48</v>
      </c>
      <c r="AN2364" t="s">
        <v>48</v>
      </c>
      <c r="AO2364" t="s">
        <v>48</v>
      </c>
      <c r="AP2364" s="46">
        <v>0</v>
      </c>
      <c r="AQ2364" s="46">
        <v>0</v>
      </c>
      <c r="AR2364" s="46">
        <v>0</v>
      </c>
      <c r="AS2364" s="46">
        <v>0</v>
      </c>
      <c r="AT2364" s="46">
        <v>0</v>
      </c>
      <c r="AU2364" s="46">
        <v>0</v>
      </c>
      <c r="AV2364" s="46">
        <v>0</v>
      </c>
      <c r="AW2364" s="46">
        <v>0</v>
      </c>
      <c r="AX2364" s="46">
        <v>0</v>
      </c>
      <c r="AY2364" s="46">
        <v>0</v>
      </c>
      <c r="AZ2364" s="46">
        <v>0</v>
      </c>
      <c r="BA2364" s="46">
        <v>0</v>
      </c>
      <c r="BB2364" s="46">
        <v>0</v>
      </c>
      <c r="BC2364" s="46">
        <v>0</v>
      </c>
      <c r="BD2364" s="46">
        <v>0</v>
      </c>
      <c r="BE2364" s="46">
        <v>0</v>
      </c>
      <c r="BF2364" s="46">
        <v>0</v>
      </c>
      <c r="BG2364" s="46" t="s">
        <v>48</v>
      </c>
      <c r="BH2364" s="46">
        <v>0</v>
      </c>
      <c r="BI2364" s="46">
        <v>0</v>
      </c>
      <c r="BJ2364" s="46">
        <v>0</v>
      </c>
      <c r="BK2364" s="46">
        <v>0</v>
      </c>
      <c r="BL2364" s="46">
        <v>0</v>
      </c>
      <c r="BM2364" s="46">
        <v>0</v>
      </c>
      <c r="BN2364" s="46">
        <v>0</v>
      </c>
    </row>
    <row r="2365" spans="1:66" x14ac:dyDescent="0.35">
      <c r="A2365" t="s">
        <v>7043</v>
      </c>
      <c r="B2365" t="s">
        <v>48</v>
      </c>
      <c r="C2365" t="s">
        <v>723</v>
      </c>
      <c r="D2365" t="s">
        <v>396</v>
      </c>
      <c r="E2365" t="s">
        <v>7044</v>
      </c>
      <c r="F2365" t="s">
        <v>7009</v>
      </c>
      <c r="G2365" t="s">
        <v>47</v>
      </c>
      <c r="H2365">
        <v>0</v>
      </c>
      <c r="I2365" s="60" t="s">
        <v>149</v>
      </c>
      <c r="J2365" s="33" t="s">
        <v>45</v>
      </c>
      <c r="K2365" s="46">
        <v>0</v>
      </c>
      <c r="L2365">
        <v>15</v>
      </c>
      <c r="M2365">
        <v>38.799999999999997</v>
      </c>
      <c r="N2365" s="46">
        <v>0</v>
      </c>
      <c r="O2365" s="46">
        <v>0</v>
      </c>
      <c r="P2365" s="46">
        <v>0</v>
      </c>
      <c r="Q2365" t="s">
        <v>48</v>
      </c>
      <c r="R2365" t="s">
        <v>48</v>
      </c>
      <c r="S2365" t="s">
        <v>48</v>
      </c>
      <c r="T2365" t="s">
        <v>48</v>
      </c>
      <c r="U2365" t="s">
        <v>48</v>
      </c>
      <c r="V2365" s="47">
        <v>0</v>
      </c>
      <c r="W2365" t="s">
        <v>48</v>
      </c>
      <c r="X2365" t="s">
        <v>48</v>
      </c>
      <c r="Y2365" t="s">
        <v>48</v>
      </c>
      <c r="Z2365">
        <v>0</v>
      </c>
      <c r="AA2365" t="s">
        <v>48</v>
      </c>
      <c r="AB2365" t="s">
        <v>48</v>
      </c>
      <c r="AC2365" t="s">
        <v>49</v>
      </c>
      <c r="AD2365" t="s">
        <v>951</v>
      </c>
      <c r="AE2365" t="s">
        <v>11051</v>
      </c>
      <c r="AF2365" t="s">
        <v>48</v>
      </c>
      <c r="AG2365" t="s">
        <v>48</v>
      </c>
      <c r="AH2365" t="s">
        <v>48</v>
      </c>
      <c r="AI2365" t="s">
        <v>48</v>
      </c>
      <c r="AJ2365" t="s">
        <v>48</v>
      </c>
      <c r="AK2365" t="s">
        <v>48</v>
      </c>
      <c r="AL2365" t="s">
        <v>48</v>
      </c>
      <c r="AM2365" t="s">
        <v>48</v>
      </c>
      <c r="AN2365" t="s">
        <v>48</v>
      </c>
      <c r="AO2365" t="s">
        <v>48</v>
      </c>
      <c r="AP2365" s="46">
        <v>0</v>
      </c>
      <c r="AQ2365" s="46">
        <v>0</v>
      </c>
      <c r="AR2365" s="46">
        <v>0</v>
      </c>
      <c r="AS2365" s="46">
        <v>0</v>
      </c>
      <c r="AT2365" s="46">
        <v>0</v>
      </c>
      <c r="AU2365" s="46">
        <v>0</v>
      </c>
      <c r="AV2365" s="46">
        <v>0</v>
      </c>
      <c r="AW2365" s="46">
        <v>0</v>
      </c>
      <c r="AX2365" s="46">
        <v>0</v>
      </c>
      <c r="AY2365" s="46">
        <v>0</v>
      </c>
      <c r="AZ2365" s="46">
        <v>0</v>
      </c>
      <c r="BA2365" s="46">
        <v>0</v>
      </c>
      <c r="BB2365" s="46">
        <v>0</v>
      </c>
      <c r="BC2365" s="46">
        <v>0</v>
      </c>
      <c r="BD2365" s="46">
        <v>0</v>
      </c>
      <c r="BE2365" s="46">
        <v>0</v>
      </c>
      <c r="BF2365" s="46">
        <v>0</v>
      </c>
      <c r="BG2365" s="46" t="s">
        <v>48</v>
      </c>
      <c r="BH2365" s="46">
        <v>0</v>
      </c>
      <c r="BI2365" s="46">
        <v>0</v>
      </c>
      <c r="BJ2365" s="46">
        <v>0</v>
      </c>
      <c r="BK2365" s="46">
        <v>0</v>
      </c>
      <c r="BL2365" s="46">
        <v>0</v>
      </c>
      <c r="BM2365" s="46">
        <v>0</v>
      </c>
      <c r="BN2365" s="46">
        <v>0</v>
      </c>
    </row>
    <row r="2366" spans="1:66" x14ac:dyDescent="0.35">
      <c r="A2366" t="s">
        <v>7054</v>
      </c>
      <c r="B2366" s="44" t="s">
        <v>48</v>
      </c>
      <c r="C2366" t="s">
        <v>7057</v>
      </c>
      <c r="D2366" t="s">
        <v>1643</v>
      </c>
      <c r="E2366" t="s">
        <v>7055</v>
      </c>
      <c r="F2366" t="s">
        <v>7009</v>
      </c>
      <c r="G2366" t="s">
        <v>74</v>
      </c>
      <c r="H2366">
        <v>0</v>
      </c>
      <c r="I2366" s="60" t="s">
        <v>149</v>
      </c>
      <c r="J2366" s="33" t="s">
        <v>45</v>
      </c>
      <c r="K2366" s="46">
        <v>0</v>
      </c>
      <c r="L2366">
        <v>15.1</v>
      </c>
      <c r="M2366" t="s">
        <v>48</v>
      </c>
      <c r="N2366" s="46">
        <v>0</v>
      </c>
      <c r="O2366" s="46">
        <v>0</v>
      </c>
      <c r="P2366" s="46">
        <v>0</v>
      </c>
      <c r="Q2366" t="s">
        <v>48</v>
      </c>
      <c r="R2366" t="s">
        <v>48</v>
      </c>
      <c r="S2366" t="s">
        <v>7056</v>
      </c>
      <c r="T2366" t="s">
        <v>48</v>
      </c>
      <c r="U2366" t="s">
        <v>7056</v>
      </c>
      <c r="V2366" s="47">
        <v>0</v>
      </c>
      <c r="W2366" t="s">
        <v>48</v>
      </c>
      <c r="X2366" t="s">
        <v>48</v>
      </c>
      <c r="Y2366" t="s">
        <v>48</v>
      </c>
      <c r="Z2366">
        <v>0</v>
      </c>
      <c r="AA2366" t="s">
        <v>48</v>
      </c>
      <c r="AB2366" t="s">
        <v>48</v>
      </c>
      <c r="AC2366" t="s">
        <v>63</v>
      </c>
      <c r="AD2366" t="s">
        <v>951</v>
      </c>
      <c r="AE2366" s="40" t="s">
        <v>11051</v>
      </c>
      <c r="AF2366" t="s">
        <v>108</v>
      </c>
      <c r="AG2366" t="s">
        <v>48</v>
      </c>
      <c r="AH2366" t="s">
        <v>48</v>
      </c>
      <c r="AI2366" t="s">
        <v>48</v>
      </c>
      <c r="AJ2366" t="s">
        <v>48</v>
      </c>
      <c r="AK2366" t="s">
        <v>48</v>
      </c>
      <c r="AL2366" t="s">
        <v>48</v>
      </c>
      <c r="AM2366" t="s">
        <v>48</v>
      </c>
      <c r="AN2366" t="s">
        <v>48</v>
      </c>
      <c r="AO2366" t="s">
        <v>48</v>
      </c>
      <c r="AP2366" s="46">
        <v>0</v>
      </c>
      <c r="AQ2366" s="46">
        <v>0</v>
      </c>
      <c r="AR2366" s="46">
        <v>0</v>
      </c>
      <c r="AS2366" s="46">
        <v>0</v>
      </c>
      <c r="AT2366" s="46">
        <v>0</v>
      </c>
      <c r="AU2366" s="46">
        <v>0</v>
      </c>
      <c r="AV2366" s="46">
        <v>0</v>
      </c>
      <c r="AW2366" s="46">
        <v>0</v>
      </c>
      <c r="AX2366" s="46">
        <v>0</v>
      </c>
      <c r="AY2366" s="46">
        <v>0</v>
      </c>
      <c r="AZ2366" s="46">
        <v>0</v>
      </c>
      <c r="BA2366" s="46">
        <v>0</v>
      </c>
      <c r="BB2366" s="46">
        <v>0</v>
      </c>
      <c r="BC2366" s="46">
        <v>0</v>
      </c>
      <c r="BD2366" s="46">
        <v>0</v>
      </c>
      <c r="BE2366" s="46">
        <v>0</v>
      </c>
      <c r="BF2366" s="46">
        <v>0</v>
      </c>
      <c r="BG2366" s="46" t="s">
        <v>48</v>
      </c>
      <c r="BH2366" s="46">
        <v>0</v>
      </c>
      <c r="BI2366" s="46">
        <v>0</v>
      </c>
      <c r="BJ2366" s="46">
        <v>0</v>
      </c>
      <c r="BK2366" s="46">
        <v>0</v>
      </c>
      <c r="BL2366" s="46">
        <v>0</v>
      </c>
      <c r="BM2366" s="46">
        <v>0</v>
      </c>
      <c r="BN2366" s="46">
        <v>0</v>
      </c>
    </row>
    <row r="2367" spans="1:66" x14ac:dyDescent="0.35">
      <c r="A2367" t="s">
        <v>7031</v>
      </c>
      <c r="B2367" t="s">
        <v>48</v>
      </c>
      <c r="C2367" t="s">
        <v>7033</v>
      </c>
      <c r="D2367" t="s">
        <v>351</v>
      </c>
      <c r="E2367" t="s">
        <v>7032</v>
      </c>
      <c r="F2367" t="s">
        <v>7009</v>
      </c>
      <c r="G2367" t="s">
        <v>47</v>
      </c>
      <c r="H2367">
        <v>0</v>
      </c>
      <c r="I2367" s="60" t="s">
        <v>149</v>
      </c>
      <c r="J2367" s="33" t="s">
        <v>45</v>
      </c>
      <c r="K2367" s="46">
        <v>0</v>
      </c>
      <c r="L2367">
        <v>9</v>
      </c>
      <c r="M2367" t="s">
        <v>48</v>
      </c>
      <c r="N2367" s="46">
        <v>0</v>
      </c>
      <c r="O2367" s="46">
        <v>0</v>
      </c>
      <c r="P2367" s="46">
        <v>0</v>
      </c>
      <c r="Q2367" t="s">
        <v>48</v>
      </c>
      <c r="R2367" t="s">
        <v>48</v>
      </c>
      <c r="S2367" t="s">
        <v>48</v>
      </c>
      <c r="T2367" t="s">
        <v>48</v>
      </c>
      <c r="U2367" t="s">
        <v>48</v>
      </c>
      <c r="V2367" s="47">
        <v>0</v>
      </c>
      <c r="W2367" t="s">
        <v>48</v>
      </c>
      <c r="X2367" t="s">
        <v>48</v>
      </c>
      <c r="Y2367" t="s">
        <v>48</v>
      </c>
      <c r="Z2367">
        <v>0</v>
      </c>
      <c r="AA2367" t="s">
        <v>48</v>
      </c>
      <c r="AB2367" t="s">
        <v>48</v>
      </c>
      <c r="AC2367" t="s">
        <v>49</v>
      </c>
      <c r="AD2367" t="s">
        <v>951</v>
      </c>
      <c r="AE2367" t="s">
        <v>11051</v>
      </c>
      <c r="AF2367" t="s">
        <v>48</v>
      </c>
      <c r="AG2367" t="s">
        <v>48</v>
      </c>
      <c r="AH2367" t="s">
        <v>48</v>
      </c>
      <c r="AI2367" t="s">
        <v>48</v>
      </c>
      <c r="AJ2367" t="s">
        <v>48</v>
      </c>
      <c r="AK2367" t="s">
        <v>48</v>
      </c>
      <c r="AL2367" t="s">
        <v>48</v>
      </c>
      <c r="AM2367" t="s">
        <v>48</v>
      </c>
      <c r="AN2367" t="s">
        <v>48</v>
      </c>
      <c r="AO2367" t="s">
        <v>48</v>
      </c>
      <c r="AP2367" s="46">
        <v>0</v>
      </c>
      <c r="AQ2367" s="46">
        <v>0</v>
      </c>
      <c r="AR2367" s="46">
        <v>0</v>
      </c>
      <c r="AS2367" s="46">
        <v>0</v>
      </c>
      <c r="AT2367" s="46">
        <v>0</v>
      </c>
      <c r="AU2367" s="46">
        <v>0</v>
      </c>
      <c r="AV2367" s="46">
        <v>0</v>
      </c>
      <c r="AW2367" s="46">
        <v>0</v>
      </c>
      <c r="AX2367" s="46">
        <v>0</v>
      </c>
      <c r="AY2367" s="46">
        <v>0</v>
      </c>
      <c r="AZ2367" s="46">
        <v>0</v>
      </c>
      <c r="BA2367" s="46">
        <v>0</v>
      </c>
      <c r="BB2367" s="46">
        <v>0</v>
      </c>
      <c r="BC2367" s="46">
        <v>0</v>
      </c>
      <c r="BD2367" s="46">
        <v>0</v>
      </c>
      <c r="BE2367" s="46">
        <v>0</v>
      </c>
      <c r="BF2367" s="46">
        <v>0</v>
      </c>
      <c r="BG2367" s="46" t="s">
        <v>48</v>
      </c>
      <c r="BH2367" s="46">
        <v>0</v>
      </c>
      <c r="BI2367" s="46">
        <v>0</v>
      </c>
      <c r="BJ2367" s="46">
        <v>0</v>
      </c>
      <c r="BK2367" s="46">
        <v>0</v>
      </c>
      <c r="BL2367" s="46">
        <v>0</v>
      </c>
      <c r="BM2367" s="46">
        <v>0</v>
      </c>
      <c r="BN2367" s="46">
        <v>0</v>
      </c>
    </row>
    <row r="2368" spans="1:66" x14ac:dyDescent="0.35">
      <c r="A2368" t="s">
        <v>7090</v>
      </c>
      <c r="B2368" s="44" t="s">
        <v>48</v>
      </c>
      <c r="C2368" t="s">
        <v>886</v>
      </c>
      <c r="D2368" t="s">
        <v>237</v>
      </c>
      <c r="E2368" t="s">
        <v>7091</v>
      </c>
      <c r="F2368" t="s">
        <v>7069</v>
      </c>
      <c r="G2368" t="s">
        <v>74</v>
      </c>
      <c r="H2368">
        <v>0</v>
      </c>
      <c r="I2368" s="60" t="s">
        <v>661</v>
      </c>
      <c r="J2368" s="33" t="s">
        <v>45</v>
      </c>
      <c r="K2368" s="46">
        <v>0</v>
      </c>
      <c r="L2368">
        <v>2</v>
      </c>
      <c r="M2368" t="s">
        <v>48</v>
      </c>
      <c r="N2368" s="46">
        <v>0</v>
      </c>
      <c r="O2368" s="46">
        <v>0</v>
      </c>
      <c r="P2368" s="46">
        <v>0</v>
      </c>
      <c r="Q2368" t="s">
        <v>48</v>
      </c>
      <c r="R2368" t="s">
        <v>48</v>
      </c>
      <c r="S2368" t="s">
        <v>48</v>
      </c>
      <c r="T2368" t="s">
        <v>48</v>
      </c>
      <c r="U2368" t="s">
        <v>48</v>
      </c>
      <c r="V2368" s="47">
        <v>0</v>
      </c>
      <c r="W2368" t="s">
        <v>48</v>
      </c>
      <c r="X2368" t="s">
        <v>48</v>
      </c>
      <c r="Y2368" t="s">
        <v>48</v>
      </c>
      <c r="Z2368">
        <v>0</v>
      </c>
      <c r="AA2368" t="s">
        <v>48</v>
      </c>
      <c r="AB2368" t="s">
        <v>48</v>
      </c>
      <c r="AC2368" t="s">
        <v>49</v>
      </c>
      <c r="AD2368" t="s">
        <v>93</v>
      </c>
      <c r="AE2368" t="s">
        <v>4532</v>
      </c>
      <c r="AF2368" t="s">
        <v>48</v>
      </c>
      <c r="AG2368" t="s">
        <v>48</v>
      </c>
      <c r="AH2368" t="s">
        <v>48</v>
      </c>
      <c r="AI2368" t="s">
        <v>48</v>
      </c>
      <c r="AJ2368" t="s">
        <v>48</v>
      </c>
      <c r="AK2368" t="s">
        <v>48</v>
      </c>
      <c r="AL2368" t="s">
        <v>48</v>
      </c>
      <c r="AM2368" t="s">
        <v>48</v>
      </c>
      <c r="AN2368" t="s">
        <v>48</v>
      </c>
      <c r="AO2368" t="s">
        <v>48</v>
      </c>
      <c r="AP2368" s="46">
        <v>0</v>
      </c>
      <c r="AQ2368" s="46">
        <v>0</v>
      </c>
      <c r="AR2368" s="46">
        <v>0</v>
      </c>
      <c r="AS2368" s="46">
        <v>0</v>
      </c>
      <c r="AT2368" s="46">
        <v>0</v>
      </c>
      <c r="AU2368" s="46">
        <v>0</v>
      </c>
      <c r="AV2368" s="46">
        <v>0</v>
      </c>
      <c r="AW2368" s="46">
        <v>0</v>
      </c>
      <c r="AX2368" s="46">
        <v>0</v>
      </c>
      <c r="AY2368" s="46">
        <v>0</v>
      </c>
      <c r="AZ2368" s="46">
        <v>0</v>
      </c>
      <c r="BA2368" s="46">
        <v>0</v>
      </c>
      <c r="BB2368" s="46">
        <v>0</v>
      </c>
      <c r="BC2368" s="46">
        <v>0</v>
      </c>
      <c r="BD2368" s="46">
        <v>0</v>
      </c>
      <c r="BE2368" s="46">
        <v>0</v>
      </c>
      <c r="BF2368" s="46">
        <v>0</v>
      </c>
      <c r="BG2368" s="46" t="s">
        <v>48</v>
      </c>
      <c r="BH2368" s="46">
        <v>0</v>
      </c>
      <c r="BI2368" s="46">
        <v>0</v>
      </c>
      <c r="BJ2368" s="46">
        <v>0</v>
      </c>
      <c r="BK2368" s="46">
        <v>0</v>
      </c>
      <c r="BL2368" s="46">
        <v>0</v>
      </c>
      <c r="BM2368" s="46">
        <v>0</v>
      </c>
      <c r="BN2368" s="46">
        <v>0</v>
      </c>
    </row>
    <row r="2369" spans="1:66" x14ac:dyDescent="0.35">
      <c r="A2369" t="s">
        <v>7086</v>
      </c>
      <c r="B2369" s="44" t="s">
        <v>48</v>
      </c>
      <c r="C2369" t="s">
        <v>7089</v>
      </c>
      <c r="D2369" t="s">
        <v>241</v>
      </c>
      <c r="E2369" t="s">
        <v>7087</v>
      </c>
      <c r="F2369" t="s">
        <v>7069</v>
      </c>
      <c r="G2369" t="s">
        <v>74</v>
      </c>
      <c r="H2369">
        <v>0</v>
      </c>
      <c r="I2369" s="60" t="s">
        <v>149</v>
      </c>
      <c r="J2369" s="33" t="s">
        <v>45</v>
      </c>
      <c r="K2369" s="46">
        <v>0</v>
      </c>
      <c r="L2369">
        <v>17.8</v>
      </c>
      <c r="M2369" t="s">
        <v>48</v>
      </c>
      <c r="N2369" s="46">
        <v>0</v>
      </c>
      <c r="O2369" s="46">
        <v>0</v>
      </c>
      <c r="P2369" s="46">
        <v>0</v>
      </c>
      <c r="Q2369" t="s">
        <v>48</v>
      </c>
      <c r="R2369" t="s">
        <v>48</v>
      </c>
      <c r="S2369" t="s">
        <v>7088</v>
      </c>
      <c r="T2369" t="s">
        <v>48</v>
      </c>
      <c r="U2369" t="s">
        <v>7088</v>
      </c>
      <c r="V2369" s="47">
        <v>0</v>
      </c>
      <c r="W2369" t="s">
        <v>48</v>
      </c>
      <c r="X2369" t="s">
        <v>48</v>
      </c>
      <c r="Y2369" t="s">
        <v>48</v>
      </c>
      <c r="Z2369">
        <v>0</v>
      </c>
      <c r="AA2369" t="s">
        <v>48</v>
      </c>
      <c r="AB2369" t="s">
        <v>48</v>
      </c>
      <c r="AC2369" t="s">
        <v>63</v>
      </c>
      <c r="AD2369" t="s">
        <v>93</v>
      </c>
      <c r="AE2369" t="s">
        <v>11051</v>
      </c>
      <c r="AF2369" t="s">
        <v>48</v>
      </c>
      <c r="AG2369" t="s">
        <v>48</v>
      </c>
      <c r="AH2369" t="s">
        <v>48</v>
      </c>
      <c r="AI2369" t="s">
        <v>48</v>
      </c>
      <c r="AJ2369" t="s">
        <v>48</v>
      </c>
      <c r="AK2369" t="s">
        <v>48</v>
      </c>
      <c r="AL2369" t="s">
        <v>48</v>
      </c>
      <c r="AM2369" t="s">
        <v>48</v>
      </c>
      <c r="AN2369" t="s">
        <v>48</v>
      </c>
      <c r="AO2369" t="s">
        <v>48</v>
      </c>
      <c r="AP2369" s="46">
        <v>0</v>
      </c>
      <c r="AQ2369" s="46">
        <v>0</v>
      </c>
      <c r="AR2369" s="46">
        <v>0</v>
      </c>
      <c r="AS2369" s="46">
        <v>0</v>
      </c>
      <c r="AT2369" s="46">
        <v>0</v>
      </c>
      <c r="AU2369" s="46">
        <v>0</v>
      </c>
      <c r="AV2369" s="46">
        <v>0</v>
      </c>
      <c r="AW2369" s="46">
        <v>0</v>
      </c>
      <c r="AX2369" s="46">
        <v>0</v>
      </c>
      <c r="AY2369" s="46">
        <v>0</v>
      </c>
      <c r="AZ2369" s="46">
        <v>0</v>
      </c>
      <c r="BA2369" s="46">
        <v>0</v>
      </c>
      <c r="BB2369" s="46">
        <v>0</v>
      </c>
      <c r="BC2369" s="46">
        <v>0</v>
      </c>
      <c r="BD2369" s="46">
        <v>0</v>
      </c>
      <c r="BE2369" s="46">
        <v>0</v>
      </c>
      <c r="BF2369" s="46">
        <v>0</v>
      </c>
      <c r="BG2369" s="46" t="s">
        <v>48</v>
      </c>
      <c r="BH2369" s="46">
        <v>0</v>
      </c>
      <c r="BI2369" s="46">
        <v>0</v>
      </c>
      <c r="BJ2369" s="46">
        <v>0</v>
      </c>
      <c r="BK2369" s="46">
        <v>0</v>
      </c>
      <c r="BL2369" s="46">
        <v>0</v>
      </c>
      <c r="BM2369" s="46">
        <v>0</v>
      </c>
      <c r="BN2369" s="46">
        <v>0</v>
      </c>
    </row>
    <row r="2370" spans="1:66" x14ac:dyDescent="0.35">
      <c r="A2370" t="s">
        <v>7073</v>
      </c>
      <c r="B2370" t="s">
        <v>48</v>
      </c>
      <c r="C2370" t="s">
        <v>7076</v>
      </c>
      <c r="D2370" t="s">
        <v>2161</v>
      </c>
      <c r="E2370" t="s">
        <v>7074</v>
      </c>
      <c r="F2370" t="s">
        <v>7069</v>
      </c>
      <c r="G2370" t="s">
        <v>47</v>
      </c>
      <c r="H2370">
        <v>0</v>
      </c>
      <c r="I2370" s="60" t="s">
        <v>149</v>
      </c>
      <c r="J2370" s="33" t="s">
        <v>45</v>
      </c>
      <c r="K2370" s="46">
        <v>0</v>
      </c>
      <c r="L2370">
        <v>25.4</v>
      </c>
      <c r="M2370" t="s">
        <v>48</v>
      </c>
      <c r="N2370" s="46">
        <v>0</v>
      </c>
      <c r="O2370" s="46">
        <v>0</v>
      </c>
      <c r="P2370" s="46">
        <v>0</v>
      </c>
      <c r="Q2370" t="s">
        <v>48</v>
      </c>
      <c r="R2370" t="s">
        <v>48</v>
      </c>
      <c r="S2370" t="s">
        <v>7075</v>
      </c>
      <c r="T2370" t="s">
        <v>48</v>
      </c>
      <c r="U2370" t="s">
        <v>7075</v>
      </c>
      <c r="V2370" s="47">
        <v>0</v>
      </c>
      <c r="W2370" t="s">
        <v>48</v>
      </c>
      <c r="X2370" t="s">
        <v>48</v>
      </c>
      <c r="Y2370" t="s">
        <v>48</v>
      </c>
      <c r="Z2370">
        <v>0</v>
      </c>
      <c r="AA2370" t="s">
        <v>48</v>
      </c>
      <c r="AB2370" t="s">
        <v>48</v>
      </c>
      <c r="AC2370" t="s">
        <v>49</v>
      </c>
      <c r="AD2370" t="s">
        <v>93</v>
      </c>
      <c r="AE2370" t="s">
        <v>4532</v>
      </c>
      <c r="AF2370" t="s">
        <v>48</v>
      </c>
      <c r="AG2370" t="s">
        <v>48</v>
      </c>
      <c r="AH2370" t="s">
        <v>48</v>
      </c>
      <c r="AI2370" t="s">
        <v>48</v>
      </c>
      <c r="AJ2370" t="s">
        <v>48</v>
      </c>
      <c r="AK2370" t="s">
        <v>48</v>
      </c>
      <c r="AL2370" t="s">
        <v>48</v>
      </c>
      <c r="AM2370" t="s">
        <v>48</v>
      </c>
      <c r="AN2370" t="s">
        <v>48</v>
      </c>
      <c r="AO2370" t="s">
        <v>48</v>
      </c>
      <c r="AP2370" s="46">
        <v>0</v>
      </c>
      <c r="AQ2370" s="46">
        <v>0</v>
      </c>
      <c r="AR2370" s="46">
        <v>0</v>
      </c>
      <c r="AS2370" s="46">
        <v>0</v>
      </c>
      <c r="AT2370" s="46">
        <v>0</v>
      </c>
      <c r="AU2370" s="46">
        <v>0</v>
      </c>
      <c r="AV2370" s="46">
        <v>0</v>
      </c>
      <c r="AW2370" s="46">
        <v>0</v>
      </c>
      <c r="AX2370" s="46">
        <v>0</v>
      </c>
      <c r="AY2370" s="46">
        <v>0</v>
      </c>
      <c r="AZ2370" s="46">
        <v>0</v>
      </c>
      <c r="BA2370" s="46">
        <v>0</v>
      </c>
      <c r="BB2370" s="46">
        <v>0</v>
      </c>
      <c r="BC2370" s="46">
        <v>0</v>
      </c>
      <c r="BD2370" s="46">
        <v>0</v>
      </c>
      <c r="BE2370" s="46">
        <v>0</v>
      </c>
      <c r="BF2370" s="46">
        <v>0</v>
      </c>
      <c r="BG2370" s="46" t="s">
        <v>48</v>
      </c>
      <c r="BH2370" s="46">
        <v>0</v>
      </c>
      <c r="BI2370" s="46">
        <v>0</v>
      </c>
      <c r="BJ2370" s="46">
        <v>0</v>
      </c>
      <c r="BK2370" s="46">
        <v>0</v>
      </c>
      <c r="BL2370" s="46">
        <v>0</v>
      </c>
      <c r="BM2370" s="46">
        <v>0</v>
      </c>
      <c r="BN2370" s="46">
        <v>0</v>
      </c>
    </row>
    <row r="2371" spans="1:66" x14ac:dyDescent="0.35">
      <c r="A2371" t="s">
        <v>7068</v>
      </c>
      <c r="B2371" s="44" t="s">
        <v>48</v>
      </c>
      <c r="C2371" t="s">
        <v>7072</v>
      </c>
      <c r="D2371" t="s">
        <v>7071</v>
      </c>
      <c r="E2371" t="s">
        <v>7070</v>
      </c>
      <c r="F2371" t="s">
        <v>7069</v>
      </c>
      <c r="G2371" t="s">
        <v>74</v>
      </c>
      <c r="H2371">
        <v>0</v>
      </c>
      <c r="I2371" s="60" t="s">
        <v>149</v>
      </c>
      <c r="J2371" s="33" t="s">
        <v>45</v>
      </c>
      <c r="K2371" s="46">
        <v>0</v>
      </c>
      <c r="L2371">
        <v>1.1000000000000001</v>
      </c>
      <c r="M2371" t="s">
        <v>48</v>
      </c>
      <c r="N2371" s="46">
        <v>0</v>
      </c>
      <c r="O2371" s="46">
        <v>0</v>
      </c>
      <c r="P2371" s="46">
        <v>0</v>
      </c>
      <c r="Q2371" t="s">
        <v>48</v>
      </c>
      <c r="R2371" t="s">
        <v>48</v>
      </c>
      <c r="S2371" t="s">
        <v>48</v>
      </c>
      <c r="T2371" t="s">
        <v>48</v>
      </c>
      <c r="U2371" t="s">
        <v>48</v>
      </c>
      <c r="V2371" s="47">
        <v>0</v>
      </c>
      <c r="W2371" t="s">
        <v>48</v>
      </c>
      <c r="X2371" t="s">
        <v>48</v>
      </c>
      <c r="Y2371" t="s">
        <v>48</v>
      </c>
      <c r="Z2371">
        <v>0</v>
      </c>
      <c r="AA2371" t="s">
        <v>48</v>
      </c>
      <c r="AB2371" t="s">
        <v>48</v>
      </c>
      <c r="AC2371" t="s">
        <v>49</v>
      </c>
      <c r="AD2371" t="s">
        <v>48</v>
      </c>
      <c r="AE2371" t="s">
        <v>48</v>
      </c>
      <c r="AF2371" t="s">
        <v>48</v>
      </c>
      <c r="AG2371" t="s">
        <v>48</v>
      </c>
      <c r="AH2371" t="s">
        <v>48</v>
      </c>
      <c r="AI2371" t="s">
        <v>48</v>
      </c>
      <c r="AJ2371" t="s">
        <v>48</v>
      </c>
      <c r="AK2371" t="s">
        <v>48</v>
      </c>
      <c r="AL2371" t="s">
        <v>48</v>
      </c>
      <c r="AM2371" t="s">
        <v>48</v>
      </c>
      <c r="AN2371" t="s">
        <v>48</v>
      </c>
      <c r="AO2371" t="s">
        <v>48</v>
      </c>
      <c r="AP2371" s="46">
        <v>0</v>
      </c>
      <c r="AQ2371" s="46">
        <v>0</v>
      </c>
      <c r="AR2371" s="46">
        <v>0</v>
      </c>
      <c r="AS2371" s="46">
        <v>0</v>
      </c>
      <c r="AT2371" s="46">
        <v>0</v>
      </c>
      <c r="AU2371" s="46">
        <v>0</v>
      </c>
      <c r="AV2371" s="46">
        <v>0</v>
      </c>
      <c r="AW2371" s="46">
        <v>0</v>
      </c>
      <c r="AX2371" s="46">
        <v>0</v>
      </c>
      <c r="AY2371" s="46">
        <v>0</v>
      </c>
      <c r="AZ2371" s="46">
        <v>0</v>
      </c>
      <c r="BA2371" s="46">
        <v>0</v>
      </c>
      <c r="BB2371" s="46">
        <v>0</v>
      </c>
      <c r="BC2371" s="46">
        <v>0</v>
      </c>
      <c r="BD2371" s="46">
        <v>0</v>
      </c>
      <c r="BE2371" s="46">
        <v>0</v>
      </c>
      <c r="BF2371" s="46">
        <v>0</v>
      </c>
      <c r="BG2371" s="46" t="s">
        <v>48</v>
      </c>
      <c r="BH2371" s="46">
        <v>0</v>
      </c>
      <c r="BI2371" s="46">
        <v>0</v>
      </c>
      <c r="BJ2371" s="46">
        <v>0</v>
      </c>
      <c r="BK2371" s="46">
        <v>0</v>
      </c>
      <c r="BL2371" s="46">
        <v>0</v>
      </c>
      <c r="BM2371" s="46">
        <v>0</v>
      </c>
      <c r="BN2371" s="46">
        <v>0</v>
      </c>
    </row>
    <row r="2372" spans="1:66" x14ac:dyDescent="0.35">
      <c r="A2372" t="s">
        <v>7092</v>
      </c>
      <c r="B2372" t="s">
        <v>48</v>
      </c>
      <c r="C2372" t="s">
        <v>7094</v>
      </c>
      <c r="D2372" t="s">
        <v>2109</v>
      </c>
      <c r="E2372" t="s">
        <v>7093</v>
      </c>
      <c r="F2372" t="s">
        <v>7069</v>
      </c>
      <c r="G2372" t="s">
        <v>47</v>
      </c>
      <c r="H2372">
        <v>0</v>
      </c>
      <c r="I2372" s="60" t="s">
        <v>149</v>
      </c>
      <c r="J2372" s="33" t="s">
        <v>45</v>
      </c>
      <c r="K2372" s="46">
        <v>0</v>
      </c>
      <c r="L2372">
        <v>27.8</v>
      </c>
      <c r="M2372">
        <v>40.799999999999997</v>
      </c>
      <c r="N2372" s="46">
        <v>0</v>
      </c>
      <c r="O2372" s="46">
        <v>0</v>
      </c>
      <c r="P2372" s="46">
        <v>0</v>
      </c>
      <c r="Q2372" t="s">
        <v>48</v>
      </c>
      <c r="R2372" t="s">
        <v>48</v>
      </c>
      <c r="S2372" t="s">
        <v>48</v>
      </c>
      <c r="T2372" t="s">
        <v>48</v>
      </c>
      <c r="U2372" t="s">
        <v>48</v>
      </c>
      <c r="V2372" s="47">
        <v>1</v>
      </c>
      <c r="W2372" t="s">
        <v>11264</v>
      </c>
      <c r="X2372" t="s">
        <v>48</v>
      </c>
      <c r="Y2372" t="s">
        <v>48</v>
      </c>
      <c r="Z2372">
        <v>0</v>
      </c>
      <c r="AA2372" t="s">
        <v>48</v>
      </c>
      <c r="AB2372" t="s">
        <v>48</v>
      </c>
      <c r="AC2372" t="s">
        <v>49</v>
      </c>
      <c r="AD2372" t="s">
        <v>93</v>
      </c>
      <c r="AE2372" t="s">
        <v>4532</v>
      </c>
      <c r="AF2372" t="s">
        <v>48</v>
      </c>
      <c r="AG2372" t="s">
        <v>48</v>
      </c>
      <c r="AH2372" t="s">
        <v>48</v>
      </c>
      <c r="AI2372" t="s">
        <v>48</v>
      </c>
      <c r="AJ2372" t="s">
        <v>48</v>
      </c>
      <c r="AK2372" t="s">
        <v>48</v>
      </c>
      <c r="AL2372" t="s">
        <v>48</v>
      </c>
      <c r="AM2372" t="s">
        <v>48</v>
      </c>
      <c r="AN2372" t="s">
        <v>48</v>
      </c>
      <c r="AO2372" t="s">
        <v>48</v>
      </c>
      <c r="AP2372" s="46">
        <v>0</v>
      </c>
      <c r="AQ2372" s="46">
        <v>0</v>
      </c>
      <c r="AR2372" s="46">
        <v>0</v>
      </c>
      <c r="AS2372" s="46">
        <v>0</v>
      </c>
      <c r="AT2372" s="46">
        <v>0</v>
      </c>
      <c r="AU2372" s="46">
        <v>0</v>
      </c>
      <c r="AV2372" s="46">
        <v>0</v>
      </c>
      <c r="AW2372" s="46">
        <v>0</v>
      </c>
      <c r="AX2372" s="46">
        <v>0</v>
      </c>
      <c r="AY2372" s="46">
        <v>0</v>
      </c>
      <c r="AZ2372" s="46">
        <v>0</v>
      </c>
      <c r="BA2372" s="46">
        <v>0</v>
      </c>
      <c r="BB2372" s="46">
        <v>0</v>
      </c>
      <c r="BC2372" s="46">
        <v>0</v>
      </c>
      <c r="BD2372" s="46">
        <v>0</v>
      </c>
      <c r="BE2372" s="46">
        <v>0</v>
      </c>
      <c r="BF2372" s="46">
        <v>0</v>
      </c>
      <c r="BG2372" s="46" t="s">
        <v>48</v>
      </c>
      <c r="BH2372" s="46">
        <v>0</v>
      </c>
      <c r="BI2372" s="46">
        <v>0</v>
      </c>
      <c r="BJ2372" s="46">
        <v>0</v>
      </c>
      <c r="BK2372" s="46">
        <v>0</v>
      </c>
      <c r="BL2372" s="46">
        <v>0</v>
      </c>
      <c r="BM2372" s="46">
        <v>0</v>
      </c>
      <c r="BN2372" s="46">
        <v>0</v>
      </c>
    </row>
    <row r="2373" spans="1:66" x14ac:dyDescent="0.35">
      <c r="A2373" t="s">
        <v>7100</v>
      </c>
      <c r="B2373" t="s">
        <v>48</v>
      </c>
      <c r="C2373" t="s">
        <v>7102</v>
      </c>
      <c r="D2373" t="s">
        <v>731</v>
      </c>
      <c r="E2373" t="s">
        <v>7101</v>
      </c>
      <c r="F2373" t="s">
        <v>7096</v>
      </c>
      <c r="G2373" t="s">
        <v>47</v>
      </c>
      <c r="H2373">
        <v>0</v>
      </c>
      <c r="I2373" s="60" t="s">
        <v>149</v>
      </c>
      <c r="J2373" s="33" t="s">
        <v>45</v>
      </c>
      <c r="K2373" s="46">
        <v>0</v>
      </c>
      <c r="L2373">
        <v>0.7</v>
      </c>
      <c r="M2373" t="s">
        <v>48</v>
      </c>
      <c r="N2373" s="46">
        <v>0</v>
      </c>
      <c r="O2373" s="46">
        <v>0</v>
      </c>
      <c r="P2373" s="46">
        <v>0</v>
      </c>
      <c r="Q2373" t="s">
        <v>48</v>
      </c>
      <c r="R2373" t="s">
        <v>48</v>
      </c>
      <c r="S2373" t="s">
        <v>48</v>
      </c>
      <c r="T2373" t="s">
        <v>48</v>
      </c>
      <c r="U2373" t="s">
        <v>48</v>
      </c>
      <c r="V2373" s="47">
        <v>0</v>
      </c>
      <c r="W2373" t="s">
        <v>48</v>
      </c>
      <c r="X2373" t="s">
        <v>48</v>
      </c>
      <c r="Y2373" t="s">
        <v>48</v>
      </c>
      <c r="Z2373">
        <v>0</v>
      </c>
      <c r="AA2373" t="s">
        <v>48</v>
      </c>
      <c r="AB2373" t="s">
        <v>48</v>
      </c>
      <c r="AC2373" t="s">
        <v>49</v>
      </c>
      <c r="AD2373" t="s">
        <v>48</v>
      </c>
      <c r="AE2373" t="s">
        <v>48</v>
      </c>
      <c r="AF2373" t="s">
        <v>48</v>
      </c>
      <c r="AG2373" t="s">
        <v>48</v>
      </c>
      <c r="AH2373" t="s">
        <v>48</v>
      </c>
      <c r="AI2373" t="s">
        <v>48</v>
      </c>
      <c r="AJ2373" t="s">
        <v>48</v>
      </c>
      <c r="AK2373" t="s">
        <v>48</v>
      </c>
      <c r="AL2373" t="s">
        <v>48</v>
      </c>
      <c r="AM2373" t="s">
        <v>48</v>
      </c>
      <c r="AN2373" t="s">
        <v>48</v>
      </c>
      <c r="AO2373" t="s">
        <v>48</v>
      </c>
      <c r="AP2373" s="46">
        <v>0</v>
      </c>
      <c r="AQ2373" s="46">
        <v>0</v>
      </c>
      <c r="AR2373" s="46">
        <v>0</v>
      </c>
      <c r="AS2373" s="46">
        <v>0</v>
      </c>
      <c r="AT2373" s="46">
        <v>0</v>
      </c>
      <c r="AU2373" s="46">
        <v>0</v>
      </c>
      <c r="AV2373" s="46">
        <v>0</v>
      </c>
      <c r="AW2373" s="46">
        <v>0</v>
      </c>
      <c r="AX2373" s="46">
        <v>0</v>
      </c>
      <c r="AY2373" s="46">
        <v>0</v>
      </c>
      <c r="AZ2373" s="46">
        <v>0</v>
      </c>
      <c r="BA2373" s="46">
        <v>0</v>
      </c>
      <c r="BB2373" s="46">
        <v>0</v>
      </c>
      <c r="BC2373" s="46">
        <v>0</v>
      </c>
      <c r="BD2373" s="46">
        <v>0</v>
      </c>
      <c r="BE2373" s="46">
        <v>0</v>
      </c>
      <c r="BF2373" s="46">
        <v>0</v>
      </c>
      <c r="BG2373" s="46" t="s">
        <v>48</v>
      </c>
      <c r="BH2373" s="46">
        <v>0</v>
      </c>
      <c r="BI2373" s="46">
        <v>0</v>
      </c>
      <c r="BJ2373" s="46">
        <v>0</v>
      </c>
      <c r="BK2373" s="46">
        <v>0</v>
      </c>
      <c r="BL2373" s="46">
        <v>0</v>
      </c>
      <c r="BM2373" s="46">
        <v>0</v>
      </c>
      <c r="BN2373" s="46">
        <v>0</v>
      </c>
    </row>
    <row r="2374" spans="1:66" x14ac:dyDescent="0.35">
      <c r="A2374" t="s">
        <v>7106</v>
      </c>
      <c r="B2374" t="s">
        <v>48</v>
      </c>
      <c r="C2374" t="s">
        <v>7108</v>
      </c>
      <c r="D2374" t="s">
        <v>3245</v>
      </c>
      <c r="E2374" t="s">
        <v>7107</v>
      </c>
      <c r="F2374" t="s">
        <v>7096</v>
      </c>
      <c r="G2374" t="s">
        <v>47</v>
      </c>
      <c r="H2374">
        <v>0</v>
      </c>
      <c r="I2374" s="60" t="s">
        <v>51</v>
      </c>
      <c r="J2374" s="33" t="s">
        <v>45</v>
      </c>
      <c r="K2374" s="46">
        <v>0</v>
      </c>
      <c r="L2374">
        <v>2.2000000000000002</v>
      </c>
      <c r="M2374" t="s">
        <v>48</v>
      </c>
      <c r="N2374" s="46">
        <v>0</v>
      </c>
      <c r="O2374" s="46">
        <v>0</v>
      </c>
      <c r="P2374" s="46">
        <v>0</v>
      </c>
      <c r="Q2374" t="s">
        <v>48</v>
      </c>
      <c r="R2374" t="s">
        <v>48</v>
      </c>
      <c r="S2374" t="s">
        <v>48</v>
      </c>
      <c r="T2374" t="s">
        <v>48</v>
      </c>
      <c r="U2374" t="s">
        <v>48</v>
      </c>
      <c r="V2374" s="47">
        <v>0</v>
      </c>
      <c r="W2374" t="s">
        <v>48</v>
      </c>
      <c r="X2374" t="s">
        <v>48</v>
      </c>
      <c r="Y2374" t="s">
        <v>48</v>
      </c>
      <c r="Z2374">
        <v>0</v>
      </c>
      <c r="AA2374" t="s">
        <v>48</v>
      </c>
      <c r="AB2374" t="s">
        <v>48</v>
      </c>
      <c r="AC2374" t="s">
        <v>49</v>
      </c>
      <c r="AD2374" t="s">
        <v>93</v>
      </c>
      <c r="AE2374" t="s">
        <v>4532</v>
      </c>
      <c r="AF2374" t="s">
        <v>48</v>
      </c>
      <c r="AG2374" t="s">
        <v>48</v>
      </c>
      <c r="AH2374" t="s">
        <v>48</v>
      </c>
      <c r="AI2374" t="s">
        <v>48</v>
      </c>
      <c r="AJ2374" t="s">
        <v>48</v>
      </c>
      <c r="AK2374" t="s">
        <v>48</v>
      </c>
      <c r="AL2374" t="s">
        <v>48</v>
      </c>
      <c r="AM2374" t="s">
        <v>48</v>
      </c>
      <c r="AN2374" t="s">
        <v>48</v>
      </c>
      <c r="AO2374" t="s">
        <v>48</v>
      </c>
      <c r="AP2374" s="46">
        <v>0</v>
      </c>
      <c r="AQ2374" s="46">
        <v>0</v>
      </c>
      <c r="AR2374" s="46">
        <v>0</v>
      </c>
      <c r="AS2374" s="46">
        <v>0</v>
      </c>
      <c r="AT2374" s="46">
        <v>0</v>
      </c>
      <c r="AU2374" s="46">
        <v>0</v>
      </c>
      <c r="AV2374" s="46">
        <v>0</v>
      </c>
      <c r="AW2374" s="46">
        <v>0</v>
      </c>
      <c r="AX2374" s="46">
        <v>0</v>
      </c>
      <c r="AY2374" s="46">
        <v>0</v>
      </c>
      <c r="AZ2374" s="46">
        <v>0</v>
      </c>
      <c r="BA2374" s="46">
        <v>0</v>
      </c>
      <c r="BB2374" s="46">
        <v>0</v>
      </c>
      <c r="BC2374" s="46">
        <v>0</v>
      </c>
      <c r="BD2374" s="46">
        <v>0</v>
      </c>
      <c r="BE2374" s="46">
        <v>0</v>
      </c>
      <c r="BF2374" s="46">
        <v>0</v>
      </c>
      <c r="BG2374" s="46" t="s">
        <v>48</v>
      </c>
      <c r="BH2374" s="46">
        <v>0</v>
      </c>
      <c r="BI2374" s="46">
        <v>0</v>
      </c>
      <c r="BJ2374" s="46">
        <v>0</v>
      </c>
      <c r="BK2374" s="46">
        <v>0</v>
      </c>
      <c r="BL2374" s="46">
        <v>0</v>
      </c>
      <c r="BM2374" s="46">
        <v>0</v>
      </c>
      <c r="BN2374" s="46">
        <v>0</v>
      </c>
    </row>
    <row r="2375" spans="1:66" x14ac:dyDescent="0.35">
      <c r="A2375" t="s">
        <v>7135</v>
      </c>
      <c r="B2375" s="44" t="s">
        <v>48</v>
      </c>
      <c r="C2375" t="s">
        <v>3960</v>
      </c>
      <c r="D2375" t="s">
        <v>7138</v>
      </c>
      <c r="E2375" t="s">
        <v>7136</v>
      </c>
      <c r="F2375" t="s">
        <v>7096</v>
      </c>
      <c r="G2375" t="s">
        <v>74</v>
      </c>
      <c r="H2375">
        <v>0</v>
      </c>
      <c r="I2375" s="60" t="s">
        <v>149</v>
      </c>
      <c r="J2375" s="33" t="s">
        <v>45</v>
      </c>
      <c r="K2375" s="46">
        <v>0</v>
      </c>
      <c r="L2375">
        <v>16.3</v>
      </c>
      <c r="M2375" t="s">
        <v>48</v>
      </c>
      <c r="N2375" s="46">
        <v>0</v>
      </c>
      <c r="O2375" s="46">
        <v>0</v>
      </c>
      <c r="P2375" s="46">
        <v>0</v>
      </c>
      <c r="Q2375" t="s">
        <v>48</v>
      </c>
      <c r="R2375" t="s">
        <v>48</v>
      </c>
      <c r="S2375" t="s">
        <v>7137</v>
      </c>
      <c r="T2375" t="s">
        <v>48</v>
      </c>
      <c r="U2375" t="s">
        <v>7137</v>
      </c>
      <c r="V2375" s="47">
        <v>0</v>
      </c>
      <c r="W2375" t="s">
        <v>48</v>
      </c>
      <c r="X2375" t="s">
        <v>48</v>
      </c>
      <c r="Y2375" t="s">
        <v>48</v>
      </c>
      <c r="Z2375">
        <v>0</v>
      </c>
      <c r="AA2375" t="s">
        <v>48</v>
      </c>
      <c r="AB2375" t="s">
        <v>48</v>
      </c>
      <c r="AC2375" t="s">
        <v>63</v>
      </c>
      <c r="AD2375" t="s">
        <v>93</v>
      </c>
      <c r="AE2375" s="40" t="s">
        <v>2471</v>
      </c>
      <c r="AF2375" t="s">
        <v>11061</v>
      </c>
      <c r="AG2375" t="s">
        <v>48</v>
      </c>
      <c r="AH2375" t="s">
        <v>48</v>
      </c>
      <c r="AI2375" t="s">
        <v>48</v>
      </c>
      <c r="AJ2375" t="s">
        <v>48</v>
      </c>
      <c r="AK2375" t="s">
        <v>48</v>
      </c>
      <c r="AL2375" t="s">
        <v>48</v>
      </c>
      <c r="AM2375" t="s">
        <v>48</v>
      </c>
      <c r="AN2375" t="s">
        <v>48</v>
      </c>
      <c r="AO2375" t="s">
        <v>48</v>
      </c>
      <c r="AP2375" s="46">
        <v>0</v>
      </c>
      <c r="AQ2375" s="46">
        <v>0</v>
      </c>
      <c r="AR2375" s="46">
        <v>0</v>
      </c>
      <c r="AS2375" s="46">
        <v>0</v>
      </c>
      <c r="AT2375" s="46">
        <v>0</v>
      </c>
      <c r="AU2375" s="46">
        <v>0</v>
      </c>
      <c r="AV2375" s="46">
        <v>0</v>
      </c>
      <c r="AW2375" s="46">
        <v>0</v>
      </c>
      <c r="AX2375" s="46">
        <v>0</v>
      </c>
      <c r="AY2375" s="46">
        <v>0</v>
      </c>
      <c r="AZ2375" s="46">
        <v>0</v>
      </c>
      <c r="BA2375" s="46">
        <v>0</v>
      </c>
      <c r="BB2375" s="46">
        <v>0</v>
      </c>
      <c r="BC2375" s="46">
        <v>0</v>
      </c>
      <c r="BD2375" s="46">
        <v>0</v>
      </c>
      <c r="BE2375" s="46">
        <v>0</v>
      </c>
      <c r="BF2375" s="46">
        <v>0</v>
      </c>
      <c r="BG2375" s="46" t="s">
        <v>48</v>
      </c>
      <c r="BH2375" s="46">
        <v>0</v>
      </c>
      <c r="BI2375" s="46">
        <v>0</v>
      </c>
      <c r="BJ2375" s="46">
        <v>0</v>
      </c>
      <c r="BK2375" s="46">
        <v>0</v>
      </c>
      <c r="BL2375" s="46">
        <v>0</v>
      </c>
      <c r="BM2375" s="46">
        <v>0</v>
      </c>
      <c r="BN2375" s="46">
        <v>0</v>
      </c>
    </row>
    <row r="2376" spans="1:66" x14ac:dyDescent="0.35">
      <c r="A2376" t="s">
        <v>7126</v>
      </c>
      <c r="B2376" t="s">
        <v>48</v>
      </c>
      <c r="C2376" t="s">
        <v>7130</v>
      </c>
      <c r="D2376" t="s">
        <v>7129</v>
      </c>
      <c r="E2376" t="s">
        <v>7127</v>
      </c>
      <c r="F2376" t="s">
        <v>7096</v>
      </c>
      <c r="G2376" t="s">
        <v>47</v>
      </c>
      <c r="H2376">
        <v>0</v>
      </c>
      <c r="I2376" s="60" t="s">
        <v>51</v>
      </c>
      <c r="J2376" s="33" t="s">
        <v>45</v>
      </c>
      <c r="K2376" s="46">
        <v>0</v>
      </c>
      <c r="L2376">
        <v>0.4</v>
      </c>
      <c r="M2376" t="s">
        <v>48</v>
      </c>
      <c r="N2376" s="46">
        <v>0</v>
      </c>
      <c r="O2376" s="46">
        <v>0</v>
      </c>
      <c r="P2376" s="46">
        <v>0</v>
      </c>
      <c r="Q2376" t="s">
        <v>48</v>
      </c>
      <c r="R2376" t="s">
        <v>48</v>
      </c>
      <c r="S2376" t="s">
        <v>7128</v>
      </c>
      <c r="T2376" t="s">
        <v>48</v>
      </c>
      <c r="U2376" t="s">
        <v>7128</v>
      </c>
      <c r="V2376" s="47">
        <v>0</v>
      </c>
      <c r="W2376" t="s">
        <v>48</v>
      </c>
      <c r="X2376" t="s">
        <v>48</v>
      </c>
      <c r="Y2376" t="s">
        <v>48</v>
      </c>
      <c r="Z2376">
        <v>0</v>
      </c>
      <c r="AA2376" t="s">
        <v>48</v>
      </c>
      <c r="AB2376" t="s">
        <v>48</v>
      </c>
      <c r="AC2376" t="s">
        <v>49</v>
      </c>
      <c r="AD2376" t="s">
        <v>93</v>
      </c>
      <c r="AE2376" t="s">
        <v>4532</v>
      </c>
      <c r="AF2376" t="s">
        <v>48</v>
      </c>
      <c r="AG2376" t="s">
        <v>48</v>
      </c>
      <c r="AH2376" t="s">
        <v>48</v>
      </c>
      <c r="AI2376" t="s">
        <v>48</v>
      </c>
      <c r="AJ2376" t="s">
        <v>48</v>
      </c>
      <c r="AK2376" t="s">
        <v>48</v>
      </c>
      <c r="AL2376" t="s">
        <v>48</v>
      </c>
      <c r="AM2376" t="s">
        <v>48</v>
      </c>
      <c r="AN2376" t="s">
        <v>48</v>
      </c>
      <c r="AO2376" t="s">
        <v>48</v>
      </c>
      <c r="AP2376" s="46">
        <v>0</v>
      </c>
      <c r="AQ2376" s="46">
        <v>0</v>
      </c>
      <c r="AR2376" s="46">
        <v>0</v>
      </c>
      <c r="AS2376" s="46">
        <v>0</v>
      </c>
      <c r="AT2376" s="46">
        <v>0</v>
      </c>
      <c r="AU2376" s="46">
        <v>0</v>
      </c>
      <c r="AV2376" s="46">
        <v>0</v>
      </c>
      <c r="AW2376" s="46">
        <v>0</v>
      </c>
      <c r="AX2376" s="46">
        <v>0</v>
      </c>
      <c r="AY2376" s="46">
        <v>0</v>
      </c>
      <c r="AZ2376" s="46">
        <v>0</v>
      </c>
      <c r="BA2376" s="46">
        <v>0</v>
      </c>
      <c r="BB2376" s="46">
        <v>0</v>
      </c>
      <c r="BC2376" s="46">
        <v>0</v>
      </c>
      <c r="BD2376" s="46">
        <v>0</v>
      </c>
      <c r="BE2376" s="46">
        <v>0</v>
      </c>
      <c r="BF2376" s="46">
        <v>0</v>
      </c>
      <c r="BG2376" s="46" t="s">
        <v>48</v>
      </c>
      <c r="BH2376" s="46">
        <v>0</v>
      </c>
      <c r="BI2376" s="46">
        <v>0</v>
      </c>
      <c r="BJ2376" s="46">
        <v>0</v>
      </c>
      <c r="BK2376" s="46">
        <v>0</v>
      </c>
      <c r="BL2376" s="46">
        <v>0</v>
      </c>
      <c r="BM2376" s="46">
        <v>0</v>
      </c>
      <c r="BN2376" s="46">
        <v>0</v>
      </c>
    </row>
    <row r="2377" spans="1:66" x14ac:dyDescent="0.35">
      <c r="A2377" t="s">
        <v>7109</v>
      </c>
      <c r="B2377" t="s">
        <v>48</v>
      </c>
      <c r="C2377" t="s">
        <v>7111</v>
      </c>
      <c r="D2377" t="s">
        <v>268</v>
      </c>
      <c r="E2377" t="s">
        <v>7110</v>
      </c>
      <c r="F2377" t="s">
        <v>7096</v>
      </c>
      <c r="G2377" t="s">
        <v>47</v>
      </c>
      <c r="H2377">
        <v>0</v>
      </c>
      <c r="I2377" s="60" t="s">
        <v>149</v>
      </c>
      <c r="J2377" s="33" t="s">
        <v>45</v>
      </c>
      <c r="K2377" s="46">
        <v>0</v>
      </c>
      <c r="L2377">
        <v>5</v>
      </c>
      <c r="M2377" t="s">
        <v>48</v>
      </c>
      <c r="N2377" s="46">
        <v>0</v>
      </c>
      <c r="O2377" s="46">
        <v>0</v>
      </c>
      <c r="P2377" s="46">
        <v>0</v>
      </c>
      <c r="Q2377" t="s">
        <v>48</v>
      </c>
      <c r="R2377" t="s">
        <v>48</v>
      </c>
      <c r="S2377" t="s">
        <v>48</v>
      </c>
      <c r="T2377" t="s">
        <v>48</v>
      </c>
      <c r="U2377" t="s">
        <v>48</v>
      </c>
      <c r="V2377" s="47">
        <v>0</v>
      </c>
      <c r="W2377" t="s">
        <v>48</v>
      </c>
      <c r="X2377" t="s">
        <v>48</v>
      </c>
      <c r="Y2377" t="s">
        <v>48</v>
      </c>
      <c r="Z2377">
        <v>0</v>
      </c>
      <c r="AA2377" t="s">
        <v>48</v>
      </c>
      <c r="AB2377" t="s">
        <v>48</v>
      </c>
      <c r="AC2377" t="s">
        <v>49</v>
      </c>
      <c r="AD2377" t="s">
        <v>93</v>
      </c>
      <c r="AE2377" t="s">
        <v>4532</v>
      </c>
      <c r="AF2377" t="s">
        <v>48</v>
      </c>
      <c r="AG2377" t="s">
        <v>48</v>
      </c>
      <c r="AH2377" t="s">
        <v>48</v>
      </c>
      <c r="AI2377" t="s">
        <v>48</v>
      </c>
      <c r="AJ2377" t="s">
        <v>48</v>
      </c>
      <c r="AK2377" t="s">
        <v>48</v>
      </c>
      <c r="AL2377" t="s">
        <v>48</v>
      </c>
      <c r="AM2377" t="s">
        <v>48</v>
      </c>
      <c r="AN2377" t="s">
        <v>48</v>
      </c>
      <c r="AO2377" t="s">
        <v>48</v>
      </c>
      <c r="AP2377" s="46">
        <v>0</v>
      </c>
      <c r="AQ2377" s="46">
        <v>0</v>
      </c>
      <c r="AR2377" s="46">
        <v>0</v>
      </c>
      <c r="AS2377" s="46">
        <v>0</v>
      </c>
      <c r="AT2377" s="46">
        <v>0</v>
      </c>
      <c r="AU2377" s="46">
        <v>0</v>
      </c>
      <c r="AV2377" s="46">
        <v>0</v>
      </c>
      <c r="AW2377" s="46">
        <v>0</v>
      </c>
      <c r="AX2377" s="46">
        <v>0</v>
      </c>
      <c r="AY2377" s="46">
        <v>0</v>
      </c>
      <c r="AZ2377" s="46">
        <v>0</v>
      </c>
      <c r="BA2377" s="46">
        <v>0</v>
      </c>
      <c r="BB2377" s="46">
        <v>0</v>
      </c>
      <c r="BC2377" s="46">
        <v>0</v>
      </c>
      <c r="BD2377" s="46">
        <v>0</v>
      </c>
      <c r="BE2377" s="46">
        <v>0</v>
      </c>
      <c r="BF2377" s="46">
        <v>0</v>
      </c>
      <c r="BG2377" s="46" t="s">
        <v>48</v>
      </c>
      <c r="BH2377" s="46">
        <v>0</v>
      </c>
      <c r="BI2377" s="46">
        <v>0</v>
      </c>
      <c r="BJ2377" s="46">
        <v>0</v>
      </c>
      <c r="BK2377" s="46">
        <v>0</v>
      </c>
      <c r="BL2377" s="46">
        <v>0</v>
      </c>
      <c r="BM2377" s="46">
        <v>0</v>
      </c>
      <c r="BN2377" s="46">
        <v>0</v>
      </c>
    </row>
    <row r="2378" spans="1:66" ht="15" x14ac:dyDescent="0.4">
      <c r="A2378" t="s">
        <v>7116</v>
      </c>
      <c r="B2378" s="44" t="s">
        <v>48</v>
      </c>
      <c r="C2378" t="s">
        <v>7118</v>
      </c>
      <c r="D2378" t="s">
        <v>6064</v>
      </c>
      <c r="E2378" t="s">
        <v>7117</v>
      </c>
      <c r="F2378" t="s">
        <v>7096</v>
      </c>
      <c r="G2378" t="s">
        <v>74</v>
      </c>
      <c r="H2378">
        <v>0</v>
      </c>
      <c r="I2378" s="60" t="s">
        <v>11160</v>
      </c>
      <c r="J2378" s="33" t="s">
        <v>45</v>
      </c>
      <c r="K2378" s="46">
        <v>0</v>
      </c>
      <c r="L2378">
        <v>38.1</v>
      </c>
      <c r="M2378">
        <v>61</v>
      </c>
      <c r="N2378" s="46">
        <v>0</v>
      </c>
      <c r="O2378" s="46">
        <v>0</v>
      </c>
      <c r="P2378" s="46">
        <v>0</v>
      </c>
      <c r="Q2378" t="s">
        <v>48</v>
      </c>
      <c r="R2378" t="s">
        <v>48</v>
      </c>
      <c r="S2378" s="55" t="s">
        <v>11383</v>
      </c>
      <c r="T2378" t="s">
        <v>48</v>
      </c>
      <c r="U2378" t="s">
        <v>48</v>
      </c>
      <c r="V2378" s="47">
        <v>0</v>
      </c>
      <c r="W2378" t="s">
        <v>48</v>
      </c>
      <c r="X2378" t="s">
        <v>48</v>
      </c>
      <c r="Y2378" t="s">
        <v>48</v>
      </c>
      <c r="Z2378">
        <v>0</v>
      </c>
      <c r="AA2378" t="s">
        <v>48</v>
      </c>
      <c r="AB2378" t="s">
        <v>48</v>
      </c>
      <c r="AC2378" t="s">
        <v>49</v>
      </c>
      <c r="AD2378" t="s">
        <v>93</v>
      </c>
      <c r="AE2378" t="s">
        <v>4532</v>
      </c>
      <c r="AF2378" t="s">
        <v>48</v>
      </c>
      <c r="AG2378" t="s">
        <v>48</v>
      </c>
      <c r="AH2378" t="s">
        <v>48</v>
      </c>
      <c r="AI2378" t="s">
        <v>48</v>
      </c>
      <c r="AJ2378" t="s">
        <v>48</v>
      </c>
      <c r="AK2378" t="s">
        <v>48</v>
      </c>
      <c r="AL2378" t="s">
        <v>48</v>
      </c>
      <c r="AM2378" t="s">
        <v>48</v>
      </c>
      <c r="AN2378" t="s">
        <v>48</v>
      </c>
      <c r="AO2378" t="s">
        <v>48</v>
      </c>
      <c r="AP2378" s="46">
        <v>0</v>
      </c>
      <c r="AQ2378" s="46">
        <v>0</v>
      </c>
      <c r="AR2378" s="46">
        <v>0</v>
      </c>
      <c r="AS2378" s="46">
        <v>0</v>
      </c>
      <c r="AT2378" s="46">
        <v>0</v>
      </c>
      <c r="AU2378" s="46">
        <v>0</v>
      </c>
      <c r="AV2378" s="46">
        <v>0</v>
      </c>
      <c r="AW2378" s="46">
        <v>0</v>
      </c>
      <c r="AX2378" s="46">
        <v>0</v>
      </c>
      <c r="AY2378" s="46">
        <v>0</v>
      </c>
      <c r="AZ2378" s="46">
        <v>0</v>
      </c>
      <c r="BA2378" s="46">
        <v>0</v>
      </c>
      <c r="BB2378" s="46">
        <v>0</v>
      </c>
      <c r="BC2378" s="46">
        <v>0</v>
      </c>
      <c r="BD2378" s="46">
        <v>0</v>
      </c>
      <c r="BE2378" s="46">
        <v>0</v>
      </c>
      <c r="BF2378" s="46">
        <v>0</v>
      </c>
      <c r="BG2378" s="46" t="s">
        <v>48</v>
      </c>
      <c r="BH2378" s="46">
        <v>0</v>
      </c>
      <c r="BI2378" s="46">
        <v>0</v>
      </c>
      <c r="BJ2378" s="46">
        <v>0</v>
      </c>
      <c r="BK2378" s="46">
        <v>0</v>
      </c>
      <c r="BL2378" s="46">
        <v>0</v>
      </c>
      <c r="BM2378" s="46">
        <v>0</v>
      </c>
      <c r="BN2378" s="46">
        <v>0</v>
      </c>
    </row>
    <row r="2379" spans="1:66" x14ac:dyDescent="0.35">
      <c r="A2379" t="s">
        <v>7103</v>
      </c>
      <c r="B2379" t="s">
        <v>48</v>
      </c>
      <c r="C2379" t="s">
        <v>2341</v>
      </c>
      <c r="D2379" t="s">
        <v>372</v>
      </c>
      <c r="E2379" t="s">
        <v>7104</v>
      </c>
      <c r="F2379" t="s">
        <v>7096</v>
      </c>
      <c r="G2379" t="s">
        <v>47</v>
      </c>
      <c r="H2379">
        <v>0</v>
      </c>
      <c r="I2379" s="60" t="s">
        <v>51</v>
      </c>
      <c r="J2379" s="33" t="s">
        <v>45</v>
      </c>
      <c r="K2379" s="46">
        <v>0</v>
      </c>
      <c r="L2379">
        <v>1.6</v>
      </c>
      <c r="M2379" t="s">
        <v>48</v>
      </c>
      <c r="N2379" s="46">
        <v>0</v>
      </c>
      <c r="O2379" s="46">
        <v>0</v>
      </c>
      <c r="P2379" s="46">
        <v>0</v>
      </c>
      <c r="Q2379" t="s">
        <v>48</v>
      </c>
      <c r="R2379" t="s">
        <v>48</v>
      </c>
      <c r="S2379" t="s">
        <v>7105</v>
      </c>
      <c r="T2379" t="s">
        <v>48</v>
      </c>
      <c r="U2379" t="s">
        <v>7105</v>
      </c>
      <c r="V2379" s="47">
        <v>0</v>
      </c>
      <c r="W2379" t="s">
        <v>48</v>
      </c>
      <c r="X2379" t="s">
        <v>48</v>
      </c>
      <c r="Y2379" t="s">
        <v>48</v>
      </c>
      <c r="Z2379">
        <v>0</v>
      </c>
      <c r="AA2379" t="s">
        <v>48</v>
      </c>
      <c r="AB2379" t="s">
        <v>48</v>
      </c>
      <c r="AC2379" t="s">
        <v>49</v>
      </c>
      <c r="AD2379" t="s">
        <v>93</v>
      </c>
      <c r="AE2379" t="s">
        <v>2471</v>
      </c>
      <c r="AF2379" t="s">
        <v>48</v>
      </c>
      <c r="AG2379" t="s">
        <v>48</v>
      </c>
      <c r="AH2379" t="s">
        <v>48</v>
      </c>
      <c r="AI2379" t="s">
        <v>48</v>
      </c>
      <c r="AJ2379" t="s">
        <v>48</v>
      </c>
      <c r="AK2379" t="s">
        <v>48</v>
      </c>
      <c r="AL2379" t="s">
        <v>48</v>
      </c>
      <c r="AM2379" t="s">
        <v>48</v>
      </c>
      <c r="AN2379" t="s">
        <v>48</v>
      </c>
      <c r="AO2379" t="s">
        <v>48</v>
      </c>
      <c r="AP2379" s="46">
        <v>0</v>
      </c>
      <c r="AQ2379" s="46">
        <v>0</v>
      </c>
      <c r="AR2379" s="46">
        <v>0</v>
      </c>
      <c r="AS2379" s="46">
        <v>0</v>
      </c>
      <c r="AT2379" s="46">
        <v>0</v>
      </c>
      <c r="AU2379" s="46">
        <v>0</v>
      </c>
      <c r="AV2379" s="46">
        <v>0</v>
      </c>
      <c r="AW2379" s="46">
        <v>0</v>
      </c>
      <c r="AX2379" s="46">
        <v>0</v>
      </c>
      <c r="AY2379" s="46">
        <v>0</v>
      </c>
      <c r="AZ2379" s="46">
        <v>0</v>
      </c>
      <c r="BA2379" s="46">
        <v>0</v>
      </c>
      <c r="BB2379" s="46">
        <v>0</v>
      </c>
      <c r="BC2379" s="46">
        <v>0</v>
      </c>
      <c r="BD2379" s="46">
        <v>0</v>
      </c>
      <c r="BE2379" s="46">
        <v>0</v>
      </c>
      <c r="BF2379" s="46">
        <v>0</v>
      </c>
      <c r="BG2379" s="46" t="s">
        <v>48</v>
      </c>
      <c r="BH2379" s="46">
        <v>0</v>
      </c>
      <c r="BI2379" s="46">
        <v>0</v>
      </c>
      <c r="BJ2379" s="46">
        <v>0</v>
      </c>
      <c r="BK2379" s="46">
        <v>0</v>
      </c>
      <c r="BL2379" s="46">
        <v>0</v>
      </c>
      <c r="BM2379" s="46">
        <v>0</v>
      </c>
      <c r="BN2379" s="46">
        <v>0</v>
      </c>
    </row>
    <row r="2380" spans="1:66" x14ac:dyDescent="0.35">
      <c r="A2380" t="s">
        <v>7131</v>
      </c>
      <c r="B2380" t="s">
        <v>48</v>
      </c>
      <c r="C2380" t="s">
        <v>7134</v>
      </c>
      <c r="D2380" t="s">
        <v>655</v>
      </c>
      <c r="E2380" t="s">
        <v>7132</v>
      </c>
      <c r="F2380" t="s">
        <v>7096</v>
      </c>
      <c r="G2380" t="s">
        <v>47</v>
      </c>
      <c r="H2380">
        <v>0</v>
      </c>
      <c r="I2380" s="60" t="s">
        <v>11160</v>
      </c>
      <c r="J2380" s="33" t="s">
        <v>45</v>
      </c>
      <c r="K2380" s="46">
        <v>0</v>
      </c>
      <c r="L2380">
        <v>30.2</v>
      </c>
      <c r="M2380" t="s">
        <v>48</v>
      </c>
      <c r="N2380" s="46">
        <v>0</v>
      </c>
      <c r="O2380" s="46">
        <v>0</v>
      </c>
      <c r="P2380" s="46">
        <v>0</v>
      </c>
      <c r="Q2380" t="s">
        <v>48</v>
      </c>
      <c r="R2380" t="s">
        <v>48</v>
      </c>
      <c r="S2380" t="s">
        <v>7133</v>
      </c>
      <c r="T2380" t="s">
        <v>48</v>
      </c>
      <c r="U2380" t="s">
        <v>7133</v>
      </c>
      <c r="V2380" s="47">
        <v>0</v>
      </c>
      <c r="W2380" t="s">
        <v>11317</v>
      </c>
      <c r="X2380" t="s">
        <v>48</v>
      </c>
      <c r="Y2380" t="s">
        <v>48</v>
      </c>
      <c r="Z2380">
        <v>0</v>
      </c>
      <c r="AA2380" t="s">
        <v>48</v>
      </c>
      <c r="AB2380" t="s">
        <v>48</v>
      </c>
      <c r="AC2380" t="s">
        <v>49</v>
      </c>
      <c r="AD2380" t="s">
        <v>93</v>
      </c>
      <c r="AE2380" t="s">
        <v>4532</v>
      </c>
      <c r="AF2380" t="s">
        <v>48</v>
      </c>
      <c r="AG2380" t="s">
        <v>48</v>
      </c>
      <c r="AH2380" t="s">
        <v>48</v>
      </c>
      <c r="AI2380" t="s">
        <v>48</v>
      </c>
      <c r="AJ2380" t="s">
        <v>48</v>
      </c>
      <c r="AK2380" t="s">
        <v>48</v>
      </c>
      <c r="AL2380" t="s">
        <v>48</v>
      </c>
      <c r="AM2380" t="s">
        <v>48</v>
      </c>
      <c r="AN2380" t="s">
        <v>48</v>
      </c>
      <c r="AO2380" t="s">
        <v>48</v>
      </c>
      <c r="AP2380" s="46">
        <v>0</v>
      </c>
      <c r="AQ2380" s="46">
        <v>0</v>
      </c>
      <c r="AR2380" s="46">
        <v>0</v>
      </c>
      <c r="AS2380" s="46">
        <v>0</v>
      </c>
      <c r="AT2380" s="46">
        <v>0</v>
      </c>
      <c r="AU2380" s="46">
        <v>0</v>
      </c>
      <c r="AV2380" s="46">
        <v>0</v>
      </c>
      <c r="AW2380" s="46">
        <v>0</v>
      </c>
      <c r="AX2380" s="46">
        <v>0</v>
      </c>
      <c r="AY2380" s="46">
        <v>0</v>
      </c>
      <c r="AZ2380" s="46">
        <v>0</v>
      </c>
      <c r="BA2380" s="46">
        <v>0</v>
      </c>
      <c r="BB2380" s="46">
        <v>0</v>
      </c>
      <c r="BC2380" s="46">
        <v>0</v>
      </c>
      <c r="BD2380" s="46">
        <v>0</v>
      </c>
      <c r="BE2380" s="46">
        <v>0</v>
      </c>
      <c r="BF2380" s="46">
        <v>0</v>
      </c>
      <c r="BG2380" s="46" t="s">
        <v>48</v>
      </c>
      <c r="BH2380" s="46">
        <v>0</v>
      </c>
      <c r="BI2380" s="46">
        <v>0</v>
      </c>
      <c r="BJ2380" s="46">
        <v>0</v>
      </c>
      <c r="BK2380" s="46">
        <v>0</v>
      </c>
      <c r="BL2380" s="46">
        <v>0</v>
      </c>
      <c r="BM2380" s="46">
        <v>0</v>
      </c>
      <c r="BN2380" s="46">
        <v>0</v>
      </c>
    </row>
    <row r="2381" spans="1:66" x14ac:dyDescent="0.35">
      <c r="A2381" t="s">
        <v>7095</v>
      </c>
      <c r="B2381" t="s">
        <v>48</v>
      </c>
      <c r="C2381" t="s">
        <v>7099</v>
      </c>
      <c r="D2381" t="s">
        <v>4863</v>
      </c>
      <c r="E2381" t="s">
        <v>7097</v>
      </c>
      <c r="F2381" t="s">
        <v>7096</v>
      </c>
      <c r="G2381" t="s">
        <v>47</v>
      </c>
      <c r="H2381">
        <v>0</v>
      </c>
      <c r="I2381" s="60" t="s">
        <v>149</v>
      </c>
      <c r="J2381" s="33" t="s">
        <v>45</v>
      </c>
      <c r="K2381" s="46">
        <v>0</v>
      </c>
      <c r="L2381">
        <v>0.4</v>
      </c>
      <c r="M2381" t="s">
        <v>48</v>
      </c>
      <c r="N2381" s="46">
        <v>0</v>
      </c>
      <c r="O2381" s="46">
        <v>0</v>
      </c>
      <c r="P2381" s="46">
        <v>0</v>
      </c>
      <c r="Q2381" t="s">
        <v>48</v>
      </c>
      <c r="R2381" t="s">
        <v>48</v>
      </c>
      <c r="S2381" t="s">
        <v>7098</v>
      </c>
      <c r="T2381" t="s">
        <v>48</v>
      </c>
      <c r="U2381" t="s">
        <v>7098</v>
      </c>
      <c r="V2381" s="47">
        <v>0</v>
      </c>
      <c r="W2381" t="s">
        <v>48</v>
      </c>
      <c r="X2381" t="s">
        <v>48</v>
      </c>
      <c r="Y2381" t="s">
        <v>48</v>
      </c>
      <c r="Z2381">
        <v>0</v>
      </c>
      <c r="AA2381" t="s">
        <v>48</v>
      </c>
      <c r="AB2381" t="s">
        <v>48</v>
      </c>
      <c r="AC2381" t="s">
        <v>49</v>
      </c>
      <c r="AD2381" t="s">
        <v>951</v>
      </c>
      <c r="AE2381" t="s">
        <v>11051</v>
      </c>
      <c r="AF2381" t="s">
        <v>48</v>
      </c>
      <c r="AG2381" t="s">
        <v>48</v>
      </c>
      <c r="AH2381" t="s">
        <v>48</v>
      </c>
      <c r="AI2381" t="s">
        <v>48</v>
      </c>
      <c r="AJ2381" t="s">
        <v>48</v>
      </c>
      <c r="AK2381" t="s">
        <v>48</v>
      </c>
      <c r="AL2381" t="s">
        <v>48</v>
      </c>
      <c r="AM2381" t="s">
        <v>48</v>
      </c>
      <c r="AN2381" t="s">
        <v>48</v>
      </c>
      <c r="AO2381" t="s">
        <v>48</v>
      </c>
      <c r="AP2381" s="46">
        <v>0</v>
      </c>
      <c r="AQ2381" s="46">
        <v>0</v>
      </c>
      <c r="AR2381" s="46">
        <v>0</v>
      </c>
      <c r="AS2381" s="46">
        <v>0</v>
      </c>
      <c r="AT2381" s="46">
        <v>0</v>
      </c>
      <c r="AU2381" s="46">
        <v>0</v>
      </c>
      <c r="AV2381" s="46">
        <v>0</v>
      </c>
      <c r="AW2381" s="46">
        <v>0</v>
      </c>
      <c r="AX2381" s="46">
        <v>0</v>
      </c>
      <c r="AY2381" s="46">
        <v>0</v>
      </c>
      <c r="AZ2381" s="46">
        <v>0</v>
      </c>
      <c r="BA2381" s="46">
        <v>0</v>
      </c>
      <c r="BB2381" s="46">
        <v>0</v>
      </c>
      <c r="BC2381" s="46">
        <v>0</v>
      </c>
      <c r="BD2381" s="46">
        <v>0</v>
      </c>
      <c r="BE2381" s="46">
        <v>0</v>
      </c>
      <c r="BF2381" s="46">
        <v>0</v>
      </c>
      <c r="BG2381" s="46" t="s">
        <v>48</v>
      </c>
      <c r="BH2381" s="46">
        <v>0</v>
      </c>
      <c r="BI2381" s="46">
        <v>0</v>
      </c>
      <c r="BJ2381" s="46">
        <v>0</v>
      </c>
      <c r="BK2381" s="46">
        <v>0</v>
      </c>
      <c r="BL2381" s="46">
        <v>0</v>
      </c>
      <c r="BM2381" s="46">
        <v>0</v>
      </c>
      <c r="BN2381" s="46">
        <v>0</v>
      </c>
    </row>
    <row r="2382" spans="1:66" x14ac:dyDescent="0.35">
      <c r="A2382" t="s">
        <v>7139</v>
      </c>
      <c r="B2382" t="s">
        <v>48</v>
      </c>
      <c r="C2382" t="s">
        <v>7142</v>
      </c>
      <c r="D2382" t="s">
        <v>328</v>
      </c>
      <c r="E2382" t="s">
        <v>7140</v>
      </c>
      <c r="F2382" t="s">
        <v>7096</v>
      </c>
      <c r="G2382" t="s">
        <v>47</v>
      </c>
      <c r="H2382">
        <v>0</v>
      </c>
      <c r="I2382" s="60" t="s">
        <v>51</v>
      </c>
      <c r="J2382" s="33" t="s">
        <v>45</v>
      </c>
      <c r="K2382" s="46">
        <v>0</v>
      </c>
      <c r="L2382">
        <v>1</v>
      </c>
      <c r="M2382" t="s">
        <v>48</v>
      </c>
      <c r="N2382" s="46">
        <v>0</v>
      </c>
      <c r="O2382" s="46">
        <v>0</v>
      </c>
      <c r="P2382" s="46">
        <v>0</v>
      </c>
      <c r="Q2382" t="s">
        <v>48</v>
      </c>
      <c r="R2382" t="s">
        <v>48</v>
      </c>
      <c r="S2382" t="s">
        <v>7141</v>
      </c>
      <c r="T2382" t="s">
        <v>48</v>
      </c>
      <c r="U2382" t="s">
        <v>7141</v>
      </c>
      <c r="V2382" s="47">
        <v>0</v>
      </c>
      <c r="W2382" t="s">
        <v>11317</v>
      </c>
      <c r="X2382" t="s">
        <v>48</v>
      </c>
      <c r="Y2382" t="s">
        <v>48</v>
      </c>
      <c r="Z2382">
        <v>0</v>
      </c>
      <c r="AA2382" t="s">
        <v>48</v>
      </c>
      <c r="AB2382" t="s">
        <v>48</v>
      </c>
      <c r="AC2382" t="s">
        <v>49</v>
      </c>
      <c r="AD2382" t="s">
        <v>93</v>
      </c>
      <c r="AE2382" t="s">
        <v>4532</v>
      </c>
      <c r="AF2382" t="s">
        <v>48</v>
      </c>
      <c r="AG2382" t="s">
        <v>48</v>
      </c>
      <c r="AH2382" t="s">
        <v>48</v>
      </c>
      <c r="AI2382" t="s">
        <v>48</v>
      </c>
      <c r="AJ2382" t="s">
        <v>48</v>
      </c>
      <c r="AK2382" t="s">
        <v>48</v>
      </c>
      <c r="AL2382" t="s">
        <v>48</v>
      </c>
      <c r="AM2382" t="s">
        <v>48</v>
      </c>
      <c r="AN2382" t="s">
        <v>48</v>
      </c>
      <c r="AO2382" t="s">
        <v>48</v>
      </c>
      <c r="AP2382" s="46">
        <v>0</v>
      </c>
      <c r="AQ2382" s="46">
        <v>0</v>
      </c>
      <c r="AR2382" s="46">
        <v>0</v>
      </c>
      <c r="AS2382" s="46">
        <v>0</v>
      </c>
      <c r="AT2382" s="46">
        <v>0</v>
      </c>
      <c r="AU2382" s="46">
        <v>0</v>
      </c>
      <c r="AV2382" s="46">
        <v>0</v>
      </c>
      <c r="AW2382" s="46">
        <v>0</v>
      </c>
      <c r="AX2382" s="46">
        <v>0</v>
      </c>
      <c r="AY2382" s="46">
        <v>0</v>
      </c>
      <c r="AZ2382" s="46">
        <v>0</v>
      </c>
      <c r="BA2382" s="46">
        <v>0</v>
      </c>
      <c r="BB2382" s="46">
        <v>0</v>
      </c>
      <c r="BC2382" s="46">
        <v>0</v>
      </c>
      <c r="BD2382" s="46">
        <v>0</v>
      </c>
      <c r="BE2382" s="46">
        <v>0</v>
      </c>
      <c r="BF2382" s="46">
        <v>0</v>
      </c>
      <c r="BG2382" s="46" t="s">
        <v>48</v>
      </c>
      <c r="BH2382" s="46">
        <v>0</v>
      </c>
      <c r="BI2382" s="46">
        <v>0</v>
      </c>
      <c r="BJ2382" s="46">
        <v>0</v>
      </c>
      <c r="BK2382" s="46">
        <v>0</v>
      </c>
      <c r="BL2382" s="46">
        <v>0</v>
      </c>
      <c r="BM2382" s="46">
        <v>0</v>
      </c>
      <c r="BN2382" s="46">
        <v>0</v>
      </c>
    </row>
    <row r="2383" spans="1:66" x14ac:dyDescent="0.35">
      <c r="A2383" t="s">
        <v>7119</v>
      </c>
      <c r="B2383" t="s">
        <v>48</v>
      </c>
      <c r="C2383" t="s">
        <v>64</v>
      </c>
      <c r="D2383" t="s">
        <v>7122</v>
      </c>
      <c r="E2383" t="s">
        <v>7120</v>
      </c>
      <c r="F2383" t="s">
        <v>7096</v>
      </c>
      <c r="G2383" t="s">
        <v>47</v>
      </c>
      <c r="H2383">
        <v>0</v>
      </c>
      <c r="I2383" s="60" t="s">
        <v>51</v>
      </c>
      <c r="J2383" s="33" t="s">
        <v>45</v>
      </c>
      <c r="K2383" s="46">
        <v>0</v>
      </c>
      <c r="L2383">
        <v>3.3</v>
      </c>
      <c r="M2383" t="s">
        <v>48</v>
      </c>
      <c r="N2383" s="46">
        <v>0</v>
      </c>
      <c r="O2383" s="46">
        <v>0</v>
      </c>
      <c r="P2383" s="46">
        <v>0</v>
      </c>
      <c r="Q2383" t="s">
        <v>48</v>
      </c>
      <c r="R2383" t="s">
        <v>48</v>
      </c>
      <c r="S2383" t="s">
        <v>7121</v>
      </c>
      <c r="T2383" t="s">
        <v>48</v>
      </c>
      <c r="U2383" t="s">
        <v>7121</v>
      </c>
      <c r="V2383" s="47">
        <v>0</v>
      </c>
      <c r="W2383" t="s">
        <v>48</v>
      </c>
      <c r="X2383" t="s">
        <v>48</v>
      </c>
      <c r="Y2383" t="s">
        <v>48</v>
      </c>
      <c r="Z2383">
        <v>0</v>
      </c>
      <c r="AA2383" t="s">
        <v>48</v>
      </c>
      <c r="AB2383" t="s">
        <v>48</v>
      </c>
      <c r="AC2383" t="s">
        <v>49</v>
      </c>
      <c r="AD2383" t="s">
        <v>951</v>
      </c>
      <c r="AE2383" t="s">
        <v>11051</v>
      </c>
      <c r="AF2383" t="s">
        <v>48</v>
      </c>
      <c r="AG2383" t="s">
        <v>48</v>
      </c>
      <c r="AH2383" t="s">
        <v>48</v>
      </c>
      <c r="AI2383" t="s">
        <v>48</v>
      </c>
      <c r="AJ2383" t="s">
        <v>48</v>
      </c>
      <c r="AK2383" t="s">
        <v>48</v>
      </c>
      <c r="AL2383" t="s">
        <v>48</v>
      </c>
      <c r="AM2383" t="s">
        <v>48</v>
      </c>
      <c r="AN2383" t="s">
        <v>48</v>
      </c>
      <c r="AO2383" t="s">
        <v>48</v>
      </c>
      <c r="AP2383" s="46">
        <v>0</v>
      </c>
      <c r="AQ2383" s="46">
        <v>0</v>
      </c>
      <c r="AR2383" s="46">
        <v>0</v>
      </c>
      <c r="AS2383" s="46">
        <v>0</v>
      </c>
      <c r="AT2383" s="46">
        <v>0</v>
      </c>
      <c r="AU2383" s="46">
        <v>0</v>
      </c>
      <c r="AV2383" s="46">
        <v>0</v>
      </c>
      <c r="AW2383" s="46">
        <v>0</v>
      </c>
      <c r="AX2383" s="46">
        <v>0</v>
      </c>
      <c r="AY2383" s="46">
        <v>0</v>
      </c>
      <c r="AZ2383" s="46">
        <v>0</v>
      </c>
      <c r="BA2383" s="46">
        <v>0</v>
      </c>
      <c r="BB2383" s="46">
        <v>0</v>
      </c>
      <c r="BC2383" s="46">
        <v>0</v>
      </c>
      <c r="BD2383" s="46">
        <v>0</v>
      </c>
      <c r="BE2383" s="46">
        <v>0</v>
      </c>
      <c r="BF2383" s="46">
        <v>0</v>
      </c>
      <c r="BG2383" s="46" t="s">
        <v>48</v>
      </c>
      <c r="BH2383" s="46">
        <v>0</v>
      </c>
      <c r="BI2383" s="46">
        <v>0</v>
      </c>
      <c r="BJ2383" s="46">
        <v>0</v>
      </c>
      <c r="BK2383" s="46">
        <v>0</v>
      </c>
      <c r="BL2383" s="46">
        <v>0</v>
      </c>
      <c r="BM2383" s="46">
        <v>0</v>
      </c>
      <c r="BN2383" s="46">
        <v>0</v>
      </c>
    </row>
    <row r="2384" spans="1:66" ht="17.5" x14ac:dyDescent="0.45">
      <c r="A2384" t="s">
        <v>7153</v>
      </c>
      <c r="B2384" t="s">
        <v>48</v>
      </c>
      <c r="C2384" t="s">
        <v>7156</v>
      </c>
      <c r="D2384" t="s">
        <v>259</v>
      </c>
      <c r="E2384" t="s">
        <v>7155</v>
      </c>
      <c r="F2384" t="s">
        <v>7154</v>
      </c>
      <c r="G2384" t="s">
        <v>47</v>
      </c>
      <c r="H2384">
        <v>0</v>
      </c>
      <c r="I2384" s="60" t="s">
        <v>11160</v>
      </c>
      <c r="J2384" s="33" t="s">
        <v>45</v>
      </c>
      <c r="K2384" s="46">
        <v>0</v>
      </c>
      <c r="L2384">
        <v>28</v>
      </c>
      <c r="M2384" t="s">
        <v>48</v>
      </c>
      <c r="N2384" s="46">
        <v>0</v>
      </c>
      <c r="O2384" s="46">
        <v>0</v>
      </c>
      <c r="P2384" s="46">
        <v>0</v>
      </c>
      <c r="Q2384" t="s">
        <v>48</v>
      </c>
      <c r="R2384" t="s">
        <v>48</v>
      </c>
      <c r="S2384" s="66" t="s">
        <v>11554</v>
      </c>
      <c r="T2384" t="s">
        <v>48</v>
      </c>
      <c r="U2384" t="s">
        <v>48</v>
      </c>
      <c r="V2384" s="47">
        <v>0</v>
      </c>
      <c r="W2384" t="s">
        <v>11167</v>
      </c>
      <c r="X2384" t="s">
        <v>48</v>
      </c>
      <c r="Y2384" t="s">
        <v>48</v>
      </c>
      <c r="Z2384">
        <v>0</v>
      </c>
      <c r="AA2384" t="s">
        <v>48</v>
      </c>
      <c r="AB2384" t="s">
        <v>48</v>
      </c>
      <c r="AC2384" t="s">
        <v>49</v>
      </c>
      <c r="AD2384" t="s">
        <v>93</v>
      </c>
      <c r="AE2384" t="s">
        <v>4532</v>
      </c>
      <c r="AF2384" t="s">
        <v>48</v>
      </c>
      <c r="AG2384" t="s">
        <v>48</v>
      </c>
      <c r="AH2384" t="s">
        <v>48</v>
      </c>
      <c r="AI2384" t="s">
        <v>48</v>
      </c>
      <c r="AJ2384" t="s">
        <v>48</v>
      </c>
      <c r="AK2384" t="s">
        <v>48</v>
      </c>
      <c r="AL2384" t="s">
        <v>48</v>
      </c>
      <c r="AM2384" t="s">
        <v>48</v>
      </c>
      <c r="AN2384" t="s">
        <v>48</v>
      </c>
      <c r="AO2384" t="s">
        <v>48</v>
      </c>
      <c r="AP2384" s="46">
        <v>0</v>
      </c>
      <c r="AQ2384" s="46">
        <v>0</v>
      </c>
      <c r="AR2384" s="46">
        <v>0</v>
      </c>
      <c r="AS2384" s="46">
        <v>0</v>
      </c>
      <c r="AT2384" s="46">
        <v>0</v>
      </c>
      <c r="AU2384" s="46">
        <v>0</v>
      </c>
      <c r="AV2384" s="46">
        <v>0</v>
      </c>
      <c r="AW2384" s="46">
        <v>0</v>
      </c>
      <c r="AX2384" s="46">
        <v>0</v>
      </c>
      <c r="AY2384" s="46">
        <v>0</v>
      </c>
      <c r="AZ2384" s="46">
        <v>0</v>
      </c>
      <c r="BA2384" s="46">
        <v>0</v>
      </c>
      <c r="BB2384" s="46">
        <v>0</v>
      </c>
      <c r="BC2384" s="46">
        <v>0</v>
      </c>
      <c r="BD2384" s="46">
        <v>0</v>
      </c>
      <c r="BE2384" s="46">
        <v>0</v>
      </c>
      <c r="BF2384" s="46">
        <v>0</v>
      </c>
      <c r="BG2384" s="46" t="s">
        <v>48</v>
      </c>
      <c r="BH2384" s="46">
        <v>0</v>
      </c>
      <c r="BI2384" s="46">
        <v>0</v>
      </c>
      <c r="BJ2384" s="46">
        <v>0</v>
      </c>
      <c r="BK2384" s="46">
        <v>0</v>
      </c>
      <c r="BL2384" s="46">
        <v>0</v>
      </c>
      <c r="BM2384" s="46">
        <v>0</v>
      </c>
      <c r="BN2384" s="46">
        <v>0</v>
      </c>
    </row>
    <row r="2385" spans="1:66" x14ac:dyDescent="0.35">
      <c r="A2385" t="s">
        <v>7157</v>
      </c>
      <c r="B2385" t="s">
        <v>48</v>
      </c>
      <c r="C2385" t="s">
        <v>2390</v>
      </c>
      <c r="D2385" t="s">
        <v>3978</v>
      </c>
      <c r="E2385" t="s">
        <v>7158</v>
      </c>
      <c r="F2385" t="s">
        <v>7154</v>
      </c>
      <c r="G2385" t="s">
        <v>47</v>
      </c>
      <c r="H2385">
        <v>0</v>
      </c>
      <c r="I2385" s="60" t="s">
        <v>125</v>
      </c>
      <c r="J2385" s="33" t="s">
        <v>45</v>
      </c>
      <c r="K2385" s="46">
        <v>0</v>
      </c>
      <c r="L2385">
        <v>14.3</v>
      </c>
      <c r="M2385" t="s">
        <v>48</v>
      </c>
      <c r="N2385" s="46">
        <v>0</v>
      </c>
      <c r="O2385" s="46">
        <v>0</v>
      </c>
      <c r="P2385" s="46">
        <v>0</v>
      </c>
      <c r="Q2385" t="s">
        <v>48</v>
      </c>
      <c r="R2385" t="s">
        <v>48</v>
      </c>
      <c r="S2385" t="s">
        <v>7159</v>
      </c>
      <c r="T2385" t="s">
        <v>48</v>
      </c>
      <c r="U2385" t="s">
        <v>7159</v>
      </c>
      <c r="V2385" s="47">
        <v>0</v>
      </c>
      <c r="W2385" t="s">
        <v>48</v>
      </c>
      <c r="X2385" t="s">
        <v>48</v>
      </c>
      <c r="Y2385" t="s">
        <v>48</v>
      </c>
      <c r="Z2385">
        <v>0</v>
      </c>
      <c r="AA2385" t="s">
        <v>48</v>
      </c>
      <c r="AB2385" t="s">
        <v>48</v>
      </c>
      <c r="AC2385" t="s">
        <v>63</v>
      </c>
      <c r="AD2385" t="s">
        <v>93</v>
      </c>
      <c r="AE2385" t="s">
        <v>4532</v>
      </c>
      <c r="AF2385" t="s">
        <v>48</v>
      </c>
      <c r="AG2385" t="s">
        <v>48</v>
      </c>
      <c r="AH2385" t="s">
        <v>48</v>
      </c>
      <c r="AI2385" t="s">
        <v>48</v>
      </c>
      <c r="AJ2385" t="s">
        <v>48</v>
      </c>
      <c r="AK2385" t="s">
        <v>48</v>
      </c>
      <c r="AL2385" t="s">
        <v>48</v>
      </c>
      <c r="AM2385" t="s">
        <v>48</v>
      </c>
      <c r="AN2385" t="s">
        <v>48</v>
      </c>
      <c r="AO2385" t="s">
        <v>48</v>
      </c>
      <c r="AP2385" s="46">
        <v>0</v>
      </c>
      <c r="AQ2385" s="46">
        <v>0</v>
      </c>
      <c r="AR2385" s="46">
        <v>0</v>
      </c>
      <c r="AS2385" s="46">
        <v>0</v>
      </c>
      <c r="AT2385" s="46">
        <v>0</v>
      </c>
      <c r="AU2385" s="46">
        <v>0</v>
      </c>
      <c r="AV2385" s="46">
        <v>0</v>
      </c>
      <c r="AW2385" s="46">
        <v>0</v>
      </c>
      <c r="AX2385" s="46">
        <v>0</v>
      </c>
      <c r="AY2385" s="46">
        <v>0</v>
      </c>
      <c r="AZ2385" s="46">
        <v>0</v>
      </c>
      <c r="BA2385" s="46">
        <v>0</v>
      </c>
      <c r="BB2385" s="46">
        <v>0</v>
      </c>
      <c r="BC2385" s="46">
        <v>0</v>
      </c>
      <c r="BD2385" s="46">
        <v>0</v>
      </c>
      <c r="BE2385" s="46">
        <v>0</v>
      </c>
      <c r="BF2385" s="46">
        <v>0</v>
      </c>
      <c r="BG2385" s="46" t="s">
        <v>48</v>
      </c>
      <c r="BH2385" s="46">
        <v>0</v>
      </c>
      <c r="BI2385" s="46">
        <v>0</v>
      </c>
      <c r="BJ2385" s="46">
        <v>0</v>
      </c>
      <c r="BK2385" s="46">
        <v>0</v>
      </c>
      <c r="BL2385" s="46">
        <v>0</v>
      </c>
      <c r="BM2385" s="46">
        <v>0</v>
      </c>
      <c r="BN2385" s="46">
        <v>0</v>
      </c>
    </row>
    <row r="2386" spans="1:66" x14ac:dyDescent="0.35">
      <c r="A2386" t="s">
        <v>7164</v>
      </c>
      <c r="B2386" t="s">
        <v>48</v>
      </c>
      <c r="C2386" t="s">
        <v>7168</v>
      </c>
      <c r="D2386" t="s">
        <v>3126</v>
      </c>
      <c r="E2386" t="s">
        <v>7166</v>
      </c>
      <c r="F2386" t="s">
        <v>7165</v>
      </c>
      <c r="G2386" t="s">
        <v>47</v>
      </c>
      <c r="H2386">
        <v>0</v>
      </c>
      <c r="I2386" s="60" t="s">
        <v>11160</v>
      </c>
      <c r="J2386" s="33" t="s">
        <v>45</v>
      </c>
      <c r="K2386" s="46">
        <v>0</v>
      </c>
      <c r="L2386">
        <v>27.4</v>
      </c>
      <c r="M2386" t="s">
        <v>48</v>
      </c>
      <c r="N2386" s="46">
        <v>0</v>
      </c>
      <c r="O2386" s="46">
        <v>0</v>
      </c>
      <c r="P2386" s="46">
        <v>0</v>
      </c>
      <c r="Q2386" t="s">
        <v>48</v>
      </c>
      <c r="R2386" t="s">
        <v>48</v>
      </c>
      <c r="S2386" t="s">
        <v>7167</v>
      </c>
      <c r="T2386" t="s">
        <v>48</v>
      </c>
      <c r="U2386" t="s">
        <v>7167</v>
      </c>
      <c r="V2386" s="47">
        <v>1</v>
      </c>
      <c r="W2386" t="s">
        <v>11317</v>
      </c>
      <c r="X2386" t="s">
        <v>48</v>
      </c>
      <c r="Y2386" t="s">
        <v>48</v>
      </c>
      <c r="Z2386">
        <v>0</v>
      </c>
      <c r="AA2386" t="s">
        <v>48</v>
      </c>
      <c r="AB2386" t="s">
        <v>48</v>
      </c>
      <c r="AC2386" t="s">
        <v>63</v>
      </c>
      <c r="AD2386" t="s">
        <v>93</v>
      </c>
      <c r="AE2386" t="s">
        <v>4532</v>
      </c>
      <c r="AF2386" t="s">
        <v>48</v>
      </c>
      <c r="AG2386" t="s">
        <v>48</v>
      </c>
      <c r="AH2386" t="s">
        <v>48</v>
      </c>
      <c r="AI2386" t="s">
        <v>48</v>
      </c>
      <c r="AJ2386" t="s">
        <v>48</v>
      </c>
      <c r="AK2386" t="s">
        <v>48</v>
      </c>
      <c r="AL2386" t="s">
        <v>48</v>
      </c>
      <c r="AM2386" t="s">
        <v>48</v>
      </c>
      <c r="AN2386" t="s">
        <v>48</v>
      </c>
      <c r="AO2386" t="s">
        <v>48</v>
      </c>
      <c r="AP2386" s="46">
        <v>0</v>
      </c>
      <c r="AQ2386" s="46">
        <v>0</v>
      </c>
      <c r="AR2386" s="46">
        <v>0</v>
      </c>
      <c r="AS2386" s="46">
        <v>0</v>
      </c>
      <c r="AT2386" s="46">
        <v>0</v>
      </c>
      <c r="AU2386" s="46">
        <v>0</v>
      </c>
      <c r="AV2386" s="46">
        <v>0</v>
      </c>
      <c r="AW2386" s="46">
        <v>0</v>
      </c>
      <c r="AX2386" s="46">
        <v>0</v>
      </c>
      <c r="AY2386" s="46">
        <v>0</v>
      </c>
      <c r="AZ2386" s="46">
        <v>0</v>
      </c>
      <c r="BA2386" s="46">
        <v>0</v>
      </c>
      <c r="BB2386" s="46">
        <v>0</v>
      </c>
      <c r="BC2386" s="46">
        <v>0</v>
      </c>
      <c r="BD2386" s="46">
        <v>0</v>
      </c>
      <c r="BE2386" s="46">
        <v>0</v>
      </c>
      <c r="BF2386" s="46">
        <v>0</v>
      </c>
      <c r="BG2386" s="46" t="s">
        <v>48</v>
      </c>
      <c r="BH2386" s="46">
        <v>0</v>
      </c>
      <c r="BI2386" s="46">
        <v>0</v>
      </c>
      <c r="BJ2386" s="46">
        <v>0</v>
      </c>
      <c r="BK2386" s="46">
        <v>0</v>
      </c>
      <c r="BL2386" s="46">
        <v>0</v>
      </c>
      <c r="BM2386" s="46">
        <v>0</v>
      </c>
      <c r="BN2386" s="46">
        <v>0</v>
      </c>
    </row>
    <row r="2387" spans="1:66" x14ac:dyDescent="0.35">
      <c r="A2387" t="s">
        <v>9771</v>
      </c>
      <c r="B2387" t="s">
        <v>48</v>
      </c>
      <c r="C2387" t="s">
        <v>12338</v>
      </c>
      <c r="D2387" t="s">
        <v>237</v>
      </c>
      <c r="E2387" t="s">
        <v>9772</v>
      </c>
      <c r="F2387" t="s">
        <v>7173</v>
      </c>
      <c r="G2387" t="s">
        <v>47</v>
      </c>
      <c r="H2387">
        <v>0</v>
      </c>
      <c r="I2387" s="61">
        <v>44757</v>
      </c>
      <c r="J2387" s="33" t="s">
        <v>45</v>
      </c>
      <c r="K2387" s="46">
        <v>0</v>
      </c>
      <c r="L2387">
        <v>30.3</v>
      </c>
      <c r="M2387" t="s">
        <v>48</v>
      </c>
      <c r="N2387" s="46">
        <v>0</v>
      </c>
      <c r="O2387" s="46">
        <v>0</v>
      </c>
      <c r="P2387" s="46">
        <v>0</v>
      </c>
      <c r="Q2387" t="s">
        <v>48</v>
      </c>
      <c r="R2387" t="s">
        <v>48</v>
      </c>
      <c r="S2387" t="s">
        <v>48</v>
      </c>
      <c r="T2387" t="s">
        <v>48</v>
      </c>
      <c r="U2387" t="s">
        <v>48</v>
      </c>
      <c r="V2387" s="47">
        <v>1</v>
      </c>
      <c r="W2387" t="s">
        <v>11264</v>
      </c>
      <c r="X2387" t="s">
        <v>48</v>
      </c>
      <c r="Y2387" t="s">
        <v>48</v>
      </c>
      <c r="Z2387" t="s">
        <v>48</v>
      </c>
      <c r="AA2387" t="s">
        <v>48</v>
      </c>
      <c r="AB2387" t="s">
        <v>48</v>
      </c>
      <c r="AC2387" t="s">
        <v>49</v>
      </c>
      <c r="AD2387" t="s">
        <v>93</v>
      </c>
      <c r="AE2387" t="s">
        <v>4532</v>
      </c>
      <c r="AF2387" t="s">
        <v>48</v>
      </c>
      <c r="AG2387" t="s">
        <v>48</v>
      </c>
      <c r="AH2387" t="s">
        <v>48</v>
      </c>
      <c r="AI2387" t="s">
        <v>48</v>
      </c>
      <c r="AJ2387" t="s">
        <v>48</v>
      </c>
      <c r="AK2387" t="s">
        <v>48</v>
      </c>
      <c r="AL2387" t="s">
        <v>48</v>
      </c>
      <c r="AM2387" t="s">
        <v>48</v>
      </c>
      <c r="AN2387" t="s">
        <v>48</v>
      </c>
      <c r="AO2387" t="s">
        <v>48</v>
      </c>
      <c r="AP2387" s="46">
        <v>0</v>
      </c>
      <c r="AQ2387" s="46">
        <v>0</v>
      </c>
      <c r="AR2387" s="46">
        <v>0</v>
      </c>
      <c r="AS2387" s="46">
        <v>0</v>
      </c>
      <c r="AT2387" s="46">
        <v>0</v>
      </c>
      <c r="AU2387" s="46">
        <v>0</v>
      </c>
      <c r="AV2387" s="46">
        <v>0</v>
      </c>
      <c r="AW2387" s="46">
        <v>0</v>
      </c>
      <c r="AX2387" s="46">
        <v>0</v>
      </c>
      <c r="AY2387" s="46">
        <v>0</v>
      </c>
      <c r="AZ2387" s="46">
        <v>0</v>
      </c>
      <c r="BA2387" s="46">
        <v>0</v>
      </c>
      <c r="BB2387" s="46">
        <v>0</v>
      </c>
      <c r="BC2387" s="46">
        <v>0</v>
      </c>
      <c r="BD2387" s="46">
        <v>0</v>
      </c>
      <c r="BE2387" s="46">
        <v>0</v>
      </c>
      <c r="BF2387" s="46">
        <v>0</v>
      </c>
      <c r="BG2387" s="46" t="s">
        <v>48</v>
      </c>
      <c r="BH2387" s="46">
        <v>0</v>
      </c>
      <c r="BI2387" s="46">
        <v>0</v>
      </c>
      <c r="BJ2387" s="46">
        <v>0</v>
      </c>
      <c r="BK2387" s="46">
        <v>0</v>
      </c>
      <c r="BL2387" s="46">
        <v>0</v>
      </c>
      <c r="BM2387" s="46">
        <v>0</v>
      </c>
      <c r="BN2387" s="46">
        <v>0</v>
      </c>
    </row>
    <row r="2388" spans="1:66" x14ac:dyDescent="0.35">
      <c r="A2388" t="s">
        <v>7179</v>
      </c>
      <c r="B2388" t="s">
        <v>48</v>
      </c>
      <c r="C2388" t="s">
        <v>7182</v>
      </c>
      <c r="D2388" t="s">
        <v>518</v>
      </c>
      <c r="E2388" t="s">
        <v>7180</v>
      </c>
      <c r="F2388" t="s">
        <v>7178</v>
      </c>
      <c r="G2388" t="s">
        <v>47</v>
      </c>
      <c r="H2388">
        <v>0</v>
      </c>
      <c r="I2388" s="60" t="s">
        <v>51</v>
      </c>
      <c r="J2388" s="33" t="s">
        <v>45</v>
      </c>
      <c r="K2388" s="46">
        <v>0</v>
      </c>
      <c r="L2388">
        <v>38.1</v>
      </c>
      <c r="M2388" t="s">
        <v>48</v>
      </c>
      <c r="N2388" s="46">
        <v>0</v>
      </c>
      <c r="O2388" s="46">
        <v>0</v>
      </c>
      <c r="P2388" s="46">
        <v>0</v>
      </c>
      <c r="Q2388" t="s">
        <v>48</v>
      </c>
      <c r="R2388" t="s">
        <v>48</v>
      </c>
      <c r="S2388" t="s">
        <v>7181</v>
      </c>
      <c r="T2388" t="s">
        <v>48</v>
      </c>
      <c r="U2388" t="s">
        <v>7181</v>
      </c>
      <c r="V2388" s="47">
        <v>0</v>
      </c>
      <c r="W2388" t="s">
        <v>48</v>
      </c>
      <c r="X2388" t="s">
        <v>48</v>
      </c>
      <c r="Y2388" t="s">
        <v>48</v>
      </c>
      <c r="Z2388">
        <v>0</v>
      </c>
      <c r="AA2388" t="s">
        <v>48</v>
      </c>
      <c r="AB2388" t="s">
        <v>48</v>
      </c>
      <c r="AC2388" t="s">
        <v>49</v>
      </c>
      <c r="AD2388" t="s">
        <v>93</v>
      </c>
      <c r="AE2388" t="s">
        <v>4532</v>
      </c>
      <c r="AF2388" t="s">
        <v>48</v>
      </c>
      <c r="AG2388" t="s">
        <v>48</v>
      </c>
      <c r="AH2388" t="s">
        <v>48</v>
      </c>
      <c r="AI2388" t="s">
        <v>48</v>
      </c>
      <c r="AJ2388" t="s">
        <v>48</v>
      </c>
      <c r="AK2388" t="s">
        <v>48</v>
      </c>
      <c r="AL2388" t="s">
        <v>48</v>
      </c>
      <c r="AM2388" t="s">
        <v>48</v>
      </c>
      <c r="AN2388" t="s">
        <v>48</v>
      </c>
      <c r="AO2388" t="s">
        <v>48</v>
      </c>
      <c r="AP2388" s="46">
        <v>0</v>
      </c>
      <c r="AQ2388" s="46">
        <v>0</v>
      </c>
      <c r="AR2388" s="46">
        <v>0</v>
      </c>
      <c r="AS2388" s="46">
        <v>0</v>
      </c>
      <c r="AT2388" s="46">
        <v>0</v>
      </c>
      <c r="AU2388" s="46">
        <v>0</v>
      </c>
      <c r="AV2388" s="46">
        <v>0</v>
      </c>
      <c r="AW2388" s="46">
        <v>0</v>
      </c>
      <c r="AX2388" s="46">
        <v>0</v>
      </c>
      <c r="AY2388" s="46">
        <v>0</v>
      </c>
      <c r="AZ2388" s="46">
        <v>0</v>
      </c>
      <c r="BA2388" s="46">
        <v>0</v>
      </c>
      <c r="BB2388" s="46">
        <v>0</v>
      </c>
      <c r="BC2388" s="46">
        <v>0</v>
      </c>
      <c r="BD2388" s="46">
        <v>0</v>
      </c>
      <c r="BE2388" s="46">
        <v>0</v>
      </c>
      <c r="BF2388" s="46">
        <v>0</v>
      </c>
      <c r="BG2388" s="46" t="s">
        <v>48</v>
      </c>
      <c r="BH2388" s="46">
        <v>0</v>
      </c>
      <c r="BI2388" s="46">
        <v>0</v>
      </c>
      <c r="BJ2388" s="46">
        <v>0</v>
      </c>
      <c r="BK2388" s="46">
        <v>0</v>
      </c>
      <c r="BL2388" s="46">
        <v>0</v>
      </c>
      <c r="BM2388" s="46">
        <v>0</v>
      </c>
      <c r="BN2388" s="46">
        <v>0</v>
      </c>
    </row>
    <row r="2389" spans="1:66" x14ac:dyDescent="0.35">
      <c r="A2389" t="s">
        <v>7218</v>
      </c>
      <c r="B2389" t="s">
        <v>48</v>
      </c>
      <c r="C2389" t="s">
        <v>7221</v>
      </c>
      <c r="D2389" t="s">
        <v>684</v>
      </c>
      <c r="E2389" t="s">
        <v>7219</v>
      </c>
      <c r="F2389" t="s">
        <v>7214</v>
      </c>
      <c r="G2389" t="s">
        <v>47</v>
      </c>
      <c r="H2389">
        <v>0</v>
      </c>
      <c r="I2389" s="60" t="s">
        <v>51</v>
      </c>
      <c r="J2389" s="33" t="s">
        <v>45</v>
      </c>
      <c r="K2389" s="46">
        <v>0</v>
      </c>
      <c r="L2389">
        <v>2.9</v>
      </c>
      <c r="M2389" t="s">
        <v>48</v>
      </c>
      <c r="N2389" s="46">
        <v>0</v>
      </c>
      <c r="O2389" s="46">
        <v>0</v>
      </c>
      <c r="P2389" s="46">
        <v>0</v>
      </c>
      <c r="Q2389" t="s">
        <v>48</v>
      </c>
      <c r="R2389" t="s">
        <v>48</v>
      </c>
      <c r="S2389" t="s">
        <v>7220</v>
      </c>
      <c r="T2389" t="s">
        <v>48</v>
      </c>
      <c r="U2389" t="s">
        <v>7220</v>
      </c>
      <c r="V2389" s="47">
        <v>0</v>
      </c>
      <c r="W2389" t="s">
        <v>48</v>
      </c>
      <c r="X2389" t="s">
        <v>48</v>
      </c>
      <c r="Y2389" t="s">
        <v>48</v>
      </c>
      <c r="Z2389">
        <v>0</v>
      </c>
      <c r="AA2389" t="s">
        <v>48</v>
      </c>
      <c r="AB2389" t="s">
        <v>48</v>
      </c>
      <c r="AC2389" t="s">
        <v>49</v>
      </c>
      <c r="AD2389" t="s">
        <v>93</v>
      </c>
      <c r="AE2389" t="s">
        <v>4532</v>
      </c>
      <c r="AF2389" t="s">
        <v>48</v>
      </c>
      <c r="AG2389" t="s">
        <v>140</v>
      </c>
      <c r="AH2389" t="s">
        <v>48</v>
      </c>
      <c r="AI2389" t="s">
        <v>48</v>
      </c>
      <c r="AJ2389" t="s">
        <v>48</v>
      </c>
      <c r="AK2389" t="s">
        <v>48</v>
      </c>
      <c r="AL2389" t="s">
        <v>48</v>
      </c>
      <c r="AM2389" t="s">
        <v>48</v>
      </c>
      <c r="AN2389" t="s">
        <v>48</v>
      </c>
      <c r="AO2389" t="s">
        <v>48</v>
      </c>
      <c r="AP2389" s="46">
        <v>0</v>
      </c>
      <c r="AQ2389" s="46">
        <v>0</v>
      </c>
      <c r="AR2389" s="46">
        <v>0</v>
      </c>
      <c r="AS2389" s="46">
        <v>0</v>
      </c>
      <c r="AT2389" s="46">
        <v>0</v>
      </c>
      <c r="AU2389" s="46">
        <v>0</v>
      </c>
      <c r="AV2389" s="46">
        <v>0</v>
      </c>
      <c r="AW2389" s="46">
        <v>0</v>
      </c>
      <c r="AX2389" s="46">
        <v>0</v>
      </c>
      <c r="AY2389" s="46">
        <v>0</v>
      </c>
      <c r="AZ2389" s="46">
        <v>0</v>
      </c>
      <c r="BA2389" s="46">
        <v>0</v>
      </c>
      <c r="BB2389" s="46">
        <v>0</v>
      </c>
      <c r="BC2389" s="46">
        <v>0</v>
      </c>
      <c r="BD2389" s="46">
        <v>0</v>
      </c>
      <c r="BE2389" s="46">
        <v>0</v>
      </c>
      <c r="BF2389" s="46">
        <v>0</v>
      </c>
      <c r="BG2389" s="46" t="s">
        <v>48</v>
      </c>
      <c r="BH2389" s="46">
        <v>0</v>
      </c>
      <c r="BI2389" s="46">
        <v>0</v>
      </c>
      <c r="BJ2389" s="46">
        <v>0</v>
      </c>
      <c r="BK2389" s="46">
        <v>0</v>
      </c>
      <c r="BL2389" s="46">
        <v>0</v>
      </c>
      <c r="BM2389" s="46">
        <v>0</v>
      </c>
      <c r="BN2389" s="46">
        <v>0</v>
      </c>
    </row>
    <row r="2390" spans="1:66" x14ac:dyDescent="0.35">
      <c r="A2390" t="s">
        <v>7222</v>
      </c>
      <c r="B2390" s="44" t="s">
        <v>48</v>
      </c>
      <c r="C2390" t="s">
        <v>395</v>
      </c>
      <c r="D2390" t="s">
        <v>7224</v>
      </c>
      <c r="E2390" t="s">
        <v>7223</v>
      </c>
      <c r="F2390" t="s">
        <v>7214</v>
      </c>
      <c r="G2390" t="s">
        <v>47</v>
      </c>
      <c r="H2390">
        <v>0</v>
      </c>
      <c r="I2390" s="60" t="s">
        <v>51</v>
      </c>
      <c r="J2390" s="33" t="s">
        <v>45</v>
      </c>
      <c r="K2390" s="46">
        <v>0</v>
      </c>
      <c r="L2390">
        <v>27.1</v>
      </c>
      <c r="M2390" t="s">
        <v>48</v>
      </c>
      <c r="N2390" s="46">
        <v>0</v>
      </c>
      <c r="O2390" s="46">
        <v>0</v>
      </c>
      <c r="P2390" s="46">
        <v>0</v>
      </c>
      <c r="Q2390" t="s">
        <v>48</v>
      </c>
      <c r="R2390" t="s">
        <v>48</v>
      </c>
      <c r="S2390" t="s">
        <v>10407</v>
      </c>
      <c r="T2390" t="s">
        <v>10386</v>
      </c>
      <c r="U2390" t="s">
        <v>10407</v>
      </c>
      <c r="V2390" s="47">
        <v>0</v>
      </c>
      <c r="W2390" t="s">
        <v>48</v>
      </c>
      <c r="X2390" t="s">
        <v>48</v>
      </c>
      <c r="Y2390" t="s">
        <v>48</v>
      </c>
      <c r="Z2390">
        <v>0</v>
      </c>
      <c r="AA2390" t="s">
        <v>9796</v>
      </c>
      <c r="AB2390" t="s">
        <v>48</v>
      </c>
      <c r="AC2390" t="s">
        <v>49</v>
      </c>
      <c r="AD2390" t="s">
        <v>93</v>
      </c>
      <c r="AE2390" s="40" t="s">
        <v>11081</v>
      </c>
      <c r="AF2390" t="s">
        <v>11104</v>
      </c>
      <c r="AG2390" t="s">
        <v>48</v>
      </c>
      <c r="AH2390" t="s">
        <v>48</v>
      </c>
      <c r="AI2390" t="s">
        <v>48</v>
      </c>
      <c r="AJ2390" t="s">
        <v>48</v>
      </c>
      <c r="AK2390" t="s">
        <v>48</v>
      </c>
      <c r="AL2390" t="s">
        <v>48</v>
      </c>
      <c r="AM2390" t="s">
        <v>48</v>
      </c>
      <c r="AN2390" t="s">
        <v>48</v>
      </c>
      <c r="AO2390" t="s">
        <v>48</v>
      </c>
      <c r="AP2390" s="46">
        <v>0</v>
      </c>
      <c r="AQ2390" s="46">
        <v>0</v>
      </c>
      <c r="AR2390" s="46">
        <v>0</v>
      </c>
      <c r="AS2390" s="46">
        <v>0</v>
      </c>
      <c r="AT2390" s="46">
        <v>0</v>
      </c>
      <c r="AU2390" s="46">
        <v>0</v>
      </c>
      <c r="AV2390" s="46">
        <v>0</v>
      </c>
      <c r="AW2390" s="46">
        <v>0</v>
      </c>
      <c r="AX2390" s="46">
        <v>0</v>
      </c>
      <c r="AY2390" s="46">
        <v>0</v>
      </c>
      <c r="AZ2390" s="46">
        <v>0</v>
      </c>
      <c r="BA2390" s="46">
        <v>0</v>
      </c>
      <c r="BB2390" s="46">
        <v>0</v>
      </c>
      <c r="BC2390" s="46">
        <v>0</v>
      </c>
      <c r="BD2390" s="46">
        <v>0</v>
      </c>
      <c r="BE2390" s="46">
        <v>1</v>
      </c>
      <c r="BF2390" s="46">
        <v>0</v>
      </c>
      <c r="BG2390" s="46" t="s">
        <v>48</v>
      </c>
      <c r="BH2390" s="46">
        <v>0</v>
      </c>
      <c r="BI2390" s="46">
        <v>0</v>
      </c>
      <c r="BJ2390" s="46">
        <v>0</v>
      </c>
      <c r="BK2390" s="46">
        <v>0</v>
      </c>
      <c r="BL2390" s="46">
        <v>0</v>
      </c>
      <c r="BM2390" s="46">
        <v>0</v>
      </c>
      <c r="BN2390" s="46">
        <v>0</v>
      </c>
    </row>
    <row r="2391" spans="1:66" x14ac:dyDescent="0.35">
      <c r="A2391" t="s">
        <v>7213</v>
      </c>
      <c r="B2391" t="s">
        <v>48</v>
      </c>
      <c r="C2391" t="s">
        <v>7217</v>
      </c>
      <c r="D2391" t="s">
        <v>487</v>
      </c>
      <c r="E2391" t="s">
        <v>7215</v>
      </c>
      <c r="F2391" t="s">
        <v>7214</v>
      </c>
      <c r="G2391" t="s">
        <v>47</v>
      </c>
      <c r="H2391">
        <v>0</v>
      </c>
      <c r="I2391" s="60" t="s">
        <v>51</v>
      </c>
      <c r="J2391" s="33" t="s">
        <v>45</v>
      </c>
      <c r="K2391" s="46">
        <v>0</v>
      </c>
      <c r="L2391">
        <v>14.3</v>
      </c>
      <c r="M2391" t="s">
        <v>48</v>
      </c>
      <c r="N2391" s="46">
        <v>0</v>
      </c>
      <c r="O2391" s="46">
        <v>0</v>
      </c>
      <c r="P2391" s="46">
        <v>0</v>
      </c>
      <c r="Q2391" t="s">
        <v>48</v>
      </c>
      <c r="R2391" t="s">
        <v>48</v>
      </c>
      <c r="S2391" t="s">
        <v>7216</v>
      </c>
      <c r="T2391" t="s">
        <v>48</v>
      </c>
      <c r="U2391" t="s">
        <v>7216</v>
      </c>
      <c r="V2391" s="47">
        <v>1</v>
      </c>
      <c r="W2391" t="s">
        <v>48</v>
      </c>
      <c r="X2391" t="s">
        <v>48</v>
      </c>
      <c r="Y2391" t="s">
        <v>48</v>
      </c>
      <c r="Z2391">
        <v>0</v>
      </c>
      <c r="AA2391" t="s">
        <v>48</v>
      </c>
      <c r="AB2391" t="s">
        <v>48</v>
      </c>
      <c r="AC2391" t="s">
        <v>49</v>
      </c>
      <c r="AD2391" t="s">
        <v>93</v>
      </c>
      <c r="AE2391" t="s">
        <v>4532</v>
      </c>
      <c r="AF2391" t="s">
        <v>48</v>
      </c>
      <c r="AG2391" t="s">
        <v>48</v>
      </c>
      <c r="AH2391" t="s">
        <v>93</v>
      </c>
      <c r="AI2391" t="s">
        <v>48</v>
      </c>
      <c r="AJ2391" t="s">
        <v>48</v>
      </c>
      <c r="AK2391" t="s">
        <v>48</v>
      </c>
      <c r="AL2391" t="s">
        <v>48</v>
      </c>
      <c r="AM2391" t="s">
        <v>48</v>
      </c>
      <c r="AN2391" t="s">
        <v>48</v>
      </c>
      <c r="AO2391" t="s">
        <v>48</v>
      </c>
      <c r="AP2391" s="46">
        <v>0</v>
      </c>
      <c r="AQ2391" s="46">
        <v>0</v>
      </c>
      <c r="AR2391" s="46">
        <v>0</v>
      </c>
      <c r="AS2391" s="46">
        <v>0</v>
      </c>
      <c r="AT2391" s="46">
        <v>0</v>
      </c>
      <c r="AU2391" s="46">
        <v>0</v>
      </c>
      <c r="AV2391" s="46">
        <v>0</v>
      </c>
      <c r="AW2391" s="46">
        <v>0</v>
      </c>
      <c r="AX2391" s="46">
        <v>0</v>
      </c>
      <c r="AY2391" s="46">
        <v>0</v>
      </c>
      <c r="AZ2391" s="46">
        <v>0</v>
      </c>
      <c r="BA2391" s="46">
        <v>0</v>
      </c>
      <c r="BB2391" s="46">
        <v>0</v>
      </c>
      <c r="BC2391" s="46">
        <v>0</v>
      </c>
      <c r="BD2391" s="46">
        <v>0</v>
      </c>
      <c r="BE2391" s="46">
        <v>0</v>
      </c>
      <c r="BF2391" s="46">
        <v>0</v>
      </c>
      <c r="BG2391" s="46" t="s">
        <v>48</v>
      </c>
      <c r="BH2391" s="46">
        <v>0</v>
      </c>
      <c r="BI2391" s="46">
        <v>0</v>
      </c>
      <c r="BJ2391" s="46">
        <v>0</v>
      </c>
      <c r="BK2391" s="46">
        <v>0</v>
      </c>
      <c r="BL2391" s="46">
        <v>0</v>
      </c>
      <c r="BM2391" s="46">
        <v>0</v>
      </c>
      <c r="BN2391" s="46">
        <v>0</v>
      </c>
    </row>
    <row r="2392" spans="1:66" ht="15" x14ac:dyDescent="0.4">
      <c r="A2392" t="s">
        <v>8431</v>
      </c>
      <c r="B2392" t="s">
        <v>48</v>
      </c>
      <c r="C2392" t="s">
        <v>12342</v>
      </c>
      <c r="D2392" t="s">
        <v>261</v>
      </c>
      <c r="E2392" t="s">
        <v>8430</v>
      </c>
      <c r="F2392" t="s">
        <v>7235</v>
      </c>
      <c r="G2392" t="s">
        <v>47</v>
      </c>
      <c r="H2392">
        <v>0</v>
      </c>
      <c r="I2392" s="61" t="s">
        <v>11379</v>
      </c>
      <c r="J2392" s="33" t="s">
        <v>45</v>
      </c>
      <c r="K2392" s="46">
        <v>0</v>
      </c>
      <c r="L2392">
        <v>39.5</v>
      </c>
      <c r="M2392" t="s">
        <v>48</v>
      </c>
      <c r="N2392" s="46">
        <v>0</v>
      </c>
      <c r="O2392" s="46">
        <v>0</v>
      </c>
      <c r="P2392" s="46">
        <v>0</v>
      </c>
      <c r="Q2392" t="s">
        <v>48</v>
      </c>
      <c r="R2392" t="s">
        <v>48</v>
      </c>
      <c r="S2392" s="55" t="s">
        <v>11380</v>
      </c>
      <c r="T2392" t="s">
        <v>48</v>
      </c>
      <c r="U2392" t="s">
        <v>48</v>
      </c>
      <c r="V2392" s="47">
        <v>0</v>
      </c>
      <c r="W2392" t="s">
        <v>48</v>
      </c>
      <c r="X2392" t="s">
        <v>48</v>
      </c>
      <c r="Y2392" t="s">
        <v>48</v>
      </c>
      <c r="Z2392" t="s">
        <v>48</v>
      </c>
      <c r="AA2392" t="s">
        <v>48</v>
      </c>
      <c r="AB2392" t="s">
        <v>48</v>
      </c>
      <c r="AC2392" t="s">
        <v>49</v>
      </c>
      <c r="AD2392" t="s">
        <v>93</v>
      </c>
      <c r="AE2392" t="s">
        <v>4532</v>
      </c>
      <c r="AF2392" t="s">
        <v>48</v>
      </c>
      <c r="AG2392" t="s">
        <v>48</v>
      </c>
      <c r="AH2392" t="s">
        <v>48</v>
      </c>
      <c r="AI2392" t="s">
        <v>48</v>
      </c>
      <c r="AJ2392" t="s">
        <v>48</v>
      </c>
      <c r="AK2392" t="s">
        <v>48</v>
      </c>
      <c r="AL2392" t="s">
        <v>48</v>
      </c>
      <c r="AM2392" t="s">
        <v>48</v>
      </c>
      <c r="AN2392" t="s">
        <v>48</v>
      </c>
      <c r="AO2392" t="s">
        <v>48</v>
      </c>
      <c r="AP2392" s="46">
        <v>0</v>
      </c>
      <c r="AQ2392" s="46">
        <v>0</v>
      </c>
      <c r="AR2392" s="46">
        <v>0</v>
      </c>
      <c r="AS2392" s="46">
        <v>0</v>
      </c>
      <c r="AT2392" s="46">
        <v>0</v>
      </c>
      <c r="AU2392" s="46">
        <v>0</v>
      </c>
      <c r="AV2392" s="46">
        <v>0</v>
      </c>
      <c r="AW2392" s="46">
        <v>0</v>
      </c>
      <c r="AX2392" s="46">
        <v>0</v>
      </c>
      <c r="AY2392" s="46">
        <v>0</v>
      </c>
      <c r="AZ2392" s="46">
        <v>0</v>
      </c>
      <c r="BA2392" s="46">
        <v>0</v>
      </c>
      <c r="BB2392" s="46">
        <v>0</v>
      </c>
      <c r="BC2392" s="46">
        <v>0</v>
      </c>
      <c r="BD2392" s="46">
        <v>0</v>
      </c>
      <c r="BE2392" s="46">
        <v>0</v>
      </c>
      <c r="BF2392" s="46">
        <v>0</v>
      </c>
      <c r="BG2392" s="46" t="s">
        <v>48</v>
      </c>
      <c r="BH2392" s="46">
        <v>0</v>
      </c>
      <c r="BI2392" s="46">
        <v>0</v>
      </c>
      <c r="BJ2392" s="46">
        <v>0</v>
      </c>
      <c r="BK2392" s="46">
        <v>0</v>
      </c>
      <c r="BL2392" s="46">
        <v>0</v>
      </c>
      <c r="BM2392" s="46">
        <v>0</v>
      </c>
      <c r="BN2392" s="46">
        <v>0</v>
      </c>
    </row>
    <row r="2393" spans="1:66" x14ac:dyDescent="0.35">
      <c r="A2393" t="s">
        <v>7257</v>
      </c>
      <c r="B2393" t="s">
        <v>48</v>
      </c>
      <c r="C2393" t="s">
        <v>7260</v>
      </c>
      <c r="D2393" t="s">
        <v>347</v>
      </c>
      <c r="E2393" t="s">
        <v>7258</v>
      </c>
      <c r="F2393" t="s">
        <v>7250</v>
      </c>
      <c r="G2393" t="s">
        <v>47</v>
      </c>
      <c r="H2393">
        <v>0</v>
      </c>
      <c r="I2393" s="60" t="s">
        <v>125</v>
      </c>
      <c r="J2393" s="33" t="s">
        <v>45</v>
      </c>
      <c r="K2393" s="46">
        <v>0</v>
      </c>
      <c r="L2393">
        <v>15.4</v>
      </c>
      <c r="M2393" t="s">
        <v>48</v>
      </c>
      <c r="N2393" s="46">
        <v>0</v>
      </c>
      <c r="O2393" s="46">
        <v>0</v>
      </c>
      <c r="P2393" s="46">
        <v>0</v>
      </c>
      <c r="Q2393" t="s">
        <v>48</v>
      </c>
      <c r="R2393" t="s">
        <v>48</v>
      </c>
      <c r="S2393" t="s">
        <v>7259</v>
      </c>
      <c r="T2393" t="s">
        <v>48</v>
      </c>
      <c r="U2393" t="s">
        <v>7259</v>
      </c>
      <c r="V2393" s="47">
        <v>0</v>
      </c>
      <c r="W2393" t="s">
        <v>48</v>
      </c>
      <c r="X2393" t="s">
        <v>48</v>
      </c>
      <c r="Y2393" t="s">
        <v>48</v>
      </c>
      <c r="Z2393">
        <v>0</v>
      </c>
      <c r="AA2393" t="s">
        <v>10953</v>
      </c>
      <c r="AB2393" t="s">
        <v>48</v>
      </c>
      <c r="AC2393" t="s">
        <v>49</v>
      </c>
      <c r="AD2393" t="s">
        <v>93</v>
      </c>
      <c r="AE2393" t="s">
        <v>4532</v>
      </c>
      <c r="AF2393" t="s">
        <v>48</v>
      </c>
      <c r="AG2393" t="s">
        <v>48</v>
      </c>
      <c r="AH2393" t="s">
        <v>48</v>
      </c>
      <c r="AI2393" t="s">
        <v>48</v>
      </c>
      <c r="AJ2393" t="s">
        <v>48</v>
      </c>
      <c r="AK2393" t="s">
        <v>48</v>
      </c>
      <c r="AL2393" t="s">
        <v>48</v>
      </c>
      <c r="AM2393" t="s">
        <v>48</v>
      </c>
      <c r="AN2393" t="s">
        <v>48</v>
      </c>
      <c r="AO2393" t="s">
        <v>48</v>
      </c>
      <c r="AP2393" s="46">
        <v>0</v>
      </c>
      <c r="AQ2393" s="46">
        <v>0</v>
      </c>
      <c r="AR2393" s="46">
        <v>0</v>
      </c>
      <c r="AS2393" s="46">
        <v>0</v>
      </c>
      <c r="AT2393" s="46">
        <v>0</v>
      </c>
      <c r="AU2393" s="46">
        <v>0</v>
      </c>
      <c r="AV2393" s="46">
        <v>0</v>
      </c>
      <c r="AW2393" s="46">
        <v>0</v>
      </c>
      <c r="AX2393" s="46">
        <v>0</v>
      </c>
      <c r="AY2393" s="46">
        <v>0</v>
      </c>
      <c r="AZ2393" s="46">
        <v>0</v>
      </c>
      <c r="BA2393" s="46">
        <v>0</v>
      </c>
      <c r="BB2393" s="46">
        <v>0</v>
      </c>
      <c r="BC2393" s="46">
        <v>0</v>
      </c>
      <c r="BD2393" s="46">
        <v>0</v>
      </c>
      <c r="BE2393" s="46">
        <v>0</v>
      </c>
      <c r="BF2393" s="46">
        <v>0</v>
      </c>
      <c r="BG2393" s="46" t="s">
        <v>48</v>
      </c>
      <c r="BH2393" s="46">
        <v>0</v>
      </c>
      <c r="BI2393" s="46">
        <v>0</v>
      </c>
      <c r="BJ2393" s="46">
        <v>0</v>
      </c>
      <c r="BK2393" s="46">
        <v>0</v>
      </c>
      <c r="BL2393" s="46">
        <v>0</v>
      </c>
      <c r="BM2393" s="46">
        <v>0</v>
      </c>
      <c r="BN2393" s="46">
        <v>0</v>
      </c>
    </row>
    <row r="2394" spans="1:66" x14ac:dyDescent="0.35">
      <c r="A2394" t="s">
        <v>7271</v>
      </c>
      <c r="B2394" t="s">
        <v>48</v>
      </c>
      <c r="C2394" t="s">
        <v>7275</v>
      </c>
      <c r="D2394" t="s">
        <v>7274</v>
      </c>
      <c r="E2394" t="s">
        <v>7272</v>
      </c>
      <c r="F2394" t="s">
        <v>7266</v>
      </c>
      <c r="G2394" t="s">
        <v>47</v>
      </c>
      <c r="H2394">
        <v>0</v>
      </c>
      <c r="I2394" s="60" t="s">
        <v>78</v>
      </c>
      <c r="J2394" s="33" t="s">
        <v>45</v>
      </c>
      <c r="K2394" s="46">
        <v>0</v>
      </c>
      <c r="L2394">
        <v>17.8</v>
      </c>
      <c r="M2394" t="s">
        <v>48</v>
      </c>
      <c r="N2394" s="46">
        <v>0</v>
      </c>
      <c r="O2394" s="46">
        <v>0</v>
      </c>
      <c r="P2394" s="46">
        <v>0</v>
      </c>
      <c r="Q2394" t="s">
        <v>48</v>
      </c>
      <c r="R2394" t="s">
        <v>48</v>
      </c>
      <c r="S2394" t="s">
        <v>7273</v>
      </c>
      <c r="T2394" t="s">
        <v>48</v>
      </c>
      <c r="U2394" t="s">
        <v>7273</v>
      </c>
      <c r="V2394" s="47">
        <v>0</v>
      </c>
      <c r="W2394" t="s">
        <v>48</v>
      </c>
      <c r="X2394" t="s">
        <v>48</v>
      </c>
      <c r="Y2394" t="s">
        <v>48</v>
      </c>
      <c r="Z2394">
        <v>0</v>
      </c>
      <c r="AA2394" t="s">
        <v>48</v>
      </c>
      <c r="AB2394" t="s">
        <v>48</v>
      </c>
      <c r="AC2394" t="s">
        <v>49</v>
      </c>
      <c r="AD2394" t="s">
        <v>93</v>
      </c>
      <c r="AE2394" t="s">
        <v>4532</v>
      </c>
      <c r="AF2394" t="s">
        <v>48</v>
      </c>
      <c r="AG2394" t="s">
        <v>48</v>
      </c>
      <c r="AH2394" t="s">
        <v>48</v>
      </c>
      <c r="AI2394" t="s">
        <v>48</v>
      </c>
      <c r="AJ2394" t="s">
        <v>48</v>
      </c>
      <c r="AK2394" t="s">
        <v>48</v>
      </c>
      <c r="AL2394" t="s">
        <v>48</v>
      </c>
      <c r="AM2394" t="s">
        <v>48</v>
      </c>
      <c r="AN2394" t="s">
        <v>48</v>
      </c>
      <c r="AO2394" t="s">
        <v>48</v>
      </c>
      <c r="AP2394" s="46">
        <v>0</v>
      </c>
      <c r="AQ2394" s="46">
        <v>0</v>
      </c>
      <c r="AR2394" s="46">
        <v>0</v>
      </c>
      <c r="AS2394" s="46">
        <v>0</v>
      </c>
      <c r="AT2394" s="46">
        <v>0</v>
      </c>
      <c r="AU2394" s="46">
        <v>0</v>
      </c>
      <c r="AV2394" s="46">
        <v>0</v>
      </c>
      <c r="AW2394" s="46">
        <v>0</v>
      </c>
      <c r="AX2394" s="46">
        <v>0</v>
      </c>
      <c r="AY2394" s="46">
        <v>0</v>
      </c>
      <c r="AZ2394" s="46">
        <v>0</v>
      </c>
      <c r="BA2394" s="46">
        <v>0</v>
      </c>
      <c r="BB2394" s="46">
        <v>0</v>
      </c>
      <c r="BC2394" s="46">
        <v>0</v>
      </c>
      <c r="BD2394" s="46">
        <v>0</v>
      </c>
      <c r="BE2394" s="46">
        <v>0</v>
      </c>
      <c r="BF2394" s="46">
        <v>0</v>
      </c>
      <c r="BG2394" s="46" t="s">
        <v>48</v>
      </c>
      <c r="BH2394" s="46">
        <v>0</v>
      </c>
      <c r="BI2394" s="46">
        <v>0</v>
      </c>
      <c r="BJ2394" s="46">
        <v>0</v>
      </c>
      <c r="BK2394" s="46">
        <v>0</v>
      </c>
      <c r="BL2394" s="46">
        <v>0</v>
      </c>
      <c r="BM2394" s="46">
        <v>0</v>
      </c>
      <c r="BN2394" s="46">
        <v>0</v>
      </c>
    </row>
    <row r="2395" spans="1:66" x14ac:dyDescent="0.35">
      <c r="A2395" t="s">
        <v>7287</v>
      </c>
      <c r="B2395" t="s">
        <v>48</v>
      </c>
      <c r="C2395" t="s">
        <v>7291</v>
      </c>
      <c r="D2395" t="s">
        <v>7290</v>
      </c>
      <c r="E2395" t="s">
        <v>7288</v>
      </c>
      <c r="F2395" t="s">
        <v>7279</v>
      </c>
      <c r="G2395" t="s">
        <v>47</v>
      </c>
      <c r="H2395">
        <v>0</v>
      </c>
      <c r="I2395" s="60" t="s">
        <v>78</v>
      </c>
      <c r="J2395" s="33" t="s">
        <v>45</v>
      </c>
      <c r="K2395" s="46">
        <v>0</v>
      </c>
      <c r="L2395">
        <v>20.100000000000001</v>
      </c>
      <c r="M2395" t="s">
        <v>48</v>
      </c>
      <c r="N2395" s="46">
        <v>0</v>
      </c>
      <c r="O2395" s="46">
        <v>0</v>
      </c>
      <c r="P2395" s="46">
        <v>0</v>
      </c>
      <c r="Q2395" t="s">
        <v>48</v>
      </c>
      <c r="R2395" t="s">
        <v>48</v>
      </c>
      <c r="S2395" t="s">
        <v>7289</v>
      </c>
      <c r="T2395" t="s">
        <v>48</v>
      </c>
      <c r="U2395" t="s">
        <v>7289</v>
      </c>
      <c r="V2395" s="47">
        <v>0</v>
      </c>
      <c r="W2395" t="s">
        <v>48</v>
      </c>
      <c r="X2395" t="s">
        <v>48</v>
      </c>
      <c r="Y2395" t="s">
        <v>48</v>
      </c>
      <c r="Z2395">
        <v>0</v>
      </c>
      <c r="AA2395" t="s">
        <v>48</v>
      </c>
      <c r="AB2395" t="s">
        <v>48</v>
      </c>
      <c r="AC2395" t="s">
        <v>49</v>
      </c>
      <c r="AD2395" t="s">
        <v>93</v>
      </c>
      <c r="AE2395" t="s">
        <v>4532</v>
      </c>
      <c r="AF2395" t="s">
        <v>48</v>
      </c>
      <c r="AG2395" t="s">
        <v>48</v>
      </c>
      <c r="AH2395" t="s">
        <v>48</v>
      </c>
      <c r="AI2395" t="s">
        <v>48</v>
      </c>
      <c r="AJ2395" t="s">
        <v>48</v>
      </c>
      <c r="AK2395" t="s">
        <v>48</v>
      </c>
      <c r="AL2395" t="s">
        <v>48</v>
      </c>
      <c r="AM2395" t="s">
        <v>48</v>
      </c>
      <c r="AN2395" t="s">
        <v>48</v>
      </c>
      <c r="AO2395" t="s">
        <v>48</v>
      </c>
      <c r="AP2395" s="46">
        <v>0</v>
      </c>
      <c r="AQ2395" s="46">
        <v>0</v>
      </c>
      <c r="AR2395" s="46">
        <v>0</v>
      </c>
      <c r="AS2395" s="46">
        <v>0</v>
      </c>
      <c r="AT2395" s="46">
        <v>0</v>
      </c>
      <c r="AU2395" s="46">
        <v>0</v>
      </c>
      <c r="AV2395" s="46">
        <v>0</v>
      </c>
      <c r="AW2395" s="46">
        <v>0</v>
      </c>
      <c r="AX2395" s="46">
        <v>0</v>
      </c>
      <c r="AY2395" s="46">
        <v>0</v>
      </c>
      <c r="AZ2395" s="46">
        <v>0</v>
      </c>
      <c r="BA2395" s="46">
        <v>0</v>
      </c>
      <c r="BB2395" s="46">
        <v>0</v>
      </c>
      <c r="BC2395" s="46">
        <v>0</v>
      </c>
      <c r="BD2395" s="46">
        <v>0</v>
      </c>
      <c r="BE2395" s="46">
        <v>0</v>
      </c>
      <c r="BF2395" s="46">
        <v>0</v>
      </c>
      <c r="BG2395" s="46" t="s">
        <v>48</v>
      </c>
      <c r="BH2395" s="46">
        <v>0</v>
      </c>
      <c r="BI2395" s="46">
        <v>0</v>
      </c>
      <c r="BJ2395" s="46">
        <v>0</v>
      </c>
      <c r="BK2395" s="46">
        <v>0</v>
      </c>
      <c r="BL2395" s="46">
        <v>0</v>
      </c>
      <c r="BM2395" s="46">
        <v>0</v>
      </c>
      <c r="BN2395" s="46">
        <v>0</v>
      </c>
    </row>
    <row r="2396" spans="1:66" x14ac:dyDescent="0.35">
      <c r="A2396" t="s">
        <v>7301</v>
      </c>
      <c r="B2396" t="s">
        <v>48</v>
      </c>
      <c r="C2396" t="s">
        <v>7303</v>
      </c>
      <c r="D2396" t="s">
        <v>1207</v>
      </c>
      <c r="E2396" t="s">
        <v>7302</v>
      </c>
      <c r="F2396" t="s">
        <v>7279</v>
      </c>
      <c r="G2396" t="s">
        <v>47</v>
      </c>
      <c r="H2396">
        <v>0</v>
      </c>
      <c r="I2396" s="60" t="s">
        <v>125</v>
      </c>
      <c r="J2396" s="33" t="s">
        <v>45</v>
      </c>
      <c r="K2396" s="46">
        <v>0</v>
      </c>
      <c r="L2396">
        <v>17</v>
      </c>
      <c r="M2396" t="s">
        <v>48</v>
      </c>
      <c r="N2396" s="46">
        <v>0</v>
      </c>
      <c r="O2396" s="46">
        <v>0</v>
      </c>
      <c r="P2396" s="46">
        <v>0</v>
      </c>
      <c r="Q2396" t="s">
        <v>48</v>
      </c>
      <c r="R2396" t="s">
        <v>48</v>
      </c>
      <c r="S2396" t="s">
        <v>48</v>
      </c>
      <c r="T2396" t="s">
        <v>48</v>
      </c>
      <c r="U2396" t="s">
        <v>48</v>
      </c>
      <c r="V2396" s="47">
        <v>0</v>
      </c>
      <c r="W2396" t="s">
        <v>48</v>
      </c>
      <c r="X2396" t="s">
        <v>48</v>
      </c>
      <c r="Y2396" t="s">
        <v>48</v>
      </c>
      <c r="Z2396">
        <v>0</v>
      </c>
      <c r="AA2396" t="s">
        <v>48</v>
      </c>
      <c r="AB2396" t="s">
        <v>48</v>
      </c>
      <c r="AC2396" t="s">
        <v>63</v>
      </c>
      <c r="AD2396" t="s">
        <v>93</v>
      </c>
      <c r="AE2396" t="s">
        <v>4532</v>
      </c>
      <c r="AF2396" t="s">
        <v>48</v>
      </c>
      <c r="AG2396" t="s">
        <v>48</v>
      </c>
      <c r="AH2396" t="s">
        <v>48</v>
      </c>
      <c r="AI2396" t="s">
        <v>48</v>
      </c>
      <c r="AJ2396" t="s">
        <v>48</v>
      </c>
      <c r="AK2396" t="s">
        <v>48</v>
      </c>
      <c r="AL2396" t="s">
        <v>48</v>
      </c>
      <c r="AM2396" t="s">
        <v>48</v>
      </c>
      <c r="AN2396" t="s">
        <v>48</v>
      </c>
      <c r="AO2396" t="s">
        <v>48</v>
      </c>
      <c r="AP2396" s="46">
        <v>0</v>
      </c>
      <c r="AQ2396" s="46">
        <v>0</v>
      </c>
      <c r="AR2396" s="46">
        <v>0</v>
      </c>
      <c r="AS2396" s="46">
        <v>0</v>
      </c>
      <c r="AT2396" s="46">
        <v>0</v>
      </c>
      <c r="AU2396" s="46">
        <v>0</v>
      </c>
      <c r="AV2396" s="46">
        <v>0</v>
      </c>
      <c r="AW2396" s="46">
        <v>0</v>
      </c>
      <c r="AX2396" s="46">
        <v>0</v>
      </c>
      <c r="AY2396" s="46">
        <v>0</v>
      </c>
      <c r="AZ2396" s="46">
        <v>0</v>
      </c>
      <c r="BA2396" s="46">
        <v>0</v>
      </c>
      <c r="BB2396" s="46">
        <v>0</v>
      </c>
      <c r="BC2396" s="46">
        <v>0</v>
      </c>
      <c r="BD2396" s="46">
        <v>0</v>
      </c>
      <c r="BE2396" s="46">
        <v>0</v>
      </c>
      <c r="BF2396" s="46">
        <v>0</v>
      </c>
      <c r="BG2396" s="46" t="s">
        <v>48</v>
      </c>
      <c r="BH2396" s="46">
        <v>0</v>
      </c>
      <c r="BI2396" s="46">
        <v>0</v>
      </c>
      <c r="BJ2396" s="46">
        <v>0</v>
      </c>
      <c r="BK2396" s="46">
        <v>0</v>
      </c>
      <c r="BL2396" s="46">
        <v>0</v>
      </c>
      <c r="BM2396" s="46">
        <v>0</v>
      </c>
      <c r="BN2396" s="46">
        <v>0</v>
      </c>
    </row>
    <row r="2397" spans="1:66" x14ac:dyDescent="0.35">
      <c r="A2397" t="s">
        <v>7292</v>
      </c>
      <c r="B2397" t="s">
        <v>48</v>
      </c>
      <c r="C2397" t="s">
        <v>4144</v>
      </c>
      <c r="D2397" t="s">
        <v>268</v>
      </c>
      <c r="E2397" t="s">
        <v>7293</v>
      </c>
      <c r="F2397" t="s">
        <v>7279</v>
      </c>
      <c r="G2397" t="s">
        <v>47</v>
      </c>
      <c r="H2397">
        <v>0</v>
      </c>
      <c r="I2397" s="60" t="s">
        <v>125</v>
      </c>
      <c r="J2397" s="33" t="s">
        <v>45</v>
      </c>
      <c r="K2397" s="46">
        <v>0</v>
      </c>
      <c r="L2397">
        <v>6.1</v>
      </c>
      <c r="M2397" t="s">
        <v>48</v>
      </c>
      <c r="N2397" s="46">
        <v>0</v>
      </c>
      <c r="O2397" s="46">
        <v>0</v>
      </c>
      <c r="P2397" s="46">
        <v>0</v>
      </c>
      <c r="Q2397" t="s">
        <v>48</v>
      </c>
      <c r="R2397" t="s">
        <v>48</v>
      </c>
      <c r="S2397" t="s">
        <v>7294</v>
      </c>
      <c r="T2397" t="s">
        <v>48</v>
      </c>
      <c r="U2397" t="s">
        <v>7294</v>
      </c>
      <c r="V2397" s="47">
        <v>0</v>
      </c>
      <c r="W2397" t="s">
        <v>48</v>
      </c>
      <c r="X2397" t="s">
        <v>48</v>
      </c>
      <c r="Y2397" t="s">
        <v>48</v>
      </c>
      <c r="Z2397">
        <v>0</v>
      </c>
      <c r="AA2397" t="s">
        <v>48</v>
      </c>
      <c r="AB2397" t="s">
        <v>48</v>
      </c>
      <c r="AC2397" t="s">
        <v>49</v>
      </c>
      <c r="AD2397" t="s">
        <v>93</v>
      </c>
      <c r="AE2397" t="s">
        <v>4532</v>
      </c>
      <c r="AF2397" t="s">
        <v>48</v>
      </c>
      <c r="AG2397" t="s">
        <v>48</v>
      </c>
      <c r="AH2397" t="s">
        <v>48</v>
      </c>
      <c r="AI2397" t="s">
        <v>48</v>
      </c>
      <c r="AJ2397" t="s">
        <v>48</v>
      </c>
      <c r="AK2397" t="s">
        <v>48</v>
      </c>
      <c r="AL2397" t="s">
        <v>48</v>
      </c>
      <c r="AM2397" t="s">
        <v>48</v>
      </c>
      <c r="AN2397" t="s">
        <v>48</v>
      </c>
      <c r="AO2397" t="s">
        <v>48</v>
      </c>
      <c r="AP2397" s="46">
        <v>0</v>
      </c>
      <c r="AQ2397" s="46">
        <v>0</v>
      </c>
      <c r="AR2397" s="46">
        <v>0</v>
      </c>
      <c r="AS2397" s="46">
        <v>0</v>
      </c>
      <c r="AT2397" s="46">
        <v>0</v>
      </c>
      <c r="AU2397" s="46">
        <v>0</v>
      </c>
      <c r="AV2397" s="46">
        <v>0</v>
      </c>
      <c r="AW2397" s="46">
        <v>0</v>
      </c>
      <c r="AX2397" s="46">
        <v>0</v>
      </c>
      <c r="AY2397" s="46">
        <v>0</v>
      </c>
      <c r="AZ2397" s="46">
        <v>0</v>
      </c>
      <c r="BA2397" s="46">
        <v>0</v>
      </c>
      <c r="BB2397" s="46">
        <v>0</v>
      </c>
      <c r="BC2397" s="46">
        <v>0</v>
      </c>
      <c r="BD2397" s="46">
        <v>0</v>
      </c>
      <c r="BE2397" s="46">
        <v>0</v>
      </c>
      <c r="BF2397" s="46">
        <v>0</v>
      </c>
      <c r="BG2397" s="46" t="s">
        <v>48</v>
      </c>
      <c r="BH2397" s="46">
        <v>0</v>
      </c>
      <c r="BI2397" s="46">
        <v>0</v>
      </c>
      <c r="BJ2397" s="46">
        <v>0</v>
      </c>
      <c r="BK2397" s="46">
        <v>0</v>
      </c>
      <c r="BL2397" s="46">
        <v>0</v>
      </c>
      <c r="BM2397" s="46">
        <v>0</v>
      </c>
      <c r="BN2397" s="46">
        <v>0</v>
      </c>
    </row>
    <row r="2398" spans="1:66" x14ac:dyDescent="0.35">
      <c r="A2398" t="s">
        <v>7280</v>
      </c>
      <c r="B2398" t="s">
        <v>48</v>
      </c>
      <c r="C2398" t="s">
        <v>375</v>
      </c>
      <c r="D2398" t="s">
        <v>1272</v>
      </c>
      <c r="E2398" t="s">
        <v>7281</v>
      </c>
      <c r="F2398" t="s">
        <v>7279</v>
      </c>
      <c r="G2398" t="s">
        <v>47</v>
      </c>
      <c r="H2398">
        <v>0</v>
      </c>
      <c r="I2398" s="60" t="s">
        <v>716</v>
      </c>
      <c r="J2398" s="33" t="s">
        <v>45</v>
      </c>
      <c r="K2398" s="46">
        <v>0</v>
      </c>
      <c r="L2398">
        <v>23.8</v>
      </c>
      <c r="M2398" t="s">
        <v>48</v>
      </c>
      <c r="N2398" s="46">
        <v>0</v>
      </c>
      <c r="O2398" s="46">
        <v>0</v>
      </c>
      <c r="P2398" s="46">
        <v>0</v>
      </c>
      <c r="Q2398" t="s">
        <v>48</v>
      </c>
      <c r="R2398" t="s">
        <v>48</v>
      </c>
      <c r="S2398" t="s">
        <v>7282</v>
      </c>
      <c r="T2398" t="s">
        <v>48</v>
      </c>
      <c r="U2398" t="s">
        <v>7282</v>
      </c>
      <c r="V2398" s="47">
        <v>0</v>
      </c>
      <c r="W2398" t="s">
        <v>48</v>
      </c>
      <c r="X2398" t="s">
        <v>48</v>
      </c>
      <c r="Y2398" t="s">
        <v>48</v>
      </c>
      <c r="Z2398">
        <v>0</v>
      </c>
      <c r="AA2398" t="s">
        <v>48</v>
      </c>
      <c r="AB2398" t="s">
        <v>48</v>
      </c>
      <c r="AC2398" t="s">
        <v>49</v>
      </c>
      <c r="AD2398" t="s">
        <v>93</v>
      </c>
      <c r="AE2398" t="s">
        <v>4532</v>
      </c>
      <c r="AF2398" t="s">
        <v>48</v>
      </c>
      <c r="AG2398" t="s">
        <v>48</v>
      </c>
      <c r="AH2398" t="s">
        <v>48</v>
      </c>
      <c r="AI2398" t="s">
        <v>48</v>
      </c>
      <c r="AJ2398" t="s">
        <v>48</v>
      </c>
      <c r="AK2398" t="s">
        <v>48</v>
      </c>
      <c r="AL2398" t="s">
        <v>48</v>
      </c>
      <c r="AM2398" t="s">
        <v>48</v>
      </c>
      <c r="AN2398" t="s">
        <v>48</v>
      </c>
      <c r="AO2398" t="s">
        <v>48</v>
      </c>
      <c r="AP2398" s="46">
        <v>0</v>
      </c>
      <c r="AQ2398" s="46">
        <v>0</v>
      </c>
      <c r="AR2398" s="46">
        <v>0</v>
      </c>
      <c r="AS2398" s="46">
        <v>0</v>
      </c>
      <c r="AT2398" s="46">
        <v>0</v>
      </c>
      <c r="AU2398" s="46">
        <v>0</v>
      </c>
      <c r="AV2398" s="46">
        <v>0</v>
      </c>
      <c r="AW2398" s="46">
        <v>0</v>
      </c>
      <c r="AX2398" s="46">
        <v>0</v>
      </c>
      <c r="AY2398" s="46">
        <v>0</v>
      </c>
      <c r="AZ2398" s="46">
        <v>0</v>
      </c>
      <c r="BA2398" s="46">
        <v>0</v>
      </c>
      <c r="BB2398" s="46">
        <v>0</v>
      </c>
      <c r="BC2398" s="46">
        <v>0</v>
      </c>
      <c r="BD2398" s="46">
        <v>0</v>
      </c>
      <c r="BE2398" s="46">
        <v>0</v>
      </c>
      <c r="BF2398" s="46">
        <v>0</v>
      </c>
      <c r="BG2398" s="46" t="s">
        <v>48</v>
      </c>
      <c r="BH2398" s="46">
        <v>0</v>
      </c>
      <c r="BI2398" s="46">
        <v>0</v>
      </c>
      <c r="BJ2398" s="46">
        <v>0</v>
      </c>
      <c r="BK2398" s="46">
        <v>0</v>
      </c>
      <c r="BL2398" s="46">
        <v>0</v>
      </c>
      <c r="BM2398" s="46">
        <v>0</v>
      </c>
      <c r="BN2398" s="46">
        <v>0</v>
      </c>
    </row>
    <row r="2399" spans="1:66" x14ac:dyDescent="0.35">
      <c r="A2399" t="s">
        <v>7283</v>
      </c>
      <c r="B2399" t="s">
        <v>48</v>
      </c>
      <c r="C2399" t="s">
        <v>7286</v>
      </c>
      <c r="D2399" t="s">
        <v>221</v>
      </c>
      <c r="E2399" t="s">
        <v>7284</v>
      </c>
      <c r="F2399" t="s">
        <v>7279</v>
      </c>
      <c r="G2399" t="s">
        <v>47</v>
      </c>
      <c r="H2399">
        <v>0</v>
      </c>
      <c r="I2399" s="60" t="s">
        <v>51</v>
      </c>
      <c r="J2399" s="33" t="s">
        <v>45</v>
      </c>
      <c r="K2399" s="46">
        <v>0</v>
      </c>
      <c r="L2399">
        <v>4.2</v>
      </c>
      <c r="M2399" t="s">
        <v>48</v>
      </c>
      <c r="N2399" s="46">
        <v>0</v>
      </c>
      <c r="O2399" s="46">
        <v>0</v>
      </c>
      <c r="P2399" s="46">
        <v>0</v>
      </c>
      <c r="Q2399" t="s">
        <v>48</v>
      </c>
      <c r="R2399" t="s">
        <v>48</v>
      </c>
      <c r="S2399" t="s">
        <v>7285</v>
      </c>
      <c r="T2399" t="s">
        <v>48</v>
      </c>
      <c r="U2399" t="s">
        <v>7285</v>
      </c>
      <c r="V2399" s="47">
        <v>0</v>
      </c>
      <c r="W2399" t="s">
        <v>48</v>
      </c>
      <c r="X2399" t="s">
        <v>48</v>
      </c>
      <c r="Y2399" t="s">
        <v>48</v>
      </c>
      <c r="Z2399">
        <v>0</v>
      </c>
      <c r="AA2399" t="s">
        <v>48</v>
      </c>
      <c r="AB2399" t="s">
        <v>48</v>
      </c>
      <c r="AC2399" t="s">
        <v>49</v>
      </c>
      <c r="AD2399" t="s">
        <v>93</v>
      </c>
      <c r="AE2399" t="s">
        <v>4532</v>
      </c>
      <c r="AF2399" t="s">
        <v>48</v>
      </c>
      <c r="AG2399" t="s">
        <v>48</v>
      </c>
      <c r="AH2399" t="s">
        <v>48</v>
      </c>
      <c r="AI2399" t="s">
        <v>48</v>
      </c>
      <c r="AJ2399" t="s">
        <v>48</v>
      </c>
      <c r="AK2399" t="s">
        <v>48</v>
      </c>
      <c r="AL2399" t="s">
        <v>48</v>
      </c>
      <c r="AM2399" t="s">
        <v>48</v>
      </c>
      <c r="AN2399" t="s">
        <v>48</v>
      </c>
      <c r="AO2399" t="s">
        <v>48</v>
      </c>
      <c r="AP2399" s="46">
        <v>0</v>
      </c>
      <c r="AQ2399" s="46">
        <v>0</v>
      </c>
      <c r="AR2399" s="46">
        <v>0</v>
      </c>
      <c r="AS2399" s="46">
        <v>0</v>
      </c>
      <c r="AT2399" s="46">
        <v>0</v>
      </c>
      <c r="AU2399" s="46">
        <v>0</v>
      </c>
      <c r="AV2399" s="46">
        <v>0</v>
      </c>
      <c r="AW2399" s="46">
        <v>0</v>
      </c>
      <c r="AX2399" s="46">
        <v>0</v>
      </c>
      <c r="AY2399" s="46">
        <v>0</v>
      </c>
      <c r="AZ2399" s="46">
        <v>0</v>
      </c>
      <c r="BA2399" s="46">
        <v>0</v>
      </c>
      <c r="BB2399" s="46">
        <v>0</v>
      </c>
      <c r="BC2399" s="46">
        <v>0</v>
      </c>
      <c r="BD2399" s="46">
        <v>0</v>
      </c>
      <c r="BE2399" s="46">
        <v>0</v>
      </c>
      <c r="BF2399" s="46">
        <v>0</v>
      </c>
      <c r="BG2399" s="46" t="s">
        <v>48</v>
      </c>
      <c r="BH2399" s="46">
        <v>0</v>
      </c>
      <c r="BI2399" s="46">
        <v>0</v>
      </c>
      <c r="BJ2399" s="46">
        <v>0</v>
      </c>
      <c r="BK2399" s="46">
        <v>0</v>
      </c>
      <c r="BL2399" s="46">
        <v>0</v>
      </c>
      <c r="BM2399" s="46">
        <v>0</v>
      </c>
      <c r="BN2399" s="46">
        <v>0</v>
      </c>
    </row>
    <row r="2400" spans="1:66" x14ac:dyDescent="0.35">
      <c r="A2400" t="s">
        <v>7314</v>
      </c>
      <c r="B2400" t="s">
        <v>48</v>
      </c>
      <c r="C2400" t="s">
        <v>1292</v>
      </c>
      <c r="D2400" t="s">
        <v>7317</v>
      </c>
      <c r="E2400" t="s">
        <v>7315</v>
      </c>
      <c r="F2400" t="s">
        <v>7309</v>
      </c>
      <c r="G2400" t="s">
        <v>47</v>
      </c>
      <c r="H2400">
        <v>0</v>
      </c>
      <c r="I2400" s="60" t="s">
        <v>716</v>
      </c>
      <c r="J2400" s="33" t="s">
        <v>45</v>
      </c>
      <c r="K2400" s="46">
        <v>0</v>
      </c>
      <c r="L2400">
        <v>2.4</v>
      </c>
      <c r="M2400" t="s">
        <v>48</v>
      </c>
      <c r="N2400" s="46">
        <v>0</v>
      </c>
      <c r="O2400" s="46">
        <v>0</v>
      </c>
      <c r="P2400" s="46">
        <v>0</v>
      </c>
      <c r="Q2400" t="s">
        <v>48</v>
      </c>
      <c r="R2400" t="s">
        <v>48</v>
      </c>
      <c r="S2400" t="s">
        <v>7316</v>
      </c>
      <c r="T2400" t="s">
        <v>48</v>
      </c>
      <c r="U2400" t="s">
        <v>7316</v>
      </c>
      <c r="V2400" s="47">
        <v>0</v>
      </c>
      <c r="W2400" t="s">
        <v>48</v>
      </c>
      <c r="X2400" t="s">
        <v>48</v>
      </c>
      <c r="Y2400" t="s">
        <v>48</v>
      </c>
      <c r="Z2400">
        <v>0</v>
      </c>
      <c r="AA2400" t="s">
        <v>10953</v>
      </c>
      <c r="AB2400" t="s">
        <v>48</v>
      </c>
      <c r="AC2400" t="s">
        <v>49</v>
      </c>
      <c r="AD2400" t="s">
        <v>93</v>
      </c>
      <c r="AE2400" t="s">
        <v>977</v>
      </c>
      <c r="AF2400" t="s">
        <v>11067</v>
      </c>
      <c r="AG2400" t="s">
        <v>48</v>
      </c>
      <c r="AH2400" t="s">
        <v>48</v>
      </c>
      <c r="AI2400" t="s">
        <v>48</v>
      </c>
      <c r="AJ2400" t="s">
        <v>48</v>
      </c>
      <c r="AK2400" t="s">
        <v>48</v>
      </c>
      <c r="AL2400" t="s">
        <v>48</v>
      </c>
      <c r="AM2400" t="s">
        <v>48</v>
      </c>
      <c r="AN2400" t="s">
        <v>48</v>
      </c>
      <c r="AO2400" t="s">
        <v>48</v>
      </c>
      <c r="AP2400" s="46">
        <v>0</v>
      </c>
      <c r="AQ2400" s="46">
        <v>0</v>
      </c>
      <c r="AR2400" s="46">
        <v>0</v>
      </c>
      <c r="AS2400" s="46">
        <v>0</v>
      </c>
      <c r="AT2400" s="46">
        <v>0</v>
      </c>
      <c r="AU2400" s="46">
        <v>0</v>
      </c>
      <c r="AV2400" s="46">
        <v>0</v>
      </c>
      <c r="AW2400" s="46">
        <v>0</v>
      </c>
      <c r="AX2400" s="46">
        <v>0</v>
      </c>
      <c r="AY2400" s="46">
        <v>0</v>
      </c>
      <c r="AZ2400" s="46">
        <v>0</v>
      </c>
      <c r="BA2400" s="46">
        <v>0</v>
      </c>
      <c r="BB2400" s="46">
        <v>0</v>
      </c>
      <c r="BC2400" s="46">
        <v>0</v>
      </c>
      <c r="BD2400" s="46">
        <v>0</v>
      </c>
      <c r="BE2400" s="46">
        <v>0</v>
      </c>
      <c r="BF2400" s="46">
        <v>0</v>
      </c>
      <c r="BG2400" s="46" t="s">
        <v>48</v>
      </c>
      <c r="BH2400" s="46">
        <v>0</v>
      </c>
      <c r="BI2400" s="46">
        <v>0</v>
      </c>
      <c r="BJ2400" s="46">
        <v>0</v>
      </c>
      <c r="BK2400" s="46">
        <v>0</v>
      </c>
      <c r="BL2400" s="46">
        <v>0</v>
      </c>
      <c r="BM2400" s="46">
        <v>0</v>
      </c>
      <c r="BN2400" s="46">
        <v>0</v>
      </c>
    </row>
    <row r="2401" spans="1:66" x14ac:dyDescent="0.35">
      <c r="A2401" t="s">
        <v>11039</v>
      </c>
      <c r="B2401" t="s">
        <v>48</v>
      </c>
      <c r="C2401" t="s">
        <v>5384</v>
      </c>
      <c r="D2401" t="s">
        <v>273</v>
      </c>
      <c r="E2401" t="s">
        <v>11040</v>
      </c>
      <c r="F2401" t="s">
        <v>7309</v>
      </c>
      <c r="G2401" t="s">
        <v>47</v>
      </c>
      <c r="H2401">
        <v>0</v>
      </c>
      <c r="I2401" s="60" t="s">
        <v>11552</v>
      </c>
      <c r="J2401" s="33" t="s">
        <v>45</v>
      </c>
      <c r="K2401" s="46">
        <v>0</v>
      </c>
      <c r="L2401">
        <v>15.9</v>
      </c>
      <c r="M2401" t="s">
        <v>48</v>
      </c>
      <c r="N2401" s="46">
        <v>0</v>
      </c>
      <c r="O2401" s="46">
        <v>0</v>
      </c>
      <c r="P2401" s="46">
        <v>0</v>
      </c>
      <c r="Q2401" t="s">
        <v>48</v>
      </c>
      <c r="R2401" t="s">
        <v>48</v>
      </c>
      <c r="S2401" t="s">
        <v>11543</v>
      </c>
      <c r="T2401" t="s">
        <v>48</v>
      </c>
      <c r="U2401" t="s">
        <v>11041</v>
      </c>
      <c r="V2401" s="47">
        <v>0</v>
      </c>
      <c r="W2401" t="s">
        <v>48</v>
      </c>
      <c r="X2401" t="s">
        <v>48</v>
      </c>
      <c r="Y2401" t="s">
        <v>48</v>
      </c>
      <c r="Z2401" t="s">
        <v>48</v>
      </c>
      <c r="AA2401" t="s">
        <v>48</v>
      </c>
      <c r="AB2401" t="s">
        <v>48</v>
      </c>
      <c r="AC2401" t="s">
        <v>49</v>
      </c>
      <c r="AD2401" t="s">
        <v>93</v>
      </c>
      <c r="AE2401" t="s">
        <v>4532</v>
      </c>
      <c r="AF2401" t="s">
        <v>48</v>
      </c>
      <c r="AG2401" t="s">
        <v>48</v>
      </c>
      <c r="AH2401" t="s">
        <v>48</v>
      </c>
      <c r="AI2401" t="s">
        <v>48</v>
      </c>
      <c r="AJ2401" t="s">
        <v>48</v>
      </c>
      <c r="AK2401" t="s">
        <v>48</v>
      </c>
      <c r="AL2401" t="s">
        <v>48</v>
      </c>
      <c r="AM2401" t="s">
        <v>48</v>
      </c>
      <c r="AN2401" t="s">
        <v>48</v>
      </c>
      <c r="AO2401" t="s">
        <v>48</v>
      </c>
      <c r="AP2401" s="46">
        <v>0</v>
      </c>
      <c r="AQ2401" s="46">
        <v>0</v>
      </c>
      <c r="AR2401" s="46">
        <v>0</v>
      </c>
      <c r="AS2401" s="46">
        <v>0</v>
      </c>
      <c r="AT2401" s="46">
        <v>0</v>
      </c>
      <c r="AU2401" s="46">
        <v>0</v>
      </c>
      <c r="AV2401" s="46">
        <v>0</v>
      </c>
      <c r="AW2401" s="46">
        <v>0</v>
      </c>
      <c r="AX2401" s="46">
        <v>0</v>
      </c>
      <c r="AY2401" s="46">
        <v>0</v>
      </c>
      <c r="AZ2401" s="46">
        <v>0</v>
      </c>
      <c r="BA2401" s="46">
        <v>0</v>
      </c>
      <c r="BB2401" s="46">
        <v>0</v>
      </c>
      <c r="BC2401" s="46">
        <v>0</v>
      </c>
      <c r="BD2401" s="46">
        <v>0</v>
      </c>
      <c r="BE2401" s="46">
        <v>0</v>
      </c>
      <c r="BF2401" s="46">
        <v>0</v>
      </c>
      <c r="BG2401" s="46" t="s">
        <v>48</v>
      </c>
      <c r="BH2401" s="46">
        <v>0</v>
      </c>
      <c r="BI2401" s="46">
        <v>0</v>
      </c>
      <c r="BJ2401" s="46">
        <v>0</v>
      </c>
      <c r="BK2401" s="46">
        <v>0</v>
      </c>
      <c r="BL2401" s="46">
        <v>0</v>
      </c>
      <c r="BM2401" s="46">
        <v>0</v>
      </c>
      <c r="BN2401" s="46">
        <v>0</v>
      </c>
    </row>
    <row r="2402" spans="1:66" x14ac:dyDescent="0.35">
      <c r="A2402" t="s">
        <v>11042</v>
      </c>
      <c r="B2402" t="s">
        <v>48</v>
      </c>
      <c r="C2402" t="s">
        <v>12343</v>
      </c>
      <c r="D2402" t="s">
        <v>12344</v>
      </c>
      <c r="E2402" t="s">
        <v>11043</v>
      </c>
      <c r="F2402" t="s">
        <v>7309</v>
      </c>
      <c r="G2402" t="s">
        <v>47</v>
      </c>
      <c r="H2402">
        <v>0</v>
      </c>
      <c r="I2402" s="60" t="s">
        <v>11552</v>
      </c>
      <c r="J2402" s="33" t="s">
        <v>45</v>
      </c>
      <c r="K2402" s="46">
        <v>0</v>
      </c>
      <c r="L2402">
        <v>19.100000000000001</v>
      </c>
      <c r="M2402" t="s">
        <v>48</v>
      </c>
      <c r="N2402" s="46">
        <v>0</v>
      </c>
      <c r="O2402" s="46">
        <v>0</v>
      </c>
      <c r="P2402" s="46">
        <v>0</v>
      </c>
      <c r="Q2402" t="s">
        <v>48</v>
      </c>
      <c r="R2402" t="s">
        <v>48</v>
      </c>
      <c r="S2402" t="s">
        <v>11544</v>
      </c>
      <c r="T2402" t="s">
        <v>48</v>
      </c>
      <c r="U2402" t="s">
        <v>11044</v>
      </c>
      <c r="V2402" s="47">
        <v>0</v>
      </c>
      <c r="W2402" t="s">
        <v>48</v>
      </c>
      <c r="X2402" t="s">
        <v>48</v>
      </c>
      <c r="Y2402" t="s">
        <v>48</v>
      </c>
      <c r="Z2402" t="s">
        <v>48</v>
      </c>
      <c r="AA2402" t="s">
        <v>48</v>
      </c>
      <c r="AB2402" t="s">
        <v>48</v>
      </c>
      <c r="AC2402" t="s">
        <v>63</v>
      </c>
      <c r="AD2402" t="s">
        <v>93</v>
      </c>
      <c r="AE2402" t="s">
        <v>4532</v>
      </c>
      <c r="AF2402" t="s">
        <v>48</v>
      </c>
      <c r="AG2402" t="s">
        <v>48</v>
      </c>
      <c r="AH2402" t="s">
        <v>48</v>
      </c>
      <c r="AI2402" t="s">
        <v>48</v>
      </c>
      <c r="AJ2402" t="s">
        <v>48</v>
      </c>
      <c r="AK2402" t="s">
        <v>48</v>
      </c>
      <c r="AL2402" t="s">
        <v>48</v>
      </c>
      <c r="AM2402" t="s">
        <v>48</v>
      </c>
      <c r="AN2402" t="s">
        <v>48</v>
      </c>
      <c r="AO2402" t="s">
        <v>48</v>
      </c>
      <c r="AP2402" s="46">
        <v>0</v>
      </c>
      <c r="AQ2402" s="46">
        <v>0</v>
      </c>
      <c r="AR2402" s="46">
        <v>0</v>
      </c>
      <c r="AS2402" s="46">
        <v>0</v>
      </c>
      <c r="AT2402" s="46">
        <v>0</v>
      </c>
      <c r="AU2402" s="46">
        <v>0</v>
      </c>
      <c r="AV2402" s="46">
        <v>0</v>
      </c>
      <c r="AW2402" s="46">
        <v>0</v>
      </c>
      <c r="AX2402" s="46">
        <v>0</v>
      </c>
      <c r="AY2402" s="46">
        <v>0</v>
      </c>
      <c r="AZ2402" s="46">
        <v>0</v>
      </c>
      <c r="BA2402" s="46">
        <v>0</v>
      </c>
      <c r="BB2402" s="46">
        <v>0</v>
      </c>
      <c r="BC2402" s="46">
        <v>0</v>
      </c>
      <c r="BD2402" s="46">
        <v>0</v>
      </c>
      <c r="BE2402" s="46">
        <v>0</v>
      </c>
      <c r="BF2402" s="46">
        <v>0</v>
      </c>
      <c r="BG2402" s="46" t="s">
        <v>48</v>
      </c>
      <c r="BH2402" s="46">
        <v>0</v>
      </c>
      <c r="BI2402" s="46">
        <v>0</v>
      </c>
      <c r="BJ2402" s="46">
        <v>0</v>
      </c>
      <c r="BK2402" s="46">
        <v>0</v>
      </c>
      <c r="BL2402" s="46">
        <v>0</v>
      </c>
      <c r="BM2402" s="46">
        <v>0</v>
      </c>
      <c r="BN2402" s="46">
        <v>0</v>
      </c>
    </row>
    <row r="2403" spans="1:66" x14ac:dyDescent="0.35">
      <c r="A2403" t="s">
        <v>7323</v>
      </c>
      <c r="B2403" s="44" t="s">
        <v>48</v>
      </c>
      <c r="C2403" t="s">
        <v>7326</v>
      </c>
      <c r="D2403" t="s">
        <v>3027</v>
      </c>
      <c r="E2403" t="s">
        <v>7324</v>
      </c>
      <c r="F2403" t="s">
        <v>7309</v>
      </c>
      <c r="G2403" t="s">
        <v>74</v>
      </c>
      <c r="H2403">
        <v>0</v>
      </c>
      <c r="I2403" s="60" t="s">
        <v>51</v>
      </c>
      <c r="J2403" s="33" t="s">
        <v>45</v>
      </c>
      <c r="K2403" s="46">
        <v>0</v>
      </c>
      <c r="L2403">
        <v>22.6</v>
      </c>
      <c r="M2403" t="s">
        <v>48</v>
      </c>
      <c r="N2403" s="46">
        <v>0</v>
      </c>
      <c r="O2403" s="46">
        <v>0</v>
      </c>
      <c r="P2403" s="46">
        <v>0</v>
      </c>
      <c r="Q2403" t="s">
        <v>48</v>
      </c>
      <c r="R2403" t="s">
        <v>48</v>
      </c>
      <c r="S2403" t="s">
        <v>7325</v>
      </c>
      <c r="T2403" t="s">
        <v>48</v>
      </c>
      <c r="U2403" t="s">
        <v>7325</v>
      </c>
      <c r="V2403" s="47">
        <v>0</v>
      </c>
      <c r="W2403" t="s">
        <v>48</v>
      </c>
      <c r="X2403" t="s">
        <v>48</v>
      </c>
      <c r="Y2403" t="s">
        <v>48</v>
      </c>
      <c r="Z2403">
        <v>0</v>
      </c>
      <c r="AA2403" t="s">
        <v>48</v>
      </c>
      <c r="AB2403" t="s">
        <v>48</v>
      </c>
      <c r="AC2403" t="s">
        <v>63</v>
      </c>
      <c r="AD2403" t="s">
        <v>951</v>
      </c>
      <c r="AE2403" s="40" t="s">
        <v>11051</v>
      </c>
      <c r="AF2403" t="s">
        <v>11105</v>
      </c>
      <c r="AG2403" t="s">
        <v>48</v>
      </c>
      <c r="AH2403" t="s">
        <v>48</v>
      </c>
      <c r="AI2403" t="s">
        <v>48</v>
      </c>
      <c r="AJ2403" t="s">
        <v>48</v>
      </c>
      <c r="AK2403" t="s">
        <v>48</v>
      </c>
      <c r="AL2403" t="s">
        <v>48</v>
      </c>
      <c r="AM2403" t="s">
        <v>48</v>
      </c>
      <c r="AN2403" t="s">
        <v>48</v>
      </c>
      <c r="AO2403" t="s">
        <v>48</v>
      </c>
      <c r="AP2403" s="46">
        <v>0</v>
      </c>
      <c r="AQ2403" s="46">
        <v>0</v>
      </c>
      <c r="AR2403" s="46">
        <v>0</v>
      </c>
      <c r="AS2403" s="46">
        <v>0</v>
      </c>
      <c r="AT2403" s="46">
        <v>0</v>
      </c>
      <c r="AU2403" s="46">
        <v>0</v>
      </c>
      <c r="AV2403" s="46">
        <v>0</v>
      </c>
      <c r="AW2403" s="46">
        <v>0</v>
      </c>
      <c r="AX2403" s="46">
        <v>0</v>
      </c>
      <c r="AY2403" s="46">
        <v>0</v>
      </c>
      <c r="AZ2403" s="46">
        <v>0</v>
      </c>
      <c r="BA2403" s="46">
        <v>0</v>
      </c>
      <c r="BB2403" s="46">
        <v>0</v>
      </c>
      <c r="BC2403" s="46">
        <v>0</v>
      </c>
      <c r="BD2403" s="46">
        <v>0</v>
      </c>
      <c r="BE2403" s="46">
        <v>0</v>
      </c>
      <c r="BF2403" s="46">
        <v>0</v>
      </c>
      <c r="BG2403" s="46" t="s">
        <v>48</v>
      </c>
      <c r="BH2403" s="46">
        <v>0</v>
      </c>
      <c r="BI2403" s="46">
        <v>0</v>
      </c>
      <c r="BJ2403" s="46">
        <v>0</v>
      </c>
      <c r="BK2403" s="46">
        <v>0</v>
      </c>
      <c r="BL2403" s="46">
        <v>0</v>
      </c>
      <c r="BM2403" s="46">
        <v>0</v>
      </c>
      <c r="BN2403" s="46">
        <v>0</v>
      </c>
    </row>
    <row r="2404" spans="1:66" x14ac:dyDescent="0.35">
      <c r="A2404" t="s">
        <v>7356</v>
      </c>
      <c r="B2404" t="s">
        <v>48</v>
      </c>
      <c r="C2404" t="s">
        <v>120</v>
      </c>
      <c r="D2404" t="s">
        <v>7359</v>
      </c>
      <c r="E2404" t="s">
        <v>7357</v>
      </c>
      <c r="F2404" t="s">
        <v>7333</v>
      </c>
      <c r="G2404" t="s">
        <v>47</v>
      </c>
      <c r="H2404">
        <v>0</v>
      </c>
      <c r="I2404" s="60" t="s">
        <v>51</v>
      </c>
      <c r="J2404" s="33" t="s">
        <v>45</v>
      </c>
      <c r="K2404" s="46">
        <v>0</v>
      </c>
      <c r="L2404">
        <v>47.2</v>
      </c>
      <c r="M2404" t="s">
        <v>48</v>
      </c>
      <c r="N2404" s="46">
        <v>0</v>
      </c>
      <c r="O2404" s="46">
        <v>0</v>
      </c>
      <c r="P2404" s="46">
        <v>0</v>
      </c>
      <c r="Q2404" t="s">
        <v>48</v>
      </c>
      <c r="R2404" t="s">
        <v>48</v>
      </c>
      <c r="S2404" t="s">
        <v>7358</v>
      </c>
      <c r="T2404" t="s">
        <v>48</v>
      </c>
      <c r="U2404" t="s">
        <v>7358</v>
      </c>
      <c r="V2404" s="47">
        <v>0</v>
      </c>
      <c r="W2404" t="s">
        <v>48</v>
      </c>
      <c r="X2404" t="s">
        <v>48</v>
      </c>
      <c r="Y2404" t="s">
        <v>48</v>
      </c>
      <c r="Z2404">
        <v>0</v>
      </c>
      <c r="AA2404" t="s">
        <v>48</v>
      </c>
      <c r="AB2404" t="s">
        <v>48</v>
      </c>
      <c r="AC2404" t="s">
        <v>63</v>
      </c>
      <c r="AD2404" t="s">
        <v>93</v>
      </c>
      <c r="AE2404" t="s">
        <v>4532</v>
      </c>
      <c r="AF2404" t="s">
        <v>48</v>
      </c>
      <c r="AG2404" t="s">
        <v>48</v>
      </c>
      <c r="AH2404" t="s">
        <v>48</v>
      </c>
      <c r="AI2404" t="s">
        <v>48</v>
      </c>
      <c r="AJ2404" t="s">
        <v>48</v>
      </c>
      <c r="AK2404" t="s">
        <v>48</v>
      </c>
      <c r="AL2404" t="s">
        <v>48</v>
      </c>
      <c r="AM2404" t="s">
        <v>48</v>
      </c>
      <c r="AN2404" t="s">
        <v>48</v>
      </c>
      <c r="AO2404" t="s">
        <v>48</v>
      </c>
      <c r="AP2404" s="46">
        <v>0</v>
      </c>
      <c r="AQ2404" s="46">
        <v>0</v>
      </c>
      <c r="AR2404" s="46">
        <v>0</v>
      </c>
      <c r="AS2404" s="46">
        <v>0</v>
      </c>
      <c r="AT2404" s="46">
        <v>0</v>
      </c>
      <c r="AU2404" s="46">
        <v>0</v>
      </c>
      <c r="AV2404" s="46">
        <v>0</v>
      </c>
      <c r="AW2404" s="46">
        <v>0</v>
      </c>
      <c r="AX2404" s="46">
        <v>0</v>
      </c>
      <c r="AY2404" s="46">
        <v>0</v>
      </c>
      <c r="AZ2404" s="46">
        <v>0</v>
      </c>
      <c r="BA2404" s="46">
        <v>0</v>
      </c>
      <c r="BB2404" s="46">
        <v>0</v>
      </c>
      <c r="BC2404" s="46">
        <v>0</v>
      </c>
      <c r="BD2404" s="46">
        <v>0</v>
      </c>
      <c r="BE2404" s="46">
        <v>0</v>
      </c>
      <c r="BF2404" s="46">
        <v>0</v>
      </c>
      <c r="BG2404" s="46" t="s">
        <v>48</v>
      </c>
      <c r="BH2404" s="46">
        <v>0</v>
      </c>
      <c r="BI2404" s="46">
        <v>0</v>
      </c>
      <c r="BJ2404" s="46">
        <v>0</v>
      </c>
      <c r="BK2404" s="46">
        <v>0</v>
      </c>
      <c r="BL2404" s="46">
        <v>0</v>
      </c>
      <c r="BM2404" s="46">
        <v>0</v>
      </c>
      <c r="BN2404" s="46">
        <v>0</v>
      </c>
    </row>
    <row r="2405" spans="1:66" x14ac:dyDescent="0.35">
      <c r="A2405" t="s">
        <v>10955</v>
      </c>
      <c r="B2405" t="s">
        <v>48</v>
      </c>
      <c r="C2405" t="s">
        <v>2987</v>
      </c>
      <c r="D2405" t="s">
        <v>1033</v>
      </c>
      <c r="E2405" t="s">
        <v>10956</v>
      </c>
      <c r="F2405" t="s">
        <v>7384</v>
      </c>
      <c r="G2405" t="s">
        <v>47</v>
      </c>
      <c r="H2405">
        <v>0</v>
      </c>
      <c r="I2405" s="60" t="s">
        <v>177</v>
      </c>
      <c r="J2405" s="33" t="s">
        <v>45</v>
      </c>
      <c r="K2405" s="46">
        <v>0</v>
      </c>
      <c r="L2405">
        <v>2.6</v>
      </c>
      <c r="M2405" t="s">
        <v>48</v>
      </c>
      <c r="N2405" s="46">
        <v>0</v>
      </c>
      <c r="O2405" s="46">
        <v>0</v>
      </c>
      <c r="P2405" s="46">
        <v>0</v>
      </c>
      <c r="Q2405" t="s">
        <v>48</v>
      </c>
      <c r="R2405" t="s">
        <v>48</v>
      </c>
      <c r="S2405" t="s">
        <v>48</v>
      </c>
      <c r="T2405" t="s">
        <v>48</v>
      </c>
      <c r="U2405" t="s">
        <v>48</v>
      </c>
      <c r="V2405" s="47">
        <v>0</v>
      </c>
      <c r="W2405" t="s">
        <v>48</v>
      </c>
      <c r="X2405" t="s">
        <v>48</v>
      </c>
      <c r="Y2405" t="s">
        <v>48</v>
      </c>
      <c r="Z2405">
        <v>0</v>
      </c>
      <c r="AA2405" t="s">
        <v>10954</v>
      </c>
      <c r="AB2405" t="s">
        <v>48</v>
      </c>
      <c r="AC2405" t="s">
        <v>63</v>
      </c>
      <c r="AD2405" t="s">
        <v>93</v>
      </c>
      <c r="AE2405" t="s">
        <v>4532</v>
      </c>
      <c r="AF2405" t="s">
        <v>48</v>
      </c>
      <c r="AG2405" t="s">
        <v>48</v>
      </c>
      <c r="AH2405" t="s">
        <v>48</v>
      </c>
      <c r="AI2405" t="s">
        <v>48</v>
      </c>
      <c r="AJ2405" t="s">
        <v>48</v>
      </c>
      <c r="AK2405" t="s">
        <v>48</v>
      </c>
      <c r="AL2405" t="s">
        <v>48</v>
      </c>
      <c r="AM2405" t="s">
        <v>48</v>
      </c>
      <c r="AN2405" t="s">
        <v>48</v>
      </c>
      <c r="AO2405" t="s">
        <v>48</v>
      </c>
      <c r="AP2405" s="46">
        <v>0</v>
      </c>
      <c r="AQ2405" s="46">
        <v>0</v>
      </c>
      <c r="AR2405" s="46">
        <v>0</v>
      </c>
      <c r="AS2405" s="46">
        <v>0</v>
      </c>
      <c r="AT2405" s="46">
        <v>0</v>
      </c>
      <c r="AU2405" s="46">
        <v>0</v>
      </c>
      <c r="AV2405" s="46">
        <v>0</v>
      </c>
      <c r="AW2405" s="46">
        <v>0</v>
      </c>
      <c r="AX2405" s="46">
        <v>0</v>
      </c>
      <c r="AY2405" s="46">
        <v>0</v>
      </c>
      <c r="AZ2405" s="46">
        <v>0</v>
      </c>
      <c r="BA2405" s="46">
        <v>0</v>
      </c>
      <c r="BB2405" s="46">
        <v>0</v>
      </c>
      <c r="BC2405" s="46">
        <v>0</v>
      </c>
      <c r="BD2405" s="46">
        <v>0</v>
      </c>
      <c r="BE2405" s="46">
        <v>0</v>
      </c>
      <c r="BF2405" s="46">
        <v>0</v>
      </c>
      <c r="BG2405" s="46" t="s">
        <v>48</v>
      </c>
      <c r="BH2405" s="46">
        <v>0</v>
      </c>
      <c r="BI2405" s="46">
        <v>0</v>
      </c>
      <c r="BJ2405" s="46">
        <v>0</v>
      </c>
      <c r="BK2405" s="46">
        <v>0</v>
      </c>
      <c r="BL2405" s="46">
        <v>0</v>
      </c>
      <c r="BM2405" s="46">
        <v>0</v>
      </c>
      <c r="BN2405" s="46">
        <v>0</v>
      </c>
    </row>
    <row r="2406" spans="1:66" x14ac:dyDescent="0.35">
      <c r="A2406" t="s">
        <v>7389</v>
      </c>
      <c r="B2406" t="s">
        <v>48</v>
      </c>
      <c r="C2406" t="s">
        <v>7392</v>
      </c>
      <c r="D2406" t="s">
        <v>1402</v>
      </c>
      <c r="E2406" t="s">
        <v>7390</v>
      </c>
      <c r="F2406" t="s">
        <v>7384</v>
      </c>
      <c r="G2406" t="s">
        <v>47</v>
      </c>
      <c r="H2406">
        <v>0</v>
      </c>
      <c r="I2406" s="60" t="s">
        <v>125</v>
      </c>
      <c r="J2406" s="33" t="s">
        <v>45</v>
      </c>
      <c r="K2406" s="46">
        <v>0</v>
      </c>
      <c r="L2406">
        <v>7.7</v>
      </c>
      <c r="M2406" t="s">
        <v>48</v>
      </c>
      <c r="N2406" s="46">
        <v>0</v>
      </c>
      <c r="O2406" s="46">
        <v>0</v>
      </c>
      <c r="P2406" s="46">
        <v>0</v>
      </c>
      <c r="Q2406" t="s">
        <v>48</v>
      </c>
      <c r="R2406" t="s">
        <v>48</v>
      </c>
      <c r="S2406" t="s">
        <v>7391</v>
      </c>
      <c r="T2406" t="s">
        <v>48</v>
      </c>
      <c r="U2406" t="s">
        <v>7391</v>
      </c>
      <c r="V2406" s="47">
        <v>0</v>
      </c>
      <c r="W2406" t="s">
        <v>11317</v>
      </c>
      <c r="X2406" t="s">
        <v>48</v>
      </c>
      <c r="Y2406" t="s">
        <v>48</v>
      </c>
      <c r="Z2406">
        <v>0</v>
      </c>
      <c r="AA2406" t="s">
        <v>10954</v>
      </c>
      <c r="AB2406" t="s">
        <v>48</v>
      </c>
      <c r="AC2406" t="s">
        <v>49</v>
      </c>
      <c r="AD2406" t="s">
        <v>93</v>
      </c>
      <c r="AE2406" t="s">
        <v>4532</v>
      </c>
      <c r="AF2406" t="s">
        <v>48</v>
      </c>
      <c r="AG2406" t="s">
        <v>48</v>
      </c>
      <c r="AH2406" t="s">
        <v>48</v>
      </c>
      <c r="AI2406" t="s">
        <v>48</v>
      </c>
      <c r="AJ2406" t="s">
        <v>48</v>
      </c>
      <c r="AK2406" t="s">
        <v>48</v>
      </c>
      <c r="AL2406" t="s">
        <v>48</v>
      </c>
      <c r="AM2406" t="s">
        <v>48</v>
      </c>
      <c r="AN2406" t="s">
        <v>48</v>
      </c>
      <c r="AO2406" t="s">
        <v>48</v>
      </c>
      <c r="AP2406" s="46">
        <v>0</v>
      </c>
      <c r="AQ2406" s="46">
        <v>0</v>
      </c>
      <c r="AR2406" s="46">
        <v>0</v>
      </c>
      <c r="AS2406" s="46">
        <v>0</v>
      </c>
      <c r="AT2406" s="46">
        <v>0</v>
      </c>
      <c r="AU2406" s="46">
        <v>0</v>
      </c>
      <c r="AV2406" s="46">
        <v>0</v>
      </c>
      <c r="AW2406" s="46">
        <v>0</v>
      </c>
      <c r="AX2406" s="46">
        <v>0</v>
      </c>
      <c r="AY2406" s="46">
        <v>0</v>
      </c>
      <c r="AZ2406" s="46">
        <v>0</v>
      </c>
      <c r="BA2406" s="46">
        <v>0</v>
      </c>
      <c r="BB2406" s="46">
        <v>0</v>
      </c>
      <c r="BC2406" s="46">
        <v>0</v>
      </c>
      <c r="BD2406" s="46">
        <v>0</v>
      </c>
      <c r="BE2406" s="46">
        <v>0</v>
      </c>
      <c r="BF2406" s="46">
        <v>0</v>
      </c>
      <c r="BG2406" s="46" t="s">
        <v>48</v>
      </c>
      <c r="BH2406" s="46">
        <v>0</v>
      </c>
      <c r="BI2406" s="46">
        <v>0</v>
      </c>
      <c r="BJ2406" s="46">
        <v>0</v>
      </c>
      <c r="BK2406" s="46">
        <v>0</v>
      </c>
      <c r="BL2406" s="46">
        <v>0</v>
      </c>
      <c r="BM2406" s="46">
        <v>0</v>
      </c>
      <c r="BN2406" s="46">
        <v>0</v>
      </c>
    </row>
    <row r="2407" spans="1:66" x14ac:dyDescent="0.35">
      <c r="A2407" t="s">
        <v>7383</v>
      </c>
      <c r="B2407" t="s">
        <v>48</v>
      </c>
      <c r="C2407" t="s">
        <v>7388</v>
      </c>
      <c r="D2407" t="s">
        <v>7387</v>
      </c>
      <c r="E2407" t="s">
        <v>7385</v>
      </c>
      <c r="F2407" t="s">
        <v>7384</v>
      </c>
      <c r="G2407" t="s">
        <v>47</v>
      </c>
      <c r="H2407">
        <v>0</v>
      </c>
      <c r="I2407" s="60" t="s">
        <v>125</v>
      </c>
      <c r="J2407" s="33" t="s">
        <v>45</v>
      </c>
      <c r="K2407" s="46">
        <v>0</v>
      </c>
      <c r="L2407">
        <v>31</v>
      </c>
      <c r="M2407" t="s">
        <v>48</v>
      </c>
      <c r="N2407" s="46">
        <v>0</v>
      </c>
      <c r="O2407" s="46">
        <v>0</v>
      </c>
      <c r="P2407" s="46">
        <v>0</v>
      </c>
      <c r="Q2407" t="s">
        <v>48</v>
      </c>
      <c r="R2407" t="s">
        <v>48</v>
      </c>
      <c r="S2407" t="s">
        <v>7386</v>
      </c>
      <c r="T2407" t="s">
        <v>48</v>
      </c>
      <c r="U2407" t="s">
        <v>7386</v>
      </c>
      <c r="V2407" s="47">
        <v>0</v>
      </c>
      <c r="W2407" t="s">
        <v>48</v>
      </c>
      <c r="X2407" t="s">
        <v>48</v>
      </c>
      <c r="Y2407" t="s">
        <v>48</v>
      </c>
      <c r="Z2407">
        <v>0</v>
      </c>
      <c r="AA2407" t="s">
        <v>10954</v>
      </c>
      <c r="AB2407" t="s">
        <v>48</v>
      </c>
      <c r="AC2407" t="s">
        <v>63</v>
      </c>
      <c r="AD2407" t="s">
        <v>93</v>
      </c>
      <c r="AE2407" t="s">
        <v>977</v>
      </c>
      <c r="AF2407" t="s">
        <v>11053</v>
      </c>
      <c r="AG2407" t="s">
        <v>48</v>
      </c>
      <c r="AH2407" t="s">
        <v>48</v>
      </c>
      <c r="AI2407" t="s">
        <v>48</v>
      </c>
      <c r="AJ2407" t="s">
        <v>48</v>
      </c>
      <c r="AK2407" t="s">
        <v>48</v>
      </c>
      <c r="AL2407" t="s">
        <v>48</v>
      </c>
      <c r="AM2407" t="s">
        <v>48</v>
      </c>
      <c r="AN2407" t="s">
        <v>48</v>
      </c>
      <c r="AO2407" t="s">
        <v>48</v>
      </c>
      <c r="AP2407" s="46">
        <v>0</v>
      </c>
      <c r="AQ2407" s="46">
        <v>0</v>
      </c>
      <c r="AR2407" s="46">
        <v>0</v>
      </c>
      <c r="AS2407" s="46">
        <v>0</v>
      </c>
      <c r="AT2407" s="46">
        <v>0</v>
      </c>
      <c r="AU2407" s="46">
        <v>0</v>
      </c>
      <c r="AV2407" s="46">
        <v>0</v>
      </c>
      <c r="AW2407" s="46">
        <v>0</v>
      </c>
      <c r="AX2407" s="46">
        <v>0</v>
      </c>
      <c r="AY2407" s="46">
        <v>0</v>
      </c>
      <c r="AZ2407" s="46">
        <v>0</v>
      </c>
      <c r="BA2407" s="46">
        <v>0</v>
      </c>
      <c r="BB2407" s="46">
        <v>0</v>
      </c>
      <c r="BC2407" s="46">
        <v>0</v>
      </c>
      <c r="BD2407" s="46">
        <v>0</v>
      </c>
      <c r="BE2407" s="46">
        <v>0</v>
      </c>
      <c r="BF2407" s="46">
        <v>0</v>
      </c>
      <c r="BG2407" s="46" t="s">
        <v>48</v>
      </c>
      <c r="BH2407" s="46">
        <v>0</v>
      </c>
      <c r="BI2407" s="46">
        <v>0</v>
      </c>
      <c r="BJ2407" s="46">
        <v>0</v>
      </c>
      <c r="BK2407" s="46">
        <v>0</v>
      </c>
      <c r="BL2407" s="46">
        <v>0</v>
      </c>
      <c r="BM2407" s="46">
        <v>0</v>
      </c>
      <c r="BN2407" s="46">
        <v>0</v>
      </c>
    </row>
    <row r="2408" spans="1:66" x14ac:dyDescent="0.35">
      <c r="A2408" t="s">
        <v>7393</v>
      </c>
      <c r="B2408" t="s">
        <v>48</v>
      </c>
      <c r="C2408" t="s">
        <v>7395</v>
      </c>
      <c r="D2408" t="s">
        <v>704</v>
      </c>
      <c r="E2408" t="s">
        <v>7394</v>
      </c>
      <c r="F2408" t="s">
        <v>7384</v>
      </c>
      <c r="G2408" t="s">
        <v>47</v>
      </c>
      <c r="H2408">
        <v>0</v>
      </c>
      <c r="I2408" s="60" t="s">
        <v>177</v>
      </c>
      <c r="J2408" s="33" t="s">
        <v>45</v>
      </c>
      <c r="K2408" s="46">
        <v>0</v>
      </c>
      <c r="L2408">
        <v>18.5</v>
      </c>
      <c r="M2408" t="s">
        <v>48</v>
      </c>
      <c r="N2408" s="46">
        <v>0</v>
      </c>
      <c r="O2408" s="46">
        <v>0</v>
      </c>
      <c r="P2408" s="46">
        <v>0</v>
      </c>
      <c r="Q2408" t="s">
        <v>48</v>
      </c>
      <c r="R2408" t="s">
        <v>48</v>
      </c>
      <c r="S2408" t="s">
        <v>48</v>
      </c>
      <c r="T2408" t="s">
        <v>48</v>
      </c>
      <c r="U2408" t="s">
        <v>48</v>
      </c>
      <c r="V2408" s="47">
        <v>0</v>
      </c>
      <c r="W2408" t="s">
        <v>48</v>
      </c>
      <c r="X2408" t="s">
        <v>48</v>
      </c>
      <c r="Y2408" t="s">
        <v>48</v>
      </c>
      <c r="Z2408">
        <v>0</v>
      </c>
      <c r="AA2408" t="s">
        <v>10954</v>
      </c>
      <c r="AB2408" t="s">
        <v>48</v>
      </c>
      <c r="AC2408" t="s">
        <v>49</v>
      </c>
      <c r="AD2408" t="s">
        <v>93</v>
      </c>
      <c r="AE2408" t="s">
        <v>4532</v>
      </c>
      <c r="AF2408" t="s">
        <v>48</v>
      </c>
      <c r="AG2408" t="s">
        <v>48</v>
      </c>
      <c r="AH2408" t="s">
        <v>48</v>
      </c>
      <c r="AI2408" t="s">
        <v>48</v>
      </c>
      <c r="AJ2408" t="s">
        <v>48</v>
      </c>
      <c r="AK2408" t="s">
        <v>48</v>
      </c>
      <c r="AL2408" t="s">
        <v>48</v>
      </c>
      <c r="AM2408" t="s">
        <v>48</v>
      </c>
      <c r="AN2408" t="s">
        <v>48</v>
      </c>
      <c r="AO2408" t="s">
        <v>48</v>
      </c>
      <c r="AP2408" s="46">
        <v>0</v>
      </c>
      <c r="AQ2408" s="46">
        <v>0</v>
      </c>
      <c r="AR2408" s="46">
        <v>0</v>
      </c>
      <c r="AS2408" s="46">
        <v>0</v>
      </c>
      <c r="AT2408" s="46">
        <v>0</v>
      </c>
      <c r="AU2408" s="46">
        <v>0</v>
      </c>
      <c r="AV2408" s="46">
        <v>0</v>
      </c>
      <c r="AW2408" s="46">
        <v>0</v>
      </c>
      <c r="AX2408" s="46">
        <v>0</v>
      </c>
      <c r="AY2408" s="46">
        <v>0</v>
      </c>
      <c r="AZ2408" s="46">
        <v>0</v>
      </c>
      <c r="BA2408" s="46">
        <v>0</v>
      </c>
      <c r="BB2408" s="46">
        <v>0</v>
      </c>
      <c r="BC2408" s="46">
        <v>0</v>
      </c>
      <c r="BD2408" s="46">
        <v>0</v>
      </c>
      <c r="BE2408" s="46">
        <v>0</v>
      </c>
      <c r="BF2408" s="46">
        <v>0</v>
      </c>
      <c r="BG2408" s="46" t="s">
        <v>48</v>
      </c>
      <c r="BH2408" s="46">
        <v>0</v>
      </c>
      <c r="BI2408" s="46">
        <v>0</v>
      </c>
      <c r="BJ2408" s="46">
        <v>0</v>
      </c>
      <c r="BK2408" s="46">
        <v>0</v>
      </c>
      <c r="BL2408" s="46">
        <v>0</v>
      </c>
      <c r="BM2408" s="46">
        <v>0</v>
      </c>
      <c r="BN2408" s="46">
        <v>0</v>
      </c>
    </row>
    <row r="2409" spans="1:66" x14ac:dyDescent="0.35">
      <c r="A2409" t="s">
        <v>10884</v>
      </c>
      <c r="B2409" t="s">
        <v>48</v>
      </c>
      <c r="C2409" t="s">
        <v>12354</v>
      </c>
      <c r="D2409" t="s">
        <v>12355</v>
      </c>
      <c r="E2409" t="s">
        <v>10885</v>
      </c>
      <c r="F2409" t="s">
        <v>7415</v>
      </c>
      <c r="G2409" t="s">
        <v>47</v>
      </c>
      <c r="H2409">
        <v>0</v>
      </c>
      <c r="I2409" s="61">
        <v>44789</v>
      </c>
      <c r="J2409" s="33" t="s">
        <v>45</v>
      </c>
      <c r="K2409" s="46">
        <v>0</v>
      </c>
      <c r="L2409">
        <v>26.7</v>
      </c>
      <c r="M2409" t="s">
        <v>48</v>
      </c>
      <c r="N2409" s="46">
        <v>0</v>
      </c>
      <c r="O2409" s="46">
        <v>0</v>
      </c>
      <c r="P2409" s="46">
        <v>0</v>
      </c>
      <c r="Q2409" t="s">
        <v>48</v>
      </c>
      <c r="R2409" t="s">
        <v>48</v>
      </c>
      <c r="S2409" t="s">
        <v>48</v>
      </c>
      <c r="T2409" t="s">
        <v>48</v>
      </c>
      <c r="U2409" t="s">
        <v>48</v>
      </c>
      <c r="V2409" s="47">
        <v>1</v>
      </c>
      <c r="W2409" t="s">
        <v>11264</v>
      </c>
      <c r="X2409" t="s">
        <v>48</v>
      </c>
      <c r="Y2409" t="s">
        <v>48</v>
      </c>
      <c r="Z2409">
        <v>0</v>
      </c>
      <c r="AA2409" t="s">
        <v>48</v>
      </c>
      <c r="AB2409" t="s">
        <v>48</v>
      </c>
      <c r="AC2409" t="s">
        <v>63</v>
      </c>
      <c r="AD2409" t="s">
        <v>48</v>
      </c>
      <c r="AE2409" t="s">
        <v>48</v>
      </c>
      <c r="AF2409" t="s">
        <v>48</v>
      </c>
      <c r="AG2409" t="s">
        <v>48</v>
      </c>
      <c r="AH2409" t="s">
        <v>48</v>
      </c>
      <c r="AI2409" t="s">
        <v>48</v>
      </c>
      <c r="AJ2409" t="s">
        <v>48</v>
      </c>
      <c r="AK2409" t="s">
        <v>48</v>
      </c>
      <c r="AL2409" t="s">
        <v>48</v>
      </c>
      <c r="AM2409" t="s">
        <v>48</v>
      </c>
      <c r="AN2409" t="s">
        <v>48</v>
      </c>
      <c r="AO2409" t="s">
        <v>48</v>
      </c>
      <c r="AP2409" s="46">
        <v>0</v>
      </c>
      <c r="AQ2409" s="46">
        <v>0</v>
      </c>
      <c r="AR2409" s="46">
        <v>0</v>
      </c>
      <c r="AS2409" s="46">
        <v>0</v>
      </c>
      <c r="AT2409" s="46">
        <v>0</v>
      </c>
      <c r="AU2409" s="46">
        <v>0</v>
      </c>
      <c r="AV2409" s="46">
        <v>0</v>
      </c>
      <c r="AW2409" s="46">
        <v>0</v>
      </c>
      <c r="AX2409" s="46">
        <v>0</v>
      </c>
      <c r="AY2409" s="46">
        <v>0</v>
      </c>
      <c r="AZ2409" s="46">
        <v>0</v>
      </c>
      <c r="BA2409" s="46">
        <v>0</v>
      </c>
      <c r="BB2409" s="46">
        <v>0</v>
      </c>
      <c r="BC2409" s="46">
        <v>0</v>
      </c>
      <c r="BD2409" s="46">
        <v>0</v>
      </c>
      <c r="BE2409" s="46">
        <v>0</v>
      </c>
      <c r="BF2409" s="46">
        <v>0</v>
      </c>
      <c r="BG2409" s="46" t="s">
        <v>48</v>
      </c>
      <c r="BH2409" s="46">
        <v>0</v>
      </c>
      <c r="BI2409" s="46">
        <v>0</v>
      </c>
      <c r="BJ2409" s="46">
        <v>0</v>
      </c>
      <c r="BK2409" s="46">
        <v>0</v>
      </c>
      <c r="BL2409" s="46">
        <v>0</v>
      </c>
      <c r="BM2409" s="46">
        <v>0</v>
      </c>
      <c r="BN2409" s="46">
        <v>0</v>
      </c>
    </row>
    <row r="2410" spans="1:66" x14ac:dyDescent="0.35">
      <c r="A2410" t="s">
        <v>10881</v>
      </c>
      <c r="B2410" t="s">
        <v>48</v>
      </c>
      <c r="C2410" t="s">
        <v>12352</v>
      </c>
      <c r="D2410" t="s">
        <v>12353</v>
      </c>
      <c r="E2410" t="s">
        <v>10882</v>
      </c>
      <c r="F2410" t="s">
        <v>7415</v>
      </c>
      <c r="G2410" t="s">
        <v>47</v>
      </c>
      <c r="H2410">
        <v>0</v>
      </c>
      <c r="I2410" s="60" t="s">
        <v>11552</v>
      </c>
      <c r="J2410" s="33" t="s">
        <v>45</v>
      </c>
      <c r="K2410" s="46">
        <v>0</v>
      </c>
      <c r="L2410">
        <v>31.9</v>
      </c>
      <c r="M2410" t="s">
        <v>48</v>
      </c>
      <c r="N2410" s="46">
        <v>0</v>
      </c>
      <c r="O2410" s="46">
        <v>0</v>
      </c>
      <c r="P2410" s="46">
        <v>0</v>
      </c>
      <c r="Q2410" t="s">
        <v>48</v>
      </c>
      <c r="R2410" t="s">
        <v>48</v>
      </c>
      <c r="S2410" t="s">
        <v>11546</v>
      </c>
      <c r="T2410" t="s">
        <v>48</v>
      </c>
      <c r="U2410" t="s">
        <v>10883</v>
      </c>
      <c r="V2410" s="47">
        <v>0</v>
      </c>
      <c r="W2410" t="s">
        <v>48</v>
      </c>
      <c r="X2410" t="s">
        <v>48</v>
      </c>
      <c r="Y2410" t="s">
        <v>48</v>
      </c>
      <c r="Z2410">
        <v>0</v>
      </c>
      <c r="AA2410" t="s">
        <v>48</v>
      </c>
      <c r="AB2410" t="s">
        <v>48</v>
      </c>
      <c r="AC2410" t="s">
        <v>63</v>
      </c>
      <c r="AD2410" t="s">
        <v>93</v>
      </c>
      <c r="AE2410" t="s">
        <v>4532</v>
      </c>
      <c r="AF2410" t="s">
        <v>48</v>
      </c>
      <c r="AG2410" t="s">
        <v>48</v>
      </c>
      <c r="AH2410" t="s">
        <v>48</v>
      </c>
      <c r="AI2410" t="s">
        <v>48</v>
      </c>
      <c r="AJ2410" t="s">
        <v>48</v>
      </c>
      <c r="AK2410" t="s">
        <v>48</v>
      </c>
      <c r="AL2410" t="s">
        <v>48</v>
      </c>
      <c r="AM2410" t="s">
        <v>48</v>
      </c>
      <c r="AN2410" t="s">
        <v>48</v>
      </c>
      <c r="AO2410" t="s">
        <v>48</v>
      </c>
      <c r="AP2410" s="46">
        <v>0</v>
      </c>
      <c r="AQ2410" s="46">
        <v>0</v>
      </c>
      <c r="AR2410" s="46">
        <v>0</v>
      </c>
      <c r="AS2410" s="46">
        <v>0</v>
      </c>
      <c r="AT2410" s="46">
        <v>0</v>
      </c>
      <c r="AU2410" s="46">
        <v>0</v>
      </c>
      <c r="AV2410" s="46">
        <v>0</v>
      </c>
      <c r="AW2410" s="46">
        <v>0</v>
      </c>
      <c r="AX2410" s="46">
        <v>0</v>
      </c>
      <c r="AY2410" s="46">
        <v>0</v>
      </c>
      <c r="AZ2410" s="46">
        <v>0</v>
      </c>
      <c r="BA2410" s="46">
        <v>0</v>
      </c>
      <c r="BB2410" s="46">
        <v>0</v>
      </c>
      <c r="BC2410" s="46">
        <v>0</v>
      </c>
      <c r="BD2410" s="46">
        <v>0</v>
      </c>
      <c r="BE2410" s="46">
        <v>0</v>
      </c>
      <c r="BF2410" s="46">
        <v>0</v>
      </c>
      <c r="BG2410" s="46" t="s">
        <v>48</v>
      </c>
      <c r="BH2410" s="46">
        <v>0</v>
      </c>
      <c r="BI2410" s="46">
        <v>0</v>
      </c>
      <c r="BJ2410" s="46">
        <v>0</v>
      </c>
      <c r="BK2410" s="46">
        <v>0</v>
      </c>
      <c r="BL2410" s="46">
        <v>0</v>
      </c>
      <c r="BM2410" s="46">
        <v>0</v>
      </c>
      <c r="BN2410" s="46">
        <v>0</v>
      </c>
    </row>
    <row r="2411" spans="1:66" x14ac:dyDescent="0.35">
      <c r="A2411" s="44" t="s">
        <v>11178</v>
      </c>
      <c r="B2411" s="44" t="s">
        <v>48</v>
      </c>
      <c r="C2411" t="s">
        <v>12351</v>
      </c>
      <c r="D2411" t="s">
        <v>1148</v>
      </c>
      <c r="E2411" t="s">
        <v>11179</v>
      </c>
      <c r="F2411" t="s">
        <v>7415</v>
      </c>
      <c r="G2411" t="s">
        <v>74</v>
      </c>
      <c r="H2411">
        <v>0</v>
      </c>
      <c r="I2411" s="61" t="s">
        <v>11160</v>
      </c>
      <c r="J2411" s="33" t="s">
        <v>45</v>
      </c>
      <c r="K2411" s="46">
        <v>0</v>
      </c>
      <c r="L2411">
        <v>1.4</v>
      </c>
      <c r="M2411" t="s">
        <v>48</v>
      </c>
      <c r="N2411" s="46">
        <v>0</v>
      </c>
      <c r="O2411" s="46">
        <v>0</v>
      </c>
      <c r="P2411" s="46">
        <v>0</v>
      </c>
      <c r="Q2411" t="s">
        <v>48</v>
      </c>
      <c r="R2411" t="s">
        <v>48</v>
      </c>
      <c r="S2411" t="s">
        <v>48</v>
      </c>
      <c r="T2411" t="s">
        <v>48</v>
      </c>
      <c r="U2411" t="s">
        <v>48</v>
      </c>
      <c r="V2411" s="47" t="s">
        <v>48</v>
      </c>
      <c r="W2411" t="s">
        <v>48</v>
      </c>
      <c r="X2411" t="s">
        <v>48</v>
      </c>
      <c r="Y2411" t="s">
        <v>48</v>
      </c>
      <c r="Z2411" t="s">
        <v>48</v>
      </c>
      <c r="AA2411" t="s">
        <v>48</v>
      </c>
      <c r="AB2411" t="s">
        <v>48</v>
      </c>
      <c r="AC2411" t="s">
        <v>48</v>
      </c>
      <c r="AD2411" t="s">
        <v>48</v>
      </c>
      <c r="AE2411" t="s">
        <v>48</v>
      </c>
      <c r="AF2411" t="s">
        <v>48</v>
      </c>
      <c r="AG2411" t="s">
        <v>48</v>
      </c>
      <c r="AH2411" t="s">
        <v>48</v>
      </c>
      <c r="AI2411" t="s">
        <v>48</v>
      </c>
      <c r="AJ2411" t="s">
        <v>48</v>
      </c>
      <c r="AK2411" t="s">
        <v>48</v>
      </c>
      <c r="AL2411" t="s">
        <v>48</v>
      </c>
      <c r="AM2411" t="s">
        <v>48</v>
      </c>
      <c r="AN2411" t="s">
        <v>48</v>
      </c>
      <c r="AO2411" t="s">
        <v>48</v>
      </c>
      <c r="AP2411" s="46">
        <v>0</v>
      </c>
      <c r="AQ2411" s="46">
        <v>0</v>
      </c>
      <c r="AR2411" s="46">
        <v>0</v>
      </c>
      <c r="AS2411" s="46">
        <v>0</v>
      </c>
      <c r="AT2411" s="46">
        <v>0</v>
      </c>
      <c r="AU2411" s="46">
        <v>0</v>
      </c>
      <c r="AV2411" s="46">
        <v>0</v>
      </c>
      <c r="AW2411" s="46">
        <v>0</v>
      </c>
      <c r="AX2411" s="46">
        <v>0</v>
      </c>
      <c r="AY2411" s="46">
        <v>0</v>
      </c>
      <c r="AZ2411" s="46">
        <v>0</v>
      </c>
      <c r="BA2411" s="46">
        <v>0</v>
      </c>
      <c r="BB2411" s="46">
        <v>0</v>
      </c>
      <c r="BC2411" s="46">
        <v>0</v>
      </c>
      <c r="BD2411" s="46">
        <v>0</v>
      </c>
      <c r="BE2411" s="46">
        <v>0</v>
      </c>
      <c r="BF2411" s="46">
        <v>0</v>
      </c>
      <c r="BG2411" s="46" t="s">
        <v>48</v>
      </c>
      <c r="BH2411" s="46">
        <v>0</v>
      </c>
      <c r="BI2411" s="46">
        <v>0</v>
      </c>
      <c r="BJ2411" s="46">
        <v>0</v>
      </c>
      <c r="BK2411" s="46">
        <v>0</v>
      </c>
      <c r="BL2411" s="46">
        <v>0</v>
      </c>
      <c r="BM2411" s="46">
        <v>0</v>
      </c>
      <c r="BN2411" s="46">
        <v>0</v>
      </c>
    </row>
    <row r="2412" spans="1:66" x14ac:dyDescent="0.35">
      <c r="A2412" s="44" t="s">
        <v>10875</v>
      </c>
      <c r="B2412" s="44" t="s">
        <v>48</v>
      </c>
      <c r="C2412" t="s">
        <v>1028</v>
      </c>
      <c r="D2412" t="s">
        <v>12349</v>
      </c>
      <c r="E2412" t="s">
        <v>10876</v>
      </c>
      <c r="F2412" t="s">
        <v>7415</v>
      </c>
      <c r="G2412" t="s">
        <v>74</v>
      </c>
      <c r="H2412">
        <v>0</v>
      </c>
      <c r="I2412" s="60" t="s">
        <v>11552</v>
      </c>
      <c r="J2412" s="33" t="s">
        <v>45</v>
      </c>
      <c r="K2412" s="46">
        <v>0</v>
      </c>
      <c r="L2412">
        <v>37.299999999999997</v>
      </c>
      <c r="M2412" t="s">
        <v>48</v>
      </c>
      <c r="N2412" s="46">
        <v>0</v>
      </c>
      <c r="O2412" s="46">
        <v>0</v>
      </c>
      <c r="P2412" s="46">
        <v>0</v>
      </c>
      <c r="Q2412" t="s">
        <v>48</v>
      </c>
      <c r="R2412" t="s">
        <v>48</v>
      </c>
      <c r="S2412" t="s">
        <v>11545</v>
      </c>
      <c r="T2412" t="s">
        <v>48</v>
      </c>
      <c r="U2412" t="s">
        <v>10877</v>
      </c>
      <c r="V2412" s="47">
        <v>0</v>
      </c>
      <c r="W2412" t="s">
        <v>48</v>
      </c>
      <c r="X2412" t="s">
        <v>48</v>
      </c>
      <c r="Y2412" t="s">
        <v>48</v>
      </c>
      <c r="Z2412">
        <v>0</v>
      </c>
      <c r="AA2412" t="s">
        <v>48</v>
      </c>
      <c r="AB2412" t="s">
        <v>48</v>
      </c>
      <c r="AC2412" t="s">
        <v>63</v>
      </c>
      <c r="AD2412" t="s">
        <v>93</v>
      </c>
      <c r="AE2412" t="s">
        <v>4532</v>
      </c>
      <c r="AF2412" t="s">
        <v>48</v>
      </c>
      <c r="AG2412" t="s">
        <v>48</v>
      </c>
      <c r="AH2412" t="s">
        <v>48</v>
      </c>
      <c r="AI2412" t="s">
        <v>48</v>
      </c>
      <c r="AJ2412" t="s">
        <v>48</v>
      </c>
      <c r="AK2412" t="s">
        <v>48</v>
      </c>
      <c r="AL2412" t="s">
        <v>48</v>
      </c>
      <c r="AM2412" t="s">
        <v>48</v>
      </c>
      <c r="AN2412" t="s">
        <v>48</v>
      </c>
      <c r="AO2412" t="s">
        <v>48</v>
      </c>
      <c r="AP2412" s="46">
        <v>0</v>
      </c>
      <c r="AQ2412" s="46">
        <v>0</v>
      </c>
      <c r="AR2412" s="46">
        <v>0</v>
      </c>
      <c r="AS2412" s="46">
        <v>0</v>
      </c>
      <c r="AT2412" s="46">
        <v>0</v>
      </c>
      <c r="AU2412" s="46">
        <v>0</v>
      </c>
      <c r="AV2412" s="46">
        <v>0</v>
      </c>
      <c r="AW2412" s="46">
        <v>0</v>
      </c>
      <c r="AX2412" s="46">
        <v>0</v>
      </c>
      <c r="AY2412" s="46">
        <v>0</v>
      </c>
      <c r="AZ2412" s="46">
        <v>0</v>
      </c>
      <c r="BA2412" s="46">
        <v>0</v>
      </c>
      <c r="BB2412" s="46">
        <v>0</v>
      </c>
      <c r="BC2412" s="46">
        <v>0</v>
      </c>
      <c r="BD2412" s="46">
        <v>0</v>
      </c>
      <c r="BE2412" s="46">
        <v>0</v>
      </c>
      <c r="BF2412" s="46">
        <v>0</v>
      </c>
      <c r="BG2412" s="46" t="s">
        <v>48</v>
      </c>
      <c r="BH2412" s="46">
        <v>0</v>
      </c>
      <c r="BI2412" s="46">
        <v>0</v>
      </c>
      <c r="BJ2412" s="46">
        <v>0</v>
      </c>
      <c r="BK2412" s="46">
        <v>0</v>
      </c>
      <c r="BL2412" s="46">
        <v>0</v>
      </c>
      <c r="BM2412" s="46">
        <v>0</v>
      </c>
      <c r="BN2412" s="46">
        <v>0</v>
      </c>
    </row>
    <row r="2413" spans="1:66" x14ac:dyDescent="0.35">
      <c r="A2413" t="s">
        <v>9957</v>
      </c>
      <c r="B2413" t="s">
        <v>48</v>
      </c>
      <c r="C2413" t="s">
        <v>12359</v>
      </c>
      <c r="D2413" t="s">
        <v>952</v>
      </c>
      <c r="E2413" t="s">
        <v>9958</v>
      </c>
      <c r="F2413" t="s">
        <v>7430</v>
      </c>
      <c r="G2413" t="s">
        <v>47</v>
      </c>
      <c r="H2413">
        <v>0</v>
      </c>
      <c r="I2413" s="61">
        <v>44782</v>
      </c>
      <c r="J2413" s="33" t="s">
        <v>45</v>
      </c>
      <c r="K2413" s="46">
        <v>0</v>
      </c>
      <c r="L2413">
        <v>7</v>
      </c>
      <c r="M2413" t="s">
        <v>48</v>
      </c>
      <c r="N2413" s="46">
        <v>0</v>
      </c>
      <c r="O2413" s="46">
        <v>0</v>
      </c>
      <c r="P2413" s="46">
        <v>0</v>
      </c>
      <c r="Q2413" t="s">
        <v>48</v>
      </c>
      <c r="R2413" t="s">
        <v>48</v>
      </c>
      <c r="S2413" s="43" t="s">
        <v>10388</v>
      </c>
      <c r="T2413" s="43" t="s">
        <v>48</v>
      </c>
      <c r="U2413" s="43" t="s">
        <v>10388</v>
      </c>
      <c r="V2413" s="47">
        <v>1</v>
      </c>
      <c r="W2413" t="s">
        <v>48</v>
      </c>
      <c r="X2413" t="s">
        <v>48</v>
      </c>
      <c r="Y2413" t="s">
        <v>48</v>
      </c>
      <c r="Z2413" t="s">
        <v>48</v>
      </c>
      <c r="AA2413" t="s">
        <v>48</v>
      </c>
      <c r="AB2413" t="s">
        <v>48</v>
      </c>
      <c r="AC2413" t="s">
        <v>49</v>
      </c>
      <c r="AD2413" t="s">
        <v>93</v>
      </c>
      <c r="AE2413" t="s">
        <v>4532</v>
      </c>
      <c r="AF2413" t="s">
        <v>48</v>
      </c>
      <c r="AG2413" t="s">
        <v>48</v>
      </c>
      <c r="AH2413" t="s">
        <v>48</v>
      </c>
      <c r="AI2413" t="s">
        <v>48</v>
      </c>
      <c r="AJ2413" t="s">
        <v>48</v>
      </c>
      <c r="AK2413" t="s">
        <v>48</v>
      </c>
      <c r="AL2413" t="s">
        <v>48</v>
      </c>
      <c r="AM2413" t="s">
        <v>48</v>
      </c>
      <c r="AN2413" t="s">
        <v>48</v>
      </c>
      <c r="AO2413" t="s">
        <v>48</v>
      </c>
      <c r="AP2413" s="46">
        <v>0</v>
      </c>
      <c r="AQ2413" s="46">
        <v>0</v>
      </c>
      <c r="AR2413" s="46">
        <v>0</v>
      </c>
      <c r="AS2413" s="46">
        <v>0</v>
      </c>
      <c r="AT2413" s="46">
        <v>0</v>
      </c>
      <c r="AU2413" s="46">
        <v>0</v>
      </c>
      <c r="AV2413" s="46">
        <v>0</v>
      </c>
      <c r="AW2413" s="46">
        <v>0</v>
      </c>
      <c r="AX2413" s="46">
        <v>0</v>
      </c>
      <c r="AY2413" s="46">
        <v>0</v>
      </c>
      <c r="AZ2413" s="46">
        <v>0</v>
      </c>
      <c r="BA2413" s="46">
        <v>0</v>
      </c>
      <c r="BB2413" s="46">
        <v>0</v>
      </c>
      <c r="BC2413" s="46">
        <v>0</v>
      </c>
      <c r="BD2413" s="46">
        <v>0</v>
      </c>
      <c r="BE2413" s="46">
        <v>0</v>
      </c>
      <c r="BF2413" s="46">
        <v>0</v>
      </c>
      <c r="BG2413" s="46" t="s">
        <v>48</v>
      </c>
      <c r="BH2413" s="46">
        <v>0</v>
      </c>
      <c r="BI2413" s="46">
        <v>0</v>
      </c>
      <c r="BJ2413" s="46">
        <v>0</v>
      </c>
      <c r="BK2413" s="46">
        <v>0</v>
      </c>
      <c r="BL2413" s="46">
        <v>0</v>
      </c>
      <c r="BM2413" s="46">
        <v>0</v>
      </c>
      <c r="BN2413" s="46">
        <v>0</v>
      </c>
    </row>
    <row r="2414" spans="1:66" x14ac:dyDescent="0.35">
      <c r="A2414" t="s">
        <v>9955</v>
      </c>
      <c r="B2414" t="s">
        <v>48</v>
      </c>
      <c r="C2414" t="s">
        <v>12360</v>
      </c>
      <c r="D2414" t="s">
        <v>704</v>
      </c>
      <c r="E2414" t="s">
        <v>9956</v>
      </c>
      <c r="F2414" t="s">
        <v>7430</v>
      </c>
      <c r="G2414" t="s">
        <v>47</v>
      </c>
      <c r="H2414">
        <v>0</v>
      </c>
      <c r="I2414" s="61">
        <v>44782</v>
      </c>
      <c r="J2414" s="33" t="s">
        <v>45</v>
      </c>
      <c r="K2414" s="46">
        <v>0</v>
      </c>
      <c r="L2414">
        <v>8.1999999999999993</v>
      </c>
      <c r="M2414" t="s">
        <v>48</v>
      </c>
      <c r="N2414" s="46">
        <v>0</v>
      </c>
      <c r="O2414" s="46">
        <v>0</v>
      </c>
      <c r="P2414" s="46">
        <v>0</v>
      </c>
      <c r="Q2414" t="s">
        <v>48</v>
      </c>
      <c r="R2414" t="s">
        <v>48</v>
      </c>
      <c r="S2414" s="43" t="s">
        <v>10387</v>
      </c>
      <c r="T2414" s="43" t="s">
        <v>48</v>
      </c>
      <c r="U2414" s="43" t="s">
        <v>10387</v>
      </c>
      <c r="V2414" s="47">
        <v>1</v>
      </c>
      <c r="W2414" t="s">
        <v>48</v>
      </c>
      <c r="X2414" t="s">
        <v>48</v>
      </c>
      <c r="Y2414" t="s">
        <v>48</v>
      </c>
      <c r="Z2414" t="s">
        <v>48</v>
      </c>
      <c r="AA2414" t="s">
        <v>48</v>
      </c>
      <c r="AB2414" t="s">
        <v>48</v>
      </c>
      <c r="AC2414" t="s">
        <v>49</v>
      </c>
      <c r="AD2414" t="s">
        <v>93</v>
      </c>
      <c r="AE2414" t="s">
        <v>4532</v>
      </c>
      <c r="AF2414" t="s">
        <v>48</v>
      </c>
      <c r="AG2414" t="s">
        <v>48</v>
      </c>
      <c r="AH2414" t="s">
        <v>48</v>
      </c>
      <c r="AI2414" t="s">
        <v>48</v>
      </c>
      <c r="AJ2414" t="s">
        <v>48</v>
      </c>
      <c r="AK2414" t="s">
        <v>48</v>
      </c>
      <c r="AL2414" t="s">
        <v>48</v>
      </c>
      <c r="AM2414" t="s">
        <v>48</v>
      </c>
      <c r="AN2414" t="s">
        <v>48</v>
      </c>
      <c r="AO2414" t="s">
        <v>48</v>
      </c>
      <c r="AP2414" s="46">
        <v>0</v>
      </c>
      <c r="AQ2414" s="46">
        <v>0</v>
      </c>
      <c r="AR2414" s="46">
        <v>0</v>
      </c>
      <c r="AS2414" s="46">
        <v>0</v>
      </c>
      <c r="AT2414" s="46">
        <v>0</v>
      </c>
      <c r="AU2414" s="46">
        <v>0</v>
      </c>
      <c r="AV2414" s="46">
        <v>0</v>
      </c>
      <c r="AW2414" s="46">
        <v>0</v>
      </c>
      <c r="AX2414" s="46">
        <v>0</v>
      </c>
      <c r="AY2414" s="46">
        <v>0</v>
      </c>
      <c r="AZ2414" s="46">
        <v>0</v>
      </c>
      <c r="BA2414" s="46">
        <v>0</v>
      </c>
      <c r="BB2414" s="46">
        <v>0</v>
      </c>
      <c r="BC2414" s="46">
        <v>0</v>
      </c>
      <c r="BD2414" s="46">
        <v>0</v>
      </c>
      <c r="BE2414" s="46">
        <v>0</v>
      </c>
      <c r="BF2414" s="46">
        <v>0</v>
      </c>
      <c r="BG2414" s="46" t="s">
        <v>48</v>
      </c>
      <c r="BH2414" s="46">
        <v>0</v>
      </c>
      <c r="BI2414" s="46">
        <v>0</v>
      </c>
      <c r="BJ2414" s="46">
        <v>0</v>
      </c>
      <c r="BK2414" s="46">
        <v>0</v>
      </c>
      <c r="BL2414" s="46">
        <v>0</v>
      </c>
      <c r="BM2414" s="46">
        <v>0</v>
      </c>
      <c r="BN2414" s="46">
        <v>0</v>
      </c>
    </row>
    <row r="2415" spans="1:66" x14ac:dyDescent="0.35">
      <c r="A2415" t="s">
        <v>9881</v>
      </c>
      <c r="B2415" s="44" t="s">
        <v>48</v>
      </c>
      <c r="C2415" t="s">
        <v>12361</v>
      </c>
      <c r="D2415" t="s">
        <v>585</v>
      </c>
      <c r="E2415" t="s">
        <v>11570</v>
      </c>
      <c r="F2415" t="s">
        <v>7430</v>
      </c>
      <c r="G2415" t="s">
        <v>83</v>
      </c>
      <c r="H2415">
        <v>0</v>
      </c>
      <c r="I2415" s="61">
        <v>44782</v>
      </c>
      <c r="J2415" s="33" t="s">
        <v>45</v>
      </c>
      <c r="K2415" s="46">
        <v>0</v>
      </c>
      <c r="L2415">
        <v>2.9</v>
      </c>
      <c r="M2415" t="s">
        <v>48</v>
      </c>
      <c r="N2415" s="46">
        <v>0</v>
      </c>
      <c r="O2415" s="46">
        <v>0</v>
      </c>
      <c r="P2415" s="46">
        <v>0</v>
      </c>
      <c r="Q2415" t="s">
        <v>48</v>
      </c>
      <c r="R2415" t="s">
        <v>48</v>
      </c>
      <c r="S2415" s="43" t="s">
        <v>48</v>
      </c>
      <c r="T2415" s="43" t="s">
        <v>48</v>
      </c>
      <c r="U2415" s="43" t="s">
        <v>48</v>
      </c>
      <c r="V2415" s="47">
        <v>0</v>
      </c>
      <c r="W2415" t="s">
        <v>48</v>
      </c>
      <c r="X2415" t="s">
        <v>48</v>
      </c>
      <c r="Y2415" t="s">
        <v>48</v>
      </c>
      <c r="Z2415" t="s">
        <v>48</v>
      </c>
      <c r="AA2415" t="s">
        <v>48</v>
      </c>
      <c r="AB2415" t="s">
        <v>48</v>
      </c>
      <c r="AC2415" t="s">
        <v>49</v>
      </c>
      <c r="AD2415" t="s">
        <v>48</v>
      </c>
      <c r="AE2415" t="s">
        <v>48</v>
      </c>
      <c r="AF2415" t="s">
        <v>48</v>
      </c>
      <c r="AG2415" t="s">
        <v>48</v>
      </c>
      <c r="AH2415" t="s">
        <v>48</v>
      </c>
      <c r="AI2415" t="s">
        <v>48</v>
      </c>
      <c r="AJ2415" t="s">
        <v>48</v>
      </c>
      <c r="AK2415" t="s">
        <v>48</v>
      </c>
      <c r="AL2415" t="s">
        <v>48</v>
      </c>
      <c r="AM2415" t="s">
        <v>48</v>
      </c>
      <c r="AN2415" t="s">
        <v>48</v>
      </c>
      <c r="AO2415" t="s">
        <v>48</v>
      </c>
      <c r="AP2415" s="46">
        <v>0</v>
      </c>
      <c r="AQ2415" s="46">
        <v>0</v>
      </c>
      <c r="AR2415" s="46">
        <v>0</v>
      </c>
      <c r="AS2415" s="46">
        <v>0</v>
      </c>
      <c r="AT2415" s="46">
        <v>0</v>
      </c>
      <c r="AU2415" s="46">
        <v>0</v>
      </c>
      <c r="AV2415" s="46">
        <v>0</v>
      </c>
      <c r="AW2415" s="46">
        <v>0</v>
      </c>
      <c r="AX2415" s="46">
        <v>0</v>
      </c>
      <c r="AY2415" s="46">
        <v>0</v>
      </c>
      <c r="AZ2415" s="46">
        <v>0</v>
      </c>
      <c r="BA2415" s="46">
        <v>0</v>
      </c>
      <c r="BB2415" s="46">
        <v>0</v>
      </c>
      <c r="BC2415" s="46">
        <v>0</v>
      </c>
      <c r="BD2415" s="46">
        <v>0</v>
      </c>
      <c r="BE2415" s="46">
        <v>0</v>
      </c>
      <c r="BF2415" s="46">
        <v>0</v>
      </c>
      <c r="BG2415" s="46" t="s">
        <v>48</v>
      </c>
      <c r="BH2415" s="46">
        <v>0</v>
      </c>
      <c r="BI2415" s="46">
        <v>0</v>
      </c>
      <c r="BJ2415" s="46">
        <v>0</v>
      </c>
      <c r="BK2415" s="46">
        <v>0</v>
      </c>
      <c r="BL2415" s="46">
        <v>0</v>
      </c>
      <c r="BM2415" s="46">
        <v>0</v>
      </c>
      <c r="BN2415" s="46">
        <v>0</v>
      </c>
    </row>
    <row r="2416" spans="1:66" x14ac:dyDescent="0.35">
      <c r="A2416" t="s">
        <v>9963</v>
      </c>
      <c r="B2416" t="s">
        <v>48</v>
      </c>
      <c r="C2416" t="s">
        <v>5491</v>
      </c>
      <c r="D2416" t="s">
        <v>1915</v>
      </c>
      <c r="E2416" t="s">
        <v>9964</v>
      </c>
      <c r="F2416" t="s">
        <v>7441</v>
      </c>
      <c r="G2416" t="s">
        <v>47</v>
      </c>
      <c r="H2416">
        <v>0</v>
      </c>
      <c r="I2416" s="61">
        <v>44782</v>
      </c>
      <c r="J2416" s="33" t="s">
        <v>45</v>
      </c>
      <c r="K2416" s="46">
        <v>0</v>
      </c>
      <c r="L2416">
        <v>4.2</v>
      </c>
      <c r="M2416" t="s">
        <v>48</v>
      </c>
      <c r="N2416" s="46">
        <v>0</v>
      </c>
      <c r="O2416" s="46">
        <v>0</v>
      </c>
      <c r="P2416" s="46">
        <v>0</v>
      </c>
      <c r="Q2416" t="s">
        <v>48</v>
      </c>
      <c r="R2416" t="s">
        <v>48</v>
      </c>
      <c r="S2416" s="43" t="s">
        <v>10389</v>
      </c>
      <c r="T2416" s="43" t="s">
        <v>48</v>
      </c>
      <c r="U2416" s="43" t="s">
        <v>10389</v>
      </c>
      <c r="V2416" s="47">
        <v>0</v>
      </c>
      <c r="W2416" t="s">
        <v>48</v>
      </c>
      <c r="X2416" t="s">
        <v>48</v>
      </c>
      <c r="Y2416" t="s">
        <v>48</v>
      </c>
      <c r="Z2416" t="s">
        <v>48</v>
      </c>
      <c r="AA2416" t="s">
        <v>48</v>
      </c>
      <c r="AB2416" t="s">
        <v>48</v>
      </c>
      <c r="AC2416" t="s">
        <v>49</v>
      </c>
      <c r="AD2416" t="s">
        <v>93</v>
      </c>
      <c r="AE2416" t="s">
        <v>4532</v>
      </c>
      <c r="AF2416" t="s">
        <v>48</v>
      </c>
      <c r="AG2416" t="s">
        <v>48</v>
      </c>
      <c r="AH2416" t="s">
        <v>48</v>
      </c>
      <c r="AI2416" t="s">
        <v>48</v>
      </c>
      <c r="AJ2416" t="s">
        <v>48</v>
      </c>
      <c r="AK2416" t="s">
        <v>48</v>
      </c>
      <c r="AL2416" t="s">
        <v>48</v>
      </c>
      <c r="AM2416" t="s">
        <v>48</v>
      </c>
      <c r="AN2416" t="s">
        <v>48</v>
      </c>
      <c r="AO2416" t="s">
        <v>48</v>
      </c>
      <c r="AP2416" s="46">
        <v>0</v>
      </c>
      <c r="AQ2416" s="46">
        <v>0</v>
      </c>
      <c r="AR2416" s="46">
        <v>0</v>
      </c>
      <c r="AS2416" s="46">
        <v>0</v>
      </c>
      <c r="AT2416" s="46">
        <v>0</v>
      </c>
      <c r="AU2416" s="46">
        <v>0</v>
      </c>
      <c r="AV2416" s="46">
        <v>0</v>
      </c>
      <c r="AW2416" s="46">
        <v>0</v>
      </c>
      <c r="AX2416" s="46">
        <v>0</v>
      </c>
      <c r="AY2416" s="46">
        <v>0</v>
      </c>
      <c r="AZ2416" s="46">
        <v>0</v>
      </c>
      <c r="BA2416" s="46">
        <v>0</v>
      </c>
      <c r="BB2416" s="46">
        <v>0</v>
      </c>
      <c r="BC2416" s="46">
        <v>0</v>
      </c>
      <c r="BD2416" s="46">
        <v>0</v>
      </c>
      <c r="BE2416" s="46">
        <v>0</v>
      </c>
      <c r="BF2416" s="46">
        <v>0</v>
      </c>
      <c r="BG2416" s="46" t="s">
        <v>48</v>
      </c>
      <c r="BH2416" s="46">
        <v>0</v>
      </c>
      <c r="BI2416" s="46">
        <v>0</v>
      </c>
      <c r="BJ2416" s="46">
        <v>0</v>
      </c>
      <c r="BK2416" s="46">
        <v>0</v>
      </c>
      <c r="BL2416" s="46">
        <v>0</v>
      </c>
      <c r="BM2416" s="46">
        <v>0</v>
      </c>
      <c r="BN2416" s="46">
        <v>0</v>
      </c>
    </row>
    <row r="2417" spans="1:66" x14ac:dyDescent="0.35">
      <c r="A2417" t="s">
        <v>7445</v>
      </c>
      <c r="B2417" t="s">
        <v>48</v>
      </c>
      <c r="C2417" t="s">
        <v>3447</v>
      </c>
      <c r="D2417" t="s">
        <v>7447</v>
      </c>
      <c r="E2417" t="s">
        <v>7446</v>
      </c>
      <c r="F2417" t="s">
        <v>7441</v>
      </c>
      <c r="G2417" t="s">
        <v>47</v>
      </c>
      <c r="H2417">
        <v>0</v>
      </c>
      <c r="I2417" s="60" t="s">
        <v>51</v>
      </c>
      <c r="J2417" s="33" t="s">
        <v>45</v>
      </c>
      <c r="K2417" s="46">
        <v>0</v>
      </c>
      <c r="L2417">
        <v>4</v>
      </c>
      <c r="M2417" t="s">
        <v>48</v>
      </c>
      <c r="N2417" s="46">
        <v>0</v>
      </c>
      <c r="O2417" s="46">
        <v>0</v>
      </c>
      <c r="P2417" s="46">
        <v>0</v>
      </c>
      <c r="Q2417" t="s">
        <v>48</v>
      </c>
      <c r="R2417" t="s">
        <v>48</v>
      </c>
      <c r="S2417" t="s">
        <v>48</v>
      </c>
      <c r="T2417" t="s">
        <v>48</v>
      </c>
      <c r="U2417" t="s">
        <v>48</v>
      </c>
      <c r="V2417" s="47">
        <v>1</v>
      </c>
      <c r="W2417" t="s">
        <v>48</v>
      </c>
      <c r="X2417" t="s">
        <v>48</v>
      </c>
      <c r="Y2417" t="s">
        <v>48</v>
      </c>
      <c r="Z2417">
        <v>0</v>
      </c>
      <c r="AA2417" t="s">
        <v>48</v>
      </c>
      <c r="AB2417" t="s">
        <v>48</v>
      </c>
      <c r="AC2417" t="s">
        <v>63</v>
      </c>
      <c r="AD2417" t="s">
        <v>93</v>
      </c>
      <c r="AE2417" t="s">
        <v>4532</v>
      </c>
      <c r="AF2417" t="s">
        <v>48</v>
      </c>
      <c r="AG2417" t="s">
        <v>266</v>
      </c>
      <c r="AH2417" t="s">
        <v>48</v>
      </c>
      <c r="AI2417" t="s">
        <v>48</v>
      </c>
      <c r="AJ2417" t="s">
        <v>48</v>
      </c>
      <c r="AK2417" t="s">
        <v>48</v>
      </c>
      <c r="AL2417" t="s">
        <v>48</v>
      </c>
      <c r="AM2417" t="s">
        <v>48</v>
      </c>
      <c r="AN2417" t="s">
        <v>48</v>
      </c>
      <c r="AO2417" t="s">
        <v>48</v>
      </c>
      <c r="AP2417" s="46">
        <v>0</v>
      </c>
      <c r="AQ2417" s="46">
        <v>0</v>
      </c>
      <c r="AR2417" s="46">
        <v>0</v>
      </c>
      <c r="AS2417" s="46">
        <v>0</v>
      </c>
      <c r="AT2417" s="46">
        <v>0</v>
      </c>
      <c r="AU2417" s="46">
        <v>0</v>
      </c>
      <c r="AV2417" s="46">
        <v>0</v>
      </c>
      <c r="AW2417" s="46">
        <v>0</v>
      </c>
      <c r="AX2417" s="46">
        <v>0</v>
      </c>
      <c r="AY2417" s="46">
        <v>0</v>
      </c>
      <c r="AZ2417" s="46">
        <v>0</v>
      </c>
      <c r="BA2417" s="46">
        <v>0</v>
      </c>
      <c r="BB2417" s="46">
        <v>0</v>
      </c>
      <c r="BC2417" s="46">
        <v>0</v>
      </c>
      <c r="BD2417" s="46">
        <v>0</v>
      </c>
      <c r="BE2417" s="46">
        <v>0</v>
      </c>
      <c r="BF2417" s="46">
        <v>0</v>
      </c>
      <c r="BG2417" s="46" t="s">
        <v>48</v>
      </c>
      <c r="BH2417" s="46">
        <v>0</v>
      </c>
      <c r="BI2417" s="46">
        <v>0</v>
      </c>
      <c r="BJ2417" s="46">
        <v>0</v>
      </c>
      <c r="BK2417" s="46">
        <v>0</v>
      </c>
      <c r="BL2417" s="46">
        <v>0</v>
      </c>
      <c r="BM2417" s="46">
        <v>0</v>
      </c>
      <c r="BN2417" s="46">
        <v>0</v>
      </c>
    </row>
    <row r="2418" spans="1:66" x14ac:dyDescent="0.35">
      <c r="A2418" t="s">
        <v>9961</v>
      </c>
      <c r="B2418" t="s">
        <v>48</v>
      </c>
      <c r="C2418" t="s">
        <v>12362</v>
      </c>
      <c r="D2418" t="s">
        <v>77</v>
      </c>
      <c r="E2418" t="s">
        <v>9962</v>
      </c>
      <c r="F2418" t="s">
        <v>7441</v>
      </c>
      <c r="G2418" t="s">
        <v>47</v>
      </c>
      <c r="H2418">
        <v>0</v>
      </c>
      <c r="I2418" s="61">
        <v>44782</v>
      </c>
      <c r="J2418" s="33" t="s">
        <v>45</v>
      </c>
      <c r="K2418" s="46">
        <v>0</v>
      </c>
      <c r="L2418">
        <v>10</v>
      </c>
      <c r="M2418" t="s">
        <v>48</v>
      </c>
      <c r="N2418" s="46">
        <v>0</v>
      </c>
      <c r="O2418" s="46">
        <v>0</v>
      </c>
      <c r="P2418" s="46">
        <v>0</v>
      </c>
      <c r="Q2418" t="s">
        <v>48</v>
      </c>
      <c r="R2418" t="s">
        <v>48</v>
      </c>
      <c r="S2418" s="43" t="s">
        <v>48</v>
      </c>
      <c r="T2418" s="43" t="s">
        <v>48</v>
      </c>
      <c r="U2418" s="43" t="s">
        <v>48</v>
      </c>
      <c r="V2418" s="47">
        <v>1</v>
      </c>
      <c r="W2418" t="s">
        <v>48</v>
      </c>
      <c r="X2418" t="s">
        <v>48</v>
      </c>
      <c r="Y2418" t="s">
        <v>48</v>
      </c>
      <c r="Z2418" t="s">
        <v>48</v>
      </c>
      <c r="AA2418" t="s">
        <v>48</v>
      </c>
      <c r="AB2418" t="s">
        <v>48</v>
      </c>
      <c r="AC2418" t="s">
        <v>49</v>
      </c>
      <c r="AD2418" t="s">
        <v>93</v>
      </c>
      <c r="AE2418" t="s">
        <v>4532</v>
      </c>
      <c r="AF2418" t="s">
        <v>48</v>
      </c>
      <c r="AG2418" t="s">
        <v>48</v>
      </c>
      <c r="AH2418" t="s">
        <v>48</v>
      </c>
      <c r="AI2418" t="s">
        <v>48</v>
      </c>
      <c r="AJ2418" t="s">
        <v>48</v>
      </c>
      <c r="AK2418" t="s">
        <v>48</v>
      </c>
      <c r="AL2418" t="s">
        <v>48</v>
      </c>
      <c r="AM2418" t="s">
        <v>48</v>
      </c>
      <c r="AN2418" t="s">
        <v>48</v>
      </c>
      <c r="AO2418" t="s">
        <v>48</v>
      </c>
      <c r="AP2418" s="46">
        <v>0</v>
      </c>
      <c r="AQ2418" s="46">
        <v>0</v>
      </c>
      <c r="AR2418" s="46">
        <v>0</v>
      </c>
      <c r="AS2418" s="46">
        <v>0</v>
      </c>
      <c r="AT2418" s="46">
        <v>0</v>
      </c>
      <c r="AU2418" s="46">
        <v>0</v>
      </c>
      <c r="AV2418" s="46">
        <v>0</v>
      </c>
      <c r="AW2418" s="46">
        <v>0</v>
      </c>
      <c r="AX2418" s="46">
        <v>0</v>
      </c>
      <c r="AY2418" s="46">
        <v>0</v>
      </c>
      <c r="AZ2418" s="46">
        <v>0</v>
      </c>
      <c r="BA2418" s="46">
        <v>0</v>
      </c>
      <c r="BB2418" s="46">
        <v>0</v>
      </c>
      <c r="BC2418" s="46">
        <v>0</v>
      </c>
      <c r="BD2418" s="46">
        <v>0</v>
      </c>
      <c r="BE2418" s="46">
        <v>0</v>
      </c>
      <c r="BF2418" s="46">
        <v>0</v>
      </c>
      <c r="BG2418" s="46" t="s">
        <v>48</v>
      </c>
      <c r="BH2418" s="46">
        <v>0</v>
      </c>
      <c r="BI2418" s="46">
        <v>0</v>
      </c>
      <c r="BJ2418" s="46">
        <v>0</v>
      </c>
      <c r="BK2418" s="46">
        <v>0</v>
      </c>
      <c r="BL2418" s="46">
        <v>0</v>
      </c>
      <c r="BM2418" s="46">
        <v>0</v>
      </c>
      <c r="BN2418" s="46">
        <v>0</v>
      </c>
    </row>
    <row r="2419" spans="1:66" x14ac:dyDescent="0.35">
      <c r="A2419" t="s">
        <v>7440</v>
      </c>
      <c r="B2419" s="44" t="s">
        <v>48</v>
      </c>
      <c r="C2419" t="s">
        <v>7444</v>
      </c>
      <c r="D2419" t="s">
        <v>331</v>
      </c>
      <c r="E2419" t="s">
        <v>7442</v>
      </c>
      <c r="F2419" t="s">
        <v>7441</v>
      </c>
      <c r="G2419" t="s">
        <v>74</v>
      </c>
      <c r="H2419">
        <v>0</v>
      </c>
      <c r="I2419" s="60" t="s">
        <v>125</v>
      </c>
      <c r="J2419" s="33" t="s">
        <v>45</v>
      </c>
      <c r="K2419" s="46">
        <v>0</v>
      </c>
      <c r="L2419">
        <v>14.5</v>
      </c>
      <c r="M2419" t="s">
        <v>48</v>
      </c>
      <c r="N2419" s="46">
        <v>0</v>
      </c>
      <c r="O2419" s="46">
        <v>0</v>
      </c>
      <c r="P2419" s="46">
        <v>0</v>
      </c>
      <c r="Q2419" t="s">
        <v>48</v>
      </c>
      <c r="R2419" t="s">
        <v>48</v>
      </c>
      <c r="S2419" t="s">
        <v>7443</v>
      </c>
      <c r="T2419" t="s">
        <v>48</v>
      </c>
      <c r="U2419" t="s">
        <v>7443</v>
      </c>
      <c r="V2419" s="47">
        <v>0</v>
      </c>
      <c r="W2419" t="s">
        <v>48</v>
      </c>
      <c r="X2419" t="s">
        <v>48</v>
      </c>
      <c r="Y2419" t="s">
        <v>48</v>
      </c>
      <c r="Z2419">
        <v>0</v>
      </c>
      <c r="AA2419" t="s">
        <v>48</v>
      </c>
      <c r="AB2419" t="s">
        <v>48</v>
      </c>
      <c r="AC2419" t="s">
        <v>49</v>
      </c>
      <c r="AD2419" t="s">
        <v>93</v>
      </c>
      <c r="AE2419" t="s">
        <v>4532</v>
      </c>
      <c r="AF2419" t="s">
        <v>48</v>
      </c>
      <c r="AG2419" t="s">
        <v>48</v>
      </c>
      <c r="AH2419" t="s">
        <v>48</v>
      </c>
      <c r="AI2419" t="s">
        <v>48</v>
      </c>
      <c r="AJ2419" t="s">
        <v>48</v>
      </c>
      <c r="AK2419" t="s">
        <v>48</v>
      </c>
      <c r="AL2419" t="s">
        <v>48</v>
      </c>
      <c r="AM2419" t="s">
        <v>48</v>
      </c>
      <c r="AN2419" t="s">
        <v>48</v>
      </c>
      <c r="AO2419" t="s">
        <v>48</v>
      </c>
      <c r="AP2419" s="46">
        <v>0</v>
      </c>
      <c r="AQ2419" s="46">
        <v>0</v>
      </c>
      <c r="AR2419" s="46">
        <v>0</v>
      </c>
      <c r="AS2419" s="46">
        <v>0</v>
      </c>
      <c r="AT2419" s="46">
        <v>0</v>
      </c>
      <c r="AU2419" s="46">
        <v>0</v>
      </c>
      <c r="AV2419" s="46">
        <v>0</v>
      </c>
      <c r="AW2419" s="46">
        <v>0</v>
      </c>
      <c r="AX2419" s="46">
        <v>0</v>
      </c>
      <c r="AY2419" s="46">
        <v>0</v>
      </c>
      <c r="AZ2419" s="46">
        <v>0</v>
      </c>
      <c r="BA2419" s="46">
        <v>0</v>
      </c>
      <c r="BB2419" s="46">
        <v>0</v>
      </c>
      <c r="BC2419" s="46">
        <v>0</v>
      </c>
      <c r="BD2419" s="46">
        <v>0</v>
      </c>
      <c r="BE2419" s="46">
        <v>0</v>
      </c>
      <c r="BF2419" s="46">
        <v>0</v>
      </c>
      <c r="BG2419" s="46" t="s">
        <v>48</v>
      </c>
      <c r="BH2419" s="46">
        <v>0</v>
      </c>
      <c r="BI2419" s="46">
        <v>0</v>
      </c>
      <c r="BJ2419" s="46">
        <v>0</v>
      </c>
      <c r="BK2419" s="46">
        <v>0</v>
      </c>
      <c r="BL2419" s="46">
        <v>0</v>
      </c>
      <c r="BM2419" s="46">
        <v>0</v>
      </c>
      <c r="BN2419" s="46">
        <v>0</v>
      </c>
    </row>
    <row r="2420" spans="1:66" x14ac:dyDescent="0.35">
      <c r="A2420" t="s">
        <v>7453</v>
      </c>
      <c r="B2420" t="s">
        <v>48</v>
      </c>
      <c r="C2420" t="s">
        <v>7142</v>
      </c>
      <c r="D2420" t="s">
        <v>1867</v>
      </c>
      <c r="E2420" t="s">
        <v>7454</v>
      </c>
      <c r="F2420" t="s">
        <v>7441</v>
      </c>
      <c r="G2420" t="s">
        <v>47</v>
      </c>
      <c r="H2420">
        <v>0</v>
      </c>
      <c r="I2420" s="60" t="s">
        <v>125</v>
      </c>
      <c r="J2420" s="33" t="s">
        <v>45</v>
      </c>
      <c r="K2420" s="46">
        <v>0</v>
      </c>
      <c r="L2420">
        <v>0.8</v>
      </c>
      <c r="M2420" t="s">
        <v>48</v>
      </c>
      <c r="N2420" s="46">
        <v>0</v>
      </c>
      <c r="O2420" s="46">
        <v>0</v>
      </c>
      <c r="P2420" s="46">
        <v>0</v>
      </c>
      <c r="Q2420" t="s">
        <v>48</v>
      </c>
      <c r="R2420" t="s">
        <v>48</v>
      </c>
      <c r="S2420" t="s">
        <v>48</v>
      </c>
      <c r="T2420" t="s">
        <v>48</v>
      </c>
      <c r="U2420" t="s">
        <v>48</v>
      </c>
      <c r="V2420" s="47">
        <v>1</v>
      </c>
      <c r="W2420" t="s">
        <v>48</v>
      </c>
      <c r="X2420" t="s">
        <v>48</v>
      </c>
      <c r="Y2420" t="s">
        <v>48</v>
      </c>
      <c r="Z2420">
        <v>0</v>
      </c>
      <c r="AA2420" t="s">
        <v>48</v>
      </c>
      <c r="AB2420" t="s">
        <v>48</v>
      </c>
      <c r="AC2420" t="s">
        <v>49</v>
      </c>
      <c r="AD2420" t="s">
        <v>93</v>
      </c>
      <c r="AE2420" t="s">
        <v>4532</v>
      </c>
      <c r="AF2420" t="s">
        <v>48</v>
      </c>
      <c r="AG2420" t="s">
        <v>48</v>
      </c>
      <c r="AH2420" t="s">
        <v>48</v>
      </c>
      <c r="AI2420" t="s">
        <v>48</v>
      </c>
      <c r="AJ2420" t="s">
        <v>48</v>
      </c>
      <c r="AK2420" t="s">
        <v>48</v>
      </c>
      <c r="AL2420" t="s">
        <v>48</v>
      </c>
      <c r="AM2420" t="s">
        <v>48</v>
      </c>
      <c r="AN2420" t="s">
        <v>48</v>
      </c>
      <c r="AO2420" t="s">
        <v>48</v>
      </c>
      <c r="AP2420" s="46">
        <v>0</v>
      </c>
      <c r="AQ2420" s="46">
        <v>0</v>
      </c>
      <c r="AR2420" s="46">
        <v>0</v>
      </c>
      <c r="AS2420" s="46">
        <v>0</v>
      </c>
      <c r="AT2420" s="46">
        <v>0</v>
      </c>
      <c r="AU2420" s="46">
        <v>0</v>
      </c>
      <c r="AV2420" s="46">
        <v>0</v>
      </c>
      <c r="AW2420" s="46">
        <v>0</v>
      </c>
      <c r="AX2420" s="46">
        <v>0</v>
      </c>
      <c r="AY2420" s="46">
        <v>0</v>
      </c>
      <c r="AZ2420" s="46">
        <v>0</v>
      </c>
      <c r="BA2420" s="46">
        <v>0</v>
      </c>
      <c r="BB2420" s="46">
        <v>0</v>
      </c>
      <c r="BC2420" s="46">
        <v>0</v>
      </c>
      <c r="BD2420" s="46">
        <v>0</v>
      </c>
      <c r="BE2420" s="46">
        <v>0</v>
      </c>
      <c r="BF2420" s="46">
        <v>0</v>
      </c>
      <c r="BG2420" s="46" t="s">
        <v>48</v>
      </c>
      <c r="BH2420" s="46">
        <v>0</v>
      </c>
      <c r="BI2420" s="46">
        <v>0</v>
      </c>
      <c r="BJ2420" s="46">
        <v>0</v>
      </c>
      <c r="BK2420" s="46">
        <v>0</v>
      </c>
      <c r="BL2420" s="46">
        <v>0</v>
      </c>
      <c r="BM2420" s="46">
        <v>0</v>
      </c>
      <c r="BN2420" s="46">
        <v>0</v>
      </c>
    </row>
    <row r="2421" spans="1:66" x14ac:dyDescent="0.35">
      <c r="A2421" t="s">
        <v>9965</v>
      </c>
      <c r="B2421" t="s">
        <v>48</v>
      </c>
      <c r="C2421" t="s">
        <v>718</v>
      </c>
      <c r="D2421" t="s">
        <v>12363</v>
      </c>
      <c r="E2421" t="s">
        <v>9966</v>
      </c>
      <c r="F2421" t="s">
        <v>7441</v>
      </c>
      <c r="G2421" t="s">
        <v>47</v>
      </c>
      <c r="H2421">
        <v>0</v>
      </c>
      <c r="I2421" s="61">
        <v>44782</v>
      </c>
      <c r="J2421" s="33" t="s">
        <v>45</v>
      </c>
      <c r="K2421" s="46">
        <v>0</v>
      </c>
      <c r="L2421">
        <v>2.5</v>
      </c>
      <c r="M2421" t="s">
        <v>48</v>
      </c>
      <c r="N2421" s="46">
        <v>0</v>
      </c>
      <c r="O2421" s="46">
        <v>0</v>
      </c>
      <c r="P2421" s="46">
        <v>0</v>
      </c>
      <c r="Q2421" t="s">
        <v>48</v>
      </c>
      <c r="R2421" t="s">
        <v>48</v>
      </c>
      <c r="S2421" s="43" t="s">
        <v>10390</v>
      </c>
      <c r="T2421" s="43" t="s">
        <v>48</v>
      </c>
      <c r="U2421" s="43" t="s">
        <v>10390</v>
      </c>
      <c r="V2421" s="47">
        <v>1</v>
      </c>
      <c r="W2421" t="s">
        <v>48</v>
      </c>
      <c r="X2421" t="s">
        <v>48</v>
      </c>
      <c r="Y2421" t="s">
        <v>48</v>
      </c>
      <c r="Z2421" t="s">
        <v>48</v>
      </c>
      <c r="AA2421" t="s">
        <v>48</v>
      </c>
      <c r="AB2421" t="s">
        <v>48</v>
      </c>
      <c r="AC2421" t="s">
        <v>49</v>
      </c>
      <c r="AD2421" t="s">
        <v>93</v>
      </c>
      <c r="AE2421" t="s">
        <v>4532</v>
      </c>
      <c r="AF2421" t="s">
        <v>48</v>
      </c>
      <c r="AG2421" t="s">
        <v>48</v>
      </c>
      <c r="AH2421" t="s">
        <v>48</v>
      </c>
      <c r="AI2421" t="s">
        <v>48</v>
      </c>
      <c r="AJ2421" t="s">
        <v>48</v>
      </c>
      <c r="AK2421" t="s">
        <v>48</v>
      </c>
      <c r="AL2421" t="s">
        <v>48</v>
      </c>
      <c r="AM2421" t="s">
        <v>48</v>
      </c>
      <c r="AN2421" t="s">
        <v>48</v>
      </c>
      <c r="AO2421" t="s">
        <v>48</v>
      </c>
      <c r="AP2421" s="46">
        <v>0</v>
      </c>
      <c r="AQ2421" s="46">
        <v>0</v>
      </c>
      <c r="AR2421" s="46">
        <v>0</v>
      </c>
      <c r="AS2421" s="46">
        <v>0</v>
      </c>
      <c r="AT2421" s="46">
        <v>0</v>
      </c>
      <c r="AU2421" s="46">
        <v>0</v>
      </c>
      <c r="AV2421" s="46">
        <v>0</v>
      </c>
      <c r="AW2421" s="46">
        <v>0</v>
      </c>
      <c r="AX2421" s="46">
        <v>0</v>
      </c>
      <c r="AY2421" s="46">
        <v>0</v>
      </c>
      <c r="AZ2421" s="46">
        <v>0</v>
      </c>
      <c r="BA2421" s="46">
        <v>0</v>
      </c>
      <c r="BB2421" s="46">
        <v>0</v>
      </c>
      <c r="BC2421" s="46">
        <v>0</v>
      </c>
      <c r="BD2421" s="46">
        <v>0</v>
      </c>
      <c r="BE2421" s="46">
        <v>0</v>
      </c>
      <c r="BF2421" s="46">
        <v>0</v>
      </c>
      <c r="BG2421" s="46" t="s">
        <v>48</v>
      </c>
      <c r="BH2421" s="46">
        <v>0</v>
      </c>
      <c r="BI2421" s="46">
        <v>0</v>
      </c>
      <c r="BJ2421" s="46">
        <v>0</v>
      </c>
      <c r="BK2421" s="46">
        <v>0</v>
      </c>
      <c r="BL2421" s="46">
        <v>0</v>
      </c>
      <c r="BM2421" s="46">
        <v>0</v>
      </c>
      <c r="BN2421" s="46">
        <v>0</v>
      </c>
    </row>
    <row r="2422" spans="1:66" x14ac:dyDescent="0.35">
      <c r="A2422" t="s">
        <v>9882</v>
      </c>
      <c r="B2422" s="44" t="s">
        <v>48</v>
      </c>
      <c r="C2422" t="s">
        <v>12364</v>
      </c>
      <c r="D2422" t="s">
        <v>216</v>
      </c>
      <c r="E2422" t="s">
        <v>9883</v>
      </c>
      <c r="F2422" t="s">
        <v>7456</v>
      </c>
      <c r="G2422" t="s">
        <v>83</v>
      </c>
      <c r="H2422">
        <v>0</v>
      </c>
      <c r="I2422" s="61" t="s">
        <v>11160</v>
      </c>
      <c r="J2422" s="33" t="s">
        <v>45</v>
      </c>
      <c r="K2422" s="46">
        <v>0</v>
      </c>
      <c r="L2422">
        <v>1.7</v>
      </c>
      <c r="M2422" t="s">
        <v>48</v>
      </c>
      <c r="N2422" s="46">
        <v>0</v>
      </c>
      <c r="O2422" s="46">
        <v>0</v>
      </c>
      <c r="P2422" s="46">
        <v>0</v>
      </c>
      <c r="Q2422" t="s">
        <v>48</v>
      </c>
      <c r="R2422" t="s">
        <v>48</v>
      </c>
      <c r="S2422" t="s">
        <v>11331</v>
      </c>
      <c r="T2422" s="43" t="s">
        <v>48</v>
      </c>
      <c r="U2422" s="43" t="s">
        <v>10392</v>
      </c>
      <c r="V2422" s="47">
        <v>0</v>
      </c>
      <c r="W2422" t="s">
        <v>48</v>
      </c>
      <c r="X2422" t="s">
        <v>48</v>
      </c>
      <c r="Y2422" t="s">
        <v>48</v>
      </c>
      <c r="Z2422" t="s">
        <v>48</v>
      </c>
      <c r="AA2422" t="s">
        <v>48</v>
      </c>
      <c r="AB2422" t="s">
        <v>48</v>
      </c>
      <c r="AC2422" t="s">
        <v>49</v>
      </c>
      <c r="AD2422" t="s">
        <v>93</v>
      </c>
      <c r="AE2422" t="s">
        <v>4532</v>
      </c>
      <c r="AF2422" t="s">
        <v>48</v>
      </c>
      <c r="AG2422" t="s">
        <v>48</v>
      </c>
      <c r="AH2422" t="s">
        <v>48</v>
      </c>
      <c r="AI2422" t="s">
        <v>48</v>
      </c>
      <c r="AJ2422" t="s">
        <v>48</v>
      </c>
      <c r="AK2422" t="s">
        <v>48</v>
      </c>
      <c r="AL2422" t="s">
        <v>48</v>
      </c>
      <c r="AM2422" t="s">
        <v>48</v>
      </c>
      <c r="AN2422" t="s">
        <v>48</v>
      </c>
      <c r="AO2422" t="s">
        <v>48</v>
      </c>
      <c r="AP2422" s="46">
        <v>0</v>
      </c>
      <c r="AQ2422" s="46">
        <v>0</v>
      </c>
      <c r="AR2422" s="46">
        <v>0</v>
      </c>
      <c r="AS2422" s="46">
        <v>0</v>
      </c>
      <c r="AT2422" s="46">
        <v>0</v>
      </c>
      <c r="AU2422" s="46">
        <v>0</v>
      </c>
      <c r="AV2422" s="46">
        <v>0</v>
      </c>
      <c r="AW2422" s="46">
        <v>0</v>
      </c>
      <c r="AX2422" s="46">
        <v>0</v>
      </c>
      <c r="AY2422" s="46">
        <v>0</v>
      </c>
      <c r="AZ2422" s="46">
        <v>0</v>
      </c>
      <c r="BA2422" s="46">
        <v>0</v>
      </c>
      <c r="BB2422" s="46">
        <v>0</v>
      </c>
      <c r="BC2422" s="46">
        <v>0</v>
      </c>
      <c r="BD2422" s="46">
        <v>0</v>
      </c>
      <c r="BE2422" s="46">
        <v>0</v>
      </c>
      <c r="BF2422" s="46">
        <v>0</v>
      </c>
      <c r="BG2422" s="46" t="s">
        <v>48</v>
      </c>
      <c r="BH2422" s="46">
        <v>0</v>
      </c>
      <c r="BI2422" s="46">
        <v>0</v>
      </c>
      <c r="BJ2422" s="46">
        <v>0</v>
      </c>
      <c r="BK2422" s="46">
        <v>0</v>
      </c>
      <c r="BL2422" s="46">
        <v>0</v>
      </c>
      <c r="BM2422" s="46">
        <v>0</v>
      </c>
      <c r="BN2422" s="46">
        <v>0</v>
      </c>
    </row>
    <row r="2423" spans="1:66" x14ac:dyDescent="0.35">
      <c r="A2423" t="s">
        <v>7471</v>
      </c>
      <c r="B2423" s="44" t="s">
        <v>48</v>
      </c>
      <c r="C2423" t="s">
        <v>3092</v>
      </c>
      <c r="D2423" t="s">
        <v>7474</v>
      </c>
      <c r="E2423" t="s">
        <v>7472</v>
      </c>
      <c r="F2423" t="s">
        <v>7456</v>
      </c>
      <c r="G2423" t="s">
        <v>74</v>
      </c>
      <c r="H2423">
        <v>0</v>
      </c>
      <c r="I2423" s="60" t="s">
        <v>51</v>
      </c>
      <c r="J2423" s="33" t="s">
        <v>45</v>
      </c>
      <c r="K2423" s="46">
        <v>0</v>
      </c>
      <c r="L2423">
        <v>2.2000000000000002</v>
      </c>
      <c r="M2423" t="s">
        <v>48</v>
      </c>
      <c r="N2423" s="46">
        <v>0</v>
      </c>
      <c r="O2423" s="46">
        <v>0</v>
      </c>
      <c r="P2423" s="46">
        <v>0</v>
      </c>
      <c r="Q2423" t="s">
        <v>48</v>
      </c>
      <c r="R2423" t="s">
        <v>48</v>
      </c>
      <c r="S2423" t="s">
        <v>7473</v>
      </c>
      <c r="T2423" t="s">
        <v>48</v>
      </c>
      <c r="U2423" t="s">
        <v>7473</v>
      </c>
      <c r="V2423" s="47">
        <v>0</v>
      </c>
      <c r="W2423" t="s">
        <v>48</v>
      </c>
      <c r="X2423" t="s">
        <v>48</v>
      </c>
      <c r="Y2423" t="s">
        <v>48</v>
      </c>
      <c r="Z2423">
        <v>0</v>
      </c>
      <c r="AA2423" t="s">
        <v>48</v>
      </c>
      <c r="AB2423" t="s">
        <v>48</v>
      </c>
      <c r="AC2423" t="s">
        <v>49</v>
      </c>
      <c r="AD2423" t="s">
        <v>93</v>
      </c>
      <c r="AE2423" t="s">
        <v>4532</v>
      </c>
      <c r="AF2423" t="s">
        <v>48</v>
      </c>
      <c r="AG2423" t="s">
        <v>48</v>
      </c>
      <c r="AH2423" t="s">
        <v>48</v>
      </c>
      <c r="AI2423" t="s">
        <v>48</v>
      </c>
      <c r="AJ2423" t="s">
        <v>48</v>
      </c>
      <c r="AK2423" t="s">
        <v>48</v>
      </c>
      <c r="AL2423" t="s">
        <v>48</v>
      </c>
      <c r="AM2423" t="s">
        <v>48</v>
      </c>
      <c r="AN2423" t="s">
        <v>48</v>
      </c>
      <c r="AO2423" t="s">
        <v>48</v>
      </c>
      <c r="AP2423" s="46">
        <v>0</v>
      </c>
      <c r="AQ2423" s="46">
        <v>0</v>
      </c>
      <c r="AR2423" s="46">
        <v>0</v>
      </c>
      <c r="AS2423" s="46">
        <v>0</v>
      </c>
      <c r="AT2423" s="46">
        <v>0</v>
      </c>
      <c r="AU2423" s="46">
        <v>0</v>
      </c>
      <c r="AV2423" s="46">
        <v>0</v>
      </c>
      <c r="AW2423" s="46">
        <v>0</v>
      </c>
      <c r="AX2423" s="46">
        <v>0</v>
      </c>
      <c r="AY2423" s="46">
        <v>0</v>
      </c>
      <c r="AZ2423" s="46">
        <v>0</v>
      </c>
      <c r="BA2423" s="46">
        <v>0</v>
      </c>
      <c r="BB2423" s="46">
        <v>0</v>
      </c>
      <c r="BC2423" s="46">
        <v>0</v>
      </c>
      <c r="BD2423" s="46">
        <v>0</v>
      </c>
      <c r="BE2423" s="46">
        <v>0</v>
      </c>
      <c r="BF2423" s="46">
        <v>0</v>
      </c>
      <c r="BG2423" s="46" t="s">
        <v>48</v>
      </c>
      <c r="BH2423" s="46">
        <v>0</v>
      </c>
      <c r="BI2423" s="46">
        <v>0</v>
      </c>
      <c r="BJ2423" s="46">
        <v>0</v>
      </c>
      <c r="BK2423" s="46">
        <v>0</v>
      </c>
      <c r="BL2423" s="46">
        <v>0</v>
      </c>
      <c r="BM2423" s="46">
        <v>0</v>
      </c>
      <c r="BN2423" s="46">
        <v>0</v>
      </c>
    </row>
    <row r="2424" spans="1:66" x14ac:dyDescent="0.35">
      <c r="A2424" t="s">
        <v>7475</v>
      </c>
      <c r="B2424" t="s">
        <v>48</v>
      </c>
      <c r="C2424" t="s">
        <v>12366</v>
      </c>
      <c r="D2424" t="s">
        <v>7478</v>
      </c>
      <c r="E2424" t="s">
        <v>7476</v>
      </c>
      <c r="F2424" t="s">
        <v>7456</v>
      </c>
      <c r="G2424" t="s">
        <v>47</v>
      </c>
      <c r="H2424">
        <v>0</v>
      </c>
      <c r="I2424" s="60" t="s">
        <v>51</v>
      </c>
      <c r="J2424" s="33" t="s">
        <v>45</v>
      </c>
      <c r="K2424" s="46">
        <v>0</v>
      </c>
      <c r="L2424">
        <v>16</v>
      </c>
      <c r="M2424" t="s">
        <v>48</v>
      </c>
      <c r="N2424" s="46">
        <v>0</v>
      </c>
      <c r="O2424" s="46">
        <v>0</v>
      </c>
      <c r="P2424" s="46">
        <v>0</v>
      </c>
      <c r="Q2424" t="s">
        <v>48</v>
      </c>
      <c r="R2424" t="s">
        <v>48</v>
      </c>
      <c r="S2424" t="s">
        <v>7477</v>
      </c>
      <c r="T2424" t="s">
        <v>48</v>
      </c>
      <c r="U2424" t="s">
        <v>7477</v>
      </c>
      <c r="V2424" s="47">
        <v>0</v>
      </c>
      <c r="W2424" t="s">
        <v>48</v>
      </c>
      <c r="X2424" t="s">
        <v>48</v>
      </c>
      <c r="Y2424" t="s">
        <v>48</v>
      </c>
      <c r="Z2424">
        <v>0</v>
      </c>
      <c r="AA2424" t="s">
        <v>48</v>
      </c>
      <c r="AB2424" t="s">
        <v>48</v>
      </c>
      <c r="AC2424" t="s">
        <v>63</v>
      </c>
      <c r="AD2424" t="s">
        <v>93</v>
      </c>
      <c r="AE2424" t="s">
        <v>4532</v>
      </c>
      <c r="AF2424" t="s">
        <v>48</v>
      </c>
      <c r="AG2424" t="s">
        <v>48</v>
      </c>
      <c r="AH2424" t="s">
        <v>48</v>
      </c>
      <c r="AI2424" t="s">
        <v>48</v>
      </c>
      <c r="AJ2424" t="s">
        <v>48</v>
      </c>
      <c r="AK2424" t="s">
        <v>48</v>
      </c>
      <c r="AL2424" t="s">
        <v>48</v>
      </c>
      <c r="AM2424" t="s">
        <v>48</v>
      </c>
      <c r="AN2424" t="s">
        <v>48</v>
      </c>
      <c r="AO2424" t="s">
        <v>48</v>
      </c>
      <c r="AP2424" s="46">
        <v>0</v>
      </c>
      <c r="AQ2424" s="46">
        <v>0</v>
      </c>
      <c r="AR2424" s="46">
        <v>0</v>
      </c>
      <c r="AS2424" s="46">
        <v>0</v>
      </c>
      <c r="AT2424" s="46">
        <v>0</v>
      </c>
      <c r="AU2424" s="46">
        <v>0</v>
      </c>
      <c r="AV2424" s="46">
        <v>0</v>
      </c>
      <c r="AW2424" s="46">
        <v>0</v>
      </c>
      <c r="AX2424" s="46">
        <v>0</v>
      </c>
      <c r="AY2424" s="46">
        <v>0</v>
      </c>
      <c r="AZ2424" s="46">
        <v>0</v>
      </c>
      <c r="BA2424" s="46">
        <v>0</v>
      </c>
      <c r="BB2424" s="46">
        <v>0</v>
      </c>
      <c r="BC2424" s="46">
        <v>0</v>
      </c>
      <c r="BD2424" s="46">
        <v>0</v>
      </c>
      <c r="BE2424" s="46">
        <v>0</v>
      </c>
      <c r="BF2424" s="46">
        <v>0</v>
      </c>
      <c r="BG2424" s="46" t="s">
        <v>48</v>
      </c>
      <c r="BH2424" s="46">
        <v>0</v>
      </c>
      <c r="BI2424" s="46">
        <v>0</v>
      </c>
      <c r="BJ2424" s="46">
        <v>0</v>
      </c>
      <c r="BK2424" s="46">
        <v>0</v>
      </c>
      <c r="BL2424" s="46">
        <v>0</v>
      </c>
      <c r="BM2424" s="46">
        <v>0</v>
      </c>
      <c r="BN2424" s="46">
        <v>0</v>
      </c>
    </row>
    <row r="2425" spans="1:66" x14ac:dyDescent="0.35">
      <c r="A2425" t="s">
        <v>7459</v>
      </c>
      <c r="B2425" t="s">
        <v>48</v>
      </c>
      <c r="C2425" t="s">
        <v>12365</v>
      </c>
      <c r="D2425" t="s">
        <v>7001</v>
      </c>
      <c r="E2425" t="s">
        <v>7460</v>
      </c>
      <c r="F2425" t="s">
        <v>7456</v>
      </c>
      <c r="G2425" t="s">
        <v>47</v>
      </c>
      <c r="H2425">
        <v>0</v>
      </c>
      <c r="I2425" s="60" t="s">
        <v>51</v>
      </c>
      <c r="J2425" s="33" t="s">
        <v>45</v>
      </c>
      <c r="K2425" s="46">
        <v>1</v>
      </c>
      <c r="L2425">
        <v>22.3</v>
      </c>
      <c r="M2425" t="s">
        <v>48</v>
      </c>
      <c r="N2425" s="46">
        <v>0</v>
      </c>
      <c r="O2425" s="46">
        <v>0</v>
      </c>
      <c r="P2425" s="46">
        <v>0</v>
      </c>
      <c r="Q2425" t="s">
        <v>48</v>
      </c>
      <c r="R2425" t="s">
        <v>48</v>
      </c>
      <c r="S2425" t="s">
        <v>7461</v>
      </c>
      <c r="T2425" t="s">
        <v>7462</v>
      </c>
      <c r="U2425" t="s">
        <v>7461</v>
      </c>
      <c r="V2425" s="47">
        <v>0</v>
      </c>
      <c r="W2425" t="s">
        <v>48</v>
      </c>
      <c r="X2425" t="s">
        <v>48</v>
      </c>
      <c r="Y2425" t="s">
        <v>48</v>
      </c>
      <c r="Z2425">
        <v>0</v>
      </c>
      <c r="AA2425" t="s">
        <v>48</v>
      </c>
      <c r="AB2425">
        <v>2010</v>
      </c>
      <c r="AC2425" t="s">
        <v>63</v>
      </c>
      <c r="AD2425" t="s">
        <v>951</v>
      </c>
      <c r="AE2425" s="40" t="s">
        <v>11051</v>
      </c>
      <c r="AF2425" t="s">
        <v>11054</v>
      </c>
      <c r="AG2425" t="s">
        <v>112</v>
      </c>
      <c r="AH2425" t="s">
        <v>93</v>
      </c>
      <c r="AI2425">
        <v>21187</v>
      </c>
      <c r="AJ2425">
        <v>1978</v>
      </c>
      <c r="AK2425" t="s">
        <v>9400</v>
      </c>
      <c r="AL2425" t="s">
        <v>9401</v>
      </c>
      <c r="AM2425">
        <v>0.34599999999999997</v>
      </c>
      <c r="AN2425">
        <v>-0.153</v>
      </c>
      <c r="AO2425">
        <v>0.34599999999999997</v>
      </c>
      <c r="AP2425" s="46">
        <v>0</v>
      </c>
      <c r="AQ2425" s="46">
        <v>0</v>
      </c>
      <c r="AR2425" s="46">
        <v>0</v>
      </c>
      <c r="AS2425" s="46">
        <v>0</v>
      </c>
      <c r="AT2425" s="46">
        <v>0</v>
      </c>
      <c r="AU2425" s="46">
        <v>0</v>
      </c>
      <c r="AV2425" s="46">
        <v>0</v>
      </c>
      <c r="AW2425" s="46">
        <v>0</v>
      </c>
      <c r="AX2425" s="46">
        <v>1</v>
      </c>
      <c r="AY2425" s="46">
        <v>1</v>
      </c>
      <c r="AZ2425" s="46">
        <v>1</v>
      </c>
      <c r="BA2425" s="46">
        <v>1</v>
      </c>
      <c r="BB2425" s="46">
        <v>0</v>
      </c>
      <c r="BC2425" s="46">
        <v>0</v>
      </c>
      <c r="BD2425" s="46">
        <v>0</v>
      </c>
      <c r="BE2425" s="46">
        <v>0</v>
      </c>
      <c r="BF2425" s="46">
        <v>0</v>
      </c>
      <c r="BG2425" s="46" t="s">
        <v>48</v>
      </c>
      <c r="BH2425" s="46">
        <v>0</v>
      </c>
      <c r="BI2425" s="46">
        <v>0</v>
      </c>
      <c r="BJ2425" s="46">
        <v>0</v>
      </c>
      <c r="BK2425" s="46">
        <v>0</v>
      </c>
      <c r="BL2425" s="46">
        <v>0</v>
      </c>
      <c r="BM2425" s="46">
        <v>1</v>
      </c>
      <c r="BN2425" s="46">
        <v>0</v>
      </c>
    </row>
    <row r="2426" spans="1:66" x14ac:dyDescent="0.35">
      <c r="A2426" t="s">
        <v>7455</v>
      </c>
      <c r="B2426" t="s">
        <v>48</v>
      </c>
      <c r="C2426" t="s">
        <v>550</v>
      </c>
      <c r="D2426" t="s">
        <v>7458</v>
      </c>
      <c r="E2426" t="s">
        <v>7457</v>
      </c>
      <c r="F2426" t="s">
        <v>7456</v>
      </c>
      <c r="G2426" t="s">
        <v>47</v>
      </c>
      <c r="H2426">
        <v>0</v>
      </c>
      <c r="I2426" s="60" t="s">
        <v>675</v>
      </c>
      <c r="J2426" s="33" t="s">
        <v>45</v>
      </c>
      <c r="K2426" s="46">
        <v>0</v>
      </c>
      <c r="L2426">
        <v>0.5</v>
      </c>
      <c r="M2426" t="s">
        <v>48</v>
      </c>
      <c r="N2426" s="46">
        <v>0</v>
      </c>
      <c r="O2426" s="46">
        <v>0</v>
      </c>
      <c r="P2426" s="46">
        <v>0</v>
      </c>
      <c r="Q2426" t="s">
        <v>48</v>
      </c>
      <c r="R2426" t="s">
        <v>48</v>
      </c>
      <c r="S2426" t="s">
        <v>10393</v>
      </c>
      <c r="T2426" t="s">
        <v>48</v>
      </c>
      <c r="U2426" t="s">
        <v>10393</v>
      </c>
      <c r="V2426" s="47">
        <v>1</v>
      </c>
      <c r="W2426" t="s">
        <v>48</v>
      </c>
      <c r="X2426" t="s">
        <v>48</v>
      </c>
      <c r="Y2426" t="s">
        <v>48</v>
      </c>
      <c r="Z2426">
        <v>0</v>
      </c>
      <c r="AA2426" t="s">
        <v>48</v>
      </c>
      <c r="AB2426" t="s">
        <v>48</v>
      </c>
      <c r="AC2426" t="s">
        <v>49</v>
      </c>
      <c r="AD2426" t="s">
        <v>93</v>
      </c>
      <c r="AE2426" t="s">
        <v>4532</v>
      </c>
      <c r="AF2426" t="s">
        <v>48</v>
      </c>
      <c r="AG2426" t="s">
        <v>48</v>
      </c>
      <c r="AH2426" t="s">
        <v>48</v>
      </c>
      <c r="AI2426" t="s">
        <v>48</v>
      </c>
      <c r="AJ2426" t="s">
        <v>48</v>
      </c>
      <c r="AK2426" t="s">
        <v>48</v>
      </c>
      <c r="AL2426" t="s">
        <v>48</v>
      </c>
      <c r="AM2426" t="s">
        <v>48</v>
      </c>
      <c r="AN2426" t="s">
        <v>48</v>
      </c>
      <c r="AO2426" t="s">
        <v>48</v>
      </c>
      <c r="AP2426" s="46">
        <v>0</v>
      </c>
      <c r="AQ2426" s="46">
        <v>0</v>
      </c>
      <c r="AR2426" s="46">
        <v>0</v>
      </c>
      <c r="AS2426" s="46">
        <v>0</v>
      </c>
      <c r="AT2426" s="46">
        <v>0</v>
      </c>
      <c r="AU2426" s="46">
        <v>0</v>
      </c>
      <c r="AV2426" s="46">
        <v>0</v>
      </c>
      <c r="AW2426" s="46">
        <v>0</v>
      </c>
      <c r="AX2426" s="46">
        <v>0</v>
      </c>
      <c r="AY2426" s="46">
        <v>0</v>
      </c>
      <c r="AZ2426" s="46">
        <v>0</v>
      </c>
      <c r="BA2426" s="46">
        <v>0</v>
      </c>
      <c r="BB2426" s="46">
        <v>0</v>
      </c>
      <c r="BC2426" s="46">
        <v>0</v>
      </c>
      <c r="BD2426" s="46">
        <v>0</v>
      </c>
      <c r="BE2426" s="46">
        <v>0</v>
      </c>
      <c r="BF2426" s="46">
        <v>0</v>
      </c>
      <c r="BG2426" s="46" t="s">
        <v>48</v>
      </c>
      <c r="BH2426" s="46">
        <v>0</v>
      </c>
      <c r="BI2426" s="46">
        <v>0</v>
      </c>
      <c r="BJ2426" s="46">
        <v>0</v>
      </c>
      <c r="BK2426" s="46">
        <v>0</v>
      </c>
      <c r="BL2426" s="46">
        <v>0</v>
      </c>
      <c r="BM2426" s="46">
        <v>0</v>
      </c>
      <c r="BN2426" s="46">
        <v>0</v>
      </c>
    </row>
    <row r="2427" spans="1:66" x14ac:dyDescent="0.35">
      <c r="A2427" t="s">
        <v>7466</v>
      </c>
      <c r="B2427" t="s">
        <v>48</v>
      </c>
      <c r="C2427" t="s">
        <v>7470</v>
      </c>
      <c r="D2427" t="s">
        <v>7469</v>
      </c>
      <c r="E2427" t="s">
        <v>7467</v>
      </c>
      <c r="F2427" t="s">
        <v>7456</v>
      </c>
      <c r="G2427" t="s">
        <v>47</v>
      </c>
      <c r="H2427">
        <v>0</v>
      </c>
      <c r="I2427" s="60" t="s">
        <v>149</v>
      </c>
      <c r="J2427" s="33" t="s">
        <v>45</v>
      </c>
      <c r="K2427" s="46">
        <v>0</v>
      </c>
      <c r="L2427">
        <v>3.2</v>
      </c>
      <c r="M2427" t="s">
        <v>48</v>
      </c>
      <c r="N2427" s="46">
        <v>0</v>
      </c>
      <c r="O2427" s="46">
        <v>0</v>
      </c>
      <c r="P2427" s="46">
        <v>0</v>
      </c>
      <c r="Q2427" t="s">
        <v>48</v>
      </c>
      <c r="R2427" t="s">
        <v>48</v>
      </c>
      <c r="S2427" t="s">
        <v>7468</v>
      </c>
      <c r="T2427" t="s">
        <v>48</v>
      </c>
      <c r="U2427" t="s">
        <v>7468</v>
      </c>
      <c r="V2427" s="47">
        <v>0</v>
      </c>
      <c r="W2427" t="s">
        <v>48</v>
      </c>
      <c r="X2427" t="s">
        <v>48</v>
      </c>
      <c r="Y2427" t="s">
        <v>48</v>
      </c>
      <c r="Z2427">
        <v>0</v>
      </c>
      <c r="AA2427" t="s">
        <v>48</v>
      </c>
      <c r="AB2427" t="s">
        <v>48</v>
      </c>
      <c r="AC2427" t="s">
        <v>63</v>
      </c>
      <c r="AD2427" t="s">
        <v>93</v>
      </c>
      <c r="AE2427" t="s">
        <v>4532</v>
      </c>
      <c r="AF2427" t="s">
        <v>48</v>
      </c>
      <c r="AG2427" t="s">
        <v>48</v>
      </c>
      <c r="AH2427" t="s">
        <v>48</v>
      </c>
      <c r="AI2427" t="s">
        <v>48</v>
      </c>
      <c r="AJ2427" t="s">
        <v>48</v>
      </c>
      <c r="AK2427" t="s">
        <v>48</v>
      </c>
      <c r="AL2427" t="s">
        <v>48</v>
      </c>
      <c r="AM2427" t="s">
        <v>48</v>
      </c>
      <c r="AN2427" t="s">
        <v>48</v>
      </c>
      <c r="AO2427" t="s">
        <v>48</v>
      </c>
      <c r="AP2427" s="46">
        <v>0</v>
      </c>
      <c r="AQ2427" s="46">
        <v>0</v>
      </c>
      <c r="AR2427" s="46">
        <v>0</v>
      </c>
      <c r="AS2427" s="46">
        <v>0</v>
      </c>
      <c r="AT2427" s="46">
        <v>0</v>
      </c>
      <c r="AU2427" s="46">
        <v>0</v>
      </c>
      <c r="AV2427" s="46">
        <v>0</v>
      </c>
      <c r="AW2427" s="46">
        <v>0</v>
      </c>
      <c r="AX2427" s="46">
        <v>0</v>
      </c>
      <c r="AY2427" s="46">
        <v>0</v>
      </c>
      <c r="AZ2427" s="46">
        <v>0</v>
      </c>
      <c r="BA2427" s="46">
        <v>0</v>
      </c>
      <c r="BB2427" s="46">
        <v>0</v>
      </c>
      <c r="BC2427" s="46">
        <v>0</v>
      </c>
      <c r="BD2427" s="46">
        <v>0</v>
      </c>
      <c r="BE2427" s="46">
        <v>0</v>
      </c>
      <c r="BF2427" s="46">
        <v>0</v>
      </c>
      <c r="BG2427" s="46" t="s">
        <v>48</v>
      </c>
      <c r="BH2427" s="46">
        <v>0</v>
      </c>
      <c r="BI2427" s="46">
        <v>0</v>
      </c>
      <c r="BJ2427" s="46">
        <v>0</v>
      </c>
      <c r="BK2427" s="46">
        <v>0</v>
      </c>
      <c r="BL2427" s="46">
        <v>0</v>
      </c>
      <c r="BM2427" s="46">
        <v>0</v>
      </c>
      <c r="BN2427" s="46">
        <v>0</v>
      </c>
    </row>
    <row r="2428" spans="1:66" x14ac:dyDescent="0.35">
      <c r="A2428" t="s">
        <v>7485</v>
      </c>
      <c r="B2428" t="s">
        <v>48</v>
      </c>
      <c r="C2428" t="s">
        <v>1140</v>
      </c>
      <c r="D2428" t="s">
        <v>7487</v>
      </c>
      <c r="E2428" t="s">
        <v>7486</v>
      </c>
      <c r="F2428" t="s">
        <v>7480</v>
      </c>
      <c r="G2428" t="s">
        <v>47</v>
      </c>
      <c r="H2428">
        <v>0</v>
      </c>
      <c r="I2428" s="60" t="s">
        <v>51</v>
      </c>
      <c r="J2428" s="33" t="s">
        <v>45</v>
      </c>
      <c r="K2428" s="46">
        <v>0</v>
      </c>
      <c r="L2428">
        <v>1.4</v>
      </c>
      <c r="M2428" t="s">
        <v>48</v>
      </c>
      <c r="N2428" s="46">
        <v>0</v>
      </c>
      <c r="O2428" s="46">
        <v>0</v>
      </c>
      <c r="P2428" s="46">
        <v>0</v>
      </c>
      <c r="Q2428" t="s">
        <v>48</v>
      </c>
      <c r="R2428" t="s">
        <v>48</v>
      </c>
      <c r="S2428" t="s">
        <v>10394</v>
      </c>
      <c r="T2428" t="s">
        <v>48</v>
      </c>
      <c r="U2428" t="s">
        <v>10394</v>
      </c>
      <c r="V2428" s="47">
        <v>0</v>
      </c>
      <c r="W2428" t="s">
        <v>48</v>
      </c>
      <c r="X2428" t="s">
        <v>48</v>
      </c>
      <c r="Y2428" t="s">
        <v>48</v>
      </c>
      <c r="Z2428">
        <v>0</v>
      </c>
      <c r="AA2428" t="s">
        <v>48</v>
      </c>
      <c r="AB2428" t="s">
        <v>48</v>
      </c>
      <c r="AC2428" t="s">
        <v>49</v>
      </c>
      <c r="AD2428" t="s">
        <v>951</v>
      </c>
      <c r="AE2428" t="s">
        <v>11051</v>
      </c>
      <c r="AF2428" t="s">
        <v>48</v>
      </c>
      <c r="AG2428" t="s">
        <v>48</v>
      </c>
      <c r="AH2428" t="s">
        <v>48</v>
      </c>
      <c r="AI2428" t="s">
        <v>48</v>
      </c>
      <c r="AJ2428" t="s">
        <v>48</v>
      </c>
      <c r="AK2428" t="s">
        <v>48</v>
      </c>
      <c r="AL2428" t="s">
        <v>48</v>
      </c>
      <c r="AM2428" t="s">
        <v>48</v>
      </c>
      <c r="AN2428" t="s">
        <v>48</v>
      </c>
      <c r="AO2428" t="s">
        <v>48</v>
      </c>
      <c r="AP2428" s="46">
        <v>0</v>
      </c>
      <c r="AQ2428" s="46">
        <v>0</v>
      </c>
      <c r="AR2428" s="46">
        <v>0</v>
      </c>
      <c r="AS2428" s="46">
        <v>0</v>
      </c>
      <c r="AT2428" s="46">
        <v>0</v>
      </c>
      <c r="AU2428" s="46">
        <v>0</v>
      </c>
      <c r="AV2428" s="46">
        <v>0</v>
      </c>
      <c r="AW2428" s="46">
        <v>0</v>
      </c>
      <c r="AX2428" s="46">
        <v>0</v>
      </c>
      <c r="AY2428" s="46">
        <v>0</v>
      </c>
      <c r="AZ2428" s="46">
        <v>0</v>
      </c>
      <c r="BA2428" s="46">
        <v>0</v>
      </c>
      <c r="BB2428" s="46">
        <v>0</v>
      </c>
      <c r="BC2428" s="46">
        <v>0</v>
      </c>
      <c r="BD2428" s="46">
        <v>0</v>
      </c>
      <c r="BE2428" s="46">
        <v>0</v>
      </c>
      <c r="BF2428" s="46">
        <v>0</v>
      </c>
      <c r="BG2428" s="46" t="s">
        <v>48</v>
      </c>
      <c r="BH2428" s="46">
        <v>0</v>
      </c>
      <c r="BI2428" s="46">
        <v>0</v>
      </c>
      <c r="BJ2428" s="46">
        <v>0</v>
      </c>
      <c r="BK2428" s="46">
        <v>0</v>
      </c>
      <c r="BL2428" s="46">
        <v>0</v>
      </c>
      <c r="BM2428" s="46">
        <v>0</v>
      </c>
      <c r="BN2428" s="46">
        <v>0</v>
      </c>
    </row>
    <row r="2429" spans="1:66" x14ac:dyDescent="0.35">
      <c r="A2429" t="s">
        <v>7492</v>
      </c>
      <c r="B2429" t="s">
        <v>48</v>
      </c>
      <c r="C2429" t="s">
        <v>7495</v>
      </c>
      <c r="D2429" t="s">
        <v>1252</v>
      </c>
      <c r="E2429" t="s">
        <v>7493</v>
      </c>
      <c r="F2429" t="s">
        <v>7480</v>
      </c>
      <c r="G2429" t="s">
        <v>47</v>
      </c>
      <c r="H2429">
        <v>0</v>
      </c>
      <c r="I2429" s="60" t="s">
        <v>51</v>
      </c>
      <c r="J2429" s="33" t="s">
        <v>45</v>
      </c>
      <c r="K2429" s="46">
        <v>0</v>
      </c>
      <c r="L2429">
        <v>10.5</v>
      </c>
      <c r="M2429" t="s">
        <v>48</v>
      </c>
      <c r="N2429" s="46">
        <v>0</v>
      </c>
      <c r="O2429" s="46">
        <v>0</v>
      </c>
      <c r="P2429" s="46">
        <v>0</v>
      </c>
      <c r="Q2429" t="s">
        <v>48</v>
      </c>
      <c r="R2429" t="s">
        <v>48</v>
      </c>
      <c r="S2429" t="s">
        <v>7494</v>
      </c>
      <c r="T2429" t="s">
        <v>48</v>
      </c>
      <c r="U2429" t="s">
        <v>7494</v>
      </c>
      <c r="V2429" s="47">
        <v>0</v>
      </c>
      <c r="W2429" t="s">
        <v>48</v>
      </c>
      <c r="X2429" t="s">
        <v>48</v>
      </c>
      <c r="Y2429" t="s">
        <v>48</v>
      </c>
      <c r="Z2429">
        <v>0</v>
      </c>
      <c r="AA2429" t="s">
        <v>48</v>
      </c>
      <c r="AB2429" t="s">
        <v>48</v>
      </c>
      <c r="AC2429" t="s">
        <v>49</v>
      </c>
      <c r="AD2429" t="s">
        <v>93</v>
      </c>
      <c r="AE2429" t="s">
        <v>4532</v>
      </c>
      <c r="AF2429" t="s">
        <v>48</v>
      </c>
      <c r="AG2429" t="s">
        <v>48</v>
      </c>
      <c r="AH2429" t="s">
        <v>48</v>
      </c>
      <c r="AI2429" t="s">
        <v>48</v>
      </c>
      <c r="AJ2429">
        <v>1957</v>
      </c>
      <c r="AK2429" t="s">
        <v>48</v>
      </c>
      <c r="AL2429" t="s">
        <v>48</v>
      </c>
      <c r="AM2429" t="s">
        <v>48</v>
      </c>
      <c r="AN2429" t="s">
        <v>48</v>
      </c>
      <c r="AO2429" t="s">
        <v>48</v>
      </c>
      <c r="AP2429" s="46">
        <v>0</v>
      </c>
      <c r="AQ2429" s="46">
        <v>0</v>
      </c>
      <c r="AR2429" s="46">
        <v>0</v>
      </c>
      <c r="AS2429" s="46">
        <v>0</v>
      </c>
      <c r="AT2429" s="46">
        <v>0</v>
      </c>
      <c r="AU2429" s="46">
        <v>0</v>
      </c>
      <c r="AV2429" s="46">
        <v>0</v>
      </c>
      <c r="AW2429" s="46">
        <v>0</v>
      </c>
      <c r="AX2429" s="46">
        <v>0</v>
      </c>
      <c r="AY2429" s="46">
        <v>0</v>
      </c>
      <c r="AZ2429" s="46">
        <v>0</v>
      </c>
      <c r="BA2429" s="46">
        <v>0</v>
      </c>
      <c r="BB2429" s="46">
        <v>0</v>
      </c>
      <c r="BC2429" s="46">
        <v>0</v>
      </c>
      <c r="BD2429" s="46">
        <v>0</v>
      </c>
      <c r="BE2429" s="46">
        <v>0</v>
      </c>
      <c r="BF2429" s="46">
        <v>0</v>
      </c>
      <c r="BG2429" s="46" t="s">
        <v>48</v>
      </c>
      <c r="BH2429" s="46">
        <v>0</v>
      </c>
      <c r="BI2429" s="46">
        <v>0</v>
      </c>
      <c r="BJ2429" s="46">
        <v>0</v>
      </c>
      <c r="BK2429" s="46">
        <v>0</v>
      </c>
      <c r="BL2429" s="46">
        <v>0</v>
      </c>
      <c r="BM2429" s="46">
        <v>0</v>
      </c>
      <c r="BN2429" s="46">
        <v>0</v>
      </c>
    </row>
    <row r="2430" spans="1:66" x14ac:dyDescent="0.35">
      <c r="A2430" t="s">
        <v>7488</v>
      </c>
      <c r="B2430" t="s">
        <v>48</v>
      </c>
      <c r="C2430" t="s">
        <v>1300</v>
      </c>
      <c r="D2430" t="s">
        <v>7491</v>
      </c>
      <c r="E2430" t="s">
        <v>7489</v>
      </c>
      <c r="F2430" t="s">
        <v>7480</v>
      </c>
      <c r="G2430" t="s">
        <v>47</v>
      </c>
      <c r="H2430">
        <v>0</v>
      </c>
      <c r="I2430" s="60" t="s">
        <v>125</v>
      </c>
      <c r="J2430" s="33" t="s">
        <v>45</v>
      </c>
      <c r="K2430" s="46">
        <v>0</v>
      </c>
      <c r="L2430">
        <v>3.4</v>
      </c>
      <c r="M2430" t="s">
        <v>48</v>
      </c>
      <c r="N2430" s="46">
        <v>0</v>
      </c>
      <c r="O2430" s="46">
        <v>0</v>
      </c>
      <c r="P2430" s="46">
        <v>0</v>
      </c>
      <c r="Q2430" t="s">
        <v>48</v>
      </c>
      <c r="R2430" t="s">
        <v>48</v>
      </c>
      <c r="S2430" t="s">
        <v>7490</v>
      </c>
      <c r="T2430" t="s">
        <v>48</v>
      </c>
      <c r="U2430" t="s">
        <v>7490</v>
      </c>
      <c r="V2430" s="47">
        <v>0</v>
      </c>
      <c r="W2430" t="s">
        <v>48</v>
      </c>
      <c r="X2430" t="s">
        <v>48</v>
      </c>
      <c r="Y2430" t="s">
        <v>48</v>
      </c>
      <c r="Z2430">
        <v>0</v>
      </c>
      <c r="AA2430" t="s">
        <v>48</v>
      </c>
      <c r="AB2430" t="s">
        <v>48</v>
      </c>
      <c r="AC2430" t="s">
        <v>49</v>
      </c>
      <c r="AD2430" t="s">
        <v>93</v>
      </c>
      <c r="AE2430" t="s">
        <v>4532</v>
      </c>
      <c r="AF2430" t="s">
        <v>48</v>
      </c>
      <c r="AG2430" t="s">
        <v>48</v>
      </c>
      <c r="AH2430" t="s">
        <v>48</v>
      </c>
      <c r="AI2430" t="s">
        <v>48</v>
      </c>
      <c r="AJ2430" t="s">
        <v>48</v>
      </c>
      <c r="AK2430" t="s">
        <v>48</v>
      </c>
      <c r="AL2430" t="s">
        <v>48</v>
      </c>
      <c r="AM2430" t="s">
        <v>48</v>
      </c>
      <c r="AN2430" t="s">
        <v>48</v>
      </c>
      <c r="AO2430" t="s">
        <v>48</v>
      </c>
      <c r="AP2430" s="46">
        <v>0</v>
      </c>
      <c r="AQ2430" s="46">
        <v>0</v>
      </c>
      <c r="AR2430" s="46">
        <v>0</v>
      </c>
      <c r="AS2430" s="46">
        <v>0</v>
      </c>
      <c r="AT2430" s="46">
        <v>0</v>
      </c>
      <c r="AU2430" s="46">
        <v>0</v>
      </c>
      <c r="AV2430" s="46">
        <v>0</v>
      </c>
      <c r="AW2430" s="46">
        <v>0</v>
      </c>
      <c r="AX2430" s="46">
        <v>0</v>
      </c>
      <c r="AY2430" s="46">
        <v>0</v>
      </c>
      <c r="AZ2430" s="46">
        <v>0</v>
      </c>
      <c r="BA2430" s="46">
        <v>0</v>
      </c>
      <c r="BB2430" s="46">
        <v>0</v>
      </c>
      <c r="BC2430" s="46">
        <v>0</v>
      </c>
      <c r="BD2430" s="46">
        <v>0</v>
      </c>
      <c r="BE2430" s="46">
        <v>0</v>
      </c>
      <c r="BF2430" s="46">
        <v>0</v>
      </c>
      <c r="BG2430" s="46" t="s">
        <v>48</v>
      </c>
      <c r="BH2430" s="46">
        <v>0</v>
      </c>
      <c r="BI2430" s="46">
        <v>0</v>
      </c>
      <c r="BJ2430" s="46">
        <v>0</v>
      </c>
      <c r="BK2430" s="46">
        <v>0</v>
      </c>
      <c r="BL2430" s="46">
        <v>0</v>
      </c>
      <c r="BM2430" s="46">
        <v>0</v>
      </c>
      <c r="BN2430" s="46">
        <v>0</v>
      </c>
    </row>
    <row r="2431" spans="1:66" x14ac:dyDescent="0.35">
      <c r="A2431" t="s">
        <v>7501</v>
      </c>
      <c r="B2431" t="s">
        <v>48</v>
      </c>
      <c r="C2431" t="s">
        <v>7505</v>
      </c>
      <c r="D2431" t="s">
        <v>7504</v>
      </c>
      <c r="E2431" t="s">
        <v>7502</v>
      </c>
      <c r="F2431" t="s">
        <v>7480</v>
      </c>
      <c r="G2431" t="s">
        <v>47</v>
      </c>
      <c r="H2431">
        <v>0</v>
      </c>
      <c r="I2431" s="60" t="s">
        <v>51</v>
      </c>
      <c r="J2431" s="33" t="s">
        <v>45</v>
      </c>
      <c r="K2431" s="46">
        <v>0</v>
      </c>
      <c r="L2431">
        <v>12.2</v>
      </c>
      <c r="M2431" t="s">
        <v>48</v>
      </c>
      <c r="N2431" s="46">
        <v>0</v>
      </c>
      <c r="O2431" s="46">
        <v>0</v>
      </c>
      <c r="P2431" s="46">
        <v>0</v>
      </c>
      <c r="Q2431" t="s">
        <v>48</v>
      </c>
      <c r="R2431" t="s">
        <v>48</v>
      </c>
      <c r="S2431" t="s">
        <v>7503</v>
      </c>
      <c r="T2431" t="s">
        <v>48</v>
      </c>
      <c r="U2431" t="s">
        <v>7503</v>
      </c>
      <c r="V2431" s="47">
        <v>0</v>
      </c>
      <c r="W2431" t="s">
        <v>48</v>
      </c>
      <c r="X2431" t="s">
        <v>48</v>
      </c>
      <c r="Y2431" t="s">
        <v>48</v>
      </c>
      <c r="Z2431">
        <v>0</v>
      </c>
      <c r="AA2431" t="s">
        <v>48</v>
      </c>
      <c r="AB2431" t="s">
        <v>48</v>
      </c>
      <c r="AC2431" t="s">
        <v>49</v>
      </c>
      <c r="AD2431" t="s">
        <v>93</v>
      </c>
      <c r="AE2431" t="s">
        <v>4532</v>
      </c>
      <c r="AF2431" t="s">
        <v>48</v>
      </c>
      <c r="AG2431" t="s">
        <v>48</v>
      </c>
      <c r="AH2431" t="s">
        <v>48</v>
      </c>
      <c r="AI2431" t="s">
        <v>48</v>
      </c>
      <c r="AJ2431">
        <v>1969</v>
      </c>
      <c r="AK2431" t="s">
        <v>48</v>
      </c>
      <c r="AL2431" t="s">
        <v>48</v>
      </c>
      <c r="AM2431" t="s">
        <v>48</v>
      </c>
      <c r="AN2431" t="s">
        <v>48</v>
      </c>
      <c r="AO2431" t="s">
        <v>48</v>
      </c>
      <c r="AP2431" s="46">
        <v>0</v>
      </c>
      <c r="AQ2431" s="46">
        <v>0</v>
      </c>
      <c r="AR2431" s="46">
        <v>0</v>
      </c>
      <c r="AS2431" s="46">
        <v>0</v>
      </c>
      <c r="AT2431" s="46">
        <v>0</v>
      </c>
      <c r="AU2431" s="46">
        <v>0</v>
      </c>
      <c r="AV2431" s="46">
        <v>0</v>
      </c>
      <c r="AW2431" s="46">
        <v>0</v>
      </c>
      <c r="AX2431" s="46">
        <v>0</v>
      </c>
      <c r="AY2431" s="46">
        <v>0</v>
      </c>
      <c r="AZ2431" s="46">
        <v>0</v>
      </c>
      <c r="BA2431" s="46">
        <v>0</v>
      </c>
      <c r="BB2431" s="46">
        <v>0</v>
      </c>
      <c r="BC2431" s="46">
        <v>0</v>
      </c>
      <c r="BD2431" s="46">
        <v>0</v>
      </c>
      <c r="BE2431" s="46">
        <v>0</v>
      </c>
      <c r="BF2431" s="46">
        <v>0</v>
      </c>
      <c r="BG2431" s="46" t="s">
        <v>48</v>
      </c>
      <c r="BH2431" s="46">
        <v>0</v>
      </c>
      <c r="BI2431" s="46">
        <v>0</v>
      </c>
      <c r="BJ2431" s="46">
        <v>0</v>
      </c>
      <c r="BK2431" s="46">
        <v>0</v>
      </c>
      <c r="BL2431" s="46">
        <v>0</v>
      </c>
      <c r="BM2431" s="46">
        <v>0</v>
      </c>
      <c r="BN2431" s="46">
        <v>0</v>
      </c>
    </row>
    <row r="2432" spans="1:66" x14ac:dyDescent="0.35">
      <c r="A2432" t="s">
        <v>7479</v>
      </c>
      <c r="B2432" s="44" t="s">
        <v>48</v>
      </c>
      <c r="C2432" t="s">
        <v>7484</v>
      </c>
      <c r="D2432" t="s">
        <v>7483</v>
      </c>
      <c r="E2432" t="s">
        <v>7481</v>
      </c>
      <c r="F2432" t="s">
        <v>7480</v>
      </c>
      <c r="G2432" t="s">
        <v>47</v>
      </c>
      <c r="H2432">
        <v>0</v>
      </c>
      <c r="I2432" s="60" t="s">
        <v>51</v>
      </c>
      <c r="J2432" s="33" t="s">
        <v>45</v>
      </c>
      <c r="K2432" s="46">
        <v>0</v>
      </c>
      <c r="L2432">
        <v>21.3</v>
      </c>
      <c r="M2432" t="s">
        <v>48</v>
      </c>
      <c r="N2432" s="46">
        <v>0</v>
      </c>
      <c r="O2432" s="46">
        <v>0</v>
      </c>
      <c r="P2432" s="46">
        <v>0</v>
      </c>
      <c r="Q2432" t="s">
        <v>48</v>
      </c>
      <c r="R2432" t="s">
        <v>48</v>
      </c>
      <c r="S2432" t="s">
        <v>7482</v>
      </c>
      <c r="T2432" t="s">
        <v>48</v>
      </c>
      <c r="U2432" t="s">
        <v>7482</v>
      </c>
      <c r="V2432" s="47">
        <v>0</v>
      </c>
      <c r="W2432" t="s">
        <v>48</v>
      </c>
      <c r="X2432" t="s">
        <v>48</v>
      </c>
      <c r="Y2432" t="s">
        <v>48</v>
      </c>
      <c r="Z2432">
        <v>0</v>
      </c>
      <c r="AA2432" t="s">
        <v>48</v>
      </c>
      <c r="AB2432" t="s">
        <v>48</v>
      </c>
      <c r="AC2432" t="s">
        <v>49</v>
      </c>
      <c r="AD2432" t="s">
        <v>93</v>
      </c>
      <c r="AE2432" t="s">
        <v>4532</v>
      </c>
      <c r="AF2432" t="s">
        <v>48</v>
      </c>
      <c r="AG2432" t="s">
        <v>48</v>
      </c>
      <c r="AH2432" t="s">
        <v>48</v>
      </c>
      <c r="AI2432" t="s">
        <v>48</v>
      </c>
      <c r="AJ2432" t="s">
        <v>48</v>
      </c>
      <c r="AK2432" t="s">
        <v>48</v>
      </c>
      <c r="AL2432" t="s">
        <v>48</v>
      </c>
      <c r="AM2432" t="s">
        <v>48</v>
      </c>
      <c r="AN2432" t="s">
        <v>48</v>
      </c>
      <c r="AO2432" t="s">
        <v>48</v>
      </c>
      <c r="AP2432" s="46">
        <v>0</v>
      </c>
      <c r="AQ2432" s="46">
        <v>0</v>
      </c>
      <c r="AR2432" s="46">
        <v>0</v>
      </c>
      <c r="AS2432" s="46">
        <v>0</v>
      </c>
      <c r="AT2432" s="46">
        <v>0</v>
      </c>
      <c r="AU2432" s="46">
        <v>0</v>
      </c>
      <c r="AV2432" s="46">
        <v>0</v>
      </c>
      <c r="AW2432" s="46">
        <v>0</v>
      </c>
      <c r="AX2432" s="46">
        <v>0</v>
      </c>
      <c r="AY2432" s="46">
        <v>0</v>
      </c>
      <c r="AZ2432" s="46">
        <v>0</v>
      </c>
      <c r="BA2432" s="46">
        <v>0</v>
      </c>
      <c r="BB2432" s="46">
        <v>0</v>
      </c>
      <c r="BC2432" s="46">
        <v>1</v>
      </c>
      <c r="BD2432" s="46">
        <v>0</v>
      </c>
      <c r="BE2432" s="46">
        <v>0</v>
      </c>
      <c r="BF2432" s="46">
        <v>0</v>
      </c>
      <c r="BG2432" s="46" t="s">
        <v>48</v>
      </c>
      <c r="BH2432" s="46">
        <v>0</v>
      </c>
      <c r="BI2432" s="46">
        <v>0</v>
      </c>
      <c r="BJ2432" s="46">
        <v>0</v>
      </c>
      <c r="BK2432" s="46">
        <v>0</v>
      </c>
      <c r="BL2432" s="46">
        <v>0</v>
      </c>
      <c r="BM2432" s="46">
        <v>0</v>
      </c>
      <c r="BN2432" s="46">
        <v>0</v>
      </c>
    </row>
    <row r="2433" spans="1:66" x14ac:dyDescent="0.35">
      <c r="A2433" t="s">
        <v>7509</v>
      </c>
      <c r="B2433" s="44" t="s">
        <v>48</v>
      </c>
      <c r="C2433" t="s">
        <v>7513</v>
      </c>
      <c r="D2433" t="s">
        <v>767</v>
      </c>
      <c r="E2433" t="s">
        <v>7511</v>
      </c>
      <c r="F2433" t="s">
        <v>7510</v>
      </c>
      <c r="G2433" t="s">
        <v>74</v>
      </c>
      <c r="H2433">
        <v>0</v>
      </c>
      <c r="I2433" s="60" t="s">
        <v>190</v>
      </c>
      <c r="J2433" s="33" t="s">
        <v>45</v>
      </c>
      <c r="K2433" s="46">
        <v>0</v>
      </c>
      <c r="L2433">
        <v>10.3</v>
      </c>
      <c r="M2433" t="s">
        <v>48</v>
      </c>
      <c r="N2433" s="46">
        <v>0</v>
      </c>
      <c r="O2433" s="46">
        <v>0</v>
      </c>
      <c r="P2433" s="46">
        <v>0</v>
      </c>
      <c r="Q2433" t="s">
        <v>48</v>
      </c>
      <c r="R2433" t="s">
        <v>48</v>
      </c>
      <c r="S2433" t="s">
        <v>7512</v>
      </c>
      <c r="T2433" t="s">
        <v>48</v>
      </c>
      <c r="U2433" t="s">
        <v>7512</v>
      </c>
      <c r="V2433" s="47">
        <v>0</v>
      </c>
      <c r="W2433" t="s">
        <v>48</v>
      </c>
      <c r="X2433" t="s">
        <v>48</v>
      </c>
      <c r="Y2433" t="s">
        <v>48</v>
      </c>
      <c r="Z2433">
        <v>0</v>
      </c>
      <c r="AA2433" t="s">
        <v>48</v>
      </c>
      <c r="AB2433" t="s">
        <v>48</v>
      </c>
      <c r="AC2433" t="s">
        <v>63</v>
      </c>
      <c r="AD2433" t="s">
        <v>93</v>
      </c>
      <c r="AE2433" t="s">
        <v>4532</v>
      </c>
      <c r="AF2433" t="s">
        <v>48</v>
      </c>
      <c r="AG2433" t="s">
        <v>48</v>
      </c>
      <c r="AH2433" t="s">
        <v>48</v>
      </c>
      <c r="AI2433" t="s">
        <v>48</v>
      </c>
      <c r="AJ2433" t="s">
        <v>48</v>
      </c>
      <c r="AK2433" t="s">
        <v>48</v>
      </c>
      <c r="AL2433" t="s">
        <v>48</v>
      </c>
      <c r="AM2433" t="s">
        <v>48</v>
      </c>
      <c r="AN2433" t="s">
        <v>48</v>
      </c>
      <c r="AO2433" t="s">
        <v>48</v>
      </c>
      <c r="AP2433" s="46">
        <v>0</v>
      </c>
      <c r="AQ2433" s="46">
        <v>0</v>
      </c>
      <c r="AR2433" s="46">
        <v>0</v>
      </c>
      <c r="AS2433" s="46">
        <v>0</v>
      </c>
      <c r="AT2433" s="46">
        <v>0</v>
      </c>
      <c r="AU2433" s="46">
        <v>0</v>
      </c>
      <c r="AV2433" s="46">
        <v>0</v>
      </c>
      <c r="AW2433" s="46">
        <v>0</v>
      </c>
      <c r="AX2433" s="46">
        <v>0</v>
      </c>
      <c r="AY2433" s="46">
        <v>0</v>
      </c>
      <c r="AZ2433" s="46">
        <v>0</v>
      </c>
      <c r="BA2433" s="46">
        <v>0</v>
      </c>
      <c r="BB2433" s="46">
        <v>0</v>
      </c>
      <c r="BC2433" s="46">
        <v>0</v>
      </c>
      <c r="BD2433" s="46">
        <v>0</v>
      </c>
      <c r="BE2433" s="46">
        <v>0</v>
      </c>
      <c r="BF2433" s="46">
        <v>0</v>
      </c>
      <c r="BG2433" s="46" t="s">
        <v>48</v>
      </c>
      <c r="BH2433" s="46">
        <v>0</v>
      </c>
      <c r="BI2433" s="46">
        <v>0</v>
      </c>
      <c r="BJ2433" s="46">
        <v>0</v>
      </c>
      <c r="BK2433" s="46">
        <v>0</v>
      </c>
      <c r="BL2433" s="46">
        <v>0</v>
      </c>
      <c r="BM2433" s="46">
        <v>0</v>
      </c>
      <c r="BN2433" s="46">
        <v>0</v>
      </c>
    </row>
    <row r="2434" spans="1:66" x14ac:dyDescent="0.35">
      <c r="A2434" t="s">
        <v>9967</v>
      </c>
      <c r="B2434" t="s">
        <v>48</v>
      </c>
      <c r="C2434" t="s">
        <v>12367</v>
      </c>
      <c r="D2434" t="s">
        <v>993</v>
      </c>
      <c r="E2434" t="s">
        <v>9968</v>
      </c>
      <c r="F2434" t="s">
        <v>7510</v>
      </c>
      <c r="G2434" t="s">
        <v>47</v>
      </c>
      <c r="H2434">
        <v>0</v>
      </c>
      <c r="I2434" s="61">
        <v>44783</v>
      </c>
      <c r="J2434" s="33" t="s">
        <v>45</v>
      </c>
      <c r="K2434" s="46">
        <v>0</v>
      </c>
      <c r="L2434">
        <v>8</v>
      </c>
      <c r="M2434" t="s">
        <v>48</v>
      </c>
      <c r="N2434" s="46">
        <v>0</v>
      </c>
      <c r="O2434" s="46">
        <v>0</v>
      </c>
      <c r="P2434" s="46">
        <v>0</v>
      </c>
      <c r="Q2434" t="s">
        <v>48</v>
      </c>
      <c r="R2434" t="s">
        <v>48</v>
      </c>
      <c r="S2434" s="43" t="s">
        <v>48</v>
      </c>
      <c r="T2434" s="43" t="s">
        <v>48</v>
      </c>
      <c r="U2434" s="43" t="s">
        <v>48</v>
      </c>
      <c r="V2434" s="47">
        <v>1</v>
      </c>
      <c r="W2434" t="s">
        <v>48</v>
      </c>
      <c r="X2434" t="s">
        <v>48</v>
      </c>
      <c r="Y2434" t="s">
        <v>48</v>
      </c>
      <c r="Z2434" t="s">
        <v>48</v>
      </c>
      <c r="AA2434" t="s">
        <v>48</v>
      </c>
      <c r="AB2434" t="s">
        <v>48</v>
      </c>
      <c r="AC2434" t="s">
        <v>49</v>
      </c>
      <c r="AD2434" t="s">
        <v>48</v>
      </c>
      <c r="AE2434" t="s">
        <v>48</v>
      </c>
      <c r="AF2434" t="s">
        <v>48</v>
      </c>
      <c r="AG2434" t="s">
        <v>48</v>
      </c>
      <c r="AH2434" t="s">
        <v>48</v>
      </c>
      <c r="AI2434" t="s">
        <v>48</v>
      </c>
      <c r="AJ2434" t="s">
        <v>48</v>
      </c>
      <c r="AK2434" t="s">
        <v>48</v>
      </c>
      <c r="AL2434" t="s">
        <v>48</v>
      </c>
      <c r="AM2434" t="s">
        <v>48</v>
      </c>
      <c r="AN2434" t="s">
        <v>48</v>
      </c>
      <c r="AO2434" t="s">
        <v>48</v>
      </c>
      <c r="AP2434" s="46">
        <v>0</v>
      </c>
      <c r="AQ2434" s="46">
        <v>0</v>
      </c>
      <c r="AR2434" s="46">
        <v>0</v>
      </c>
      <c r="AS2434" s="46">
        <v>0</v>
      </c>
      <c r="AT2434" s="46">
        <v>0</v>
      </c>
      <c r="AU2434" s="46">
        <v>0</v>
      </c>
      <c r="AV2434" s="46">
        <v>0</v>
      </c>
      <c r="AW2434" s="46">
        <v>0</v>
      </c>
      <c r="AX2434" s="46">
        <v>0</v>
      </c>
      <c r="AY2434" s="46">
        <v>0</v>
      </c>
      <c r="AZ2434" s="46">
        <v>0</v>
      </c>
      <c r="BA2434" s="46">
        <v>0</v>
      </c>
      <c r="BB2434" s="46">
        <v>0</v>
      </c>
      <c r="BC2434" s="46">
        <v>0</v>
      </c>
      <c r="BD2434" s="46">
        <v>0</v>
      </c>
      <c r="BE2434" s="46">
        <v>0</v>
      </c>
      <c r="BF2434" s="46">
        <v>0</v>
      </c>
      <c r="BG2434" s="46" t="s">
        <v>48</v>
      </c>
      <c r="BH2434" s="46">
        <v>0</v>
      </c>
      <c r="BI2434" s="46">
        <v>0</v>
      </c>
      <c r="BJ2434" s="46">
        <v>0</v>
      </c>
      <c r="BK2434" s="46">
        <v>0</v>
      </c>
      <c r="BL2434" s="46">
        <v>0</v>
      </c>
      <c r="BM2434" s="46">
        <v>0</v>
      </c>
      <c r="BN2434" s="46">
        <v>0</v>
      </c>
    </row>
    <row r="2435" spans="1:66" x14ac:dyDescent="0.35">
      <c r="A2435" t="s">
        <v>9973</v>
      </c>
      <c r="B2435" t="s">
        <v>48</v>
      </c>
      <c r="C2435" t="s">
        <v>12368</v>
      </c>
      <c r="D2435" t="s">
        <v>216</v>
      </c>
      <c r="E2435" t="s">
        <v>9974</v>
      </c>
      <c r="F2435" t="s">
        <v>7524</v>
      </c>
      <c r="G2435" t="s">
        <v>47</v>
      </c>
      <c r="H2435">
        <v>0</v>
      </c>
      <c r="I2435" s="61">
        <v>44783</v>
      </c>
      <c r="J2435" s="33" t="s">
        <v>45</v>
      </c>
      <c r="K2435" s="46">
        <v>0</v>
      </c>
      <c r="L2435">
        <v>4.8</v>
      </c>
      <c r="M2435" t="s">
        <v>48</v>
      </c>
      <c r="N2435" s="46">
        <v>0</v>
      </c>
      <c r="O2435" s="46">
        <v>0</v>
      </c>
      <c r="P2435" s="46">
        <v>0</v>
      </c>
      <c r="Q2435" t="s">
        <v>48</v>
      </c>
      <c r="R2435" t="s">
        <v>48</v>
      </c>
      <c r="S2435" s="43" t="s">
        <v>10397</v>
      </c>
      <c r="T2435" s="43" t="s">
        <v>48</v>
      </c>
      <c r="U2435" s="43" t="s">
        <v>10397</v>
      </c>
      <c r="V2435" s="47">
        <v>1</v>
      </c>
      <c r="W2435" t="s">
        <v>48</v>
      </c>
      <c r="X2435" t="s">
        <v>48</v>
      </c>
      <c r="Y2435" t="s">
        <v>48</v>
      </c>
      <c r="Z2435" t="s">
        <v>48</v>
      </c>
      <c r="AA2435" t="s">
        <v>48</v>
      </c>
      <c r="AB2435" t="s">
        <v>48</v>
      </c>
      <c r="AC2435" t="s">
        <v>49</v>
      </c>
      <c r="AD2435" t="s">
        <v>93</v>
      </c>
      <c r="AE2435" t="s">
        <v>4532</v>
      </c>
      <c r="AF2435" t="s">
        <v>48</v>
      </c>
      <c r="AG2435" t="s">
        <v>48</v>
      </c>
      <c r="AH2435" t="s">
        <v>48</v>
      </c>
      <c r="AI2435" t="s">
        <v>48</v>
      </c>
      <c r="AJ2435" t="s">
        <v>48</v>
      </c>
      <c r="AK2435" t="s">
        <v>48</v>
      </c>
      <c r="AL2435" t="s">
        <v>48</v>
      </c>
      <c r="AM2435" t="s">
        <v>48</v>
      </c>
      <c r="AN2435" t="s">
        <v>48</v>
      </c>
      <c r="AO2435" t="s">
        <v>48</v>
      </c>
      <c r="AP2435" s="46">
        <v>0</v>
      </c>
      <c r="AQ2435" s="46">
        <v>0</v>
      </c>
      <c r="AR2435" s="46">
        <v>0</v>
      </c>
      <c r="AS2435" s="46">
        <v>0</v>
      </c>
      <c r="AT2435" s="46">
        <v>0</v>
      </c>
      <c r="AU2435" s="46">
        <v>0</v>
      </c>
      <c r="AV2435" s="46">
        <v>0</v>
      </c>
      <c r="AW2435" s="46">
        <v>0</v>
      </c>
      <c r="AX2435" s="46">
        <v>0</v>
      </c>
      <c r="AY2435" s="46">
        <v>0</v>
      </c>
      <c r="AZ2435" s="46">
        <v>0</v>
      </c>
      <c r="BA2435" s="46">
        <v>0</v>
      </c>
      <c r="BB2435" s="46">
        <v>0</v>
      </c>
      <c r="BC2435" s="46">
        <v>0</v>
      </c>
      <c r="BD2435" s="46">
        <v>0</v>
      </c>
      <c r="BE2435" s="46">
        <v>0</v>
      </c>
      <c r="BF2435" s="46">
        <v>0</v>
      </c>
      <c r="BG2435" s="46" t="s">
        <v>48</v>
      </c>
      <c r="BH2435" s="46">
        <v>0</v>
      </c>
      <c r="BI2435" s="46">
        <v>0</v>
      </c>
      <c r="BJ2435" s="46">
        <v>0</v>
      </c>
      <c r="BK2435" s="46">
        <v>0</v>
      </c>
      <c r="BL2435" s="46">
        <v>0</v>
      </c>
      <c r="BM2435" s="46">
        <v>0</v>
      </c>
      <c r="BN2435" s="46">
        <v>0</v>
      </c>
    </row>
    <row r="2436" spans="1:66" x14ac:dyDescent="0.35">
      <c r="A2436" t="s">
        <v>7529</v>
      </c>
      <c r="B2436" s="44" t="s">
        <v>48</v>
      </c>
      <c r="C2436" t="s">
        <v>7532</v>
      </c>
      <c r="D2436" t="s">
        <v>1643</v>
      </c>
      <c r="E2436" t="s">
        <v>7530</v>
      </c>
      <c r="F2436" t="s">
        <v>7524</v>
      </c>
      <c r="G2436" t="s">
        <v>74</v>
      </c>
      <c r="H2436">
        <v>0</v>
      </c>
      <c r="I2436" s="60" t="s">
        <v>51</v>
      </c>
      <c r="J2436" s="33" t="s">
        <v>45</v>
      </c>
      <c r="K2436" s="46">
        <v>0</v>
      </c>
      <c r="L2436">
        <v>9.4</v>
      </c>
      <c r="M2436" t="s">
        <v>48</v>
      </c>
      <c r="N2436" s="46">
        <v>0</v>
      </c>
      <c r="O2436" s="46">
        <v>0</v>
      </c>
      <c r="P2436" s="46">
        <v>0</v>
      </c>
      <c r="Q2436" t="s">
        <v>48</v>
      </c>
      <c r="R2436" t="s">
        <v>48</v>
      </c>
      <c r="S2436" t="s">
        <v>7531</v>
      </c>
      <c r="T2436" t="s">
        <v>48</v>
      </c>
      <c r="U2436" t="s">
        <v>7531</v>
      </c>
      <c r="V2436" s="47">
        <v>1</v>
      </c>
      <c r="W2436" t="s">
        <v>48</v>
      </c>
      <c r="X2436" t="s">
        <v>48</v>
      </c>
      <c r="Y2436" t="s">
        <v>48</v>
      </c>
      <c r="Z2436">
        <v>0</v>
      </c>
      <c r="AA2436" t="s">
        <v>48</v>
      </c>
      <c r="AB2436" t="s">
        <v>48</v>
      </c>
      <c r="AC2436" t="s">
        <v>63</v>
      </c>
      <c r="AD2436" t="s">
        <v>93</v>
      </c>
      <c r="AE2436" t="s">
        <v>4532</v>
      </c>
      <c r="AF2436" t="s">
        <v>48</v>
      </c>
      <c r="AG2436" t="s">
        <v>48</v>
      </c>
      <c r="AH2436" t="s">
        <v>48</v>
      </c>
      <c r="AI2436" t="s">
        <v>48</v>
      </c>
      <c r="AJ2436" t="s">
        <v>48</v>
      </c>
      <c r="AK2436" t="s">
        <v>48</v>
      </c>
      <c r="AL2436" t="s">
        <v>48</v>
      </c>
      <c r="AM2436" t="s">
        <v>48</v>
      </c>
      <c r="AN2436" t="s">
        <v>48</v>
      </c>
      <c r="AO2436" t="s">
        <v>48</v>
      </c>
      <c r="AP2436" s="46">
        <v>0</v>
      </c>
      <c r="AQ2436" s="46">
        <v>0</v>
      </c>
      <c r="AR2436" s="46">
        <v>0</v>
      </c>
      <c r="AS2436" s="46">
        <v>1</v>
      </c>
      <c r="AT2436" s="46">
        <v>0</v>
      </c>
      <c r="AU2436" s="46">
        <v>0</v>
      </c>
      <c r="AV2436" s="46">
        <v>0</v>
      </c>
      <c r="AW2436" s="46">
        <v>0</v>
      </c>
      <c r="AX2436" s="46">
        <v>0</v>
      </c>
      <c r="AY2436" s="46">
        <v>0</v>
      </c>
      <c r="AZ2436" s="46">
        <v>0</v>
      </c>
      <c r="BA2436" s="46">
        <v>0</v>
      </c>
      <c r="BB2436" s="46">
        <v>0</v>
      </c>
      <c r="BC2436" s="46">
        <v>0</v>
      </c>
      <c r="BD2436" s="46">
        <v>0</v>
      </c>
      <c r="BE2436" s="46">
        <v>0</v>
      </c>
      <c r="BF2436" s="46">
        <v>0</v>
      </c>
      <c r="BG2436" s="46" t="s">
        <v>48</v>
      </c>
      <c r="BH2436" s="46">
        <v>0</v>
      </c>
      <c r="BI2436" s="46">
        <v>0</v>
      </c>
      <c r="BJ2436" s="46">
        <v>0</v>
      </c>
      <c r="BK2436" s="46">
        <v>1</v>
      </c>
      <c r="BL2436" s="46">
        <v>0</v>
      </c>
      <c r="BM2436" s="46">
        <v>0</v>
      </c>
      <c r="BN2436" s="46">
        <v>0</v>
      </c>
    </row>
    <row r="2437" spans="1:66" x14ac:dyDescent="0.35">
      <c r="A2437" t="s">
        <v>9971</v>
      </c>
      <c r="B2437" t="s">
        <v>48</v>
      </c>
      <c r="C2437" t="s">
        <v>12369</v>
      </c>
      <c r="D2437" t="s">
        <v>2371</v>
      </c>
      <c r="E2437" t="s">
        <v>9972</v>
      </c>
      <c r="F2437" t="s">
        <v>7524</v>
      </c>
      <c r="G2437" t="s">
        <v>47</v>
      </c>
      <c r="H2437">
        <v>0</v>
      </c>
      <c r="I2437" s="61">
        <v>44783</v>
      </c>
      <c r="J2437" s="33" t="s">
        <v>45</v>
      </c>
      <c r="K2437" s="46">
        <v>0</v>
      </c>
      <c r="L2437">
        <v>10.5</v>
      </c>
      <c r="M2437" t="s">
        <v>48</v>
      </c>
      <c r="N2437" s="46">
        <v>0</v>
      </c>
      <c r="O2437" s="46">
        <v>0</v>
      </c>
      <c r="P2437" s="46">
        <v>0</v>
      </c>
      <c r="Q2437" t="s">
        <v>48</v>
      </c>
      <c r="R2437" t="s">
        <v>48</v>
      </c>
      <c r="S2437" s="43" t="s">
        <v>10396</v>
      </c>
      <c r="T2437" s="43" t="s">
        <v>48</v>
      </c>
      <c r="U2437" s="43" t="s">
        <v>10396</v>
      </c>
      <c r="V2437" s="47">
        <v>1</v>
      </c>
      <c r="W2437" t="s">
        <v>48</v>
      </c>
      <c r="X2437" t="s">
        <v>48</v>
      </c>
      <c r="Y2437" t="s">
        <v>48</v>
      </c>
      <c r="Z2437" t="s">
        <v>48</v>
      </c>
      <c r="AA2437" t="s">
        <v>48</v>
      </c>
      <c r="AB2437" t="s">
        <v>48</v>
      </c>
      <c r="AC2437" t="s">
        <v>49</v>
      </c>
      <c r="AD2437" t="s">
        <v>93</v>
      </c>
      <c r="AE2437" t="s">
        <v>4532</v>
      </c>
      <c r="AF2437" t="s">
        <v>48</v>
      </c>
      <c r="AG2437" t="s">
        <v>48</v>
      </c>
      <c r="AH2437" t="s">
        <v>48</v>
      </c>
      <c r="AI2437" t="s">
        <v>48</v>
      </c>
      <c r="AJ2437" t="s">
        <v>48</v>
      </c>
      <c r="AK2437" t="s">
        <v>48</v>
      </c>
      <c r="AL2437" t="s">
        <v>48</v>
      </c>
      <c r="AM2437" t="s">
        <v>48</v>
      </c>
      <c r="AN2437" t="s">
        <v>48</v>
      </c>
      <c r="AO2437" t="s">
        <v>48</v>
      </c>
      <c r="AP2437" s="46">
        <v>0</v>
      </c>
      <c r="AQ2437" s="46">
        <v>0</v>
      </c>
      <c r="AR2437" s="46">
        <v>0</v>
      </c>
      <c r="AS2437" s="46">
        <v>0</v>
      </c>
      <c r="AT2437" s="46">
        <v>0</v>
      </c>
      <c r="AU2437" s="46">
        <v>0</v>
      </c>
      <c r="AV2437" s="46">
        <v>0</v>
      </c>
      <c r="AW2437" s="46">
        <v>0</v>
      </c>
      <c r="AX2437" s="46">
        <v>0</v>
      </c>
      <c r="AY2437" s="46">
        <v>0</v>
      </c>
      <c r="AZ2437" s="46">
        <v>0</v>
      </c>
      <c r="BA2437" s="46">
        <v>0</v>
      </c>
      <c r="BB2437" s="46">
        <v>0</v>
      </c>
      <c r="BC2437" s="46">
        <v>0</v>
      </c>
      <c r="BD2437" s="46">
        <v>0</v>
      </c>
      <c r="BE2437" s="46">
        <v>0</v>
      </c>
      <c r="BF2437" s="46">
        <v>0</v>
      </c>
      <c r="BG2437" s="46" t="s">
        <v>48</v>
      </c>
      <c r="BH2437" s="46">
        <v>0</v>
      </c>
      <c r="BI2437" s="46">
        <v>0</v>
      </c>
      <c r="BJ2437" s="46">
        <v>0</v>
      </c>
      <c r="BK2437" s="46">
        <v>0</v>
      </c>
      <c r="BL2437" s="46">
        <v>0</v>
      </c>
      <c r="BM2437" s="46">
        <v>0</v>
      </c>
      <c r="BN2437" s="46">
        <v>0</v>
      </c>
    </row>
    <row r="2438" spans="1:66" x14ac:dyDescent="0.35">
      <c r="A2438" t="s">
        <v>9884</v>
      </c>
      <c r="B2438" s="44" t="s">
        <v>48</v>
      </c>
      <c r="C2438" t="s">
        <v>12371</v>
      </c>
      <c r="D2438" t="s">
        <v>585</v>
      </c>
      <c r="E2438" t="s">
        <v>9885</v>
      </c>
      <c r="F2438" t="s">
        <v>7524</v>
      </c>
      <c r="G2438" t="s">
        <v>83</v>
      </c>
      <c r="H2438">
        <v>0</v>
      </c>
      <c r="I2438" s="61">
        <v>44783</v>
      </c>
      <c r="J2438" s="33" t="s">
        <v>45</v>
      </c>
      <c r="K2438" s="46">
        <v>0</v>
      </c>
      <c r="L2438">
        <v>1.2</v>
      </c>
      <c r="M2438" t="s">
        <v>48</v>
      </c>
      <c r="N2438" s="46">
        <v>0</v>
      </c>
      <c r="O2438" s="46">
        <v>0</v>
      </c>
      <c r="P2438" s="46">
        <v>0</v>
      </c>
      <c r="Q2438" t="s">
        <v>48</v>
      </c>
      <c r="R2438" t="s">
        <v>48</v>
      </c>
      <c r="S2438" s="43" t="s">
        <v>48</v>
      </c>
      <c r="T2438" s="43" t="s">
        <v>48</v>
      </c>
      <c r="U2438" s="43" t="s">
        <v>48</v>
      </c>
      <c r="V2438" s="47">
        <v>1</v>
      </c>
      <c r="W2438" t="s">
        <v>48</v>
      </c>
      <c r="X2438" t="s">
        <v>48</v>
      </c>
      <c r="Y2438" t="s">
        <v>48</v>
      </c>
      <c r="Z2438" t="s">
        <v>48</v>
      </c>
      <c r="AA2438" t="s">
        <v>48</v>
      </c>
      <c r="AB2438" t="s">
        <v>48</v>
      </c>
      <c r="AC2438" t="s">
        <v>49</v>
      </c>
      <c r="AD2438" t="s">
        <v>48</v>
      </c>
      <c r="AE2438" t="s">
        <v>48</v>
      </c>
      <c r="AF2438" t="s">
        <v>48</v>
      </c>
      <c r="AG2438" t="s">
        <v>48</v>
      </c>
      <c r="AH2438" t="s">
        <v>48</v>
      </c>
      <c r="AI2438" t="s">
        <v>48</v>
      </c>
      <c r="AJ2438" t="s">
        <v>48</v>
      </c>
      <c r="AK2438" t="s">
        <v>48</v>
      </c>
      <c r="AL2438" t="s">
        <v>48</v>
      </c>
      <c r="AM2438" t="s">
        <v>48</v>
      </c>
      <c r="AN2438" t="s">
        <v>48</v>
      </c>
      <c r="AO2438" t="s">
        <v>48</v>
      </c>
      <c r="AP2438" s="46">
        <v>0</v>
      </c>
      <c r="AQ2438" s="46">
        <v>0</v>
      </c>
      <c r="AR2438" s="46">
        <v>0</v>
      </c>
      <c r="AS2438" s="46">
        <v>0</v>
      </c>
      <c r="AT2438" s="46">
        <v>0</v>
      </c>
      <c r="AU2438" s="46">
        <v>0</v>
      </c>
      <c r="AV2438" s="46">
        <v>0</v>
      </c>
      <c r="AW2438" s="46">
        <v>0</v>
      </c>
      <c r="AX2438" s="46">
        <v>0</v>
      </c>
      <c r="AY2438" s="46">
        <v>0</v>
      </c>
      <c r="AZ2438" s="46">
        <v>0</v>
      </c>
      <c r="BA2438" s="46">
        <v>0</v>
      </c>
      <c r="BB2438" s="46">
        <v>0</v>
      </c>
      <c r="BC2438" s="46">
        <v>0</v>
      </c>
      <c r="BD2438" s="46">
        <v>0</v>
      </c>
      <c r="BE2438" s="46">
        <v>0</v>
      </c>
      <c r="BF2438" s="46">
        <v>0</v>
      </c>
      <c r="BG2438" s="46" t="s">
        <v>48</v>
      </c>
      <c r="BH2438" s="46">
        <v>0</v>
      </c>
      <c r="BI2438" s="46">
        <v>0</v>
      </c>
      <c r="BJ2438" s="46">
        <v>0</v>
      </c>
      <c r="BK2438" s="46">
        <v>0</v>
      </c>
      <c r="BL2438" s="46">
        <v>0</v>
      </c>
      <c r="BM2438" s="46">
        <v>0</v>
      </c>
      <c r="BN2438" s="46">
        <v>0</v>
      </c>
    </row>
    <row r="2439" spans="1:66" x14ac:dyDescent="0.35">
      <c r="A2439" t="s">
        <v>9886</v>
      </c>
      <c r="B2439" s="44" t="s">
        <v>48</v>
      </c>
      <c r="C2439" t="s">
        <v>603</v>
      </c>
      <c r="D2439" t="s">
        <v>2060</v>
      </c>
      <c r="E2439" t="s">
        <v>9887</v>
      </c>
      <c r="F2439" t="s">
        <v>7534</v>
      </c>
      <c r="G2439" t="s">
        <v>83</v>
      </c>
      <c r="H2439">
        <v>0</v>
      </c>
      <c r="I2439" s="61">
        <v>44783</v>
      </c>
      <c r="J2439" s="33" t="s">
        <v>45</v>
      </c>
      <c r="K2439" s="46">
        <v>0</v>
      </c>
      <c r="L2439">
        <v>2.2999999999999998</v>
      </c>
      <c r="M2439" t="s">
        <v>48</v>
      </c>
      <c r="N2439" s="46">
        <v>0</v>
      </c>
      <c r="O2439" s="46">
        <v>0</v>
      </c>
      <c r="P2439" s="46">
        <v>0</v>
      </c>
      <c r="Q2439" t="s">
        <v>48</v>
      </c>
      <c r="R2439" t="s">
        <v>48</v>
      </c>
      <c r="S2439" s="43" t="s">
        <v>10398</v>
      </c>
      <c r="T2439" s="43" t="s">
        <v>48</v>
      </c>
      <c r="U2439" s="43" t="s">
        <v>10398</v>
      </c>
      <c r="V2439" s="47">
        <v>0</v>
      </c>
      <c r="W2439" t="s">
        <v>48</v>
      </c>
      <c r="X2439" t="s">
        <v>48</v>
      </c>
      <c r="Y2439" t="s">
        <v>48</v>
      </c>
      <c r="Z2439" t="s">
        <v>48</v>
      </c>
      <c r="AA2439" t="s">
        <v>48</v>
      </c>
      <c r="AB2439" t="s">
        <v>48</v>
      </c>
      <c r="AC2439" t="s">
        <v>49</v>
      </c>
      <c r="AD2439" t="s">
        <v>93</v>
      </c>
      <c r="AE2439" t="s">
        <v>4532</v>
      </c>
      <c r="AF2439" t="s">
        <v>48</v>
      </c>
      <c r="AG2439" t="s">
        <v>48</v>
      </c>
      <c r="AH2439" t="s">
        <v>48</v>
      </c>
      <c r="AI2439" t="s">
        <v>48</v>
      </c>
      <c r="AJ2439" t="s">
        <v>48</v>
      </c>
      <c r="AK2439" t="s">
        <v>48</v>
      </c>
      <c r="AL2439" t="s">
        <v>48</v>
      </c>
      <c r="AM2439" t="s">
        <v>48</v>
      </c>
      <c r="AN2439" t="s">
        <v>48</v>
      </c>
      <c r="AO2439" t="s">
        <v>48</v>
      </c>
      <c r="AP2439" s="46">
        <v>0</v>
      </c>
      <c r="AQ2439" s="46">
        <v>0</v>
      </c>
      <c r="AR2439" s="46">
        <v>0</v>
      </c>
      <c r="AS2439" s="46">
        <v>0</v>
      </c>
      <c r="AT2439" s="46">
        <v>0</v>
      </c>
      <c r="AU2439" s="46">
        <v>0</v>
      </c>
      <c r="AV2439" s="46">
        <v>0</v>
      </c>
      <c r="AW2439" s="46">
        <v>0</v>
      </c>
      <c r="AX2439" s="46">
        <v>0</v>
      </c>
      <c r="AY2439" s="46">
        <v>0</v>
      </c>
      <c r="AZ2439" s="46">
        <v>0</v>
      </c>
      <c r="BA2439" s="46">
        <v>0</v>
      </c>
      <c r="BB2439" s="46">
        <v>0</v>
      </c>
      <c r="BC2439" s="46">
        <v>0</v>
      </c>
      <c r="BD2439" s="46">
        <v>0</v>
      </c>
      <c r="BE2439" s="46">
        <v>0</v>
      </c>
      <c r="BF2439" s="46">
        <v>0</v>
      </c>
      <c r="BG2439" s="46" t="s">
        <v>48</v>
      </c>
      <c r="BH2439" s="46">
        <v>0</v>
      </c>
      <c r="BI2439" s="46">
        <v>0</v>
      </c>
      <c r="BJ2439" s="46">
        <v>0</v>
      </c>
      <c r="BK2439" s="46">
        <v>0</v>
      </c>
      <c r="BL2439" s="46">
        <v>0</v>
      </c>
      <c r="BM2439" s="46">
        <v>0</v>
      </c>
      <c r="BN2439" s="46">
        <v>0</v>
      </c>
    </row>
    <row r="2440" spans="1:66" x14ac:dyDescent="0.35">
      <c r="A2440" t="s">
        <v>7533</v>
      </c>
      <c r="B2440" t="s">
        <v>48</v>
      </c>
      <c r="C2440" t="s">
        <v>7536</v>
      </c>
      <c r="D2440" t="s">
        <v>437</v>
      </c>
      <c r="E2440" t="s">
        <v>7535</v>
      </c>
      <c r="F2440" t="s">
        <v>7534</v>
      </c>
      <c r="G2440" t="s">
        <v>47</v>
      </c>
      <c r="H2440">
        <v>0</v>
      </c>
      <c r="I2440" s="60" t="s">
        <v>881</v>
      </c>
      <c r="J2440" s="33" t="s">
        <v>45</v>
      </c>
      <c r="K2440" s="46">
        <v>0</v>
      </c>
      <c r="L2440">
        <v>5.2</v>
      </c>
      <c r="M2440" t="s">
        <v>48</v>
      </c>
      <c r="N2440" s="46">
        <v>0</v>
      </c>
      <c r="O2440" s="46">
        <v>0</v>
      </c>
      <c r="P2440" s="46">
        <v>0</v>
      </c>
      <c r="Q2440" t="s">
        <v>48</v>
      </c>
      <c r="R2440" t="s">
        <v>48</v>
      </c>
      <c r="S2440" t="s">
        <v>48</v>
      </c>
      <c r="T2440" t="s">
        <v>48</v>
      </c>
      <c r="U2440" t="s">
        <v>48</v>
      </c>
      <c r="V2440" s="47">
        <v>0</v>
      </c>
      <c r="W2440" t="s">
        <v>48</v>
      </c>
      <c r="X2440" t="s">
        <v>48</v>
      </c>
      <c r="Y2440" t="s">
        <v>48</v>
      </c>
      <c r="Z2440">
        <v>0</v>
      </c>
      <c r="AA2440" t="s">
        <v>48</v>
      </c>
      <c r="AB2440" t="s">
        <v>48</v>
      </c>
      <c r="AC2440" t="s">
        <v>49</v>
      </c>
      <c r="AD2440" t="s">
        <v>951</v>
      </c>
      <c r="AE2440" s="40" t="s">
        <v>11051</v>
      </c>
      <c r="AF2440" t="s">
        <v>11054</v>
      </c>
      <c r="AG2440" t="s">
        <v>48</v>
      </c>
      <c r="AH2440" t="s">
        <v>48</v>
      </c>
      <c r="AI2440" t="s">
        <v>48</v>
      </c>
      <c r="AJ2440" t="s">
        <v>48</v>
      </c>
      <c r="AK2440" t="s">
        <v>48</v>
      </c>
      <c r="AL2440" t="s">
        <v>48</v>
      </c>
      <c r="AM2440" t="s">
        <v>48</v>
      </c>
      <c r="AN2440" t="s">
        <v>48</v>
      </c>
      <c r="AO2440" t="s">
        <v>48</v>
      </c>
      <c r="AP2440" s="46">
        <v>0</v>
      </c>
      <c r="AQ2440" s="46">
        <v>0</v>
      </c>
      <c r="AR2440" s="46">
        <v>0</v>
      </c>
      <c r="AS2440" s="46">
        <v>0</v>
      </c>
      <c r="AT2440" s="46">
        <v>0</v>
      </c>
      <c r="AU2440" s="46">
        <v>0</v>
      </c>
      <c r="AV2440" s="46">
        <v>0</v>
      </c>
      <c r="AW2440" s="46">
        <v>0</v>
      </c>
      <c r="AX2440" s="46">
        <v>0</v>
      </c>
      <c r="AY2440" s="46">
        <v>0</v>
      </c>
      <c r="AZ2440" s="46">
        <v>0</v>
      </c>
      <c r="BA2440" s="46">
        <v>0</v>
      </c>
      <c r="BB2440" s="46">
        <v>0</v>
      </c>
      <c r="BC2440" s="46">
        <v>0</v>
      </c>
      <c r="BD2440" s="46">
        <v>0</v>
      </c>
      <c r="BE2440" s="46">
        <v>0</v>
      </c>
      <c r="BF2440" s="46">
        <v>0</v>
      </c>
      <c r="BG2440" s="46" t="s">
        <v>48</v>
      </c>
      <c r="BH2440" s="46">
        <v>0</v>
      </c>
      <c r="BI2440" s="46">
        <v>0</v>
      </c>
      <c r="BJ2440" s="46">
        <v>0</v>
      </c>
      <c r="BK2440" s="46">
        <v>0</v>
      </c>
      <c r="BL2440" s="46">
        <v>0</v>
      </c>
      <c r="BM2440" s="46">
        <v>0</v>
      </c>
      <c r="BN2440" s="46">
        <v>0</v>
      </c>
    </row>
    <row r="2441" spans="1:66" x14ac:dyDescent="0.35">
      <c r="A2441" t="s">
        <v>7548</v>
      </c>
      <c r="B2441" t="s">
        <v>48</v>
      </c>
      <c r="C2441" t="s">
        <v>7203</v>
      </c>
      <c r="D2441" t="s">
        <v>2060</v>
      </c>
      <c r="E2441" t="s">
        <v>7549</v>
      </c>
      <c r="F2441" t="s">
        <v>7544</v>
      </c>
      <c r="G2441" t="s">
        <v>47</v>
      </c>
      <c r="H2441">
        <v>0</v>
      </c>
      <c r="I2441" s="60" t="s">
        <v>51</v>
      </c>
      <c r="J2441" s="33" t="s">
        <v>45</v>
      </c>
      <c r="K2441" s="46">
        <v>0</v>
      </c>
      <c r="L2441">
        <v>12.9</v>
      </c>
      <c r="M2441" t="s">
        <v>48</v>
      </c>
      <c r="N2441" s="46">
        <v>0</v>
      </c>
      <c r="O2441" s="46">
        <v>0</v>
      </c>
      <c r="P2441" s="46">
        <v>0</v>
      </c>
      <c r="Q2441" t="s">
        <v>48</v>
      </c>
      <c r="R2441" t="s">
        <v>48</v>
      </c>
      <c r="S2441" t="s">
        <v>7550</v>
      </c>
      <c r="T2441" t="s">
        <v>48</v>
      </c>
      <c r="U2441" t="s">
        <v>7550</v>
      </c>
      <c r="V2441" s="47">
        <v>0</v>
      </c>
      <c r="W2441" t="s">
        <v>48</v>
      </c>
      <c r="X2441" t="s">
        <v>48</v>
      </c>
      <c r="Y2441" t="s">
        <v>48</v>
      </c>
      <c r="Z2441">
        <v>0</v>
      </c>
      <c r="AA2441" t="s">
        <v>48</v>
      </c>
      <c r="AB2441" t="s">
        <v>48</v>
      </c>
      <c r="AC2441" t="s">
        <v>49</v>
      </c>
      <c r="AD2441" t="s">
        <v>93</v>
      </c>
      <c r="AE2441" t="s">
        <v>4532</v>
      </c>
      <c r="AF2441" t="s">
        <v>48</v>
      </c>
      <c r="AG2441" t="s">
        <v>48</v>
      </c>
      <c r="AH2441" t="s">
        <v>48</v>
      </c>
      <c r="AI2441" t="s">
        <v>48</v>
      </c>
      <c r="AJ2441" t="s">
        <v>48</v>
      </c>
      <c r="AK2441" t="s">
        <v>48</v>
      </c>
      <c r="AL2441" t="s">
        <v>48</v>
      </c>
      <c r="AM2441" t="s">
        <v>48</v>
      </c>
      <c r="AN2441" t="s">
        <v>48</v>
      </c>
      <c r="AO2441" t="s">
        <v>48</v>
      </c>
      <c r="AP2441" s="46">
        <v>0</v>
      </c>
      <c r="AQ2441" s="46">
        <v>0</v>
      </c>
      <c r="AR2441" s="46">
        <v>0</v>
      </c>
      <c r="AS2441" s="46">
        <v>0</v>
      </c>
      <c r="AT2441" s="46">
        <v>0</v>
      </c>
      <c r="AU2441" s="46">
        <v>0</v>
      </c>
      <c r="AV2441" s="46">
        <v>0</v>
      </c>
      <c r="AW2441" s="46">
        <v>0</v>
      </c>
      <c r="AX2441" s="46">
        <v>0</v>
      </c>
      <c r="AY2441" s="46">
        <v>0</v>
      </c>
      <c r="AZ2441" s="46">
        <v>0</v>
      </c>
      <c r="BA2441" s="46">
        <v>0</v>
      </c>
      <c r="BB2441" s="46">
        <v>0</v>
      </c>
      <c r="BC2441" s="46">
        <v>0</v>
      </c>
      <c r="BD2441" s="46">
        <v>0</v>
      </c>
      <c r="BE2441" s="46">
        <v>0</v>
      </c>
      <c r="BF2441" s="46">
        <v>0</v>
      </c>
      <c r="BG2441" s="46" t="s">
        <v>48</v>
      </c>
      <c r="BH2441" s="46">
        <v>0</v>
      </c>
      <c r="BI2441" s="46">
        <v>0</v>
      </c>
      <c r="BJ2441" s="46">
        <v>0</v>
      </c>
      <c r="BK2441" s="46">
        <v>0</v>
      </c>
      <c r="BL2441" s="46">
        <v>0</v>
      </c>
      <c r="BM2441" s="46">
        <v>0</v>
      </c>
      <c r="BN2441" s="46">
        <v>0</v>
      </c>
    </row>
    <row r="2442" spans="1:66" x14ac:dyDescent="0.35">
      <c r="A2442" t="s">
        <v>7543</v>
      </c>
      <c r="B2442" t="s">
        <v>48</v>
      </c>
      <c r="C2442" t="s">
        <v>504</v>
      </c>
      <c r="D2442" t="s">
        <v>7547</v>
      </c>
      <c r="E2442" t="s">
        <v>7545</v>
      </c>
      <c r="F2442" t="s">
        <v>7544</v>
      </c>
      <c r="G2442" t="s">
        <v>47</v>
      </c>
      <c r="H2442">
        <v>0</v>
      </c>
      <c r="I2442" s="60" t="s">
        <v>149</v>
      </c>
      <c r="J2442" s="33" t="s">
        <v>45</v>
      </c>
      <c r="K2442" s="46">
        <v>0</v>
      </c>
      <c r="L2442">
        <v>14.5</v>
      </c>
      <c r="M2442" t="s">
        <v>48</v>
      </c>
      <c r="N2442" s="46">
        <v>0</v>
      </c>
      <c r="O2442" s="46">
        <v>0</v>
      </c>
      <c r="P2442" s="46">
        <v>0</v>
      </c>
      <c r="Q2442" t="s">
        <v>48</v>
      </c>
      <c r="R2442" t="s">
        <v>48</v>
      </c>
      <c r="S2442" t="s">
        <v>7546</v>
      </c>
      <c r="T2442" t="s">
        <v>48</v>
      </c>
      <c r="U2442" t="s">
        <v>7546</v>
      </c>
      <c r="V2442" s="47">
        <v>1</v>
      </c>
      <c r="W2442" t="s">
        <v>48</v>
      </c>
      <c r="X2442" t="s">
        <v>48</v>
      </c>
      <c r="Y2442" t="s">
        <v>48</v>
      </c>
      <c r="Z2442">
        <v>0</v>
      </c>
      <c r="AA2442" t="s">
        <v>48</v>
      </c>
      <c r="AB2442" t="s">
        <v>48</v>
      </c>
      <c r="AC2442" t="s">
        <v>49</v>
      </c>
      <c r="AD2442" t="s">
        <v>93</v>
      </c>
      <c r="AE2442" t="s">
        <v>4532</v>
      </c>
      <c r="AF2442" t="s">
        <v>48</v>
      </c>
      <c r="AG2442" t="s">
        <v>48</v>
      </c>
      <c r="AH2442" t="s">
        <v>48</v>
      </c>
      <c r="AI2442" t="s">
        <v>48</v>
      </c>
      <c r="AJ2442" t="s">
        <v>48</v>
      </c>
      <c r="AK2442" t="s">
        <v>48</v>
      </c>
      <c r="AL2442" t="s">
        <v>48</v>
      </c>
      <c r="AM2442" t="s">
        <v>48</v>
      </c>
      <c r="AN2442" t="s">
        <v>48</v>
      </c>
      <c r="AO2442" t="s">
        <v>48</v>
      </c>
      <c r="AP2442" s="46">
        <v>0</v>
      </c>
      <c r="AQ2442" s="46">
        <v>0</v>
      </c>
      <c r="AR2442" s="46">
        <v>0</v>
      </c>
      <c r="AS2442" s="46">
        <v>0</v>
      </c>
      <c r="AT2442" s="46">
        <v>0</v>
      </c>
      <c r="AU2442" s="46">
        <v>0</v>
      </c>
      <c r="AV2442" s="46">
        <v>0</v>
      </c>
      <c r="AW2442" s="46">
        <v>0</v>
      </c>
      <c r="AX2442" s="46">
        <v>0</v>
      </c>
      <c r="AY2442" s="46">
        <v>0</v>
      </c>
      <c r="AZ2442" s="46">
        <v>0</v>
      </c>
      <c r="BA2442" s="46">
        <v>0</v>
      </c>
      <c r="BB2442" s="46">
        <v>0</v>
      </c>
      <c r="BC2442" s="46">
        <v>0</v>
      </c>
      <c r="BD2442" s="46">
        <v>0</v>
      </c>
      <c r="BE2442" s="46">
        <v>0</v>
      </c>
      <c r="BF2442" s="46">
        <v>0</v>
      </c>
      <c r="BG2442" s="46" t="s">
        <v>48</v>
      </c>
      <c r="BH2442" s="46">
        <v>0</v>
      </c>
      <c r="BI2442" s="46">
        <v>0</v>
      </c>
      <c r="BJ2442" s="46">
        <v>0</v>
      </c>
      <c r="BK2442" s="46">
        <v>0</v>
      </c>
      <c r="BL2442" s="46">
        <v>0</v>
      </c>
      <c r="BM2442" s="46">
        <v>0</v>
      </c>
      <c r="BN2442" s="46">
        <v>0</v>
      </c>
    </row>
    <row r="2443" spans="1:66" x14ac:dyDescent="0.35">
      <c r="A2443" t="s">
        <v>9977</v>
      </c>
      <c r="B2443" t="s">
        <v>48</v>
      </c>
      <c r="C2443" t="s">
        <v>12372</v>
      </c>
      <c r="D2443" t="s">
        <v>885</v>
      </c>
      <c r="E2443" t="s">
        <v>9978</v>
      </c>
      <c r="F2443" t="s">
        <v>7544</v>
      </c>
      <c r="G2443" t="s">
        <v>47</v>
      </c>
      <c r="H2443">
        <v>0</v>
      </c>
      <c r="I2443" s="61">
        <v>44783</v>
      </c>
      <c r="J2443" s="33" t="s">
        <v>45</v>
      </c>
      <c r="K2443" s="46">
        <v>0</v>
      </c>
      <c r="L2443">
        <v>3.9</v>
      </c>
      <c r="M2443" t="s">
        <v>48</v>
      </c>
      <c r="N2443" s="46">
        <v>0</v>
      </c>
      <c r="O2443" s="46">
        <v>0</v>
      </c>
      <c r="P2443" s="46">
        <v>0</v>
      </c>
      <c r="Q2443" t="s">
        <v>48</v>
      </c>
      <c r="R2443" t="s">
        <v>48</v>
      </c>
      <c r="S2443" s="43" t="s">
        <v>10399</v>
      </c>
      <c r="T2443" s="43" t="s">
        <v>48</v>
      </c>
      <c r="U2443" s="43" t="s">
        <v>10399</v>
      </c>
      <c r="V2443" s="47">
        <v>0</v>
      </c>
      <c r="W2443" t="s">
        <v>48</v>
      </c>
      <c r="X2443" t="s">
        <v>48</v>
      </c>
      <c r="Y2443" t="s">
        <v>48</v>
      </c>
      <c r="Z2443" t="s">
        <v>48</v>
      </c>
      <c r="AA2443" t="s">
        <v>48</v>
      </c>
      <c r="AB2443" t="s">
        <v>48</v>
      </c>
      <c r="AC2443" t="s">
        <v>49</v>
      </c>
      <c r="AD2443" t="s">
        <v>93</v>
      </c>
      <c r="AE2443" t="s">
        <v>4532</v>
      </c>
      <c r="AF2443" t="s">
        <v>48</v>
      </c>
      <c r="AG2443" t="s">
        <v>48</v>
      </c>
      <c r="AH2443" t="s">
        <v>48</v>
      </c>
      <c r="AI2443" t="s">
        <v>48</v>
      </c>
      <c r="AJ2443" t="s">
        <v>48</v>
      </c>
      <c r="AK2443" t="s">
        <v>48</v>
      </c>
      <c r="AL2443" t="s">
        <v>48</v>
      </c>
      <c r="AM2443" t="s">
        <v>48</v>
      </c>
      <c r="AN2443" t="s">
        <v>48</v>
      </c>
      <c r="AO2443" t="s">
        <v>48</v>
      </c>
      <c r="AP2443" s="46">
        <v>0</v>
      </c>
      <c r="AQ2443" s="46">
        <v>0</v>
      </c>
      <c r="AR2443" s="46">
        <v>0</v>
      </c>
      <c r="AS2443" s="46">
        <v>0</v>
      </c>
      <c r="AT2443" s="46">
        <v>0</v>
      </c>
      <c r="AU2443" s="46">
        <v>0</v>
      </c>
      <c r="AV2443" s="46">
        <v>0</v>
      </c>
      <c r="AW2443" s="46">
        <v>0</v>
      </c>
      <c r="AX2443" s="46">
        <v>0</v>
      </c>
      <c r="AY2443" s="46">
        <v>0</v>
      </c>
      <c r="AZ2443" s="46">
        <v>0</v>
      </c>
      <c r="BA2443" s="46">
        <v>0</v>
      </c>
      <c r="BB2443" s="46">
        <v>0</v>
      </c>
      <c r="BC2443" s="46">
        <v>0</v>
      </c>
      <c r="BD2443" s="46">
        <v>0</v>
      </c>
      <c r="BE2443" s="46">
        <v>0</v>
      </c>
      <c r="BF2443" s="46">
        <v>0</v>
      </c>
      <c r="BG2443" s="46" t="s">
        <v>48</v>
      </c>
      <c r="BH2443" s="46">
        <v>0</v>
      </c>
      <c r="BI2443" s="46">
        <v>0</v>
      </c>
      <c r="BJ2443" s="46">
        <v>0</v>
      </c>
      <c r="BK2443" s="46">
        <v>0</v>
      </c>
      <c r="BL2443" s="46">
        <v>0</v>
      </c>
      <c r="BM2443" s="46">
        <v>0</v>
      </c>
      <c r="BN2443" s="46">
        <v>0</v>
      </c>
    </row>
    <row r="2444" spans="1:66" x14ac:dyDescent="0.35">
      <c r="A2444" t="s">
        <v>6652</v>
      </c>
      <c r="B2444" s="44" t="s">
        <v>48</v>
      </c>
      <c r="C2444" t="s">
        <v>375</v>
      </c>
      <c r="D2444" t="s">
        <v>268</v>
      </c>
      <c r="E2444" t="s">
        <v>9888</v>
      </c>
      <c r="F2444" t="s">
        <v>7561</v>
      </c>
      <c r="G2444" t="s">
        <v>83</v>
      </c>
      <c r="H2444">
        <v>0</v>
      </c>
      <c r="I2444" s="61">
        <v>44783</v>
      </c>
      <c r="J2444" s="33" t="s">
        <v>45</v>
      </c>
      <c r="K2444" s="46">
        <v>0</v>
      </c>
      <c r="L2444">
        <v>1.1000000000000001</v>
      </c>
      <c r="M2444" t="s">
        <v>48</v>
      </c>
      <c r="N2444" s="46">
        <v>0</v>
      </c>
      <c r="O2444" s="46">
        <v>1</v>
      </c>
      <c r="P2444" s="46">
        <v>0</v>
      </c>
      <c r="Q2444" t="s">
        <v>48</v>
      </c>
      <c r="R2444" t="s">
        <v>48</v>
      </c>
      <c r="S2444" s="43" t="s">
        <v>48</v>
      </c>
      <c r="T2444" s="43" t="s">
        <v>48</v>
      </c>
      <c r="U2444" s="43" t="s">
        <v>48</v>
      </c>
      <c r="V2444" s="47">
        <v>1</v>
      </c>
      <c r="W2444" t="s">
        <v>48</v>
      </c>
      <c r="X2444" t="s">
        <v>48</v>
      </c>
      <c r="Y2444" t="s">
        <v>48</v>
      </c>
      <c r="Z2444" t="s">
        <v>48</v>
      </c>
      <c r="AA2444" t="s">
        <v>48</v>
      </c>
      <c r="AB2444" t="s">
        <v>48</v>
      </c>
      <c r="AC2444" t="s">
        <v>49</v>
      </c>
      <c r="AD2444" t="s">
        <v>93</v>
      </c>
      <c r="AE2444" t="s">
        <v>4532</v>
      </c>
      <c r="AF2444" t="s">
        <v>48</v>
      </c>
      <c r="AG2444" t="s">
        <v>48</v>
      </c>
      <c r="AH2444" t="s">
        <v>48</v>
      </c>
      <c r="AI2444" t="s">
        <v>48</v>
      </c>
      <c r="AJ2444" t="s">
        <v>48</v>
      </c>
      <c r="AK2444" t="s">
        <v>48</v>
      </c>
      <c r="AL2444" t="s">
        <v>48</v>
      </c>
      <c r="AM2444" t="s">
        <v>48</v>
      </c>
      <c r="AN2444" t="s">
        <v>48</v>
      </c>
      <c r="AO2444" t="s">
        <v>48</v>
      </c>
      <c r="AP2444" s="46">
        <v>0</v>
      </c>
      <c r="AQ2444" s="46">
        <v>0</v>
      </c>
      <c r="AR2444" s="46">
        <v>0</v>
      </c>
      <c r="AS2444" s="46">
        <v>0</v>
      </c>
      <c r="AT2444" s="46">
        <v>0</v>
      </c>
      <c r="AU2444" s="46">
        <v>0</v>
      </c>
      <c r="AV2444" s="46">
        <v>0</v>
      </c>
      <c r="AW2444" s="46">
        <v>0</v>
      </c>
      <c r="AX2444" s="46">
        <v>0</v>
      </c>
      <c r="AY2444" s="46">
        <v>0</v>
      </c>
      <c r="AZ2444" s="46">
        <v>0</v>
      </c>
      <c r="BA2444" s="46">
        <v>0</v>
      </c>
      <c r="BB2444" s="46">
        <v>0</v>
      </c>
      <c r="BC2444" s="46">
        <v>0</v>
      </c>
      <c r="BD2444" s="46">
        <v>0</v>
      </c>
      <c r="BE2444" s="46">
        <v>0</v>
      </c>
      <c r="BF2444" s="46">
        <v>0</v>
      </c>
      <c r="BG2444" s="46" t="s">
        <v>48</v>
      </c>
      <c r="BH2444" s="46">
        <v>0</v>
      </c>
      <c r="BI2444" s="46">
        <v>0</v>
      </c>
      <c r="BJ2444" s="46">
        <v>0</v>
      </c>
      <c r="BK2444" s="46">
        <v>0</v>
      </c>
      <c r="BL2444" s="46">
        <v>0</v>
      </c>
      <c r="BM2444" s="46">
        <v>0</v>
      </c>
      <c r="BN2444" s="46">
        <v>0</v>
      </c>
    </row>
    <row r="2445" spans="1:66" x14ac:dyDescent="0.35">
      <c r="A2445" t="s">
        <v>7560</v>
      </c>
      <c r="B2445" t="s">
        <v>48</v>
      </c>
      <c r="C2445" t="s">
        <v>7565</v>
      </c>
      <c r="D2445" t="s">
        <v>7564</v>
      </c>
      <c r="E2445" t="s">
        <v>7562</v>
      </c>
      <c r="F2445" t="s">
        <v>7561</v>
      </c>
      <c r="G2445" t="s">
        <v>47</v>
      </c>
      <c r="H2445">
        <v>0</v>
      </c>
      <c r="I2445" s="60" t="s">
        <v>51</v>
      </c>
      <c r="J2445" s="33" t="s">
        <v>45</v>
      </c>
      <c r="K2445" s="46">
        <v>0</v>
      </c>
      <c r="L2445">
        <v>3.8</v>
      </c>
      <c r="M2445" t="s">
        <v>48</v>
      </c>
      <c r="N2445" s="46">
        <v>0</v>
      </c>
      <c r="O2445" s="46">
        <v>0</v>
      </c>
      <c r="P2445" s="46">
        <v>0</v>
      </c>
      <c r="Q2445" t="s">
        <v>48</v>
      </c>
      <c r="R2445" t="s">
        <v>48</v>
      </c>
      <c r="S2445" t="s">
        <v>7563</v>
      </c>
      <c r="T2445" t="s">
        <v>48</v>
      </c>
      <c r="U2445" t="s">
        <v>7563</v>
      </c>
      <c r="V2445" s="47">
        <v>1</v>
      </c>
      <c r="W2445" t="s">
        <v>48</v>
      </c>
      <c r="X2445" t="s">
        <v>48</v>
      </c>
      <c r="Y2445" t="s">
        <v>48</v>
      </c>
      <c r="Z2445">
        <v>0</v>
      </c>
      <c r="AA2445" t="s">
        <v>48</v>
      </c>
      <c r="AB2445" t="s">
        <v>48</v>
      </c>
      <c r="AC2445" t="s">
        <v>49</v>
      </c>
      <c r="AD2445" t="s">
        <v>93</v>
      </c>
      <c r="AE2445" t="s">
        <v>977</v>
      </c>
      <c r="AF2445" t="s">
        <v>48</v>
      </c>
      <c r="AG2445" t="s">
        <v>48</v>
      </c>
      <c r="AH2445" t="s">
        <v>48</v>
      </c>
      <c r="AI2445" t="s">
        <v>48</v>
      </c>
      <c r="AJ2445" t="s">
        <v>48</v>
      </c>
      <c r="AK2445" t="s">
        <v>48</v>
      </c>
      <c r="AL2445" t="s">
        <v>48</v>
      </c>
      <c r="AM2445" t="s">
        <v>48</v>
      </c>
      <c r="AN2445" t="s">
        <v>48</v>
      </c>
      <c r="AO2445" t="s">
        <v>48</v>
      </c>
      <c r="AP2445" s="46">
        <v>0</v>
      </c>
      <c r="AQ2445" s="46">
        <v>0</v>
      </c>
      <c r="AR2445" s="46">
        <v>0</v>
      </c>
      <c r="AS2445" s="46">
        <v>0</v>
      </c>
      <c r="AT2445" s="46">
        <v>0</v>
      </c>
      <c r="AU2445" s="46">
        <v>0</v>
      </c>
      <c r="AV2445" s="46">
        <v>0</v>
      </c>
      <c r="AW2445" s="46">
        <v>0</v>
      </c>
      <c r="AX2445" s="46">
        <v>0</v>
      </c>
      <c r="AY2445" s="46">
        <v>0</v>
      </c>
      <c r="AZ2445" s="46">
        <v>0</v>
      </c>
      <c r="BA2445" s="46">
        <v>0</v>
      </c>
      <c r="BB2445" s="46">
        <v>0</v>
      </c>
      <c r="BC2445" s="46">
        <v>0</v>
      </c>
      <c r="BD2445" s="46">
        <v>0</v>
      </c>
      <c r="BE2445" s="46">
        <v>0</v>
      </c>
      <c r="BF2445" s="46">
        <v>0</v>
      </c>
      <c r="BG2445" s="46" t="s">
        <v>48</v>
      </c>
      <c r="BH2445" s="46">
        <v>0</v>
      </c>
      <c r="BI2445" s="46">
        <v>0</v>
      </c>
      <c r="BJ2445" s="46">
        <v>0</v>
      </c>
      <c r="BK2445" s="46">
        <v>0</v>
      </c>
      <c r="BL2445" s="46">
        <v>0</v>
      </c>
      <c r="BM2445" s="46">
        <v>0</v>
      </c>
      <c r="BN2445" s="46">
        <v>0</v>
      </c>
    </row>
    <row r="2446" spans="1:66" x14ac:dyDescent="0.35">
      <c r="A2446" t="s">
        <v>9981</v>
      </c>
      <c r="B2446" t="s">
        <v>48</v>
      </c>
      <c r="C2446" t="s">
        <v>12374</v>
      </c>
      <c r="D2446" t="s">
        <v>898</v>
      </c>
      <c r="E2446" t="s">
        <v>9982</v>
      </c>
      <c r="F2446" t="s">
        <v>7561</v>
      </c>
      <c r="G2446" t="s">
        <v>47</v>
      </c>
      <c r="H2446">
        <v>0</v>
      </c>
      <c r="I2446" s="61">
        <v>44783</v>
      </c>
      <c r="J2446" s="33" t="s">
        <v>45</v>
      </c>
      <c r="K2446" s="46">
        <v>0</v>
      </c>
      <c r="L2446">
        <v>3.4</v>
      </c>
      <c r="M2446" t="s">
        <v>48</v>
      </c>
      <c r="N2446" s="46">
        <v>0</v>
      </c>
      <c r="O2446" s="46">
        <v>0</v>
      </c>
      <c r="P2446" s="46">
        <v>0</v>
      </c>
      <c r="Q2446" t="s">
        <v>48</v>
      </c>
      <c r="R2446" t="s">
        <v>48</v>
      </c>
      <c r="S2446" s="43" t="s">
        <v>10401</v>
      </c>
      <c r="T2446" s="43" t="s">
        <v>48</v>
      </c>
      <c r="U2446" s="43" t="s">
        <v>10401</v>
      </c>
      <c r="V2446" s="47">
        <v>0</v>
      </c>
      <c r="W2446" t="s">
        <v>48</v>
      </c>
      <c r="X2446" t="s">
        <v>48</v>
      </c>
      <c r="Y2446" t="s">
        <v>48</v>
      </c>
      <c r="Z2446" t="s">
        <v>48</v>
      </c>
      <c r="AA2446" t="s">
        <v>48</v>
      </c>
      <c r="AB2446" t="s">
        <v>48</v>
      </c>
      <c r="AC2446" t="s">
        <v>49</v>
      </c>
      <c r="AD2446" t="s">
        <v>93</v>
      </c>
      <c r="AE2446" t="s">
        <v>4532</v>
      </c>
      <c r="AF2446" t="s">
        <v>48</v>
      </c>
      <c r="AG2446" t="s">
        <v>48</v>
      </c>
      <c r="AH2446" t="s">
        <v>48</v>
      </c>
      <c r="AI2446" t="s">
        <v>48</v>
      </c>
      <c r="AJ2446" t="s">
        <v>48</v>
      </c>
      <c r="AK2446" t="s">
        <v>48</v>
      </c>
      <c r="AL2446" t="s">
        <v>48</v>
      </c>
      <c r="AM2446" t="s">
        <v>48</v>
      </c>
      <c r="AN2446" t="s">
        <v>48</v>
      </c>
      <c r="AO2446" t="s">
        <v>48</v>
      </c>
      <c r="AP2446" s="46">
        <v>0</v>
      </c>
      <c r="AQ2446" s="46">
        <v>0</v>
      </c>
      <c r="AR2446" s="46">
        <v>0</v>
      </c>
      <c r="AS2446" s="46">
        <v>0</v>
      </c>
      <c r="AT2446" s="46">
        <v>0</v>
      </c>
      <c r="AU2446" s="46">
        <v>0</v>
      </c>
      <c r="AV2446" s="46">
        <v>0</v>
      </c>
      <c r="AW2446" s="46">
        <v>0</v>
      </c>
      <c r="AX2446" s="46">
        <v>0</v>
      </c>
      <c r="AY2446" s="46">
        <v>0</v>
      </c>
      <c r="AZ2446" s="46">
        <v>0</v>
      </c>
      <c r="BA2446" s="46">
        <v>0</v>
      </c>
      <c r="BB2446" s="46">
        <v>0</v>
      </c>
      <c r="BC2446" s="46">
        <v>0</v>
      </c>
      <c r="BD2446" s="46">
        <v>0</v>
      </c>
      <c r="BE2446" s="46">
        <v>0</v>
      </c>
      <c r="BF2446" s="46">
        <v>0</v>
      </c>
      <c r="BG2446" s="46" t="s">
        <v>48</v>
      </c>
      <c r="BH2446" s="46">
        <v>0</v>
      </c>
      <c r="BI2446" s="46">
        <v>0</v>
      </c>
      <c r="BJ2446" s="46">
        <v>0</v>
      </c>
      <c r="BK2446" s="46">
        <v>0</v>
      </c>
      <c r="BL2446" s="46">
        <v>0</v>
      </c>
      <c r="BM2446" s="46">
        <v>0</v>
      </c>
      <c r="BN2446" s="46">
        <v>0</v>
      </c>
    </row>
    <row r="2447" spans="1:66" x14ac:dyDescent="0.35">
      <c r="A2447" t="s">
        <v>7566</v>
      </c>
      <c r="B2447" s="44" t="s">
        <v>48</v>
      </c>
      <c r="C2447" t="s">
        <v>7569</v>
      </c>
      <c r="D2447" t="s">
        <v>1896</v>
      </c>
      <c r="E2447" t="s">
        <v>7567</v>
      </c>
      <c r="F2447" t="s">
        <v>7561</v>
      </c>
      <c r="G2447" t="s">
        <v>74</v>
      </c>
      <c r="H2447">
        <v>0</v>
      </c>
      <c r="I2447" s="60" t="s">
        <v>51</v>
      </c>
      <c r="J2447" s="33" t="s">
        <v>45</v>
      </c>
      <c r="K2447" s="46">
        <v>0</v>
      </c>
      <c r="L2447">
        <v>15.8</v>
      </c>
      <c r="M2447" t="s">
        <v>48</v>
      </c>
      <c r="N2447" s="46">
        <v>0</v>
      </c>
      <c r="O2447" s="46">
        <v>0</v>
      </c>
      <c r="P2447" s="46">
        <v>0</v>
      </c>
      <c r="Q2447" t="s">
        <v>48</v>
      </c>
      <c r="R2447" t="s">
        <v>48</v>
      </c>
      <c r="S2447" t="s">
        <v>7568</v>
      </c>
      <c r="T2447" t="s">
        <v>48</v>
      </c>
      <c r="U2447" t="s">
        <v>7568</v>
      </c>
      <c r="V2447" s="47">
        <v>1</v>
      </c>
      <c r="W2447" t="s">
        <v>11317</v>
      </c>
      <c r="X2447" t="s">
        <v>48</v>
      </c>
      <c r="Y2447" t="s">
        <v>48</v>
      </c>
      <c r="Z2447">
        <v>0</v>
      </c>
      <c r="AA2447" t="s">
        <v>48</v>
      </c>
      <c r="AB2447" t="s">
        <v>48</v>
      </c>
      <c r="AC2447" t="s">
        <v>63</v>
      </c>
      <c r="AD2447" t="s">
        <v>951</v>
      </c>
      <c r="AE2447" t="s">
        <v>11051</v>
      </c>
      <c r="AF2447" t="s">
        <v>48</v>
      </c>
      <c r="AG2447" t="s">
        <v>48</v>
      </c>
      <c r="AH2447" t="s">
        <v>48</v>
      </c>
      <c r="AI2447" t="s">
        <v>48</v>
      </c>
      <c r="AJ2447" t="s">
        <v>48</v>
      </c>
      <c r="AK2447" t="s">
        <v>48</v>
      </c>
      <c r="AL2447" t="s">
        <v>48</v>
      </c>
      <c r="AM2447" t="s">
        <v>48</v>
      </c>
      <c r="AN2447" t="s">
        <v>48</v>
      </c>
      <c r="AO2447" t="s">
        <v>48</v>
      </c>
      <c r="AP2447" s="46">
        <v>0</v>
      </c>
      <c r="AQ2447" s="46">
        <v>0</v>
      </c>
      <c r="AR2447" s="46">
        <v>0</v>
      </c>
      <c r="AS2447" s="46">
        <v>1</v>
      </c>
      <c r="AT2447" s="46">
        <v>0</v>
      </c>
      <c r="AU2447" s="46">
        <v>0</v>
      </c>
      <c r="AV2447" s="46">
        <v>0</v>
      </c>
      <c r="AW2447" s="46">
        <v>0</v>
      </c>
      <c r="AX2447" s="46">
        <v>0</v>
      </c>
      <c r="AY2447" s="46">
        <v>0</v>
      </c>
      <c r="AZ2447" s="46">
        <v>0</v>
      </c>
      <c r="BA2447" s="46">
        <v>0</v>
      </c>
      <c r="BB2447" s="46">
        <v>0</v>
      </c>
      <c r="BC2447" s="46">
        <v>0</v>
      </c>
      <c r="BD2447" s="46">
        <v>0</v>
      </c>
      <c r="BE2447" s="46">
        <v>0</v>
      </c>
      <c r="BF2447" s="46">
        <v>0</v>
      </c>
      <c r="BG2447" s="46" t="s">
        <v>48</v>
      </c>
      <c r="BH2447" s="46">
        <v>0</v>
      </c>
      <c r="BI2447" s="46">
        <v>0</v>
      </c>
      <c r="BJ2447" s="46">
        <v>0</v>
      </c>
      <c r="BK2447" s="46">
        <v>1</v>
      </c>
      <c r="BL2447" s="46">
        <v>0</v>
      </c>
      <c r="BM2447" s="46">
        <v>0</v>
      </c>
      <c r="BN2447" s="46">
        <v>0</v>
      </c>
    </row>
    <row r="2448" spans="1:66" x14ac:dyDescent="0.35">
      <c r="A2448" t="s">
        <v>9985</v>
      </c>
      <c r="B2448" t="s">
        <v>48</v>
      </c>
      <c r="C2448" t="s">
        <v>12175</v>
      </c>
      <c r="D2448" t="s">
        <v>347</v>
      </c>
      <c r="E2448" t="s">
        <v>9986</v>
      </c>
      <c r="F2448" t="s">
        <v>7574</v>
      </c>
      <c r="G2448" t="s">
        <v>47</v>
      </c>
      <c r="H2448">
        <v>0</v>
      </c>
      <c r="I2448" s="61">
        <v>44783</v>
      </c>
      <c r="J2448" s="33" t="s">
        <v>45</v>
      </c>
      <c r="K2448" s="46">
        <v>0</v>
      </c>
      <c r="L2448">
        <v>6.3</v>
      </c>
      <c r="M2448" t="s">
        <v>48</v>
      </c>
      <c r="N2448" s="46">
        <v>0</v>
      </c>
      <c r="O2448" s="46">
        <v>0</v>
      </c>
      <c r="P2448" s="46">
        <v>0</v>
      </c>
      <c r="Q2448" t="s">
        <v>48</v>
      </c>
      <c r="R2448" t="s">
        <v>48</v>
      </c>
      <c r="S2448" s="43" t="s">
        <v>48</v>
      </c>
      <c r="T2448" s="43" t="s">
        <v>48</v>
      </c>
      <c r="U2448" s="43" t="s">
        <v>48</v>
      </c>
      <c r="V2448" s="47">
        <v>1</v>
      </c>
      <c r="W2448" t="s">
        <v>48</v>
      </c>
      <c r="X2448" t="s">
        <v>48</v>
      </c>
      <c r="Y2448" t="s">
        <v>48</v>
      </c>
      <c r="Z2448" t="s">
        <v>48</v>
      </c>
      <c r="AA2448" t="s">
        <v>48</v>
      </c>
      <c r="AB2448" t="s">
        <v>48</v>
      </c>
      <c r="AC2448" t="s">
        <v>49</v>
      </c>
      <c r="AD2448" t="s">
        <v>48</v>
      </c>
      <c r="AE2448" t="s">
        <v>48</v>
      </c>
      <c r="AF2448" t="s">
        <v>48</v>
      </c>
      <c r="AG2448" t="s">
        <v>48</v>
      </c>
      <c r="AH2448" t="s">
        <v>48</v>
      </c>
      <c r="AI2448" t="s">
        <v>48</v>
      </c>
      <c r="AJ2448" t="s">
        <v>48</v>
      </c>
      <c r="AK2448" t="s">
        <v>48</v>
      </c>
      <c r="AL2448" t="s">
        <v>48</v>
      </c>
      <c r="AM2448" t="s">
        <v>48</v>
      </c>
      <c r="AN2448" t="s">
        <v>48</v>
      </c>
      <c r="AO2448" t="s">
        <v>48</v>
      </c>
      <c r="AP2448" s="46">
        <v>0</v>
      </c>
      <c r="AQ2448" s="46">
        <v>0</v>
      </c>
      <c r="AR2448" s="46">
        <v>0</v>
      </c>
      <c r="AS2448" s="46">
        <v>0</v>
      </c>
      <c r="AT2448" s="46">
        <v>0</v>
      </c>
      <c r="AU2448" s="46">
        <v>0</v>
      </c>
      <c r="AV2448" s="46">
        <v>0</v>
      </c>
      <c r="AW2448" s="46">
        <v>0</v>
      </c>
      <c r="AX2448" s="46">
        <v>0</v>
      </c>
      <c r="AY2448" s="46">
        <v>0</v>
      </c>
      <c r="AZ2448" s="46">
        <v>0</v>
      </c>
      <c r="BA2448" s="46">
        <v>0</v>
      </c>
      <c r="BB2448" s="46">
        <v>0</v>
      </c>
      <c r="BC2448" s="46">
        <v>0</v>
      </c>
      <c r="BD2448" s="46">
        <v>0</v>
      </c>
      <c r="BE2448" s="46">
        <v>0</v>
      </c>
      <c r="BF2448" s="46">
        <v>0</v>
      </c>
      <c r="BG2448" s="46" t="s">
        <v>48</v>
      </c>
      <c r="BH2448" s="46">
        <v>0</v>
      </c>
      <c r="BI2448" s="46">
        <v>0</v>
      </c>
      <c r="BJ2448" s="46">
        <v>0</v>
      </c>
      <c r="BK2448" s="46">
        <v>0</v>
      </c>
      <c r="BL2448" s="46">
        <v>0</v>
      </c>
      <c r="BM2448" s="46">
        <v>0</v>
      </c>
      <c r="BN2448" s="46">
        <v>0</v>
      </c>
    </row>
    <row r="2449" spans="1:66" x14ac:dyDescent="0.35">
      <c r="A2449" t="s">
        <v>9879</v>
      </c>
      <c r="B2449" s="44" t="s">
        <v>48</v>
      </c>
      <c r="C2449" t="s">
        <v>12375</v>
      </c>
      <c r="D2449" t="s">
        <v>1005</v>
      </c>
      <c r="E2449" t="s">
        <v>9880</v>
      </c>
      <c r="F2449" t="s">
        <v>7574</v>
      </c>
      <c r="G2449" t="s">
        <v>74</v>
      </c>
      <c r="H2449">
        <v>0</v>
      </c>
      <c r="I2449" s="61">
        <v>44783</v>
      </c>
      <c r="J2449" s="33" t="s">
        <v>45</v>
      </c>
      <c r="K2449" s="46">
        <v>0</v>
      </c>
      <c r="L2449">
        <v>2.2999999999999998</v>
      </c>
      <c r="M2449" t="s">
        <v>48</v>
      </c>
      <c r="N2449" s="46">
        <v>0</v>
      </c>
      <c r="O2449" s="46">
        <v>0</v>
      </c>
      <c r="P2449" s="46">
        <v>0</v>
      </c>
      <c r="Q2449" t="s">
        <v>48</v>
      </c>
      <c r="R2449" t="s">
        <v>48</v>
      </c>
      <c r="S2449" s="43" t="s">
        <v>48</v>
      </c>
      <c r="T2449" s="43" t="s">
        <v>48</v>
      </c>
      <c r="U2449" s="43" t="s">
        <v>48</v>
      </c>
      <c r="V2449" s="47">
        <v>1</v>
      </c>
      <c r="W2449" t="s">
        <v>48</v>
      </c>
      <c r="X2449" t="s">
        <v>48</v>
      </c>
      <c r="Y2449" t="s">
        <v>48</v>
      </c>
      <c r="Z2449" t="s">
        <v>48</v>
      </c>
      <c r="AA2449" t="s">
        <v>48</v>
      </c>
      <c r="AB2449" t="s">
        <v>48</v>
      </c>
      <c r="AC2449" t="s">
        <v>49</v>
      </c>
      <c r="AD2449" t="s">
        <v>93</v>
      </c>
      <c r="AE2449" t="s">
        <v>4532</v>
      </c>
      <c r="AF2449" t="s">
        <v>48</v>
      </c>
      <c r="AG2449" t="s">
        <v>48</v>
      </c>
      <c r="AH2449" t="s">
        <v>48</v>
      </c>
      <c r="AI2449" t="s">
        <v>48</v>
      </c>
      <c r="AJ2449" t="s">
        <v>48</v>
      </c>
      <c r="AK2449" t="s">
        <v>48</v>
      </c>
      <c r="AL2449" t="s">
        <v>48</v>
      </c>
      <c r="AM2449" t="s">
        <v>48</v>
      </c>
      <c r="AN2449" t="s">
        <v>48</v>
      </c>
      <c r="AO2449" t="s">
        <v>48</v>
      </c>
      <c r="AP2449" s="46">
        <v>0</v>
      </c>
      <c r="AQ2449" s="46">
        <v>0</v>
      </c>
      <c r="AR2449" s="46">
        <v>0</v>
      </c>
      <c r="AS2449" s="46">
        <v>0</v>
      </c>
      <c r="AT2449" s="46">
        <v>0</v>
      </c>
      <c r="AU2449" s="46">
        <v>0</v>
      </c>
      <c r="AV2449" s="46">
        <v>0</v>
      </c>
      <c r="AW2449" s="46">
        <v>0</v>
      </c>
      <c r="AX2449" s="46">
        <v>0</v>
      </c>
      <c r="AY2449" s="46">
        <v>0</v>
      </c>
      <c r="AZ2449" s="46">
        <v>0</v>
      </c>
      <c r="BA2449" s="46">
        <v>0</v>
      </c>
      <c r="BB2449" s="46">
        <v>0</v>
      </c>
      <c r="BC2449" s="46">
        <v>0</v>
      </c>
      <c r="BD2449" s="46">
        <v>0</v>
      </c>
      <c r="BE2449" s="46">
        <v>0</v>
      </c>
      <c r="BF2449" s="46">
        <v>0</v>
      </c>
      <c r="BG2449" s="46" t="s">
        <v>48</v>
      </c>
      <c r="BH2449" s="46">
        <v>0</v>
      </c>
      <c r="BI2449" s="46">
        <v>0</v>
      </c>
      <c r="BJ2449" s="46">
        <v>0</v>
      </c>
      <c r="BK2449" s="46">
        <v>0</v>
      </c>
      <c r="BL2449" s="46">
        <v>0</v>
      </c>
      <c r="BM2449" s="46">
        <v>0</v>
      </c>
      <c r="BN2449" s="46">
        <v>0</v>
      </c>
    </row>
    <row r="2450" spans="1:66" x14ac:dyDescent="0.35">
      <c r="A2450" t="s">
        <v>7606</v>
      </c>
      <c r="B2450" t="s">
        <v>48</v>
      </c>
      <c r="C2450" t="s">
        <v>384</v>
      </c>
      <c r="D2450" t="s">
        <v>7610</v>
      </c>
      <c r="E2450" t="s">
        <v>7608</v>
      </c>
      <c r="F2450" t="s">
        <v>7607</v>
      </c>
      <c r="G2450" t="s">
        <v>47</v>
      </c>
      <c r="H2450">
        <v>0</v>
      </c>
      <c r="I2450" s="60" t="s">
        <v>51</v>
      </c>
      <c r="J2450" s="33" t="s">
        <v>45</v>
      </c>
      <c r="K2450" s="46">
        <v>0</v>
      </c>
      <c r="L2450">
        <v>49.9</v>
      </c>
      <c r="M2450" t="s">
        <v>48</v>
      </c>
      <c r="N2450" s="46">
        <v>0</v>
      </c>
      <c r="O2450" s="46">
        <v>0</v>
      </c>
      <c r="P2450" s="46">
        <v>0</v>
      </c>
      <c r="Q2450" t="s">
        <v>48</v>
      </c>
      <c r="R2450" t="s">
        <v>48</v>
      </c>
      <c r="S2450" t="s">
        <v>7609</v>
      </c>
      <c r="T2450" t="s">
        <v>48</v>
      </c>
      <c r="U2450" t="s">
        <v>7609</v>
      </c>
      <c r="V2450" s="47">
        <v>0</v>
      </c>
      <c r="W2450" t="s">
        <v>48</v>
      </c>
      <c r="X2450" t="s">
        <v>48</v>
      </c>
      <c r="Y2450" t="s">
        <v>48</v>
      </c>
      <c r="Z2450">
        <v>0</v>
      </c>
      <c r="AA2450" t="s">
        <v>48</v>
      </c>
      <c r="AB2450" t="s">
        <v>48</v>
      </c>
      <c r="AC2450" t="s">
        <v>63</v>
      </c>
      <c r="AD2450" t="s">
        <v>93</v>
      </c>
      <c r="AE2450" t="s">
        <v>4532</v>
      </c>
      <c r="AF2450" t="s">
        <v>48</v>
      </c>
      <c r="AG2450" t="s">
        <v>48</v>
      </c>
      <c r="AH2450" t="s">
        <v>48</v>
      </c>
      <c r="AI2450" t="s">
        <v>48</v>
      </c>
      <c r="AJ2450" t="s">
        <v>48</v>
      </c>
      <c r="AK2450" t="s">
        <v>48</v>
      </c>
      <c r="AL2450" t="s">
        <v>48</v>
      </c>
      <c r="AM2450" t="s">
        <v>48</v>
      </c>
      <c r="AN2450" t="s">
        <v>48</v>
      </c>
      <c r="AO2450" t="s">
        <v>48</v>
      </c>
      <c r="AP2450" s="46">
        <v>0</v>
      </c>
      <c r="AQ2450" s="46">
        <v>0</v>
      </c>
      <c r="AR2450" s="46">
        <v>0</v>
      </c>
      <c r="AS2450" s="46">
        <v>0</v>
      </c>
      <c r="AT2450" s="46">
        <v>0</v>
      </c>
      <c r="AU2450" s="46">
        <v>0</v>
      </c>
      <c r="AV2450" s="46">
        <v>0</v>
      </c>
      <c r="AW2450" s="46">
        <v>0</v>
      </c>
      <c r="AX2450" s="46">
        <v>0</v>
      </c>
      <c r="AY2450" s="46">
        <v>0</v>
      </c>
      <c r="AZ2450" s="46">
        <v>0</v>
      </c>
      <c r="BA2450" s="46">
        <v>0</v>
      </c>
      <c r="BB2450" s="46">
        <v>0</v>
      </c>
      <c r="BC2450" s="46">
        <v>0</v>
      </c>
      <c r="BD2450" s="46">
        <v>0</v>
      </c>
      <c r="BE2450" s="46">
        <v>0</v>
      </c>
      <c r="BF2450" s="46">
        <v>0</v>
      </c>
      <c r="BG2450" s="46" t="s">
        <v>48</v>
      </c>
      <c r="BH2450" s="46">
        <v>0</v>
      </c>
      <c r="BI2450" s="46">
        <v>0</v>
      </c>
      <c r="BJ2450" s="46">
        <v>0</v>
      </c>
      <c r="BK2450" s="46">
        <v>0</v>
      </c>
      <c r="BL2450" s="46">
        <v>0</v>
      </c>
      <c r="BM2450" s="46">
        <v>0</v>
      </c>
      <c r="BN2450" s="46">
        <v>0</v>
      </c>
    </row>
    <row r="2451" spans="1:66" x14ac:dyDescent="0.35">
      <c r="A2451" t="s">
        <v>7626</v>
      </c>
      <c r="B2451" s="44" t="s">
        <v>48</v>
      </c>
      <c r="C2451" t="s">
        <v>7629</v>
      </c>
      <c r="D2451" t="s">
        <v>4643</v>
      </c>
      <c r="E2451" t="s">
        <v>7627</v>
      </c>
      <c r="F2451" t="s">
        <v>7617</v>
      </c>
      <c r="G2451" t="s">
        <v>74</v>
      </c>
      <c r="H2451">
        <v>0</v>
      </c>
      <c r="I2451" s="60" t="s">
        <v>149</v>
      </c>
      <c r="J2451" s="33" t="s">
        <v>45</v>
      </c>
      <c r="K2451" s="46">
        <v>0</v>
      </c>
      <c r="L2451">
        <v>19.100000000000001</v>
      </c>
      <c r="M2451" t="s">
        <v>48</v>
      </c>
      <c r="N2451" s="46">
        <v>0</v>
      </c>
      <c r="O2451" s="46">
        <v>0</v>
      </c>
      <c r="P2451" s="46">
        <v>0</v>
      </c>
      <c r="Q2451" t="s">
        <v>48</v>
      </c>
      <c r="R2451" t="s">
        <v>48</v>
      </c>
      <c r="S2451" t="s">
        <v>7628</v>
      </c>
      <c r="T2451" t="s">
        <v>48</v>
      </c>
      <c r="U2451" t="s">
        <v>7628</v>
      </c>
      <c r="V2451" s="47">
        <v>0</v>
      </c>
      <c r="W2451" t="s">
        <v>11317</v>
      </c>
      <c r="X2451" t="s">
        <v>48</v>
      </c>
      <c r="Y2451" t="s">
        <v>48</v>
      </c>
      <c r="Z2451">
        <v>0</v>
      </c>
      <c r="AA2451" t="s">
        <v>48</v>
      </c>
      <c r="AB2451" t="s">
        <v>48</v>
      </c>
      <c r="AC2451" t="s">
        <v>63</v>
      </c>
      <c r="AD2451" t="s">
        <v>93</v>
      </c>
      <c r="AE2451" t="s">
        <v>4532</v>
      </c>
      <c r="AF2451" t="s">
        <v>48</v>
      </c>
      <c r="AG2451" t="s">
        <v>48</v>
      </c>
      <c r="AH2451" t="s">
        <v>48</v>
      </c>
      <c r="AI2451" t="s">
        <v>48</v>
      </c>
      <c r="AJ2451" t="s">
        <v>48</v>
      </c>
      <c r="AK2451" t="s">
        <v>48</v>
      </c>
      <c r="AL2451" t="s">
        <v>48</v>
      </c>
      <c r="AM2451" t="s">
        <v>48</v>
      </c>
      <c r="AN2451" t="s">
        <v>48</v>
      </c>
      <c r="AO2451" t="s">
        <v>48</v>
      </c>
      <c r="AP2451" s="46">
        <v>0</v>
      </c>
      <c r="AQ2451" s="46">
        <v>0</v>
      </c>
      <c r="AR2451" s="46">
        <v>0</v>
      </c>
      <c r="AS2451" s="46">
        <v>0</v>
      </c>
      <c r="AT2451" s="46">
        <v>0</v>
      </c>
      <c r="AU2451" s="46">
        <v>0</v>
      </c>
      <c r="AV2451" s="46">
        <v>0</v>
      </c>
      <c r="AW2451" s="46">
        <v>0</v>
      </c>
      <c r="AX2451" s="46">
        <v>0</v>
      </c>
      <c r="AY2451" s="46">
        <v>0</v>
      </c>
      <c r="AZ2451" s="46">
        <v>0</v>
      </c>
      <c r="BA2451" s="46">
        <v>0</v>
      </c>
      <c r="BB2451" s="46">
        <v>0</v>
      </c>
      <c r="BC2451" s="46">
        <v>0</v>
      </c>
      <c r="BD2451" s="46">
        <v>0</v>
      </c>
      <c r="BE2451" s="46">
        <v>0</v>
      </c>
      <c r="BF2451" s="46">
        <v>0</v>
      </c>
      <c r="BG2451" s="46" t="s">
        <v>48</v>
      </c>
      <c r="BH2451" s="46">
        <v>0</v>
      </c>
      <c r="BI2451" s="46">
        <v>0</v>
      </c>
      <c r="BJ2451" s="46">
        <v>0</v>
      </c>
      <c r="BK2451" s="46">
        <v>0</v>
      </c>
      <c r="BL2451" s="46">
        <v>0</v>
      </c>
      <c r="BM2451" s="46">
        <v>0</v>
      </c>
      <c r="BN2451" s="46">
        <v>0</v>
      </c>
    </row>
    <row r="2452" spans="1:66" x14ac:dyDescent="0.35">
      <c r="A2452" t="s">
        <v>7630</v>
      </c>
      <c r="B2452" s="44" t="s">
        <v>48</v>
      </c>
      <c r="C2452" t="s">
        <v>4237</v>
      </c>
      <c r="D2452" t="s">
        <v>655</v>
      </c>
      <c r="E2452" t="s">
        <v>7631</v>
      </c>
      <c r="F2452" t="s">
        <v>7617</v>
      </c>
      <c r="G2452" t="s">
        <v>74</v>
      </c>
      <c r="H2452">
        <v>0</v>
      </c>
      <c r="I2452" s="60" t="s">
        <v>125</v>
      </c>
      <c r="J2452" s="33" t="s">
        <v>45</v>
      </c>
      <c r="K2452" s="46">
        <v>0</v>
      </c>
      <c r="L2452">
        <v>10.8</v>
      </c>
      <c r="M2452" t="s">
        <v>48</v>
      </c>
      <c r="N2452" s="46">
        <v>0</v>
      </c>
      <c r="O2452" s="46">
        <v>0</v>
      </c>
      <c r="P2452" s="46">
        <v>0</v>
      </c>
      <c r="Q2452" t="s">
        <v>48</v>
      </c>
      <c r="R2452" t="s">
        <v>48</v>
      </c>
      <c r="S2452" t="s">
        <v>7632</v>
      </c>
      <c r="T2452" t="s">
        <v>48</v>
      </c>
      <c r="U2452" t="s">
        <v>7632</v>
      </c>
      <c r="V2452" s="47">
        <v>0</v>
      </c>
      <c r="W2452" t="s">
        <v>48</v>
      </c>
      <c r="X2452" t="s">
        <v>48</v>
      </c>
      <c r="Y2452" t="s">
        <v>48</v>
      </c>
      <c r="Z2452">
        <v>0</v>
      </c>
      <c r="AA2452" t="s">
        <v>48</v>
      </c>
      <c r="AB2452" t="s">
        <v>48</v>
      </c>
      <c r="AC2452" t="s">
        <v>49</v>
      </c>
      <c r="AD2452" t="s">
        <v>93</v>
      </c>
      <c r="AE2452" t="s">
        <v>4532</v>
      </c>
      <c r="AF2452" t="s">
        <v>48</v>
      </c>
      <c r="AG2452" t="s">
        <v>48</v>
      </c>
      <c r="AH2452" t="s">
        <v>48</v>
      </c>
      <c r="AI2452" t="s">
        <v>48</v>
      </c>
      <c r="AJ2452" t="s">
        <v>48</v>
      </c>
      <c r="AK2452" t="s">
        <v>48</v>
      </c>
      <c r="AL2452" t="s">
        <v>48</v>
      </c>
      <c r="AM2452" t="s">
        <v>48</v>
      </c>
      <c r="AN2452" t="s">
        <v>48</v>
      </c>
      <c r="AO2452" t="s">
        <v>48</v>
      </c>
      <c r="AP2452" s="46">
        <v>0</v>
      </c>
      <c r="AQ2452" s="46">
        <v>0</v>
      </c>
      <c r="AR2452" s="46">
        <v>0</v>
      </c>
      <c r="AS2452" s="46">
        <v>0</v>
      </c>
      <c r="AT2452" s="46">
        <v>0</v>
      </c>
      <c r="AU2452" s="46">
        <v>0</v>
      </c>
      <c r="AV2452" s="46">
        <v>0</v>
      </c>
      <c r="AW2452" s="46">
        <v>0</v>
      </c>
      <c r="AX2452" s="46">
        <v>0</v>
      </c>
      <c r="AY2452" s="46">
        <v>0</v>
      </c>
      <c r="AZ2452" s="46">
        <v>0</v>
      </c>
      <c r="BA2452" s="46">
        <v>0</v>
      </c>
      <c r="BB2452" s="46">
        <v>0</v>
      </c>
      <c r="BC2452" s="46">
        <v>0</v>
      </c>
      <c r="BD2452" s="46">
        <v>0</v>
      </c>
      <c r="BE2452" s="46">
        <v>0</v>
      </c>
      <c r="BF2452" s="46">
        <v>0</v>
      </c>
      <c r="BG2452" s="46" t="s">
        <v>48</v>
      </c>
      <c r="BH2452" s="46">
        <v>0</v>
      </c>
      <c r="BI2452" s="46">
        <v>0</v>
      </c>
      <c r="BJ2452" s="46">
        <v>0</v>
      </c>
      <c r="BK2452" s="46">
        <v>0</v>
      </c>
      <c r="BL2452" s="46">
        <v>0</v>
      </c>
      <c r="BM2452" s="46">
        <v>0</v>
      </c>
      <c r="BN2452" s="46">
        <v>0</v>
      </c>
    </row>
    <row r="2453" spans="1:66" x14ac:dyDescent="0.35">
      <c r="A2453" t="s">
        <v>7616</v>
      </c>
      <c r="B2453" s="44" t="s">
        <v>48</v>
      </c>
      <c r="C2453" t="s">
        <v>7620</v>
      </c>
      <c r="D2453" t="s">
        <v>1643</v>
      </c>
      <c r="E2453" t="s">
        <v>7618</v>
      </c>
      <c r="F2453" t="s">
        <v>7617</v>
      </c>
      <c r="G2453" t="s">
        <v>74</v>
      </c>
      <c r="H2453">
        <v>0</v>
      </c>
      <c r="I2453" s="60" t="s">
        <v>716</v>
      </c>
      <c r="J2453" s="33" t="s">
        <v>45</v>
      </c>
      <c r="K2453" s="46">
        <v>0</v>
      </c>
      <c r="L2453">
        <v>31.2</v>
      </c>
      <c r="M2453" t="s">
        <v>48</v>
      </c>
      <c r="N2453" s="46">
        <v>0</v>
      </c>
      <c r="O2453" s="46">
        <v>0</v>
      </c>
      <c r="P2453" s="46">
        <v>0</v>
      </c>
      <c r="Q2453" t="s">
        <v>48</v>
      </c>
      <c r="R2453" t="s">
        <v>48</v>
      </c>
      <c r="S2453" t="s">
        <v>7619</v>
      </c>
      <c r="T2453" t="s">
        <v>48</v>
      </c>
      <c r="U2453" t="s">
        <v>7619</v>
      </c>
      <c r="V2453" s="47">
        <v>0</v>
      </c>
      <c r="W2453" t="s">
        <v>48</v>
      </c>
      <c r="X2453" t="s">
        <v>48</v>
      </c>
      <c r="Y2453" t="s">
        <v>48</v>
      </c>
      <c r="Z2453">
        <v>0</v>
      </c>
      <c r="AA2453" t="s">
        <v>48</v>
      </c>
      <c r="AB2453" t="s">
        <v>48</v>
      </c>
      <c r="AC2453" t="s">
        <v>63</v>
      </c>
      <c r="AD2453" t="s">
        <v>93</v>
      </c>
      <c r="AE2453" t="s">
        <v>4532</v>
      </c>
      <c r="AF2453" t="s">
        <v>48</v>
      </c>
      <c r="AG2453" t="s">
        <v>48</v>
      </c>
      <c r="AH2453" t="s">
        <v>48</v>
      </c>
      <c r="AI2453" t="s">
        <v>48</v>
      </c>
      <c r="AJ2453" t="s">
        <v>48</v>
      </c>
      <c r="AK2453" t="s">
        <v>48</v>
      </c>
      <c r="AL2453" t="s">
        <v>48</v>
      </c>
      <c r="AM2453" t="s">
        <v>48</v>
      </c>
      <c r="AN2453" t="s">
        <v>48</v>
      </c>
      <c r="AO2453" t="s">
        <v>48</v>
      </c>
      <c r="AP2453" s="46">
        <v>0</v>
      </c>
      <c r="AQ2453" s="46">
        <v>0</v>
      </c>
      <c r="AR2453" s="46">
        <v>0</v>
      </c>
      <c r="AS2453" s="46">
        <v>0</v>
      </c>
      <c r="AT2453" s="46">
        <v>0</v>
      </c>
      <c r="AU2453" s="46">
        <v>0</v>
      </c>
      <c r="AV2453" s="46">
        <v>0</v>
      </c>
      <c r="AW2453" s="46">
        <v>0</v>
      </c>
      <c r="AX2453" s="46">
        <v>0</v>
      </c>
      <c r="AY2453" s="46">
        <v>0</v>
      </c>
      <c r="AZ2453" s="46">
        <v>0</v>
      </c>
      <c r="BA2453" s="46">
        <v>0</v>
      </c>
      <c r="BB2453" s="46">
        <v>0</v>
      </c>
      <c r="BC2453" s="46">
        <v>0</v>
      </c>
      <c r="BD2453" s="46">
        <v>0</v>
      </c>
      <c r="BE2453" s="46">
        <v>0</v>
      </c>
      <c r="BF2453" s="46">
        <v>0</v>
      </c>
      <c r="BG2453" s="46" t="s">
        <v>48</v>
      </c>
      <c r="BH2453" s="46">
        <v>0</v>
      </c>
      <c r="BI2453" s="46">
        <v>0</v>
      </c>
      <c r="BJ2453" s="46">
        <v>0</v>
      </c>
      <c r="BK2453" s="46">
        <v>0</v>
      </c>
      <c r="BL2453" s="46">
        <v>0</v>
      </c>
      <c r="BM2453" s="46">
        <v>0</v>
      </c>
      <c r="BN2453" s="46">
        <v>0</v>
      </c>
    </row>
    <row r="2454" spans="1:66" x14ac:dyDescent="0.35">
      <c r="A2454" t="s">
        <v>10900</v>
      </c>
      <c r="B2454" t="s">
        <v>48</v>
      </c>
      <c r="C2454" t="s">
        <v>2150</v>
      </c>
      <c r="D2454" t="s">
        <v>747</v>
      </c>
      <c r="E2454" t="s">
        <v>10901</v>
      </c>
      <c r="F2454" t="s">
        <v>7639</v>
      </c>
      <c r="G2454" t="s">
        <v>47</v>
      </c>
      <c r="H2454">
        <v>0</v>
      </c>
      <c r="I2454" s="61">
        <v>44789</v>
      </c>
      <c r="J2454" s="33" t="s">
        <v>45</v>
      </c>
      <c r="K2454" s="46">
        <v>0</v>
      </c>
      <c r="L2454">
        <v>25.2</v>
      </c>
      <c r="M2454" t="s">
        <v>48</v>
      </c>
      <c r="N2454" s="46">
        <v>0</v>
      </c>
      <c r="O2454" s="46">
        <v>0</v>
      </c>
      <c r="P2454" s="46">
        <v>0</v>
      </c>
      <c r="Q2454" t="s">
        <v>48</v>
      </c>
      <c r="R2454" t="s">
        <v>48</v>
      </c>
      <c r="S2454" t="s">
        <v>48</v>
      </c>
      <c r="T2454" t="s">
        <v>48</v>
      </c>
      <c r="U2454" t="s">
        <v>48</v>
      </c>
      <c r="V2454" s="47">
        <v>0</v>
      </c>
      <c r="W2454" t="s">
        <v>48</v>
      </c>
      <c r="X2454" t="s">
        <v>48</v>
      </c>
      <c r="Y2454" t="s">
        <v>48</v>
      </c>
      <c r="Z2454">
        <v>0</v>
      </c>
      <c r="AA2454" t="s">
        <v>48</v>
      </c>
      <c r="AB2454" t="s">
        <v>48</v>
      </c>
      <c r="AC2454" t="s">
        <v>49</v>
      </c>
      <c r="AD2454" t="s">
        <v>93</v>
      </c>
      <c r="AE2454" t="s">
        <v>2471</v>
      </c>
      <c r="AF2454" t="s">
        <v>48</v>
      </c>
      <c r="AG2454" t="s">
        <v>48</v>
      </c>
      <c r="AH2454" t="s">
        <v>48</v>
      </c>
      <c r="AI2454" t="s">
        <v>48</v>
      </c>
      <c r="AJ2454" t="s">
        <v>48</v>
      </c>
      <c r="AK2454" t="s">
        <v>48</v>
      </c>
      <c r="AL2454" t="s">
        <v>48</v>
      </c>
      <c r="AM2454" t="s">
        <v>48</v>
      </c>
      <c r="AN2454" t="s">
        <v>48</v>
      </c>
      <c r="AO2454" t="s">
        <v>48</v>
      </c>
      <c r="AP2454" s="46">
        <v>0</v>
      </c>
      <c r="AQ2454" s="46">
        <v>0</v>
      </c>
      <c r="AR2454" s="46">
        <v>0</v>
      </c>
      <c r="AS2454" s="46">
        <v>0</v>
      </c>
      <c r="AT2454" s="46">
        <v>0</v>
      </c>
      <c r="AU2454" s="46">
        <v>0</v>
      </c>
      <c r="AV2454" s="46">
        <v>0</v>
      </c>
      <c r="AW2454" s="46">
        <v>0</v>
      </c>
      <c r="AX2454" s="46">
        <v>0</v>
      </c>
      <c r="AY2454" s="46">
        <v>0</v>
      </c>
      <c r="AZ2454" s="46">
        <v>0</v>
      </c>
      <c r="BA2454" s="46">
        <v>0</v>
      </c>
      <c r="BB2454" s="46">
        <v>0</v>
      </c>
      <c r="BC2454" s="46">
        <v>0</v>
      </c>
      <c r="BD2454" s="46">
        <v>0</v>
      </c>
      <c r="BE2454" s="46">
        <v>0</v>
      </c>
      <c r="BF2454" s="46">
        <v>0</v>
      </c>
      <c r="BG2454" s="46" t="s">
        <v>48</v>
      </c>
      <c r="BH2454" s="46">
        <v>0</v>
      </c>
      <c r="BI2454" s="46">
        <v>0</v>
      </c>
      <c r="BJ2454" s="46">
        <v>0</v>
      </c>
      <c r="BK2454" s="46">
        <v>0</v>
      </c>
      <c r="BL2454" s="46">
        <v>0</v>
      </c>
      <c r="BM2454" s="46">
        <v>0</v>
      </c>
      <c r="BN2454" s="46">
        <v>0</v>
      </c>
    </row>
    <row r="2455" spans="1:66" x14ac:dyDescent="0.35">
      <c r="A2455" t="s">
        <v>7658</v>
      </c>
      <c r="B2455" t="s">
        <v>48</v>
      </c>
      <c r="C2455" t="s">
        <v>7661</v>
      </c>
      <c r="D2455" t="s">
        <v>394</v>
      </c>
      <c r="E2455" t="s">
        <v>7659</v>
      </c>
      <c r="F2455" t="s">
        <v>7653</v>
      </c>
      <c r="G2455" t="s">
        <v>47</v>
      </c>
      <c r="H2455">
        <v>0</v>
      </c>
      <c r="I2455" s="60" t="s">
        <v>51</v>
      </c>
      <c r="J2455" s="33" t="s">
        <v>45</v>
      </c>
      <c r="K2455" s="46">
        <v>0</v>
      </c>
      <c r="L2455">
        <v>17.5</v>
      </c>
      <c r="M2455" t="s">
        <v>48</v>
      </c>
      <c r="N2455" s="46">
        <v>0</v>
      </c>
      <c r="O2455" s="46">
        <v>0</v>
      </c>
      <c r="P2455" s="46">
        <v>0</v>
      </c>
      <c r="Q2455" t="s">
        <v>48</v>
      </c>
      <c r="R2455" t="s">
        <v>48</v>
      </c>
      <c r="S2455" t="s">
        <v>7660</v>
      </c>
      <c r="T2455" t="s">
        <v>48</v>
      </c>
      <c r="U2455" t="s">
        <v>7660</v>
      </c>
      <c r="V2455" s="47">
        <v>0</v>
      </c>
      <c r="W2455" t="s">
        <v>48</v>
      </c>
      <c r="X2455" t="s">
        <v>48</v>
      </c>
      <c r="Y2455" t="s">
        <v>48</v>
      </c>
      <c r="Z2455">
        <v>0</v>
      </c>
      <c r="AA2455" t="s">
        <v>48</v>
      </c>
      <c r="AB2455" t="s">
        <v>48</v>
      </c>
      <c r="AC2455" t="s">
        <v>49</v>
      </c>
      <c r="AD2455" t="s">
        <v>93</v>
      </c>
      <c r="AE2455" t="s">
        <v>4532</v>
      </c>
      <c r="AF2455" t="s">
        <v>48</v>
      </c>
      <c r="AG2455" t="s">
        <v>48</v>
      </c>
      <c r="AH2455" t="s">
        <v>48</v>
      </c>
      <c r="AI2455" t="s">
        <v>48</v>
      </c>
      <c r="AJ2455" t="s">
        <v>48</v>
      </c>
      <c r="AK2455" t="s">
        <v>48</v>
      </c>
      <c r="AL2455" t="s">
        <v>48</v>
      </c>
      <c r="AM2455" t="s">
        <v>48</v>
      </c>
      <c r="AN2455" t="s">
        <v>48</v>
      </c>
      <c r="AO2455" t="s">
        <v>48</v>
      </c>
      <c r="AP2455" s="46">
        <v>0</v>
      </c>
      <c r="AQ2455" s="46">
        <v>0</v>
      </c>
      <c r="AR2455" s="46">
        <v>0</v>
      </c>
      <c r="AS2455" s="46">
        <v>0</v>
      </c>
      <c r="AT2455" s="46">
        <v>0</v>
      </c>
      <c r="AU2455" s="46">
        <v>0</v>
      </c>
      <c r="AV2455" s="46">
        <v>0</v>
      </c>
      <c r="AW2455" s="46">
        <v>0</v>
      </c>
      <c r="AX2455" s="46">
        <v>0</v>
      </c>
      <c r="AY2455" s="46">
        <v>0</v>
      </c>
      <c r="AZ2455" s="46">
        <v>0</v>
      </c>
      <c r="BA2455" s="46">
        <v>0</v>
      </c>
      <c r="BB2455" s="46">
        <v>0</v>
      </c>
      <c r="BC2455" s="46">
        <v>0</v>
      </c>
      <c r="BD2455" s="46">
        <v>0</v>
      </c>
      <c r="BE2455" s="46">
        <v>0</v>
      </c>
      <c r="BF2455" s="46">
        <v>0</v>
      </c>
      <c r="BG2455" s="46" t="s">
        <v>48</v>
      </c>
      <c r="BH2455" s="46">
        <v>0</v>
      </c>
      <c r="BI2455" s="46">
        <v>0</v>
      </c>
      <c r="BJ2455" s="46">
        <v>0</v>
      </c>
      <c r="BK2455" s="46">
        <v>0</v>
      </c>
      <c r="BL2455" s="46">
        <v>0</v>
      </c>
      <c r="BM2455" s="46">
        <v>0</v>
      </c>
      <c r="BN2455" s="46">
        <v>0</v>
      </c>
    </row>
    <row r="2456" spans="1:66" x14ac:dyDescent="0.35">
      <c r="A2456" t="s">
        <v>10904</v>
      </c>
      <c r="B2456" t="s">
        <v>48</v>
      </c>
      <c r="C2456" t="s">
        <v>12383</v>
      </c>
      <c r="D2456" t="s">
        <v>268</v>
      </c>
      <c r="E2456" t="s">
        <v>10905</v>
      </c>
      <c r="F2456" t="s">
        <v>7662</v>
      </c>
      <c r="G2456" t="s">
        <v>47</v>
      </c>
      <c r="H2456">
        <v>0</v>
      </c>
      <c r="I2456" s="60" t="s">
        <v>11552</v>
      </c>
      <c r="J2456" s="33" t="s">
        <v>45</v>
      </c>
      <c r="K2456" s="46">
        <v>0</v>
      </c>
      <c r="L2456">
        <v>13.4</v>
      </c>
      <c r="M2456" t="s">
        <v>48</v>
      </c>
      <c r="N2456" s="46">
        <v>0</v>
      </c>
      <c r="O2456" s="46">
        <v>0</v>
      </c>
      <c r="P2456" s="46">
        <v>0</v>
      </c>
      <c r="Q2456" t="s">
        <v>48</v>
      </c>
      <c r="R2456" t="s">
        <v>48</v>
      </c>
      <c r="S2456" t="s">
        <v>11550</v>
      </c>
      <c r="T2456" t="s">
        <v>48</v>
      </c>
      <c r="U2456" t="s">
        <v>10906</v>
      </c>
      <c r="V2456" s="47">
        <v>0</v>
      </c>
      <c r="W2456" t="s">
        <v>48</v>
      </c>
      <c r="X2456" t="s">
        <v>48</v>
      </c>
      <c r="Y2456" t="s">
        <v>48</v>
      </c>
      <c r="Z2456">
        <v>0</v>
      </c>
      <c r="AA2456" t="s">
        <v>48</v>
      </c>
      <c r="AB2456" t="s">
        <v>48</v>
      </c>
      <c r="AC2456" t="s">
        <v>49</v>
      </c>
      <c r="AD2456" t="s">
        <v>48</v>
      </c>
      <c r="AE2456" t="s">
        <v>48</v>
      </c>
      <c r="AF2456" t="s">
        <v>48</v>
      </c>
      <c r="AG2456" t="s">
        <v>48</v>
      </c>
      <c r="AH2456" t="s">
        <v>48</v>
      </c>
      <c r="AI2456" t="s">
        <v>48</v>
      </c>
      <c r="AJ2456" t="s">
        <v>48</v>
      </c>
      <c r="AK2456" t="s">
        <v>48</v>
      </c>
      <c r="AL2456" t="s">
        <v>48</v>
      </c>
      <c r="AM2456" t="s">
        <v>48</v>
      </c>
      <c r="AN2456" t="s">
        <v>48</v>
      </c>
      <c r="AO2456" t="s">
        <v>48</v>
      </c>
      <c r="AP2456" s="46">
        <v>0</v>
      </c>
      <c r="AQ2456" s="46">
        <v>0</v>
      </c>
      <c r="AR2456" s="46">
        <v>0</v>
      </c>
      <c r="AS2456" s="46">
        <v>0</v>
      </c>
      <c r="AT2456" s="46">
        <v>0</v>
      </c>
      <c r="AU2456" s="46">
        <v>0</v>
      </c>
      <c r="AV2456" s="46">
        <v>0</v>
      </c>
      <c r="AW2456" s="46">
        <v>0</v>
      </c>
      <c r="AX2456" s="46">
        <v>0</v>
      </c>
      <c r="AY2456" s="46">
        <v>0</v>
      </c>
      <c r="AZ2456" s="46">
        <v>0</v>
      </c>
      <c r="BA2456" s="46">
        <v>0</v>
      </c>
      <c r="BB2456" s="46">
        <v>0</v>
      </c>
      <c r="BC2456" s="46">
        <v>0</v>
      </c>
      <c r="BD2456" s="46">
        <v>0</v>
      </c>
      <c r="BE2456" s="46">
        <v>0</v>
      </c>
      <c r="BF2456" s="46">
        <v>0</v>
      </c>
      <c r="BG2456" s="46" t="s">
        <v>48</v>
      </c>
      <c r="BH2456" s="46">
        <v>0</v>
      </c>
      <c r="BI2456" s="46">
        <v>0</v>
      </c>
      <c r="BJ2456" s="46">
        <v>0</v>
      </c>
      <c r="BK2456" s="46">
        <v>0</v>
      </c>
      <c r="BL2456" s="46">
        <v>0</v>
      </c>
      <c r="BM2456" s="46">
        <v>0</v>
      </c>
      <c r="BN2456" s="46">
        <v>0</v>
      </c>
    </row>
    <row r="2457" spans="1:66" x14ac:dyDescent="0.35">
      <c r="A2457" t="s">
        <v>10907</v>
      </c>
      <c r="B2457" t="s">
        <v>48</v>
      </c>
      <c r="C2457" t="s">
        <v>12384</v>
      </c>
      <c r="D2457" t="s">
        <v>12385</v>
      </c>
      <c r="E2457" t="s">
        <v>10908</v>
      </c>
      <c r="F2457" t="s">
        <v>7668</v>
      </c>
      <c r="G2457" t="s">
        <v>47</v>
      </c>
      <c r="H2457">
        <v>0</v>
      </c>
      <c r="I2457" s="61">
        <v>44789</v>
      </c>
      <c r="J2457" s="33" t="s">
        <v>45</v>
      </c>
      <c r="K2457" s="46">
        <v>0</v>
      </c>
      <c r="L2457">
        <v>15.4</v>
      </c>
      <c r="M2457" t="s">
        <v>48</v>
      </c>
      <c r="N2457" s="46">
        <v>0</v>
      </c>
      <c r="O2457" s="46">
        <v>0</v>
      </c>
      <c r="P2457" s="46">
        <v>0</v>
      </c>
      <c r="Q2457" t="s">
        <v>48</v>
      </c>
      <c r="R2457" t="s">
        <v>48</v>
      </c>
      <c r="S2457" t="s">
        <v>48</v>
      </c>
      <c r="T2457" t="s">
        <v>48</v>
      </c>
      <c r="U2457" t="s">
        <v>48</v>
      </c>
      <c r="V2457" s="47">
        <v>0</v>
      </c>
      <c r="W2457" t="s">
        <v>48</v>
      </c>
      <c r="X2457" t="s">
        <v>48</v>
      </c>
      <c r="Y2457" t="s">
        <v>48</v>
      </c>
      <c r="Z2457">
        <v>0</v>
      </c>
      <c r="AA2457" t="s">
        <v>48</v>
      </c>
      <c r="AB2457" t="s">
        <v>48</v>
      </c>
      <c r="AC2457" t="s">
        <v>49</v>
      </c>
      <c r="AD2457" t="s">
        <v>93</v>
      </c>
      <c r="AE2457" t="s">
        <v>4532</v>
      </c>
      <c r="AF2457" t="s">
        <v>48</v>
      </c>
      <c r="AG2457" t="s">
        <v>48</v>
      </c>
      <c r="AH2457" t="s">
        <v>48</v>
      </c>
      <c r="AI2457" t="s">
        <v>48</v>
      </c>
      <c r="AJ2457" t="s">
        <v>48</v>
      </c>
      <c r="AK2457" t="s">
        <v>48</v>
      </c>
      <c r="AL2457" t="s">
        <v>48</v>
      </c>
      <c r="AM2457" t="s">
        <v>48</v>
      </c>
      <c r="AN2457" t="s">
        <v>48</v>
      </c>
      <c r="AO2457" t="s">
        <v>48</v>
      </c>
      <c r="AP2457" s="46">
        <v>0</v>
      </c>
      <c r="AQ2457" s="46">
        <v>0</v>
      </c>
      <c r="AR2457" s="46">
        <v>0</v>
      </c>
      <c r="AS2457" s="46">
        <v>0</v>
      </c>
      <c r="AT2457" s="46">
        <v>0</v>
      </c>
      <c r="AU2457" s="46">
        <v>0</v>
      </c>
      <c r="AV2457" s="46">
        <v>0</v>
      </c>
      <c r="AW2457" s="46">
        <v>0</v>
      </c>
      <c r="AX2457" s="46">
        <v>0</v>
      </c>
      <c r="AY2457" s="46">
        <v>0</v>
      </c>
      <c r="AZ2457" s="46">
        <v>0</v>
      </c>
      <c r="BA2457" s="46">
        <v>0</v>
      </c>
      <c r="BB2457" s="46">
        <v>0</v>
      </c>
      <c r="BC2457" s="46">
        <v>0</v>
      </c>
      <c r="BD2457" s="46">
        <v>0</v>
      </c>
      <c r="BE2457" s="46">
        <v>0</v>
      </c>
      <c r="BF2457" s="46">
        <v>0</v>
      </c>
      <c r="BG2457" s="46" t="s">
        <v>48</v>
      </c>
      <c r="BH2457" s="46">
        <v>0</v>
      </c>
      <c r="BI2457" s="46">
        <v>0</v>
      </c>
      <c r="BJ2457" s="46">
        <v>0</v>
      </c>
      <c r="BK2457" s="46">
        <v>0</v>
      </c>
      <c r="BL2457" s="46">
        <v>0</v>
      </c>
      <c r="BM2457" s="46">
        <v>0</v>
      </c>
      <c r="BN2457" s="46">
        <v>0</v>
      </c>
    </row>
    <row r="2458" spans="1:66" x14ac:dyDescent="0.35">
      <c r="A2458" t="s">
        <v>7720</v>
      </c>
      <c r="B2458" t="s">
        <v>48</v>
      </c>
      <c r="C2458" t="s">
        <v>7722</v>
      </c>
      <c r="D2458" t="s">
        <v>603</v>
      </c>
      <c r="E2458" t="s">
        <v>7721</v>
      </c>
      <c r="F2458" t="s">
        <v>7713</v>
      </c>
      <c r="G2458" t="s">
        <v>47</v>
      </c>
      <c r="H2458">
        <v>0</v>
      </c>
      <c r="I2458" s="60" t="s">
        <v>125</v>
      </c>
      <c r="J2458" s="33" t="s">
        <v>45</v>
      </c>
      <c r="K2458" s="46">
        <v>0</v>
      </c>
      <c r="L2458">
        <v>7.7</v>
      </c>
      <c r="M2458" t="s">
        <v>48</v>
      </c>
      <c r="N2458" s="46">
        <v>0</v>
      </c>
      <c r="O2458" s="46">
        <v>0</v>
      </c>
      <c r="P2458" s="46">
        <v>0</v>
      </c>
      <c r="Q2458" t="s">
        <v>48</v>
      </c>
      <c r="R2458" t="s">
        <v>48</v>
      </c>
      <c r="S2458" t="s">
        <v>48</v>
      </c>
      <c r="T2458" t="s">
        <v>48</v>
      </c>
      <c r="U2458" t="s">
        <v>48</v>
      </c>
      <c r="V2458" s="47">
        <v>0</v>
      </c>
      <c r="W2458" t="s">
        <v>48</v>
      </c>
      <c r="X2458" t="s">
        <v>48</v>
      </c>
      <c r="Y2458" t="s">
        <v>48</v>
      </c>
      <c r="Z2458">
        <v>0</v>
      </c>
      <c r="AA2458" t="s">
        <v>48</v>
      </c>
      <c r="AB2458" t="s">
        <v>48</v>
      </c>
      <c r="AC2458" t="s">
        <v>49</v>
      </c>
      <c r="AD2458" t="s">
        <v>93</v>
      </c>
      <c r="AE2458" t="s">
        <v>4532</v>
      </c>
      <c r="AF2458" t="s">
        <v>48</v>
      </c>
      <c r="AG2458" t="s">
        <v>48</v>
      </c>
      <c r="AH2458" t="s">
        <v>48</v>
      </c>
      <c r="AI2458" t="s">
        <v>48</v>
      </c>
      <c r="AJ2458" t="s">
        <v>48</v>
      </c>
      <c r="AK2458" t="s">
        <v>48</v>
      </c>
      <c r="AL2458" t="s">
        <v>48</v>
      </c>
      <c r="AM2458" t="s">
        <v>48</v>
      </c>
      <c r="AN2458" t="s">
        <v>48</v>
      </c>
      <c r="AO2458" t="s">
        <v>48</v>
      </c>
      <c r="AP2458" s="46">
        <v>0</v>
      </c>
      <c r="AQ2458" s="46">
        <v>0</v>
      </c>
      <c r="AR2458" s="46">
        <v>0</v>
      </c>
      <c r="AS2458" s="46">
        <v>0</v>
      </c>
      <c r="AT2458" s="46">
        <v>0</v>
      </c>
      <c r="AU2458" s="46">
        <v>0</v>
      </c>
      <c r="AV2458" s="46">
        <v>0</v>
      </c>
      <c r="AW2458" s="46">
        <v>0</v>
      </c>
      <c r="AX2458" s="46">
        <v>0</v>
      </c>
      <c r="AY2458" s="46">
        <v>0</v>
      </c>
      <c r="AZ2458" s="46">
        <v>0</v>
      </c>
      <c r="BA2458" s="46">
        <v>0</v>
      </c>
      <c r="BB2458" s="46">
        <v>0</v>
      </c>
      <c r="BC2458" s="46">
        <v>0</v>
      </c>
      <c r="BD2458" s="46">
        <v>0</v>
      </c>
      <c r="BE2458" s="46">
        <v>0</v>
      </c>
      <c r="BF2458" s="46">
        <v>0</v>
      </c>
      <c r="BG2458" s="46" t="s">
        <v>48</v>
      </c>
      <c r="BH2458" s="46">
        <v>0</v>
      </c>
      <c r="BI2458" s="46">
        <v>0</v>
      </c>
      <c r="BJ2458" s="46">
        <v>0</v>
      </c>
      <c r="BK2458" s="46">
        <v>0</v>
      </c>
      <c r="BL2458" s="46">
        <v>0</v>
      </c>
      <c r="BM2458" s="46">
        <v>0</v>
      </c>
      <c r="BN2458" s="46">
        <v>0</v>
      </c>
    </row>
    <row r="2459" spans="1:66" x14ac:dyDescent="0.35">
      <c r="A2459" t="s">
        <v>7731</v>
      </c>
      <c r="B2459" t="s">
        <v>48</v>
      </c>
      <c r="C2459" t="s">
        <v>3837</v>
      </c>
      <c r="D2459" t="s">
        <v>4406</v>
      </c>
      <c r="E2459" t="s">
        <v>7732</v>
      </c>
      <c r="F2459" t="s">
        <v>7713</v>
      </c>
      <c r="G2459" t="s">
        <v>47</v>
      </c>
      <c r="H2459">
        <v>0</v>
      </c>
      <c r="I2459" s="60" t="s">
        <v>125</v>
      </c>
      <c r="J2459" s="33" t="s">
        <v>45</v>
      </c>
      <c r="K2459" s="46">
        <v>0</v>
      </c>
      <c r="L2459">
        <v>7.4</v>
      </c>
      <c r="M2459" t="s">
        <v>48</v>
      </c>
      <c r="N2459" s="46">
        <v>0</v>
      </c>
      <c r="O2459" s="46">
        <v>0</v>
      </c>
      <c r="P2459" s="46">
        <v>0</v>
      </c>
      <c r="Q2459" t="s">
        <v>48</v>
      </c>
      <c r="R2459" t="s">
        <v>48</v>
      </c>
      <c r="S2459" t="s">
        <v>48</v>
      </c>
      <c r="T2459" t="s">
        <v>48</v>
      </c>
      <c r="U2459" t="s">
        <v>48</v>
      </c>
      <c r="V2459" s="47">
        <v>0</v>
      </c>
      <c r="W2459" t="s">
        <v>48</v>
      </c>
      <c r="X2459" t="s">
        <v>48</v>
      </c>
      <c r="Y2459" t="s">
        <v>48</v>
      </c>
      <c r="Z2459">
        <v>0</v>
      </c>
      <c r="AA2459" t="s">
        <v>48</v>
      </c>
      <c r="AB2459" t="s">
        <v>48</v>
      </c>
      <c r="AC2459" t="s">
        <v>49</v>
      </c>
      <c r="AD2459" t="s">
        <v>93</v>
      </c>
      <c r="AE2459" t="s">
        <v>4532</v>
      </c>
      <c r="AF2459" t="s">
        <v>48</v>
      </c>
      <c r="AG2459" t="s">
        <v>48</v>
      </c>
      <c r="AH2459" t="s">
        <v>48</v>
      </c>
      <c r="AI2459" t="s">
        <v>48</v>
      </c>
      <c r="AJ2459" t="s">
        <v>48</v>
      </c>
      <c r="AK2459" t="s">
        <v>48</v>
      </c>
      <c r="AL2459" t="s">
        <v>48</v>
      </c>
      <c r="AM2459" t="s">
        <v>48</v>
      </c>
      <c r="AN2459" t="s">
        <v>48</v>
      </c>
      <c r="AO2459" t="s">
        <v>48</v>
      </c>
      <c r="AP2459" s="46">
        <v>0</v>
      </c>
      <c r="AQ2459" s="46">
        <v>0</v>
      </c>
      <c r="AR2459" s="46">
        <v>0</v>
      </c>
      <c r="AS2459" s="46">
        <v>0</v>
      </c>
      <c r="AT2459" s="46">
        <v>0</v>
      </c>
      <c r="AU2459" s="46">
        <v>0</v>
      </c>
      <c r="AV2459" s="46">
        <v>0</v>
      </c>
      <c r="AW2459" s="46">
        <v>0</v>
      </c>
      <c r="AX2459" s="46">
        <v>0</v>
      </c>
      <c r="AY2459" s="46">
        <v>0</v>
      </c>
      <c r="AZ2459" s="46">
        <v>0</v>
      </c>
      <c r="BA2459" s="46">
        <v>0</v>
      </c>
      <c r="BB2459" s="46">
        <v>0</v>
      </c>
      <c r="BC2459" s="46">
        <v>0</v>
      </c>
      <c r="BD2459" s="46">
        <v>0</v>
      </c>
      <c r="BE2459" s="46">
        <v>0</v>
      </c>
      <c r="BF2459" s="46">
        <v>0</v>
      </c>
      <c r="BG2459" s="46" t="s">
        <v>48</v>
      </c>
      <c r="BH2459" s="46">
        <v>0</v>
      </c>
      <c r="BI2459" s="46">
        <v>0</v>
      </c>
      <c r="BJ2459" s="46">
        <v>0</v>
      </c>
      <c r="BK2459" s="46">
        <v>0</v>
      </c>
      <c r="BL2459" s="46">
        <v>0</v>
      </c>
      <c r="BM2459" s="46">
        <v>0</v>
      </c>
      <c r="BN2459" s="46">
        <v>0</v>
      </c>
    </row>
    <row r="2460" spans="1:66" x14ac:dyDescent="0.35">
      <c r="A2460" t="s">
        <v>7717</v>
      </c>
      <c r="B2460" t="s">
        <v>48</v>
      </c>
      <c r="C2460" t="s">
        <v>7719</v>
      </c>
      <c r="D2460" t="s">
        <v>885</v>
      </c>
      <c r="E2460" t="s">
        <v>7718</v>
      </c>
      <c r="F2460" t="s">
        <v>7713</v>
      </c>
      <c r="G2460" t="s">
        <v>47</v>
      </c>
      <c r="H2460">
        <v>0</v>
      </c>
      <c r="I2460" s="60" t="s">
        <v>149</v>
      </c>
      <c r="J2460" s="33" t="s">
        <v>45</v>
      </c>
      <c r="K2460" s="46">
        <v>0</v>
      </c>
      <c r="L2460">
        <v>9.8000000000000007</v>
      </c>
      <c r="M2460" t="s">
        <v>48</v>
      </c>
      <c r="N2460" s="46">
        <v>0</v>
      </c>
      <c r="O2460" s="46">
        <v>0</v>
      </c>
      <c r="P2460" s="46">
        <v>0</v>
      </c>
      <c r="Q2460" t="s">
        <v>48</v>
      </c>
      <c r="R2460" t="s">
        <v>48</v>
      </c>
      <c r="S2460" t="s">
        <v>48</v>
      </c>
      <c r="T2460" t="s">
        <v>48</v>
      </c>
      <c r="U2460" t="s">
        <v>48</v>
      </c>
      <c r="V2460" s="47">
        <v>0</v>
      </c>
      <c r="W2460" t="s">
        <v>48</v>
      </c>
      <c r="X2460" t="s">
        <v>48</v>
      </c>
      <c r="Y2460" t="s">
        <v>48</v>
      </c>
      <c r="Z2460">
        <v>0</v>
      </c>
      <c r="AA2460" t="s">
        <v>48</v>
      </c>
      <c r="AB2460" t="s">
        <v>48</v>
      </c>
      <c r="AC2460" t="s">
        <v>49</v>
      </c>
      <c r="AD2460" t="s">
        <v>93</v>
      </c>
      <c r="AE2460" t="s">
        <v>4532</v>
      </c>
      <c r="AF2460" t="s">
        <v>48</v>
      </c>
      <c r="AG2460" t="s">
        <v>48</v>
      </c>
      <c r="AH2460" t="s">
        <v>48</v>
      </c>
      <c r="AI2460" t="s">
        <v>48</v>
      </c>
      <c r="AJ2460" t="s">
        <v>48</v>
      </c>
      <c r="AK2460" t="s">
        <v>48</v>
      </c>
      <c r="AL2460" t="s">
        <v>48</v>
      </c>
      <c r="AM2460" t="s">
        <v>48</v>
      </c>
      <c r="AN2460" t="s">
        <v>48</v>
      </c>
      <c r="AO2460" t="s">
        <v>48</v>
      </c>
      <c r="AP2460" s="46">
        <v>0</v>
      </c>
      <c r="AQ2460" s="46">
        <v>0</v>
      </c>
      <c r="AR2460" s="46">
        <v>0</v>
      </c>
      <c r="AS2460" s="46">
        <v>0</v>
      </c>
      <c r="AT2460" s="46">
        <v>0</v>
      </c>
      <c r="AU2460" s="46">
        <v>0</v>
      </c>
      <c r="AV2460" s="46">
        <v>0</v>
      </c>
      <c r="AW2460" s="46">
        <v>0</v>
      </c>
      <c r="AX2460" s="46">
        <v>0</v>
      </c>
      <c r="AY2460" s="46">
        <v>0</v>
      </c>
      <c r="AZ2460" s="46">
        <v>0</v>
      </c>
      <c r="BA2460" s="46">
        <v>0</v>
      </c>
      <c r="BB2460" s="46">
        <v>0</v>
      </c>
      <c r="BC2460" s="46">
        <v>0</v>
      </c>
      <c r="BD2460" s="46">
        <v>0</v>
      </c>
      <c r="BE2460" s="46">
        <v>0</v>
      </c>
      <c r="BF2460" s="46">
        <v>0</v>
      </c>
      <c r="BG2460" s="46" t="s">
        <v>48</v>
      </c>
      <c r="BH2460" s="46">
        <v>0</v>
      </c>
      <c r="BI2460" s="46">
        <v>0</v>
      </c>
      <c r="BJ2460" s="46">
        <v>0</v>
      </c>
      <c r="BK2460" s="46">
        <v>0</v>
      </c>
      <c r="BL2460" s="46">
        <v>0</v>
      </c>
      <c r="BM2460" s="46">
        <v>0</v>
      </c>
      <c r="BN2460" s="46">
        <v>0</v>
      </c>
    </row>
    <row r="2461" spans="1:66" x14ac:dyDescent="0.35">
      <c r="A2461" t="s">
        <v>7723</v>
      </c>
      <c r="B2461" t="s">
        <v>48</v>
      </c>
      <c r="C2461" t="s">
        <v>7726</v>
      </c>
      <c r="D2461" t="s">
        <v>7725</v>
      </c>
      <c r="E2461" t="s">
        <v>7724</v>
      </c>
      <c r="F2461" t="s">
        <v>7713</v>
      </c>
      <c r="G2461" t="s">
        <v>47</v>
      </c>
      <c r="H2461">
        <v>0</v>
      </c>
      <c r="I2461" s="60" t="s">
        <v>125</v>
      </c>
      <c r="J2461" s="33" t="s">
        <v>45</v>
      </c>
      <c r="K2461" s="46">
        <v>0</v>
      </c>
      <c r="L2461">
        <v>8.6999999999999993</v>
      </c>
      <c r="M2461" t="s">
        <v>48</v>
      </c>
      <c r="N2461" s="46">
        <v>0</v>
      </c>
      <c r="O2461" s="46">
        <v>0</v>
      </c>
      <c r="P2461" s="46">
        <v>0</v>
      </c>
      <c r="Q2461" t="s">
        <v>48</v>
      </c>
      <c r="R2461" t="s">
        <v>48</v>
      </c>
      <c r="S2461" t="s">
        <v>48</v>
      </c>
      <c r="T2461" t="s">
        <v>48</v>
      </c>
      <c r="U2461" t="s">
        <v>48</v>
      </c>
      <c r="V2461" s="47">
        <v>0</v>
      </c>
      <c r="W2461" t="s">
        <v>48</v>
      </c>
      <c r="X2461" t="s">
        <v>48</v>
      </c>
      <c r="Y2461" t="s">
        <v>48</v>
      </c>
      <c r="Z2461">
        <v>0</v>
      </c>
      <c r="AA2461" t="s">
        <v>48</v>
      </c>
      <c r="AB2461" t="s">
        <v>48</v>
      </c>
      <c r="AC2461" t="s">
        <v>49</v>
      </c>
      <c r="AD2461" t="s">
        <v>93</v>
      </c>
      <c r="AE2461" t="s">
        <v>4532</v>
      </c>
      <c r="AF2461" t="s">
        <v>48</v>
      </c>
      <c r="AG2461" t="s">
        <v>48</v>
      </c>
      <c r="AH2461" t="s">
        <v>48</v>
      </c>
      <c r="AI2461" t="s">
        <v>48</v>
      </c>
      <c r="AJ2461" t="s">
        <v>48</v>
      </c>
      <c r="AK2461" t="s">
        <v>48</v>
      </c>
      <c r="AL2461" t="s">
        <v>48</v>
      </c>
      <c r="AM2461" t="s">
        <v>48</v>
      </c>
      <c r="AN2461" t="s">
        <v>48</v>
      </c>
      <c r="AO2461" t="s">
        <v>48</v>
      </c>
      <c r="AP2461" s="46">
        <v>0</v>
      </c>
      <c r="AQ2461" s="46">
        <v>0</v>
      </c>
      <c r="AR2461" s="46">
        <v>0</v>
      </c>
      <c r="AS2461" s="46">
        <v>0</v>
      </c>
      <c r="AT2461" s="46">
        <v>0</v>
      </c>
      <c r="AU2461" s="46">
        <v>0</v>
      </c>
      <c r="AV2461" s="46">
        <v>0</v>
      </c>
      <c r="AW2461" s="46">
        <v>0</v>
      </c>
      <c r="AX2461" s="46">
        <v>0</v>
      </c>
      <c r="AY2461" s="46">
        <v>0</v>
      </c>
      <c r="AZ2461" s="46">
        <v>0</v>
      </c>
      <c r="BA2461" s="46">
        <v>0</v>
      </c>
      <c r="BB2461" s="46">
        <v>0</v>
      </c>
      <c r="BC2461" s="46">
        <v>0</v>
      </c>
      <c r="BD2461" s="46">
        <v>0</v>
      </c>
      <c r="BE2461" s="46">
        <v>0</v>
      </c>
      <c r="BF2461" s="46">
        <v>0</v>
      </c>
      <c r="BG2461" s="46" t="s">
        <v>48</v>
      </c>
      <c r="BH2461" s="46">
        <v>0</v>
      </c>
      <c r="BI2461" s="46">
        <v>0</v>
      </c>
      <c r="BJ2461" s="46">
        <v>0</v>
      </c>
      <c r="BK2461" s="46">
        <v>0</v>
      </c>
      <c r="BL2461" s="46">
        <v>0</v>
      </c>
      <c r="BM2461" s="46">
        <v>0</v>
      </c>
      <c r="BN2461" s="46">
        <v>0</v>
      </c>
    </row>
    <row r="2462" spans="1:66" x14ac:dyDescent="0.35">
      <c r="A2462" t="s">
        <v>7714</v>
      </c>
      <c r="B2462" s="44" t="s">
        <v>48</v>
      </c>
      <c r="C2462" t="s">
        <v>7716</v>
      </c>
      <c r="D2462" t="s">
        <v>1981</v>
      </c>
      <c r="E2462" t="s">
        <v>7996</v>
      </c>
      <c r="F2462" t="s">
        <v>7735</v>
      </c>
      <c r="G2462" t="s">
        <v>74</v>
      </c>
      <c r="H2462">
        <v>0</v>
      </c>
      <c r="I2462" s="61" t="s">
        <v>11160</v>
      </c>
      <c r="J2462" s="33" t="s">
        <v>45</v>
      </c>
      <c r="K2462" s="46">
        <v>0</v>
      </c>
      <c r="L2462">
        <v>42.8</v>
      </c>
      <c r="M2462" t="s">
        <v>48</v>
      </c>
      <c r="N2462" s="46">
        <v>0</v>
      </c>
      <c r="O2462" s="46">
        <v>0</v>
      </c>
      <c r="P2462" s="46">
        <v>0</v>
      </c>
      <c r="Q2462" t="s">
        <v>48</v>
      </c>
      <c r="R2462" t="s">
        <v>48</v>
      </c>
      <c r="S2462" t="s">
        <v>7715</v>
      </c>
      <c r="T2462" t="s">
        <v>48</v>
      </c>
      <c r="U2462" t="s">
        <v>7715</v>
      </c>
      <c r="V2462" s="47">
        <v>0</v>
      </c>
      <c r="W2462" t="s">
        <v>48</v>
      </c>
      <c r="X2462" t="s">
        <v>48</v>
      </c>
      <c r="Y2462" t="s">
        <v>48</v>
      </c>
      <c r="Z2462">
        <v>0</v>
      </c>
      <c r="AA2462" t="s">
        <v>48</v>
      </c>
      <c r="AB2462" t="s">
        <v>48</v>
      </c>
      <c r="AC2462" t="s">
        <v>63</v>
      </c>
      <c r="AD2462" t="s">
        <v>93</v>
      </c>
      <c r="AE2462" s="40" t="s">
        <v>2471</v>
      </c>
      <c r="AF2462" t="s">
        <v>11061</v>
      </c>
      <c r="AG2462" t="s">
        <v>48</v>
      </c>
      <c r="AH2462" t="s">
        <v>48</v>
      </c>
      <c r="AI2462" t="s">
        <v>48</v>
      </c>
      <c r="AJ2462" t="s">
        <v>48</v>
      </c>
      <c r="AK2462" t="s">
        <v>48</v>
      </c>
      <c r="AL2462" t="s">
        <v>48</v>
      </c>
      <c r="AM2462" t="s">
        <v>48</v>
      </c>
      <c r="AN2462" t="s">
        <v>48</v>
      </c>
      <c r="AO2462" t="s">
        <v>48</v>
      </c>
      <c r="AP2462" s="46">
        <v>0</v>
      </c>
      <c r="AQ2462" s="46">
        <v>0</v>
      </c>
      <c r="AR2462" s="46">
        <v>0</v>
      </c>
      <c r="AS2462" s="46">
        <v>0</v>
      </c>
      <c r="AT2462" s="46">
        <v>0</v>
      </c>
      <c r="AU2462" s="46">
        <v>0</v>
      </c>
      <c r="AV2462" s="46">
        <v>0</v>
      </c>
      <c r="AW2462" s="46">
        <v>0</v>
      </c>
      <c r="AX2462" s="46">
        <v>0</v>
      </c>
      <c r="AY2462" s="46">
        <v>0</v>
      </c>
      <c r="AZ2462" s="46">
        <v>0</v>
      </c>
      <c r="BA2462" s="46">
        <v>0</v>
      </c>
      <c r="BB2462" s="46">
        <v>0</v>
      </c>
      <c r="BC2462" s="46">
        <v>0</v>
      </c>
      <c r="BD2462" s="46">
        <v>0</v>
      </c>
      <c r="BE2462" s="46">
        <v>0</v>
      </c>
      <c r="BF2462" s="46">
        <v>0</v>
      </c>
      <c r="BG2462" s="46" t="s">
        <v>48</v>
      </c>
      <c r="BH2462" s="46">
        <v>0</v>
      </c>
      <c r="BI2462" s="46">
        <v>0</v>
      </c>
      <c r="BJ2462" s="46">
        <v>0</v>
      </c>
      <c r="BK2462" s="46">
        <v>0</v>
      </c>
      <c r="BL2462" s="46">
        <v>0</v>
      </c>
      <c r="BM2462" s="46">
        <v>0</v>
      </c>
      <c r="BN2462" s="46">
        <v>0</v>
      </c>
    </row>
    <row r="2463" spans="1:66" x14ac:dyDescent="0.35">
      <c r="A2463" t="s">
        <v>7727</v>
      </c>
      <c r="B2463" t="s">
        <v>48</v>
      </c>
      <c r="C2463" t="s">
        <v>7730</v>
      </c>
      <c r="D2463" t="s">
        <v>268</v>
      </c>
      <c r="E2463" t="s">
        <v>9779</v>
      </c>
      <c r="F2463" t="s">
        <v>7735</v>
      </c>
      <c r="G2463" t="s">
        <v>47</v>
      </c>
      <c r="H2463">
        <v>0</v>
      </c>
      <c r="I2463" s="61">
        <v>44749</v>
      </c>
      <c r="J2463" s="33" t="s">
        <v>45</v>
      </c>
      <c r="K2463" s="46">
        <v>1</v>
      </c>
      <c r="L2463">
        <v>35.6</v>
      </c>
      <c r="M2463" t="s">
        <v>48</v>
      </c>
      <c r="N2463" s="46">
        <v>0</v>
      </c>
      <c r="O2463" s="46">
        <v>0</v>
      </c>
      <c r="P2463" s="46">
        <v>0</v>
      </c>
      <c r="Q2463" t="s">
        <v>48</v>
      </c>
      <c r="R2463" t="s">
        <v>48</v>
      </c>
      <c r="S2463" t="s">
        <v>7728</v>
      </c>
      <c r="T2463" t="s">
        <v>7729</v>
      </c>
      <c r="U2463" t="s">
        <v>7728</v>
      </c>
      <c r="V2463" s="47">
        <v>0</v>
      </c>
      <c r="W2463" t="s">
        <v>48</v>
      </c>
      <c r="X2463" t="s">
        <v>48</v>
      </c>
      <c r="Y2463" t="s">
        <v>48</v>
      </c>
      <c r="Z2463">
        <v>0</v>
      </c>
      <c r="AA2463" t="s">
        <v>48</v>
      </c>
      <c r="AB2463">
        <v>2010</v>
      </c>
      <c r="AC2463" t="s">
        <v>49</v>
      </c>
      <c r="AD2463" t="s">
        <v>93</v>
      </c>
      <c r="AE2463" t="s">
        <v>4532</v>
      </c>
      <c r="AF2463" t="s">
        <v>48</v>
      </c>
      <c r="AG2463" t="s">
        <v>119</v>
      </c>
      <c r="AH2463" t="s">
        <v>93</v>
      </c>
      <c r="AI2463">
        <v>21188</v>
      </c>
      <c r="AJ2463">
        <v>1947</v>
      </c>
      <c r="AK2463" t="s">
        <v>9432</v>
      </c>
      <c r="AL2463" t="s">
        <v>9433</v>
      </c>
      <c r="AM2463">
        <v>0.30199999999999999</v>
      </c>
      <c r="AN2463">
        <v>0.17299999999999999</v>
      </c>
      <c r="AO2463">
        <v>0.30199999999999999</v>
      </c>
      <c r="AP2463" s="46">
        <v>0</v>
      </c>
      <c r="AQ2463" s="46">
        <v>0</v>
      </c>
      <c r="AR2463" s="46">
        <v>0</v>
      </c>
      <c r="AS2463" s="46">
        <v>0</v>
      </c>
      <c r="AT2463" s="46">
        <v>0</v>
      </c>
      <c r="AU2463" s="46">
        <v>0</v>
      </c>
      <c r="AV2463" s="46">
        <v>0</v>
      </c>
      <c r="AW2463" s="46">
        <v>0</v>
      </c>
      <c r="AX2463" s="46">
        <v>0</v>
      </c>
      <c r="AY2463" s="46">
        <v>1</v>
      </c>
      <c r="AZ2463" s="46">
        <v>1</v>
      </c>
      <c r="BA2463" s="46">
        <v>0</v>
      </c>
      <c r="BB2463" s="46">
        <v>1</v>
      </c>
      <c r="BC2463" s="46">
        <v>0</v>
      </c>
      <c r="BD2463" s="46">
        <v>0</v>
      </c>
      <c r="BE2463" s="46">
        <v>0</v>
      </c>
      <c r="BF2463" s="46">
        <v>0</v>
      </c>
      <c r="BG2463" s="46" t="s">
        <v>48</v>
      </c>
      <c r="BH2463" s="46">
        <v>0</v>
      </c>
      <c r="BI2463" s="46">
        <v>0</v>
      </c>
      <c r="BJ2463" s="46">
        <v>0</v>
      </c>
      <c r="BK2463" s="46">
        <v>0</v>
      </c>
      <c r="BL2463" s="46">
        <v>0</v>
      </c>
      <c r="BM2463" s="46">
        <v>1</v>
      </c>
      <c r="BN2463" s="46">
        <v>0</v>
      </c>
    </row>
    <row r="2464" spans="1:66" x14ac:dyDescent="0.35">
      <c r="A2464" t="s">
        <v>7747</v>
      </c>
      <c r="B2464" t="s">
        <v>48</v>
      </c>
      <c r="C2464" t="s">
        <v>7750</v>
      </c>
      <c r="D2464" t="s">
        <v>288</v>
      </c>
      <c r="E2464" t="s">
        <v>7748</v>
      </c>
      <c r="F2464" t="s">
        <v>7735</v>
      </c>
      <c r="G2464" t="s">
        <v>47</v>
      </c>
      <c r="H2464">
        <v>0</v>
      </c>
      <c r="I2464" s="60" t="s">
        <v>125</v>
      </c>
      <c r="J2464" s="33" t="s">
        <v>45</v>
      </c>
      <c r="K2464" s="46">
        <v>0</v>
      </c>
      <c r="L2464">
        <v>3.7</v>
      </c>
      <c r="M2464" t="s">
        <v>48</v>
      </c>
      <c r="N2464" s="46">
        <v>0</v>
      </c>
      <c r="O2464" s="46">
        <v>0</v>
      </c>
      <c r="P2464" s="46">
        <v>0</v>
      </c>
      <c r="Q2464" t="s">
        <v>48</v>
      </c>
      <c r="R2464" t="s">
        <v>48</v>
      </c>
      <c r="S2464" t="s">
        <v>7749</v>
      </c>
      <c r="T2464" t="s">
        <v>48</v>
      </c>
      <c r="U2464" t="s">
        <v>7749</v>
      </c>
      <c r="V2464" s="47">
        <v>0</v>
      </c>
      <c r="W2464" t="s">
        <v>48</v>
      </c>
      <c r="X2464" t="s">
        <v>48</v>
      </c>
      <c r="Y2464" t="s">
        <v>48</v>
      </c>
      <c r="Z2464">
        <v>0</v>
      </c>
      <c r="AA2464" t="s">
        <v>48</v>
      </c>
      <c r="AB2464" t="s">
        <v>48</v>
      </c>
      <c r="AC2464" t="s">
        <v>49</v>
      </c>
      <c r="AD2464" t="s">
        <v>93</v>
      </c>
      <c r="AE2464" t="s">
        <v>4532</v>
      </c>
      <c r="AF2464" t="s">
        <v>48</v>
      </c>
      <c r="AG2464" t="s">
        <v>48</v>
      </c>
      <c r="AH2464" t="s">
        <v>48</v>
      </c>
      <c r="AI2464" t="s">
        <v>48</v>
      </c>
      <c r="AJ2464" t="s">
        <v>48</v>
      </c>
      <c r="AK2464" t="s">
        <v>48</v>
      </c>
      <c r="AL2464" t="s">
        <v>48</v>
      </c>
      <c r="AM2464" t="s">
        <v>48</v>
      </c>
      <c r="AN2464" t="s">
        <v>48</v>
      </c>
      <c r="AO2464" t="s">
        <v>48</v>
      </c>
      <c r="AP2464" s="46">
        <v>0</v>
      </c>
      <c r="AQ2464" s="46">
        <v>0</v>
      </c>
      <c r="AR2464" s="46">
        <v>0</v>
      </c>
      <c r="AS2464" s="46">
        <v>0</v>
      </c>
      <c r="AT2464" s="46">
        <v>0</v>
      </c>
      <c r="AU2464" s="46">
        <v>0</v>
      </c>
      <c r="AV2464" s="46">
        <v>0</v>
      </c>
      <c r="AW2464" s="46">
        <v>0</v>
      </c>
      <c r="AX2464" s="46">
        <v>0</v>
      </c>
      <c r="AY2464" s="46">
        <v>0</v>
      </c>
      <c r="AZ2464" s="46">
        <v>0</v>
      </c>
      <c r="BA2464" s="46">
        <v>0</v>
      </c>
      <c r="BB2464" s="46">
        <v>0</v>
      </c>
      <c r="BC2464" s="46">
        <v>0</v>
      </c>
      <c r="BD2464" s="46">
        <v>0</v>
      </c>
      <c r="BE2464" s="46">
        <v>0</v>
      </c>
      <c r="BF2464" s="46">
        <v>0</v>
      </c>
      <c r="BG2464" s="46" t="s">
        <v>48</v>
      </c>
      <c r="BH2464" s="46">
        <v>0</v>
      </c>
      <c r="BI2464" s="46">
        <v>0</v>
      </c>
      <c r="BJ2464" s="46">
        <v>0</v>
      </c>
      <c r="BK2464" s="46">
        <v>0</v>
      </c>
      <c r="BL2464" s="46">
        <v>0</v>
      </c>
      <c r="BM2464" s="46">
        <v>0</v>
      </c>
      <c r="BN2464" s="46">
        <v>0</v>
      </c>
    </row>
    <row r="2465" spans="1:66" x14ac:dyDescent="0.35">
      <c r="A2465" t="s">
        <v>7738</v>
      </c>
      <c r="B2465" t="s">
        <v>48</v>
      </c>
      <c r="C2465" t="s">
        <v>7741</v>
      </c>
      <c r="D2465" t="s">
        <v>416</v>
      </c>
      <c r="E2465" t="s">
        <v>7739</v>
      </c>
      <c r="F2465" t="s">
        <v>7735</v>
      </c>
      <c r="G2465" t="s">
        <v>47</v>
      </c>
      <c r="H2465">
        <v>0</v>
      </c>
      <c r="I2465" s="60" t="s">
        <v>125</v>
      </c>
      <c r="J2465" s="33" t="s">
        <v>45</v>
      </c>
      <c r="K2465" s="46">
        <v>0</v>
      </c>
      <c r="L2465">
        <v>2.5</v>
      </c>
      <c r="M2465" t="s">
        <v>48</v>
      </c>
      <c r="N2465" s="46">
        <v>0</v>
      </c>
      <c r="O2465" s="46">
        <v>0</v>
      </c>
      <c r="P2465" s="46">
        <v>0</v>
      </c>
      <c r="Q2465" t="s">
        <v>48</v>
      </c>
      <c r="R2465" t="s">
        <v>48</v>
      </c>
      <c r="S2465" t="s">
        <v>7740</v>
      </c>
      <c r="T2465" t="s">
        <v>48</v>
      </c>
      <c r="U2465" t="s">
        <v>7740</v>
      </c>
      <c r="V2465" s="47">
        <v>0</v>
      </c>
      <c r="W2465" t="s">
        <v>11317</v>
      </c>
      <c r="X2465" t="s">
        <v>48</v>
      </c>
      <c r="Y2465" t="s">
        <v>48</v>
      </c>
      <c r="Z2465">
        <v>0</v>
      </c>
      <c r="AA2465" t="s">
        <v>48</v>
      </c>
      <c r="AB2465" t="s">
        <v>48</v>
      </c>
      <c r="AC2465" t="s">
        <v>63</v>
      </c>
      <c r="AD2465" t="s">
        <v>93</v>
      </c>
      <c r="AE2465" t="s">
        <v>4532</v>
      </c>
      <c r="AF2465" t="s">
        <v>48</v>
      </c>
      <c r="AG2465" t="s">
        <v>48</v>
      </c>
      <c r="AH2465" t="s">
        <v>48</v>
      </c>
      <c r="AI2465" t="s">
        <v>48</v>
      </c>
      <c r="AJ2465" t="s">
        <v>48</v>
      </c>
      <c r="AK2465" t="s">
        <v>48</v>
      </c>
      <c r="AL2465" t="s">
        <v>48</v>
      </c>
      <c r="AM2465" t="s">
        <v>48</v>
      </c>
      <c r="AN2465" t="s">
        <v>48</v>
      </c>
      <c r="AO2465" t="s">
        <v>48</v>
      </c>
      <c r="AP2465" s="46">
        <v>0</v>
      </c>
      <c r="AQ2465" s="46">
        <v>0</v>
      </c>
      <c r="AR2465" s="46">
        <v>0</v>
      </c>
      <c r="AS2465" s="46">
        <v>0</v>
      </c>
      <c r="AT2465" s="46">
        <v>0</v>
      </c>
      <c r="AU2465" s="46">
        <v>0</v>
      </c>
      <c r="AV2465" s="46">
        <v>0</v>
      </c>
      <c r="AW2465" s="46">
        <v>0</v>
      </c>
      <c r="AX2465" s="46">
        <v>0</v>
      </c>
      <c r="AY2465" s="46">
        <v>0</v>
      </c>
      <c r="AZ2465" s="46">
        <v>0</v>
      </c>
      <c r="BA2465" s="46">
        <v>0</v>
      </c>
      <c r="BB2465" s="46">
        <v>0</v>
      </c>
      <c r="BC2465" s="46">
        <v>0</v>
      </c>
      <c r="BD2465" s="46">
        <v>0</v>
      </c>
      <c r="BE2465" s="46">
        <v>0</v>
      </c>
      <c r="BF2465" s="46">
        <v>0</v>
      </c>
      <c r="BG2465" s="46" t="s">
        <v>48</v>
      </c>
      <c r="BH2465" s="46">
        <v>0</v>
      </c>
      <c r="BI2465" s="46">
        <v>0</v>
      </c>
      <c r="BJ2465" s="46">
        <v>0</v>
      </c>
      <c r="BK2465" s="46">
        <v>0</v>
      </c>
      <c r="BL2465" s="46">
        <v>0</v>
      </c>
      <c r="BM2465" s="46">
        <v>0</v>
      </c>
      <c r="BN2465" s="46">
        <v>0</v>
      </c>
    </row>
    <row r="2466" spans="1:66" x14ac:dyDescent="0.35">
      <c r="A2466" t="s">
        <v>7734</v>
      </c>
      <c r="B2466" t="s">
        <v>48</v>
      </c>
      <c r="C2466" t="s">
        <v>12388</v>
      </c>
      <c r="D2466" t="s">
        <v>1239</v>
      </c>
      <c r="E2466" t="s">
        <v>7736</v>
      </c>
      <c r="F2466" t="s">
        <v>7735</v>
      </c>
      <c r="G2466" t="s">
        <v>47</v>
      </c>
      <c r="H2466">
        <v>0</v>
      </c>
      <c r="I2466" s="60" t="s">
        <v>125</v>
      </c>
      <c r="J2466" s="33" t="s">
        <v>45</v>
      </c>
      <c r="K2466" s="46">
        <v>0</v>
      </c>
      <c r="L2466">
        <v>4</v>
      </c>
      <c r="M2466" t="s">
        <v>48</v>
      </c>
      <c r="N2466" s="46">
        <v>0</v>
      </c>
      <c r="O2466" s="46">
        <v>0</v>
      </c>
      <c r="P2466" s="46">
        <v>0</v>
      </c>
      <c r="Q2466" t="s">
        <v>48</v>
      </c>
      <c r="R2466" t="s">
        <v>48</v>
      </c>
      <c r="S2466" t="s">
        <v>7737</v>
      </c>
      <c r="T2466" t="s">
        <v>48</v>
      </c>
      <c r="U2466" t="s">
        <v>7737</v>
      </c>
      <c r="V2466" s="47">
        <v>0</v>
      </c>
      <c r="W2466" t="s">
        <v>48</v>
      </c>
      <c r="X2466" t="s">
        <v>48</v>
      </c>
      <c r="Y2466" t="s">
        <v>48</v>
      </c>
      <c r="Z2466">
        <v>0</v>
      </c>
      <c r="AA2466" t="s">
        <v>48</v>
      </c>
      <c r="AB2466" t="s">
        <v>48</v>
      </c>
      <c r="AC2466" t="s">
        <v>63</v>
      </c>
      <c r="AD2466" t="s">
        <v>93</v>
      </c>
      <c r="AE2466" t="s">
        <v>4532</v>
      </c>
      <c r="AF2466" t="s">
        <v>48</v>
      </c>
      <c r="AG2466" t="s">
        <v>48</v>
      </c>
      <c r="AH2466" t="s">
        <v>48</v>
      </c>
      <c r="AI2466" t="s">
        <v>48</v>
      </c>
      <c r="AJ2466" t="s">
        <v>48</v>
      </c>
      <c r="AK2466" t="s">
        <v>48</v>
      </c>
      <c r="AL2466" t="s">
        <v>48</v>
      </c>
      <c r="AM2466" t="s">
        <v>48</v>
      </c>
      <c r="AN2466" t="s">
        <v>48</v>
      </c>
      <c r="AO2466" t="s">
        <v>48</v>
      </c>
      <c r="AP2466" s="46">
        <v>0</v>
      </c>
      <c r="AQ2466" s="46">
        <v>0</v>
      </c>
      <c r="AR2466" s="46">
        <v>0</v>
      </c>
      <c r="AS2466" s="46">
        <v>0</v>
      </c>
      <c r="AT2466" s="46">
        <v>0</v>
      </c>
      <c r="AU2466" s="46">
        <v>0</v>
      </c>
      <c r="AV2466" s="46">
        <v>0</v>
      </c>
      <c r="AW2466" s="46">
        <v>0</v>
      </c>
      <c r="AX2466" s="46">
        <v>0</v>
      </c>
      <c r="AY2466" s="46">
        <v>0</v>
      </c>
      <c r="AZ2466" s="46">
        <v>0</v>
      </c>
      <c r="BA2466" s="46">
        <v>0</v>
      </c>
      <c r="BB2466" s="46">
        <v>0</v>
      </c>
      <c r="BC2466" s="46">
        <v>0</v>
      </c>
      <c r="BD2466" s="46">
        <v>0</v>
      </c>
      <c r="BE2466" s="46">
        <v>0</v>
      </c>
      <c r="BF2466" s="46">
        <v>0</v>
      </c>
      <c r="BG2466" s="46" t="s">
        <v>48</v>
      </c>
      <c r="BH2466" s="46">
        <v>0</v>
      </c>
      <c r="BI2466" s="46">
        <v>0</v>
      </c>
      <c r="BJ2466" s="46">
        <v>0</v>
      </c>
      <c r="BK2466" s="46">
        <v>0</v>
      </c>
      <c r="BL2466" s="46">
        <v>0</v>
      </c>
      <c r="BM2466" s="46">
        <v>0</v>
      </c>
      <c r="BN2466" s="46">
        <v>0</v>
      </c>
    </row>
    <row r="2467" spans="1:66" x14ac:dyDescent="0.35">
      <c r="A2467" t="s">
        <v>7777</v>
      </c>
      <c r="B2467" t="s">
        <v>48</v>
      </c>
      <c r="C2467" t="s">
        <v>7780</v>
      </c>
      <c r="D2467" t="s">
        <v>1748</v>
      </c>
      <c r="E2467" t="s">
        <v>7778</v>
      </c>
      <c r="F2467" t="s">
        <v>7773</v>
      </c>
      <c r="G2467" t="s">
        <v>47</v>
      </c>
      <c r="H2467">
        <v>0</v>
      </c>
      <c r="I2467" s="60" t="s">
        <v>51</v>
      </c>
      <c r="J2467" s="33" t="s">
        <v>45</v>
      </c>
      <c r="K2467" s="46">
        <v>0</v>
      </c>
      <c r="L2467">
        <v>2.6</v>
      </c>
      <c r="M2467" t="s">
        <v>48</v>
      </c>
      <c r="N2467" s="46">
        <v>0</v>
      </c>
      <c r="O2467" s="46">
        <v>0</v>
      </c>
      <c r="P2467" s="46">
        <v>0</v>
      </c>
      <c r="Q2467" t="s">
        <v>48</v>
      </c>
      <c r="R2467" t="s">
        <v>48</v>
      </c>
      <c r="S2467" t="s">
        <v>7779</v>
      </c>
      <c r="T2467" t="s">
        <v>48</v>
      </c>
      <c r="U2467" t="s">
        <v>7779</v>
      </c>
      <c r="V2467" s="47">
        <v>0</v>
      </c>
      <c r="W2467" t="s">
        <v>48</v>
      </c>
      <c r="X2467" t="s">
        <v>48</v>
      </c>
      <c r="Y2467" t="s">
        <v>48</v>
      </c>
      <c r="Z2467">
        <v>0</v>
      </c>
      <c r="AA2467" t="s">
        <v>48</v>
      </c>
      <c r="AB2467" t="s">
        <v>48</v>
      </c>
      <c r="AC2467" t="s">
        <v>49</v>
      </c>
      <c r="AD2467" t="s">
        <v>93</v>
      </c>
      <c r="AE2467" t="s">
        <v>4532</v>
      </c>
      <c r="AF2467" t="s">
        <v>48</v>
      </c>
      <c r="AG2467" t="s">
        <v>48</v>
      </c>
      <c r="AH2467" t="s">
        <v>93</v>
      </c>
      <c r="AI2467" t="s">
        <v>48</v>
      </c>
      <c r="AJ2467" t="s">
        <v>48</v>
      </c>
      <c r="AK2467" t="s">
        <v>48</v>
      </c>
      <c r="AL2467" t="s">
        <v>48</v>
      </c>
      <c r="AM2467" t="s">
        <v>48</v>
      </c>
      <c r="AN2467" t="s">
        <v>48</v>
      </c>
      <c r="AO2467" t="s">
        <v>48</v>
      </c>
      <c r="AP2467" s="46">
        <v>0</v>
      </c>
      <c r="AQ2467" s="46">
        <v>0</v>
      </c>
      <c r="AR2467" s="46">
        <v>0</v>
      </c>
      <c r="AS2467" s="46">
        <v>0</v>
      </c>
      <c r="AT2467" s="46">
        <v>0</v>
      </c>
      <c r="AU2467" s="46">
        <v>0</v>
      </c>
      <c r="AV2467" s="46">
        <v>0</v>
      </c>
      <c r="AW2467" s="46">
        <v>0</v>
      </c>
      <c r="AX2467" s="46">
        <v>0</v>
      </c>
      <c r="AY2467" s="46">
        <v>0</v>
      </c>
      <c r="AZ2467" s="46">
        <v>0</v>
      </c>
      <c r="BA2467" s="46">
        <v>0</v>
      </c>
      <c r="BB2467" s="46">
        <v>0</v>
      </c>
      <c r="BC2467" s="46">
        <v>0</v>
      </c>
      <c r="BD2467" s="46">
        <v>0</v>
      </c>
      <c r="BE2467" s="46">
        <v>0</v>
      </c>
      <c r="BF2467" s="46">
        <v>0</v>
      </c>
      <c r="BG2467" s="46" t="s">
        <v>48</v>
      </c>
      <c r="BH2467" s="46">
        <v>0</v>
      </c>
      <c r="BI2467" s="46">
        <v>0</v>
      </c>
      <c r="BJ2467" s="46">
        <v>0</v>
      </c>
      <c r="BK2467" s="46">
        <v>0</v>
      </c>
      <c r="BL2467" s="46">
        <v>0</v>
      </c>
      <c r="BM2467" s="46">
        <v>0</v>
      </c>
      <c r="BN2467" s="46">
        <v>0</v>
      </c>
    </row>
    <row r="2468" spans="1:66" x14ac:dyDescent="0.35">
      <c r="A2468" t="s">
        <v>7786</v>
      </c>
      <c r="B2468" t="s">
        <v>48</v>
      </c>
      <c r="C2468" t="s">
        <v>7789</v>
      </c>
      <c r="D2468" t="s">
        <v>4509</v>
      </c>
      <c r="E2468" t="s">
        <v>7787</v>
      </c>
      <c r="F2468" t="s">
        <v>7773</v>
      </c>
      <c r="G2468" t="s">
        <v>47</v>
      </c>
      <c r="H2468">
        <v>0</v>
      </c>
      <c r="I2468" s="60" t="s">
        <v>51</v>
      </c>
      <c r="J2468" s="33" t="s">
        <v>45</v>
      </c>
      <c r="K2468" s="46">
        <v>0</v>
      </c>
      <c r="L2468">
        <v>1.3</v>
      </c>
      <c r="M2468" t="s">
        <v>48</v>
      </c>
      <c r="N2468" s="46">
        <v>0</v>
      </c>
      <c r="O2468" s="46">
        <v>0</v>
      </c>
      <c r="P2468" s="46">
        <v>0</v>
      </c>
      <c r="Q2468" t="s">
        <v>48</v>
      </c>
      <c r="R2468" t="s">
        <v>48</v>
      </c>
      <c r="S2468" t="s">
        <v>7788</v>
      </c>
      <c r="T2468" t="s">
        <v>48</v>
      </c>
      <c r="U2468" t="s">
        <v>7788</v>
      </c>
      <c r="V2468" s="47">
        <v>1</v>
      </c>
      <c r="W2468" t="s">
        <v>48</v>
      </c>
      <c r="X2468" t="s">
        <v>48</v>
      </c>
      <c r="Y2468" t="s">
        <v>48</v>
      </c>
      <c r="Z2468">
        <v>0</v>
      </c>
      <c r="AA2468" t="s">
        <v>48</v>
      </c>
      <c r="AB2468" t="s">
        <v>48</v>
      </c>
      <c r="AC2468" t="s">
        <v>49</v>
      </c>
      <c r="AD2468" t="s">
        <v>93</v>
      </c>
      <c r="AE2468" t="s">
        <v>4532</v>
      </c>
      <c r="AF2468" t="s">
        <v>48</v>
      </c>
      <c r="AG2468" t="s">
        <v>48</v>
      </c>
      <c r="AH2468" t="s">
        <v>48</v>
      </c>
      <c r="AI2468" t="s">
        <v>48</v>
      </c>
      <c r="AJ2468" t="s">
        <v>48</v>
      </c>
      <c r="AK2468" t="s">
        <v>48</v>
      </c>
      <c r="AL2468" t="s">
        <v>48</v>
      </c>
      <c r="AM2468" t="s">
        <v>48</v>
      </c>
      <c r="AN2468" t="s">
        <v>48</v>
      </c>
      <c r="AO2468" t="s">
        <v>48</v>
      </c>
      <c r="AP2468" s="46">
        <v>0</v>
      </c>
      <c r="AQ2468" s="46">
        <v>0</v>
      </c>
      <c r="AR2468" s="46">
        <v>0</v>
      </c>
      <c r="AS2468" s="46">
        <v>0</v>
      </c>
      <c r="AT2468" s="46">
        <v>0</v>
      </c>
      <c r="AU2468" s="46">
        <v>0</v>
      </c>
      <c r="AV2468" s="46">
        <v>0</v>
      </c>
      <c r="AW2468" s="46">
        <v>0</v>
      </c>
      <c r="AX2468" s="46">
        <v>0</v>
      </c>
      <c r="AY2468" s="46">
        <v>0</v>
      </c>
      <c r="AZ2468" s="46">
        <v>0</v>
      </c>
      <c r="BA2468" s="46">
        <v>0</v>
      </c>
      <c r="BB2468" s="46">
        <v>0</v>
      </c>
      <c r="BC2468" s="46">
        <v>0</v>
      </c>
      <c r="BD2468" s="46">
        <v>0</v>
      </c>
      <c r="BE2468" s="46">
        <v>0</v>
      </c>
      <c r="BF2468" s="46">
        <v>0</v>
      </c>
      <c r="BG2468" s="46" t="s">
        <v>48</v>
      </c>
      <c r="BH2468" s="46">
        <v>0</v>
      </c>
      <c r="BI2468" s="46">
        <v>0</v>
      </c>
      <c r="BJ2468" s="46">
        <v>0</v>
      </c>
      <c r="BK2468" s="46">
        <v>0</v>
      </c>
      <c r="BL2468" s="46">
        <v>0</v>
      </c>
      <c r="BM2468" s="46">
        <v>0</v>
      </c>
      <c r="BN2468" s="46">
        <v>0</v>
      </c>
    </row>
    <row r="2469" spans="1:66" x14ac:dyDescent="0.35">
      <c r="A2469" t="s">
        <v>7781</v>
      </c>
      <c r="B2469" t="s">
        <v>48</v>
      </c>
      <c r="C2469" t="s">
        <v>7785</v>
      </c>
      <c r="D2469" t="s">
        <v>2408</v>
      </c>
      <c r="E2469" t="s">
        <v>7782</v>
      </c>
      <c r="F2469" t="s">
        <v>7773</v>
      </c>
      <c r="G2469" t="s">
        <v>47</v>
      </c>
      <c r="H2469">
        <v>0</v>
      </c>
      <c r="I2469" s="60" t="s">
        <v>51</v>
      </c>
      <c r="J2469" s="33" t="s">
        <v>45</v>
      </c>
      <c r="K2469" s="46">
        <v>1</v>
      </c>
      <c r="L2469">
        <v>28.9</v>
      </c>
      <c r="M2469" t="s">
        <v>48</v>
      </c>
      <c r="N2469" s="46">
        <v>0</v>
      </c>
      <c r="O2469" s="46">
        <v>0</v>
      </c>
      <c r="P2469" s="46">
        <v>0</v>
      </c>
      <c r="Q2469" t="s">
        <v>48</v>
      </c>
      <c r="R2469" t="s">
        <v>48</v>
      </c>
      <c r="S2469" t="s">
        <v>7783</v>
      </c>
      <c r="T2469" t="s">
        <v>7784</v>
      </c>
      <c r="U2469" t="s">
        <v>7783</v>
      </c>
      <c r="V2469" s="47">
        <v>0</v>
      </c>
      <c r="W2469" t="s">
        <v>48</v>
      </c>
      <c r="X2469" t="s">
        <v>48</v>
      </c>
      <c r="Y2469" t="s">
        <v>48</v>
      </c>
      <c r="Z2469">
        <v>0</v>
      </c>
      <c r="AA2469" t="s">
        <v>48</v>
      </c>
      <c r="AB2469">
        <v>2016</v>
      </c>
      <c r="AC2469" t="s">
        <v>63</v>
      </c>
      <c r="AD2469" t="s">
        <v>93</v>
      </c>
      <c r="AE2469" t="s">
        <v>4532</v>
      </c>
      <c r="AF2469" t="s">
        <v>48</v>
      </c>
      <c r="AG2469" t="s">
        <v>479</v>
      </c>
      <c r="AH2469" t="s">
        <v>93</v>
      </c>
      <c r="AI2469">
        <v>21710</v>
      </c>
      <c r="AJ2469">
        <v>1966</v>
      </c>
      <c r="AK2469" t="s">
        <v>9438</v>
      </c>
      <c r="AL2469" t="s">
        <v>9439</v>
      </c>
      <c r="AM2469">
        <v>0.44800000000000001</v>
      </c>
      <c r="AN2469">
        <v>0.68200000000000005</v>
      </c>
      <c r="AO2469">
        <v>0.44800000000000001</v>
      </c>
      <c r="AP2469" s="46">
        <v>0</v>
      </c>
      <c r="AQ2469" s="46">
        <v>0</v>
      </c>
      <c r="AR2469" s="46">
        <v>0</v>
      </c>
      <c r="AS2469" s="46">
        <v>0</v>
      </c>
      <c r="AT2469" s="46">
        <v>0</v>
      </c>
      <c r="AU2469" s="46">
        <v>0</v>
      </c>
      <c r="AV2469" s="46">
        <v>0</v>
      </c>
      <c r="AW2469" s="46">
        <v>0</v>
      </c>
      <c r="AX2469" s="46">
        <v>1</v>
      </c>
      <c r="AY2469" s="46">
        <v>0</v>
      </c>
      <c r="AZ2469" s="46">
        <v>0</v>
      </c>
      <c r="BA2469" s="46">
        <v>0</v>
      </c>
      <c r="BB2469" s="46">
        <v>0</v>
      </c>
      <c r="BC2469" s="46">
        <v>0</v>
      </c>
      <c r="BD2469" s="46">
        <v>0</v>
      </c>
      <c r="BE2469" s="46">
        <v>0</v>
      </c>
      <c r="BF2469" s="46">
        <v>0</v>
      </c>
      <c r="BG2469" s="46" t="s">
        <v>48</v>
      </c>
      <c r="BH2469" s="46">
        <v>0</v>
      </c>
      <c r="BI2469" s="46">
        <v>0</v>
      </c>
      <c r="BJ2469" s="46">
        <v>0</v>
      </c>
      <c r="BK2469" s="46">
        <v>0</v>
      </c>
      <c r="BL2469" s="46">
        <v>0</v>
      </c>
      <c r="BM2469" s="46">
        <v>0</v>
      </c>
      <c r="BN2469" s="46">
        <v>0</v>
      </c>
    </row>
    <row r="2470" spans="1:66" ht="15" x14ac:dyDescent="0.4">
      <c r="A2470" t="s">
        <v>10947</v>
      </c>
      <c r="B2470" s="44" t="s">
        <v>48</v>
      </c>
      <c r="C2470" t="s">
        <v>7203</v>
      </c>
      <c r="D2470" t="s">
        <v>12392</v>
      </c>
      <c r="E2470" t="s">
        <v>10950</v>
      </c>
      <c r="F2470" t="s">
        <v>7773</v>
      </c>
      <c r="G2470" t="s">
        <v>74</v>
      </c>
      <c r="H2470">
        <v>0</v>
      </c>
      <c r="I2470" s="61" t="s">
        <v>11160</v>
      </c>
      <c r="J2470" s="33" t="s">
        <v>45</v>
      </c>
      <c r="K2470" s="46">
        <v>0</v>
      </c>
      <c r="L2470">
        <v>25.3</v>
      </c>
      <c r="M2470" t="s">
        <v>48</v>
      </c>
      <c r="N2470" s="46">
        <v>0</v>
      </c>
      <c r="O2470" s="46">
        <v>0</v>
      </c>
      <c r="P2470" s="46">
        <v>0</v>
      </c>
      <c r="Q2470" t="s">
        <v>48</v>
      </c>
      <c r="R2470" t="s">
        <v>48</v>
      </c>
      <c r="S2470" s="55" t="s">
        <v>11556</v>
      </c>
      <c r="T2470" t="s">
        <v>48</v>
      </c>
      <c r="U2470" t="s">
        <v>48</v>
      </c>
      <c r="V2470" t="s">
        <v>48</v>
      </c>
      <c r="W2470" t="s">
        <v>48</v>
      </c>
      <c r="X2470" t="s">
        <v>48</v>
      </c>
      <c r="Y2470" t="s">
        <v>48</v>
      </c>
      <c r="Z2470" t="s">
        <v>48</v>
      </c>
      <c r="AA2470" t="s">
        <v>48</v>
      </c>
      <c r="AB2470" t="s">
        <v>48</v>
      </c>
      <c r="AC2470" t="s">
        <v>63</v>
      </c>
      <c r="AD2470" t="s">
        <v>93</v>
      </c>
      <c r="AE2470" t="s">
        <v>4532</v>
      </c>
      <c r="AF2470" t="s">
        <v>48</v>
      </c>
      <c r="AG2470" t="s">
        <v>48</v>
      </c>
      <c r="AH2470" t="s">
        <v>48</v>
      </c>
      <c r="AI2470" t="s">
        <v>48</v>
      </c>
      <c r="AJ2470" t="s">
        <v>48</v>
      </c>
      <c r="AK2470" t="s">
        <v>48</v>
      </c>
      <c r="AL2470" t="s">
        <v>48</v>
      </c>
      <c r="AM2470" t="s">
        <v>48</v>
      </c>
      <c r="AN2470" t="s">
        <v>48</v>
      </c>
      <c r="AO2470" t="s">
        <v>48</v>
      </c>
      <c r="AP2470" s="46">
        <v>0</v>
      </c>
      <c r="AQ2470" s="46">
        <v>0</v>
      </c>
      <c r="AR2470" s="46">
        <v>0</v>
      </c>
      <c r="AS2470" s="46">
        <v>0</v>
      </c>
      <c r="AT2470" s="46">
        <v>0</v>
      </c>
      <c r="AU2470" s="46">
        <v>0</v>
      </c>
      <c r="AV2470" s="46">
        <v>0</v>
      </c>
      <c r="AW2470" s="46">
        <v>0</v>
      </c>
      <c r="AX2470" s="46">
        <v>0</v>
      </c>
      <c r="AY2470" s="46">
        <v>0</v>
      </c>
      <c r="AZ2470" s="46">
        <v>0</v>
      </c>
      <c r="BA2470" s="46">
        <v>0</v>
      </c>
      <c r="BB2470" s="46">
        <v>0</v>
      </c>
      <c r="BC2470" s="46">
        <v>0</v>
      </c>
      <c r="BD2470" s="46">
        <v>0</v>
      </c>
      <c r="BE2470" s="46">
        <v>0</v>
      </c>
      <c r="BF2470" s="46">
        <v>0</v>
      </c>
      <c r="BG2470" s="46" t="s">
        <v>48</v>
      </c>
      <c r="BH2470" s="46">
        <v>0</v>
      </c>
      <c r="BI2470" s="46">
        <v>0</v>
      </c>
      <c r="BJ2470" s="46">
        <v>0</v>
      </c>
      <c r="BK2470" s="46">
        <v>0</v>
      </c>
      <c r="BL2470" s="46">
        <v>0</v>
      </c>
      <c r="BM2470" s="46">
        <v>0</v>
      </c>
      <c r="BN2470" s="46">
        <v>0</v>
      </c>
    </row>
    <row r="2471" spans="1:66" x14ac:dyDescent="0.35">
      <c r="A2471" t="s">
        <v>7772</v>
      </c>
      <c r="B2471" t="s">
        <v>48</v>
      </c>
      <c r="C2471" t="s">
        <v>7776</v>
      </c>
      <c r="D2471" t="s">
        <v>7775</v>
      </c>
      <c r="E2471" t="s">
        <v>7774</v>
      </c>
      <c r="F2471" t="s">
        <v>7773</v>
      </c>
      <c r="G2471" t="s">
        <v>47</v>
      </c>
      <c r="H2471">
        <v>0</v>
      </c>
      <c r="I2471" s="60" t="s">
        <v>51</v>
      </c>
      <c r="J2471" s="33" t="s">
        <v>45</v>
      </c>
      <c r="K2471" s="46">
        <v>0</v>
      </c>
      <c r="L2471">
        <v>0.8</v>
      </c>
      <c r="M2471" t="s">
        <v>48</v>
      </c>
      <c r="N2471" s="46">
        <v>0</v>
      </c>
      <c r="O2471" s="46">
        <v>0</v>
      </c>
      <c r="P2471" s="46">
        <v>0</v>
      </c>
      <c r="Q2471" t="s">
        <v>48</v>
      </c>
      <c r="R2471" t="s">
        <v>48</v>
      </c>
      <c r="S2471" t="s">
        <v>48</v>
      </c>
      <c r="T2471" t="s">
        <v>48</v>
      </c>
      <c r="U2471" t="s">
        <v>48</v>
      </c>
      <c r="V2471" s="47">
        <v>0</v>
      </c>
      <c r="W2471" t="s">
        <v>48</v>
      </c>
      <c r="X2471" t="s">
        <v>48</v>
      </c>
      <c r="Y2471" t="s">
        <v>48</v>
      </c>
      <c r="Z2471">
        <v>0</v>
      </c>
      <c r="AA2471" t="s">
        <v>48</v>
      </c>
      <c r="AB2471" t="s">
        <v>48</v>
      </c>
      <c r="AC2471" t="s">
        <v>63</v>
      </c>
      <c r="AD2471" t="s">
        <v>93</v>
      </c>
      <c r="AE2471" t="s">
        <v>4532</v>
      </c>
      <c r="AF2471" t="s">
        <v>48</v>
      </c>
      <c r="AG2471" t="s">
        <v>48</v>
      </c>
      <c r="AH2471" t="s">
        <v>48</v>
      </c>
      <c r="AI2471" t="s">
        <v>48</v>
      </c>
      <c r="AJ2471" t="s">
        <v>48</v>
      </c>
      <c r="AK2471" t="s">
        <v>48</v>
      </c>
      <c r="AL2471" t="s">
        <v>48</v>
      </c>
      <c r="AM2471" t="s">
        <v>48</v>
      </c>
      <c r="AN2471" t="s">
        <v>48</v>
      </c>
      <c r="AO2471" t="s">
        <v>48</v>
      </c>
      <c r="AP2471" s="46">
        <v>0</v>
      </c>
      <c r="AQ2471" s="46">
        <v>0</v>
      </c>
      <c r="AR2471" s="46">
        <v>0</v>
      </c>
      <c r="AS2471" s="46">
        <v>0</v>
      </c>
      <c r="AT2471" s="46">
        <v>0</v>
      </c>
      <c r="AU2471" s="46">
        <v>0</v>
      </c>
      <c r="AV2471" s="46">
        <v>0</v>
      </c>
      <c r="AW2471" s="46">
        <v>0</v>
      </c>
      <c r="AX2471" s="46">
        <v>0</v>
      </c>
      <c r="AY2471" s="46">
        <v>0</v>
      </c>
      <c r="AZ2471" s="46">
        <v>0</v>
      </c>
      <c r="BA2471" s="46">
        <v>0</v>
      </c>
      <c r="BB2471" s="46">
        <v>0</v>
      </c>
      <c r="BC2471" s="46">
        <v>0</v>
      </c>
      <c r="BD2471" s="46">
        <v>0</v>
      </c>
      <c r="BE2471" s="46">
        <v>0</v>
      </c>
      <c r="BF2471" s="46">
        <v>0</v>
      </c>
      <c r="BG2471" s="46" t="s">
        <v>48</v>
      </c>
      <c r="BH2471" s="46">
        <v>0</v>
      </c>
      <c r="BI2471" s="46">
        <v>0</v>
      </c>
      <c r="BJ2471" s="46">
        <v>0</v>
      </c>
      <c r="BK2471" s="46">
        <v>0</v>
      </c>
      <c r="BL2471" s="46">
        <v>0</v>
      </c>
      <c r="BM2471" s="46">
        <v>0</v>
      </c>
      <c r="BN2471" s="46">
        <v>0</v>
      </c>
    </row>
    <row r="2472" spans="1:66" x14ac:dyDescent="0.35">
      <c r="A2472" t="s">
        <v>10948</v>
      </c>
      <c r="B2472" s="44" t="s">
        <v>48</v>
      </c>
      <c r="C2472" t="s">
        <v>12391</v>
      </c>
      <c r="D2472" t="s">
        <v>76</v>
      </c>
      <c r="E2472" t="s">
        <v>10951</v>
      </c>
      <c r="F2472" t="s">
        <v>7773</v>
      </c>
      <c r="G2472" t="s">
        <v>74</v>
      </c>
      <c r="H2472">
        <v>0</v>
      </c>
      <c r="I2472" s="61">
        <v>44809</v>
      </c>
      <c r="J2472" s="33" t="s">
        <v>45</v>
      </c>
      <c r="K2472" s="46">
        <v>0</v>
      </c>
      <c r="L2472">
        <v>12.4</v>
      </c>
      <c r="M2472" t="s">
        <v>48</v>
      </c>
      <c r="N2472" s="46">
        <v>0</v>
      </c>
      <c r="O2472" s="46">
        <v>0</v>
      </c>
      <c r="P2472" s="46">
        <v>0</v>
      </c>
      <c r="Q2472" t="s">
        <v>48</v>
      </c>
      <c r="R2472" t="s">
        <v>48</v>
      </c>
      <c r="S2472" t="s">
        <v>48</v>
      </c>
      <c r="T2472" t="s">
        <v>48</v>
      </c>
      <c r="U2472" t="s">
        <v>48</v>
      </c>
      <c r="V2472" t="s">
        <v>48</v>
      </c>
      <c r="W2472" t="s">
        <v>48</v>
      </c>
      <c r="X2472" t="s">
        <v>48</v>
      </c>
      <c r="Y2472" t="s">
        <v>48</v>
      </c>
      <c r="Z2472" t="s">
        <v>48</v>
      </c>
      <c r="AA2472" t="s">
        <v>48</v>
      </c>
      <c r="AB2472" t="s">
        <v>48</v>
      </c>
      <c r="AC2472" t="s">
        <v>49</v>
      </c>
      <c r="AD2472" t="s">
        <v>93</v>
      </c>
      <c r="AE2472" t="s">
        <v>4532</v>
      </c>
      <c r="AF2472" t="s">
        <v>48</v>
      </c>
      <c r="AG2472" t="s">
        <v>48</v>
      </c>
      <c r="AH2472" t="s">
        <v>48</v>
      </c>
      <c r="AI2472" t="s">
        <v>48</v>
      </c>
      <c r="AJ2472" t="s">
        <v>48</v>
      </c>
      <c r="AK2472" t="s">
        <v>48</v>
      </c>
      <c r="AL2472" t="s">
        <v>48</v>
      </c>
      <c r="AM2472" t="s">
        <v>48</v>
      </c>
      <c r="AN2472" t="s">
        <v>48</v>
      </c>
      <c r="AO2472" t="s">
        <v>48</v>
      </c>
      <c r="AP2472" s="46">
        <v>0</v>
      </c>
      <c r="AQ2472" s="46">
        <v>0</v>
      </c>
      <c r="AR2472" s="46">
        <v>0</v>
      </c>
      <c r="AS2472" s="46">
        <v>0</v>
      </c>
      <c r="AT2472" s="46">
        <v>0</v>
      </c>
      <c r="AU2472" s="46">
        <v>0</v>
      </c>
      <c r="AV2472" s="46">
        <v>0</v>
      </c>
      <c r="AW2472" s="46">
        <v>0</v>
      </c>
      <c r="AX2472" s="46">
        <v>0</v>
      </c>
      <c r="AY2472" s="46">
        <v>0</v>
      </c>
      <c r="AZ2472" s="46">
        <v>0</v>
      </c>
      <c r="BA2472" s="46">
        <v>0</v>
      </c>
      <c r="BB2472" s="46">
        <v>0</v>
      </c>
      <c r="BC2472" s="46">
        <v>0</v>
      </c>
      <c r="BD2472" s="46">
        <v>0</v>
      </c>
      <c r="BE2472" s="46">
        <v>0</v>
      </c>
      <c r="BF2472" s="46">
        <v>0</v>
      </c>
      <c r="BG2472" s="46" t="s">
        <v>48</v>
      </c>
      <c r="BH2472" s="46">
        <v>0</v>
      </c>
      <c r="BI2472" s="46">
        <v>0</v>
      </c>
      <c r="BJ2472" s="46">
        <v>0</v>
      </c>
      <c r="BK2472" s="46">
        <v>0</v>
      </c>
      <c r="BL2472" s="46">
        <v>0</v>
      </c>
      <c r="BM2472" s="46">
        <v>0</v>
      </c>
      <c r="BN2472" s="46">
        <v>0</v>
      </c>
    </row>
    <row r="2477" spans="1:66" x14ac:dyDescent="0.35">
      <c r="E2477"/>
      <c r="J2477" s="33"/>
      <c r="K2477" s="46"/>
      <c r="L2477"/>
      <c r="M2477"/>
      <c r="O2477" s="46"/>
      <c r="P2477" s="46"/>
      <c r="Q2477"/>
      <c r="V2477" s="47"/>
    </row>
  </sheetData>
  <sortState ref="A2:BN2472">
    <sortCondition descending="1" ref="J2:J2472"/>
    <sortCondition descending="1" ref="N2:N2472"/>
    <sortCondition ref="F2:F2472"/>
  </sortState>
  <hyperlinks>
    <hyperlink ref="S123" r:id="rId1" display="https://twitter.com/ScottforFlorida"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5"/>
  <sheetViews>
    <sheetView workbookViewId="0">
      <pane xSplit="1" ySplit="1" topLeftCell="B2" activePane="bottomRight" state="frozen"/>
      <selection pane="topRight" activeCell="B1" sqref="B1"/>
      <selection pane="bottomLeft" activeCell="A2" sqref="A2"/>
      <selection pane="bottomRight"/>
    </sheetView>
  </sheetViews>
  <sheetFormatPr defaultColWidth="13.90625" defaultRowHeight="15" customHeight="1" x14ac:dyDescent="0.3"/>
  <cols>
    <col min="1" max="1" width="28.54296875" style="4" customWidth="1"/>
    <col min="2" max="2" width="30.54296875" style="4" customWidth="1"/>
    <col min="3" max="3" width="22.81640625" style="4" customWidth="1"/>
    <col min="4" max="4" width="33.90625" style="4" customWidth="1"/>
    <col min="5" max="5" width="8.08984375" style="4" customWidth="1"/>
    <col min="6" max="6" width="30.54296875" style="4" customWidth="1"/>
    <col min="7" max="7" width="8.08984375" style="4" customWidth="1"/>
    <col min="8" max="16384" width="13.90625" style="4"/>
  </cols>
  <sheetData>
    <row r="1" spans="1:7" ht="14.25" customHeight="1" thickBot="1" x14ac:dyDescent="0.4">
      <c r="A1" s="1" t="s">
        <v>7807</v>
      </c>
      <c r="B1" s="2" t="s">
        <v>7808</v>
      </c>
      <c r="C1" s="1" t="s">
        <v>7809</v>
      </c>
      <c r="D1" s="1" t="s">
        <v>7810</v>
      </c>
      <c r="E1" s="1" t="s">
        <v>7811</v>
      </c>
      <c r="F1" s="1" t="s">
        <v>7812</v>
      </c>
      <c r="G1" s="3" t="s">
        <v>7813</v>
      </c>
    </row>
    <row r="2" spans="1:7" ht="14.25" customHeight="1" x14ac:dyDescent="0.35">
      <c r="A2" s="5" t="s">
        <v>0</v>
      </c>
      <c r="B2" s="6" t="s">
        <v>7814</v>
      </c>
      <c r="C2" s="7"/>
      <c r="D2" s="7"/>
      <c r="E2" s="7"/>
      <c r="F2" s="8"/>
      <c r="G2" s="8"/>
    </row>
    <row r="3" spans="1:7" ht="14.25" customHeight="1" x14ac:dyDescent="0.35">
      <c r="A3" s="9" t="s">
        <v>20</v>
      </c>
      <c r="B3" s="10"/>
      <c r="C3" s="11" t="s">
        <v>7815</v>
      </c>
      <c r="D3" s="11"/>
      <c r="E3" s="11"/>
      <c r="F3" s="12" t="s">
        <v>7816</v>
      </c>
      <c r="G3" s="12"/>
    </row>
    <row r="4" spans="1:7" ht="14.25" customHeight="1" x14ac:dyDescent="0.35">
      <c r="A4" s="13" t="s">
        <v>1</v>
      </c>
      <c r="B4" s="14"/>
      <c r="C4" s="15" t="s">
        <v>7815</v>
      </c>
      <c r="D4" s="15"/>
      <c r="E4" s="15"/>
      <c r="F4" s="16"/>
      <c r="G4" s="16"/>
    </row>
    <row r="5" spans="1:7" ht="14.25" customHeight="1" x14ac:dyDescent="0.35">
      <c r="A5" s="13" t="s">
        <v>2</v>
      </c>
      <c r="B5" s="14"/>
      <c r="C5" s="15" t="s">
        <v>7815</v>
      </c>
      <c r="D5" s="15"/>
      <c r="E5" s="15"/>
      <c r="F5" s="16"/>
      <c r="G5" s="16"/>
    </row>
    <row r="6" spans="1:7" ht="14.25" customHeight="1" x14ac:dyDescent="0.35">
      <c r="A6" s="13" t="s">
        <v>14</v>
      </c>
      <c r="B6" s="14" t="s">
        <v>7817</v>
      </c>
      <c r="C6" s="15" t="s">
        <v>7818</v>
      </c>
      <c r="D6" s="15"/>
      <c r="E6" s="15"/>
      <c r="F6" s="16" t="s">
        <v>7819</v>
      </c>
      <c r="G6" s="16"/>
    </row>
    <row r="7" spans="1:7" ht="14.25" customHeight="1" x14ac:dyDescent="0.35">
      <c r="A7" s="13" t="s">
        <v>15</v>
      </c>
      <c r="B7" s="14" t="s">
        <v>7820</v>
      </c>
      <c r="C7" s="15" t="s">
        <v>7818</v>
      </c>
      <c r="D7" s="15"/>
      <c r="E7" s="15"/>
      <c r="F7" s="16" t="s">
        <v>7821</v>
      </c>
      <c r="G7" s="16"/>
    </row>
    <row r="8" spans="1:7" ht="14.25" customHeight="1" x14ac:dyDescent="0.35">
      <c r="A8" s="13" t="s">
        <v>4</v>
      </c>
      <c r="B8" s="14"/>
      <c r="C8" s="15" t="s">
        <v>7815</v>
      </c>
      <c r="D8" s="15"/>
      <c r="E8" s="15"/>
      <c r="F8" s="16"/>
      <c r="G8" s="16"/>
    </row>
    <row r="9" spans="1:7" ht="14.25" customHeight="1" x14ac:dyDescent="0.35">
      <c r="A9" s="13" t="s">
        <v>5</v>
      </c>
      <c r="B9" s="14"/>
      <c r="C9" s="15"/>
      <c r="D9" s="15"/>
      <c r="E9" s="15"/>
      <c r="F9" s="16"/>
      <c r="G9" s="16"/>
    </row>
    <row r="10" spans="1:7" ht="14.25" customHeight="1" x14ac:dyDescent="0.35">
      <c r="A10" s="13" t="s">
        <v>6</v>
      </c>
      <c r="B10" s="14" t="s">
        <v>7822</v>
      </c>
      <c r="C10" s="15"/>
      <c r="D10" s="15" t="s">
        <v>7823</v>
      </c>
      <c r="E10" s="15"/>
      <c r="F10" s="16" t="s">
        <v>7824</v>
      </c>
      <c r="G10" s="16"/>
    </row>
    <row r="11" spans="1:7" ht="14.25" customHeight="1" x14ac:dyDescent="0.35">
      <c r="A11" s="13" t="s">
        <v>7</v>
      </c>
      <c r="B11" s="14" t="s">
        <v>10944</v>
      </c>
      <c r="C11" s="15"/>
      <c r="D11" s="15" t="s">
        <v>10945</v>
      </c>
      <c r="E11" s="15"/>
      <c r="F11" s="16"/>
      <c r="G11" s="16"/>
    </row>
    <row r="12" spans="1:7" ht="14.25" customHeight="1" x14ac:dyDescent="0.35">
      <c r="A12" s="13" t="s">
        <v>12</v>
      </c>
      <c r="B12" s="14" t="s">
        <v>7825</v>
      </c>
      <c r="C12" s="15"/>
      <c r="D12" s="15" t="s">
        <v>7823</v>
      </c>
      <c r="E12" s="15"/>
      <c r="F12" s="16" t="s">
        <v>7826</v>
      </c>
      <c r="G12" s="16"/>
    </row>
    <row r="13" spans="1:7" ht="14.25" customHeight="1" x14ac:dyDescent="0.35">
      <c r="A13" s="13" t="s">
        <v>13</v>
      </c>
      <c r="B13" s="14" t="s">
        <v>7827</v>
      </c>
      <c r="C13" s="15"/>
      <c r="D13" s="15" t="s">
        <v>7828</v>
      </c>
      <c r="E13" s="15"/>
      <c r="F13" s="16" t="s">
        <v>7829</v>
      </c>
      <c r="G13" s="16"/>
    </row>
    <row r="14" spans="1:7" ht="14.25" customHeight="1" x14ac:dyDescent="0.35">
      <c r="A14" s="13" t="s">
        <v>3</v>
      </c>
      <c r="B14" s="14"/>
      <c r="C14" s="15"/>
      <c r="D14" s="15"/>
      <c r="E14" s="15"/>
      <c r="F14" s="16"/>
      <c r="G14" s="16"/>
    </row>
    <row r="15" spans="1:7" ht="14.25" customHeight="1" x14ac:dyDescent="0.35">
      <c r="A15" s="13" t="s">
        <v>7830</v>
      </c>
      <c r="B15" s="14"/>
      <c r="C15" s="15"/>
      <c r="D15" s="15"/>
      <c r="E15" s="15"/>
      <c r="F15" s="16"/>
      <c r="G15" s="16"/>
    </row>
    <row r="16" spans="1:7" ht="14.25" customHeight="1" x14ac:dyDescent="0.35">
      <c r="A16" s="13" t="s">
        <v>7831</v>
      </c>
      <c r="B16" s="14"/>
      <c r="C16" s="15"/>
      <c r="D16" s="15"/>
      <c r="E16" s="15"/>
      <c r="F16" s="16"/>
      <c r="G16" s="16"/>
    </row>
    <row r="17" spans="1:7" ht="14.25" customHeight="1" x14ac:dyDescent="0.35">
      <c r="A17" s="13" t="s">
        <v>21</v>
      </c>
      <c r="B17" s="14"/>
      <c r="C17" s="15"/>
      <c r="D17" s="15"/>
      <c r="E17" s="15"/>
      <c r="F17" s="16"/>
      <c r="G17" s="16"/>
    </row>
    <row r="18" spans="1:7" ht="14.25" customHeight="1" x14ac:dyDescent="0.35">
      <c r="A18" s="13" t="s">
        <v>7832</v>
      </c>
      <c r="B18" s="14" t="s">
        <v>7833</v>
      </c>
      <c r="C18" s="15"/>
      <c r="D18" s="15"/>
      <c r="E18" s="15"/>
      <c r="F18" s="16" t="s">
        <v>7834</v>
      </c>
      <c r="G18" s="16"/>
    </row>
    <row r="19" spans="1:7" ht="14.25" customHeight="1" x14ac:dyDescent="0.35">
      <c r="A19" s="13" t="s">
        <v>7835</v>
      </c>
      <c r="B19" s="14"/>
      <c r="C19" s="15"/>
      <c r="D19" s="15"/>
      <c r="E19" s="15"/>
      <c r="F19" s="16"/>
      <c r="G19" s="16"/>
    </row>
    <row r="20" spans="1:7" ht="14.25" customHeight="1" x14ac:dyDescent="0.35">
      <c r="A20" s="13" t="s">
        <v>7836</v>
      </c>
      <c r="B20" s="14"/>
      <c r="C20" s="15"/>
      <c r="D20" s="15"/>
      <c r="E20" s="15"/>
      <c r="F20" s="16"/>
      <c r="G20" s="16"/>
    </row>
    <row r="21" spans="1:7" ht="14.25" customHeight="1" x14ac:dyDescent="0.35">
      <c r="A21" s="13" t="s">
        <v>7837</v>
      </c>
      <c r="B21" s="14"/>
      <c r="C21" s="15"/>
      <c r="D21" s="15"/>
      <c r="E21" s="15"/>
      <c r="F21" s="16"/>
      <c r="G21" s="16"/>
    </row>
    <row r="22" spans="1:7" ht="14.25" customHeight="1" x14ac:dyDescent="0.35">
      <c r="A22" s="13" t="s">
        <v>7838</v>
      </c>
      <c r="B22" s="14"/>
      <c r="C22" s="15"/>
      <c r="D22" s="15"/>
      <c r="E22" s="15"/>
      <c r="F22" s="16"/>
      <c r="G22" s="16"/>
    </row>
    <row r="23" spans="1:7" ht="14.25" customHeight="1" x14ac:dyDescent="0.35">
      <c r="A23" s="13" t="s">
        <v>17</v>
      </c>
      <c r="B23" s="14" t="s">
        <v>7839</v>
      </c>
      <c r="C23" s="15"/>
      <c r="D23" s="15"/>
      <c r="E23" s="15"/>
      <c r="F23" s="16"/>
      <c r="G23" s="16"/>
    </row>
    <row r="24" spans="1:7" ht="14.25" customHeight="1" x14ac:dyDescent="0.35">
      <c r="A24" s="13" t="s">
        <v>18</v>
      </c>
      <c r="B24" s="14" t="s">
        <v>7840</v>
      </c>
      <c r="C24" s="15"/>
      <c r="D24" s="15"/>
      <c r="E24" s="15"/>
      <c r="F24" s="16"/>
      <c r="G24" s="16"/>
    </row>
    <row r="25" spans="1:7" ht="14.25" customHeight="1" x14ac:dyDescent="0.35">
      <c r="A25" s="13" t="s">
        <v>19</v>
      </c>
      <c r="B25" s="14" t="s">
        <v>10939</v>
      </c>
      <c r="C25" s="15"/>
      <c r="D25" s="15" t="s">
        <v>10940</v>
      </c>
      <c r="E25" s="15"/>
      <c r="F25" s="16"/>
      <c r="G25" s="16"/>
    </row>
    <row r="26" spans="1:7" ht="30" customHeight="1" x14ac:dyDescent="0.35">
      <c r="A26" s="13" t="s">
        <v>22</v>
      </c>
      <c r="B26" s="14" t="s">
        <v>7841</v>
      </c>
      <c r="C26" s="15"/>
      <c r="D26" s="15" t="s">
        <v>7842</v>
      </c>
      <c r="E26" s="15"/>
      <c r="F26" s="17" t="s">
        <v>7843</v>
      </c>
      <c r="G26" s="18"/>
    </row>
    <row r="27" spans="1:7" ht="30" customHeight="1" x14ac:dyDescent="0.35">
      <c r="A27" s="13" t="s">
        <v>29</v>
      </c>
      <c r="B27" s="14" t="s">
        <v>7844</v>
      </c>
      <c r="C27" s="15"/>
      <c r="D27" s="15" t="s">
        <v>7842</v>
      </c>
      <c r="E27" s="15"/>
      <c r="F27" s="18" t="s">
        <v>7845</v>
      </c>
      <c r="G27" s="18"/>
    </row>
    <row r="28" spans="1:7" ht="37.5" customHeight="1" x14ac:dyDescent="0.35">
      <c r="A28" s="13" t="s">
        <v>23</v>
      </c>
      <c r="B28" s="14" t="s">
        <v>7846</v>
      </c>
      <c r="C28" s="15"/>
      <c r="D28" s="15" t="s">
        <v>7842</v>
      </c>
      <c r="E28" s="15"/>
      <c r="F28" s="17" t="s">
        <v>7847</v>
      </c>
      <c r="G28" s="18"/>
    </row>
    <row r="29" spans="1:7" ht="28.5" customHeight="1" x14ac:dyDescent="0.35">
      <c r="A29" s="13" t="s">
        <v>24</v>
      </c>
      <c r="B29" s="14" t="s">
        <v>7848</v>
      </c>
      <c r="C29" s="15"/>
      <c r="D29" s="15" t="s">
        <v>7842</v>
      </c>
      <c r="E29" s="15"/>
      <c r="F29" s="17" t="s">
        <v>7849</v>
      </c>
      <c r="G29" s="18"/>
    </row>
    <row r="30" spans="1:7" ht="30.75" customHeight="1" x14ac:dyDescent="0.35">
      <c r="A30" s="13" t="s">
        <v>25</v>
      </c>
      <c r="B30" s="14" t="s">
        <v>7850</v>
      </c>
      <c r="C30" s="15"/>
      <c r="D30" s="15" t="s">
        <v>7842</v>
      </c>
      <c r="E30" s="15"/>
      <c r="F30" s="17" t="s">
        <v>7851</v>
      </c>
      <c r="G30" s="18"/>
    </row>
    <row r="31" spans="1:7" ht="30.75" customHeight="1" x14ac:dyDescent="0.35">
      <c r="A31" s="13" t="s">
        <v>26</v>
      </c>
      <c r="B31" s="14" t="s">
        <v>7852</v>
      </c>
      <c r="C31" s="15"/>
      <c r="D31" s="15" t="s">
        <v>7842</v>
      </c>
      <c r="E31" s="15"/>
      <c r="F31" s="17" t="s">
        <v>7853</v>
      </c>
      <c r="G31" s="18"/>
    </row>
    <row r="32" spans="1:7" ht="30.75" customHeight="1" x14ac:dyDescent="0.35">
      <c r="A32" s="13" t="s">
        <v>27</v>
      </c>
      <c r="B32" s="14" t="s">
        <v>7854</v>
      </c>
      <c r="C32" s="15"/>
      <c r="D32" s="15" t="s">
        <v>7842</v>
      </c>
      <c r="E32" s="15"/>
      <c r="F32" s="17" t="s">
        <v>7855</v>
      </c>
      <c r="G32" s="18"/>
    </row>
    <row r="33" spans="1:7" ht="46.5" customHeight="1" x14ac:dyDescent="0.35">
      <c r="A33" s="13" t="s">
        <v>28</v>
      </c>
      <c r="B33" s="14" t="s">
        <v>7856</v>
      </c>
      <c r="C33" s="15"/>
      <c r="D33" s="15" t="s">
        <v>7842</v>
      </c>
      <c r="E33" s="15"/>
      <c r="F33" s="17" t="s">
        <v>7857</v>
      </c>
      <c r="G33" s="18"/>
    </row>
    <row r="34" spans="1:7" ht="14.25" customHeight="1" thickBot="1" x14ac:dyDescent="0.4">
      <c r="A34" s="19" t="s">
        <v>30</v>
      </c>
      <c r="B34" s="20" t="s">
        <v>7858</v>
      </c>
      <c r="C34" s="21"/>
      <c r="D34" s="22" t="s">
        <v>7842</v>
      </c>
      <c r="E34" s="22"/>
      <c r="F34" s="23" t="s">
        <v>7859</v>
      </c>
      <c r="G34" s="24"/>
    </row>
    <row r="35" spans="1:7" ht="14.25" customHeight="1" thickBot="1" x14ac:dyDescent="0.4">
      <c r="A35" s="25" t="s">
        <v>31</v>
      </c>
      <c r="B35" s="16"/>
      <c r="C35" s="16"/>
      <c r="D35" s="20" t="s">
        <v>7860</v>
      </c>
      <c r="E35" s="16"/>
      <c r="F35" s="26"/>
      <c r="G35" s="27">
        <v>0</v>
      </c>
    </row>
    <row r="36" spans="1:7" ht="14.25" customHeight="1" thickBot="1" x14ac:dyDescent="0.4">
      <c r="A36" s="25" t="s">
        <v>32</v>
      </c>
      <c r="B36" s="16"/>
      <c r="C36" s="16"/>
      <c r="D36" s="20" t="s">
        <v>7861</v>
      </c>
      <c r="E36" s="16"/>
      <c r="F36" s="26"/>
      <c r="G36" s="27">
        <v>0</v>
      </c>
    </row>
    <row r="37" spans="1:7" ht="14.25" customHeight="1" thickBot="1" x14ac:dyDescent="0.4">
      <c r="A37" s="25" t="s">
        <v>33</v>
      </c>
      <c r="B37" s="16"/>
      <c r="C37" s="16"/>
      <c r="D37" s="20" t="s">
        <v>7862</v>
      </c>
      <c r="E37" s="16"/>
      <c r="F37" s="26"/>
      <c r="G37" s="27">
        <v>0</v>
      </c>
    </row>
    <row r="38" spans="1:7" ht="14.25" customHeight="1" x14ac:dyDescent="0.35">
      <c r="A38" s="25" t="s">
        <v>34</v>
      </c>
      <c r="B38" s="16"/>
      <c r="C38" s="16"/>
      <c r="D38" s="28" t="s">
        <v>7863</v>
      </c>
      <c r="E38" s="16"/>
      <c r="F38" s="26"/>
      <c r="G38" s="27">
        <v>0</v>
      </c>
    </row>
    <row r="39" spans="1:7" ht="14.25" customHeight="1" x14ac:dyDescent="0.35">
      <c r="A39" s="15" t="s">
        <v>7864</v>
      </c>
      <c r="B39" s="14" t="s">
        <v>7865</v>
      </c>
      <c r="C39" s="15" t="s">
        <v>7866</v>
      </c>
      <c r="D39" s="14" t="s">
        <v>7867</v>
      </c>
      <c r="E39" s="15"/>
      <c r="F39" s="29" t="s">
        <v>7868</v>
      </c>
      <c r="G39" s="15"/>
    </row>
    <row r="40" spans="1:7" ht="14.25" customHeight="1" x14ac:dyDescent="0.35">
      <c r="A40" s="15" t="s">
        <v>8</v>
      </c>
      <c r="B40" s="14" t="s">
        <v>7869</v>
      </c>
      <c r="C40" s="15" t="s">
        <v>7866</v>
      </c>
      <c r="D40" s="14" t="s">
        <v>7870</v>
      </c>
      <c r="E40" s="15"/>
      <c r="F40" s="30" t="s">
        <v>7871</v>
      </c>
    </row>
    <row r="41" spans="1:7" ht="14.25" customHeight="1" x14ac:dyDescent="0.35">
      <c r="A41" s="31" t="s">
        <v>7805</v>
      </c>
      <c r="B41" s="6" t="s">
        <v>7872</v>
      </c>
      <c r="C41" s="15" t="s">
        <v>7866</v>
      </c>
      <c r="D41" s="6" t="s">
        <v>7873</v>
      </c>
    </row>
    <row r="42" spans="1:7" ht="14.25" customHeight="1" x14ac:dyDescent="0.35">
      <c r="A42" s="31" t="s">
        <v>7806</v>
      </c>
      <c r="B42" s="6" t="s">
        <v>7874</v>
      </c>
      <c r="C42" s="7" t="s">
        <v>7875</v>
      </c>
      <c r="D42" s="6"/>
    </row>
    <row r="43" spans="1:7" ht="14.25" customHeight="1" x14ac:dyDescent="0.35">
      <c r="A43" s="31" t="s">
        <v>7876</v>
      </c>
      <c r="B43" s="6" t="s">
        <v>7877</v>
      </c>
      <c r="C43" s="7" t="s">
        <v>7875</v>
      </c>
      <c r="D43" s="6" t="s">
        <v>7878</v>
      </c>
      <c r="F43" s="6" t="s">
        <v>7879</v>
      </c>
    </row>
    <row r="44" spans="1:7" ht="14.25" customHeight="1" x14ac:dyDescent="0.35">
      <c r="A44" s="31" t="s">
        <v>7880</v>
      </c>
      <c r="B44" s="6" t="s">
        <v>7881</v>
      </c>
      <c r="C44" s="7" t="s">
        <v>7818</v>
      </c>
      <c r="D44" s="6" t="s">
        <v>7882</v>
      </c>
    </row>
    <row r="45" spans="1:7" ht="14.25" customHeight="1" x14ac:dyDescent="0.35">
      <c r="A45" s="31" t="s">
        <v>7883</v>
      </c>
      <c r="B45" s="6" t="s">
        <v>7884</v>
      </c>
    </row>
    <row r="46" spans="1:7" ht="14.25" customHeight="1" x14ac:dyDescent="0.35">
      <c r="A46" s="4" t="s">
        <v>11157</v>
      </c>
      <c r="B46" s="6" t="s">
        <v>11158</v>
      </c>
      <c r="C46" s="4" t="s">
        <v>7818</v>
      </c>
      <c r="D46" s="4" t="s">
        <v>7882</v>
      </c>
      <c r="F46" s="58" t="s">
        <v>11156</v>
      </c>
    </row>
    <row r="47" spans="1:7" ht="14.25" customHeight="1" x14ac:dyDescent="0.35">
      <c r="A47" s="4" t="s">
        <v>41</v>
      </c>
      <c r="B47" s="6" t="s">
        <v>12417</v>
      </c>
    </row>
    <row r="48" spans="1:7" ht="14.25" customHeight="1" x14ac:dyDescent="0.35">
      <c r="B48" s="6"/>
    </row>
    <row r="49" spans="2:2" ht="14.25" customHeight="1" x14ac:dyDescent="0.35">
      <c r="B49" s="6"/>
    </row>
    <row r="50" spans="2:2" ht="14.25" customHeight="1" x14ac:dyDescent="0.35">
      <c r="B50" s="6"/>
    </row>
    <row r="51" spans="2:2" ht="14.25" customHeight="1" x14ac:dyDescent="0.35">
      <c r="B51" s="6"/>
    </row>
    <row r="52" spans="2:2" ht="14.25" customHeight="1" x14ac:dyDescent="0.35">
      <c r="B52" s="6"/>
    </row>
    <row r="53" spans="2:2" ht="14.25" customHeight="1" x14ac:dyDescent="0.35">
      <c r="B53" s="6"/>
    </row>
    <row r="54" spans="2:2" ht="14.25" customHeight="1" x14ac:dyDescent="0.35">
      <c r="B54" s="6"/>
    </row>
    <row r="55" spans="2:2" ht="14.25" customHeight="1" x14ac:dyDescent="0.35">
      <c r="B55" s="6"/>
    </row>
    <row r="56" spans="2:2" ht="14.25" customHeight="1" x14ac:dyDescent="0.35">
      <c r="B56" s="6"/>
    </row>
    <row r="57" spans="2:2" ht="14.25" customHeight="1" x14ac:dyDescent="0.35">
      <c r="B57" s="6"/>
    </row>
    <row r="58" spans="2:2" ht="14.25" customHeight="1" x14ac:dyDescent="0.35">
      <c r="B58" s="6"/>
    </row>
    <row r="59" spans="2:2" ht="14.25" customHeight="1" x14ac:dyDescent="0.35">
      <c r="B59" s="6"/>
    </row>
    <row r="60" spans="2:2" ht="14.25" customHeight="1" x14ac:dyDescent="0.35">
      <c r="B60" s="6"/>
    </row>
    <row r="61" spans="2:2" ht="14.25" customHeight="1" x14ac:dyDescent="0.35">
      <c r="B61" s="6"/>
    </row>
    <row r="62" spans="2:2" ht="14.25" customHeight="1" x14ac:dyDescent="0.35">
      <c r="B62" s="6"/>
    </row>
    <row r="63" spans="2:2" ht="14.25" customHeight="1" x14ac:dyDescent="0.35">
      <c r="B63" s="6"/>
    </row>
    <row r="64" spans="2:2" ht="14.25" customHeight="1" x14ac:dyDescent="0.35">
      <c r="B64" s="6"/>
    </row>
    <row r="65" spans="2:2" ht="14.25" customHeight="1" x14ac:dyDescent="0.35">
      <c r="B65" s="6"/>
    </row>
    <row r="66" spans="2:2" ht="14.25" customHeight="1" x14ac:dyDescent="0.35">
      <c r="B66" s="6"/>
    </row>
    <row r="67" spans="2:2" ht="14.25" customHeight="1" x14ac:dyDescent="0.35">
      <c r="B67" s="6"/>
    </row>
    <row r="68" spans="2:2" ht="14.25" customHeight="1" x14ac:dyDescent="0.35">
      <c r="B68" s="6"/>
    </row>
    <row r="69" spans="2:2" ht="14.25" customHeight="1" x14ac:dyDescent="0.35">
      <c r="B69" s="6"/>
    </row>
    <row r="70" spans="2:2" ht="14.25" customHeight="1" x14ac:dyDescent="0.35">
      <c r="B70" s="6"/>
    </row>
    <row r="71" spans="2:2" ht="14.25" customHeight="1" x14ac:dyDescent="0.35">
      <c r="B71" s="6"/>
    </row>
    <row r="72" spans="2:2" ht="14.25" customHeight="1" x14ac:dyDescent="0.35">
      <c r="B72" s="6"/>
    </row>
    <row r="73" spans="2:2" ht="14.25" customHeight="1" x14ac:dyDescent="0.35">
      <c r="B73" s="6"/>
    </row>
    <row r="74" spans="2:2" ht="14.25" customHeight="1" x14ac:dyDescent="0.35">
      <c r="B74" s="6"/>
    </row>
    <row r="75" spans="2:2" ht="14.25" customHeight="1" x14ac:dyDescent="0.35">
      <c r="B75" s="6"/>
    </row>
    <row r="76" spans="2:2" ht="14.25" customHeight="1" x14ac:dyDescent="0.35">
      <c r="B76" s="6"/>
    </row>
    <row r="77" spans="2:2" ht="14.25" customHeight="1" x14ac:dyDescent="0.35">
      <c r="B77" s="6"/>
    </row>
    <row r="78" spans="2:2" ht="14.25" customHeight="1" x14ac:dyDescent="0.35">
      <c r="B78" s="6"/>
    </row>
    <row r="79" spans="2:2" ht="14.25" customHeight="1" x14ac:dyDescent="0.35">
      <c r="B79" s="6"/>
    </row>
    <row r="80" spans="2:2" ht="14.25" customHeight="1" x14ac:dyDescent="0.35">
      <c r="B80" s="6"/>
    </row>
    <row r="81" spans="2:2" ht="14.25" customHeight="1" x14ac:dyDescent="0.35">
      <c r="B81" s="6"/>
    </row>
    <row r="82" spans="2:2" ht="14.25" customHeight="1" x14ac:dyDescent="0.35">
      <c r="B82" s="6"/>
    </row>
    <row r="83" spans="2:2" ht="14.25" customHeight="1" x14ac:dyDescent="0.35">
      <c r="B83" s="6"/>
    </row>
    <row r="84" spans="2:2" ht="14.25" customHeight="1" x14ac:dyDescent="0.35">
      <c r="B84" s="6"/>
    </row>
    <row r="85" spans="2:2" ht="14.25" customHeight="1" x14ac:dyDescent="0.35">
      <c r="B85" s="6"/>
    </row>
    <row r="86" spans="2:2" ht="14.25" customHeight="1" x14ac:dyDescent="0.35">
      <c r="B86" s="6"/>
    </row>
    <row r="87" spans="2:2" ht="14.25" customHeight="1" x14ac:dyDescent="0.35">
      <c r="B87" s="6"/>
    </row>
    <row r="88" spans="2:2" ht="14.25" customHeight="1" x14ac:dyDescent="0.35">
      <c r="B88" s="6"/>
    </row>
    <row r="89" spans="2:2" ht="14.25" customHeight="1" x14ac:dyDescent="0.35">
      <c r="B89" s="6"/>
    </row>
    <row r="90" spans="2:2" ht="14.25" customHeight="1" x14ac:dyDescent="0.35">
      <c r="B90" s="6"/>
    </row>
    <row r="91" spans="2:2" ht="14.25" customHeight="1" x14ac:dyDescent="0.35">
      <c r="B91" s="6"/>
    </row>
    <row r="92" spans="2:2" ht="14.25" customHeight="1" x14ac:dyDescent="0.35">
      <c r="B92" s="6"/>
    </row>
    <row r="93" spans="2:2" ht="14.25" customHeight="1" x14ac:dyDescent="0.35">
      <c r="B93" s="6"/>
    </row>
    <row r="94" spans="2:2" ht="14.25" customHeight="1" x14ac:dyDescent="0.35">
      <c r="B94" s="6"/>
    </row>
    <row r="95" spans="2:2" ht="14.25" customHeight="1" x14ac:dyDescent="0.35">
      <c r="B95" s="6"/>
    </row>
    <row r="96" spans="2:2" ht="14.25" customHeight="1" x14ac:dyDescent="0.35">
      <c r="B96" s="6"/>
    </row>
    <row r="97" spans="2:2" ht="14.25" customHeight="1" x14ac:dyDescent="0.35">
      <c r="B97" s="6"/>
    </row>
    <row r="98" spans="2:2" ht="14.25" customHeight="1" x14ac:dyDescent="0.35">
      <c r="B98" s="6"/>
    </row>
    <row r="99" spans="2:2" ht="14.25" customHeight="1" x14ac:dyDescent="0.35">
      <c r="B99" s="6"/>
    </row>
    <row r="100" spans="2:2" ht="14.25" customHeight="1" x14ac:dyDescent="0.35">
      <c r="B100" s="6"/>
    </row>
    <row r="101" spans="2:2" ht="14.25" customHeight="1" x14ac:dyDescent="0.35">
      <c r="B101" s="6"/>
    </row>
    <row r="102" spans="2:2" ht="14.25" customHeight="1" x14ac:dyDescent="0.35">
      <c r="B102" s="6"/>
    </row>
    <row r="103" spans="2:2" ht="14.25" customHeight="1" x14ac:dyDescent="0.35">
      <c r="B103" s="6"/>
    </row>
    <row r="104" spans="2:2" ht="14.25" customHeight="1" x14ac:dyDescent="0.35">
      <c r="B104" s="6"/>
    </row>
    <row r="105" spans="2:2" ht="14.25" customHeight="1" x14ac:dyDescent="0.35">
      <c r="B105" s="6"/>
    </row>
    <row r="106" spans="2:2" ht="14.25" customHeight="1" x14ac:dyDescent="0.35">
      <c r="B106" s="6"/>
    </row>
    <row r="107" spans="2:2" ht="14.25" customHeight="1" x14ac:dyDescent="0.35">
      <c r="B107" s="6"/>
    </row>
    <row r="108" spans="2:2" ht="14.25" customHeight="1" x14ac:dyDescent="0.35">
      <c r="B108" s="6"/>
    </row>
    <row r="109" spans="2:2" ht="14.25" customHeight="1" x14ac:dyDescent="0.35">
      <c r="B109" s="6"/>
    </row>
    <row r="110" spans="2:2" ht="14.25" customHeight="1" x14ac:dyDescent="0.35">
      <c r="B110" s="6"/>
    </row>
    <row r="111" spans="2:2" ht="14.25" customHeight="1" x14ac:dyDescent="0.35">
      <c r="B111" s="6"/>
    </row>
    <row r="112" spans="2:2" ht="14.25" customHeight="1" x14ac:dyDescent="0.35">
      <c r="B112" s="6"/>
    </row>
    <row r="113" spans="2:2" ht="14.25" customHeight="1" x14ac:dyDescent="0.35">
      <c r="B113" s="6"/>
    </row>
    <row r="114" spans="2:2" ht="14.25" customHeight="1" x14ac:dyDescent="0.35">
      <c r="B114" s="6"/>
    </row>
    <row r="115" spans="2:2" ht="14.25" customHeight="1" x14ac:dyDescent="0.35">
      <c r="B115" s="6"/>
    </row>
    <row r="116" spans="2:2" ht="14.25" customHeight="1" x14ac:dyDescent="0.35">
      <c r="B116" s="6"/>
    </row>
    <row r="117" spans="2:2" ht="14.25" customHeight="1" x14ac:dyDescent="0.35">
      <c r="B117" s="6"/>
    </row>
    <row r="118" spans="2:2" ht="14.25" customHeight="1" x14ac:dyDescent="0.35">
      <c r="B118" s="6"/>
    </row>
    <row r="119" spans="2:2" ht="14.25" customHeight="1" x14ac:dyDescent="0.35">
      <c r="B119" s="6"/>
    </row>
    <row r="120" spans="2:2" ht="14.25" customHeight="1" x14ac:dyDescent="0.35">
      <c r="B120" s="6"/>
    </row>
    <row r="121" spans="2:2" ht="14.25" customHeight="1" x14ac:dyDescent="0.35">
      <c r="B121" s="6"/>
    </row>
    <row r="122" spans="2:2" ht="14.25" customHeight="1" x14ac:dyDescent="0.35">
      <c r="B122" s="6"/>
    </row>
    <row r="123" spans="2:2" ht="14.25" customHeight="1" x14ac:dyDescent="0.35">
      <c r="B123" s="6"/>
    </row>
    <row r="124" spans="2:2" ht="14.25" customHeight="1" x14ac:dyDescent="0.35">
      <c r="B124" s="6"/>
    </row>
    <row r="125" spans="2:2" ht="14.25" customHeight="1" x14ac:dyDescent="0.35">
      <c r="B125" s="6"/>
    </row>
    <row r="126" spans="2:2" ht="14.25" customHeight="1" x14ac:dyDescent="0.35">
      <c r="B126" s="6"/>
    </row>
    <row r="127" spans="2:2" ht="14.25" customHeight="1" x14ac:dyDescent="0.35">
      <c r="B127" s="6"/>
    </row>
    <row r="128" spans="2:2" ht="14.25" customHeight="1" x14ac:dyDescent="0.35">
      <c r="B128" s="6"/>
    </row>
    <row r="129" spans="2:2" ht="14.25" customHeight="1" x14ac:dyDescent="0.35">
      <c r="B129" s="6"/>
    </row>
    <row r="130" spans="2:2" ht="14.25" customHeight="1" x14ac:dyDescent="0.35">
      <c r="B130" s="6"/>
    </row>
    <row r="131" spans="2:2" ht="14.25" customHeight="1" x14ac:dyDescent="0.35">
      <c r="B131" s="6"/>
    </row>
    <row r="132" spans="2:2" ht="14.25" customHeight="1" x14ac:dyDescent="0.35">
      <c r="B132" s="6"/>
    </row>
    <row r="133" spans="2:2" ht="14.25" customHeight="1" x14ac:dyDescent="0.35">
      <c r="B133" s="6"/>
    </row>
    <row r="134" spans="2:2" ht="14.25" customHeight="1" x14ac:dyDescent="0.35">
      <c r="B134" s="6"/>
    </row>
    <row r="135" spans="2:2" ht="14.25" customHeight="1" x14ac:dyDescent="0.35">
      <c r="B135" s="6"/>
    </row>
    <row r="136" spans="2:2" ht="14.25" customHeight="1" x14ac:dyDescent="0.35">
      <c r="B136" s="6"/>
    </row>
    <row r="137" spans="2:2" ht="14.25" customHeight="1" x14ac:dyDescent="0.35">
      <c r="B137" s="6"/>
    </row>
    <row r="138" spans="2:2" ht="14.25" customHeight="1" x14ac:dyDescent="0.35">
      <c r="B138" s="6"/>
    </row>
    <row r="139" spans="2:2" ht="14.25" customHeight="1" x14ac:dyDescent="0.35">
      <c r="B139" s="6"/>
    </row>
    <row r="140" spans="2:2" ht="14.25" customHeight="1" x14ac:dyDescent="0.35">
      <c r="B140" s="6"/>
    </row>
    <row r="141" spans="2:2" ht="14.25" customHeight="1" x14ac:dyDescent="0.35">
      <c r="B141" s="6"/>
    </row>
    <row r="142" spans="2:2" ht="14.25" customHeight="1" x14ac:dyDescent="0.35">
      <c r="B142" s="6"/>
    </row>
    <row r="143" spans="2:2" ht="14.25" customHeight="1" x14ac:dyDescent="0.35">
      <c r="B143" s="6"/>
    </row>
    <row r="144" spans="2:2" ht="14.25" customHeight="1" x14ac:dyDescent="0.35">
      <c r="B144" s="6"/>
    </row>
    <row r="145" spans="2:2" ht="14.25" customHeight="1" x14ac:dyDescent="0.35">
      <c r="B145" s="6"/>
    </row>
    <row r="146" spans="2:2" ht="14.25" customHeight="1" x14ac:dyDescent="0.35">
      <c r="B146" s="6"/>
    </row>
    <row r="147" spans="2:2" ht="14.25" customHeight="1" x14ac:dyDescent="0.35">
      <c r="B147" s="6"/>
    </row>
    <row r="148" spans="2:2" ht="14.25" customHeight="1" x14ac:dyDescent="0.35">
      <c r="B148" s="6"/>
    </row>
    <row r="149" spans="2:2" ht="14.25" customHeight="1" x14ac:dyDescent="0.35">
      <c r="B149" s="6"/>
    </row>
    <row r="150" spans="2:2" ht="14.25" customHeight="1" x14ac:dyDescent="0.35">
      <c r="B150" s="6"/>
    </row>
    <row r="151" spans="2:2" ht="14.25" customHeight="1" x14ac:dyDescent="0.35">
      <c r="B151" s="6"/>
    </row>
    <row r="152" spans="2:2" ht="14.25" customHeight="1" x14ac:dyDescent="0.35">
      <c r="B152" s="6"/>
    </row>
    <row r="153" spans="2:2" ht="14.25" customHeight="1" x14ac:dyDescent="0.35">
      <c r="B153" s="6"/>
    </row>
    <row r="154" spans="2:2" ht="14.25" customHeight="1" x14ac:dyDescent="0.35">
      <c r="B154" s="6"/>
    </row>
    <row r="155" spans="2:2" ht="14.25" customHeight="1" x14ac:dyDescent="0.35">
      <c r="B155" s="6"/>
    </row>
    <row r="156" spans="2:2" ht="14.25" customHeight="1" x14ac:dyDescent="0.35">
      <c r="B156" s="6"/>
    </row>
    <row r="157" spans="2:2" ht="14.25" customHeight="1" x14ac:dyDescent="0.35">
      <c r="B157" s="6"/>
    </row>
    <row r="158" spans="2:2" ht="14.25" customHeight="1" x14ac:dyDescent="0.35">
      <c r="B158" s="6"/>
    </row>
    <row r="159" spans="2:2" ht="14.25" customHeight="1" x14ac:dyDescent="0.35">
      <c r="B159" s="6"/>
    </row>
    <row r="160" spans="2:2" ht="14.25" customHeight="1" x14ac:dyDescent="0.35">
      <c r="B160" s="6"/>
    </row>
    <row r="161" spans="2:2" ht="14.25" customHeight="1" x14ac:dyDescent="0.35">
      <c r="B161" s="6"/>
    </row>
    <row r="162" spans="2:2" ht="14.25" customHeight="1" x14ac:dyDescent="0.35">
      <c r="B162" s="6"/>
    </row>
    <row r="163" spans="2:2" ht="14.25" customHeight="1" x14ac:dyDescent="0.35">
      <c r="B163" s="6"/>
    </row>
    <row r="164" spans="2:2" ht="14.25" customHeight="1" x14ac:dyDescent="0.35">
      <c r="B164" s="6"/>
    </row>
    <row r="165" spans="2:2" ht="14.25" customHeight="1" x14ac:dyDescent="0.35">
      <c r="B165" s="6"/>
    </row>
    <row r="166" spans="2:2" ht="14.25" customHeight="1" x14ac:dyDescent="0.35">
      <c r="B166" s="6"/>
    </row>
    <row r="167" spans="2:2" ht="14.25" customHeight="1" x14ac:dyDescent="0.35">
      <c r="B167" s="6"/>
    </row>
    <row r="168" spans="2:2" ht="14.25" customHeight="1" x14ac:dyDescent="0.35">
      <c r="B168" s="6"/>
    </row>
    <row r="169" spans="2:2" ht="14.25" customHeight="1" x14ac:dyDescent="0.35">
      <c r="B169" s="6"/>
    </row>
    <row r="170" spans="2:2" ht="14.25" customHeight="1" x14ac:dyDescent="0.35">
      <c r="B170" s="6"/>
    </row>
    <row r="171" spans="2:2" ht="14.25" customHeight="1" x14ac:dyDescent="0.35">
      <c r="B171" s="6"/>
    </row>
    <row r="172" spans="2:2" ht="14.25" customHeight="1" x14ac:dyDescent="0.35">
      <c r="B172" s="6"/>
    </row>
    <row r="173" spans="2:2" ht="14.25" customHeight="1" x14ac:dyDescent="0.35">
      <c r="B173" s="6"/>
    </row>
    <row r="174" spans="2:2" ht="14.25" customHeight="1" x14ac:dyDescent="0.35">
      <c r="B174" s="6"/>
    </row>
    <row r="175" spans="2:2" ht="14.25" customHeight="1" x14ac:dyDescent="0.35">
      <c r="B175" s="6"/>
    </row>
    <row r="176" spans="2:2" ht="14.25" customHeight="1" x14ac:dyDescent="0.35">
      <c r="B176" s="6"/>
    </row>
    <row r="177" spans="2:2" ht="14.25" customHeight="1" x14ac:dyDescent="0.35">
      <c r="B177" s="6"/>
    </row>
    <row r="178" spans="2:2" ht="14.25" customHeight="1" x14ac:dyDescent="0.35">
      <c r="B178" s="6"/>
    </row>
    <row r="179" spans="2:2" ht="14.25" customHeight="1" x14ac:dyDescent="0.35">
      <c r="B179" s="6"/>
    </row>
    <row r="180" spans="2:2" ht="14.25" customHeight="1" x14ac:dyDescent="0.35">
      <c r="B180" s="6"/>
    </row>
    <row r="181" spans="2:2" ht="14.25" customHeight="1" x14ac:dyDescent="0.35">
      <c r="B181" s="6"/>
    </row>
    <row r="182" spans="2:2" ht="14.25" customHeight="1" x14ac:dyDescent="0.35">
      <c r="B182" s="6"/>
    </row>
    <row r="183" spans="2:2" ht="14.25" customHeight="1" x14ac:dyDescent="0.35">
      <c r="B183" s="6"/>
    </row>
    <row r="184" spans="2:2" ht="14.25" customHeight="1" x14ac:dyDescent="0.35">
      <c r="B184" s="6"/>
    </row>
    <row r="185" spans="2:2" ht="14.25" customHeight="1" x14ac:dyDescent="0.35">
      <c r="B185" s="6"/>
    </row>
    <row r="186" spans="2:2" ht="14.25" customHeight="1" x14ac:dyDescent="0.35">
      <c r="B186" s="6"/>
    </row>
    <row r="187" spans="2:2" ht="14.25" customHeight="1" x14ac:dyDescent="0.35">
      <c r="B187" s="6"/>
    </row>
    <row r="188" spans="2:2" ht="14.25" customHeight="1" x14ac:dyDescent="0.35">
      <c r="B188" s="6"/>
    </row>
    <row r="189" spans="2:2" ht="14.25" customHeight="1" x14ac:dyDescent="0.35">
      <c r="B189" s="6"/>
    </row>
    <row r="190" spans="2:2" ht="14.25" customHeight="1" x14ac:dyDescent="0.35">
      <c r="B190" s="6"/>
    </row>
    <row r="191" spans="2:2" ht="14.25" customHeight="1" x14ac:dyDescent="0.35">
      <c r="B191" s="6"/>
    </row>
    <row r="192" spans="2:2" ht="14.25" customHeight="1" x14ac:dyDescent="0.35">
      <c r="B192" s="6"/>
    </row>
    <row r="193" spans="2:2" ht="14.25" customHeight="1" x14ac:dyDescent="0.35">
      <c r="B193" s="6"/>
    </row>
    <row r="194" spans="2:2" ht="14.25" customHeight="1" x14ac:dyDescent="0.35">
      <c r="B194" s="6"/>
    </row>
    <row r="195" spans="2:2" ht="14.25" customHeight="1" x14ac:dyDescent="0.35">
      <c r="B195" s="6"/>
    </row>
    <row r="196" spans="2:2" ht="14.25" customHeight="1" x14ac:dyDescent="0.35">
      <c r="B196" s="6"/>
    </row>
    <row r="197" spans="2:2" ht="14.25" customHeight="1" x14ac:dyDescent="0.35">
      <c r="B197" s="6"/>
    </row>
    <row r="198" spans="2:2" ht="14.25" customHeight="1" x14ac:dyDescent="0.35">
      <c r="B198" s="6"/>
    </row>
    <row r="199" spans="2:2" ht="14.25" customHeight="1" x14ac:dyDescent="0.35">
      <c r="B199" s="6"/>
    </row>
    <row r="200" spans="2:2" ht="14.25" customHeight="1" x14ac:dyDescent="0.35">
      <c r="B200" s="6"/>
    </row>
    <row r="201" spans="2:2" ht="14.25" customHeight="1" x14ac:dyDescent="0.35">
      <c r="B201" s="6"/>
    </row>
    <row r="202" spans="2:2" ht="14.25" customHeight="1" x14ac:dyDescent="0.35">
      <c r="B202" s="6"/>
    </row>
    <row r="203" spans="2:2" ht="14.25" customHeight="1" x14ac:dyDescent="0.35">
      <c r="B203" s="6"/>
    </row>
    <row r="204" spans="2:2" ht="14.25" customHeight="1" x14ac:dyDescent="0.35">
      <c r="B204" s="6"/>
    </row>
    <row r="205" spans="2:2" ht="14.25" customHeight="1" x14ac:dyDescent="0.35">
      <c r="B205" s="6"/>
    </row>
    <row r="206" spans="2:2" ht="14.25" customHeight="1" x14ac:dyDescent="0.35">
      <c r="B206" s="6"/>
    </row>
    <row r="207" spans="2:2" ht="14.25" customHeight="1" x14ac:dyDescent="0.35">
      <c r="B207" s="6"/>
    </row>
    <row r="208" spans="2:2" ht="14.25" customHeight="1" x14ac:dyDescent="0.35">
      <c r="B208" s="6"/>
    </row>
    <row r="209" spans="2:2" ht="14.25" customHeight="1" x14ac:dyDescent="0.35">
      <c r="B209" s="6"/>
    </row>
    <row r="210" spans="2:2" ht="14.25" customHeight="1" x14ac:dyDescent="0.35">
      <c r="B210" s="6"/>
    </row>
    <row r="211" spans="2:2" ht="14.25" customHeight="1" x14ac:dyDescent="0.35">
      <c r="B211" s="6"/>
    </row>
    <row r="212" spans="2:2" ht="14.25" customHeight="1" x14ac:dyDescent="0.35">
      <c r="B212" s="6"/>
    </row>
    <row r="213" spans="2:2" ht="14.25" customHeight="1" x14ac:dyDescent="0.35">
      <c r="B213" s="6"/>
    </row>
    <row r="214" spans="2:2" ht="14.25" customHeight="1" x14ac:dyDescent="0.35">
      <c r="B214" s="6"/>
    </row>
    <row r="215" spans="2:2" ht="14.25" customHeight="1" x14ac:dyDescent="0.35">
      <c r="B215" s="6"/>
    </row>
    <row r="216" spans="2:2" ht="14.25" customHeight="1" x14ac:dyDescent="0.35">
      <c r="B216" s="6"/>
    </row>
    <row r="217" spans="2:2" ht="14.25" customHeight="1" x14ac:dyDescent="0.35">
      <c r="B217" s="6"/>
    </row>
    <row r="218" spans="2:2" ht="14.25" customHeight="1" x14ac:dyDescent="0.35">
      <c r="B218" s="6"/>
    </row>
    <row r="219" spans="2:2" ht="14.25" customHeight="1" x14ac:dyDescent="0.35">
      <c r="B219" s="6"/>
    </row>
    <row r="220" spans="2:2" ht="14.25" customHeight="1" x14ac:dyDescent="0.35">
      <c r="B220" s="6"/>
    </row>
    <row r="221" spans="2:2" ht="14.25" customHeight="1" x14ac:dyDescent="0.35">
      <c r="B221" s="6"/>
    </row>
    <row r="222" spans="2:2" ht="14.25" customHeight="1" x14ac:dyDescent="0.35">
      <c r="B222" s="6"/>
    </row>
    <row r="223" spans="2:2" ht="14.25" customHeight="1" x14ac:dyDescent="0.35">
      <c r="B223" s="6"/>
    </row>
    <row r="224" spans="2:2" ht="14.25" customHeight="1" x14ac:dyDescent="0.35">
      <c r="B224" s="6"/>
    </row>
    <row r="225" spans="2:2" ht="14.25" customHeight="1" x14ac:dyDescent="0.35">
      <c r="B225" s="6"/>
    </row>
    <row r="226" spans="2:2" ht="14.25" customHeight="1" x14ac:dyDescent="0.35">
      <c r="B226" s="6"/>
    </row>
    <row r="227" spans="2:2" ht="14.25" customHeight="1" x14ac:dyDescent="0.35">
      <c r="B227" s="6"/>
    </row>
    <row r="228" spans="2:2" ht="14.25" customHeight="1" x14ac:dyDescent="0.35">
      <c r="B228" s="6"/>
    </row>
    <row r="229" spans="2:2" ht="14.25" customHeight="1" x14ac:dyDescent="0.35">
      <c r="B229" s="6"/>
    </row>
    <row r="230" spans="2:2" ht="14.25" customHeight="1" x14ac:dyDescent="0.35">
      <c r="B230" s="6"/>
    </row>
    <row r="231" spans="2:2" ht="14.25" customHeight="1" x14ac:dyDescent="0.35">
      <c r="B231" s="6"/>
    </row>
    <row r="232" spans="2:2" ht="14.25" customHeight="1" x14ac:dyDescent="0.35">
      <c r="B232" s="6"/>
    </row>
    <row r="233" spans="2:2" ht="14.25" customHeight="1" x14ac:dyDescent="0.35">
      <c r="B233" s="6"/>
    </row>
    <row r="234" spans="2:2" ht="14.25" customHeight="1" x14ac:dyDescent="0.35">
      <c r="B234" s="6"/>
    </row>
    <row r="235" spans="2:2" ht="14.25" customHeight="1" x14ac:dyDescent="0.35">
      <c r="B235" s="6"/>
    </row>
    <row r="236" spans="2:2" ht="14.25" customHeight="1" x14ac:dyDescent="0.35">
      <c r="B236" s="6"/>
    </row>
    <row r="237" spans="2:2" ht="14.25" customHeight="1" x14ac:dyDescent="0.35">
      <c r="B237" s="6"/>
    </row>
    <row r="238" spans="2:2" ht="14.25" customHeight="1" x14ac:dyDescent="0.35">
      <c r="B238" s="6"/>
    </row>
    <row r="239" spans="2:2" ht="14.25" customHeight="1" x14ac:dyDescent="0.35">
      <c r="B239" s="6"/>
    </row>
    <row r="240" spans="2:2" ht="14.25" customHeight="1" x14ac:dyDescent="0.35">
      <c r="B240" s="6"/>
    </row>
    <row r="241" spans="2:2" ht="14.25" customHeight="1" x14ac:dyDescent="0.35">
      <c r="B241" s="6"/>
    </row>
    <row r="242" spans="2:2" ht="14.25" customHeight="1" x14ac:dyDescent="0.35">
      <c r="B242" s="6"/>
    </row>
    <row r="243" spans="2:2" ht="14.25" customHeight="1" x14ac:dyDescent="0.35">
      <c r="B243" s="6"/>
    </row>
    <row r="244" spans="2:2" ht="14.25" customHeight="1" x14ac:dyDescent="0.35">
      <c r="B244" s="6"/>
    </row>
    <row r="245" spans="2:2" ht="14.25" customHeight="1" x14ac:dyDescent="0.35">
      <c r="B245" s="6"/>
    </row>
    <row r="246" spans="2:2" ht="15.75" customHeight="1" x14ac:dyDescent="0.3"/>
    <row r="247" spans="2:2" ht="15.75" customHeight="1" x14ac:dyDescent="0.3"/>
    <row r="248" spans="2:2" ht="15.75" customHeight="1" x14ac:dyDescent="0.3"/>
    <row r="249" spans="2:2" ht="15.75" customHeight="1" x14ac:dyDescent="0.3"/>
    <row r="250" spans="2:2" ht="15.75" customHeight="1" x14ac:dyDescent="0.3"/>
    <row r="251" spans="2:2" ht="15.75" customHeight="1" x14ac:dyDescent="0.3"/>
    <row r="252" spans="2:2" ht="15.75" customHeight="1" x14ac:dyDescent="0.3"/>
    <row r="253" spans="2:2" ht="15.75" customHeight="1" x14ac:dyDescent="0.3"/>
    <row r="254" spans="2:2" ht="15.75" customHeight="1" x14ac:dyDescent="0.3"/>
    <row r="255" spans="2:2" ht="15.75" customHeight="1" x14ac:dyDescent="0.3"/>
    <row r="256" spans="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sheetData>
  <hyperlinks>
    <hyperlink ref="F26" r:id="rId1" xr:uid="{00000000-0004-0000-0100-000000000000}"/>
    <hyperlink ref="F28" r:id="rId2" location="Membership" xr:uid="{00000000-0004-0000-0100-000001000000}"/>
    <hyperlink ref="F29" r:id="rId3" xr:uid="{00000000-0004-0000-0100-000002000000}"/>
    <hyperlink ref="F30" r:id="rId4" xr:uid="{00000000-0004-0000-0100-000003000000}"/>
    <hyperlink ref="F31" r:id="rId5" location="Membership" xr:uid="{00000000-0004-0000-0100-000004000000}"/>
    <hyperlink ref="F32" r:id="rId6" location="Current_members" xr:uid="{00000000-0004-0000-0100-000005000000}"/>
    <hyperlink ref="F33" r:id="rId7" xr:uid="{00000000-0004-0000-0100-000006000000}"/>
    <hyperlink ref="F39" r:id="rId8" xr:uid="{00000000-0004-0000-0100-000007000000}"/>
    <hyperlink ref="F46" r:id="rId9" xr:uid="{00000000-0004-0000-0100-000008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61"/>
  <sheetViews>
    <sheetView workbookViewId="0">
      <selection activeCell="A22" sqref="A22"/>
    </sheetView>
  </sheetViews>
  <sheetFormatPr defaultRowHeight="14.5" x14ac:dyDescent="0.35"/>
  <sheetData>
    <row r="1" spans="1:58" x14ac:dyDescent="0.35">
      <c r="A1" t="s">
        <v>6277</v>
      </c>
      <c r="B1" t="s">
        <v>6265</v>
      </c>
      <c r="C1" t="s">
        <v>6278</v>
      </c>
      <c r="D1" t="s">
        <v>47</v>
      </c>
      <c r="E1" s="60" t="s">
        <v>51</v>
      </c>
      <c r="F1" s="33" t="s">
        <v>45</v>
      </c>
      <c r="G1" s="46">
        <v>1</v>
      </c>
      <c r="H1" t="s">
        <v>48</v>
      </c>
      <c r="I1" s="46">
        <v>0</v>
      </c>
      <c r="J1" s="46">
        <v>0</v>
      </c>
      <c r="K1" t="s">
        <v>48</v>
      </c>
      <c r="L1" s="46">
        <v>0</v>
      </c>
      <c r="M1" t="s">
        <v>48</v>
      </c>
      <c r="N1" t="s">
        <v>48</v>
      </c>
      <c r="O1" t="s">
        <v>6279</v>
      </c>
      <c r="P1" t="s">
        <v>6280</v>
      </c>
      <c r="Q1" t="s">
        <v>6279</v>
      </c>
      <c r="R1" s="47">
        <v>0</v>
      </c>
      <c r="S1" t="s">
        <v>48</v>
      </c>
      <c r="T1">
        <v>0</v>
      </c>
      <c r="U1" t="s">
        <v>48</v>
      </c>
      <c r="V1">
        <v>2004</v>
      </c>
      <c r="W1" t="s">
        <v>49</v>
      </c>
      <c r="X1" t="s">
        <v>93</v>
      </c>
      <c r="Y1" t="s">
        <v>4532</v>
      </c>
      <c r="Z1" t="s">
        <v>48</v>
      </c>
      <c r="AA1" t="s">
        <v>184</v>
      </c>
      <c r="AB1" t="s">
        <v>93</v>
      </c>
      <c r="AC1" t="s">
        <v>6281</v>
      </c>
      <c r="AD1" t="s">
        <v>6282</v>
      </c>
      <c r="AE1">
        <v>20527</v>
      </c>
      <c r="AF1">
        <v>1953</v>
      </c>
      <c r="AG1" t="s">
        <v>9294</v>
      </c>
      <c r="AH1" t="s">
        <v>9295</v>
      </c>
      <c r="AI1">
        <v>0.64100000000000001</v>
      </c>
      <c r="AJ1">
        <v>-0.39300000000000002</v>
      </c>
      <c r="AK1">
        <v>0.64100000000000001</v>
      </c>
      <c r="AL1" s="46">
        <v>0</v>
      </c>
      <c r="AM1" s="46">
        <v>0</v>
      </c>
      <c r="AN1" s="46">
        <v>0</v>
      </c>
      <c r="AO1" s="46">
        <v>0</v>
      </c>
      <c r="AP1" s="46">
        <v>0</v>
      </c>
      <c r="AQ1" s="46">
        <v>0</v>
      </c>
      <c r="AR1" s="46">
        <v>0</v>
      </c>
      <c r="AS1" s="46">
        <v>0</v>
      </c>
      <c r="AT1" s="46">
        <v>0</v>
      </c>
      <c r="AU1" s="46">
        <v>0</v>
      </c>
      <c r="AV1" s="46">
        <v>0</v>
      </c>
      <c r="AW1" s="46">
        <v>0</v>
      </c>
      <c r="AX1" s="46">
        <v>0</v>
      </c>
      <c r="AY1" s="46">
        <v>0</v>
      </c>
      <c r="AZ1" s="46">
        <v>0</v>
      </c>
      <c r="BA1" s="46">
        <v>0</v>
      </c>
      <c r="BB1" s="46">
        <v>1</v>
      </c>
      <c r="BC1" s="46" t="s">
        <v>48</v>
      </c>
      <c r="BD1" s="46">
        <v>0</v>
      </c>
      <c r="BE1" s="46">
        <v>0</v>
      </c>
      <c r="BF1" s="46">
        <v>0</v>
      </c>
    </row>
    <row r="2" spans="1:58" x14ac:dyDescent="0.35">
      <c r="A2" t="s">
        <v>7621</v>
      </c>
      <c r="B2" t="s">
        <v>7617</v>
      </c>
      <c r="C2" t="s">
        <v>7622</v>
      </c>
      <c r="D2" t="s">
        <v>74</v>
      </c>
      <c r="E2" s="60" t="s">
        <v>51</v>
      </c>
      <c r="F2" s="33" t="s">
        <v>45</v>
      </c>
      <c r="G2" s="46">
        <v>1</v>
      </c>
      <c r="H2" t="s">
        <v>48</v>
      </c>
      <c r="I2" s="46">
        <v>0</v>
      </c>
      <c r="J2" s="46">
        <v>0</v>
      </c>
      <c r="K2" t="s">
        <v>48</v>
      </c>
      <c r="L2" s="46">
        <v>0</v>
      </c>
      <c r="M2" t="s">
        <v>48</v>
      </c>
      <c r="N2" t="s">
        <v>48</v>
      </c>
      <c r="O2" t="s">
        <v>7623</v>
      </c>
      <c r="P2" t="s">
        <v>7624</v>
      </c>
      <c r="Q2" t="s">
        <v>7623</v>
      </c>
      <c r="R2" s="47">
        <v>0</v>
      </c>
      <c r="S2" t="s">
        <v>48</v>
      </c>
      <c r="T2">
        <v>0</v>
      </c>
      <c r="U2" t="s">
        <v>48</v>
      </c>
      <c r="V2">
        <v>1996</v>
      </c>
      <c r="W2" t="s">
        <v>49</v>
      </c>
      <c r="X2" t="s">
        <v>93</v>
      </c>
      <c r="Y2" t="s">
        <v>4532</v>
      </c>
      <c r="Z2" t="s">
        <v>48</v>
      </c>
      <c r="AA2" t="s">
        <v>1105</v>
      </c>
      <c r="AB2" t="s">
        <v>93</v>
      </c>
      <c r="AC2" t="s">
        <v>673</v>
      </c>
      <c r="AD2" t="s">
        <v>7625</v>
      </c>
      <c r="AE2">
        <v>29769</v>
      </c>
      <c r="AF2">
        <v>1963</v>
      </c>
      <c r="AG2" t="s">
        <v>9420</v>
      </c>
      <c r="AH2" t="s">
        <v>9421</v>
      </c>
      <c r="AI2">
        <v>-0.26</v>
      </c>
      <c r="AJ2">
        <v>-0.08</v>
      </c>
      <c r="AK2">
        <v>-0.26</v>
      </c>
      <c r="AL2" s="46">
        <v>0</v>
      </c>
      <c r="AM2" s="46">
        <v>0</v>
      </c>
      <c r="AN2" s="46">
        <v>0</v>
      </c>
      <c r="AO2" s="46">
        <v>0</v>
      </c>
      <c r="AP2" s="46">
        <v>0</v>
      </c>
      <c r="AQ2" s="46">
        <v>1</v>
      </c>
      <c r="AR2" s="46">
        <v>0</v>
      </c>
      <c r="AS2" s="46">
        <v>0</v>
      </c>
      <c r="AT2" s="46">
        <v>0</v>
      </c>
      <c r="AU2" s="46">
        <v>0</v>
      </c>
      <c r="AV2" s="46">
        <v>0</v>
      </c>
      <c r="AW2" s="46">
        <v>0</v>
      </c>
      <c r="AX2" s="46">
        <v>0</v>
      </c>
      <c r="AY2" s="46">
        <v>0</v>
      </c>
      <c r="AZ2" s="46">
        <v>0</v>
      </c>
      <c r="BA2" s="46">
        <v>0</v>
      </c>
      <c r="BB2" s="46">
        <v>0</v>
      </c>
      <c r="BC2" s="46" t="s">
        <v>48</v>
      </c>
      <c r="BD2" s="46">
        <v>0</v>
      </c>
      <c r="BE2" s="46">
        <v>0</v>
      </c>
      <c r="BF2" s="46">
        <v>0</v>
      </c>
    </row>
    <row r="3" spans="1:58" x14ac:dyDescent="0.35">
      <c r="A3" t="s">
        <v>5329</v>
      </c>
      <c r="B3" t="s">
        <v>5330</v>
      </c>
      <c r="C3" t="s">
        <v>5331</v>
      </c>
      <c r="D3" t="s">
        <v>47</v>
      </c>
      <c r="E3" s="60" t="s">
        <v>51</v>
      </c>
      <c r="F3" s="33" t="s">
        <v>45</v>
      </c>
      <c r="G3" s="46">
        <v>0</v>
      </c>
      <c r="H3" t="s">
        <v>48</v>
      </c>
      <c r="I3" t="s">
        <v>48</v>
      </c>
      <c r="J3" s="46">
        <v>0</v>
      </c>
      <c r="K3" t="s">
        <v>48</v>
      </c>
      <c r="L3" t="s">
        <v>48</v>
      </c>
      <c r="M3" s="46">
        <v>1</v>
      </c>
      <c r="N3" s="46">
        <v>0</v>
      </c>
      <c r="O3" s="46">
        <v>0</v>
      </c>
      <c r="P3" t="s">
        <v>5332</v>
      </c>
      <c r="Q3" s="47">
        <v>0</v>
      </c>
      <c r="R3" t="s">
        <v>5333</v>
      </c>
      <c r="S3" t="s">
        <v>48</v>
      </c>
      <c r="T3">
        <v>0</v>
      </c>
      <c r="U3" t="s">
        <v>48</v>
      </c>
      <c r="V3">
        <v>2020</v>
      </c>
      <c r="W3" t="s">
        <v>49</v>
      </c>
      <c r="X3" t="s">
        <v>93</v>
      </c>
      <c r="Y3" t="s">
        <v>4532</v>
      </c>
      <c r="Z3" t="s">
        <v>48</v>
      </c>
      <c r="AA3" t="s">
        <v>48</v>
      </c>
      <c r="AB3" t="s">
        <v>93</v>
      </c>
      <c r="AC3" t="s">
        <v>216</v>
      </c>
      <c r="AD3" t="s">
        <v>1194</v>
      </c>
      <c r="AE3">
        <v>21990</v>
      </c>
      <c r="AF3">
        <v>1966</v>
      </c>
      <c r="AG3" t="s">
        <v>9174</v>
      </c>
      <c r="AH3" t="s">
        <v>9175</v>
      </c>
      <c r="AI3">
        <v>0.33900000000000002</v>
      </c>
      <c r="AJ3">
        <v>-3.5999999999999997E-2</v>
      </c>
      <c r="AK3">
        <v>0.33900000000000002</v>
      </c>
      <c r="AL3">
        <v>0</v>
      </c>
      <c r="AM3">
        <v>0</v>
      </c>
      <c r="AN3">
        <v>0</v>
      </c>
      <c r="AO3">
        <v>0</v>
      </c>
      <c r="AP3">
        <v>0</v>
      </c>
      <c r="AQ3">
        <v>0</v>
      </c>
      <c r="AR3">
        <v>0</v>
      </c>
      <c r="AS3">
        <v>0</v>
      </c>
      <c r="AT3">
        <v>0</v>
      </c>
      <c r="AU3">
        <v>1</v>
      </c>
      <c r="AV3">
        <v>1</v>
      </c>
      <c r="AW3">
        <v>0</v>
      </c>
      <c r="AX3">
        <v>1</v>
      </c>
      <c r="AY3">
        <v>0</v>
      </c>
      <c r="AZ3">
        <v>0</v>
      </c>
      <c r="BA3">
        <v>0</v>
      </c>
      <c r="BB3">
        <v>0</v>
      </c>
      <c r="BC3" t="s">
        <v>48</v>
      </c>
    </row>
    <row r="4" spans="1:58" x14ac:dyDescent="0.35">
      <c r="A4" t="s">
        <v>3881</v>
      </c>
      <c r="B4" t="s">
        <v>3882</v>
      </c>
      <c r="C4" t="s">
        <v>3883</v>
      </c>
      <c r="D4" t="s">
        <v>74</v>
      </c>
      <c r="E4" s="60" t="s">
        <v>51</v>
      </c>
      <c r="F4" s="33" t="s">
        <v>45</v>
      </c>
      <c r="G4" s="46" t="s">
        <v>48</v>
      </c>
      <c r="H4" t="s">
        <v>48</v>
      </c>
      <c r="I4" t="s">
        <v>48</v>
      </c>
      <c r="J4" s="46">
        <v>0</v>
      </c>
      <c r="K4" t="s">
        <v>48</v>
      </c>
      <c r="L4" t="s">
        <v>48</v>
      </c>
      <c r="M4" s="46">
        <v>1</v>
      </c>
      <c r="N4" s="46">
        <v>0</v>
      </c>
      <c r="O4" s="46">
        <v>0</v>
      </c>
      <c r="P4" t="s">
        <v>3884</v>
      </c>
      <c r="Q4" s="47">
        <v>0</v>
      </c>
      <c r="R4" t="s">
        <v>3885</v>
      </c>
      <c r="S4" t="s">
        <v>48</v>
      </c>
      <c r="T4">
        <v>0</v>
      </c>
      <c r="U4" t="s">
        <v>48</v>
      </c>
      <c r="V4">
        <v>2014</v>
      </c>
      <c r="W4" t="s">
        <v>63</v>
      </c>
      <c r="X4" t="s">
        <v>93</v>
      </c>
      <c r="Y4" s="40" t="s">
        <v>2471</v>
      </c>
      <c r="Z4" t="s">
        <v>11061</v>
      </c>
      <c r="AA4" t="s">
        <v>112</v>
      </c>
      <c r="AB4" t="s">
        <v>93</v>
      </c>
      <c r="AC4" t="s">
        <v>2618</v>
      </c>
      <c r="AD4" t="s">
        <v>3886</v>
      </c>
      <c r="AE4">
        <v>21530</v>
      </c>
      <c r="AF4">
        <v>1954</v>
      </c>
      <c r="AG4" t="s">
        <v>9016</v>
      </c>
      <c r="AH4" t="s">
        <v>9017</v>
      </c>
      <c r="AI4">
        <v>-0.44800000000000001</v>
      </c>
      <c r="AJ4">
        <v>-2.8000000000000001E-2</v>
      </c>
      <c r="AK4">
        <v>-0.44800000000000001</v>
      </c>
      <c r="AL4">
        <v>0</v>
      </c>
      <c r="AM4">
        <v>0</v>
      </c>
      <c r="AN4">
        <v>0</v>
      </c>
      <c r="AO4">
        <v>0</v>
      </c>
      <c r="AP4">
        <v>1</v>
      </c>
      <c r="AQ4">
        <v>1</v>
      </c>
      <c r="AR4">
        <v>0</v>
      </c>
      <c r="AS4">
        <v>0</v>
      </c>
      <c r="AT4">
        <v>0</v>
      </c>
      <c r="AU4">
        <v>0</v>
      </c>
      <c r="AV4">
        <v>0</v>
      </c>
      <c r="AW4">
        <v>0</v>
      </c>
      <c r="AX4">
        <v>0</v>
      </c>
      <c r="AY4">
        <v>0</v>
      </c>
      <c r="AZ4">
        <v>0</v>
      </c>
      <c r="BA4">
        <v>0</v>
      </c>
      <c r="BB4">
        <v>0</v>
      </c>
      <c r="BC4" t="s">
        <v>48</v>
      </c>
    </row>
    <row r="5" spans="1:58" x14ac:dyDescent="0.35">
      <c r="A5" t="s">
        <v>5506</v>
      </c>
      <c r="B5" t="s">
        <v>5507</v>
      </c>
      <c r="C5" t="s">
        <v>5508</v>
      </c>
      <c r="D5" t="s">
        <v>47</v>
      </c>
      <c r="E5" s="60" t="s">
        <v>51</v>
      </c>
      <c r="F5" s="33" t="s">
        <v>45</v>
      </c>
      <c r="G5" s="46">
        <v>0</v>
      </c>
      <c r="H5" t="s">
        <v>48</v>
      </c>
      <c r="I5" t="s">
        <v>48</v>
      </c>
      <c r="J5" s="46">
        <v>0</v>
      </c>
      <c r="K5" t="s">
        <v>48</v>
      </c>
      <c r="L5" t="s">
        <v>48</v>
      </c>
      <c r="M5" s="46">
        <v>1</v>
      </c>
      <c r="N5" s="46">
        <v>0</v>
      </c>
      <c r="O5" s="46">
        <v>0</v>
      </c>
      <c r="P5" t="s">
        <v>5509</v>
      </c>
      <c r="Q5" s="47">
        <v>0</v>
      </c>
      <c r="R5" t="s">
        <v>5510</v>
      </c>
      <c r="S5" t="s">
        <v>48</v>
      </c>
      <c r="T5">
        <v>0</v>
      </c>
      <c r="U5" t="s">
        <v>48</v>
      </c>
      <c r="V5">
        <v>2018</v>
      </c>
      <c r="W5" t="s">
        <v>49</v>
      </c>
      <c r="X5" t="s">
        <v>951</v>
      </c>
      <c r="Y5" s="40" t="s">
        <v>11051</v>
      </c>
      <c r="Z5" t="s">
        <v>11063</v>
      </c>
      <c r="AA5" t="s">
        <v>140</v>
      </c>
      <c r="AB5" t="s">
        <v>93</v>
      </c>
      <c r="AC5" t="s">
        <v>1748</v>
      </c>
      <c r="AD5" t="s">
        <v>1691</v>
      </c>
      <c r="AE5">
        <v>21924</v>
      </c>
      <c r="AF5">
        <v>1984</v>
      </c>
      <c r="AG5" t="s">
        <v>9202</v>
      </c>
      <c r="AH5" t="s">
        <v>9203</v>
      </c>
      <c r="AI5">
        <v>0.253</v>
      </c>
      <c r="AJ5">
        <v>0.29699999999999999</v>
      </c>
      <c r="AK5">
        <v>0.253</v>
      </c>
      <c r="AL5">
        <v>0</v>
      </c>
      <c r="AM5">
        <v>0</v>
      </c>
      <c r="AN5">
        <v>0</v>
      </c>
      <c r="AO5">
        <v>0</v>
      </c>
      <c r="AP5">
        <v>0</v>
      </c>
      <c r="AQ5">
        <v>0</v>
      </c>
      <c r="AR5">
        <v>0</v>
      </c>
      <c r="AS5">
        <v>0</v>
      </c>
      <c r="AT5">
        <v>0</v>
      </c>
      <c r="AU5">
        <v>0</v>
      </c>
      <c r="AV5">
        <v>1</v>
      </c>
      <c r="AW5">
        <v>1</v>
      </c>
      <c r="AX5">
        <v>0</v>
      </c>
      <c r="AY5">
        <v>0</v>
      </c>
      <c r="AZ5">
        <v>0</v>
      </c>
      <c r="BA5">
        <v>0</v>
      </c>
      <c r="BB5">
        <v>0</v>
      </c>
      <c r="BC5" t="s">
        <v>48</v>
      </c>
    </row>
    <row r="6" spans="1:58" x14ac:dyDescent="0.35">
      <c r="A6" t="s">
        <v>5920</v>
      </c>
      <c r="B6" t="s">
        <v>5921</v>
      </c>
      <c r="C6" t="s">
        <v>5922</v>
      </c>
      <c r="D6" t="s">
        <v>74</v>
      </c>
      <c r="E6" s="60" t="s">
        <v>51</v>
      </c>
      <c r="F6" s="33" t="s">
        <v>45</v>
      </c>
      <c r="G6" s="46">
        <v>0</v>
      </c>
      <c r="H6" t="s">
        <v>48</v>
      </c>
      <c r="I6" t="s">
        <v>48</v>
      </c>
      <c r="J6" s="46">
        <v>0</v>
      </c>
      <c r="K6" t="s">
        <v>48</v>
      </c>
      <c r="L6" t="s">
        <v>48</v>
      </c>
      <c r="M6" s="46">
        <v>1</v>
      </c>
      <c r="N6" s="46">
        <v>0</v>
      </c>
      <c r="O6" s="46">
        <v>0</v>
      </c>
      <c r="P6" t="s">
        <v>5923</v>
      </c>
      <c r="Q6" s="47">
        <v>0</v>
      </c>
      <c r="R6" t="s">
        <v>5924</v>
      </c>
      <c r="S6" t="s">
        <v>48</v>
      </c>
      <c r="T6">
        <v>0</v>
      </c>
      <c r="U6" t="s">
        <v>48</v>
      </c>
      <c r="V6">
        <v>1994</v>
      </c>
      <c r="W6" t="s">
        <v>49</v>
      </c>
      <c r="X6" t="s">
        <v>93</v>
      </c>
      <c r="Y6" t="s">
        <v>4532</v>
      </c>
      <c r="Z6" t="s">
        <v>48</v>
      </c>
      <c r="AA6" t="s">
        <v>140</v>
      </c>
      <c r="AB6" t="s">
        <v>93</v>
      </c>
      <c r="AC6" t="s">
        <v>288</v>
      </c>
      <c r="AD6" t="s">
        <v>5653</v>
      </c>
      <c r="AE6">
        <v>29561</v>
      </c>
      <c r="AF6">
        <v>1953</v>
      </c>
      <c r="AG6" t="s">
        <v>9254</v>
      </c>
      <c r="AH6" t="s">
        <v>9255</v>
      </c>
      <c r="AI6">
        <v>-0.33100000000000002</v>
      </c>
      <c r="AJ6">
        <v>0.104</v>
      </c>
      <c r="AK6">
        <v>-0.33100000000000002</v>
      </c>
      <c r="AL6">
        <v>0</v>
      </c>
      <c r="AM6">
        <v>0</v>
      </c>
      <c r="AN6">
        <v>0</v>
      </c>
      <c r="AO6">
        <v>0</v>
      </c>
      <c r="AP6">
        <v>0</v>
      </c>
      <c r="AQ6">
        <v>0</v>
      </c>
      <c r="AR6">
        <v>0</v>
      </c>
      <c r="AS6">
        <v>0</v>
      </c>
      <c r="AT6">
        <v>0</v>
      </c>
      <c r="AU6">
        <v>0</v>
      </c>
      <c r="AV6">
        <v>0</v>
      </c>
      <c r="AW6">
        <v>0</v>
      </c>
      <c r="AX6">
        <v>0</v>
      </c>
      <c r="AY6">
        <v>0</v>
      </c>
      <c r="AZ6">
        <v>0</v>
      </c>
      <c r="BA6">
        <v>0</v>
      </c>
      <c r="BB6">
        <v>0</v>
      </c>
      <c r="BC6" t="s">
        <v>48</v>
      </c>
    </row>
    <row r="7" spans="1:58" x14ac:dyDescent="0.35">
      <c r="A7" t="s">
        <v>5304</v>
      </c>
      <c r="B7" t="s">
        <v>5298</v>
      </c>
      <c r="C7" t="s">
        <v>5305</v>
      </c>
      <c r="D7" t="s">
        <v>47</v>
      </c>
      <c r="E7" s="60" t="s">
        <v>51</v>
      </c>
      <c r="F7" s="33" t="s">
        <v>45</v>
      </c>
      <c r="G7" s="46">
        <v>1</v>
      </c>
      <c r="H7" t="s">
        <v>48</v>
      </c>
      <c r="I7" s="46">
        <v>0</v>
      </c>
      <c r="J7" s="46">
        <v>0</v>
      </c>
      <c r="K7" t="s">
        <v>48</v>
      </c>
      <c r="L7" s="46">
        <v>0</v>
      </c>
      <c r="M7" t="s">
        <v>48</v>
      </c>
      <c r="N7" t="s">
        <v>48</v>
      </c>
      <c r="O7" t="s">
        <v>48</v>
      </c>
      <c r="P7" t="s">
        <v>5306</v>
      </c>
      <c r="Q7" t="s">
        <v>48</v>
      </c>
      <c r="R7" s="47">
        <v>0</v>
      </c>
      <c r="S7" t="s">
        <v>48</v>
      </c>
      <c r="T7">
        <v>0</v>
      </c>
      <c r="U7" t="s">
        <v>48</v>
      </c>
      <c r="V7">
        <v>2014</v>
      </c>
      <c r="W7" t="s">
        <v>49</v>
      </c>
      <c r="X7" t="s">
        <v>93</v>
      </c>
      <c r="Y7" t="s">
        <v>4532</v>
      </c>
      <c r="Z7" t="s">
        <v>48</v>
      </c>
      <c r="AA7" t="s">
        <v>140</v>
      </c>
      <c r="AB7" t="s">
        <v>93</v>
      </c>
      <c r="AC7" t="s">
        <v>221</v>
      </c>
      <c r="AD7" t="s">
        <v>5307</v>
      </c>
      <c r="AE7">
        <v>21542</v>
      </c>
      <c r="AF7">
        <v>1962</v>
      </c>
      <c r="AG7" t="s">
        <v>9168</v>
      </c>
      <c r="AH7" t="s">
        <v>9169</v>
      </c>
      <c r="AI7">
        <v>0.19</v>
      </c>
      <c r="AJ7">
        <v>0</v>
      </c>
      <c r="AK7">
        <v>0.19</v>
      </c>
      <c r="AL7" s="46">
        <v>0</v>
      </c>
      <c r="AM7" s="46">
        <v>0</v>
      </c>
      <c r="AN7" s="46">
        <v>0</v>
      </c>
      <c r="AO7" s="46">
        <v>0</v>
      </c>
      <c r="AP7" s="46">
        <v>0</v>
      </c>
      <c r="AQ7" s="46">
        <v>0</v>
      </c>
      <c r="AR7" s="46">
        <v>0</v>
      </c>
      <c r="AS7" s="46">
        <v>0</v>
      </c>
      <c r="AT7" s="46">
        <v>0</v>
      </c>
      <c r="AU7" s="46">
        <v>1</v>
      </c>
      <c r="AV7" s="46">
        <v>1</v>
      </c>
      <c r="AW7" s="46">
        <v>1</v>
      </c>
      <c r="AX7" s="46">
        <v>0</v>
      </c>
      <c r="AY7" s="46">
        <v>0</v>
      </c>
      <c r="AZ7" s="46">
        <v>0</v>
      </c>
      <c r="BA7" s="46">
        <v>0</v>
      </c>
      <c r="BB7" s="46">
        <v>0</v>
      </c>
      <c r="BC7" s="46" t="s">
        <v>48</v>
      </c>
      <c r="BD7" s="46">
        <v>0</v>
      </c>
      <c r="BE7" s="46">
        <v>0</v>
      </c>
      <c r="BF7" s="46">
        <v>0</v>
      </c>
    </row>
    <row r="8" spans="1:58" x14ac:dyDescent="0.35">
      <c r="B8" t="s">
        <v>5056</v>
      </c>
      <c r="C8" t="s">
        <v>5043</v>
      </c>
      <c r="D8" t="s">
        <v>5057</v>
      </c>
      <c r="E8" t="s">
        <v>47</v>
      </c>
      <c r="F8" s="60" t="s">
        <v>51</v>
      </c>
      <c r="G8" s="33" t="s">
        <v>45</v>
      </c>
      <c r="H8" s="46">
        <v>1</v>
      </c>
      <c r="I8" t="s">
        <v>48</v>
      </c>
      <c r="J8" s="46">
        <v>0</v>
      </c>
      <c r="K8" s="46">
        <v>0</v>
      </c>
      <c r="L8" t="s">
        <v>48</v>
      </c>
      <c r="M8" s="46">
        <v>0</v>
      </c>
      <c r="N8" t="s">
        <v>48</v>
      </c>
      <c r="O8" t="s">
        <v>48</v>
      </c>
      <c r="P8" t="s">
        <v>5058</v>
      </c>
      <c r="Q8" t="s">
        <v>5059</v>
      </c>
      <c r="R8" t="s">
        <v>5058</v>
      </c>
      <c r="S8" s="47">
        <v>0</v>
      </c>
      <c r="T8" t="s">
        <v>48</v>
      </c>
      <c r="U8">
        <v>0</v>
      </c>
      <c r="V8" t="s">
        <v>48</v>
      </c>
      <c r="W8">
        <v>2014</v>
      </c>
      <c r="X8" t="s">
        <v>49</v>
      </c>
      <c r="Y8" t="s">
        <v>93</v>
      </c>
      <c r="Z8" t="s">
        <v>4532</v>
      </c>
      <c r="AA8" t="s">
        <v>48</v>
      </c>
      <c r="AB8" t="s">
        <v>633</v>
      </c>
      <c r="AC8" t="s">
        <v>93</v>
      </c>
      <c r="AD8" t="s">
        <v>1034</v>
      </c>
      <c r="AE8" t="s">
        <v>5060</v>
      </c>
      <c r="AF8">
        <v>21539</v>
      </c>
      <c r="AG8">
        <v>1980</v>
      </c>
      <c r="AH8" t="s">
        <v>9128</v>
      </c>
      <c r="AI8" t="s">
        <v>9129</v>
      </c>
      <c r="AJ8">
        <v>0.39700000000000002</v>
      </c>
      <c r="AK8">
        <v>-0.13300000000000001</v>
      </c>
      <c r="AL8">
        <v>0.39700000000000002</v>
      </c>
      <c r="AM8" s="46">
        <v>0</v>
      </c>
      <c r="AN8" s="46">
        <v>0</v>
      </c>
      <c r="AO8" s="46">
        <v>0</v>
      </c>
      <c r="AP8" s="46">
        <v>0</v>
      </c>
      <c r="AQ8" s="46">
        <v>0</v>
      </c>
      <c r="AR8" s="46">
        <v>0</v>
      </c>
      <c r="AS8" s="46">
        <v>0</v>
      </c>
      <c r="AT8" s="46">
        <v>0</v>
      </c>
      <c r="AU8" s="46">
        <v>0</v>
      </c>
      <c r="AV8" s="46">
        <v>0</v>
      </c>
      <c r="AW8" s="46">
        <v>1</v>
      </c>
      <c r="AX8" s="46">
        <v>0</v>
      </c>
      <c r="AY8" s="46">
        <v>0</v>
      </c>
      <c r="AZ8" s="46">
        <v>0</v>
      </c>
      <c r="BA8" s="46">
        <v>0</v>
      </c>
      <c r="BB8" s="46">
        <v>0</v>
      </c>
      <c r="BC8" s="46">
        <v>0</v>
      </c>
      <c r="BD8" s="46" t="s">
        <v>48</v>
      </c>
      <c r="BE8" s="46">
        <v>0</v>
      </c>
      <c r="BF8" s="46">
        <v>0</v>
      </c>
    </row>
    <row r="9" spans="1:58" x14ac:dyDescent="0.35">
      <c r="B9" t="s">
        <v>2012</v>
      </c>
      <c r="C9" t="s">
        <v>2011</v>
      </c>
      <c r="D9" t="s">
        <v>2013</v>
      </c>
      <c r="E9" t="s">
        <v>74</v>
      </c>
      <c r="F9" s="61" t="s">
        <v>11160</v>
      </c>
      <c r="G9" s="33" t="s">
        <v>45</v>
      </c>
      <c r="H9" s="46">
        <v>1</v>
      </c>
      <c r="I9" t="s">
        <v>48</v>
      </c>
      <c r="J9" s="46">
        <v>0</v>
      </c>
      <c r="K9" s="46">
        <v>0</v>
      </c>
      <c r="L9" t="s">
        <v>48</v>
      </c>
      <c r="M9" s="46">
        <v>0</v>
      </c>
      <c r="N9" t="s">
        <v>48</v>
      </c>
      <c r="O9" t="s">
        <v>48</v>
      </c>
      <c r="P9" t="s">
        <v>2014</v>
      </c>
      <c r="Q9" t="s">
        <v>2015</v>
      </c>
      <c r="R9" t="s">
        <v>2014</v>
      </c>
      <c r="S9" s="47">
        <v>0</v>
      </c>
      <c r="T9" t="s">
        <v>48</v>
      </c>
      <c r="U9">
        <v>0</v>
      </c>
      <c r="V9" t="s">
        <v>48</v>
      </c>
      <c r="W9">
        <v>2016</v>
      </c>
      <c r="X9" t="s">
        <v>49</v>
      </c>
      <c r="Y9" t="s">
        <v>93</v>
      </c>
      <c r="Z9" t="s">
        <v>4532</v>
      </c>
      <c r="AA9" t="s">
        <v>48</v>
      </c>
      <c r="AB9" t="s">
        <v>479</v>
      </c>
      <c r="AC9" t="s">
        <v>93</v>
      </c>
      <c r="AD9" t="s">
        <v>446</v>
      </c>
      <c r="AE9" t="s">
        <v>2016</v>
      </c>
      <c r="AF9">
        <v>21712</v>
      </c>
      <c r="AG9">
        <v>1956</v>
      </c>
      <c r="AH9" t="s">
        <v>8822</v>
      </c>
      <c r="AI9" t="s">
        <v>8823</v>
      </c>
      <c r="AJ9">
        <v>-0.22500000000000001</v>
      </c>
      <c r="AK9">
        <v>6.5000000000000002E-2</v>
      </c>
      <c r="AL9">
        <v>-0.22500000000000001</v>
      </c>
      <c r="AM9" s="46">
        <v>0</v>
      </c>
      <c r="AN9" s="46">
        <v>0</v>
      </c>
      <c r="AO9" s="46">
        <v>0</v>
      </c>
      <c r="AP9" s="46">
        <v>0</v>
      </c>
      <c r="AQ9" s="46">
        <v>0</v>
      </c>
      <c r="AR9" s="46">
        <v>1</v>
      </c>
      <c r="AS9" s="46">
        <v>1</v>
      </c>
      <c r="AT9" s="46">
        <v>0</v>
      </c>
      <c r="AU9" s="46">
        <v>0</v>
      </c>
      <c r="AV9" s="46">
        <v>0</v>
      </c>
      <c r="AW9" s="46">
        <v>0</v>
      </c>
      <c r="AX9" s="46">
        <v>0</v>
      </c>
      <c r="AY9" s="46">
        <v>0</v>
      </c>
      <c r="AZ9" s="46">
        <v>0</v>
      </c>
      <c r="BA9" s="46">
        <v>0</v>
      </c>
      <c r="BB9" s="46">
        <v>0</v>
      </c>
      <c r="BC9" s="46">
        <v>0</v>
      </c>
      <c r="BD9" s="46" t="s">
        <v>48</v>
      </c>
      <c r="BE9" s="46">
        <v>0</v>
      </c>
      <c r="BF9" s="46">
        <v>0</v>
      </c>
    </row>
    <row r="10" spans="1:58" x14ac:dyDescent="0.35">
      <c r="A10" t="s">
        <v>1892</v>
      </c>
      <c r="B10" t="s">
        <v>1893</v>
      </c>
      <c r="C10" t="s">
        <v>122</v>
      </c>
      <c r="D10" t="s">
        <v>74</v>
      </c>
      <c r="E10" s="60" t="s">
        <v>51</v>
      </c>
      <c r="F10" s="33" t="s">
        <v>45</v>
      </c>
      <c r="G10" s="46">
        <v>1</v>
      </c>
      <c r="H10" t="s">
        <v>48</v>
      </c>
      <c r="I10" s="46">
        <v>0</v>
      </c>
      <c r="J10" s="46">
        <v>0</v>
      </c>
      <c r="K10" t="s">
        <v>48</v>
      </c>
      <c r="L10" s="46">
        <v>0</v>
      </c>
      <c r="M10" t="s">
        <v>48</v>
      </c>
      <c r="N10" t="s">
        <v>48</v>
      </c>
      <c r="O10" t="s">
        <v>1894</v>
      </c>
      <c r="P10" t="s">
        <v>1895</v>
      </c>
      <c r="Q10" t="s">
        <v>1894</v>
      </c>
      <c r="R10" s="47">
        <v>0</v>
      </c>
      <c r="S10" t="s">
        <v>11317</v>
      </c>
      <c r="T10">
        <v>0</v>
      </c>
      <c r="U10" t="s">
        <v>48</v>
      </c>
      <c r="V10">
        <v>2016</v>
      </c>
      <c r="W10" t="s">
        <v>63</v>
      </c>
      <c r="X10" t="s">
        <v>93</v>
      </c>
      <c r="Y10" t="s">
        <v>977</v>
      </c>
      <c r="Z10" t="s">
        <v>11072</v>
      </c>
      <c r="AA10" t="s">
        <v>112</v>
      </c>
      <c r="AB10" t="s">
        <v>93</v>
      </c>
      <c r="AC10" t="s">
        <v>1896</v>
      </c>
      <c r="AD10" t="s">
        <v>1240</v>
      </c>
      <c r="AE10">
        <v>21738</v>
      </c>
      <c r="AF10">
        <v>1978</v>
      </c>
      <c r="AG10" t="s">
        <v>8812</v>
      </c>
      <c r="AH10" t="s">
        <v>8813</v>
      </c>
      <c r="AI10">
        <v>-0.157</v>
      </c>
      <c r="AJ10">
        <v>9.1999999999999998E-2</v>
      </c>
      <c r="AK10">
        <v>-0.157</v>
      </c>
      <c r="AL10" s="46">
        <v>0</v>
      </c>
      <c r="AM10" s="46">
        <v>0</v>
      </c>
      <c r="AN10" s="46">
        <v>0</v>
      </c>
      <c r="AO10" s="46">
        <v>0</v>
      </c>
      <c r="AP10" s="46">
        <v>0</v>
      </c>
      <c r="AQ10" s="46">
        <v>1</v>
      </c>
      <c r="AR10" s="46">
        <v>1</v>
      </c>
      <c r="AS10" s="46">
        <v>0</v>
      </c>
      <c r="AT10" s="46">
        <v>0</v>
      </c>
      <c r="AU10" s="46">
        <v>0</v>
      </c>
      <c r="AV10" s="46">
        <v>0</v>
      </c>
      <c r="AW10" s="46">
        <v>1</v>
      </c>
      <c r="AX10" s="46">
        <v>0</v>
      </c>
      <c r="AY10" s="46">
        <v>0</v>
      </c>
      <c r="AZ10" s="46">
        <v>0</v>
      </c>
      <c r="BA10" s="46">
        <v>0</v>
      </c>
      <c r="BB10" s="46">
        <v>0</v>
      </c>
      <c r="BC10" s="46" t="s">
        <v>48</v>
      </c>
      <c r="BD10" s="46">
        <v>0</v>
      </c>
      <c r="BE10" s="46">
        <v>0</v>
      </c>
      <c r="BF10" s="46">
        <v>0</v>
      </c>
    </row>
    <row r="11" spans="1:58" x14ac:dyDescent="0.35">
      <c r="A11" t="s">
        <v>2122</v>
      </c>
      <c r="B11" t="s">
        <v>2123</v>
      </c>
      <c r="C11" t="s">
        <v>2121</v>
      </c>
      <c r="D11" t="s">
        <v>74</v>
      </c>
      <c r="E11" s="60" t="s">
        <v>51</v>
      </c>
      <c r="F11" s="33" t="s">
        <v>45</v>
      </c>
      <c r="G11" s="46">
        <v>1</v>
      </c>
      <c r="H11" t="s">
        <v>48</v>
      </c>
      <c r="I11" s="46">
        <v>0</v>
      </c>
      <c r="J11" s="46">
        <v>0</v>
      </c>
      <c r="K11" t="s">
        <v>48</v>
      </c>
      <c r="L11" s="46">
        <v>0</v>
      </c>
      <c r="M11" t="s">
        <v>48</v>
      </c>
      <c r="N11" t="s">
        <v>48</v>
      </c>
      <c r="O11" t="s">
        <v>2124</v>
      </c>
      <c r="P11" t="s">
        <v>2125</v>
      </c>
      <c r="Q11" t="s">
        <v>2124</v>
      </c>
      <c r="R11" s="47">
        <v>0</v>
      </c>
      <c r="S11" t="s">
        <v>48</v>
      </c>
      <c r="T11">
        <v>0</v>
      </c>
      <c r="U11" t="s">
        <v>48</v>
      </c>
      <c r="V11" t="s">
        <v>2126</v>
      </c>
      <c r="W11" t="s">
        <v>49</v>
      </c>
      <c r="X11" t="s">
        <v>93</v>
      </c>
      <c r="Y11" t="s">
        <v>4532</v>
      </c>
      <c r="Z11" t="s">
        <v>48</v>
      </c>
      <c r="AA11" t="s">
        <v>633</v>
      </c>
      <c r="AB11" t="s">
        <v>93</v>
      </c>
      <c r="AC11" t="s">
        <v>261</v>
      </c>
      <c r="AD11" t="s">
        <v>2127</v>
      </c>
      <c r="AE11">
        <v>20959</v>
      </c>
      <c r="AF11">
        <v>1966</v>
      </c>
      <c r="AG11" t="s">
        <v>8834</v>
      </c>
      <c r="AH11" t="s">
        <v>8835</v>
      </c>
      <c r="AI11">
        <v>-0.4</v>
      </c>
      <c r="AJ11">
        <v>-8.4000000000000005E-2</v>
      </c>
      <c r="AK11">
        <v>-0.4</v>
      </c>
      <c r="AL11" s="46">
        <v>0</v>
      </c>
      <c r="AM11" s="46">
        <v>0</v>
      </c>
      <c r="AN11" s="46">
        <v>0</v>
      </c>
      <c r="AO11" s="46">
        <v>0</v>
      </c>
      <c r="AP11" s="46">
        <v>0</v>
      </c>
      <c r="AQ11" s="46">
        <v>0</v>
      </c>
      <c r="AR11" s="46">
        <v>0</v>
      </c>
      <c r="AS11" s="46">
        <v>0</v>
      </c>
      <c r="AT11" s="46">
        <v>0</v>
      </c>
      <c r="AU11" s="46">
        <v>0</v>
      </c>
      <c r="AV11" s="46">
        <v>0</v>
      </c>
      <c r="AW11" s="46">
        <v>0</v>
      </c>
      <c r="AX11" s="46">
        <v>0</v>
      </c>
      <c r="AY11" s="46">
        <v>0</v>
      </c>
      <c r="AZ11" s="46">
        <v>0</v>
      </c>
      <c r="BA11" s="46">
        <v>0</v>
      </c>
      <c r="BB11" s="46">
        <v>0</v>
      </c>
      <c r="BC11" s="46" t="s">
        <v>48</v>
      </c>
      <c r="BD11" s="46">
        <v>0</v>
      </c>
      <c r="BE11" s="46">
        <v>0</v>
      </c>
      <c r="BF11" s="46">
        <v>0</v>
      </c>
    </row>
    <row r="12" spans="1:58" x14ac:dyDescent="0.35">
      <c r="A12" t="s">
        <v>3897</v>
      </c>
      <c r="B12" t="s">
        <v>3899</v>
      </c>
      <c r="C12" t="s">
        <v>3898</v>
      </c>
      <c r="D12" t="s">
        <v>47</v>
      </c>
      <c r="E12" s="60" t="s">
        <v>51</v>
      </c>
      <c r="F12" s="33" t="s">
        <v>45</v>
      </c>
      <c r="G12" s="46">
        <v>1</v>
      </c>
      <c r="H12" t="s">
        <v>48</v>
      </c>
      <c r="I12" s="46">
        <v>0</v>
      </c>
      <c r="J12" s="46">
        <v>0</v>
      </c>
      <c r="K12" t="s">
        <v>48</v>
      </c>
      <c r="L12" s="46">
        <v>0</v>
      </c>
      <c r="M12" t="s">
        <v>48</v>
      </c>
      <c r="N12" t="s">
        <v>48</v>
      </c>
      <c r="O12" t="s">
        <v>3900</v>
      </c>
      <c r="P12" t="s">
        <v>3901</v>
      </c>
      <c r="Q12" t="s">
        <v>3900</v>
      </c>
      <c r="R12" s="47">
        <v>0</v>
      </c>
      <c r="S12" t="s">
        <v>48</v>
      </c>
      <c r="T12">
        <v>0</v>
      </c>
      <c r="U12" t="s">
        <v>48</v>
      </c>
      <c r="V12">
        <v>2018</v>
      </c>
      <c r="W12" t="s">
        <v>49</v>
      </c>
      <c r="X12" t="s">
        <v>93</v>
      </c>
      <c r="Y12" t="s">
        <v>4532</v>
      </c>
      <c r="Z12" t="s">
        <v>48</v>
      </c>
      <c r="AA12" t="s">
        <v>1105</v>
      </c>
      <c r="AB12" t="s">
        <v>93</v>
      </c>
      <c r="AC12" t="s">
        <v>829</v>
      </c>
      <c r="AD12" t="s">
        <v>3902</v>
      </c>
      <c r="AE12">
        <v>21929</v>
      </c>
      <c r="AF12">
        <v>1962</v>
      </c>
      <c r="AG12" t="s">
        <v>9018</v>
      </c>
      <c r="AH12" t="s">
        <v>9019</v>
      </c>
      <c r="AI12">
        <v>0.47699999999999998</v>
      </c>
      <c r="AJ12">
        <v>0.34499999999999997</v>
      </c>
      <c r="AK12">
        <v>0.47699999999999998</v>
      </c>
      <c r="AL12" s="46">
        <v>0</v>
      </c>
      <c r="AM12" s="46">
        <v>0</v>
      </c>
      <c r="AN12" s="46">
        <v>0</v>
      </c>
      <c r="AO12" s="46">
        <v>0</v>
      </c>
      <c r="AP12" s="46">
        <v>0</v>
      </c>
      <c r="AQ12" s="46">
        <v>0</v>
      </c>
      <c r="AR12" s="46">
        <v>0</v>
      </c>
      <c r="AS12" s="46">
        <v>0</v>
      </c>
      <c r="AT12" s="46">
        <v>0</v>
      </c>
      <c r="AU12" s="46">
        <v>0</v>
      </c>
      <c r="AV12" s="46">
        <v>0</v>
      </c>
      <c r="AW12" s="46">
        <v>0</v>
      </c>
      <c r="AX12" s="46">
        <v>0</v>
      </c>
      <c r="AY12" s="46">
        <v>0</v>
      </c>
      <c r="AZ12" s="46">
        <v>0</v>
      </c>
      <c r="BA12" s="46">
        <v>0</v>
      </c>
      <c r="BB12" s="46">
        <v>0</v>
      </c>
      <c r="BC12" s="46" t="s">
        <v>48</v>
      </c>
      <c r="BD12" s="46">
        <v>0</v>
      </c>
      <c r="BE12" s="46">
        <v>0</v>
      </c>
      <c r="BF12" s="46">
        <v>0</v>
      </c>
    </row>
    <row r="13" spans="1:58" x14ac:dyDescent="0.35">
      <c r="A13" t="s">
        <v>5094</v>
      </c>
      <c r="B13" t="s">
        <v>5095</v>
      </c>
      <c r="C13" t="s">
        <v>5073</v>
      </c>
      <c r="D13" t="s">
        <v>74</v>
      </c>
      <c r="E13" s="60" t="s">
        <v>51</v>
      </c>
      <c r="F13" s="33" t="s">
        <v>45</v>
      </c>
      <c r="G13" s="46">
        <v>1</v>
      </c>
      <c r="H13" t="s">
        <v>48</v>
      </c>
      <c r="I13" s="46">
        <v>0</v>
      </c>
      <c r="J13" s="46">
        <v>0</v>
      </c>
      <c r="K13" t="s">
        <v>48</v>
      </c>
      <c r="L13" s="46">
        <v>0</v>
      </c>
      <c r="M13" t="s">
        <v>48</v>
      </c>
      <c r="N13" t="s">
        <v>48</v>
      </c>
      <c r="O13" t="s">
        <v>5096</v>
      </c>
      <c r="P13" t="s">
        <v>5097</v>
      </c>
      <c r="Q13" t="s">
        <v>5096</v>
      </c>
      <c r="R13" s="47">
        <v>0</v>
      </c>
      <c r="S13" t="s">
        <v>48</v>
      </c>
      <c r="T13">
        <v>0</v>
      </c>
      <c r="U13" t="s">
        <v>48</v>
      </c>
      <c r="V13">
        <v>2016</v>
      </c>
      <c r="W13" t="s">
        <v>49</v>
      </c>
      <c r="X13" t="s">
        <v>93</v>
      </c>
      <c r="Y13" t="s">
        <v>4532</v>
      </c>
      <c r="Z13" t="s">
        <v>48</v>
      </c>
      <c r="AA13" t="s">
        <v>140</v>
      </c>
      <c r="AB13" t="s">
        <v>93</v>
      </c>
      <c r="AC13" t="s">
        <v>585</v>
      </c>
      <c r="AD13" t="s">
        <v>5098</v>
      </c>
      <c r="AE13">
        <v>21747</v>
      </c>
      <c r="AF13">
        <v>1962</v>
      </c>
      <c r="AG13" t="s">
        <v>9132</v>
      </c>
      <c r="AH13" t="s">
        <v>9133</v>
      </c>
      <c r="AI13">
        <v>-0.217</v>
      </c>
      <c r="AJ13">
        <v>7.9000000000000001E-2</v>
      </c>
      <c r="AK13">
        <v>-0.217</v>
      </c>
      <c r="AL13" s="46">
        <v>0</v>
      </c>
      <c r="AM13" s="46">
        <v>0</v>
      </c>
      <c r="AN13" s="46">
        <v>0</v>
      </c>
      <c r="AO13" s="46">
        <v>0</v>
      </c>
      <c r="AP13" s="46">
        <v>0</v>
      </c>
      <c r="AQ13" s="46">
        <v>1</v>
      </c>
      <c r="AR13" s="46">
        <v>0</v>
      </c>
      <c r="AS13" s="46">
        <v>0</v>
      </c>
      <c r="AT13" s="46">
        <v>0</v>
      </c>
      <c r="AU13" s="46">
        <v>0</v>
      </c>
      <c r="AV13" s="46">
        <v>0</v>
      </c>
      <c r="AW13" s="46">
        <v>1</v>
      </c>
      <c r="AX13" s="46">
        <v>0</v>
      </c>
      <c r="AY13" s="46">
        <v>0</v>
      </c>
      <c r="AZ13" s="46">
        <v>0</v>
      </c>
      <c r="BA13" s="46">
        <v>0</v>
      </c>
      <c r="BB13" s="46">
        <v>0</v>
      </c>
      <c r="BC13" s="46" t="s">
        <v>48</v>
      </c>
      <c r="BD13" s="46">
        <v>0</v>
      </c>
      <c r="BE13" s="46">
        <v>0</v>
      </c>
      <c r="BF13" s="46">
        <v>0</v>
      </c>
    </row>
    <row r="14" spans="1:58" x14ac:dyDescent="0.35">
      <c r="A14" t="s">
        <v>5247</v>
      </c>
      <c r="B14" t="s">
        <v>5248</v>
      </c>
      <c r="C14" t="s">
        <v>5246</v>
      </c>
      <c r="D14" t="s">
        <v>74</v>
      </c>
      <c r="E14" s="61" t="s">
        <v>11160</v>
      </c>
      <c r="F14" s="33" t="s">
        <v>45</v>
      </c>
      <c r="G14" s="46">
        <v>1</v>
      </c>
      <c r="H14" t="s">
        <v>48</v>
      </c>
      <c r="I14" s="46">
        <v>0</v>
      </c>
      <c r="J14" s="46">
        <v>0</v>
      </c>
      <c r="K14" t="s">
        <v>48</v>
      </c>
      <c r="L14" s="46">
        <v>0</v>
      </c>
      <c r="M14" t="s">
        <v>48</v>
      </c>
      <c r="N14" t="s">
        <v>48</v>
      </c>
      <c r="O14" t="s">
        <v>11337</v>
      </c>
      <c r="P14" t="s">
        <v>5250</v>
      </c>
      <c r="Q14" t="s">
        <v>5249</v>
      </c>
      <c r="R14" s="47">
        <v>0</v>
      </c>
      <c r="S14" t="s">
        <v>48</v>
      </c>
      <c r="T14">
        <v>0</v>
      </c>
      <c r="U14" t="s">
        <v>48</v>
      </c>
      <c r="V14">
        <v>2018</v>
      </c>
      <c r="W14" t="s">
        <v>49</v>
      </c>
      <c r="X14" t="s">
        <v>951</v>
      </c>
      <c r="Y14" s="40" t="s">
        <v>2471</v>
      </c>
      <c r="Z14" t="s">
        <v>11098</v>
      </c>
      <c r="AA14" t="s">
        <v>876</v>
      </c>
      <c r="AB14" t="s">
        <v>93</v>
      </c>
      <c r="AC14" t="s">
        <v>1990</v>
      </c>
      <c r="AD14" t="s">
        <v>5251</v>
      </c>
      <c r="AE14">
        <v>21916</v>
      </c>
      <c r="AF14">
        <v>1977</v>
      </c>
      <c r="AG14" t="s">
        <v>9160</v>
      </c>
      <c r="AH14" t="s">
        <v>9161</v>
      </c>
      <c r="AI14">
        <v>-0.23300000000000001</v>
      </c>
      <c r="AJ14">
        <v>0.27700000000000002</v>
      </c>
      <c r="AK14">
        <v>-0.23300000000000001</v>
      </c>
      <c r="AL14" s="46">
        <v>0</v>
      </c>
      <c r="AM14" s="46">
        <v>0</v>
      </c>
      <c r="AN14" s="46">
        <v>0</v>
      </c>
      <c r="AO14" s="46">
        <v>0</v>
      </c>
      <c r="AP14" s="46">
        <v>0</v>
      </c>
      <c r="AQ14" s="46">
        <v>0</v>
      </c>
      <c r="AR14" s="46">
        <v>0</v>
      </c>
      <c r="AS14" s="46">
        <v>0</v>
      </c>
      <c r="AT14" s="46">
        <v>0</v>
      </c>
      <c r="AU14" s="46">
        <v>0</v>
      </c>
      <c r="AV14" s="46">
        <v>0</v>
      </c>
      <c r="AW14" s="46">
        <v>0</v>
      </c>
      <c r="AX14" s="46">
        <v>0</v>
      </c>
      <c r="AY14" s="46">
        <v>0</v>
      </c>
      <c r="AZ14" s="46">
        <v>0</v>
      </c>
      <c r="BA14" s="46">
        <v>0</v>
      </c>
      <c r="BB14" s="46">
        <v>0</v>
      </c>
      <c r="BC14" s="46" t="s">
        <v>48</v>
      </c>
      <c r="BD14" s="46">
        <v>0</v>
      </c>
      <c r="BE14" s="46">
        <v>0</v>
      </c>
      <c r="BF14" s="46">
        <v>0</v>
      </c>
    </row>
    <row r="15" spans="1:58" x14ac:dyDescent="0.35">
      <c r="A15" t="s">
        <v>5293</v>
      </c>
      <c r="B15" t="s">
        <v>5294</v>
      </c>
      <c r="C15" t="s">
        <v>5291</v>
      </c>
      <c r="D15" t="s">
        <v>47</v>
      </c>
      <c r="E15" s="60" t="s">
        <v>51</v>
      </c>
      <c r="F15" s="33" t="s">
        <v>45</v>
      </c>
      <c r="G15" s="46">
        <v>1</v>
      </c>
      <c r="H15" t="s">
        <v>48</v>
      </c>
      <c r="I15" s="46">
        <v>0</v>
      </c>
      <c r="J15" s="46">
        <v>0</v>
      </c>
      <c r="K15" t="s">
        <v>48</v>
      </c>
      <c r="L15" s="46">
        <v>0</v>
      </c>
      <c r="M15" t="s">
        <v>48</v>
      </c>
      <c r="N15" t="s">
        <v>48</v>
      </c>
      <c r="O15" t="s">
        <v>5295</v>
      </c>
      <c r="P15" t="s">
        <v>5296</v>
      </c>
      <c r="Q15" t="s">
        <v>5295</v>
      </c>
      <c r="R15" s="47">
        <v>0</v>
      </c>
      <c r="S15" t="s">
        <v>48</v>
      </c>
      <c r="T15">
        <v>0</v>
      </c>
      <c r="U15" t="s">
        <v>48</v>
      </c>
      <c r="V15" t="s">
        <v>2126</v>
      </c>
      <c r="W15" t="s">
        <v>49</v>
      </c>
      <c r="X15" t="s">
        <v>93</v>
      </c>
      <c r="Y15" t="s">
        <v>4532</v>
      </c>
      <c r="Z15" t="s">
        <v>48</v>
      </c>
      <c r="AA15" t="s">
        <v>140</v>
      </c>
      <c r="AB15" t="s">
        <v>93</v>
      </c>
      <c r="AC15" t="s">
        <v>585</v>
      </c>
      <c r="AD15" t="s">
        <v>3960</v>
      </c>
      <c r="AE15">
        <v>21101</v>
      </c>
      <c r="AF15">
        <v>1971</v>
      </c>
      <c r="AG15" t="s">
        <v>9166</v>
      </c>
      <c r="AH15" t="s">
        <v>9167</v>
      </c>
      <c r="AI15">
        <v>0.26900000000000002</v>
      </c>
      <c r="AJ15">
        <v>0.12</v>
      </c>
      <c r="AK15">
        <v>0.26900000000000002</v>
      </c>
      <c r="AL15" s="46">
        <v>0</v>
      </c>
      <c r="AM15" s="46">
        <v>0</v>
      </c>
      <c r="AN15" s="46">
        <v>0</v>
      </c>
      <c r="AO15" s="46">
        <v>0</v>
      </c>
      <c r="AP15" s="46">
        <v>0</v>
      </c>
      <c r="AQ15" s="46">
        <v>0</v>
      </c>
      <c r="AR15" s="46">
        <v>0</v>
      </c>
      <c r="AS15" s="46">
        <v>0</v>
      </c>
      <c r="AT15" s="46">
        <v>0</v>
      </c>
      <c r="AU15" s="46">
        <v>0</v>
      </c>
      <c r="AV15" s="46">
        <v>1</v>
      </c>
      <c r="AW15" s="46">
        <v>1</v>
      </c>
      <c r="AX15" s="46">
        <v>0</v>
      </c>
      <c r="AY15" s="46">
        <v>0</v>
      </c>
      <c r="AZ15" s="46">
        <v>0</v>
      </c>
      <c r="BA15" s="46">
        <v>0</v>
      </c>
      <c r="BB15" s="46">
        <v>0</v>
      </c>
      <c r="BC15" s="46" t="s">
        <v>48</v>
      </c>
      <c r="BD15" s="46">
        <v>0</v>
      </c>
      <c r="BE15" s="46">
        <v>0</v>
      </c>
      <c r="BF15" s="46">
        <v>0</v>
      </c>
    </row>
    <row r="16" spans="1:58" x14ac:dyDescent="0.35">
      <c r="A16" t="s">
        <v>5868</v>
      </c>
      <c r="B16" t="s">
        <v>5870</v>
      </c>
      <c r="C16" t="s">
        <v>5869</v>
      </c>
      <c r="D16" t="s">
        <v>47</v>
      </c>
      <c r="E16" s="60" t="s">
        <v>51</v>
      </c>
      <c r="F16" s="33" t="s">
        <v>45</v>
      </c>
      <c r="G16" s="46">
        <v>1</v>
      </c>
      <c r="H16" t="s">
        <v>48</v>
      </c>
      <c r="I16" s="46">
        <v>0</v>
      </c>
      <c r="J16" s="46">
        <v>0</v>
      </c>
      <c r="K16" t="s">
        <v>48</v>
      </c>
      <c r="L16" s="46">
        <v>0</v>
      </c>
      <c r="M16" t="s">
        <v>48</v>
      </c>
      <c r="N16" t="s">
        <v>48</v>
      </c>
      <c r="O16" t="s">
        <v>5871</v>
      </c>
      <c r="P16" t="s">
        <v>5872</v>
      </c>
      <c r="Q16" t="s">
        <v>5871</v>
      </c>
      <c r="R16" s="47">
        <v>0</v>
      </c>
      <c r="S16" t="s">
        <v>48</v>
      </c>
      <c r="T16">
        <v>0</v>
      </c>
      <c r="U16" t="s">
        <v>48</v>
      </c>
      <c r="V16" t="s">
        <v>4304</v>
      </c>
      <c r="W16" t="s">
        <v>49</v>
      </c>
      <c r="X16" t="s">
        <v>93</v>
      </c>
      <c r="Y16" t="s">
        <v>4532</v>
      </c>
      <c r="Z16" t="s">
        <v>48</v>
      </c>
      <c r="AA16" t="s">
        <v>950</v>
      </c>
      <c r="AB16" t="s">
        <v>93</v>
      </c>
      <c r="AC16" t="s">
        <v>3781</v>
      </c>
      <c r="AD16" t="s">
        <v>5873</v>
      </c>
      <c r="AE16">
        <v>21985</v>
      </c>
      <c r="AF16">
        <v>1965</v>
      </c>
      <c r="AG16" t="s">
        <v>9244</v>
      </c>
      <c r="AH16" t="s">
        <v>9245</v>
      </c>
      <c r="AI16">
        <v>0.496</v>
      </c>
      <c r="AJ16">
        <v>0.17199999999999999</v>
      </c>
      <c r="AK16">
        <v>0.496</v>
      </c>
      <c r="AL16" s="46">
        <v>0</v>
      </c>
      <c r="AM16" s="46">
        <v>0</v>
      </c>
      <c r="AN16" s="46">
        <v>0</v>
      </c>
      <c r="AO16" s="46">
        <v>0</v>
      </c>
      <c r="AP16" s="46">
        <v>0</v>
      </c>
      <c r="AQ16" s="46">
        <v>0</v>
      </c>
      <c r="AR16" s="46">
        <v>0</v>
      </c>
      <c r="AS16" s="46">
        <v>0</v>
      </c>
      <c r="AT16" s="46">
        <v>0</v>
      </c>
      <c r="AU16" s="46">
        <v>0</v>
      </c>
      <c r="AV16" s="46">
        <v>0</v>
      </c>
      <c r="AW16" s="46">
        <v>0</v>
      </c>
      <c r="AX16" s="46">
        <v>1</v>
      </c>
      <c r="AY16" s="46">
        <v>0</v>
      </c>
      <c r="AZ16" s="46">
        <v>0</v>
      </c>
      <c r="BA16" s="46">
        <v>0</v>
      </c>
      <c r="BB16" s="46">
        <v>0</v>
      </c>
      <c r="BC16" s="46" t="s">
        <v>48</v>
      </c>
      <c r="BD16" s="46">
        <v>0</v>
      </c>
      <c r="BE16" s="46">
        <v>0</v>
      </c>
      <c r="BF16" s="46">
        <v>0</v>
      </c>
    </row>
    <row r="17" spans="1:58" x14ac:dyDescent="0.35">
      <c r="A17" t="s">
        <v>5999</v>
      </c>
      <c r="B17" t="s">
        <v>6000</v>
      </c>
      <c r="C17" t="s">
        <v>5980</v>
      </c>
      <c r="D17" t="s">
        <v>74</v>
      </c>
      <c r="E17" s="60" t="s">
        <v>51</v>
      </c>
      <c r="F17" s="33" t="s">
        <v>45</v>
      </c>
      <c r="G17" s="46">
        <v>1</v>
      </c>
      <c r="H17" t="s">
        <v>48</v>
      </c>
      <c r="I17" s="46">
        <v>0</v>
      </c>
      <c r="J17" s="46">
        <v>0</v>
      </c>
      <c r="K17" t="s">
        <v>48</v>
      </c>
      <c r="L17" s="46">
        <v>0</v>
      </c>
      <c r="M17" t="s">
        <v>48</v>
      </c>
      <c r="N17" t="s">
        <v>48</v>
      </c>
      <c r="O17" t="s">
        <v>6001</v>
      </c>
      <c r="P17" t="s">
        <v>6002</v>
      </c>
      <c r="Q17" t="s">
        <v>6001</v>
      </c>
      <c r="R17" s="47">
        <v>0</v>
      </c>
      <c r="S17" t="s">
        <v>48</v>
      </c>
      <c r="T17">
        <v>0</v>
      </c>
      <c r="U17" t="s">
        <v>48</v>
      </c>
      <c r="V17">
        <v>2000</v>
      </c>
      <c r="W17" t="s">
        <v>49</v>
      </c>
      <c r="X17" t="s">
        <v>93</v>
      </c>
      <c r="Y17" t="s">
        <v>4532</v>
      </c>
      <c r="Z17" t="s">
        <v>48</v>
      </c>
      <c r="AA17" t="s">
        <v>140</v>
      </c>
      <c r="AB17" t="s">
        <v>93</v>
      </c>
      <c r="AC17" t="s">
        <v>829</v>
      </c>
      <c r="AD17" t="s">
        <v>6003</v>
      </c>
      <c r="AE17">
        <v>20136</v>
      </c>
      <c r="AF17">
        <v>1964</v>
      </c>
      <c r="AG17" t="s">
        <v>9258</v>
      </c>
      <c r="AH17" t="s">
        <v>9259</v>
      </c>
      <c r="AI17">
        <v>-0.375</v>
      </c>
      <c r="AJ17">
        <v>0.112</v>
      </c>
      <c r="AK17">
        <v>-0.375</v>
      </c>
      <c r="AL17" s="46">
        <v>0</v>
      </c>
      <c r="AM17" s="46">
        <v>0</v>
      </c>
      <c r="AN17" s="46">
        <v>0</v>
      </c>
      <c r="AO17" s="46">
        <v>0</v>
      </c>
      <c r="AP17" s="46">
        <v>0</v>
      </c>
      <c r="AQ17" s="46">
        <v>0</v>
      </c>
      <c r="AR17" s="46">
        <v>0</v>
      </c>
      <c r="AS17" s="46">
        <v>0</v>
      </c>
      <c r="AT17" s="46">
        <v>0</v>
      </c>
      <c r="AU17" s="46">
        <v>0</v>
      </c>
      <c r="AV17" s="46">
        <v>0</v>
      </c>
      <c r="AW17" s="46">
        <v>0</v>
      </c>
      <c r="AX17" s="46">
        <v>0</v>
      </c>
      <c r="AY17" s="46">
        <v>0</v>
      </c>
      <c r="AZ17" s="46">
        <v>0</v>
      </c>
      <c r="BA17" s="46">
        <v>0</v>
      </c>
      <c r="BB17" s="46">
        <v>0</v>
      </c>
      <c r="BC17" s="46" t="s">
        <v>48</v>
      </c>
      <c r="BD17" s="46">
        <v>0</v>
      </c>
      <c r="BE17" s="46">
        <v>0</v>
      </c>
      <c r="BF17" s="46">
        <v>0</v>
      </c>
    </row>
    <row r="18" spans="1:58" x14ac:dyDescent="0.35">
      <c r="A18" t="s">
        <v>6432</v>
      </c>
      <c r="B18" t="s">
        <v>6433</v>
      </c>
      <c r="C18" t="s">
        <v>6427</v>
      </c>
      <c r="D18" t="s">
        <v>47</v>
      </c>
      <c r="E18" s="60" t="s">
        <v>51</v>
      </c>
      <c r="F18" s="33" t="s">
        <v>45</v>
      </c>
      <c r="G18" s="46">
        <v>1</v>
      </c>
      <c r="H18" t="s">
        <v>48</v>
      </c>
      <c r="I18" s="46">
        <v>0</v>
      </c>
      <c r="J18" s="46">
        <v>0</v>
      </c>
      <c r="K18" t="s">
        <v>48</v>
      </c>
      <c r="L18" s="46">
        <v>0</v>
      </c>
      <c r="M18" t="s">
        <v>48</v>
      </c>
      <c r="N18" t="s">
        <v>48</v>
      </c>
      <c r="O18" t="s">
        <v>6434</v>
      </c>
      <c r="P18" t="s">
        <v>6435</v>
      </c>
      <c r="Q18" t="s">
        <v>6434</v>
      </c>
      <c r="R18" s="47">
        <v>0</v>
      </c>
      <c r="S18" t="s">
        <v>48</v>
      </c>
      <c r="T18">
        <v>0</v>
      </c>
      <c r="U18" t="s">
        <v>48</v>
      </c>
      <c r="V18">
        <v>1996</v>
      </c>
      <c r="W18" t="s">
        <v>49</v>
      </c>
      <c r="X18" t="s">
        <v>93</v>
      </c>
      <c r="Y18" t="s">
        <v>4532</v>
      </c>
      <c r="Z18" t="s">
        <v>48</v>
      </c>
      <c r="AA18" t="s">
        <v>140</v>
      </c>
      <c r="AB18" t="s">
        <v>93</v>
      </c>
      <c r="AC18" t="s">
        <v>427</v>
      </c>
      <c r="AD18" t="s">
        <v>1883</v>
      </c>
      <c r="AE18">
        <v>29760</v>
      </c>
      <c r="AF18">
        <v>1955</v>
      </c>
      <c r="AG18" t="s">
        <v>9308</v>
      </c>
      <c r="AH18" t="s">
        <v>9309</v>
      </c>
      <c r="AI18">
        <v>0.52100000000000002</v>
      </c>
      <c r="AJ18">
        <v>0.23100000000000001</v>
      </c>
      <c r="AK18">
        <v>0.52100000000000002</v>
      </c>
      <c r="AL18" s="46">
        <v>0</v>
      </c>
      <c r="AM18" s="46">
        <v>0</v>
      </c>
      <c r="AN18" s="46">
        <v>0</v>
      </c>
      <c r="AO18" s="46">
        <v>0</v>
      </c>
      <c r="AP18" s="46">
        <v>0</v>
      </c>
      <c r="AQ18" s="46">
        <v>0</v>
      </c>
      <c r="AR18" s="46">
        <v>0</v>
      </c>
      <c r="AS18" s="46">
        <v>0</v>
      </c>
      <c r="AT18" s="46">
        <v>0</v>
      </c>
      <c r="AU18" s="46">
        <v>0</v>
      </c>
      <c r="AV18" s="46">
        <v>0</v>
      </c>
      <c r="AW18" s="46">
        <v>0</v>
      </c>
      <c r="AX18" s="46">
        <v>1</v>
      </c>
      <c r="AY18" s="46">
        <v>0</v>
      </c>
      <c r="AZ18" s="46">
        <v>0</v>
      </c>
      <c r="BA18" s="46">
        <v>0</v>
      </c>
      <c r="BB18" s="46">
        <v>0</v>
      </c>
      <c r="BC18" s="46" t="s">
        <v>48</v>
      </c>
      <c r="BD18" s="46">
        <v>0</v>
      </c>
      <c r="BE18" s="46">
        <v>0</v>
      </c>
      <c r="BF18" s="46">
        <v>0</v>
      </c>
    </row>
    <row r="19" spans="1:58" x14ac:dyDescent="0.35">
      <c r="A19" t="s">
        <v>6886</v>
      </c>
      <c r="B19" t="s">
        <v>6887</v>
      </c>
      <c r="C19" t="s">
        <v>6856</v>
      </c>
      <c r="D19" t="s">
        <v>74</v>
      </c>
      <c r="E19" s="60" t="s">
        <v>51</v>
      </c>
      <c r="F19" s="33" t="s">
        <v>45</v>
      </c>
      <c r="G19" s="46">
        <v>1</v>
      </c>
      <c r="H19" t="s">
        <v>48</v>
      </c>
      <c r="I19" s="46">
        <v>0</v>
      </c>
      <c r="J19" s="46">
        <v>0</v>
      </c>
      <c r="K19" t="s">
        <v>48</v>
      </c>
      <c r="L19" s="46">
        <v>0</v>
      </c>
      <c r="M19" t="s">
        <v>48</v>
      </c>
      <c r="N19" t="s">
        <v>48</v>
      </c>
      <c r="O19" t="s">
        <v>48</v>
      </c>
      <c r="P19" t="s">
        <v>6888</v>
      </c>
      <c r="Q19" t="s">
        <v>48</v>
      </c>
      <c r="R19" s="47">
        <v>0</v>
      </c>
      <c r="S19" t="s">
        <v>48</v>
      </c>
      <c r="T19">
        <v>0</v>
      </c>
      <c r="U19" t="s">
        <v>48</v>
      </c>
      <c r="V19">
        <v>1992</v>
      </c>
      <c r="W19" t="s">
        <v>63</v>
      </c>
      <c r="X19" t="s">
        <v>93</v>
      </c>
      <c r="Y19" s="40" t="s">
        <v>2471</v>
      </c>
      <c r="Z19" t="s">
        <v>11061</v>
      </c>
      <c r="AA19" t="s">
        <v>151</v>
      </c>
      <c r="AB19" t="s">
        <v>93</v>
      </c>
      <c r="AC19" t="s">
        <v>2058</v>
      </c>
      <c r="AD19" t="s">
        <v>718</v>
      </c>
      <c r="AE19">
        <v>39305</v>
      </c>
      <c r="AF19">
        <v>1935</v>
      </c>
      <c r="AG19" t="s">
        <v>9352</v>
      </c>
      <c r="AH19" t="s">
        <v>9353</v>
      </c>
      <c r="AI19">
        <v>-0.48499999999999999</v>
      </c>
      <c r="AJ19">
        <v>0.20100000000000001</v>
      </c>
      <c r="AK19">
        <v>-0.48499999999999999</v>
      </c>
      <c r="AL19" s="46">
        <v>0</v>
      </c>
      <c r="AM19" s="46">
        <v>0</v>
      </c>
      <c r="AN19" s="46">
        <v>0</v>
      </c>
      <c r="AO19" s="46">
        <v>0</v>
      </c>
      <c r="AP19" s="46">
        <v>1</v>
      </c>
      <c r="AQ19" s="46">
        <v>0</v>
      </c>
      <c r="AR19" s="46">
        <v>0</v>
      </c>
      <c r="AS19" s="46">
        <v>0</v>
      </c>
      <c r="AT19" s="46">
        <v>0</v>
      </c>
      <c r="AU19" s="46">
        <v>0</v>
      </c>
      <c r="AV19" s="46">
        <v>0</v>
      </c>
      <c r="AW19" s="46">
        <v>0</v>
      </c>
      <c r="AX19" s="46">
        <v>0</v>
      </c>
      <c r="AY19" s="46">
        <v>0</v>
      </c>
      <c r="AZ19" s="46">
        <v>0</v>
      </c>
      <c r="BA19" s="46">
        <v>0</v>
      </c>
      <c r="BB19" s="46">
        <v>0</v>
      </c>
      <c r="BC19" s="46" t="s">
        <v>48</v>
      </c>
      <c r="BD19" s="46">
        <v>0</v>
      </c>
      <c r="BE19" s="46">
        <v>0</v>
      </c>
      <c r="BF19" s="46">
        <v>0</v>
      </c>
    </row>
    <row r="20" spans="1:58" x14ac:dyDescent="0.35">
      <c r="A20" t="s">
        <v>4109</v>
      </c>
      <c r="B20" t="s">
        <v>4110</v>
      </c>
      <c r="C20" t="s">
        <v>147</v>
      </c>
      <c r="D20" t="s">
        <v>47</v>
      </c>
      <c r="E20" s="60" t="s">
        <v>51</v>
      </c>
      <c r="F20" s="33" t="s">
        <v>96</v>
      </c>
      <c r="G20" s="46">
        <v>1</v>
      </c>
      <c r="H20" t="s">
        <v>48</v>
      </c>
      <c r="I20" s="46">
        <v>0</v>
      </c>
      <c r="J20" s="46">
        <v>0</v>
      </c>
      <c r="K20" t="s">
        <v>48</v>
      </c>
      <c r="L20" s="46">
        <v>0</v>
      </c>
      <c r="M20" t="s">
        <v>48</v>
      </c>
      <c r="N20" t="s">
        <v>48</v>
      </c>
      <c r="O20" t="s">
        <v>48</v>
      </c>
      <c r="P20" t="s">
        <v>4111</v>
      </c>
      <c r="Q20" t="s">
        <v>48</v>
      </c>
      <c r="R20" s="47">
        <v>0</v>
      </c>
      <c r="S20" t="s">
        <v>48</v>
      </c>
      <c r="T20">
        <v>0</v>
      </c>
      <c r="U20" t="s">
        <v>48</v>
      </c>
      <c r="V20" t="s">
        <v>48</v>
      </c>
      <c r="W20" t="s">
        <v>49</v>
      </c>
      <c r="X20" t="s">
        <v>93</v>
      </c>
      <c r="Y20" s="40" t="s">
        <v>4532</v>
      </c>
      <c r="Z20" t="s">
        <v>48</v>
      </c>
      <c r="AA20" t="s">
        <v>48</v>
      </c>
      <c r="AB20" t="s">
        <v>48</v>
      </c>
      <c r="AC20" t="s">
        <v>4112</v>
      </c>
      <c r="AD20" t="s">
        <v>4113</v>
      </c>
      <c r="AE20">
        <v>29735</v>
      </c>
      <c r="AF20">
        <v>1950</v>
      </c>
      <c r="AG20" t="s">
        <v>8549</v>
      </c>
      <c r="AH20" t="s">
        <v>8550</v>
      </c>
      <c r="AI20">
        <v>0.40300000000000002</v>
      </c>
      <c r="AJ20">
        <v>0.217</v>
      </c>
      <c r="AK20">
        <v>0.40300000000000002</v>
      </c>
      <c r="AL20" s="46">
        <v>0</v>
      </c>
      <c r="AM20" s="46">
        <v>0</v>
      </c>
      <c r="AN20" s="46">
        <v>0</v>
      </c>
      <c r="AO20" s="46">
        <v>0</v>
      </c>
      <c r="AP20" s="46">
        <v>0</v>
      </c>
      <c r="AQ20" s="46">
        <v>0</v>
      </c>
      <c r="AR20" s="46">
        <v>0</v>
      </c>
      <c r="AS20" s="46">
        <v>0</v>
      </c>
      <c r="AT20" s="46">
        <v>0</v>
      </c>
      <c r="AU20" s="46">
        <v>0</v>
      </c>
      <c r="AV20" s="46">
        <v>0</v>
      </c>
      <c r="AW20" s="46">
        <v>0</v>
      </c>
      <c r="AX20" s="46">
        <v>0</v>
      </c>
      <c r="AY20" s="46">
        <v>0</v>
      </c>
      <c r="AZ20" s="46">
        <v>0</v>
      </c>
      <c r="BA20" s="46">
        <v>0</v>
      </c>
      <c r="BB20" s="46">
        <v>0</v>
      </c>
      <c r="BC20" s="46" t="s">
        <v>48</v>
      </c>
      <c r="BD20" s="46">
        <v>0</v>
      </c>
      <c r="BE20" s="46">
        <v>0</v>
      </c>
      <c r="BF20" s="46">
        <v>0</v>
      </c>
    </row>
    <row r="21" spans="1:58" x14ac:dyDescent="0.35">
      <c r="A21" t="s">
        <v>7418</v>
      </c>
      <c r="B21" t="s">
        <v>7420</v>
      </c>
      <c r="C21" t="s">
        <v>7419</v>
      </c>
      <c r="D21" t="s">
        <v>74</v>
      </c>
      <c r="E21" s="60" t="s">
        <v>51</v>
      </c>
      <c r="F21" s="33" t="s">
        <v>96</v>
      </c>
      <c r="G21" s="46">
        <v>1</v>
      </c>
      <c r="H21" t="s">
        <v>48</v>
      </c>
      <c r="I21" s="46">
        <v>0</v>
      </c>
      <c r="J21" s="46">
        <v>0</v>
      </c>
      <c r="K21" t="s">
        <v>48</v>
      </c>
      <c r="L21" s="46">
        <v>0</v>
      </c>
      <c r="M21" t="s">
        <v>48</v>
      </c>
      <c r="N21" t="s">
        <v>48</v>
      </c>
      <c r="O21" t="s">
        <v>48</v>
      </c>
      <c r="P21" t="s">
        <v>7421</v>
      </c>
      <c r="Q21" t="s">
        <v>48</v>
      </c>
      <c r="R21" s="47">
        <v>0</v>
      </c>
      <c r="S21" t="s">
        <v>48</v>
      </c>
      <c r="T21">
        <v>0</v>
      </c>
      <c r="U21" t="s">
        <v>48</v>
      </c>
      <c r="V21" t="s">
        <v>48</v>
      </c>
      <c r="W21" t="s">
        <v>49</v>
      </c>
      <c r="X21" t="s">
        <v>93</v>
      </c>
      <c r="Y21" t="s">
        <v>4532</v>
      </c>
      <c r="Z21" t="s">
        <v>48</v>
      </c>
      <c r="AA21" t="s">
        <v>48</v>
      </c>
      <c r="AB21" t="s">
        <v>48</v>
      </c>
      <c r="AC21" t="s">
        <v>1237</v>
      </c>
      <c r="AD21" t="s">
        <v>7422</v>
      </c>
      <c r="AE21">
        <v>14307</v>
      </c>
      <c r="AF21">
        <v>1940</v>
      </c>
      <c r="AG21" t="s">
        <v>8629</v>
      </c>
      <c r="AH21" t="s">
        <v>8630</v>
      </c>
      <c r="AI21">
        <v>-0.36</v>
      </c>
      <c r="AJ21">
        <v>-0.121</v>
      </c>
      <c r="AK21">
        <v>-0.36</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t="s">
        <v>48</v>
      </c>
      <c r="BD21" s="46">
        <v>0</v>
      </c>
      <c r="BE21" s="46">
        <v>0</v>
      </c>
      <c r="BF21" s="46">
        <v>0</v>
      </c>
    </row>
    <row r="27" spans="1:58" x14ac:dyDescent="0.35">
      <c r="A27" t="s">
        <v>11242</v>
      </c>
      <c r="B27" t="s">
        <v>3457</v>
      </c>
      <c r="C27" t="s">
        <v>3458</v>
      </c>
      <c r="D27" t="s">
        <v>3459</v>
      </c>
      <c r="E27" t="s">
        <v>47</v>
      </c>
      <c r="F27" s="60" t="s">
        <v>51</v>
      </c>
      <c r="G27" s="33" t="s">
        <v>45</v>
      </c>
      <c r="H27" s="46" t="s">
        <v>48</v>
      </c>
      <c r="I27" t="s">
        <v>48</v>
      </c>
      <c r="J27" s="46">
        <v>0</v>
      </c>
      <c r="K27" s="46">
        <v>0</v>
      </c>
      <c r="L27" s="46">
        <v>0</v>
      </c>
      <c r="M27" t="s">
        <v>48</v>
      </c>
      <c r="N27" s="46">
        <v>0</v>
      </c>
      <c r="O27" t="s">
        <v>48</v>
      </c>
      <c r="P27" t="s">
        <v>48</v>
      </c>
      <c r="Q27" t="s">
        <v>48</v>
      </c>
      <c r="R27" s="47">
        <v>0</v>
      </c>
      <c r="S27" t="s">
        <v>48</v>
      </c>
      <c r="T27" t="s">
        <v>48</v>
      </c>
      <c r="U27">
        <v>0</v>
      </c>
      <c r="V27" t="s">
        <v>48</v>
      </c>
      <c r="W27" t="s">
        <v>48</v>
      </c>
      <c r="X27" t="s">
        <v>49</v>
      </c>
      <c r="Y27" t="s">
        <v>48</v>
      </c>
      <c r="Z27" t="s">
        <v>48</v>
      </c>
      <c r="AA27" t="s">
        <v>48</v>
      </c>
      <c r="AB27" t="s">
        <v>48</v>
      </c>
      <c r="AC27" t="s">
        <v>48</v>
      </c>
      <c r="AD27" t="s">
        <v>1148</v>
      </c>
      <c r="AE27" t="s">
        <v>3460</v>
      </c>
      <c r="AF27" t="s">
        <v>48</v>
      </c>
      <c r="AG27" t="s">
        <v>48</v>
      </c>
      <c r="AH27" t="s">
        <v>48</v>
      </c>
      <c r="AI27" t="s">
        <v>48</v>
      </c>
      <c r="AJ27" t="s">
        <v>48</v>
      </c>
      <c r="AK27" t="s">
        <v>48</v>
      </c>
      <c r="AL27" t="s">
        <v>48</v>
      </c>
      <c r="AM27">
        <v>0</v>
      </c>
      <c r="AN27">
        <v>0</v>
      </c>
      <c r="AO27">
        <v>0</v>
      </c>
      <c r="AP27">
        <v>0</v>
      </c>
      <c r="AQ27">
        <v>0</v>
      </c>
      <c r="AR27">
        <v>0</v>
      </c>
      <c r="AS27">
        <v>0</v>
      </c>
      <c r="AT27">
        <v>0</v>
      </c>
      <c r="AU27">
        <v>0</v>
      </c>
      <c r="AV27">
        <v>0</v>
      </c>
      <c r="AW27">
        <v>0</v>
      </c>
      <c r="AX27">
        <v>0</v>
      </c>
      <c r="AY27">
        <v>0</v>
      </c>
      <c r="AZ27">
        <v>0</v>
      </c>
      <c r="BA27">
        <v>0</v>
      </c>
      <c r="BB27">
        <v>0</v>
      </c>
      <c r="BC27">
        <v>0</v>
      </c>
      <c r="BD27" t="s">
        <v>48</v>
      </c>
    </row>
    <row r="28" spans="1:58" x14ac:dyDescent="0.35">
      <c r="A28" t="s">
        <v>11242</v>
      </c>
      <c r="B28" t="s">
        <v>3465</v>
      </c>
      <c r="C28" t="s">
        <v>3466</v>
      </c>
      <c r="D28" t="s">
        <v>3467</v>
      </c>
      <c r="E28" t="s">
        <v>47</v>
      </c>
      <c r="F28" s="60" t="s">
        <v>51</v>
      </c>
      <c r="G28" s="33" t="s">
        <v>45</v>
      </c>
      <c r="H28" s="46" t="s">
        <v>48</v>
      </c>
      <c r="I28" t="s">
        <v>48</v>
      </c>
      <c r="J28" s="46">
        <v>0</v>
      </c>
      <c r="K28" s="46">
        <v>0</v>
      </c>
      <c r="L28" s="46">
        <v>0</v>
      </c>
      <c r="M28" t="s">
        <v>48</v>
      </c>
      <c r="N28" s="46">
        <v>0</v>
      </c>
      <c r="O28" t="s">
        <v>48</v>
      </c>
      <c r="P28" t="s">
        <v>48</v>
      </c>
      <c r="Q28" t="s">
        <v>48</v>
      </c>
      <c r="R28" s="47">
        <v>0</v>
      </c>
      <c r="S28" t="s">
        <v>48</v>
      </c>
      <c r="T28" t="s">
        <v>48</v>
      </c>
      <c r="U28">
        <v>0</v>
      </c>
      <c r="V28" t="s">
        <v>48</v>
      </c>
      <c r="W28" t="s">
        <v>48</v>
      </c>
      <c r="X28" t="s">
        <v>49</v>
      </c>
      <c r="Y28" t="s">
        <v>93</v>
      </c>
      <c r="Z28" t="s">
        <v>4532</v>
      </c>
      <c r="AA28" t="s">
        <v>48</v>
      </c>
      <c r="AB28" t="s">
        <v>48</v>
      </c>
      <c r="AC28" t="s">
        <v>48</v>
      </c>
      <c r="AD28" t="s">
        <v>203</v>
      </c>
      <c r="AE28" t="s">
        <v>3468</v>
      </c>
      <c r="AF28" t="s">
        <v>48</v>
      </c>
      <c r="AG28" t="s">
        <v>48</v>
      </c>
      <c r="AH28" t="s">
        <v>48</v>
      </c>
      <c r="AI28" t="s">
        <v>48</v>
      </c>
      <c r="AJ28" t="s">
        <v>48</v>
      </c>
      <c r="AK28" t="s">
        <v>48</v>
      </c>
      <c r="AL28" t="s">
        <v>48</v>
      </c>
      <c r="AM28">
        <v>0</v>
      </c>
      <c r="AN28">
        <v>0</v>
      </c>
      <c r="AO28">
        <v>0</v>
      </c>
      <c r="AP28">
        <v>0</v>
      </c>
      <c r="AQ28">
        <v>0</v>
      </c>
      <c r="AR28">
        <v>0</v>
      </c>
      <c r="AS28">
        <v>0</v>
      </c>
      <c r="AT28">
        <v>0</v>
      </c>
      <c r="AU28">
        <v>0</v>
      </c>
      <c r="AV28">
        <v>0</v>
      </c>
      <c r="AW28">
        <v>0</v>
      </c>
      <c r="AX28">
        <v>0</v>
      </c>
      <c r="AY28">
        <v>0</v>
      </c>
      <c r="AZ28">
        <v>0</v>
      </c>
      <c r="BA28">
        <v>0</v>
      </c>
      <c r="BB28">
        <v>0</v>
      </c>
      <c r="BC28">
        <v>0</v>
      </c>
      <c r="BD28" t="s">
        <v>48</v>
      </c>
    </row>
    <row r="29" spans="1:58" x14ac:dyDescent="0.35">
      <c r="A29" t="s">
        <v>11242</v>
      </c>
      <c r="B29" t="s">
        <v>3476</v>
      </c>
      <c r="C29" t="s">
        <v>3477</v>
      </c>
      <c r="D29" t="s">
        <v>3478</v>
      </c>
      <c r="E29" t="s">
        <v>74</v>
      </c>
      <c r="F29" s="60" t="s">
        <v>149</v>
      </c>
      <c r="G29" s="33" t="s">
        <v>45</v>
      </c>
      <c r="H29" s="46" t="s">
        <v>48</v>
      </c>
      <c r="I29" t="s">
        <v>48</v>
      </c>
      <c r="J29" s="46">
        <v>0</v>
      </c>
      <c r="K29" s="46">
        <v>0</v>
      </c>
      <c r="L29" s="46">
        <v>0</v>
      </c>
      <c r="M29" t="s">
        <v>48</v>
      </c>
      <c r="N29" s="46">
        <v>0</v>
      </c>
      <c r="O29" t="s">
        <v>48</v>
      </c>
      <c r="P29" t="s">
        <v>48</v>
      </c>
      <c r="Q29" t="s">
        <v>3479</v>
      </c>
      <c r="R29" s="47">
        <v>0</v>
      </c>
      <c r="S29" t="s">
        <v>48</v>
      </c>
      <c r="T29" t="s">
        <v>48</v>
      </c>
      <c r="U29">
        <v>0</v>
      </c>
      <c r="V29" t="s">
        <v>48</v>
      </c>
      <c r="W29" t="s">
        <v>48</v>
      </c>
      <c r="X29" t="s">
        <v>63</v>
      </c>
      <c r="Y29" t="s">
        <v>93</v>
      </c>
      <c r="Z29" s="40" t="s">
        <v>2471</v>
      </c>
      <c r="AA29" t="s">
        <v>11061</v>
      </c>
      <c r="AB29" t="s">
        <v>48</v>
      </c>
      <c r="AC29" t="s">
        <v>48</v>
      </c>
      <c r="AD29" t="s">
        <v>3480</v>
      </c>
      <c r="AE29" t="s">
        <v>3481</v>
      </c>
      <c r="AF29" t="s">
        <v>48</v>
      </c>
      <c r="AG29" t="s">
        <v>48</v>
      </c>
      <c r="AH29" t="s">
        <v>48</v>
      </c>
      <c r="AI29" t="s">
        <v>48</v>
      </c>
      <c r="AJ29" t="s">
        <v>48</v>
      </c>
      <c r="AK29" t="s">
        <v>48</v>
      </c>
      <c r="AL29" t="s">
        <v>48</v>
      </c>
      <c r="AM29">
        <v>0</v>
      </c>
      <c r="AN29">
        <v>0</v>
      </c>
      <c r="AO29">
        <v>0</v>
      </c>
      <c r="AP29">
        <v>0</v>
      </c>
      <c r="AQ29">
        <v>0</v>
      </c>
      <c r="AR29">
        <v>0</v>
      </c>
      <c r="AS29">
        <v>0</v>
      </c>
      <c r="AT29">
        <v>0</v>
      </c>
      <c r="AU29">
        <v>0</v>
      </c>
      <c r="AV29">
        <v>0</v>
      </c>
      <c r="AW29">
        <v>0</v>
      </c>
      <c r="AX29">
        <v>0</v>
      </c>
      <c r="AY29">
        <v>0</v>
      </c>
      <c r="AZ29">
        <v>0</v>
      </c>
      <c r="BA29">
        <v>0</v>
      </c>
      <c r="BB29">
        <v>0</v>
      </c>
      <c r="BC29">
        <v>0</v>
      </c>
      <c r="BD29" t="s">
        <v>48</v>
      </c>
    </row>
    <row r="30" spans="1:58" x14ac:dyDescent="0.35">
      <c r="A30" t="s">
        <v>11242</v>
      </c>
      <c r="B30" t="s">
        <v>3496</v>
      </c>
      <c r="C30" t="s">
        <v>3491</v>
      </c>
      <c r="D30" t="s">
        <v>3497</v>
      </c>
      <c r="E30" t="s">
        <v>47</v>
      </c>
      <c r="F30" s="60" t="s">
        <v>675</v>
      </c>
      <c r="G30" s="33" t="s">
        <v>45</v>
      </c>
      <c r="H30" s="46" t="s">
        <v>48</v>
      </c>
      <c r="I30" t="s">
        <v>48</v>
      </c>
      <c r="J30" s="46">
        <v>0</v>
      </c>
      <c r="K30" s="46">
        <v>0</v>
      </c>
      <c r="L30" s="46">
        <v>0</v>
      </c>
      <c r="M30" t="s">
        <v>48</v>
      </c>
      <c r="N30" s="46">
        <v>0</v>
      </c>
      <c r="O30" t="s">
        <v>48</v>
      </c>
      <c r="P30" t="s">
        <v>48</v>
      </c>
      <c r="Q30" t="s">
        <v>3498</v>
      </c>
      <c r="R30" s="47">
        <v>0</v>
      </c>
      <c r="S30" t="s">
        <v>48</v>
      </c>
      <c r="T30" t="s">
        <v>48</v>
      </c>
      <c r="U30">
        <v>0</v>
      </c>
      <c r="V30" t="s">
        <v>48</v>
      </c>
      <c r="W30" t="s">
        <v>48</v>
      </c>
      <c r="X30" t="s">
        <v>63</v>
      </c>
      <c r="Y30" t="s">
        <v>93</v>
      </c>
      <c r="Z30" t="s">
        <v>4532</v>
      </c>
      <c r="AA30" t="s">
        <v>48</v>
      </c>
      <c r="AB30" t="s">
        <v>48</v>
      </c>
      <c r="AC30" t="s">
        <v>48</v>
      </c>
      <c r="AD30" t="s">
        <v>1038</v>
      </c>
      <c r="AE30" t="s">
        <v>3499</v>
      </c>
      <c r="AF30" t="s">
        <v>48</v>
      </c>
      <c r="AG30" t="s">
        <v>48</v>
      </c>
      <c r="AH30" t="s">
        <v>48</v>
      </c>
      <c r="AI30" t="s">
        <v>48</v>
      </c>
      <c r="AJ30" t="s">
        <v>48</v>
      </c>
      <c r="AK30" t="s">
        <v>48</v>
      </c>
      <c r="AL30" t="s">
        <v>48</v>
      </c>
      <c r="AM30">
        <v>0</v>
      </c>
      <c r="AN30">
        <v>0</v>
      </c>
      <c r="AO30">
        <v>0</v>
      </c>
      <c r="AP30">
        <v>0</v>
      </c>
      <c r="AQ30">
        <v>0</v>
      </c>
      <c r="AR30">
        <v>0</v>
      </c>
      <c r="AS30">
        <v>0</v>
      </c>
      <c r="AT30">
        <v>0</v>
      </c>
      <c r="AU30">
        <v>0</v>
      </c>
      <c r="AV30">
        <v>0</v>
      </c>
      <c r="AW30">
        <v>0</v>
      </c>
      <c r="AX30">
        <v>0</v>
      </c>
      <c r="AY30">
        <v>0</v>
      </c>
      <c r="AZ30">
        <v>0</v>
      </c>
      <c r="BA30">
        <v>0</v>
      </c>
      <c r="BB30">
        <v>0</v>
      </c>
      <c r="BC30">
        <v>0</v>
      </c>
      <c r="BD30" t="s">
        <v>48</v>
      </c>
    </row>
    <row r="31" spans="1:58" x14ac:dyDescent="0.35">
      <c r="A31" t="s">
        <v>11242</v>
      </c>
      <c r="B31" t="s">
        <v>3500</v>
      </c>
      <c r="C31" t="s">
        <v>3491</v>
      </c>
      <c r="D31" t="s">
        <v>3501</v>
      </c>
      <c r="E31" t="s">
        <v>47</v>
      </c>
      <c r="F31" s="60" t="s">
        <v>716</v>
      </c>
      <c r="G31" s="33" t="s">
        <v>45</v>
      </c>
      <c r="H31" s="46" t="s">
        <v>48</v>
      </c>
      <c r="I31" t="s">
        <v>48</v>
      </c>
      <c r="J31" s="46">
        <v>0</v>
      </c>
      <c r="K31" s="46">
        <v>0</v>
      </c>
      <c r="L31" s="46">
        <v>0</v>
      </c>
      <c r="M31" t="s">
        <v>48</v>
      </c>
      <c r="N31" s="46">
        <v>0</v>
      </c>
      <c r="O31" t="s">
        <v>48</v>
      </c>
      <c r="P31" t="s">
        <v>48</v>
      </c>
      <c r="Q31" t="s">
        <v>3502</v>
      </c>
      <c r="R31" s="47">
        <v>0</v>
      </c>
      <c r="S31" t="s">
        <v>48</v>
      </c>
      <c r="T31" t="s">
        <v>48</v>
      </c>
      <c r="U31">
        <v>0</v>
      </c>
      <c r="V31" t="s">
        <v>48</v>
      </c>
      <c r="W31" t="s">
        <v>48</v>
      </c>
      <c r="X31" t="s">
        <v>63</v>
      </c>
      <c r="Y31" t="s">
        <v>93</v>
      </c>
      <c r="Z31" t="s">
        <v>4532</v>
      </c>
      <c r="AA31" t="s">
        <v>48</v>
      </c>
      <c r="AB31" t="s">
        <v>48</v>
      </c>
      <c r="AC31" t="s">
        <v>48</v>
      </c>
      <c r="AD31" t="s">
        <v>3503</v>
      </c>
      <c r="AE31" t="s">
        <v>3018</v>
      </c>
      <c r="AF31" t="s">
        <v>48</v>
      </c>
      <c r="AG31" t="s">
        <v>48</v>
      </c>
      <c r="AH31" t="s">
        <v>48</v>
      </c>
      <c r="AI31" t="s">
        <v>48</v>
      </c>
      <c r="AJ31" t="s">
        <v>48</v>
      </c>
      <c r="AK31" t="s">
        <v>48</v>
      </c>
      <c r="AL31" t="s">
        <v>48</v>
      </c>
      <c r="AM31">
        <v>0</v>
      </c>
      <c r="AN31">
        <v>0</v>
      </c>
      <c r="AO31">
        <v>0</v>
      </c>
      <c r="AP31">
        <v>0</v>
      </c>
      <c r="AQ31">
        <v>0</v>
      </c>
      <c r="AR31">
        <v>0</v>
      </c>
      <c r="AS31">
        <v>0</v>
      </c>
      <c r="AT31">
        <v>0</v>
      </c>
      <c r="AU31">
        <v>0</v>
      </c>
      <c r="AV31">
        <v>0</v>
      </c>
      <c r="AW31">
        <v>0</v>
      </c>
      <c r="AX31">
        <v>0</v>
      </c>
      <c r="AY31">
        <v>0</v>
      </c>
      <c r="AZ31">
        <v>0</v>
      </c>
      <c r="BA31">
        <v>0</v>
      </c>
      <c r="BB31">
        <v>0</v>
      </c>
      <c r="BC31">
        <v>0</v>
      </c>
      <c r="BD31" t="s">
        <v>48</v>
      </c>
    </row>
    <row r="32" spans="1:58" x14ac:dyDescent="0.35">
      <c r="A32" t="s">
        <v>11242</v>
      </c>
      <c r="B32" t="s">
        <v>3532</v>
      </c>
      <c r="C32" t="s">
        <v>3526</v>
      </c>
      <c r="D32" t="s">
        <v>3533</v>
      </c>
      <c r="E32" t="s">
        <v>74</v>
      </c>
      <c r="F32" s="60" t="s">
        <v>51</v>
      </c>
      <c r="G32" s="33" t="s">
        <v>45</v>
      </c>
      <c r="H32" s="46" t="s">
        <v>48</v>
      </c>
      <c r="I32" t="s">
        <v>48</v>
      </c>
      <c r="J32" s="46">
        <v>0</v>
      </c>
      <c r="K32" s="46">
        <v>0</v>
      </c>
      <c r="L32" s="46">
        <v>0</v>
      </c>
      <c r="M32" t="s">
        <v>48</v>
      </c>
      <c r="N32" s="46">
        <v>0</v>
      </c>
      <c r="O32" t="s">
        <v>48</v>
      </c>
      <c r="P32" t="s">
        <v>48</v>
      </c>
      <c r="Q32" t="s">
        <v>3534</v>
      </c>
      <c r="R32" s="47">
        <v>0</v>
      </c>
      <c r="S32" t="s">
        <v>48</v>
      </c>
      <c r="T32" t="s">
        <v>48</v>
      </c>
      <c r="U32">
        <v>0</v>
      </c>
      <c r="V32" t="s">
        <v>48</v>
      </c>
      <c r="W32" t="s">
        <v>48</v>
      </c>
      <c r="X32" t="s">
        <v>49</v>
      </c>
      <c r="Y32" t="s">
        <v>48</v>
      </c>
      <c r="Z32" t="s">
        <v>48</v>
      </c>
      <c r="AA32" t="s">
        <v>48</v>
      </c>
      <c r="AB32" t="s">
        <v>48</v>
      </c>
      <c r="AC32" t="s">
        <v>48</v>
      </c>
      <c r="AD32" t="s">
        <v>396</v>
      </c>
      <c r="AE32" t="s">
        <v>1315</v>
      </c>
      <c r="AF32" t="s">
        <v>48</v>
      </c>
      <c r="AG32" t="s">
        <v>48</v>
      </c>
      <c r="AH32" t="s">
        <v>48</v>
      </c>
      <c r="AI32" t="s">
        <v>48</v>
      </c>
      <c r="AJ32" t="s">
        <v>48</v>
      </c>
      <c r="AK32" t="s">
        <v>48</v>
      </c>
      <c r="AL32" t="s">
        <v>48</v>
      </c>
      <c r="AM32">
        <v>0</v>
      </c>
      <c r="AN32">
        <v>0</v>
      </c>
      <c r="AO32">
        <v>0</v>
      </c>
      <c r="AP32">
        <v>0</v>
      </c>
      <c r="AQ32">
        <v>0</v>
      </c>
      <c r="AR32">
        <v>0</v>
      </c>
      <c r="AS32">
        <v>0</v>
      </c>
      <c r="AT32">
        <v>0</v>
      </c>
      <c r="AU32">
        <v>0</v>
      </c>
      <c r="AV32">
        <v>0</v>
      </c>
      <c r="AW32">
        <v>0</v>
      </c>
      <c r="AX32">
        <v>0</v>
      </c>
      <c r="AY32">
        <v>0</v>
      </c>
      <c r="AZ32">
        <v>0</v>
      </c>
      <c r="BA32">
        <v>0</v>
      </c>
      <c r="BB32">
        <v>0</v>
      </c>
      <c r="BC32">
        <v>0</v>
      </c>
      <c r="BD32" t="s">
        <v>48</v>
      </c>
    </row>
    <row r="33" spans="1:56" x14ac:dyDescent="0.35">
      <c r="A33" t="s">
        <v>11242</v>
      </c>
      <c r="B33" t="s">
        <v>3548</v>
      </c>
      <c r="C33" t="s">
        <v>3536</v>
      </c>
      <c r="D33" t="s">
        <v>3549</v>
      </c>
      <c r="E33" t="s">
        <v>74</v>
      </c>
      <c r="F33" s="60" t="s">
        <v>190</v>
      </c>
      <c r="G33" s="33" t="s">
        <v>45</v>
      </c>
      <c r="H33" s="46" t="s">
        <v>48</v>
      </c>
      <c r="I33" t="s">
        <v>48</v>
      </c>
      <c r="J33" s="46">
        <v>0</v>
      </c>
      <c r="K33" s="46">
        <v>0</v>
      </c>
      <c r="L33" s="46">
        <v>0</v>
      </c>
      <c r="M33" t="s">
        <v>48</v>
      </c>
      <c r="N33" s="46">
        <v>0</v>
      </c>
      <c r="O33" t="s">
        <v>48</v>
      </c>
      <c r="P33" t="s">
        <v>48</v>
      </c>
      <c r="Q33" t="s">
        <v>48</v>
      </c>
      <c r="R33" s="47">
        <v>0</v>
      </c>
      <c r="S33" t="s">
        <v>48</v>
      </c>
      <c r="T33" t="s">
        <v>48</v>
      </c>
      <c r="U33">
        <v>0</v>
      </c>
      <c r="V33" t="s">
        <v>48</v>
      </c>
      <c r="W33" t="s">
        <v>48</v>
      </c>
      <c r="X33" t="s">
        <v>49</v>
      </c>
      <c r="Y33" t="s">
        <v>93</v>
      </c>
      <c r="Z33" t="s">
        <v>4532</v>
      </c>
      <c r="AA33" t="s">
        <v>48</v>
      </c>
      <c r="AB33" t="s">
        <v>48</v>
      </c>
      <c r="AC33" t="s">
        <v>48</v>
      </c>
      <c r="AD33" t="s">
        <v>3550</v>
      </c>
      <c r="AE33" t="s">
        <v>2835</v>
      </c>
      <c r="AF33" t="s">
        <v>48</v>
      </c>
      <c r="AG33" t="s">
        <v>48</v>
      </c>
      <c r="AH33" t="s">
        <v>48</v>
      </c>
      <c r="AI33" t="s">
        <v>48</v>
      </c>
      <c r="AJ33" t="s">
        <v>48</v>
      </c>
      <c r="AK33" t="s">
        <v>48</v>
      </c>
      <c r="AL33" t="s">
        <v>48</v>
      </c>
      <c r="AM33">
        <v>0</v>
      </c>
      <c r="AN33">
        <v>0</v>
      </c>
      <c r="AO33">
        <v>0</v>
      </c>
      <c r="AP33">
        <v>0</v>
      </c>
      <c r="AQ33">
        <v>0</v>
      </c>
      <c r="AR33">
        <v>0</v>
      </c>
      <c r="AS33">
        <v>0</v>
      </c>
      <c r="AT33">
        <v>0</v>
      </c>
      <c r="AU33">
        <v>0</v>
      </c>
      <c r="AV33">
        <v>0</v>
      </c>
      <c r="AW33">
        <v>0</v>
      </c>
      <c r="AX33">
        <v>0</v>
      </c>
      <c r="AY33">
        <v>0</v>
      </c>
      <c r="AZ33">
        <v>0</v>
      </c>
      <c r="BA33">
        <v>0</v>
      </c>
      <c r="BB33">
        <v>0</v>
      </c>
      <c r="BC33">
        <v>0</v>
      </c>
      <c r="BD33" t="s">
        <v>48</v>
      </c>
    </row>
    <row r="34" spans="1:56" x14ac:dyDescent="0.35">
      <c r="A34" t="s">
        <v>11242</v>
      </c>
      <c r="B34" t="s">
        <v>3544</v>
      </c>
      <c r="C34" t="s">
        <v>3536</v>
      </c>
      <c r="D34" t="s">
        <v>3545</v>
      </c>
      <c r="E34" t="s">
        <v>47</v>
      </c>
      <c r="F34" s="60" t="s">
        <v>51</v>
      </c>
      <c r="G34" s="33" t="s">
        <v>45</v>
      </c>
      <c r="H34" s="46" t="s">
        <v>48</v>
      </c>
      <c r="I34" t="s">
        <v>48</v>
      </c>
      <c r="J34" s="46">
        <v>0</v>
      </c>
      <c r="K34" s="46">
        <v>0</v>
      </c>
      <c r="L34" s="46">
        <v>0</v>
      </c>
      <c r="M34" t="s">
        <v>48</v>
      </c>
      <c r="N34" s="46">
        <v>0</v>
      </c>
      <c r="O34" t="s">
        <v>48</v>
      </c>
      <c r="P34" t="s">
        <v>48</v>
      </c>
      <c r="Q34" t="s">
        <v>3546</v>
      </c>
      <c r="R34" s="47">
        <v>0</v>
      </c>
      <c r="S34" t="s">
        <v>48</v>
      </c>
      <c r="T34" t="s">
        <v>48</v>
      </c>
      <c r="U34">
        <v>0</v>
      </c>
      <c r="V34" t="s">
        <v>48</v>
      </c>
      <c r="W34" t="s">
        <v>48</v>
      </c>
      <c r="X34" t="s">
        <v>49</v>
      </c>
      <c r="Y34" t="s">
        <v>93</v>
      </c>
      <c r="Z34" t="s">
        <v>4532</v>
      </c>
      <c r="AA34" t="s">
        <v>48</v>
      </c>
      <c r="AB34" t="s">
        <v>48</v>
      </c>
      <c r="AC34" t="s">
        <v>48</v>
      </c>
      <c r="AD34" t="s">
        <v>655</v>
      </c>
      <c r="AE34" t="s">
        <v>3547</v>
      </c>
      <c r="AF34" t="s">
        <v>48</v>
      </c>
      <c r="AG34" t="s">
        <v>48</v>
      </c>
      <c r="AH34" t="s">
        <v>48</v>
      </c>
      <c r="AI34" t="s">
        <v>48</v>
      </c>
      <c r="AJ34" t="s">
        <v>48</v>
      </c>
      <c r="AK34" t="s">
        <v>48</v>
      </c>
      <c r="AL34" t="s">
        <v>48</v>
      </c>
      <c r="AM34">
        <v>0</v>
      </c>
      <c r="AN34">
        <v>0</v>
      </c>
      <c r="AO34">
        <v>0</v>
      </c>
      <c r="AP34">
        <v>0</v>
      </c>
      <c r="AQ34">
        <v>0</v>
      </c>
      <c r="AR34">
        <v>0</v>
      </c>
      <c r="AS34">
        <v>0</v>
      </c>
      <c r="AT34">
        <v>0</v>
      </c>
      <c r="AU34">
        <v>0</v>
      </c>
      <c r="AV34">
        <v>0</v>
      </c>
      <c r="AW34">
        <v>0</v>
      </c>
      <c r="AX34">
        <v>0</v>
      </c>
      <c r="AY34">
        <v>0</v>
      </c>
      <c r="AZ34">
        <v>0</v>
      </c>
      <c r="BA34">
        <v>0</v>
      </c>
      <c r="BB34">
        <v>0</v>
      </c>
      <c r="BC34">
        <v>0</v>
      </c>
      <c r="BD34" t="s">
        <v>48</v>
      </c>
    </row>
    <row r="35" spans="1:56" x14ac:dyDescent="0.35">
      <c r="A35" t="s">
        <v>11242</v>
      </c>
      <c r="B35" t="s">
        <v>4681</v>
      </c>
      <c r="C35" t="s">
        <v>4652</v>
      </c>
      <c r="D35" t="s">
        <v>4682</v>
      </c>
      <c r="E35" t="s">
        <v>47</v>
      </c>
      <c r="F35" s="60" t="s">
        <v>51</v>
      </c>
      <c r="G35" s="33" t="s">
        <v>45</v>
      </c>
      <c r="H35" s="46" t="s">
        <v>48</v>
      </c>
      <c r="I35" t="s">
        <v>48</v>
      </c>
      <c r="J35" s="46">
        <v>0</v>
      </c>
      <c r="K35" s="46">
        <v>0</v>
      </c>
      <c r="L35" s="46">
        <v>0</v>
      </c>
      <c r="M35" t="s">
        <v>48</v>
      </c>
      <c r="N35" s="46">
        <v>0</v>
      </c>
      <c r="O35" t="s">
        <v>48</v>
      </c>
      <c r="P35" t="s">
        <v>48</v>
      </c>
      <c r="Q35" t="s">
        <v>4683</v>
      </c>
      <c r="R35" s="47">
        <v>0</v>
      </c>
      <c r="S35" t="s">
        <v>48</v>
      </c>
      <c r="T35" t="s">
        <v>48</v>
      </c>
      <c r="U35">
        <v>0</v>
      </c>
      <c r="V35" t="s">
        <v>48</v>
      </c>
      <c r="W35" t="s">
        <v>48</v>
      </c>
      <c r="X35" t="s">
        <v>49</v>
      </c>
      <c r="Y35" t="s">
        <v>93</v>
      </c>
      <c r="Z35" t="s">
        <v>4532</v>
      </c>
      <c r="AA35" t="s">
        <v>48</v>
      </c>
      <c r="AB35" t="s">
        <v>48</v>
      </c>
      <c r="AC35" t="s">
        <v>48</v>
      </c>
      <c r="AD35" t="s">
        <v>4684</v>
      </c>
      <c r="AE35" t="s">
        <v>4685</v>
      </c>
      <c r="AF35" t="s">
        <v>48</v>
      </c>
      <c r="AG35" t="s">
        <v>48</v>
      </c>
      <c r="AH35" t="s">
        <v>48</v>
      </c>
      <c r="AI35" t="s">
        <v>48</v>
      </c>
      <c r="AJ35" t="s">
        <v>48</v>
      </c>
      <c r="AK35" t="s">
        <v>48</v>
      </c>
      <c r="AL35" t="s">
        <v>48</v>
      </c>
      <c r="AM35">
        <v>0</v>
      </c>
      <c r="AN35">
        <v>0</v>
      </c>
      <c r="AO35">
        <v>0</v>
      </c>
      <c r="AP35">
        <v>0</v>
      </c>
      <c r="AQ35">
        <v>0</v>
      </c>
      <c r="AR35">
        <v>0</v>
      </c>
      <c r="AS35">
        <v>0</v>
      </c>
      <c r="AT35">
        <v>0</v>
      </c>
      <c r="AU35">
        <v>0</v>
      </c>
      <c r="AV35">
        <v>0</v>
      </c>
      <c r="AW35">
        <v>0</v>
      </c>
      <c r="AX35">
        <v>0</v>
      </c>
      <c r="AY35">
        <v>0</v>
      </c>
      <c r="AZ35">
        <v>0</v>
      </c>
      <c r="BA35">
        <v>0</v>
      </c>
      <c r="BB35">
        <v>0</v>
      </c>
      <c r="BC35">
        <v>0</v>
      </c>
      <c r="BD35" t="s">
        <v>48</v>
      </c>
    </row>
    <row r="36" spans="1:56" x14ac:dyDescent="0.35">
      <c r="A36" t="s">
        <v>11242</v>
      </c>
      <c r="B36" t="s">
        <v>4651</v>
      </c>
      <c r="C36" t="s">
        <v>4652</v>
      </c>
      <c r="D36" t="s">
        <v>4653</v>
      </c>
      <c r="E36" t="s">
        <v>47</v>
      </c>
      <c r="F36" s="60" t="s">
        <v>51</v>
      </c>
      <c r="G36" s="33" t="s">
        <v>45</v>
      </c>
      <c r="H36" s="46" t="s">
        <v>48</v>
      </c>
      <c r="I36" t="s">
        <v>48</v>
      </c>
      <c r="J36" s="46">
        <v>0</v>
      </c>
      <c r="K36" s="46">
        <v>0</v>
      </c>
      <c r="L36" s="46">
        <v>0</v>
      </c>
      <c r="M36" t="s">
        <v>48</v>
      </c>
      <c r="N36" s="46">
        <v>0</v>
      </c>
      <c r="O36" t="s">
        <v>48</v>
      </c>
      <c r="P36" t="s">
        <v>48</v>
      </c>
      <c r="Q36" t="s">
        <v>4654</v>
      </c>
      <c r="R36" s="47">
        <v>0</v>
      </c>
      <c r="S36" t="s">
        <v>48</v>
      </c>
      <c r="T36" t="s">
        <v>48</v>
      </c>
      <c r="U36">
        <v>0</v>
      </c>
      <c r="V36" t="s">
        <v>48</v>
      </c>
      <c r="W36" t="s">
        <v>48</v>
      </c>
      <c r="X36" t="s">
        <v>49</v>
      </c>
      <c r="Y36" t="s">
        <v>48</v>
      </c>
      <c r="Z36" t="s">
        <v>48</v>
      </c>
      <c r="AA36" t="s">
        <v>48</v>
      </c>
      <c r="AB36" t="s">
        <v>266</v>
      </c>
      <c r="AC36" t="s">
        <v>93</v>
      </c>
      <c r="AD36" t="s">
        <v>4655</v>
      </c>
      <c r="AE36" t="s">
        <v>4656</v>
      </c>
      <c r="AF36" t="s">
        <v>48</v>
      </c>
      <c r="AG36" t="s">
        <v>48</v>
      </c>
      <c r="AH36" t="s">
        <v>48</v>
      </c>
      <c r="AI36" t="s">
        <v>48</v>
      </c>
      <c r="AJ36" t="s">
        <v>48</v>
      </c>
      <c r="AK36" t="s">
        <v>48</v>
      </c>
      <c r="AL36" t="s">
        <v>48</v>
      </c>
      <c r="AM36">
        <v>0</v>
      </c>
      <c r="AN36">
        <v>0</v>
      </c>
      <c r="AO36">
        <v>0</v>
      </c>
      <c r="AP36">
        <v>0</v>
      </c>
      <c r="AQ36">
        <v>0</v>
      </c>
      <c r="AR36">
        <v>0</v>
      </c>
      <c r="AS36">
        <v>0</v>
      </c>
      <c r="AT36">
        <v>0</v>
      </c>
      <c r="AU36">
        <v>0</v>
      </c>
      <c r="AV36">
        <v>0</v>
      </c>
      <c r="AW36">
        <v>0</v>
      </c>
      <c r="AX36">
        <v>0</v>
      </c>
      <c r="AY36">
        <v>0</v>
      </c>
      <c r="AZ36">
        <v>0</v>
      </c>
      <c r="BA36">
        <v>0</v>
      </c>
      <c r="BB36">
        <v>0</v>
      </c>
      <c r="BC36">
        <v>0</v>
      </c>
      <c r="BD36" t="s">
        <v>48</v>
      </c>
    </row>
    <row r="37" spans="1:56" x14ac:dyDescent="0.35">
      <c r="A37" t="s">
        <v>11242</v>
      </c>
      <c r="B37" t="s">
        <v>4665</v>
      </c>
      <c r="C37" t="s">
        <v>4652</v>
      </c>
      <c r="D37" t="s">
        <v>4666</v>
      </c>
      <c r="E37" t="s">
        <v>47</v>
      </c>
      <c r="F37" s="60" t="s">
        <v>125</v>
      </c>
      <c r="G37" s="33" t="s">
        <v>45</v>
      </c>
      <c r="H37" s="46" t="s">
        <v>48</v>
      </c>
      <c r="I37" t="s">
        <v>48</v>
      </c>
      <c r="J37" s="46">
        <v>0</v>
      </c>
      <c r="K37" s="46">
        <v>0</v>
      </c>
      <c r="L37" s="46">
        <v>0</v>
      </c>
      <c r="M37" t="s">
        <v>48</v>
      </c>
      <c r="N37" s="46">
        <v>0</v>
      </c>
      <c r="O37" t="s">
        <v>48</v>
      </c>
      <c r="P37" t="s">
        <v>48</v>
      </c>
      <c r="Q37" t="s">
        <v>48</v>
      </c>
      <c r="R37" s="47">
        <v>0</v>
      </c>
      <c r="S37" t="s">
        <v>48</v>
      </c>
      <c r="T37" t="s">
        <v>48</v>
      </c>
      <c r="U37">
        <v>0</v>
      </c>
      <c r="V37" t="s">
        <v>48</v>
      </c>
      <c r="W37" t="s">
        <v>48</v>
      </c>
      <c r="X37" t="s">
        <v>49</v>
      </c>
      <c r="Y37" t="s">
        <v>93</v>
      </c>
      <c r="Z37" t="s">
        <v>4532</v>
      </c>
      <c r="AA37" t="s">
        <v>48</v>
      </c>
      <c r="AB37" t="s">
        <v>48</v>
      </c>
      <c r="AC37" t="s">
        <v>48</v>
      </c>
      <c r="AD37" t="s">
        <v>655</v>
      </c>
      <c r="AE37" t="s">
        <v>4667</v>
      </c>
      <c r="AF37" t="s">
        <v>48</v>
      </c>
      <c r="AG37" t="s">
        <v>48</v>
      </c>
      <c r="AH37" t="s">
        <v>48</v>
      </c>
      <c r="AI37" t="s">
        <v>48</v>
      </c>
      <c r="AJ37" t="s">
        <v>48</v>
      </c>
      <c r="AK37" t="s">
        <v>48</v>
      </c>
      <c r="AL37" t="s">
        <v>48</v>
      </c>
      <c r="AM37">
        <v>0</v>
      </c>
      <c r="AN37">
        <v>0</v>
      </c>
      <c r="AO37">
        <v>0</v>
      </c>
      <c r="AP37">
        <v>0</v>
      </c>
      <c r="AQ37">
        <v>0</v>
      </c>
      <c r="AR37">
        <v>0</v>
      </c>
      <c r="AS37">
        <v>0</v>
      </c>
      <c r="AT37">
        <v>0</v>
      </c>
      <c r="AU37">
        <v>0</v>
      </c>
      <c r="AV37">
        <v>0</v>
      </c>
      <c r="AW37">
        <v>0</v>
      </c>
      <c r="AX37">
        <v>0</v>
      </c>
      <c r="AY37">
        <v>0</v>
      </c>
      <c r="AZ37">
        <v>0</v>
      </c>
      <c r="BA37">
        <v>0</v>
      </c>
      <c r="BB37">
        <v>0</v>
      </c>
      <c r="BC37">
        <v>0</v>
      </c>
      <c r="BD37" t="s">
        <v>48</v>
      </c>
    </row>
    <row r="38" spans="1:56" x14ac:dyDescent="0.35">
      <c r="A38" t="s">
        <v>11242</v>
      </c>
      <c r="B38" t="s">
        <v>4705</v>
      </c>
      <c r="C38" t="s">
        <v>4687</v>
      </c>
      <c r="D38" t="s">
        <v>4706</v>
      </c>
      <c r="E38" t="s">
        <v>47</v>
      </c>
      <c r="F38" s="60" t="s">
        <v>177</v>
      </c>
      <c r="G38" s="33" t="s">
        <v>45</v>
      </c>
      <c r="H38" s="46" t="s">
        <v>48</v>
      </c>
      <c r="I38" t="s">
        <v>48</v>
      </c>
      <c r="J38" s="46">
        <v>0</v>
      </c>
      <c r="K38" s="46">
        <v>0</v>
      </c>
      <c r="L38" s="46">
        <v>0</v>
      </c>
      <c r="M38" t="s">
        <v>48</v>
      </c>
      <c r="N38" s="46">
        <v>0</v>
      </c>
      <c r="O38" t="s">
        <v>48</v>
      </c>
      <c r="P38" t="s">
        <v>48</v>
      </c>
      <c r="Q38" t="s">
        <v>48</v>
      </c>
      <c r="R38" s="47">
        <v>0</v>
      </c>
      <c r="S38" t="s">
        <v>48</v>
      </c>
      <c r="T38" t="s">
        <v>48</v>
      </c>
      <c r="U38">
        <v>0</v>
      </c>
      <c r="V38" t="s">
        <v>48</v>
      </c>
      <c r="W38" t="s">
        <v>48</v>
      </c>
      <c r="X38" t="s">
        <v>49</v>
      </c>
      <c r="Y38" t="s">
        <v>93</v>
      </c>
      <c r="Z38" t="s">
        <v>4532</v>
      </c>
      <c r="AA38" t="s">
        <v>48</v>
      </c>
      <c r="AB38" t="s">
        <v>48</v>
      </c>
      <c r="AC38" t="s">
        <v>48</v>
      </c>
      <c r="AD38" t="s">
        <v>331</v>
      </c>
      <c r="AE38" t="s">
        <v>4707</v>
      </c>
      <c r="AF38" t="s">
        <v>48</v>
      </c>
      <c r="AG38" t="s">
        <v>48</v>
      </c>
      <c r="AH38" t="s">
        <v>48</v>
      </c>
      <c r="AI38" t="s">
        <v>48</v>
      </c>
      <c r="AJ38" t="s">
        <v>48</v>
      </c>
      <c r="AK38" t="s">
        <v>48</v>
      </c>
      <c r="AL38" t="s">
        <v>48</v>
      </c>
      <c r="AM38">
        <v>0</v>
      </c>
      <c r="AN38">
        <v>0</v>
      </c>
      <c r="AO38">
        <v>0</v>
      </c>
      <c r="AP38">
        <v>0</v>
      </c>
      <c r="AQ38">
        <v>0</v>
      </c>
      <c r="AR38">
        <v>0</v>
      </c>
      <c r="AS38">
        <v>0</v>
      </c>
      <c r="AT38">
        <v>0</v>
      </c>
      <c r="AU38">
        <v>0</v>
      </c>
      <c r="AV38">
        <v>0</v>
      </c>
      <c r="AW38">
        <v>0</v>
      </c>
      <c r="AX38">
        <v>0</v>
      </c>
      <c r="AY38">
        <v>0</v>
      </c>
      <c r="AZ38">
        <v>0</v>
      </c>
      <c r="BA38">
        <v>0</v>
      </c>
      <c r="BB38">
        <v>0</v>
      </c>
      <c r="BC38">
        <v>0</v>
      </c>
      <c r="BD38" t="s">
        <v>48</v>
      </c>
    </row>
    <row r="39" spans="1:56" x14ac:dyDescent="0.35">
      <c r="A39" t="s">
        <v>11242</v>
      </c>
      <c r="B39" t="s">
        <v>4690</v>
      </c>
      <c r="C39" t="s">
        <v>4687</v>
      </c>
      <c r="D39" t="s">
        <v>4691</v>
      </c>
      <c r="E39" t="s">
        <v>47</v>
      </c>
      <c r="F39" s="60" t="s">
        <v>51</v>
      </c>
      <c r="G39" s="33" t="s">
        <v>45</v>
      </c>
      <c r="H39" s="46" t="s">
        <v>48</v>
      </c>
      <c r="I39" t="s">
        <v>48</v>
      </c>
      <c r="J39" s="46">
        <v>0</v>
      </c>
      <c r="K39" s="46">
        <v>0</v>
      </c>
      <c r="L39" s="46">
        <v>0</v>
      </c>
      <c r="M39" t="s">
        <v>48</v>
      </c>
      <c r="N39" s="46">
        <v>0</v>
      </c>
      <c r="O39" t="s">
        <v>48</v>
      </c>
      <c r="P39" t="s">
        <v>48</v>
      </c>
      <c r="Q39" t="s">
        <v>4692</v>
      </c>
      <c r="R39" s="47">
        <v>0</v>
      </c>
      <c r="S39" t="s">
        <v>48</v>
      </c>
      <c r="T39" t="s">
        <v>48</v>
      </c>
      <c r="U39">
        <v>0</v>
      </c>
      <c r="V39" t="s">
        <v>48</v>
      </c>
      <c r="W39" t="s">
        <v>48</v>
      </c>
      <c r="X39" t="s">
        <v>49</v>
      </c>
      <c r="Y39" t="s">
        <v>93</v>
      </c>
      <c r="Z39" t="s">
        <v>4532</v>
      </c>
      <c r="AA39" t="s">
        <v>48</v>
      </c>
      <c r="AB39" t="s">
        <v>48</v>
      </c>
      <c r="AC39" t="s">
        <v>48</v>
      </c>
      <c r="AD39" t="s">
        <v>273</v>
      </c>
      <c r="AE39" t="s">
        <v>4693</v>
      </c>
      <c r="AF39" t="s">
        <v>48</v>
      </c>
      <c r="AG39" t="s">
        <v>48</v>
      </c>
      <c r="AH39" t="s">
        <v>48</v>
      </c>
      <c r="AI39" t="s">
        <v>48</v>
      </c>
      <c r="AJ39" t="s">
        <v>48</v>
      </c>
      <c r="AK39" t="s">
        <v>48</v>
      </c>
      <c r="AL39" t="s">
        <v>48</v>
      </c>
      <c r="AM39">
        <v>0</v>
      </c>
      <c r="AN39">
        <v>0</v>
      </c>
      <c r="AO39">
        <v>0</v>
      </c>
      <c r="AP39">
        <v>0</v>
      </c>
      <c r="AQ39">
        <v>0</v>
      </c>
      <c r="AR39">
        <v>0</v>
      </c>
      <c r="AS39">
        <v>0</v>
      </c>
      <c r="AT39">
        <v>0</v>
      </c>
      <c r="AU39">
        <v>0</v>
      </c>
      <c r="AV39">
        <v>0</v>
      </c>
      <c r="AW39">
        <v>0</v>
      </c>
      <c r="AX39">
        <v>0</v>
      </c>
      <c r="AY39">
        <v>0</v>
      </c>
      <c r="AZ39">
        <v>0</v>
      </c>
      <c r="BA39">
        <v>0</v>
      </c>
      <c r="BB39">
        <v>0</v>
      </c>
      <c r="BC39">
        <v>0</v>
      </c>
      <c r="BD39" t="s">
        <v>48</v>
      </c>
    </row>
    <row r="40" spans="1:56" x14ac:dyDescent="0.35">
      <c r="A40" t="s">
        <v>11242</v>
      </c>
      <c r="B40" t="s">
        <v>4694</v>
      </c>
      <c r="C40" t="s">
        <v>4687</v>
      </c>
      <c r="D40" t="s">
        <v>4695</v>
      </c>
      <c r="E40" t="s">
        <v>47</v>
      </c>
      <c r="F40" s="60" t="s">
        <v>51</v>
      </c>
      <c r="G40" s="33" t="s">
        <v>45</v>
      </c>
      <c r="H40" s="46" t="s">
        <v>48</v>
      </c>
      <c r="I40" t="s">
        <v>48</v>
      </c>
      <c r="J40" s="46">
        <v>0</v>
      </c>
      <c r="K40" s="46">
        <v>0</v>
      </c>
      <c r="L40" s="46">
        <v>0</v>
      </c>
      <c r="M40" t="s">
        <v>48</v>
      </c>
      <c r="N40" s="46">
        <v>0</v>
      </c>
      <c r="O40" t="s">
        <v>48</v>
      </c>
      <c r="P40" t="s">
        <v>48</v>
      </c>
      <c r="Q40" t="s">
        <v>48</v>
      </c>
      <c r="R40" s="47">
        <v>0</v>
      </c>
      <c r="S40" t="s">
        <v>48</v>
      </c>
      <c r="T40" t="s">
        <v>48</v>
      </c>
      <c r="U40">
        <v>0</v>
      </c>
      <c r="V40" t="s">
        <v>48</v>
      </c>
      <c r="W40" t="s">
        <v>48</v>
      </c>
      <c r="X40" t="s">
        <v>49</v>
      </c>
      <c r="Y40" t="s">
        <v>93</v>
      </c>
      <c r="Z40" t="s">
        <v>4532</v>
      </c>
      <c r="AA40" t="s">
        <v>48</v>
      </c>
      <c r="AB40" t="s">
        <v>48</v>
      </c>
      <c r="AC40" t="s">
        <v>48</v>
      </c>
      <c r="AD40" t="s">
        <v>701</v>
      </c>
      <c r="AE40" t="s">
        <v>4696</v>
      </c>
      <c r="AF40" t="s">
        <v>48</v>
      </c>
      <c r="AG40" t="s">
        <v>48</v>
      </c>
      <c r="AH40" t="s">
        <v>48</v>
      </c>
      <c r="AI40" t="s">
        <v>48</v>
      </c>
      <c r="AJ40" t="s">
        <v>48</v>
      </c>
      <c r="AK40" t="s">
        <v>48</v>
      </c>
      <c r="AL40" t="s">
        <v>48</v>
      </c>
      <c r="AM40">
        <v>0</v>
      </c>
      <c r="AN40">
        <v>0</v>
      </c>
      <c r="AO40">
        <v>0</v>
      </c>
      <c r="AP40">
        <v>0</v>
      </c>
      <c r="AQ40">
        <v>0</v>
      </c>
      <c r="AR40">
        <v>0</v>
      </c>
      <c r="AS40">
        <v>0</v>
      </c>
      <c r="AT40">
        <v>0</v>
      </c>
      <c r="AU40">
        <v>0</v>
      </c>
      <c r="AV40">
        <v>0</v>
      </c>
      <c r="AW40">
        <v>0</v>
      </c>
      <c r="AX40">
        <v>0</v>
      </c>
      <c r="AY40">
        <v>0</v>
      </c>
      <c r="AZ40">
        <v>0</v>
      </c>
      <c r="BA40">
        <v>0</v>
      </c>
      <c r="BB40">
        <v>0</v>
      </c>
      <c r="BC40">
        <v>0</v>
      </c>
      <c r="BD40" t="s">
        <v>48</v>
      </c>
    </row>
    <row r="41" spans="1:56" x14ac:dyDescent="0.35">
      <c r="A41" t="s">
        <v>11242</v>
      </c>
      <c r="B41" t="s">
        <v>4721</v>
      </c>
      <c r="C41" t="s">
        <v>4717</v>
      </c>
      <c r="D41" t="s">
        <v>4722</v>
      </c>
      <c r="E41" t="s">
        <v>47</v>
      </c>
      <c r="F41" s="60" t="s">
        <v>149</v>
      </c>
      <c r="G41" s="33" t="s">
        <v>96</v>
      </c>
      <c r="H41" s="46">
        <v>0</v>
      </c>
      <c r="I41">
        <v>0.5</v>
      </c>
      <c r="J41" s="46">
        <v>0</v>
      </c>
      <c r="K41" s="46">
        <v>0</v>
      </c>
      <c r="L41" s="46">
        <v>0</v>
      </c>
      <c r="M41" t="s">
        <v>48</v>
      </c>
      <c r="N41" s="46">
        <v>0</v>
      </c>
      <c r="O41" t="s">
        <v>48</v>
      </c>
      <c r="P41" t="s">
        <v>48</v>
      </c>
      <c r="Q41" t="s">
        <v>48</v>
      </c>
      <c r="R41" s="47">
        <v>0</v>
      </c>
      <c r="S41" t="s">
        <v>48</v>
      </c>
      <c r="T41" t="s">
        <v>48</v>
      </c>
      <c r="U41">
        <v>0</v>
      </c>
      <c r="V41" t="s">
        <v>48</v>
      </c>
      <c r="W41" t="s">
        <v>48</v>
      </c>
      <c r="X41" t="s">
        <v>49</v>
      </c>
      <c r="Y41" t="s">
        <v>48</v>
      </c>
      <c r="Z41" t="s">
        <v>48</v>
      </c>
      <c r="AA41" t="s">
        <v>48</v>
      </c>
      <c r="AB41" t="s">
        <v>48</v>
      </c>
      <c r="AC41" t="s">
        <v>48</v>
      </c>
      <c r="AD41" t="s">
        <v>191</v>
      </c>
      <c r="AE41" t="s">
        <v>4723</v>
      </c>
      <c r="AF41" t="s">
        <v>48</v>
      </c>
      <c r="AG41" t="s">
        <v>48</v>
      </c>
      <c r="AH41" t="s">
        <v>48</v>
      </c>
      <c r="AI41" t="s">
        <v>48</v>
      </c>
      <c r="AJ41" t="s">
        <v>48</v>
      </c>
      <c r="AK41" t="s">
        <v>48</v>
      </c>
      <c r="AL41" t="s">
        <v>48</v>
      </c>
      <c r="AM41">
        <v>0</v>
      </c>
      <c r="AN41">
        <v>0</v>
      </c>
      <c r="AO41">
        <v>0</v>
      </c>
      <c r="AP41">
        <v>0</v>
      </c>
      <c r="AQ41">
        <v>0</v>
      </c>
      <c r="AR41">
        <v>0</v>
      </c>
      <c r="AS41">
        <v>0</v>
      </c>
      <c r="AT41">
        <v>0</v>
      </c>
      <c r="AU41">
        <v>0</v>
      </c>
      <c r="AV41">
        <v>0</v>
      </c>
      <c r="AW41">
        <v>0</v>
      </c>
      <c r="AX41">
        <v>0</v>
      </c>
      <c r="AY41">
        <v>0</v>
      </c>
      <c r="AZ41">
        <v>0</v>
      </c>
      <c r="BA41">
        <v>0</v>
      </c>
      <c r="BB41">
        <v>0</v>
      </c>
      <c r="BC41">
        <v>0</v>
      </c>
      <c r="BD41" t="s">
        <v>48</v>
      </c>
    </row>
    <row r="42" spans="1:56" x14ac:dyDescent="0.35">
      <c r="A42" t="s">
        <v>11242</v>
      </c>
      <c r="B42" t="s">
        <v>4724</v>
      </c>
      <c r="C42" t="s">
        <v>4717</v>
      </c>
      <c r="D42" t="s">
        <v>4725</v>
      </c>
      <c r="E42" t="s">
        <v>47</v>
      </c>
      <c r="F42" s="60" t="s">
        <v>78</v>
      </c>
      <c r="G42" s="33" t="s">
        <v>96</v>
      </c>
      <c r="H42" s="46">
        <v>0</v>
      </c>
      <c r="I42" t="s">
        <v>48</v>
      </c>
      <c r="J42" s="46">
        <v>0</v>
      </c>
      <c r="K42" s="46">
        <v>0</v>
      </c>
      <c r="L42" s="46">
        <v>0</v>
      </c>
      <c r="M42" t="s">
        <v>48</v>
      </c>
      <c r="N42" s="46">
        <v>0</v>
      </c>
      <c r="O42" t="s">
        <v>48</v>
      </c>
      <c r="P42" t="s">
        <v>48</v>
      </c>
      <c r="Q42" t="s">
        <v>48</v>
      </c>
      <c r="R42" s="47">
        <v>0</v>
      </c>
      <c r="S42" t="s">
        <v>48</v>
      </c>
      <c r="T42" t="s">
        <v>48</v>
      </c>
      <c r="U42">
        <v>0</v>
      </c>
      <c r="V42" t="s">
        <v>48</v>
      </c>
      <c r="W42" t="s">
        <v>48</v>
      </c>
      <c r="X42" t="s">
        <v>49</v>
      </c>
      <c r="Y42" t="s">
        <v>93</v>
      </c>
      <c r="Z42" t="s">
        <v>4532</v>
      </c>
      <c r="AA42" t="s">
        <v>48</v>
      </c>
      <c r="AB42" t="s">
        <v>48</v>
      </c>
      <c r="AC42" t="s">
        <v>48</v>
      </c>
      <c r="AD42" t="s">
        <v>4726</v>
      </c>
      <c r="AE42" t="s">
        <v>4727</v>
      </c>
      <c r="AF42" t="s">
        <v>48</v>
      </c>
      <c r="AG42" t="s">
        <v>48</v>
      </c>
      <c r="AH42" t="s">
        <v>48</v>
      </c>
      <c r="AI42" t="s">
        <v>48</v>
      </c>
      <c r="AJ42" t="s">
        <v>48</v>
      </c>
      <c r="AK42" t="s">
        <v>48</v>
      </c>
      <c r="AL42" t="s">
        <v>48</v>
      </c>
      <c r="AM42">
        <v>0</v>
      </c>
      <c r="AN42">
        <v>0</v>
      </c>
      <c r="AO42">
        <v>0</v>
      </c>
      <c r="AP42">
        <v>0</v>
      </c>
      <c r="AQ42">
        <v>0</v>
      </c>
      <c r="AR42">
        <v>0</v>
      </c>
      <c r="AS42">
        <v>0</v>
      </c>
      <c r="AT42">
        <v>0</v>
      </c>
      <c r="AU42">
        <v>0</v>
      </c>
      <c r="AV42">
        <v>0</v>
      </c>
      <c r="AW42">
        <v>0</v>
      </c>
      <c r="AX42">
        <v>0</v>
      </c>
      <c r="AY42">
        <v>0</v>
      </c>
      <c r="AZ42">
        <v>0</v>
      </c>
      <c r="BA42">
        <v>0</v>
      </c>
      <c r="BB42">
        <v>0</v>
      </c>
      <c r="BC42">
        <v>0</v>
      </c>
      <c r="BD42" t="s">
        <v>48</v>
      </c>
    </row>
    <row r="43" spans="1:56" x14ac:dyDescent="0.35">
      <c r="A43" t="s">
        <v>11242</v>
      </c>
      <c r="B43" t="s">
        <v>6008</v>
      </c>
      <c r="C43" t="s">
        <v>5980</v>
      </c>
      <c r="D43" t="s">
        <v>6009</v>
      </c>
      <c r="E43" t="s">
        <v>74</v>
      </c>
      <c r="F43" s="60" t="s">
        <v>125</v>
      </c>
      <c r="G43" s="33" t="s">
        <v>45</v>
      </c>
      <c r="H43" s="46" t="s">
        <v>48</v>
      </c>
      <c r="I43" t="s">
        <v>48</v>
      </c>
      <c r="J43" s="46">
        <v>0</v>
      </c>
      <c r="K43" s="46">
        <v>0</v>
      </c>
      <c r="L43" s="46">
        <v>0</v>
      </c>
      <c r="M43" t="s">
        <v>48</v>
      </c>
      <c r="N43" s="46">
        <v>0</v>
      </c>
      <c r="O43" t="s">
        <v>48</v>
      </c>
      <c r="P43" t="s">
        <v>48</v>
      </c>
      <c r="Q43" t="s">
        <v>48</v>
      </c>
      <c r="R43" s="47">
        <v>0</v>
      </c>
      <c r="S43" t="s">
        <v>48</v>
      </c>
      <c r="T43" t="s">
        <v>48</v>
      </c>
      <c r="U43">
        <v>0</v>
      </c>
      <c r="V43" t="s">
        <v>48</v>
      </c>
      <c r="W43" t="s">
        <v>48</v>
      </c>
      <c r="X43" t="s">
        <v>49</v>
      </c>
      <c r="Y43" t="s">
        <v>93</v>
      </c>
      <c r="Z43" t="s">
        <v>4532</v>
      </c>
      <c r="AA43" t="s">
        <v>48</v>
      </c>
      <c r="AB43" t="s">
        <v>48</v>
      </c>
      <c r="AC43" t="s">
        <v>48</v>
      </c>
      <c r="AD43" t="s">
        <v>6010</v>
      </c>
      <c r="AE43" t="s">
        <v>6011</v>
      </c>
      <c r="AF43" t="s">
        <v>48</v>
      </c>
      <c r="AG43" t="s">
        <v>48</v>
      </c>
      <c r="AH43" t="s">
        <v>48</v>
      </c>
      <c r="AI43" t="s">
        <v>48</v>
      </c>
      <c r="AJ43" t="s">
        <v>48</v>
      </c>
      <c r="AK43" t="s">
        <v>48</v>
      </c>
      <c r="AL43" t="s">
        <v>48</v>
      </c>
      <c r="AM43">
        <v>0</v>
      </c>
      <c r="AN43">
        <v>0</v>
      </c>
      <c r="AO43">
        <v>0</v>
      </c>
      <c r="AP43">
        <v>0</v>
      </c>
      <c r="AQ43">
        <v>0</v>
      </c>
      <c r="AR43">
        <v>0</v>
      </c>
      <c r="AS43">
        <v>0</v>
      </c>
      <c r="AT43">
        <v>0</v>
      </c>
      <c r="AU43">
        <v>0</v>
      </c>
      <c r="AV43">
        <v>0</v>
      </c>
      <c r="AW43">
        <v>0</v>
      </c>
      <c r="AX43">
        <v>0</v>
      </c>
      <c r="AY43">
        <v>0</v>
      </c>
      <c r="AZ43">
        <v>0</v>
      </c>
      <c r="BA43">
        <v>0</v>
      </c>
      <c r="BB43">
        <v>0</v>
      </c>
      <c r="BC43">
        <v>0</v>
      </c>
      <c r="BD43" t="s">
        <v>48</v>
      </c>
    </row>
    <row r="44" spans="1:56" x14ac:dyDescent="0.35">
      <c r="A44" t="s">
        <v>11242</v>
      </c>
      <c r="B44" t="s">
        <v>6016</v>
      </c>
      <c r="C44" t="s">
        <v>5980</v>
      </c>
      <c r="D44" t="s">
        <v>6017</v>
      </c>
      <c r="E44" t="s">
        <v>74</v>
      </c>
      <c r="F44" s="60" t="s">
        <v>125</v>
      </c>
      <c r="G44" s="33" t="s">
        <v>45</v>
      </c>
      <c r="H44" s="46" t="s">
        <v>48</v>
      </c>
      <c r="I44" t="s">
        <v>48</v>
      </c>
      <c r="J44" s="46">
        <v>0</v>
      </c>
      <c r="K44" s="46">
        <v>0</v>
      </c>
      <c r="L44" s="46">
        <v>0</v>
      </c>
      <c r="M44" t="s">
        <v>48</v>
      </c>
      <c r="N44" s="46">
        <v>0</v>
      </c>
      <c r="O44" t="s">
        <v>48</v>
      </c>
      <c r="P44" t="s">
        <v>48</v>
      </c>
      <c r="Q44" t="s">
        <v>6018</v>
      </c>
      <c r="R44" s="47">
        <v>0</v>
      </c>
      <c r="S44" t="s">
        <v>48</v>
      </c>
      <c r="T44" t="s">
        <v>48</v>
      </c>
      <c r="U44">
        <v>0</v>
      </c>
      <c r="V44" t="s">
        <v>48</v>
      </c>
      <c r="W44" t="s">
        <v>48</v>
      </c>
      <c r="X44" t="s">
        <v>49</v>
      </c>
      <c r="Y44" t="s">
        <v>48</v>
      </c>
      <c r="Z44" t="s">
        <v>48</v>
      </c>
      <c r="AA44" t="s">
        <v>48</v>
      </c>
      <c r="AB44" t="s">
        <v>48</v>
      </c>
      <c r="AC44" t="s">
        <v>48</v>
      </c>
      <c r="AD44" t="s">
        <v>961</v>
      </c>
      <c r="AE44" t="s">
        <v>6019</v>
      </c>
      <c r="AF44" t="s">
        <v>48</v>
      </c>
      <c r="AG44" t="s">
        <v>48</v>
      </c>
      <c r="AH44" t="s">
        <v>48</v>
      </c>
      <c r="AI44" t="s">
        <v>48</v>
      </c>
      <c r="AJ44" t="s">
        <v>48</v>
      </c>
      <c r="AK44" t="s">
        <v>48</v>
      </c>
      <c r="AL44" t="s">
        <v>48</v>
      </c>
      <c r="AM44">
        <v>0</v>
      </c>
      <c r="AN44">
        <v>0</v>
      </c>
      <c r="AO44">
        <v>0</v>
      </c>
      <c r="AP44">
        <v>0</v>
      </c>
      <c r="AQ44">
        <v>0</v>
      </c>
      <c r="AR44">
        <v>0</v>
      </c>
      <c r="AS44">
        <v>0</v>
      </c>
      <c r="AT44">
        <v>0</v>
      </c>
      <c r="AU44">
        <v>0</v>
      </c>
      <c r="AV44">
        <v>0</v>
      </c>
      <c r="AW44">
        <v>0</v>
      </c>
      <c r="AX44">
        <v>0</v>
      </c>
      <c r="AY44">
        <v>0</v>
      </c>
      <c r="AZ44">
        <v>0</v>
      </c>
      <c r="BA44">
        <v>0</v>
      </c>
      <c r="BB44">
        <v>0</v>
      </c>
      <c r="BC44">
        <v>0</v>
      </c>
      <c r="BD44" t="s">
        <v>48</v>
      </c>
    </row>
    <row r="45" spans="1:56" x14ac:dyDescent="0.35">
      <c r="A45" t="s">
        <v>11242</v>
      </c>
      <c r="B45" t="s">
        <v>6012</v>
      </c>
      <c r="C45" t="s">
        <v>5980</v>
      </c>
      <c r="D45" t="s">
        <v>6013</v>
      </c>
      <c r="E45" t="s">
        <v>74</v>
      </c>
      <c r="F45" s="60" t="s">
        <v>125</v>
      </c>
      <c r="G45" s="33" t="s">
        <v>45</v>
      </c>
      <c r="H45" s="46" t="s">
        <v>48</v>
      </c>
      <c r="I45" t="s">
        <v>48</v>
      </c>
      <c r="J45" s="46">
        <v>0</v>
      </c>
      <c r="K45" s="46">
        <v>0</v>
      </c>
      <c r="L45" s="46">
        <v>0</v>
      </c>
      <c r="M45" t="s">
        <v>48</v>
      </c>
      <c r="N45" s="46">
        <v>0</v>
      </c>
      <c r="O45" t="s">
        <v>48</v>
      </c>
      <c r="P45" t="s">
        <v>48</v>
      </c>
      <c r="Q45" t="s">
        <v>6014</v>
      </c>
      <c r="R45" s="47">
        <v>0</v>
      </c>
      <c r="S45" t="s">
        <v>48</v>
      </c>
      <c r="T45" t="s">
        <v>48</v>
      </c>
      <c r="U45">
        <v>0</v>
      </c>
      <c r="V45" t="s">
        <v>48</v>
      </c>
      <c r="W45" t="s">
        <v>48</v>
      </c>
      <c r="X45" t="s">
        <v>49</v>
      </c>
      <c r="Y45" t="s">
        <v>93</v>
      </c>
      <c r="Z45" t="s">
        <v>4532</v>
      </c>
      <c r="AA45" t="s">
        <v>48</v>
      </c>
      <c r="AB45" t="s">
        <v>48</v>
      </c>
      <c r="AC45" t="s">
        <v>48</v>
      </c>
      <c r="AD45" t="s">
        <v>396</v>
      </c>
      <c r="AE45" t="s">
        <v>6015</v>
      </c>
      <c r="AF45" t="s">
        <v>48</v>
      </c>
      <c r="AG45" t="s">
        <v>48</v>
      </c>
      <c r="AH45" t="s">
        <v>48</v>
      </c>
      <c r="AI45" t="s">
        <v>48</v>
      </c>
      <c r="AJ45" t="s">
        <v>48</v>
      </c>
      <c r="AK45" t="s">
        <v>48</v>
      </c>
      <c r="AL45" t="s">
        <v>48</v>
      </c>
      <c r="AM45">
        <v>0</v>
      </c>
      <c r="AN45">
        <v>0</v>
      </c>
      <c r="AO45">
        <v>0</v>
      </c>
      <c r="AP45">
        <v>0</v>
      </c>
      <c r="AQ45">
        <v>0</v>
      </c>
      <c r="AR45">
        <v>0</v>
      </c>
      <c r="AS45">
        <v>0</v>
      </c>
      <c r="AT45">
        <v>0</v>
      </c>
      <c r="AU45">
        <v>0</v>
      </c>
      <c r="AV45">
        <v>0</v>
      </c>
      <c r="AW45">
        <v>0</v>
      </c>
      <c r="AX45">
        <v>0</v>
      </c>
      <c r="AY45">
        <v>0</v>
      </c>
      <c r="AZ45">
        <v>0</v>
      </c>
      <c r="BA45">
        <v>0</v>
      </c>
      <c r="BB45">
        <v>0</v>
      </c>
      <c r="BC45">
        <v>0</v>
      </c>
      <c r="BD45" t="s">
        <v>48</v>
      </c>
    </row>
    <row r="46" spans="1:56" x14ac:dyDescent="0.35">
      <c r="A46" t="s">
        <v>11242</v>
      </c>
      <c r="B46" t="s">
        <v>5984</v>
      </c>
      <c r="C46" t="s">
        <v>5980</v>
      </c>
      <c r="D46" t="s">
        <v>5985</v>
      </c>
      <c r="E46" t="s">
        <v>47</v>
      </c>
      <c r="F46" s="60" t="s">
        <v>125</v>
      </c>
      <c r="G46" s="33" t="s">
        <v>45</v>
      </c>
      <c r="H46" s="46" t="s">
        <v>48</v>
      </c>
      <c r="I46" t="s">
        <v>48</v>
      </c>
      <c r="J46" s="46">
        <v>0</v>
      </c>
      <c r="K46" s="46">
        <v>0</v>
      </c>
      <c r="L46" s="46">
        <v>0</v>
      </c>
      <c r="M46" t="s">
        <v>48</v>
      </c>
      <c r="N46" s="46">
        <v>0</v>
      </c>
      <c r="O46" t="s">
        <v>48</v>
      </c>
      <c r="P46" t="s">
        <v>48</v>
      </c>
      <c r="Q46" t="s">
        <v>48</v>
      </c>
      <c r="R46" s="47">
        <v>0</v>
      </c>
      <c r="S46" t="s">
        <v>48</v>
      </c>
      <c r="T46" t="s">
        <v>48</v>
      </c>
      <c r="U46">
        <v>0</v>
      </c>
      <c r="V46" t="s">
        <v>48</v>
      </c>
      <c r="W46" t="s">
        <v>48</v>
      </c>
      <c r="X46" t="s">
        <v>63</v>
      </c>
      <c r="Y46" t="s">
        <v>951</v>
      </c>
      <c r="Z46" t="s">
        <v>11051</v>
      </c>
      <c r="AA46" t="s">
        <v>48</v>
      </c>
      <c r="AB46" t="s">
        <v>48</v>
      </c>
      <c r="AC46" t="s">
        <v>48</v>
      </c>
      <c r="AD46" t="s">
        <v>521</v>
      </c>
      <c r="AE46" t="s">
        <v>5986</v>
      </c>
      <c r="AF46" t="s">
        <v>48</v>
      </c>
      <c r="AG46" t="s">
        <v>48</v>
      </c>
      <c r="AH46" t="s">
        <v>48</v>
      </c>
      <c r="AI46" t="s">
        <v>48</v>
      </c>
      <c r="AJ46" t="s">
        <v>48</v>
      </c>
      <c r="AK46" t="s">
        <v>48</v>
      </c>
      <c r="AL46" t="s">
        <v>48</v>
      </c>
      <c r="AM46">
        <v>0</v>
      </c>
      <c r="AN46">
        <v>0</v>
      </c>
      <c r="AO46">
        <v>0</v>
      </c>
      <c r="AP46">
        <v>0</v>
      </c>
      <c r="AQ46">
        <v>0</v>
      </c>
      <c r="AR46">
        <v>0</v>
      </c>
      <c r="AS46">
        <v>0</v>
      </c>
      <c r="AT46">
        <v>0</v>
      </c>
      <c r="AU46">
        <v>0</v>
      </c>
      <c r="AV46">
        <v>0</v>
      </c>
      <c r="AW46">
        <v>0</v>
      </c>
      <c r="AX46">
        <v>0</v>
      </c>
      <c r="AY46">
        <v>0</v>
      </c>
      <c r="AZ46">
        <v>0</v>
      </c>
      <c r="BA46">
        <v>0</v>
      </c>
      <c r="BB46">
        <v>0</v>
      </c>
      <c r="BC46">
        <v>0</v>
      </c>
      <c r="BD46" t="s">
        <v>48</v>
      </c>
    </row>
    <row r="47" spans="1:56" x14ac:dyDescent="0.35">
      <c r="A47" t="s">
        <v>11242</v>
      </c>
      <c r="B47" t="s">
        <v>5995</v>
      </c>
      <c r="C47" t="s">
        <v>5980</v>
      </c>
      <c r="D47" t="s">
        <v>5996</v>
      </c>
      <c r="E47" t="s">
        <v>47</v>
      </c>
      <c r="F47" s="60" t="s">
        <v>51</v>
      </c>
      <c r="G47" s="33" t="s">
        <v>45</v>
      </c>
      <c r="H47" s="46" t="s">
        <v>48</v>
      </c>
      <c r="I47" t="s">
        <v>48</v>
      </c>
      <c r="J47" s="46">
        <v>0</v>
      </c>
      <c r="K47" s="46">
        <v>0</v>
      </c>
      <c r="L47" s="46">
        <v>0</v>
      </c>
      <c r="M47" t="s">
        <v>48</v>
      </c>
      <c r="N47" s="46">
        <v>0</v>
      </c>
      <c r="O47" t="s">
        <v>48</v>
      </c>
      <c r="P47" t="s">
        <v>48</v>
      </c>
      <c r="Q47" t="s">
        <v>5997</v>
      </c>
      <c r="R47" s="47">
        <v>0</v>
      </c>
      <c r="S47" t="s">
        <v>48</v>
      </c>
      <c r="T47" t="s">
        <v>48</v>
      </c>
      <c r="U47">
        <v>0</v>
      </c>
      <c r="V47" t="s">
        <v>48</v>
      </c>
      <c r="W47" t="s">
        <v>48</v>
      </c>
      <c r="X47" t="s">
        <v>49</v>
      </c>
      <c r="Y47" t="s">
        <v>93</v>
      </c>
      <c r="Z47" t="s">
        <v>4532</v>
      </c>
      <c r="AA47" t="s">
        <v>48</v>
      </c>
      <c r="AB47" t="s">
        <v>151</v>
      </c>
      <c r="AC47" t="s">
        <v>48</v>
      </c>
      <c r="AD47" t="s">
        <v>210</v>
      </c>
      <c r="AE47" t="s">
        <v>5998</v>
      </c>
      <c r="AF47" t="s">
        <v>48</v>
      </c>
      <c r="AG47" t="s">
        <v>48</v>
      </c>
      <c r="AH47" t="s">
        <v>48</v>
      </c>
      <c r="AI47" t="s">
        <v>48</v>
      </c>
      <c r="AJ47" t="s">
        <v>48</v>
      </c>
      <c r="AK47" t="s">
        <v>48</v>
      </c>
      <c r="AL47" t="s">
        <v>48</v>
      </c>
      <c r="AM47">
        <v>0</v>
      </c>
      <c r="AN47">
        <v>0</v>
      </c>
      <c r="AO47">
        <v>0</v>
      </c>
      <c r="AP47">
        <v>0</v>
      </c>
      <c r="AQ47">
        <v>0</v>
      </c>
      <c r="AR47">
        <v>0</v>
      </c>
      <c r="AS47">
        <v>0</v>
      </c>
      <c r="AT47">
        <v>0</v>
      </c>
      <c r="AU47">
        <v>0</v>
      </c>
      <c r="AV47">
        <v>0</v>
      </c>
      <c r="AW47">
        <v>0</v>
      </c>
      <c r="AX47">
        <v>0</v>
      </c>
      <c r="AY47">
        <v>0</v>
      </c>
      <c r="AZ47">
        <v>0</v>
      </c>
      <c r="BA47">
        <v>0</v>
      </c>
      <c r="BB47">
        <v>0</v>
      </c>
      <c r="BC47">
        <v>0</v>
      </c>
      <c r="BD47" t="s">
        <v>48</v>
      </c>
    </row>
    <row r="48" spans="1:56" x14ac:dyDescent="0.35">
      <c r="A48" t="s">
        <v>11242</v>
      </c>
      <c r="B48" t="s">
        <v>7344</v>
      </c>
      <c r="C48" t="s">
        <v>7309</v>
      </c>
      <c r="D48" t="s">
        <v>11046</v>
      </c>
      <c r="E48" t="s">
        <v>47</v>
      </c>
      <c r="F48" s="60" t="s">
        <v>51</v>
      </c>
      <c r="G48" s="33" t="s">
        <v>45</v>
      </c>
      <c r="H48" s="46">
        <v>0</v>
      </c>
      <c r="I48" t="s">
        <v>48</v>
      </c>
      <c r="J48" s="46">
        <v>0</v>
      </c>
      <c r="K48" s="46">
        <v>0</v>
      </c>
      <c r="L48" s="46">
        <v>0</v>
      </c>
      <c r="M48" t="s">
        <v>48</v>
      </c>
      <c r="N48" s="46">
        <v>0</v>
      </c>
      <c r="O48" t="s">
        <v>48</v>
      </c>
      <c r="P48" t="s">
        <v>48</v>
      </c>
      <c r="Q48" t="s">
        <v>7345</v>
      </c>
      <c r="R48" s="47">
        <v>0</v>
      </c>
      <c r="S48" t="s">
        <v>48</v>
      </c>
      <c r="T48" t="s">
        <v>48</v>
      </c>
      <c r="U48">
        <v>0</v>
      </c>
      <c r="V48" t="s">
        <v>48</v>
      </c>
      <c r="W48" t="s">
        <v>48</v>
      </c>
      <c r="X48" t="s">
        <v>63</v>
      </c>
      <c r="Y48" t="s">
        <v>93</v>
      </c>
      <c r="Z48" t="s">
        <v>4532</v>
      </c>
      <c r="AA48" t="s">
        <v>48</v>
      </c>
      <c r="AB48" t="s">
        <v>48</v>
      </c>
      <c r="AC48" t="s">
        <v>48</v>
      </c>
      <c r="AD48" t="s">
        <v>4253</v>
      </c>
      <c r="AE48" t="s">
        <v>7346</v>
      </c>
      <c r="AF48" t="s">
        <v>48</v>
      </c>
      <c r="AG48" t="s">
        <v>48</v>
      </c>
      <c r="AH48" t="s">
        <v>48</v>
      </c>
      <c r="AI48" t="s">
        <v>48</v>
      </c>
      <c r="AJ48" t="s">
        <v>48</v>
      </c>
      <c r="AK48" t="s">
        <v>48</v>
      </c>
      <c r="AL48" t="s">
        <v>48</v>
      </c>
      <c r="AM48">
        <v>0</v>
      </c>
      <c r="AN48">
        <v>0</v>
      </c>
      <c r="AO48">
        <v>0</v>
      </c>
      <c r="AP48">
        <v>0</v>
      </c>
      <c r="AQ48">
        <v>0</v>
      </c>
      <c r="AR48">
        <v>0</v>
      </c>
      <c r="AS48">
        <v>0</v>
      </c>
      <c r="AT48">
        <v>0</v>
      </c>
      <c r="AU48">
        <v>0</v>
      </c>
      <c r="AV48">
        <v>0</v>
      </c>
      <c r="AW48">
        <v>0</v>
      </c>
      <c r="AX48">
        <v>0</v>
      </c>
      <c r="AY48">
        <v>0</v>
      </c>
      <c r="AZ48">
        <v>0</v>
      </c>
      <c r="BA48">
        <v>0</v>
      </c>
      <c r="BB48">
        <v>0</v>
      </c>
      <c r="BC48">
        <v>0</v>
      </c>
      <c r="BD48" t="s">
        <v>48</v>
      </c>
    </row>
    <row r="49" spans="1:56" x14ac:dyDescent="0.35">
      <c r="A49" t="s">
        <v>11242</v>
      </c>
      <c r="B49" t="s">
        <v>7366</v>
      </c>
      <c r="C49" t="s">
        <v>7333</v>
      </c>
      <c r="D49" t="s">
        <v>7367</v>
      </c>
      <c r="E49" t="s">
        <v>47</v>
      </c>
      <c r="F49" s="60" t="s">
        <v>125</v>
      </c>
      <c r="G49" s="33" t="s">
        <v>45</v>
      </c>
      <c r="H49" s="46">
        <v>1</v>
      </c>
      <c r="I49" t="s">
        <v>48</v>
      </c>
      <c r="J49" s="46">
        <v>0</v>
      </c>
      <c r="K49" s="46">
        <v>0</v>
      </c>
      <c r="L49" s="46">
        <v>0</v>
      </c>
      <c r="M49" t="s">
        <v>48</v>
      </c>
      <c r="N49" s="46">
        <v>0</v>
      </c>
      <c r="O49" t="s">
        <v>48</v>
      </c>
      <c r="P49" t="s">
        <v>48</v>
      </c>
      <c r="Q49" t="s">
        <v>7368</v>
      </c>
      <c r="R49" s="47">
        <v>0</v>
      </c>
      <c r="S49" t="s">
        <v>48</v>
      </c>
      <c r="T49" t="s">
        <v>48</v>
      </c>
      <c r="U49">
        <v>0</v>
      </c>
      <c r="V49" t="s">
        <v>48</v>
      </c>
      <c r="W49" t="s">
        <v>48</v>
      </c>
      <c r="X49" t="s">
        <v>49</v>
      </c>
      <c r="Y49" t="s">
        <v>93</v>
      </c>
      <c r="Z49" t="s">
        <v>4532</v>
      </c>
      <c r="AA49" t="s">
        <v>48</v>
      </c>
      <c r="AB49" t="s">
        <v>48</v>
      </c>
      <c r="AC49" t="s">
        <v>48</v>
      </c>
      <c r="AD49" t="s">
        <v>771</v>
      </c>
      <c r="AE49" t="s">
        <v>7369</v>
      </c>
      <c r="AF49" t="s">
        <v>48</v>
      </c>
      <c r="AG49" t="s">
        <v>48</v>
      </c>
      <c r="AH49" t="s">
        <v>48</v>
      </c>
      <c r="AI49" t="s">
        <v>48</v>
      </c>
      <c r="AJ49" t="s">
        <v>48</v>
      </c>
      <c r="AK49" t="s">
        <v>48</v>
      </c>
      <c r="AL49" t="s">
        <v>48</v>
      </c>
      <c r="AM49">
        <v>0</v>
      </c>
      <c r="AN49">
        <v>0</v>
      </c>
      <c r="AO49">
        <v>0</v>
      </c>
      <c r="AP49">
        <v>0</v>
      </c>
      <c r="AQ49">
        <v>0</v>
      </c>
      <c r="AR49">
        <v>0</v>
      </c>
      <c r="AS49">
        <v>0</v>
      </c>
      <c r="AT49">
        <v>0</v>
      </c>
      <c r="AU49">
        <v>0</v>
      </c>
      <c r="AV49">
        <v>0</v>
      </c>
      <c r="AW49">
        <v>0</v>
      </c>
      <c r="AX49">
        <v>0</v>
      </c>
      <c r="AY49">
        <v>0</v>
      </c>
      <c r="AZ49">
        <v>0</v>
      </c>
      <c r="BA49">
        <v>0</v>
      </c>
      <c r="BB49">
        <v>0</v>
      </c>
      <c r="BC49">
        <v>0</v>
      </c>
      <c r="BD49" t="s">
        <v>48</v>
      </c>
    </row>
    <row r="50" spans="1:56" x14ac:dyDescent="0.35">
      <c r="A50" t="s">
        <v>11242</v>
      </c>
      <c r="B50" t="s">
        <v>7374</v>
      </c>
      <c r="C50" t="s">
        <v>7333</v>
      </c>
      <c r="D50" t="s">
        <v>7375</v>
      </c>
      <c r="E50" t="s">
        <v>47</v>
      </c>
      <c r="F50" s="60" t="s">
        <v>125</v>
      </c>
      <c r="G50" s="33" t="s">
        <v>45</v>
      </c>
      <c r="H50" s="46">
        <v>0</v>
      </c>
      <c r="I50" t="s">
        <v>48</v>
      </c>
      <c r="J50" s="46">
        <v>0</v>
      </c>
      <c r="K50" s="46">
        <v>0</v>
      </c>
      <c r="L50" s="46">
        <v>0</v>
      </c>
      <c r="M50" t="s">
        <v>48</v>
      </c>
      <c r="N50" s="46">
        <v>0</v>
      </c>
      <c r="O50" t="s">
        <v>48</v>
      </c>
      <c r="P50" t="s">
        <v>48</v>
      </c>
      <c r="Q50" t="s">
        <v>7376</v>
      </c>
      <c r="R50" s="47">
        <v>0</v>
      </c>
      <c r="S50" t="s">
        <v>48</v>
      </c>
      <c r="T50" t="s">
        <v>48</v>
      </c>
      <c r="U50">
        <v>0</v>
      </c>
      <c r="V50" t="s">
        <v>48</v>
      </c>
      <c r="W50" t="s">
        <v>48</v>
      </c>
      <c r="X50" t="s">
        <v>63</v>
      </c>
      <c r="Y50" t="s">
        <v>93</v>
      </c>
      <c r="Z50" t="s">
        <v>4532</v>
      </c>
      <c r="AA50" t="s">
        <v>48</v>
      </c>
      <c r="AB50" t="s">
        <v>48</v>
      </c>
      <c r="AC50" t="s">
        <v>48</v>
      </c>
      <c r="AD50" t="s">
        <v>7377</v>
      </c>
      <c r="AE50" t="s">
        <v>522</v>
      </c>
      <c r="AF50" t="s">
        <v>48</v>
      </c>
      <c r="AG50" t="s">
        <v>48</v>
      </c>
      <c r="AH50" t="s">
        <v>48</v>
      </c>
      <c r="AI50" t="s">
        <v>48</v>
      </c>
      <c r="AJ50" t="s">
        <v>48</v>
      </c>
      <c r="AK50" t="s">
        <v>48</v>
      </c>
      <c r="AL50" t="s">
        <v>48</v>
      </c>
      <c r="AM50">
        <v>0</v>
      </c>
      <c r="AN50">
        <v>0</v>
      </c>
      <c r="AO50">
        <v>0</v>
      </c>
      <c r="AP50">
        <v>0</v>
      </c>
      <c r="AQ50">
        <v>0</v>
      </c>
      <c r="AR50">
        <v>0</v>
      </c>
      <c r="AS50">
        <v>0</v>
      </c>
      <c r="AT50">
        <v>0</v>
      </c>
      <c r="AU50">
        <v>0</v>
      </c>
      <c r="AV50">
        <v>0</v>
      </c>
      <c r="AW50">
        <v>0</v>
      </c>
      <c r="AX50">
        <v>0</v>
      </c>
      <c r="AY50">
        <v>0</v>
      </c>
      <c r="AZ50">
        <v>0</v>
      </c>
      <c r="BA50">
        <v>0</v>
      </c>
      <c r="BB50">
        <v>0</v>
      </c>
      <c r="BC50">
        <v>0</v>
      </c>
      <c r="BD50" t="s">
        <v>48</v>
      </c>
    </row>
    <row r="51" spans="1:56" x14ac:dyDescent="0.35">
      <c r="A51" t="s">
        <v>11242</v>
      </c>
      <c r="B51" t="s">
        <v>7363</v>
      </c>
      <c r="C51" t="s">
        <v>7333</v>
      </c>
      <c r="D51" t="s">
        <v>7364</v>
      </c>
      <c r="E51" t="s">
        <v>47</v>
      </c>
      <c r="F51" s="60" t="s">
        <v>78</v>
      </c>
      <c r="G51" s="33" t="s">
        <v>45</v>
      </c>
      <c r="H51" s="46">
        <v>0</v>
      </c>
      <c r="I51" t="s">
        <v>48</v>
      </c>
      <c r="J51" s="46">
        <v>0</v>
      </c>
      <c r="K51" s="46">
        <v>0</v>
      </c>
      <c r="L51" s="46">
        <v>0</v>
      </c>
      <c r="M51" t="s">
        <v>48</v>
      </c>
      <c r="N51" s="46">
        <v>0</v>
      </c>
      <c r="O51" t="s">
        <v>48</v>
      </c>
      <c r="P51" t="s">
        <v>48</v>
      </c>
      <c r="Q51" t="s">
        <v>48</v>
      </c>
      <c r="R51" s="47">
        <v>0</v>
      </c>
      <c r="S51" t="s">
        <v>48</v>
      </c>
      <c r="T51" t="s">
        <v>48</v>
      </c>
      <c r="U51">
        <v>0</v>
      </c>
      <c r="V51" t="s">
        <v>48</v>
      </c>
      <c r="W51" t="s">
        <v>48</v>
      </c>
      <c r="X51" t="s">
        <v>49</v>
      </c>
      <c r="Y51" t="s">
        <v>93</v>
      </c>
      <c r="Z51" t="s">
        <v>4532</v>
      </c>
      <c r="AA51" t="s">
        <v>48</v>
      </c>
      <c r="AB51" t="s">
        <v>48</v>
      </c>
      <c r="AC51" t="s">
        <v>48</v>
      </c>
      <c r="AD51" t="s">
        <v>7365</v>
      </c>
      <c r="AE51" t="s">
        <v>865</v>
      </c>
      <c r="AF51" t="s">
        <v>48</v>
      </c>
      <c r="AG51" t="s">
        <v>48</v>
      </c>
      <c r="AH51" t="s">
        <v>48</v>
      </c>
      <c r="AI51" t="s">
        <v>48</v>
      </c>
      <c r="AJ51" t="s">
        <v>48</v>
      </c>
      <c r="AK51" t="s">
        <v>48</v>
      </c>
      <c r="AL51" t="s">
        <v>48</v>
      </c>
      <c r="AM51">
        <v>0</v>
      </c>
      <c r="AN51">
        <v>0</v>
      </c>
      <c r="AO51">
        <v>0</v>
      </c>
      <c r="AP51">
        <v>0</v>
      </c>
      <c r="AQ51">
        <v>0</v>
      </c>
      <c r="AR51">
        <v>0</v>
      </c>
      <c r="AS51">
        <v>0</v>
      </c>
      <c r="AT51">
        <v>0</v>
      </c>
      <c r="AU51">
        <v>0</v>
      </c>
      <c r="AV51">
        <v>0</v>
      </c>
      <c r="AW51">
        <v>0</v>
      </c>
      <c r="AX51">
        <v>0</v>
      </c>
      <c r="AY51">
        <v>0</v>
      </c>
      <c r="AZ51">
        <v>0</v>
      </c>
      <c r="BA51">
        <v>0</v>
      </c>
      <c r="BB51">
        <v>0</v>
      </c>
      <c r="BC51">
        <v>0</v>
      </c>
      <c r="BD51" t="s">
        <v>48</v>
      </c>
    </row>
    <row r="52" spans="1:56" x14ac:dyDescent="0.35">
      <c r="A52" t="s">
        <v>11242</v>
      </c>
      <c r="B52" t="s">
        <v>7370</v>
      </c>
      <c r="C52" t="s">
        <v>7333</v>
      </c>
      <c r="D52" t="s">
        <v>7371</v>
      </c>
      <c r="E52" t="s">
        <v>47</v>
      </c>
      <c r="F52" s="60" t="s">
        <v>51</v>
      </c>
      <c r="G52" s="33" t="s">
        <v>45</v>
      </c>
      <c r="H52" s="46">
        <v>0</v>
      </c>
      <c r="I52" t="s">
        <v>48</v>
      </c>
      <c r="J52" s="46">
        <v>0</v>
      </c>
      <c r="K52" s="46">
        <v>0</v>
      </c>
      <c r="L52" s="46">
        <v>0</v>
      </c>
      <c r="M52" t="s">
        <v>48</v>
      </c>
      <c r="N52" s="46">
        <v>0</v>
      </c>
      <c r="O52" t="s">
        <v>48</v>
      </c>
      <c r="P52" t="s">
        <v>48</v>
      </c>
      <c r="Q52" t="s">
        <v>7372</v>
      </c>
      <c r="R52" s="47">
        <v>0</v>
      </c>
      <c r="S52" t="s">
        <v>48</v>
      </c>
      <c r="T52" t="s">
        <v>48</v>
      </c>
      <c r="U52">
        <v>0</v>
      </c>
      <c r="V52" t="s">
        <v>48</v>
      </c>
      <c r="W52" t="s">
        <v>48</v>
      </c>
      <c r="X52" t="s">
        <v>49</v>
      </c>
      <c r="Y52" t="s">
        <v>93</v>
      </c>
      <c r="Z52" t="s">
        <v>4532</v>
      </c>
      <c r="AA52" t="s">
        <v>48</v>
      </c>
      <c r="AB52" t="s">
        <v>48</v>
      </c>
      <c r="AC52" t="s">
        <v>48</v>
      </c>
      <c r="AD52" t="s">
        <v>2428</v>
      </c>
      <c r="AE52" t="s">
        <v>7373</v>
      </c>
      <c r="AF52" t="s">
        <v>48</v>
      </c>
      <c r="AG52" t="s">
        <v>48</v>
      </c>
      <c r="AH52" t="s">
        <v>48</v>
      </c>
      <c r="AI52" t="s">
        <v>48</v>
      </c>
      <c r="AJ52" t="s">
        <v>48</v>
      </c>
      <c r="AK52" t="s">
        <v>48</v>
      </c>
      <c r="AL52" t="s">
        <v>48</v>
      </c>
      <c r="AM52">
        <v>0</v>
      </c>
      <c r="AN52">
        <v>0</v>
      </c>
      <c r="AO52">
        <v>0</v>
      </c>
      <c r="AP52">
        <v>0</v>
      </c>
      <c r="AQ52">
        <v>0</v>
      </c>
      <c r="AR52">
        <v>0</v>
      </c>
      <c r="AS52">
        <v>0</v>
      </c>
      <c r="AT52">
        <v>0</v>
      </c>
      <c r="AU52">
        <v>0</v>
      </c>
      <c r="AV52">
        <v>0</v>
      </c>
      <c r="AW52">
        <v>0</v>
      </c>
      <c r="AX52">
        <v>0</v>
      </c>
      <c r="AY52">
        <v>0</v>
      </c>
      <c r="AZ52">
        <v>0</v>
      </c>
      <c r="BA52">
        <v>0</v>
      </c>
      <c r="BB52">
        <v>0</v>
      </c>
      <c r="BC52">
        <v>0</v>
      </c>
      <c r="BD52" t="s">
        <v>48</v>
      </c>
    </row>
    <row r="53" spans="1:56" x14ac:dyDescent="0.35">
      <c r="A53" t="s">
        <v>11242</v>
      </c>
      <c r="B53" t="s">
        <v>7336</v>
      </c>
      <c r="C53" t="s">
        <v>7333</v>
      </c>
      <c r="D53" t="s">
        <v>7337</v>
      </c>
      <c r="E53" t="s">
        <v>47</v>
      </c>
      <c r="F53" s="60" t="s">
        <v>125</v>
      </c>
      <c r="G53" s="33" t="s">
        <v>45</v>
      </c>
      <c r="H53" s="46">
        <v>0</v>
      </c>
      <c r="I53" t="s">
        <v>48</v>
      </c>
      <c r="J53" s="46">
        <v>0</v>
      </c>
      <c r="K53" s="46">
        <v>0</v>
      </c>
      <c r="L53" s="46">
        <v>0</v>
      </c>
      <c r="M53" t="s">
        <v>48</v>
      </c>
      <c r="N53" s="46">
        <v>0</v>
      </c>
      <c r="O53" t="s">
        <v>48</v>
      </c>
      <c r="P53" t="s">
        <v>48</v>
      </c>
      <c r="Q53" t="s">
        <v>7338</v>
      </c>
      <c r="R53" s="47">
        <v>0</v>
      </c>
      <c r="S53" t="s">
        <v>48</v>
      </c>
      <c r="T53" t="s">
        <v>48</v>
      </c>
      <c r="U53">
        <v>0</v>
      </c>
      <c r="V53" t="s">
        <v>48</v>
      </c>
      <c r="W53" t="s">
        <v>48</v>
      </c>
      <c r="X53" t="s">
        <v>49</v>
      </c>
      <c r="Y53" t="s">
        <v>93</v>
      </c>
      <c r="Z53" t="s">
        <v>4532</v>
      </c>
      <c r="AA53" t="s">
        <v>48</v>
      </c>
      <c r="AB53" t="s">
        <v>48</v>
      </c>
      <c r="AC53" t="s">
        <v>48</v>
      </c>
      <c r="AD53" t="s">
        <v>714</v>
      </c>
      <c r="AE53" t="s">
        <v>4339</v>
      </c>
      <c r="AF53" t="s">
        <v>48</v>
      </c>
      <c r="AG53" t="s">
        <v>48</v>
      </c>
      <c r="AH53" t="s">
        <v>48</v>
      </c>
      <c r="AI53" t="s">
        <v>48</v>
      </c>
      <c r="AJ53" t="s">
        <v>48</v>
      </c>
      <c r="AK53" t="s">
        <v>48</v>
      </c>
      <c r="AL53" t="s">
        <v>48</v>
      </c>
      <c r="AM53">
        <v>0</v>
      </c>
      <c r="AN53">
        <v>0</v>
      </c>
      <c r="AO53">
        <v>0</v>
      </c>
      <c r="AP53">
        <v>0</v>
      </c>
      <c r="AQ53">
        <v>0</v>
      </c>
      <c r="AR53">
        <v>0</v>
      </c>
      <c r="AS53">
        <v>0</v>
      </c>
      <c r="AT53">
        <v>0</v>
      </c>
      <c r="AU53">
        <v>0</v>
      </c>
      <c r="AV53">
        <v>0</v>
      </c>
      <c r="AW53">
        <v>0</v>
      </c>
      <c r="AX53">
        <v>0</v>
      </c>
      <c r="AY53">
        <v>0</v>
      </c>
      <c r="AZ53">
        <v>0</v>
      </c>
      <c r="BA53">
        <v>0</v>
      </c>
      <c r="BB53">
        <v>0</v>
      </c>
      <c r="BC53">
        <v>0</v>
      </c>
      <c r="BD53" t="s">
        <v>48</v>
      </c>
    </row>
    <row r="54" spans="1:56" x14ac:dyDescent="0.35">
      <c r="A54" t="s">
        <v>11242</v>
      </c>
      <c r="B54" t="s">
        <v>7332</v>
      </c>
      <c r="C54" t="s">
        <v>7333</v>
      </c>
      <c r="D54" t="s">
        <v>7334</v>
      </c>
      <c r="E54" t="s">
        <v>47</v>
      </c>
      <c r="F54" s="60" t="s">
        <v>51</v>
      </c>
      <c r="G54" s="33" t="s">
        <v>45</v>
      </c>
      <c r="H54" s="46">
        <v>0</v>
      </c>
      <c r="I54" t="s">
        <v>48</v>
      </c>
      <c r="J54" s="46">
        <v>0</v>
      </c>
      <c r="K54" s="46">
        <v>0</v>
      </c>
      <c r="L54" s="46">
        <v>0</v>
      </c>
      <c r="M54" t="s">
        <v>48</v>
      </c>
      <c r="N54" s="46">
        <v>0</v>
      </c>
      <c r="O54" t="s">
        <v>48</v>
      </c>
      <c r="P54" t="s">
        <v>48</v>
      </c>
      <c r="Q54" t="s">
        <v>7335</v>
      </c>
      <c r="R54" s="47">
        <v>0</v>
      </c>
      <c r="S54" t="s">
        <v>48</v>
      </c>
      <c r="T54" t="s">
        <v>48</v>
      </c>
      <c r="U54">
        <v>0</v>
      </c>
      <c r="V54" t="s">
        <v>48</v>
      </c>
      <c r="W54" t="s">
        <v>48</v>
      </c>
      <c r="X54" t="s">
        <v>49</v>
      </c>
      <c r="Y54" t="s">
        <v>93</v>
      </c>
      <c r="Z54" t="s">
        <v>4532</v>
      </c>
      <c r="AA54" t="s">
        <v>48</v>
      </c>
      <c r="AB54" t="s">
        <v>48</v>
      </c>
      <c r="AC54" t="s">
        <v>48</v>
      </c>
      <c r="AD54" t="s">
        <v>221</v>
      </c>
      <c r="AE54" t="s">
        <v>5378</v>
      </c>
      <c r="AF54" t="s">
        <v>48</v>
      </c>
      <c r="AG54" t="s">
        <v>48</v>
      </c>
      <c r="AH54" t="s">
        <v>48</v>
      </c>
      <c r="AI54" t="s">
        <v>48</v>
      </c>
      <c r="AJ54" t="s">
        <v>48</v>
      </c>
      <c r="AK54" t="s">
        <v>48</v>
      </c>
      <c r="AL54" t="s">
        <v>48</v>
      </c>
      <c r="AM54">
        <v>0</v>
      </c>
      <c r="AN54">
        <v>0</v>
      </c>
      <c r="AO54">
        <v>0</v>
      </c>
      <c r="AP54">
        <v>0</v>
      </c>
      <c r="AQ54">
        <v>0</v>
      </c>
      <c r="AR54">
        <v>0</v>
      </c>
      <c r="AS54">
        <v>0</v>
      </c>
      <c r="AT54">
        <v>0</v>
      </c>
      <c r="AU54">
        <v>0</v>
      </c>
      <c r="AV54">
        <v>0</v>
      </c>
      <c r="AW54">
        <v>0</v>
      </c>
      <c r="AX54">
        <v>0</v>
      </c>
      <c r="AY54">
        <v>0</v>
      </c>
      <c r="AZ54">
        <v>0</v>
      </c>
      <c r="BA54">
        <v>0</v>
      </c>
      <c r="BB54">
        <v>0</v>
      </c>
      <c r="BC54">
        <v>0</v>
      </c>
      <c r="BD54" t="s">
        <v>48</v>
      </c>
    </row>
    <row r="55" spans="1:56" x14ac:dyDescent="0.35">
      <c r="A55" t="s">
        <v>11242</v>
      </c>
      <c r="B55" t="s">
        <v>7352</v>
      </c>
      <c r="C55" t="s">
        <v>7333</v>
      </c>
      <c r="D55" t="s">
        <v>7353</v>
      </c>
      <c r="E55" t="s">
        <v>47</v>
      </c>
      <c r="F55" s="60" t="s">
        <v>881</v>
      </c>
      <c r="G55" s="33" t="s">
        <v>45</v>
      </c>
      <c r="H55" s="46">
        <v>0</v>
      </c>
      <c r="I55" t="s">
        <v>48</v>
      </c>
      <c r="J55" s="46">
        <v>0</v>
      </c>
      <c r="K55" s="46">
        <v>0</v>
      </c>
      <c r="L55" s="46">
        <v>0</v>
      </c>
      <c r="M55" t="s">
        <v>48</v>
      </c>
      <c r="N55" s="46">
        <v>0</v>
      </c>
      <c r="O55" t="s">
        <v>48</v>
      </c>
      <c r="P55" t="s">
        <v>48</v>
      </c>
      <c r="Q55" t="s">
        <v>7354</v>
      </c>
      <c r="R55" s="47">
        <v>0</v>
      </c>
      <c r="S55" t="s">
        <v>48</v>
      </c>
      <c r="T55" t="s">
        <v>48</v>
      </c>
      <c r="U55">
        <v>0</v>
      </c>
      <c r="V55" t="s">
        <v>48</v>
      </c>
      <c r="W55" t="s">
        <v>48</v>
      </c>
      <c r="X55" t="s">
        <v>49</v>
      </c>
      <c r="Y55" t="s">
        <v>93</v>
      </c>
      <c r="Z55" t="s">
        <v>4532</v>
      </c>
      <c r="AA55" t="s">
        <v>48</v>
      </c>
      <c r="AB55" t="s">
        <v>48</v>
      </c>
      <c r="AC55" t="s">
        <v>48</v>
      </c>
      <c r="AD55" t="s">
        <v>221</v>
      </c>
      <c r="AE55" t="s">
        <v>7355</v>
      </c>
      <c r="AF55" t="s">
        <v>48</v>
      </c>
      <c r="AG55" t="s">
        <v>48</v>
      </c>
      <c r="AH55" t="s">
        <v>48</v>
      </c>
      <c r="AI55" t="s">
        <v>48</v>
      </c>
      <c r="AJ55" t="s">
        <v>48</v>
      </c>
      <c r="AK55" t="s">
        <v>48</v>
      </c>
      <c r="AL55" t="s">
        <v>48</v>
      </c>
      <c r="AM55">
        <v>0</v>
      </c>
      <c r="AN55">
        <v>0</v>
      </c>
      <c r="AO55">
        <v>0</v>
      </c>
      <c r="AP55">
        <v>0</v>
      </c>
      <c r="AQ55">
        <v>0</v>
      </c>
      <c r="AR55">
        <v>0</v>
      </c>
      <c r="AS55">
        <v>0</v>
      </c>
      <c r="AT55">
        <v>0</v>
      </c>
      <c r="AU55">
        <v>0</v>
      </c>
      <c r="AV55">
        <v>0</v>
      </c>
      <c r="AW55">
        <v>0</v>
      </c>
      <c r="AX55">
        <v>0</v>
      </c>
      <c r="AY55">
        <v>0</v>
      </c>
      <c r="AZ55">
        <v>0</v>
      </c>
      <c r="BA55">
        <v>0</v>
      </c>
      <c r="BB55">
        <v>0</v>
      </c>
      <c r="BC55">
        <v>0</v>
      </c>
      <c r="BD55" t="s">
        <v>48</v>
      </c>
    </row>
    <row r="56" spans="1:56" x14ac:dyDescent="0.35">
      <c r="A56" t="s">
        <v>11242</v>
      </c>
      <c r="B56" t="s">
        <v>7360</v>
      </c>
      <c r="C56" t="s">
        <v>7333</v>
      </c>
      <c r="D56" t="s">
        <v>7361</v>
      </c>
      <c r="E56" t="s">
        <v>47</v>
      </c>
      <c r="F56" s="60" t="s">
        <v>51</v>
      </c>
      <c r="G56" s="33" t="s">
        <v>45</v>
      </c>
      <c r="H56" s="46">
        <v>0</v>
      </c>
      <c r="I56" t="s">
        <v>48</v>
      </c>
      <c r="J56" s="46">
        <v>0</v>
      </c>
      <c r="K56" s="46">
        <v>0</v>
      </c>
      <c r="L56" s="46">
        <v>0</v>
      </c>
      <c r="M56" t="s">
        <v>48</v>
      </c>
      <c r="N56" s="46">
        <v>0</v>
      </c>
      <c r="O56" t="s">
        <v>48</v>
      </c>
      <c r="P56" t="s">
        <v>48</v>
      </c>
      <c r="Q56" t="s">
        <v>7362</v>
      </c>
      <c r="R56" s="47">
        <v>0</v>
      </c>
      <c r="S56" t="s">
        <v>48</v>
      </c>
      <c r="T56" t="s">
        <v>48</v>
      </c>
      <c r="U56">
        <v>0</v>
      </c>
      <c r="V56" t="s">
        <v>48</v>
      </c>
      <c r="W56" t="s">
        <v>48</v>
      </c>
      <c r="X56" t="s">
        <v>49</v>
      </c>
      <c r="Y56" t="s">
        <v>93</v>
      </c>
      <c r="Z56" s="40" t="s">
        <v>2471</v>
      </c>
      <c r="AA56" t="s">
        <v>11061</v>
      </c>
      <c r="AB56" t="s">
        <v>48</v>
      </c>
      <c r="AC56" t="s">
        <v>48</v>
      </c>
      <c r="AD56" t="s">
        <v>437</v>
      </c>
      <c r="AE56" t="s">
        <v>3794</v>
      </c>
      <c r="AF56" t="s">
        <v>48</v>
      </c>
      <c r="AG56" t="s">
        <v>48</v>
      </c>
      <c r="AH56" t="s">
        <v>48</v>
      </c>
      <c r="AI56" t="s">
        <v>48</v>
      </c>
      <c r="AJ56" t="s">
        <v>48</v>
      </c>
      <c r="AK56" t="s">
        <v>48</v>
      </c>
      <c r="AL56" t="s">
        <v>48</v>
      </c>
      <c r="AM56">
        <v>0</v>
      </c>
      <c r="AN56">
        <v>0</v>
      </c>
      <c r="AO56">
        <v>0</v>
      </c>
      <c r="AP56">
        <v>0</v>
      </c>
      <c r="AQ56">
        <v>0</v>
      </c>
      <c r="AR56">
        <v>0</v>
      </c>
      <c r="AS56">
        <v>0</v>
      </c>
      <c r="AT56">
        <v>0</v>
      </c>
      <c r="AU56">
        <v>0</v>
      </c>
      <c r="AV56">
        <v>0</v>
      </c>
      <c r="AW56">
        <v>0</v>
      </c>
      <c r="AX56">
        <v>0</v>
      </c>
      <c r="AY56">
        <v>0</v>
      </c>
      <c r="AZ56">
        <v>0</v>
      </c>
      <c r="BA56">
        <v>0</v>
      </c>
      <c r="BB56">
        <v>0</v>
      </c>
      <c r="BC56">
        <v>0</v>
      </c>
      <c r="BD56" t="s">
        <v>48</v>
      </c>
    </row>
    <row r="57" spans="1:56" x14ac:dyDescent="0.35">
      <c r="A57" t="s">
        <v>11242</v>
      </c>
      <c r="B57" t="s">
        <v>7347</v>
      </c>
      <c r="C57" t="s">
        <v>7333</v>
      </c>
      <c r="D57" t="s">
        <v>7348</v>
      </c>
      <c r="E57" t="s">
        <v>47</v>
      </c>
      <c r="F57" s="60" t="s">
        <v>51</v>
      </c>
      <c r="G57" s="33" t="s">
        <v>45</v>
      </c>
      <c r="H57" s="46">
        <v>0</v>
      </c>
      <c r="I57" t="s">
        <v>48</v>
      </c>
      <c r="J57" s="46">
        <v>0</v>
      </c>
      <c r="K57" s="46">
        <v>0</v>
      </c>
      <c r="L57" s="46">
        <v>0</v>
      </c>
      <c r="M57" t="s">
        <v>48</v>
      </c>
      <c r="N57" s="46">
        <v>0</v>
      </c>
      <c r="O57" t="s">
        <v>48</v>
      </c>
      <c r="P57" t="s">
        <v>48</v>
      </c>
      <c r="Q57" t="s">
        <v>7349</v>
      </c>
      <c r="R57" s="47">
        <v>0</v>
      </c>
      <c r="S57" t="s">
        <v>48</v>
      </c>
      <c r="T57" t="s">
        <v>48</v>
      </c>
      <c r="U57">
        <v>0</v>
      </c>
      <c r="V57" t="s">
        <v>48</v>
      </c>
      <c r="W57" t="s">
        <v>48</v>
      </c>
      <c r="X57" t="s">
        <v>63</v>
      </c>
      <c r="Y57" t="s">
        <v>93</v>
      </c>
      <c r="Z57" t="s">
        <v>4532</v>
      </c>
      <c r="AA57" t="s">
        <v>48</v>
      </c>
      <c r="AB57" t="s">
        <v>48</v>
      </c>
      <c r="AC57" t="s">
        <v>48</v>
      </c>
      <c r="AD57" t="s">
        <v>7350</v>
      </c>
      <c r="AE57" t="s">
        <v>7351</v>
      </c>
      <c r="AF57" t="s">
        <v>48</v>
      </c>
      <c r="AG57" t="s">
        <v>48</v>
      </c>
      <c r="AH57" t="s">
        <v>48</v>
      </c>
      <c r="AI57" t="s">
        <v>48</v>
      </c>
      <c r="AJ57" t="s">
        <v>48</v>
      </c>
      <c r="AK57" t="s">
        <v>48</v>
      </c>
      <c r="AL57" t="s">
        <v>48</v>
      </c>
      <c r="AM57">
        <v>0</v>
      </c>
      <c r="AN57">
        <v>0</v>
      </c>
      <c r="AO57">
        <v>0</v>
      </c>
      <c r="AP57">
        <v>0</v>
      </c>
      <c r="AQ57">
        <v>0</v>
      </c>
      <c r="AR57">
        <v>0</v>
      </c>
      <c r="AS57">
        <v>0</v>
      </c>
      <c r="AT57">
        <v>0</v>
      </c>
      <c r="AU57">
        <v>0</v>
      </c>
      <c r="AV57">
        <v>0</v>
      </c>
      <c r="AW57">
        <v>0</v>
      </c>
      <c r="AX57">
        <v>0</v>
      </c>
      <c r="AY57">
        <v>0</v>
      </c>
      <c r="AZ57">
        <v>0</v>
      </c>
      <c r="BA57">
        <v>0</v>
      </c>
      <c r="BB57">
        <v>0</v>
      </c>
      <c r="BC57">
        <v>0</v>
      </c>
      <c r="BD57" t="s">
        <v>48</v>
      </c>
    </row>
    <row r="58" spans="1:56" x14ac:dyDescent="0.35">
      <c r="A58" t="s">
        <v>11242</v>
      </c>
      <c r="B58" t="s">
        <v>745</v>
      </c>
      <c r="C58" t="s">
        <v>738</v>
      </c>
      <c r="D58" t="s">
        <v>746</v>
      </c>
      <c r="E58" t="s">
        <v>83</v>
      </c>
      <c r="F58" s="60" t="s">
        <v>51</v>
      </c>
      <c r="G58" s="33" t="s">
        <v>45</v>
      </c>
      <c r="H58" s="46">
        <v>0</v>
      </c>
      <c r="I58" t="s">
        <v>48</v>
      </c>
      <c r="J58" s="46">
        <v>0</v>
      </c>
      <c r="K58" s="46">
        <v>0</v>
      </c>
      <c r="L58" s="46">
        <v>0</v>
      </c>
      <c r="M58" t="s">
        <v>48</v>
      </c>
      <c r="N58" s="46">
        <v>0</v>
      </c>
      <c r="O58" t="s">
        <v>48</v>
      </c>
      <c r="P58" t="s">
        <v>48</v>
      </c>
      <c r="Q58" t="s">
        <v>48</v>
      </c>
      <c r="R58" s="47">
        <v>0</v>
      </c>
      <c r="S58" t="s">
        <v>48</v>
      </c>
      <c r="T58" t="s">
        <v>48</v>
      </c>
      <c r="U58">
        <v>0</v>
      </c>
      <c r="V58" t="s">
        <v>48</v>
      </c>
      <c r="W58" t="s">
        <v>48</v>
      </c>
      <c r="X58" t="s">
        <v>49</v>
      </c>
      <c r="Y58" t="s">
        <v>93</v>
      </c>
      <c r="Z58" t="s">
        <v>4532</v>
      </c>
      <c r="AA58" t="s">
        <v>48</v>
      </c>
      <c r="AB58" t="s">
        <v>48</v>
      </c>
      <c r="AC58" t="s">
        <v>48</v>
      </c>
      <c r="AD58" t="s">
        <v>747</v>
      </c>
      <c r="AE58" t="s">
        <v>748</v>
      </c>
      <c r="AF58" t="s">
        <v>48</v>
      </c>
      <c r="AG58" t="s">
        <v>48</v>
      </c>
      <c r="AH58" t="s">
        <v>48</v>
      </c>
      <c r="AI58" t="s">
        <v>48</v>
      </c>
      <c r="AJ58" t="s">
        <v>48</v>
      </c>
      <c r="AK58" t="s">
        <v>48</v>
      </c>
      <c r="AL58" t="s">
        <v>48</v>
      </c>
      <c r="AM58">
        <v>0</v>
      </c>
      <c r="AN58">
        <v>0</v>
      </c>
      <c r="AO58">
        <v>0</v>
      </c>
      <c r="AP58">
        <v>0</v>
      </c>
      <c r="AQ58">
        <v>0</v>
      </c>
      <c r="AR58">
        <v>0</v>
      </c>
      <c r="AS58">
        <v>0</v>
      </c>
      <c r="AT58">
        <v>0</v>
      </c>
      <c r="AU58">
        <v>0</v>
      </c>
      <c r="AV58">
        <v>0</v>
      </c>
      <c r="AW58">
        <v>0</v>
      </c>
      <c r="AX58">
        <v>0</v>
      </c>
      <c r="AY58">
        <v>0</v>
      </c>
      <c r="AZ58">
        <v>0</v>
      </c>
      <c r="BA58">
        <v>0</v>
      </c>
      <c r="BB58">
        <v>0</v>
      </c>
      <c r="BC58">
        <v>0</v>
      </c>
      <c r="BD58" t="s">
        <v>48</v>
      </c>
    </row>
    <row r="59" spans="1:56" x14ac:dyDescent="0.35">
      <c r="A59" t="s">
        <v>11242</v>
      </c>
      <c r="B59" t="s">
        <v>1637</v>
      </c>
      <c r="C59" t="s">
        <v>1630</v>
      </c>
      <c r="D59" t="s">
        <v>1638</v>
      </c>
      <c r="E59" t="s">
        <v>83</v>
      </c>
      <c r="F59" s="60" t="s">
        <v>51</v>
      </c>
      <c r="G59" s="33" t="s">
        <v>45</v>
      </c>
      <c r="H59" s="46">
        <v>0</v>
      </c>
      <c r="I59" t="s">
        <v>48</v>
      </c>
      <c r="J59" s="46">
        <v>0</v>
      </c>
      <c r="K59" s="46">
        <v>0</v>
      </c>
      <c r="L59" s="46">
        <v>0</v>
      </c>
      <c r="M59" t="s">
        <v>48</v>
      </c>
      <c r="N59" s="46">
        <v>0</v>
      </c>
      <c r="O59" t="s">
        <v>48</v>
      </c>
      <c r="P59" t="s">
        <v>48</v>
      </c>
      <c r="Q59" t="s">
        <v>48</v>
      </c>
      <c r="R59" s="47">
        <v>0</v>
      </c>
      <c r="S59" t="s">
        <v>48</v>
      </c>
      <c r="T59" t="s">
        <v>48</v>
      </c>
      <c r="U59">
        <v>0</v>
      </c>
      <c r="V59" t="s">
        <v>48</v>
      </c>
      <c r="W59" t="s">
        <v>48</v>
      </c>
      <c r="X59" t="s">
        <v>49</v>
      </c>
      <c r="Y59" t="s">
        <v>93</v>
      </c>
      <c r="Z59" t="s">
        <v>4532</v>
      </c>
      <c r="AA59" t="s">
        <v>48</v>
      </c>
      <c r="AB59" t="s">
        <v>48</v>
      </c>
      <c r="AC59" t="s">
        <v>48</v>
      </c>
      <c r="AD59" t="s">
        <v>1639</v>
      </c>
      <c r="AE59" t="s">
        <v>886</v>
      </c>
      <c r="AF59" t="s">
        <v>48</v>
      </c>
      <c r="AG59" t="s">
        <v>48</v>
      </c>
      <c r="AH59" t="s">
        <v>48</v>
      </c>
      <c r="AI59" t="s">
        <v>48</v>
      </c>
      <c r="AJ59" t="s">
        <v>48</v>
      </c>
      <c r="AK59" t="s">
        <v>48</v>
      </c>
      <c r="AL59" t="s">
        <v>48</v>
      </c>
      <c r="AM59">
        <v>0</v>
      </c>
      <c r="AN59">
        <v>0</v>
      </c>
      <c r="AO59">
        <v>0</v>
      </c>
      <c r="AP59">
        <v>0</v>
      </c>
      <c r="AQ59">
        <v>0</v>
      </c>
      <c r="AR59">
        <v>0</v>
      </c>
      <c r="AS59">
        <v>0</v>
      </c>
      <c r="AT59">
        <v>0</v>
      </c>
      <c r="AU59">
        <v>0</v>
      </c>
      <c r="AV59">
        <v>0</v>
      </c>
      <c r="AW59">
        <v>0</v>
      </c>
      <c r="AX59">
        <v>0</v>
      </c>
      <c r="AY59">
        <v>0</v>
      </c>
      <c r="AZ59">
        <v>0</v>
      </c>
      <c r="BA59">
        <v>0</v>
      </c>
      <c r="BB59">
        <v>0</v>
      </c>
      <c r="BC59">
        <v>0</v>
      </c>
      <c r="BD59" t="s">
        <v>48</v>
      </c>
    </row>
    <row r="60" spans="1:56" x14ac:dyDescent="0.35">
      <c r="A60" t="s">
        <v>11242</v>
      </c>
      <c r="B60" t="s">
        <v>1649</v>
      </c>
      <c r="C60" t="s">
        <v>1630</v>
      </c>
      <c r="D60" t="s">
        <v>1650</v>
      </c>
      <c r="E60" t="s">
        <v>1651</v>
      </c>
      <c r="F60" s="60" t="s">
        <v>51</v>
      </c>
      <c r="G60" s="33" t="s">
        <v>45</v>
      </c>
      <c r="H60" s="46">
        <v>0</v>
      </c>
      <c r="I60" t="s">
        <v>48</v>
      </c>
      <c r="J60" s="46">
        <v>0</v>
      </c>
      <c r="K60" s="46">
        <v>0</v>
      </c>
      <c r="L60" s="46">
        <v>0</v>
      </c>
      <c r="M60" t="s">
        <v>48</v>
      </c>
      <c r="N60" s="46">
        <v>0</v>
      </c>
      <c r="O60" t="s">
        <v>48</v>
      </c>
      <c r="P60" t="s">
        <v>48</v>
      </c>
      <c r="Q60" t="s">
        <v>48</v>
      </c>
      <c r="R60" s="47">
        <v>0</v>
      </c>
      <c r="S60" t="s">
        <v>48</v>
      </c>
      <c r="T60" t="s">
        <v>48</v>
      </c>
      <c r="U60">
        <v>0</v>
      </c>
      <c r="V60" t="s">
        <v>48</v>
      </c>
      <c r="W60" t="s">
        <v>48</v>
      </c>
      <c r="X60" t="s">
        <v>49</v>
      </c>
      <c r="Y60" t="s">
        <v>48</v>
      </c>
      <c r="Z60" t="s">
        <v>48</v>
      </c>
      <c r="AA60" t="s">
        <v>48</v>
      </c>
      <c r="AB60" t="s">
        <v>48</v>
      </c>
      <c r="AC60" t="s">
        <v>48</v>
      </c>
      <c r="AD60" t="s">
        <v>1652</v>
      </c>
      <c r="AE60" t="s">
        <v>447</v>
      </c>
      <c r="AF60" t="s">
        <v>48</v>
      </c>
      <c r="AG60" t="s">
        <v>48</v>
      </c>
      <c r="AH60" t="s">
        <v>48</v>
      </c>
      <c r="AI60" t="s">
        <v>48</v>
      </c>
      <c r="AJ60" t="s">
        <v>48</v>
      </c>
      <c r="AK60" t="s">
        <v>48</v>
      </c>
      <c r="AL60" t="s">
        <v>48</v>
      </c>
      <c r="AM60">
        <v>0</v>
      </c>
      <c r="AN60">
        <v>0</v>
      </c>
      <c r="AO60">
        <v>0</v>
      </c>
      <c r="AP60">
        <v>0</v>
      </c>
      <c r="AQ60">
        <v>0</v>
      </c>
      <c r="AR60">
        <v>0</v>
      </c>
      <c r="AS60">
        <v>0</v>
      </c>
      <c r="AT60">
        <v>0</v>
      </c>
      <c r="AU60">
        <v>0</v>
      </c>
      <c r="AV60">
        <v>0</v>
      </c>
      <c r="AW60">
        <v>0</v>
      </c>
      <c r="AX60">
        <v>0</v>
      </c>
      <c r="AY60">
        <v>0</v>
      </c>
      <c r="AZ60">
        <v>0</v>
      </c>
      <c r="BA60">
        <v>0</v>
      </c>
      <c r="BB60">
        <v>0</v>
      </c>
      <c r="BC60">
        <v>0</v>
      </c>
      <c r="BD60" t="s">
        <v>48</v>
      </c>
    </row>
    <row r="61" spans="1:56" x14ac:dyDescent="0.35">
      <c r="A61" t="s">
        <v>11242</v>
      </c>
      <c r="B61" t="s">
        <v>3422</v>
      </c>
      <c r="C61" t="s">
        <v>3423</v>
      </c>
      <c r="D61" t="s">
        <v>3424</v>
      </c>
      <c r="E61" t="s">
        <v>74</v>
      </c>
      <c r="F61" s="60" t="s">
        <v>149</v>
      </c>
      <c r="G61" s="33" t="s">
        <v>45</v>
      </c>
      <c r="H61" s="46">
        <v>0</v>
      </c>
      <c r="I61" t="s">
        <v>48</v>
      </c>
      <c r="J61" s="46">
        <v>0</v>
      </c>
      <c r="K61" s="46">
        <v>0</v>
      </c>
      <c r="L61" s="46">
        <v>1</v>
      </c>
      <c r="M61" t="s">
        <v>48</v>
      </c>
      <c r="N61" s="46">
        <v>0</v>
      </c>
      <c r="O61" t="s">
        <v>48</v>
      </c>
      <c r="P61" t="s">
        <v>48</v>
      </c>
      <c r="Q61" t="s">
        <v>48</v>
      </c>
      <c r="R61" s="47">
        <v>0</v>
      </c>
      <c r="S61" t="s">
        <v>48</v>
      </c>
      <c r="T61" t="s">
        <v>48</v>
      </c>
      <c r="U61">
        <v>0</v>
      </c>
      <c r="V61" t="s">
        <v>48</v>
      </c>
      <c r="W61" t="s">
        <v>48</v>
      </c>
      <c r="X61" t="s">
        <v>63</v>
      </c>
      <c r="Y61" t="s">
        <v>48</v>
      </c>
      <c r="Z61" t="s">
        <v>48</v>
      </c>
      <c r="AA61" t="s">
        <v>48</v>
      </c>
      <c r="AB61" t="s">
        <v>48</v>
      </c>
      <c r="AC61" t="s">
        <v>48</v>
      </c>
      <c r="AD61" t="s">
        <v>3425</v>
      </c>
      <c r="AE61" t="s">
        <v>3426</v>
      </c>
      <c r="AF61" t="s">
        <v>48</v>
      </c>
      <c r="AG61" t="s">
        <v>48</v>
      </c>
      <c r="AH61" t="s">
        <v>48</v>
      </c>
      <c r="AI61" t="s">
        <v>48</v>
      </c>
      <c r="AJ61" t="s">
        <v>48</v>
      </c>
      <c r="AK61" t="s">
        <v>48</v>
      </c>
      <c r="AL61" t="s">
        <v>48</v>
      </c>
      <c r="AM61">
        <v>0</v>
      </c>
      <c r="AN61">
        <v>0</v>
      </c>
      <c r="AO61">
        <v>0</v>
      </c>
      <c r="AP61">
        <v>0</v>
      </c>
      <c r="AQ61">
        <v>0</v>
      </c>
      <c r="AR61">
        <v>0</v>
      </c>
      <c r="AS61">
        <v>0</v>
      </c>
      <c r="AT61">
        <v>0</v>
      </c>
      <c r="AU61">
        <v>0</v>
      </c>
      <c r="AV61">
        <v>0</v>
      </c>
      <c r="AW61">
        <v>0</v>
      </c>
      <c r="AX61">
        <v>0</v>
      </c>
      <c r="AY61">
        <v>0</v>
      </c>
      <c r="AZ61">
        <v>0</v>
      </c>
      <c r="BA61">
        <v>0</v>
      </c>
      <c r="BB61">
        <v>0</v>
      </c>
      <c r="BC61">
        <v>0</v>
      </c>
      <c r="BD6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Main_candidate_information</vt:lpstr>
      <vt:lpstr>Codebook</vt:lpstr>
      <vt:lpstr>Sheet1</vt:lpstr>
    </vt:vector>
  </TitlesOfParts>
  <Company>Georgetown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 Bailey</dc:creator>
  <cp:lastModifiedBy>Michael A Bailey</cp:lastModifiedBy>
  <dcterms:created xsi:type="dcterms:W3CDTF">2022-06-03T19:11:17Z</dcterms:created>
  <dcterms:modified xsi:type="dcterms:W3CDTF">2025-01-09T16:54:08Z</dcterms:modified>
</cp:coreProperties>
</file>